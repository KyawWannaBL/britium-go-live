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27072026\britium-go-live\britium-go-live\"/>
    </mc:Choice>
  </mc:AlternateContent>
  <xr:revisionPtr revIDLastSave="0" documentId="8_{31246BB8-EA96-446C-8223-C14CBAA5A0E9}" xr6:coauthVersionLast="47" xr6:coauthVersionMax="47" xr10:uidLastSave="{00000000-0000-0000-0000-000000000000}"/>
  <bookViews>
    <workbookView xWindow="-110" yWindow="-110" windowWidth="22780" windowHeight="14540" xr2:uid="{48E68021-A157-45CA-8676-B648C90286C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13" i="1" l="1"/>
  <c r="M213" i="1"/>
  <c r="L213" i="1"/>
  <c r="K213" i="1"/>
  <c r="J213" i="1"/>
  <c r="I213" i="1"/>
  <c r="F213" i="1"/>
  <c r="E213" i="1"/>
  <c r="D213" i="1"/>
  <c r="C213" i="1"/>
  <c r="N212" i="1"/>
  <c r="M212" i="1"/>
  <c r="L212" i="1"/>
  <c r="K212" i="1"/>
  <c r="J212" i="1"/>
  <c r="I212" i="1"/>
  <c r="F212" i="1"/>
  <c r="E212" i="1"/>
  <c r="D212" i="1"/>
  <c r="C212" i="1"/>
  <c r="N211" i="1"/>
  <c r="M211" i="1"/>
  <c r="L211" i="1"/>
  <c r="K211" i="1"/>
  <c r="J211" i="1"/>
  <c r="I211" i="1"/>
  <c r="F211" i="1"/>
  <c r="E211" i="1"/>
  <c r="D211" i="1"/>
  <c r="C211" i="1"/>
  <c r="N210" i="1"/>
  <c r="M210" i="1"/>
  <c r="L210" i="1"/>
  <c r="K210" i="1"/>
  <c r="J210" i="1"/>
  <c r="I210" i="1"/>
  <c r="F210" i="1"/>
  <c r="E210" i="1"/>
  <c r="D210" i="1"/>
  <c r="C210" i="1"/>
  <c r="N209" i="1"/>
  <c r="M209" i="1"/>
  <c r="L209" i="1"/>
  <c r="K209" i="1"/>
  <c r="J209" i="1"/>
  <c r="I209" i="1"/>
  <c r="F209" i="1"/>
  <c r="E209" i="1"/>
  <c r="D209" i="1"/>
  <c r="C209" i="1"/>
  <c r="N208" i="1"/>
  <c r="M208" i="1"/>
  <c r="L208" i="1"/>
  <c r="K208" i="1"/>
  <c r="J208" i="1"/>
  <c r="I208" i="1"/>
  <c r="F208" i="1"/>
  <c r="E208" i="1"/>
  <c r="D208" i="1"/>
  <c r="C208" i="1"/>
  <c r="N207" i="1"/>
  <c r="M207" i="1"/>
  <c r="L207" i="1"/>
  <c r="K207" i="1"/>
  <c r="J207" i="1"/>
  <c r="I207" i="1"/>
  <c r="F207" i="1"/>
  <c r="E207" i="1"/>
  <c r="D207" i="1"/>
  <c r="C207" i="1"/>
  <c r="N206" i="1"/>
  <c r="M206" i="1"/>
  <c r="L206" i="1"/>
  <c r="K206" i="1"/>
  <c r="J206" i="1"/>
  <c r="I206" i="1"/>
  <c r="F206" i="1"/>
  <c r="E206" i="1"/>
  <c r="D206" i="1"/>
  <c r="C206" i="1"/>
  <c r="N205" i="1"/>
  <c r="M205" i="1"/>
  <c r="L205" i="1"/>
  <c r="K205" i="1"/>
  <c r="J205" i="1"/>
  <c r="I205" i="1"/>
  <c r="F205" i="1"/>
  <c r="E205" i="1"/>
  <c r="D205" i="1"/>
  <c r="C205" i="1"/>
  <c r="N204" i="1"/>
  <c r="M204" i="1"/>
  <c r="L204" i="1"/>
  <c r="K204" i="1"/>
  <c r="J204" i="1"/>
  <c r="I204" i="1"/>
  <c r="F204" i="1"/>
  <c r="E204" i="1"/>
  <c r="D204" i="1"/>
  <c r="C204" i="1"/>
  <c r="N203" i="1"/>
  <c r="M203" i="1"/>
  <c r="L203" i="1"/>
  <c r="K203" i="1"/>
  <c r="J203" i="1"/>
  <c r="I203" i="1"/>
  <c r="F203" i="1"/>
  <c r="E203" i="1"/>
  <c r="D203" i="1"/>
  <c r="C203" i="1"/>
  <c r="N202" i="1"/>
  <c r="M202" i="1"/>
  <c r="L202" i="1"/>
  <c r="K202" i="1"/>
  <c r="J202" i="1"/>
  <c r="I202" i="1"/>
  <c r="F202" i="1"/>
  <c r="E202" i="1"/>
  <c r="D202" i="1"/>
  <c r="C202" i="1"/>
  <c r="N201" i="1"/>
  <c r="M201" i="1"/>
  <c r="L201" i="1"/>
  <c r="K201" i="1"/>
  <c r="J201" i="1"/>
  <c r="I201" i="1"/>
  <c r="F201" i="1"/>
  <c r="E201" i="1"/>
  <c r="D201" i="1"/>
  <c r="C201" i="1"/>
  <c r="N200" i="1"/>
  <c r="M200" i="1"/>
  <c r="L200" i="1"/>
  <c r="K200" i="1"/>
  <c r="J200" i="1"/>
  <c r="I200" i="1"/>
  <c r="F200" i="1"/>
  <c r="E200" i="1"/>
  <c r="D200" i="1"/>
  <c r="C200" i="1"/>
  <c r="N199" i="1"/>
  <c r="M199" i="1"/>
  <c r="L199" i="1"/>
  <c r="K199" i="1"/>
  <c r="J199" i="1"/>
  <c r="I199" i="1"/>
  <c r="F199" i="1"/>
  <c r="E199" i="1"/>
  <c r="D199" i="1"/>
  <c r="C199" i="1"/>
  <c r="N198" i="1"/>
  <c r="M198" i="1"/>
  <c r="L198" i="1"/>
  <c r="K198" i="1"/>
  <c r="J198" i="1"/>
  <c r="I198" i="1"/>
  <c r="F198" i="1"/>
  <c r="E198" i="1"/>
  <c r="D198" i="1"/>
  <c r="C198" i="1"/>
  <c r="N197" i="1"/>
  <c r="M197" i="1"/>
  <c r="L197" i="1"/>
  <c r="K197" i="1"/>
  <c r="J197" i="1"/>
  <c r="I197" i="1"/>
  <c r="F197" i="1"/>
  <c r="E197" i="1"/>
  <c r="D197" i="1"/>
  <c r="C197" i="1"/>
  <c r="N196" i="1"/>
  <c r="M196" i="1"/>
  <c r="L196" i="1"/>
  <c r="K196" i="1"/>
  <c r="J196" i="1"/>
  <c r="I196" i="1"/>
  <c r="F196" i="1"/>
  <c r="E196" i="1"/>
  <c r="D196" i="1"/>
  <c r="C196" i="1"/>
  <c r="N195" i="1"/>
  <c r="M195" i="1"/>
  <c r="L195" i="1"/>
  <c r="K195" i="1"/>
  <c r="J195" i="1"/>
  <c r="I195" i="1"/>
  <c r="F195" i="1"/>
  <c r="E195" i="1"/>
  <c r="D195" i="1"/>
  <c r="C195" i="1"/>
  <c r="N194" i="1"/>
  <c r="M194" i="1"/>
  <c r="L194" i="1"/>
  <c r="K194" i="1"/>
  <c r="J194" i="1"/>
  <c r="I194" i="1"/>
  <c r="F194" i="1"/>
  <c r="E194" i="1"/>
  <c r="D194" i="1"/>
  <c r="C194" i="1"/>
  <c r="N193" i="1"/>
  <c r="M193" i="1"/>
  <c r="L193" i="1"/>
  <c r="K193" i="1"/>
  <c r="J193" i="1"/>
  <c r="I193" i="1"/>
  <c r="F193" i="1"/>
  <c r="E193" i="1"/>
  <c r="D193" i="1"/>
  <c r="C193" i="1"/>
  <c r="N192" i="1"/>
  <c r="M192" i="1"/>
  <c r="L192" i="1"/>
  <c r="K192" i="1"/>
  <c r="J192" i="1"/>
  <c r="I192" i="1"/>
  <c r="F192" i="1"/>
  <c r="E192" i="1"/>
  <c r="D192" i="1"/>
  <c r="C192" i="1"/>
  <c r="N191" i="1"/>
  <c r="M191" i="1"/>
  <c r="L191" i="1"/>
  <c r="K191" i="1"/>
  <c r="J191" i="1"/>
  <c r="I191" i="1"/>
  <c r="F191" i="1"/>
  <c r="E191" i="1"/>
  <c r="D191" i="1"/>
  <c r="C191" i="1"/>
  <c r="N190" i="1"/>
  <c r="M190" i="1"/>
  <c r="L190" i="1"/>
  <c r="K190" i="1"/>
  <c r="J190" i="1"/>
  <c r="I190" i="1"/>
  <c r="F190" i="1"/>
  <c r="E190" i="1"/>
  <c r="D190" i="1"/>
  <c r="C190" i="1"/>
  <c r="N189" i="1"/>
  <c r="M189" i="1"/>
  <c r="L189" i="1"/>
  <c r="K189" i="1"/>
  <c r="J189" i="1"/>
  <c r="I189" i="1"/>
  <c r="F189" i="1"/>
  <c r="E189" i="1"/>
  <c r="D189" i="1"/>
  <c r="C189" i="1"/>
  <c r="N188" i="1"/>
  <c r="M188" i="1"/>
  <c r="L188" i="1"/>
  <c r="K188" i="1"/>
  <c r="J188" i="1"/>
  <c r="I188" i="1"/>
  <c r="F188" i="1"/>
  <c r="E188" i="1"/>
  <c r="D188" i="1"/>
  <c r="C188" i="1"/>
  <c r="N187" i="1"/>
  <c r="M187" i="1"/>
  <c r="L187" i="1"/>
  <c r="K187" i="1"/>
  <c r="J187" i="1"/>
  <c r="I187" i="1"/>
  <c r="F187" i="1"/>
  <c r="E187" i="1"/>
  <c r="D187" i="1"/>
  <c r="C187" i="1"/>
  <c r="N186" i="1"/>
  <c r="M186" i="1"/>
  <c r="L186" i="1"/>
  <c r="K186" i="1"/>
  <c r="J186" i="1"/>
  <c r="I186" i="1"/>
  <c r="F186" i="1"/>
  <c r="E186" i="1"/>
  <c r="D186" i="1"/>
  <c r="C186" i="1"/>
  <c r="N185" i="1"/>
  <c r="M185" i="1"/>
  <c r="L185" i="1"/>
  <c r="K185" i="1"/>
  <c r="J185" i="1"/>
  <c r="I185" i="1"/>
  <c r="F185" i="1"/>
  <c r="E185" i="1"/>
  <c r="D185" i="1"/>
  <c r="C185" i="1"/>
  <c r="N184" i="1"/>
  <c r="M184" i="1"/>
  <c r="L184" i="1"/>
  <c r="K184" i="1"/>
  <c r="J184" i="1"/>
  <c r="I184" i="1"/>
  <c r="F184" i="1"/>
  <c r="E184" i="1"/>
  <c r="D184" i="1"/>
  <c r="C184" i="1"/>
  <c r="N183" i="1"/>
  <c r="M183" i="1"/>
  <c r="L183" i="1"/>
  <c r="K183" i="1"/>
  <c r="J183" i="1"/>
  <c r="I183" i="1"/>
  <c r="F183" i="1"/>
  <c r="E183" i="1"/>
  <c r="D183" i="1"/>
  <c r="C183" i="1"/>
  <c r="N182" i="1"/>
  <c r="M182" i="1"/>
  <c r="L182" i="1"/>
  <c r="K182" i="1"/>
  <c r="J182" i="1"/>
  <c r="I182" i="1"/>
  <c r="F182" i="1"/>
  <c r="E182" i="1"/>
  <c r="D182" i="1"/>
  <c r="C182" i="1"/>
  <c r="N181" i="1"/>
  <c r="M181" i="1"/>
  <c r="L181" i="1"/>
  <c r="K181" i="1"/>
  <c r="J181" i="1"/>
  <c r="I181" i="1"/>
  <c r="F181" i="1"/>
  <c r="E181" i="1"/>
  <c r="D181" i="1"/>
  <c r="C181" i="1"/>
  <c r="N180" i="1"/>
  <c r="M180" i="1"/>
  <c r="L180" i="1"/>
  <c r="K180" i="1"/>
  <c r="J180" i="1"/>
  <c r="I180" i="1"/>
  <c r="F180" i="1"/>
  <c r="E180" i="1"/>
  <c r="D180" i="1"/>
  <c r="C180" i="1"/>
  <c r="N179" i="1"/>
  <c r="M179" i="1"/>
  <c r="L179" i="1"/>
  <c r="K179" i="1"/>
  <c r="J179" i="1"/>
  <c r="I179" i="1"/>
  <c r="F179" i="1"/>
  <c r="E179" i="1"/>
  <c r="D179" i="1"/>
  <c r="C179" i="1"/>
  <c r="N178" i="1"/>
  <c r="M178" i="1"/>
  <c r="L178" i="1"/>
  <c r="K178" i="1"/>
  <c r="J178" i="1"/>
  <c r="I178" i="1"/>
  <c r="F178" i="1"/>
  <c r="E178" i="1"/>
  <c r="D178" i="1"/>
  <c r="C178" i="1"/>
  <c r="N177" i="1"/>
  <c r="M177" i="1"/>
  <c r="L177" i="1"/>
  <c r="K177" i="1"/>
  <c r="J177" i="1"/>
  <c r="I177" i="1"/>
  <c r="F177" i="1"/>
  <c r="E177" i="1"/>
  <c r="D177" i="1"/>
  <c r="C177" i="1"/>
  <c r="N176" i="1"/>
  <c r="M176" i="1"/>
  <c r="L176" i="1"/>
  <c r="K176" i="1"/>
  <c r="J176" i="1"/>
  <c r="I176" i="1"/>
  <c r="F176" i="1"/>
  <c r="E176" i="1"/>
  <c r="D176" i="1"/>
  <c r="C176" i="1"/>
  <c r="N175" i="1"/>
  <c r="M175" i="1"/>
  <c r="L175" i="1"/>
  <c r="K175" i="1"/>
  <c r="J175" i="1"/>
  <c r="I175" i="1"/>
  <c r="F175" i="1"/>
  <c r="E175" i="1"/>
  <c r="D175" i="1"/>
  <c r="C175" i="1"/>
  <c r="N174" i="1"/>
  <c r="M174" i="1"/>
  <c r="L174" i="1"/>
  <c r="K174" i="1"/>
  <c r="J174" i="1"/>
  <c r="I174" i="1"/>
  <c r="F174" i="1"/>
  <c r="E174" i="1"/>
  <c r="D174" i="1"/>
  <c r="C174" i="1"/>
  <c r="N173" i="1"/>
  <c r="M173" i="1"/>
  <c r="L173" i="1"/>
  <c r="K173" i="1"/>
  <c r="J173" i="1"/>
  <c r="I173" i="1"/>
  <c r="F173" i="1"/>
  <c r="E173" i="1"/>
  <c r="D173" i="1"/>
  <c r="C173" i="1"/>
  <c r="N172" i="1"/>
  <c r="M172" i="1"/>
  <c r="L172" i="1"/>
  <c r="K172" i="1"/>
  <c r="J172" i="1"/>
  <c r="I172" i="1"/>
  <c r="F172" i="1"/>
  <c r="E172" i="1"/>
  <c r="D172" i="1"/>
  <c r="C172" i="1"/>
  <c r="N171" i="1"/>
  <c r="M171" i="1"/>
  <c r="L171" i="1"/>
  <c r="K171" i="1"/>
  <c r="J171" i="1"/>
  <c r="I171" i="1"/>
  <c r="F171" i="1"/>
  <c r="E171" i="1"/>
  <c r="D171" i="1"/>
  <c r="C171" i="1"/>
  <c r="N170" i="1"/>
  <c r="M170" i="1"/>
  <c r="L170" i="1"/>
  <c r="K170" i="1"/>
  <c r="J170" i="1"/>
  <c r="I170" i="1"/>
  <c r="F170" i="1"/>
  <c r="E170" i="1"/>
  <c r="D170" i="1"/>
  <c r="C170" i="1"/>
  <c r="N169" i="1"/>
  <c r="M169" i="1"/>
  <c r="L169" i="1"/>
  <c r="K169" i="1"/>
  <c r="J169" i="1"/>
  <c r="I169" i="1"/>
  <c r="F169" i="1"/>
  <c r="E169" i="1"/>
  <c r="D169" i="1"/>
  <c r="C169" i="1"/>
  <c r="N168" i="1"/>
  <c r="M168" i="1"/>
  <c r="L168" i="1"/>
  <c r="K168" i="1"/>
  <c r="J168" i="1"/>
  <c r="I168" i="1"/>
  <c r="F168" i="1"/>
  <c r="E168" i="1"/>
  <c r="D168" i="1"/>
  <c r="C168" i="1"/>
  <c r="N167" i="1"/>
  <c r="M167" i="1"/>
  <c r="L167" i="1"/>
  <c r="K167" i="1"/>
  <c r="J167" i="1"/>
  <c r="I167" i="1"/>
  <c r="F167" i="1"/>
  <c r="E167" i="1"/>
  <c r="D167" i="1"/>
  <c r="C167" i="1"/>
  <c r="N166" i="1"/>
  <c r="M166" i="1"/>
  <c r="L166" i="1"/>
  <c r="K166" i="1"/>
  <c r="J166" i="1"/>
  <c r="I166" i="1"/>
  <c r="F166" i="1"/>
  <c r="E166" i="1"/>
  <c r="D166" i="1"/>
  <c r="C166" i="1"/>
  <c r="N165" i="1"/>
  <c r="M165" i="1"/>
  <c r="L165" i="1"/>
  <c r="K165" i="1"/>
  <c r="J165" i="1"/>
  <c r="I165" i="1"/>
  <c r="F165" i="1"/>
  <c r="E165" i="1"/>
  <c r="D165" i="1"/>
  <c r="C165" i="1"/>
  <c r="N164" i="1"/>
  <c r="M164" i="1"/>
  <c r="L164" i="1"/>
  <c r="K164" i="1"/>
  <c r="J164" i="1"/>
  <c r="I164" i="1"/>
  <c r="F164" i="1"/>
  <c r="E164" i="1"/>
  <c r="D164" i="1"/>
  <c r="C164" i="1"/>
  <c r="N163" i="1"/>
  <c r="M163" i="1"/>
  <c r="L163" i="1"/>
  <c r="K163" i="1"/>
  <c r="J163" i="1"/>
  <c r="I163" i="1"/>
  <c r="F163" i="1"/>
  <c r="E163" i="1"/>
  <c r="D163" i="1"/>
  <c r="C163" i="1"/>
  <c r="N162" i="1"/>
  <c r="M162" i="1"/>
  <c r="L162" i="1"/>
  <c r="K162" i="1"/>
  <c r="J162" i="1"/>
  <c r="I162" i="1"/>
  <c r="F162" i="1"/>
  <c r="E162" i="1"/>
  <c r="D162" i="1"/>
  <c r="C162" i="1"/>
  <c r="N161" i="1"/>
  <c r="M161" i="1"/>
  <c r="L161" i="1"/>
  <c r="K161" i="1"/>
  <c r="J161" i="1"/>
  <c r="I161" i="1"/>
  <c r="F161" i="1"/>
  <c r="E161" i="1"/>
  <c r="D161" i="1"/>
  <c r="C161" i="1"/>
  <c r="N160" i="1"/>
  <c r="M160" i="1"/>
  <c r="L160" i="1"/>
  <c r="K160" i="1"/>
  <c r="J160" i="1"/>
  <c r="I160" i="1"/>
  <c r="F160" i="1"/>
  <c r="E160" i="1"/>
  <c r="D160" i="1"/>
  <c r="C160" i="1"/>
  <c r="N159" i="1"/>
  <c r="M159" i="1"/>
  <c r="L159" i="1"/>
  <c r="K159" i="1"/>
  <c r="J159" i="1"/>
  <c r="I159" i="1"/>
  <c r="F159" i="1"/>
  <c r="E159" i="1"/>
  <c r="D159" i="1"/>
  <c r="C159" i="1"/>
  <c r="N158" i="1"/>
  <c r="M158" i="1"/>
  <c r="L158" i="1"/>
  <c r="K158" i="1"/>
  <c r="J158" i="1"/>
  <c r="I158" i="1"/>
  <c r="F158" i="1"/>
  <c r="E158" i="1"/>
  <c r="D158" i="1"/>
  <c r="C158" i="1"/>
  <c r="N157" i="1"/>
  <c r="M157" i="1"/>
  <c r="L157" i="1"/>
  <c r="K157" i="1"/>
  <c r="J157" i="1"/>
  <c r="I157" i="1"/>
  <c r="F157" i="1"/>
  <c r="E157" i="1"/>
  <c r="D157" i="1"/>
  <c r="C157" i="1"/>
  <c r="N156" i="1"/>
  <c r="M156" i="1"/>
  <c r="L156" i="1"/>
  <c r="K156" i="1"/>
  <c r="J156" i="1"/>
  <c r="I156" i="1"/>
  <c r="F156" i="1"/>
  <c r="E156" i="1"/>
  <c r="D156" i="1"/>
  <c r="C156" i="1"/>
  <c r="N155" i="1"/>
  <c r="M155" i="1"/>
  <c r="L155" i="1"/>
  <c r="K155" i="1"/>
  <c r="J155" i="1"/>
  <c r="I155" i="1"/>
  <c r="F155" i="1"/>
  <c r="E155" i="1"/>
  <c r="D155" i="1"/>
  <c r="C155" i="1"/>
  <c r="N154" i="1"/>
  <c r="M154" i="1"/>
  <c r="L154" i="1"/>
  <c r="K154" i="1"/>
  <c r="J154" i="1"/>
  <c r="I154" i="1"/>
  <c r="F154" i="1"/>
  <c r="E154" i="1"/>
  <c r="D154" i="1"/>
  <c r="C154" i="1"/>
  <c r="N153" i="1"/>
  <c r="M153" i="1"/>
  <c r="L153" i="1"/>
  <c r="K153" i="1"/>
  <c r="J153" i="1"/>
  <c r="I153" i="1"/>
  <c r="F153" i="1"/>
  <c r="E153" i="1"/>
  <c r="D153" i="1"/>
  <c r="C153" i="1"/>
  <c r="N152" i="1"/>
  <c r="M152" i="1"/>
  <c r="L152" i="1"/>
  <c r="K152" i="1"/>
  <c r="J152" i="1"/>
  <c r="I152" i="1"/>
  <c r="F152" i="1"/>
  <c r="E152" i="1"/>
  <c r="D152" i="1"/>
  <c r="C152" i="1"/>
  <c r="N151" i="1"/>
  <c r="M151" i="1"/>
  <c r="L151" i="1"/>
  <c r="K151" i="1"/>
  <c r="J151" i="1"/>
  <c r="I151" i="1"/>
  <c r="F151" i="1"/>
  <c r="E151" i="1"/>
  <c r="D151" i="1"/>
  <c r="C151" i="1"/>
  <c r="N150" i="1"/>
  <c r="M150" i="1"/>
  <c r="L150" i="1"/>
  <c r="K150" i="1"/>
  <c r="J150" i="1"/>
  <c r="I150" i="1"/>
  <c r="F150" i="1"/>
  <c r="E150" i="1"/>
  <c r="D150" i="1"/>
  <c r="C150" i="1"/>
  <c r="N149" i="1"/>
  <c r="M149" i="1"/>
  <c r="L149" i="1"/>
  <c r="K149" i="1"/>
  <c r="J149" i="1"/>
  <c r="I149" i="1"/>
  <c r="F149" i="1"/>
  <c r="E149" i="1"/>
  <c r="D149" i="1"/>
  <c r="C149" i="1"/>
  <c r="N148" i="1"/>
  <c r="M148" i="1"/>
  <c r="L148" i="1"/>
  <c r="K148" i="1"/>
  <c r="J148" i="1"/>
  <c r="I148" i="1"/>
  <c r="F148" i="1"/>
  <c r="E148" i="1"/>
  <c r="D148" i="1"/>
  <c r="C148" i="1"/>
  <c r="N147" i="1"/>
  <c r="M147" i="1"/>
  <c r="L147" i="1"/>
  <c r="K147" i="1"/>
  <c r="J147" i="1"/>
  <c r="I147" i="1"/>
  <c r="F147" i="1"/>
  <c r="E147" i="1"/>
  <c r="D147" i="1"/>
  <c r="C147" i="1"/>
  <c r="N146" i="1"/>
  <c r="M146" i="1"/>
  <c r="L146" i="1"/>
  <c r="K146" i="1"/>
  <c r="J146" i="1"/>
  <c r="I146" i="1"/>
  <c r="F146" i="1"/>
  <c r="E146" i="1"/>
  <c r="D146" i="1"/>
  <c r="C146" i="1"/>
  <c r="N145" i="1"/>
  <c r="M145" i="1"/>
  <c r="L145" i="1"/>
  <c r="K145" i="1"/>
  <c r="J145" i="1"/>
  <c r="I145" i="1"/>
  <c r="F145" i="1"/>
  <c r="E145" i="1"/>
  <c r="D145" i="1"/>
  <c r="C145" i="1"/>
  <c r="N144" i="1"/>
  <c r="M144" i="1"/>
  <c r="L144" i="1"/>
  <c r="K144" i="1"/>
  <c r="J144" i="1"/>
  <c r="I144" i="1"/>
  <c r="F144" i="1"/>
  <c r="E144" i="1"/>
  <c r="D144" i="1"/>
  <c r="C144" i="1"/>
  <c r="N143" i="1"/>
  <c r="M143" i="1"/>
  <c r="L143" i="1"/>
  <c r="K143" i="1"/>
  <c r="J143" i="1"/>
  <c r="I143" i="1"/>
  <c r="F143" i="1"/>
  <c r="E143" i="1"/>
  <c r="D143" i="1"/>
  <c r="C143" i="1"/>
  <c r="N142" i="1"/>
  <c r="M142" i="1"/>
  <c r="L142" i="1"/>
  <c r="K142" i="1"/>
  <c r="J142" i="1"/>
  <c r="I142" i="1"/>
  <c r="F142" i="1"/>
  <c r="E142" i="1"/>
  <c r="D142" i="1"/>
  <c r="C142" i="1"/>
  <c r="N141" i="1"/>
  <c r="M141" i="1"/>
  <c r="L141" i="1"/>
  <c r="K141" i="1"/>
  <c r="J141" i="1"/>
  <c r="I141" i="1"/>
  <c r="F141" i="1"/>
  <c r="E141" i="1"/>
  <c r="D141" i="1"/>
  <c r="C141" i="1"/>
  <c r="N140" i="1"/>
  <c r="M140" i="1"/>
  <c r="L140" i="1"/>
  <c r="K140" i="1"/>
  <c r="J140" i="1"/>
  <c r="I140" i="1"/>
  <c r="F140" i="1"/>
  <c r="E140" i="1"/>
  <c r="D140" i="1"/>
  <c r="C140" i="1"/>
  <c r="N139" i="1"/>
  <c r="M139" i="1"/>
  <c r="L139" i="1"/>
  <c r="K139" i="1"/>
  <c r="J139" i="1"/>
  <c r="I139" i="1"/>
  <c r="F139" i="1"/>
  <c r="E139" i="1"/>
  <c r="D139" i="1"/>
  <c r="C139" i="1"/>
  <c r="N138" i="1"/>
  <c r="M138" i="1"/>
  <c r="L138" i="1"/>
  <c r="K138" i="1"/>
  <c r="J138" i="1"/>
  <c r="I138" i="1"/>
  <c r="F138" i="1"/>
  <c r="E138" i="1"/>
  <c r="D138" i="1"/>
  <c r="C138" i="1"/>
  <c r="N137" i="1"/>
  <c r="M137" i="1"/>
  <c r="L137" i="1"/>
  <c r="K137" i="1"/>
  <c r="J137" i="1"/>
  <c r="I137" i="1"/>
  <c r="F137" i="1"/>
  <c r="E137" i="1"/>
  <c r="D137" i="1"/>
  <c r="C137" i="1"/>
  <c r="N136" i="1"/>
  <c r="M136" i="1"/>
  <c r="L136" i="1"/>
  <c r="K136" i="1"/>
  <c r="J136" i="1"/>
  <c r="I136" i="1"/>
  <c r="F136" i="1"/>
  <c r="E136" i="1"/>
  <c r="D136" i="1"/>
  <c r="C136" i="1"/>
  <c r="N135" i="1"/>
  <c r="M135" i="1"/>
  <c r="L135" i="1"/>
  <c r="K135" i="1"/>
  <c r="J135" i="1"/>
  <c r="I135" i="1"/>
  <c r="F135" i="1"/>
  <c r="E135" i="1"/>
  <c r="D135" i="1"/>
  <c r="C135" i="1"/>
  <c r="N134" i="1"/>
  <c r="M134" i="1"/>
  <c r="L134" i="1"/>
  <c r="K134" i="1"/>
  <c r="J134" i="1"/>
  <c r="I134" i="1"/>
  <c r="F134" i="1"/>
  <c r="E134" i="1"/>
  <c r="D134" i="1"/>
  <c r="C134" i="1"/>
  <c r="N133" i="1"/>
  <c r="M133" i="1"/>
  <c r="L133" i="1"/>
  <c r="K133" i="1"/>
  <c r="J133" i="1"/>
  <c r="I133" i="1"/>
  <c r="F133" i="1"/>
  <c r="E133" i="1"/>
  <c r="D133" i="1"/>
  <c r="C133" i="1"/>
  <c r="N132" i="1"/>
  <c r="M132" i="1"/>
  <c r="L132" i="1"/>
  <c r="K132" i="1"/>
  <c r="J132" i="1"/>
  <c r="I132" i="1"/>
  <c r="F132" i="1"/>
  <c r="E132" i="1"/>
  <c r="D132" i="1"/>
  <c r="C132" i="1"/>
  <c r="N131" i="1"/>
  <c r="M131" i="1"/>
  <c r="L131" i="1"/>
  <c r="K131" i="1"/>
  <c r="J131" i="1"/>
  <c r="I131" i="1"/>
  <c r="F131" i="1"/>
  <c r="E131" i="1"/>
  <c r="D131" i="1"/>
  <c r="C131" i="1"/>
  <c r="N130" i="1"/>
  <c r="M130" i="1"/>
  <c r="L130" i="1"/>
  <c r="K130" i="1"/>
  <c r="J130" i="1"/>
  <c r="I130" i="1"/>
  <c r="F130" i="1"/>
  <c r="E130" i="1"/>
  <c r="D130" i="1"/>
  <c r="C130" i="1"/>
  <c r="N129" i="1"/>
  <c r="M129" i="1"/>
  <c r="L129" i="1"/>
  <c r="K129" i="1"/>
  <c r="J129" i="1"/>
  <c r="I129" i="1"/>
  <c r="F129" i="1"/>
  <c r="E129" i="1"/>
  <c r="D129" i="1"/>
  <c r="C129" i="1"/>
  <c r="N128" i="1"/>
  <c r="M128" i="1"/>
  <c r="L128" i="1"/>
  <c r="K128" i="1"/>
  <c r="J128" i="1"/>
  <c r="I128" i="1"/>
  <c r="F128" i="1"/>
  <c r="E128" i="1"/>
  <c r="D128" i="1"/>
  <c r="C128" i="1"/>
  <c r="N127" i="1"/>
  <c r="M127" i="1"/>
  <c r="L127" i="1"/>
  <c r="K127" i="1"/>
  <c r="J127" i="1"/>
  <c r="I127" i="1"/>
  <c r="F127" i="1"/>
  <c r="E127" i="1"/>
  <c r="D127" i="1"/>
  <c r="C127" i="1"/>
  <c r="N126" i="1"/>
  <c r="M126" i="1"/>
  <c r="L126" i="1"/>
  <c r="K126" i="1"/>
  <c r="J126" i="1"/>
  <c r="I126" i="1"/>
  <c r="F126" i="1"/>
  <c r="E126" i="1"/>
  <c r="D126" i="1"/>
  <c r="C126" i="1"/>
  <c r="N125" i="1"/>
  <c r="M125" i="1"/>
  <c r="L125" i="1"/>
  <c r="K125" i="1"/>
  <c r="J125" i="1"/>
  <c r="I125" i="1"/>
  <c r="F125" i="1"/>
  <c r="E125" i="1"/>
  <c r="D125" i="1"/>
  <c r="C125" i="1"/>
  <c r="N124" i="1"/>
  <c r="M124" i="1"/>
  <c r="L124" i="1"/>
  <c r="K124" i="1"/>
  <c r="J124" i="1"/>
  <c r="I124" i="1"/>
  <c r="F124" i="1"/>
  <c r="E124" i="1"/>
  <c r="D124" i="1"/>
  <c r="C124" i="1"/>
  <c r="N123" i="1"/>
  <c r="M123" i="1"/>
  <c r="L123" i="1"/>
  <c r="K123" i="1"/>
  <c r="J123" i="1"/>
  <c r="I123" i="1"/>
  <c r="F123" i="1"/>
  <c r="E123" i="1"/>
  <c r="D123" i="1"/>
  <c r="C123" i="1"/>
  <c r="N122" i="1"/>
  <c r="M122" i="1"/>
  <c r="L122" i="1"/>
  <c r="K122" i="1"/>
  <c r="J122" i="1"/>
  <c r="I122" i="1"/>
  <c r="F122" i="1"/>
  <c r="E122" i="1"/>
  <c r="D122" i="1"/>
  <c r="C122" i="1"/>
  <c r="N121" i="1"/>
  <c r="M121" i="1"/>
  <c r="L121" i="1"/>
  <c r="K121" i="1"/>
  <c r="J121" i="1"/>
  <c r="I121" i="1"/>
  <c r="F121" i="1"/>
  <c r="E121" i="1"/>
  <c r="D121" i="1"/>
  <c r="C121" i="1"/>
  <c r="N120" i="1"/>
  <c r="M120" i="1"/>
  <c r="L120" i="1"/>
  <c r="K120" i="1"/>
  <c r="J120" i="1"/>
  <c r="I120" i="1"/>
  <c r="F120" i="1"/>
  <c r="E120" i="1"/>
  <c r="D120" i="1"/>
  <c r="C120" i="1"/>
  <c r="N119" i="1"/>
  <c r="M119" i="1"/>
  <c r="L119" i="1"/>
  <c r="K119" i="1"/>
  <c r="J119" i="1"/>
  <c r="I119" i="1"/>
  <c r="F119" i="1"/>
  <c r="E119" i="1"/>
  <c r="D119" i="1"/>
  <c r="C119" i="1"/>
  <c r="N118" i="1"/>
  <c r="M118" i="1"/>
  <c r="L118" i="1"/>
  <c r="K118" i="1"/>
  <c r="J118" i="1"/>
  <c r="I118" i="1"/>
  <c r="F118" i="1"/>
  <c r="E118" i="1"/>
  <c r="D118" i="1"/>
  <c r="C118" i="1"/>
  <c r="N117" i="1"/>
  <c r="M117" i="1"/>
  <c r="L117" i="1"/>
  <c r="K117" i="1"/>
  <c r="J117" i="1"/>
  <c r="I117" i="1"/>
  <c r="F117" i="1"/>
  <c r="E117" i="1"/>
  <c r="D117" i="1"/>
  <c r="C117" i="1"/>
  <c r="N116" i="1"/>
  <c r="M116" i="1"/>
  <c r="L116" i="1"/>
  <c r="K116" i="1"/>
  <c r="J116" i="1"/>
  <c r="I116" i="1"/>
  <c r="F116" i="1"/>
  <c r="E116" i="1"/>
  <c r="D116" i="1"/>
  <c r="C116" i="1"/>
  <c r="N115" i="1"/>
  <c r="M115" i="1"/>
  <c r="L115" i="1"/>
  <c r="K115" i="1"/>
  <c r="J115" i="1"/>
  <c r="I115" i="1"/>
  <c r="F115" i="1"/>
  <c r="E115" i="1"/>
  <c r="D115" i="1"/>
  <c r="C115" i="1"/>
  <c r="N114" i="1"/>
  <c r="M114" i="1"/>
  <c r="L114" i="1"/>
  <c r="K114" i="1"/>
  <c r="J114" i="1"/>
  <c r="I114" i="1"/>
  <c r="F114" i="1"/>
  <c r="E114" i="1"/>
  <c r="D114" i="1"/>
  <c r="C114" i="1"/>
  <c r="N113" i="1"/>
  <c r="M113" i="1"/>
  <c r="L113" i="1"/>
  <c r="K113" i="1"/>
  <c r="J113" i="1"/>
  <c r="I113" i="1"/>
  <c r="F113" i="1"/>
  <c r="E113" i="1"/>
  <c r="D113" i="1"/>
  <c r="C113" i="1"/>
  <c r="N112" i="1"/>
  <c r="M112" i="1"/>
  <c r="L112" i="1"/>
  <c r="K112" i="1"/>
  <c r="J112" i="1"/>
  <c r="I112" i="1"/>
  <c r="F112" i="1"/>
  <c r="E112" i="1"/>
  <c r="D112" i="1"/>
  <c r="C112" i="1"/>
  <c r="N111" i="1"/>
  <c r="M111" i="1"/>
  <c r="L111" i="1"/>
  <c r="K111" i="1"/>
  <c r="J111" i="1"/>
  <c r="I111" i="1"/>
  <c r="F111" i="1"/>
  <c r="E111" i="1"/>
  <c r="D111" i="1"/>
  <c r="C111" i="1"/>
  <c r="N110" i="1"/>
  <c r="M110" i="1"/>
  <c r="L110" i="1"/>
  <c r="K110" i="1"/>
  <c r="J110" i="1"/>
  <c r="I110" i="1"/>
  <c r="F110" i="1"/>
  <c r="E110" i="1"/>
  <c r="D110" i="1"/>
  <c r="C110" i="1"/>
  <c r="N109" i="1"/>
  <c r="M109" i="1"/>
  <c r="L109" i="1"/>
  <c r="K109" i="1"/>
  <c r="J109" i="1"/>
  <c r="I109" i="1"/>
  <c r="F109" i="1"/>
  <c r="E109" i="1"/>
  <c r="D109" i="1"/>
  <c r="C109" i="1"/>
  <c r="N108" i="1"/>
  <c r="M108" i="1"/>
  <c r="L108" i="1"/>
  <c r="K108" i="1"/>
  <c r="J108" i="1"/>
  <c r="I108" i="1"/>
  <c r="F108" i="1"/>
  <c r="E108" i="1"/>
  <c r="D108" i="1"/>
  <c r="C108" i="1"/>
  <c r="N107" i="1"/>
  <c r="M107" i="1"/>
  <c r="L107" i="1"/>
  <c r="K107" i="1"/>
  <c r="J107" i="1"/>
  <c r="I107" i="1"/>
  <c r="F107" i="1"/>
  <c r="E107" i="1"/>
  <c r="D107" i="1"/>
  <c r="C107" i="1"/>
  <c r="N106" i="1"/>
  <c r="M106" i="1"/>
  <c r="L106" i="1"/>
  <c r="K106" i="1"/>
  <c r="J106" i="1"/>
  <c r="I106" i="1"/>
  <c r="F106" i="1"/>
  <c r="E106" i="1"/>
  <c r="D106" i="1"/>
  <c r="C106" i="1"/>
  <c r="N105" i="1"/>
  <c r="M105" i="1"/>
  <c r="L105" i="1"/>
  <c r="K105" i="1"/>
  <c r="J105" i="1"/>
  <c r="I105" i="1"/>
  <c r="F105" i="1"/>
  <c r="E105" i="1"/>
  <c r="D105" i="1"/>
  <c r="C105" i="1"/>
  <c r="N104" i="1"/>
  <c r="M104" i="1"/>
  <c r="L104" i="1"/>
  <c r="K104" i="1"/>
  <c r="J104" i="1"/>
  <c r="I104" i="1"/>
  <c r="F104" i="1"/>
  <c r="E104" i="1"/>
  <c r="D104" i="1"/>
  <c r="C104" i="1"/>
  <c r="N103" i="1"/>
  <c r="M103" i="1"/>
  <c r="L103" i="1"/>
  <c r="K103" i="1"/>
  <c r="J103" i="1"/>
  <c r="I103" i="1"/>
  <c r="F103" i="1"/>
  <c r="E103" i="1"/>
  <c r="D103" i="1"/>
  <c r="C103" i="1"/>
  <c r="N102" i="1"/>
  <c r="M102" i="1"/>
  <c r="L102" i="1"/>
  <c r="K102" i="1"/>
  <c r="J102" i="1"/>
  <c r="I102" i="1"/>
  <c r="F102" i="1"/>
  <c r="E102" i="1"/>
  <c r="D102" i="1"/>
  <c r="C102" i="1"/>
  <c r="N101" i="1"/>
  <c r="M101" i="1"/>
  <c r="L101" i="1"/>
  <c r="K101" i="1"/>
  <c r="J101" i="1"/>
  <c r="I101" i="1"/>
  <c r="F101" i="1"/>
  <c r="E101" i="1"/>
  <c r="D101" i="1"/>
  <c r="C101" i="1"/>
  <c r="N100" i="1"/>
  <c r="M100" i="1"/>
  <c r="L100" i="1"/>
  <c r="K100" i="1"/>
  <c r="J100" i="1"/>
  <c r="I100" i="1"/>
  <c r="F100" i="1"/>
  <c r="E100" i="1"/>
  <c r="D100" i="1"/>
  <c r="C100" i="1"/>
  <c r="N99" i="1"/>
  <c r="M99" i="1"/>
  <c r="L99" i="1"/>
  <c r="K99" i="1"/>
  <c r="J99" i="1"/>
  <c r="I99" i="1"/>
  <c r="F99" i="1"/>
  <c r="E99" i="1"/>
  <c r="D99" i="1"/>
  <c r="C99" i="1"/>
  <c r="N98" i="1"/>
  <c r="M98" i="1"/>
  <c r="L98" i="1"/>
  <c r="K98" i="1"/>
  <c r="J98" i="1"/>
  <c r="I98" i="1"/>
  <c r="F98" i="1"/>
  <c r="E98" i="1"/>
  <c r="D98" i="1"/>
  <c r="C98" i="1"/>
  <c r="N97" i="1"/>
  <c r="M97" i="1"/>
  <c r="L97" i="1"/>
  <c r="K97" i="1"/>
  <c r="J97" i="1"/>
  <c r="I97" i="1"/>
  <c r="F97" i="1"/>
  <c r="E97" i="1"/>
  <c r="D97" i="1"/>
  <c r="C97" i="1"/>
  <c r="N96" i="1"/>
  <c r="M96" i="1"/>
  <c r="L96" i="1"/>
  <c r="K96" i="1"/>
  <c r="J96" i="1"/>
  <c r="I96" i="1"/>
  <c r="F96" i="1"/>
  <c r="E96" i="1"/>
  <c r="D96" i="1"/>
  <c r="C96" i="1"/>
  <c r="N95" i="1"/>
  <c r="M95" i="1"/>
  <c r="L95" i="1"/>
  <c r="K95" i="1"/>
  <c r="J95" i="1"/>
  <c r="I95" i="1"/>
  <c r="F95" i="1"/>
  <c r="E95" i="1"/>
  <c r="D95" i="1"/>
  <c r="C95" i="1"/>
  <c r="N94" i="1"/>
  <c r="M94" i="1"/>
  <c r="L94" i="1"/>
  <c r="K94" i="1"/>
  <c r="J94" i="1"/>
  <c r="I94" i="1"/>
  <c r="F94" i="1"/>
  <c r="E94" i="1"/>
  <c r="D94" i="1"/>
  <c r="C94" i="1"/>
  <c r="N93" i="1"/>
  <c r="M93" i="1"/>
  <c r="L93" i="1"/>
  <c r="K93" i="1"/>
  <c r="J93" i="1"/>
  <c r="I93" i="1"/>
  <c r="F93" i="1"/>
  <c r="E93" i="1"/>
  <c r="D93" i="1"/>
  <c r="C93" i="1"/>
  <c r="N92" i="1"/>
  <c r="M92" i="1"/>
  <c r="L92" i="1"/>
  <c r="K92" i="1"/>
  <c r="J92" i="1"/>
  <c r="I92" i="1"/>
  <c r="F92" i="1"/>
  <c r="E92" i="1"/>
  <c r="D92" i="1"/>
  <c r="C92" i="1"/>
  <c r="N91" i="1"/>
  <c r="M91" i="1"/>
  <c r="L91" i="1"/>
  <c r="K91" i="1"/>
  <c r="J91" i="1"/>
  <c r="I91" i="1"/>
  <c r="F91" i="1"/>
  <c r="E91" i="1"/>
  <c r="D91" i="1"/>
  <c r="C91" i="1"/>
  <c r="N90" i="1"/>
  <c r="M90" i="1"/>
  <c r="L90" i="1"/>
  <c r="K90" i="1"/>
  <c r="J90" i="1"/>
  <c r="I90" i="1"/>
  <c r="F90" i="1"/>
  <c r="E90" i="1"/>
  <c r="D90" i="1"/>
  <c r="C90" i="1"/>
  <c r="N89" i="1"/>
  <c r="M89" i="1"/>
  <c r="L89" i="1"/>
  <c r="K89" i="1"/>
  <c r="J89" i="1"/>
  <c r="I89" i="1"/>
  <c r="F89" i="1"/>
  <c r="E89" i="1"/>
  <c r="D89" i="1"/>
  <c r="C89" i="1"/>
  <c r="N88" i="1"/>
  <c r="M88" i="1"/>
  <c r="L88" i="1"/>
  <c r="K88" i="1"/>
  <c r="J88" i="1"/>
  <c r="I88" i="1"/>
  <c r="F88" i="1"/>
  <c r="E88" i="1"/>
  <c r="D88" i="1"/>
  <c r="C88" i="1"/>
  <c r="N87" i="1"/>
  <c r="M87" i="1"/>
  <c r="L87" i="1"/>
  <c r="K87" i="1"/>
  <c r="J87" i="1"/>
  <c r="I87" i="1"/>
  <c r="F87" i="1"/>
  <c r="E87" i="1"/>
  <c r="D87" i="1"/>
  <c r="C87" i="1"/>
  <c r="N86" i="1"/>
  <c r="M86" i="1"/>
  <c r="L86" i="1"/>
  <c r="K86" i="1"/>
  <c r="J86" i="1"/>
  <c r="I86" i="1"/>
  <c r="F86" i="1"/>
  <c r="E86" i="1"/>
  <c r="D86" i="1"/>
  <c r="C86" i="1"/>
  <c r="N85" i="1"/>
  <c r="M85" i="1"/>
  <c r="L85" i="1"/>
  <c r="K85" i="1"/>
  <c r="J85" i="1"/>
  <c r="I85" i="1"/>
  <c r="F85" i="1"/>
  <c r="E85" i="1"/>
  <c r="D85" i="1"/>
  <c r="C85" i="1"/>
  <c r="N84" i="1"/>
  <c r="M84" i="1"/>
  <c r="L84" i="1"/>
  <c r="K84" i="1"/>
  <c r="J84" i="1"/>
  <c r="I84" i="1"/>
  <c r="F84" i="1"/>
  <c r="E84" i="1"/>
  <c r="D84" i="1"/>
  <c r="C84" i="1"/>
  <c r="N83" i="1"/>
  <c r="M83" i="1"/>
  <c r="L83" i="1"/>
  <c r="K83" i="1"/>
  <c r="J83" i="1"/>
  <c r="I83" i="1"/>
  <c r="F83" i="1"/>
  <c r="E83" i="1"/>
  <c r="D83" i="1"/>
  <c r="C83" i="1"/>
  <c r="N82" i="1"/>
  <c r="M82" i="1"/>
  <c r="L82" i="1"/>
  <c r="K82" i="1"/>
  <c r="J82" i="1"/>
  <c r="I82" i="1"/>
  <c r="F82" i="1"/>
  <c r="E82" i="1"/>
  <c r="D82" i="1"/>
  <c r="C82" i="1"/>
  <c r="N81" i="1"/>
  <c r="M81" i="1"/>
  <c r="L81" i="1"/>
  <c r="K81" i="1"/>
  <c r="J81" i="1"/>
  <c r="I81" i="1"/>
  <c r="F81" i="1"/>
  <c r="E81" i="1"/>
  <c r="D81" i="1"/>
  <c r="C81" i="1"/>
  <c r="N80" i="1"/>
  <c r="M80" i="1"/>
  <c r="L80" i="1"/>
  <c r="K80" i="1"/>
  <c r="J80" i="1"/>
  <c r="I80" i="1"/>
  <c r="F80" i="1"/>
  <c r="E80" i="1"/>
  <c r="D80" i="1"/>
  <c r="C80" i="1"/>
  <c r="N79" i="1"/>
  <c r="M79" i="1"/>
  <c r="L79" i="1"/>
  <c r="K79" i="1"/>
  <c r="J79" i="1"/>
  <c r="I79" i="1"/>
  <c r="F79" i="1"/>
  <c r="E79" i="1"/>
  <c r="D79" i="1"/>
  <c r="C79" i="1"/>
  <c r="N78" i="1"/>
  <c r="M78" i="1"/>
  <c r="L78" i="1"/>
  <c r="K78" i="1"/>
  <c r="J78" i="1"/>
  <c r="I78" i="1"/>
  <c r="F78" i="1"/>
  <c r="E78" i="1"/>
  <c r="D78" i="1"/>
  <c r="C78" i="1"/>
  <c r="N77" i="1"/>
  <c r="M77" i="1"/>
  <c r="L77" i="1"/>
  <c r="K77" i="1"/>
  <c r="J77" i="1"/>
  <c r="I77" i="1"/>
  <c r="F77" i="1"/>
  <c r="E77" i="1"/>
  <c r="D77" i="1"/>
  <c r="C77" i="1"/>
  <c r="N76" i="1"/>
  <c r="M76" i="1"/>
  <c r="L76" i="1"/>
  <c r="K76" i="1"/>
  <c r="J76" i="1"/>
  <c r="I76" i="1"/>
  <c r="F76" i="1"/>
  <c r="E76" i="1"/>
  <c r="D76" i="1"/>
  <c r="C76" i="1"/>
  <c r="N75" i="1"/>
  <c r="M75" i="1"/>
  <c r="L75" i="1"/>
  <c r="K75" i="1"/>
  <c r="J75" i="1"/>
  <c r="I75" i="1"/>
  <c r="F75" i="1"/>
  <c r="E75" i="1"/>
  <c r="D75" i="1"/>
  <c r="C75" i="1"/>
  <c r="N74" i="1"/>
  <c r="M74" i="1"/>
  <c r="L74" i="1"/>
  <c r="K74" i="1"/>
  <c r="J74" i="1"/>
  <c r="I74" i="1"/>
  <c r="F74" i="1"/>
  <c r="E74" i="1"/>
  <c r="D74" i="1"/>
  <c r="C74" i="1"/>
  <c r="N73" i="1"/>
  <c r="M73" i="1"/>
  <c r="L73" i="1"/>
  <c r="K73" i="1"/>
  <c r="J73" i="1"/>
  <c r="I73" i="1"/>
  <c r="F73" i="1"/>
  <c r="E73" i="1"/>
  <c r="D73" i="1"/>
  <c r="C73" i="1"/>
  <c r="N72" i="1"/>
  <c r="M72" i="1"/>
  <c r="L72" i="1"/>
  <c r="K72" i="1"/>
  <c r="J72" i="1"/>
  <c r="I72" i="1"/>
  <c r="F72" i="1"/>
  <c r="E72" i="1"/>
  <c r="D72" i="1"/>
  <c r="C72" i="1"/>
  <c r="N71" i="1"/>
  <c r="M71" i="1"/>
  <c r="L71" i="1"/>
  <c r="K71" i="1"/>
  <c r="J71" i="1"/>
  <c r="I71" i="1"/>
  <c r="F71" i="1"/>
  <c r="E71" i="1"/>
  <c r="D71" i="1"/>
  <c r="C71" i="1"/>
  <c r="N70" i="1"/>
  <c r="M70" i="1"/>
  <c r="L70" i="1"/>
  <c r="K70" i="1"/>
  <c r="J70" i="1"/>
  <c r="I70" i="1"/>
  <c r="F70" i="1"/>
  <c r="E70" i="1"/>
  <c r="D70" i="1"/>
  <c r="C70" i="1"/>
  <c r="N69" i="1"/>
  <c r="M69" i="1"/>
  <c r="L69" i="1"/>
  <c r="K69" i="1"/>
  <c r="J69" i="1"/>
  <c r="I69" i="1"/>
  <c r="F69" i="1"/>
  <c r="E69" i="1"/>
  <c r="D69" i="1"/>
  <c r="C69" i="1"/>
  <c r="N68" i="1"/>
  <c r="M68" i="1"/>
  <c r="L68" i="1"/>
  <c r="K68" i="1"/>
  <c r="J68" i="1"/>
  <c r="I68" i="1"/>
  <c r="F68" i="1"/>
  <c r="E68" i="1"/>
  <c r="D68" i="1"/>
  <c r="C68" i="1"/>
  <c r="N67" i="1"/>
  <c r="M67" i="1"/>
  <c r="L67" i="1"/>
  <c r="K67" i="1"/>
  <c r="J67" i="1"/>
  <c r="I67" i="1"/>
  <c r="F67" i="1"/>
  <c r="E67" i="1"/>
  <c r="D67" i="1"/>
  <c r="C67" i="1"/>
  <c r="N66" i="1"/>
  <c r="M66" i="1"/>
  <c r="L66" i="1"/>
  <c r="K66" i="1"/>
  <c r="J66" i="1"/>
  <c r="I66" i="1"/>
  <c r="F66" i="1"/>
  <c r="E66" i="1"/>
  <c r="D66" i="1"/>
  <c r="C66" i="1"/>
  <c r="N65" i="1"/>
  <c r="M65" i="1"/>
  <c r="L65" i="1"/>
  <c r="K65" i="1"/>
  <c r="J65" i="1"/>
  <c r="I65" i="1"/>
  <c r="F65" i="1"/>
  <c r="E65" i="1"/>
  <c r="D65" i="1"/>
  <c r="C65" i="1"/>
  <c r="N64" i="1"/>
  <c r="M64" i="1"/>
  <c r="L64" i="1"/>
  <c r="K64" i="1"/>
  <c r="J64" i="1"/>
  <c r="I64" i="1"/>
  <c r="F64" i="1"/>
  <c r="E64" i="1"/>
  <c r="D64" i="1"/>
  <c r="C64" i="1"/>
  <c r="N63" i="1"/>
  <c r="M63" i="1"/>
  <c r="L63" i="1"/>
  <c r="K63" i="1"/>
  <c r="J63" i="1"/>
  <c r="I63" i="1"/>
  <c r="F63" i="1"/>
  <c r="E63" i="1"/>
  <c r="D63" i="1"/>
  <c r="C63" i="1"/>
  <c r="N62" i="1"/>
  <c r="M62" i="1"/>
  <c r="L62" i="1"/>
  <c r="K62" i="1"/>
  <c r="J62" i="1"/>
  <c r="I62" i="1"/>
  <c r="F62" i="1"/>
  <c r="E62" i="1"/>
  <c r="D62" i="1"/>
  <c r="C62" i="1"/>
  <c r="N61" i="1"/>
  <c r="M61" i="1"/>
  <c r="L61" i="1"/>
  <c r="K61" i="1"/>
  <c r="J61" i="1"/>
  <c r="I61" i="1"/>
  <c r="F61" i="1"/>
  <c r="E61" i="1"/>
  <c r="D61" i="1"/>
  <c r="C61" i="1"/>
  <c r="N60" i="1"/>
  <c r="M60" i="1"/>
  <c r="L60" i="1"/>
  <c r="K60" i="1"/>
  <c r="J60" i="1"/>
  <c r="I60" i="1"/>
  <c r="F60" i="1"/>
  <c r="E60" i="1"/>
  <c r="D60" i="1"/>
  <c r="C60" i="1"/>
  <c r="N59" i="1"/>
  <c r="M59" i="1"/>
  <c r="L59" i="1"/>
  <c r="K59" i="1"/>
  <c r="J59" i="1"/>
  <c r="I59" i="1"/>
  <c r="F59" i="1"/>
  <c r="E59" i="1"/>
  <c r="D59" i="1"/>
  <c r="C59" i="1"/>
  <c r="N58" i="1"/>
  <c r="M58" i="1"/>
  <c r="L58" i="1"/>
  <c r="K58" i="1"/>
  <c r="J58" i="1"/>
  <c r="I58" i="1"/>
  <c r="F58" i="1"/>
  <c r="E58" i="1"/>
  <c r="D58" i="1"/>
  <c r="C58" i="1"/>
  <c r="N57" i="1"/>
  <c r="M57" i="1"/>
  <c r="L57" i="1"/>
  <c r="K57" i="1"/>
  <c r="J57" i="1"/>
  <c r="I57" i="1"/>
  <c r="F57" i="1"/>
  <c r="E57" i="1"/>
  <c r="D57" i="1"/>
  <c r="C57" i="1"/>
  <c r="N56" i="1"/>
  <c r="M56" i="1"/>
  <c r="L56" i="1"/>
  <c r="K56" i="1"/>
  <c r="J56" i="1"/>
  <c r="I56" i="1"/>
  <c r="F56" i="1"/>
  <c r="E56" i="1"/>
  <c r="D56" i="1"/>
  <c r="C56" i="1"/>
  <c r="N55" i="1"/>
  <c r="M55" i="1"/>
  <c r="L55" i="1"/>
  <c r="K55" i="1"/>
  <c r="J55" i="1"/>
  <c r="I55" i="1"/>
  <c r="F55" i="1"/>
  <c r="E55" i="1"/>
  <c r="D55" i="1"/>
  <c r="C55" i="1"/>
  <c r="N54" i="1"/>
  <c r="M54" i="1"/>
  <c r="L54" i="1"/>
  <c r="K54" i="1"/>
  <c r="J54" i="1"/>
  <c r="I54" i="1"/>
  <c r="F54" i="1"/>
  <c r="E54" i="1"/>
  <c r="D54" i="1"/>
  <c r="C54" i="1"/>
  <c r="N53" i="1"/>
  <c r="M53" i="1"/>
  <c r="L53" i="1"/>
  <c r="K53" i="1"/>
  <c r="J53" i="1"/>
  <c r="I53" i="1"/>
  <c r="F53" i="1"/>
  <c r="E53" i="1"/>
  <c r="D53" i="1"/>
  <c r="C53" i="1"/>
  <c r="N52" i="1"/>
  <c r="M52" i="1"/>
  <c r="L52" i="1"/>
  <c r="K52" i="1"/>
  <c r="J52" i="1"/>
  <c r="I52" i="1"/>
  <c r="F52" i="1"/>
  <c r="E52" i="1"/>
  <c r="D52" i="1"/>
  <c r="C52" i="1"/>
  <c r="N51" i="1"/>
  <c r="M51" i="1"/>
  <c r="L51" i="1"/>
  <c r="K51" i="1"/>
  <c r="J51" i="1"/>
  <c r="I51" i="1"/>
  <c r="F51" i="1"/>
  <c r="E51" i="1"/>
  <c r="D51" i="1"/>
  <c r="C51" i="1"/>
  <c r="N50" i="1"/>
  <c r="M50" i="1"/>
  <c r="L50" i="1"/>
  <c r="K50" i="1"/>
  <c r="J50" i="1"/>
  <c r="I50" i="1"/>
  <c r="F50" i="1"/>
  <c r="E50" i="1"/>
  <c r="D50" i="1"/>
  <c r="C50" i="1"/>
  <c r="N49" i="1"/>
  <c r="M49" i="1"/>
  <c r="L49" i="1"/>
  <c r="K49" i="1"/>
  <c r="J49" i="1"/>
  <c r="I49" i="1"/>
  <c r="F49" i="1"/>
  <c r="E49" i="1"/>
  <c r="D49" i="1"/>
  <c r="C49" i="1"/>
  <c r="N48" i="1"/>
  <c r="M48" i="1"/>
  <c r="L48" i="1"/>
  <c r="K48" i="1"/>
  <c r="J48" i="1"/>
  <c r="I48" i="1"/>
  <c r="F48" i="1"/>
  <c r="E48" i="1"/>
  <c r="D48" i="1"/>
  <c r="C48" i="1"/>
  <c r="N47" i="1"/>
  <c r="M47" i="1"/>
  <c r="L47" i="1"/>
  <c r="K47" i="1"/>
  <c r="J47" i="1"/>
  <c r="I47" i="1"/>
  <c r="F47" i="1"/>
  <c r="E47" i="1"/>
  <c r="D47" i="1"/>
  <c r="C47" i="1"/>
  <c r="N46" i="1"/>
  <c r="M46" i="1"/>
  <c r="L46" i="1"/>
  <c r="K46" i="1"/>
  <c r="J46" i="1"/>
  <c r="I46" i="1"/>
  <c r="F46" i="1"/>
  <c r="E46" i="1"/>
  <c r="D46" i="1"/>
  <c r="C46" i="1"/>
  <c r="N45" i="1"/>
  <c r="M45" i="1"/>
  <c r="L45" i="1"/>
  <c r="K45" i="1"/>
  <c r="J45" i="1"/>
  <c r="I45" i="1"/>
  <c r="F45" i="1"/>
  <c r="E45" i="1"/>
  <c r="D45" i="1"/>
  <c r="C45" i="1"/>
  <c r="N44" i="1"/>
  <c r="M44" i="1"/>
  <c r="L44" i="1"/>
  <c r="K44" i="1"/>
  <c r="J44" i="1"/>
  <c r="I44" i="1"/>
  <c r="F44" i="1"/>
  <c r="E44" i="1"/>
  <c r="D44" i="1"/>
  <c r="C44" i="1"/>
  <c r="N43" i="1"/>
  <c r="M43" i="1"/>
  <c r="L43" i="1"/>
  <c r="K43" i="1"/>
  <c r="J43" i="1"/>
  <c r="I43" i="1"/>
  <c r="F43" i="1"/>
  <c r="E43" i="1"/>
  <c r="D43" i="1"/>
  <c r="C43" i="1"/>
  <c r="N42" i="1"/>
  <c r="M42" i="1"/>
  <c r="L42" i="1"/>
  <c r="K42" i="1"/>
  <c r="J42" i="1"/>
  <c r="I42" i="1"/>
  <c r="F42" i="1"/>
  <c r="E42" i="1"/>
  <c r="D42" i="1"/>
  <c r="C42" i="1"/>
  <c r="N41" i="1"/>
  <c r="M41" i="1"/>
  <c r="L41" i="1"/>
  <c r="K41" i="1"/>
  <c r="J41" i="1"/>
  <c r="I41" i="1"/>
  <c r="F41" i="1"/>
  <c r="E41" i="1"/>
  <c r="D41" i="1"/>
  <c r="C41" i="1"/>
  <c r="N40" i="1"/>
  <c r="M40" i="1"/>
  <c r="L40" i="1"/>
  <c r="K40" i="1"/>
  <c r="J40" i="1"/>
  <c r="I40" i="1"/>
  <c r="F40" i="1"/>
  <c r="E40" i="1"/>
  <c r="D40" i="1"/>
  <c r="C40" i="1"/>
  <c r="N39" i="1"/>
  <c r="M39" i="1"/>
  <c r="L39" i="1"/>
  <c r="K39" i="1"/>
  <c r="J39" i="1"/>
  <c r="I39" i="1"/>
  <c r="F39" i="1"/>
  <c r="E39" i="1"/>
  <c r="D39" i="1"/>
  <c r="C39" i="1"/>
  <c r="N38" i="1"/>
  <c r="M38" i="1"/>
  <c r="L38" i="1"/>
  <c r="K38" i="1"/>
  <c r="J38" i="1"/>
  <c r="I38" i="1"/>
  <c r="F38" i="1"/>
  <c r="E38" i="1"/>
  <c r="D38" i="1"/>
  <c r="C38" i="1"/>
  <c r="N37" i="1"/>
  <c r="M37" i="1"/>
  <c r="L37" i="1"/>
  <c r="K37" i="1"/>
  <c r="J37" i="1"/>
  <c r="I37" i="1"/>
  <c r="F37" i="1"/>
  <c r="E37" i="1"/>
  <c r="D37" i="1"/>
  <c r="C37" i="1"/>
  <c r="N36" i="1"/>
  <c r="M36" i="1"/>
  <c r="L36" i="1"/>
  <c r="K36" i="1"/>
  <c r="J36" i="1"/>
  <c r="I36" i="1"/>
  <c r="F36" i="1"/>
  <c r="E36" i="1"/>
  <c r="D36" i="1"/>
  <c r="C36" i="1"/>
  <c r="N35" i="1"/>
  <c r="M35" i="1"/>
  <c r="L35" i="1"/>
  <c r="K35" i="1"/>
  <c r="J35" i="1"/>
  <c r="I35" i="1"/>
  <c r="F35" i="1"/>
  <c r="E35" i="1"/>
  <c r="D35" i="1"/>
  <c r="C35" i="1"/>
  <c r="N34" i="1"/>
  <c r="M34" i="1"/>
  <c r="L34" i="1"/>
  <c r="K34" i="1"/>
  <c r="J34" i="1"/>
  <c r="I34" i="1"/>
  <c r="F34" i="1"/>
  <c r="E34" i="1"/>
  <c r="D34" i="1"/>
  <c r="C34" i="1"/>
  <c r="N33" i="1"/>
  <c r="M33" i="1"/>
  <c r="L33" i="1"/>
  <c r="K33" i="1"/>
  <c r="J33" i="1"/>
  <c r="I33" i="1"/>
  <c r="F33" i="1"/>
  <c r="E33" i="1"/>
  <c r="D33" i="1"/>
  <c r="C33" i="1"/>
  <c r="N32" i="1"/>
  <c r="M32" i="1"/>
  <c r="L32" i="1"/>
  <c r="K32" i="1"/>
  <c r="J32" i="1"/>
  <c r="I32" i="1"/>
  <c r="F32" i="1"/>
  <c r="E32" i="1"/>
  <c r="D32" i="1"/>
  <c r="C32" i="1"/>
  <c r="N31" i="1"/>
  <c r="M31" i="1"/>
  <c r="L31" i="1"/>
  <c r="K31" i="1"/>
  <c r="J31" i="1"/>
  <c r="I31" i="1"/>
  <c r="F31" i="1"/>
  <c r="E31" i="1"/>
  <c r="D31" i="1"/>
  <c r="C31" i="1"/>
  <c r="N30" i="1"/>
  <c r="M30" i="1"/>
  <c r="L30" i="1"/>
  <c r="K30" i="1"/>
  <c r="J30" i="1"/>
  <c r="I30" i="1"/>
  <c r="F30" i="1"/>
  <c r="E30" i="1"/>
  <c r="D30" i="1"/>
  <c r="C30" i="1"/>
  <c r="N29" i="1"/>
  <c r="M29" i="1"/>
  <c r="L29" i="1"/>
  <c r="K29" i="1"/>
  <c r="J29" i="1"/>
  <c r="I29" i="1"/>
  <c r="F29" i="1"/>
  <c r="E29" i="1"/>
  <c r="D29" i="1"/>
  <c r="C29" i="1"/>
  <c r="N28" i="1"/>
  <c r="M28" i="1"/>
  <c r="L28" i="1"/>
  <c r="K28" i="1"/>
  <c r="J28" i="1"/>
  <c r="I28" i="1"/>
  <c r="F28" i="1"/>
  <c r="E28" i="1"/>
  <c r="D28" i="1"/>
  <c r="C28" i="1"/>
  <c r="N27" i="1"/>
  <c r="M27" i="1"/>
  <c r="L27" i="1"/>
  <c r="K27" i="1"/>
  <c r="J27" i="1"/>
  <c r="I27" i="1"/>
  <c r="F27" i="1"/>
  <c r="E27" i="1"/>
  <c r="D27" i="1"/>
  <c r="C27" i="1"/>
  <c r="N26" i="1"/>
  <c r="M26" i="1"/>
  <c r="L26" i="1"/>
  <c r="K26" i="1"/>
  <c r="J26" i="1"/>
  <c r="I26" i="1"/>
  <c r="F26" i="1"/>
  <c r="E26" i="1"/>
  <c r="D26" i="1"/>
  <c r="C26" i="1"/>
  <c r="N25" i="1"/>
  <c r="M25" i="1"/>
  <c r="L25" i="1"/>
  <c r="K25" i="1"/>
  <c r="J25" i="1"/>
  <c r="I25" i="1"/>
  <c r="F25" i="1"/>
  <c r="E25" i="1"/>
  <c r="D25" i="1"/>
  <c r="C25" i="1"/>
  <c r="N24" i="1"/>
  <c r="M24" i="1"/>
  <c r="L24" i="1"/>
  <c r="K24" i="1"/>
  <c r="J24" i="1"/>
  <c r="I24" i="1"/>
  <c r="F24" i="1"/>
  <c r="E24" i="1"/>
  <c r="D24" i="1"/>
  <c r="C24" i="1"/>
  <c r="N23" i="1"/>
  <c r="M23" i="1"/>
  <c r="L23" i="1"/>
  <c r="K23" i="1"/>
  <c r="J23" i="1"/>
  <c r="I23" i="1"/>
  <c r="F23" i="1"/>
  <c r="E23" i="1"/>
  <c r="D23" i="1"/>
  <c r="C23" i="1"/>
  <c r="N22" i="1"/>
  <c r="M22" i="1"/>
  <c r="L22" i="1"/>
  <c r="K22" i="1"/>
  <c r="J22" i="1"/>
  <c r="I22" i="1"/>
  <c r="F22" i="1"/>
  <c r="E22" i="1"/>
  <c r="D22" i="1"/>
  <c r="C22" i="1"/>
  <c r="N21" i="1"/>
  <c r="M21" i="1"/>
  <c r="L21" i="1"/>
  <c r="K21" i="1"/>
  <c r="J21" i="1"/>
  <c r="I21" i="1"/>
  <c r="F21" i="1"/>
  <c r="E21" i="1"/>
  <c r="D21" i="1"/>
  <c r="C21" i="1"/>
  <c r="N20" i="1"/>
  <c r="M20" i="1"/>
  <c r="L20" i="1"/>
  <c r="K20" i="1"/>
  <c r="J20" i="1"/>
  <c r="I20" i="1"/>
  <c r="F20" i="1"/>
  <c r="E20" i="1"/>
  <c r="D20" i="1"/>
  <c r="C20" i="1"/>
  <c r="N19" i="1"/>
  <c r="M19" i="1"/>
  <c r="L19" i="1"/>
  <c r="K19" i="1"/>
  <c r="J19" i="1"/>
  <c r="I19" i="1"/>
  <c r="F19" i="1"/>
  <c r="E19" i="1"/>
  <c r="D19" i="1"/>
  <c r="C19" i="1"/>
  <c r="N18" i="1"/>
  <c r="M18" i="1"/>
  <c r="L18" i="1"/>
  <c r="K18" i="1"/>
  <c r="J18" i="1"/>
  <c r="I18" i="1"/>
  <c r="F18" i="1"/>
  <c r="E18" i="1"/>
  <c r="D18" i="1"/>
  <c r="C18" i="1"/>
  <c r="N17" i="1"/>
  <c r="M17" i="1"/>
  <c r="L17" i="1"/>
  <c r="K17" i="1"/>
  <c r="J17" i="1"/>
  <c r="I17" i="1"/>
  <c r="F17" i="1"/>
  <c r="E17" i="1"/>
  <c r="D17" i="1"/>
  <c r="C17" i="1"/>
  <c r="N16" i="1"/>
  <c r="M16" i="1"/>
  <c r="L16" i="1"/>
  <c r="K16" i="1"/>
  <c r="J16" i="1"/>
  <c r="I16" i="1"/>
  <c r="F16" i="1"/>
  <c r="E16" i="1"/>
  <c r="D16" i="1"/>
  <c r="C16" i="1"/>
  <c r="N15" i="1"/>
  <c r="M15" i="1"/>
  <c r="L15" i="1"/>
  <c r="K15" i="1"/>
  <c r="J15" i="1"/>
  <c r="I15" i="1"/>
  <c r="F15" i="1"/>
  <c r="E15" i="1"/>
  <c r="D15" i="1"/>
  <c r="C15" i="1"/>
  <c r="N14" i="1"/>
  <c r="M14" i="1"/>
  <c r="L14" i="1"/>
  <c r="K14" i="1"/>
  <c r="J14" i="1"/>
  <c r="I14" i="1"/>
  <c r="F14" i="1"/>
  <c r="E14" i="1"/>
  <c r="D14" i="1"/>
  <c r="C14" i="1"/>
  <c r="N13" i="1"/>
  <c r="M13" i="1"/>
  <c r="L13" i="1"/>
  <c r="K13" i="1"/>
  <c r="J13" i="1"/>
  <c r="I13" i="1"/>
  <c r="F13" i="1"/>
  <c r="E13" i="1"/>
  <c r="D13" i="1"/>
  <c r="C13" i="1"/>
  <c r="N12" i="1"/>
  <c r="M12" i="1"/>
  <c r="L12" i="1"/>
  <c r="K12" i="1"/>
  <c r="J12" i="1"/>
  <c r="I12" i="1"/>
  <c r="F12" i="1"/>
  <c r="E12" i="1"/>
  <c r="D12" i="1"/>
  <c r="C12" i="1"/>
  <c r="N11" i="1"/>
  <c r="M11" i="1"/>
  <c r="L11" i="1"/>
  <c r="K11" i="1"/>
  <c r="J11" i="1"/>
  <c r="I11" i="1"/>
  <c r="F11" i="1"/>
  <c r="E11" i="1"/>
  <c r="D11" i="1"/>
  <c r="C11" i="1"/>
  <c r="N10" i="1"/>
  <c r="M10" i="1"/>
  <c r="L10" i="1"/>
  <c r="K10" i="1"/>
  <c r="J10" i="1"/>
  <c r="I10" i="1"/>
  <c r="F10" i="1"/>
  <c r="E10" i="1"/>
  <c r="D10" i="1"/>
  <c r="C10" i="1"/>
  <c r="N9" i="1"/>
  <c r="M9" i="1"/>
  <c r="L9" i="1"/>
  <c r="K9" i="1"/>
  <c r="J9" i="1"/>
  <c r="I9" i="1"/>
  <c r="F9" i="1"/>
  <c r="E9" i="1"/>
  <c r="D9" i="1"/>
  <c r="C9" i="1"/>
  <c r="N8" i="1"/>
  <c r="M8" i="1"/>
  <c r="L8" i="1"/>
  <c r="K8" i="1"/>
  <c r="J8" i="1"/>
  <c r="I8" i="1"/>
  <c r="F8" i="1"/>
  <c r="E8" i="1"/>
  <c r="D8" i="1"/>
  <c r="C8" i="1"/>
  <c r="N7" i="1"/>
  <c r="M7" i="1"/>
  <c r="L7" i="1"/>
  <c r="K7" i="1"/>
  <c r="J7" i="1"/>
  <c r="I7" i="1"/>
  <c r="F7" i="1"/>
  <c r="E7" i="1"/>
  <c r="D7" i="1"/>
  <c r="C7" i="1"/>
  <c r="N6" i="1"/>
  <c r="M6" i="1"/>
  <c r="L6" i="1"/>
  <c r="K6" i="1"/>
  <c r="J6" i="1"/>
  <c r="I6" i="1"/>
  <c r="F6" i="1"/>
  <c r="E6" i="1"/>
  <c r="D6" i="1"/>
  <c r="C6" i="1"/>
  <c r="N5" i="1"/>
  <c r="M5" i="1"/>
  <c r="L5" i="1"/>
  <c r="K5" i="1"/>
  <c r="J5" i="1"/>
  <c r="I5" i="1"/>
  <c r="F5" i="1"/>
  <c r="E5" i="1"/>
  <c r="D5" i="1"/>
  <c r="C5" i="1"/>
  <c r="N4" i="1"/>
  <c r="M4" i="1"/>
  <c r="L4" i="1"/>
  <c r="K4" i="1"/>
  <c r="J4" i="1"/>
  <c r="I4" i="1"/>
  <c r="F4" i="1"/>
  <c r="E4" i="1"/>
  <c r="D4" i="1"/>
  <c r="C4" i="1"/>
  <c r="N3" i="1"/>
  <c r="M3" i="1"/>
  <c r="L3" i="1"/>
  <c r="K3" i="1"/>
  <c r="J3" i="1"/>
  <c r="I3" i="1"/>
  <c r="F3" i="1"/>
  <c r="E3" i="1"/>
  <c r="D3" i="1"/>
  <c r="C3" i="1"/>
</calcChain>
</file>

<file path=xl/sharedStrings.xml><?xml version="1.0" encoding="utf-8"?>
<sst xmlns="http://schemas.openxmlformats.org/spreadsheetml/2006/main" count="649" uniqueCount="257">
  <si>
    <t>Way ID / Pickup ID</t>
  </si>
  <si>
    <t>Merchant Name</t>
  </si>
  <si>
    <t>Receiver Name</t>
  </si>
  <si>
    <t>Receiver Phone</t>
  </si>
  <si>
    <t>City (Dropdown)</t>
  </si>
  <si>
    <t>Township (Dropdown)</t>
  </si>
  <si>
    <t>Item price</t>
  </si>
  <si>
    <t>Deli Fee (OS)</t>
  </si>
  <si>
    <t>COD (OS)</t>
  </si>
  <si>
    <t>Std Deli</t>
  </si>
  <si>
    <t>Max Deli</t>
  </si>
  <si>
    <t>Weight</t>
  </si>
  <si>
    <t>Surcharge</t>
  </si>
  <si>
    <t>Final COD</t>
  </si>
  <si>
    <t>Merchant Tier</t>
  </si>
  <si>
    <t>D0905-MSE-161</t>
  </si>
  <si>
    <t>မရွှေအိ</t>
  </si>
  <si>
    <t>STANDARD</t>
  </si>
  <si>
    <t>D0905-MSE-162</t>
  </si>
  <si>
    <t>D0905-MSE-163</t>
  </si>
  <si>
    <t>D0905-MSE-164</t>
  </si>
  <si>
    <t>D0904-GGS-146</t>
  </si>
  <si>
    <t>The Gadget Store</t>
  </si>
  <si>
    <t>D0904-CTM-390</t>
  </si>
  <si>
    <t>ချစ်သွန်းသီရိ မေမေ</t>
  </si>
  <si>
    <t>D0904-KSH-253</t>
  </si>
  <si>
    <t>ကျော်စိုးဟိန်း</t>
  </si>
  <si>
    <t>D0904-MMA-354</t>
  </si>
  <si>
    <t>မြန်မာ့အလှ</t>
  </si>
  <si>
    <t>D0904-GGS-208</t>
  </si>
  <si>
    <t>D0904-PYT-363</t>
  </si>
  <si>
    <t>ပုရစ်ကလေး</t>
  </si>
  <si>
    <t>D0904-JSC-399</t>
  </si>
  <si>
    <t>Jessica Sue</t>
  </si>
  <si>
    <t>D0828-MMA-019</t>
  </si>
  <si>
    <t>D0831-MMA-371</t>
  </si>
  <si>
    <t>D0904-MMA-306</t>
  </si>
  <si>
    <t>D0904-PYT-361</t>
  </si>
  <si>
    <t>D0904-JSC-398</t>
  </si>
  <si>
    <t>D0831-MML-152</t>
  </si>
  <si>
    <t>Ma Myat Lay</t>
  </si>
  <si>
    <t>D0902-BBW-044</t>
  </si>
  <si>
    <t>Baby World</t>
  </si>
  <si>
    <t>D0904-BBW-048</t>
  </si>
  <si>
    <t>D0904-BBW-060</t>
  </si>
  <si>
    <t>D0904-GGS-121</t>
  </si>
  <si>
    <t>D0904-GGS-142</t>
  </si>
  <si>
    <t>D0904-GGS-147</t>
  </si>
  <si>
    <t>D0904-GGS-171</t>
  </si>
  <si>
    <t>D0904-GGS-175</t>
  </si>
  <si>
    <t>D0904-GGS-216</t>
  </si>
  <si>
    <t>D0904-MMA-316</t>
  </si>
  <si>
    <t>D0904-MMA-323</t>
  </si>
  <si>
    <t>D0904-MMA-325</t>
  </si>
  <si>
    <t>D0904-MMA-333</t>
  </si>
  <si>
    <t>D0904-MMA-339</t>
  </si>
  <si>
    <t>D0904-MMA-342</t>
  </si>
  <si>
    <t>D0904-MMA-343</t>
  </si>
  <si>
    <t>D0904-MMA-344</t>
  </si>
  <si>
    <t>D0904-MMA-352</t>
  </si>
  <si>
    <t>D0904-MMA-353</t>
  </si>
  <si>
    <t>D0904-JSC-396</t>
  </si>
  <si>
    <t>D0904-JSC-397</t>
  </si>
  <si>
    <t>D0903-SMW-132</t>
  </si>
  <si>
    <t>ရှု့မဝ</t>
  </si>
  <si>
    <t>D0903-GGS-135</t>
  </si>
  <si>
    <t>D0903-MMA-156</t>
  </si>
  <si>
    <t>D0825-JSC-086</t>
  </si>
  <si>
    <t>D0831-MMA-385</t>
  </si>
  <si>
    <t>D0904-BBW-047</t>
  </si>
  <si>
    <t>D0904-MBO-279</t>
  </si>
  <si>
    <t>MaBel OS</t>
  </si>
  <si>
    <t>D0829-NM6-169</t>
  </si>
  <si>
    <t>Poe Poe</t>
  </si>
  <si>
    <t>D0831-JLS-057</t>
  </si>
  <si>
    <t>July Sis</t>
  </si>
  <si>
    <t>D0831-MMA-400</t>
  </si>
  <si>
    <t>D0819-SMW-061</t>
  </si>
  <si>
    <t>D0904-GGS-177</t>
  </si>
  <si>
    <t>D0901-PHS-071</t>
  </si>
  <si>
    <t>ph level 7</t>
  </si>
  <si>
    <t>D0904-MBO-285</t>
  </si>
  <si>
    <t>D0904-PYT-367</t>
  </si>
  <si>
    <t>D0904-CTM-387</t>
  </si>
  <si>
    <t>D0902-LOS-192</t>
  </si>
  <si>
    <t>Lady OS</t>
  </si>
  <si>
    <t>D0904-BBW-062</t>
  </si>
  <si>
    <t>D0904-GGS-228</t>
  </si>
  <si>
    <t>D0904-GGS-236</t>
  </si>
  <si>
    <t>D0904-PYT-356</t>
  </si>
  <si>
    <t>D0904-OTH-414</t>
  </si>
  <si>
    <t>Other</t>
  </si>
  <si>
    <t>D0903-GGS-141</t>
  </si>
  <si>
    <t>D0904-BBW-034</t>
  </si>
  <si>
    <t>D0904-GGS-160</t>
  </si>
  <si>
    <t>D0904-BLC-370</t>
  </si>
  <si>
    <t>Billionaire Clothing</t>
  </si>
  <si>
    <t>D0904-GGS-195</t>
  </si>
  <si>
    <t>D0901-UQD-140</t>
  </si>
  <si>
    <t>Unique/Diva</t>
  </si>
  <si>
    <t>D0901-CTM-229</t>
  </si>
  <si>
    <t>D0902-PPL-027</t>
  </si>
  <si>
    <t>Poe Poe Lay</t>
  </si>
  <si>
    <t>D0902-BBW-033</t>
  </si>
  <si>
    <t>D0902-BBW-043</t>
  </si>
  <si>
    <t>D0902-BBW-051</t>
  </si>
  <si>
    <t>D0902-BBW-058</t>
  </si>
  <si>
    <t>D0902-PHS-063</t>
  </si>
  <si>
    <t>D0902-PHS-070</t>
  </si>
  <si>
    <t>D0902-PHS-074</t>
  </si>
  <si>
    <t>D0902-NPM-201</t>
  </si>
  <si>
    <t>နတ်ပြည်မွှေး</t>
  </si>
  <si>
    <t>D0902-NPM-196</t>
  </si>
  <si>
    <t>D0902-CTM-393</t>
  </si>
  <si>
    <t>D0903-APA-071</t>
  </si>
  <si>
    <t>APAC</t>
  </si>
  <si>
    <t>D0903-APA-090</t>
  </si>
  <si>
    <t>D0903-SMW-133</t>
  </si>
  <si>
    <t>D0903-GGS-136</t>
  </si>
  <si>
    <t>D0903-GGS-142</t>
  </si>
  <si>
    <t>D0903-MSE-170</t>
  </si>
  <si>
    <t>D0903-CTM-189</t>
  </si>
  <si>
    <t>D0904-MTC-005</t>
  </si>
  <si>
    <t>Mommy Top Choice</t>
  </si>
  <si>
    <t>D0904-GGS-033</t>
  </si>
  <si>
    <t>D0904-BBW-035</t>
  </si>
  <si>
    <t>D0904-BBW-037</t>
  </si>
  <si>
    <t>D0904-BBW-039</t>
  </si>
  <si>
    <t>D0904-BBW-040</t>
  </si>
  <si>
    <t>D0904-BBW-041</t>
  </si>
  <si>
    <t>D0904-BBW-043</t>
  </si>
  <si>
    <t>D0904-BBW-046</t>
  </si>
  <si>
    <t>D0904-BBW-051</t>
  </si>
  <si>
    <t>D0904-BBW-052</t>
  </si>
  <si>
    <t>D0904-BBW-057</t>
  </si>
  <si>
    <t>D0904-BBW-061</t>
  </si>
  <si>
    <t>D0904-BBW-063</t>
  </si>
  <si>
    <t>D0904-BBW-065</t>
  </si>
  <si>
    <t>D0904-BBW-066</t>
  </si>
  <si>
    <t>D0904-BBW-067</t>
  </si>
  <si>
    <t>D0904-BBW-068</t>
  </si>
  <si>
    <t>D0904-GGS-113</t>
  </si>
  <si>
    <t>D0904-GGS-122</t>
  </si>
  <si>
    <t>D0904-GGS-126</t>
  </si>
  <si>
    <t>D0904-GGS-130</t>
  </si>
  <si>
    <t>D0904-GGS-132</t>
  </si>
  <si>
    <t>D0904-GGS-134</t>
  </si>
  <si>
    <t>D0904-GGS-136</t>
  </si>
  <si>
    <t>D0904-GGS-137</t>
  </si>
  <si>
    <t>D0904-GGS-139</t>
  </si>
  <si>
    <t>D0904-GGS-143</t>
  </si>
  <si>
    <t>D0904-GGS-163</t>
  </si>
  <si>
    <t>D0904-GGS-164</t>
  </si>
  <si>
    <t>D0904-GGS-165</t>
  </si>
  <si>
    <t>D0904-GGS-176</t>
  </si>
  <si>
    <t>D0904-GGS-182</t>
  </si>
  <si>
    <t>D0904-GGS-186</t>
  </si>
  <si>
    <t>D0904-GGS-190</t>
  </si>
  <si>
    <t>D0904-GGS-194</t>
  </si>
  <si>
    <t>D0904-GGS-199</t>
  </si>
  <si>
    <t>D0904-GGS-200</t>
  </si>
  <si>
    <t>D0904-GGS-204</t>
  </si>
  <si>
    <t>D0904-GGS-211</t>
  </si>
  <si>
    <t>D0904-GGS-212</t>
  </si>
  <si>
    <t>D0904-GGS-213</t>
  </si>
  <si>
    <t>D0904-GGS-217</t>
  </si>
  <si>
    <t>D0904-GGS-218</t>
  </si>
  <si>
    <t>D0904-GGS-223</t>
  </si>
  <si>
    <t>D0904-GGS-229</t>
  </si>
  <si>
    <t>D0904-GGS-230</t>
  </si>
  <si>
    <t>D0904-GGS-235</t>
  </si>
  <si>
    <t>D0904-GGS-238</t>
  </si>
  <si>
    <t>D0904-GGS-239</t>
  </si>
  <si>
    <t>D0904-GGS-242</t>
  </si>
  <si>
    <t>D0904-GGS-243</t>
  </si>
  <si>
    <t>D0904-SHA-246</t>
  </si>
  <si>
    <t>မေသျှား</t>
  </si>
  <si>
    <t>D0904-SHA-247</t>
  </si>
  <si>
    <t>D0904-SHA-248</t>
  </si>
  <si>
    <t>D0904-KSH-252</t>
  </si>
  <si>
    <t>D0904-MBO-281</t>
  </si>
  <si>
    <t>D0904-MBO-284</t>
  </si>
  <si>
    <t>######</t>
  </si>
  <si>
    <t>D0904-MMA-290</t>
  </si>
  <si>
    <t>D0904-MMA-296</t>
  </si>
  <si>
    <t>D0904-MMA-298</t>
  </si>
  <si>
    <t>D0904-MMA-299</t>
  </si>
  <si>
    <t>D0904-MMA-300</t>
  </si>
  <si>
    <t>D0904-MMA-310</t>
  </si>
  <si>
    <t>D0904-MMA-311</t>
  </si>
  <si>
    <t>D0904-MMA-329</t>
  </si>
  <si>
    <t>D0904-MMA-331</t>
  </si>
  <si>
    <t>D0904-MMA-340</t>
  </si>
  <si>
    <t>D0904-PYT-358</t>
  </si>
  <si>
    <t>D0904-PYT-360</t>
  </si>
  <si>
    <t>D0904-PYT-362</t>
  </si>
  <si>
    <t>D0904-PYT-365</t>
  </si>
  <si>
    <t>D0904-PYT-368</t>
  </si>
  <si>
    <t>D0904-BLC-371</t>
  </si>
  <si>
    <t>D0904-LOS-372</t>
  </si>
  <si>
    <t>D0904-LOS-374</t>
  </si>
  <si>
    <t>D0904-LOS-376</t>
  </si>
  <si>
    <t>D0904-CTM-383</t>
  </si>
  <si>
    <t>D0904-CTM-392</t>
  </si>
  <si>
    <t>D0904-JSC-401</t>
  </si>
  <si>
    <t>D0904-SMW-407</t>
  </si>
  <si>
    <t>D0904-SMW-408</t>
  </si>
  <si>
    <t>D0904-KYA-409</t>
  </si>
  <si>
    <t>Kyaw Aung</t>
  </si>
  <si>
    <t>D0904-RYP-415</t>
  </si>
  <si>
    <t>Royal Poe</t>
  </si>
  <si>
    <t>D0826-PRE-099</t>
  </si>
  <si>
    <t>PREMIER</t>
  </si>
  <si>
    <t>D0824-GGS-061</t>
  </si>
  <si>
    <t>D0904-BBW-056</t>
  </si>
  <si>
    <t>D0831-BBW-441</t>
  </si>
  <si>
    <t>D0831-CTM-417</t>
  </si>
  <si>
    <t>D0831-CTM-421</t>
  </si>
  <si>
    <t>D0824-MML-368</t>
  </si>
  <si>
    <t>D0831-JLS-052</t>
  </si>
  <si>
    <t>D0831-BBW-444</t>
  </si>
  <si>
    <t>D0828-MMA-033</t>
  </si>
  <si>
    <t>D0831-MMA-378</t>
  </si>
  <si>
    <t>D0831-MMA-383</t>
  </si>
  <si>
    <t>D0831-MMA-379</t>
  </si>
  <si>
    <t>D0831-MMA-364</t>
  </si>
  <si>
    <t>D0821-PHS-237</t>
  </si>
  <si>
    <t>D0822-GGS-137</t>
  </si>
  <si>
    <t>D0831-POE-459</t>
  </si>
  <si>
    <t>Poe Poe OS</t>
  </si>
  <si>
    <t>D0831-MML-148</t>
  </si>
  <si>
    <t>D0902-LOS-189</t>
  </si>
  <si>
    <t>D0902-LOS-190</t>
  </si>
  <si>
    <t>D0824-BBW-449</t>
  </si>
  <si>
    <t>D0831-JLS-042</t>
  </si>
  <si>
    <t>D0824-MSE-348</t>
  </si>
  <si>
    <t>D0831-JLS-060</t>
  </si>
  <si>
    <t>D0822-PHS-169</t>
  </si>
  <si>
    <t>D0811-MMA-098</t>
  </si>
  <si>
    <t>D0822-BBW-273</t>
  </si>
  <si>
    <t>D0817-KKK-163</t>
  </si>
  <si>
    <t>ကိုကျော် အထည်</t>
  </si>
  <si>
    <t>D0825-JSC-091</t>
  </si>
  <si>
    <t>D0806-GGS-149</t>
  </si>
  <si>
    <t>D0822-GGS-157</t>
  </si>
  <si>
    <t>D0806-MMM-041</t>
  </si>
  <si>
    <t>Ma Ma Myat</t>
  </si>
  <si>
    <t>D0809-MML-079</t>
  </si>
  <si>
    <t>D0803-MML-162</t>
  </si>
  <si>
    <t>D0819-MML-212</t>
  </si>
  <si>
    <t>D0813-MML-268</t>
  </si>
  <si>
    <t>D0901-UQD-141</t>
  </si>
  <si>
    <t>D0901-KSH-147</t>
  </si>
  <si>
    <t>D0903-APA-091</t>
  </si>
  <si>
    <t>D0904-GGS-167</t>
  </si>
  <si>
    <t>D0904-KYA-410</t>
  </si>
  <si>
    <t>D0904-MMA-326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</si>
</sst>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Tahoma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14A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bound"/>
      <sheetName val="Sheet2"/>
      <sheetName val="Inventory"/>
      <sheetName val="Sheet4"/>
      <sheetName val="Sheet5"/>
      <sheetName val="06092026_PENDINGRTO"/>
    </sheetNames>
    <sheetDataSet>
      <sheetData sheetId="0"/>
      <sheetData sheetId="1"/>
      <sheetData sheetId="2">
        <row r="2">
          <cell r="H2">
            <v>46271</v>
          </cell>
        </row>
        <row r="3">
          <cell r="C3" t="str">
            <v>🟡 Pending</v>
          </cell>
          <cell r="D3" t="str">
            <v>🔵 Failed</v>
          </cell>
          <cell r="E3" t="str">
            <v>🔴 RTO</v>
          </cell>
          <cell r="F3" t="str">
            <v>Total</v>
          </cell>
          <cell r="G3" t="str">
            <v>Warehouse Inventory</v>
          </cell>
        </row>
        <row r="4">
          <cell r="C4">
            <v>123</v>
          </cell>
          <cell r="D4">
            <v>219</v>
          </cell>
          <cell r="E4">
            <v>33</v>
          </cell>
          <cell r="F4">
            <v>596</v>
          </cell>
        </row>
        <row r="6">
          <cell r="C6" t="str">
            <v>Way ID</v>
          </cell>
          <cell r="D6" t="str">
            <v>Merchant</v>
          </cell>
          <cell r="E6" t="str">
            <v>Recipient name</v>
          </cell>
          <cell r="F6" t="str">
            <v>Recipient Phone</v>
          </cell>
          <cell r="G6" t="str">
            <v>Recipient  Town</v>
          </cell>
          <cell r="H6" t="str">
            <v>Recipient address</v>
          </cell>
          <cell r="I6" t="str">
            <v>Item price</v>
          </cell>
          <cell r="J6" t="str">
            <v>Deli Fee (OS)</v>
          </cell>
          <cell r="K6" t="str">
            <v>COD (OS)</v>
          </cell>
          <cell r="L6" t="str">
            <v>Std Deli</v>
          </cell>
          <cell r="M6" t="str">
            <v>Max Deli</v>
          </cell>
          <cell r="N6" t="str">
            <v>Weight</v>
          </cell>
          <cell r="O6" t="str">
            <v>Surcharge</v>
          </cell>
          <cell r="P6" t="str">
            <v>Final COD</v>
          </cell>
        </row>
        <row r="7">
          <cell r="C7" t="str">
            <v>D0905-GRS-001</v>
          </cell>
          <cell r="D7" t="str">
            <v>GRS Express</v>
          </cell>
          <cell r="E7" t="str">
            <v>Ma Myint Soe</v>
          </cell>
          <cell r="F7" t="str">
            <v>09-897729745</v>
          </cell>
          <cell r="G7" t="str">
            <v>စမ်းချောင်း</v>
          </cell>
          <cell r="H7" t="str">
            <v>အမှတ် (၁၈)၊ ဓမ္မာရုံလမ်းတို၊ တောင်ရပ်ကွက်၊ မြေနီကုန်း၊ စမ်းချောင်းမြို့နယ်</v>
          </cell>
          <cell r="I7">
            <v>68000</v>
          </cell>
          <cell r="J7">
            <v>4500</v>
          </cell>
          <cell r="K7">
            <v>72500</v>
          </cell>
          <cell r="L7">
            <v>4000</v>
          </cell>
          <cell r="M7">
            <v>4500</v>
          </cell>
          <cell r="O7" t="str">
            <v>-</v>
          </cell>
          <cell r="P7">
            <v>72500</v>
          </cell>
        </row>
        <row r="8">
          <cell r="C8" t="str">
            <v>D0905-GRS-002</v>
          </cell>
          <cell r="D8" t="str">
            <v>GRS Express</v>
          </cell>
          <cell r="E8" t="str">
            <v>Julia Moe</v>
          </cell>
          <cell r="F8" t="str">
            <v>09-968348442</v>
          </cell>
          <cell r="G8" t="str">
            <v>ကြည့်မြင်တိုင်</v>
          </cell>
          <cell r="H8" t="str">
            <v>(သဲကွင်းမှတ်တိုင်)၊ ကြည့်မြင်တိုင်မြို့နယ်</v>
          </cell>
          <cell r="I8">
            <v>36000</v>
          </cell>
          <cell r="J8" t="str">
            <v>-</v>
          </cell>
          <cell r="K8">
            <v>36000</v>
          </cell>
          <cell r="L8">
            <v>4000</v>
          </cell>
          <cell r="M8" t="str">
            <v>-</v>
          </cell>
          <cell r="O8" t="str">
            <v>-</v>
          </cell>
          <cell r="P8">
            <v>36000</v>
          </cell>
        </row>
        <row r="9">
          <cell r="C9" t="str">
            <v>D0905-GRS-003</v>
          </cell>
          <cell r="D9" t="str">
            <v>GRS Express</v>
          </cell>
          <cell r="E9" t="str">
            <v>Tin Chaw Su Win</v>
          </cell>
          <cell r="F9" t="str">
            <v>09-250186412</v>
          </cell>
          <cell r="G9" t="str">
            <v>သင်္ဃန်းကျွန်း</v>
          </cell>
          <cell r="H9" t="str">
            <v>အမှတ် (၉/၂)၊ ကောက်သွယ် (၁) လမ်း၊ (၂၉) ရပ်ကွက်၊ သုဝဏ္ဏ၊ သင်္ဃန်းကျွန်းမြို့နယ်</v>
          </cell>
          <cell r="I9">
            <v>34000</v>
          </cell>
          <cell r="J9" t="str">
            <v>-</v>
          </cell>
          <cell r="K9">
            <v>34000</v>
          </cell>
          <cell r="L9">
            <v>4000</v>
          </cell>
          <cell r="M9" t="str">
            <v>-</v>
          </cell>
          <cell r="O9" t="str">
            <v>-</v>
          </cell>
          <cell r="P9">
            <v>34000</v>
          </cell>
        </row>
        <row r="10">
          <cell r="C10" t="str">
            <v>D0905-GRS-004</v>
          </cell>
          <cell r="D10" t="str">
            <v>GRS Express</v>
          </cell>
          <cell r="E10" t="str">
            <v>Thida Aung/မသီတာ</v>
          </cell>
          <cell r="F10" t="str">
            <v>09-983869408</v>
          </cell>
          <cell r="G10" t="str">
            <v>ပုဇွန်တောင်</v>
          </cell>
          <cell r="H10" t="str">
            <v>အဏ္ဏဝါရေလုပ်ငန်း၊ ပုဇွန်တောင်မြို့နယ်</v>
          </cell>
          <cell r="I10">
            <v>99000</v>
          </cell>
          <cell r="J10" t="str">
            <v>-</v>
          </cell>
          <cell r="K10">
            <v>99000</v>
          </cell>
          <cell r="L10">
            <v>4000</v>
          </cell>
          <cell r="M10" t="str">
            <v>-</v>
          </cell>
          <cell r="O10" t="str">
            <v>-</v>
          </cell>
          <cell r="P10">
            <v>99000</v>
          </cell>
        </row>
        <row r="11">
          <cell r="C11" t="str">
            <v>D0905-GRS-005</v>
          </cell>
          <cell r="D11" t="str">
            <v>GRS Express</v>
          </cell>
          <cell r="E11" t="str">
            <v>Ma Mar Lar</v>
          </cell>
          <cell r="F11" t="str">
            <v>09-887887181</v>
          </cell>
          <cell r="G11" t="str">
            <v>သင်္ဃန်းကျွန်း</v>
          </cell>
          <cell r="H11" t="str">
            <v>အမှတ် (6A)၊ သံသုမာလမ်း၊ သင်္ဃန်းကျွန်းမြို့နယ်</v>
          </cell>
          <cell r="I11" t="str">
            <v>-</v>
          </cell>
          <cell r="J11">
            <v>4500</v>
          </cell>
          <cell r="K11">
            <v>4500</v>
          </cell>
          <cell r="L11">
            <v>4000</v>
          </cell>
          <cell r="M11">
            <v>4500</v>
          </cell>
          <cell r="O11" t="str">
            <v>-</v>
          </cell>
          <cell r="P11">
            <v>4500</v>
          </cell>
        </row>
        <row r="12">
          <cell r="C12" t="str">
            <v>D0905-GRS-006</v>
          </cell>
          <cell r="D12" t="str">
            <v>GRS Express</v>
          </cell>
          <cell r="E12" t="str">
            <v>Ma Myat myo</v>
          </cell>
          <cell r="F12" t="str">
            <v>09-787755251</v>
          </cell>
          <cell r="G12" t="str">
            <v>တာမွေ</v>
          </cell>
          <cell r="H12" t="str">
            <v>အမှတ် (၁၃/၂၇)၊ ရွှေဝါလမ်း၊ (ကျိုက္ကဆံ Super One အနောက်ဘက်)၊ တာမွေမြို့နယ်</v>
          </cell>
          <cell r="I12">
            <v>80000</v>
          </cell>
          <cell r="J12" t="str">
            <v>-</v>
          </cell>
          <cell r="K12">
            <v>80000</v>
          </cell>
          <cell r="L12">
            <v>4000</v>
          </cell>
          <cell r="M12" t="str">
            <v>-</v>
          </cell>
          <cell r="O12" t="str">
            <v>-</v>
          </cell>
          <cell r="P12">
            <v>80000</v>
          </cell>
        </row>
        <row r="13">
          <cell r="C13" t="str">
            <v>D0905-GRS-007</v>
          </cell>
          <cell r="D13" t="str">
            <v>GRS Express</v>
          </cell>
          <cell r="E13" t="str">
            <v>Ma Swe San</v>
          </cell>
          <cell r="F13" t="str">
            <v>09-400370491</v>
          </cell>
          <cell r="G13" t="str">
            <v>စမ်းချောင်း</v>
          </cell>
          <cell r="H13" t="str">
            <v>တိုက် (၁)၊ ကျွန်းတောလမ်း၊ ပြည်သူ့ကွက်သစ် (၁) လမ်း၊ စမ်းချောင်းမြို့နယ်</v>
          </cell>
          <cell r="I13">
            <v>74000</v>
          </cell>
          <cell r="J13">
            <v>4500</v>
          </cell>
          <cell r="K13">
            <v>78500</v>
          </cell>
          <cell r="L13">
            <v>4000</v>
          </cell>
          <cell r="M13">
            <v>4500</v>
          </cell>
          <cell r="O13" t="str">
            <v>-</v>
          </cell>
          <cell r="P13">
            <v>78500</v>
          </cell>
        </row>
        <row r="14">
          <cell r="C14" t="str">
            <v>D0905-GRS-008</v>
          </cell>
          <cell r="D14" t="str">
            <v>GRS Express</v>
          </cell>
          <cell r="E14" t="str">
            <v>မအေးမြတ်သူ/ Ttarius Sagi</v>
          </cell>
          <cell r="F14" t="str">
            <v>09-687374243</v>
          </cell>
          <cell r="G14" t="str">
            <v>လမ်းမတော်</v>
          </cell>
          <cell r="H14" t="str">
            <v>ဂျပန်ဆေးရုံ၊ လမ်းမတော်မြို့နယ်</v>
          </cell>
          <cell r="I14">
            <v>99000</v>
          </cell>
          <cell r="J14">
            <v>4500</v>
          </cell>
          <cell r="K14">
            <v>103500</v>
          </cell>
          <cell r="L14">
            <v>4000</v>
          </cell>
          <cell r="M14">
            <v>4500</v>
          </cell>
          <cell r="O14" t="str">
            <v>-</v>
          </cell>
          <cell r="P14">
            <v>103500</v>
          </cell>
        </row>
        <row r="15">
          <cell r="C15" t="str">
            <v>D0905-GRS-009</v>
          </cell>
          <cell r="D15" t="str">
            <v>GRS Express</v>
          </cell>
          <cell r="E15" t="str">
            <v>Moe Thuzar</v>
          </cell>
          <cell r="F15" t="str">
            <v>09-400370491</v>
          </cell>
          <cell r="G15" t="str">
            <v>စမ်းချောင်း</v>
          </cell>
          <cell r="H15" t="str">
            <v>တိုက် (၈)၊ (၅) လွှာ၊ ကျွန်းတောလမ်း၊ ပြည်သူ့ကွက်သစ် (၁) လမ်း၊ စမ်းချောင်းမြို့နယ်</v>
          </cell>
          <cell r="I15">
            <v>71500</v>
          </cell>
          <cell r="J15" t="str">
            <v>-</v>
          </cell>
          <cell r="K15">
            <v>71500</v>
          </cell>
          <cell r="L15">
            <v>4000</v>
          </cell>
          <cell r="M15" t="str">
            <v>-</v>
          </cell>
          <cell r="O15" t="str">
            <v>-</v>
          </cell>
          <cell r="P15">
            <v>71500</v>
          </cell>
        </row>
        <row r="16">
          <cell r="C16" t="str">
            <v>D0905-GRS-010</v>
          </cell>
          <cell r="D16" t="str">
            <v>GRS Express</v>
          </cell>
          <cell r="E16" t="str">
            <v>Ma Hnin Thida Win</v>
          </cell>
          <cell r="F16" t="str">
            <v>09-957638607</v>
          </cell>
          <cell r="G16" t="str">
            <v>သင်္ဃန်းကျွန်း</v>
          </cell>
          <cell r="H16" t="str">
            <v>အမှတ် (၁၀)၊ ရိပ်သာလမ်း၊ လေးထောင့်ကန်ရပ်ကွက်၊ သင်္ဃန်းကျွန်းမြို့နယ်</v>
          </cell>
          <cell r="I16">
            <v>22000</v>
          </cell>
          <cell r="J16">
            <v>4500</v>
          </cell>
          <cell r="K16">
            <v>26500</v>
          </cell>
          <cell r="L16">
            <v>4000</v>
          </cell>
          <cell r="M16">
            <v>4500</v>
          </cell>
          <cell r="O16" t="str">
            <v>-</v>
          </cell>
          <cell r="P16">
            <v>26500</v>
          </cell>
        </row>
        <row r="17">
          <cell r="C17" t="str">
            <v>D0905-GRS-011</v>
          </cell>
          <cell r="D17" t="str">
            <v>GRS Express</v>
          </cell>
          <cell r="E17" t="str">
            <v>Wpp Myo</v>
          </cell>
          <cell r="F17" t="str">
            <v>09-455081859</v>
          </cell>
          <cell r="G17" t="str">
            <v>ကျောက်တံတား</v>
          </cell>
          <cell r="H17" t="str">
            <v>အမှတ် (၂၅၃)၊ မြေညီထပ်၊ (၄၀) လမ်း၊ အထက်ဘလောက်၊ ကျောက်တံတားမြို့နယ်</v>
          </cell>
          <cell r="I17">
            <v>50000</v>
          </cell>
          <cell r="J17" t="str">
            <v>-</v>
          </cell>
          <cell r="K17">
            <v>50000</v>
          </cell>
          <cell r="L17">
            <v>4000</v>
          </cell>
          <cell r="M17" t="str">
            <v>-</v>
          </cell>
          <cell r="O17" t="str">
            <v>-</v>
          </cell>
          <cell r="P17">
            <v>50000</v>
          </cell>
        </row>
        <row r="18">
          <cell r="C18" t="str">
            <v>D0905-GRS-012</v>
          </cell>
          <cell r="D18" t="str">
            <v>GRS Express</v>
          </cell>
          <cell r="E18" t="str">
            <v>Thin Su Htwe</v>
          </cell>
          <cell r="F18" t="str">
            <v>09-888034007
09-888035007</v>
          </cell>
          <cell r="G18" t="str">
            <v>ပုဇွန်တောင်</v>
          </cell>
          <cell r="H18" t="str">
            <v>အမှတ် (၅)၊ မြေညီထပ်၊ (၅၄) လမ်း၊ ဗိုလ်တထောင်ဘုရားလမ်း နှင့် အနော်ရထာလမ်း၊ ပုဇွန်တောင်မြို့နယ်</v>
          </cell>
          <cell r="I18" t="str">
            <v>-</v>
          </cell>
          <cell r="J18" t="str">
            <v>-</v>
          </cell>
          <cell r="K18" t="str">
            <v>-</v>
          </cell>
          <cell r="L18">
            <v>4000</v>
          </cell>
          <cell r="M18" t="str">
            <v>-</v>
          </cell>
          <cell r="O18" t="str">
            <v>-</v>
          </cell>
          <cell r="P18" t="str">
            <v>-</v>
          </cell>
        </row>
        <row r="19">
          <cell r="C19" t="str">
            <v>D0905-GRS-013</v>
          </cell>
          <cell r="D19" t="str">
            <v>GRS Express</v>
          </cell>
          <cell r="E19" t="str">
            <v>Pauk Sa/ဒေါ်ခင်လှဝင်း</v>
          </cell>
          <cell r="F19" t="str">
            <v>09-254418277</v>
          </cell>
          <cell r="G19" t="str">
            <v>ဗဟန်း</v>
          </cell>
          <cell r="H19" t="str">
            <v>အမှတ် (၃၀)၊ ရေတာရှည်လမ်းသစ်၊ ဗဟန်းမြို့နယ်</v>
          </cell>
          <cell r="I19">
            <v>69500</v>
          </cell>
          <cell r="J19" t="str">
            <v>-</v>
          </cell>
          <cell r="K19">
            <v>69500</v>
          </cell>
          <cell r="L19">
            <v>4000</v>
          </cell>
          <cell r="M19" t="str">
            <v>-</v>
          </cell>
          <cell r="O19" t="str">
            <v>-</v>
          </cell>
          <cell r="P19">
            <v>69500</v>
          </cell>
        </row>
        <row r="20">
          <cell r="C20" t="str">
            <v>D0905-GRS-014</v>
          </cell>
          <cell r="D20" t="str">
            <v>GRS Express</v>
          </cell>
          <cell r="E20" t="str">
            <v>Khant Win Win</v>
          </cell>
          <cell r="F20" t="str">
            <v>09-961278542</v>
          </cell>
          <cell r="G20" t="str">
            <v>တာမွေ</v>
          </cell>
          <cell r="H20" t="str">
            <v>(၁၆၄) လမ်း၊ (အာယုဆေးရုံရှေ့)၊ တာမွေမြို့နယ်</v>
          </cell>
          <cell r="I20">
            <v>34000</v>
          </cell>
          <cell r="J20" t="str">
            <v>-</v>
          </cell>
          <cell r="K20">
            <v>34000</v>
          </cell>
          <cell r="L20">
            <v>4000</v>
          </cell>
          <cell r="M20" t="str">
            <v>-</v>
          </cell>
          <cell r="O20" t="str">
            <v>-</v>
          </cell>
          <cell r="P20">
            <v>34000</v>
          </cell>
        </row>
        <row r="21">
          <cell r="C21" t="str">
            <v>D0905-GRS-015</v>
          </cell>
          <cell r="D21" t="str">
            <v>GRS Express</v>
          </cell>
          <cell r="E21" t="str">
            <v>Pann Cherry/Ruth Cing</v>
          </cell>
          <cell r="F21" t="str">
            <v>09-5181748</v>
          </cell>
          <cell r="G21" t="str">
            <v>မင်္ဂလာတောင်ညွန့်</v>
          </cell>
          <cell r="H21" t="str">
            <v>KLCC Ko Salim၊ အမှတ် (၁၉)၊ မြေညီထပ်၊ (၁၂၃) လမ်း၊ မင်္ဂလာတောင်ညွန့်မြို့နယ်</v>
          </cell>
          <cell r="I21" t="str">
            <v>-</v>
          </cell>
          <cell r="J21" t="str">
            <v>-</v>
          </cell>
          <cell r="K21" t="str">
            <v>-</v>
          </cell>
          <cell r="L21">
            <v>4000</v>
          </cell>
          <cell r="M21" t="str">
            <v>-</v>
          </cell>
          <cell r="O21" t="str">
            <v>-</v>
          </cell>
          <cell r="P21" t="str">
            <v>-</v>
          </cell>
        </row>
        <row r="22">
          <cell r="C22" t="str">
            <v>D0905-GRS-016</v>
          </cell>
          <cell r="D22" t="str">
            <v>GRS Express</v>
          </cell>
          <cell r="E22" t="str">
            <v>Tin San Ye</v>
          </cell>
          <cell r="F22" t="str">
            <v>09-684600146</v>
          </cell>
          <cell r="G22" t="str">
            <v>ဒေါပုံ</v>
          </cell>
          <cell r="H22" t="str">
            <v>အမှတ် (၂၀)၊ နဝဒေးလမ်း၊ ဝါဆိုရပ်ကွက်၊ ဒေါပုံမြို့နယ်</v>
          </cell>
          <cell r="I22">
            <v>37000</v>
          </cell>
          <cell r="J22" t="str">
            <v>-</v>
          </cell>
          <cell r="K22">
            <v>37000</v>
          </cell>
          <cell r="L22">
            <v>4000</v>
          </cell>
          <cell r="M22" t="str">
            <v>-</v>
          </cell>
          <cell r="O22" t="str">
            <v>-</v>
          </cell>
          <cell r="P22">
            <v>37000</v>
          </cell>
        </row>
        <row r="23">
          <cell r="C23" t="str">
            <v>D0905-GRS-017</v>
          </cell>
          <cell r="D23" t="str">
            <v>GRS Express</v>
          </cell>
          <cell r="E23" t="str">
            <v>TK (14)Hair Designer</v>
          </cell>
          <cell r="F23" t="str">
            <v>09-792587050
09-451491786</v>
          </cell>
          <cell r="G23" t="str">
            <v>တာမွေ</v>
          </cell>
          <cell r="H23" t="str">
            <v>အမှတ် (၅၃)၊ မြေညီထပ် (A)၊ သမာဓိလမ်း၊ ကျောက်မြောင်း၊ (သတိပဋ္ဌာန် နှင့် ကပ်လျက်လမ်း)၊ တာမွေမြို့နယ်</v>
          </cell>
          <cell r="I23">
            <v>789500</v>
          </cell>
          <cell r="J23">
            <v>8500</v>
          </cell>
          <cell r="K23">
            <v>798000</v>
          </cell>
          <cell r="L23">
            <v>4000</v>
          </cell>
          <cell r="M23">
            <v>8500</v>
          </cell>
          <cell r="N23">
            <v>10</v>
          </cell>
          <cell r="O23">
            <v>3500</v>
          </cell>
          <cell r="P23">
            <v>801500</v>
          </cell>
        </row>
        <row r="24">
          <cell r="C24" t="str">
            <v>D0905-GRS-018</v>
          </cell>
          <cell r="D24" t="str">
            <v>GRS Express</v>
          </cell>
          <cell r="E24" t="str">
            <v>Ma Aye Sandar/Alma</v>
          </cell>
          <cell r="F24" t="str">
            <v>09-897174786</v>
          </cell>
          <cell r="G24" t="str">
            <v>တာမွေ</v>
          </cell>
          <cell r="H24" t="str">
            <v>အမှတ် (၅၀)၊ အခန်း (A)၊ (၅) လွှာ၊ (၁၃၃) လမ်း၊ တာမွေမြို့နယ်</v>
          </cell>
          <cell r="I24">
            <v>72000</v>
          </cell>
          <cell r="J24">
            <v>4500</v>
          </cell>
          <cell r="K24">
            <v>76500</v>
          </cell>
          <cell r="L24">
            <v>4000</v>
          </cell>
          <cell r="M24">
            <v>4500</v>
          </cell>
          <cell r="O24" t="str">
            <v>-</v>
          </cell>
          <cell r="P24">
            <v>76500</v>
          </cell>
        </row>
        <row r="25">
          <cell r="C25" t="str">
            <v>D0905-GRS-019</v>
          </cell>
          <cell r="D25" t="str">
            <v>GRS Express</v>
          </cell>
          <cell r="E25" t="str">
            <v>Ma Nam Boih Colt</v>
          </cell>
          <cell r="F25" t="str">
            <v>09-765181748
09-885665565</v>
          </cell>
          <cell r="G25" t="str">
            <v>မင်္ဂလာတောင်ညွန့်</v>
          </cell>
          <cell r="H25" t="str">
            <v>အမှတ် (၁၉)၊ မြေညီထပ်၊ (၁၂၃) လမ်း၊ မင်္ဂလာတောင်ညွန့်မြို့နယ်</v>
          </cell>
          <cell r="I25" t="str">
            <v>-</v>
          </cell>
          <cell r="J25">
            <v>4500</v>
          </cell>
          <cell r="K25">
            <v>4500</v>
          </cell>
          <cell r="L25">
            <v>4000</v>
          </cell>
          <cell r="M25">
            <v>4500</v>
          </cell>
          <cell r="N25">
            <v>7</v>
          </cell>
          <cell r="O25">
            <v>2000</v>
          </cell>
          <cell r="P25">
            <v>6500</v>
          </cell>
        </row>
        <row r="26">
          <cell r="C26" t="str">
            <v>D0905-GRS-020</v>
          </cell>
          <cell r="D26" t="str">
            <v>GRS Express</v>
          </cell>
          <cell r="E26" t="str">
            <v>မပန်းအိခန့်</v>
          </cell>
          <cell r="F26" t="str">
            <v>09-661970340</v>
          </cell>
          <cell r="G26" t="str">
            <v>သင်္ဃန်းကျွန်း</v>
          </cell>
          <cell r="H26" t="str">
            <v>သမာဓိ (၁) လမ်း၊ သင်္ဃန်းကျွန်းမြို့နယ်</v>
          </cell>
          <cell r="I26">
            <v>57500</v>
          </cell>
          <cell r="J26">
            <v>4500</v>
          </cell>
          <cell r="K26">
            <v>62000</v>
          </cell>
          <cell r="L26">
            <v>4000</v>
          </cell>
          <cell r="M26">
            <v>4500</v>
          </cell>
          <cell r="O26" t="str">
            <v>-</v>
          </cell>
          <cell r="P26">
            <v>62000</v>
          </cell>
        </row>
        <row r="27">
          <cell r="C27" t="str">
            <v>D0905-GRS-021</v>
          </cell>
          <cell r="D27" t="str">
            <v>GRS Express</v>
          </cell>
          <cell r="E27" t="str">
            <v>Ma Saung Hay Mar Htoo</v>
          </cell>
          <cell r="F27" t="str">
            <v>09-785775819</v>
          </cell>
          <cell r="G27" t="str">
            <v>လသာ</v>
          </cell>
          <cell r="H27" t="str">
            <v>အမှတ် (၁၂၆/၁၂၈)၊ (၁၈) လမ်းဈေး၊ တရုတ်တန်း၊ လသာမြို့နယ်</v>
          </cell>
          <cell r="I27">
            <v>72000</v>
          </cell>
          <cell r="J27">
            <v>4500</v>
          </cell>
          <cell r="K27">
            <v>76500</v>
          </cell>
          <cell r="L27">
            <v>4000</v>
          </cell>
          <cell r="M27">
            <v>4500</v>
          </cell>
          <cell r="O27" t="str">
            <v>-</v>
          </cell>
          <cell r="P27">
            <v>76500</v>
          </cell>
        </row>
        <row r="28">
          <cell r="C28" t="str">
            <v>D0905-GRS-022</v>
          </cell>
          <cell r="D28" t="str">
            <v>GRS Express</v>
          </cell>
          <cell r="E28" t="str">
            <v>Thu Zar Khaing</v>
          </cell>
          <cell r="F28" t="str">
            <v>09-254534690</v>
          </cell>
          <cell r="G28" t="str">
            <v>စမ်းချောင်း</v>
          </cell>
          <cell r="H28" t="str">
            <v>စမ်းချောင်းဂါးဒန်းကွန်ဒို၊ အမှတ် (၁၀၄)၊ စမ်းချောင်းလမ်း၊ စမ်းချောင်းမြို့နယ်</v>
          </cell>
          <cell r="I28">
            <v>72500</v>
          </cell>
          <cell r="J28" t="str">
            <v>-</v>
          </cell>
          <cell r="K28">
            <v>72500</v>
          </cell>
          <cell r="L28">
            <v>4000</v>
          </cell>
          <cell r="M28" t="str">
            <v>-</v>
          </cell>
          <cell r="O28" t="str">
            <v>-</v>
          </cell>
          <cell r="P28">
            <v>72500</v>
          </cell>
        </row>
        <row r="29">
          <cell r="C29" t="str">
            <v>D0905-GRS-023</v>
          </cell>
          <cell r="D29" t="str">
            <v>GRS Express</v>
          </cell>
          <cell r="E29" t="str">
            <v>Ma Mya Zin Aung</v>
          </cell>
          <cell r="F29" t="str">
            <v>09-443153277</v>
          </cell>
          <cell r="G29" t="str">
            <v>မင်္ဂလာတောင်ညွန့်</v>
          </cell>
          <cell r="H29" t="str">
            <v>အမှတ် (၇)၊ ယုဇနလမ်း၊ (ယုဇနပလာဇာအနောက်ဘက်)၊ မင်္ဂလာတောင်ညွန့်မြို့နယ်</v>
          </cell>
          <cell r="I29">
            <v>85500</v>
          </cell>
          <cell r="J29">
            <v>4500</v>
          </cell>
          <cell r="K29">
            <v>90000</v>
          </cell>
          <cell r="L29">
            <v>4000</v>
          </cell>
          <cell r="M29">
            <v>4500</v>
          </cell>
          <cell r="O29" t="str">
            <v>-</v>
          </cell>
          <cell r="P29">
            <v>90000</v>
          </cell>
        </row>
        <row r="30">
          <cell r="C30" t="str">
            <v>D0905-GRS-024</v>
          </cell>
          <cell r="D30" t="str">
            <v>GRS Express</v>
          </cell>
          <cell r="E30" t="str">
            <v>Si Si</v>
          </cell>
          <cell r="F30" t="str">
            <v>09-785142426</v>
          </cell>
          <cell r="G30" t="str">
            <v>ဗဟန်း</v>
          </cell>
          <cell r="H30" t="str">
            <v>အမှတ် (၁၈၁)၊ ဗိုလ်မှူးအောင်လမ်း၊ ဗိုလ်စိန်မှန်ရပ်ကွက်၊ ဗဟန်းမြို့နယ်</v>
          </cell>
          <cell r="I30">
            <v>75500</v>
          </cell>
          <cell r="J30" t="str">
            <v>-</v>
          </cell>
          <cell r="K30">
            <v>75500</v>
          </cell>
          <cell r="L30">
            <v>4000</v>
          </cell>
          <cell r="M30" t="str">
            <v>-</v>
          </cell>
          <cell r="O30" t="str">
            <v>-</v>
          </cell>
          <cell r="P30">
            <v>75500</v>
          </cell>
        </row>
        <row r="31">
          <cell r="C31" t="str">
            <v>D0905-GRS-025</v>
          </cell>
          <cell r="D31" t="str">
            <v>GRS Express</v>
          </cell>
          <cell r="E31" t="str">
            <v>Khin Cho Cho</v>
          </cell>
          <cell r="F31" t="str">
            <v>09-403708435</v>
          </cell>
          <cell r="G31" t="str">
            <v>စမ်းချောင်း</v>
          </cell>
          <cell r="H31" t="str">
            <v>အမှတ် (၁၈)၊ ကျွန်းတောလမ်း၊ စမ်းချောင်းမြို့နယ်</v>
          </cell>
          <cell r="I31">
            <v>50000</v>
          </cell>
          <cell r="J31" t="str">
            <v>-</v>
          </cell>
          <cell r="K31">
            <v>50000</v>
          </cell>
          <cell r="L31">
            <v>4000</v>
          </cell>
          <cell r="M31" t="str">
            <v>-</v>
          </cell>
          <cell r="O31" t="str">
            <v>-</v>
          </cell>
          <cell r="P31">
            <v>50000</v>
          </cell>
        </row>
        <row r="32">
          <cell r="C32" t="str">
            <v>D0905-GRS-026</v>
          </cell>
          <cell r="D32" t="str">
            <v>GRS Express</v>
          </cell>
          <cell r="E32" t="str">
            <v>Ei Phyo</v>
          </cell>
          <cell r="F32" t="str">
            <v>09-979760118</v>
          </cell>
          <cell r="G32" t="str">
            <v>တာမွေ</v>
          </cell>
          <cell r="H32" t="str">
            <v>Sky Star Hotel၊ အရှေ့မြင်းပြိုင်ကွင်း၊ တာမွေမြို့နယ်</v>
          </cell>
          <cell r="I32">
            <v>71500</v>
          </cell>
          <cell r="J32" t="str">
            <v>-</v>
          </cell>
          <cell r="K32">
            <v>71500</v>
          </cell>
          <cell r="L32">
            <v>4000</v>
          </cell>
          <cell r="M32" t="str">
            <v>-</v>
          </cell>
          <cell r="O32" t="str">
            <v>-</v>
          </cell>
          <cell r="P32">
            <v>71500</v>
          </cell>
        </row>
        <row r="33">
          <cell r="C33" t="str">
            <v>D0905-GRS-027</v>
          </cell>
          <cell r="D33" t="str">
            <v>GRS Express</v>
          </cell>
          <cell r="E33" t="str">
            <v>Ki Kie</v>
          </cell>
          <cell r="F33" t="str">
            <v>09-789568730</v>
          </cell>
          <cell r="G33" t="str">
            <v>အလုံ</v>
          </cell>
          <cell r="H33" t="str">
            <v>River View Point ကွန်ဒို၊ အမှတ် (3B)၊ ကမ်းနားလမ်း နှင့် သစ်တောလမ်းထောင့်၊ အလုံမြို့နယ်</v>
          </cell>
          <cell r="I33">
            <v>39000</v>
          </cell>
          <cell r="J33">
            <v>4500</v>
          </cell>
          <cell r="K33">
            <v>43500</v>
          </cell>
          <cell r="L33">
            <v>4000</v>
          </cell>
          <cell r="M33">
            <v>4500</v>
          </cell>
          <cell r="O33" t="str">
            <v>-</v>
          </cell>
          <cell r="P33">
            <v>43500</v>
          </cell>
        </row>
        <row r="34">
          <cell r="C34" t="str">
            <v>D0905-GRS-028</v>
          </cell>
          <cell r="D34" t="str">
            <v>GRS Express</v>
          </cell>
          <cell r="E34" t="str">
            <v>Ma Shirley Ohara</v>
          </cell>
          <cell r="F34" t="str">
            <v>09-424398559</v>
          </cell>
          <cell r="G34" t="str">
            <v>ဒဂုံ</v>
          </cell>
          <cell r="H34" t="str">
            <v>Park Royal ဟိုတယ်ရှေ့၊ အလံပြဘုရားလမ်း၊ ဒဂုံမြို့နယ်</v>
          </cell>
          <cell r="I34">
            <v>31500</v>
          </cell>
          <cell r="J34">
            <v>4500</v>
          </cell>
          <cell r="K34">
            <v>36000</v>
          </cell>
          <cell r="L34">
            <v>4000</v>
          </cell>
          <cell r="M34">
            <v>4500</v>
          </cell>
          <cell r="O34" t="str">
            <v>-</v>
          </cell>
          <cell r="P34">
            <v>36000</v>
          </cell>
        </row>
        <row r="35">
          <cell r="C35" t="str">
            <v>D0905-GRS-029</v>
          </cell>
          <cell r="D35" t="str">
            <v>GRS Express</v>
          </cell>
          <cell r="E35" t="str">
            <v>Ma Tha Zin</v>
          </cell>
          <cell r="F35" t="str">
            <v>09-253993135</v>
          </cell>
          <cell r="G35" t="str">
            <v>သင်္ဃန်းကျွန်း</v>
          </cell>
          <cell r="H35" t="str">
            <v>အမှတ် (1090A)၊ သုမန (၁) လမ်း၊ (၁၆/၄) ရပ်ကွက်၊ သင်္ဃန်းကျွန်းမြို့နယ်</v>
          </cell>
          <cell r="I35">
            <v>108000</v>
          </cell>
          <cell r="J35">
            <v>4500</v>
          </cell>
          <cell r="K35">
            <v>112500</v>
          </cell>
          <cell r="L35">
            <v>4000</v>
          </cell>
          <cell r="M35">
            <v>4500</v>
          </cell>
          <cell r="O35" t="str">
            <v>-</v>
          </cell>
          <cell r="P35">
            <v>112500</v>
          </cell>
        </row>
        <row r="36">
          <cell r="C36" t="str">
            <v>D0905-GRS-030</v>
          </cell>
          <cell r="D36" t="str">
            <v>GRS Express</v>
          </cell>
          <cell r="E36" t="str">
            <v>AKar</v>
          </cell>
          <cell r="F36" t="str">
            <v>09-786669216</v>
          </cell>
          <cell r="G36" t="str">
            <v>ပန်းဘဲတန်း</v>
          </cell>
          <cell r="H36" t="str">
            <v>(၂၈) လမ်း၊ အလယ်ဘလောက်၊ (သိမ်ကြီးဈေးအနီး)၊ ပန်းဘဲတန်းမြို့နယ်</v>
          </cell>
          <cell r="I36">
            <v>87000</v>
          </cell>
          <cell r="J36">
            <v>4500</v>
          </cell>
          <cell r="K36">
            <v>91500</v>
          </cell>
          <cell r="L36">
            <v>4000</v>
          </cell>
          <cell r="M36">
            <v>4500</v>
          </cell>
          <cell r="O36" t="str">
            <v>-</v>
          </cell>
          <cell r="P36">
            <v>91500</v>
          </cell>
        </row>
        <row r="37">
          <cell r="C37" t="str">
            <v>D0905-GRS-031</v>
          </cell>
          <cell r="D37" t="str">
            <v>GRS Express</v>
          </cell>
          <cell r="E37" t="str">
            <v>Ma Kay Kay</v>
          </cell>
          <cell r="F37" t="str">
            <v>09-792887587</v>
          </cell>
          <cell r="G37" t="str">
            <v>သင်္ဃန်းကျွန်း</v>
          </cell>
          <cell r="H37" t="str">
            <v>အမှတ် (၅၂၀)၊ ငမိုးရိပ် (၄) လမ်း (အပိုင်း ၄)၊ သင်္ဃန်းကျွန်းမြို့နယ်</v>
          </cell>
          <cell r="I37">
            <v>70500</v>
          </cell>
          <cell r="J37">
            <v>4500</v>
          </cell>
          <cell r="K37">
            <v>75000</v>
          </cell>
          <cell r="L37">
            <v>4000</v>
          </cell>
          <cell r="M37">
            <v>4500</v>
          </cell>
          <cell r="O37" t="str">
            <v>-</v>
          </cell>
          <cell r="P37">
            <v>75000</v>
          </cell>
        </row>
        <row r="38">
          <cell r="C38" t="str">
            <v>D0905-GRS-032</v>
          </cell>
          <cell r="D38" t="str">
            <v>GRS Express</v>
          </cell>
          <cell r="E38" t="str">
            <v>Ma Khine Khine</v>
          </cell>
          <cell r="F38" t="str">
            <v>09-795400758
09-967072338</v>
          </cell>
          <cell r="G38" t="str">
            <v>ကျောက်တံတား</v>
          </cell>
          <cell r="H38" t="str">
            <v>အမှတ် (၂၈၂)၊ (၃၉) လမ်း၊ အထက်ဘလောက်၊ ကျောက်တံတားမြို့နယ်</v>
          </cell>
          <cell r="I38">
            <v>128000</v>
          </cell>
          <cell r="J38">
            <v>4500</v>
          </cell>
          <cell r="K38">
            <v>132500</v>
          </cell>
          <cell r="L38">
            <v>4000</v>
          </cell>
          <cell r="M38">
            <v>4500</v>
          </cell>
          <cell r="O38" t="str">
            <v>-</v>
          </cell>
          <cell r="P38">
            <v>132500</v>
          </cell>
        </row>
        <row r="39">
          <cell r="C39" t="str">
            <v>D0905-GRS-033</v>
          </cell>
          <cell r="D39" t="str">
            <v>GRS Express</v>
          </cell>
          <cell r="E39" t="str">
            <v>Seine Moh Moh Oo</v>
          </cell>
          <cell r="F39" t="str">
            <v>09-799962416</v>
          </cell>
          <cell r="G39" t="str">
            <v>ဒေါပုံ</v>
          </cell>
          <cell r="H39" t="str">
            <v>အမှတ် (၂၇၇)၊ (၁၃) လမ်း၊ ယမုံနာ (၁) ရပ်ကွက်၊ ဒေါပုံမြို့နယ်</v>
          </cell>
          <cell r="I39">
            <v>83500</v>
          </cell>
          <cell r="J39" t="str">
            <v>-</v>
          </cell>
          <cell r="K39">
            <v>83500</v>
          </cell>
          <cell r="L39">
            <v>4000</v>
          </cell>
          <cell r="M39" t="str">
            <v>-</v>
          </cell>
          <cell r="O39" t="str">
            <v>-</v>
          </cell>
          <cell r="P39">
            <v>83500</v>
          </cell>
        </row>
        <row r="40">
          <cell r="C40" t="str">
            <v>D0905-GRS-034</v>
          </cell>
          <cell r="D40" t="str">
            <v>GRS Express</v>
          </cell>
          <cell r="E40" t="str">
            <v>Alexander Queen</v>
          </cell>
          <cell r="F40" t="str">
            <v>09-421154705</v>
          </cell>
          <cell r="G40" t="str">
            <v>ပန်းဘဲတန်း</v>
          </cell>
          <cell r="H40" t="str">
            <v>အမှတ် (၁၆၂)၊ (၃၀) လမ်း၊ အလယ်ဘလောက်၊ ပန်းဘဲတန်းမြို့နယ်</v>
          </cell>
          <cell r="I40">
            <v>34500</v>
          </cell>
          <cell r="J40">
            <v>4500</v>
          </cell>
          <cell r="K40">
            <v>39000</v>
          </cell>
          <cell r="L40">
            <v>4000</v>
          </cell>
          <cell r="M40">
            <v>4500</v>
          </cell>
          <cell r="O40" t="str">
            <v>-</v>
          </cell>
          <cell r="P40">
            <v>39000</v>
          </cell>
        </row>
        <row r="41">
          <cell r="C41" t="str">
            <v>D0905-GRS-035</v>
          </cell>
          <cell r="D41" t="str">
            <v>GRS Express</v>
          </cell>
          <cell r="E41" t="str">
            <v>Soe Thiri Hlaing/မမိုသီရိလှိုင်</v>
          </cell>
          <cell r="F41" t="str">
            <v>09-960530422</v>
          </cell>
          <cell r="G41" t="str">
            <v>ကျောက်တံတား</v>
          </cell>
          <cell r="H41" t="str">
            <v>တိုက် (၂၂)၊ ဘဏ်လမ်း နှင့် (၃၅) လမ်းထောင့် (အောက်ဘလောက်)၊ (၂) ရပ်ကွက်၊ ကျောက်တံတားမြို့နယ်</v>
          </cell>
          <cell r="I41">
            <v>33000</v>
          </cell>
          <cell r="J41" t="str">
            <v>-</v>
          </cell>
          <cell r="K41">
            <v>33000</v>
          </cell>
          <cell r="L41">
            <v>4000</v>
          </cell>
          <cell r="M41" t="str">
            <v>-</v>
          </cell>
          <cell r="O41" t="str">
            <v>-</v>
          </cell>
          <cell r="P41">
            <v>33000</v>
          </cell>
        </row>
        <row r="42">
          <cell r="C42" t="str">
            <v>D0905-GRS-036</v>
          </cell>
          <cell r="D42" t="str">
            <v>GRS Express</v>
          </cell>
          <cell r="E42" t="str">
            <v>Daw HoH HoH Linn</v>
          </cell>
          <cell r="F42" t="str">
            <v>09-420736387</v>
          </cell>
          <cell r="G42" t="str">
            <v>သင်္ဃန်းကျွန်း</v>
          </cell>
          <cell r="H42" t="str">
            <v>အမှတ် (၃၂)၊ စံပြ (၇) လမ်း၊ သင်္ဃန်းကျွန်းမြို့နယ်</v>
          </cell>
          <cell r="I42">
            <v>81000</v>
          </cell>
          <cell r="J42">
            <v>4500</v>
          </cell>
          <cell r="K42">
            <v>85500</v>
          </cell>
          <cell r="L42">
            <v>4000</v>
          </cell>
          <cell r="M42">
            <v>4500</v>
          </cell>
          <cell r="O42" t="str">
            <v>-</v>
          </cell>
          <cell r="P42">
            <v>85500</v>
          </cell>
        </row>
        <row r="43">
          <cell r="C43" t="str">
            <v>D0905-GRS-037</v>
          </cell>
          <cell r="D43" t="str">
            <v>GRS Express</v>
          </cell>
          <cell r="E43" t="str">
            <v>Ma Nila Tun</v>
          </cell>
          <cell r="F43" t="str">
            <v>09-795673354</v>
          </cell>
          <cell r="G43" t="str">
            <v>စမ်းချောင်း</v>
          </cell>
          <cell r="H43" t="str">
            <v>အမှတ် (၁၇)၊ ဈေးလမ်း၊ မြေနီကုန်း၊ စမ်းချောင်းမြို့နယ်</v>
          </cell>
          <cell r="I43">
            <v>32500</v>
          </cell>
          <cell r="J43">
            <v>4500</v>
          </cell>
          <cell r="K43">
            <v>37000</v>
          </cell>
          <cell r="L43">
            <v>4000</v>
          </cell>
          <cell r="M43">
            <v>4500</v>
          </cell>
          <cell r="O43" t="str">
            <v>-</v>
          </cell>
          <cell r="P43">
            <v>37000</v>
          </cell>
        </row>
        <row r="44">
          <cell r="C44" t="str">
            <v>D0905-GRS-038</v>
          </cell>
          <cell r="D44" t="str">
            <v>GRS Express</v>
          </cell>
          <cell r="E44" t="str">
            <v>Sha Sha Thapa/ဒေါ်ရှား</v>
          </cell>
          <cell r="F44" t="str">
            <v>09-772797821</v>
          </cell>
          <cell r="G44" t="str">
            <v>တာမွေ</v>
          </cell>
          <cell r="H44" t="str">
            <v>အခန်း (၂၀၂)၊ မြလေးရုံလမ်း၊ မင်္ဂလာတောင်ညွန့်ရပ်ကွက်၊ တာမွေမြို့နယ်</v>
          </cell>
          <cell r="I44">
            <v>57500</v>
          </cell>
          <cell r="J44" t="str">
            <v>-</v>
          </cell>
          <cell r="K44">
            <v>57500</v>
          </cell>
          <cell r="L44">
            <v>4000</v>
          </cell>
          <cell r="M44" t="str">
            <v>-</v>
          </cell>
          <cell r="O44" t="str">
            <v>-</v>
          </cell>
          <cell r="P44">
            <v>57500</v>
          </cell>
        </row>
        <row r="45">
          <cell r="C45" t="str">
            <v>D0905-GRS-039</v>
          </cell>
          <cell r="D45" t="str">
            <v>GRS Express</v>
          </cell>
          <cell r="E45" t="str">
            <v>Nang Phyu Phyu Wie</v>
          </cell>
          <cell r="F45" t="str">
            <v>09-43041865</v>
          </cell>
          <cell r="G45" t="str">
            <v>ပုဇွန်တောင်</v>
          </cell>
          <cell r="H45" t="str">
            <v>အမှတ် (၁၃)၊ ပထမထပ်၊ မဟာသုခလမ်း၊ ပုဇွန်တောင်မြို့နယ်</v>
          </cell>
          <cell r="I45">
            <v>20500</v>
          </cell>
          <cell r="J45">
            <v>4500</v>
          </cell>
          <cell r="K45">
            <v>25000</v>
          </cell>
          <cell r="L45">
            <v>4000</v>
          </cell>
          <cell r="M45">
            <v>4500</v>
          </cell>
          <cell r="O45" t="str">
            <v>-</v>
          </cell>
          <cell r="P45">
            <v>25000</v>
          </cell>
        </row>
        <row r="46">
          <cell r="C46" t="str">
            <v>D0905-GRS-040</v>
          </cell>
          <cell r="D46" t="str">
            <v>GRS Express</v>
          </cell>
          <cell r="E46" t="str">
            <v>Ma La Pyae</v>
          </cell>
          <cell r="F46" t="str">
            <v>09-448021443</v>
          </cell>
          <cell r="G46" t="str">
            <v>မင်္ဂလာတောင်ညွန့်</v>
          </cell>
          <cell r="H46" t="str">
            <v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v>
          </cell>
          <cell r="I46">
            <v>36500</v>
          </cell>
          <cell r="J46">
            <v>4500</v>
          </cell>
          <cell r="K46">
            <v>41000</v>
          </cell>
          <cell r="L46">
            <v>4000</v>
          </cell>
          <cell r="M46">
            <v>4500</v>
          </cell>
          <cell r="O46" t="str">
            <v>-</v>
          </cell>
          <cell r="P46">
            <v>41000</v>
          </cell>
        </row>
        <row r="47">
          <cell r="C47" t="str">
            <v>D0905-GRS-041</v>
          </cell>
          <cell r="D47" t="str">
            <v>GRS Express</v>
          </cell>
          <cell r="E47" t="str">
            <v>Ma Thi Dar</v>
          </cell>
          <cell r="F47" t="str">
            <v>09-408188910</v>
          </cell>
          <cell r="G47" t="str">
            <v>ရန်ကင်း</v>
          </cell>
          <cell r="H47" t="str">
            <v>(ရန်ကင်းစင်တာအနီး)၊ ရန်ကင်းမြို့နယ်</v>
          </cell>
          <cell r="I47">
            <v>38000</v>
          </cell>
          <cell r="J47">
            <v>4500</v>
          </cell>
          <cell r="K47">
            <v>42500</v>
          </cell>
          <cell r="L47">
            <v>4000</v>
          </cell>
          <cell r="M47">
            <v>4500</v>
          </cell>
          <cell r="O47" t="str">
            <v>-</v>
          </cell>
          <cell r="P47">
            <v>42500</v>
          </cell>
        </row>
        <row r="48">
          <cell r="C48" t="str">
            <v>D0905-GRS-042</v>
          </cell>
          <cell r="D48" t="str">
            <v>GRS Express</v>
          </cell>
          <cell r="E48" t="str">
            <v>Toe/ဒေါ်တိုးတိုးနောင်</v>
          </cell>
          <cell r="F48" t="str">
            <v>09-250151162</v>
          </cell>
          <cell r="G48" t="str">
            <v>ဗဟန်း</v>
          </cell>
          <cell r="H48" t="str">
            <v>တိုက် (၄၇)၊ အခန်း (B)၊ (၄) လွှာ၊ ဗဟန်း (၃) လမ်း၊ ရွှေတိဂုံ (အရှေ့ဘက်မုခ်)၊ ဗဟန်းမြို့နယ်</v>
          </cell>
          <cell r="I48">
            <v>65500</v>
          </cell>
          <cell r="J48" t="str">
            <v>-</v>
          </cell>
          <cell r="K48">
            <v>65500</v>
          </cell>
          <cell r="L48">
            <v>4000</v>
          </cell>
          <cell r="M48" t="str">
            <v>-</v>
          </cell>
          <cell r="O48" t="str">
            <v>-</v>
          </cell>
          <cell r="P48">
            <v>65500</v>
          </cell>
        </row>
        <row r="49">
          <cell r="C49" t="str">
            <v>D0905-GRS-043</v>
          </cell>
          <cell r="D49" t="str">
            <v>GRS Express</v>
          </cell>
          <cell r="E49" t="str">
            <v>Ma May Thandar Shwe</v>
          </cell>
          <cell r="F49" t="str">
            <v>09-2024016</v>
          </cell>
          <cell r="G49" t="str">
            <v>သင်္ဃန်းကျွန်း</v>
          </cell>
          <cell r="H49" t="str">
            <v>တရားရေးအိမ်ရာ၊ လွတ်လပ်ရေးလမ်း၊ သင်္ဃန်းကျွန်းမြို့နယ်</v>
          </cell>
          <cell r="I49">
            <v>55000</v>
          </cell>
          <cell r="J49">
            <v>4500</v>
          </cell>
          <cell r="K49">
            <v>59500</v>
          </cell>
          <cell r="L49">
            <v>4000</v>
          </cell>
          <cell r="M49">
            <v>4500</v>
          </cell>
          <cell r="O49" t="str">
            <v>-</v>
          </cell>
          <cell r="P49">
            <v>59500</v>
          </cell>
        </row>
        <row r="50">
          <cell r="C50" t="str">
            <v>D0905-GRS-044</v>
          </cell>
          <cell r="D50" t="str">
            <v>GRS Express</v>
          </cell>
          <cell r="E50" t="str">
            <v>Ma Hlaing</v>
          </cell>
          <cell r="F50" t="str">
            <v>09-263642946</v>
          </cell>
          <cell r="G50" t="str">
            <v>သင်္ဃန်းကျွန်း</v>
          </cell>
          <cell r="H50" t="str">
            <v>အမှတ် (25A)၊ အောင်ဇေယျလမ်း (ညာဘက်ခြမ်း)၊ ရန်ကုန်သစ်ရပ်ကွက်၊ သုဝဏ္ဏ၊ သင်္ဃန်းကျွန်းမြို့နယ်</v>
          </cell>
          <cell r="I50" t="str">
            <v>-</v>
          </cell>
          <cell r="J50">
            <v>4500</v>
          </cell>
          <cell r="K50">
            <v>4500</v>
          </cell>
          <cell r="L50">
            <v>4000</v>
          </cell>
          <cell r="M50">
            <v>4500</v>
          </cell>
          <cell r="N50">
            <v>5</v>
          </cell>
          <cell r="O50">
            <v>1000</v>
          </cell>
          <cell r="P50">
            <v>5500</v>
          </cell>
        </row>
        <row r="51">
          <cell r="C51" t="str">
            <v>D0905-GRS-045</v>
          </cell>
          <cell r="D51" t="str">
            <v>GRS Express</v>
          </cell>
          <cell r="E51" t="str">
            <v>Khin Myo Khaing</v>
          </cell>
          <cell r="F51" t="str">
            <v>09-955636691</v>
          </cell>
          <cell r="G51" t="str">
            <v>ဗဟန်း</v>
          </cell>
          <cell r="H51" t="str">
            <v>အမှတ် (၁၄)၊ ဗိုလ်မှူးအောင်လမ်း၊ ဗိုလ်စိန်မှန်ရပ်ကွက်၊ ဗဟန်းမြို့နယ်</v>
          </cell>
          <cell r="I51">
            <v>35000</v>
          </cell>
          <cell r="J51" t="str">
            <v>-</v>
          </cell>
          <cell r="K51">
            <v>35000</v>
          </cell>
          <cell r="L51">
            <v>4000</v>
          </cell>
          <cell r="M51" t="str">
            <v>-</v>
          </cell>
          <cell r="O51" t="str">
            <v>-</v>
          </cell>
          <cell r="P51">
            <v>35000</v>
          </cell>
        </row>
        <row r="52">
          <cell r="C52" t="str">
            <v>D0905-GRS-046</v>
          </cell>
          <cell r="D52" t="str">
            <v>GRS Express</v>
          </cell>
          <cell r="E52" t="str">
            <v>Suzy Aung</v>
          </cell>
          <cell r="F52" t="str">
            <v>09-421165179</v>
          </cell>
          <cell r="G52" t="str">
            <v>သင်္ဃန်းကျွန်း</v>
          </cell>
          <cell r="H52" t="str">
            <v>အမှတ် (၉၉)၊ စံပြ (၅) လမ်း၊ သင်္ဃန်းကျွန်းမြို့နယ်</v>
          </cell>
          <cell r="I52">
            <v>79500</v>
          </cell>
          <cell r="J52">
            <v>4500</v>
          </cell>
          <cell r="K52">
            <v>84000</v>
          </cell>
          <cell r="L52">
            <v>4000</v>
          </cell>
          <cell r="M52">
            <v>4500</v>
          </cell>
          <cell r="O52" t="str">
            <v>-</v>
          </cell>
          <cell r="P52">
            <v>84000</v>
          </cell>
        </row>
        <row r="53">
          <cell r="C53" t="str">
            <v>D0905-GRS-047</v>
          </cell>
          <cell r="D53" t="str">
            <v>GRS Express</v>
          </cell>
          <cell r="E53" t="str">
            <v>Ma Su Myat Wai Wai</v>
          </cell>
          <cell r="F53" t="str">
            <v>09-783088533
09-968305609</v>
          </cell>
          <cell r="G53" t="str">
            <v>ဒဂုံ</v>
          </cell>
          <cell r="H53" t="str">
            <v>Natural World Co., Ltd၊ ပြည်သူ့ရင်ပြင်၊ ဓမ္မစေတီလမ်း၊ ဒဂုံမြို့နယ်</v>
          </cell>
          <cell r="I53">
            <v>31500</v>
          </cell>
          <cell r="J53">
            <v>4500</v>
          </cell>
          <cell r="K53">
            <v>36000</v>
          </cell>
          <cell r="L53">
            <v>4000</v>
          </cell>
          <cell r="M53">
            <v>4500</v>
          </cell>
          <cell r="O53" t="str">
            <v>-</v>
          </cell>
          <cell r="P53">
            <v>36000</v>
          </cell>
        </row>
        <row r="54">
          <cell r="C54" t="str">
            <v>D0905-GRS-048</v>
          </cell>
          <cell r="D54" t="str">
            <v>GRS Express</v>
          </cell>
          <cell r="E54" t="str">
            <v>Ma Swe Swe Pyone</v>
          </cell>
          <cell r="F54" t="str">
            <v>09-5042448</v>
          </cell>
          <cell r="G54" t="str">
            <v>စမ်းချောင်း</v>
          </cell>
          <cell r="H54" t="str">
            <v>KMD Computer Center၊ အမှတ် (၃၃၁)၊ ပြည်လမ်း၊ (မဟာမြိုင်မှတ်တိုင်အနီး)၊ စမ်းချောင်းမြို့နယ်</v>
          </cell>
          <cell r="I54">
            <v>22000</v>
          </cell>
          <cell r="J54">
            <v>4500</v>
          </cell>
          <cell r="K54">
            <v>26500</v>
          </cell>
          <cell r="L54">
            <v>4000</v>
          </cell>
          <cell r="M54">
            <v>4500</v>
          </cell>
          <cell r="O54" t="str">
            <v>-</v>
          </cell>
          <cell r="P54">
            <v>26500</v>
          </cell>
        </row>
        <row r="55">
          <cell r="C55" t="str">
            <v>D0905-GRS-049</v>
          </cell>
          <cell r="D55" t="str">
            <v>GRS Express</v>
          </cell>
          <cell r="E55" t="str">
            <v>Ma Yee Yee</v>
          </cell>
          <cell r="F55" t="str">
            <v>09-420069164</v>
          </cell>
          <cell r="G55" t="str">
            <v>လသာ</v>
          </cell>
          <cell r="H55" t="str">
            <v>ရန်ကုန်ဆေးရုံကြီး (အရေးပေါ်ပေါက်)၊ လသာမြို့နယ်</v>
          </cell>
          <cell r="I55">
            <v>33500</v>
          </cell>
          <cell r="J55">
            <v>4500</v>
          </cell>
          <cell r="K55">
            <v>38000</v>
          </cell>
          <cell r="L55">
            <v>4000</v>
          </cell>
          <cell r="M55">
            <v>4500</v>
          </cell>
          <cell r="O55" t="str">
            <v>-</v>
          </cell>
          <cell r="P55">
            <v>38000</v>
          </cell>
        </row>
        <row r="56">
          <cell r="C56" t="str">
            <v>D0905-GRS-050</v>
          </cell>
          <cell r="D56" t="str">
            <v>GRS Express</v>
          </cell>
          <cell r="E56" t="str">
            <v>Ma Aye Nu</v>
          </cell>
          <cell r="F56" t="str">
            <v>09-651650897</v>
          </cell>
          <cell r="G56" t="str">
            <v>ဒေါပုံ</v>
          </cell>
          <cell r="H56" t="str">
            <v>အမှတ် (၂၁၅)၊ မာလာနွယ်လမ်းတို၊ နွယ်အေးရပ်ကွက်၊ ဒေါပုံမြို့နယ်</v>
          </cell>
          <cell r="I56">
            <v>30500</v>
          </cell>
          <cell r="J56">
            <v>4500</v>
          </cell>
          <cell r="K56">
            <v>35000</v>
          </cell>
          <cell r="L56">
            <v>4000</v>
          </cell>
          <cell r="M56">
            <v>4500</v>
          </cell>
          <cell r="O56" t="str">
            <v>-</v>
          </cell>
          <cell r="P56">
            <v>35000</v>
          </cell>
        </row>
        <row r="57">
          <cell r="C57" t="str">
            <v>D0905-GRS-051</v>
          </cell>
          <cell r="D57" t="str">
            <v>GRS Express</v>
          </cell>
          <cell r="E57" t="str">
            <v>Ma Aye Thandar Kyaw</v>
          </cell>
          <cell r="F57" t="str">
            <v>09-5413452</v>
          </cell>
          <cell r="G57" t="str">
            <v>ဒေါပုံ</v>
          </cell>
          <cell r="H57" t="str">
            <v>အမှတ် (၂၁)၊ ဇေယျာသီရိလမ်း၊ ဗိုလ်ထွန်းဇံရပ်ကွက်၊ ဒေါပုံမြို့နယ်</v>
          </cell>
          <cell r="I57">
            <v>69000</v>
          </cell>
          <cell r="J57">
            <v>4500</v>
          </cell>
          <cell r="K57">
            <v>73500</v>
          </cell>
          <cell r="L57">
            <v>4000</v>
          </cell>
          <cell r="M57">
            <v>4500</v>
          </cell>
          <cell r="O57" t="str">
            <v>-</v>
          </cell>
          <cell r="P57">
            <v>73500</v>
          </cell>
        </row>
        <row r="58">
          <cell r="C58" t="str">
            <v>D0905-GRS-052</v>
          </cell>
          <cell r="D58" t="str">
            <v>GRS Express</v>
          </cell>
          <cell r="E58" t="str">
            <v>Ma Moon Nwe Ni</v>
          </cell>
          <cell r="F58" t="str">
            <v>09-43157446</v>
          </cell>
          <cell r="G58" t="str">
            <v>ဗဟန်း</v>
          </cell>
          <cell r="H58" t="str">
            <v>အမှတ် (၃၆)၊ မေယုလမ်း၊ ဆရာစံ (တောင်) စံပြရပ်ကွက်၊ ဗဟန်းမြို့နယ်</v>
          </cell>
          <cell r="I58">
            <v>44000</v>
          </cell>
          <cell r="J58">
            <v>4500</v>
          </cell>
          <cell r="K58">
            <v>48500</v>
          </cell>
          <cell r="L58">
            <v>4000</v>
          </cell>
          <cell r="M58">
            <v>4500</v>
          </cell>
          <cell r="O58" t="str">
            <v>-</v>
          </cell>
          <cell r="P58">
            <v>48500</v>
          </cell>
        </row>
        <row r="59">
          <cell r="C59" t="str">
            <v>D0905-GRS-053</v>
          </cell>
          <cell r="D59" t="str">
            <v>GRS Express</v>
          </cell>
          <cell r="E59" t="str">
            <v>Ma Win Mon</v>
          </cell>
          <cell r="F59" t="str">
            <v>09-420940664</v>
          </cell>
          <cell r="G59" t="str">
            <v>ဗဟန်း</v>
          </cell>
          <cell r="H59" t="str">
            <v>ဗဟန်းစည်ပင်ရုံး၊ ကမ္ဘာအေးဘုရားလမ်း၊ ရွှေတောင်ကြား (၂) ရပ်ကွက်၊ ဗဟန်းမြို့နယ်</v>
          </cell>
          <cell r="I59">
            <v>28000</v>
          </cell>
          <cell r="J59">
            <v>4500</v>
          </cell>
          <cell r="K59">
            <v>32500</v>
          </cell>
          <cell r="L59">
            <v>4000</v>
          </cell>
          <cell r="M59">
            <v>4500</v>
          </cell>
          <cell r="O59" t="str">
            <v>-</v>
          </cell>
          <cell r="P59">
            <v>32500</v>
          </cell>
        </row>
        <row r="60">
          <cell r="C60" t="str">
            <v>D0905-GRS-054</v>
          </cell>
          <cell r="D60" t="str">
            <v>GRS Express</v>
          </cell>
          <cell r="E60" t="str">
            <v>Min Yan Naung</v>
          </cell>
          <cell r="F60" t="str">
            <v>09-448888070</v>
          </cell>
          <cell r="G60" t="str">
            <v>ကြည့်မြင်တိုင်</v>
          </cell>
          <cell r="H60" t="str">
            <v>အမှတ် (၄၆)၊ စလင်းလမ်း၊ ကြည့်မြင်တိုင်မြို့နယ်</v>
          </cell>
          <cell r="I60">
            <v>38000</v>
          </cell>
          <cell r="J60" t="str">
            <v>-</v>
          </cell>
          <cell r="K60">
            <v>38000</v>
          </cell>
          <cell r="L60">
            <v>4000</v>
          </cell>
          <cell r="M60" t="str">
            <v>-</v>
          </cell>
          <cell r="O60" t="str">
            <v>-</v>
          </cell>
          <cell r="P60">
            <v>38000</v>
          </cell>
        </row>
        <row r="61">
          <cell r="C61" t="str">
            <v>D0905-GRS-055</v>
          </cell>
          <cell r="D61" t="str">
            <v>GRS Express</v>
          </cell>
          <cell r="E61" t="str">
            <v>Win War War</v>
          </cell>
          <cell r="F61" t="str">
            <v>09-673121098
09-682679194</v>
          </cell>
          <cell r="G61" t="str">
            <v>စမ်းချောင်း</v>
          </cell>
          <cell r="H61" t="str">
            <v>အမှတ် (၈)၊ ရန်ပြိုလမ်း၊ မုန့်လက်ဆောင်း (မြောက်) ရပ်ကွက်၊ စမ်းချောင်းမြို့နယ်</v>
          </cell>
          <cell r="I61">
            <v>33000</v>
          </cell>
          <cell r="J61" t="str">
            <v>-</v>
          </cell>
          <cell r="K61">
            <v>33000</v>
          </cell>
          <cell r="L61">
            <v>4000</v>
          </cell>
          <cell r="M61" t="str">
            <v>-</v>
          </cell>
          <cell r="O61" t="str">
            <v>-</v>
          </cell>
          <cell r="P61">
            <v>33000</v>
          </cell>
        </row>
        <row r="62">
          <cell r="C62" t="str">
            <v>D0905-CMF-056</v>
          </cell>
          <cell r="D62" t="str">
            <v>Classix Men Fashion</v>
          </cell>
          <cell r="E62" t="str">
            <v>Shwe Zin</v>
          </cell>
          <cell r="F62" t="str">
            <v>09-250335383</v>
          </cell>
          <cell r="G62" t="str">
            <v>Royal</v>
          </cell>
          <cell r="H62" t="str">
            <v>စစ်ကိုင်းလမ်း၊ ပုလဲဒီပရပ်ကွက်၊ မြိတ်၊ တနင်္သာရီတိုင်း</v>
          </cell>
          <cell r="I62">
            <v>90000</v>
          </cell>
          <cell r="J62">
            <v>5000</v>
          </cell>
          <cell r="K62">
            <v>95000</v>
          </cell>
          <cell r="L62" t="str">
            <v>-</v>
          </cell>
          <cell r="M62">
            <v>5000</v>
          </cell>
          <cell r="O62" t="str">
            <v>-</v>
          </cell>
          <cell r="P62">
            <v>95000</v>
          </cell>
        </row>
        <row r="63">
          <cell r="C63" t="str">
            <v>D0905-CMF-057</v>
          </cell>
          <cell r="D63" t="str">
            <v>Classix Men Fashion</v>
          </cell>
          <cell r="E63" t="str">
            <v>ကိုချမ်းမြေ့</v>
          </cell>
          <cell r="F63" t="str">
            <v>09-989827018</v>
          </cell>
          <cell r="G63" t="str">
            <v>တောင်ဒဂုံ</v>
          </cell>
          <cell r="H63" t="str">
            <v>(၁၄၀) ရပ်ကွက်၊ (အကောက်ခွန်မှတ်တိုင်)၊ တောင်ဒဂုံမြို့နယ်</v>
          </cell>
          <cell r="I63">
            <v>108000</v>
          </cell>
          <cell r="J63">
            <v>4000</v>
          </cell>
          <cell r="K63">
            <v>112000</v>
          </cell>
          <cell r="L63">
            <v>4000</v>
          </cell>
          <cell r="M63">
            <v>4000</v>
          </cell>
          <cell r="O63" t="str">
            <v>-</v>
          </cell>
          <cell r="P63">
            <v>112000</v>
          </cell>
        </row>
        <row r="64">
          <cell r="C64" t="str">
            <v>D0905-CMF-058</v>
          </cell>
          <cell r="D64" t="str">
            <v>Classix Men Fashion</v>
          </cell>
          <cell r="E64" t="str">
            <v>မနှင်းထက်ထက်ဝေ</v>
          </cell>
          <cell r="F64" t="str">
            <v>09-404856452</v>
          </cell>
          <cell r="G64" t="str">
            <v>နေပြည်တော်</v>
          </cell>
          <cell r="H64" t="str">
            <v>Naypyitaw State Academy၊ ဇမ္ဗူသီရိမြို့နယ်၊ နေပြည်တော်</v>
          </cell>
          <cell r="I64">
            <v>48000</v>
          </cell>
          <cell r="J64">
            <v>6000</v>
          </cell>
          <cell r="K64">
            <v>54000</v>
          </cell>
          <cell r="L64">
            <v>6000</v>
          </cell>
          <cell r="M64">
            <v>6000</v>
          </cell>
          <cell r="O64" t="str">
            <v>-</v>
          </cell>
          <cell r="P64">
            <v>54000</v>
          </cell>
        </row>
        <row r="65">
          <cell r="C65" t="str">
            <v>D0905-CMF-059</v>
          </cell>
          <cell r="D65" t="str">
            <v>Classix Men Fashion</v>
          </cell>
          <cell r="E65" t="str">
            <v>Than Win Naing</v>
          </cell>
          <cell r="F65" t="str">
            <v>09-669200977</v>
          </cell>
          <cell r="G65" t="str">
            <v>မန္တလေး</v>
          </cell>
          <cell r="H65" t="str">
            <v>777 Bar၊ စစ်ကိုင်း-မန္တလေးလမ်း၊ (ရွှေကြက်ယက်ဘုရားအနီး)၊ မန္တလေး</v>
          </cell>
          <cell r="I65">
            <v>35000</v>
          </cell>
          <cell r="J65">
            <v>6000</v>
          </cell>
          <cell r="K65">
            <v>41000</v>
          </cell>
          <cell r="L65">
            <v>6000</v>
          </cell>
          <cell r="M65">
            <v>6000</v>
          </cell>
          <cell r="O65" t="str">
            <v>-</v>
          </cell>
          <cell r="P65">
            <v>41000</v>
          </cell>
        </row>
        <row r="66">
          <cell r="C66" t="str">
            <v>D0905-CMF-060</v>
          </cell>
          <cell r="D66" t="str">
            <v>Classix Men Fashion</v>
          </cell>
          <cell r="E66" t="str">
            <v>ရန်ပိုင်</v>
          </cell>
          <cell r="F66" t="str">
            <v>09-401562082</v>
          </cell>
          <cell r="G66" t="str">
            <v>Royal</v>
          </cell>
          <cell r="H66" t="str">
            <v>တိုင်း လ.ဝ.က ရုံး၊ (Royal ရုံးသို့ ပို့ပေးရန်)၊ မကွေး</v>
          </cell>
          <cell r="I66">
            <v>46000</v>
          </cell>
          <cell r="J66">
            <v>5000</v>
          </cell>
          <cell r="K66">
            <v>51000</v>
          </cell>
          <cell r="L66" t="str">
            <v>-</v>
          </cell>
          <cell r="M66">
            <v>5000</v>
          </cell>
          <cell r="O66" t="str">
            <v>-</v>
          </cell>
          <cell r="P66">
            <v>51000</v>
          </cell>
        </row>
        <row r="67">
          <cell r="C67" t="str">
            <v>D0905-FFY-061</v>
          </cell>
          <cell r="D67" t="str">
            <v>Food For U</v>
          </cell>
          <cell r="E67" t="str">
            <v>မနီနီဝင်း</v>
          </cell>
          <cell r="F67" t="str">
            <v>09-772609113</v>
          </cell>
          <cell r="G67" t="str">
            <v>အရှေ့ဒဂုံ</v>
          </cell>
          <cell r="H67" t="str">
            <v>အမှတ် (၂၉၆)၊ ရတနာ (၂) လမ်း၊ (၁၃၂) ရပ်ကွက်၊ အရှေ့ဒဂုံမြို့နယ်</v>
          </cell>
          <cell r="I67">
            <v>87500</v>
          </cell>
          <cell r="J67">
            <v>4500</v>
          </cell>
          <cell r="K67">
            <v>92000</v>
          </cell>
          <cell r="L67">
            <v>4000</v>
          </cell>
          <cell r="M67">
            <v>4500</v>
          </cell>
          <cell r="O67" t="str">
            <v>-</v>
          </cell>
          <cell r="P67">
            <v>92000</v>
          </cell>
        </row>
        <row r="68">
          <cell r="C68" t="str">
            <v>D0905-FFY-062</v>
          </cell>
          <cell r="D68" t="str">
            <v>Food For U</v>
          </cell>
          <cell r="E68" t="str">
            <v>Ma Theingi Hlaing</v>
          </cell>
          <cell r="F68" t="str">
            <v>09-650342923</v>
          </cell>
          <cell r="G68" t="str">
            <v>အင်းစိန်</v>
          </cell>
          <cell r="H68" t="str">
            <v>အင်းစိန်လမ်းမကြီး၊ အရှေ့ကြို့ကုန်း၊ (YTU ရှေ့)၊ (BPI မှတ်တိုင်အနီး)၊ အင်းစိန်မြို့နယ်</v>
          </cell>
          <cell r="I68">
            <v>24000</v>
          </cell>
          <cell r="J68">
            <v>4000</v>
          </cell>
          <cell r="K68">
            <v>28000</v>
          </cell>
          <cell r="L68">
            <v>4000</v>
          </cell>
          <cell r="M68">
            <v>4000</v>
          </cell>
          <cell r="O68" t="str">
            <v>-</v>
          </cell>
          <cell r="P68">
            <v>28000</v>
          </cell>
        </row>
        <row r="69">
          <cell r="C69" t="str">
            <v>D0905-FFY-063</v>
          </cell>
          <cell r="D69" t="str">
            <v>Food For U</v>
          </cell>
          <cell r="E69" t="str">
            <v>‌ဒေါ်သင်းသင်းမာ</v>
          </cell>
          <cell r="F69" t="str">
            <v>09-420100419</v>
          </cell>
          <cell r="G69" t="str">
            <v>အင်းစိန်</v>
          </cell>
          <cell r="H69" t="str">
            <v>လှကမ္ဘာသစ်အလှပြင်ဆိုင်၊ ရာကျော်လမ်းမကြီး၊ အင်းစိန်မြို့သစ်ရပ်ကွက်၊ အင်းစိန်မြို့နယ်</v>
          </cell>
          <cell r="I69">
            <v>117000</v>
          </cell>
          <cell r="J69">
            <v>4000</v>
          </cell>
          <cell r="K69">
            <v>121000</v>
          </cell>
          <cell r="L69">
            <v>4000</v>
          </cell>
          <cell r="M69">
            <v>4000</v>
          </cell>
          <cell r="O69" t="str">
            <v>-</v>
          </cell>
          <cell r="P69">
            <v>121000</v>
          </cell>
        </row>
        <row r="70">
          <cell r="C70" t="str">
            <v>D0905-FFY-064</v>
          </cell>
          <cell r="D70" t="str">
            <v>Food For U</v>
          </cell>
          <cell r="E70" t="str">
            <v>Pawlove Wah</v>
          </cell>
          <cell r="F70" t="str">
            <v>09-423719428</v>
          </cell>
          <cell r="G70" t="str">
            <v>အင်းစိန်</v>
          </cell>
          <cell r="H70" t="str">
            <v>ဇိအုန်ကုန်းလမ်း၊ နံ့သာကုန်းရပ်ကွက်၊ အင်းစိန်မြို့နယ်</v>
          </cell>
          <cell r="I70">
            <v>48000</v>
          </cell>
          <cell r="J70">
            <v>4000</v>
          </cell>
          <cell r="K70">
            <v>52000</v>
          </cell>
          <cell r="L70">
            <v>4000</v>
          </cell>
          <cell r="M70">
            <v>4000</v>
          </cell>
          <cell r="O70" t="str">
            <v>-</v>
          </cell>
          <cell r="P70">
            <v>52000</v>
          </cell>
        </row>
        <row r="71">
          <cell r="C71" t="str">
            <v>D0905-FFY-065</v>
          </cell>
          <cell r="D71" t="str">
            <v>Food For U</v>
          </cell>
          <cell r="E71" t="str">
            <v>Ma Chaw Su</v>
          </cell>
          <cell r="F71" t="str">
            <v>09-785079675
09-5079675</v>
          </cell>
          <cell r="G71" t="str">
            <v>လှိုင်</v>
          </cell>
          <cell r="H71" t="str">
            <v>တိုက် (၂)၊ အခန်း (၂၀၁)၊ အေးရိပ်မွန် (၅) လမ်း၊ (၅) ရပ်ကွက်၊ (G&amp;B Sport Wear ရှိသောတိုက်)၊ လှိုင်မြို့နယ်</v>
          </cell>
          <cell r="I71">
            <v>295000</v>
          </cell>
          <cell r="J71">
            <v>4000</v>
          </cell>
          <cell r="K71">
            <v>299000</v>
          </cell>
          <cell r="L71">
            <v>4000</v>
          </cell>
          <cell r="M71">
            <v>4000</v>
          </cell>
          <cell r="O71" t="str">
            <v>-</v>
          </cell>
          <cell r="P71">
            <v>299000</v>
          </cell>
        </row>
        <row r="72">
          <cell r="C72" t="str">
            <v>D0905-FFY-066</v>
          </cell>
          <cell r="D72" t="str">
            <v>Food For U</v>
          </cell>
          <cell r="E72" t="str">
            <v>Thae Lay</v>
          </cell>
          <cell r="F72" t="str">
            <v>09-770741899</v>
          </cell>
          <cell r="G72" t="str">
            <v>အင်းစိန်</v>
          </cell>
          <cell r="H72" t="str">
            <v>အမှတ် (၅၉၁)၊ ညောင်တစ်ပင်လမ်း၊ အောင်ဆန်းရပ်ကွက်၊ အင်းစိန်မြို့နယ်</v>
          </cell>
          <cell r="I72">
            <v>101500</v>
          </cell>
          <cell r="J72">
            <v>4500</v>
          </cell>
          <cell r="K72">
            <v>106000</v>
          </cell>
          <cell r="L72">
            <v>4000</v>
          </cell>
          <cell r="M72">
            <v>4500</v>
          </cell>
          <cell r="O72" t="str">
            <v>-</v>
          </cell>
          <cell r="P72">
            <v>106000</v>
          </cell>
        </row>
        <row r="73">
          <cell r="C73" t="str">
            <v>D0905-MHC-067</v>
          </cell>
          <cell r="D73" t="str">
            <v>My Heart Cosmetic</v>
          </cell>
          <cell r="E73" t="str">
            <v>ဆုမြတ်နိုး</v>
          </cell>
          <cell r="F73" t="str">
            <v>09-761286138</v>
          </cell>
          <cell r="G73" t="str">
            <v>ဂိတ်ချ</v>
          </cell>
          <cell r="H73" t="str">
            <v>ပဒုမ္မာတောင်စွန်းကားဂိတ် (ဘီးလင်း)၊ အောင်မင်္ဂလာအဝေးပြေးဝင်း၊ (YRTA ရုံးရှေ့)၊ မင်္ဂလာဒုံမြို့နယ်</v>
          </cell>
          <cell r="I73" t="str">
            <v>-</v>
          </cell>
          <cell r="J73">
            <v>3000</v>
          </cell>
          <cell r="K73">
            <v>3000</v>
          </cell>
          <cell r="L73">
            <v>3000</v>
          </cell>
          <cell r="M73">
            <v>3000</v>
          </cell>
          <cell r="O73" t="str">
            <v>-</v>
          </cell>
          <cell r="P73">
            <v>3000</v>
          </cell>
        </row>
        <row r="74">
          <cell r="C74" t="str">
            <v>D0905-MHC-068</v>
          </cell>
          <cell r="D74" t="str">
            <v>My Heart Cosmetic</v>
          </cell>
          <cell r="E74" t="str">
            <v>Aye Chan Ko Ko</v>
          </cell>
          <cell r="F74" t="str">
            <v>09-691186033</v>
          </cell>
          <cell r="G74" t="str">
            <v>စမ်းချောင်း</v>
          </cell>
          <cell r="H74" t="str">
            <v>အမှတ် (၅)၊ သရက်တောလမ်း၊ စမ်းချောင်းမြို့နယ်</v>
          </cell>
          <cell r="I74">
            <v>56000</v>
          </cell>
          <cell r="J74">
            <v>4000</v>
          </cell>
          <cell r="K74">
            <v>60000</v>
          </cell>
          <cell r="L74">
            <v>4000</v>
          </cell>
          <cell r="M74">
            <v>4000</v>
          </cell>
          <cell r="O74" t="str">
            <v>-</v>
          </cell>
          <cell r="P74">
            <v>60000</v>
          </cell>
        </row>
        <row r="75">
          <cell r="C75" t="str">
            <v>D0905-MHC-069</v>
          </cell>
          <cell r="D75" t="str">
            <v>My Heart Cosmetic</v>
          </cell>
          <cell r="E75" t="str">
            <v>W Twin</v>
          </cell>
          <cell r="F75" t="str">
            <v>09-795515549</v>
          </cell>
          <cell r="G75" t="str">
            <v>မရမ်းကုန်း</v>
          </cell>
          <cell r="H75" t="str">
            <v>အမှတ် (၄၅)၊ တေးနုယဉ်လမ်း၊ မရမ်းကုန်းမြို့နယ်</v>
          </cell>
          <cell r="I75">
            <v>36000</v>
          </cell>
          <cell r="J75">
            <v>4000</v>
          </cell>
          <cell r="K75">
            <v>40000</v>
          </cell>
          <cell r="L75">
            <v>4000</v>
          </cell>
          <cell r="M75">
            <v>4000</v>
          </cell>
          <cell r="O75" t="str">
            <v>-</v>
          </cell>
          <cell r="P75">
            <v>40000</v>
          </cell>
        </row>
        <row r="76">
          <cell r="C76" t="str">
            <v>D0905-KAL-070</v>
          </cell>
          <cell r="D76" t="str">
            <v>ခင့်အလှူ</v>
          </cell>
          <cell r="E76" t="str">
            <v>Moon Luck Dagon</v>
          </cell>
          <cell r="F76" t="str">
            <v>09-755385317</v>
          </cell>
          <cell r="G76" t="str">
            <v>တောင်ဒဂုံ</v>
          </cell>
          <cell r="H76" t="str">
            <v>အောင်မြင့်မိုရ်အိမ်ရာ၊ တိုက် (၆)၊ အခန်း (၀၀၃)၊ တောင်ဒဂုံမြို့နယ်</v>
          </cell>
          <cell r="I76">
            <v>49500</v>
          </cell>
          <cell r="J76">
            <v>4000</v>
          </cell>
          <cell r="K76">
            <v>53500</v>
          </cell>
          <cell r="L76">
            <v>4000</v>
          </cell>
          <cell r="M76">
            <v>4000</v>
          </cell>
          <cell r="O76" t="str">
            <v>-</v>
          </cell>
          <cell r="P76">
            <v>53500</v>
          </cell>
        </row>
        <row r="77">
          <cell r="C77" t="str">
            <v>D0905-KAL-071</v>
          </cell>
          <cell r="D77" t="str">
            <v>ခင့်အလှူ</v>
          </cell>
          <cell r="E77" t="str">
            <v>December</v>
          </cell>
          <cell r="F77" t="str">
            <v>09-769133709</v>
          </cell>
          <cell r="G77" t="str">
            <v>သင်္ဃန်းကျွန်း</v>
          </cell>
          <cell r="H77" t="str">
            <v>တိုက် (၇)၊ သီရိဂေဟာလမ်း၊ ဇဝနရပ်ကွက်၊ သင်္ဃန်းကျွန်းမြို့နယ်</v>
          </cell>
          <cell r="I77">
            <v>30000</v>
          </cell>
          <cell r="J77">
            <v>4000</v>
          </cell>
          <cell r="K77">
            <v>34000</v>
          </cell>
          <cell r="L77">
            <v>4000</v>
          </cell>
          <cell r="M77">
            <v>4000</v>
          </cell>
          <cell r="O77" t="str">
            <v>-</v>
          </cell>
          <cell r="P77">
            <v>34000</v>
          </cell>
        </row>
        <row r="78">
          <cell r="C78" t="str">
            <v>D0905-KAL-072</v>
          </cell>
          <cell r="D78" t="str">
            <v>ခင့်အလှူ</v>
          </cell>
          <cell r="E78" t="str">
            <v>Thatnaimgkyaw</v>
          </cell>
          <cell r="F78" t="str">
            <v>09-797331494</v>
          </cell>
          <cell r="G78" t="str">
            <v>လှိုင်သာယာ</v>
          </cell>
          <cell r="H78" t="str">
            <v>အမှတ် (266B)၊ တေးဥယျာဉ် (၁) လမ်း၊ (၇) ရပ်ကွက်၊ လှိုင်သာယာမြို့နယ်</v>
          </cell>
          <cell r="I78">
            <v>15000</v>
          </cell>
          <cell r="J78">
            <v>4500</v>
          </cell>
          <cell r="K78">
            <v>19500</v>
          </cell>
          <cell r="L78">
            <v>4500</v>
          </cell>
          <cell r="M78">
            <v>4500</v>
          </cell>
          <cell r="O78" t="str">
            <v>-</v>
          </cell>
          <cell r="P78">
            <v>19500</v>
          </cell>
        </row>
        <row r="79">
          <cell r="C79" t="str">
            <v>D0905-KAL-073</v>
          </cell>
          <cell r="D79" t="str">
            <v>ခင့်အလှူ</v>
          </cell>
          <cell r="E79" t="str">
            <v>မိုင်သုင်ခ</v>
          </cell>
          <cell r="F79" t="str">
            <v>09-767028423</v>
          </cell>
          <cell r="G79" t="str">
            <v>မြောက်ဒဂုံ</v>
          </cell>
          <cell r="H79" t="str">
            <v>အမှတ် (C-1443)၊ စေတနာ (၁) လမ်း၊ (၄၃) ရပ်ကွက်၊ မြောက်ဒဂုံမြို့နယ်</v>
          </cell>
          <cell r="I79">
            <v>36000</v>
          </cell>
          <cell r="J79">
            <v>4000</v>
          </cell>
          <cell r="K79">
            <v>40000</v>
          </cell>
          <cell r="L79">
            <v>4000</v>
          </cell>
          <cell r="M79">
            <v>4000</v>
          </cell>
          <cell r="O79" t="str">
            <v>-</v>
          </cell>
          <cell r="P79">
            <v>40000</v>
          </cell>
        </row>
        <row r="80">
          <cell r="C80" t="str">
            <v>D0905-KAL-074</v>
          </cell>
          <cell r="D80" t="str">
            <v>ခင့်အလှူ</v>
          </cell>
          <cell r="E80" t="str">
            <v>Myo Thu Swe</v>
          </cell>
          <cell r="F80" t="str">
            <v>09-401657829</v>
          </cell>
          <cell r="G80" t="str">
            <v>မြောက်ဥက္ကလာပ</v>
          </cell>
          <cell r="H80" t="str">
            <v>ဘုမ္မာ (၉) လမ်း၊ (ကန်သာယာမှတ်တိုင်)၊ မြောက်ဥက္ကလာပမြို့နယ်</v>
          </cell>
          <cell r="I80">
            <v>21000</v>
          </cell>
          <cell r="J80">
            <v>4500</v>
          </cell>
          <cell r="K80">
            <v>25500</v>
          </cell>
          <cell r="L80">
            <v>4500</v>
          </cell>
          <cell r="M80">
            <v>4500</v>
          </cell>
          <cell r="O80" t="str">
            <v>-</v>
          </cell>
          <cell r="P80">
            <v>25500</v>
          </cell>
        </row>
        <row r="81">
          <cell r="C81" t="str">
            <v>D0905-KAL-075</v>
          </cell>
          <cell r="D81" t="str">
            <v>ခင့်အလှူ</v>
          </cell>
          <cell r="E81" t="str">
            <v>Khin Hnin Mon</v>
          </cell>
          <cell r="G81" t="str">
            <v>မြောက်ဒဂုံ</v>
          </cell>
          <cell r="H81" t="str">
            <v>အမှတ် (၇၆၂)၊ သခင်ဘစိန်လမ်း၊ (၂၉) ရပ်ကွက်၊ မြောက်ဒဂုံမြို့နယ်</v>
          </cell>
          <cell r="I81">
            <v>21000</v>
          </cell>
          <cell r="J81">
            <v>4000</v>
          </cell>
          <cell r="K81">
            <v>25000</v>
          </cell>
          <cell r="L81">
            <v>4000</v>
          </cell>
          <cell r="M81">
            <v>4000</v>
          </cell>
          <cell r="O81" t="str">
            <v>-</v>
          </cell>
          <cell r="P81">
            <v>25000</v>
          </cell>
        </row>
        <row r="82">
          <cell r="C82" t="str">
            <v>D0905-KAL-076</v>
          </cell>
          <cell r="D82" t="str">
            <v>ခင့်အလှူ</v>
          </cell>
          <cell r="E82" t="str">
            <v>KayKhaing KayKhaing</v>
          </cell>
          <cell r="F82" t="str">
            <v>09-942077409</v>
          </cell>
          <cell r="G82" t="str">
            <v>အင်းစိန်</v>
          </cell>
          <cell r="H82" t="str">
            <v>အင်းစိန်ဆေးရုံကြီး၊ အင်းစိန်မြို့နယ်</v>
          </cell>
          <cell r="I82">
            <v>49000</v>
          </cell>
          <cell r="J82">
            <v>4000</v>
          </cell>
          <cell r="K82">
            <v>53000</v>
          </cell>
          <cell r="L82">
            <v>4000</v>
          </cell>
          <cell r="M82">
            <v>4000</v>
          </cell>
          <cell r="O82" t="str">
            <v>-</v>
          </cell>
          <cell r="P82">
            <v>53000</v>
          </cell>
        </row>
        <row r="83">
          <cell r="C83" t="str">
            <v>D0905-KAL-077</v>
          </cell>
          <cell r="D83" t="str">
            <v>ခင့်အလှူ</v>
          </cell>
          <cell r="E83" t="str">
            <v>Susan Ko Ko</v>
          </cell>
          <cell r="F83" t="str">
            <v>09-257419909</v>
          </cell>
          <cell r="G83" t="str">
            <v>တောင်ဒဂုံ</v>
          </cell>
          <cell r="H83" t="str">
            <v>ပုလဲမွန်အိမ်ရာ၊ တိုက် (၁၄)၊ (၆၅) ရပ်ကွက်၊ တောင်ဒဂုံမြို့နယ်</v>
          </cell>
          <cell r="I83">
            <v>207000</v>
          </cell>
          <cell r="J83">
            <v>4000</v>
          </cell>
          <cell r="K83">
            <v>211000</v>
          </cell>
          <cell r="L83">
            <v>4000</v>
          </cell>
          <cell r="M83">
            <v>4000</v>
          </cell>
          <cell r="O83" t="str">
            <v>-</v>
          </cell>
          <cell r="P83">
            <v>211000</v>
          </cell>
        </row>
        <row r="84">
          <cell r="C84" t="str">
            <v>D0905-KAL-078</v>
          </cell>
          <cell r="D84" t="str">
            <v>ခင့်အလှူ</v>
          </cell>
          <cell r="E84" t="str">
            <v>Ko Aye</v>
          </cell>
          <cell r="F84" t="str">
            <v>09-5119300</v>
          </cell>
          <cell r="G84" t="str">
            <v>လမ်းမတော်</v>
          </cell>
          <cell r="H84" t="str">
            <v>အမှတ် (၃၉)၊ (၁၄) လမ်း၊ လမ်းမတော်မြို့နယ်</v>
          </cell>
          <cell r="I84">
            <v>38000</v>
          </cell>
          <cell r="J84">
            <v>4000</v>
          </cell>
          <cell r="K84">
            <v>42000</v>
          </cell>
          <cell r="L84">
            <v>4000</v>
          </cell>
          <cell r="M84">
            <v>4000</v>
          </cell>
          <cell r="O84" t="str">
            <v>-</v>
          </cell>
          <cell r="P84">
            <v>42000</v>
          </cell>
        </row>
        <row r="85">
          <cell r="C85" t="str">
            <v>D0905-KAL-079</v>
          </cell>
          <cell r="D85" t="str">
            <v>ခင့်အလှူ</v>
          </cell>
          <cell r="E85" t="str">
            <v>Ma Win</v>
          </cell>
          <cell r="F85" t="str">
            <v>09-422538618</v>
          </cell>
          <cell r="G85" t="str">
            <v>ကြည့်မြင်တိုင်</v>
          </cell>
          <cell r="H85" t="str">
            <v>ကသစ်လမ်း၊ သီတာရပ်ကွက်၊ ကြည့်မြင်တိုင်မြို့နယ်</v>
          </cell>
          <cell r="I85">
            <v>50000</v>
          </cell>
          <cell r="J85">
            <v>4000</v>
          </cell>
          <cell r="K85">
            <v>54000</v>
          </cell>
          <cell r="L85">
            <v>4000</v>
          </cell>
          <cell r="M85">
            <v>4000</v>
          </cell>
          <cell r="O85" t="str">
            <v>-</v>
          </cell>
          <cell r="P85">
            <v>54000</v>
          </cell>
        </row>
        <row r="86">
          <cell r="C86" t="str">
            <v>D0905-KAL-080</v>
          </cell>
          <cell r="D86" t="str">
            <v>ခင့်အလှူ</v>
          </cell>
          <cell r="E86" t="str">
            <v>Thu Thu</v>
          </cell>
          <cell r="F86" t="str">
            <v>09-689481666</v>
          </cell>
          <cell r="G86" t="str">
            <v>မင်္ဂလာဒုံ</v>
          </cell>
          <cell r="H86" t="str">
            <v>ရန်ကုန်-ပြည်လမ်း၊ (BOC နှင့် ဆေးကျောင်းမှတ်တိုင်ကြား)၊ မင်္ဂလာဒုံမြို့နယ်</v>
          </cell>
          <cell r="I86">
            <v>42000</v>
          </cell>
          <cell r="J86">
            <v>4500</v>
          </cell>
          <cell r="K86">
            <v>46500</v>
          </cell>
          <cell r="L86">
            <v>4500</v>
          </cell>
          <cell r="M86">
            <v>4500</v>
          </cell>
          <cell r="O86" t="str">
            <v>-</v>
          </cell>
          <cell r="P86">
            <v>46500</v>
          </cell>
        </row>
        <row r="87">
          <cell r="C87" t="str">
            <v>D0905-KAL-081</v>
          </cell>
          <cell r="D87" t="str">
            <v>ခင့်အလှူ</v>
          </cell>
          <cell r="E87" t="str">
            <v>Chit Pu Lay</v>
          </cell>
          <cell r="F87" t="str">
            <v>09-5182296</v>
          </cell>
          <cell r="G87" t="str">
            <v>သာကေတ</v>
          </cell>
          <cell r="H87" t="str">
            <v>အမှတ် (၇၀၅)၊ အနော်မာ (၁၆) လမ်း၊ သာကေတမြို့နယ်</v>
          </cell>
          <cell r="I87">
            <v>55000</v>
          </cell>
          <cell r="J87">
            <v>4000</v>
          </cell>
          <cell r="K87">
            <v>59000</v>
          </cell>
          <cell r="L87">
            <v>4000</v>
          </cell>
          <cell r="M87">
            <v>4000</v>
          </cell>
          <cell r="O87" t="str">
            <v>-</v>
          </cell>
          <cell r="P87">
            <v>59000</v>
          </cell>
        </row>
        <row r="88">
          <cell r="C88" t="str">
            <v>D0905-KAL-082</v>
          </cell>
          <cell r="D88" t="str">
            <v>ခင့်အလှူ</v>
          </cell>
          <cell r="E88" t="str">
            <v>Nwe Lay</v>
          </cell>
          <cell r="F88" t="str">
            <v>09-453919994</v>
          </cell>
          <cell r="G88" t="str">
            <v>အရှေ့ဒဂုံ</v>
          </cell>
          <cell r="H88" t="str">
            <v>အမှတ် (၇၈၆)၊ ဆည်မြောင်း (၅) လမ်း၊ (၁၃) ရပ်ကွက်၊ အရှေ့ဒဂုံမြို့နယ်</v>
          </cell>
          <cell r="I88">
            <v>21000</v>
          </cell>
          <cell r="J88">
            <v>4000</v>
          </cell>
          <cell r="K88">
            <v>25000</v>
          </cell>
          <cell r="L88">
            <v>4000</v>
          </cell>
          <cell r="M88">
            <v>4000</v>
          </cell>
          <cell r="O88" t="str">
            <v>-</v>
          </cell>
          <cell r="P88">
            <v>25000</v>
          </cell>
        </row>
        <row r="89">
          <cell r="C89" t="str">
            <v>D0905-KAL-083</v>
          </cell>
          <cell r="D89" t="str">
            <v>ခင့်အလှူ</v>
          </cell>
          <cell r="E89" t="str">
            <v>Sandar Win</v>
          </cell>
          <cell r="F89" t="str">
            <v>09-5114967</v>
          </cell>
          <cell r="G89" t="str">
            <v>တောင်ဥက္ကလာပ</v>
          </cell>
          <cell r="H89" t="str">
            <v>အမှတ် (၁၀၃/၂)၊ ကျေးတမာလမ်း၊ (၁၄/၂) ရပ်ကွက်၊ တောင်ဥက္ကလာပမြို့နယ်</v>
          </cell>
          <cell r="I89">
            <v>55000</v>
          </cell>
          <cell r="J89">
            <v>4000</v>
          </cell>
          <cell r="K89">
            <v>59000</v>
          </cell>
          <cell r="L89">
            <v>4000</v>
          </cell>
          <cell r="M89">
            <v>4000</v>
          </cell>
          <cell r="O89" t="str">
            <v>-</v>
          </cell>
          <cell r="P89">
            <v>59000</v>
          </cell>
        </row>
        <row r="90">
          <cell r="C90" t="str">
            <v>D0905-KAL-084</v>
          </cell>
          <cell r="D90" t="str">
            <v>ခင့်အလှူ</v>
          </cell>
          <cell r="E90" t="str">
            <v>Shwe Sin</v>
          </cell>
          <cell r="F90" t="str">
            <v>09-740905322</v>
          </cell>
          <cell r="G90" t="str">
            <v>တာမွေ</v>
          </cell>
          <cell r="H90" t="str">
            <v>အမှတ် (၄၅၉/၄၆၇)၊ မြလေးရုံလမ်း၊ မေတ္တာညွန့်၊ တာမွေမြို့နယ်</v>
          </cell>
          <cell r="I90">
            <v>50000</v>
          </cell>
          <cell r="J90">
            <v>4000</v>
          </cell>
          <cell r="K90">
            <v>54000</v>
          </cell>
          <cell r="L90">
            <v>4000</v>
          </cell>
          <cell r="M90">
            <v>4000</v>
          </cell>
          <cell r="O90" t="str">
            <v>-</v>
          </cell>
          <cell r="P90">
            <v>54000</v>
          </cell>
        </row>
        <row r="91">
          <cell r="C91" t="str">
            <v>D0905-KAL-085</v>
          </cell>
          <cell r="D91" t="str">
            <v>ခင့်အလှူ</v>
          </cell>
          <cell r="E91" t="str">
            <v>မိသားစုအိမ်ကလေး</v>
          </cell>
          <cell r="F91" t="str">
            <v>09-668522677</v>
          </cell>
          <cell r="G91" t="str">
            <v>လှိုင်သာယာ</v>
          </cell>
          <cell r="H91" t="str">
            <v>ပဒံရွှေမကျည်းပင်လမ်း၊ သမကုန်းအတွင်း၊ လှိုင်သာယာမြို့နယ်</v>
          </cell>
          <cell r="I91">
            <v>136000</v>
          </cell>
          <cell r="J91">
            <v>4500</v>
          </cell>
          <cell r="K91">
            <v>140500</v>
          </cell>
          <cell r="L91">
            <v>4500</v>
          </cell>
          <cell r="M91">
            <v>4500</v>
          </cell>
          <cell r="N91">
            <v>12</v>
          </cell>
          <cell r="O91">
            <v>4500</v>
          </cell>
          <cell r="P91">
            <v>145000</v>
          </cell>
        </row>
        <row r="92">
          <cell r="C92" t="str">
            <v>D0905-KAL-086</v>
          </cell>
          <cell r="D92" t="str">
            <v>ခင့်အလှူ</v>
          </cell>
          <cell r="E92" t="str">
            <v>San Dar</v>
          </cell>
          <cell r="F92" t="str">
            <v>09-965005127</v>
          </cell>
          <cell r="G92" t="str">
            <v>အရှေ့ဒဂုံ</v>
          </cell>
          <cell r="H92" t="str">
            <v>အမှတ် (၃၁)၊ ချယ်ရီလမ်း၊ (၈) ရပ်ကွက်၊ အရှေ့ဒဂုံမြို့နယ်</v>
          </cell>
          <cell r="I92">
            <v>29700</v>
          </cell>
          <cell r="J92">
            <v>4000</v>
          </cell>
          <cell r="K92">
            <v>33700</v>
          </cell>
          <cell r="L92">
            <v>4000</v>
          </cell>
          <cell r="M92">
            <v>4000</v>
          </cell>
          <cell r="O92" t="str">
            <v>-</v>
          </cell>
          <cell r="P92">
            <v>33700</v>
          </cell>
        </row>
        <row r="93">
          <cell r="C93" t="str">
            <v>D0905-KAL-087</v>
          </cell>
          <cell r="D93" t="str">
            <v>ခင့်အလှူ</v>
          </cell>
          <cell r="E93" t="str">
            <v>Hnin Nu</v>
          </cell>
          <cell r="F93" t="str">
            <v>09-973060727</v>
          </cell>
          <cell r="G93" t="str">
            <v>သင်္ဃန်းကျွန်း</v>
          </cell>
          <cell r="H93" t="str">
            <v>တိုက် (၂)၊ ဇမ္ဗူသီရိ၊ သင်္ဃန်းကျွန်းဘုရားလမ်း၊ သင်္ဃန်းကျွန်းမြို့နယ်</v>
          </cell>
          <cell r="I93">
            <v>36000</v>
          </cell>
          <cell r="J93">
            <v>4000</v>
          </cell>
          <cell r="K93">
            <v>40000</v>
          </cell>
          <cell r="L93">
            <v>4000</v>
          </cell>
          <cell r="M93">
            <v>4000</v>
          </cell>
          <cell r="O93" t="str">
            <v>-</v>
          </cell>
          <cell r="P93">
            <v>40000</v>
          </cell>
        </row>
        <row r="94">
          <cell r="C94" t="str">
            <v>D0905-KAL-088</v>
          </cell>
          <cell r="D94" t="str">
            <v>ခင့်အလှူ</v>
          </cell>
          <cell r="E94" t="str">
            <v>Shwe Nu</v>
          </cell>
          <cell r="F94" t="str">
            <v>09-950626814</v>
          </cell>
          <cell r="G94" t="str">
            <v>တောင်ဒဂုံ</v>
          </cell>
          <cell r="H94" t="str">
            <v>အမှတ် (၅၇၇)၊ (၅၆) ရပ်ကွက်၊ တောင်ဒဂုံမြို့နယ်</v>
          </cell>
          <cell r="I94">
            <v>90000</v>
          </cell>
          <cell r="J94">
            <v>4000</v>
          </cell>
          <cell r="K94">
            <v>94000</v>
          </cell>
          <cell r="L94">
            <v>4000</v>
          </cell>
          <cell r="M94">
            <v>4000</v>
          </cell>
          <cell r="O94" t="str">
            <v>-</v>
          </cell>
          <cell r="P94">
            <v>94000</v>
          </cell>
        </row>
        <row r="95">
          <cell r="C95" t="str">
            <v>D0905-KAL-089</v>
          </cell>
          <cell r="D95" t="str">
            <v>ခင့်အလှူ</v>
          </cell>
          <cell r="E95" t="str">
            <v>သစ္စာမရှိတဲ့သစ္စာ</v>
          </cell>
          <cell r="F95" t="str">
            <v>09-780540099</v>
          </cell>
          <cell r="G95" t="str">
            <v>ရွှေပြည်သာ</v>
          </cell>
          <cell r="H95" t="str">
            <v>ရွှေပြည်သာမြို့နယ်</v>
          </cell>
          <cell r="I95">
            <v>543000</v>
          </cell>
          <cell r="J95">
            <v>4500</v>
          </cell>
          <cell r="K95">
            <v>547500</v>
          </cell>
          <cell r="L95">
            <v>4500</v>
          </cell>
          <cell r="M95">
            <v>4500</v>
          </cell>
          <cell r="N95">
            <v>25</v>
          </cell>
          <cell r="O95">
            <v>11000</v>
          </cell>
          <cell r="P95">
            <v>558500</v>
          </cell>
        </row>
        <row r="96">
          <cell r="C96" t="str">
            <v>D0905-KAL-090</v>
          </cell>
          <cell r="D96" t="str">
            <v>ခင့်အလှူ</v>
          </cell>
          <cell r="E96" t="str">
            <v>Unty Lay</v>
          </cell>
          <cell r="F96" t="str">
            <v>09-798198541</v>
          </cell>
          <cell r="G96" t="str">
            <v>သာကေတ</v>
          </cell>
          <cell r="H96" t="str">
            <v>တိုက် (၂၅)၊ အနော်မာလမ်း၊ (အနောက် (၂၀) လမ်းထိပ်)၊ သာကေတမြို့နယ်</v>
          </cell>
          <cell r="I96">
            <v>30000</v>
          </cell>
          <cell r="J96">
            <v>4000</v>
          </cell>
          <cell r="K96">
            <v>34000</v>
          </cell>
          <cell r="L96">
            <v>4000</v>
          </cell>
          <cell r="M96">
            <v>4000</v>
          </cell>
          <cell r="O96" t="str">
            <v>-</v>
          </cell>
          <cell r="P96">
            <v>34000</v>
          </cell>
        </row>
        <row r="97">
          <cell r="C97" t="str">
            <v>D0905-KAL-091</v>
          </cell>
          <cell r="D97" t="str">
            <v>ခင့်အလှူ</v>
          </cell>
          <cell r="E97" t="str">
            <v>သားချောလေးမေမေ</v>
          </cell>
          <cell r="F97" t="str">
            <v>09-788427599</v>
          </cell>
          <cell r="G97" t="str">
            <v>ရန်ကင်း</v>
          </cell>
          <cell r="H97" t="str">
            <v>Empower Education၊ အမှတ် (6A)၊ မိုးကောင်းဘုရားလမ်း၊ ရန်ကင်းမြို့နယ်</v>
          </cell>
          <cell r="I97">
            <v>21000</v>
          </cell>
          <cell r="J97">
            <v>4000</v>
          </cell>
          <cell r="K97">
            <v>25000</v>
          </cell>
          <cell r="L97">
            <v>4000</v>
          </cell>
          <cell r="M97">
            <v>4000</v>
          </cell>
          <cell r="O97" t="str">
            <v>-</v>
          </cell>
          <cell r="P97">
            <v>25000</v>
          </cell>
        </row>
        <row r="98">
          <cell r="C98" t="str">
            <v>D0905-KAL-092</v>
          </cell>
          <cell r="D98" t="str">
            <v>ခင့်အလှူ</v>
          </cell>
          <cell r="E98" t="str">
            <v>Khinlay Wai</v>
          </cell>
          <cell r="F98" t="str">
            <v>09-450012039</v>
          </cell>
          <cell r="G98" t="str">
            <v>မြောက်ဥက္ကလာပ</v>
          </cell>
          <cell r="H98" t="str">
            <v>အမှတ် (၇၈၀)၊ ဧရာ (၁/ခ) လမ်း၊ (ည) ရပ်ကွက်၊ မြောက်ဥက္ကလာပမြို့နယ်</v>
          </cell>
          <cell r="I98">
            <v>211100</v>
          </cell>
          <cell r="J98">
            <v>4500</v>
          </cell>
          <cell r="K98">
            <v>215600</v>
          </cell>
          <cell r="L98">
            <v>4500</v>
          </cell>
          <cell r="M98">
            <v>4500</v>
          </cell>
          <cell r="N98">
            <v>14</v>
          </cell>
          <cell r="O98">
            <v>5500</v>
          </cell>
          <cell r="P98">
            <v>221100</v>
          </cell>
        </row>
        <row r="99">
          <cell r="C99" t="str">
            <v>D0905-YDC-093</v>
          </cell>
          <cell r="D99" t="str">
            <v>Yadanar Clothing</v>
          </cell>
          <cell r="E99" t="str">
            <v>Yadanar Theint Theint Oo</v>
          </cell>
          <cell r="F99" t="str">
            <v>09-795255853</v>
          </cell>
          <cell r="G99" t="str">
            <v>လှိုင်</v>
          </cell>
          <cell r="H99" t="str">
            <v>အမှတ် (25A)၊ မြေညီထပ်၊ သီတာလမ်း၊ (၁၃) ရပ်ကွက်၊ လှိုင်မြို့နယ်</v>
          </cell>
          <cell r="I99">
            <v>308500</v>
          </cell>
          <cell r="J99">
            <v>4000</v>
          </cell>
          <cell r="K99">
            <v>312500</v>
          </cell>
          <cell r="L99">
            <v>4000</v>
          </cell>
          <cell r="M99">
            <v>4000</v>
          </cell>
          <cell r="O99" t="str">
            <v>-</v>
          </cell>
          <cell r="P99">
            <v>312500</v>
          </cell>
        </row>
        <row r="100">
          <cell r="C100" t="str">
            <v>D0905-YDC-094</v>
          </cell>
          <cell r="D100" t="str">
            <v>Yadanar Clothing</v>
          </cell>
          <cell r="E100" t="str">
            <v>Lwin Khine</v>
          </cell>
          <cell r="F100" t="str">
            <v>09-777856112</v>
          </cell>
          <cell r="G100" t="str">
            <v>သင်္ဃန်းကျွန်း</v>
          </cell>
          <cell r="H100" t="str">
            <v>အမှတ် (၃၈)၊ (ည) ရုံ၊ သုဝဏ္ဏ၊ သင်္ဃန်းကျွန်းမြို့နယ်</v>
          </cell>
          <cell r="I100">
            <v>787000</v>
          </cell>
          <cell r="J100">
            <v>4000</v>
          </cell>
          <cell r="K100">
            <v>791000</v>
          </cell>
          <cell r="L100">
            <v>4000</v>
          </cell>
          <cell r="M100">
            <v>4000</v>
          </cell>
          <cell r="N100">
            <v>7</v>
          </cell>
          <cell r="O100">
            <v>2000</v>
          </cell>
          <cell r="P100">
            <v>793000</v>
          </cell>
        </row>
        <row r="101">
          <cell r="C101" t="str">
            <v>D0905-YDC-095</v>
          </cell>
          <cell r="D101" t="str">
            <v>Yadanar Clothing</v>
          </cell>
          <cell r="E101" t="str">
            <v>Min Khant</v>
          </cell>
          <cell r="F101" t="str">
            <v>09-781014177</v>
          </cell>
          <cell r="G101" t="str">
            <v>အလုံ</v>
          </cell>
          <cell r="H101" t="str">
            <v>Asia World Gate (4)၊ ကွင်းကျောင်းလမ်း၊ အလုံမြို့နယ်</v>
          </cell>
          <cell r="I101">
            <v>39000</v>
          </cell>
          <cell r="J101">
            <v>4000</v>
          </cell>
          <cell r="K101">
            <v>43000</v>
          </cell>
          <cell r="L101">
            <v>4000</v>
          </cell>
          <cell r="M101">
            <v>4000</v>
          </cell>
          <cell r="O101" t="str">
            <v>-</v>
          </cell>
          <cell r="P101">
            <v>43000</v>
          </cell>
        </row>
        <row r="102">
          <cell r="C102" t="str">
            <v>D0905-YDC-096</v>
          </cell>
          <cell r="D102" t="str">
            <v>Yadanar Clothing</v>
          </cell>
          <cell r="E102" t="str">
            <v>Pwint Phuu</v>
          </cell>
          <cell r="F102" t="str">
            <v>09-455585540</v>
          </cell>
          <cell r="G102" t="str">
            <v>တောင်ဒဂုံ</v>
          </cell>
          <cell r="H102" t="str">
            <v>အမှတ် (၅၅)၊ စိန်ရတနာလမ်း၊ (၅၆) ရပ်ကွက်၊ တောင်ဒဂုံမြို့နယ်</v>
          </cell>
          <cell r="I102">
            <v>39000</v>
          </cell>
          <cell r="J102">
            <v>4000</v>
          </cell>
          <cell r="K102">
            <v>43000</v>
          </cell>
          <cell r="L102">
            <v>4000</v>
          </cell>
          <cell r="M102">
            <v>4000</v>
          </cell>
          <cell r="O102" t="str">
            <v>-</v>
          </cell>
          <cell r="P102">
            <v>43000</v>
          </cell>
        </row>
        <row r="103">
          <cell r="C103" t="str">
            <v>D0905-YDC-097</v>
          </cell>
          <cell r="D103" t="str">
            <v>Yadanar Clothing</v>
          </cell>
          <cell r="E103" t="str">
            <v>Aye Sandar Soe</v>
          </cell>
          <cell r="F103" t="str">
            <v>09-972447301</v>
          </cell>
          <cell r="G103" t="str">
            <v>ဒေါပုံ</v>
          </cell>
          <cell r="H103" t="str">
            <v>အမှတ် (၈)၊ (၅) လွှာ၊ သီရိရတနာလမ်း၊ ဒေါပုံမြို့နယ်</v>
          </cell>
          <cell r="I103">
            <v>1251500</v>
          </cell>
          <cell r="J103">
            <v>4000</v>
          </cell>
          <cell r="K103">
            <v>1255500</v>
          </cell>
          <cell r="L103">
            <v>4000</v>
          </cell>
          <cell r="M103">
            <v>4000</v>
          </cell>
          <cell r="N103">
            <v>11</v>
          </cell>
          <cell r="O103">
            <v>4000</v>
          </cell>
          <cell r="P103">
            <v>1259500</v>
          </cell>
        </row>
        <row r="104">
          <cell r="C104" t="str">
            <v>D0905-YDC-098</v>
          </cell>
          <cell r="D104" t="str">
            <v>Yadanar Clothing</v>
          </cell>
          <cell r="E104" t="str">
            <v>Hsu Po Po Naing</v>
          </cell>
          <cell r="F104" t="str">
            <v>09-760342986</v>
          </cell>
          <cell r="G104" t="str">
            <v>Royal</v>
          </cell>
          <cell r="H104" t="str">
            <v>ဇမ္ဗူသီရိလမ်း၊ တောင်ဘက်ပိုင်းရပ်ကွက်၊ ကွမ်းခြံကုန်း</v>
          </cell>
          <cell r="I104" t="str">
            <v>-</v>
          </cell>
          <cell r="J104">
            <v>5000</v>
          </cell>
          <cell r="K104">
            <v>5000</v>
          </cell>
          <cell r="L104" t="str">
            <v>-</v>
          </cell>
          <cell r="M104">
            <v>5000</v>
          </cell>
          <cell r="O104" t="str">
            <v>-</v>
          </cell>
          <cell r="P104">
            <v>5000</v>
          </cell>
        </row>
        <row r="105">
          <cell r="C105" t="str">
            <v>D0905-YDC-099</v>
          </cell>
          <cell r="D105" t="str">
            <v>Yadanar Clothing</v>
          </cell>
          <cell r="E105" t="str">
            <v>May</v>
          </cell>
          <cell r="F105" t="str">
            <v>09-796096673</v>
          </cell>
          <cell r="G105" t="str">
            <v>မင်္ဂလာဒုံ</v>
          </cell>
          <cell r="H105" t="str">
            <v>Terminal Mall၊ မင်္ဂလာဒုံမြို့နယ်</v>
          </cell>
          <cell r="I105">
            <v>571900</v>
          </cell>
          <cell r="J105">
            <v>4500</v>
          </cell>
          <cell r="K105">
            <v>576400</v>
          </cell>
          <cell r="L105">
            <v>4500</v>
          </cell>
          <cell r="M105">
            <v>4500</v>
          </cell>
          <cell r="N105">
            <v>5</v>
          </cell>
          <cell r="O105">
            <v>1000</v>
          </cell>
          <cell r="P105">
            <v>577400</v>
          </cell>
        </row>
        <row r="106">
          <cell r="C106" t="str">
            <v>D0905-CUY-100</v>
          </cell>
          <cell r="D106" t="str">
            <v>Curvy</v>
          </cell>
          <cell r="E106" t="str">
            <v>မအိမေမွန်</v>
          </cell>
          <cell r="F106" t="str">
            <v>09-250675801</v>
          </cell>
          <cell r="G106" t="str">
            <v>တာမွေ</v>
          </cell>
          <cell r="H106" t="str">
            <v>မွန်မြတ်မေတ္တာအိမ်ရာ၊ အမှတ် (G1-G6)၊ ပင်ရွှေညောင်ပင်လမ်း၊ မေတ္တာညွန့်ရပ်ကွက်၊ တာမွေမြို့နယ်</v>
          </cell>
          <cell r="I106">
            <v>55500</v>
          </cell>
          <cell r="J106">
            <v>4000</v>
          </cell>
          <cell r="K106">
            <v>59500</v>
          </cell>
          <cell r="L106">
            <v>4000</v>
          </cell>
          <cell r="M106">
            <v>4000</v>
          </cell>
          <cell r="O106" t="str">
            <v>-</v>
          </cell>
          <cell r="P106">
            <v>59500</v>
          </cell>
        </row>
        <row r="107">
          <cell r="C107" t="str">
            <v>D0905-CUY-101</v>
          </cell>
          <cell r="D107" t="str">
            <v>Curvy</v>
          </cell>
          <cell r="E107" t="str">
            <v>Ma Aye Myat Thu</v>
          </cell>
          <cell r="F107" t="str">
            <v>09-422112263</v>
          </cell>
          <cell r="G107" t="str">
            <v>နေပြည်တော်</v>
          </cell>
          <cell r="H107" t="str">
            <v>ရွှေနံ့သာရပ်ကွက်၊ ဥတ္တရသီရိမြို့နယ်၊ နေပြည်တော်</v>
          </cell>
          <cell r="I107">
            <v>105000</v>
          </cell>
          <cell r="J107">
            <v>6000</v>
          </cell>
          <cell r="K107">
            <v>111000</v>
          </cell>
          <cell r="L107">
            <v>6000</v>
          </cell>
          <cell r="M107">
            <v>6000</v>
          </cell>
          <cell r="O107" t="str">
            <v>-</v>
          </cell>
          <cell r="P107">
            <v>111000</v>
          </cell>
        </row>
        <row r="108">
          <cell r="C108" t="str">
            <v>D0905-CUY-102</v>
          </cell>
          <cell r="D108" t="str">
            <v>Curvy</v>
          </cell>
          <cell r="E108" t="str">
            <v>Ma May Thin Zar</v>
          </cell>
          <cell r="F108" t="str">
            <v>09-668890078</v>
          </cell>
          <cell r="G108" t="str">
            <v>မြောက်ဒဂုံ</v>
          </cell>
          <cell r="H108" t="str">
    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v>
          </cell>
          <cell r="I108">
            <v>99000</v>
          </cell>
          <cell r="J108">
            <v>4000</v>
          </cell>
          <cell r="K108">
            <v>103000</v>
          </cell>
          <cell r="L108">
            <v>4000</v>
          </cell>
          <cell r="M108">
            <v>4000</v>
          </cell>
          <cell r="O108" t="str">
            <v>-</v>
          </cell>
          <cell r="P108">
            <v>103000</v>
          </cell>
        </row>
        <row r="109">
          <cell r="C109" t="str">
            <v>D0905-CUY-103</v>
          </cell>
          <cell r="D109" t="str">
            <v>Curvy</v>
          </cell>
          <cell r="E109" t="str">
            <v>Hoshi</v>
          </cell>
          <cell r="F109" t="str">
            <v>09-42015226</v>
          </cell>
          <cell r="G109" t="str">
            <v>Royal</v>
          </cell>
          <cell r="H109" t="str">
            <v>သုခဒဂုံအိမ်ရာ၊ တိုက် (၇၇/F7)၊ အခန်း (၂၀၃)၊ (ရွာသာကြီးတိုးဂိတ်အနီး)၊ တောင်ဒဂုံမြို့နယ်</v>
          </cell>
          <cell r="I109">
            <v>105000</v>
          </cell>
          <cell r="J109">
            <v>4000</v>
          </cell>
          <cell r="K109">
            <v>109000</v>
          </cell>
          <cell r="L109" t="str">
            <v>-</v>
          </cell>
          <cell r="M109">
            <v>4000</v>
          </cell>
          <cell r="O109" t="str">
            <v>-</v>
          </cell>
          <cell r="P109">
            <v>109000</v>
          </cell>
        </row>
        <row r="110">
          <cell r="C110" t="str">
            <v>D0905-CUY-104</v>
          </cell>
          <cell r="D110" t="str">
            <v>Curvy</v>
          </cell>
          <cell r="E110" t="str">
            <v>Kay</v>
          </cell>
          <cell r="F110" t="str">
            <v>09-661555881</v>
          </cell>
          <cell r="G110" t="str">
            <v>တောင်ဒဂုံ</v>
          </cell>
          <cell r="H110" t="str">
            <v>တိုက် (၆) လွှာ၊ ခရေဇီလမ်း၊ လှော်ကားလမ်းမ၊ (မူကထဆိုင်ဘေး)၊ တောင်ဒဂုံမြို့နယ်</v>
          </cell>
          <cell r="I110">
            <v>17500</v>
          </cell>
          <cell r="J110">
            <v>4000</v>
          </cell>
          <cell r="K110">
            <v>21500</v>
          </cell>
          <cell r="L110">
            <v>4000</v>
          </cell>
          <cell r="M110">
            <v>4000</v>
          </cell>
          <cell r="O110" t="str">
            <v>-</v>
          </cell>
          <cell r="P110">
            <v>21500</v>
          </cell>
        </row>
        <row r="111">
          <cell r="C111" t="str">
            <v>D0905-CUY-105</v>
          </cell>
          <cell r="D111" t="str">
            <v>Curvy</v>
          </cell>
          <cell r="E111" t="str">
            <v>Thet</v>
          </cell>
          <cell r="F111" t="str">
            <v>09-420006792</v>
          </cell>
          <cell r="G111" t="str">
            <v>မင်္ဂလာတောင်ညွန့်</v>
          </cell>
          <cell r="H111" t="str">
            <v>အမှတ် (၁၂၉)၊ မြန်မာ့ဂုဏ်ရည်လမ်း နှင့် မန္တလေးလမ်းထိပ်၊ ကန်တော်ကလေး၊ မင်္ဂလာတောင်ညွန့်မြို့နယ်</v>
          </cell>
          <cell r="I111" t="str">
            <v>-</v>
          </cell>
          <cell r="J111">
            <v>4000</v>
          </cell>
          <cell r="K111">
            <v>4000</v>
          </cell>
          <cell r="L111">
            <v>4000</v>
          </cell>
          <cell r="M111">
            <v>4000</v>
          </cell>
          <cell r="O111" t="str">
            <v>-</v>
          </cell>
          <cell r="P111">
            <v>4000</v>
          </cell>
        </row>
        <row r="112">
          <cell r="C112" t="str">
            <v>D0905-MAU-106</v>
          </cell>
          <cell r="D112" t="str">
            <v>Moe Audio</v>
          </cell>
          <cell r="E112" t="str">
            <v>ကိုတာတီး</v>
          </cell>
          <cell r="F112" t="str">
            <v>09-776059276
09-764422323</v>
          </cell>
          <cell r="G112" t="str">
            <v>ဂိတ်ချ</v>
          </cell>
          <cell r="H112" t="str">
            <v>(မန္တလာမင်းဂိတ်ချ)၊ ဘောဂသီရိကားကွင်း၊ နေပြည်တော်</v>
          </cell>
          <cell r="I112" t="str">
            <v>-</v>
          </cell>
          <cell r="J112" t="str">
            <v>-</v>
          </cell>
          <cell r="K112" t="str">
            <v>-</v>
          </cell>
          <cell r="L112">
            <v>3000</v>
          </cell>
          <cell r="M112" t="str">
            <v>-</v>
          </cell>
          <cell r="N112">
            <v>9</v>
          </cell>
          <cell r="O112">
            <v>3000</v>
          </cell>
          <cell r="P112">
            <v>3000</v>
          </cell>
        </row>
        <row r="113">
          <cell r="C113" t="str">
            <v>D0905-HAM-107</v>
          </cell>
          <cell r="D113" t="str">
            <v>HAIM</v>
          </cell>
          <cell r="E113" t="str">
            <v>Ko Zaw Ye Htut</v>
          </cell>
          <cell r="F113" t="str">
            <v>09-799905703</v>
          </cell>
          <cell r="G113" t="str">
            <v>သင်္ဃန်းကျွန်း</v>
          </cell>
          <cell r="H113" t="str">
            <v>အမှတ် (232A)၊ စံပြ (၃) လမ်း၊ (စံပြဈေး)၊ သင်္ဃန်းကျွန်းမြို့နယ်</v>
          </cell>
          <cell r="I113">
            <v>48000</v>
          </cell>
          <cell r="J113">
            <v>4000</v>
          </cell>
          <cell r="K113">
            <v>52000</v>
          </cell>
          <cell r="L113">
            <v>4000</v>
          </cell>
          <cell r="M113">
            <v>4000</v>
          </cell>
          <cell r="O113" t="str">
            <v>-</v>
          </cell>
          <cell r="P113">
            <v>52000</v>
          </cell>
        </row>
        <row r="114">
          <cell r="C114" t="str">
            <v>D0905-CHI-108</v>
          </cell>
          <cell r="D114" t="str">
            <v>Chi 21 Myanmar</v>
          </cell>
          <cell r="E114" t="str">
            <v>Hnin Ei Hlaing</v>
          </cell>
          <cell r="F114" t="str">
            <v>09-788522315</v>
          </cell>
          <cell r="G114" t="str">
            <v>တောင်ဒဂုံ</v>
          </cell>
          <cell r="H114" t="str">
            <v>စိန်မြရံခြယ် (၂) လမ်း၊ (၅၆) ရပ်ကွက်၊ တောင်ဒဂုံမြို့နယ်</v>
          </cell>
          <cell r="I114">
            <v>18000</v>
          </cell>
          <cell r="J114">
            <v>4000</v>
          </cell>
          <cell r="K114">
            <v>22000</v>
          </cell>
          <cell r="L114">
            <v>4000</v>
          </cell>
          <cell r="M114">
            <v>4000</v>
          </cell>
          <cell r="O114" t="str">
            <v>-</v>
          </cell>
          <cell r="P114">
            <v>22000</v>
          </cell>
        </row>
        <row r="115">
          <cell r="C115" t="str">
            <v>D0905-SKW-109</v>
          </cell>
          <cell r="D115" t="str">
            <v>စကားဝါ</v>
          </cell>
          <cell r="E115" t="str">
            <v>Zin Mar Oo</v>
          </cell>
          <cell r="F115" t="str">
            <v>09-457605950</v>
          </cell>
          <cell r="G115" t="str">
            <v>Royal</v>
          </cell>
          <cell r="H115" t="str">
            <v>မယ်ဟန်၊ လားရှိုး</v>
          </cell>
          <cell r="I115" t="str">
            <v>-</v>
          </cell>
          <cell r="J115">
            <v>7000</v>
          </cell>
          <cell r="K115">
            <v>7000</v>
          </cell>
          <cell r="L115" t="str">
            <v>-</v>
          </cell>
          <cell r="M115">
            <v>7000</v>
          </cell>
          <cell r="O115" t="str">
            <v>-</v>
          </cell>
          <cell r="P115">
            <v>7000</v>
          </cell>
        </row>
        <row r="116">
          <cell r="C116" t="str">
            <v>D0905-TSW-110</v>
          </cell>
          <cell r="D116" t="str">
            <v>3 &amp; 6 Wholesale</v>
          </cell>
          <cell r="E116" t="str">
            <v>ဝါလေး</v>
          </cell>
          <cell r="F116" t="str">
            <v>09-455814053</v>
          </cell>
          <cell r="G116" t="str">
            <v>လှိုင်သာယာ</v>
          </cell>
          <cell r="H116" t="str">
            <v>အမှတ် (146A)၊ ဇမ္ဗူအေး (၄) လမ်း၊ ပင်လုံဈေး၊ (မိုးကုတ်ရိပ်သာအနီး)၊ လှိုင်သာယာမြို့နယ်</v>
          </cell>
          <cell r="I116">
            <v>39000</v>
          </cell>
          <cell r="J116" t="str">
            <v>-</v>
          </cell>
          <cell r="K116">
            <v>39000</v>
          </cell>
          <cell r="L116">
            <v>4500</v>
          </cell>
          <cell r="M116" t="str">
            <v>-</v>
          </cell>
          <cell r="N116">
            <v>4</v>
          </cell>
          <cell r="O116">
            <v>5500</v>
          </cell>
          <cell r="P116">
            <v>44500</v>
          </cell>
        </row>
        <row r="117">
          <cell r="C117" t="str">
            <v>D0905-TSW-111</v>
          </cell>
          <cell r="D117" t="str">
            <v>3 &amp; 6 Wholesale</v>
          </cell>
          <cell r="E117" t="str">
            <v>ဒေါ်သန္တာဝင်း</v>
          </cell>
          <cell r="F117" t="str">
            <v>09-668235626</v>
          </cell>
          <cell r="G117" t="str">
            <v>သာကေတ</v>
          </cell>
          <cell r="H117" t="str">
            <v>ဓမ္မာရုံ (၁) လမ်း၊ (ပစောက်ကွေ့)၊ သာကေတမြို့နယ်</v>
          </cell>
          <cell r="I117">
            <v>39000</v>
          </cell>
          <cell r="J117" t="str">
            <v>-</v>
          </cell>
          <cell r="K117">
            <v>39000</v>
          </cell>
          <cell r="L117">
            <v>4000</v>
          </cell>
          <cell r="M117" t="str">
            <v>-</v>
          </cell>
          <cell r="N117">
            <v>4</v>
          </cell>
          <cell r="O117">
            <v>5000</v>
          </cell>
          <cell r="P117">
            <v>44000</v>
          </cell>
        </row>
        <row r="118">
          <cell r="C118" t="str">
            <v>D0905-TSW-112</v>
          </cell>
          <cell r="D118" t="str">
            <v>3 &amp; 6 Wholesale</v>
          </cell>
          <cell r="E118" t="str">
            <v>မောင်ထူး</v>
          </cell>
          <cell r="F118" t="str">
            <v>09-662475943</v>
          </cell>
          <cell r="G118" t="str">
            <v>လှိုင်</v>
          </cell>
          <cell r="H118" t="str">
            <v>အောင်ချမ်းသာဓမ္မာရုံ၊ ပန်းခြံကျောင်းလမ်း၊ (သဘာဝမှတ်တိုင်အနီး)၊ လှိုင်မြို့နယ်</v>
          </cell>
          <cell r="I118">
            <v>26000</v>
          </cell>
          <cell r="J118" t="str">
            <v>-</v>
          </cell>
          <cell r="K118">
            <v>26000</v>
          </cell>
          <cell r="L118">
            <v>4000</v>
          </cell>
          <cell r="M118" t="str">
            <v>-</v>
          </cell>
          <cell r="O118">
            <v>4500</v>
          </cell>
          <cell r="P118">
            <v>30500</v>
          </cell>
        </row>
        <row r="119">
          <cell r="C119" t="str">
            <v>D0905-TSW-113</v>
          </cell>
          <cell r="D119" t="str">
            <v>3 &amp; 6 Wholesale</v>
          </cell>
          <cell r="E119" t="str">
            <v>ခင်စုခိုင်</v>
          </cell>
          <cell r="F119" t="str">
            <v>09-449431832</v>
          </cell>
          <cell r="G119" t="str">
            <v>ပန်းဘဲတန်း</v>
          </cell>
          <cell r="H119" t="str">
            <v>အမှတ် (၁၉၆)၊ (၄) လွှာ၊ (၂၉) လမ်း၊ ပန်းဘဲတန်းမြို့နယ်</v>
          </cell>
          <cell r="I119">
            <v>26000</v>
          </cell>
          <cell r="J119" t="str">
            <v>-</v>
          </cell>
          <cell r="K119">
            <v>26000</v>
          </cell>
          <cell r="L119">
            <v>4000</v>
          </cell>
          <cell r="M119" t="str">
            <v>-</v>
          </cell>
          <cell r="O119">
            <v>4500</v>
          </cell>
          <cell r="P119">
            <v>30500</v>
          </cell>
        </row>
        <row r="120">
          <cell r="C120" t="str">
            <v>D0905-TSW-114</v>
          </cell>
          <cell r="D120" t="str">
            <v>3 &amp; 6 Wholesale</v>
          </cell>
          <cell r="E120" t="str">
            <v>မစန္ဒာကျော်</v>
          </cell>
          <cell r="F120" t="str">
            <v>09-787288749</v>
          </cell>
          <cell r="G120" t="str">
            <v>ဒဂုံ</v>
          </cell>
          <cell r="H120" t="str">
            <v>ရန်ကုန်ကလေးဆေးရုံကြီး (ဟယ်ပင်)၊ ဒဂုံမြို့နယ်</v>
          </cell>
          <cell r="I120">
            <v>26000</v>
          </cell>
          <cell r="J120" t="str">
            <v>-</v>
          </cell>
          <cell r="K120">
            <v>26000</v>
          </cell>
          <cell r="L120">
            <v>4000</v>
          </cell>
          <cell r="M120" t="str">
            <v>-</v>
          </cell>
          <cell r="O120">
            <v>4500</v>
          </cell>
          <cell r="P120">
            <v>30500</v>
          </cell>
        </row>
        <row r="121">
          <cell r="C121" t="str">
            <v>D0905-TSW-115</v>
          </cell>
          <cell r="D121" t="str">
            <v>3 &amp; 6 Wholesale</v>
          </cell>
          <cell r="E121" t="str">
            <v>Taw Tar May</v>
          </cell>
          <cell r="F121" t="str">
            <v>09-425270341</v>
          </cell>
          <cell r="G121" t="str">
            <v>နေပြည်တော်</v>
          </cell>
          <cell r="H121" t="str">
            <v>ပဒုမ္မာ (၁) လမ်း၊ တပင်ရွှေထီးရပ်ကွက်၊ ပုဗ္ဗသီရိမြို့နယ်၊ နေပြည်တော်</v>
          </cell>
          <cell r="I121">
            <v>26000</v>
          </cell>
          <cell r="J121" t="str">
            <v>-</v>
          </cell>
          <cell r="K121">
            <v>26000</v>
          </cell>
          <cell r="L121">
            <v>6000</v>
          </cell>
          <cell r="M121" t="str">
            <v>-</v>
          </cell>
          <cell r="O121">
            <v>9000</v>
          </cell>
          <cell r="P121">
            <v>35000</v>
          </cell>
        </row>
        <row r="122">
          <cell r="C122" t="str">
            <v>D0905-TSW-116</v>
          </cell>
          <cell r="D122" t="str">
            <v>3 &amp; 6 Wholesale</v>
          </cell>
          <cell r="E122" t="str">
            <v>မသဲစု</v>
          </cell>
          <cell r="F122" t="str">
            <v>09-400345005</v>
          </cell>
          <cell r="G122" t="str">
            <v>နေပြည်တော်</v>
          </cell>
          <cell r="H122" t="str">
            <v>အောင်ချမ်းသာသီလရှင်ကျောင်းရှေ့၊ ရွှေအင်ကြင်း၊ ဧရာဝတီလမ်း၊ ဒက္ခိဏသီရိမြို့နယ်၊ နေပြည်တော်</v>
          </cell>
          <cell r="I122">
            <v>30000</v>
          </cell>
          <cell r="J122">
            <v>6000</v>
          </cell>
          <cell r="K122">
            <v>36000</v>
          </cell>
          <cell r="L122">
            <v>6000</v>
          </cell>
          <cell r="M122">
            <v>6000</v>
          </cell>
          <cell r="O122" t="str">
            <v>-</v>
          </cell>
          <cell r="P122">
            <v>36000</v>
          </cell>
        </row>
        <row r="123">
          <cell r="C123" t="str">
            <v>D0905-TSW-117</v>
          </cell>
          <cell r="D123" t="str">
            <v>3 &amp; 6 Wholesale</v>
          </cell>
          <cell r="E123" t="str">
            <v>ဦးဇင်းတရုတ်ကြီး</v>
          </cell>
          <cell r="F123" t="str">
            <v>09-421048860</v>
          </cell>
          <cell r="G123" t="str">
            <v>မြောက်ဥက္ကလာပ</v>
          </cell>
          <cell r="H123" t="str">
            <v>ပန်းတနော်ကျောင်း၊ အမှတ် (၇၇)၊ အာသာဝတီလမ်း၊ (၂) ရပ်ကွက်၊ မြောက်ဥက္ကလာပမြို့နယ်</v>
          </cell>
          <cell r="I123">
            <v>30000</v>
          </cell>
          <cell r="J123">
            <v>4500</v>
          </cell>
          <cell r="K123">
            <v>34500</v>
          </cell>
          <cell r="L123">
            <v>4500</v>
          </cell>
          <cell r="M123">
            <v>4500</v>
          </cell>
          <cell r="O123" t="str">
            <v>-</v>
          </cell>
          <cell r="P123">
            <v>34500</v>
          </cell>
        </row>
        <row r="124">
          <cell r="C124" t="str">
            <v>D0905-TSW-118</v>
          </cell>
          <cell r="D124" t="str">
            <v>3 &amp; 6 Wholesale</v>
          </cell>
          <cell r="E124" t="str">
            <v>မပေါက်</v>
          </cell>
          <cell r="F124" t="str">
            <v>09-650588044</v>
          </cell>
          <cell r="G124" t="str">
            <v>နေပြည်တော်</v>
          </cell>
          <cell r="H124" t="str">
            <v>လယ်ဝေးမြို့နယ်၊ နေပြည်တော်</v>
          </cell>
          <cell r="I124">
            <v>34000</v>
          </cell>
          <cell r="J124" t="str">
            <v>-</v>
          </cell>
          <cell r="K124">
            <v>34000</v>
          </cell>
          <cell r="L124">
            <v>6000</v>
          </cell>
          <cell r="M124" t="str">
            <v>-</v>
          </cell>
          <cell r="O124">
            <v>7000</v>
          </cell>
          <cell r="P124">
            <v>41000</v>
          </cell>
        </row>
        <row r="125">
          <cell r="C125" t="str">
            <v>D0905-TSW-119</v>
          </cell>
          <cell r="D125" t="str">
            <v>3 &amp; 6 Wholesale</v>
          </cell>
          <cell r="E125" t="str">
            <v>May</v>
          </cell>
          <cell r="F125" t="str">
            <v>09-789000038
09-799533777</v>
          </cell>
          <cell r="G125" t="str">
            <v>နေပြည်တော်</v>
          </cell>
          <cell r="H125" t="str">
            <v>ပေါင်းလောင်း (၇) လမ်း၊ ပျဉ်းမနားမြို့နယ်၊ နေပြည်တော်</v>
          </cell>
          <cell r="I125">
            <v>39000</v>
          </cell>
          <cell r="J125" t="str">
            <v>-</v>
          </cell>
          <cell r="K125">
            <v>39000</v>
          </cell>
          <cell r="L125">
            <v>6000</v>
          </cell>
          <cell r="M125" t="str">
            <v>-</v>
          </cell>
          <cell r="N125">
            <v>4</v>
          </cell>
          <cell r="O125">
            <v>11000</v>
          </cell>
          <cell r="P125">
            <v>50000</v>
          </cell>
        </row>
        <row r="126">
          <cell r="C126" t="str">
            <v>D0905-TSW-120</v>
          </cell>
          <cell r="D126" t="str">
            <v>3 &amp; 6 Wholesale</v>
          </cell>
          <cell r="E126" t="str">
            <v>ဒေါ်ဌေး</v>
          </cell>
          <cell r="F126" t="str">
            <v>09-799732387</v>
          </cell>
          <cell r="G126" t="str">
            <v>ရွှေပြည်သာ</v>
          </cell>
          <cell r="H126" t="str">
            <v xml:space="preserve">ရွှေပြည်သာ	</v>
          </cell>
          <cell r="I126">
            <v>40000</v>
          </cell>
          <cell r="J126" t="str">
            <v>-</v>
          </cell>
          <cell r="K126">
            <v>40000</v>
          </cell>
          <cell r="L126">
            <v>4500</v>
          </cell>
          <cell r="M126" t="str">
            <v>-</v>
          </cell>
          <cell r="O126">
            <v>5000</v>
          </cell>
          <cell r="P126">
            <v>45000</v>
          </cell>
        </row>
        <row r="127">
          <cell r="C127" t="str">
            <v>D0905-TSW-121</v>
          </cell>
          <cell r="D127" t="str">
            <v>3 &amp; 6 Wholesale</v>
          </cell>
          <cell r="E127" t="str">
            <v>ဒေါ်မြတ်မြတ်မိုး</v>
          </cell>
          <cell r="F127" t="str">
            <v>09-43027677</v>
          </cell>
          <cell r="G127" t="str">
            <v>မရမ်းကုန်း</v>
          </cell>
          <cell r="H127" t="str">
            <v>အမှတ် (၃၁၅)၊ သမိုင်းမြို့ဟောင်း (၁၁) လမ်း၊ ဘုရင့်နောင်လမ်းဆုံ၊ (KBZ ဘဏ် (၂) အနီး)၊ မရမ်းကုန်းမြို့နယ်</v>
          </cell>
          <cell r="I127">
            <v>17000</v>
          </cell>
          <cell r="J127">
            <v>4000</v>
          </cell>
          <cell r="K127">
            <v>21000</v>
          </cell>
          <cell r="L127">
            <v>4000</v>
          </cell>
          <cell r="M127">
            <v>4000</v>
          </cell>
          <cell r="O127" t="str">
            <v>-</v>
          </cell>
          <cell r="P127">
            <v>21000</v>
          </cell>
        </row>
        <row r="128">
          <cell r="C128" t="str">
            <v>D0905-TSW-122</v>
          </cell>
          <cell r="D128" t="str">
            <v>3 &amp; 6 Wholesale</v>
          </cell>
          <cell r="E128" t="str">
            <v>မငြိမ်းငြိမ်း</v>
          </cell>
          <cell r="F128" t="str">
            <v>09-954834240</v>
          </cell>
          <cell r="G128" t="str">
            <v>နေပြည်တော်</v>
          </cell>
          <cell r="H128" t="str">
            <v>ပန်းခင်းလမ်း၊ နေပြည်တော်</v>
          </cell>
          <cell r="I128">
            <v>180000</v>
          </cell>
          <cell r="J128" t="str">
            <v>-</v>
          </cell>
          <cell r="K128">
            <v>180000</v>
          </cell>
          <cell r="L128">
            <v>6000</v>
          </cell>
          <cell r="M128" t="str">
            <v>-</v>
          </cell>
          <cell r="N128">
            <v>12</v>
          </cell>
          <cell r="O128">
            <v>25000</v>
          </cell>
          <cell r="P128">
            <v>205000</v>
          </cell>
        </row>
        <row r="129">
          <cell r="C129" t="str">
            <v>D0905-TSW-123</v>
          </cell>
          <cell r="D129" t="str">
            <v>3 &amp; 6 Wholesale</v>
          </cell>
          <cell r="E129" t="str">
            <v>အေးငြိမ်းစံ</v>
          </cell>
          <cell r="F129" t="str">
            <v>09-794387877
09-756356298</v>
          </cell>
          <cell r="G129" t="str">
            <v>လှိုင်သာယာ</v>
          </cell>
          <cell r="H129" t="str">
            <v>ငွေဇမ္မူဟိန်းစတိုး၊ အမှတ် (၆)ရပ်ကွက်၊ လှိုင်သာယာမြို့နယ်</v>
          </cell>
          <cell r="I129">
            <v>100000</v>
          </cell>
          <cell r="J129">
            <v>4500</v>
          </cell>
          <cell r="K129">
            <v>104500</v>
          </cell>
          <cell r="L129">
            <v>4500</v>
          </cell>
          <cell r="M129">
            <v>4500</v>
          </cell>
          <cell r="O129" t="str">
            <v>-</v>
          </cell>
          <cell r="P129">
            <v>104500</v>
          </cell>
        </row>
        <row r="130">
          <cell r="C130" t="str">
            <v>D0905-KSC-124</v>
          </cell>
          <cell r="D130" t="str">
            <v>KS Cosmetic</v>
          </cell>
          <cell r="E130" t="str">
            <v>နန်းထိပ်ထားအထည် နှင့် စတိုး</v>
          </cell>
          <cell r="F130" t="str">
            <v>09-429206653</v>
          </cell>
          <cell r="G130" t="str">
            <v>နေပြည်တော်</v>
          </cell>
          <cell r="H130" t="str">
            <v>အောင်စည်သာနှင်းဆီပန်းအဝိုင်းအနီး၊ ပုဗ္ဗသီရိမြို့နယ်၊ နေပြည်တော်</v>
          </cell>
          <cell r="I130">
            <v>340000</v>
          </cell>
          <cell r="J130">
            <v>6000</v>
          </cell>
          <cell r="K130">
            <v>346000</v>
          </cell>
          <cell r="L130">
            <v>6000</v>
          </cell>
          <cell r="M130">
            <v>6000</v>
          </cell>
          <cell r="O130" t="str">
            <v>-</v>
          </cell>
          <cell r="P130">
            <v>346000</v>
          </cell>
        </row>
        <row r="131">
          <cell r="C131" t="str">
            <v>D0905-KSC-125</v>
          </cell>
          <cell r="D131" t="str">
            <v>KS Cosmetic</v>
          </cell>
          <cell r="E131" t="str">
            <v>Mee Mee</v>
          </cell>
          <cell r="F131" t="str">
            <v>09-797677786</v>
          </cell>
          <cell r="G131" t="str">
            <v>ပုဇွန်တောင်</v>
          </cell>
          <cell r="H131" t="str">
            <v>Emperor Air Cargo အမှတ် (၂၀၆/၂၀၈)၊ မြေညီထပ်၊ ဗိုလ်တထောင်ဘုရားလမ်း (အလယ်)၊ ပုဇွန်တောင်မြို့နယ် [Singapore: +65-85444752]</v>
          </cell>
          <cell r="I131" t="str">
            <v>-</v>
          </cell>
          <cell r="J131" t="str">
            <v>-</v>
          </cell>
          <cell r="K131" t="str">
            <v>-</v>
          </cell>
          <cell r="L131">
            <v>4000</v>
          </cell>
          <cell r="M131" t="str">
            <v>-</v>
          </cell>
          <cell r="O131" t="str">
            <v>-</v>
          </cell>
          <cell r="P131" t="str">
            <v>-</v>
          </cell>
        </row>
        <row r="132">
          <cell r="C132" t="str">
            <v>D0905-KSC-126</v>
          </cell>
          <cell r="D132" t="str">
            <v>KS Cosmetic</v>
          </cell>
          <cell r="E132" t="str">
            <v>Sai Khant</v>
          </cell>
          <cell r="F132" t="str">
            <v>09-444496715
09-972772360</v>
          </cell>
          <cell r="G132" t="str">
            <v>လှိုင်သာယာ</v>
          </cell>
          <cell r="H132" t="str">
            <v>YS တရုတ်သင်တန်း၊ နဝဒေးအိမ်ရာ၊ (၆) ရပ်ကွက်၊ (Super One ကုန်တိုက်ဘေး)၊ လှိုင်သာယာမြို့နယ်</v>
          </cell>
          <cell r="I132">
            <v>118500</v>
          </cell>
          <cell r="J132">
            <v>4500</v>
          </cell>
          <cell r="K132">
            <v>123000</v>
          </cell>
          <cell r="L132">
            <v>4500</v>
          </cell>
          <cell r="M132">
            <v>4500</v>
          </cell>
          <cell r="O132" t="str">
            <v>-</v>
          </cell>
          <cell r="P132">
            <v>123000</v>
          </cell>
        </row>
        <row r="133">
          <cell r="C133" t="str">
            <v>D0905-KSC-127</v>
          </cell>
          <cell r="D133" t="str">
            <v>KS Cosmetic</v>
          </cell>
          <cell r="E133" t="str">
            <v>မေဇင်</v>
          </cell>
          <cell r="F133" t="str">
            <v>09-268755768</v>
          </cell>
          <cell r="G133" t="str">
            <v>လှိုင်သာယာ</v>
          </cell>
          <cell r="H133" t="str">
            <v>မဉ္ဇူလမ်း၊ (၁၅) ရပ်ကွက်၊ လှိုင်သာယာမြို့နယ်</v>
          </cell>
          <cell r="I133">
            <v>79000</v>
          </cell>
          <cell r="J133">
            <v>4500</v>
          </cell>
          <cell r="K133">
            <v>83500</v>
          </cell>
          <cell r="L133">
            <v>4500</v>
          </cell>
          <cell r="M133">
            <v>4500</v>
          </cell>
          <cell r="O133" t="str">
            <v>-</v>
          </cell>
          <cell r="P133">
            <v>83500</v>
          </cell>
        </row>
        <row r="134">
          <cell r="C134" t="str">
            <v>D0905-KSC-128</v>
          </cell>
          <cell r="D134" t="str">
            <v>KS Cosmetic</v>
          </cell>
          <cell r="E134" t="str">
            <v>Chit Moe</v>
          </cell>
          <cell r="F134" t="str">
            <v>09-407176226</v>
          </cell>
          <cell r="G134" t="str">
            <v>မင်္ဂလာတောင်ညွန့်</v>
          </cell>
          <cell r="H134" t="str">
            <v>အမှတ် (၃၉)၊ (၃) လွှာ၊ (၁၂၅) လမ်း၊ မင်္ဂလာတောင်ညွန့်မြို့နယ်</v>
          </cell>
          <cell r="I134">
            <v>39500</v>
          </cell>
          <cell r="J134">
            <v>4000</v>
          </cell>
          <cell r="K134">
            <v>43500</v>
          </cell>
          <cell r="L134">
            <v>4000</v>
          </cell>
          <cell r="M134">
            <v>4000</v>
          </cell>
          <cell r="O134" t="str">
            <v>-</v>
          </cell>
          <cell r="P134">
            <v>43500</v>
          </cell>
        </row>
        <row r="135">
          <cell r="C135" t="str">
            <v>D0905-KSC-129</v>
          </cell>
          <cell r="D135" t="str">
            <v>KS Cosmetic</v>
          </cell>
          <cell r="E135" t="str">
            <v>အိအိချော</v>
          </cell>
          <cell r="F135" t="str">
            <v>09-796058589</v>
          </cell>
          <cell r="G135" t="str">
            <v>Royal</v>
          </cell>
          <cell r="H135" t="str">
            <v>AYA Bank၊ အမှတ် (၂၂)၊ ဒုတိယလမ်း၊ (၆) ရပ်ကွက်၊ ဖျာပုံ</v>
          </cell>
          <cell r="I135">
            <v>81500</v>
          </cell>
          <cell r="J135">
            <v>5000</v>
          </cell>
          <cell r="K135">
            <v>86500</v>
          </cell>
          <cell r="L135" t="str">
            <v>-</v>
          </cell>
          <cell r="M135">
            <v>5000</v>
          </cell>
          <cell r="O135" t="str">
            <v>-</v>
          </cell>
          <cell r="P135">
            <v>86500</v>
          </cell>
        </row>
        <row r="136">
          <cell r="C136" t="str">
            <v>D0905-KSC-130</v>
          </cell>
          <cell r="D136" t="str">
            <v>KS Cosmetic</v>
          </cell>
          <cell r="E136" t="str">
            <v>Hnin Ei</v>
          </cell>
          <cell r="F136" t="str">
            <v>09-953082848</v>
          </cell>
          <cell r="G136" t="str">
            <v>တောင်ဥက္ကလာပ</v>
          </cell>
          <cell r="H136" t="str">
            <v>Akkhaya Tea House၊ Parami Inno City ရှေ့၊ (ပါရမီကားဝင်းအနီး)၊ တောင်ဥက္ကလာပမြို့နယ်</v>
          </cell>
          <cell r="I136">
            <v>79000</v>
          </cell>
          <cell r="J136">
            <v>4000</v>
          </cell>
          <cell r="K136">
            <v>83000</v>
          </cell>
          <cell r="L136">
            <v>4000</v>
          </cell>
          <cell r="M136">
            <v>4000</v>
          </cell>
          <cell r="O136" t="str">
            <v>-</v>
          </cell>
          <cell r="P136">
            <v>83000</v>
          </cell>
        </row>
        <row r="137">
          <cell r="C137" t="str">
            <v>D0905-KSC-131</v>
          </cell>
          <cell r="D137" t="str">
            <v>KS Cosmetic</v>
          </cell>
          <cell r="E137" t="str">
            <v>Khin Thae Mar</v>
          </cell>
          <cell r="F137" t="str">
            <v>09-988492687</v>
          </cell>
          <cell r="G137" t="str">
            <v>ပန်းဘဲတန်း</v>
          </cell>
          <cell r="H137" t="str">
            <v>Central Hotel၊ ဗိုလ်ချုပ်လမ်းမပေါ်၊ (၃၁) လမ်း၊ ပန်းဘဲတန်းမြို့နယ်</v>
          </cell>
          <cell r="I137">
            <v>81500</v>
          </cell>
          <cell r="J137">
            <v>4000</v>
          </cell>
          <cell r="K137">
            <v>85500</v>
          </cell>
          <cell r="L137">
            <v>4000</v>
          </cell>
          <cell r="M137">
            <v>4000</v>
          </cell>
          <cell r="O137" t="str">
            <v>-</v>
          </cell>
          <cell r="P137">
            <v>85500</v>
          </cell>
        </row>
        <row r="138">
          <cell r="C138" t="str">
            <v>D0905-KSC-132</v>
          </cell>
          <cell r="D138" t="str">
            <v>KS Cosmetic</v>
          </cell>
          <cell r="E138" t="str">
            <v>အောင်အောင်</v>
          </cell>
          <cell r="F138" t="str">
            <v>09-798619026</v>
          </cell>
          <cell r="G138" t="str">
            <v>မန္တလေး</v>
          </cell>
          <cell r="H138" t="str">
            <v>(၁၁၆) လမ်း၊ (65D) လမ်း၊ ပြည်ကြီးတံခွန်မြို့နယ်၊ မန္တလေး</v>
          </cell>
          <cell r="I138">
            <v>79000</v>
          </cell>
          <cell r="J138" t="str">
            <v>-</v>
          </cell>
          <cell r="K138">
            <v>79000</v>
          </cell>
          <cell r="L138">
            <v>6000</v>
          </cell>
          <cell r="M138" t="str">
            <v>-</v>
          </cell>
          <cell r="O138" t="str">
            <v>-</v>
          </cell>
          <cell r="P138">
            <v>79000</v>
          </cell>
        </row>
        <row r="139">
          <cell r="C139" t="str">
            <v>D0905-KSC-133</v>
          </cell>
          <cell r="D139" t="str">
            <v>KS Cosmetic</v>
          </cell>
          <cell r="E139" t="str">
            <v>Hnin Hnin Yu</v>
          </cell>
          <cell r="F139" t="str">
            <v>09-790631033</v>
          </cell>
          <cell r="G139" t="str">
            <v>အရှေ့ဒဂုံ</v>
          </cell>
          <cell r="H139" t="str">
            <v>ပင်းယ (၁) လမ်း၊ (၆) ရပ်ကွက်၊ အရှေ့ဒဂုံမြို့နယ်</v>
          </cell>
          <cell r="I139">
            <v>81500</v>
          </cell>
          <cell r="J139">
            <v>4000</v>
          </cell>
          <cell r="K139">
            <v>85500</v>
          </cell>
          <cell r="L139">
            <v>4000</v>
          </cell>
          <cell r="M139">
            <v>4000</v>
          </cell>
          <cell r="O139" t="str">
            <v>-</v>
          </cell>
          <cell r="P139">
            <v>85500</v>
          </cell>
        </row>
        <row r="140">
          <cell r="C140" t="str">
            <v>D0905-KSC-134</v>
          </cell>
          <cell r="D140" t="str">
            <v>KS Cosmetic</v>
          </cell>
          <cell r="E140" t="str">
            <v>Shwe Bo Thu</v>
          </cell>
          <cell r="F140" t="str">
            <v>09-422152428</v>
          </cell>
          <cell r="G140" t="str">
            <v>လှိုင်သာယာ</v>
          </cell>
          <cell r="H140" t="str">
            <v>(၁၂၄)၊ (၂၀) ဈေး၊ လှိုင်သာယာမြို့နယ်</v>
          </cell>
          <cell r="I140">
            <v>158000</v>
          </cell>
          <cell r="J140">
            <v>4500</v>
          </cell>
          <cell r="K140">
            <v>162500</v>
          </cell>
          <cell r="L140">
            <v>4500</v>
          </cell>
          <cell r="M140">
            <v>4500</v>
          </cell>
          <cell r="O140" t="str">
            <v>-</v>
          </cell>
          <cell r="P140">
            <v>162500</v>
          </cell>
        </row>
        <row r="141">
          <cell r="C141" t="str">
            <v>D0905-KSC-135</v>
          </cell>
          <cell r="D141" t="str">
            <v>KS Cosmetic</v>
          </cell>
          <cell r="E141" t="str">
            <v>Noralin</v>
          </cell>
          <cell r="F141" t="str">
            <v>09-750844611</v>
          </cell>
          <cell r="G141" t="str">
            <v>Royal</v>
          </cell>
          <cell r="H141" t="str">
            <v>ကျောက်ဆည်</v>
          </cell>
          <cell r="I141">
            <v>42000</v>
          </cell>
          <cell r="J141">
            <v>6000</v>
          </cell>
          <cell r="K141">
            <v>48000</v>
          </cell>
          <cell r="L141" t="str">
            <v>-</v>
          </cell>
          <cell r="M141">
            <v>6000</v>
          </cell>
          <cell r="O141" t="str">
            <v>-</v>
          </cell>
          <cell r="P141">
            <v>48000</v>
          </cell>
        </row>
        <row r="142">
          <cell r="C142" t="str">
            <v>D0905-KSC-136</v>
          </cell>
          <cell r="D142" t="str">
            <v>KS Cosmetic</v>
          </cell>
          <cell r="E142" t="str">
            <v>စန္ဒာစိုး</v>
          </cell>
          <cell r="F142" t="str">
            <v>09-984291941</v>
          </cell>
          <cell r="G142" t="str">
            <v>မရမ်းကုန်း</v>
          </cell>
          <cell r="H142" t="str">
            <v>အင်းစိန်လမ်းမကြီး၊ (ခဝဲခြံမှတ်တိုင်)၊ (Marko ဘေး)၊ မရမ်းကုန်းမြို့နယ်</v>
          </cell>
          <cell r="I142">
            <v>362500</v>
          </cell>
          <cell r="J142">
            <v>4000</v>
          </cell>
          <cell r="K142">
            <v>366500</v>
          </cell>
          <cell r="L142">
            <v>4000</v>
          </cell>
          <cell r="M142">
            <v>4000</v>
          </cell>
          <cell r="O142" t="str">
            <v>-</v>
          </cell>
          <cell r="P142">
            <v>366500</v>
          </cell>
        </row>
        <row r="143">
          <cell r="C143" t="str">
            <v>D0905-KSC-137</v>
          </cell>
          <cell r="D143" t="str">
            <v>KS Cosmetic</v>
          </cell>
          <cell r="E143" t="str">
            <v>လှလှ</v>
          </cell>
          <cell r="F143" t="str">
            <v>09-799010867</v>
          </cell>
          <cell r="G143" t="str">
            <v>မန္တလေး</v>
          </cell>
          <cell r="H143" t="str">
            <v>တော်ဝင်စက်ချုပ်သင်တန်း၊ (၂၆) လမ်း၊ ၇၈ x ၇၉ လမ်းကြား၊ အောင်မြေသာစံမြို့နယ်၊ မန္တလေး</v>
          </cell>
          <cell r="I143">
            <v>79000</v>
          </cell>
          <cell r="J143">
            <v>6000</v>
          </cell>
          <cell r="K143">
            <v>85000</v>
          </cell>
          <cell r="L143">
            <v>6000</v>
          </cell>
          <cell r="M143">
            <v>6000</v>
          </cell>
          <cell r="O143" t="str">
            <v>-</v>
          </cell>
          <cell r="P143">
            <v>85000</v>
          </cell>
        </row>
        <row r="144">
          <cell r="C144" t="str">
            <v>D0905-KSC-138</v>
          </cell>
          <cell r="D144" t="str">
            <v>KS Cosmetic</v>
          </cell>
          <cell r="E144" t="str">
            <v>သရဖီ</v>
          </cell>
          <cell r="F144" t="str">
            <v>09-774290224</v>
          </cell>
          <cell r="G144" t="str">
            <v>လသာ</v>
          </cell>
          <cell r="H144" t="str">
            <v>ရန်ကုန်သံလွင် Hotel၊ လသာမြို့နယ်</v>
          </cell>
          <cell r="I144">
            <v>39500</v>
          </cell>
          <cell r="J144">
            <v>4000</v>
          </cell>
          <cell r="K144">
            <v>43500</v>
          </cell>
          <cell r="L144">
            <v>4000</v>
          </cell>
          <cell r="M144">
            <v>4000</v>
          </cell>
          <cell r="O144" t="str">
            <v>-</v>
          </cell>
          <cell r="P144">
            <v>43500</v>
          </cell>
        </row>
        <row r="145">
          <cell r="C145" t="str">
            <v>D0905-KSC-139</v>
          </cell>
          <cell r="D145" t="str">
            <v>KS Cosmetic</v>
          </cell>
          <cell r="E145" t="str">
            <v>Naw Htoo Gay Phaw</v>
          </cell>
          <cell r="F145" t="str">
            <v>09-797677786</v>
          </cell>
          <cell r="G145" t="str">
            <v>ပုဇွန်တောင်</v>
          </cell>
          <cell r="H145" t="str">
            <v>Emperor Air Cargo အမှတ် (၂၀၆/၂၀၈)၊ မြေညီထပ်၊ ဗိုလ်တထောင်ဘုရားလမ်း (အလယ်)၊ ပုဇွန်တောင်မြို့နယ် [Singapore: +65-86476253]</v>
          </cell>
          <cell r="I145" t="str">
            <v>-</v>
          </cell>
          <cell r="J145" t="str">
            <v>-</v>
          </cell>
          <cell r="K145" t="str">
            <v>-</v>
          </cell>
          <cell r="L145">
            <v>4000</v>
          </cell>
          <cell r="M145" t="str">
            <v>-</v>
          </cell>
          <cell r="O145" t="str">
            <v>-</v>
          </cell>
          <cell r="P145" t="str">
            <v>-</v>
          </cell>
        </row>
        <row r="146">
          <cell r="C146" t="str">
            <v>D0905-KSC-140</v>
          </cell>
          <cell r="D146" t="str">
            <v>KS Cosmetic</v>
          </cell>
          <cell r="E146" t="str">
            <v>ကိုနောင်နောင်သံဆိုင်</v>
          </cell>
          <cell r="F146" t="str">
            <v>09-766185770</v>
          </cell>
          <cell r="G146" t="str">
            <v>ဒေါပုံ</v>
          </cell>
          <cell r="H146" t="str">
            <v>သင်္ဘောကျင်းရပ်ကွက်၊ (ဂိတ်ဟောင်းကားမှတ်တိုင် အောင်သုခလမ်းအဆုံး)၊ ဒေါပုံမြို့နယ်</v>
          </cell>
          <cell r="I146">
            <v>39500</v>
          </cell>
          <cell r="J146">
            <v>4000</v>
          </cell>
          <cell r="K146">
            <v>43500</v>
          </cell>
          <cell r="L146">
            <v>4000</v>
          </cell>
          <cell r="M146">
            <v>4000</v>
          </cell>
          <cell r="O146" t="str">
            <v>-</v>
          </cell>
          <cell r="P146">
            <v>43500</v>
          </cell>
        </row>
        <row r="147">
          <cell r="C147" t="str">
            <v>D0905-KSC-141</v>
          </cell>
          <cell r="D147" t="str">
            <v>KS Cosmetic</v>
          </cell>
          <cell r="E147" t="str">
            <v>မချစ်ချစ်ဇော်</v>
          </cell>
          <cell r="F147" t="str">
            <v>09-250232040</v>
          </cell>
          <cell r="G147" t="str">
            <v>Royal</v>
          </cell>
          <cell r="H147" t="str">
            <v>ရတနာကုန်ခြောက်ဆိုင်၊ အိမ်မဲ</v>
          </cell>
          <cell r="I147">
            <v>39500</v>
          </cell>
          <cell r="J147">
            <v>5000</v>
          </cell>
          <cell r="K147">
            <v>44500</v>
          </cell>
          <cell r="L147" t="str">
            <v>-</v>
          </cell>
          <cell r="M147">
            <v>5000</v>
          </cell>
          <cell r="O147" t="str">
            <v>-</v>
          </cell>
          <cell r="P147">
            <v>44500</v>
          </cell>
        </row>
        <row r="148">
          <cell r="C148" t="str">
            <v>D0905-KSC-142</v>
          </cell>
          <cell r="D148" t="str">
            <v>KS Cosmetic</v>
          </cell>
          <cell r="E148" t="str">
            <v>Hnin</v>
          </cell>
          <cell r="F148" t="str">
            <v>09-451836069</v>
          </cell>
          <cell r="G148" t="str">
            <v>လမ်းမတော်</v>
          </cell>
          <cell r="H148" t="str">
            <v>(၂) ရပ်ကွက်၊ လမ်းမတော်မြို့နယ်</v>
          </cell>
          <cell r="I148">
            <v>39500</v>
          </cell>
          <cell r="J148">
            <v>4000</v>
          </cell>
          <cell r="K148">
            <v>43500</v>
          </cell>
          <cell r="L148">
            <v>4000</v>
          </cell>
          <cell r="M148">
            <v>4000</v>
          </cell>
          <cell r="O148" t="str">
            <v>-</v>
          </cell>
          <cell r="P148">
            <v>43500</v>
          </cell>
        </row>
        <row r="149">
          <cell r="C149" t="str">
            <v>D0905-KSC-143</v>
          </cell>
          <cell r="D149" t="str">
            <v>KS Cosmetic</v>
          </cell>
          <cell r="E149" t="str">
            <v>Yum Nadi</v>
          </cell>
          <cell r="F149" t="str">
            <v>09-676740084</v>
          </cell>
          <cell r="G149" t="str">
            <v>အရှေ့ဒဂုံ</v>
          </cell>
          <cell r="H149" t="str">
            <v>ကောလင်း (၂) လမ်း၊ (၇) ရပ်ကွက်၊ အရှေ့ဒဂုံမြို့နယ်</v>
          </cell>
          <cell r="I149">
            <v>39500</v>
          </cell>
          <cell r="J149">
            <v>4000</v>
          </cell>
          <cell r="K149">
            <v>43500</v>
          </cell>
          <cell r="L149">
            <v>4000</v>
          </cell>
          <cell r="M149">
            <v>4000</v>
          </cell>
          <cell r="O149" t="str">
            <v>-</v>
          </cell>
          <cell r="P149">
            <v>43500</v>
          </cell>
        </row>
        <row r="150">
          <cell r="C150" t="str">
            <v>D0905-KSC-144</v>
          </cell>
          <cell r="D150" t="str">
            <v>KS Cosmetic</v>
          </cell>
          <cell r="E150" t="str">
            <v>မယမင်း</v>
          </cell>
          <cell r="F150" t="str">
            <v>09-5157259</v>
          </cell>
          <cell r="G150" t="str">
            <v>သင်္ဃန်းကျွန်း</v>
          </cell>
          <cell r="H150" t="str">
            <v>အမှတ် (၂၂၀)၊ အခန်း (၁)၊ မဟော်ဂနီလမ်း၊ (၂၅) ရပ်ကွက်၊ သုဝဏ္ဏ၊ သင်္ဃန်းကျွန်းမြို့နယ်</v>
          </cell>
          <cell r="I150">
            <v>39500</v>
          </cell>
          <cell r="J150">
            <v>4000</v>
          </cell>
          <cell r="K150">
            <v>43500</v>
          </cell>
          <cell r="L150">
            <v>4000</v>
          </cell>
          <cell r="M150">
            <v>4000</v>
          </cell>
          <cell r="O150" t="str">
            <v>-</v>
          </cell>
          <cell r="P150">
            <v>43500</v>
          </cell>
        </row>
        <row r="151">
          <cell r="C151" t="str">
            <v>D0905-KSC-145</v>
          </cell>
          <cell r="D151" t="str">
            <v>KS Cosmetic</v>
          </cell>
          <cell r="E151" t="str">
            <v>Love</v>
          </cell>
          <cell r="F151" t="str">
            <v>09-440715031</v>
          </cell>
          <cell r="G151" t="str">
            <v>သာကေတ</v>
          </cell>
          <cell r="H151" t="str">
            <v>အနော်မာ (၁၅) လမ်း၊ (အနောက်) ရပ်ကွက်၊ သာကေတမြို့နယ်</v>
          </cell>
          <cell r="I151">
            <v>39500</v>
          </cell>
          <cell r="J151">
            <v>4000</v>
          </cell>
          <cell r="K151">
            <v>43500</v>
          </cell>
          <cell r="L151">
            <v>4000</v>
          </cell>
          <cell r="M151">
            <v>4000</v>
          </cell>
          <cell r="O151" t="str">
            <v>-</v>
          </cell>
          <cell r="P151">
            <v>43500</v>
          </cell>
        </row>
        <row r="152">
          <cell r="C152" t="str">
            <v>D0905-KSC-146</v>
          </cell>
          <cell r="D152" t="str">
            <v>KS Cosmetic</v>
          </cell>
          <cell r="E152" t="str">
            <v>ပျိုပျို</v>
          </cell>
          <cell r="F152" t="str">
            <v>09-796872231</v>
          </cell>
          <cell r="G152" t="str">
            <v>တောင်ဒဂုံ</v>
          </cell>
          <cell r="H152" t="str">
            <v>အမှတ် (၁၁၅၅)၊ ဇီဇဝါလမ်း၊ (၆၅) ရပ်ကွက်၊ တောင်ဒဂုံမြို့နယ်</v>
          </cell>
          <cell r="I152">
            <v>39500</v>
          </cell>
          <cell r="J152">
            <v>4000</v>
          </cell>
          <cell r="K152">
            <v>43500</v>
          </cell>
          <cell r="L152">
            <v>4000</v>
          </cell>
          <cell r="M152">
            <v>4000</v>
          </cell>
          <cell r="O152" t="str">
            <v>-</v>
          </cell>
          <cell r="P152">
            <v>43500</v>
          </cell>
        </row>
        <row r="153">
          <cell r="C153" t="str">
            <v>D0905-KSC-147</v>
          </cell>
          <cell r="D153" t="str">
            <v>KS Cosmetic</v>
          </cell>
          <cell r="E153" t="str">
            <v>မခင်စန်းမွန်</v>
          </cell>
          <cell r="F153" t="str">
            <v>09-661947363</v>
          </cell>
          <cell r="G153" t="str">
            <v>Royal</v>
          </cell>
          <cell r="H153" t="str">
            <v>ညောင်နွယ်၊ ပျော်ဘွယ်၊ မန္တလေးတိုင်း</v>
          </cell>
          <cell r="I153">
            <v>39500</v>
          </cell>
          <cell r="J153">
            <v>6000</v>
          </cell>
          <cell r="K153">
            <v>45500</v>
          </cell>
          <cell r="L153" t="str">
            <v>-</v>
          </cell>
          <cell r="M153">
            <v>6000</v>
          </cell>
          <cell r="O153" t="str">
            <v>-</v>
          </cell>
          <cell r="P153">
            <v>45500</v>
          </cell>
        </row>
        <row r="154">
          <cell r="C154" t="str">
            <v>D0905-KSC-148</v>
          </cell>
          <cell r="D154" t="str">
            <v>KS Cosmetic</v>
          </cell>
          <cell r="E154" t="str">
            <v>Oo Zay Yar</v>
          </cell>
          <cell r="F154" t="str">
            <v>09-666100355</v>
          </cell>
          <cell r="G154" t="str">
            <v>မရမ်းကုန်း</v>
          </cell>
          <cell r="H154" t="str">
            <v>အမှတ် (၄၀၆)၊ (၉) လမ်း၊ (၁) ရပ်ကွက်၊ မရမ်းကုန်းမြို့နယ်</v>
          </cell>
          <cell r="I154">
            <v>42000</v>
          </cell>
          <cell r="J154">
            <v>4000</v>
          </cell>
          <cell r="K154">
            <v>46000</v>
          </cell>
          <cell r="L154">
            <v>4000</v>
          </cell>
          <cell r="M154">
            <v>4000</v>
          </cell>
          <cell r="O154" t="str">
            <v>-</v>
          </cell>
          <cell r="P154">
            <v>46000</v>
          </cell>
        </row>
        <row r="155">
          <cell r="C155" t="str">
            <v>D0905-KSC-149</v>
          </cell>
          <cell r="D155" t="str">
            <v>KS Cosmetic</v>
          </cell>
          <cell r="E155" t="str">
            <v>Jadomphyo</v>
          </cell>
          <cell r="F155" t="str">
            <v>09-974740020</v>
          </cell>
          <cell r="G155" t="str">
            <v>သာကေတ</v>
          </cell>
          <cell r="H155" t="str">
            <v>ဒေါ်ငွေသိမ်း မြန်မာထမင်းဆိုင်၊ (ရန်အောင်မှတ်တိုင်)၊ သာကေတမြို့နယ်</v>
          </cell>
          <cell r="I155">
            <v>39500</v>
          </cell>
          <cell r="J155">
            <v>4000</v>
          </cell>
          <cell r="K155">
            <v>43500</v>
          </cell>
          <cell r="L155">
            <v>4000</v>
          </cell>
          <cell r="M155">
            <v>4000</v>
          </cell>
          <cell r="O155" t="str">
            <v>-</v>
          </cell>
          <cell r="P155">
            <v>43500</v>
          </cell>
        </row>
        <row r="156">
          <cell r="C156" t="str">
            <v>D0905-KSC-150</v>
          </cell>
          <cell r="D156" t="str">
            <v>KS Cosmetic</v>
          </cell>
          <cell r="E156" t="str">
            <v>ဆုရည်ထွန်း</v>
          </cell>
          <cell r="F156" t="str">
            <v>09-777513936</v>
          </cell>
          <cell r="G156" t="str">
            <v>ကြည့်မြင်တိုင်</v>
          </cell>
          <cell r="H156" t="str">
            <v>(တိုက်စတိုးရှေ့)၊ တိုက် (၁)၊ အခန်း (၃၀)၊ ထီးတန်း (၂) လမ်းထိပ်၊ ကြည့်မြင်တိုင်မြို့နယ်</v>
          </cell>
          <cell r="I156">
            <v>39500</v>
          </cell>
          <cell r="J156">
            <v>4000</v>
          </cell>
          <cell r="K156">
            <v>43500</v>
          </cell>
          <cell r="L156">
            <v>4000</v>
          </cell>
          <cell r="M156">
            <v>4000</v>
          </cell>
          <cell r="O156" t="str">
            <v>-</v>
          </cell>
          <cell r="P156">
            <v>43500</v>
          </cell>
        </row>
        <row r="157">
          <cell r="C157" t="str">
            <v>D0905-KSC-151</v>
          </cell>
          <cell r="D157" t="str">
            <v>KS Cosmetic</v>
          </cell>
          <cell r="E157" t="str">
            <v>Nic</v>
          </cell>
          <cell r="F157" t="str">
            <v>09-252026771</v>
          </cell>
          <cell r="G157" t="str">
            <v>တောင်ဒဂုံ</v>
          </cell>
          <cell r="H157" t="str">
            <v>ဗဟိုစည်ဈေး၊ အမှတ် (၇၁)၊ တောင်ဒဂုံမြို့နယ်</v>
          </cell>
          <cell r="I157">
            <v>39500</v>
          </cell>
          <cell r="J157">
            <v>4000</v>
          </cell>
          <cell r="K157">
            <v>43500</v>
          </cell>
          <cell r="L157">
            <v>4000</v>
          </cell>
          <cell r="M157">
            <v>4000</v>
          </cell>
          <cell r="O157" t="str">
            <v>-</v>
          </cell>
          <cell r="P157">
            <v>43500</v>
          </cell>
        </row>
        <row r="158">
          <cell r="C158" t="str">
            <v>D0905-KSC-152</v>
          </cell>
          <cell r="D158" t="str">
            <v>KS Cosmetic</v>
          </cell>
          <cell r="E158" t="str">
            <v>Myat Noe</v>
          </cell>
          <cell r="F158" t="str">
            <v>09-759644704</v>
          </cell>
          <cell r="G158" t="str">
            <v>အရှေ့ဒဂုံ</v>
          </cell>
          <cell r="H158" t="str">
            <v>အမှတ် (၂၉၄)၊ ဧရာဝတီလမ်း၊ (၁၁) ရပ်ကွက်၊ အရှေ့ဒဂုံမြို့နယ်</v>
          </cell>
          <cell r="I158">
            <v>39500</v>
          </cell>
          <cell r="J158">
            <v>4000</v>
          </cell>
          <cell r="K158">
            <v>43500</v>
          </cell>
          <cell r="L158">
            <v>4000</v>
          </cell>
          <cell r="M158">
            <v>4000</v>
          </cell>
          <cell r="O158" t="str">
            <v>-</v>
          </cell>
          <cell r="P158">
            <v>43500</v>
          </cell>
        </row>
        <row r="159">
          <cell r="C159" t="str">
            <v>D0905-KSC-153</v>
          </cell>
          <cell r="D159" t="str">
            <v>KS Cosmetic</v>
          </cell>
          <cell r="E159" t="str">
            <v>ထားသခင်</v>
          </cell>
          <cell r="F159" t="str">
            <v>09-259217112</v>
          </cell>
          <cell r="G159" t="str">
            <v>မန္တလေး</v>
          </cell>
          <cell r="H159" t="str">
            <v>(၇၆) လမ်း၊ ၃၁ x ၃၂ လမ်းကြား၊ မန္တလေး</v>
          </cell>
          <cell r="I159">
            <v>163000</v>
          </cell>
          <cell r="J159">
            <v>6000</v>
          </cell>
          <cell r="K159">
            <v>169000</v>
          </cell>
          <cell r="L159">
            <v>6000</v>
          </cell>
          <cell r="M159">
            <v>6000</v>
          </cell>
          <cell r="O159" t="str">
            <v>-</v>
          </cell>
          <cell r="P159">
            <v>169000</v>
          </cell>
        </row>
        <row r="160">
          <cell r="C160" t="str">
            <v>D0905-KSC-154</v>
          </cell>
          <cell r="D160" t="str">
            <v>KS Cosmetic</v>
          </cell>
          <cell r="E160" t="str">
            <v>Ya Ya</v>
          </cell>
          <cell r="F160" t="str">
            <v>09-668133495</v>
          </cell>
          <cell r="G160" t="str">
            <v>စမ်းချောင်း</v>
          </cell>
          <cell r="H160" t="str">
            <v>စမ်းချောင်းဂါးဒန်းကွန်ဒို၊ စမ်းချောင်းလမ်း၊ စမ်းချောင်းမြို့နယ်</v>
          </cell>
          <cell r="I160">
            <v>39500</v>
          </cell>
          <cell r="J160">
            <v>4000</v>
          </cell>
          <cell r="K160">
            <v>43500</v>
          </cell>
          <cell r="L160">
            <v>4000</v>
          </cell>
          <cell r="M160">
            <v>4000</v>
          </cell>
          <cell r="O160" t="str">
            <v>-</v>
          </cell>
          <cell r="P160">
            <v>43500</v>
          </cell>
        </row>
        <row r="161">
          <cell r="C161" t="str">
            <v>D0905-KSC-155</v>
          </cell>
          <cell r="D161" t="str">
            <v>KS Cosmetic</v>
          </cell>
          <cell r="E161" t="str">
            <v>မရွှေဇင်လှိုင်</v>
          </cell>
          <cell r="F161" t="str">
            <v>09-668945241
09-2017173</v>
          </cell>
          <cell r="G161" t="str">
            <v>မန္တလေး</v>
          </cell>
          <cell r="H161" t="str">
    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    </cell>
          <cell r="I161">
            <v>39500</v>
          </cell>
          <cell r="J161">
            <v>6000</v>
          </cell>
          <cell r="K161">
            <v>45500</v>
          </cell>
          <cell r="L161">
            <v>6000</v>
          </cell>
          <cell r="M161">
            <v>6000</v>
          </cell>
          <cell r="O161" t="str">
            <v>-</v>
          </cell>
          <cell r="P161">
            <v>45500</v>
          </cell>
        </row>
        <row r="162">
          <cell r="C162" t="str">
            <v>D0905-KSC-156</v>
          </cell>
          <cell r="D162" t="str">
            <v>KS Cosmetic</v>
          </cell>
          <cell r="E162" t="str">
            <v>Shine Lady Fashion</v>
          </cell>
          <cell r="F162" t="str">
            <v>09-686054652</v>
          </cell>
          <cell r="G162" t="str">
            <v>မြောက်ဥက္ကလာပ</v>
          </cell>
          <cell r="H162" t="str">
            <v>(၂၀) ရပ်ကွက်၊ ရွှေပေါက်ကံ၊ (မင်းထူးကျော်မှတ်တိုင်)၊ မြောက်ဥက္ကလာပမြို့နယ်</v>
          </cell>
          <cell r="I162">
            <v>39500</v>
          </cell>
          <cell r="J162">
            <v>4500</v>
          </cell>
          <cell r="K162">
            <v>44000</v>
          </cell>
          <cell r="L162">
            <v>4500</v>
          </cell>
          <cell r="M162">
            <v>4500</v>
          </cell>
          <cell r="O162" t="str">
            <v>-</v>
          </cell>
          <cell r="P162">
            <v>44000</v>
          </cell>
        </row>
        <row r="163">
          <cell r="C163" t="str">
            <v>D0905-KSC-157</v>
          </cell>
          <cell r="D163" t="str">
            <v>KS Cosmetic</v>
          </cell>
          <cell r="E163" t="str">
            <v>ကြူကြူစန်း</v>
          </cell>
          <cell r="F163" t="str">
            <v>09-770694034</v>
          </cell>
          <cell r="G163" t="str">
            <v>အရှေ့ဒဂုံ</v>
          </cell>
          <cell r="H163" t="str">
            <v>ခြံအမှတ် (၄)၊ ကနောင်မင်းသားကြီးလမ်း၊ အရှေ့ဒဂုံစက်မှုဇုန်၊ အရှေ့ဒဂုံမြို့နယ်</v>
          </cell>
          <cell r="I163">
            <v>39500</v>
          </cell>
          <cell r="J163">
            <v>4000</v>
          </cell>
          <cell r="K163">
            <v>43500</v>
          </cell>
          <cell r="L163">
            <v>4000</v>
          </cell>
          <cell r="M163">
            <v>4000</v>
          </cell>
          <cell r="O163" t="str">
            <v>-</v>
          </cell>
          <cell r="P163">
            <v>43500</v>
          </cell>
        </row>
        <row r="164">
          <cell r="C164" t="str">
            <v>D0905-KSC-158</v>
          </cell>
          <cell r="D164" t="str">
            <v>KS Cosmetic</v>
          </cell>
          <cell r="E164" t="str">
            <v>Hsu</v>
          </cell>
          <cell r="F164" t="str">
            <v>09-988243560</v>
          </cell>
          <cell r="G164" t="str">
            <v>မန္တလေး</v>
          </cell>
          <cell r="H164" t="str">
            <v>(37B) လမ်း၊ ၇၆ x ၇၇ လမ်းကြား၊ မဟာအောင်မြေမြို့နယ်၊ မန္တလေး</v>
          </cell>
          <cell r="I164">
            <v>158000</v>
          </cell>
          <cell r="J164">
            <v>6000</v>
          </cell>
          <cell r="K164">
            <v>164000</v>
          </cell>
          <cell r="L164">
            <v>6000</v>
          </cell>
          <cell r="M164">
            <v>6000</v>
          </cell>
          <cell r="O164" t="str">
            <v>-</v>
          </cell>
          <cell r="P164">
            <v>164000</v>
          </cell>
        </row>
        <row r="165">
          <cell r="C165" t="str">
            <v>D0905-KSC-159</v>
          </cell>
          <cell r="D165" t="str">
            <v>KS Cosmetic</v>
          </cell>
          <cell r="E165" t="str">
            <v>ဒေါ်ထွေးထွေး</v>
          </cell>
          <cell r="F165" t="str">
            <v>09-897859116</v>
          </cell>
          <cell r="G165" t="str">
            <v>နေပြည်တော်</v>
          </cell>
          <cell r="H165" t="str">
            <v>သဇင်လမ်း၊ ရွှေကြာပင်ရပ်ကွက်၊ ဇမ္ဗူသီရိမြို့နယ်၊ နေပြည်တော်</v>
          </cell>
          <cell r="I165">
            <v>39500</v>
          </cell>
          <cell r="J165">
            <v>6000</v>
          </cell>
          <cell r="K165">
            <v>45500</v>
          </cell>
          <cell r="L165">
            <v>6000</v>
          </cell>
          <cell r="M165">
            <v>6000</v>
          </cell>
          <cell r="O165" t="str">
            <v>-</v>
          </cell>
          <cell r="P165">
            <v>45500</v>
          </cell>
        </row>
        <row r="166">
          <cell r="C166" t="str">
            <v>D0905-KSC-160</v>
          </cell>
          <cell r="D166" t="str">
            <v>KS Cosmetic</v>
          </cell>
          <cell r="E166" t="str">
            <v>မိုးမိုး</v>
          </cell>
          <cell r="F166" t="str">
            <v>09-755960431</v>
          </cell>
          <cell r="G166" t="str">
            <v>သင်္ဃန်းကျွန်း</v>
          </cell>
          <cell r="H166" t="str">
            <v>အမှတ် (၄၀)၊ သဇင်ပန်းလမ်း၊ (ဈေးလေးထိပ်)၊ သင်္ဃန်းကျွန်းမြို့နယ်</v>
          </cell>
          <cell r="I166">
            <v>79000</v>
          </cell>
          <cell r="J166">
            <v>4000</v>
          </cell>
          <cell r="K166">
            <v>83000</v>
          </cell>
          <cell r="L166">
            <v>4000</v>
          </cell>
          <cell r="M166">
            <v>4000</v>
          </cell>
          <cell r="O166" t="str">
            <v>-</v>
          </cell>
          <cell r="P166">
            <v>83000</v>
          </cell>
        </row>
        <row r="167">
          <cell r="C167" t="str">
            <v>D0906-GRS-001</v>
          </cell>
          <cell r="D167" t="str">
            <v>GRS Express</v>
          </cell>
          <cell r="E167" t="str">
            <v>Hla Htay</v>
          </cell>
          <cell r="F167" t="str">
            <v>09-421158679</v>
          </cell>
          <cell r="G167" t="str">
            <v>ကျောက်တံတား</v>
          </cell>
          <cell r="H167" t="str">
            <v>(၃၇) လမ်း (အောက်ဆုံးဘလောက်)၊ ကုန်သည်လမ်း နှင့် ကမ်းနားလမ်းကြား၊ ကျောက်တံတားမြို့နယ်</v>
          </cell>
          <cell r="I167">
            <v>35000</v>
          </cell>
          <cell r="J167" t="str">
            <v>-</v>
          </cell>
          <cell r="K167">
            <v>35000</v>
          </cell>
          <cell r="L167">
            <v>4000</v>
          </cell>
          <cell r="M167" t="str">
            <v>-</v>
          </cell>
          <cell r="O167" t="str">
            <v>-</v>
          </cell>
          <cell r="P167">
            <v>35000</v>
          </cell>
        </row>
        <row r="168">
          <cell r="C168" t="str">
            <v>D0906-GRS-002</v>
          </cell>
          <cell r="D168" t="str">
            <v>GRS Express</v>
          </cell>
          <cell r="E168" t="str">
            <v>Thin zar Thein</v>
          </cell>
          <cell r="F168" t="str">
            <v>09-420245880</v>
          </cell>
          <cell r="G168" t="str">
            <v>စမ်းချောင်း</v>
          </cell>
          <cell r="H168" t="str">
            <v>ပန်းလှိုင်လမ်း၊ (အာရှတော်ဝင်ဆေးရုံရှေ့)၊ (သုခရိပ်ကဖေး နှင့် မျက်နှာချင်းဆိုင်တိုက်)၊ စမ်းချောင်းမြို့နယ်</v>
          </cell>
          <cell r="I168">
            <v>111000</v>
          </cell>
          <cell r="J168" t="str">
            <v>-</v>
          </cell>
          <cell r="K168">
            <v>111000</v>
          </cell>
          <cell r="L168">
            <v>4000</v>
          </cell>
          <cell r="M168" t="str">
            <v>-</v>
          </cell>
          <cell r="O168" t="str">
            <v>-</v>
          </cell>
          <cell r="P168">
            <v>111000</v>
          </cell>
        </row>
        <row r="169">
          <cell r="C169" t="str">
            <v>D0906-GRS-003</v>
          </cell>
          <cell r="D169" t="str">
            <v>GRS Express</v>
          </cell>
          <cell r="E169" t="str">
            <v>Nini Mou</v>
          </cell>
          <cell r="F169" t="str">
            <v>09-693202238</v>
          </cell>
          <cell r="G169" t="str">
            <v>စမ်းချောင်း</v>
          </cell>
          <cell r="H169" t="str">
            <v>အမှတ် (၁၂)၊ မြသီတာလမ်း၊ စမ်းချောင်းမြို့နယ်</v>
          </cell>
          <cell r="I169">
            <v>38000</v>
          </cell>
          <cell r="J169" t="str">
            <v>-</v>
          </cell>
          <cell r="K169">
            <v>38000</v>
          </cell>
          <cell r="L169">
            <v>4000</v>
          </cell>
          <cell r="M169" t="str">
            <v>-</v>
          </cell>
          <cell r="O169" t="str">
            <v>-</v>
          </cell>
          <cell r="P169">
            <v>38000</v>
          </cell>
        </row>
        <row r="170">
          <cell r="C170" t="str">
            <v>D0906-GRS-004</v>
          </cell>
          <cell r="D170" t="str">
            <v>GRS Express</v>
          </cell>
          <cell r="E170" t="str">
            <v>မအေးခိုင်မွန်</v>
          </cell>
          <cell r="F170" t="str">
            <v>09-43022942</v>
          </cell>
          <cell r="G170" t="str">
            <v>စမ်းချောင်း</v>
          </cell>
          <cell r="H170" t="str">
            <v>အမှတ် (၄၃)၊ မြေညီထပ်၊ မအူပင်လမ်း၊ စမ်းချောင်းမြို့နယ်</v>
          </cell>
          <cell r="I170">
            <v>30700</v>
          </cell>
          <cell r="J170">
            <v>4500</v>
          </cell>
          <cell r="K170">
            <v>35200</v>
          </cell>
          <cell r="L170">
            <v>4000</v>
          </cell>
          <cell r="M170">
            <v>4500</v>
          </cell>
          <cell r="O170" t="str">
            <v>-</v>
          </cell>
          <cell r="P170">
            <v>35200</v>
          </cell>
        </row>
        <row r="171">
          <cell r="C171" t="str">
            <v>D0906-GRS-005</v>
          </cell>
          <cell r="D171" t="str">
            <v>GRS Express</v>
          </cell>
          <cell r="E171" t="str">
            <v>မသင်းနုနုအေး / Chi Phyu</v>
          </cell>
          <cell r="F171" t="str">
            <v>09-420883377</v>
          </cell>
          <cell r="G171" t="str">
            <v>စမ်းချောင်း</v>
          </cell>
          <cell r="H171" t="str">
            <v>အမှတ် (၄၄)၊ ငှက်ပျောတောလမ်း၊ စမ်းချောင်းမြို့နယ်</v>
          </cell>
          <cell r="I171">
            <v>26000</v>
          </cell>
          <cell r="J171">
            <v>4500</v>
          </cell>
          <cell r="K171">
            <v>30500</v>
          </cell>
          <cell r="L171">
            <v>4000</v>
          </cell>
          <cell r="M171">
            <v>4500</v>
          </cell>
          <cell r="O171" t="str">
            <v>-</v>
          </cell>
          <cell r="P171">
            <v>30500</v>
          </cell>
        </row>
        <row r="172">
          <cell r="C172" t="str">
            <v>D0906-GRS-006</v>
          </cell>
          <cell r="D172" t="str">
            <v>GRS Express</v>
          </cell>
          <cell r="E172" t="str">
            <v>MMH</v>
          </cell>
          <cell r="F172" t="str">
            <v>09-797805095</v>
          </cell>
          <cell r="G172" t="str">
            <v>စမ်းချောင်း</v>
          </cell>
          <cell r="H172" t="str">
            <v>[Zar Zar Htun | S'pore +65-81164003 ]
via: အမှတ် (၂၇)၊ မြေညီထပ်၊ သုခလမ်း၊ မြေနီကုန်း၊ (မြေနီကုန်းမှတ်တိုင်)၊ စမ်းချောင်းမြို့နယ်</v>
          </cell>
          <cell r="I172" t="str">
            <v>-</v>
          </cell>
          <cell r="J172" t="str">
            <v>-</v>
          </cell>
          <cell r="K172" t="str">
            <v>-</v>
          </cell>
          <cell r="L172">
            <v>4000</v>
          </cell>
          <cell r="M172" t="str">
            <v>-</v>
          </cell>
          <cell r="O172" t="str">
            <v>-</v>
          </cell>
          <cell r="P172" t="str">
            <v>-</v>
          </cell>
        </row>
        <row r="173">
          <cell r="C173" t="str">
            <v>D0906-GRS-007</v>
          </cell>
          <cell r="D173" t="str">
            <v>GRS Express</v>
          </cell>
          <cell r="E173" t="str">
            <v>Nu Nu</v>
          </cell>
          <cell r="F173" t="str">
            <v>09-250971217</v>
          </cell>
          <cell r="G173" t="str">
            <v>တာမွေ</v>
          </cell>
          <cell r="H173" t="str">
            <v>အမှတ် (၂၀)၊ ဘယသုဒ္ဓိလမ်း၊ ကျောက်မြောင်း၊ တာမွေမြို့နယ်</v>
          </cell>
          <cell r="I173">
            <v>38000</v>
          </cell>
          <cell r="J173" t="str">
            <v>-</v>
          </cell>
          <cell r="K173">
            <v>38000</v>
          </cell>
          <cell r="L173">
            <v>4000</v>
          </cell>
          <cell r="M173" t="str">
            <v>-</v>
          </cell>
          <cell r="O173" t="str">
            <v>-</v>
          </cell>
          <cell r="P173">
            <v>38000</v>
          </cell>
        </row>
        <row r="174">
          <cell r="C174" t="str">
            <v>D0906-GRS-008</v>
          </cell>
          <cell r="D174" t="str">
            <v>GRS Express</v>
          </cell>
          <cell r="E174" t="str">
            <v>Nelly Nelly</v>
          </cell>
          <cell r="F174" t="str">
            <v>09-794946554</v>
          </cell>
          <cell r="G174" t="str">
            <v>တာမွေ</v>
          </cell>
          <cell r="H174" t="str">
            <v>အမှတ် (8A)၊ ဗိုလ်မင်းခေါင်လမ်း၊ ဗိုလ်စိန်မှန်ရပ်ကွက်၊ (တာမွေအဝိုင်းမှတ်တိုင် ဘောလုံးကွင်းဘေးကလမ်း)၊ တာမွေမြို့နယ်</v>
          </cell>
          <cell r="I174">
            <v>38000</v>
          </cell>
          <cell r="J174" t="str">
            <v>-</v>
          </cell>
          <cell r="K174">
            <v>38000</v>
          </cell>
          <cell r="L174">
            <v>4000</v>
          </cell>
          <cell r="M174" t="str">
            <v>-</v>
          </cell>
          <cell r="O174" t="str">
            <v>-</v>
          </cell>
          <cell r="P174">
            <v>38000</v>
          </cell>
        </row>
        <row r="175">
          <cell r="C175" t="str">
            <v>D0906-GRS-009</v>
          </cell>
          <cell r="D175" t="str">
            <v>GRS Express</v>
          </cell>
          <cell r="E175" t="str">
            <v>Roman Khin</v>
          </cell>
          <cell r="F175" t="str">
            <v>09-425834096</v>
          </cell>
          <cell r="G175" t="str">
            <v>တာမွေ</v>
          </cell>
          <cell r="H175" t="str">
            <v>အမှတ် (၁၅)၊ ကျောက်မြောင်းဈေးမျက်နှာစာတန်း၊ ကျောက်မြောင်း၊ တာမွေမြို့နယ်</v>
          </cell>
          <cell r="I175">
            <v>42000</v>
          </cell>
          <cell r="J175" t="str">
            <v>-</v>
          </cell>
          <cell r="K175">
            <v>42000</v>
          </cell>
          <cell r="L175">
            <v>4000</v>
          </cell>
          <cell r="M175" t="str">
            <v>-</v>
          </cell>
          <cell r="O175" t="str">
            <v>-</v>
          </cell>
          <cell r="P175">
            <v>42000</v>
          </cell>
        </row>
        <row r="176">
          <cell r="C176" t="str">
            <v>D0906-GRS-010</v>
          </cell>
          <cell r="D176" t="str">
            <v>GRS Express</v>
          </cell>
          <cell r="E176" t="str">
            <v>Ma May Thet Mon</v>
          </cell>
          <cell r="F176" t="str">
            <v>09-43185287</v>
          </cell>
          <cell r="G176" t="str">
            <v>တာမွေ</v>
          </cell>
          <cell r="H176" t="str">
            <v>အမှတ် (၁၀၆)၊ ကျိုက္ကဆံလမ်း၊ ပျားရည်ကုန်းရပ်ကွက်၊ တာမွေမြို့နယ်</v>
          </cell>
          <cell r="I176">
            <v>58500</v>
          </cell>
          <cell r="J176">
            <v>4500</v>
          </cell>
          <cell r="K176">
            <v>63000</v>
          </cell>
          <cell r="L176">
            <v>4000</v>
          </cell>
          <cell r="M176">
            <v>4500</v>
          </cell>
          <cell r="O176" t="str">
            <v>-</v>
          </cell>
          <cell r="P176">
            <v>63000</v>
          </cell>
        </row>
        <row r="177">
          <cell r="C177" t="str">
            <v>D0906-GRS-011</v>
          </cell>
          <cell r="D177" t="str">
            <v>GRS Express</v>
          </cell>
          <cell r="E177" t="str">
            <v>Ma May Thet Htwee</v>
          </cell>
          <cell r="F177" t="str">
            <v>09-965115677</v>
          </cell>
          <cell r="G177" t="str">
            <v>တာမွေ</v>
          </cell>
          <cell r="H177" t="str">
            <v>အမှတ် (၃)၊ သုဒဿနလမ်း၊ မလွှကုန်း၊ ဌေးကြွယ်ရပ်ကွက်၊ တာမွေမြို့နယ်</v>
          </cell>
          <cell r="I177" t="str">
            <v>-</v>
          </cell>
          <cell r="J177" t="str">
            <v>-</v>
          </cell>
          <cell r="K177" t="str">
            <v>-</v>
          </cell>
          <cell r="L177">
            <v>4000</v>
          </cell>
          <cell r="M177" t="str">
            <v>-</v>
          </cell>
          <cell r="O177" t="str">
            <v>-</v>
          </cell>
          <cell r="P177" t="str">
            <v>-</v>
          </cell>
        </row>
        <row r="178">
          <cell r="C178" t="str">
            <v>D0906-GRS-012</v>
          </cell>
          <cell r="D178" t="str">
            <v>GRS Express</v>
          </cell>
          <cell r="E178" t="str">
            <v>Aye Nyein Thu</v>
          </cell>
          <cell r="F178" t="str">
            <v>09-978838641 / 09-254073210</v>
          </cell>
          <cell r="G178" t="str">
            <v>တာမွေ</v>
          </cell>
          <cell r="H178" t="str">
            <v>အမှတ် (၅၆)၊ (၅) လွှာ (A)၊ ကျားကွက်သစ်လမ်း၊ ကျောက်မြောင်း၊ တာမွေမြို့နယ်</v>
          </cell>
          <cell r="I178">
            <v>42000</v>
          </cell>
          <cell r="J178" t="str">
            <v>-</v>
          </cell>
          <cell r="K178">
            <v>42000</v>
          </cell>
          <cell r="L178">
            <v>4000</v>
          </cell>
          <cell r="M178" t="str">
            <v>-</v>
          </cell>
          <cell r="O178" t="str">
            <v>-</v>
          </cell>
          <cell r="P178">
            <v>42000</v>
          </cell>
        </row>
        <row r="179">
          <cell r="C179" t="str">
            <v>D0906-GRS-013</v>
          </cell>
          <cell r="D179" t="str">
            <v>GRS Express</v>
          </cell>
          <cell r="E179" t="str">
            <v>Ma Thu Thu Htun</v>
          </cell>
          <cell r="F179" t="str">
            <v>09-696321130</v>
          </cell>
          <cell r="G179" t="str">
            <v>တာမွေ</v>
          </cell>
          <cell r="H179" t="str">
            <v>အမှတ် (3A-1)၊ သီရိလင်္ကာရာမကျောင်းလမ်း၊ တာမွေမြို့နယ်</v>
          </cell>
          <cell r="I179">
            <v>16000</v>
          </cell>
          <cell r="J179">
            <v>4500</v>
          </cell>
          <cell r="K179">
            <v>20500</v>
          </cell>
          <cell r="L179">
            <v>4000</v>
          </cell>
          <cell r="M179">
            <v>4500</v>
          </cell>
          <cell r="O179" t="str">
            <v>-</v>
          </cell>
          <cell r="P179">
            <v>20500</v>
          </cell>
        </row>
        <row r="180">
          <cell r="C180" t="str">
            <v>D0906-GRS-014</v>
          </cell>
          <cell r="D180" t="str">
            <v>GRS Express</v>
          </cell>
          <cell r="E180" t="str">
            <v>Ma War War</v>
          </cell>
          <cell r="F180" t="str">
            <v>09-781440272</v>
          </cell>
          <cell r="G180" t="str">
            <v>ဒေါပုံ</v>
          </cell>
          <cell r="H180" t="str">
            <v>အမှတ် (၂၆၂)၊ အောင်သစ္စာလမ်း၊ ဇေယျာသီရိရပ်ကွက်၊ ဒေါပုံမြို့နယ်</v>
          </cell>
          <cell r="I180">
            <v>78700</v>
          </cell>
          <cell r="J180">
            <v>4500</v>
          </cell>
          <cell r="K180">
            <v>83200</v>
          </cell>
          <cell r="L180">
            <v>4000</v>
          </cell>
          <cell r="M180">
            <v>4500</v>
          </cell>
          <cell r="O180" t="str">
            <v>-</v>
          </cell>
          <cell r="P180">
            <v>83200</v>
          </cell>
        </row>
        <row r="181">
          <cell r="C181" t="str">
            <v>D0906-GRS-015</v>
          </cell>
          <cell r="D181" t="str">
            <v>GRS Express</v>
          </cell>
          <cell r="E181" t="str">
            <v>Nay Chi Win Mon</v>
          </cell>
          <cell r="F181" t="str">
            <v>09-407708900 / 09-765433015</v>
          </cell>
          <cell r="G181" t="str">
            <v>ဗဟန်း</v>
          </cell>
          <cell r="H181" t="str">
            <v>UBC Tower၊ နတ်မောက်လမ်း နှင့် ဗိုလ်ချိုလမ်းသွယ်ထောင့်၊ ဗဟန်းမြို့နယ်</v>
          </cell>
          <cell r="I181">
            <v>49500</v>
          </cell>
          <cell r="J181" t="str">
            <v>-</v>
          </cell>
          <cell r="K181">
            <v>49500</v>
          </cell>
          <cell r="L181">
            <v>4000</v>
          </cell>
          <cell r="M181" t="str">
            <v>-</v>
          </cell>
          <cell r="O181" t="str">
            <v>-</v>
          </cell>
          <cell r="P181">
            <v>49500</v>
          </cell>
        </row>
        <row r="182">
          <cell r="C182" t="str">
            <v>D0906-GRS-016</v>
          </cell>
          <cell r="D182" t="str">
            <v>GRS Express</v>
          </cell>
          <cell r="E182" t="str">
            <v>Nandar Lei Lei Win</v>
          </cell>
          <cell r="F182" t="str">
            <v>09-5181502</v>
          </cell>
          <cell r="G182" t="str">
            <v>ဗဟန်း</v>
          </cell>
          <cell r="H182" t="str">
            <v>ယုဇနကွန်ဒို (Yuzana Condo Tower)၊ (ရွှေဂုံတိုင်မီးပွိုင့်ထိပ်)၊ ဗဟန်းမြို့နယ်</v>
          </cell>
          <cell r="I182">
            <v>120000</v>
          </cell>
          <cell r="J182" t="str">
            <v>-</v>
          </cell>
          <cell r="K182">
            <v>120000</v>
          </cell>
          <cell r="L182">
            <v>4000</v>
          </cell>
          <cell r="M182" t="str">
            <v>-</v>
          </cell>
          <cell r="O182" t="str">
            <v>-</v>
          </cell>
          <cell r="P182">
            <v>120000</v>
          </cell>
        </row>
        <row r="183">
          <cell r="C183" t="str">
            <v>D0906-GRS-017</v>
          </cell>
          <cell r="D183" t="str">
            <v>GRS Express</v>
          </cell>
          <cell r="E183" t="str">
            <v>Shwe Ya Min Oo</v>
          </cell>
          <cell r="F183" t="str">
            <v>09-777631204</v>
          </cell>
          <cell r="G183" t="str">
            <v>ဗဟန်း</v>
          </cell>
          <cell r="H183" t="str">
            <v>အမှတ် (၁၁၄)၊ ဆရာစံရပ်ကွက်၊ (ကျိုက္ကဆံကျောင်းရှေ့မှတ်တိုင်အနီး)၊ ဗဟန်းမြို့နယ်</v>
          </cell>
          <cell r="I183">
            <v>38000</v>
          </cell>
          <cell r="J183">
            <v>4500</v>
          </cell>
          <cell r="K183">
            <v>42500</v>
          </cell>
          <cell r="L183">
            <v>4000</v>
          </cell>
          <cell r="M183">
            <v>4500</v>
          </cell>
          <cell r="O183" t="str">
            <v>-</v>
          </cell>
          <cell r="P183">
            <v>42500</v>
          </cell>
        </row>
        <row r="184">
          <cell r="C184" t="str">
            <v>D0906-GRS-018</v>
          </cell>
          <cell r="D184" t="str">
            <v>GRS Express</v>
          </cell>
          <cell r="E184" t="str">
            <v>Ma Ni Ni Lwin</v>
          </cell>
          <cell r="F184" t="str">
            <v>09-420155136</v>
          </cell>
          <cell r="G184" t="str">
            <v>ဗဟန်း</v>
          </cell>
          <cell r="H184" t="str">
            <v>MPT ရုံး၊ အမှတ် (၇၄)၊ အရှေ့ရွှေဂုံတိုင်လမ်း၊ ဗဟန်းမြို့နယ်</v>
          </cell>
          <cell r="I184">
            <v>21300</v>
          </cell>
          <cell r="J184">
            <v>4500</v>
          </cell>
          <cell r="K184">
            <v>25800</v>
          </cell>
          <cell r="L184">
            <v>4000</v>
          </cell>
          <cell r="M184">
            <v>4500</v>
          </cell>
          <cell r="O184" t="str">
            <v>-</v>
          </cell>
          <cell r="P184">
            <v>25800</v>
          </cell>
        </row>
        <row r="185">
          <cell r="C185" t="str">
            <v>D0906-GRS-019</v>
          </cell>
          <cell r="D185" t="str">
            <v>GRS Express</v>
          </cell>
          <cell r="E185" t="str">
            <v>Ma Aye Chan / Roselynn Bo</v>
          </cell>
          <cell r="F185" t="str">
            <v>09-452424487</v>
          </cell>
          <cell r="G185" t="str">
            <v>ဗဟန်း</v>
          </cell>
          <cell r="H185" t="str">
            <v>အမှတ် (97/101A)၊ ဓမ္မစေတီလမ်း နှင့် ဦးဝိစာရလမ်းကြား၊ 99 Condo ဘေးလမ်း၊ (တောင်ကုန်းအဆုံးထိ တက်လာပါရန်)၊ ၊ ဗဟန်းမြို့နယ်</v>
          </cell>
          <cell r="I185">
            <v>102000</v>
          </cell>
          <cell r="J185">
            <v>4500</v>
          </cell>
          <cell r="K185">
            <v>106500</v>
          </cell>
          <cell r="L185">
            <v>4000</v>
          </cell>
          <cell r="M185">
            <v>4500</v>
          </cell>
          <cell r="O185" t="str">
            <v>-</v>
          </cell>
          <cell r="P185">
            <v>106500</v>
          </cell>
        </row>
        <row r="186">
          <cell r="C186" t="str">
            <v>D0906-GRS-020</v>
          </cell>
          <cell r="D186" t="str">
            <v>GRS Express</v>
          </cell>
          <cell r="E186" t="str">
            <v>Ma Hnin Si</v>
          </cell>
          <cell r="F186" t="str">
            <v>09-250925029</v>
          </cell>
          <cell r="G186" t="str">
            <v>မင်္ဂလာတောင်ညွန့်</v>
          </cell>
          <cell r="H186" t="str">
            <v>အမှတ် (၂၉)၊ (၁၂၂) လမ်း၊ မင်္ဂလာတောင်ညွန့်မြို့နယ်</v>
          </cell>
          <cell r="I186">
            <v>26000</v>
          </cell>
          <cell r="J186">
            <v>4500</v>
          </cell>
          <cell r="K186">
            <v>30500</v>
          </cell>
          <cell r="L186">
            <v>4000</v>
          </cell>
          <cell r="M186">
            <v>4500</v>
          </cell>
          <cell r="O186" t="str">
            <v>-</v>
          </cell>
          <cell r="P186">
            <v>30500</v>
          </cell>
        </row>
        <row r="187">
          <cell r="C187" t="str">
            <v>D0906-GRS-021</v>
          </cell>
          <cell r="D187" t="str">
            <v>GRS Express</v>
          </cell>
          <cell r="E187" t="str">
            <v>Ma Zar Kyi</v>
          </cell>
          <cell r="F187" t="str">
            <v>09-678205674</v>
          </cell>
          <cell r="G187" t="str">
            <v>ရန်ကင်း</v>
          </cell>
          <cell r="H187" t="str">
            <v>ကျိုက္ကဆံရဲဝင်း၊ (၁၆) ရပ်ကွက်၊ (အဝိုင်းလေးမှတ်တိုင်အနီး)၊ ရန်ကင်းမြို့နယ်</v>
          </cell>
          <cell r="I187">
            <v>73500</v>
          </cell>
          <cell r="J187">
            <v>4500</v>
          </cell>
          <cell r="K187">
            <v>78000</v>
          </cell>
          <cell r="L187">
            <v>4000</v>
          </cell>
          <cell r="M187">
            <v>4500</v>
          </cell>
          <cell r="O187" t="str">
            <v>-</v>
          </cell>
          <cell r="P187">
            <v>78000</v>
          </cell>
        </row>
        <row r="188">
          <cell r="C188" t="str">
            <v>D0906-GRS-022</v>
          </cell>
          <cell r="D188" t="str">
            <v>GRS Express</v>
          </cell>
          <cell r="E188" t="str">
            <v>Ma Zar Zar Myo</v>
          </cell>
          <cell r="F188" t="str">
            <v>09-5164188</v>
          </cell>
          <cell r="G188" t="str">
            <v>ရန်ကင်း</v>
          </cell>
          <cell r="H188" t="str">
            <v>ရွှေမိုးကောင်းကွန်ဒို၊ အခန်း (J-704)၊ (Fashion Story ဘေး ကားဝင်ပေါက်)၊ ရန်ကင်းမြို့နယ်</v>
          </cell>
          <cell r="I188">
            <v>35600</v>
          </cell>
          <cell r="J188">
            <v>4500</v>
          </cell>
          <cell r="K188">
            <v>40100</v>
          </cell>
          <cell r="L188">
            <v>4000</v>
          </cell>
          <cell r="M188">
            <v>4500</v>
          </cell>
          <cell r="O188" t="str">
            <v>-</v>
          </cell>
          <cell r="P188">
            <v>40100</v>
          </cell>
        </row>
        <row r="189">
          <cell r="C189" t="str">
            <v>D0906-GRS-023</v>
          </cell>
          <cell r="D189" t="str">
            <v>GRS Express</v>
          </cell>
          <cell r="E189" t="str">
            <v>Thu Zar Myint</v>
          </cell>
          <cell r="F189" t="str">
            <v>09-5014312</v>
          </cell>
          <cell r="G189" t="str">
            <v>လမ်းမတော်</v>
          </cell>
          <cell r="H189" t="str">
            <v>ဗဟိုစည်အိမ်ရာ၊ တိုက် (၄၃)၊ အခန်း (၁၂)၊ လမ်းမတော်မြို့နယ်</v>
          </cell>
          <cell r="I189">
            <v>46000</v>
          </cell>
          <cell r="J189" t="str">
            <v>-</v>
          </cell>
          <cell r="K189">
            <v>46000</v>
          </cell>
          <cell r="L189">
            <v>4000</v>
          </cell>
          <cell r="M189" t="str">
            <v>-</v>
          </cell>
          <cell r="O189" t="str">
            <v>-</v>
          </cell>
          <cell r="P189">
            <v>46000</v>
          </cell>
        </row>
        <row r="190">
          <cell r="C190" t="str">
            <v>D0906-GRS-024</v>
          </cell>
          <cell r="D190" t="str">
            <v>GRS Express</v>
          </cell>
          <cell r="E190" t="str">
            <v>Daw San Dar</v>
          </cell>
          <cell r="F190" t="str">
            <v>09-781783477</v>
          </cell>
          <cell r="G190" t="str">
            <v>လမ်းမတော်</v>
          </cell>
          <cell r="H190" t="str">
            <v>ညောင်ပင်လေးဈေး၊ လမ်းမတော်မြို့နယ်</v>
          </cell>
          <cell r="I190">
            <v>50000</v>
          </cell>
          <cell r="J190" t="str">
            <v>-</v>
          </cell>
          <cell r="K190">
            <v>50000</v>
          </cell>
          <cell r="L190">
            <v>4000</v>
          </cell>
          <cell r="M190" t="str">
            <v>-</v>
          </cell>
          <cell r="O190" t="str">
            <v>-</v>
          </cell>
          <cell r="P190">
            <v>50000</v>
          </cell>
        </row>
        <row r="191">
          <cell r="C191" t="str">
            <v>D0906-GRS-025</v>
          </cell>
          <cell r="D191" t="str">
            <v>GRS Express</v>
          </cell>
          <cell r="E191" t="str">
            <v>Thein Thein / ဒေါ်သိန်း</v>
          </cell>
          <cell r="F191" t="str">
            <v>09-5033566</v>
          </cell>
          <cell r="G191" t="str">
            <v>လမ်းမတော်</v>
          </cell>
          <cell r="H191" t="str">
            <v>Great Wall Condo၊ အမှတ် (၃၁၂)၊ အနော်ရထာလမ်း နှင့် (၃) လမ်းထိပ်၊ (ကြက်တောင်ကွင်းဘေး)၊ လမ်းမတော်မြို့နယ်</v>
          </cell>
          <cell r="I191">
            <v>46000</v>
          </cell>
          <cell r="J191" t="str">
            <v>-</v>
          </cell>
          <cell r="K191">
            <v>46000</v>
          </cell>
          <cell r="L191">
            <v>4000</v>
          </cell>
          <cell r="M191" t="str">
            <v>-</v>
          </cell>
          <cell r="O191" t="str">
            <v>-</v>
          </cell>
          <cell r="P191">
            <v>46000</v>
          </cell>
        </row>
        <row r="192">
          <cell r="C192" t="str">
            <v>D0906-GRS-026</v>
          </cell>
          <cell r="D192" t="str">
            <v>GRS Express</v>
          </cell>
          <cell r="E192" t="str">
            <v>မချစ်သုန်မာမီ</v>
          </cell>
          <cell r="F192" t="str">
            <v>09-43129695</v>
          </cell>
          <cell r="G192" t="str">
            <v>လမ်းမတော်</v>
          </cell>
          <cell r="H192" t="str">
            <v>အမှတ် (၁၇၄)၊ အနော်ရထာလမ်း နှင့် (၁၅) လမ်းထိပ်၊ လမ်းမတော်မြို့နယ်</v>
          </cell>
          <cell r="I192">
            <v>27100</v>
          </cell>
          <cell r="J192">
            <v>4500</v>
          </cell>
          <cell r="K192">
            <v>31600</v>
          </cell>
          <cell r="L192">
            <v>4000</v>
          </cell>
          <cell r="M192">
            <v>4500</v>
          </cell>
          <cell r="O192" t="str">
            <v>-</v>
          </cell>
          <cell r="P192">
            <v>31600</v>
          </cell>
        </row>
        <row r="193">
          <cell r="C193" t="str">
            <v>D0906-GRS-027</v>
          </cell>
          <cell r="D193" t="str">
            <v>GRS Express</v>
          </cell>
          <cell r="E193" t="str">
            <v>Ma Hnin Lai Ye Soe</v>
          </cell>
          <cell r="F193" t="str">
            <v>09-250060366</v>
          </cell>
          <cell r="G193" t="str">
            <v>လသာ</v>
          </cell>
          <cell r="H193" t="str">
            <v>လရိပ်စားသောက်ဆိုင်ရှေ့၊ လသာလမ်း (အပေါ်ဘလောက်)၊ လသာမြို့နယ်</v>
          </cell>
          <cell r="I193" t="str">
            <v>-</v>
          </cell>
          <cell r="J193">
            <v>4500</v>
          </cell>
          <cell r="K193">
            <v>4500</v>
          </cell>
          <cell r="L193">
            <v>4000</v>
          </cell>
          <cell r="M193">
            <v>4500</v>
          </cell>
          <cell r="O193" t="str">
            <v>-</v>
          </cell>
          <cell r="P193">
            <v>4500</v>
          </cell>
        </row>
        <row r="194">
          <cell r="C194" t="str">
            <v>D0906-GRS-028</v>
          </cell>
          <cell r="D194" t="str">
            <v>GRS Express</v>
          </cell>
          <cell r="E194" t="str">
            <v>Mya Sann Nwey</v>
          </cell>
          <cell r="F194" t="str">
            <v>09-797795147</v>
          </cell>
          <cell r="G194" t="str">
            <v>သင်္ဃန်းကျွန်း</v>
          </cell>
          <cell r="H194" t="str">
            <v>စံပြ (၅) လမ်း၊ သင်္ဃန်းကျွန်းမြို့နယ်</v>
          </cell>
          <cell r="I194">
            <v>147500</v>
          </cell>
          <cell r="J194" t="str">
            <v>-</v>
          </cell>
          <cell r="K194">
            <v>147500</v>
          </cell>
          <cell r="L194">
            <v>4000</v>
          </cell>
          <cell r="M194" t="str">
            <v>-</v>
          </cell>
          <cell r="O194" t="str">
            <v>-</v>
          </cell>
          <cell r="P194">
            <v>147500</v>
          </cell>
        </row>
        <row r="195">
          <cell r="C195" t="str">
            <v>D0906-GRS-029</v>
          </cell>
          <cell r="D195" t="str">
            <v>GRS Express</v>
          </cell>
          <cell r="E195" t="str">
            <v>Ni Lar Hlaing</v>
          </cell>
          <cell r="F195" t="str">
            <v>09-776161961</v>
          </cell>
          <cell r="G195" t="str">
            <v>သင်္ဃန်းကျွန်း</v>
          </cell>
          <cell r="H195" t="str">
            <v>အမှတ် (၇၄၈)၊ ဇောတိကလမ်း နှင့် ဇဋိလ လမ်းထောင့်၊ (၁၆/၁) ရပ်ကွက်၊ သင်္ဃန်းကျွန်းမြို့နယ်</v>
          </cell>
          <cell r="I195">
            <v>124000</v>
          </cell>
          <cell r="J195" t="str">
            <v>-</v>
          </cell>
          <cell r="K195">
            <v>124000</v>
          </cell>
          <cell r="L195">
            <v>4000</v>
          </cell>
          <cell r="M195" t="str">
            <v>-</v>
          </cell>
          <cell r="O195" t="str">
            <v>-</v>
          </cell>
          <cell r="P195">
            <v>124000</v>
          </cell>
        </row>
        <row r="196">
          <cell r="C196" t="str">
            <v>D0906-GRS-030</v>
          </cell>
          <cell r="D196" t="str">
            <v>GRS Express</v>
          </cell>
          <cell r="E196" t="str">
            <v>Ma Nwe Ni Aye</v>
          </cell>
          <cell r="F196" t="str">
            <v>09-754406474</v>
          </cell>
          <cell r="G196" t="str">
            <v>သင်္ဃန်းကျွန်း</v>
          </cell>
          <cell r="H196" t="str">
            <v>အောင်ဇေယျ (၁) လမ်း (ညာဘက်ခြမ်း)၊ (သုဝဏ္ဏဈေးအနီး)၊ သင်္ဃန်းကျွန်းမြို့နယ်</v>
          </cell>
          <cell r="I196">
            <v>50000</v>
          </cell>
          <cell r="J196">
            <v>4500</v>
          </cell>
          <cell r="K196">
            <v>54500</v>
          </cell>
          <cell r="L196">
            <v>4000</v>
          </cell>
          <cell r="M196">
            <v>4500</v>
          </cell>
          <cell r="O196" t="str">
            <v>-</v>
          </cell>
          <cell r="P196">
            <v>54500</v>
          </cell>
        </row>
        <row r="197">
          <cell r="C197" t="str">
            <v>D0906-GRS-031</v>
          </cell>
          <cell r="D197" t="str">
            <v>GRS Express</v>
          </cell>
          <cell r="E197" t="str">
            <v>Ma Yu Naing</v>
          </cell>
          <cell r="F197" t="str">
            <v>09-448023775</v>
          </cell>
          <cell r="G197" t="str">
            <v>သင်္ဃန်းကျွန်း</v>
          </cell>
          <cell r="H197" t="str">
            <v>တိုက် (၂)၊ စံပြ (၈) လမ်း၊ သင်္ဃန်းကျွန်းမြို့နယ်</v>
          </cell>
          <cell r="I197">
            <v>29200</v>
          </cell>
          <cell r="J197">
            <v>4500</v>
          </cell>
          <cell r="K197">
            <v>33700</v>
          </cell>
          <cell r="L197">
            <v>4000</v>
          </cell>
          <cell r="M197">
            <v>4500</v>
          </cell>
          <cell r="O197" t="str">
            <v>-</v>
          </cell>
          <cell r="P197">
            <v>33700</v>
          </cell>
        </row>
        <row r="198">
          <cell r="C198" t="str">
            <v>D0906-GRS-032</v>
          </cell>
          <cell r="D198" t="str">
            <v>GRS Express</v>
          </cell>
          <cell r="E198" t="str">
            <v>Khin Sandar Lynn</v>
          </cell>
          <cell r="F198" t="str">
            <v>09-895705937</v>
          </cell>
          <cell r="G198" t="str">
            <v>သင်္ဃန်းကျွန်း</v>
          </cell>
          <cell r="H198" t="str">
            <v>အမှတ် (၃၉၆)၊ ကန်ဦးလမ်း၊ လေးထောင့်ကန်၊ သင်္ဃန်းကျွန်းမြို့နယ်</v>
          </cell>
          <cell r="I198">
            <v>42000</v>
          </cell>
          <cell r="J198" t="str">
            <v>-</v>
          </cell>
          <cell r="K198">
            <v>42000</v>
          </cell>
          <cell r="L198">
            <v>4000</v>
          </cell>
          <cell r="M198" t="str">
            <v>-</v>
          </cell>
          <cell r="O198" t="str">
            <v>-</v>
          </cell>
          <cell r="P198">
            <v>42000</v>
          </cell>
        </row>
        <row r="199">
          <cell r="C199" t="str">
            <v>D0906-GRS-033</v>
          </cell>
          <cell r="D199" t="str">
            <v>GRS Express</v>
          </cell>
          <cell r="E199" t="str">
            <v>Zin Mar Win</v>
          </cell>
          <cell r="F199" t="str">
            <v>09-450380556</v>
          </cell>
          <cell r="G199" t="str">
            <v>သင်္ဃန်းကျွန်း</v>
          </cell>
          <cell r="H199" t="str">
            <v>အမှတ် (၈၃၃)၊ ငမိုးရိပ် (၂) လမ်း (အပိုင်း ၃)၊ သင်္ဃန်းကျွန်းမြို့နယ်</v>
          </cell>
          <cell r="I199">
            <v>40000</v>
          </cell>
          <cell r="J199" t="str">
            <v>-</v>
          </cell>
          <cell r="K199">
            <v>40000</v>
          </cell>
          <cell r="L199">
            <v>4000</v>
          </cell>
          <cell r="M199" t="str">
            <v>-</v>
          </cell>
          <cell r="O199" t="str">
            <v>-</v>
          </cell>
          <cell r="P199">
            <v>40000</v>
          </cell>
        </row>
        <row r="200">
          <cell r="C200" t="str">
            <v>D0906-GRS-034</v>
          </cell>
          <cell r="D200" t="str">
            <v>GRS Express</v>
          </cell>
          <cell r="E200" t="str">
            <v>Kyi Kyi Win</v>
          </cell>
          <cell r="F200" t="str">
            <v>09-43190027</v>
          </cell>
          <cell r="G200" t="str">
            <v>သင်္ဃန်းကျွန်း</v>
          </cell>
          <cell r="H200" t="str">
            <v>အမှတ် (၃၀၄)၊ ဣစိတံအိမ်ရာ (SH2 Eaisitan Housing) ဝေဇယန္တာလမ်း၊ သင်္ဃန်းကျွန်းမြို့နယ်</v>
          </cell>
          <cell r="I200">
            <v>27000</v>
          </cell>
          <cell r="J200" t="str">
            <v>-</v>
          </cell>
          <cell r="K200">
            <v>27000</v>
          </cell>
          <cell r="L200">
            <v>4000</v>
          </cell>
          <cell r="M200" t="str">
            <v>-</v>
          </cell>
          <cell r="O200" t="str">
            <v>-</v>
          </cell>
          <cell r="P200">
            <v>27000</v>
          </cell>
        </row>
        <row r="201">
          <cell r="C201" t="str">
            <v>D0906-GRS-035</v>
          </cell>
          <cell r="D201" t="str">
            <v>GRS Express</v>
          </cell>
          <cell r="E201" t="str">
            <v>Ma Htay Htay</v>
          </cell>
          <cell r="F201" t="str">
            <v>09-426645479</v>
          </cell>
          <cell r="G201" t="str">
            <v>သင်္ဃန်းကျွန်း</v>
          </cell>
          <cell r="H201" t="str">
            <v>အောင်ဇေယျလမ်း နှင့် ကမာကြည်လမ်းထောင့်၊ ရန်ကုန်သစ်ရပ်ကွက်၊ သုဝဏ္ဏ၊ သင်္ဃန်းကျွန်းမြို့နယ်</v>
          </cell>
          <cell r="I201">
            <v>34500</v>
          </cell>
          <cell r="J201">
            <v>4500</v>
          </cell>
          <cell r="K201">
            <v>39000</v>
          </cell>
          <cell r="L201">
            <v>4000</v>
          </cell>
          <cell r="M201">
            <v>4500</v>
          </cell>
          <cell r="O201" t="str">
            <v>-</v>
          </cell>
          <cell r="P201">
            <v>39000</v>
          </cell>
        </row>
        <row r="202">
          <cell r="C202" t="str">
            <v>D0906-KSC-036</v>
          </cell>
          <cell r="D202" t="str">
            <v>KS Cosmetic</v>
          </cell>
          <cell r="E202" t="str">
            <v>စန်းစန်ပွင့်</v>
          </cell>
          <cell r="F202" t="str">
            <v>09-691449616</v>
          </cell>
          <cell r="G202" t="str">
            <v>Royal</v>
          </cell>
          <cell r="H202" t="str">
            <v>သီရိပစ္စယာ (၅)၊ ညောင်ဦး</v>
          </cell>
          <cell r="I202">
            <v>39500</v>
          </cell>
          <cell r="J202">
            <v>6000</v>
          </cell>
          <cell r="K202">
            <v>45500</v>
          </cell>
          <cell r="L202" t="str">
            <v>-</v>
          </cell>
          <cell r="M202">
            <v>6000</v>
          </cell>
          <cell r="O202" t="str">
            <v>-</v>
          </cell>
          <cell r="P202">
            <v>45500</v>
          </cell>
        </row>
        <row r="203">
          <cell r="C203" t="str">
            <v>D0906-KSC-037</v>
          </cell>
          <cell r="D203" t="str">
            <v>KS Cosmetic</v>
          </cell>
          <cell r="E203" t="str">
            <v>တင်မိုးသူ</v>
          </cell>
          <cell r="F203" t="str">
            <v>09-682291826</v>
          </cell>
          <cell r="G203" t="str">
            <v>Royal</v>
          </cell>
          <cell r="H203" t="str">
            <v>ကြက်ဖြူကန်၊ မှော်ဘီ</v>
          </cell>
          <cell r="I203">
            <v>39500</v>
          </cell>
          <cell r="J203">
            <v>5000</v>
          </cell>
          <cell r="K203">
            <v>44500</v>
          </cell>
          <cell r="L203" t="str">
            <v>-</v>
          </cell>
          <cell r="M203">
            <v>5000</v>
          </cell>
          <cell r="O203" t="str">
            <v>-</v>
          </cell>
          <cell r="P203">
            <v>44500</v>
          </cell>
        </row>
        <row r="204">
          <cell r="C204" t="str">
            <v>D0906-KSC-038</v>
          </cell>
          <cell r="D204" t="str">
            <v>KS Cosmetic</v>
          </cell>
          <cell r="E204" t="str">
            <v>နွယ်</v>
          </cell>
          <cell r="F204" t="str">
            <v>09-778383501</v>
          </cell>
          <cell r="G204" t="str">
            <v>Royal</v>
          </cell>
          <cell r="H204" t="str">
            <v>နှင်းဆီ KTV၊ (၁၀၈) မိုင်၊ မင်းလှ၊ အုတ်ဖို၊ ပဲခူးတိုင်း</v>
          </cell>
          <cell r="I204">
            <v>79000</v>
          </cell>
          <cell r="J204">
            <v>5000</v>
          </cell>
          <cell r="K204">
            <v>84000</v>
          </cell>
          <cell r="L204" t="str">
            <v>-</v>
          </cell>
          <cell r="M204">
            <v>5000</v>
          </cell>
          <cell r="O204" t="str">
            <v>-</v>
          </cell>
          <cell r="P204">
            <v>84000</v>
          </cell>
        </row>
        <row r="205">
          <cell r="C205" t="str">
            <v>D0906-KSC-039</v>
          </cell>
          <cell r="D205" t="str">
            <v>KS Cosmetic</v>
          </cell>
          <cell r="E205" t="str">
            <v>ဒေါ်ခင်သန်းနု</v>
          </cell>
          <cell r="F205" t="str">
            <v>09-444649874</v>
          </cell>
          <cell r="G205" t="str">
            <v>Royal</v>
          </cell>
          <cell r="H205" t="str">
            <v>တောမ၊ စဉ့်ကိုင်မြို့နယ်၊ မန္တလေးတိုင်း</v>
          </cell>
          <cell r="I205">
            <v>79000</v>
          </cell>
          <cell r="J205">
            <v>6000</v>
          </cell>
          <cell r="K205">
            <v>85000</v>
          </cell>
          <cell r="L205" t="str">
            <v>-</v>
          </cell>
          <cell r="M205">
            <v>6000</v>
          </cell>
          <cell r="O205" t="str">
            <v>-</v>
          </cell>
          <cell r="P205">
            <v>85000</v>
          </cell>
        </row>
        <row r="206">
          <cell r="C206" t="str">
            <v>D0906-KSC-040</v>
          </cell>
          <cell r="D206" t="str">
            <v>KS Cosmetic</v>
          </cell>
          <cell r="E206" t="str">
            <v>မမိုးမိုးဆွေ</v>
          </cell>
          <cell r="F206" t="str">
            <v>09-794724534</v>
          </cell>
          <cell r="G206" t="str">
            <v>Royal</v>
          </cell>
          <cell r="H206" t="str">
            <v>BBB (ဘီသုံးလုံး) ကြာဇံစက်ရုံ၊ ဆားမလောက်</v>
          </cell>
          <cell r="I206">
            <v>79000</v>
          </cell>
          <cell r="J206">
            <v>5000</v>
          </cell>
          <cell r="K206">
            <v>84000</v>
          </cell>
          <cell r="L206" t="str">
            <v>-</v>
          </cell>
          <cell r="M206">
            <v>5000</v>
          </cell>
          <cell r="O206" t="str">
            <v>-</v>
          </cell>
          <cell r="P206">
            <v>84000</v>
          </cell>
        </row>
        <row r="207">
          <cell r="C207" t="str">
            <v>D0906-KSC-041</v>
          </cell>
          <cell r="D207" t="str">
            <v>KS Cosmetic</v>
          </cell>
          <cell r="E207" t="str">
            <v>Cherry</v>
          </cell>
          <cell r="F207" t="str">
            <v>09-256265472</v>
          </cell>
          <cell r="G207" t="str">
            <v>တာမွေ</v>
          </cell>
          <cell r="H207" t="str">
            <v>(Ocean ရှေ့)၊ တာမွေအဝိုင်းထိပ်၊ တာမွေမြို့နယ်</v>
          </cell>
          <cell r="I207">
            <v>39500</v>
          </cell>
          <cell r="J207">
            <v>4000</v>
          </cell>
          <cell r="K207">
            <v>43500</v>
          </cell>
          <cell r="L207">
            <v>4000</v>
          </cell>
          <cell r="M207">
            <v>4000</v>
          </cell>
          <cell r="O207" t="str">
            <v>-</v>
          </cell>
          <cell r="P207">
            <v>43500</v>
          </cell>
        </row>
        <row r="208">
          <cell r="C208" t="str">
            <v>D0906-KSC-042</v>
          </cell>
          <cell r="D208" t="str">
            <v>KS Cosmetic</v>
          </cell>
          <cell r="E208" t="str">
            <v>Ma Gu</v>
          </cell>
          <cell r="F208" t="str">
            <v>09-952060299</v>
          </cell>
          <cell r="G208" t="str">
            <v>ဒဂုံဆိပ်ကမ်း</v>
          </cell>
          <cell r="H208" t="str">
            <v>ရတနာနှင်းဆီအိမ်ရာ၊ အမှတ် (4B/1507)၊ ဒဂုံဆိပ်ကမ်းမြို့နယ်</v>
          </cell>
          <cell r="I208">
            <v>39500</v>
          </cell>
          <cell r="J208">
            <v>4000</v>
          </cell>
          <cell r="K208">
            <v>43500</v>
          </cell>
          <cell r="L208">
            <v>4000</v>
          </cell>
          <cell r="M208">
            <v>4000</v>
          </cell>
          <cell r="O208" t="str">
            <v>-</v>
          </cell>
          <cell r="P208">
            <v>43500</v>
          </cell>
        </row>
        <row r="209">
          <cell r="C209" t="str">
            <v>D0906-KSC-043</v>
          </cell>
          <cell r="D209" t="str">
            <v>KS Cosmetic</v>
          </cell>
          <cell r="E209" t="str">
            <v>စိုးစိုး</v>
          </cell>
          <cell r="F209" t="str">
            <v>09-440990011</v>
          </cell>
          <cell r="G209" t="str">
            <v>နေပြည်တော်</v>
          </cell>
          <cell r="H209" t="str">
            <v>အမှတ် (၅၁၅၈)၊ လားရှိုးလမ်း နှင့် သဇင် (၈) လမ်းထောင့်၊ ဥတ္တရသီရိမြို့နယ်၊ နေပြည်တော်</v>
          </cell>
          <cell r="I209">
            <v>79000</v>
          </cell>
          <cell r="J209">
            <v>6000</v>
          </cell>
          <cell r="K209">
            <v>85000</v>
          </cell>
          <cell r="L209">
            <v>6000</v>
          </cell>
          <cell r="M209">
            <v>6000</v>
          </cell>
          <cell r="O209" t="str">
            <v>-</v>
          </cell>
          <cell r="P209">
            <v>85000</v>
          </cell>
        </row>
        <row r="210">
          <cell r="C210" t="str">
            <v>D0906-KSC-044</v>
          </cell>
          <cell r="D210" t="str">
            <v>KS Cosmetic</v>
          </cell>
          <cell r="E210" t="str">
            <v>ခက်ခက်ကျော်</v>
          </cell>
          <cell r="F210" t="str">
            <v>09-758265556
09-666045770</v>
          </cell>
          <cell r="G210" t="str">
            <v>နေပြည်တော်</v>
          </cell>
          <cell r="H210" t="str">
            <v>ဝဏ္ဏသိဒ္ဓိရပ်ကွက်၊ ဇမ္ဗူသီရိမြို့နယ်၊ နေပြည်တော်</v>
          </cell>
          <cell r="I210">
            <v>118500</v>
          </cell>
          <cell r="J210">
            <v>6000</v>
          </cell>
          <cell r="K210">
            <v>124500</v>
          </cell>
          <cell r="L210">
            <v>6000</v>
          </cell>
          <cell r="M210">
            <v>6000</v>
          </cell>
          <cell r="O210" t="str">
            <v>-</v>
          </cell>
          <cell r="P210">
            <v>124500</v>
          </cell>
        </row>
        <row r="211">
          <cell r="C211" t="str">
            <v>D0906-KSC-045</v>
          </cell>
          <cell r="D211" t="str">
            <v>KS Cosmetic</v>
          </cell>
          <cell r="E211" t="str">
            <v>Daw Ye Ye Tun</v>
          </cell>
          <cell r="F211" t="str">
            <v>09-441288080</v>
          </cell>
          <cell r="G211" t="str">
            <v>ဗဟန်း</v>
          </cell>
          <cell r="H211" t="str">
            <v>တက္ကသိုလ်ရိပ်သာလမ်းဟောင်း၊ ရွှေတောင်ကြားရပ်ကွက်၊ ဗဟန်းမြို့နယ်</v>
          </cell>
          <cell r="I211">
            <v>39500</v>
          </cell>
          <cell r="J211">
            <v>4000</v>
          </cell>
          <cell r="K211">
            <v>43500</v>
          </cell>
          <cell r="L211">
            <v>4000</v>
          </cell>
          <cell r="M211">
            <v>4000</v>
          </cell>
          <cell r="O211" t="str">
            <v>-</v>
          </cell>
          <cell r="P211">
            <v>43500</v>
          </cell>
        </row>
        <row r="212">
          <cell r="C212" t="str">
            <v>D0906-KSC-046</v>
          </cell>
          <cell r="D212" t="str">
            <v>KS Cosmetic</v>
          </cell>
          <cell r="E212" t="str">
            <v>Su Mon</v>
          </cell>
          <cell r="F212" t="str">
            <v>09-779697713</v>
          </cell>
          <cell r="G212" t="str">
            <v>ဗိုလ်တထောင်</v>
          </cell>
          <cell r="H212" t="str">
            <v>အခွန်ရုံး (၂)၊ အနော်ရထာလမ်း နှင့် (၄၆) လမ်းမှတ်တိုင်အနီး၊ (Thai 47 ကပ်လျက်)၊ ဗိုလ်တထောင်မြို့နယ်</v>
          </cell>
          <cell r="I212">
            <v>39500</v>
          </cell>
          <cell r="J212">
            <v>4000</v>
          </cell>
          <cell r="K212">
            <v>43500</v>
          </cell>
          <cell r="L212">
            <v>4000</v>
          </cell>
          <cell r="M212">
            <v>4000</v>
          </cell>
          <cell r="O212" t="str">
            <v>-</v>
          </cell>
          <cell r="P212">
            <v>43500</v>
          </cell>
        </row>
        <row r="213">
          <cell r="C213" t="str">
            <v>D0906-KSC-047</v>
          </cell>
          <cell r="D213" t="str">
            <v>KS Cosmetic</v>
          </cell>
          <cell r="E213" t="str">
            <v>Min Thu Ta</v>
          </cell>
          <cell r="F213" t="str">
            <v>09-695623399</v>
          </cell>
          <cell r="G213" t="str">
            <v>မင်္ဂလာဒုံ</v>
          </cell>
          <cell r="H213" t="str">
            <v>ဝါယာလက်ဈေး၊ (အ.မ.က ၁၀ ကျောင်းရှေ့)၊ မင်္ဂလာဒုံမြို့နယ်</v>
          </cell>
          <cell r="I213">
            <v>39500</v>
          </cell>
          <cell r="J213">
            <v>4500</v>
          </cell>
          <cell r="K213">
            <v>44000</v>
          </cell>
          <cell r="L213">
            <v>4500</v>
          </cell>
          <cell r="M213">
            <v>4500</v>
          </cell>
          <cell r="O213" t="str">
            <v>-</v>
          </cell>
          <cell r="P213">
            <v>44000</v>
          </cell>
        </row>
        <row r="214">
          <cell r="C214" t="str">
            <v>D0906-KSC-048</v>
          </cell>
          <cell r="D214" t="str">
            <v>KS Cosmetic</v>
          </cell>
          <cell r="E214" t="str">
            <v>Thin Zar</v>
          </cell>
          <cell r="F214" t="str">
            <v>09-673398722</v>
          </cell>
          <cell r="G214" t="str">
            <v>မင်္ဂလာဒုံ</v>
          </cell>
          <cell r="H214" t="str">
            <v>အောင်စည်ဂုံဘုရားအနီး၊ သင်္ဃန်းကျွန်းကြီး၊ မင်္ဂလာဒုံမြို့နယ်</v>
          </cell>
          <cell r="I214">
            <v>39500</v>
          </cell>
          <cell r="J214">
            <v>4500</v>
          </cell>
          <cell r="K214">
            <v>44000</v>
          </cell>
          <cell r="L214">
            <v>4500</v>
          </cell>
          <cell r="M214">
            <v>4500</v>
          </cell>
          <cell r="O214" t="str">
            <v>-</v>
          </cell>
          <cell r="P214">
            <v>44000</v>
          </cell>
        </row>
        <row r="215">
          <cell r="C215" t="str">
            <v>D0906-KSC-049</v>
          </cell>
          <cell r="D215" t="str">
            <v>KS Cosmetic</v>
          </cell>
          <cell r="E215" t="str">
            <v>မဝါ</v>
          </cell>
          <cell r="F215" t="str">
            <v>09-401620531</v>
          </cell>
          <cell r="G215" t="str">
            <v>မင်္ဂလာဒုံ</v>
          </cell>
          <cell r="H215" t="str">
            <v>ကုန်းတလပေါင်ကျေးရွာ၊ မင်္ဂလာဒုံမြို့နယ်</v>
          </cell>
          <cell r="I215">
            <v>39500</v>
          </cell>
          <cell r="J215">
            <v>4500</v>
          </cell>
          <cell r="K215">
            <v>44000</v>
          </cell>
          <cell r="L215">
            <v>4500</v>
          </cell>
          <cell r="M215">
            <v>4500</v>
          </cell>
          <cell r="O215" t="str">
            <v>-</v>
          </cell>
          <cell r="P215">
            <v>44000</v>
          </cell>
        </row>
        <row r="216">
          <cell r="C216" t="str">
            <v>D0906-KSC-050</v>
          </cell>
          <cell r="D216" t="str">
            <v>KS Cosmetic</v>
          </cell>
          <cell r="E216" t="str">
            <v>May May Ei</v>
          </cell>
          <cell r="F216" t="str">
            <v>09-795127758</v>
          </cell>
          <cell r="G216" t="str">
            <v>မင်္ဂလာဒုံ</v>
          </cell>
          <cell r="H216" t="str">
            <v>နွယ်နီလမ်းသွယ် (၂)၊ ကုန်းတလပေါင် (တောင်ပိုင်း)၊ မင်္ဂလာဒုံမြို့နယ်</v>
          </cell>
          <cell r="I216">
            <v>39500</v>
          </cell>
          <cell r="J216">
            <v>4500</v>
          </cell>
          <cell r="K216">
            <v>44000</v>
          </cell>
          <cell r="L216">
            <v>4500</v>
          </cell>
          <cell r="M216">
            <v>4500</v>
          </cell>
          <cell r="O216" t="str">
            <v>-</v>
          </cell>
          <cell r="P216">
            <v>44000</v>
          </cell>
        </row>
        <row r="217">
          <cell r="C217" t="str">
            <v>D0906-KSC-051</v>
          </cell>
          <cell r="D217" t="str">
            <v>KS Cosmetic</v>
          </cell>
          <cell r="E217" t="str">
            <v>မမိုးမိုး</v>
          </cell>
          <cell r="F217" t="str">
            <v>09-752865205</v>
          </cell>
          <cell r="G217" t="str">
            <v>မင်္ဂလာဒုံ</v>
          </cell>
          <cell r="H217" t="str">
            <v>ကျောင်းကြီး (၂) လမ်း၊ သင်္ဃန်းကျွန်းကြီး၊ မင်္ဂလာဒုံမြို့နယ်</v>
          </cell>
          <cell r="I217">
            <v>79000</v>
          </cell>
          <cell r="J217">
            <v>4500</v>
          </cell>
          <cell r="K217">
            <v>83500</v>
          </cell>
          <cell r="L217">
            <v>4500</v>
          </cell>
          <cell r="M217">
            <v>4500</v>
          </cell>
          <cell r="O217" t="str">
            <v>-</v>
          </cell>
          <cell r="P217">
            <v>83500</v>
          </cell>
        </row>
        <row r="218">
          <cell r="C218" t="str">
            <v>D0906-KSC-052</v>
          </cell>
          <cell r="D218" t="str">
            <v>KS Cosmetic</v>
          </cell>
          <cell r="E218" t="str">
            <v>Myat Lin Khant</v>
          </cell>
          <cell r="F218" t="str">
            <v>09-957031471</v>
          </cell>
          <cell r="G218" t="str">
            <v>မန္တလေး</v>
          </cell>
          <cell r="H218" t="str">
            <v>၇၈ x ၁၁၅ လမ်းကြား၊ မန္တလေး</v>
          </cell>
          <cell r="I218">
            <v>118500</v>
          </cell>
          <cell r="J218" t="str">
            <v>-</v>
          </cell>
          <cell r="K218">
            <v>118500</v>
          </cell>
          <cell r="L218">
            <v>6000</v>
          </cell>
          <cell r="M218" t="str">
            <v>-</v>
          </cell>
          <cell r="O218" t="str">
            <v>-</v>
          </cell>
          <cell r="P218">
            <v>118500</v>
          </cell>
        </row>
        <row r="219">
          <cell r="C219" t="str">
            <v>D0906-KSC-053</v>
          </cell>
          <cell r="D219" t="str">
            <v>KS Cosmetic</v>
          </cell>
          <cell r="E219" t="str">
            <v>အဖြိုး</v>
          </cell>
          <cell r="F219" t="str">
            <v>09-964527550</v>
          </cell>
          <cell r="G219" t="str">
            <v>မြောက်ဒဂုံ</v>
          </cell>
          <cell r="H219" t="str">
            <v>(၄၆) လမ်းဆုံ၊ မြောက်ဒဂုံမြို့နယ်</v>
          </cell>
          <cell r="I219">
            <v>39500</v>
          </cell>
          <cell r="J219">
            <v>4000</v>
          </cell>
          <cell r="K219">
            <v>43500</v>
          </cell>
          <cell r="L219">
            <v>4000</v>
          </cell>
          <cell r="M219">
            <v>4000</v>
          </cell>
          <cell r="O219" t="str">
            <v>-</v>
          </cell>
          <cell r="P219">
            <v>43500</v>
          </cell>
        </row>
        <row r="220">
          <cell r="C220" t="str">
            <v>D0906-KSC-054</v>
          </cell>
          <cell r="D220" t="str">
            <v>KS Cosmetic</v>
          </cell>
          <cell r="E220" t="str">
            <v>Hnin</v>
          </cell>
          <cell r="F220" t="str">
            <v>09-451836069</v>
          </cell>
          <cell r="G220" t="str">
            <v>လမ်းမတော်</v>
          </cell>
          <cell r="H220" t="str">
            <v>အမှတ် (၄၁)၊ (၂) လမ်း၊ လမ်းမတော်မြို့နယ်</v>
          </cell>
          <cell r="I220">
            <v>39500</v>
          </cell>
          <cell r="J220" t="str">
            <v>-</v>
          </cell>
          <cell r="K220">
            <v>39500</v>
          </cell>
          <cell r="L220">
            <v>4000</v>
          </cell>
          <cell r="M220" t="str">
            <v>-</v>
          </cell>
          <cell r="O220" t="str">
            <v>-</v>
          </cell>
          <cell r="P220">
            <v>39500</v>
          </cell>
        </row>
        <row r="221">
          <cell r="C221" t="str">
            <v>D0906-KSC-055</v>
          </cell>
          <cell r="D221" t="str">
            <v>KS Cosmetic</v>
          </cell>
          <cell r="E221" t="str">
            <v>Rio</v>
          </cell>
          <cell r="F221" t="str">
            <v>09-952140717</v>
          </cell>
          <cell r="G221" t="str">
            <v>လှိုင်</v>
          </cell>
          <cell r="H221" t="str">
            <v>အမှတ် (၇၇)၊ ကန်လမ်း၊ လှိုင်မြင့်မိုရ် (၁) လမ်း၊ လှိုင်မြို့နယ်</v>
          </cell>
          <cell r="I221">
            <v>39500</v>
          </cell>
          <cell r="J221">
            <v>4000</v>
          </cell>
          <cell r="K221">
            <v>43500</v>
          </cell>
          <cell r="L221">
            <v>4000</v>
          </cell>
          <cell r="M221">
            <v>4000</v>
          </cell>
          <cell r="O221" t="str">
            <v>-</v>
          </cell>
          <cell r="P221">
            <v>43500</v>
          </cell>
        </row>
        <row r="222">
          <cell r="C222" t="str">
            <v>D0906-KSC-056</v>
          </cell>
          <cell r="D222" t="str">
            <v>KS Cosmetic</v>
          </cell>
          <cell r="E222" t="str">
            <v>ဆွေကောင်းလျံအုတ်သဲကျောက်</v>
          </cell>
          <cell r="F222" t="str">
            <v>09-940898807</v>
          </cell>
          <cell r="G222" t="str">
            <v>လှိုင်သာယာ</v>
          </cell>
          <cell r="H222" t="str">
            <v>မန္တလေးလမ်း နှင့် ဦးပုညလမ်းထောင့်အနီး၊ လှိုင်သာယာမြို့နယ်</v>
          </cell>
          <cell r="I222">
            <v>158000</v>
          </cell>
          <cell r="J222">
            <v>4500</v>
          </cell>
          <cell r="K222">
            <v>162500</v>
          </cell>
          <cell r="L222">
            <v>4500</v>
          </cell>
          <cell r="M222">
            <v>4500</v>
          </cell>
          <cell r="O222" t="str">
            <v>-</v>
          </cell>
          <cell r="P222">
            <v>162500</v>
          </cell>
        </row>
        <row r="223">
          <cell r="C223" t="str">
            <v>D0906-KSC-057</v>
          </cell>
          <cell r="D223" t="str">
            <v>KS Cosmetic</v>
          </cell>
          <cell r="E223" t="str">
            <v>Z.L.W</v>
          </cell>
          <cell r="F223" t="str">
            <v>09-765056110</v>
          </cell>
          <cell r="G223" t="str">
            <v>သင်္ဃန်းကျွန်း</v>
          </cell>
          <cell r="H223" t="str">
            <v>အမှတ် (၂၅၀)၊ ဦးဘဟန်လမ်း၊ (င/က) ရပ်ကွက်၊ သင်္ဃန်းကျွန်းမြို့နယ်</v>
          </cell>
          <cell r="I223">
            <v>42000</v>
          </cell>
          <cell r="J223">
            <v>4000</v>
          </cell>
          <cell r="K223">
            <v>46000</v>
          </cell>
          <cell r="L223">
            <v>4000</v>
          </cell>
          <cell r="M223">
            <v>4000</v>
          </cell>
          <cell r="O223" t="str">
            <v>-</v>
          </cell>
          <cell r="P223">
            <v>46000</v>
          </cell>
        </row>
        <row r="224">
          <cell r="C224" t="str">
            <v>D0905-MSE-161</v>
          </cell>
          <cell r="D224" t="str">
            <v>မရွှေအိ</v>
          </cell>
          <cell r="E224" t="str">
            <v>May</v>
          </cell>
          <cell r="F224" t="str">
            <v>09-684451314</v>
          </cell>
          <cell r="G224" t="str">
            <v>ဒေါပုံ</v>
          </cell>
          <cell r="H224" t="str">
            <v>(ဒိုဓနုဘေးလမ်းကြား ဂိတ်ဆုံး)၊ (ရန်အောင်မှတ်တိုင်)၊ ဒေါပုံမြို့နယ်</v>
          </cell>
          <cell r="I224">
            <v>108000</v>
          </cell>
          <cell r="J224">
            <v>4000</v>
          </cell>
          <cell r="K224">
            <v>112000</v>
          </cell>
          <cell r="L224">
            <v>4000</v>
          </cell>
          <cell r="M224">
            <v>4000</v>
          </cell>
          <cell r="O224" t="str">
            <v>-</v>
          </cell>
          <cell r="P224">
            <v>112000</v>
          </cell>
        </row>
        <row r="225">
          <cell r="C225" t="str">
            <v>D0905-MSE-162</v>
          </cell>
          <cell r="D225" t="str">
            <v>မရွှေအိ</v>
          </cell>
          <cell r="E225" t="str">
            <v>မဖြိုးဝေသော်</v>
          </cell>
          <cell r="F225" t="str">
            <v>09-784808745</v>
          </cell>
          <cell r="G225" t="str">
            <v>မန္တလေး</v>
          </cell>
          <cell r="H225" t="str">
            <v>(၅၁) လမ်း၊ ၁၀၅ x ၁၀၆ လမ်းကြား၊ အောင်ပင်လယ်၊ ချမ်းမြသာစည်မြို့နယ်၊ မန္တလေး</v>
          </cell>
          <cell r="I225">
            <v>29000</v>
          </cell>
          <cell r="J225">
            <v>6000</v>
          </cell>
          <cell r="K225">
            <v>35000</v>
          </cell>
          <cell r="L225">
            <v>6000</v>
          </cell>
          <cell r="M225">
            <v>6000</v>
          </cell>
          <cell r="O225" t="str">
            <v>-</v>
          </cell>
          <cell r="P225">
            <v>35000</v>
          </cell>
        </row>
        <row r="226">
          <cell r="C226" t="str">
            <v>D0905-MSE-163</v>
          </cell>
          <cell r="D226" t="str">
            <v>မရွှေအိ</v>
          </cell>
          <cell r="E226" t="str">
            <v>May Zin</v>
          </cell>
          <cell r="F226" t="str">
            <v>09-695884820</v>
          </cell>
          <cell r="G226" t="str">
            <v>လှိုင်</v>
          </cell>
          <cell r="H226" t="str">
            <v>အရှေ့ပေ (၅၀)၊ မာလာမြိုင် (၁) လမ်းသွယ်ထိပ်၊ လှိုင်မြို့နယ်</v>
          </cell>
          <cell r="I226">
            <v>39000</v>
          </cell>
          <cell r="J226">
            <v>4000</v>
          </cell>
          <cell r="K226">
            <v>43000</v>
          </cell>
          <cell r="L226">
            <v>4000</v>
          </cell>
          <cell r="M226">
            <v>4000</v>
          </cell>
          <cell r="O226" t="str">
            <v>-</v>
          </cell>
          <cell r="P226">
            <v>43000</v>
          </cell>
        </row>
        <row r="227">
          <cell r="C227" t="str">
            <v>D0905-MSE-164</v>
          </cell>
          <cell r="D227" t="str">
            <v>မရွှေအိ</v>
          </cell>
          <cell r="E227" t="str">
            <v>Mee Nge</v>
          </cell>
          <cell r="F227" t="str">
            <v>09-409311371</v>
          </cell>
          <cell r="G227" t="str">
            <v>တောင်ဒဂုံ</v>
          </cell>
          <cell r="H227" t="str">
            <v>အမှတ် (၁၁)၊ မြယမုံဝန်အမှတ်၊ (၂၆) ရပ်ကွက်၊ တောင်ဒဂုံမြို့နယ်</v>
          </cell>
          <cell r="I227">
            <v>41000</v>
          </cell>
          <cell r="J227">
            <v>4000</v>
          </cell>
          <cell r="K227">
            <v>45000</v>
          </cell>
          <cell r="L227">
            <v>4000</v>
          </cell>
          <cell r="M227">
            <v>4000</v>
          </cell>
          <cell r="O227" t="str">
            <v>-</v>
          </cell>
          <cell r="P227">
            <v>45000</v>
          </cell>
        </row>
        <row r="228">
          <cell r="C228" t="str">
            <v>D0904-GGS-146</v>
          </cell>
          <cell r="D228" t="str">
            <v>The Gadget Store</v>
          </cell>
          <cell r="E228" t="str">
            <v>Aoav</v>
          </cell>
          <cell r="F228" t="str">
            <v>09-775879156
 09-783922942</v>
          </cell>
          <cell r="H228" t="str">
            <v>အမှတ် (၅၂၆)၊ သပြေလမ်း</v>
          </cell>
          <cell r="I228">
            <v>24500</v>
          </cell>
          <cell r="J228">
            <v>4000</v>
          </cell>
          <cell r="K228">
            <v>28500</v>
          </cell>
          <cell r="M228">
            <v>4000</v>
          </cell>
          <cell r="O228" t="str">
            <v>-</v>
          </cell>
          <cell r="P228">
            <v>28500</v>
          </cell>
        </row>
        <row r="229">
          <cell r="C229" t="str">
            <v>D0829-KSC-146</v>
          </cell>
          <cell r="D229" t="str">
            <v>KS Cosmetic</v>
          </cell>
          <cell r="E229" t="str">
            <v>မခင်သူဇာမြင့်</v>
          </cell>
          <cell r="F229" t="str">
            <v>09-781796497</v>
          </cell>
          <cell r="G229" t="str">
            <v>Royal</v>
          </cell>
          <cell r="H229" t="str">
            <v>ဘုတ်ပြင်း၊ တနင်္သာရီတိုင်း</v>
          </cell>
          <cell r="I229">
            <v>118500</v>
          </cell>
          <cell r="J229">
            <v>6000</v>
          </cell>
          <cell r="K229">
            <v>124500</v>
          </cell>
          <cell r="M229">
            <v>6000</v>
          </cell>
          <cell r="O229" t="str">
            <v>-</v>
          </cell>
          <cell r="P229">
            <v>124500</v>
          </cell>
        </row>
        <row r="230">
          <cell r="C230" t="str">
            <v>D0904-CTM-390</v>
          </cell>
          <cell r="D230" t="str">
            <v>ချစ်သွန်းသီရိ မေမေ</v>
          </cell>
          <cell r="E230" t="str">
            <v>Khaing Lay</v>
          </cell>
          <cell r="F230" t="str">
            <v>09-881477288</v>
          </cell>
          <cell r="G230" t="str">
            <v>ကျောက်တံတား</v>
          </cell>
          <cell r="H230" t="str">
            <v>Strand Condo၊ အခန်း (၇၀၂)၊ (၇) လွှာ၊ မဟာဗန္ဓုလပန်းခြံလမ်း နှင့် ဘဏ်လမ်းထောင့်၊ ကျောက်တံတားမြို့နယ်</v>
          </cell>
          <cell r="I230">
            <v>14500</v>
          </cell>
          <cell r="J230">
            <v>4000</v>
          </cell>
          <cell r="K230">
            <v>18500</v>
          </cell>
          <cell r="L230">
            <v>4000</v>
          </cell>
          <cell r="M230">
            <v>4000</v>
          </cell>
          <cell r="O230" t="str">
            <v>-</v>
          </cell>
          <cell r="P230">
            <v>18500</v>
          </cell>
        </row>
        <row r="231">
          <cell r="C231" t="str">
            <v>D0903-TSW-052</v>
          </cell>
          <cell r="D231" t="str">
            <v>3 &amp; 6 Wholesale</v>
          </cell>
          <cell r="E231" t="str">
            <v>ကိုမင်းမင်း</v>
          </cell>
          <cell r="F231" t="str">
            <v>09-425612786
 09-420033969</v>
          </cell>
          <cell r="G231" t="str">
            <v>ကျောက်တံတား</v>
          </cell>
          <cell r="H231" t="str">
            <v>ရောင်နီဖုန်းဆိုင်၊ အနော်ရထာလမ်း နှင့် (၃၅) လမ်းထောင့်၊ ကျောက်တံတားမြို့နယ်</v>
          </cell>
          <cell r="I231">
            <v>88000</v>
          </cell>
          <cell r="J231" t="str">
            <v>-</v>
          </cell>
          <cell r="K231">
            <v>88000</v>
          </cell>
          <cell r="L231">
            <v>4000</v>
          </cell>
          <cell r="M231" t="str">
            <v>-</v>
          </cell>
          <cell r="N231">
            <v>17</v>
          </cell>
          <cell r="O231">
            <v>17000</v>
          </cell>
          <cell r="P231">
            <v>105000</v>
          </cell>
        </row>
        <row r="232">
          <cell r="C232" t="str">
            <v>D0904-KSH-253</v>
          </cell>
          <cell r="D232" t="str">
            <v>ကျော်စိုးဟိန်း</v>
          </cell>
          <cell r="E232" t="str">
            <v>ကိုဇော်ဝင်းနိုင်</v>
          </cell>
          <cell r="F232" t="str">
            <v>09-668712777</v>
          </cell>
          <cell r="G232" t="str">
            <v>ဂိတ်ချ</v>
          </cell>
          <cell r="H232" t="str">
            <v>ပဲခူးတိုင်းလက်ပံတန်းမြို့၊ မင်းရပ်ရပ်ကွက်၊ မြေစာရင်ရုံးလမ်း</v>
          </cell>
          <cell r="I232">
            <v>717000</v>
          </cell>
          <cell r="J232">
            <v>5000</v>
          </cell>
          <cell r="K232">
            <v>722000</v>
          </cell>
          <cell r="L232">
            <v>3000</v>
          </cell>
          <cell r="M232">
            <v>5000</v>
          </cell>
          <cell r="N232">
            <v>26</v>
          </cell>
          <cell r="O232">
            <v>11500</v>
          </cell>
          <cell r="P232">
            <v>733500</v>
          </cell>
        </row>
        <row r="233">
          <cell r="C233" t="str">
            <v>D0904-MMA-354</v>
          </cell>
          <cell r="D233" t="str">
            <v>မြန်မာ့အလှ</v>
          </cell>
          <cell r="E233" t="str">
            <v>Ma Su</v>
          </cell>
          <cell r="F233" t="str">
            <v>09-773209266</v>
          </cell>
          <cell r="G233" t="str">
            <v>စမ်းချောင်း</v>
          </cell>
          <cell r="H233" t="str">
    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v>
          </cell>
          <cell r="I233">
            <v>228600</v>
          </cell>
          <cell r="J233">
            <v>4000</v>
          </cell>
          <cell r="K233">
            <v>232600</v>
          </cell>
          <cell r="L233">
            <v>4000</v>
          </cell>
          <cell r="M233">
            <v>4000</v>
          </cell>
          <cell r="N233">
            <v>4</v>
          </cell>
          <cell r="O233">
            <v>500</v>
          </cell>
          <cell r="P233">
            <v>233100</v>
          </cell>
        </row>
        <row r="234">
          <cell r="C234" t="str">
            <v>D0903-GRS-006</v>
          </cell>
          <cell r="D234" t="str">
            <v>GRS Express</v>
          </cell>
          <cell r="E234" t="str">
            <v>Ma Zon Lay</v>
          </cell>
          <cell r="F234" t="str">
            <v>09-968586673</v>
          </cell>
          <cell r="G234" t="str">
            <v>စမ်းချောင်း</v>
          </cell>
          <cell r="H234" t="str">
            <v>KBZ Bank (Redhill Tower)၊ (Dagon Center ရှေ့)၊ မြေနီကုန်း၊ စမ်းချောင်းမြို့နယ်</v>
          </cell>
          <cell r="I234">
            <v>33500</v>
          </cell>
          <cell r="J234">
            <v>4500</v>
          </cell>
          <cell r="K234">
            <v>38000</v>
          </cell>
          <cell r="L234">
            <v>4000</v>
          </cell>
          <cell r="M234">
            <v>4500</v>
          </cell>
          <cell r="O234" t="str">
            <v>-</v>
          </cell>
          <cell r="P234">
            <v>38000</v>
          </cell>
        </row>
        <row r="235">
          <cell r="C235" t="str">
            <v>D0904-KAL-070</v>
          </cell>
          <cell r="D235" t="str">
            <v>ခင့်အလှူ</v>
          </cell>
          <cell r="E235" t="str">
            <v>Susan Ko Ko</v>
          </cell>
          <cell r="F235" t="str">
            <v>09-257419909</v>
          </cell>
          <cell r="G235" t="str">
            <v>တောင်ဒဂုံ</v>
          </cell>
          <cell r="H235" t="str">
            <v>တိုက် (၁၄)၊ ပုလဲမွန်အိမ်ရာ၊ (၆၅) ရပ်ကွက်၊ တောင်ဒဂုံမြို့နယ်</v>
          </cell>
          <cell r="I235">
            <v>249000</v>
          </cell>
          <cell r="J235">
            <v>4000</v>
          </cell>
          <cell r="K235">
            <v>253000</v>
          </cell>
          <cell r="L235">
            <v>4000</v>
          </cell>
          <cell r="M235">
            <v>4000</v>
          </cell>
          <cell r="N235">
            <v>15</v>
          </cell>
          <cell r="O235">
            <v>6000</v>
          </cell>
          <cell r="P235">
            <v>259000</v>
          </cell>
        </row>
        <row r="236">
          <cell r="C236" t="str">
            <v>D0904-GGS-208</v>
          </cell>
          <cell r="D236" t="str">
            <v>The Gadget Store</v>
          </cell>
          <cell r="E236" t="str">
            <v>မသော်တာ</v>
          </cell>
          <cell r="F236" t="str">
            <v>09-784610687</v>
          </cell>
          <cell r="G236" t="str">
            <v>တောင်ဒဂုံ</v>
          </cell>
          <cell r="H236" t="str">
            <v>အမှတ် (၁၁၂)၊ စံပယ်မြိုင် (၆) လမ်း၊ (၁၇) ရပ်ကွက်၊ တောင်ဒဂုံမြို့နယ်</v>
          </cell>
          <cell r="I236">
            <v>14500</v>
          </cell>
          <cell r="J236">
            <v>4000</v>
          </cell>
          <cell r="K236">
            <v>18500</v>
          </cell>
          <cell r="L236">
            <v>4000</v>
          </cell>
          <cell r="M236">
            <v>4000</v>
          </cell>
          <cell r="O236" t="str">
            <v>-</v>
          </cell>
          <cell r="P236">
            <v>18500</v>
          </cell>
        </row>
        <row r="237">
          <cell r="C237" t="str">
            <v>D0904-KSC-263</v>
          </cell>
          <cell r="D237" t="str">
            <v>KS Cosmetic</v>
          </cell>
          <cell r="E237" t="str">
            <v>9. Su Hanni aung</v>
          </cell>
          <cell r="F237" t="str">
            <v>09-695710263</v>
          </cell>
          <cell r="G237" t="str">
            <v>တောင်ဒဂုံ</v>
          </cell>
          <cell r="H237" t="str">
            <v>(ရွှေဝါလမ်းဆုံအနီး)၊ (၂၁) ရပ်ကွက်၊ တောင်ဒဂုံမြို့နယ်</v>
          </cell>
          <cell r="I237">
            <v>39500</v>
          </cell>
          <cell r="J237">
            <v>4000</v>
          </cell>
          <cell r="K237">
            <v>43500</v>
          </cell>
          <cell r="L237">
            <v>4000</v>
          </cell>
          <cell r="M237">
            <v>4000</v>
          </cell>
          <cell r="O237" t="str">
            <v>-</v>
          </cell>
          <cell r="P237">
            <v>43500</v>
          </cell>
        </row>
        <row r="238">
          <cell r="C238" t="str">
            <v>D0904-KSC-277</v>
          </cell>
          <cell r="D238" t="str">
            <v>KS Cosmetic</v>
          </cell>
          <cell r="E238" t="str">
            <v>11. Po Po yin</v>
          </cell>
          <cell r="F238" t="str">
            <v>09-44055010</v>
          </cell>
          <cell r="G238" t="str">
            <v>တောင်ဒဂုံ</v>
          </cell>
          <cell r="H238" t="str">
            <v>အမှတ် (၈၆၉)၊ အကောက်ခွန်လမ်း၊ (၅၆) ရပ်ကွက်၊ တောင်ဒဂုံမြို့နယ်</v>
          </cell>
          <cell r="I238">
            <v>79000</v>
          </cell>
          <cell r="J238">
            <v>4000</v>
          </cell>
          <cell r="K238">
            <v>83000</v>
          </cell>
          <cell r="L238">
            <v>4000</v>
          </cell>
          <cell r="M238">
            <v>4000</v>
          </cell>
          <cell r="O238" t="str">
            <v>-</v>
          </cell>
          <cell r="P238">
            <v>83000</v>
          </cell>
        </row>
        <row r="239">
          <cell r="C239" t="str">
            <v>D0904-PYT-363</v>
          </cell>
          <cell r="D239" t="str">
            <v>ပုရစ်ကလေး</v>
          </cell>
          <cell r="E239" t="str">
            <v>Yin Pyone</v>
          </cell>
          <cell r="F239" t="str">
            <v>09-422219996</v>
          </cell>
          <cell r="G239" t="str">
            <v>တောင်ဒဂုံ</v>
          </cell>
          <cell r="H239" t="str">
            <v>ချင်းတွင်းလမ်း၊ (၁၀၅) ရပ်ကွက်၊ တောင်ဒဂုံမြို့နယ်</v>
          </cell>
          <cell r="I239">
            <v>57500</v>
          </cell>
          <cell r="J239">
            <v>4000</v>
          </cell>
          <cell r="K239">
            <v>61500</v>
          </cell>
          <cell r="L239">
            <v>4000</v>
          </cell>
          <cell r="M239">
            <v>4000</v>
          </cell>
          <cell r="O239" t="str">
            <v>-</v>
          </cell>
          <cell r="P239">
            <v>61500</v>
          </cell>
        </row>
        <row r="240">
          <cell r="C240" t="str">
            <v>D0904-JSC-399</v>
          </cell>
          <cell r="D240" t="str">
            <v>Jessica Sue</v>
          </cell>
          <cell r="E240" t="str">
            <v>Khaing Lay</v>
          </cell>
          <cell r="F240" t="str">
            <v>09-43151983</v>
          </cell>
          <cell r="G240" t="str">
            <v>တောင်ဒဂုံ</v>
          </cell>
          <cell r="H240" t="str">
            <v>အမှတ် (၁၉၃)၊ ရာမညလမ်း၊ (၂၆) ရပ်ကွက်၊ တောင်ဒဂုံမြို့နယ်</v>
          </cell>
          <cell r="I240">
            <v>65700</v>
          </cell>
          <cell r="J240">
            <v>4000</v>
          </cell>
          <cell r="K240">
            <v>69700</v>
          </cell>
          <cell r="L240">
            <v>4000</v>
          </cell>
          <cell r="M240">
            <v>4000</v>
          </cell>
          <cell r="O240" t="str">
            <v>-</v>
          </cell>
          <cell r="P240">
            <v>69700</v>
          </cell>
        </row>
        <row r="241">
          <cell r="C241" t="str">
            <v>D0901-TSW-045</v>
          </cell>
          <cell r="D241" t="str">
            <v>3 &amp; 6 Wholesale</v>
          </cell>
          <cell r="E241" t="str">
            <v>သမီးချော</v>
          </cell>
          <cell r="F241" t="str">
            <v>09-402235997</v>
          </cell>
          <cell r="G241" t="str">
            <v>တောင်ဒဂုံ</v>
          </cell>
          <cell r="H241" t="str">
            <v>ရိုးမရိပ်သာအိမ်ရာ၊ တိုက် (၃၇)၊ အခန်း (၀၀၉)၊ (၁၆၈) ရပ်ကွက်၊ တောင်ဒဂုံမြို့နယ်</v>
          </cell>
          <cell r="I241">
            <v>32000</v>
          </cell>
          <cell r="J241" t="str">
            <v>-</v>
          </cell>
          <cell r="K241">
            <v>32000</v>
          </cell>
          <cell r="L241">
            <v>4000</v>
          </cell>
          <cell r="M241" t="str">
            <v>-</v>
          </cell>
          <cell r="N241">
            <v>5</v>
          </cell>
          <cell r="O241">
            <v>7000</v>
          </cell>
          <cell r="P241">
            <v>39000</v>
          </cell>
        </row>
        <row r="242">
          <cell r="C242" t="str">
            <v>D0902-TSW-010</v>
          </cell>
          <cell r="D242" t="str">
            <v>3 &amp; 6 Wholesale</v>
          </cell>
          <cell r="E242" t="str">
            <v>မမေဖြိုးဇင်</v>
          </cell>
          <cell r="F242" t="str">
            <v>09-403792699</v>
          </cell>
          <cell r="G242" t="str">
            <v>တောင်ဒဂုံ</v>
          </cell>
          <cell r="H242" t="str">
            <v>တိုက် (၂၀၀)၊ အင်းတော်လမ်း၊ ((၆၄) ဈေးအနီး)၊ တောင်ဒဂုံမြို့နယ်</v>
          </cell>
          <cell r="I242">
            <v>57000</v>
          </cell>
          <cell r="J242">
            <v>4000</v>
          </cell>
          <cell r="K242">
            <v>61000</v>
          </cell>
          <cell r="L242">
            <v>4000</v>
          </cell>
          <cell r="M242">
            <v>4000</v>
          </cell>
          <cell r="O242" t="str">
            <v>-</v>
          </cell>
          <cell r="P242">
            <v>61000</v>
          </cell>
        </row>
        <row r="243">
          <cell r="C243" t="str">
            <v>D0901-KSC-285</v>
          </cell>
          <cell r="D243" t="str">
            <v>KS Cosmetic</v>
          </cell>
          <cell r="E243" t="str">
            <v>Ei Lay</v>
          </cell>
          <cell r="F243" t="str">
            <v>09-441703070</v>
          </cell>
          <cell r="G243" t="str">
            <v>တောင်ဒဂုံ</v>
          </cell>
          <cell r="H243" t="str">
            <v>အမှတ် (1237B)၊ သပြေညိုလမ်း၊ (၆၅) ရပ်ကွက်၊ တောင်ဒဂုံမြို့နယ်</v>
          </cell>
          <cell r="I243">
            <v>39500</v>
          </cell>
          <cell r="J243">
            <v>4000</v>
          </cell>
          <cell r="K243">
            <v>43500</v>
          </cell>
          <cell r="L243">
            <v>4000</v>
          </cell>
          <cell r="M243">
            <v>4000</v>
          </cell>
          <cell r="O243" t="str">
            <v>-</v>
          </cell>
          <cell r="P243">
            <v>43500</v>
          </cell>
        </row>
        <row r="244">
          <cell r="C244" t="str">
            <v>D0831-KSC-312</v>
          </cell>
          <cell r="D244" t="str">
            <v>KS Cosmetic</v>
          </cell>
          <cell r="E244" t="str">
            <v>မအိသက်</v>
          </cell>
          <cell r="F244" t="str">
            <v>09-422588536</v>
          </cell>
          <cell r="G244" t="str">
            <v>တောင်ဒဂုံ</v>
          </cell>
          <cell r="H244" t="str">
            <v>အမှတ် (၆၅၈)၊ ခတ္တာလမ်း၊ (၂၂) ရပ်ကွက်၊ (တောင်ဒဂုံသစ်ဆိပ်)၊ တောင်ဒဂုံမြို့နယ်</v>
          </cell>
          <cell r="I244">
            <v>39500</v>
          </cell>
          <cell r="J244">
            <v>4000</v>
          </cell>
          <cell r="K244">
            <v>43500</v>
          </cell>
          <cell r="L244">
            <v>4000</v>
          </cell>
          <cell r="M244">
            <v>4000</v>
          </cell>
          <cell r="O244" t="str">
            <v>-</v>
          </cell>
          <cell r="P244">
            <v>43500</v>
          </cell>
        </row>
        <row r="245">
          <cell r="C245" t="str">
            <v>D0831-KSC-216</v>
          </cell>
          <cell r="D245" t="str">
            <v>KS Cosmetic</v>
          </cell>
          <cell r="E245">
            <v>142</v>
          </cell>
          <cell r="F245" t="str">
            <v>09-788235536</v>
          </cell>
          <cell r="G245" t="str">
            <v>တောင်ဒဂုံ</v>
          </cell>
          <cell r="H245" t="str">
            <v>(ကျောက်စိမ်းဘုရားရောက်လျှင် ဖုန်းဆက်ပေးပါ)၊ တောင်ဒဂုံမြို့နယ်</v>
          </cell>
          <cell r="I245">
            <v>39500</v>
          </cell>
          <cell r="J245">
            <v>4000</v>
          </cell>
          <cell r="K245">
            <v>43500</v>
          </cell>
          <cell r="L245">
            <v>4000</v>
          </cell>
          <cell r="M245">
            <v>4000</v>
          </cell>
          <cell r="O245" t="str">
            <v>-</v>
          </cell>
          <cell r="P245">
            <v>43500</v>
          </cell>
        </row>
        <row r="246">
          <cell r="C246" t="str">
            <v>D0828-MMA-019</v>
          </cell>
          <cell r="D246" t="str">
            <v>မြန်မာ့အလှ</v>
          </cell>
          <cell r="E246" t="str">
            <v>Hsu Htet Wai</v>
          </cell>
          <cell r="F246" t="str">
            <v>09-682824081</v>
          </cell>
          <cell r="G246" t="str">
            <v>တောင်ဒဂုံ</v>
          </cell>
          <cell r="H246" t="str">
            <v>စစ်တောင်းလမ်း၊ စက်မှုဇုန် (၂)၊ (၆၄) ရပ်ကွက်၊ တောင်ဒဂုံမြို့နယ်</v>
          </cell>
          <cell r="I246">
            <v>87000</v>
          </cell>
          <cell r="J246">
            <v>4000</v>
          </cell>
          <cell r="K246">
            <v>91000</v>
          </cell>
          <cell r="L246">
            <v>4000</v>
          </cell>
          <cell r="M246">
            <v>4000</v>
          </cell>
          <cell r="O246" t="str">
            <v>-</v>
          </cell>
          <cell r="P246">
            <v>91000</v>
          </cell>
        </row>
        <row r="247">
          <cell r="C247" t="str">
            <v>D0902-TSW-021</v>
          </cell>
          <cell r="D247" t="str">
            <v>3 &amp; 6 Wholesale</v>
          </cell>
          <cell r="E247" t="str">
            <v>နန်းဧပရယ်ဝင်း</v>
          </cell>
          <cell r="F247" t="str">
            <v>09-899980619
  09-454943803</v>
          </cell>
          <cell r="G247" t="str">
            <v>တောင်ဒဂုံ</v>
          </cell>
          <cell r="H247" t="str">
            <v>အလင်္ကာဥယျာဉ် သီလရှင်ဝတ်စုံဆိုင်၊ ဓာတ်နန်း (၃) လမ်း၊ ရွာသာကြီးရပ်ကွက်၊ တောင်ဒဂုံမြို့နယ်</v>
          </cell>
          <cell r="I247">
            <v>38000</v>
          </cell>
          <cell r="J247" t="str">
            <v>-</v>
          </cell>
          <cell r="K247">
            <v>38000</v>
          </cell>
          <cell r="L247">
            <v>4000</v>
          </cell>
          <cell r="M247" t="str">
            <v>-</v>
          </cell>
          <cell r="N247">
            <v>6</v>
          </cell>
          <cell r="O247">
            <v>15000</v>
          </cell>
          <cell r="P247">
            <v>53000</v>
          </cell>
        </row>
        <row r="248">
          <cell r="C248" t="str">
            <v>D0820-KAL-054</v>
          </cell>
          <cell r="D248" t="str">
            <v>ခင့်အလှူ</v>
          </cell>
          <cell r="E248" t="str">
            <v>Chit Cho</v>
          </cell>
          <cell r="F248" t="str">
            <v>09-421080358</v>
          </cell>
          <cell r="G248" t="str">
            <v>တောင်ဥက္ကလာပ</v>
          </cell>
          <cell r="H248" t="str">
            <v>အမှတ် (၉၀၄)၊ နန္ဒဝန်ဈေးလမ်း၊ (၆) ရပ်ကွက်၊ တောင်ဥက္ကလာမြို့နယ်ပ</v>
          </cell>
          <cell r="I248">
            <v>35000</v>
          </cell>
          <cell r="J248">
            <v>5000</v>
          </cell>
          <cell r="K248">
            <v>40000</v>
          </cell>
          <cell r="L248">
            <v>4000</v>
          </cell>
          <cell r="M248">
            <v>5000</v>
          </cell>
          <cell r="O248" t="str">
            <v>-</v>
          </cell>
          <cell r="P248">
            <v>40000</v>
          </cell>
        </row>
        <row r="249">
          <cell r="C249" t="str">
            <v>D0903-TSW-056</v>
          </cell>
          <cell r="D249" t="str">
            <v>3 &amp; 6 Wholesale</v>
          </cell>
          <cell r="E249" t="str">
            <v>Khin Moh Moh Lin</v>
          </cell>
          <cell r="F249" t="str">
            <v>09-453111826</v>
          </cell>
          <cell r="G249" t="str">
            <v>တောင်ဥက္ကလာပ</v>
          </cell>
          <cell r="H249" t="str">
            <v>ရွှေဖီခိုင်ညာလမ်း၊ (မြင်သာဈေး)၊ တောင်ဥက္ကလာပမြို့နယ်</v>
          </cell>
          <cell r="I249">
            <v>19000</v>
          </cell>
          <cell r="J249">
            <v>4000</v>
          </cell>
          <cell r="K249">
            <v>23000</v>
          </cell>
          <cell r="L249">
            <v>4000</v>
          </cell>
          <cell r="M249">
            <v>4000</v>
          </cell>
          <cell r="N249">
            <v>4</v>
          </cell>
          <cell r="O249">
            <v>8000</v>
          </cell>
          <cell r="P249">
            <v>31000</v>
          </cell>
        </row>
        <row r="250">
          <cell r="C250" t="str">
            <v>D0831-MMA-371</v>
          </cell>
          <cell r="D250" t="str">
            <v>မြန်မာ့အလှ</v>
          </cell>
          <cell r="E250" t="str">
            <v>အာဘွားလေးတို့မေမေ</v>
          </cell>
          <cell r="F250" t="str">
            <v>09-755649086</v>
          </cell>
          <cell r="G250" t="str">
            <v>တောင်ဥက္ကလာပ</v>
          </cell>
          <cell r="H250" t="str">
            <v>စစ်ကိုင်းလမ်း နှင့် (၂၅) လမ်း၊ (၁၅) ရပ်ကွက်၊ တောင်ဥက္ကလာပမြို့နယ်</v>
          </cell>
          <cell r="I250">
            <v>562000</v>
          </cell>
          <cell r="J250">
            <v>4000</v>
          </cell>
          <cell r="K250">
            <v>566000</v>
          </cell>
          <cell r="L250">
            <v>4000</v>
          </cell>
          <cell r="M250">
            <v>4000</v>
          </cell>
          <cell r="O250">
            <v>4000</v>
          </cell>
          <cell r="P250">
            <v>570000</v>
          </cell>
        </row>
        <row r="251">
          <cell r="C251" t="str">
            <v>D0831-TSW-079</v>
          </cell>
          <cell r="D251" t="str">
            <v>3 &amp; 6 Wholesale</v>
          </cell>
          <cell r="E251" t="str">
            <v>Zioldl Yorl</v>
          </cell>
          <cell r="F251" t="str">
            <v>09-977433758</v>
          </cell>
          <cell r="G251" t="str">
            <v>တောင်ဥက္ကလာပ</v>
          </cell>
          <cell r="H251" t="str">
            <v>အမှတ် (၅၆)၊ ရာဇသင်္ကြန် (၁) လမ်း၊ (၁၁) ရပ်ကွက်၊ တောင်ဥက္ကလာပမြို့နယ်</v>
          </cell>
          <cell r="I251">
            <v>32000</v>
          </cell>
          <cell r="J251">
            <v>4000</v>
          </cell>
          <cell r="K251">
            <v>36000</v>
          </cell>
          <cell r="L251">
            <v>4000</v>
          </cell>
          <cell r="M251">
            <v>4000</v>
          </cell>
          <cell r="O251">
            <v>7000</v>
          </cell>
          <cell r="P251">
            <v>43000</v>
          </cell>
        </row>
        <row r="252">
          <cell r="C252" t="str">
            <v>D0831-KAL-125</v>
          </cell>
          <cell r="D252" t="str">
            <v>ခင့်အလှူ</v>
          </cell>
          <cell r="E252" t="str">
            <v>Snow Lay</v>
          </cell>
          <cell r="F252" t="str">
            <v>09-421647267</v>
          </cell>
          <cell r="G252" t="str">
            <v>တောင်ဥက္ကလာပ</v>
          </cell>
          <cell r="H252" t="str">
            <v>အမှတ် (၄၅၀)၊ သုတ (၂) လမ်း၊ (၄) ရပ်ကွက်၊ တောင်ဥက္ကလာပမြို့နယ်</v>
          </cell>
          <cell r="I252">
            <v>102000</v>
          </cell>
          <cell r="J252">
            <v>5000</v>
          </cell>
          <cell r="K252">
            <v>107000</v>
          </cell>
          <cell r="L252">
            <v>4000</v>
          </cell>
          <cell r="M252">
            <v>5000</v>
          </cell>
          <cell r="O252">
            <v>3500</v>
          </cell>
          <cell r="P252">
            <v>110500</v>
          </cell>
        </row>
        <row r="253">
          <cell r="C253" t="str">
            <v>D0902-KAL-163</v>
          </cell>
          <cell r="D253" t="str">
            <v>ခင့်အလှူ</v>
          </cell>
          <cell r="E253" t="str">
            <v>မာမီ</v>
          </cell>
          <cell r="F253" t="str">
            <v>09-750915228</v>
          </cell>
          <cell r="G253" t="str">
            <v>ဒဂုံ</v>
          </cell>
          <cell r="H253" t="str">
            <v>သော်ကမြိုင်လမ်း၊ (၃၈) ရပ်ကွက်၊ ဒဂုံမြို့နယ်</v>
          </cell>
          <cell r="I253">
            <v>49500</v>
          </cell>
          <cell r="J253">
            <v>4000</v>
          </cell>
          <cell r="K253">
            <v>53500</v>
          </cell>
          <cell r="L253">
            <v>4000</v>
          </cell>
          <cell r="M253">
            <v>4000</v>
          </cell>
          <cell r="O253" t="str">
            <v>-</v>
          </cell>
          <cell r="P253">
            <v>53500</v>
          </cell>
        </row>
        <row r="254">
          <cell r="C254" t="str">
            <v>D0904-KAL-079</v>
          </cell>
          <cell r="D254" t="str">
            <v>ခင့်အလှူ</v>
          </cell>
          <cell r="E254" t="str">
            <v>Shin Let Let Mg</v>
          </cell>
          <cell r="F254" t="str">
            <v>09-252299795</v>
          </cell>
          <cell r="G254" t="str">
            <v>ဒဂုံဆိပ်ကမ်း</v>
          </cell>
          <cell r="H254" t="str">
            <v>တိုက် (၂၄)၊ အခန်း (202B)၊ (၁) လမ်း၊ ဒဂုံဆိပ်ကမ်းမြို့နယ်</v>
          </cell>
          <cell r="I254">
            <v>40000</v>
          </cell>
          <cell r="J254">
            <v>4000</v>
          </cell>
          <cell r="K254">
            <v>44000</v>
          </cell>
          <cell r="L254">
            <v>4000</v>
          </cell>
          <cell r="M254">
            <v>4000</v>
          </cell>
          <cell r="O254" t="str">
            <v>-</v>
          </cell>
          <cell r="P254">
            <v>44000</v>
          </cell>
        </row>
        <row r="255">
          <cell r="C255" t="str">
            <v>D0904-MMA-306</v>
          </cell>
          <cell r="D255" t="str">
            <v>မြန်မာ့အလှ</v>
          </cell>
          <cell r="E255" t="str">
            <v>U Mgoo</v>
          </cell>
          <cell r="F255" t="str">
            <v>09-420286588</v>
          </cell>
          <cell r="G255" t="str">
            <v>ဒဂုံဆိပ်ကမ်း</v>
          </cell>
          <cell r="H255" t="str">
            <v>ယုဇနဥယျာဉ်မြို့တော်၊ မေခလမ်း၊ (၉၃) ရပ်ကွက်၊ ဒဂုံဆိပ်ကမ်းမြို့နယ်</v>
          </cell>
          <cell r="I255">
            <v>387000</v>
          </cell>
          <cell r="J255">
            <v>4000</v>
          </cell>
          <cell r="K255">
            <v>391000</v>
          </cell>
          <cell r="L255">
            <v>4000</v>
          </cell>
          <cell r="M255">
            <v>4000</v>
          </cell>
          <cell r="N255">
            <v>8</v>
          </cell>
          <cell r="O255">
            <v>2500</v>
          </cell>
          <cell r="P255">
            <v>393500</v>
          </cell>
        </row>
        <row r="256">
          <cell r="C256" t="str">
            <v>D0904-PYT-361</v>
          </cell>
          <cell r="D256" t="str">
            <v>ပုရစ်ကလေး</v>
          </cell>
          <cell r="E256" t="str">
            <v>Jue Phoo</v>
          </cell>
          <cell r="F256" t="str">
            <v>09-786656989</v>
          </cell>
          <cell r="G256" t="str">
            <v>ဒဂုံဆိပ်ကမ်း</v>
          </cell>
          <cell r="H256" t="str">
            <v>(၈၄) ရပ်ကွက်၊ ဒဂုံဆိပ်ကမ်းမြို့နယ်</v>
          </cell>
          <cell r="I256">
            <v>23500</v>
          </cell>
          <cell r="J256">
            <v>4000</v>
          </cell>
          <cell r="K256">
            <v>27500</v>
          </cell>
          <cell r="L256">
            <v>4000</v>
          </cell>
          <cell r="M256">
            <v>4000</v>
          </cell>
          <cell r="O256" t="str">
            <v>-</v>
          </cell>
          <cell r="P256">
            <v>27500</v>
          </cell>
        </row>
        <row r="257">
          <cell r="C257" t="str">
            <v>D0904-JSC-398</v>
          </cell>
          <cell r="D257" t="str">
            <v>Jessica Sue</v>
          </cell>
          <cell r="E257" t="str">
            <v>Yu Yu</v>
          </cell>
          <cell r="F257" t="str">
            <v>09-962916562</v>
          </cell>
          <cell r="G257" t="str">
            <v>ဒဂုံဆိပ်ကမ်း</v>
          </cell>
          <cell r="H257" t="str">
            <v>စစ်တောင်းရိပ်မွန်၊ တိုက် (၇-၀၀၁)၊ ယုဇနလမ်း၊ ဒဂုံဆိပ်ကမ်းမြို့နယ်</v>
          </cell>
          <cell r="I257">
            <v>48000</v>
          </cell>
          <cell r="J257">
            <v>4000</v>
          </cell>
          <cell r="K257">
            <v>52000</v>
          </cell>
          <cell r="L257">
            <v>4000</v>
          </cell>
          <cell r="M257">
            <v>4000</v>
          </cell>
          <cell r="O257" t="str">
            <v>-</v>
          </cell>
          <cell r="P257">
            <v>52000</v>
          </cell>
        </row>
        <row r="258">
          <cell r="C258" t="str">
            <v>D0831-MML-152</v>
          </cell>
          <cell r="D258" t="str">
            <v>Ma Myat Lay</v>
          </cell>
          <cell r="E258" t="str">
            <v>Mar Mar</v>
          </cell>
          <cell r="F258" t="str">
            <v>09-451248394
  09-45248394</v>
          </cell>
          <cell r="G258" t="str">
            <v>ဒဂုံဆိပ်ကမ်း</v>
          </cell>
          <cell r="H258" t="str">
            <v>ယုဇနဥယျာဉ်မြို့တော်၊ အမှတ် (၂၉)၊ အခန်း (102C)၊ (၁၄) လမ်း၊ ဒဂုံဆိပ်ကမ်းမြို့နယ်</v>
          </cell>
          <cell r="I258">
            <v>38200</v>
          </cell>
          <cell r="J258">
            <v>5000</v>
          </cell>
          <cell r="K258">
            <v>43200</v>
          </cell>
          <cell r="L258">
            <v>4000</v>
          </cell>
          <cell r="M258">
            <v>5000</v>
          </cell>
          <cell r="N258">
            <v>6</v>
          </cell>
          <cell r="O258">
            <v>1500</v>
          </cell>
          <cell r="P258">
            <v>44700</v>
          </cell>
        </row>
        <row r="259">
          <cell r="C259" t="str">
            <v>D0902-BBW-044</v>
          </cell>
          <cell r="D259" t="str">
            <v>Baby World</v>
          </cell>
          <cell r="E259" t="str">
            <v>ဦးဇော်လွင်</v>
          </cell>
          <cell r="F259" t="str">
            <v>09-650612392</v>
          </cell>
          <cell r="G259" t="str">
            <v>ဒဂုံဆိပ်ကမ်း</v>
          </cell>
          <cell r="H259" t="str">
            <v>စကားဖြူ (၁) လမ်း၊ (၈၈) ရပ်ကွက်၊ (ရွှေသန်လျင်ဘိုးဘွားရိပ်သာမှတ်တိုင်)၊ ဒဂုံဆိပ်ကမ်းမြို့နယ်</v>
          </cell>
          <cell r="I259">
            <v>189000</v>
          </cell>
          <cell r="J259">
            <v>4000</v>
          </cell>
          <cell r="K259">
            <v>193000</v>
          </cell>
          <cell r="L259">
            <v>4000</v>
          </cell>
          <cell r="M259">
            <v>4000</v>
          </cell>
          <cell r="O259" t="str">
            <v>-</v>
          </cell>
          <cell r="P259">
            <v>193000</v>
          </cell>
        </row>
        <row r="260">
          <cell r="C260" t="str">
            <v>D0902-TSW-007</v>
          </cell>
          <cell r="D260" t="str">
            <v>3 &amp; 6 Wholesale</v>
          </cell>
          <cell r="E260" t="str">
            <v>Daw Mi Mi Latt</v>
          </cell>
          <cell r="F260" t="str">
            <v>09-974523656</v>
          </cell>
          <cell r="G260" t="str">
            <v>ဒဂုံဆိပ်ကမ်း</v>
          </cell>
          <cell r="H260" t="str">
            <v>အမှတ် (၂၃၁)၊ ဘိုကလေးမြစ်လမ်း၊ (၉၁) ရပ်ကွက်၊ ဒဂုံဆိပ်ကမ်းမြို့နယ်</v>
          </cell>
          <cell r="I260">
            <v>19000</v>
          </cell>
          <cell r="J260" t="str">
            <v>-</v>
          </cell>
          <cell r="K260">
            <v>19000</v>
          </cell>
          <cell r="L260">
            <v>4000</v>
          </cell>
          <cell r="M260" t="str">
            <v>-</v>
          </cell>
          <cell r="O260">
            <v>8000</v>
          </cell>
          <cell r="P260">
            <v>27000</v>
          </cell>
        </row>
        <row r="261">
          <cell r="C261" t="str">
            <v>D0904-TSW-008</v>
          </cell>
          <cell r="D261" t="str">
            <v>3 &amp; 6 Wholesale</v>
          </cell>
          <cell r="E261" t="str">
            <v>မမြင့်သူဇာ</v>
          </cell>
          <cell r="F261" t="str">
            <v>09-79787910</v>
          </cell>
          <cell r="G261" t="str">
            <v>နေပြည်တော်</v>
          </cell>
          <cell r="H261" t="str">
            <v>လယ်ဝေးမြို့နယ်၊ နေပြည်တော်</v>
          </cell>
          <cell r="I261">
            <v>24000</v>
          </cell>
          <cell r="J261">
            <v>6000</v>
          </cell>
          <cell r="K261">
            <v>30000</v>
          </cell>
          <cell r="L261">
            <v>6000</v>
          </cell>
          <cell r="M261">
            <v>6000</v>
          </cell>
          <cell r="O261" t="str">
            <v>-</v>
          </cell>
          <cell r="P261">
            <v>30000</v>
          </cell>
        </row>
        <row r="262">
          <cell r="C262" t="str">
            <v>D0904-TSW-009</v>
          </cell>
          <cell r="D262" t="str">
            <v>3 &amp; 6 Wholesale</v>
          </cell>
          <cell r="E262" t="str">
            <v>ဒေါ် Nang</v>
          </cell>
          <cell r="F262" t="str">
            <v>09-420753528</v>
          </cell>
          <cell r="G262" t="str">
            <v>နေပြည်တော်</v>
          </cell>
          <cell r="H262" t="str">
            <v>စည်ပင်အိမ်ရာ၊ ((၂၄) နာရီဂိတ်)၊ (ဦးမင်းသူရဲကို ပေးထားပါ)၊ ဇမ္ဗူသီရိမြို့နယ်၊ နေပြည်တော်</v>
          </cell>
          <cell r="I262">
            <v>32000</v>
          </cell>
          <cell r="J262">
            <v>6000</v>
          </cell>
          <cell r="K262">
            <v>38000</v>
          </cell>
          <cell r="L262">
            <v>6000</v>
          </cell>
          <cell r="M262">
            <v>6000</v>
          </cell>
          <cell r="O262" t="str">
            <v>-</v>
          </cell>
          <cell r="P262">
            <v>38000</v>
          </cell>
        </row>
        <row r="263">
          <cell r="C263" t="str">
            <v>D0904-TSW-013</v>
          </cell>
          <cell r="D263" t="str">
            <v>3 &amp; 6 Wholesale</v>
          </cell>
          <cell r="E263" t="str">
            <v>Soe Sandar Myint</v>
          </cell>
          <cell r="F263" t="str">
            <v>09-258296198</v>
          </cell>
          <cell r="G263" t="str">
            <v>နေပြည်တော်</v>
          </cell>
          <cell r="H263" t="str">
            <v>ကုန်ထုတ်လမ်း၊ အောင်ချမ်းရပ်ကွက်၊ နေပြည်တော်</v>
          </cell>
          <cell r="I263">
            <v>18000</v>
          </cell>
          <cell r="J263" t="str">
            <v>-</v>
          </cell>
          <cell r="K263">
            <v>18000</v>
          </cell>
          <cell r="L263">
            <v>6000</v>
          </cell>
          <cell r="M263" t="str">
            <v>-</v>
          </cell>
          <cell r="O263">
            <v>8000</v>
          </cell>
          <cell r="P263">
            <v>26000</v>
          </cell>
        </row>
        <row r="264">
          <cell r="C264" t="str">
            <v>D0904-TSW-018</v>
          </cell>
          <cell r="D264" t="str">
            <v>3 &amp; 6 Wholesale</v>
          </cell>
          <cell r="E264" t="str">
            <v>May</v>
          </cell>
          <cell r="F264" t="str">
            <v>09-789000038</v>
          </cell>
          <cell r="G264" t="str">
            <v>နေပြည်တော်</v>
          </cell>
          <cell r="H264" t="str">
            <v>ပေါင်းလောင်း (၇) လမ်း၊ ပျဉ်းမနားမြို့နယ်၊ နေပြည်တော်</v>
          </cell>
          <cell r="I264">
            <v>51000</v>
          </cell>
          <cell r="J264" t="str">
            <v>-</v>
          </cell>
          <cell r="K264">
            <v>51000</v>
          </cell>
          <cell r="L264">
            <v>6000</v>
          </cell>
          <cell r="M264" t="str">
            <v>-</v>
          </cell>
          <cell r="O264">
            <v>12000</v>
          </cell>
          <cell r="P264">
            <v>63000</v>
          </cell>
        </row>
        <row r="265">
          <cell r="C265" t="str">
            <v>D0904-TSW-020</v>
          </cell>
          <cell r="D265" t="str">
            <v>3 &amp; 6 Wholesale</v>
          </cell>
          <cell r="E265" t="str">
            <v>ဦးထွေးလင်း</v>
          </cell>
          <cell r="F265" t="str">
            <v>09-789323270</v>
          </cell>
          <cell r="G265" t="str">
            <v>နေပြည်တော်</v>
          </cell>
          <cell r="H265" t="str">
            <v>ဖိုးသားလေး လက်ဖက်ရည်ဆိုင်၊ နေပြည်တော်တောင်ညိုလမ်း၊ (ကွန်ရှင်းတံတားထိပ်)၊ ဥတ္တရသီရိမြို့နယ်၊ နေပြည်တော်</v>
          </cell>
          <cell r="I265">
            <v>16500</v>
          </cell>
          <cell r="J265" t="str">
            <v>-</v>
          </cell>
          <cell r="K265">
            <v>16500</v>
          </cell>
          <cell r="L265">
            <v>6000</v>
          </cell>
          <cell r="M265" t="str">
            <v>-</v>
          </cell>
          <cell r="O265">
            <v>8000</v>
          </cell>
          <cell r="P265">
            <v>24500</v>
          </cell>
        </row>
        <row r="266">
          <cell r="C266" t="str">
            <v>D0904-TSW-025</v>
          </cell>
          <cell r="D266" t="str">
            <v>3 &amp; 6 Wholesale</v>
          </cell>
          <cell r="E266" t="str">
            <v>မောင်ကျော်မိုး</v>
          </cell>
          <cell r="F266" t="str">
            <v>09-43077134</v>
          </cell>
          <cell r="G266" t="str">
            <v>နေပြည်တော်</v>
          </cell>
          <cell r="H266" t="str">
            <v>ရုံးအမှတ် (၁၆)၊ နေပြည်တော်</v>
          </cell>
          <cell r="I266">
            <v>91000</v>
          </cell>
          <cell r="J266" t="str">
            <v>-</v>
          </cell>
          <cell r="K266">
            <v>91000</v>
          </cell>
          <cell r="L266">
            <v>6000</v>
          </cell>
          <cell r="M266" t="str">
            <v>-</v>
          </cell>
          <cell r="N266">
            <v>8</v>
          </cell>
          <cell r="O266">
            <v>15000</v>
          </cell>
          <cell r="P266">
            <v>106000</v>
          </cell>
        </row>
        <row r="267">
          <cell r="C267" t="str">
            <v>D0904-BBW-048</v>
          </cell>
          <cell r="D267" t="str">
            <v>Baby World</v>
          </cell>
          <cell r="E267" t="str">
            <v>May Kalayar</v>
          </cell>
          <cell r="F267" t="str">
            <v>09-420808335</v>
          </cell>
          <cell r="G267" t="str">
            <v>နေပြည်တော်</v>
          </cell>
          <cell r="H267" t="str">
            <v>အမှတ် (၁)၊ မေကလျာ၊ လယ်ဝေးမြို့နယ်၊ နေပြည်တော်</v>
          </cell>
          <cell r="I267">
            <v>121500</v>
          </cell>
          <cell r="J267">
            <v>6000</v>
          </cell>
          <cell r="K267">
            <v>127500</v>
          </cell>
          <cell r="L267">
            <v>6000</v>
          </cell>
          <cell r="M267">
            <v>6000</v>
          </cell>
          <cell r="O267" t="str">
            <v>-</v>
          </cell>
          <cell r="P267">
            <v>127500</v>
          </cell>
        </row>
        <row r="268">
          <cell r="C268" t="str">
            <v>D0904-BBW-060</v>
          </cell>
          <cell r="D268" t="str">
            <v>Baby World</v>
          </cell>
          <cell r="E268" t="str">
            <v>Khin Pyoe Sone</v>
          </cell>
          <cell r="F268" t="str">
            <v>09-2037196</v>
          </cell>
          <cell r="G268" t="str">
            <v>နေပြည်တော်</v>
          </cell>
          <cell r="H268" t="str">
    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v>
          </cell>
          <cell r="I268">
            <v>78000</v>
          </cell>
          <cell r="J268">
            <v>6000</v>
          </cell>
          <cell r="K268">
            <v>84000</v>
          </cell>
          <cell r="L268">
            <v>6000</v>
          </cell>
          <cell r="M268">
            <v>6000</v>
          </cell>
          <cell r="O268" t="str">
            <v>-</v>
          </cell>
          <cell r="P268">
            <v>84000</v>
          </cell>
        </row>
        <row r="269">
          <cell r="C269" t="str">
            <v>D0904-GGS-121</v>
          </cell>
          <cell r="D269" t="str">
            <v>The Gadget Store</v>
          </cell>
          <cell r="E269" t="str">
            <v>Sre Ther Oo</v>
          </cell>
          <cell r="F269" t="str">
            <v>09-661999339</v>
          </cell>
          <cell r="G269" t="str">
            <v>နေပြည်တော်</v>
          </cell>
          <cell r="H269" t="str">
            <v>ခုတင် (၁၀၀၀) ဆေးရုံကြီး၊ အမှတ် (၂)၊ ဇေယျာသီရိမြို့နယ်၊ နေပြည်တော်</v>
          </cell>
          <cell r="I269" t="str">
            <v>-</v>
          </cell>
          <cell r="J269">
            <v>6000</v>
          </cell>
          <cell r="K269">
            <v>6000</v>
          </cell>
          <cell r="L269">
            <v>6000</v>
          </cell>
          <cell r="M269">
            <v>6000</v>
          </cell>
          <cell r="O269" t="str">
            <v>-</v>
          </cell>
          <cell r="P269">
            <v>6000</v>
          </cell>
        </row>
        <row r="270">
          <cell r="C270" t="str">
            <v>D0904-GGS-142</v>
          </cell>
          <cell r="D270" t="str">
            <v>The Gadget Store</v>
          </cell>
          <cell r="E270" t="str">
            <v>Swan Yi Htet</v>
          </cell>
          <cell r="F270" t="str">
            <v>09-772810201</v>
          </cell>
          <cell r="G270" t="str">
            <v>နေပြည်တော်</v>
          </cell>
          <cell r="H270" t="str">
            <v>အင်းကြင်း (၂) လမ်း၊ ပုဗ္ဗသီရိမြို့နယ်၊ နေပြည်တော်</v>
          </cell>
          <cell r="I270" t="str">
            <v>-</v>
          </cell>
          <cell r="J270" t="str">
            <v>-</v>
          </cell>
          <cell r="K270" t="str">
            <v>-</v>
          </cell>
          <cell r="L270">
            <v>6000</v>
          </cell>
          <cell r="M270" t="str">
            <v>-</v>
          </cell>
          <cell r="O270" t="str">
            <v>-</v>
          </cell>
          <cell r="P270" t="str">
            <v>-</v>
          </cell>
        </row>
        <row r="271">
          <cell r="C271" t="str">
            <v>D0904-GGS-147</v>
          </cell>
          <cell r="D271" t="str">
            <v>The Gadget Store</v>
          </cell>
          <cell r="E271" t="str">
            <v>Bhone Hlaing Min Khant</v>
          </cell>
          <cell r="F271" t="str">
            <v>09-43965585</v>
          </cell>
          <cell r="G271" t="str">
            <v>နေပြည်တော်</v>
          </cell>
          <cell r="H271" t="str">
            <v>ရေဆင်း၊ ပျဉ်းမနားမြို့နယ်၊ နေပြည်တော်</v>
          </cell>
          <cell r="I271" t="str">
            <v>-</v>
          </cell>
          <cell r="J271">
            <v>6000</v>
          </cell>
          <cell r="K271">
            <v>6000</v>
          </cell>
          <cell r="L271">
            <v>6000</v>
          </cell>
          <cell r="M271">
            <v>6000</v>
          </cell>
          <cell r="O271" t="str">
            <v>-</v>
          </cell>
          <cell r="P271">
            <v>6000</v>
          </cell>
        </row>
        <row r="272">
          <cell r="C272" t="str">
            <v>D0904-GGS-171</v>
          </cell>
          <cell r="D272" t="str">
            <v>The Gadget Store</v>
          </cell>
          <cell r="E272" t="str">
            <v>toe Thiri Lwin</v>
          </cell>
          <cell r="F272" t="str">
            <v>09-957704818
 09-957709819</v>
          </cell>
          <cell r="G272" t="str">
            <v>နေပြည်တော်</v>
          </cell>
          <cell r="H272" t="str">
            <v>လယ်ဝေးမြို့နယ်၊ နေပြည်တော်</v>
          </cell>
          <cell r="I272">
            <v>40600</v>
          </cell>
          <cell r="J272">
            <v>6000</v>
          </cell>
          <cell r="K272">
            <v>46600</v>
          </cell>
          <cell r="L272">
            <v>6000</v>
          </cell>
          <cell r="M272">
            <v>6000</v>
          </cell>
          <cell r="O272" t="str">
            <v>-</v>
          </cell>
          <cell r="P272">
            <v>46600</v>
          </cell>
        </row>
        <row r="273">
          <cell r="C273" t="str">
            <v>D0904-GGS-175</v>
          </cell>
          <cell r="D273" t="str">
            <v>The Gadget Store</v>
          </cell>
          <cell r="E273" t="str">
            <v>Shin Nyein Moe</v>
          </cell>
          <cell r="F273" t="str">
            <v>09-797736689</v>
          </cell>
          <cell r="G273" t="str">
            <v>နေပြည်တော်</v>
          </cell>
          <cell r="H273" t="str">
            <v>သွားနှင့်ခံတွင်းဆေးရုံ၊ ပုဗ္ဗသီရိမြို့နယ်၊ နေပြည်တော်</v>
          </cell>
          <cell r="I273" t="str">
            <v>-</v>
          </cell>
          <cell r="J273">
            <v>6000</v>
          </cell>
          <cell r="K273">
            <v>6000</v>
          </cell>
          <cell r="L273">
            <v>6000</v>
          </cell>
          <cell r="M273">
            <v>6000</v>
          </cell>
          <cell r="O273" t="str">
            <v>-</v>
          </cell>
          <cell r="P273">
            <v>6000</v>
          </cell>
        </row>
        <row r="274">
          <cell r="C274" t="str">
            <v>D0904-GGS-216</v>
          </cell>
          <cell r="D274" t="str">
            <v>The Gadget Store</v>
          </cell>
          <cell r="E274" t="str">
            <v>Phyo</v>
          </cell>
          <cell r="F274" t="str">
            <v>09-988133644</v>
          </cell>
          <cell r="G274" t="str">
            <v>နေပြည်တော်</v>
          </cell>
          <cell r="H274" t="str">
            <v>(အ.ထ.က ၁ ကျောင်းရှေ့)၊ မြို့ဦးရပ်ကွက်၊ ပျဉ်းမနားမြို့နယ်၊ နေပြည်တော်</v>
          </cell>
          <cell r="I274" t="str">
            <v>-</v>
          </cell>
          <cell r="J274">
            <v>6000</v>
          </cell>
          <cell r="K274">
            <v>6000</v>
          </cell>
          <cell r="L274">
            <v>6000</v>
          </cell>
          <cell r="M274">
            <v>6000</v>
          </cell>
          <cell r="O274" t="str">
            <v>-</v>
          </cell>
          <cell r="P274">
            <v>6000</v>
          </cell>
        </row>
        <row r="275">
          <cell r="C275" t="str">
            <v>D0904-KSC-273</v>
          </cell>
          <cell r="D275" t="str">
            <v>KS Cosmetic</v>
          </cell>
          <cell r="E275" t="str">
            <v>26. Lolypot</v>
          </cell>
          <cell r="F275" t="str">
            <v>09-401561813</v>
          </cell>
          <cell r="G275" t="str">
            <v>နေပြည်တော်</v>
          </cell>
          <cell r="H275" t="str">
            <v>မင်းကုန်းကွက်သစ်၊ ဥတ္တရသီရိမြို့နယ်၊ နေပြည်တော်</v>
          </cell>
          <cell r="I275">
            <v>39500</v>
          </cell>
          <cell r="J275">
            <v>6000</v>
          </cell>
          <cell r="K275">
            <v>45500</v>
          </cell>
          <cell r="L275">
            <v>6000</v>
          </cell>
          <cell r="M275">
            <v>6000</v>
          </cell>
          <cell r="O275" t="str">
            <v>-</v>
          </cell>
          <cell r="P275">
            <v>45500</v>
          </cell>
        </row>
        <row r="276">
          <cell r="C276" t="str">
            <v>D0904-MMA-316</v>
          </cell>
          <cell r="D276" t="str">
            <v>မြန်မာ့အလှ</v>
          </cell>
          <cell r="E276" t="str">
            <v>ဦးကြည်မြင့်</v>
          </cell>
          <cell r="F276" t="str">
            <v>09-254365124</v>
          </cell>
          <cell r="G276" t="str">
            <v>နေပြည်တော်</v>
          </cell>
          <cell r="H276" t="str">
            <v>လယ်ဝေးမြို့နယ်၊ နေပြည်တော်</v>
          </cell>
          <cell r="I276">
            <v>64500</v>
          </cell>
          <cell r="J276">
            <v>6000</v>
          </cell>
          <cell r="K276">
            <v>70500</v>
          </cell>
          <cell r="L276">
            <v>6000</v>
          </cell>
          <cell r="M276">
            <v>6000</v>
          </cell>
          <cell r="O276" t="str">
            <v>-</v>
          </cell>
          <cell r="P276">
            <v>70500</v>
          </cell>
        </row>
        <row r="277">
          <cell r="C277" t="str">
            <v>D0904-MMA-323</v>
          </cell>
          <cell r="D277" t="str">
            <v>မြန်မာ့အလှ</v>
          </cell>
          <cell r="E277" t="str">
            <v>Htet Lin</v>
          </cell>
          <cell r="F277" t="str">
            <v>09-420754264</v>
          </cell>
          <cell r="G277" t="str">
            <v>နေပြည်တော်</v>
          </cell>
          <cell r="H277" t="str">
            <v>မနွယ်နီထွန်း၊ လယ်ဝေးမြို့နယ်၊ နေပြည်တော်</v>
          </cell>
          <cell r="I277">
            <v>129000</v>
          </cell>
          <cell r="J277">
            <v>6000</v>
          </cell>
          <cell r="K277">
            <v>135000</v>
          </cell>
          <cell r="L277">
            <v>6000</v>
          </cell>
          <cell r="M277">
            <v>6000</v>
          </cell>
          <cell r="O277" t="str">
            <v>-</v>
          </cell>
          <cell r="P277">
            <v>135000</v>
          </cell>
        </row>
        <row r="278">
          <cell r="C278" t="str">
            <v>D0904-MMA-325</v>
          </cell>
          <cell r="D278" t="str">
            <v>မြန်မာ့အလှ</v>
          </cell>
          <cell r="E278" t="str">
            <v>မသိမ့်</v>
          </cell>
          <cell r="F278" t="str">
            <v>09-402671136</v>
          </cell>
          <cell r="G278" t="str">
            <v>နေပြည်တော်</v>
          </cell>
          <cell r="H278" t="str">
            <v>ရုံးအမှတ် (၁၁)၊ နေပြည်တော်</v>
          </cell>
          <cell r="I278">
            <v>38700</v>
          </cell>
          <cell r="J278">
            <v>6000</v>
          </cell>
          <cell r="K278">
            <v>44700</v>
          </cell>
          <cell r="L278">
            <v>6000</v>
          </cell>
          <cell r="M278">
            <v>6000</v>
          </cell>
          <cell r="O278" t="str">
            <v>-</v>
          </cell>
          <cell r="P278">
            <v>44700</v>
          </cell>
        </row>
        <row r="279">
          <cell r="C279" t="str">
            <v>D0904-MMA-333</v>
          </cell>
          <cell r="D279" t="str">
            <v>မြန်မာ့အလှ</v>
          </cell>
          <cell r="E279" t="str">
            <v>Ma Pyae</v>
          </cell>
          <cell r="F279" t="str">
            <v>09-797705082</v>
          </cell>
          <cell r="G279" t="str">
            <v>နေပြည်တော်</v>
          </cell>
          <cell r="H279" t="str">
            <v>အမှတ် (၄၀၈၃)၊ ချယ်ရီ (၂) လမ်း၊ မင်္ဂလာဒီပရပ်ကွက်၊ ပုဗ္ဗသီရိမြို့နယ်၊ နေပြည်တော်</v>
          </cell>
          <cell r="I279">
            <v>246300</v>
          </cell>
          <cell r="J279">
            <v>6000</v>
          </cell>
          <cell r="K279">
            <v>252300</v>
          </cell>
          <cell r="L279">
            <v>6000</v>
          </cell>
          <cell r="M279">
            <v>6000</v>
          </cell>
          <cell r="N279">
            <v>4</v>
          </cell>
          <cell r="O279">
            <v>500</v>
          </cell>
          <cell r="P279">
            <v>252800</v>
          </cell>
        </row>
        <row r="280">
          <cell r="C280" t="str">
            <v>D0904-MMA-339</v>
          </cell>
          <cell r="D280" t="str">
            <v>မြန်မာ့အလှ</v>
          </cell>
          <cell r="E280" t="str">
            <v>Daw Lay Ni</v>
          </cell>
          <cell r="F280" t="str">
            <v>09-956095587</v>
          </cell>
          <cell r="G280" t="str">
            <v>နေပြည်တော်</v>
          </cell>
          <cell r="H280" t="str">
            <v>မြို့မဈေး၊ နေပြည်တော်</v>
          </cell>
          <cell r="I280">
            <v>193500</v>
          </cell>
          <cell r="J280">
            <v>6000</v>
          </cell>
          <cell r="K280">
            <v>199500</v>
          </cell>
          <cell r="L280">
            <v>6000</v>
          </cell>
          <cell r="M280">
            <v>6000</v>
          </cell>
          <cell r="N280">
            <v>4</v>
          </cell>
          <cell r="O280">
            <v>500</v>
          </cell>
          <cell r="P280">
            <v>200000</v>
          </cell>
        </row>
        <row r="281">
          <cell r="C281" t="str">
            <v>D0904-MMA-342</v>
          </cell>
          <cell r="D281" t="str">
            <v>မြန်မာ့အလှ</v>
          </cell>
          <cell r="E281" t="str">
            <v>Hsu Wai</v>
          </cell>
          <cell r="F281" t="str">
            <v>09-946444533</v>
          </cell>
          <cell r="G281" t="str">
            <v>နေပြည်တော်</v>
          </cell>
          <cell r="H281" t="str">
            <v>ပေါင်းလောင်း (၁၀) လမ်း၊ ပျဉ်းမနားမြို့နယ်၊ နေပြည်တော်</v>
          </cell>
          <cell r="I281">
            <v>247400</v>
          </cell>
          <cell r="J281">
            <v>6000</v>
          </cell>
          <cell r="K281">
            <v>253400</v>
          </cell>
          <cell r="L281">
            <v>6000</v>
          </cell>
          <cell r="M281">
            <v>6000</v>
          </cell>
          <cell r="N281">
            <v>4</v>
          </cell>
          <cell r="O281">
            <v>500</v>
          </cell>
          <cell r="P281">
            <v>253900</v>
          </cell>
        </row>
        <row r="282">
          <cell r="C282" t="str">
            <v>D0904-MMA-343</v>
          </cell>
          <cell r="D282" t="str">
            <v>မြန်မာ့အလှ</v>
          </cell>
          <cell r="E282" t="str">
            <v>Su Lae Paing</v>
          </cell>
          <cell r="F282" t="str">
            <v>09-696413855</v>
          </cell>
          <cell r="G282" t="str">
            <v>နေပြည်တော်</v>
          </cell>
          <cell r="H282" t="str">
            <v>တရုတ်ဘုံကျောင်း၊ လယ်ဝေးမြို့နယ်၊ နေပြည်တော်</v>
          </cell>
          <cell r="I282">
            <v>253200</v>
          </cell>
          <cell r="J282">
            <v>6000</v>
          </cell>
          <cell r="K282">
            <v>259200</v>
          </cell>
          <cell r="L282">
            <v>6000</v>
          </cell>
          <cell r="M282">
            <v>6000</v>
          </cell>
          <cell r="O282" t="str">
            <v>-</v>
          </cell>
          <cell r="P282">
            <v>259200</v>
          </cell>
        </row>
        <row r="283">
          <cell r="C283" t="str">
            <v>D0904-MMA-344</v>
          </cell>
          <cell r="D283" t="str">
            <v>မြန်မာ့အလှ</v>
          </cell>
          <cell r="E283" t="str">
            <v>ကိုထွန်း</v>
          </cell>
          <cell r="F283" t="str">
            <v>09-429205596</v>
          </cell>
          <cell r="G283" t="str">
            <v>နေပြည်တော်</v>
          </cell>
          <cell r="H283" t="str">
            <v>အမှတ် (၄၃၁)၊ ပန်းလောင်လမ်း၊ ရွှေကြာပင်ရပ်ကွက်၊ ဇမ္ဗူသီရိမြို့နယ်၊ နေပြည်တော်</v>
          </cell>
          <cell r="I283">
            <v>38400</v>
          </cell>
          <cell r="J283">
            <v>6000</v>
          </cell>
          <cell r="K283">
            <v>44400</v>
          </cell>
          <cell r="L283">
            <v>6000</v>
          </cell>
          <cell r="M283">
            <v>6000</v>
          </cell>
          <cell r="O283" t="str">
            <v>-</v>
          </cell>
          <cell r="P283">
            <v>44400</v>
          </cell>
        </row>
        <row r="284">
          <cell r="C284" t="str">
            <v>D0904-MMA-352</v>
          </cell>
          <cell r="D284" t="str">
            <v>မြန်မာ့အလှ</v>
          </cell>
          <cell r="E284" t="str">
            <v>Ma Yi Mon Aung</v>
          </cell>
          <cell r="F284" t="str">
            <v>09-250197604</v>
          </cell>
          <cell r="G284" t="str">
            <v>နေပြည်တော်</v>
          </cell>
          <cell r="H284" t="str">
            <v>လယ်ဝေးမြို့နယ်၊ နေပြည်တော်</v>
          </cell>
          <cell r="I284">
            <v>430000</v>
          </cell>
          <cell r="J284">
            <v>6000</v>
          </cell>
          <cell r="K284">
            <v>436000</v>
          </cell>
          <cell r="L284">
            <v>6000</v>
          </cell>
          <cell r="M284">
            <v>6000</v>
          </cell>
          <cell r="N284">
            <v>4</v>
          </cell>
          <cell r="O284">
            <v>500</v>
          </cell>
          <cell r="P284">
            <v>436500</v>
          </cell>
        </row>
        <row r="285">
          <cell r="C285" t="str">
            <v>D0904-MMA-353</v>
          </cell>
          <cell r="D285" t="str">
            <v>မြန်မာ့အလှ</v>
          </cell>
          <cell r="E285" t="str">
            <v>Mu Mu</v>
          </cell>
          <cell r="F285" t="str">
            <v>09-43017701</v>
          </cell>
          <cell r="G285" t="str">
            <v>နေပြည်တော်</v>
          </cell>
          <cell r="H285" t="str">
            <v>အမှတ် (၂)၊ ကျည်တောက်ကန်၊ ပုဗ္ဗသီရိမြို့နယ်၊ နေပြည်တော်</v>
          </cell>
          <cell r="I285">
            <v>135800</v>
          </cell>
          <cell r="J285">
            <v>6000</v>
          </cell>
          <cell r="K285">
            <v>141800</v>
          </cell>
          <cell r="L285">
            <v>6000</v>
          </cell>
          <cell r="M285">
            <v>6000</v>
          </cell>
          <cell r="O285" t="str">
            <v>-</v>
          </cell>
          <cell r="P285">
            <v>141800</v>
          </cell>
        </row>
        <row r="286">
          <cell r="C286" t="str">
            <v>D0904-JSC-396</v>
          </cell>
          <cell r="D286" t="str">
            <v>Jessica Sue</v>
          </cell>
          <cell r="E286" t="str">
            <v>Yin Hline Zin</v>
          </cell>
          <cell r="F286" t="str">
            <v>09-691915937</v>
          </cell>
          <cell r="G286" t="str">
            <v>နေပြည်တော်</v>
          </cell>
          <cell r="H286" t="str">
            <v>ကံ့ကော်အိမ်ရာ၊ တိုက် (၂၄၃)၊ ဇမ္ဗူသီရိမြို့နယ်၊ နေပြည်တော်</v>
          </cell>
          <cell r="I286">
            <v>44000</v>
          </cell>
          <cell r="J286">
            <v>6000</v>
          </cell>
          <cell r="K286">
            <v>50000</v>
          </cell>
          <cell r="L286">
            <v>6000</v>
          </cell>
          <cell r="M286">
            <v>6000</v>
          </cell>
          <cell r="O286" t="str">
            <v>-</v>
          </cell>
          <cell r="P286">
            <v>50000</v>
          </cell>
        </row>
        <row r="287">
          <cell r="C287" t="str">
            <v>D0904-JSC-397</v>
          </cell>
          <cell r="D287" t="str">
            <v>Jessica Sue</v>
          </cell>
          <cell r="E287" t="str">
            <v>Ei Thandar Moe</v>
          </cell>
          <cell r="F287" t="str">
            <v>09-778625604</v>
          </cell>
          <cell r="G287" t="str">
            <v>နေပြည်တော်</v>
          </cell>
          <cell r="H287" t="str">
            <v>သုခတော်ဝင်အိမ်ရာ၊ အမှတ် (၅)၊ အခန်း (၁၁)၊ နေပြည်တော်</v>
          </cell>
          <cell r="I287">
            <v>63000</v>
          </cell>
          <cell r="J287">
            <v>6000</v>
          </cell>
          <cell r="K287">
            <v>69000</v>
          </cell>
          <cell r="L287">
            <v>6000</v>
          </cell>
          <cell r="M287">
            <v>6000</v>
          </cell>
          <cell r="O287" t="str">
            <v>-</v>
          </cell>
          <cell r="P287">
            <v>69000</v>
          </cell>
        </row>
        <row r="288">
          <cell r="C288" t="str">
            <v>D0902-KSC-388</v>
          </cell>
          <cell r="D288" t="str">
            <v>KS Cosmetic</v>
          </cell>
          <cell r="E288" t="str">
            <v>မဖူးသက်ဝေ</v>
          </cell>
          <cell r="F288" t="str">
            <v>09-404151025
  09-958622302</v>
          </cell>
          <cell r="G288" t="str">
            <v>နေပြည်တော်</v>
          </cell>
          <cell r="H288" t="str">
            <v>Newpower ဆိုင်ကယ်စက်ရုံ၊ ဒက္ခိဏမိုးဝေလမ်း၊ လယ်ဝေးမြို့နယ်၊ နေပြည်တော်</v>
          </cell>
          <cell r="I288">
            <v>340000</v>
          </cell>
          <cell r="J288">
            <v>6000</v>
          </cell>
          <cell r="K288">
            <v>346000</v>
          </cell>
          <cell r="L288">
            <v>6000</v>
          </cell>
          <cell r="M288">
            <v>6000</v>
          </cell>
          <cell r="N288">
            <v>4</v>
          </cell>
          <cell r="O288">
            <v>500</v>
          </cell>
          <cell r="P288">
            <v>346500</v>
          </cell>
        </row>
        <row r="289">
          <cell r="C289" t="str">
            <v>D0903-TSW-051</v>
          </cell>
          <cell r="D289" t="str">
            <v>3 &amp; 6 Wholesale</v>
          </cell>
          <cell r="E289" t="str">
            <v>ကိုမောင်</v>
          </cell>
          <cell r="F289" t="str">
            <v>09-257407610</v>
          </cell>
          <cell r="G289" t="str">
            <v>နေပြည်တော်</v>
          </cell>
          <cell r="H289" t="str">
            <v>ကော်စက်ရုံ၊ ဝန်ပျံရွာထိပ်၊ (ခရေပင်လမ်းခွဲ)၊ နေပြည်တော်</v>
          </cell>
          <cell r="I289">
            <v>90000</v>
          </cell>
          <cell r="J289" t="str">
            <v>-</v>
          </cell>
          <cell r="K289">
            <v>90000</v>
          </cell>
          <cell r="L289">
            <v>6000</v>
          </cell>
          <cell r="M289" t="str">
            <v>-</v>
          </cell>
          <cell r="N289">
            <v>6</v>
          </cell>
          <cell r="O289">
            <v>15000</v>
          </cell>
          <cell r="P289">
            <v>105000</v>
          </cell>
        </row>
        <row r="290">
          <cell r="C290" t="str">
            <v>D0903-TSW-064</v>
          </cell>
          <cell r="D290" t="str">
            <v>3 &amp; 6 Wholesale</v>
          </cell>
          <cell r="E290" t="str">
            <v>မခင်ခင်ဦး</v>
          </cell>
          <cell r="F290" t="str">
            <v>09-259531644</v>
          </cell>
          <cell r="G290" t="str">
            <v>နေပြည်တော်</v>
          </cell>
          <cell r="H290" t="str">
            <v>အမှတ် (F-220)၊ ရွှေသစ္စာလမ်း၊ သပြေကုန်းရပ်ကွက်၊ ဇမ္ဗူသီရိမြို့နယ်၊ နေပြည်တော်</v>
          </cell>
          <cell r="I290">
            <v>85000</v>
          </cell>
          <cell r="J290" t="str">
            <v>-</v>
          </cell>
          <cell r="K290">
            <v>85000</v>
          </cell>
          <cell r="L290">
            <v>6000</v>
          </cell>
          <cell r="M290" t="str">
            <v>-</v>
          </cell>
          <cell r="N290">
            <v>5</v>
          </cell>
          <cell r="O290">
            <v>12000</v>
          </cell>
          <cell r="P290">
            <v>97000</v>
          </cell>
        </row>
        <row r="291">
          <cell r="C291" t="str">
            <v>D0903-TSW-068</v>
          </cell>
          <cell r="D291" t="str">
            <v>3 &amp; 6 Wholesale</v>
          </cell>
          <cell r="E291" t="str">
            <v>ထာဝရမာ</v>
          </cell>
          <cell r="F291" t="str">
            <v>09-692108157</v>
          </cell>
          <cell r="G291" t="str">
            <v>နေပြည်တော်</v>
          </cell>
          <cell r="H291" t="str">
            <v>ခတ္တာအေးဘုရားကြီးလမ်း၊ ဇေယျာသီရိမြို့နယ်၊ နေပြည်တော်</v>
          </cell>
          <cell r="I291">
            <v>43000</v>
          </cell>
          <cell r="J291" t="str">
            <v>-</v>
          </cell>
          <cell r="K291">
            <v>43000</v>
          </cell>
          <cell r="L291">
            <v>6000</v>
          </cell>
          <cell r="M291" t="str">
            <v>-</v>
          </cell>
          <cell r="O291">
            <v>6000</v>
          </cell>
          <cell r="P291">
            <v>49000</v>
          </cell>
        </row>
        <row r="292">
          <cell r="C292" t="str">
            <v>D0903-SMW-132</v>
          </cell>
          <cell r="D292" t="str">
            <v>ရှု့မဝ</v>
          </cell>
          <cell r="E292" t="str">
            <v>Kyaw Zaw Zaw</v>
          </cell>
          <cell r="F292" t="str">
            <v>09-693251737</v>
          </cell>
          <cell r="G292" t="str">
            <v>နေပြည်တော်</v>
          </cell>
          <cell r="H292" t="str">
            <v>(မြို့မဈေး (သို့မဟုတ်) သပြေကုန်းဂိတ် တစ်ခုခုတွင် ချပေးပါရန်)၊ ဇမ္ဗူသီရိမြို့နယ်၊ နေပြည်တော်</v>
          </cell>
          <cell r="I292" t="str">
            <v>-</v>
          </cell>
          <cell r="J292">
            <v>6000</v>
          </cell>
          <cell r="K292">
            <v>6000</v>
          </cell>
          <cell r="L292">
            <v>6000</v>
          </cell>
          <cell r="M292">
            <v>6000</v>
          </cell>
          <cell r="N292">
            <v>10</v>
          </cell>
          <cell r="O292">
            <v>3500</v>
          </cell>
          <cell r="P292">
            <v>9500</v>
          </cell>
        </row>
        <row r="293">
          <cell r="C293" t="str">
            <v>D0903-GGS-135</v>
          </cell>
          <cell r="D293" t="str">
            <v>The Gadget Store</v>
          </cell>
          <cell r="E293" t="str">
            <v>Expired Trent</v>
          </cell>
          <cell r="F293" t="str">
            <v>09-250896180
 09-250896182</v>
          </cell>
          <cell r="G293" t="str">
            <v>နေပြည်တော်</v>
          </cell>
          <cell r="H293" t="str">
            <v>တိုက် (၂၅)၊ ပုဏ္ဏသိဒ္ဓိရပ်ကွက်၊ ဇမ္ဗူသီရိမြို့နယ်၊ နေပြည်တော်</v>
          </cell>
          <cell r="I293" t="str">
            <v>-</v>
          </cell>
          <cell r="J293">
            <v>6000</v>
          </cell>
          <cell r="K293">
            <v>6000</v>
          </cell>
          <cell r="L293">
            <v>6000</v>
          </cell>
          <cell r="M293">
            <v>6000</v>
          </cell>
          <cell r="O293" t="str">
            <v>-</v>
          </cell>
          <cell r="P293">
            <v>6000</v>
          </cell>
        </row>
        <row r="294">
          <cell r="C294" t="str">
            <v>D0903-MMA-156</v>
          </cell>
          <cell r="D294" t="str">
            <v>မြန်မာ့အလှ</v>
          </cell>
          <cell r="E294" t="str">
            <v>ရွှန်းလဲ့ဝေ</v>
          </cell>
          <cell r="F294" t="str">
            <v>09-890989355</v>
          </cell>
          <cell r="G294" t="str">
            <v>နေပြည်တော်</v>
          </cell>
          <cell r="H294" t="str">
            <v>အဆောင် (၁၅)၊ သဇင် (၄) လမ်း၊ (စနေ/တနင်္ဂနွေ ပို့ပေးပါ)၊ ဇေယျာသီရိမြို့နယ်၊ နေပြည်တော်</v>
          </cell>
          <cell r="I294">
            <v>29500</v>
          </cell>
          <cell r="J294">
            <v>6000</v>
          </cell>
          <cell r="K294">
            <v>35500</v>
          </cell>
          <cell r="L294">
            <v>6000</v>
          </cell>
          <cell r="M294">
            <v>6000</v>
          </cell>
          <cell r="O294" t="str">
            <v>-</v>
          </cell>
          <cell r="P294">
            <v>35500</v>
          </cell>
        </row>
        <row r="295">
          <cell r="C295" t="str">
            <v>D0825-JSC-086</v>
          </cell>
          <cell r="D295" t="str">
            <v>Jessica Sue</v>
          </cell>
          <cell r="E295" t="str">
            <v>May Win</v>
          </cell>
          <cell r="F295" t="str">
            <v>09-403394966
  09-40394966</v>
          </cell>
          <cell r="G295" t="str">
            <v>ဗဟန်း</v>
          </cell>
          <cell r="H295" t="str">
            <v>အမှတ် (၄၂)၊ ဘိုးပိုင်ရိပ်သာလမ်း၊ ရွှေတောင်ကြား (၂) ရပ်ကွက်၊ ဗဟန်းမြို့နယ်</v>
          </cell>
          <cell r="I295">
            <v>62000</v>
          </cell>
          <cell r="J295">
            <v>4000</v>
          </cell>
          <cell r="K295">
            <v>66000</v>
          </cell>
          <cell r="L295">
            <v>4000</v>
          </cell>
          <cell r="M295">
            <v>4000</v>
          </cell>
          <cell r="N295" t="str">
            <v>-</v>
          </cell>
          <cell r="O295">
            <v>66000</v>
          </cell>
          <cell r="P295" t="str">
            <v>စက်ပိတ်</v>
          </cell>
        </row>
        <row r="296">
          <cell r="C296" t="str">
            <v>D0831-MMA-385</v>
          </cell>
          <cell r="D296" t="str">
            <v>မြန်မာ့အလှ</v>
          </cell>
          <cell r="E296" t="str">
            <v>Ma Ma Gyi Sue</v>
          </cell>
          <cell r="F296" t="str">
            <v>09-778607185</v>
          </cell>
          <cell r="G296" t="str">
            <v>ဗဟန်း</v>
          </cell>
          <cell r="H296" t="str">
            <v>အမှတ် (၁၆)၊ ဗိုလ်လရောင်လမ်း၊ ဗိုလ်စိန်မှန်ရပ်ကွက်၊ ဗဟန်းမြို့နယ်</v>
          </cell>
          <cell r="I296">
            <v>25000</v>
          </cell>
          <cell r="J296">
            <v>4000</v>
          </cell>
          <cell r="K296">
            <v>29000</v>
          </cell>
          <cell r="L296">
            <v>4000</v>
          </cell>
          <cell r="M296">
            <v>4000</v>
          </cell>
          <cell r="N296" t="str">
            <v>-</v>
          </cell>
          <cell r="O296">
            <v>29000</v>
          </cell>
          <cell r="P296" t="str">
            <v>စက်ပိတ်</v>
          </cell>
        </row>
        <row r="297">
          <cell r="C297" t="str">
            <v>D0827-KAL-104</v>
          </cell>
          <cell r="D297" t="str">
            <v>ခင့်အလှူ</v>
          </cell>
          <cell r="E297" t="str">
            <v>Than Than Hla</v>
          </cell>
          <cell r="F297" t="str">
            <v>09-51255887</v>
          </cell>
          <cell r="G297" t="str">
            <v>မင်္ဂလာတောင်ညွန့်</v>
          </cell>
          <cell r="H297" t="str">
            <v>ရွှေမြယာအိမ်ရာ၊ မင်္ဂလာတောင်ညွန့်မြို့နယ်</v>
          </cell>
          <cell r="I297">
            <v>35000</v>
          </cell>
          <cell r="J297">
            <v>5000</v>
          </cell>
          <cell r="K297">
            <v>40000</v>
          </cell>
          <cell r="L297">
            <v>4000</v>
          </cell>
          <cell r="M297">
            <v>5000</v>
          </cell>
          <cell r="O297" t="str">
            <v>-</v>
          </cell>
          <cell r="P297">
            <v>40000</v>
          </cell>
        </row>
        <row r="298">
          <cell r="C298" t="str">
            <v>D0904-TSW-019</v>
          </cell>
          <cell r="D298" t="str">
            <v>3 &amp; 6 Wholesale</v>
          </cell>
          <cell r="E298" t="str">
            <v>Daw Kyu Kyu Myint</v>
          </cell>
          <cell r="F298" t="str">
            <v>09-775557780</v>
          </cell>
          <cell r="G298" t="str">
            <v>မန္တလေး</v>
          </cell>
          <cell r="H298" t="str">
            <v>လေယာဉ်ဆန်ဆိုင်၊ (၅၈) လမ်း၊ ၃၀ x ၃၁ လမ်းကြား၊ ချမ်းအေးသာစံမြို့နယ်၊ မန္တလေး</v>
          </cell>
          <cell r="I298">
            <v>36000</v>
          </cell>
          <cell r="J298" t="str">
            <v>-</v>
          </cell>
          <cell r="K298">
            <v>36000</v>
          </cell>
          <cell r="L298">
            <v>6000</v>
          </cell>
          <cell r="M298" t="str">
            <v>-</v>
          </cell>
          <cell r="O298">
            <v>10000</v>
          </cell>
          <cell r="P298">
            <v>46000</v>
          </cell>
        </row>
        <row r="299">
          <cell r="C299" t="str">
            <v>D0904-TSW-021</v>
          </cell>
          <cell r="D299" t="str">
            <v>3 &amp; 6 Wholesale</v>
          </cell>
          <cell r="E299" t="str">
            <v>ဒေါ်ဝင်းမာအေး</v>
          </cell>
          <cell r="F299" t="str">
            <v>09-982355475
 09-761754240</v>
          </cell>
          <cell r="G299" t="str">
            <v>မန္တလေး</v>
          </cell>
          <cell r="H299" t="str">
            <v>ထုပ်ပိုးမှုစက်ရုံလမ်း၊ မှန်တန်းရပ်ကွက်၊ အမရပူရမြို့နယ်၊ မန္တလေး</v>
          </cell>
          <cell r="I299">
            <v>32500</v>
          </cell>
          <cell r="J299" t="str">
            <v>-</v>
          </cell>
          <cell r="K299">
            <v>32500</v>
          </cell>
          <cell r="L299">
            <v>6000</v>
          </cell>
          <cell r="M299" t="str">
            <v>-</v>
          </cell>
          <cell r="O299">
            <v>15000</v>
          </cell>
          <cell r="P299">
            <v>47500</v>
          </cell>
        </row>
        <row r="300">
          <cell r="C300" t="str">
            <v>D0904-TSW-023</v>
          </cell>
          <cell r="D300" t="str">
            <v>3 &amp; 6 Wholesale</v>
          </cell>
          <cell r="E300" t="str">
            <v>Emma</v>
          </cell>
          <cell r="F300" t="str">
            <v>09-444257727</v>
          </cell>
          <cell r="G300" t="str">
            <v>မန္တလေး</v>
          </cell>
          <cell r="H300" t="str">
            <v>(၇၅) လမ်း၊ ၃၄ x ၃၅ လမ်းကြား၊ မန္တလေး</v>
          </cell>
          <cell r="I300">
            <v>54000</v>
          </cell>
          <cell r="K300">
            <v>54000</v>
          </cell>
          <cell r="L300">
            <v>6000</v>
          </cell>
          <cell r="M300" t="str">
            <v>-</v>
          </cell>
          <cell r="N300">
            <v>5</v>
          </cell>
          <cell r="O300">
            <v>12000</v>
          </cell>
          <cell r="P300">
            <v>66000</v>
          </cell>
        </row>
        <row r="301">
          <cell r="C301" t="str">
            <v>D0904-BBW-047</v>
          </cell>
          <cell r="D301" t="str">
            <v>Baby World</v>
          </cell>
          <cell r="E301" t="str">
            <v>ရွှေလဝန်းဘေဘီစတိုး</v>
          </cell>
          <cell r="F301" t="str">
            <v>09-773675072</v>
          </cell>
          <cell r="G301" t="str">
            <v>မန္တလေး</v>
          </cell>
          <cell r="H301" t="str">
            <v>(၃၁) လမ်း၊ ၃၇ x ၃၈ လမ်းကြား၊ မဟာအောင်မြေမြို့နယ်၊ မန္တလေး</v>
          </cell>
          <cell r="I301">
            <v>354000</v>
          </cell>
          <cell r="J301">
            <v>6000</v>
          </cell>
          <cell r="K301">
            <v>360000</v>
          </cell>
          <cell r="L301">
            <v>6000</v>
          </cell>
          <cell r="M301">
            <v>6000</v>
          </cell>
          <cell r="N301">
            <v>4</v>
          </cell>
          <cell r="O301">
            <v>500</v>
          </cell>
          <cell r="P301">
            <v>360500</v>
          </cell>
        </row>
        <row r="302">
          <cell r="C302" t="str">
            <v>D0904-MBO-279</v>
          </cell>
          <cell r="D302" t="str">
            <v>MaBel OS</v>
          </cell>
          <cell r="E302" t="str">
            <v>Ya Ya</v>
          </cell>
          <cell r="F302" t="str">
            <v>09-266688826</v>
          </cell>
          <cell r="G302" t="str">
            <v>မန္တလေး</v>
          </cell>
          <cell r="H302" t="str">
            <v>(၅၄) လမ်း၊ (39D) လမ်း၊ မန္တလေး</v>
          </cell>
          <cell r="I302">
            <v>441000</v>
          </cell>
          <cell r="J302" t="str">
            <v>-</v>
          </cell>
          <cell r="K302">
            <v>441000</v>
          </cell>
          <cell r="L302">
            <v>6000</v>
          </cell>
          <cell r="M302" t="str">
            <v>-</v>
          </cell>
          <cell r="N302">
            <v>7</v>
          </cell>
          <cell r="O302">
            <v>12000</v>
          </cell>
          <cell r="P302">
            <v>453000</v>
          </cell>
        </row>
        <row r="303">
          <cell r="C303" t="str">
            <v>D0902-TSW-022</v>
          </cell>
          <cell r="D303" t="str">
            <v>3 &amp; 6 Wholesale</v>
          </cell>
          <cell r="E303" t="str">
            <v>မအေးအေးထွန်း</v>
          </cell>
          <cell r="F303" t="str">
            <v>09-775275880</v>
          </cell>
          <cell r="G303" t="str">
            <v>မန္တလေး</v>
          </cell>
          <cell r="H303" t="str">
            <v>(၄၁) လမ်း၊ ညဈေး၊ မဟာအောင်မြေမြို့နယ်၊ မန္တလေး</v>
          </cell>
          <cell r="I303">
            <v>19000</v>
          </cell>
          <cell r="J303" t="str">
            <v>-</v>
          </cell>
          <cell r="K303">
            <v>19000</v>
          </cell>
          <cell r="L303">
            <v>6000</v>
          </cell>
          <cell r="M303" t="str">
            <v>-</v>
          </cell>
          <cell r="O303">
            <v>10000</v>
          </cell>
          <cell r="P303">
            <v>29000</v>
          </cell>
        </row>
        <row r="304">
          <cell r="C304" t="str">
            <v>D0829-NM6-169</v>
          </cell>
          <cell r="D304" t="str">
            <v>Poe Poe</v>
          </cell>
          <cell r="E304" t="str">
            <v>Pinky Thae</v>
          </cell>
          <cell r="F304" t="str">
            <v>09-43038851</v>
          </cell>
          <cell r="G304" t="str">
            <v>မရမ်းကုန်း</v>
          </cell>
          <cell r="H304" t="str">
            <v>အမှတ် (၃၃)၊ ကျားပျံလမ်း၊ (၅) ရပ်ကွက်၊ မရမ်းကုန်းမြို့နယ်</v>
          </cell>
          <cell r="I304">
            <v>172500</v>
          </cell>
          <cell r="J304">
            <v>4000</v>
          </cell>
          <cell r="K304">
            <v>176500</v>
          </cell>
          <cell r="L304">
            <v>4000</v>
          </cell>
          <cell r="M304">
            <v>4000</v>
          </cell>
          <cell r="O304" t="str">
            <v>-</v>
          </cell>
          <cell r="P304">
            <v>176500</v>
          </cell>
        </row>
        <row r="305">
          <cell r="C305" t="str">
            <v>D0904-TSW-029</v>
          </cell>
          <cell r="D305" t="str">
            <v>3 &amp; 6 Wholesale</v>
          </cell>
          <cell r="E305" t="str">
            <v>ဦးစန္ဒိမာ</v>
          </cell>
          <cell r="F305" t="str">
            <v>09-43042885</v>
          </cell>
          <cell r="G305" t="str">
            <v>မြောက်ဒဂုံ</v>
          </cell>
          <cell r="H305" t="str">
            <v>ဓမ္မဂုဏ်ရည်ကျောင်းတိုက်၊ ဗိုလ်သုန်လမ်း၊ (၅၁) ရပ်ကွက်၊ မြောက်ဒဂုံမြို့နယ်</v>
          </cell>
          <cell r="I305">
            <v>52000</v>
          </cell>
          <cell r="J305" t="str">
            <v>-</v>
          </cell>
          <cell r="K305">
            <v>52000</v>
          </cell>
          <cell r="L305">
            <v>4000</v>
          </cell>
          <cell r="M305" t="str">
            <v>-</v>
          </cell>
          <cell r="N305">
            <v>7</v>
          </cell>
          <cell r="O305">
            <v>10000</v>
          </cell>
          <cell r="P305">
            <v>62000</v>
          </cell>
        </row>
        <row r="306">
          <cell r="C306" t="str">
            <v>D0827-KAL-054</v>
          </cell>
          <cell r="D306" t="str">
            <v>ခင့်အလှူ</v>
          </cell>
          <cell r="E306" t="str">
            <v>Daw Khin Aye Win</v>
          </cell>
          <cell r="F306" t="str">
            <v>09-5052677</v>
          </cell>
          <cell r="G306" t="str">
            <v>မြောက်ဒဂုံ</v>
          </cell>
          <cell r="H306" t="str">
            <v>အမှတ် (၁၁၂၄)၊ လောပိတလမ်း၊ (၃၄) ရပ်ကွက်၊ မြောက်ဒဂုံမြို့နယ်</v>
          </cell>
          <cell r="I306">
            <v>70000</v>
          </cell>
          <cell r="J306">
            <v>5000</v>
          </cell>
          <cell r="K306">
            <v>6</v>
          </cell>
          <cell r="L306">
            <v>1500</v>
          </cell>
          <cell r="M306">
            <v>76500</v>
          </cell>
        </row>
        <row r="307">
          <cell r="C307" t="str">
            <v>D0901-TSW-044</v>
          </cell>
          <cell r="D307" t="str">
            <v>3 &amp; 6 Wholesale</v>
          </cell>
          <cell r="E307" t="str">
            <v>ကိုမင်း</v>
          </cell>
          <cell r="F307" t="str">
            <v>09-53132996</v>
          </cell>
          <cell r="G307" t="str">
            <v>မြောက်ဒဂုံ</v>
          </cell>
          <cell r="H307" t="str">
            <v>ပြည်ထောင်စုလမ်းမကြီး၊ (၇၈) လမ်းဆုံ၊ (ရိုးမဘဏ်အနီး)၊ မြောက်ဒဂုံမြို့နယ်</v>
          </cell>
          <cell r="I307">
            <v>76000</v>
          </cell>
          <cell r="J307" t="str">
            <v>-</v>
          </cell>
          <cell r="K307">
            <v>76000</v>
          </cell>
          <cell r="L307">
            <v>4000</v>
          </cell>
          <cell r="M307" t="str">
            <v>-</v>
          </cell>
          <cell r="O307">
            <v>12000</v>
          </cell>
          <cell r="P307">
            <v>88000</v>
          </cell>
        </row>
        <row r="308">
          <cell r="C308" t="str">
            <v>D0821-KAL-309</v>
          </cell>
          <cell r="D308" t="str">
            <v>ခင့်အလှူ</v>
          </cell>
          <cell r="E308" t="str">
            <v>Dhfxgvycuvu</v>
          </cell>
          <cell r="F308" t="str">
            <v>09-682365505</v>
          </cell>
          <cell r="G308" t="str">
            <v>မြောက်ဒဂုံ</v>
          </cell>
          <cell r="H308" t="str">
            <v>အမှတ် (၉၉၉)၊ မြဝတီမင်းကြီး (၂) လမ်း၊ (၅၁) ရပ်ကွက်၊ မြောက်ဒဂုံမြို့နယ်</v>
          </cell>
          <cell r="I308">
            <v>35000</v>
          </cell>
          <cell r="J308">
            <v>5000</v>
          </cell>
          <cell r="K308">
            <v>40000</v>
          </cell>
          <cell r="L308">
            <v>4000</v>
          </cell>
          <cell r="M308">
            <v>5000</v>
          </cell>
          <cell r="O308">
            <v>500</v>
          </cell>
          <cell r="P308">
            <v>40500</v>
          </cell>
        </row>
        <row r="309">
          <cell r="C309" t="str">
            <v>D0831-JLS-057</v>
          </cell>
          <cell r="D309" t="str">
            <v>July Sis</v>
          </cell>
          <cell r="E309" t="str">
            <v>Nan Htike Aung</v>
          </cell>
          <cell r="F309" t="str">
            <v>09-755008786</v>
          </cell>
          <cell r="G309" t="str">
            <v>မြောက်ဒဂုံ</v>
          </cell>
          <cell r="H309" t="str">
            <v>တိုက် (A)၊ အခန်း (၄၀၂)၊ ရှုခင်းသာလမ်း၊ (၂၇) ရပ်ကွက်၊ မြောက်ဒဂုံမြို့နယ်</v>
          </cell>
          <cell r="I309" t="str">
            <v>-</v>
          </cell>
          <cell r="J309">
            <v>4000</v>
          </cell>
          <cell r="K309">
            <v>4000</v>
          </cell>
          <cell r="L309">
            <v>4000</v>
          </cell>
          <cell r="M309">
            <v>4000</v>
          </cell>
          <cell r="N309" t="str">
            <v>-</v>
          </cell>
          <cell r="P309">
            <v>4000</v>
          </cell>
        </row>
        <row r="310">
          <cell r="C310" t="str">
            <v>D0831-MMA-400</v>
          </cell>
          <cell r="D310" t="str">
            <v>မြန်မာ့အလှ</v>
          </cell>
          <cell r="E310" t="str">
            <v>Ma Naw</v>
          </cell>
          <cell r="F310" t="str">
            <v>09-250062349</v>
          </cell>
          <cell r="G310" t="str">
            <v>မြောက်ဒဂုံ</v>
          </cell>
          <cell r="H310" t="str">
            <v>အမှတ် (၁၂၀၇)၊ ပိတောက်မြိုင် (၅) လမ်း၊ (၃၄) ရပ်ကွက်၊ မြောက်ဒဂုံမြို့နယ်</v>
          </cell>
          <cell r="I310">
            <v>200600</v>
          </cell>
          <cell r="J310">
            <v>4000</v>
          </cell>
          <cell r="K310">
            <v>204600</v>
          </cell>
          <cell r="L310">
            <v>4000</v>
          </cell>
          <cell r="M310">
            <v>4000</v>
          </cell>
          <cell r="N310" t="str">
            <v>-</v>
          </cell>
          <cell r="P310">
            <v>204600</v>
          </cell>
        </row>
        <row r="311">
          <cell r="C311" t="str">
            <v>D0903-YDC-110</v>
          </cell>
          <cell r="D311" t="str">
            <v>Yadanar Clothing</v>
          </cell>
          <cell r="E311" t="str">
            <v>Mommy Baby</v>
          </cell>
          <cell r="F311" t="str">
            <v>09-942150031</v>
          </cell>
          <cell r="G311" t="str">
            <v>မြောက်ဒဂုံ</v>
          </cell>
          <cell r="H311" t="str">
            <v>အမှတ် (၈၀)၊ စံပယ်လမ်း၊ (၄၇) ရပ်ကွက်၊ မြောက်ဒဂုံမြို့နယ်</v>
          </cell>
          <cell r="I311" t="str">
            <v>-</v>
          </cell>
          <cell r="J311">
            <v>4000</v>
          </cell>
          <cell r="K311">
            <v>4000</v>
          </cell>
          <cell r="L311">
            <v>4000</v>
          </cell>
          <cell r="M311">
            <v>4000</v>
          </cell>
          <cell r="N311">
            <v>7</v>
          </cell>
          <cell r="O311">
            <v>2000</v>
          </cell>
          <cell r="P311">
            <v>6000</v>
          </cell>
        </row>
        <row r="312">
          <cell r="C312" t="str">
            <v>D0827-KAL-141</v>
          </cell>
          <cell r="D312" t="str">
            <v>ခင့်အလှူ</v>
          </cell>
          <cell r="E312" t="str">
            <v>Khu Mah</v>
          </cell>
          <cell r="F312" t="str">
            <v>09-449557652</v>
          </cell>
          <cell r="G312" t="str">
            <v>မြောက်ဥက္ကလာပ</v>
          </cell>
          <cell r="H312" t="str">
            <v>အမှတ် (၁၁၂၂)၊ သုဓမ္မာ (၆) လမ်း၊ (၂) ရပ်ကွက်၊ မြောက်ဥက္ကလာပမြို့နယ်</v>
          </cell>
          <cell r="I312">
            <v>35000</v>
          </cell>
          <cell r="J312">
            <v>55000</v>
          </cell>
          <cell r="K312">
            <v>90000</v>
          </cell>
          <cell r="L312">
            <v>4500</v>
          </cell>
          <cell r="M312">
            <v>55000</v>
          </cell>
          <cell r="O312" t="str">
            <v>-</v>
          </cell>
          <cell r="P312">
            <v>90000</v>
          </cell>
        </row>
        <row r="313">
          <cell r="C313" t="str">
            <v>D0819-SMW-061</v>
          </cell>
          <cell r="D313" t="str">
            <v>ရှု့မဝ</v>
          </cell>
          <cell r="E313" t="str">
            <v>Ko Aung</v>
          </cell>
          <cell r="F313" t="str">
            <v>09-750482566
  09-986566595</v>
          </cell>
          <cell r="G313" t="str">
            <v>ရွှေပြည်သာ</v>
          </cell>
          <cell r="H313" t="str">
            <v>အမှတ် (၁၃၀)၊ ဦးမြဲလမ်း၊ စက်မှုဇုန် (၄)၊ ရွှေပြည်သာမြို့နယ်</v>
          </cell>
          <cell r="I313">
            <v>18000</v>
          </cell>
          <cell r="J313">
            <v>4500</v>
          </cell>
          <cell r="K313">
            <v>22500</v>
          </cell>
          <cell r="L313">
            <v>4500</v>
          </cell>
          <cell r="M313">
            <v>4500</v>
          </cell>
          <cell r="N313" t="str">
            <v>-</v>
          </cell>
          <cell r="O313">
            <v>22500</v>
          </cell>
          <cell r="P313" t="str">
            <v>၂ရက်နေ့ပို့ရန်</v>
          </cell>
        </row>
        <row r="314">
          <cell r="C314" t="str">
            <v>D0902-KAL-101</v>
          </cell>
          <cell r="D314" t="str">
            <v>ခင့်အလှူ</v>
          </cell>
          <cell r="E314" t="str">
            <v>Pa Lat Ti Nan</v>
          </cell>
          <cell r="F314" t="str">
            <v>09-445172379</v>
          </cell>
          <cell r="G314" t="str">
            <v>လမ်းမတော်</v>
          </cell>
          <cell r="H314" t="str">
            <v>အမှတ် (၆၀)၊ ကိုင်းတန်းလမ်း၊ လမ်းမတော်မြို့နယ်</v>
          </cell>
          <cell r="I314">
            <v>59400</v>
          </cell>
          <cell r="J314">
            <v>5000</v>
          </cell>
          <cell r="K314">
            <v>64400</v>
          </cell>
          <cell r="L314">
            <v>4000</v>
          </cell>
          <cell r="M314">
            <v>5000</v>
          </cell>
          <cell r="O314" t="str">
            <v>-</v>
          </cell>
          <cell r="P314">
            <v>64400</v>
          </cell>
        </row>
        <row r="315">
          <cell r="C315" t="str">
            <v>D0904-GGS-177</v>
          </cell>
          <cell r="D315" t="str">
            <v>The Gadget Store</v>
          </cell>
          <cell r="E315" t="str">
            <v>Hsu Yee nai</v>
          </cell>
          <cell r="F315" t="str">
            <v>09-450995525</v>
          </cell>
          <cell r="G315" t="str">
            <v>လယ်ဝေး</v>
          </cell>
          <cell r="H315" t="str">
            <v>အမှတ် (၄)၊ ရုံးလမ်း၊ (ဘဏ်ဘေး)၊ လယ်ဝေးမြို့နယ်၊ နေပြည်တော်</v>
          </cell>
          <cell r="I315" t="str">
            <v>-</v>
          </cell>
          <cell r="J315">
            <v>6000</v>
          </cell>
          <cell r="K315">
            <v>6000</v>
          </cell>
          <cell r="L315">
            <v>6000</v>
          </cell>
          <cell r="M315">
            <v>6000</v>
          </cell>
          <cell r="O315" t="str">
            <v>-</v>
          </cell>
          <cell r="P315">
            <v>6000</v>
          </cell>
        </row>
        <row r="316">
          <cell r="C316" t="str">
            <v>D0830-GRS-032</v>
          </cell>
          <cell r="D316" t="str">
            <v>GRS Express</v>
          </cell>
          <cell r="E316" t="str">
            <v>Ma Huu Ra</v>
          </cell>
          <cell r="F316" t="str">
            <v>09-768508458</v>
          </cell>
          <cell r="G316" t="str">
            <v>လသာ</v>
          </cell>
          <cell r="H316" t="str">
            <v>အမှတ် (၆၇၅)၊ မဟာဗန္ဓုလလမ်း၊ လသာမြို့နယ်</v>
          </cell>
          <cell r="I316">
            <v>29000</v>
          </cell>
          <cell r="J316" t="str">
            <v>-</v>
          </cell>
          <cell r="K316">
            <v>29000</v>
          </cell>
          <cell r="L316">
            <v>4000</v>
          </cell>
          <cell r="M316" t="str">
            <v>-</v>
          </cell>
          <cell r="O316" t="str">
            <v>-</v>
          </cell>
          <cell r="P316">
            <v>29000</v>
          </cell>
        </row>
        <row r="317">
          <cell r="C317" t="str">
            <v>D0831-KAL-119</v>
          </cell>
          <cell r="D317" t="str">
            <v>ခင့်အလှူ</v>
          </cell>
          <cell r="E317" t="str">
            <v>User67948613486632</v>
          </cell>
          <cell r="F317" t="str">
            <v>09-788788420</v>
          </cell>
          <cell r="G317" t="str">
            <v>လှိုင်</v>
          </cell>
          <cell r="H317" t="str">
            <v>အမှတ် (၆၃၀)၊ မြရတနာလမ်း၊ ဓမ္မာရုံလမ်းမကြီး၊ (၁၁) ရပ်ကွက်၊ လှိုင်မြို့နယ်</v>
          </cell>
          <cell r="I317">
            <v>27500</v>
          </cell>
          <cell r="J317">
            <v>4000</v>
          </cell>
          <cell r="K317">
            <v>31500</v>
          </cell>
          <cell r="L317">
            <v>4000</v>
          </cell>
          <cell r="M317">
            <v>4000</v>
          </cell>
          <cell r="O317" t="str">
            <v>-</v>
          </cell>
          <cell r="P317">
            <v>31500</v>
          </cell>
        </row>
        <row r="318">
          <cell r="C318" t="str">
            <v>D0901-TSW-055</v>
          </cell>
          <cell r="D318" t="str">
            <v>3 &amp; 6 Wholesale</v>
          </cell>
          <cell r="E318" t="str">
            <v>ဆောင်းသဇင်</v>
          </cell>
          <cell r="F318" t="str">
            <v>09-974200452</v>
          </cell>
          <cell r="G318" t="str">
            <v>လှိုင်</v>
          </cell>
          <cell r="H318" t="str">
            <v>(၁၀) လမ်း၊ (၃) ရပ်ကွက်၊ လှိုင်မြို့နယ်</v>
          </cell>
          <cell r="I318">
            <v>19000</v>
          </cell>
          <cell r="K318">
            <v>19000</v>
          </cell>
          <cell r="L318">
            <v>4000</v>
          </cell>
          <cell r="M318" t="str">
            <v>-</v>
          </cell>
          <cell r="O318">
            <v>5000</v>
          </cell>
          <cell r="P318">
            <v>24000</v>
          </cell>
        </row>
        <row r="319">
          <cell r="C319" t="str">
            <v>D0901-PHS-071</v>
          </cell>
          <cell r="D319" t="str">
            <v>ph level 7</v>
          </cell>
          <cell r="E319" t="str">
            <v>မဆုမြတ်ပိုး</v>
          </cell>
          <cell r="F319" t="str">
            <v>09-440680460</v>
          </cell>
          <cell r="G319" t="str">
            <v>လှိုင်သာယာ</v>
          </cell>
          <cell r="H319" t="str">
            <v>ကျန်စစ်မင်းအိမ်ရာ၊ တိုက် (၄)၊ (City Mart အနီး)၊ လှိုင်သာယာမြို့နယ်</v>
          </cell>
          <cell r="I319" t="str">
            <v>-</v>
          </cell>
          <cell r="J319">
            <v>4500</v>
          </cell>
          <cell r="K319">
            <v>4500</v>
          </cell>
          <cell r="L319">
            <v>4500</v>
          </cell>
          <cell r="M319">
            <v>4500</v>
          </cell>
          <cell r="O319" t="str">
            <v>-</v>
          </cell>
          <cell r="P319">
            <v>4500</v>
          </cell>
        </row>
        <row r="320">
          <cell r="C320" t="str">
            <v>D0904-TSW-030</v>
          </cell>
          <cell r="D320" t="str">
            <v>3 &amp; 6 Wholesale</v>
          </cell>
          <cell r="E320" t="str">
            <v>မစု</v>
          </cell>
          <cell r="F320" t="str">
            <v>09-755822588</v>
          </cell>
          <cell r="G320" t="str">
            <v>သင်္ဃန်းကျွန်း</v>
          </cell>
          <cell r="H320" t="str">
            <v>အမှတ် (၇၈)၊ (၄) လွှာ၊ သုဒဿန (၁) လမ်း၊ (၁၆) ရပ်ကွက်၊ (ကုလားဘုရားကျောင်းမှတ်တိုင်)၊ သင်္ဃန်းကျွန်းမြို့နယ်</v>
          </cell>
          <cell r="I320">
            <v>19000</v>
          </cell>
          <cell r="J320" t="str">
            <v>-</v>
          </cell>
          <cell r="K320">
            <v>19000</v>
          </cell>
          <cell r="L320">
            <v>4000</v>
          </cell>
          <cell r="M320" t="str">
            <v>-</v>
          </cell>
          <cell r="N320">
            <v>4</v>
          </cell>
          <cell r="O320">
            <v>7000</v>
          </cell>
          <cell r="P320">
            <v>26000</v>
          </cell>
        </row>
        <row r="321">
          <cell r="C321" t="str">
            <v>D0904-MBO-285</v>
          </cell>
          <cell r="D321" t="str">
            <v>MaBel OS</v>
          </cell>
          <cell r="E321" t="str">
            <v>Ma Hnin Nway Hlaing</v>
          </cell>
          <cell r="F321" t="str">
            <v>09-988643696 / 09-444086344</v>
          </cell>
          <cell r="G321" t="str">
            <v>သင်္ဃန်းကျွန်း</v>
          </cell>
          <cell r="H321" t="str">
            <v>ငမိုးရိပ် (၂) လမ်း၊ (အပိုင်း ၄)၊ သင်္ဃန်းကျွန်းမြို့နယ်</v>
          </cell>
          <cell r="I321" t="str">
            <v>-</v>
          </cell>
          <cell r="J321">
            <v>4000</v>
          </cell>
          <cell r="K321">
            <v>4000</v>
          </cell>
          <cell r="L321">
            <v>4000</v>
          </cell>
          <cell r="M321">
            <v>4000</v>
          </cell>
          <cell r="N321">
            <v>4</v>
          </cell>
          <cell r="O321">
            <v>500</v>
          </cell>
          <cell r="P321">
            <v>4500</v>
          </cell>
        </row>
        <row r="322">
          <cell r="C322" t="str">
            <v>D0904-PYT-367</v>
          </cell>
          <cell r="D322" t="str">
            <v>ပုရစ်ကလေး</v>
          </cell>
          <cell r="E322" t="str">
            <v>ခိုင်မေမေ</v>
          </cell>
          <cell r="F322" t="str">
            <v>09-955825874</v>
          </cell>
          <cell r="G322" t="str">
            <v>သင်္ဃန်းကျွန်း</v>
          </cell>
          <cell r="H322" t="str">
            <v>ငမိုးရိပ် (၅) လမ်း (အပိုင်း ၁)၊ သင်္ဃန်းကျွန်းမြို့နယ်</v>
          </cell>
          <cell r="I322">
            <v>47000</v>
          </cell>
          <cell r="J322">
            <v>4000</v>
          </cell>
          <cell r="K322">
            <v>51000</v>
          </cell>
          <cell r="L322">
            <v>4000</v>
          </cell>
          <cell r="M322">
            <v>4000</v>
          </cell>
          <cell r="O322" t="str">
            <v>-</v>
          </cell>
          <cell r="P322">
            <v>51000</v>
          </cell>
        </row>
        <row r="323">
          <cell r="C323" t="str">
            <v>D0904-CTM-387</v>
          </cell>
          <cell r="D323" t="str">
            <v>ချစ်သွန်းသီရိ မေမေ</v>
          </cell>
          <cell r="E323" t="str">
            <v>Sithu Phyo</v>
          </cell>
          <cell r="F323" t="str">
            <v>09-792271404</v>
          </cell>
          <cell r="G323" t="str">
            <v>သင်္ဃန်းကျွန်း</v>
          </cell>
          <cell r="H323" t="str">
            <v>တိုက် (၅)၊ အခန်း (၃၀)၊ ဣစ္ဆာသယလမ်း၊ ဆယ်သိန်းရပ်ကွက်၊ သင်္ဃန်းကျွန်းမြို့နယ်</v>
          </cell>
          <cell r="I323">
            <v>25000</v>
          </cell>
          <cell r="J323">
            <v>4000</v>
          </cell>
          <cell r="K323">
            <v>29000</v>
          </cell>
          <cell r="L323">
            <v>4000</v>
          </cell>
          <cell r="M323">
            <v>4000</v>
          </cell>
          <cell r="O323" t="str">
            <v>-</v>
          </cell>
          <cell r="P323">
            <v>29000</v>
          </cell>
        </row>
        <row r="324">
          <cell r="C324" t="str">
            <v>D0903-TSW-050</v>
          </cell>
          <cell r="D324" t="str">
            <v>3 &amp; 6 Wholesale</v>
          </cell>
          <cell r="E324" t="str">
            <v>Thaw</v>
          </cell>
          <cell r="F324" t="str">
            <v>09-955585780
 09-797107243</v>
          </cell>
          <cell r="G324" t="str">
            <v>သင်္ဃန်းကျွန်း</v>
          </cell>
          <cell r="H324" t="str">
            <v>အမှတ် (၉)၊ ငမိုးရိပ် (၁၀) လမ်း (အပိုင်း ၁)၊ (အဝါရောင်နှစ်ထပ်တိုက် ခေါင်းရင်းအိမ်)၊ သင်္ဃန်းကျွန်းမြို့နယ်</v>
          </cell>
          <cell r="I324">
            <v>32000</v>
          </cell>
          <cell r="J324" t="str">
            <v>-</v>
          </cell>
          <cell r="K324">
            <v>32000</v>
          </cell>
          <cell r="L324">
            <v>4000</v>
          </cell>
          <cell r="M324" t="str">
            <v>-</v>
          </cell>
          <cell r="N324">
            <v>5</v>
          </cell>
          <cell r="O324">
            <v>8000</v>
          </cell>
          <cell r="P324">
            <v>40000</v>
          </cell>
        </row>
        <row r="325">
          <cell r="C325" t="str">
            <v>D0903-TSW-061</v>
          </cell>
          <cell r="D325" t="str">
            <v>3 &amp; 6 Wholesale</v>
          </cell>
          <cell r="E325" t="str">
            <v>May Lay</v>
          </cell>
          <cell r="F325" t="str">
            <v>09-970707137</v>
          </cell>
          <cell r="G325" t="str">
            <v>သင်္ဃန်းကျွန်း</v>
          </cell>
          <cell r="H325" t="str">
            <v>ဇာဝေယျာလမ်း၊ (ခန့်စည်သူဘုန်းကြီးကျောင်းရှေ့)၊ သင်္ဃန်းကျွန်းမြို့နယ်</v>
          </cell>
          <cell r="I325">
            <v>19000</v>
          </cell>
          <cell r="J325" t="str">
            <v>-</v>
          </cell>
          <cell r="K325">
            <v>19000</v>
          </cell>
          <cell r="L325">
            <v>4000</v>
          </cell>
          <cell r="M325" t="str">
            <v>-</v>
          </cell>
          <cell r="N325">
            <v>4</v>
          </cell>
          <cell r="O325">
            <v>8000</v>
          </cell>
          <cell r="P325">
            <v>27000</v>
          </cell>
        </row>
        <row r="326">
          <cell r="C326" t="str">
            <v>D0903-TSW-070</v>
          </cell>
          <cell r="D326" t="str">
            <v>3 &amp; 6 Wholesale</v>
          </cell>
          <cell r="E326" t="str">
            <v>Orange</v>
          </cell>
          <cell r="F326" t="str">
            <v>09-268981525</v>
          </cell>
          <cell r="G326" t="str">
            <v>သင်္ဃန်းကျွန်း</v>
          </cell>
          <cell r="H326" t="str">
            <v>(ဘုရားလမ်းမှတ်တိုင်အနီး)၊ သင်္ဃန်းကျွန်းမြို့နယ်</v>
          </cell>
          <cell r="I326">
            <v>61000</v>
          </cell>
          <cell r="J326" t="str">
            <v>-</v>
          </cell>
          <cell r="K326">
            <v>61000</v>
          </cell>
          <cell r="L326">
            <v>4000</v>
          </cell>
          <cell r="M326" t="str">
            <v>-</v>
          </cell>
          <cell r="N326">
            <v>7</v>
          </cell>
          <cell r="O326">
            <v>12000</v>
          </cell>
          <cell r="P326">
            <v>73000</v>
          </cell>
        </row>
        <row r="327">
          <cell r="C327" t="str">
            <v>D0819-GRS-142</v>
          </cell>
          <cell r="D327" t="str">
            <v>GRS Express</v>
          </cell>
          <cell r="E327" t="str">
            <v>သစ်ခွ</v>
          </cell>
          <cell r="F327" t="str">
            <v>09-763903926</v>
          </cell>
          <cell r="G327" t="str">
            <v>သင်္ဃန်းကျွန်း</v>
          </cell>
          <cell r="H327" t="str">
            <v>သမာဓိ (၃) လမ်း၊ (ဘီအိုစီမှတ်တိုင်)၊ သင်္ဃန်းကျွန်းမြို့နယ်</v>
          </cell>
          <cell r="I327">
            <v>38000</v>
          </cell>
          <cell r="J327" t="str">
            <v>-</v>
          </cell>
          <cell r="K327">
            <v>38000</v>
          </cell>
          <cell r="L327">
            <v>4000</v>
          </cell>
          <cell r="M327" t="str">
            <v>-</v>
          </cell>
          <cell r="N327" t="str">
            <v>-</v>
          </cell>
          <cell r="P327">
            <v>38000</v>
          </cell>
        </row>
        <row r="328">
          <cell r="C328" t="str">
            <v>D0821-GRS-027</v>
          </cell>
          <cell r="D328" t="str">
            <v>GRS Express</v>
          </cell>
          <cell r="E328" t="str">
            <v>Star Baby</v>
          </cell>
          <cell r="F328" t="str">
            <v>09-682466431</v>
          </cell>
          <cell r="G328" t="str">
            <v>သင်္ဃန်းကျွန်း</v>
          </cell>
          <cell r="H328" t="str">
            <v>အမှတ် (၉)၊ သီရိခေမာလမ်းသွယ်၊ ကျိုက္ကဆံဘုရားလမ်း၊ ဇဝနရပ်ကွက်၊ သင်္ဃန်းကျွန်းမြို့နယ်</v>
          </cell>
          <cell r="I328">
            <v>62500</v>
          </cell>
          <cell r="J328" t="str">
            <v>-</v>
          </cell>
          <cell r="K328">
            <v>62500</v>
          </cell>
          <cell r="L328">
            <v>4000</v>
          </cell>
          <cell r="M328" t="str">
            <v>-</v>
          </cell>
          <cell r="N328" t="str">
            <v>-</v>
          </cell>
          <cell r="P328">
            <v>62500</v>
          </cell>
        </row>
        <row r="329">
          <cell r="C329" t="str">
            <v>D0824-KAL-147</v>
          </cell>
          <cell r="D329" t="str">
            <v>ခင့်အလှူ</v>
          </cell>
          <cell r="E329" t="str">
            <v>Ni Ni</v>
          </cell>
          <cell r="F329" t="str">
            <v>09-976281895</v>
          </cell>
          <cell r="G329" t="str">
            <v>သင်္ဃန်းကျွန်း</v>
          </cell>
          <cell r="H329" t="str">
            <v>အမှတ် (၂၄)၊ ဓနသဇိလမ်း၊ (၂၉) ရပ်ကွက်၊ သုဝဏ္ဏ၊ သင်္ဃန်းကျွန်းမြို့နယ်</v>
          </cell>
          <cell r="I329">
            <v>35000</v>
          </cell>
          <cell r="J329">
            <v>5000</v>
          </cell>
          <cell r="K329">
            <v>40000</v>
          </cell>
          <cell r="L329">
            <v>4000</v>
          </cell>
          <cell r="M329">
            <v>5000</v>
          </cell>
          <cell r="O329" t="str">
            <v>-</v>
          </cell>
          <cell r="P329">
            <v>40000</v>
          </cell>
        </row>
        <row r="330">
          <cell r="C330" t="str">
            <v>D0824-TSW-015</v>
          </cell>
          <cell r="D330" t="str">
            <v>3 &amp; 6 Wholesale</v>
          </cell>
          <cell r="E330" t="str">
            <v>ပန်းအိ</v>
          </cell>
          <cell r="F330" t="str">
            <v>09-669695058</v>
          </cell>
          <cell r="G330" t="str">
            <v>သင်္ဃန်းကျွန်း</v>
          </cell>
          <cell r="H330" t="str">
            <v>အမှတ် (၁၀၈)၊ လေးထောင့်ကန် (၃) လမ်းရိပ်သာလမ်း၊ သင်္ဃန်းကျွန်းမြို့နယ်</v>
          </cell>
          <cell r="I330">
            <v>20000</v>
          </cell>
          <cell r="J330">
            <v>4000</v>
          </cell>
          <cell r="K330">
            <v>24000</v>
          </cell>
          <cell r="L330">
            <v>4000</v>
          </cell>
          <cell r="M330">
            <v>4000</v>
          </cell>
          <cell r="O330" t="str">
            <v>-</v>
          </cell>
          <cell r="P330">
            <v>24000</v>
          </cell>
        </row>
        <row r="331">
          <cell r="C331" t="str">
            <v>D0831-KAL-346</v>
          </cell>
          <cell r="D331" t="str">
            <v>ခင့်အလှူ</v>
          </cell>
          <cell r="E331" t="str">
            <v>Nwe Ni Win</v>
          </cell>
          <cell r="F331" t="str">
            <v>09-941442893</v>
          </cell>
          <cell r="G331" t="str">
            <v>သင်္ဃန်းကျွန်း</v>
          </cell>
          <cell r="H331" t="str">
            <v>အမှတ် (83A)၊ သစ်ယာပတ်လမ်းသွယ် (၃)၊ ဗိုလ်ချုပ်ရွာ၊ သုဝဏ္ဏ၊ သင်္ဃန်းကျွန်းမြို့နယ်</v>
          </cell>
          <cell r="I331">
            <v>85000</v>
          </cell>
          <cell r="J331">
            <v>4000</v>
          </cell>
          <cell r="K331">
            <v>89000</v>
          </cell>
          <cell r="L331">
            <v>4000</v>
          </cell>
          <cell r="M331">
            <v>4000</v>
          </cell>
          <cell r="O331">
            <v>2500</v>
          </cell>
          <cell r="P331">
            <v>91500</v>
          </cell>
        </row>
        <row r="332">
          <cell r="C332" t="str">
            <v>D0901-TSW-053</v>
          </cell>
          <cell r="D332" t="str">
            <v>3 &amp; 6 Wholesale</v>
          </cell>
          <cell r="E332" t="str">
            <v>မတင်တင်နွယ်</v>
          </cell>
          <cell r="F332" t="str">
            <v>09-759988108</v>
          </cell>
          <cell r="G332" t="str">
            <v>သင်္ဃန်းကျွန်း</v>
          </cell>
          <cell r="H332" t="str">
            <v>ရန်ငြိမ်းလမ်း၊ ဘဝမြင့်၊ (အ.ထ.က (၄) ကျောင်းအနီး)၊ သင်္ဃန်းကျွန်းမြို့နယ်</v>
          </cell>
          <cell r="I332">
            <v>45000</v>
          </cell>
          <cell r="J332">
            <v>4000</v>
          </cell>
          <cell r="K332">
            <v>49000</v>
          </cell>
          <cell r="L332">
            <v>4000</v>
          </cell>
          <cell r="M332">
            <v>4000</v>
          </cell>
          <cell r="O332" t="str">
            <v>-</v>
          </cell>
          <cell r="P332">
            <v>49000</v>
          </cell>
        </row>
        <row r="333">
          <cell r="C333" t="str">
            <v>D0901-KAL-112</v>
          </cell>
          <cell r="D333" t="str">
            <v>ခင့်အလှူ</v>
          </cell>
          <cell r="E333" t="str">
            <v>Aye Aye Khaing</v>
          </cell>
          <cell r="F333" t="str">
            <v>09-678902932</v>
          </cell>
          <cell r="G333" t="str">
            <v>သင်္ဃန်းကျွန်း</v>
          </cell>
          <cell r="H333" t="str">
            <v>သုဝဏ္ဏဘောဂလမ်း၊ (ဘုရားကျောင်းရှေ့)၊ သင်္ဃန်းကျွန်းမြို့နယ်</v>
          </cell>
          <cell r="I333">
            <v>29700</v>
          </cell>
          <cell r="J333">
            <v>5000</v>
          </cell>
          <cell r="K333">
            <v>34700</v>
          </cell>
          <cell r="L333">
            <v>4000</v>
          </cell>
          <cell r="M333">
            <v>5000</v>
          </cell>
          <cell r="O333" t="str">
            <v>-</v>
          </cell>
          <cell r="P333">
            <v>34700</v>
          </cell>
        </row>
        <row r="334">
          <cell r="C334" t="str">
            <v>D0902-KAL-115</v>
          </cell>
          <cell r="D334" t="str">
            <v>ခင့်အလှူ</v>
          </cell>
          <cell r="E334" t="str">
            <v>Hnin Nu</v>
          </cell>
          <cell r="F334" t="str">
            <v>09-973060727</v>
          </cell>
          <cell r="G334" t="str">
            <v>သင်္ဃန်းကျွန်း</v>
          </cell>
          <cell r="H334" t="str">
            <v>ဇမ္ဗူသီရိ၊ တိုက် (၂)၊ သင်္ဃန်းကျွန်းဘုရားလမ်း၊ သင်္ဃန်းကျွန်းမြို့နယ်</v>
          </cell>
          <cell r="I334">
            <v>49500</v>
          </cell>
          <cell r="J334">
            <v>4000</v>
          </cell>
          <cell r="K334">
            <v>53500</v>
          </cell>
          <cell r="L334">
            <v>4000</v>
          </cell>
          <cell r="M334">
            <v>4000</v>
          </cell>
          <cell r="O334" t="str">
            <v>-</v>
          </cell>
          <cell r="P334">
            <v>53500</v>
          </cell>
        </row>
        <row r="335">
          <cell r="C335" t="str">
            <v>D0901-KAL-114</v>
          </cell>
          <cell r="D335" t="str">
            <v>ခင့်အလှူ</v>
          </cell>
          <cell r="E335" t="str">
            <v>Ni Ni Win</v>
          </cell>
          <cell r="F335" t="str">
            <v>09-5141838</v>
          </cell>
          <cell r="G335" t="str">
            <v>သာကေတ</v>
          </cell>
          <cell r="H335" t="str">
            <v>အမှတ် (၃၄၅)၊ သုမန (၁) လမ်း၊ သာကေတမြို့နယ်</v>
          </cell>
          <cell r="I335">
            <v>27500</v>
          </cell>
          <cell r="J335">
            <v>5000</v>
          </cell>
          <cell r="K335">
            <v>32500</v>
          </cell>
          <cell r="L335">
            <v>4000</v>
          </cell>
          <cell r="M335">
            <v>5000</v>
          </cell>
          <cell r="O335" t="str">
            <v>-</v>
          </cell>
          <cell r="P335">
            <v>32500</v>
          </cell>
        </row>
        <row r="336">
          <cell r="C336" t="str">
            <v>D0902-LOS-192</v>
          </cell>
          <cell r="D336" t="str">
            <v>Lady OS</v>
          </cell>
          <cell r="E336" t="str">
            <v>Pan Dora /မချောချော</v>
          </cell>
          <cell r="F336" t="str">
            <v>09-962222488</v>
          </cell>
          <cell r="G336" t="str">
            <v>အင်းစိန်</v>
          </cell>
          <cell r="H336" t="str">
    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    </cell>
          <cell r="I336">
            <v>152100</v>
          </cell>
          <cell r="J336" t="str">
            <v>-</v>
          </cell>
          <cell r="K336">
            <v>152100</v>
          </cell>
          <cell r="L336">
            <v>4000</v>
          </cell>
          <cell r="M336" t="str">
            <v>-</v>
          </cell>
          <cell r="N336">
            <v>5</v>
          </cell>
          <cell r="O336">
            <v>1000</v>
          </cell>
          <cell r="P336">
            <v>153100</v>
          </cell>
        </row>
        <row r="337">
          <cell r="C337" t="str">
            <v>D0904-BBW-062</v>
          </cell>
          <cell r="D337" t="str">
            <v>Baby World</v>
          </cell>
          <cell r="E337" t="str">
            <v>Eaint Furniture</v>
          </cell>
          <cell r="F337" t="str">
            <v>09-797175073</v>
          </cell>
          <cell r="G337" t="str">
            <v>အရှေ့ဒဂုံ</v>
          </cell>
          <cell r="H337" t="str">
            <v>အမှတ် (၁၀၄၁)၊ ထိပ်တင်မှတ်လမ်းမ၊ (၁) ရပ်ကွက်၊ (မြောက်ဒဂုံ (၄၆) လမ်းဆုံအနီး)၊ အရှေ့ဒဂုံမြို့နယ်</v>
          </cell>
          <cell r="I337">
            <v>156000</v>
          </cell>
          <cell r="J337">
            <v>4000</v>
          </cell>
          <cell r="K337">
            <v>160000</v>
          </cell>
          <cell r="L337">
            <v>4000</v>
          </cell>
          <cell r="M337">
            <v>4000</v>
          </cell>
          <cell r="O337" t="str">
            <v>-</v>
          </cell>
          <cell r="P337">
            <v>160000</v>
          </cell>
        </row>
        <row r="338">
          <cell r="C338" t="str">
            <v>D0904-KAL-100</v>
          </cell>
          <cell r="D338" t="str">
            <v>ခင့်အလှူ</v>
          </cell>
          <cell r="E338" t="str">
            <v>Daw Hla Hla Htay</v>
          </cell>
          <cell r="F338" t="str">
            <v>09-782054172</v>
          </cell>
          <cell r="G338" t="str">
            <v>အရှေ့ဒဂုံ</v>
          </cell>
          <cell r="H338" t="str">
            <v>ကြိုးကြာ (၂) လမ်း၊ (၆) ရပ်ကွက်၊ အရှေ့ဒဂုံမြို့နယ်</v>
          </cell>
          <cell r="I338">
            <v>34000</v>
          </cell>
          <cell r="J338">
            <v>4000</v>
          </cell>
          <cell r="K338">
            <v>38000</v>
          </cell>
          <cell r="L338">
            <v>4000</v>
          </cell>
          <cell r="M338">
            <v>4000</v>
          </cell>
          <cell r="O338" t="str">
            <v>-</v>
          </cell>
          <cell r="P338">
            <v>38000</v>
          </cell>
        </row>
        <row r="339">
          <cell r="C339" t="str">
            <v>D0904-GGS-228</v>
          </cell>
          <cell r="D339" t="str">
            <v>The Gadget Store</v>
          </cell>
          <cell r="E339" t="str">
            <v>Thoon Thiri Kyal Sin</v>
          </cell>
          <cell r="F339" t="str">
            <v>09-455877599</v>
          </cell>
          <cell r="G339" t="str">
            <v>အရှေ့ဒဂုံ</v>
          </cell>
          <cell r="H339" t="str">
            <v>အမှတ် (984B)၊ အောင်ရတနာလမ်း၊ (၇) ရပ်ကွက်၊ အရှေ့ဒဂုံမြို့နယ်</v>
          </cell>
          <cell r="I339">
            <v>22000</v>
          </cell>
          <cell r="J339">
            <v>4000</v>
          </cell>
          <cell r="K339">
            <v>26000</v>
          </cell>
          <cell r="L339">
            <v>4000</v>
          </cell>
          <cell r="M339">
            <v>4000</v>
          </cell>
          <cell r="O339" t="str">
            <v>-</v>
          </cell>
          <cell r="P339">
            <v>26000</v>
          </cell>
        </row>
        <row r="340">
          <cell r="C340" t="str">
            <v>D0904-GGS-236</v>
          </cell>
          <cell r="D340" t="str">
            <v>The Gadget Store</v>
          </cell>
          <cell r="E340" t="str">
            <v>Nyx</v>
          </cell>
          <cell r="F340" t="str">
            <v>09-974174509</v>
          </cell>
          <cell r="G340" t="str">
            <v>အရှေ့ဒဂုံ</v>
          </cell>
          <cell r="H340" t="str">
            <v>ရွှေနဝင်းအိမ်ခြံမြေ၊ နဝဒေးလမ်း၊ (၁၂၅) ရပ်ကွက်၊ အရှေ့ဒဂုံမြို့နယ်</v>
          </cell>
          <cell r="I340">
            <v>96500</v>
          </cell>
          <cell r="J340">
            <v>4000</v>
          </cell>
          <cell r="K340">
            <v>100500</v>
          </cell>
          <cell r="L340">
            <v>4000</v>
          </cell>
          <cell r="M340">
            <v>4000</v>
          </cell>
          <cell r="O340" t="str">
            <v>-</v>
          </cell>
          <cell r="P340">
            <v>100500</v>
          </cell>
        </row>
        <row r="341">
          <cell r="C341" t="str">
            <v>D0904-PYT-356</v>
          </cell>
          <cell r="D341" t="str">
            <v>ပုရစ်ကလေး</v>
          </cell>
          <cell r="E341" t="str">
            <v>Moh Moh</v>
          </cell>
          <cell r="F341" t="str">
            <v>09-770056600</v>
          </cell>
          <cell r="G341" t="str">
            <v>အရှေ့ဒဂုံ</v>
          </cell>
          <cell r="H341" t="str">
            <v>Theint Skincare၊ မင်းရဲကျော်စွာလမ်းမကြီး၊ (၁၂၅) ရပ်ကွက်၊ ((၃၆) ဂိတ်ဟောင်းမှတ်တိုင်)၊ အရှေ့ဒဂုံမြို့နယ်</v>
          </cell>
          <cell r="I341">
            <v>10500</v>
          </cell>
          <cell r="J341">
            <v>4000</v>
          </cell>
          <cell r="K341">
            <v>14500</v>
          </cell>
          <cell r="L341">
            <v>4000</v>
          </cell>
          <cell r="M341">
            <v>4000</v>
          </cell>
          <cell r="N341">
            <v>6</v>
          </cell>
          <cell r="O341">
            <v>1500</v>
          </cell>
          <cell r="P341">
            <v>16000</v>
          </cell>
        </row>
        <row r="342">
          <cell r="C342" t="str">
            <v>D0904-OTH-414</v>
          </cell>
          <cell r="D342" t="str">
            <v>Other</v>
          </cell>
          <cell r="E342" t="str">
            <v>Tsukki Fashion</v>
          </cell>
          <cell r="F342" t="str">
            <v>09-774100740</v>
          </cell>
          <cell r="G342" t="str">
            <v>အရှေ့ဒဂုံ</v>
          </cell>
          <cell r="H342" t="str">
            <v>အမှတ် (၉၀၂)၊ ခွာညိုလမ်း၊ (၈) ရပ်ကွက်၊ အရှေ့ဒဂုံမြို့နယ်</v>
          </cell>
          <cell r="I342" t="str">
            <v>-</v>
          </cell>
          <cell r="J342">
            <v>4000</v>
          </cell>
          <cell r="K342">
            <v>4000</v>
          </cell>
          <cell r="L342">
            <v>4000</v>
          </cell>
          <cell r="M342">
            <v>4000</v>
          </cell>
          <cell r="O342" t="str">
            <v>-</v>
          </cell>
          <cell r="P342">
            <v>4000</v>
          </cell>
        </row>
        <row r="343">
          <cell r="C343" t="str">
            <v>D0831-KAL-113</v>
          </cell>
          <cell r="D343" t="str">
            <v>ခင့်အလှူ</v>
          </cell>
          <cell r="E343" t="str">
            <v>Ma Khaing</v>
          </cell>
          <cell r="F343" t="str">
            <v>09-254118096</v>
          </cell>
          <cell r="G343" t="str">
            <v>အရှေ့ဒဂုံ</v>
          </cell>
          <cell r="H343" t="str">
            <v>တက္ကသိုလ်ရိပ်မွန်၊ အမှတ် (B-1/304)၊ ချယ်ရီလမ်းသွယ် (၂)၊ အရှေ့ဒဂုံမြို့နယ်</v>
          </cell>
          <cell r="I343">
            <v>18000</v>
          </cell>
          <cell r="J343">
            <v>4000</v>
          </cell>
          <cell r="K343">
            <v>22000</v>
          </cell>
          <cell r="L343">
            <v>4000</v>
          </cell>
          <cell r="M343">
            <v>4000</v>
          </cell>
          <cell r="O343" t="str">
            <v>-</v>
          </cell>
          <cell r="P343">
            <v>22000</v>
          </cell>
        </row>
        <row r="344">
          <cell r="C344" t="str">
            <v>D0902-KAL-111</v>
          </cell>
          <cell r="D344" t="str">
            <v>ခင့်အလှူ</v>
          </cell>
          <cell r="E344" t="str">
            <v>Swe Swe</v>
          </cell>
          <cell r="F344" t="str">
            <v>09-269775773</v>
          </cell>
          <cell r="G344" t="str">
            <v>အရှေ့ဒဂုံ</v>
          </cell>
          <cell r="H344" t="str">
            <v>အမှတ် (968B)၊ မြေတိုင်း (၃) လမ်း၊ (၁၃) ရပ်ကွက်၊ အရှေ့ဒဂုံမြို့နယ်</v>
          </cell>
          <cell r="I344">
            <v>29700</v>
          </cell>
          <cell r="J344">
            <v>5000</v>
          </cell>
          <cell r="K344">
            <v>34700</v>
          </cell>
          <cell r="L344">
            <v>4000</v>
          </cell>
          <cell r="M344">
            <v>5000</v>
          </cell>
          <cell r="O344" t="str">
            <v>-</v>
          </cell>
          <cell r="P344">
            <v>34700</v>
          </cell>
        </row>
        <row r="345">
          <cell r="C345" t="str">
            <v>D0903-GGS-141</v>
          </cell>
          <cell r="D345" t="str">
            <v>The Gadget Store</v>
          </cell>
          <cell r="E345" t="str">
            <v>Ei Hnin Phyu</v>
          </cell>
          <cell r="F345" t="str">
            <v>09-699064982</v>
          </cell>
          <cell r="G345" t="str">
            <v>အရှေ့ဒဂုံ</v>
          </cell>
          <cell r="H345" t="str">
            <v>ဒဂုံတက္ကသိုလ်၊ အရှေ့ဒဂုံမြို့နယ်</v>
          </cell>
          <cell r="I345" t="str">
            <v>-</v>
          </cell>
          <cell r="J345">
            <v>4000</v>
          </cell>
          <cell r="K345">
            <v>4000</v>
          </cell>
          <cell r="L345">
            <v>4000</v>
          </cell>
          <cell r="M345">
            <v>4000</v>
          </cell>
          <cell r="O345" t="str">
            <v>-</v>
          </cell>
          <cell r="P345">
            <v>4000</v>
          </cell>
        </row>
        <row r="346">
          <cell r="C346" t="str">
            <v>D0904-BBW-034</v>
          </cell>
          <cell r="D346" t="str">
            <v>Baby World</v>
          </cell>
          <cell r="E346" t="str">
            <v>မထက်</v>
          </cell>
          <cell r="F346" t="str">
            <v>09-425328127</v>
          </cell>
          <cell r="H346" t="str">
            <v>အမှတ် (၁၀၁)၊ ပထမထပ်၊ ဦးစံညွန့်လမ်း</v>
          </cell>
          <cell r="I346" t="str">
            <v>-</v>
          </cell>
          <cell r="J346" t="str">
            <v>-</v>
          </cell>
          <cell r="K346" t="str">
            <v>-</v>
          </cell>
          <cell r="M346" t="str">
            <v>-</v>
          </cell>
          <cell r="O346" t="str">
            <v>-</v>
          </cell>
          <cell r="P346" t="str">
            <v>-</v>
          </cell>
        </row>
        <row r="347">
          <cell r="C347" t="str">
            <v>D0904-GGS-160</v>
          </cell>
          <cell r="D347" t="str">
            <v>The Gadget Store</v>
          </cell>
          <cell r="E347" t="str">
            <v>Thune Thiri Htut</v>
          </cell>
          <cell r="F347" t="str">
            <v>09-799699894</v>
          </cell>
          <cell r="I347">
            <v>20500</v>
          </cell>
          <cell r="J347">
            <v>6000</v>
          </cell>
          <cell r="K347">
            <v>26500</v>
          </cell>
          <cell r="M347">
            <v>6000</v>
          </cell>
          <cell r="O347" t="str">
            <v>-</v>
          </cell>
          <cell r="P347">
            <v>26500</v>
          </cell>
        </row>
        <row r="348">
          <cell r="C348" t="str">
            <v>D0831-KSC-175</v>
          </cell>
          <cell r="D348" t="str">
            <v>KS Cosmetic</v>
          </cell>
          <cell r="E348" t="str">
            <v>Daw Ei Pyae</v>
          </cell>
          <cell r="F348" t="str">
            <v>09-782228768</v>
          </cell>
          <cell r="H348" t="str">
            <v>ဦးဗိုလ်ဗိုလ်ထွန်း၊ ပြည်တော်သာလမ်း၊ (၃) ရပ်ကွက်</v>
          </cell>
          <cell r="I348">
            <v>81500</v>
          </cell>
          <cell r="J348">
            <v>4000</v>
          </cell>
          <cell r="K348">
            <v>85500</v>
          </cell>
          <cell r="M348">
            <v>4000</v>
          </cell>
          <cell r="N348" t="str">
            <v>-</v>
          </cell>
          <cell r="O348">
            <v>85500</v>
          </cell>
        </row>
        <row r="349">
          <cell r="C349" t="str">
            <v>D0904-BLC-370</v>
          </cell>
          <cell r="D349" t="str">
            <v>Billionaire Clothing</v>
          </cell>
          <cell r="E349" t="str">
            <v>မခိုင်ခိုင်</v>
          </cell>
          <cell r="F349" t="str">
            <v>09-762224688</v>
          </cell>
          <cell r="G349" t="str">
            <v>Royal</v>
          </cell>
          <cell r="H349" t="str">
            <v>ဦးမှန်လမ်း၊ (၁၃) ရပ်ကွက်၊ တောင်ငူ</v>
          </cell>
          <cell r="I349">
            <v>577200</v>
          </cell>
          <cell r="J349">
            <v>5000</v>
          </cell>
          <cell r="K349">
            <v>582200</v>
          </cell>
          <cell r="L349" t="str">
            <v>-</v>
          </cell>
          <cell r="M349">
            <v>5000</v>
          </cell>
          <cell r="N349">
            <v>11</v>
          </cell>
          <cell r="O349">
            <v>4000</v>
          </cell>
          <cell r="P349">
            <v>586200</v>
          </cell>
        </row>
        <row r="350">
          <cell r="C350" t="str">
            <v>D0904-GGS-195</v>
          </cell>
          <cell r="D350" t="str">
            <v>The Gadget Store</v>
          </cell>
          <cell r="E350" t="str">
            <v>Steohanie</v>
          </cell>
          <cell r="F350" t="str">
            <v>09-881977421</v>
          </cell>
          <cell r="G350" t="str">
            <v>Royal</v>
          </cell>
          <cell r="H350" t="str">
            <v>(တောင်ပေါ်)၊ မိုင်းရှူး</v>
          </cell>
          <cell r="I350">
            <v>38500</v>
          </cell>
          <cell r="J350">
            <v>5000</v>
          </cell>
          <cell r="K350">
            <v>43500</v>
          </cell>
          <cell r="M350">
            <v>5000</v>
          </cell>
          <cell r="O350" t="str">
            <v>-</v>
          </cell>
          <cell r="P350">
            <v>43500</v>
          </cell>
        </row>
        <row r="351">
          <cell r="C351" t="str">
            <v>D0901-GRS-004</v>
          </cell>
          <cell r="D351" t="str">
            <v>GRS Express</v>
          </cell>
          <cell r="E351" t="str">
            <v>Zin Mar Myint</v>
          </cell>
          <cell r="F351" t="str">
            <v>09-783439410</v>
          </cell>
          <cell r="G351" t="str">
            <v>တာမွေ</v>
          </cell>
          <cell r="H351" t="str">
            <v>(၆၅) လမ်း (လမ်းရှည်)၊ (SSS ဂျင်အနီး)၊ တာမွေမြို့နယ်</v>
          </cell>
          <cell r="I351">
            <v>36000</v>
          </cell>
          <cell r="J351" t="str">
            <v>-</v>
          </cell>
          <cell r="K351">
            <v>36000</v>
          </cell>
          <cell r="L351">
            <v>4000</v>
          </cell>
          <cell r="M351" t="str">
            <v>-</v>
          </cell>
          <cell r="O351" t="str">
            <v>-</v>
          </cell>
          <cell r="P351">
            <v>36000</v>
          </cell>
        </row>
        <row r="352">
          <cell r="C352" t="str">
            <v>D0901-GRS-018</v>
          </cell>
          <cell r="D352" t="str">
            <v>GRS Express</v>
          </cell>
          <cell r="E352" t="str">
            <v>Thet Thet Swe</v>
          </cell>
          <cell r="F352" t="str">
            <v>09-420029327</v>
          </cell>
          <cell r="G352" t="str">
            <v>တာမွေ</v>
          </cell>
          <cell r="H352" t="str">
            <v>Sweety Home Living Mall (အရှေ့)၊ မြင်းပြိုင်ကွင်းလမ်း၊ မာန်အောင်ရပ်ကွက်၊ တာမွေမြို့နယ်</v>
          </cell>
          <cell r="I352">
            <v>50000</v>
          </cell>
          <cell r="J352" t="str">
            <v>-</v>
          </cell>
          <cell r="K352">
            <v>50000</v>
          </cell>
          <cell r="L352">
            <v>4000</v>
          </cell>
          <cell r="M352" t="str">
            <v>-</v>
          </cell>
          <cell r="O352" t="str">
            <v>-</v>
          </cell>
          <cell r="P352">
            <v>50000</v>
          </cell>
        </row>
        <row r="353">
          <cell r="C353" t="str">
            <v>D0901-FFY-029</v>
          </cell>
          <cell r="D353" t="str">
            <v>Food For U</v>
          </cell>
          <cell r="E353" t="str">
            <v>Ma Thae Su Khaing</v>
          </cell>
          <cell r="F353" t="str">
            <v>09-881080200</v>
          </cell>
          <cell r="G353" t="str">
            <v>လှိုင်သာယာ</v>
          </cell>
          <cell r="H353" t="str">
            <v>ခိုင်လေးစတိုးဆိုင်၊ ဆရာစံလမ်း၊ (၂၀) ရပ်ကွက်၊ ဝေပုလ္လ (၇) လမ်းအကျော်၊ ((၈၆) ဂိတ်ဟောင်း)၊ လှိုင်သာယာမြို့နယ်</v>
          </cell>
          <cell r="I353">
            <v>98000</v>
          </cell>
          <cell r="J353">
            <v>4500</v>
          </cell>
          <cell r="K353">
            <v>102500</v>
          </cell>
          <cell r="L353">
            <v>4500</v>
          </cell>
          <cell r="M353">
            <v>4500</v>
          </cell>
          <cell r="O353" t="str">
            <v>-</v>
          </cell>
          <cell r="P353">
            <v>102500</v>
          </cell>
        </row>
        <row r="354">
          <cell r="C354" t="str">
            <v>D0901-FFY-031</v>
          </cell>
          <cell r="D354" t="str">
            <v>Food For U</v>
          </cell>
          <cell r="E354" t="str">
            <v>Jaiden</v>
          </cell>
          <cell r="F354" t="str">
            <v>09-951102102</v>
          </cell>
          <cell r="G354" t="str">
            <v>လှိုင်သာယာ</v>
          </cell>
          <cell r="H354" t="str">
            <v>တော်ဝင်နှင်းဆီအိမ်ရာ၊ ရွှေလင်ပန်း၊ လှိုင်သာယာမြို့နယ်</v>
          </cell>
          <cell r="I354">
            <v>39000</v>
          </cell>
          <cell r="J354">
            <v>4000</v>
          </cell>
          <cell r="K354">
            <v>43000</v>
          </cell>
          <cell r="L354">
            <v>4500</v>
          </cell>
          <cell r="M354">
            <v>4500</v>
          </cell>
          <cell r="O354" t="str">
            <v>-</v>
          </cell>
          <cell r="P354">
            <v>43500</v>
          </cell>
        </row>
        <row r="355">
          <cell r="C355" t="str">
            <v>D0901-TSW-052</v>
          </cell>
          <cell r="D355" t="str">
            <v>3 &amp; 6 Wholesale</v>
          </cell>
          <cell r="E355" t="str">
            <v>အိအိစိုး</v>
          </cell>
          <cell r="F355" t="str">
            <v>09-791468691</v>
          </cell>
          <cell r="G355" t="str">
            <v>လှိုင်</v>
          </cell>
          <cell r="H355" t="str">
            <v>သုခ (၅၁) လမ်း နှင့် (ဃ) လမ်း၊ (၆) ရပ်ကွက်၊ (သုခကွန်ဒိုရှေ့)၊ လှိုင်မြို့နယ်</v>
          </cell>
          <cell r="I355">
            <v>79000</v>
          </cell>
          <cell r="J355" t="str">
            <v>-</v>
          </cell>
          <cell r="K355">
            <v>79000</v>
          </cell>
          <cell r="L355">
            <v>4000</v>
          </cell>
          <cell r="M355" t="str">
            <v>-</v>
          </cell>
          <cell r="N355">
            <v>7</v>
          </cell>
          <cell r="O355">
            <v>7000</v>
          </cell>
          <cell r="P355">
            <v>86000</v>
          </cell>
        </row>
        <row r="356">
          <cell r="C356" t="str">
            <v>D0901-KAL-076</v>
          </cell>
          <cell r="D356" t="str">
            <v>ခင့်အလှူ</v>
          </cell>
          <cell r="E356" t="str">
            <v>Thi Dar Htin Lin</v>
          </cell>
          <cell r="F356" t="str">
            <v>09-762150014
 09-766095195</v>
          </cell>
          <cell r="G356" t="str">
            <v>တာမွေ</v>
          </cell>
          <cell r="H356" t="str">
            <v>ကန်တော်ကြီးတာဝါ၊ အခန်း (၆၀၃)၊ (၆) လွှာ၊ (၁၃၂) လမ်းထိပ်၊ တာမွေမြို့နယ်</v>
          </cell>
          <cell r="I356">
            <v>57200</v>
          </cell>
          <cell r="J356">
            <v>5000</v>
          </cell>
          <cell r="K356">
            <v>62200</v>
          </cell>
          <cell r="L356">
            <v>4000</v>
          </cell>
          <cell r="M356">
            <v>5000</v>
          </cell>
          <cell r="O356" t="str">
            <v>-</v>
          </cell>
          <cell r="P356">
            <v>62200</v>
          </cell>
        </row>
        <row r="357">
          <cell r="C357" t="str">
            <v>D0901-KAL-077</v>
          </cell>
          <cell r="D357" t="str">
            <v>ခင့်အလှူ</v>
          </cell>
          <cell r="E357" t="str">
            <v>Daw San Nu</v>
          </cell>
          <cell r="F357" t="str">
            <v>09-972400447</v>
          </cell>
          <cell r="G357" t="str">
            <v>ဗဟန်း</v>
          </cell>
          <cell r="H357" t="str">
            <v>အမှတ် (10A/4)၊ ရေတာရှည်လမ်းသစ်၊ ဗဟန်းမြို့နယ်</v>
          </cell>
          <cell r="I357">
            <v>46700</v>
          </cell>
          <cell r="J357">
            <v>5000</v>
          </cell>
          <cell r="K357">
            <v>51700</v>
          </cell>
          <cell r="L357">
            <v>4000</v>
          </cell>
          <cell r="M357">
            <v>5000</v>
          </cell>
          <cell r="O357" t="str">
            <v>-</v>
          </cell>
          <cell r="P357">
            <v>51700</v>
          </cell>
        </row>
        <row r="358">
          <cell r="C358" t="str">
            <v>D0901-KAL-102</v>
          </cell>
          <cell r="D358" t="str">
            <v>ခင့်အလှူ</v>
          </cell>
          <cell r="E358" t="str">
            <v>Moe Moe Moe</v>
          </cell>
          <cell r="F358" t="str">
            <v>09-264816147</v>
          </cell>
          <cell r="G358" t="str">
            <v>လှိုင်သာယာ</v>
          </cell>
          <cell r="H358" t="str">
            <v>လှိုင်သာယာမြို့နယ်</v>
          </cell>
          <cell r="I358">
            <v>50700</v>
          </cell>
          <cell r="J358">
            <v>5500</v>
          </cell>
          <cell r="K358">
            <v>56200</v>
          </cell>
          <cell r="L358">
            <v>4500</v>
          </cell>
          <cell r="M358">
            <v>5500</v>
          </cell>
          <cell r="O358" t="str">
            <v>-</v>
          </cell>
          <cell r="P358">
            <v>56200</v>
          </cell>
        </row>
        <row r="359">
          <cell r="C359" t="str">
            <v>D0901-KAL-104</v>
          </cell>
          <cell r="D359" t="str">
            <v>ခင့်အလှူ</v>
          </cell>
          <cell r="E359" t="str">
            <v>Mahar Aung Myin</v>
          </cell>
          <cell r="F359" t="str">
            <v>09-684980375</v>
          </cell>
          <cell r="G359" t="str">
            <v>မင်္ဂလာဒုံ</v>
          </cell>
          <cell r="H359" t="str">
            <v>အမှတ် (B-27)၊ ရဲရိပ်သာလမ်း၊ ကြံခင်းစု၊ မင်္ဂလာဒုံမြို့နယ်</v>
          </cell>
          <cell r="I359">
            <v>29700</v>
          </cell>
          <cell r="J359">
            <v>5500</v>
          </cell>
          <cell r="K359">
            <v>35200</v>
          </cell>
          <cell r="L359">
            <v>4500</v>
          </cell>
          <cell r="M359">
            <v>5500</v>
          </cell>
          <cell r="O359" t="str">
            <v>-</v>
          </cell>
          <cell r="P359">
            <v>35200</v>
          </cell>
        </row>
        <row r="360">
          <cell r="C360" t="str">
            <v>D0901-UQD-140</v>
          </cell>
          <cell r="D360" t="str">
            <v>Unique/Diva</v>
          </cell>
          <cell r="E360" t="str">
            <v>Cherry Ei Mon San</v>
          </cell>
          <cell r="F360" t="str">
            <v>09-974449949</v>
          </cell>
          <cell r="G360" t="str">
            <v>ဗိုလ်တထောင်</v>
          </cell>
          <cell r="H360" t="str">
            <v>အမှတ် (၂၅၉)၊ ဗိုလ်မြတ်ထွန်းလမ်း၊ အပေါ်ဘလောက်၊ ဗိုလ်တထောင်မြို့နယ်</v>
          </cell>
          <cell r="I360">
            <v>109200</v>
          </cell>
          <cell r="J360">
            <v>4000</v>
          </cell>
          <cell r="K360">
            <v>113200</v>
          </cell>
          <cell r="L360">
            <v>4000</v>
          </cell>
          <cell r="M360">
            <v>4000</v>
          </cell>
          <cell r="O360" t="str">
            <v>-</v>
          </cell>
          <cell r="P360">
            <v>113200</v>
          </cell>
        </row>
        <row r="361">
          <cell r="C361" t="str">
            <v>D0901-KSC-233</v>
          </cell>
          <cell r="D361" t="str">
            <v>KS Cosmetic</v>
          </cell>
          <cell r="E361" t="str">
            <v>Lucky Money</v>
          </cell>
          <cell r="F361" t="str">
            <v>09-697896198</v>
          </cell>
          <cell r="G361" t="str">
            <v>မြောက်ဥက္ကလာပ</v>
          </cell>
          <cell r="H361" t="str">
            <v>အမှတ် (၈၆၂)၊ နွယ်သာဂီ (၂) လမ်း (အရှေ့ခြမ်း)၊ (က) ရပ်ကွက်၊ မြောက်ဥက္ကလာပမြို့နယ်</v>
          </cell>
          <cell r="I361">
            <v>39500</v>
          </cell>
          <cell r="J361">
            <v>4500</v>
          </cell>
          <cell r="K361">
            <v>44000</v>
          </cell>
          <cell r="L361">
            <v>4500</v>
          </cell>
          <cell r="M361">
            <v>4500</v>
          </cell>
          <cell r="O361" t="str">
            <v>-</v>
          </cell>
          <cell r="P361">
            <v>44000</v>
          </cell>
        </row>
        <row r="362">
          <cell r="C362" t="str">
            <v>D0901-KSC-238</v>
          </cell>
          <cell r="D362" t="str">
            <v>KS Cosmetic</v>
          </cell>
          <cell r="E362" t="str">
            <v>မရတနာ</v>
          </cell>
          <cell r="F362" t="str">
            <v>09-769275029</v>
          </cell>
          <cell r="G362" t="str">
            <v>လှိုင်သာယာ</v>
          </cell>
          <cell r="H362" t="str">
            <v>တိုက် (162B)၊ ထီးလှိုင်ရှင်အိမ်ရာ (အပြင်ဘက်)၊ (လှိုင်သာယာရုံးရှေ့)၊ လှိုင်သာယာမြို့နယ်</v>
          </cell>
          <cell r="I362">
            <v>79000</v>
          </cell>
          <cell r="J362">
            <v>4500</v>
          </cell>
          <cell r="K362">
            <v>83500</v>
          </cell>
          <cell r="L362">
            <v>4500</v>
          </cell>
          <cell r="M362">
            <v>4500</v>
          </cell>
          <cell r="O362" t="str">
            <v>-</v>
          </cell>
          <cell r="P362">
            <v>83500</v>
          </cell>
        </row>
        <row r="363">
          <cell r="C363" t="str">
            <v>D0901-KSC-299</v>
          </cell>
          <cell r="D363" t="str">
            <v>KS Cosmetic</v>
          </cell>
          <cell r="E363" t="str">
            <v>မေမျိုးထွန်း</v>
          </cell>
          <cell r="F363" t="str">
            <v>09-446428086</v>
          </cell>
          <cell r="G363" t="str">
            <v>ပန်းဘဲတန်း</v>
          </cell>
          <cell r="H363" t="str">
            <v>အနော်ရထာလမ်း နှင့် ကုန်ဈေးတန်းလမ်းထိပ်၊ ပန်းဘဲတန်းမြို့နယ်</v>
          </cell>
          <cell r="I363">
            <v>39500</v>
          </cell>
          <cell r="J363">
            <v>4000</v>
          </cell>
          <cell r="K363">
            <v>43500</v>
          </cell>
          <cell r="L363">
            <v>4000</v>
          </cell>
          <cell r="M363">
            <v>4000</v>
          </cell>
          <cell r="O363" t="str">
            <v>-</v>
          </cell>
          <cell r="P363">
            <v>43500</v>
          </cell>
        </row>
        <row r="364">
          <cell r="C364" t="str">
            <v>D0901-KSC-306</v>
          </cell>
          <cell r="D364" t="str">
            <v>KS Cosmetic</v>
          </cell>
          <cell r="E364" t="str">
            <v>Sh</v>
          </cell>
          <cell r="F364" t="str">
            <v>09-766897035</v>
          </cell>
          <cell r="G364" t="str">
            <v>လှိုင်သာယာ</v>
          </cell>
          <cell r="H364" t="str">
            <v>ဇေယျာသီရိ (၃) လမ်း၊ (၁၆) ရပ်ကွက်၊ လှိုင်သာယာမြို့နယ်</v>
          </cell>
          <cell r="I364">
            <v>39500</v>
          </cell>
          <cell r="J364">
            <v>4500</v>
          </cell>
          <cell r="K364">
            <v>44000</v>
          </cell>
          <cell r="L364">
            <v>4500</v>
          </cell>
          <cell r="M364">
            <v>4500</v>
          </cell>
          <cell r="O364" t="str">
            <v>-</v>
          </cell>
          <cell r="P364">
            <v>44000</v>
          </cell>
        </row>
        <row r="365">
          <cell r="C365" t="str">
            <v>D0901-KSC-329</v>
          </cell>
          <cell r="D365" t="str">
            <v>KS Cosmetic</v>
          </cell>
          <cell r="E365" t="str">
            <v>ခိုင်သဇင်</v>
          </cell>
          <cell r="F365" t="str">
            <v>09-753337978</v>
          </cell>
          <cell r="G365" t="str">
            <v>လှိုင်သာယာ</v>
          </cell>
          <cell r="H365" t="str">
            <v>အမှတ် (252M)၊ အောင်တံခွန်လမ်း၊ (၇) ရပ်ကွက်၊ (မီးခွက်ဈေး)၊ လှိုင်သာယာမြို့နယ်</v>
          </cell>
          <cell r="I365">
            <v>39500</v>
          </cell>
          <cell r="J365">
            <v>4500</v>
          </cell>
          <cell r="K365">
            <v>44000</v>
          </cell>
          <cell r="L365">
            <v>4500</v>
          </cell>
          <cell r="M365">
            <v>4500</v>
          </cell>
          <cell r="O365" t="str">
            <v>-</v>
          </cell>
          <cell r="P365">
            <v>44000</v>
          </cell>
        </row>
        <row r="366">
          <cell r="C366" t="str">
            <v>D0901-KSC-332</v>
          </cell>
          <cell r="D366" t="str">
            <v>KS Cosmetic</v>
          </cell>
          <cell r="E366" t="str">
            <v>ရွှေဘိုသူ</v>
          </cell>
          <cell r="F366" t="str">
            <v>09-422152428</v>
          </cell>
          <cell r="G366" t="str">
            <v>လှိုင်သာယာ</v>
          </cell>
          <cell r="H366" t="str">
            <v>အမှတ် (၁၂၄)၊ အခန်း (2D)၊ လှိုင်သာယာမြို့နယ်</v>
          </cell>
          <cell r="I366">
            <v>79000</v>
          </cell>
          <cell r="J366">
            <v>4500</v>
          </cell>
          <cell r="K366">
            <v>83500</v>
          </cell>
          <cell r="L366">
            <v>4500</v>
          </cell>
          <cell r="M366">
            <v>4500</v>
          </cell>
          <cell r="O366" t="str">
            <v>-</v>
          </cell>
          <cell r="P366">
            <v>83500</v>
          </cell>
        </row>
        <row r="367">
          <cell r="C367" t="str">
            <v>D0901-MHC-159</v>
          </cell>
          <cell r="D367" t="str">
            <v>My Heart Cosmetic</v>
          </cell>
          <cell r="E367" t="str">
            <v>Click House By Yoymi</v>
          </cell>
          <cell r="F367" t="str">
            <v>09-767296700</v>
          </cell>
          <cell r="G367" t="str">
            <v>သာကေတ</v>
          </cell>
          <cell r="H367" t="str">
            <v>အမှတ် (၂၃)၊ ဂန္ဓမာလမ်း၊ ရှုခင်းသာမြို့ပတ်လမ်းမကြီး၊ (Two Brother စားသောက်ဆိုင်ဘေးလမ်းကြား)၊ သာကေတမြို့နယ်</v>
          </cell>
          <cell r="I367">
            <v>28500</v>
          </cell>
          <cell r="J367">
            <v>4000</v>
          </cell>
          <cell r="K367">
            <v>32500</v>
          </cell>
          <cell r="L367">
            <v>4000</v>
          </cell>
          <cell r="M367">
            <v>4000</v>
          </cell>
          <cell r="O367" t="str">
            <v>-</v>
          </cell>
          <cell r="P367">
            <v>32500</v>
          </cell>
        </row>
        <row r="368">
          <cell r="C368" t="str">
            <v>D0901-MHC-165</v>
          </cell>
          <cell r="D368" t="str">
            <v>My Heart Cosmetic</v>
          </cell>
          <cell r="E368" t="str">
            <v>Nyein Cosmetics</v>
          </cell>
          <cell r="F368" t="str">
            <v>09-899383714</v>
          </cell>
          <cell r="G368" t="str">
            <v>လှိုင်သာယာ</v>
          </cell>
          <cell r="H368" t="str">
            <v>အမှတ် (701A)၊ သခင်မြလမ်း၊ (၁၂) ရပ်ကွက်၊ (ကောင်းဆေးခန်းဘေးကပ်လျက်)၊ လှိုင်သာယာမြို့နယ်</v>
          </cell>
          <cell r="I368" t="str">
            <v>-</v>
          </cell>
          <cell r="J368">
            <v>4500</v>
          </cell>
          <cell r="K368">
            <v>4500</v>
          </cell>
          <cell r="L368">
            <v>4500</v>
          </cell>
          <cell r="M368">
            <v>4500</v>
          </cell>
          <cell r="O368" t="str">
            <v>-</v>
          </cell>
          <cell r="P368">
            <v>4500</v>
          </cell>
        </row>
        <row r="369">
          <cell r="C369" t="str">
            <v>D0901-CTM-229</v>
          </cell>
          <cell r="D369" t="str">
            <v>ချစ်သွန်းသီရိ မေမေ</v>
          </cell>
          <cell r="E369" t="str">
            <v>Daw Than Than Htwe</v>
          </cell>
          <cell r="F369" t="str">
            <v>09-793712923</v>
          </cell>
          <cell r="G369" t="str">
            <v>လှိုင်သာယာ</v>
          </cell>
          <cell r="H369" t="str">
            <v>ဆရာစံ (၁) လမ်း၊ (ရိုးကြီးမှတ်တိုင်)၊ လှိုင်သာယာမြို့နယ်</v>
          </cell>
          <cell r="I369">
            <v>14500</v>
          </cell>
          <cell r="J369">
            <v>4500</v>
          </cell>
          <cell r="K369">
            <v>19000</v>
          </cell>
          <cell r="L369">
            <v>4500</v>
          </cell>
          <cell r="M369">
            <v>4500</v>
          </cell>
          <cell r="O369" t="str">
            <v>-</v>
          </cell>
          <cell r="P369">
            <v>19000</v>
          </cell>
        </row>
        <row r="370">
          <cell r="C370" t="str">
            <v>D0902-TSW-009</v>
          </cell>
          <cell r="D370" t="str">
            <v>3 &amp; 6 Wholesale</v>
          </cell>
          <cell r="E370" t="str">
            <v>မဇာခြည်</v>
          </cell>
          <cell r="F370" t="str">
            <v>09-970491883</v>
          </cell>
          <cell r="G370" t="str">
            <v>သာကေတ</v>
          </cell>
          <cell r="H370" t="str">
            <v>အမှတ် (၁၀၇၈)၊ နဝရတ် (၇) လမ်း၊ (၉) ရပ်ကွက်၊ သာကေတမြို့နယ်</v>
          </cell>
          <cell r="I370">
            <v>165000</v>
          </cell>
          <cell r="J370" t="str">
            <v>-</v>
          </cell>
          <cell r="K370">
            <v>165000</v>
          </cell>
          <cell r="L370">
            <v>4000</v>
          </cell>
          <cell r="M370" t="str">
            <v>-</v>
          </cell>
          <cell r="O370">
            <v>10000</v>
          </cell>
          <cell r="P370">
            <v>175000</v>
          </cell>
        </row>
        <row r="371">
          <cell r="C371" t="str">
            <v>D0902-TSW-019</v>
          </cell>
          <cell r="D371" t="str">
            <v>3 &amp; 6 Wholesale</v>
          </cell>
          <cell r="E371" t="str">
            <v>ဒေါ်ရီဝင်း</v>
          </cell>
          <cell r="F371" t="str">
            <v>09-408572553</v>
          </cell>
          <cell r="G371" t="str">
            <v>လှိုင်သာယာ</v>
          </cell>
          <cell r="H371" t="str">
            <v>အမှတ် (၃၂၀)၊ ဒေါနလမ်း၊ (၁၀) ရပ်ကွက်၊ လှိုင်သာယာမြို့နယ်</v>
          </cell>
          <cell r="I371">
            <v>72500</v>
          </cell>
          <cell r="J371" t="str">
            <v>-</v>
          </cell>
          <cell r="K371">
            <v>72500</v>
          </cell>
          <cell r="L371">
            <v>4500</v>
          </cell>
          <cell r="M371" t="str">
            <v>-</v>
          </cell>
          <cell r="N371">
            <v>11</v>
          </cell>
          <cell r="O371">
            <v>15000</v>
          </cell>
          <cell r="P371">
            <v>87500</v>
          </cell>
        </row>
        <row r="372">
          <cell r="C372" t="str">
            <v>D0902-MHC-025</v>
          </cell>
          <cell r="D372" t="str">
            <v>My Heart Cosmetic</v>
          </cell>
          <cell r="E372" t="str">
            <v>Aye Ei Ei Phyo</v>
          </cell>
          <cell r="F372" t="str">
            <v>09-448012036</v>
          </cell>
          <cell r="G372" t="str">
            <v>လှိုင်သာယာ</v>
          </cell>
          <cell r="H372" t="str">
            <v>မြကန်သာအိမ်ရာ၊ တိုက် (၆)၊ အခန်း (၁၀၂)၊ ခရေ (၁) လမ်း၊ (၅) ရပ်ကွက်၊ (Grand မြကန်သာကွန်ဒိုအနီး)၊ လှိုင်သာယာမြို့နယ်</v>
          </cell>
          <cell r="I372">
            <v>87000</v>
          </cell>
          <cell r="J372">
            <v>4500</v>
          </cell>
          <cell r="K372">
            <v>91500</v>
          </cell>
          <cell r="L372">
            <v>4500</v>
          </cell>
          <cell r="M372">
            <v>4500</v>
          </cell>
          <cell r="O372" t="str">
            <v>-</v>
          </cell>
          <cell r="P372">
            <v>91500</v>
          </cell>
        </row>
        <row r="373">
          <cell r="C373" t="str">
            <v>D0902-PPL-027</v>
          </cell>
          <cell r="D373" t="str">
            <v>Poe Poe Lay</v>
          </cell>
          <cell r="E373" t="str">
            <v>မမ</v>
          </cell>
          <cell r="F373" t="str">
            <v>09-791162695</v>
          </cell>
          <cell r="G373" t="str">
            <v>တောင်ဥက္ကလာပ</v>
          </cell>
          <cell r="H373" t="str">
            <v>အမှတ် (၃၀)၊ (၃) လမ်း၊ (၃) ရပ်ကွက်၊ တောင်ဥက္ကလာပမြို့နယ်</v>
          </cell>
          <cell r="I373">
            <v>40000</v>
          </cell>
          <cell r="J373">
            <v>4000</v>
          </cell>
          <cell r="K373">
            <v>44000</v>
          </cell>
          <cell r="L373">
            <v>4000</v>
          </cell>
          <cell r="M373">
            <v>4000</v>
          </cell>
          <cell r="O373" t="str">
            <v>-</v>
          </cell>
          <cell r="P373">
            <v>44000</v>
          </cell>
        </row>
        <row r="374">
          <cell r="C374" t="str">
            <v>D0902-BBW-033</v>
          </cell>
          <cell r="D374" t="str">
            <v>Baby World</v>
          </cell>
          <cell r="E374" t="str">
            <v>Moesintsint Phyo</v>
          </cell>
          <cell r="F374" t="str">
            <v>09-779388411</v>
          </cell>
          <cell r="G374" t="str">
            <v>လှိုင်သာယာ</v>
          </cell>
          <cell r="H374" t="str">
            <v>တောင်ငူလမ်း၊ (၁၉) ရပ်ကွက်၊ ((၁၂၇) လမ်းဆုံ)၊ (Atom ရုံးအနီး)၊ လှိုင်သာယာမြို့နယ်</v>
          </cell>
          <cell r="I374">
            <v>121500</v>
          </cell>
          <cell r="J374">
            <v>4500</v>
          </cell>
          <cell r="K374">
            <v>126000</v>
          </cell>
          <cell r="L374">
            <v>4500</v>
          </cell>
          <cell r="M374">
            <v>4500</v>
          </cell>
          <cell r="O374" t="str">
            <v>-</v>
          </cell>
          <cell r="P374">
            <v>126000</v>
          </cell>
        </row>
        <row r="375">
          <cell r="C375" t="str">
            <v>D0902-BBW-043</v>
          </cell>
          <cell r="D375" t="str">
            <v>Baby World</v>
          </cell>
          <cell r="E375" t="str">
            <v>Zin Pwint</v>
          </cell>
          <cell r="F375" t="str">
            <v>09-777343053</v>
          </cell>
          <cell r="G375" t="str">
            <v>လှိုင်သာယာ</v>
          </cell>
          <cell r="H375" t="str">
            <v>အမှတ် (၅၉၄)၊ ဘားအံလမ်း၊ (စနေမမှတ်တိုင်)၊ လှိုင်သာယာမြို့နယ်</v>
          </cell>
          <cell r="I375">
            <v>42000</v>
          </cell>
          <cell r="J375">
            <v>4500</v>
          </cell>
          <cell r="K375">
            <v>46500</v>
          </cell>
          <cell r="L375">
            <v>4500</v>
          </cell>
          <cell r="M375">
            <v>4500</v>
          </cell>
          <cell r="O375" t="str">
            <v>-</v>
          </cell>
          <cell r="P375">
            <v>46500</v>
          </cell>
        </row>
        <row r="376">
          <cell r="C376" t="str">
            <v>D0902-BBW-051</v>
          </cell>
          <cell r="D376" t="str">
            <v>Baby World</v>
          </cell>
          <cell r="E376" t="str">
            <v>မဖြူသီစိုင်</v>
          </cell>
          <cell r="F376" t="str">
            <v>09-633340096</v>
          </cell>
          <cell r="G376" t="str">
            <v>မြောက်ဥက္ကလာပ</v>
          </cell>
          <cell r="H376" t="str">
            <v>အမှတ် (၃၀၇)၊ အောင်ရာဇာလမ်း၊ ရွှေပေါက်ကံ၊ ((၁၂) ဈေး)၊ မြောက်ဥက္ကလာပမြို့နယ်</v>
          </cell>
          <cell r="I376">
            <v>22500</v>
          </cell>
          <cell r="J376">
            <v>4500</v>
          </cell>
          <cell r="K376">
            <v>27000</v>
          </cell>
          <cell r="L376">
            <v>4500</v>
          </cell>
          <cell r="M376">
            <v>4500</v>
          </cell>
          <cell r="O376" t="str">
            <v>-</v>
          </cell>
          <cell r="P376">
            <v>27000</v>
          </cell>
        </row>
        <row r="377">
          <cell r="C377" t="str">
            <v>D0902-BBW-058</v>
          </cell>
          <cell r="D377" t="str">
            <v>Baby World</v>
          </cell>
          <cell r="E377" t="str">
            <v>Daw Tin Tin Htwe</v>
          </cell>
          <cell r="F377" t="str">
            <v>09-425336588</v>
          </cell>
          <cell r="G377" t="str">
            <v>လှိုင်သာယာ</v>
          </cell>
          <cell r="H377" t="str">
            <v>ပိတောက်မြိုင်ဈေး၊ (မီးခွက်ဈေးရုံ)၊ လှိုင်သာယာမြို့နယ်</v>
          </cell>
          <cell r="I377">
            <v>150000</v>
          </cell>
          <cell r="J377">
            <v>4500</v>
          </cell>
          <cell r="K377">
            <v>154500</v>
          </cell>
          <cell r="L377">
            <v>4500</v>
          </cell>
          <cell r="M377">
            <v>4500</v>
          </cell>
          <cell r="O377" t="str">
            <v>-</v>
          </cell>
          <cell r="P377">
            <v>154500</v>
          </cell>
        </row>
        <row r="378">
          <cell r="C378" t="str">
            <v>D0902-PHS-063</v>
          </cell>
          <cell r="D378" t="str">
            <v>ph level 7</v>
          </cell>
          <cell r="E378" t="str">
            <v>နန်းစုလှိုင်</v>
          </cell>
          <cell r="F378" t="str">
            <v>09-688393073</v>
          </cell>
          <cell r="G378" t="str">
            <v>ရွှေပြည်သာ</v>
          </cell>
          <cell r="H378" t="str">
    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    </cell>
          <cell r="I378">
            <v>34000</v>
          </cell>
          <cell r="J378">
            <v>4500</v>
          </cell>
          <cell r="K378">
            <v>38500</v>
          </cell>
          <cell r="L378">
            <v>4500</v>
          </cell>
          <cell r="M378">
            <v>4500</v>
          </cell>
          <cell r="O378" t="str">
            <v>-</v>
          </cell>
          <cell r="P378">
            <v>38500</v>
          </cell>
        </row>
        <row r="379">
          <cell r="C379" t="str">
            <v>D0902-PHS-070</v>
          </cell>
          <cell r="D379" t="str">
            <v>ph level 7</v>
          </cell>
          <cell r="E379" t="str">
            <v>မဝေမာအောင်</v>
          </cell>
          <cell r="F379" t="str">
            <v>09-894399995
 09-790597779</v>
          </cell>
          <cell r="G379" t="str">
            <v>လှိုင်သာယာ</v>
          </cell>
          <cell r="H379" t="str">
    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    </cell>
          <cell r="I379" t="str">
            <v>-</v>
          </cell>
          <cell r="J379">
            <v>4500</v>
          </cell>
          <cell r="K379">
            <v>4500</v>
          </cell>
          <cell r="L379">
            <v>4500</v>
          </cell>
          <cell r="M379">
            <v>4500</v>
          </cell>
          <cell r="O379" t="str">
            <v>-</v>
          </cell>
          <cell r="P379">
            <v>4500</v>
          </cell>
        </row>
        <row r="380">
          <cell r="C380" t="str">
            <v>D0902-PHS-074</v>
          </cell>
          <cell r="D380" t="str">
            <v>ph level 7</v>
          </cell>
          <cell r="E380" t="str">
            <v>Aeri Aye Aye</v>
          </cell>
          <cell r="F380" t="str">
            <v>09-797803784</v>
          </cell>
          <cell r="G380" t="str">
            <v>လှိုင်သာယာ</v>
          </cell>
          <cell r="H380" t="str">
            <v>(၁၁) မီးငြိမ်းလမ်း၊ လှိုင်သာယာဇုန် (၅)၊ သောင်ကြီး၊ (ရဲစခန်း UMG Dagon Power ဘေး)၊ လှိုင်သာယာမြို့နယ်</v>
          </cell>
          <cell r="I380">
            <v>34000</v>
          </cell>
          <cell r="J380">
            <v>4500</v>
          </cell>
          <cell r="K380">
            <v>38500</v>
          </cell>
          <cell r="L380">
            <v>4500</v>
          </cell>
          <cell r="M380">
            <v>4500</v>
          </cell>
          <cell r="O380" t="str">
            <v>-</v>
          </cell>
          <cell r="P380">
            <v>38500</v>
          </cell>
        </row>
        <row r="381">
          <cell r="C381" t="str">
            <v>D0902-CUY-079</v>
          </cell>
          <cell r="D381" t="str">
            <v>Curvy</v>
          </cell>
          <cell r="E381" t="str">
            <v>Htay Htay Oo</v>
          </cell>
          <cell r="F381" t="str">
            <v>09-458731839</v>
          </cell>
          <cell r="G381" t="str">
            <v>သင်္ဃန်းကျွန်း</v>
          </cell>
          <cell r="H381" t="str">
            <v>ပြည်ထောင်စုရိပ်မွန်အိမ်ရာ၊ ပျဉ်းမလမ်း၊ သင်္ဃန်းကျွန်းမြို့နယ်</v>
          </cell>
          <cell r="I381">
            <v>39900</v>
          </cell>
          <cell r="J381">
            <v>4000</v>
          </cell>
          <cell r="K381">
            <v>43900</v>
          </cell>
          <cell r="L381">
            <v>4000</v>
          </cell>
          <cell r="M381">
            <v>4000</v>
          </cell>
          <cell r="O381" t="str">
            <v>-</v>
          </cell>
          <cell r="P381">
            <v>43900</v>
          </cell>
        </row>
        <row r="382">
          <cell r="C382" t="str">
            <v>D0902-CUY-080</v>
          </cell>
          <cell r="D382" t="str">
            <v>Curvy</v>
          </cell>
          <cell r="E382" t="str">
            <v>Ma Wint Zarni Aung</v>
          </cell>
          <cell r="F382" t="str">
            <v>09-763651509</v>
          </cell>
          <cell r="G382" t="str">
            <v>ရွှေပြည်သာ</v>
          </cell>
          <cell r="H382" t="str">
            <v>အမှတ် (၃၅)၊ ပဲခူးပန်းတောင်းမောင်ခက်လမ်း၊ ရွှေပြည်သာဇုန် (၄)၊ ရွှေပြည်သာမြို့နယ်</v>
          </cell>
          <cell r="I382">
            <v>17500</v>
          </cell>
          <cell r="J382">
            <v>4500</v>
          </cell>
          <cell r="K382">
            <v>22000</v>
          </cell>
          <cell r="L382">
            <v>4500</v>
          </cell>
          <cell r="M382">
            <v>4500</v>
          </cell>
          <cell r="O382" t="str">
            <v>-</v>
          </cell>
          <cell r="P382">
            <v>22000</v>
          </cell>
        </row>
        <row r="383">
          <cell r="C383" t="str">
            <v>D0902-KAL-087</v>
          </cell>
          <cell r="D383" t="str">
            <v>ခင့်အလှူ</v>
          </cell>
          <cell r="E383" t="str">
            <v>Shwe Yee</v>
          </cell>
          <cell r="F383" t="str">
            <v>09-974564548</v>
          </cell>
          <cell r="G383" t="str">
            <v>မရမ်းကုန်း</v>
          </cell>
          <cell r="H383" t="str">
            <v>အမှတ် (၅၇၉)၊ ရန်ကြီးအောင်လမ်း၊ မရမ်းကုန်းမြို့နယ်</v>
          </cell>
          <cell r="I383">
            <v>29700</v>
          </cell>
          <cell r="J383">
            <v>5000</v>
          </cell>
          <cell r="K383">
            <v>34700</v>
          </cell>
          <cell r="L383">
            <v>4000</v>
          </cell>
          <cell r="M383">
            <v>5000</v>
          </cell>
          <cell r="O383" t="str">
            <v>-</v>
          </cell>
          <cell r="P383">
            <v>34700</v>
          </cell>
        </row>
        <row r="384">
          <cell r="C384" t="str">
            <v>D0902-KAL-088</v>
          </cell>
          <cell r="D384" t="str">
            <v>ခင့်အလှူ</v>
          </cell>
          <cell r="E384" t="str">
            <v>Marina Pwar</v>
          </cell>
          <cell r="F384" t="str">
            <v>09-254046500</v>
          </cell>
          <cell r="G384" t="str">
            <v>လှိုင်သာယာ</v>
          </cell>
          <cell r="H384" t="str">
            <v>အမှတ် (533B)၊ ခိုင်သဇင်လမ်း၊ (၁၁) ရပ်ကွက်၊ လှိုင်သာယာမြို့နယ်</v>
          </cell>
          <cell r="I384">
            <v>51000</v>
          </cell>
          <cell r="J384">
            <v>5500</v>
          </cell>
          <cell r="K384">
            <v>56500</v>
          </cell>
          <cell r="L384">
            <v>4500</v>
          </cell>
          <cell r="M384">
            <v>5500</v>
          </cell>
          <cell r="N384">
            <v>5</v>
          </cell>
          <cell r="O384">
            <v>1000</v>
          </cell>
          <cell r="P384">
            <v>57500</v>
          </cell>
        </row>
        <row r="385">
          <cell r="C385" t="str">
            <v>D0902-KAL-089</v>
          </cell>
          <cell r="D385" t="str">
            <v>ခင့်အလှူ</v>
          </cell>
          <cell r="E385" t="str">
            <v>Hla Hla Win</v>
          </cell>
          <cell r="F385" t="str">
            <v>09-795690062</v>
          </cell>
          <cell r="G385" t="str">
            <v>မင်္ဂလာတောင်ညွန့်</v>
          </cell>
          <cell r="H385" t="str">
            <v>အမှတ် (၁၀၀)၊ မဟာသုခလမ်း၊ ကျီတော်ရပ်ကွက်၊ မင်္ဂလာတောင်ညွန့်မြို့နယ်</v>
          </cell>
          <cell r="I385">
            <v>29700</v>
          </cell>
          <cell r="J385">
            <v>5000</v>
          </cell>
          <cell r="K385">
            <v>34700</v>
          </cell>
          <cell r="L385">
            <v>4000</v>
          </cell>
          <cell r="M385">
            <v>5000</v>
          </cell>
          <cell r="O385" t="str">
            <v>-</v>
          </cell>
          <cell r="P385">
            <v>34700</v>
          </cell>
        </row>
        <row r="386">
          <cell r="C386" t="str">
            <v>D0902-KAL-091</v>
          </cell>
          <cell r="D386" t="str">
            <v>ခင့်အလှူ</v>
          </cell>
          <cell r="E386" t="str">
            <v>Tint Tint Soe</v>
          </cell>
          <cell r="F386" t="str">
            <v>09-791520240</v>
          </cell>
          <cell r="G386" t="str">
            <v>လှိုင်သာယာ</v>
          </cell>
          <cell r="H386" t="str">
            <v>အမှတ် (1201B)၊ ကင်းဝန်မင်းကြီးလမ်း၊ လှိုင်သာယာမြို့နယ်</v>
          </cell>
          <cell r="I386">
            <v>51000</v>
          </cell>
          <cell r="J386">
            <v>5500</v>
          </cell>
          <cell r="K386">
            <v>56500</v>
          </cell>
          <cell r="L386">
            <v>4500</v>
          </cell>
          <cell r="M386">
            <v>5500</v>
          </cell>
          <cell r="N386">
            <v>5</v>
          </cell>
          <cell r="O386">
            <v>1000</v>
          </cell>
          <cell r="P386">
            <v>57500</v>
          </cell>
        </row>
        <row r="387">
          <cell r="C387" t="str">
            <v>D0902-KAL-094</v>
          </cell>
          <cell r="D387" t="str">
            <v>ခင့်အလှူ</v>
          </cell>
          <cell r="E387" t="str">
            <v>Win Winn</v>
          </cell>
          <cell r="F387" t="str">
            <v>09-977674710</v>
          </cell>
          <cell r="G387" t="str">
            <v>တာမွေ</v>
          </cell>
          <cell r="H387" t="str">
            <v>အမှတ် (၈)၊ (၁၄) လမ်း၊ တာမွေမြို့နယ်</v>
          </cell>
          <cell r="I387">
            <v>29700</v>
          </cell>
          <cell r="J387">
            <v>5000</v>
          </cell>
          <cell r="K387">
            <v>34700</v>
          </cell>
          <cell r="L387">
            <v>4000</v>
          </cell>
          <cell r="M387">
            <v>5000</v>
          </cell>
          <cell r="O387" t="str">
            <v>-</v>
          </cell>
          <cell r="P387">
            <v>34700</v>
          </cell>
        </row>
        <row r="388">
          <cell r="C388" t="str">
            <v>D0902-KAL-102</v>
          </cell>
          <cell r="D388" t="str">
            <v>ခင့်အလှူ</v>
          </cell>
          <cell r="E388" t="str">
            <v>Thet Su Htwe</v>
          </cell>
          <cell r="F388" t="str">
            <v>09-451068230</v>
          </cell>
          <cell r="G388" t="str">
            <v>မြောက်ဥက္ကလာပ</v>
          </cell>
          <cell r="H388" t="str">
            <v>သုနန္ဒာလမ်း၊ မြောက်ဥက္ကလာပမြို့နယ်</v>
          </cell>
          <cell r="I388">
            <v>49500</v>
          </cell>
          <cell r="J388">
            <v>5500</v>
          </cell>
          <cell r="K388">
            <v>55000</v>
          </cell>
          <cell r="L388">
            <v>4500</v>
          </cell>
          <cell r="M388">
            <v>5500</v>
          </cell>
          <cell r="O388" t="str">
            <v>-</v>
          </cell>
          <cell r="P388">
            <v>55000</v>
          </cell>
        </row>
        <row r="389">
          <cell r="C389" t="str">
            <v>D0902-KAL-107</v>
          </cell>
          <cell r="D389" t="str">
            <v>ခင့်အလှူ</v>
          </cell>
          <cell r="E389" t="str">
            <v>Thi Thi Myint</v>
          </cell>
          <cell r="F389" t="str">
            <v>09-429385531</v>
          </cell>
          <cell r="G389" t="str">
            <v>မြောက်ဥက္ကလာပ</v>
          </cell>
          <cell r="H389" t="str">
            <v>ပိတောက် (၅) လမ်း၊ (ဌ) ရပ်ကွက်၊ (ဓမ္မာရုံမှတ်တိုင်)၊ မြောက်ဥက္ကလာပမြို့နယ်</v>
          </cell>
          <cell r="I389">
            <v>29700</v>
          </cell>
          <cell r="J389">
            <v>5500</v>
          </cell>
          <cell r="K389">
            <v>35200</v>
          </cell>
          <cell r="L389">
            <v>4500</v>
          </cell>
          <cell r="M389">
            <v>5500</v>
          </cell>
          <cell r="O389" t="str">
            <v>-</v>
          </cell>
          <cell r="P389">
            <v>35200</v>
          </cell>
        </row>
        <row r="390">
          <cell r="C390" t="str">
            <v>D0902-KAL-128</v>
          </cell>
          <cell r="D390" t="str">
            <v>ခင့်အလှူ</v>
          </cell>
          <cell r="E390" t="str">
            <v>Khin Moe Nwe</v>
          </cell>
          <cell r="F390" t="str">
            <v>09-754224512</v>
          </cell>
          <cell r="G390" t="str">
            <v>မြောက်ဥက္ကလာပ</v>
          </cell>
          <cell r="H390" t="str">
            <v>အမှတ် (၅၀)၊ ဗိုလ်ဗထူးလမ်း၊ နွယ်ခွေ၊ မြောက်ဥက္ကလာပမြို့နယ်</v>
          </cell>
          <cell r="I390">
            <v>29700</v>
          </cell>
          <cell r="J390">
            <v>4500</v>
          </cell>
          <cell r="K390">
            <v>34200</v>
          </cell>
          <cell r="L390">
            <v>4500</v>
          </cell>
          <cell r="M390">
            <v>4500</v>
          </cell>
          <cell r="O390" t="str">
            <v>-</v>
          </cell>
          <cell r="P390">
            <v>34200</v>
          </cell>
        </row>
        <row r="391">
          <cell r="C391" t="str">
            <v>D0902-KAL-134</v>
          </cell>
          <cell r="D391" t="str">
            <v>ခင့်အလှူ</v>
          </cell>
          <cell r="E391" t="str">
            <v>Daw Mar G</v>
          </cell>
          <cell r="F391" t="str">
            <v>09-905071875</v>
          </cell>
          <cell r="G391" t="str">
            <v>တာမွေ</v>
          </cell>
          <cell r="H391" t="str">
            <v>အမှတ် (48/A3)၊ ဓမ္မဝိဟာရလမ်း၊ ကျောက်မြောင်း၊ တာမွေမြို့နယ်</v>
          </cell>
          <cell r="I391">
            <v>49500</v>
          </cell>
          <cell r="J391">
            <v>4000</v>
          </cell>
          <cell r="K391">
            <v>53500</v>
          </cell>
          <cell r="L391">
            <v>4000</v>
          </cell>
          <cell r="M391">
            <v>4000</v>
          </cell>
          <cell r="O391" t="str">
            <v>-</v>
          </cell>
          <cell r="P391">
            <v>53500</v>
          </cell>
        </row>
        <row r="392">
          <cell r="C392" t="str">
            <v>D0902-KAL-137</v>
          </cell>
          <cell r="D392" t="str">
            <v>ခင့်အလှူ</v>
          </cell>
          <cell r="E392" t="str">
            <v>Ni Lar</v>
          </cell>
          <cell r="F392" t="str">
            <v>09-973481205</v>
          </cell>
          <cell r="G392" t="str">
            <v>လှိုင်သာယာ</v>
          </cell>
          <cell r="H392" t="str">
            <v>အမှတ် (၂၈၂)၊ ဇေယျာသီရိ (၃) လမ်း၊ လှိုင်သာယာမြို့နယ်</v>
          </cell>
          <cell r="I392">
            <v>29700</v>
          </cell>
          <cell r="J392">
            <v>4500</v>
          </cell>
          <cell r="K392">
            <v>34200</v>
          </cell>
          <cell r="L392">
            <v>4500</v>
          </cell>
          <cell r="M392">
            <v>4500</v>
          </cell>
          <cell r="O392" t="str">
            <v>-</v>
          </cell>
          <cell r="P392">
            <v>34200</v>
          </cell>
        </row>
        <row r="393">
          <cell r="C393" t="str">
            <v>D0902-KAL-145</v>
          </cell>
          <cell r="D393" t="str">
            <v>ခင့်အလှူ</v>
          </cell>
          <cell r="E393" t="str">
            <v>Aye Mon Aung</v>
          </cell>
          <cell r="F393" t="str">
            <v>09-691108724</v>
          </cell>
          <cell r="G393" t="str">
            <v>မရမ်းကုန်း</v>
          </cell>
          <cell r="H393" t="str">
            <v>အမှတ် (၄) ရပ်ကွက်၊ အောင်မင်္ဂလာဈေးလမ်း၊ မရမ်းကုန်းမြို့နယ်</v>
          </cell>
          <cell r="I393">
            <v>29700</v>
          </cell>
          <cell r="J393">
            <v>4000</v>
          </cell>
          <cell r="K393">
            <v>33700</v>
          </cell>
          <cell r="L393">
            <v>4000</v>
          </cell>
          <cell r="M393">
            <v>4000</v>
          </cell>
          <cell r="O393" t="str">
            <v>-</v>
          </cell>
          <cell r="P393">
            <v>33700</v>
          </cell>
        </row>
        <row r="394">
          <cell r="C394" t="str">
            <v>D0902-KAL-167</v>
          </cell>
          <cell r="D394" t="str">
            <v>ခင့်အလှူ</v>
          </cell>
          <cell r="E394" t="str">
            <v>Hla Hla</v>
          </cell>
          <cell r="F394" t="str">
            <v>09-942288916</v>
          </cell>
          <cell r="G394" t="str">
            <v>လှိုင်သာယာ</v>
          </cell>
          <cell r="H394" t="str">
            <v>(ဈေးလေးမှတ်တိုင်)၊ (သမကုန်းအဝိုင်းမှဝင်ရန်)၊ (၁၁) ရပ်ကွက်၊ လှိုင်သာယာမြို့နယ်</v>
          </cell>
          <cell r="I394">
            <v>29700</v>
          </cell>
          <cell r="J394">
            <v>4500</v>
          </cell>
          <cell r="K394">
            <v>34200</v>
          </cell>
          <cell r="L394">
            <v>4500</v>
          </cell>
          <cell r="M394">
            <v>4500</v>
          </cell>
          <cell r="O394" t="str">
            <v>-</v>
          </cell>
          <cell r="P394">
            <v>34200</v>
          </cell>
        </row>
        <row r="395">
          <cell r="C395" t="str">
            <v>D0902-KAL-175</v>
          </cell>
          <cell r="D395" t="str">
            <v>ခင့်အလှူ</v>
          </cell>
          <cell r="E395" t="str">
            <v>Aye Soe</v>
          </cell>
          <cell r="F395" t="str">
            <v>09-250336237</v>
          </cell>
          <cell r="G395" t="str">
            <v>ကမာရွတ်</v>
          </cell>
          <cell r="H395" t="str">
            <v>အမှတ် (၃၅)၊ ကွမ်းခြံ (၁) လမ်း၊ လှည်းတန်း၊ ကမာရွတ်မြို့နယ်</v>
          </cell>
          <cell r="I395">
            <v>29700</v>
          </cell>
          <cell r="J395">
            <v>4000</v>
          </cell>
          <cell r="K395">
            <v>33700</v>
          </cell>
          <cell r="L395">
            <v>4000</v>
          </cell>
          <cell r="M395">
            <v>4000</v>
          </cell>
          <cell r="O395" t="str">
            <v>-</v>
          </cell>
          <cell r="P395">
            <v>33700</v>
          </cell>
        </row>
        <row r="396">
          <cell r="C396" t="str">
            <v>D0902-KSC-216</v>
          </cell>
          <cell r="D396" t="str">
            <v>KS Cosmetic</v>
          </cell>
          <cell r="E396" t="str">
            <v>Ei Khin Khin</v>
          </cell>
          <cell r="F396" t="str">
            <v>09-662009824</v>
          </cell>
          <cell r="G396" t="str">
            <v>လှိုင်သာယာ</v>
          </cell>
          <cell r="H396" t="str">
            <v>ဟိန်းကုန်စုံဆိုင်၊ ရိုးကြီး၊ ရုံးရှေ့လမ်း၊ လှိုင်သာယာမြို့နယ်</v>
          </cell>
          <cell r="I396">
            <v>81500</v>
          </cell>
          <cell r="J396">
            <v>4500</v>
          </cell>
          <cell r="K396">
            <v>86000</v>
          </cell>
          <cell r="L396">
            <v>4500</v>
          </cell>
          <cell r="M396">
            <v>4500</v>
          </cell>
          <cell r="O396" t="str">
            <v>-</v>
          </cell>
          <cell r="P396">
            <v>86000</v>
          </cell>
        </row>
        <row r="397">
          <cell r="C397" t="str">
            <v>D0902-KSC-258</v>
          </cell>
          <cell r="D397" t="str">
            <v>KS Cosmetic</v>
          </cell>
          <cell r="E397" t="str">
            <v>Thaw Tar Win</v>
          </cell>
          <cell r="F397" t="str">
            <v>09-777531193</v>
          </cell>
          <cell r="G397" t="str">
            <v>မင်္ဂလာဒုံ</v>
          </cell>
          <cell r="H397" t="str">
            <v>နွယ်နီလမ်းသွယ်၊ ကုန်းတလပေါင်၊ မင်္ဂလာဒုံမြို့နယ်</v>
          </cell>
          <cell r="I397">
            <v>39500</v>
          </cell>
          <cell r="J397">
            <v>4500</v>
          </cell>
          <cell r="K397">
            <v>44000</v>
          </cell>
          <cell r="L397">
            <v>4500</v>
          </cell>
          <cell r="M397">
            <v>4500</v>
          </cell>
          <cell r="O397" t="str">
            <v>-</v>
          </cell>
          <cell r="P397">
            <v>44000</v>
          </cell>
        </row>
        <row r="398">
          <cell r="C398" t="str">
            <v>D0902-KSC-307</v>
          </cell>
          <cell r="D398" t="str">
            <v>KS Cosmetic</v>
          </cell>
          <cell r="E398" t="str">
            <v>မျိုးမျိုးအေး</v>
          </cell>
          <cell r="F398" t="str">
            <v>09-794821438</v>
          </cell>
          <cell r="G398" t="str">
            <v>လှိုင်သာယာ</v>
          </cell>
          <cell r="H398" t="str">
            <v>မနော်ဟရီလမ်း၊ (စနေမမှတ်တိုင်အနီး)၊ လှိုင်သာယာမြို့နယ်</v>
          </cell>
          <cell r="I398">
            <v>39500</v>
          </cell>
          <cell r="J398">
            <v>4500</v>
          </cell>
          <cell r="K398">
            <v>44000</v>
          </cell>
          <cell r="L398">
            <v>4500</v>
          </cell>
          <cell r="M398">
            <v>4500</v>
          </cell>
          <cell r="O398" t="str">
            <v>-</v>
          </cell>
          <cell r="P398">
            <v>44000</v>
          </cell>
        </row>
        <row r="399">
          <cell r="C399" t="str">
            <v>D0902-KSC-359</v>
          </cell>
          <cell r="D399" t="str">
            <v>KS Cosmetic</v>
          </cell>
          <cell r="E399" t="str">
            <v>Pwint Phyu</v>
          </cell>
          <cell r="F399" t="str">
            <v>09-4511433730</v>
          </cell>
          <cell r="G399" t="str">
            <v>စမ်းချောင်း</v>
          </cell>
          <cell r="H399" t="str">
            <v>အမှတ် (၁၆၆)၊ ဗားကရာလမ်းမပေါ်၊ စမ်းချောင်းမြို့နယ်</v>
          </cell>
          <cell r="I399">
            <v>39500</v>
          </cell>
          <cell r="J399">
            <v>4000</v>
          </cell>
          <cell r="K399">
            <v>43500</v>
          </cell>
          <cell r="L399">
            <v>4000</v>
          </cell>
          <cell r="M399">
            <v>4000</v>
          </cell>
          <cell r="O399" t="str">
            <v>-</v>
          </cell>
          <cell r="P399">
            <v>43500</v>
          </cell>
        </row>
        <row r="400">
          <cell r="C400" t="str">
            <v>D0902-KSC-363</v>
          </cell>
          <cell r="D400" t="str">
            <v>KS Cosmetic</v>
          </cell>
          <cell r="E400" t="str">
            <v>လဲ့လဲ့ဝင်း</v>
          </cell>
          <cell r="F400" t="str">
            <v>09-678551990</v>
          </cell>
          <cell r="G400" t="str">
            <v>တာမွေ</v>
          </cell>
          <cell r="H400" t="str">
            <v>(၁၅၄) လမ်းထဲ၊ (တာမွေဈေး)၊ တာမွေမြို့နယ်</v>
          </cell>
          <cell r="I400">
            <v>39500</v>
          </cell>
          <cell r="J400">
            <v>4000</v>
          </cell>
          <cell r="K400">
            <v>43500</v>
          </cell>
          <cell r="L400">
            <v>4000</v>
          </cell>
          <cell r="M400">
            <v>4000</v>
          </cell>
          <cell r="O400" t="str">
            <v>-</v>
          </cell>
          <cell r="P400">
            <v>43500</v>
          </cell>
        </row>
        <row r="401">
          <cell r="C401" t="str">
            <v>D0902-KSC-370</v>
          </cell>
          <cell r="D401" t="str">
            <v>KS Cosmetic</v>
          </cell>
          <cell r="E401" t="str">
            <v>Zi Zi</v>
          </cell>
          <cell r="F401" t="str">
            <v>09-452300447</v>
          </cell>
          <cell r="G401" t="str">
            <v>မြောက်ဥက္ကလာပ</v>
          </cell>
          <cell r="H401" t="str">
            <v>ကရုဏာ (၂) လမ်း၊ မြောက်ဥက္ကလာပမြို့နယ်</v>
          </cell>
          <cell r="I401">
            <v>39500</v>
          </cell>
          <cell r="J401">
            <v>4500</v>
          </cell>
          <cell r="K401">
            <v>44000</v>
          </cell>
          <cell r="L401">
            <v>4500</v>
          </cell>
          <cell r="M401">
            <v>4500</v>
          </cell>
          <cell r="O401" t="str">
            <v>-</v>
          </cell>
          <cell r="P401">
            <v>44000</v>
          </cell>
        </row>
        <row r="402">
          <cell r="C402" t="str">
            <v>D0902-NPM-201</v>
          </cell>
          <cell r="D402" t="str">
            <v>နတ်ပြည်မွှေး</v>
          </cell>
          <cell r="E402" t="str">
            <v>Ma Moe</v>
          </cell>
          <cell r="F402" t="str">
            <v>09-783475251</v>
          </cell>
          <cell r="G402" t="str">
            <v>မရမ်းကုန်း</v>
          </cell>
          <cell r="H402" t="str">
            <v>မုဒိတာအိမ်ရာ (၁)၊ မမိုးတိုက် (B)၊ အခန်း (၁၄၂)၊ ဗဟိုလမ်း၊ မရမ်းကုန်းမြို့နယ်</v>
          </cell>
          <cell r="I402" t="str">
            <v>-</v>
          </cell>
          <cell r="J402">
            <v>4000</v>
          </cell>
          <cell r="K402">
            <v>4000</v>
          </cell>
          <cell r="L402">
            <v>4000</v>
          </cell>
          <cell r="M402">
            <v>4000</v>
          </cell>
          <cell r="O402" t="str">
            <v>-</v>
          </cell>
          <cell r="P402">
            <v>4000</v>
          </cell>
        </row>
        <row r="403">
          <cell r="C403" t="str">
            <v>D0902-NPM-196</v>
          </cell>
          <cell r="D403" t="str">
            <v>နတ်ပြည်မွှေး</v>
          </cell>
          <cell r="E403" t="str">
            <v>Layate</v>
          </cell>
          <cell r="F403" t="str">
            <v>09-45633043</v>
          </cell>
          <cell r="G403" t="str">
            <v>လှိုင်သာယာ</v>
          </cell>
          <cell r="H403" t="str">
            <v>(သစ်တံခါးကျောင်း နှင့် (၃) မှတ်တိုင်အနီး)၊ လှိုင်သာယာမြို့နယ်</v>
          </cell>
          <cell r="I403" t="str">
            <v>-</v>
          </cell>
          <cell r="J403">
            <v>4500</v>
          </cell>
          <cell r="K403">
            <v>4500</v>
          </cell>
          <cell r="L403">
            <v>4500</v>
          </cell>
          <cell r="M403">
            <v>4500</v>
          </cell>
          <cell r="O403" t="str">
            <v>-</v>
          </cell>
          <cell r="P403">
            <v>4500</v>
          </cell>
        </row>
        <row r="404">
          <cell r="C404" t="str">
            <v>D0902-CTM-393</v>
          </cell>
          <cell r="D404" t="str">
            <v>ချစ်သွန်းသီရိ မေမေ</v>
          </cell>
          <cell r="E404" t="str">
            <v>Tin Phyo Wai</v>
          </cell>
          <cell r="F404" t="str">
            <v>09-942626193</v>
          </cell>
          <cell r="G404" t="str">
            <v>လှိုင်သာယာ</v>
          </cell>
          <cell r="H404" t="str">
            <v>ဗိုလ်အောင်ကျော်အိမ်ရာ၊ တိုက် (၄/၇)၊ လှိုင်သာယာမြို့နယ်</v>
          </cell>
          <cell r="I404">
            <v>24500</v>
          </cell>
          <cell r="J404">
            <v>4500</v>
          </cell>
          <cell r="K404">
            <v>29000</v>
          </cell>
          <cell r="L404">
            <v>4500</v>
          </cell>
          <cell r="M404">
            <v>4500</v>
          </cell>
          <cell r="O404" t="str">
            <v>-</v>
          </cell>
          <cell r="P404">
            <v>29000</v>
          </cell>
        </row>
        <row r="405">
          <cell r="C405" t="str">
            <v>D0903-GRS-007</v>
          </cell>
          <cell r="D405" t="str">
            <v>GRS Express</v>
          </cell>
          <cell r="E405" t="str">
            <v>Ma Phyo</v>
          </cell>
          <cell r="F405" t="str">
            <v>09-957239953</v>
          </cell>
          <cell r="G405" t="str">
            <v>ဗိုလ်တထောင်</v>
          </cell>
          <cell r="H405" t="str">
            <v>သိမ်ဖြူလမ်း နှင့် ကမ်းနားလမ်းထောင့်၊ ဗိုလ်တထောင်မြို့နယ်</v>
          </cell>
          <cell r="I405">
            <v>152500</v>
          </cell>
          <cell r="J405">
            <v>4500</v>
          </cell>
          <cell r="K405">
            <v>157000</v>
          </cell>
          <cell r="L405">
            <v>4000</v>
          </cell>
          <cell r="M405">
            <v>4500</v>
          </cell>
          <cell r="O405" t="str">
            <v>-</v>
          </cell>
          <cell r="P405">
            <v>157000</v>
          </cell>
        </row>
        <row r="406">
          <cell r="C406" t="str">
            <v>D0903-GRS-019</v>
          </cell>
          <cell r="D406" t="str">
            <v>GRS Express</v>
          </cell>
          <cell r="E406" t="str">
            <v>မယုယုမော်</v>
          </cell>
          <cell r="F406" t="str">
            <v>09-420018170</v>
          </cell>
          <cell r="G406" t="str">
            <v>ဒေါပုံ</v>
          </cell>
          <cell r="H406" t="str">
            <v>အမှတ် (၄၃)၊ သင်္ဘောကျင်း (၇) လမ်း၊ ဒေါပုံမြို့နယ်</v>
          </cell>
          <cell r="I406">
            <v>47000</v>
          </cell>
          <cell r="J406" t="str">
            <v>-</v>
          </cell>
          <cell r="K406">
            <v>47000</v>
          </cell>
          <cell r="L406">
            <v>4000</v>
          </cell>
          <cell r="M406" t="str">
            <v>-</v>
          </cell>
          <cell r="O406" t="str">
            <v>-</v>
          </cell>
          <cell r="P406">
            <v>47000</v>
          </cell>
        </row>
        <row r="407">
          <cell r="C407" t="str">
            <v>D0903-GRS-020</v>
          </cell>
          <cell r="D407" t="str">
            <v>GRS Express</v>
          </cell>
          <cell r="E407" t="str">
            <v>မယုယုနွယ်</v>
          </cell>
          <cell r="F407" t="str">
            <v>09-767310061</v>
          </cell>
          <cell r="G407" t="str">
            <v>တာမွေ</v>
          </cell>
          <cell r="H407" t="str">
            <v>ပညာရေးဆိုင်ရာ စာအုပ်မျိုးစုံရောင်းဝယ်ရေး၊ ဦးချစ်မောင်လမ်းပေါ်၊ အနောက်မြင်းပြိုင်ကွင်းလမ်းဆုံ၊ (Unique Computer ဆိုင် မျက်နှာချင်းဆိုင်)၊ (လမ်းဆုံမှတ်တိုင်)၊ တာမွေမြို့နယ်</v>
          </cell>
          <cell r="I407">
            <v>32500</v>
          </cell>
          <cell r="J407">
            <v>4500</v>
          </cell>
          <cell r="K407">
            <v>37000</v>
          </cell>
          <cell r="L407">
            <v>4000</v>
          </cell>
          <cell r="M407">
            <v>4500</v>
          </cell>
          <cell r="O407" t="str">
            <v>-</v>
          </cell>
          <cell r="P407">
            <v>37000</v>
          </cell>
        </row>
        <row r="408">
          <cell r="C408" t="str">
            <v>D0903-GRS-033</v>
          </cell>
          <cell r="D408" t="str">
            <v>GRS Express</v>
          </cell>
          <cell r="E408" t="str">
            <v>Aye Aye Yuu</v>
          </cell>
          <cell r="F408" t="str">
            <v>09-796969609
 09-969181969</v>
          </cell>
          <cell r="G408" t="str">
            <v>မင်္ဂလာတောင်ညွန့်</v>
          </cell>
          <cell r="H408" t="str">
            <v>တိုက် (၉)၊ အခန်း (၁)၊ စံပယ်လမ်း၊ (ယုဇနပလာဇာအနောက်လမ်း)၊ မင်္ဂလာတောင်ညွန့်မြို့နယ်</v>
          </cell>
          <cell r="I408">
            <v>46000</v>
          </cell>
          <cell r="J408" t="str">
            <v>-</v>
          </cell>
          <cell r="K408">
            <v>46000</v>
          </cell>
          <cell r="L408">
            <v>4000</v>
          </cell>
          <cell r="M408" t="str">
            <v>-</v>
          </cell>
          <cell r="O408" t="str">
            <v>-</v>
          </cell>
          <cell r="P408">
            <v>46000</v>
          </cell>
        </row>
        <row r="409">
          <cell r="C409" t="str">
            <v>D0903-GRS-034</v>
          </cell>
          <cell r="D409" t="str">
            <v>GRS Express</v>
          </cell>
          <cell r="E409" t="str">
            <v>Ma Khine mar</v>
          </cell>
          <cell r="F409" t="str">
            <v>09-250002145</v>
          </cell>
          <cell r="G409" t="str">
            <v>တာမွေ</v>
          </cell>
          <cell r="H409" t="str">
            <v>အမှတ် (၁၂)၊ (၁၅၄) လမ်း၊ တာမွေမြို့နယ်</v>
          </cell>
          <cell r="I409">
            <v>60000</v>
          </cell>
          <cell r="J409">
            <v>4500</v>
          </cell>
          <cell r="K409">
            <v>64500</v>
          </cell>
          <cell r="L409">
            <v>4000</v>
          </cell>
          <cell r="M409">
            <v>4500</v>
          </cell>
          <cell r="O409" t="str">
            <v>-</v>
          </cell>
          <cell r="P409">
            <v>64500</v>
          </cell>
        </row>
        <row r="410">
          <cell r="C410" t="str">
            <v>D0903-GRS-038</v>
          </cell>
          <cell r="D410" t="str">
            <v>GRS Express</v>
          </cell>
          <cell r="E410" t="str">
            <v>Ma Yati Oo</v>
          </cell>
          <cell r="F410" t="str">
            <v>09-972364140</v>
          </cell>
          <cell r="G410" t="str">
            <v>ပုဇွန်တောင်</v>
          </cell>
          <cell r="H410" t="str">
            <v>အမှတ် (၆)၊ သာယာကုန်းလမ်း၊ ပုဇွန်တောင်မြို့နယ်</v>
          </cell>
          <cell r="I410">
            <v>28000</v>
          </cell>
          <cell r="J410">
            <v>4500</v>
          </cell>
          <cell r="K410">
            <v>32500</v>
          </cell>
          <cell r="L410">
            <v>4000</v>
          </cell>
          <cell r="M410">
            <v>4500</v>
          </cell>
          <cell r="O410" t="str">
            <v>-</v>
          </cell>
          <cell r="P410">
            <v>32500</v>
          </cell>
        </row>
        <row r="411">
          <cell r="C411" t="str">
            <v>D0903-GRS-040</v>
          </cell>
          <cell r="D411" t="str">
            <v>GRS Express</v>
          </cell>
          <cell r="E411" t="str">
            <v>Ma Poe Zar Chi Thaung</v>
          </cell>
          <cell r="F411" t="str">
            <v>09-761006371</v>
          </cell>
          <cell r="G411" t="str">
            <v>ဗဟန်း</v>
          </cell>
          <cell r="H411" t="str">
            <v>ဇီဝိတဒါနသံဃာ့ဆေးရုံကြီး၊ စပါးလမ်းထိပ်၊ (ဒံပေါက်ဆိုင်)၊ ဗဟန်းမြို့နယ်</v>
          </cell>
          <cell r="I411">
            <v>9500</v>
          </cell>
          <cell r="J411">
            <v>4500</v>
          </cell>
          <cell r="K411">
            <v>14000</v>
          </cell>
          <cell r="L411">
            <v>4000</v>
          </cell>
          <cell r="M411">
            <v>4500</v>
          </cell>
          <cell r="O411" t="str">
            <v>-</v>
          </cell>
          <cell r="P411">
            <v>14000</v>
          </cell>
        </row>
        <row r="412">
          <cell r="C412" t="str">
            <v>D0903-GRS-041</v>
          </cell>
          <cell r="D412" t="str">
            <v>GRS Express</v>
          </cell>
          <cell r="E412" t="str">
            <v>Ma Aye Myat Yandanar</v>
          </cell>
          <cell r="F412" t="str">
            <v>09-966315542</v>
          </cell>
          <cell r="G412" t="str">
            <v>ဒေါပုံ</v>
          </cell>
          <cell r="H412" t="str">
            <v>အမှတ် (၂၉၅)၊ (၅) လွှာ၊ မင်းနန္ဒာလမ်း၊ (ဒေါပုံတပ်ဖွဲ့မှတ်တိုင်)၊ ဒေါပုံမြို့နယ်</v>
          </cell>
          <cell r="I412">
            <v>59000</v>
          </cell>
          <cell r="J412">
            <v>4500</v>
          </cell>
          <cell r="K412">
            <v>63500</v>
          </cell>
          <cell r="L412">
            <v>4000</v>
          </cell>
          <cell r="M412">
            <v>4500</v>
          </cell>
          <cell r="O412" t="str">
            <v>-</v>
          </cell>
          <cell r="P412">
            <v>63500</v>
          </cell>
        </row>
        <row r="413">
          <cell r="C413" t="str">
            <v>D0903-APA-071</v>
          </cell>
          <cell r="D413" t="str">
            <v>APAC</v>
          </cell>
          <cell r="E413" t="str">
            <v>Mon Mon Soe</v>
          </cell>
          <cell r="F413" t="str">
            <v>09-421117702</v>
          </cell>
          <cell r="G413" t="str">
            <v>မရမ်းကုန်း</v>
          </cell>
          <cell r="H413" t="str">
            <v>အမှတ် - ၂-က၊ ကန်လေးစုလမ်း၊ သမိုင်း၊ မရမ်းကုန်းမြို့နယ်</v>
          </cell>
          <cell r="I413">
            <v>34000</v>
          </cell>
          <cell r="J413" t="str">
            <v>-</v>
          </cell>
          <cell r="K413">
            <v>34000</v>
          </cell>
          <cell r="L413">
            <v>4000</v>
          </cell>
          <cell r="M413" t="str">
            <v>-</v>
          </cell>
          <cell r="O413" t="str">
            <v>-</v>
          </cell>
          <cell r="P413">
            <v>34000</v>
          </cell>
        </row>
        <row r="414">
          <cell r="C414" t="str">
            <v>D0903-FFY-081</v>
          </cell>
          <cell r="D414" t="str">
            <v>Food For U</v>
          </cell>
          <cell r="E414" t="str">
            <v>FeedMAS Livestock Co.,Ltd</v>
          </cell>
          <cell r="F414" t="str">
            <v>09-792054634</v>
          </cell>
          <cell r="G414" t="str">
            <v>ရွှေပြည်သာ</v>
          </cell>
          <cell r="H414" t="str">
            <v>အမှတ် (၇၂)၊ အကွက် (၄၉)၊ သံဒင်းလမ်း၊ ဝါးတရာစက်မှုဇုန်၊ ရွှေပြည်သာမြို့နယ်</v>
          </cell>
          <cell r="I414">
            <v>63000</v>
          </cell>
          <cell r="J414">
            <v>5000</v>
          </cell>
          <cell r="K414">
            <v>68000</v>
          </cell>
          <cell r="L414">
            <v>4500</v>
          </cell>
          <cell r="M414">
            <v>5000</v>
          </cell>
          <cell r="O414" t="str">
            <v>-</v>
          </cell>
          <cell r="P414">
            <v>68000</v>
          </cell>
        </row>
        <row r="415">
          <cell r="C415" t="str">
            <v>D0903-FFY-084</v>
          </cell>
          <cell r="D415" t="str">
            <v>Food For U</v>
          </cell>
          <cell r="E415" t="str">
            <v>ဒေါ်ဝါဝါကျော်</v>
          </cell>
          <cell r="F415" t="str">
            <v>09-791676433</v>
          </cell>
          <cell r="G415" t="str">
            <v>မင်္ဂလာဒုံ</v>
          </cell>
          <cell r="H415" t="str">
            <v>အမှတ် (၁၀၇-၂/၁)၊ ပုလဲလမ်း၊ ထောက်ကြန့်၊ မင်္ဂလာဒုံမြို့နယ်</v>
          </cell>
          <cell r="I415">
            <v>63500</v>
          </cell>
          <cell r="J415">
            <v>4500</v>
          </cell>
          <cell r="K415">
            <v>68000</v>
          </cell>
          <cell r="L415">
            <v>4500</v>
          </cell>
          <cell r="M415">
            <v>4500</v>
          </cell>
          <cell r="O415" t="str">
            <v>-</v>
          </cell>
          <cell r="P415">
            <v>68000</v>
          </cell>
        </row>
        <row r="416">
          <cell r="C416" t="str">
            <v>D0903-APA-090</v>
          </cell>
          <cell r="D416" t="str">
            <v>APAC</v>
          </cell>
          <cell r="E416" t="str">
            <v>Swe Swe</v>
          </cell>
          <cell r="F416" t="str">
            <v>09-257475487</v>
          </cell>
          <cell r="G416" t="str">
            <v>သင်္ဃန်းကျွန်း</v>
          </cell>
          <cell r="H416" t="str">
            <v>ကျိုက္ကဆံဘုရားလမ်း၊ (စံပြဆေးရုံရှေ့)၊ သင်္ဃန်းကျွန်းမြို့နယ်</v>
          </cell>
          <cell r="I416">
            <v>28000</v>
          </cell>
          <cell r="J416">
            <v>4000</v>
          </cell>
          <cell r="K416">
            <v>32000</v>
          </cell>
          <cell r="L416">
            <v>4000</v>
          </cell>
          <cell r="M416">
            <v>4000</v>
          </cell>
          <cell r="O416" t="str">
            <v>-</v>
          </cell>
          <cell r="P416">
            <v>32000</v>
          </cell>
        </row>
        <row r="417">
          <cell r="C417" t="str">
            <v>D0903-SMW-133</v>
          </cell>
          <cell r="D417" t="str">
            <v>ရှု့မဝ</v>
          </cell>
          <cell r="E417" t="str">
            <v>Eizali</v>
          </cell>
          <cell r="F417" t="str">
            <v>09-694478260</v>
          </cell>
          <cell r="G417" t="str">
            <v>ဗဟန်း</v>
          </cell>
          <cell r="H417" t="str">
            <v>ခင်စံပယ်ဦး၊ အမှတ် (၁၀)၊ ရွှေတောင်ကြားလမ်း၊ ဗဟန်းမြို့နယ်</v>
          </cell>
          <cell r="I417">
            <v>21000</v>
          </cell>
          <cell r="J417">
            <v>4000</v>
          </cell>
          <cell r="K417">
            <v>25000</v>
          </cell>
          <cell r="L417">
            <v>4000</v>
          </cell>
          <cell r="M417">
            <v>4000</v>
          </cell>
          <cell r="O417" t="str">
            <v>-</v>
          </cell>
          <cell r="P417">
            <v>25000</v>
          </cell>
        </row>
        <row r="418">
          <cell r="C418" t="str">
            <v>D0903-GGS-136</v>
          </cell>
          <cell r="D418" t="str">
            <v>The Gadget Store</v>
          </cell>
          <cell r="E418" t="str">
            <v>Cas</v>
          </cell>
          <cell r="F418" t="str">
            <v>09-799329296</v>
          </cell>
          <cell r="G418" t="str">
            <v>လှိုင်</v>
          </cell>
          <cell r="H418" t="str">
            <v>မိဘမေတ္တာတိုက်၊ သီရိ (၄) လမ်းထိပ်၊ (ရွှေနေ့သစ်စားသောက်ဆိုင်ဘေး)၊ လှိုင်မြို့နယ်</v>
          </cell>
          <cell r="I418" t="str">
            <v>-</v>
          </cell>
          <cell r="J418">
            <v>4000</v>
          </cell>
          <cell r="K418">
            <v>4000</v>
          </cell>
          <cell r="L418">
            <v>4000</v>
          </cell>
          <cell r="M418">
            <v>4000</v>
          </cell>
          <cell r="O418" t="str">
            <v>-</v>
          </cell>
          <cell r="P418">
            <v>4000</v>
          </cell>
        </row>
        <row r="419">
          <cell r="C419" t="str">
            <v>D0903-GGS-142</v>
          </cell>
          <cell r="D419" t="str">
            <v>The Gadget Store</v>
          </cell>
          <cell r="E419" t="str">
            <v>May Thet Hlaing</v>
          </cell>
          <cell r="F419" t="str">
            <v>09-776299321
 09-894175120</v>
          </cell>
          <cell r="G419" t="str">
            <v>တာမွေ</v>
          </cell>
          <cell r="H419" t="str">
            <v>ပိတောက်ရွှေဝါလမ်း၊ တာမွေလေးရပ်ကွက်၊ တာမွေမြို့နယ်</v>
          </cell>
          <cell r="I419" t="str">
            <v>-</v>
          </cell>
          <cell r="J419">
            <v>4000</v>
          </cell>
          <cell r="K419">
            <v>4000</v>
          </cell>
          <cell r="L419">
            <v>4000</v>
          </cell>
          <cell r="M419">
            <v>4000</v>
          </cell>
          <cell r="O419" t="str">
            <v>-</v>
          </cell>
          <cell r="P419">
            <v>4000</v>
          </cell>
        </row>
        <row r="420">
          <cell r="C420" t="str">
            <v>D0903-MSE-170</v>
          </cell>
          <cell r="D420" t="str">
            <v>မရွှေအိ</v>
          </cell>
          <cell r="E420" t="str">
            <v>ပုံ့ပုံ့</v>
          </cell>
          <cell r="F420" t="str">
            <v>09-987778607</v>
          </cell>
          <cell r="G420" t="str">
            <v>မင်္ဂလာဒုံ</v>
          </cell>
          <cell r="H420" t="str">
            <v>မြတောင်ညို (၁) လမ်း၊ ကြံခင်းစုရပ်ကွက်၊ မင်္ဂလာဒုံမြို့နယ်</v>
          </cell>
          <cell r="I420">
            <v>79000</v>
          </cell>
          <cell r="J420">
            <v>4500</v>
          </cell>
          <cell r="K420">
            <v>83500</v>
          </cell>
          <cell r="L420">
            <v>4500</v>
          </cell>
          <cell r="M420">
            <v>4500</v>
          </cell>
          <cell r="O420" t="str">
            <v>-</v>
          </cell>
          <cell r="P420">
            <v>83500</v>
          </cell>
        </row>
        <row r="421">
          <cell r="C421" t="str">
            <v>D0903-CUY-183</v>
          </cell>
          <cell r="D421" t="str">
            <v>Curvy</v>
          </cell>
          <cell r="E421" t="str">
            <v>Phyo nay Zar Htet</v>
          </cell>
          <cell r="F421" t="str">
            <v>09-255610236
 09-963099707</v>
          </cell>
          <cell r="G421" t="str">
            <v>လှိုင်သာယာ</v>
          </cell>
          <cell r="H421" t="str">
            <v>တိုက် (၃၆၁)၊ အောင်မြေသာယာဘုရားလမ်းသွယ်၊ ပုသိမ်လမ်းမပေါ်၊ (၆) ရပ်ကွက်၊ (ဆောက်လုပ်ရေးမှတ်တိုင်)၊ (တော်ဝင်ဆေးခန်းအနီး)၊ လှိုင်သာယာမြို့နယ်</v>
          </cell>
          <cell r="I421">
            <v>95500</v>
          </cell>
          <cell r="J421">
            <v>4500</v>
          </cell>
          <cell r="K421">
            <v>100000</v>
          </cell>
          <cell r="L421">
            <v>4500</v>
          </cell>
          <cell r="M421">
            <v>4500</v>
          </cell>
          <cell r="O421" t="str">
            <v>-</v>
          </cell>
          <cell r="P421">
            <v>100000</v>
          </cell>
        </row>
        <row r="422">
          <cell r="C422" t="str">
            <v>D0903-CUY-185</v>
          </cell>
          <cell r="D422" t="str">
            <v>Curvy</v>
          </cell>
          <cell r="E422" t="str">
            <v>Ma Hsu</v>
          </cell>
          <cell r="F422" t="str">
            <v>09-444146435</v>
          </cell>
          <cell r="G422" t="str">
            <v>တာမွေ</v>
          </cell>
          <cell r="H422" t="str">
            <v>Royal Holiday Hotel၊ အခန်း (၂၀၄)၊ အမှတ် (၁၆၆)၊ လေးထောင့်ကန်လမ်းမကြီး၊ (တာမွေတံတားဘေး)၊ တာမွေမြို့နယ်</v>
          </cell>
          <cell r="I422">
            <v>30000</v>
          </cell>
          <cell r="J422">
            <v>4000</v>
          </cell>
          <cell r="K422">
            <v>34000</v>
          </cell>
          <cell r="L422">
            <v>4000</v>
          </cell>
          <cell r="M422">
            <v>4000</v>
          </cell>
          <cell r="O422" t="str">
            <v>-</v>
          </cell>
          <cell r="P422">
            <v>34000</v>
          </cell>
        </row>
        <row r="423">
          <cell r="C423" t="str">
            <v>D0903-CTM-189</v>
          </cell>
          <cell r="D423" t="str">
            <v>ချစ်သွန်းသီရိ မေမေ</v>
          </cell>
          <cell r="E423" t="str">
            <v>Waddy Waddy</v>
          </cell>
          <cell r="F423" t="str">
            <v>09-5080215</v>
          </cell>
          <cell r="G423" t="str">
            <v>အင်းစိန်</v>
          </cell>
          <cell r="H423" t="str">
            <v>ပညာသိင်္ဂီသီလရှင်ကျောင်းတိုက်၊ ပညာသိင်္ဂီကျောင်းလမ်း၊ အင်းစိန်မြို့နယ်</v>
          </cell>
          <cell r="I423">
            <v>50000</v>
          </cell>
          <cell r="J423">
            <v>4000</v>
          </cell>
          <cell r="K423">
            <v>54000</v>
          </cell>
          <cell r="L423">
            <v>4000</v>
          </cell>
          <cell r="M423">
            <v>4000</v>
          </cell>
          <cell r="O423" t="str">
            <v>-</v>
          </cell>
          <cell r="P423">
            <v>54000</v>
          </cell>
        </row>
        <row r="424">
          <cell r="C424" t="str">
            <v>D0904-FFY-001</v>
          </cell>
          <cell r="D424" t="str">
            <v>Food For U</v>
          </cell>
          <cell r="E424" t="str">
            <v>Cady</v>
          </cell>
          <cell r="F424" t="str">
            <v>09-79276350</v>
          </cell>
          <cell r="G424" t="str">
            <v>ရွှေပြည်သာ</v>
          </cell>
          <cell r="H424" t="str">
            <v>(ဏ) ဈေး၊ မောင်ညိုလမ်း၊ (သားဖွားဆေးခန်းမှတ်တိုင်)၊ ရွှေပြည်သာမြို့နယ်</v>
          </cell>
          <cell r="I424">
            <v>126000</v>
          </cell>
          <cell r="J424">
            <v>5000</v>
          </cell>
          <cell r="K424">
            <v>131000</v>
          </cell>
          <cell r="L424">
            <v>4500</v>
          </cell>
          <cell r="M424">
            <v>5000</v>
          </cell>
          <cell r="O424" t="str">
            <v>-</v>
          </cell>
          <cell r="P424">
            <v>131000</v>
          </cell>
        </row>
        <row r="425">
          <cell r="C425" t="str">
            <v>D0904-MTC-005</v>
          </cell>
          <cell r="D425" t="str">
            <v>Mommy Top Choice</v>
          </cell>
          <cell r="E425" t="str">
            <v>မဟီနာ</v>
          </cell>
          <cell r="F425" t="str">
            <v>09-453774568</v>
          </cell>
          <cell r="G425" t="str">
            <v>ပန်းဘဲတန်း</v>
          </cell>
          <cell r="H425" t="str">
            <v>အမှတ် (၅၆)၊ မြေညီထပ်၊ (၃၁) လမ်း၊ အောက်ဘလောက်၊ ပန်းဘဲတန်းမြို့နယ်</v>
          </cell>
          <cell r="I425">
            <v>240000</v>
          </cell>
          <cell r="J425">
            <v>4000</v>
          </cell>
          <cell r="K425">
            <v>244000</v>
          </cell>
          <cell r="L425">
            <v>4000</v>
          </cell>
          <cell r="M425">
            <v>4000</v>
          </cell>
          <cell r="N425">
            <v>7</v>
          </cell>
          <cell r="O425">
            <v>2000</v>
          </cell>
          <cell r="P425">
            <v>246000</v>
          </cell>
        </row>
        <row r="426">
          <cell r="C426" t="str">
            <v>D0904-TSW-010</v>
          </cell>
          <cell r="D426" t="str">
            <v>3 &amp; 6 Wholesale</v>
          </cell>
          <cell r="E426" t="str">
            <v>ဦးမြင့်ဦးလှိုင်</v>
          </cell>
          <cell r="F426" t="str">
            <v>09-795183084</v>
          </cell>
          <cell r="G426" t="str">
            <v>သာကေတ</v>
          </cell>
          <cell r="H426" t="str">
            <v>အမှတ် (၈၅၂)၊ ထူပါရုံ (၁၄) လမ်း (အနောက်)၊ သာကေတမြို့နယ်</v>
          </cell>
          <cell r="I426">
            <v>20000</v>
          </cell>
          <cell r="J426">
            <v>4000</v>
          </cell>
          <cell r="K426">
            <v>24000</v>
          </cell>
          <cell r="L426">
            <v>4000</v>
          </cell>
          <cell r="M426">
            <v>4000</v>
          </cell>
          <cell r="O426" t="str">
            <v>-</v>
          </cell>
          <cell r="P426">
            <v>24000</v>
          </cell>
        </row>
        <row r="427">
          <cell r="C427" t="str">
            <v>D0904-TSW-014</v>
          </cell>
          <cell r="D427" t="str">
            <v>3 &amp; 6 Wholesale</v>
          </cell>
          <cell r="E427" t="str">
            <v>အောင်ကိုမင်း</v>
          </cell>
          <cell r="F427" t="str">
            <v>09-250826180</v>
          </cell>
          <cell r="G427" t="str">
            <v>သာကေတ</v>
          </cell>
          <cell r="H427" t="str">
            <v>အမှတ် (၁၀၅၁)၊ မာန်ပြေ (၅) လမ်း (အနောက်)၊ သာကေတမြို့နယ်</v>
          </cell>
          <cell r="I427">
            <v>23000</v>
          </cell>
          <cell r="J427">
            <v>4000</v>
          </cell>
          <cell r="K427">
            <v>27000</v>
          </cell>
          <cell r="L427">
            <v>4000</v>
          </cell>
          <cell r="M427">
            <v>4000</v>
          </cell>
          <cell r="O427" t="str">
            <v>-</v>
          </cell>
          <cell r="P427">
            <v>27000</v>
          </cell>
        </row>
        <row r="428">
          <cell r="C428" t="str">
            <v>D0904-TSW-015</v>
          </cell>
          <cell r="D428" t="str">
            <v>3 &amp; 6 Wholesale</v>
          </cell>
          <cell r="E428" t="str">
            <v>မထက်ထက်အောင်</v>
          </cell>
          <cell r="F428" t="str">
            <v>09-445067933</v>
          </cell>
          <cell r="G428" t="str">
            <v>မင်္ဂလာဒုံ</v>
          </cell>
          <cell r="H428" t="str">
            <v>အမှတ် (၁၁)၊ ပိတောက်လမ်း၊ စမ်းကြီးဝရပ်ကွက်၊ (ဈေးဘူတာ)၊ မင်္ဂလာဒုံမြို့နယ်</v>
          </cell>
          <cell r="I428">
            <v>53000</v>
          </cell>
          <cell r="J428">
            <v>4500</v>
          </cell>
          <cell r="K428">
            <v>57500</v>
          </cell>
          <cell r="L428">
            <v>4500</v>
          </cell>
          <cell r="M428">
            <v>4500</v>
          </cell>
          <cell r="O428" t="str">
            <v>-</v>
          </cell>
          <cell r="P428">
            <v>57500</v>
          </cell>
        </row>
        <row r="429">
          <cell r="C429" t="str">
            <v>D0904-TSW-017</v>
          </cell>
          <cell r="D429" t="str">
            <v>3 &amp; 6 Wholesale</v>
          </cell>
          <cell r="E429" t="str">
            <v>မဝေသင်း</v>
          </cell>
          <cell r="F429" t="str">
            <v>09-898476658</v>
          </cell>
          <cell r="G429" t="str">
            <v>ရွှေပြည်သာ</v>
          </cell>
          <cell r="H429" t="str">
            <v>အောင်မင်္ဂလာလမ်း၊ ပန်းခြံ (၁၅)၊ ရွှေပြည်သာမြို့နယ်</v>
          </cell>
          <cell r="I429">
            <v>32000</v>
          </cell>
          <cell r="J429">
            <v>4500</v>
          </cell>
          <cell r="K429">
            <v>36500</v>
          </cell>
          <cell r="L429">
            <v>4500</v>
          </cell>
          <cell r="M429">
            <v>4500</v>
          </cell>
          <cell r="O429" t="str">
            <v>-</v>
          </cell>
          <cell r="P429">
            <v>36500</v>
          </cell>
        </row>
        <row r="430">
          <cell r="C430" t="str">
            <v>D0904-TSW-022</v>
          </cell>
          <cell r="D430" t="str">
            <v>3 &amp; 6 Wholesale</v>
          </cell>
          <cell r="E430" t="str">
            <v>AZB</v>
          </cell>
          <cell r="F430" t="str">
            <v>09-781617955</v>
          </cell>
          <cell r="G430" t="str">
            <v>မရမ်းကုန်း</v>
          </cell>
          <cell r="H430" t="str">
            <v>အမှတ် (၄၁)၊ အောင်မင်္ဂလာ (၂) လမ်း၊ (ရဲဘော်ဟောင်းမှတ်တိုင်)၊ မရမ်းကုန်းမြို့နယ်</v>
          </cell>
          <cell r="I430">
            <v>19000</v>
          </cell>
          <cell r="J430" t="str">
            <v>-</v>
          </cell>
          <cell r="K430">
            <v>19000</v>
          </cell>
          <cell r="L430">
            <v>4000</v>
          </cell>
          <cell r="M430" t="str">
            <v>-</v>
          </cell>
          <cell r="O430">
            <v>6000</v>
          </cell>
          <cell r="P430">
            <v>25000</v>
          </cell>
        </row>
        <row r="431">
          <cell r="C431" t="str">
            <v>D0904-TSW-032</v>
          </cell>
          <cell r="D431" t="str">
            <v>3 &amp; 6 Wholesale</v>
          </cell>
          <cell r="E431" t="str">
            <v>ဦးဝေလွင်</v>
          </cell>
          <cell r="F431" t="str">
            <v>09-5012087</v>
          </cell>
          <cell r="G431" t="str">
            <v>မရမ်းကုန်း</v>
          </cell>
          <cell r="H431" t="str">
            <v>အမှတ် (26C)၊ ဒေါ်လှပန်းလမ်း၊ (၂) ရပ်ကွက်၊ မရမ်းကုန်းမြို့နယ်</v>
          </cell>
          <cell r="I431">
            <v>50000</v>
          </cell>
          <cell r="J431">
            <v>4000</v>
          </cell>
          <cell r="K431">
            <v>54000</v>
          </cell>
          <cell r="L431">
            <v>4000</v>
          </cell>
          <cell r="M431">
            <v>4000</v>
          </cell>
          <cell r="O431" t="str">
            <v>-</v>
          </cell>
          <cell r="P431">
            <v>54000</v>
          </cell>
        </row>
        <row r="432">
          <cell r="C432" t="str">
            <v>D0904-GGS-033</v>
          </cell>
          <cell r="D432" t="str">
            <v>The Gadget Store</v>
          </cell>
          <cell r="E432" t="str">
            <v>Rayy</v>
          </cell>
          <cell r="F432" t="str">
            <v>09-451258511</v>
          </cell>
          <cell r="G432" t="str">
            <v>ရွှေပြည်သာ</v>
          </cell>
          <cell r="H432" t="str">
            <v>သံဖြူဆိုင်မှတ်တိုင်၊ ရွှေပြည်သာမြို့နယ်</v>
          </cell>
          <cell r="I432">
            <v>15000</v>
          </cell>
          <cell r="J432">
            <v>4500</v>
          </cell>
          <cell r="K432">
            <v>19500</v>
          </cell>
          <cell r="L432">
            <v>4500</v>
          </cell>
          <cell r="M432">
            <v>4500</v>
          </cell>
          <cell r="O432" t="str">
            <v>-</v>
          </cell>
          <cell r="P432">
            <v>19500</v>
          </cell>
        </row>
        <row r="433">
          <cell r="C433" t="str">
            <v>D0904-BBW-035</v>
          </cell>
          <cell r="D433" t="str">
            <v>Baby World</v>
          </cell>
          <cell r="E433" t="str">
            <v>အိမ့်သန္ဒါထွန်း</v>
          </cell>
          <cell r="F433" t="str">
            <v>09-456016397</v>
          </cell>
          <cell r="G433" t="str">
            <v>ဗဟန်း</v>
          </cell>
          <cell r="H433" t="str">
            <v>မြတ်သွန်းရှေ့ဂုဏ်၊ တိုက်မြေညီ (၅)၊ ဗန္ဓုလပင်လမ်းဝိုက်၊ ဗဟန်းမြို့နယ်</v>
          </cell>
          <cell r="I433">
            <v>100000</v>
          </cell>
          <cell r="J433">
            <v>4000</v>
          </cell>
          <cell r="K433">
            <v>104000</v>
          </cell>
          <cell r="L433">
            <v>4000</v>
          </cell>
          <cell r="M433">
            <v>4000</v>
          </cell>
          <cell r="O433" t="str">
            <v>-</v>
          </cell>
          <cell r="P433">
            <v>104000</v>
          </cell>
        </row>
        <row r="434">
          <cell r="C434" t="str">
            <v>D0904-BBW-037</v>
          </cell>
          <cell r="D434" t="str">
            <v>Baby World</v>
          </cell>
          <cell r="E434" t="str">
            <v>Poe Pwint Phyu</v>
          </cell>
          <cell r="F434" t="str">
            <v>09-452898977</v>
          </cell>
          <cell r="G434" t="str">
            <v>လှိုင်သာယာ</v>
          </cell>
          <cell r="H434" t="str">
            <v>ရွှေလင်ပန်းတန်ဖိုးနည်းအိမ်ရာ (အပိုင်း ၁)၊ တိုက် (၂၂)၊ လှိုင်သာယာမြို့နယ်</v>
          </cell>
          <cell r="I434">
            <v>294000</v>
          </cell>
          <cell r="J434">
            <v>4500</v>
          </cell>
          <cell r="K434">
            <v>298500</v>
          </cell>
          <cell r="L434">
            <v>4500</v>
          </cell>
          <cell r="M434">
            <v>4500</v>
          </cell>
          <cell r="O434" t="str">
            <v>-</v>
          </cell>
          <cell r="P434">
            <v>298500</v>
          </cell>
        </row>
        <row r="435">
          <cell r="C435" t="str">
            <v>D0904-BBW-039</v>
          </cell>
          <cell r="D435" t="str">
            <v>Baby World</v>
          </cell>
          <cell r="E435" t="str">
            <v>Nan Tharaphy</v>
          </cell>
          <cell r="F435" t="str">
            <v>09-43130061</v>
          </cell>
          <cell r="G435" t="str">
            <v>မြောက်ဥက္ကလာပ</v>
          </cell>
          <cell r="H435" t="str">
    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    </cell>
          <cell r="I435">
            <v>357600</v>
          </cell>
          <cell r="J435">
            <v>4500</v>
          </cell>
          <cell r="K435">
            <v>362100</v>
          </cell>
          <cell r="L435">
            <v>4500</v>
          </cell>
          <cell r="M435">
            <v>4500</v>
          </cell>
          <cell r="N435">
            <v>4</v>
          </cell>
          <cell r="O435">
            <v>500</v>
          </cell>
          <cell r="P435">
            <v>362600</v>
          </cell>
        </row>
        <row r="436">
          <cell r="C436" t="str">
            <v>D0904-BBW-040</v>
          </cell>
          <cell r="D436" t="str">
            <v>Baby World</v>
          </cell>
          <cell r="E436" t="str">
            <v>Ei Moe</v>
          </cell>
          <cell r="F436" t="str">
            <v>09-41005303</v>
          </cell>
          <cell r="G436" t="str">
            <v>ဂိတ်ချ</v>
          </cell>
          <cell r="H436" t="str">
            <v>Little Dream Baby Shop၊ (ပြုံးပြုံးလေးဂိတ်)၊ သုံးဆယ်</v>
          </cell>
          <cell r="I436" t="str">
            <v>-</v>
          </cell>
          <cell r="J436">
            <v>5000</v>
          </cell>
          <cell r="K436">
            <v>5000</v>
          </cell>
          <cell r="L436">
            <v>5000</v>
          </cell>
          <cell r="M436">
            <v>5000</v>
          </cell>
          <cell r="N436">
            <v>10</v>
          </cell>
          <cell r="O436">
            <v>3500</v>
          </cell>
          <cell r="P436">
            <v>8500</v>
          </cell>
        </row>
        <row r="437">
          <cell r="C437" t="str">
            <v>D0904-BBW-041</v>
          </cell>
          <cell r="D437" t="str">
            <v>Baby World</v>
          </cell>
          <cell r="E437" t="str">
            <v>Ei Thandar Lwin</v>
          </cell>
          <cell r="F437" t="str">
            <v>09-666944400</v>
          </cell>
          <cell r="G437" t="str">
            <v>မြောက်ဥက္ကလာပ</v>
          </cell>
          <cell r="H437" t="str">
            <v>အမှတ် (၂၀၄)၊ ပဲခူးလမ်း၊ (၁၃) ရပ်ကွက်၊ ရွှေပေါက်ကံ၊ မြောက်ဥက္ကလာပမြို့နယ်</v>
          </cell>
          <cell r="I437">
            <v>120000</v>
          </cell>
          <cell r="J437">
            <v>4500</v>
          </cell>
          <cell r="K437">
            <v>124500</v>
          </cell>
          <cell r="L437">
            <v>4500</v>
          </cell>
          <cell r="M437">
            <v>4500</v>
          </cell>
          <cell r="O437" t="str">
            <v>-</v>
          </cell>
          <cell r="P437">
            <v>124500</v>
          </cell>
        </row>
        <row r="438">
          <cell r="C438" t="str">
            <v>D0904-BBW-043</v>
          </cell>
          <cell r="D438" t="str">
            <v>Baby World</v>
          </cell>
          <cell r="E438" t="str">
            <v>Yin Yin Mon</v>
          </cell>
          <cell r="F438" t="str">
            <v>09-977991527</v>
          </cell>
          <cell r="G438" t="str">
            <v>ဗဟန်း</v>
          </cell>
          <cell r="H438" t="str">
            <v>ဆရာစံပလာဇာ၊ ဆရာစံလမ်း နှင့် တက္ကသိုလ်ရိပ်သာလမ်းသစ်ထောင့်၊ ဗဟန်းမြို့နယ်</v>
          </cell>
          <cell r="I438">
            <v>100000</v>
          </cell>
          <cell r="J438">
            <v>4000</v>
          </cell>
          <cell r="K438">
            <v>104000</v>
          </cell>
          <cell r="L438">
            <v>4000</v>
          </cell>
          <cell r="M438">
            <v>4000</v>
          </cell>
          <cell r="O438" t="str">
            <v>-</v>
          </cell>
          <cell r="P438">
            <v>104000</v>
          </cell>
        </row>
        <row r="439">
          <cell r="C439" t="str">
            <v>D0904-BBW-046</v>
          </cell>
          <cell r="D439" t="str">
            <v>Baby World</v>
          </cell>
          <cell r="E439" t="str">
            <v>Hnin Wuit Yee</v>
          </cell>
          <cell r="F439" t="str">
            <v>09-666070196</v>
          </cell>
          <cell r="G439" t="str">
            <v>ဂိတ်ချ</v>
          </cell>
          <cell r="H439" t="str">
            <v>(မအူပင်မြို့နယ် နန်းရတီအထည်ဆိုင် ဇေယျာမင်းကားဂိတ်သို့ တင်ရန်)</v>
          </cell>
          <cell r="I439" t="str">
            <v>-</v>
          </cell>
          <cell r="J439">
            <v>3000</v>
          </cell>
          <cell r="K439">
            <v>3000</v>
          </cell>
          <cell r="L439">
            <v>3000</v>
          </cell>
          <cell r="M439">
            <v>3000</v>
          </cell>
          <cell r="O439" t="str">
            <v>-</v>
          </cell>
          <cell r="P439">
            <v>3000</v>
          </cell>
        </row>
        <row r="440">
          <cell r="C440" t="str">
            <v>D0904-BBW-051</v>
          </cell>
          <cell r="D440" t="str">
            <v>Baby World</v>
          </cell>
          <cell r="E440" t="str">
            <v>Ko Thet</v>
          </cell>
          <cell r="F440" t="str">
            <v>09-773899075</v>
          </cell>
          <cell r="G440" t="str">
            <v>လှိုင်သာယာ</v>
          </cell>
          <cell r="H440" t="str">
            <v>ငွေလမင်းအထည်ဆိုင်၊ (ဈေးမိုးကုတ်ကျောင်းရှေ့)၊ တံတားဖြူ၊ လှိုင်သာယာမြို့နယ်</v>
          </cell>
          <cell r="I440">
            <v>90000</v>
          </cell>
          <cell r="J440">
            <v>4500</v>
          </cell>
          <cell r="K440">
            <v>94500</v>
          </cell>
          <cell r="L440">
            <v>4500</v>
          </cell>
          <cell r="M440">
            <v>4500</v>
          </cell>
          <cell r="O440" t="str">
            <v>-</v>
          </cell>
          <cell r="P440">
            <v>94500</v>
          </cell>
        </row>
        <row r="441">
          <cell r="C441" t="str">
            <v>D0904-BBW-052</v>
          </cell>
          <cell r="D441" t="str">
            <v>Baby World</v>
          </cell>
          <cell r="E441" t="str">
            <v>Moon</v>
          </cell>
          <cell r="F441" t="str">
            <v>09-759661663</v>
          </cell>
          <cell r="G441" t="str">
            <v>မင်္ဂလာတောင်ညွန့်</v>
          </cell>
          <cell r="H441" t="str">
            <v>အမှတ် (၃၅၁)၊ သိမ်ဖြူလမ်း၊ မင်္ဂလာတောင်ညွန့်မြို့နယ်</v>
          </cell>
          <cell r="I441">
            <v>67500</v>
          </cell>
          <cell r="J441">
            <v>4000</v>
          </cell>
          <cell r="K441">
            <v>71500</v>
          </cell>
          <cell r="L441">
            <v>4000</v>
          </cell>
          <cell r="M441">
            <v>4000</v>
          </cell>
          <cell r="O441" t="str">
            <v>-</v>
          </cell>
          <cell r="P441">
            <v>71500</v>
          </cell>
        </row>
        <row r="442">
          <cell r="C442" t="str">
            <v>D0904-BBW-057</v>
          </cell>
          <cell r="D442" t="str">
            <v>Baby World</v>
          </cell>
          <cell r="E442" t="str">
            <v>YJr</v>
          </cell>
          <cell r="F442" t="str">
            <v>09-967467695</v>
          </cell>
          <cell r="G442" t="str">
            <v>ဒေါပုံ</v>
          </cell>
          <cell r="H442" t="str">
            <v>မစန်းစန်းဝင်း၊ အမှတ် (၄၂)၊ ဒေါပုံစာတိုက် (၁) လမ်း၊ ဒေါပုံမြို့နယ်</v>
          </cell>
          <cell r="I442">
            <v>82500</v>
          </cell>
          <cell r="J442">
            <v>4000</v>
          </cell>
          <cell r="K442">
            <v>86500</v>
          </cell>
          <cell r="L442">
            <v>4000</v>
          </cell>
          <cell r="M442">
            <v>4000</v>
          </cell>
          <cell r="O442" t="str">
            <v>-</v>
          </cell>
          <cell r="P442">
            <v>86500</v>
          </cell>
        </row>
        <row r="443">
          <cell r="C443" t="str">
            <v>D0904-BBW-061</v>
          </cell>
          <cell r="D443" t="str">
            <v>Baby World</v>
          </cell>
          <cell r="E443" t="str">
            <v>Angel Queen Lifest</v>
          </cell>
          <cell r="F443" t="str">
            <v>09-793663929</v>
          </cell>
          <cell r="G443" t="str">
            <v>မရမ်းကုန်း</v>
          </cell>
          <cell r="H443" t="str">
            <v>အမှတ် (၃၈)၊ မာယာလမ်း၊ (၂) ရပ်ကွက်၊ မရမ်းကုန်းမြို့နယ်</v>
          </cell>
          <cell r="I443" t="str">
            <v>-</v>
          </cell>
          <cell r="J443">
            <v>4000</v>
          </cell>
          <cell r="K443">
            <v>4000</v>
          </cell>
          <cell r="L443">
            <v>4000</v>
          </cell>
          <cell r="M443">
            <v>4000</v>
          </cell>
          <cell r="O443" t="str">
            <v>-</v>
          </cell>
          <cell r="P443">
            <v>4000</v>
          </cell>
        </row>
        <row r="444">
          <cell r="C444" t="str">
            <v>D0904-BBW-063</v>
          </cell>
          <cell r="D444" t="str">
            <v>Baby World</v>
          </cell>
          <cell r="E444" t="str">
            <v>ကိုဝေယံစက်ပစ္စည်း</v>
          </cell>
          <cell r="F444" t="str">
            <v>09-9983438305</v>
          </cell>
          <cell r="G444" t="str">
            <v>ပန်းဘဲတန်း</v>
          </cell>
          <cell r="H444" t="str">
            <v>Moora၊ (၂၅) လမ်း၊ အောက်ဘလောက်၊ ပန်းဘဲတန်းမြို့နယ်</v>
          </cell>
          <cell r="I444">
            <v>96000</v>
          </cell>
          <cell r="J444">
            <v>4000</v>
          </cell>
          <cell r="K444">
            <v>100000</v>
          </cell>
          <cell r="L444">
            <v>4000</v>
          </cell>
          <cell r="M444">
            <v>4000</v>
          </cell>
          <cell r="O444" t="str">
            <v>-</v>
          </cell>
          <cell r="P444">
            <v>100000</v>
          </cell>
        </row>
        <row r="445">
          <cell r="C445" t="str">
            <v>D0904-BBW-065</v>
          </cell>
          <cell r="D445" t="str">
            <v>Baby World</v>
          </cell>
          <cell r="E445" t="str">
            <v>Thet Htar Wai</v>
          </cell>
          <cell r="F445" t="str">
            <v>09-799520446</v>
          </cell>
          <cell r="G445" t="str">
            <v>မြောက်ဥက္ကလာပ</v>
          </cell>
          <cell r="H445" t="str">
            <v>အမှတ် (C-260)၊ သန္တာလမ်း (ညာဘက်ခြမ်း)၊ မြောက်ဥက္ကလာပမြို့နယ်</v>
          </cell>
          <cell r="I445">
            <v>15000</v>
          </cell>
          <cell r="J445">
            <v>4500</v>
          </cell>
          <cell r="K445">
            <v>19500</v>
          </cell>
          <cell r="L445">
            <v>4500</v>
          </cell>
          <cell r="M445">
            <v>4500</v>
          </cell>
          <cell r="O445" t="str">
            <v>-</v>
          </cell>
          <cell r="P445">
            <v>19500</v>
          </cell>
        </row>
        <row r="446">
          <cell r="C446" t="str">
            <v>D0904-BBW-066</v>
          </cell>
          <cell r="D446" t="str">
            <v>Baby World</v>
          </cell>
          <cell r="E446" t="str">
            <v>Wint Wint Zaw</v>
          </cell>
          <cell r="F446" t="str">
            <v>09-787598298</v>
          </cell>
          <cell r="G446" t="str">
            <v>ကမာရွတ်</v>
          </cell>
          <cell r="H446" t="str">
            <v>ရန်ကုန်တက္ကသိုလ်၊ ကမာရွတ်မြို့နယ်</v>
          </cell>
          <cell r="I446">
            <v>33000</v>
          </cell>
          <cell r="J446">
            <v>4000</v>
          </cell>
          <cell r="K446">
            <v>37000</v>
          </cell>
          <cell r="L446">
            <v>4000</v>
          </cell>
          <cell r="M446">
            <v>4000</v>
          </cell>
          <cell r="O446" t="str">
            <v>-</v>
          </cell>
          <cell r="P446">
            <v>37000</v>
          </cell>
        </row>
        <row r="447">
          <cell r="C447" t="str">
            <v>D0904-BBW-067</v>
          </cell>
          <cell r="D447" t="str">
            <v>Baby World</v>
          </cell>
          <cell r="E447" t="str">
            <v>Hnint Oo Laykha</v>
          </cell>
          <cell r="F447" t="str">
            <v>09-43089139
 09-43128311</v>
          </cell>
          <cell r="G447" t="str">
            <v>သာကေတ</v>
          </cell>
          <cell r="H447" t="str">
            <v>အမှတ် (၃၁)၊ ဈေးလမ်း၊ (၅) ရပ်ကွက်၊ (သာကေတရုပ်ရှင်ရုံအောက်ဘက်)၊ သာကေတမြို့နယ်</v>
          </cell>
          <cell r="I447">
            <v>121000</v>
          </cell>
          <cell r="J447">
            <v>4000</v>
          </cell>
          <cell r="K447">
            <v>125000</v>
          </cell>
          <cell r="L447">
            <v>4000</v>
          </cell>
          <cell r="M447">
            <v>4000</v>
          </cell>
          <cell r="O447" t="str">
            <v>-</v>
          </cell>
          <cell r="P447">
            <v>125000</v>
          </cell>
        </row>
        <row r="448">
          <cell r="C448" t="str">
            <v>D0904-BBW-068</v>
          </cell>
          <cell r="D448" t="str">
            <v>Baby World</v>
          </cell>
          <cell r="E448" t="str">
            <v>Moe Moe</v>
          </cell>
          <cell r="F448" t="str">
            <v>09-790629196</v>
          </cell>
          <cell r="G448" t="str">
            <v>ရွှေပြည်သာ</v>
          </cell>
          <cell r="H448" t="str">
            <v>ရွှေမြန်မာတည်းခိုခန်း၊ မိုချောင်းအိုင် ရွှေဗဟိုပတ်လမ်း၊ ရွှေပြည်သာမြို့နယ်</v>
          </cell>
          <cell r="I448">
            <v>42000</v>
          </cell>
          <cell r="J448">
            <v>4500</v>
          </cell>
          <cell r="K448">
            <v>46500</v>
          </cell>
          <cell r="L448">
            <v>4500</v>
          </cell>
          <cell r="M448">
            <v>4500</v>
          </cell>
          <cell r="O448" t="str">
            <v>-</v>
          </cell>
          <cell r="P448">
            <v>46500</v>
          </cell>
        </row>
        <row r="449">
          <cell r="C449" t="str">
            <v>D0904-KAL-071</v>
          </cell>
          <cell r="D449" t="str">
            <v>ခင့်အလှူ</v>
          </cell>
          <cell r="E449" t="str">
            <v>Bay Bae San</v>
          </cell>
          <cell r="F449" t="str">
            <v>09-765375750</v>
          </cell>
          <cell r="G449" t="str">
            <v>စမ်းချောင်း</v>
          </cell>
          <cell r="H449" t="str">
            <v>အမှတ် (၃၄)၊ ကျိုက်လတ်လမ်း၊ စမ်းချောင်းမြို့နယ်</v>
          </cell>
          <cell r="I449">
            <v>29700</v>
          </cell>
          <cell r="J449">
            <v>4000</v>
          </cell>
          <cell r="K449">
            <v>33700</v>
          </cell>
          <cell r="L449">
            <v>4000</v>
          </cell>
          <cell r="M449">
            <v>4000</v>
          </cell>
          <cell r="O449" t="str">
            <v>-</v>
          </cell>
          <cell r="P449">
            <v>33700</v>
          </cell>
        </row>
        <row r="450">
          <cell r="C450" t="str">
            <v>D0904-KAL-077</v>
          </cell>
          <cell r="D450" t="str">
            <v>ခင့်အလှူ</v>
          </cell>
          <cell r="E450" t="str">
            <v>Khin Khin Mone</v>
          </cell>
          <cell r="F450" t="str">
            <v>09-420157683</v>
          </cell>
          <cell r="G450" t="str">
            <v>အင်းစိန်</v>
          </cell>
          <cell r="H450" t="str">
            <v>အမှတ် (၃၀)၊ သုခနယ်မြေ (၅)၊ ရွာမအနောက်၊ အင်းစိန်မြို့နယ်</v>
          </cell>
          <cell r="I450">
            <v>42000</v>
          </cell>
          <cell r="J450">
            <v>4000</v>
          </cell>
          <cell r="K450">
            <v>46000</v>
          </cell>
          <cell r="L450">
            <v>4000</v>
          </cell>
          <cell r="M450">
            <v>4000</v>
          </cell>
          <cell r="O450" t="str">
            <v>-</v>
          </cell>
          <cell r="P450">
            <v>46000</v>
          </cell>
        </row>
        <row r="451">
          <cell r="C451" t="str">
            <v>D0904-KAL-080</v>
          </cell>
          <cell r="D451" t="str">
            <v>ခင့်အလှူ</v>
          </cell>
          <cell r="E451" t="str">
            <v>Chaw Su</v>
          </cell>
          <cell r="F451" t="str">
            <v>09-5079675
 09-785079675</v>
          </cell>
          <cell r="G451" t="str">
            <v>ကမာရွတ်</v>
          </cell>
          <cell r="H451" t="str">
            <v>Active Gym၊ ထန်းတပင်လမ်း၊ (ဂမုန်းပွင့် မျက်စောင်းထိုး ရတနာမြိုင်အိမ်ရာဆိုင်းဘုတ် တည့်တည့်ဝင် လမ်းဆုံးလျှင် တွေ့မည်)၊ ကမာရွတ်မြို့နယ်</v>
          </cell>
          <cell r="I451">
            <v>29700</v>
          </cell>
          <cell r="J451">
            <v>4000</v>
          </cell>
          <cell r="K451">
            <v>33700</v>
          </cell>
          <cell r="L451">
            <v>4000</v>
          </cell>
          <cell r="M451">
            <v>4000</v>
          </cell>
          <cell r="O451" t="str">
            <v>-</v>
          </cell>
          <cell r="P451">
            <v>33700</v>
          </cell>
        </row>
        <row r="452">
          <cell r="C452" t="str">
            <v>D0904-KAL-082</v>
          </cell>
          <cell r="D452" t="str">
            <v>ခင့်အလှူ</v>
          </cell>
          <cell r="E452" t="str">
            <v>Zin Zin</v>
          </cell>
          <cell r="F452" t="str">
            <v>09-773248208</v>
          </cell>
          <cell r="G452" t="str">
            <v>ရွှေပြည်သာ</v>
          </cell>
          <cell r="H452" t="str">
            <v>ယင်းမာပင်လမ်း၊ (၁၂) ရပ်ကွက်၊ ရွှေပြည်သာမြို့နယ်</v>
          </cell>
          <cell r="I452">
            <v>18000</v>
          </cell>
          <cell r="J452">
            <v>4500</v>
          </cell>
          <cell r="K452">
            <v>22500</v>
          </cell>
          <cell r="L452">
            <v>4500</v>
          </cell>
          <cell r="M452">
            <v>4500</v>
          </cell>
          <cell r="O452" t="str">
            <v>-</v>
          </cell>
          <cell r="P452">
            <v>22500</v>
          </cell>
        </row>
        <row r="453">
          <cell r="C453" t="str">
            <v>D0904-KAL-084</v>
          </cell>
          <cell r="D453" t="str">
            <v>ခင့်အလှူ</v>
          </cell>
          <cell r="E453" t="str">
            <v>Nilar Soe</v>
          </cell>
          <cell r="F453" t="str">
            <v>09-772897855
 09-795574409</v>
          </cell>
          <cell r="G453" t="str">
            <v>လှိုင်</v>
          </cell>
          <cell r="H453" t="str">
            <v>အမှတ် (၁၃၁)၊ အခန်း (4B)၊ သုခလမ်း၊ (စ) လုံးလမ်းသွယ်၊ (၅၁) လမ်း၊ (၆) ရပ်ကွက်၊ လှိုင်မြို့နယ်</v>
          </cell>
          <cell r="I453" t="str">
            <v>-</v>
          </cell>
          <cell r="J453">
            <v>4000</v>
          </cell>
          <cell r="K453">
            <v>4000</v>
          </cell>
          <cell r="L453">
            <v>4000</v>
          </cell>
          <cell r="M453">
            <v>4000</v>
          </cell>
          <cell r="O453" t="str">
            <v>-</v>
          </cell>
          <cell r="P453">
            <v>4000</v>
          </cell>
        </row>
        <row r="454">
          <cell r="C454" t="str">
            <v>D0904-KAL-085</v>
          </cell>
          <cell r="D454" t="str">
            <v>ခင့်အလှူ</v>
          </cell>
          <cell r="E454" t="str">
            <v>Moh Moh Thu</v>
          </cell>
          <cell r="F454" t="str">
            <v>09-421728231</v>
          </cell>
          <cell r="G454" t="str">
            <v>မြောက်ဥက္ကလာပ</v>
          </cell>
          <cell r="H454" t="str">
            <v>အမှတ် (၁၉၃)၊ နှင်းဆီ (၁) လမ်း၊ (၁၇) ရပ်ကွက်၊ ရွှေပေါက်ကံ၊ မြောက်ဥက္ကလာပမြို့နယ်</v>
          </cell>
          <cell r="I454">
            <v>28500</v>
          </cell>
          <cell r="J454">
            <v>4500</v>
          </cell>
          <cell r="K454">
            <v>33000</v>
          </cell>
          <cell r="L454">
            <v>4500</v>
          </cell>
          <cell r="M454">
            <v>4500</v>
          </cell>
          <cell r="O454" t="str">
            <v>-</v>
          </cell>
          <cell r="P454">
            <v>33000</v>
          </cell>
        </row>
        <row r="455">
          <cell r="C455" t="str">
            <v>D0904-KAL-095</v>
          </cell>
          <cell r="D455" t="str">
            <v>ခင့်အလှူ</v>
          </cell>
          <cell r="E455" t="str">
            <v>Goddness</v>
          </cell>
          <cell r="F455" t="str">
            <v>09-403047780
 09-261242848</v>
          </cell>
          <cell r="G455" t="str">
            <v>ဒေါပုံ</v>
          </cell>
          <cell r="H455" t="str">
            <v>အမှတ် (၁၀၇)၊ စံပြ (၃) လမ်း၊ ဒေါပုံမြို့နယ်</v>
          </cell>
          <cell r="I455">
            <v>96000</v>
          </cell>
          <cell r="J455">
            <v>4000</v>
          </cell>
          <cell r="K455">
            <v>100000</v>
          </cell>
          <cell r="L455">
            <v>4000</v>
          </cell>
          <cell r="M455">
            <v>4000</v>
          </cell>
          <cell r="N455">
            <v>7</v>
          </cell>
          <cell r="O455">
            <v>2000</v>
          </cell>
          <cell r="P455">
            <v>102000</v>
          </cell>
        </row>
        <row r="456">
          <cell r="C456" t="str">
            <v>D0904-KAL-097</v>
          </cell>
          <cell r="D456" t="str">
            <v>ခင့်အလှူ</v>
          </cell>
          <cell r="E456" t="str">
            <v>Moh Moh Thu</v>
          </cell>
          <cell r="F456" t="str">
            <v>09-421728231</v>
          </cell>
          <cell r="G456" t="str">
            <v>မြောက်ဥက္ကလာပ</v>
          </cell>
          <cell r="H456" t="str">
            <v>အမှတ် (၁၉၃)၊ နှင်းဆီ (၁) လမ်း၊ (၁၇) ရပ်ကွက်၊ ရွှေပေါက်ကံ၊ မြောက်ဥက္ကလာပမြို့နယ်</v>
          </cell>
          <cell r="I456">
            <v>21000</v>
          </cell>
          <cell r="J456">
            <v>4500</v>
          </cell>
          <cell r="K456">
            <v>25500</v>
          </cell>
          <cell r="L456">
            <v>4500</v>
          </cell>
          <cell r="M456">
            <v>4500</v>
          </cell>
          <cell r="O456" t="str">
            <v>-</v>
          </cell>
          <cell r="P456">
            <v>25500</v>
          </cell>
        </row>
        <row r="457">
          <cell r="C457" t="str">
            <v>D0904-KAL-098</v>
          </cell>
          <cell r="D457" t="str">
            <v>ခင့်အလှူ</v>
          </cell>
          <cell r="E457" t="str">
            <v>Mya Khwar Nyo</v>
          </cell>
          <cell r="F457" t="str">
            <v>09-974820868</v>
          </cell>
          <cell r="G457" t="str">
            <v>အင်းစိန်</v>
          </cell>
          <cell r="H457" t="str">
            <v>အမှတ် (၆၄၁)၊ ညောင်တစ်ပင်လမ်း၊ အောင်ဆန်းရပ်ကွက်၊ အင်းစိန်မြို့နယ်</v>
          </cell>
          <cell r="I457">
            <v>28500</v>
          </cell>
          <cell r="J457">
            <v>4000</v>
          </cell>
          <cell r="K457">
            <v>32500</v>
          </cell>
          <cell r="L457">
            <v>4000</v>
          </cell>
          <cell r="M457">
            <v>4000</v>
          </cell>
          <cell r="O457" t="str">
            <v>-</v>
          </cell>
          <cell r="P457">
            <v>32500</v>
          </cell>
        </row>
        <row r="458">
          <cell r="C458" t="str">
            <v>D0904-KAL-099</v>
          </cell>
          <cell r="D458" t="str">
            <v>ခင့်အလှူ</v>
          </cell>
          <cell r="E458" t="str">
            <v>Myo Htay</v>
          </cell>
          <cell r="F458" t="str">
            <v>09-965190406</v>
          </cell>
          <cell r="G458" t="str">
            <v>သင်္ဃန်းကျွန်း</v>
          </cell>
          <cell r="H458" t="str">
            <v>(ဇ/မြောက်) ရပ်ကွက်၊ (အသင်းတိုက်မှတ်တိုင်အနီး)၊ သင်္ဃန်းကျွန်းမြို့နယ်</v>
          </cell>
          <cell r="I458">
            <v>45000</v>
          </cell>
          <cell r="J458">
            <v>4000</v>
          </cell>
          <cell r="K458">
            <v>49000</v>
          </cell>
          <cell r="L458">
            <v>4000</v>
          </cell>
          <cell r="M458">
            <v>4000</v>
          </cell>
          <cell r="O458" t="str">
            <v>-</v>
          </cell>
          <cell r="P458">
            <v>49000</v>
          </cell>
        </row>
        <row r="459">
          <cell r="C459" t="str">
            <v>D0904-GGS-113</v>
          </cell>
          <cell r="D459" t="str">
            <v>The Gadget Store</v>
          </cell>
          <cell r="E459" t="str">
            <v>Zeck</v>
          </cell>
          <cell r="F459" t="str">
            <v>09-692916160</v>
          </cell>
          <cell r="G459" t="str">
            <v>ဒေါပုံ</v>
          </cell>
          <cell r="H459" t="str">
            <v>မဏ္ဍိုင်လမ်း၊ ဝါဆိုရပ်ကွက်၊ ဒေါပုံမြို့နယ်</v>
          </cell>
          <cell r="I459" t="str">
            <v>-</v>
          </cell>
          <cell r="J459">
            <v>4000</v>
          </cell>
          <cell r="K459">
            <v>4000</v>
          </cell>
          <cell r="L459">
            <v>4000</v>
          </cell>
          <cell r="M459">
            <v>4000</v>
          </cell>
          <cell r="O459" t="str">
            <v>-</v>
          </cell>
          <cell r="P459">
            <v>4000</v>
          </cell>
        </row>
        <row r="460">
          <cell r="C460" t="str">
            <v>D0904-GGS-122</v>
          </cell>
          <cell r="D460" t="str">
            <v>The Gadget Store</v>
          </cell>
          <cell r="E460" t="str">
            <v>Mya Thin Kyu</v>
          </cell>
          <cell r="F460" t="str">
            <v>09-458833310</v>
          </cell>
          <cell r="G460" t="str">
            <v>ရွှေပြည်သာ</v>
          </cell>
          <cell r="H460" t="str">
            <v>အမှတ် (377A)၊ မဟာမြိုင်လမ်း၊ ရွှေပြည်သာမြို့နယ်</v>
          </cell>
          <cell r="I460" t="str">
            <v>-</v>
          </cell>
          <cell r="J460">
            <v>4500</v>
          </cell>
          <cell r="K460">
            <v>4500</v>
          </cell>
          <cell r="L460">
            <v>4500</v>
          </cell>
          <cell r="M460">
            <v>4500</v>
          </cell>
          <cell r="O460" t="str">
            <v>-</v>
          </cell>
          <cell r="P460">
            <v>4500</v>
          </cell>
        </row>
        <row r="461">
          <cell r="C461" t="str">
            <v>D0904-GGS-126</v>
          </cell>
          <cell r="D461" t="str">
            <v>The Gadget Store</v>
          </cell>
          <cell r="E461" t="str">
            <v>Ki Ki</v>
          </cell>
          <cell r="F461" t="str">
            <v>09-662528655
 09-662578655</v>
          </cell>
          <cell r="G461" t="str">
            <v>သာကေတ</v>
          </cell>
          <cell r="H461" t="str">
            <v>အမှတ် (945A)၊ ရှုခင်းသာမြို့ပတ်လမ်း၊ သာကေတမြို့နယ်</v>
          </cell>
          <cell r="I461">
            <v>20800</v>
          </cell>
          <cell r="J461">
            <v>4000</v>
          </cell>
          <cell r="K461">
            <v>24800</v>
          </cell>
          <cell r="L461">
            <v>4000</v>
          </cell>
          <cell r="M461">
            <v>4000</v>
          </cell>
          <cell r="O461" t="str">
            <v>-</v>
          </cell>
          <cell r="P461">
            <v>24800</v>
          </cell>
        </row>
        <row r="462">
          <cell r="C462" t="str">
            <v>D0904-GGS-130</v>
          </cell>
          <cell r="D462" t="str">
            <v>The Gadget Store</v>
          </cell>
          <cell r="E462" t="str">
            <v>Aye Chan moe</v>
          </cell>
          <cell r="F462" t="str">
            <v>09-781825778</v>
          </cell>
          <cell r="G462" t="str">
            <v>ကြည့်မြင်တိုင်</v>
          </cell>
          <cell r="H462" t="str">
            <v>ကမ်းသာယာပလာဇာကွန်ဒို၊ ကမ်းနားလမ်း၊ ကြည့်မြင်တိုင်မြို့နယ်</v>
          </cell>
          <cell r="I462">
            <v>22000</v>
          </cell>
          <cell r="J462">
            <v>4000</v>
          </cell>
          <cell r="K462">
            <v>26000</v>
          </cell>
          <cell r="L462">
            <v>4000</v>
          </cell>
          <cell r="M462">
            <v>4000</v>
          </cell>
          <cell r="O462" t="str">
            <v>-</v>
          </cell>
          <cell r="P462">
            <v>26000</v>
          </cell>
        </row>
        <row r="463">
          <cell r="C463" t="str">
            <v>D0904-GGS-132</v>
          </cell>
          <cell r="D463" t="str">
            <v>The Gadget Store</v>
          </cell>
          <cell r="E463" t="str">
            <v>စန်းပပသင်း</v>
          </cell>
          <cell r="F463" t="str">
            <v>09-255475959
 09-755475759</v>
          </cell>
          <cell r="G463" t="str">
            <v>တာမွေ</v>
          </cell>
          <cell r="H463" t="str">
            <v>အမှတ် (၁၉၇)၊ စက်မှု (၃) လမ်းသွယ် (၂)၊ မေတ္တာညွန့်ရပ်ကွက်၊ တာမွေမြို့နယ်</v>
          </cell>
          <cell r="I463">
            <v>22000</v>
          </cell>
          <cell r="J463">
            <v>4000</v>
          </cell>
          <cell r="K463">
            <v>26000</v>
          </cell>
          <cell r="L463">
            <v>4000</v>
          </cell>
          <cell r="M463">
            <v>4000</v>
          </cell>
          <cell r="O463" t="str">
            <v>-</v>
          </cell>
          <cell r="P463">
            <v>26000</v>
          </cell>
        </row>
        <row r="464">
          <cell r="C464" t="str">
            <v>D0904-GGS-134</v>
          </cell>
          <cell r="D464" t="str">
            <v>The Gadget Store</v>
          </cell>
          <cell r="E464" t="str">
            <v>နန်းအိဝါ</v>
          </cell>
          <cell r="F464" t="str">
            <v>09-400243723</v>
          </cell>
          <cell r="G464" t="str">
            <v>ဒေါပုံ</v>
          </cell>
          <cell r="H464" t="str">
            <v>အမှတ် (၉)၊ မင်္ဂလာသီရိလမ်း၊ ဒေါပုံမြို့နယ်</v>
          </cell>
          <cell r="I464">
            <v>22000</v>
          </cell>
          <cell r="J464">
            <v>4000</v>
          </cell>
          <cell r="K464">
            <v>26000</v>
          </cell>
          <cell r="L464">
            <v>4000</v>
          </cell>
          <cell r="M464">
            <v>4000</v>
          </cell>
          <cell r="O464" t="str">
            <v>-</v>
          </cell>
          <cell r="P464">
            <v>26000</v>
          </cell>
        </row>
        <row r="465">
          <cell r="C465" t="str">
            <v>D0904-GGS-136</v>
          </cell>
          <cell r="D465" t="str">
            <v>The Gadget Store</v>
          </cell>
          <cell r="E465" t="str">
            <v>Tain Yan Khoon Sit</v>
          </cell>
          <cell r="F465" t="str">
            <v>09-980280253</v>
          </cell>
          <cell r="G465" t="str">
            <v>သာကေတ</v>
          </cell>
          <cell r="H465" t="str">
            <v>ရှုခင်းသာအိမ်ရာ၊ သာကေတမြို့နယ်</v>
          </cell>
          <cell r="I465">
            <v>23800</v>
          </cell>
          <cell r="J465">
            <v>4000</v>
          </cell>
          <cell r="K465">
            <v>27800</v>
          </cell>
          <cell r="L465">
            <v>4000</v>
          </cell>
          <cell r="M465">
            <v>4000</v>
          </cell>
          <cell r="O465" t="str">
            <v>-</v>
          </cell>
          <cell r="P465">
            <v>27800</v>
          </cell>
        </row>
        <row r="466">
          <cell r="C466" t="str">
            <v>D0904-GGS-137</v>
          </cell>
          <cell r="D466" t="str">
            <v>The Gadget Store</v>
          </cell>
          <cell r="E466" t="str">
            <v>အာနိသိုဝမ်</v>
          </cell>
          <cell r="F466" t="str">
            <v>09-421163726
 09-421163776</v>
          </cell>
          <cell r="G466" t="str">
            <v>ကြည့်မြင်တိုင်</v>
          </cell>
          <cell r="H466" t="str">
            <v>ကြည့်မြင်တိုင်ညဈေး၊ ကြည့်မြင်တိုင်မြို့နယ်</v>
          </cell>
          <cell r="I466">
            <v>19800</v>
          </cell>
          <cell r="J466">
            <v>4000</v>
          </cell>
          <cell r="K466">
            <v>23800</v>
          </cell>
          <cell r="L466">
            <v>4000</v>
          </cell>
          <cell r="M466">
            <v>4000</v>
          </cell>
          <cell r="O466" t="str">
            <v>-</v>
          </cell>
          <cell r="P466">
            <v>23800</v>
          </cell>
        </row>
        <row r="467">
          <cell r="C467" t="str">
            <v>D0904-GGS-139</v>
          </cell>
          <cell r="D467" t="str">
            <v>The Gadget Store</v>
          </cell>
          <cell r="E467" t="str">
            <v>Ellie</v>
          </cell>
          <cell r="F467" t="str">
            <v>09-5040328</v>
          </cell>
          <cell r="G467" t="str">
            <v>မင်္ဂလာဒုံ</v>
          </cell>
          <cell r="H467" t="str">
            <v>Shal Minimart၊ အမှတ် (၁၅၉)၊ ကရင်ရင်းလမ်း၊ မင်္ဂလာဒုံမြို့နယ်</v>
          </cell>
          <cell r="I467" t="str">
            <v>-</v>
          </cell>
          <cell r="J467">
            <v>4500</v>
          </cell>
          <cell r="K467">
            <v>4500</v>
          </cell>
          <cell r="L467">
            <v>4500</v>
          </cell>
          <cell r="M467">
            <v>4500</v>
          </cell>
          <cell r="O467" t="str">
            <v>-</v>
          </cell>
          <cell r="P467">
            <v>4500</v>
          </cell>
        </row>
        <row r="468">
          <cell r="C468" t="str">
            <v>D0904-GGS-143</v>
          </cell>
          <cell r="D468" t="str">
            <v>The Gadget Store</v>
          </cell>
          <cell r="E468" t="str">
            <v>Su</v>
          </cell>
          <cell r="F468" t="str">
            <v>09-767236769</v>
          </cell>
          <cell r="G468" t="str">
            <v>မြောက်ဥက္ကလာပ</v>
          </cell>
          <cell r="H468" t="str">
            <v>အမှတ် (၄၈)၊ စံပယ်လမ်း၊ (၁၇) ရပ်ကွက်၊ ရွှေပေါက်ကံ၊ မြောက်ဥက္ကလာပမြို့နယ်</v>
          </cell>
          <cell r="I468" t="str">
            <v>-</v>
          </cell>
          <cell r="J468">
            <v>4500</v>
          </cell>
          <cell r="K468">
            <v>4500</v>
          </cell>
          <cell r="L468">
            <v>4500</v>
          </cell>
          <cell r="M468">
            <v>4500</v>
          </cell>
          <cell r="O468" t="str">
            <v>-</v>
          </cell>
          <cell r="P468">
            <v>4500</v>
          </cell>
        </row>
        <row r="469">
          <cell r="C469" t="str">
            <v>D0904-GGS-163</v>
          </cell>
          <cell r="D469" t="str">
            <v>The Gadget Store</v>
          </cell>
          <cell r="E469" t="str">
            <v>Zee Kwet</v>
          </cell>
          <cell r="F469" t="str">
            <v>09-9702111799</v>
          </cell>
          <cell r="G469" t="str">
            <v>မြောက်ဒဂုံ</v>
          </cell>
          <cell r="H469" t="str">
            <v>အမှတ် (၈၀၃)၊ ဗထူးအိမ်ရာ၊ မြောက်ဒဂုံမြို့နယ်</v>
          </cell>
          <cell r="I469" t="str">
            <v>-</v>
          </cell>
          <cell r="J469">
            <v>4000</v>
          </cell>
          <cell r="K469">
            <v>4000</v>
          </cell>
          <cell r="L469">
            <v>4000</v>
          </cell>
          <cell r="M469">
            <v>4000</v>
          </cell>
          <cell r="O469" t="str">
            <v>-</v>
          </cell>
          <cell r="P469">
            <v>4000</v>
          </cell>
        </row>
        <row r="470">
          <cell r="C470" t="str">
            <v>D0904-GGS-164</v>
          </cell>
          <cell r="D470" t="str">
            <v>The Gadget Store</v>
          </cell>
          <cell r="E470" t="str">
            <v>Thet htar San</v>
          </cell>
          <cell r="F470" t="str">
            <v>09-787347209</v>
          </cell>
          <cell r="G470" t="str">
            <v>မရမ်းကုန်း</v>
          </cell>
          <cell r="H470" t="str">
            <v>အမှတ် (၆၅)၊ ကျိုက်ဝိုင်းဘုရားလမ်း၊ မရမ်းကုန်းမြို့နယ်</v>
          </cell>
          <cell r="I470" t="str">
            <v>-</v>
          </cell>
          <cell r="J470" t="str">
            <v>-</v>
          </cell>
          <cell r="K470" t="str">
            <v>-</v>
          </cell>
          <cell r="L470">
            <v>4000</v>
          </cell>
          <cell r="M470" t="str">
            <v>-</v>
          </cell>
          <cell r="O470" t="str">
            <v>-</v>
          </cell>
          <cell r="P470" t="str">
            <v>-</v>
          </cell>
        </row>
        <row r="471">
          <cell r="C471" t="str">
            <v>D0904-GGS-165</v>
          </cell>
          <cell r="D471" t="str">
            <v>The Gadget Store</v>
          </cell>
          <cell r="E471" t="str">
            <v>Phyu Hnin May</v>
          </cell>
          <cell r="F471" t="str">
            <v>09-400111902</v>
          </cell>
          <cell r="G471" t="str">
            <v>ကြည့်မြင်တိုင်</v>
          </cell>
          <cell r="H471" t="str">
            <v>သာဓုလမ်း၊ ကြည့်မြင်တိုင်မြို့နယ်</v>
          </cell>
          <cell r="I471" t="str">
            <v>-</v>
          </cell>
          <cell r="J471" t="str">
            <v>-</v>
          </cell>
          <cell r="K471" t="str">
            <v>-</v>
          </cell>
          <cell r="L471">
            <v>4000</v>
          </cell>
          <cell r="M471" t="str">
            <v>-</v>
          </cell>
          <cell r="O471" t="str">
            <v>-</v>
          </cell>
          <cell r="P471" t="str">
            <v>-</v>
          </cell>
        </row>
        <row r="472">
          <cell r="C472" t="str">
            <v>D0904-GGS-176</v>
          </cell>
          <cell r="D472" t="str">
            <v>The Gadget Store</v>
          </cell>
          <cell r="E472" t="str">
            <v>Ei Phyu</v>
          </cell>
          <cell r="F472" t="str">
            <v>09-765576558</v>
          </cell>
          <cell r="G472" t="str">
            <v>ရွှေပြည်သာ</v>
          </cell>
          <cell r="H472" t="str">
            <v>သာဓုကန်၊ ဇေယျာသီရိ၊ ရွှေပြည်သာမြို့နယ်</v>
          </cell>
          <cell r="I472">
            <v>45000</v>
          </cell>
          <cell r="J472">
            <v>4500</v>
          </cell>
          <cell r="K472">
            <v>49500</v>
          </cell>
          <cell r="L472">
            <v>4500</v>
          </cell>
          <cell r="M472">
            <v>4500</v>
          </cell>
          <cell r="O472" t="str">
            <v>-</v>
          </cell>
          <cell r="P472">
            <v>49500</v>
          </cell>
        </row>
        <row r="473">
          <cell r="C473" t="str">
            <v>D0904-GGS-182</v>
          </cell>
          <cell r="D473" t="str">
            <v>The Gadget Store</v>
          </cell>
          <cell r="E473" t="str">
            <v>မနုနုရီ</v>
          </cell>
          <cell r="F473" t="str">
            <v>09-795339624</v>
          </cell>
          <cell r="G473" t="str">
            <v>ပန်းဘဲတန်း</v>
          </cell>
          <cell r="H473" t="str">
            <v>အမှတ် (၅၃၂/၅၄၂)၊ ပထမထပ်၊ (၂၇) လမ်း နှင့် မဟာဗန္ဓုလလမ်းထောင့်၊ ပန်းဘဲတန်းမြို့နယ်</v>
          </cell>
          <cell r="I473">
            <v>26500</v>
          </cell>
          <cell r="J473">
            <v>4000</v>
          </cell>
          <cell r="K473">
            <v>30500</v>
          </cell>
          <cell r="L473">
            <v>4000</v>
          </cell>
          <cell r="M473">
            <v>4000</v>
          </cell>
          <cell r="O473" t="str">
            <v>-</v>
          </cell>
          <cell r="P473">
            <v>30500</v>
          </cell>
        </row>
        <row r="474">
          <cell r="C474" t="str">
            <v>D0904-GGS-186</v>
          </cell>
          <cell r="D474" t="str">
            <v>The Gadget Store</v>
          </cell>
          <cell r="E474" t="str">
            <v>Adalia</v>
          </cell>
          <cell r="F474" t="str">
            <v>09-989816151
 09-939816151</v>
          </cell>
          <cell r="G474" t="str">
            <v>စမ်းချောင်း</v>
          </cell>
          <cell r="H474" t="str">
            <v>တိုက် (၃)၊ ဇလွန်လမ်း၊ စမ်းချောင်းမြို့နယ်</v>
          </cell>
          <cell r="I474">
            <v>22000</v>
          </cell>
          <cell r="J474">
            <v>4000</v>
          </cell>
          <cell r="K474">
            <v>26000</v>
          </cell>
          <cell r="L474">
            <v>4000</v>
          </cell>
          <cell r="M474">
            <v>4000</v>
          </cell>
          <cell r="O474" t="str">
            <v>-</v>
          </cell>
          <cell r="P474">
            <v>26000</v>
          </cell>
        </row>
        <row r="475">
          <cell r="C475" t="str">
            <v>D0904-GGS-190</v>
          </cell>
          <cell r="D475" t="str">
            <v>The Gadget Store</v>
          </cell>
          <cell r="E475" t="str">
            <v>Christine Kim</v>
          </cell>
          <cell r="F475" t="str">
            <v>09-269000181</v>
          </cell>
          <cell r="G475" t="str">
            <v>[ကမာရွတ်]</v>
          </cell>
          <cell r="H475" t="str">
            <v>ပြည်ရိပ်မွန်အိမ်ရာ၊ တိုက် (၂၂)၊ ကမာရွတ်မြို့နယ်</v>
          </cell>
          <cell r="I475" t="str">
            <v>-</v>
          </cell>
          <cell r="J475" t="str">
            <v>-</v>
          </cell>
          <cell r="K475" t="str">
            <v>-</v>
          </cell>
          <cell r="M475" t="str">
            <v>-</v>
          </cell>
          <cell r="O475" t="str">
            <v>-</v>
          </cell>
          <cell r="P475" t="str">
            <v>-</v>
          </cell>
        </row>
        <row r="476">
          <cell r="C476" t="str">
            <v>D0904-GGS-194</v>
          </cell>
          <cell r="D476" t="str">
            <v>The Gadget Store</v>
          </cell>
          <cell r="E476" t="str">
            <v>Linn Soe Ko</v>
          </cell>
          <cell r="F476" t="str">
            <v>09-756828210</v>
          </cell>
          <cell r="G476" t="str">
            <v>တာမွေ</v>
          </cell>
          <cell r="H476" t="str">
            <v>အမှတ် (၁၃၇)၊ မအူကုန်းလမ်းကျယ်၊ တာမွေမြို့နယ်</v>
          </cell>
          <cell r="I476">
            <v>22000</v>
          </cell>
          <cell r="J476">
            <v>4000</v>
          </cell>
          <cell r="K476">
            <v>26000</v>
          </cell>
          <cell r="L476">
            <v>4000</v>
          </cell>
          <cell r="M476">
            <v>4000</v>
          </cell>
          <cell r="O476" t="str">
            <v>-</v>
          </cell>
          <cell r="P476">
            <v>26000</v>
          </cell>
        </row>
        <row r="477">
          <cell r="C477" t="str">
            <v>D0904-GGS-199</v>
          </cell>
          <cell r="D477" t="str">
            <v>The Gadget Store</v>
          </cell>
          <cell r="E477" t="str">
            <v>Soe Thiri Aung</v>
          </cell>
          <cell r="F477" t="str">
            <v>09-2564750115</v>
          </cell>
          <cell r="G477" t="str">
            <v>ကမာရွတ်</v>
          </cell>
          <cell r="H477" t="str">
            <v>တိုက် (၁၇)၊ ဗဟိုလမ်း၊ လှည်းတန်း၊ (ဆိုက်ကားဂိတ်မှတ်တိုင်)၊ ကမာရွတ်မြို့နယ်</v>
          </cell>
          <cell r="I477" t="str">
            <v>-</v>
          </cell>
          <cell r="J477">
            <v>4000</v>
          </cell>
          <cell r="K477">
            <v>4000</v>
          </cell>
          <cell r="L477">
            <v>4000</v>
          </cell>
          <cell r="M477">
            <v>4000</v>
          </cell>
          <cell r="O477" t="str">
            <v>-</v>
          </cell>
          <cell r="P477">
            <v>4000</v>
          </cell>
        </row>
        <row r="478">
          <cell r="C478" t="str">
            <v>D0904-GGS-200</v>
          </cell>
          <cell r="D478" t="str">
            <v>The Gadget Store</v>
          </cell>
          <cell r="E478" t="str">
            <v>Pyae Mon Mon Ko</v>
          </cell>
          <cell r="F478" t="str">
            <v>09-791269041</v>
          </cell>
          <cell r="G478" t="str">
            <v>ဗိုလ်တထောင်</v>
          </cell>
          <cell r="H478" t="str">
            <v>အမှတ် (၁၀/၁၂)၊ မြေညီထပ်၊ (၄) ရပ်ကွက်၊ ဗိုလ်တထောင်မြို့နယ်</v>
          </cell>
          <cell r="I478">
            <v>20800</v>
          </cell>
          <cell r="J478">
            <v>4000</v>
          </cell>
          <cell r="K478">
            <v>24800</v>
          </cell>
          <cell r="L478">
            <v>4000</v>
          </cell>
          <cell r="M478">
            <v>4000</v>
          </cell>
          <cell r="O478" t="str">
            <v>-</v>
          </cell>
          <cell r="P478">
            <v>24800</v>
          </cell>
        </row>
        <row r="479">
          <cell r="C479" t="str">
            <v>D0904-GGS-204</v>
          </cell>
          <cell r="D479" t="str">
            <v>The Gadget Store</v>
          </cell>
          <cell r="E479" t="str">
            <v>Eaint Thae</v>
          </cell>
          <cell r="F479" t="str">
            <v>09-955024644</v>
          </cell>
          <cell r="G479" t="str">
            <v>လှိုင်</v>
          </cell>
          <cell r="H479" t="str">
            <v>စီးပွားရေးတက္ကသိုလ်၊ လှိုင်မြို့နယ်</v>
          </cell>
          <cell r="I479">
            <v>57000</v>
          </cell>
          <cell r="J479">
            <v>4000</v>
          </cell>
          <cell r="K479">
            <v>61000</v>
          </cell>
          <cell r="L479">
            <v>4000</v>
          </cell>
          <cell r="M479">
            <v>4000</v>
          </cell>
          <cell r="O479" t="str">
            <v>-</v>
          </cell>
          <cell r="P479">
            <v>61000</v>
          </cell>
        </row>
        <row r="480">
          <cell r="C480" t="str">
            <v>D0904-GGS-211</v>
          </cell>
          <cell r="D480" t="str">
            <v>The Gadget Store</v>
          </cell>
          <cell r="E480" t="str">
            <v>ဝေဝေကျော်</v>
          </cell>
          <cell r="F480" t="str">
            <v>09-975392284</v>
          </cell>
          <cell r="G480" t="str">
            <v>သာကေတ</v>
          </cell>
          <cell r="H480" t="str">
            <v>အမှတ် (၅၈)၊ ပတ္တမြားလမ်း၊ (ခိုင်ရွှေဝါမှတ်တိုင်)၊ သာကေတမြို့နယ်</v>
          </cell>
          <cell r="I480">
            <v>22000</v>
          </cell>
          <cell r="J480">
            <v>4000</v>
          </cell>
          <cell r="K480">
            <v>26000</v>
          </cell>
          <cell r="L480">
            <v>4000</v>
          </cell>
          <cell r="M480">
            <v>4000</v>
          </cell>
          <cell r="O480" t="str">
            <v>-</v>
          </cell>
          <cell r="P480">
            <v>26000</v>
          </cell>
        </row>
        <row r="481">
          <cell r="C481" t="str">
            <v>D0904-GGS-212</v>
          </cell>
          <cell r="D481" t="str">
            <v>The Gadget Store</v>
          </cell>
          <cell r="E481" t="str">
            <v>Thin Htet Htet Aung</v>
          </cell>
          <cell r="F481" t="str">
            <v>09-775494112</v>
          </cell>
          <cell r="G481" t="str">
            <v>မြောက်ဥက္ကလာပ</v>
          </cell>
          <cell r="H481" t="str">
            <v>အမှတ် (၂၃၁)၊ ဥက္ကာ (၈) လမ်း၊ (ဆေး ၂ ရှေ့)၊ မြောက်ဥက္ကလာပမြို့နယ်</v>
          </cell>
          <cell r="I481">
            <v>22800</v>
          </cell>
          <cell r="J481">
            <v>4500</v>
          </cell>
          <cell r="K481">
            <v>27300</v>
          </cell>
          <cell r="L481">
            <v>4500</v>
          </cell>
          <cell r="M481">
            <v>4500</v>
          </cell>
          <cell r="O481" t="str">
            <v>-</v>
          </cell>
          <cell r="P481">
            <v>27300</v>
          </cell>
        </row>
        <row r="482">
          <cell r="C482" t="str">
            <v>D0904-GGS-213</v>
          </cell>
          <cell r="D482" t="str">
            <v>The Gadget Store</v>
          </cell>
          <cell r="E482" t="str">
            <v>Thazin Phoo</v>
          </cell>
          <cell r="F482" t="str">
            <v>09-885107524</v>
          </cell>
          <cell r="G482" t="str">
            <v>သာကေတ</v>
          </cell>
          <cell r="H482" t="str">
            <v>အမှတ် (၂၄/၂၆)၊ ပထမထပ်၊ ရန်အောင်လမ်း၊ (၃/ရန်ပြေ)၊ သာကေတမြို့နယ်</v>
          </cell>
          <cell r="I482">
            <v>19500</v>
          </cell>
          <cell r="J482">
            <v>4000</v>
          </cell>
          <cell r="K482">
            <v>23500</v>
          </cell>
          <cell r="L482">
            <v>4000</v>
          </cell>
          <cell r="M482">
            <v>4000</v>
          </cell>
          <cell r="O482" t="str">
            <v>-</v>
          </cell>
          <cell r="P482">
            <v>23500</v>
          </cell>
        </row>
        <row r="483">
          <cell r="C483" t="str">
            <v>D0904-GGS-217</v>
          </cell>
          <cell r="D483" t="str">
            <v>The Gadget Store</v>
          </cell>
          <cell r="E483" t="str">
            <v>ဂျာဆိုင်းမွန်း</v>
          </cell>
          <cell r="F483" t="str">
            <v>09-799012692</v>
          </cell>
          <cell r="G483" t="str">
            <v>စမ်းချောင်း</v>
          </cell>
          <cell r="H483" t="str">
            <v>ဗဟိုလမ်း၊ (YGN Gym အနီး)၊ စမ်းချောင်းမြို့နယ်</v>
          </cell>
          <cell r="I483">
            <v>20500</v>
          </cell>
          <cell r="J483">
            <v>4000</v>
          </cell>
          <cell r="K483">
            <v>24500</v>
          </cell>
          <cell r="L483">
            <v>4000</v>
          </cell>
          <cell r="M483">
            <v>4000</v>
          </cell>
          <cell r="O483" t="str">
            <v>-</v>
          </cell>
          <cell r="P483">
            <v>24500</v>
          </cell>
        </row>
        <row r="484">
          <cell r="C484" t="str">
            <v>D0904-GGS-218</v>
          </cell>
          <cell r="D484" t="str">
            <v>The Gadget Store</v>
          </cell>
          <cell r="E484" t="str">
            <v>Moe Wai Hin</v>
          </cell>
          <cell r="F484" t="str">
            <v>09-760389418</v>
          </cell>
          <cell r="G484" t="str">
            <v>တောင်ဥက္ကလာပ</v>
          </cell>
          <cell r="H484" t="str">
            <v>(စီမံကိန်းမှတ်တိုင်အနီး)၊ တောင်ဥက္ကလာပမြို့နယ်</v>
          </cell>
          <cell r="I484" t="str">
            <v>-</v>
          </cell>
          <cell r="J484">
            <v>4000</v>
          </cell>
          <cell r="K484">
            <v>4000</v>
          </cell>
          <cell r="L484">
            <v>4000</v>
          </cell>
          <cell r="M484">
            <v>4000</v>
          </cell>
          <cell r="O484" t="str">
            <v>-</v>
          </cell>
          <cell r="P484">
            <v>4000</v>
          </cell>
        </row>
        <row r="485">
          <cell r="C485" t="str">
            <v>D0904-GGS-223</v>
          </cell>
          <cell r="D485" t="str">
            <v>The Gadget Store</v>
          </cell>
          <cell r="E485" t="str">
            <v>Phyo Myat</v>
          </cell>
          <cell r="F485" t="str">
            <v>09-768960629</v>
          </cell>
          <cell r="G485" t="str">
            <v>မင်္ဂလာဒုံ</v>
          </cell>
          <cell r="H485" t="str">
            <v>ထောက်ကြန့်တိုးချဲ့ (၃) ရပ်ကွက်၊ မင်္ဂလာဒုံမြို့နယ်</v>
          </cell>
          <cell r="I485" t="str">
            <v>-</v>
          </cell>
          <cell r="J485">
            <v>4500</v>
          </cell>
          <cell r="K485">
            <v>4500</v>
          </cell>
          <cell r="L485">
            <v>4500</v>
          </cell>
          <cell r="M485">
            <v>4500</v>
          </cell>
          <cell r="O485" t="str">
            <v>-</v>
          </cell>
          <cell r="P485">
            <v>4500</v>
          </cell>
        </row>
        <row r="486">
          <cell r="C486" t="str">
            <v>D0904-GGS-229</v>
          </cell>
          <cell r="D486" t="str">
            <v>The Gadget Store</v>
          </cell>
          <cell r="E486" t="str">
            <v>Emma</v>
          </cell>
          <cell r="F486" t="str">
            <v>09-454200264</v>
          </cell>
          <cell r="G486" t="str">
            <v>မင်္ဂလာဒုံ</v>
          </cell>
          <cell r="H486" t="str">
            <v>အမှတ် (၂၃၉)၊ ကံ့ကော်ရိပ်သာ (၁) လမ်း၊ မင်္ဂလာဒုံမြို့နယ်</v>
          </cell>
          <cell r="I486">
            <v>19800</v>
          </cell>
          <cell r="J486">
            <v>4500</v>
          </cell>
          <cell r="K486">
            <v>24300</v>
          </cell>
          <cell r="L486">
            <v>4500</v>
          </cell>
          <cell r="M486">
            <v>4500</v>
          </cell>
          <cell r="O486" t="str">
            <v>-</v>
          </cell>
          <cell r="P486">
            <v>24300</v>
          </cell>
        </row>
        <row r="487">
          <cell r="C487" t="str">
            <v>D0904-GGS-230</v>
          </cell>
          <cell r="D487" t="str">
            <v>The Gadget Store</v>
          </cell>
          <cell r="E487" t="str">
            <v>Zun Wady</v>
          </cell>
          <cell r="F487" t="str">
            <v>09-960944306
 09-775427294</v>
          </cell>
          <cell r="G487" t="str">
            <v>မြောက်ဥက္ကလာပ</v>
          </cell>
          <cell r="H487" t="str">
            <v>အမှတ် (၆၄၅)၊ အိန္ဒြာ (၅) လမ်း၊ မြောက်ဥက္ကလာပမြို့နယ်</v>
          </cell>
          <cell r="I487">
            <v>30000</v>
          </cell>
          <cell r="J487">
            <v>4500</v>
          </cell>
          <cell r="K487">
            <v>34500</v>
          </cell>
          <cell r="L487">
            <v>4500</v>
          </cell>
          <cell r="M487">
            <v>4500</v>
          </cell>
          <cell r="O487" t="str">
            <v>-</v>
          </cell>
          <cell r="P487">
            <v>34500</v>
          </cell>
        </row>
        <row r="488">
          <cell r="C488" t="str">
            <v>D0904-GGS-235</v>
          </cell>
          <cell r="D488" t="str">
            <v>The Gadget Store</v>
          </cell>
          <cell r="E488" t="str">
            <v>Sandy Kyaw Win</v>
          </cell>
          <cell r="F488" t="str">
            <v>09-895360199</v>
          </cell>
          <cell r="G488" t="str">
            <v>စမ်းချောင်း</v>
          </cell>
          <cell r="H488" t="str">
            <v>အမှတ် (၄၀)၊ သုခလမ်း၊ မြေနီကုန်း၊ စမ်းချောင်းမြို့နယ်</v>
          </cell>
          <cell r="I488">
            <v>22000</v>
          </cell>
          <cell r="J488">
            <v>4000</v>
          </cell>
          <cell r="K488">
            <v>26000</v>
          </cell>
          <cell r="L488">
            <v>4000</v>
          </cell>
          <cell r="M488">
            <v>4000</v>
          </cell>
          <cell r="O488" t="str">
            <v>-</v>
          </cell>
          <cell r="P488">
            <v>26000</v>
          </cell>
        </row>
        <row r="489">
          <cell r="C489" t="str">
            <v>D0904-GGS-238</v>
          </cell>
          <cell r="D489" t="str">
            <v>The Gadget Store</v>
          </cell>
          <cell r="E489" t="str">
            <v>Val Shay</v>
          </cell>
          <cell r="F489" t="str">
            <v>09-667712003</v>
          </cell>
          <cell r="G489" t="str">
            <v>သာကေတ</v>
          </cell>
          <cell r="H489" t="str">
            <v>တိုက် (၁၆)၊ တက်လမ်းအိမ်ရာ၊ ရတနာလမ်း၊ သာကေတမြို့နယ်</v>
          </cell>
          <cell r="I489">
            <v>22000</v>
          </cell>
          <cell r="J489">
            <v>4000</v>
          </cell>
          <cell r="K489">
            <v>26000</v>
          </cell>
          <cell r="L489">
            <v>4000</v>
          </cell>
          <cell r="M489">
            <v>4000</v>
          </cell>
          <cell r="O489" t="str">
            <v>-</v>
          </cell>
          <cell r="P489">
            <v>26000</v>
          </cell>
        </row>
        <row r="490">
          <cell r="C490" t="str">
            <v>D0904-GGS-239</v>
          </cell>
          <cell r="D490" t="str">
            <v>The Gadget Store</v>
          </cell>
          <cell r="E490" t="str">
            <v>Shune Lei Wutyi</v>
          </cell>
          <cell r="F490" t="str">
            <v>09-973357145</v>
          </cell>
          <cell r="G490" t="str">
            <v>ဒေါပုံ</v>
          </cell>
          <cell r="H490" t="str">
            <v>အမှတ် (၆၁)၊ ဗိုလ်တေဇလမ်း၊ ဗိုလ်ထွန်းဇံရပ်ကွက်၊ ဒေါပုံမြို့နယ်</v>
          </cell>
          <cell r="I490">
            <v>20800</v>
          </cell>
          <cell r="J490">
            <v>4000</v>
          </cell>
          <cell r="K490">
            <v>24800</v>
          </cell>
          <cell r="L490">
            <v>4000</v>
          </cell>
          <cell r="M490">
            <v>4000</v>
          </cell>
          <cell r="O490" t="str">
            <v>-</v>
          </cell>
          <cell r="P490">
            <v>24800</v>
          </cell>
        </row>
        <row r="491">
          <cell r="C491" t="str">
            <v>D0904-GGS-242</v>
          </cell>
          <cell r="D491" t="str">
            <v>The Gadget Store</v>
          </cell>
          <cell r="E491" t="str">
            <v>မြဖူးခင်</v>
          </cell>
          <cell r="F491" t="str">
            <v>09-400971144</v>
          </cell>
          <cell r="G491" t="str">
            <v>ရန်ကင်း</v>
          </cell>
          <cell r="H491" t="str">
            <v>တိုက် (၂၉၃)၊ အခန်း (၁၁)၊ ရန်အောင် (၂) လမ်း၊ အရှေ့ရန်ကင်း၊ ရန်ကင်းမြို့နယ်</v>
          </cell>
          <cell r="I491">
            <v>76400</v>
          </cell>
          <cell r="J491">
            <v>4000</v>
          </cell>
          <cell r="K491">
            <v>80400</v>
          </cell>
          <cell r="L491">
            <v>4000</v>
          </cell>
          <cell r="M491">
            <v>4000</v>
          </cell>
          <cell r="O491" t="str">
            <v>-</v>
          </cell>
          <cell r="P491">
            <v>80400</v>
          </cell>
        </row>
        <row r="492">
          <cell r="C492" t="str">
            <v>D0904-GGS-243</v>
          </cell>
          <cell r="D492" t="str">
            <v>The Gadget Store</v>
          </cell>
          <cell r="E492" t="str">
            <v>Molly</v>
          </cell>
          <cell r="F492" t="str">
            <v>09-959943472</v>
          </cell>
          <cell r="G492" t="str">
            <v>ရွှေပြည်သာ</v>
          </cell>
          <cell r="H492" t="str">
            <v>ပန်းခြံ (၃၀) လမ်း၊ တ (၁၅) ရပ်ကွက်၊ ရွှေပြည်သာမြို့နယ်</v>
          </cell>
          <cell r="I492">
            <v>126700</v>
          </cell>
          <cell r="J492">
            <v>4500</v>
          </cell>
          <cell r="K492">
            <v>131200</v>
          </cell>
          <cell r="L492">
            <v>4500</v>
          </cell>
          <cell r="M492">
            <v>4500</v>
          </cell>
          <cell r="O492" t="str">
            <v>-</v>
          </cell>
          <cell r="P492">
            <v>131200</v>
          </cell>
        </row>
        <row r="493">
          <cell r="C493" t="str">
            <v>D0904-SHA-246</v>
          </cell>
          <cell r="D493" t="str">
            <v>မေသျှား</v>
          </cell>
          <cell r="E493" t="str">
            <v>Ma Wyne Cho</v>
          </cell>
          <cell r="F493" t="str">
            <v>09-678601818</v>
          </cell>
          <cell r="G493" t="str">
            <v>မြောက်ဥက္ကလာပ</v>
          </cell>
          <cell r="H493" t="str">
            <v>ခိုင်ရွှေဝါ (၃) လမ်း၊ (ဓမ္မာရုံမှတ်တိုင်နောက်)၊ မြောက်ဥက္ကလာပမြို့နယ်</v>
          </cell>
          <cell r="I493">
            <v>13000</v>
          </cell>
          <cell r="J493">
            <v>4500</v>
          </cell>
          <cell r="K493">
            <v>17500</v>
          </cell>
          <cell r="L493">
            <v>4500</v>
          </cell>
          <cell r="M493">
            <v>4500</v>
          </cell>
          <cell r="O493" t="str">
            <v>-</v>
          </cell>
          <cell r="P493">
            <v>17500</v>
          </cell>
        </row>
        <row r="494">
          <cell r="C494" t="str">
            <v>D0904-SHA-247</v>
          </cell>
          <cell r="D494" t="str">
            <v>မေသျှား</v>
          </cell>
          <cell r="E494" t="str">
            <v>Ma Hsu Htet Oo</v>
          </cell>
          <cell r="F494" t="str">
            <v>09-980904476</v>
          </cell>
          <cell r="G494" t="str">
            <v>မြောက်ဥက္ကလာပ</v>
          </cell>
          <cell r="H494" t="str">
            <v>အမှတ် (၃၅၉)၊ ရဲမျိုးကျော်သူရလမ်း၊ (၁၄/၁၅) ရပ်ကွက်၊ ရွှေပေါက်ကံ၊ မြောက်ဥက္ကလာပမြို့နယ်</v>
          </cell>
          <cell r="I494">
            <v>40000</v>
          </cell>
          <cell r="J494">
            <v>4500</v>
          </cell>
          <cell r="K494">
            <v>44500</v>
          </cell>
          <cell r="L494">
            <v>4500</v>
          </cell>
          <cell r="M494">
            <v>4500</v>
          </cell>
          <cell r="O494" t="str">
            <v>-</v>
          </cell>
          <cell r="P494">
            <v>44500</v>
          </cell>
        </row>
        <row r="495">
          <cell r="C495" t="str">
            <v>D0904-SHA-248</v>
          </cell>
          <cell r="D495" t="str">
            <v>မေသျှား</v>
          </cell>
          <cell r="E495" t="str">
            <v>Ma Hein Htet</v>
          </cell>
          <cell r="F495" t="str">
            <v>09-698805511</v>
          </cell>
          <cell r="G495" t="str">
            <v>မင်္ဂလာဒုံ</v>
          </cell>
          <cell r="H495" t="str">
            <v>ကျိုက်ကလဲ့ဘုရားလမ်းဘေး၊ (အရိယကျောင်းရှေ့)၊ မင်္ဂလာဒုံမြို့နယ်</v>
          </cell>
          <cell r="I495">
            <v>17000</v>
          </cell>
          <cell r="J495">
            <v>4500</v>
          </cell>
          <cell r="K495">
            <v>21500</v>
          </cell>
          <cell r="L495">
            <v>4500</v>
          </cell>
          <cell r="M495">
            <v>4500</v>
          </cell>
          <cell r="O495" t="str">
            <v>-</v>
          </cell>
          <cell r="P495">
            <v>21500</v>
          </cell>
        </row>
        <row r="496">
          <cell r="C496" t="str">
            <v>D0904-KSH-252</v>
          </cell>
          <cell r="D496" t="str">
            <v>ကျော်စိုးဟိန်း</v>
          </cell>
          <cell r="E496" t="str">
            <v>စံပယ်ဖြူ/Bra And Underwear Store</v>
          </cell>
          <cell r="F496" t="str">
            <v>09-420777315</v>
          </cell>
          <cell r="G496" t="str">
            <v>မြောက်ဒဂုံ</v>
          </cell>
          <cell r="H496" t="str">
            <v>မဟာမြိုင်အိမ်ရာ၊ တိုက် (47-B-1)၊ မဟာမြိုင်မနက်ဈေးလမ်း၊ မြောက်ဒဂုံမြို့နယ်</v>
          </cell>
          <cell r="I496" t="str">
            <v>-</v>
          </cell>
          <cell r="J496">
            <v>4000</v>
          </cell>
          <cell r="K496">
            <v>4000</v>
          </cell>
          <cell r="L496">
            <v>4000</v>
          </cell>
          <cell r="M496">
            <v>4000</v>
          </cell>
          <cell r="N496">
            <v>6</v>
          </cell>
          <cell r="O496">
            <v>1500</v>
          </cell>
          <cell r="P496">
            <v>5500</v>
          </cell>
        </row>
        <row r="497">
          <cell r="C497" t="str">
            <v>D0904-KSC-254</v>
          </cell>
          <cell r="D497" t="str">
            <v>KS Cosmetic</v>
          </cell>
          <cell r="E497" t="str">
            <v>17. Thukha mg mg</v>
          </cell>
          <cell r="F497" t="str">
            <v>09-795581800</v>
          </cell>
          <cell r="G497" t="str">
            <v>မြောက်ဥက္ကလာပ</v>
          </cell>
          <cell r="H497" t="str">
            <v>အမှတ် (၄၂၇)၊ အင်းဝလမ်း၊ (၁၆) ရပ်ကွက်၊ ရွှေပေါက်ကံ၊ မြောက်ဥက္ကလာပမြို့နယ်</v>
          </cell>
          <cell r="I497">
            <v>39500</v>
          </cell>
          <cell r="J497">
            <v>4500</v>
          </cell>
          <cell r="K497">
            <v>44000</v>
          </cell>
          <cell r="L497">
            <v>4500</v>
          </cell>
          <cell r="M497">
            <v>4500</v>
          </cell>
          <cell r="O497" t="str">
            <v>-</v>
          </cell>
          <cell r="P497">
            <v>44000</v>
          </cell>
        </row>
        <row r="498">
          <cell r="C498" t="str">
            <v>D0904-KSC-255</v>
          </cell>
          <cell r="D498" t="str">
            <v>KS Cosmetic</v>
          </cell>
          <cell r="E498" t="str">
            <v>21. Hansel</v>
          </cell>
          <cell r="F498" t="str">
            <v>09-957265794</v>
          </cell>
          <cell r="G498" t="str">
            <v>မင်္ဂလာတောင်ညွန့်</v>
          </cell>
          <cell r="H498" t="str">
            <v>မန္တလေးလမ်း၊ မင်္ဂလာတောင်ညွန့်မြို့နယ်</v>
          </cell>
          <cell r="I498">
            <v>39500</v>
          </cell>
          <cell r="J498">
            <v>4000</v>
          </cell>
          <cell r="K498">
            <v>43500</v>
          </cell>
          <cell r="L498">
            <v>4000</v>
          </cell>
          <cell r="M498">
            <v>4000</v>
          </cell>
          <cell r="O498" t="str">
            <v>-</v>
          </cell>
          <cell r="P498">
            <v>43500</v>
          </cell>
        </row>
        <row r="499">
          <cell r="C499" t="str">
            <v>D0904-KSC-256</v>
          </cell>
          <cell r="D499" t="str">
            <v>KS Cosmetic</v>
          </cell>
          <cell r="E499" t="str">
            <v>16. Phyu</v>
          </cell>
          <cell r="F499" t="str">
            <v>09-681495629</v>
          </cell>
          <cell r="G499" t="str">
            <v>သာကေတ</v>
          </cell>
          <cell r="H499" t="str">
            <v>အမှတ် (၃၅၉)၊ မြနန္ဒာ (၁) လမ်း၊ (၈) ရပ်ကွက်၊ သာကေတမြို့နယ်</v>
          </cell>
          <cell r="I499">
            <v>39500</v>
          </cell>
          <cell r="J499">
            <v>4000</v>
          </cell>
          <cell r="K499">
            <v>43500</v>
          </cell>
          <cell r="L499">
            <v>4000</v>
          </cell>
          <cell r="M499">
            <v>4000</v>
          </cell>
          <cell r="O499" t="str">
            <v>-</v>
          </cell>
          <cell r="P499">
            <v>43500</v>
          </cell>
        </row>
        <row r="500">
          <cell r="C500" t="str">
            <v>D0904-KSC-257</v>
          </cell>
          <cell r="D500" t="str">
            <v>KS Cosmetic</v>
          </cell>
          <cell r="E500" t="str">
            <v>ဦးတင့်ဖူး</v>
          </cell>
          <cell r="F500" t="str">
            <v>09-260108116, 09-758246700</v>
          </cell>
          <cell r="G500" t="str">
            <v>မြောက်ဥက္ကလာပ</v>
          </cell>
          <cell r="H500" t="str">
            <v>ခြံအမှတ် (၂၂၈)၊ ခိုင်ရွှေဝါ (၁) လမ်း၊ စိုက်ပျိုးရေး၊ (ဌ) ရပ်ကွက်၊ မြောက်ဥက္ကလာပမြို့နယ်</v>
          </cell>
          <cell r="I500">
            <v>39500</v>
          </cell>
          <cell r="J500">
            <v>4500</v>
          </cell>
          <cell r="K500">
            <v>44000</v>
          </cell>
          <cell r="L500">
            <v>4500</v>
          </cell>
          <cell r="M500">
            <v>4500</v>
          </cell>
          <cell r="O500" t="str">
            <v>-</v>
          </cell>
          <cell r="P500">
            <v>44000</v>
          </cell>
        </row>
        <row r="501">
          <cell r="C501" t="str">
            <v>D0904-KSC-260</v>
          </cell>
          <cell r="D501" t="str">
            <v>KS Cosmetic</v>
          </cell>
          <cell r="E501" t="str">
            <v>14. Sandi Cho</v>
          </cell>
          <cell r="F501" t="str">
            <v>09-404966915</v>
          </cell>
          <cell r="G501" t="str">
            <v>သာကေတ</v>
          </cell>
          <cell r="H501" t="str">
            <v>တိုးချဲ့ (၂) လမ်း၊ ((၁) ဈေးကွေ့ရှေ့)၊ သာကေတမြို့နယ်</v>
          </cell>
          <cell r="I501">
            <v>39500</v>
          </cell>
          <cell r="J501">
            <v>4000</v>
          </cell>
          <cell r="K501">
            <v>43500</v>
          </cell>
          <cell r="L501">
            <v>4000</v>
          </cell>
          <cell r="M501">
            <v>4000</v>
          </cell>
          <cell r="O501" t="str">
            <v>-</v>
          </cell>
          <cell r="P501">
            <v>43500</v>
          </cell>
        </row>
        <row r="502">
          <cell r="C502" t="str">
            <v>D0904-MBO-281</v>
          </cell>
          <cell r="D502" t="str">
            <v>MaBel OS</v>
          </cell>
          <cell r="E502" t="str">
            <v>Ma Zin Htet</v>
          </cell>
          <cell r="F502" t="str">
            <v>09-783322236</v>
          </cell>
          <cell r="G502" t="str">
            <v>သာကေတ</v>
          </cell>
          <cell r="H502" t="str">
            <v>အမှတ် (၆၉၂)၊ အောင်သစ္စာ (၆) လမ်း (အနောက်)၊ (၄/တောင်) ရပ်ကွက်၊ သာကေတမြို့နယ်</v>
          </cell>
          <cell r="I502">
            <v>25000</v>
          </cell>
          <cell r="J502">
            <v>4000</v>
          </cell>
          <cell r="K502">
            <v>29000</v>
          </cell>
          <cell r="L502">
            <v>4000</v>
          </cell>
          <cell r="M502">
            <v>4000</v>
          </cell>
          <cell r="O502" t="str">
            <v>-</v>
          </cell>
          <cell r="P502">
            <v>29000</v>
          </cell>
        </row>
        <row r="503">
          <cell r="C503" t="str">
            <v>D0904-MBO-284</v>
          </cell>
          <cell r="D503" t="str">
            <v>MaBel OS</v>
          </cell>
          <cell r="E503" t="str">
            <v>Hsu Thet Hnin</v>
          </cell>
          <cell r="F503" t="str">
            <v>09-758524618 / 09-894145141</v>
          </cell>
          <cell r="G503" t="str">
            <v>လှိုင်သာယာ</v>
          </cell>
          <cell r="H503" t="str">
            <v>((၅) ထပ်ဆောင်စာသင်ကျောင်းအနီး)၊ (ရိုးလေးကားမှတ်တိုင်မှဝင်ရန်)၊ လှိုင်သာယာမြို့နယ်</v>
          </cell>
          <cell r="I503" t="str">
            <v>######</v>
          </cell>
          <cell r="J503" t="str">
            <v>-</v>
          </cell>
          <cell r="K503" t="str">
            <v>######</v>
          </cell>
          <cell r="L503">
            <v>4500</v>
          </cell>
          <cell r="M503" t="str">
            <v>-</v>
          </cell>
          <cell r="N503">
            <v>16</v>
          </cell>
          <cell r="O503">
            <v>15000</v>
          </cell>
          <cell r="P503" t="str">
            <v>######</v>
          </cell>
        </row>
        <row r="504">
          <cell r="C504" t="str">
            <v>D0904-MMA-290</v>
          </cell>
          <cell r="D504" t="str">
            <v>မြန်မာ့အလှ</v>
          </cell>
          <cell r="E504" t="str">
            <v>Daw Moe Sandar</v>
          </cell>
          <cell r="F504" t="str">
            <v>09-441431024 09-688260197</v>
          </cell>
          <cell r="G504" t="str">
            <v>ဂိတ်ချ</v>
          </cell>
          <cell r="H504" t="str">
            <v>သူရထွန်းကားဂိတ်၊ ဒဂုံဧရာအဝေးပြေး၊ (သူရထွန်းကားဖြင့် ကျုံတနီးသို့ တင်ပေးပါ)၊ လှိုင်သာယာမြို့နယ်</v>
          </cell>
          <cell r="I504" t="str">
            <v>-</v>
          </cell>
          <cell r="K504" t="str">
            <v>-</v>
          </cell>
          <cell r="L504">
            <v>3000</v>
          </cell>
          <cell r="M504" t="str">
            <v>-</v>
          </cell>
          <cell r="N504">
            <v>8</v>
          </cell>
          <cell r="O504">
            <v>2500</v>
          </cell>
          <cell r="P504">
            <v>2500</v>
          </cell>
        </row>
        <row r="505">
          <cell r="C505" t="str">
            <v>D0904-MMA-296</v>
          </cell>
          <cell r="D505" t="str">
            <v>မြန်မာ့အလှ</v>
          </cell>
          <cell r="E505" t="str">
            <v>Honey Ko</v>
          </cell>
          <cell r="F505" t="str">
            <v>09-420738620</v>
          </cell>
          <cell r="G505" t="str">
            <v>မြောက်ဥက္ကလာပ</v>
          </cell>
          <cell r="H505" t="str">
            <v>ရွှေပေါက်ကံ၊ မြောက်ဥက္ကလာပမြို့နယ်</v>
          </cell>
          <cell r="I505">
            <v>274000</v>
          </cell>
          <cell r="J505">
            <v>4500</v>
          </cell>
          <cell r="K505">
            <v>278500</v>
          </cell>
          <cell r="L505">
            <v>4500</v>
          </cell>
          <cell r="M505">
            <v>4500</v>
          </cell>
          <cell r="O505" t="str">
            <v>-</v>
          </cell>
          <cell r="P505">
            <v>278500</v>
          </cell>
        </row>
        <row r="506">
          <cell r="C506" t="str">
            <v>D0904-MMA-298</v>
          </cell>
          <cell r="D506" t="str">
            <v>မြန်မာ့အလှ</v>
          </cell>
          <cell r="E506" t="str">
            <v>Khin Than Soe</v>
          </cell>
          <cell r="F506" t="str">
            <v>09-794312297</v>
          </cell>
          <cell r="G506" t="str">
            <v>တာမွေ</v>
          </cell>
          <cell r="H506" t="str">
            <v>မြန်မာ့ဂုဏ်ရောင်အိမ်ရာ၊ ခြံအမှတ် (48A)၊ မေတ္တာညွန့်ရပ်ကွက်၊ တာမွေမြို့နယ်</v>
          </cell>
          <cell r="I506">
            <v>133200</v>
          </cell>
          <cell r="J506">
            <v>4000</v>
          </cell>
          <cell r="K506">
            <v>137200</v>
          </cell>
          <cell r="L506">
            <v>4000</v>
          </cell>
          <cell r="M506">
            <v>4000</v>
          </cell>
          <cell r="O506" t="str">
            <v>-</v>
          </cell>
          <cell r="P506">
            <v>137200</v>
          </cell>
        </row>
        <row r="507">
          <cell r="C507" t="str">
            <v>D0904-MMA-299</v>
          </cell>
          <cell r="D507" t="str">
            <v>မြန်မာ့အလှ</v>
          </cell>
          <cell r="E507" t="str">
            <v>Nay Chi</v>
          </cell>
          <cell r="F507" t="str">
            <v>09-783527061</v>
          </cell>
          <cell r="G507" t="str">
            <v>ရွှေပြည်သာ</v>
          </cell>
          <cell r="H507" t="str">
            <v>စစ်အကျဉ်းထောင်လမ်း၊ (ကန်သာယာမှတ်တိုင်)၊ (ရွှေပြည်သာမြို့အဝင်)၊ ရွှေပြည်သာမြို့နယ်</v>
          </cell>
          <cell r="I507">
            <v>83100</v>
          </cell>
          <cell r="J507">
            <v>4500</v>
          </cell>
          <cell r="K507">
            <v>87600</v>
          </cell>
          <cell r="L507">
            <v>4500</v>
          </cell>
          <cell r="M507">
            <v>4500</v>
          </cell>
          <cell r="O507" t="str">
            <v>-</v>
          </cell>
          <cell r="P507">
            <v>87600</v>
          </cell>
        </row>
        <row r="508">
          <cell r="C508" t="str">
            <v>D0904-MMA-300</v>
          </cell>
          <cell r="D508" t="str">
            <v>မြန်မာ့အလှ</v>
          </cell>
          <cell r="E508" t="str">
            <v>May Kyu</v>
          </cell>
          <cell r="F508" t="str">
            <v>09-965095114</v>
          </cell>
          <cell r="G508" t="str">
            <v>ရန်ကင်း</v>
          </cell>
          <cell r="H508" t="str">
            <v>(မိုးကောင်းကားမှတ်တိုင်)၊ ရန်ကင်းမြို့နယ်</v>
          </cell>
          <cell r="I508">
            <v>101300</v>
          </cell>
          <cell r="J508">
            <v>4000</v>
          </cell>
          <cell r="K508">
            <v>105300</v>
          </cell>
          <cell r="L508">
            <v>4000</v>
          </cell>
          <cell r="M508">
            <v>4000</v>
          </cell>
          <cell r="O508" t="str">
            <v>-</v>
          </cell>
          <cell r="P508">
            <v>105300</v>
          </cell>
        </row>
        <row r="509">
          <cell r="C509" t="str">
            <v>D0904-MMA-310</v>
          </cell>
          <cell r="D509" t="str">
            <v>မြန်မာ့အလှ</v>
          </cell>
          <cell r="E509" t="str">
            <v>Mar Myint</v>
          </cell>
          <cell r="F509" t="str">
            <v>09-765410947</v>
          </cell>
          <cell r="G509" t="str">
            <v>မရမ်းကုန်း</v>
          </cell>
          <cell r="H509" t="str">
            <v>95-Resident၊ အမှတ် (95B)၊ ကျိုက်ဝိုင်းဘုရားလမ်း၊ (၈) မိုင်၊ (လမ်းဆုံ)၊ မရမ်းကုန်းမြို့နယ်</v>
          </cell>
          <cell r="I509">
            <v>190500</v>
          </cell>
          <cell r="J509">
            <v>4000</v>
          </cell>
          <cell r="K509">
            <v>194500</v>
          </cell>
          <cell r="L509">
            <v>4000</v>
          </cell>
          <cell r="M509">
            <v>4000</v>
          </cell>
          <cell r="N509">
            <v>4</v>
          </cell>
          <cell r="O509">
            <v>500</v>
          </cell>
          <cell r="P509">
            <v>195000</v>
          </cell>
        </row>
        <row r="510">
          <cell r="C510" t="str">
            <v>D0904-MMA-311</v>
          </cell>
          <cell r="D510" t="str">
            <v>မြန်မာ့အလှ</v>
          </cell>
          <cell r="E510" t="str">
            <v>နှင်းနှင်း</v>
          </cell>
          <cell r="F510" t="str">
            <v>09-755987925</v>
          </cell>
          <cell r="G510" t="str">
            <v>မင်္ဂလာဒုံ</v>
          </cell>
          <cell r="H510" t="str">
            <v>စိန်ပဒေသာ (၅) လမ်း၊ ကုန်းတလပေါင်ရပ်ကွက်၊ မင်္ဂလာဒုံမြို့နယ်</v>
          </cell>
          <cell r="I510">
            <v>96000</v>
          </cell>
          <cell r="J510">
            <v>4500</v>
          </cell>
          <cell r="K510">
            <v>100500</v>
          </cell>
          <cell r="L510">
            <v>4500</v>
          </cell>
          <cell r="M510">
            <v>4500</v>
          </cell>
          <cell r="O510" t="str">
            <v>-</v>
          </cell>
          <cell r="P510">
            <v>100500</v>
          </cell>
        </row>
        <row r="511">
          <cell r="C511" t="str">
            <v>D0904-MMA-329</v>
          </cell>
          <cell r="D511" t="str">
            <v>မြန်မာ့အလှ</v>
          </cell>
          <cell r="E511" t="str">
            <v>San San Mar</v>
          </cell>
          <cell r="F511" t="str">
            <v>09-443013989</v>
          </cell>
          <cell r="G511" t="str">
            <v>ဗဟန်း</v>
          </cell>
          <cell r="H511" t="str">
    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    </cell>
          <cell r="I511">
            <v>64500</v>
          </cell>
          <cell r="J511">
            <v>4000</v>
          </cell>
          <cell r="K511">
            <v>68500</v>
          </cell>
          <cell r="L511">
            <v>4000</v>
          </cell>
          <cell r="M511">
            <v>4000</v>
          </cell>
          <cell r="O511" t="str">
            <v>-</v>
          </cell>
          <cell r="P511">
            <v>68500</v>
          </cell>
        </row>
        <row r="512">
          <cell r="C512" t="str">
            <v>D0904-MMA-331</v>
          </cell>
          <cell r="D512" t="str">
            <v>မြန်မာ့အလှ</v>
          </cell>
          <cell r="E512" t="str">
            <v>Kaung Kaung</v>
          </cell>
          <cell r="F512" t="str">
            <v>09-740010803</v>
          </cell>
          <cell r="G512" t="str">
            <v>လှိုင်သာယာ</v>
          </cell>
          <cell r="H512" t="str">
            <v>ရွှေလင်ပန်း၊ လှိုင်သာယာမြို့နယ်</v>
          </cell>
          <cell r="I512">
            <v>64500</v>
          </cell>
          <cell r="J512">
            <v>4500</v>
          </cell>
          <cell r="K512">
            <v>69000</v>
          </cell>
          <cell r="L512">
            <v>4500</v>
          </cell>
          <cell r="M512">
            <v>4500</v>
          </cell>
          <cell r="O512" t="str">
            <v>-</v>
          </cell>
          <cell r="P512">
            <v>69000</v>
          </cell>
        </row>
        <row r="513">
          <cell r="C513" t="str">
            <v>D0904-MMA-340</v>
          </cell>
          <cell r="D513" t="str">
            <v>မြန်မာ့အလှ</v>
          </cell>
          <cell r="E513" t="str">
            <v>May Myat</v>
          </cell>
          <cell r="F513" t="str">
            <v>09-420598474</v>
          </cell>
          <cell r="G513" t="str">
            <v>လှိုင်သာယာ</v>
          </cell>
          <cell r="H513" t="str">
            <v>ရိုးကြီးကျေးရွာ၊ လှိုင်သာယာမြို့နယ်</v>
          </cell>
          <cell r="I513">
            <v>244400</v>
          </cell>
          <cell r="J513">
            <v>4500</v>
          </cell>
          <cell r="K513">
            <v>248900</v>
          </cell>
          <cell r="L513">
            <v>4500</v>
          </cell>
          <cell r="M513">
            <v>4500</v>
          </cell>
          <cell r="O513" t="str">
            <v>-</v>
          </cell>
          <cell r="P513">
            <v>248900</v>
          </cell>
        </row>
        <row r="514">
          <cell r="C514" t="str">
            <v>D0904-PYT-358</v>
          </cell>
          <cell r="D514" t="str">
            <v>ပုရစ်ကလေး</v>
          </cell>
          <cell r="E514" t="str">
            <v>Woutee</v>
          </cell>
          <cell r="F514" t="str">
            <v>09-403439238</v>
          </cell>
          <cell r="G514" t="str">
            <v>လှိုင်သာယာ</v>
          </cell>
          <cell r="H514" t="str">
            <v>သပြေလမ်း၊ အိုင်စုရပ်ကွက်၊ လှိုင်သာယာမြို့နယ်</v>
          </cell>
          <cell r="I514">
            <v>27000</v>
          </cell>
          <cell r="J514">
            <v>4500</v>
          </cell>
          <cell r="K514">
            <v>31500</v>
          </cell>
          <cell r="L514">
            <v>4500</v>
          </cell>
          <cell r="M514">
            <v>4500</v>
          </cell>
          <cell r="O514" t="str">
            <v>-</v>
          </cell>
          <cell r="P514">
            <v>31500</v>
          </cell>
        </row>
        <row r="515">
          <cell r="C515" t="str">
            <v>D0904-PYT-360</v>
          </cell>
          <cell r="D515" t="str">
            <v>ပုရစ်ကလေး</v>
          </cell>
          <cell r="E515" t="str">
            <v>အေးခိုင်</v>
          </cell>
          <cell r="F515" t="str">
            <v>09-427467543</v>
          </cell>
          <cell r="G515" t="str">
            <v>ဂိတ်ချ</v>
          </cell>
          <cell r="H515" t="str">
            <v>အမှတ် (G-80)၊ ငုဝါလမ်း၊ ကင်းမလင်းကျွန်း၊ ပုသိမ်</v>
          </cell>
          <cell r="I515">
            <v>32000</v>
          </cell>
          <cell r="J515">
            <v>3000</v>
          </cell>
          <cell r="K515">
            <v>35000</v>
          </cell>
          <cell r="L515">
            <v>3000</v>
          </cell>
          <cell r="M515">
            <v>3000</v>
          </cell>
          <cell r="O515" t="str">
            <v>-</v>
          </cell>
          <cell r="P515">
            <v>35000</v>
          </cell>
        </row>
        <row r="516">
          <cell r="C516" t="str">
            <v>D0904-PYT-362</v>
          </cell>
          <cell r="D516" t="str">
            <v>ပုရစ်ကလေး</v>
          </cell>
          <cell r="E516" t="str">
            <v>Htet Htet</v>
          </cell>
          <cell r="F516" t="str">
            <v>09-250277220</v>
          </cell>
          <cell r="G516" t="str">
            <v>တောင်ဥက္ကလာပ</v>
          </cell>
          <cell r="H516" t="str">
            <v>အမှတ် (၁၉၃)၊ ကောလိယ (၂၆) လမ်း၊ (၁၃) ရပ်ကွက်၊ တောင်ဥက္ကလာပမြို့နယ်</v>
          </cell>
          <cell r="I516">
            <v>23500</v>
          </cell>
          <cell r="J516">
            <v>4000</v>
          </cell>
          <cell r="K516">
            <v>27500</v>
          </cell>
          <cell r="L516">
            <v>4000</v>
          </cell>
          <cell r="M516">
            <v>4000</v>
          </cell>
          <cell r="O516" t="str">
            <v>-</v>
          </cell>
          <cell r="P516">
            <v>27500</v>
          </cell>
        </row>
        <row r="517">
          <cell r="C517" t="str">
            <v>D0904-PYT-365</v>
          </cell>
          <cell r="D517" t="str">
            <v>ပုရစ်ကလေး</v>
          </cell>
          <cell r="E517" t="str">
            <v>Poe Poe</v>
          </cell>
          <cell r="F517" t="str">
            <v>09-740801782</v>
          </cell>
          <cell r="G517" t="str">
            <v>မင်္ဂလာဒုံ</v>
          </cell>
          <cell r="H517" t="str">
            <v>စွယ်တော် (၃) လမ်း၊ (ပတ္တမြားမှတ်တိုင်)၊ မင်္ဂလာဒုံမြို့နယ်</v>
          </cell>
          <cell r="I517">
            <v>23000</v>
          </cell>
          <cell r="J517">
            <v>4500</v>
          </cell>
          <cell r="K517">
            <v>27500</v>
          </cell>
          <cell r="L517">
            <v>4500</v>
          </cell>
          <cell r="M517">
            <v>4500</v>
          </cell>
          <cell r="O517" t="str">
            <v>-</v>
          </cell>
          <cell r="P517">
            <v>27500</v>
          </cell>
        </row>
        <row r="518">
          <cell r="C518" t="str">
            <v>D0904-PYT-368</v>
          </cell>
          <cell r="D518" t="str">
            <v>ပုရစ်ကလေး</v>
          </cell>
          <cell r="E518" t="str">
            <v>Moh Moh</v>
          </cell>
          <cell r="F518" t="str">
            <v>09-962527878</v>
          </cell>
          <cell r="G518" t="str">
            <v>အင်းစိန်</v>
          </cell>
          <cell r="H518" t="str">
            <v>အမှတ် (၂၂၆၁)၊ မဂ္ဂင်ကျောင်းလမ်း၊ တောင်သူကုန်းရပ်ကွက်၊ (ဘိုကုန်းမှတ်တိုင်)၊ အင်းစိန်မြို့နယ်</v>
          </cell>
          <cell r="I518">
            <v>113500</v>
          </cell>
          <cell r="J518">
            <v>4000</v>
          </cell>
          <cell r="K518">
            <v>117500</v>
          </cell>
          <cell r="L518">
            <v>4000</v>
          </cell>
          <cell r="M518">
            <v>4000</v>
          </cell>
          <cell r="N518">
            <v>6</v>
          </cell>
          <cell r="O518">
            <v>1500</v>
          </cell>
          <cell r="P518">
            <v>119000</v>
          </cell>
        </row>
        <row r="519">
          <cell r="C519" t="str">
            <v>D0904-BLC-371</v>
          </cell>
          <cell r="D519" t="str">
            <v>Billionaire Clothing</v>
          </cell>
          <cell r="E519" t="str">
            <v>ဒေါ်နီလာစိုး</v>
          </cell>
          <cell r="F519" t="str">
            <v>09-880198556</v>
          </cell>
          <cell r="G519" t="str">
            <v>လှိုင်သာယာ</v>
          </cell>
          <cell r="H519" t="str">
    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    </cell>
          <cell r="I519">
            <v>232500</v>
          </cell>
          <cell r="J519">
            <v>4500</v>
          </cell>
          <cell r="K519">
            <v>237000</v>
          </cell>
          <cell r="L519">
            <v>4500</v>
          </cell>
          <cell r="M519">
            <v>4500</v>
          </cell>
          <cell r="N519">
            <v>5</v>
          </cell>
          <cell r="O519">
            <v>1000</v>
          </cell>
          <cell r="P519">
            <v>238000</v>
          </cell>
        </row>
        <row r="520">
          <cell r="C520" t="str">
            <v>D0904-LOS-372</v>
          </cell>
          <cell r="D520" t="str">
            <v>Lady OS</v>
          </cell>
          <cell r="E520" t="str">
            <v>Machawi Khiangte</v>
          </cell>
          <cell r="F520" t="str">
            <v>09-407502033</v>
          </cell>
          <cell r="G520" t="str">
            <v>တာမွေ</v>
          </cell>
          <cell r="H520" t="str">
            <v>Mother Indian Food၊ ဦးချစ်မောင်လမ်း၊ တာမွေအဝိုင်း၊ (ဆိုင်ရှေ့ရောက်လျှင် ဖုန်းခေါ်ရန်)၊ တာမွေမြို့နယ်</v>
          </cell>
          <cell r="I520">
            <v>162500</v>
          </cell>
          <cell r="J520" t="str">
            <v>-</v>
          </cell>
          <cell r="K520">
            <v>162500</v>
          </cell>
          <cell r="L520">
            <v>4000</v>
          </cell>
          <cell r="M520" t="str">
            <v>-</v>
          </cell>
          <cell r="N520">
            <v>4</v>
          </cell>
          <cell r="O520">
            <v>500</v>
          </cell>
          <cell r="P520">
            <v>163000</v>
          </cell>
        </row>
        <row r="521">
          <cell r="C521" t="str">
            <v>D0904-LOS-374</v>
          </cell>
          <cell r="D521" t="str">
            <v>Lady OS</v>
          </cell>
          <cell r="E521" t="str">
            <v>San San Win</v>
          </cell>
          <cell r="F521" t="str">
            <v>09-5033178</v>
          </cell>
          <cell r="G521" t="str">
            <v>အလုံ</v>
          </cell>
          <cell r="H521" t="str">
            <v>အမှတ် (၇၂)၊ နံ့သာလမ်း၊ (အလုံဆင်မင်းမှတ်တိုင်အနီး)၊ အလုံမြို့နယ်</v>
          </cell>
          <cell r="I521">
            <v>83500</v>
          </cell>
          <cell r="J521" t="str">
            <v>-</v>
          </cell>
          <cell r="K521">
            <v>83500</v>
          </cell>
          <cell r="L521">
            <v>4000</v>
          </cell>
          <cell r="M521" t="str">
            <v>-</v>
          </cell>
          <cell r="O521" t="str">
            <v>-</v>
          </cell>
          <cell r="P521">
            <v>83500</v>
          </cell>
        </row>
        <row r="522">
          <cell r="C522" t="str">
            <v>D0904-LOS-376</v>
          </cell>
          <cell r="D522" t="str">
            <v>Lady OS</v>
          </cell>
          <cell r="E522" t="str">
            <v>Lagang Zezawng/ဦးဇော်ဇော်</v>
          </cell>
          <cell r="F522" t="str">
            <v>09-440001401</v>
          </cell>
          <cell r="G522" t="str">
            <v>စမ်းချောင်း</v>
          </cell>
          <cell r="H522" t="str">
            <v>မြင့်မိုရ်တိုက် (၁၆)၊ မြင့်မိုရ်လမ်း၊ စမ်းချောင်းမြို့နယ်</v>
          </cell>
          <cell r="I522">
            <v>22500</v>
          </cell>
          <cell r="J522" t="str">
            <v>-</v>
          </cell>
          <cell r="K522">
            <v>22500</v>
          </cell>
          <cell r="L522">
            <v>4000</v>
          </cell>
          <cell r="M522" t="str">
            <v>-</v>
          </cell>
          <cell r="O522" t="str">
            <v>-</v>
          </cell>
          <cell r="P522">
            <v>22500</v>
          </cell>
        </row>
        <row r="523">
          <cell r="C523" t="str">
            <v>D0904-CTM-383</v>
          </cell>
          <cell r="D523" t="str">
            <v>ချစ်သွန်းသီရိ မေမေ</v>
          </cell>
          <cell r="E523" t="str">
            <v>Cho Zin Latt</v>
          </cell>
          <cell r="F523" t="str">
            <v>09-770301799
 09-763680697</v>
          </cell>
          <cell r="G523" t="str">
            <v>မင်္ဂလာတောင်ညွန့်</v>
          </cell>
          <cell r="H523" t="str">
    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v>
          </cell>
          <cell r="I523">
            <v>72500</v>
          </cell>
          <cell r="J523">
            <v>4000</v>
          </cell>
          <cell r="K523">
            <v>76500</v>
          </cell>
          <cell r="L523">
            <v>4000</v>
          </cell>
          <cell r="M523">
            <v>4000</v>
          </cell>
          <cell r="O523" t="str">
            <v>-</v>
          </cell>
          <cell r="P523">
            <v>76500</v>
          </cell>
        </row>
        <row r="524">
          <cell r="C524" t="str">
            <v>D0904-CTM-392</v>
          </cell>
          <cell r="D524" t="str">
            <v>ချစ်သွန်းသီရိ မေမေ</v>
          </cell>
          <cell r="E524" t="str">
            <v>Soe Soe</v>
          </cell>
          <cell r="F524" t="str">
            <v>09-967512037</v>
          </cell>
          <cell r="G524" t="str">
            <v>မြောက်ဥက္ကလာပ</v>
          </cell>
          <cell r="H524" t="str">
            <v>(အောင်မင်္ဂလာ မြရတနာကားဂိတ်က ကိုရှိန်းသုမောင်ဆီ အပ်ရန်)၊ မြောက်ဥက္ကလာပမြို့နယ်</v>
          </cell>
          <cell r="I524">
            <v>54000</v>
          </cell>
          <cell r="J524">
            <v>4500</v>
          </cell>
          <cell r="K524">
            <v>58500</v>
          </cell>
          <cell r="L524">
            <v>4500</v>
          </cell>
          <cell r="M524">
            <v>4500</v>
          </cell>
          <cell r="O524" t="str">
            <v>-</v>
          </cell>
          <cell r="P524">
            <v>58500</v>
          </cell>
        </row>
        <row r="525">
          <cell r="C525" t="str">
            <v>D0904-JSC-401</v>
          </cell>
          <cell r="D525" t="str">
            <v>Jessica Sue</v>
          </cell>
          <cell r="E525" t="str">
            <v>Myo Myo Zin</v>
          </cell>
          <cell r="F525" t="str">
            <v>09-956030338</v>
          </cell>
          <cell r="G525" t="str">
            <v>သာကေတ</v>
          </cell>
          <cell r="H525" t="str">
            <v>အမှတ် (၆၈၁)၊ မြေညီထပ်၊ (၅) လမ်း၊ (၇/အနောက်) ရပ်ကွက်၊ သာကေတမြို့နယ်</v>
          </cell>
          <cell r="I525">
            <v>64500</v>
          </cell>
          <cell r="J525">
            <v>4000</v>
          </cell>
          <cell r="K525">
            <v>68500</v>
          </cell>
          <cell r="L525">
            <v>4000</v>
          </cell>
          <cell r="M525">
            <v>4000</v>
          </cell>
          <cell r="O525" t="str">
            <v>-</v>
          </cell>
          <cell r="P525">
            <v>68500</v>
          </cell>
        </row>
        <row r="526">
          <cell r="C526" t="str">
            <v>D0904-SMW-407</v>
          </cell>
          <cell r="D526" t="str">
            <v>ရှု့မဝ</v>
          </cell>
          <cell r="E526" t="str">
            <v>မအေးဆုမွန်</v>
          </cell>
          <cell r="F526" t="str">
            <v>09-940634577</v>
          </cell>
          <cell r="G526" t="str">
            <v>ရွှေပြည်သာ</v>
          </cell>
          <cell r="H526" t="str">
            <v>အမှတ် (966B)၊ စိန်စီဂုဏ်ရောင်လမ်း၊ ပန်းခြံ (၃)၊ (၉) ရပ်ကွက်၊ ရွှေပြည်သာမြို့နယ်</v>
          </cell>
          <cell r="I526">
            <v>8000</v>
          </cell>
          <cell r="J526">
            <v>4500</v>
          </cell>
          <cell r="K526">
            <v>12500</v>
          </cell>
          <cell r="L526">
            <v>4500</v>
          </cell>
          <cell r="M526">
            <v>4500</v>
          </cell>
          <cell r="O526" t="str">
            <v>-</v>
          </cell>
          <cell r="P526">
            <v>12500</v>
          </cell>
        </row>
        <row r="527">
          <cell r="C527" t="str">
            <v>D0904-SMW-408</v>
          </cell>
          <cell r="D527" t="str">
            <v>ရှု့မဝ</v>
          </cell>
          <cell r="E527" t="str">
            <v>ဒေါ်သဲသဲဦး</v>
          </cell>
          <cell r="F527" t="str">
            <v>09-269730875</v>
          </cell>
          <cell r="G527" t="str">
            <v>ရွှေပြည်သာ</v>
          </cell>
          <cell r="H527" t="str">
            <v>ပြည်ထောင်စုလမ်း၊ (ရေစင်မှတ်တိုင်)၊ ရွှေပြည်သာမြို့နယ်</v>
          </cell>
          <cell r="I527">
            <v>13000</v>
          </cell>
          <cell r="J527">
            <v>4500</v>
          </cell>
          <cell r="K527">
            <v>17500</v>
          </cell>
          <cell r="L527">
            <v>4500</v>
          </cell>
          <cell r="M527">
            <v>4500</v>
          </cell>
          <cell r="O527" t="str">
            <v>-</v>
          </cell>
          <cell r="P527">
            <v>17500</v>
          </cell>
        </row>
        <row r="528">
          <cell r="C528" t="str">
            <v>D0904-KYA-409</v>
          </cell>
          <cell r="D528" t="str">
            <v>Kyaw Aung</v>
          </cell>
          <cell r="E528" t="str">
            <v>Chimyo Htet</v>
          </cell>
          <cell r="F528" t="str">
            <v>09-673098268</v>
          </cell>
          <cell r="G528" t="str">
            <v>ရွှေပြည်သာ</v>
          </cell>
          <cell r="H528" t="str">
            <v>သီတာပန်းခြံ (၂) လမ်း၊ (၈) ရပ်ကွက်၊ (ကျေးရွာမှတ်တိုင်)၊ ရွှေပြည်သာမြို့နယ်</v>
          </cell>
          <cell r="I528">
            <v>15500</v>
          </cell>
          <cell r="J528">
            <v>4500</v>
          </cell>
          <cell r="K528">
            <v>20000</v>
          </cell>
          <cell r="L528">
            <v>4500</v>
          </cell>
          <cell r="M528">
            <v>4500</v>
          </cell>
          <cell r="O528" t="str">
            <v>-</v>
          </cell>
          <cell r="P528">
            <v>20000</v>
          </cell>
        </row>
        <row r="529">
          <cell r="C529" t="str">
            <v>D0904-HAM-412</v>
          </cell>
          <cell r="D529" t="str">
            <v>HAIM</v>
          </cell>
          <cell r="E529" t="str">
            <v>Origin Coffee &amp;
 Roastery</v>
          </cell>
          <cell r="F529" t="str">
            <v>09-958340352</v>
          </cell>
          <cell r="G529" t="str">
            <v>ရန်ကင်း</v>
          </cell>
          <cell r="H529" t="str">
            <v>ကမ္ဘာအေးဘုရားလမ်း နှင့် ကံဘဲ့ဘူတာရုံလမ်းထောင့်၊ ရန်ကင်းမြို့နယ်</v>
          </cell>
          <cell r="I529">
            <v>537500</v>
          </cell>
          <cell r="J529">
            <v>4000</v>
          </cell>
          <cell r="K529">
            <v>541500</v>
          </cell>
          <cell r="L529">
            <v>4000</v>
          </cell>
          <cell r="M529">
            <v>4000</v>
          </cell>
          <cell r="N529">
            <v>8</v>
          </cell>
          <cell r="O529">
            <v>2500</v>
          </cell>
          <cell r="P529">
            <v>544000</v>
          </cell>
        </row>
        <row r="530">
          <cell r="C530" t="str">
            <v>D0904-RYP-415</v>
          </cell>
          <cell r="D530" t="str">
            <v>Royal Poe</v>
          </cell>
          <cell r="E530" t="str">
            <v>Ma Htet Yee Win</v>
          </cell>
          <cell r="F530" t="str">
            <v>09-786642566</v>
          </cell>
          <cell r="G530" t="str">
            <v>မရမ်းကုန်း</v>
          </cell>
          <cell r="H530" t="str">
            <v>ရန်ကုန်နည်းပညာတက္ကသိုလ် ၊ BPI မှတ်တိုင် ၊ မရမ်းကုန်း</v>
          </cell>
          <cell r="I530">
            <v>36000</v>
          </cell>
          <cell r="J530">
            <v>4000</v>
          </cell>
          <cell r="K530">
            <v>40000</v>
          </cell>
          <cell r="L530">
            <v>4000</v>
          </cell>
          <cell r="M530">
            <v>4000</v>
          </cell>
          <cell r="O530" t="str">
            <v>-</v>
          </cell>
          <cell r="P530">
            <v>40000</v>
          </cell>
        </row>
        <row r="531">
          <cell r="C531" t="str">
            <v>D0824-KSC-286</v>
          </cell>
          <cell r="D531" t="str">
            <v>KS Cosmetic</v>
          </cell>
          <cell r="E531">
            <v>6</v>
          </cell>
          <cell r="F531" t="str">
            <v>09-77078965
09-450744344</v>
          </cell>
          <cell r="G531" t="str">
            <v>လှိုင်</v>
          </cell>
          <cell r="H531" t="str">
            <v>ဦးချိုလမ်း နှင့် သုခလမ်းထောင့်၊ (DKMA Condo)၊ လှိုင်မြို့နယ်</v>
          </cell>
          <cell r="I531">
            <v>79000</v>
          </cell>
          <cell r="J531">
            <v>4000</v>
          </cell>
          <cell r="K531">
            <v>83000</v>
          </cell>
          <cell r="L531">
            <v>4000</v>
          </cell>
          <cell r="M531">
            <v>4000</v>
          </cell>
          <cell r="O531" t="str">
            <v>-</v>
          </cell>
          <cell r="P531">
            <v>83000</v>
          </cell>
        </row>
        <row r="532">
          <cell r="C532" t="str">
            <v>D0826-PRE-099</v>
          </cell>
          <cell r="D532" t="str">
            <v>PREMIER</v>
          </cell>
          <cell r="E532" t="str">
            <v>Keiko</v>
          </cell>
          <cell r="F532" t="str">
            <v>09-785269777</v>
          </cell>
          <cell r="G532" t="str">
            <v>လှိုင်</v>
          </cell>
          <cell r="H532" t="str">
            <v>The Century Condo၊ လှိုင်မြို့နယ်</v>
          </cell>
          <cell r="K532" t="str">
            <v>-</v>
          </cell>
          <cell r="L532">
            <v>4000</v>
          </cell>
          <cell r="M532" t="str">
            <v>-</v>
          </cell>
          <cell r="O532" t="str">
            <v>-</v>
          </cell>
          <cell r="P532" t="str">
            <v>-</v>
          </cell>
        </row>
        <row r="533">
          <cell r="C533" t="str">
            <v>D0827-HAM-334</v>
          </cell>
          <cell r="D533" t="str">
            <v>HAIM</v>
          </cell>
          <cell r="E533" t="str">
            <v>Ko Zar Ni Min Htet</v>
          </cell>
          <cell r="F533" t="str">
            <v>09-428279987</v>
          </cell>
          <cell r="G533" t="str">
            <v>အင်းစိန်</v>
          </cell>
          <cell r="H533" t="str">
            <v>The Leaf Condo၊ ဓမ္မသုခကျောင်းလမ်းအဆုံး၊ (သံလမ်းမှတ်တိုင်ကျော်)၊ အင်းစိန်မြို့နယ်</v>
          </cell>
          <cell r="I533">
            <v>269500</v>
          </cell>
          <cell r="J533">
            <v>4000</v>
          </cell>
          <cell r="K533">
            <v>273500</v>
          </cell>
          <cell r="L533">
            <v>4000</v>
          </cell>
          <cell r="M533">
            <v>4000</v>
          </cell>
          <cell r="N533">
            <v>11</v>
          </cell>
          <cell r="O533">
            <v>4000</v>
          </cell>
          <cell r="P533">
            <v>277500</v>
          </cell>
        </row>
        <row r="534">
          <cell r="C534" t="str">
            <v>D0827-KAL-157</v>
          </cell>
          <cell r="D534" t="str">
            <v>ခင့်အလှူ</v>
          </cell>
          <cell r="E534" t="str">
            <v>Daw Tin Shwe</v>
          </cell>
          <cell r="F534" t="str">
            <v>09-401489491</v>
          </cell>
          <cell r="G534" t="str">
            <v>လှိုင်</v>
          </cell>
          <cell r="H534" t="str">
            <v>အင်းယားလမ်း၊ လှိုင်မြို့နယ်</v>
          </cell>
          <cell r="I534">
            <v>35000</v>
          </cell>
          <cell r="J534">
            <v>5000</v>
          </cell>
          <cell r="K534">
            <v>40000</v>
          </cell>
          <cell r="L534">
            <v>4000</v>
          </cell>
          <cell r="M534">
            <v>5000</v>
          </cell>
          <cell r="O534" t="str">
            <v>-</v>
          </cell>
          <cell r="P534">
            <v>40000</v>
          </cell>
        </row>
        <row r="535">
          <cell r="C535" t="str">
            <v>D0809-GRS-043</v>
          </cell>
          <cell r="D535" t="str">
            <v>GRS Express</v>
          </cell>
          <cell r="E535" t="str">
            <v>Ma Thu Myat Zaw</v>
          </cell>
          <cell r="F535" t="str">
            <v>09-765408791</v>
          </cell>
          <cell r="G535" t="str">
            <v>အလုံ</v>
          </cell>
          <cell r="H535" t="str">
            <v>တိုက် (၅၀)၊ ငုဝါလမ်း၊ အလုံမြို့နယ်</v>
          </cell>
          <cell r="I535">
            <v>32000</v>
          </cell>
          <cell r="J535">
            <v>4500</v>
          </cell>
          <cell r="K535">
            <v>36500</v>
          </cell>
          <cell r="L535">
            <v>4000</v>
          </cell>
          <cell r="M535">
            <v>4500</v>
          </cell>
          <cell r="O535" t="str">
            <v>-</v>
          </cell>
          <cell r="P535">
            <v>36500</v>
          </cell>
        </row>
        <row r="536">
          <cell r="C536" t="str">
            <v>D0824-GGS-061</v>
          </cell>
          <cell r="D536" t="str">
            <v>The Gadget Store</v>
          </cell>
          <cell r="E536" t="str">
            <v>Thet Htar</v>
          </cell>
          <cell r="F536" t="str">
            <v>09-5154953</v>
          </cell>
          <cell r="G536" t="str">
            <v>ကျောက်တံတား</v>
          </cell>
          <cell r="H536" t="str">
            <v>ကျောက်တံတားမြို့နယ်</v>
          </cell>
          <cell r="I536">
            <v>29800</v>
          </cell>
          <cell r="J536">
            <v>4000</v>
          </cell>
          <cell r="K536">
            <v>33800</v>
          </cell>
          <cell r="L536">
            <v>4000</v>
          </cell>
          <cell r="M536">
            <v>4000</v>
          </cell>
          <cell r="O536" t="str">
            <v>-</v>
          </cell>
          <cell r="P536">
            <v>33800</v>
          </cell>
        </row>
        <row r="537">
          <cell r="C537" t="str">
            <v>D0831-GRS-007</v>
          </cell>
          <cell r="D537" t="str">
            <v>GRS Express</v>
          </cell>
          <cell r="E537" t="str">
            <v>Ma Hla Hla</v>
          </cell>
          <cell r="F537" t="str">
            <v>09-451801625</v>
          </cell>
          <cell r="G537" t="str">
            <v>ကြည့်မြင်တိုင်</v>
          </cell>
          <cell r="H537" t="str">
            <v>အမှတ် (၈)၊ အုန်းပင်လမ်း၊ ကြည့်မြင်တိုင်မြို့နယ်</v>
          </cell>
          <cell r="I537">
            <v>14000</v>
          </cell>
          <cell r="J537">
            <v>4500</v>
          </cell>
          <cell r="K537">
            <v>18500</v>
          </cell>
          <cell r="L537">
            <v>4000</v>
          </cell>
          <cell r="M537">
            <v>4500</v>
          </cell>
          <cell r="O537" t="str">
            <v>-</v>
          </cell>
          <cell r="P537">
            <v>18500</v>
          </cell>
        </row>
        <row r="538">
          <cell r="C538" t="str">
            <v>D0831-KSC-193</v>
          </cell>
          <cell r="D538" t="str">
            <v>KS Cosmetic</v>
          </cell>
          <cell r="E538" t="str">
            <v>တင်ထွန်းနိုင်</v>
          </cell>
          <cell r="F538" t="str">
            <v>09-967807519</v>
          </cell>
          <cell r="G538" t="str">
            <v>ကြည့်မြင်တိုင်</v>
          </cell>
          <cell r="H538" t="str">
            <v>ဧရာဝတီဘဏ်၊ အမှတ် (၇၃)၊ ကမ်းနားလမ်း၊ သာဓုလမ်း နှင့် နိဗ္ဗာန်လမ်းကြား၊ ကြည့်မြင်တိုင်မြို့နယ်</v>
          </cell>
          <cell r="I538">
            <v>79000</v>
          </cell>
          <cell r="J538">
            <v>4000</v>
          </cell>
          <cell r="K538">
            <v>83000</v>
          </cell>
          <cell r="L538">
            <v>4000</v>
          </cell>
          <cell r="M538">
            <v>4000</v>
          </cell>
          <cell r="O538" t="str">
            <v>-</v>
          </cell>
          <cell r="P538">
            <v>83000</v>
          </cell>
        </row>
        <row r="539">
          <cell r="C539" t="str">
            <v>D0831-KAL-098</v>
          </cell>
          <cell r="D539" t="str">
            <v>ခင့်အလှူ</v>
          </cell>
          <cell r="E539" t="str">
            <v>Salma BiBi</v>
          </cell>
          <cell r="F539" t="str">
            <v>09-261477545</v>
          </cell>
          <cell r="G539" t="str">
            <v>မင်္ဂလာတောင်ညွန့်</v>
          </cell>
          <cell r="H539" t="str">
            <v>အမှတ် (၃၇)၊ (၁၀၉) လမ်း၊ မင်္ဂလာတောင်ညွန့်မြို့နယ်</v>
          </cell>
          <cell r="I539">
            <v>17000</v>
          </cell>
          <cell r="J539">
            <v>4000</v>
          </cell>
          <cell r="K539">
            <v>21000</v>
          </cell>
          <cell r="L539">
            <v>4000</v>
          </cell>
          <cell r="M539">
            <v>4000</v>
          </cell>
          <cell r="O539" t="str">
            <v>-</v>
          </cell>
          <cell r="P539">
            <v>21000</v>
          </cell>
        </row>
        <row r="540">
          <cell r="C540" t="str">
            <v>D0904-BBW-056</v>
          </cell>
          <cell r="D540" t="str">
            <v>Baby World</v>
          </cell>
          <cell r="E540" t="str">
            <v>Moe Moe</v>
          </cell>
          <cell r="F540" t="str">
            <v>09-955096444</v>
          </cell>
          <cell r="G540" t="str">
            <v>ဒေါပုံ</v>
          </cell>
          <cell r="H540" t="str">
            <v>အမှတ် (၁၁၀)၊ မေတ္တာ (၂၃) လမ်း၊ ဗိုလ်ထွန်းစံရပ်ကွက်၊ ဒေါပုံမြို့နယ်</v>
          </cell>
          <cell r="I540">
            <v>138000</v>
          </cell>
          <cell r="J540">
            <v>4000</v>
          </cell>
          <cell r="K540">
            <v>142000</v>
          </cell>
          <cell r="L540">
            <v>4000</v>
          </cell>
          <cell r="M540">
            <v>4000</v>
          </cell>
          <cell r="O540" t="str">
            <v>-</v>
          </cell>
          <cell r="P540">
            <v>160000</v>
          </cell>
        </row>
        <row r="541">
          <cell r="C541" t="str">
            <v>D0831-BBW-441</v>
          </cell>
          <cell r="D541" t="str">
            <v>Baby World</v>
          </cell>
          <cell r="E541" t="str">
            <v>Tha Zin Aye</v>
          </cell>
          <cell r="F541" t="str">
            <v>09-786338637</v>
          </cell>
          <cell r="G541" t="str">
            <v>ဒေါပုံ</v>
          </cell>
          <cell r="H541" t="str">
            <v>အမှတ် (၃၄၁)၊ သစ္စာနွယ်လမ်း၊ နွယ်အေးရပ်ကွက်၊ ဒေါပုံမြို့နယ်</v>
          </cell>
          <cell r="I541">
            <v>84000</v>
          </cell>
          <cell r="J541">
            <v>4000</v>
          </cell>
          <cell r="K541">
            <v>88000</v>
          </cell>
          <cell r="L541">
            <v>4000</v>
          </cell>
          <cell r="M541">
            <v>4000</v>
          </cell>
          <cell r="O541" t="str">
            <v>-</v>
          </cell>
          <cell r="P541">
            <v>88000</v>
          </cell>
        </row>
        <row r="542">
          <cell r="C542" t="str">
            <v>D0831-CTM-417</v>
          </cell>
          <cell r="D542" t="str">
            <v>ချစ်သွန်းသီရိ မေမေ</v>
          </cell>
          <cell r="E542" t="str">
            <v>စိန်ရတနာ</v>
          </cell>
          <cell r="F542" t="str">
            <v>09-787977326</v>
          </cell>
          <cell r="G542" t="str">
            <v>ဒေါပုံ</v>
          </cell>
          <cell r="H542" t="str">
            <v>အမှတ် (၃၉၀)၊ ဇေယျာသီရိ (၁၃) လမ်း၊ (စာတိုက်အနီး)၊ ဒေါပုံမြို့နယ်</v>
          </cell>
          <cell r="I542">
            <v>108000</v>
          </cell>
          <cell r="J542">
            <v>4000</v>
          </cell>
          <cell r="K542">
            <v>112000</v>
          </cell>
          <cell r="L542">
            <v>4000</v>
          </cell>
          <cell r="M542">
            <v>4000</v>
          </cell>
          <cell r="N542">
            <v>6</v>
          </cell>
          <cell r="O542">
            <v>1500</v>
          </cell>
          <cell r="P542">
            <v>113500</v>
          </cell>
        </row>
        <row r="543">
          <cell r="C543" t="str">
            <v>D0831-CTM-421</v>
          </cell>
          <cell r="D543" t="str">
            <v>ချစ်သွန်းသီရိ မေမေ</v>
          </cell>
          <cell r="E543" t="str">
            <v>San San Myint</v>
          </cell>
          <cell r="F543" t="str">
            <v>09-5168589</v>
          </cell>
          <cell r="G543" t="str">
            <v>တာမွေ</v>
          </cell>
          <cell r="H543" t="str">
            <v>အမှတ် (၅)၊ အေးသာယာလမ်း၊ တာမွေမြို့နယ်</v>
          </cell>
          <cell r="I543">
            <v>29000</v>
          </cell>
          <cell r="J543">
            <v>4000</v>
          </cell>
          <cell r="K543">
            <v>33000</v>
          </cell>
          <cell r="L543">
            <v>4000</v>
          </cell>
          <cell r="M543">
            <v>4000</v>
          </cell>
          <cell r="O543" t="str">
            <v>-</v>
          </cell>
          <cell r="P543">
            <v>33000</v>
          </cell>
        </row>
        <row r="544">
          <cell r="C544" t="str">
            <v>D0831-KSC-237</v>
          </cell>
          <cell r="D544" t="str">
            <v>KS Cosmetic</v>
          </cell>
          <cell r="E544" t="str">
            <v>Moe</v>
          </cell>
          <cell r="F544" t="str">
            <v>09-664044709</v>
          </cell>
          <cell r="G544" t="str">
            <v>ဗဟန်း</v>
          </cell>
          <cell r="H544" t="str">
            <v>ပုလဲလမ်း၊ ကျိုက္ကဆံရပ်ကွက်၊ ဗဟန်းမြို့နယ်</v>
          </cell>
          <cell r="I544">
            <v>39500</v>
          </cell>
          <cell r="J544">
            <v>4000</v>
          </cell>
          <cell r="K544">
            <v>43500</v>
          </cell>
          <cell r="L544">
            <v>4000</v>
          </cell>
          <cell r="M544">
            <v>4000</v>
          </cell>
          <cell r="O544" t="str">
            <v>-</v>
          </cell>
          <cell r="P544">
            <v>43500</v>
          </cell>
        </row>
        <row r="545">
          <cell r="C545" t="str">
            <v>D0831-KAL-328</v>
          </cell>
          <cell r="D545" t="str">
            <v>ခင့်အလှူ</v>
          </cell>
          <cell r="E545" t="str">
            <v>Aye Than</v>
          </cell>
          <cell r="F545" t="str">
            <v>09-881939880</v>
          </cell>
          <cell r="G545" t="str">
            <v>အင်းစိန်</v>
          </cell>
          <cell r="H545" t="str">
            <v>ဒညင်းကုန်းဈေး၊ ရုံ (၂)၊ အင်းစိန်မြို့နယ်</v>
          </cell>
          <cell r="I545">
            <v>27500</v>
          </cell>
          <cell r="J545">
            <v>4000</v>
          </cell>
          <cell r="K545">
            <v>31500</v>
          </cell>
          <cell r="L545">
            <v>4000</v>
          </cell>
          <cell r="M545">
            <v>4000</v>
          </cell>
          <cell r="O545" t="str">
            <v>-</v>
          </cell>
          <cell r="P545">
            <v>31500</v>
          </cell>
        </row>
        <row r="546">
          <cell r="C546" t="str">
            <v>D0824-MML-368</v>
          </cell>
          <cell r="D546" t="str">
            <v>Ma Myat Lay</v>
          </cell>
          <cell r="E546" t="str">
            <v>မသူသူစိုး</v>
          </cell>
          <cell r="F546" t="str">
            <v>09-678193846</v>
          </cell>
          <cell r="G546" t="str">
            <v>လှိုင်သာယာ</v>
          </cell>
          <cell r="H546" t="str">
            <v>(ရိုးကြီးမှတ်တိုင်နား)၊ လှိုင်သာယာမြို့နယ်</v>
          </cell>
          <cell r="I546">
            <v>30000</v>
          </cell>
          <cell r="J546">
            <v>4500</v>
          </cell>
          <cell r="K546">
            <v>34500</v>
          </cell>
          <cell r="L546">
            <v>4500</v>
          </cell>
          <cell r="M546">
            <v>4500</v>
          </cell>
          <cell r="N546">
            <v>6</v>
          </cell>
          <cell r="O546">
            <v>1500</v>
          </cell>
          <cell r="P546">
            <v>36000</v>
          </cell>
        </row>
        <row r="547">
          <cell r="C547" t="str">
            <v>D0827-KAL-160</v>
          </cell>
          <cell r="D547" t="str">
            <v>ခင့်အလှူ</v>
          </cell>
          <cell r="E547" t="str">
            <v>မစိမ်းလဲ့</v>
          </cell>
          <cell r="F547" t="str">
            <v>09-457333005</v>
          </cell>
          <cell r="G547" t="str">
            <v>မရမ်းကုန်း</v>
          </cell>
          <cell r="H547" t="str">
            <v>တိုက် (၇၃၄)၊ (၄) လွှာ၊ ဗိုလ်တေဇလမ်း၊ သမိုင်း၊ မရမ်းကုန်းမြို့နယ်</v>
          </cell>
          <cell r="I547">
            <v>105000</v>
          </cell>
          <cell r="J547">
            <v>5000</v>
          </cell>
          <cell r="K547">
            <v>110000</v>
          </cell>
          <cell r="L547">
            <v>4000</v>
          </cell>
          <cell r="M547">
            <v>5000</v>
          </cell>
          <cell r="N547">
            <v>9</v>
          </cell>
          <cell r="O547">
            <v>3000</v>
          </cell>
          <cell r="P547">
            <v>113000</v>
          </cell>
        </row>
        <row r="548">
          <cell r="C548" t="str">
            <v>D0831-JLS-052</v>
          </cell>
          <cell r="D548" t="str">
            <v>July Sis</v>
          </cell>
          <cell r="E548" t="str">
            <v>Win WIn</v>
          </cell>
          <cell r="F548" t="str">
            <v>09-942398223</v>
          </cell>
          <cell r="G548" t="str">
            <v>လှိုင်သာယာ</v>
          </cell>
          <cell r="H548" t="str">
            <v>အမှတ် (၇၅၃)၊ နွယ်နီ (၃) လမ်း၊ (၁၅) ရပ်ကွက်၊ ((၁၂၇) မီးပွိုင့်အနီး)၊ လှိုင်သာယာမြို့နယ်</v>
          </cell>
          <cell r="I548">
            <v>232000</v>
          </cell>
          <cell r="J548">
            <v>4500</v>
          </cell>
          <cell r="K548">
            <v>236500</v>
          </cell>
          <cell r="L548">
            <v>4500</v>
          </cell>
          <cell r="M548">
            <v>4500</v>
          </cell>
          <cell r="O548" t="str">
            <v>-</v>
          </cell>
          <cell r="P548">
            <v>236500</v>
          </cell>
        </row>
        <row r="549">
          <cell r="C549" t="str">
            <v>D0831-KSC-170</v>
          </cell>
          <cell r="D549" t="str">
            <v>KS Cosmetic</v>
          </cell>
          <cell r="E549" t="str">
            <v>Moe Sat Lay</v>
          </cell>
          <cell r="F549" t="str">
            <v>09-781364800
09-698950075</v>
          </cell>
          <cell r="G549" t="str">
            <v>လှိုင်သာယာ</v>
          </cell>
          <cell r="H549" t="str">
            <v>(ကြက်ခြံမှတ်တိုင်)၊ လှိုင်သာယာမြို့နယ်</v>
          </cell>
          <cell r="I549">
            <v>97500</v>
          </cell>
          <cell r="J549">
            <v>4500</v>
          </cell>
          <cell r="K549">
            <v>102000</v>
          </cell>
          <cell r="L549">
            <v>4500</v>
          </cell>
          <cell r="M549">
            <v>4500</v>
          </cell>
          <cell r="O549" t="str">
            <v>-</v>
          </cell>
          <cell r="P549">
            <v>102000</v>
          </cell>
        </row>
        <row r="550">
          <cell r="C550" t="str">
            <v>D0831-BBW-444</v>
          </cell>
          <cell r="D550" t="str">
            <v>Baby World</v>
          </cell>
          <cell r="E550" t="str">
            <v>Baby Lay</v>
          </cell>
          <cell r="F550" t="str">
            <v>09-975159184</v>
          </cell>
          <cell r="G550" t="str">
            <v>လှိုင်သာယာ</v>
          </cell>
          <cell r="H550" t="str">
            <v>အမှတ် (227B)၊ နှောင်းဦးလမ်း၊ (၁၀) ရပ်ကွက်၊ လှိုင်သာယာမြို့နယ်</v>
          </cell>
          <cell r="I550">
            <v>22500</v>
          </cell>
          <cell r="J550">
            <v>4500</v>
          </cell>
          <cell r="K550">
            <v>27000</v>
          </cell>
          <cell r="L550">
            <v>4500</v>
          </cell>
          <cell r="M550">
            <v>4500</v>
          </cell>
          <cell r="O550" t="str">
            <v>-</v>
          </cell>
          <cell r="P550">
            <v>27000</v>
          </cell>
        </row>
        <row r="551">
          <cell r="C551" t="str">
            <v>D0822-FFY-091</v>
          </cell>
          <cell r="D551" t="str">
            <v>Food For U</v>
          </cell>
          <cell r="E551" t="str">
            <v>မယွန်းမှုူးအိမ်</v>
          </cell>
          <cell r="F551" t="str">
            <v>09-456882655</v>
          </cell>
          <cell r="G551" t="str">
            <v>လှိုင်သာယာ</v>
          </cell>
          <cell r="H551" t="str">
            <v>အမှတ် (၄၀၆)၊ မဟော်သဓာလမ်း၊ (၁/၁၂) ရပ်ကွက်၊ လှိုင်သာယာမြို့နယ်</v>
          </cell>
          <cell r="I551">
            <v>48500</v>
          </cell>
          <cell r="J551">
            <v>4000</v>
          </cell>
          <cell r="K551">
            <v>52500</v>
          </cell>
          <cell r="L551">
            <v>4500</v>
          </cell>
          <cell r="M551">
            <v>4500</v>
          </cell>
          <cell r="O551">
            <v>0</v>
          </cell>
          <cell r="P551">
            <v>53000</v>
          </cell>
        </row>
        <row r="552">
          <cell r="C552" t="str">
            <v>D0828-MMA-033</v>
          </cell>
          <cell r="D552" t="str">
            <v>မြန်မာ့အလှ</v>
          </cell>
          <cell r="E552" t="str">
            <v>Mya Lay</v>
          </cell>
          <cell r="F552" t="str">
            <v>09-426264786</v>
          </cell>
          <cell r="G552" t="str">
            <v>လှိုင်</v>
          </cell>
          <cell r="H552" t="str">
            <v>အေးမြသာယာလမ်း၊ (၁၄) ရပ်ကွက်၊ လှိုင်မြို့နယ်</v>
          </cell>
          <cell r="I552">
            <v>42900</v>
          </cell>
          <cell r="J552">
            <v>4000</v>
          </cell>
          <cell r="K552">
            <v>46900</v>
          </cell>
          <cell r="L552">
            <v>4000</v>
          </cell>
          <cell r="M552">
            <v>4000</v>
          </cell>
          <cell r="O552" t="str">
            <v>-</v>
          </cell>
          <cell r="P552">
            <v>46900</v>
          </cell>
        </row>
        <row r="553">
          <cell r="C553" t="str">
            <v>D0827-FFY-246</v>
          </cell>
          <cell r="D553" t="str">
            <v>Food For U</v>
          </cell>
          <cell r="E553" t="str">
            <v>Ma Ni Lar Phyu</v>
          </cell>
          <cell r="F553" t="str">
            <v>09-5138197</v>
          </cell>
          <cell r="G553" t="str">
            <v>လှိုင်သာယာ</v>
          </cell>
          <cell r="H553" t="str">
            <v>အမှတ် (746B)၊ ဗိုလ်တေဇပတ်လမ်း၊ ((၂၀) ဈေးအကျော်)၊ လှိုင်သာယာမြို့နယ်</v>
          </cell>
          <cell r="I553">
            <v>100000</v>
          </cell>
          <cell r="J553">
            <v>4000</v>
          </cell>
          <cell r="K553">
            <v>104000</v>
          </cell>
          <cell r="L553">
            <v>4500</v>
          </cell>
          <cell r="M553">
            <v>4500</v>
          </cell>
          <cell r="O553" t="str">
            <v>-</v>
          </cell>
          <cell r="P553">
            <v>104500</v>
          </cell>
        </row>
        <row r="554">
          <cell r="C554" t="str">
            <v>D0831-MMA-378</v>
          </cell>
          <cell r="D554" t="str">
            <v>မြန်မာ့အလှ</v>
          </cell>
          <cell r="E554" t="str">
            <v>Yu Yu</v>
          </cell>
          <cell r="F554" t="str">
            <v>09-258649756</v>
          </cell>
          <cell r="G554" t="str">
            <v>လှိုင်သာယာ</v>
          </cell>
          <cell r="H554" t="str">
            <v>ဓမ္မာရုံ (၁) လမ်း၊ (၂၂) ရပ်ကွက်၊ လှိုင်သာယာမြို့နယ်</v>
          </cell>
          <cell r="I554">
            <v>68200</v>
          </cell>
          <cell r="J554">
            <v>4500</v>
          </cell>
          <cell r="K554">
            <v>72700</v>
          </cell>
          <cell r="L554">
            <v>4500</v>
          </cell>
          <cell r="M554">
            <v>4500</v>
          </cell>
          <cell r="O554" t="str">
            <v>-</v>
          </cell>
          <cell r="P554">
            <v>72700</v>
          </cell>
        </row>
        <row r="555">
          <cell r="C555" t="str">
            <v>D0831-MMA-383</v>
          </cell>
          <cell r="D555" t="str">
            <v>မြန်မာ့အလှ</v>
          </cell>
          <cell r="E555" t="str">
            <v>သက်ထား</v>
          </cell>
          <cell r="F555" t="str">
            <v>09-794309661</v>
          </cell>
          <cell r="G555" t="str">
            <v>လှိုင်သာယာ</v>
          </cell>
          <cell r="H555" t="str">
            <v>ညောင်လေးပင်လမ်း၊ (၁၆) ရပ်ကွက်၊ လှိုင်သာယာမြို့နယ်</v>
          </cell>
          <cell r="I555">
            <v>29000</v>
          </cell>
          <cell r="J555">
            <v>4500</v>
          </cell>
          <cell r="K555">
            <v>33500</v>
          </cell>
          <cell r="L555">
            <v>4500</v>
          </cell>
          <cell r="M555">
            <v>4500</v>
          </cell>
          <cell r="O555" t="str">
            <v>-</v>
          </cell>
          <cell r="P555">
            <v>33500</v>
          </cell>
        </row>
        <row r="556">
          <cell r="C556" t="str">
            <v>D0831-KSC-282</v>
          </cell>
          <cell r="D556" t="str">
            <v>KS Cosmetic</v>
          </cell>
          <cell r="E556" t="str">
            <v>Paing Lay</v>
          </cell>
          <cell r="F556" t="str">
            <v>09-670549822</v>
          </cell>
          <cell r="G556" t="str">
            <v>လှိုင်သာယာ</v>
          </cell>
          <cell r="H556" t="str">
            <v>ပိုင်စိုး၊ အမှတ် (၄၄)၊ ရွှေပဒေသာ (၂) လမ်း၊ (စိမ်းပန်းမှတ်တိုင်)၊ ရွှေလင်ပန်း၊ လှိုင်သာယာမြို့နယ်</v>
          </cell>
          <cell r="I556">
            <v>39500</v>
          </cell>
          <cell r="J556">
            <v>4500</v>
          </cell>
          <cell r="K556">
            <v>44000</v>
          </cell>
          <cell r="L556">
            <v>4500</v>
          </cell>
          <cell r="M556">
            <v>4500</v>
          </cell>
          <cell r="O556" t="str">
            <v>-</v>
          </cell>
          <cell r="P556">
            <v>44000</v>
          </cell>
        </row>
        <row r="557">
          <cell r="C557" t="str">
            <v>D0831-KSC-310</v>
          </cell>
          <cell r="D557" t="str">
            <v>KS Cosmetic</v>
          </cell>
          <cell r="E557" t="str">
            <v>TT</v>
          </cell>
          <cell r="F557" t="str">
            <v>09-680213679</v>
          </cell>
          <cell r="G557" t="str">
            <v>လှိုင်သာယာ</v>
          </cell>
          <cell r="H557" t="str">
            <v>ဗိုလ်မင်းရောင်လမ်း၊ ရိုးကြီး၊ လှိုင်သာယာမြို့နယ်</v>
          </cell>
          <cell r="I557">
            <v>39500</v>
          </cell>
          <cell r="J557">
            <v>4500</v>
          </cell>
          <cell r="K557">
            <v>44000</v>
          </cell>
          <cell r="L557">
            <v>4500</v>
          </cell>
          <cell r="M557">
            <v>4500</v>
          </cell>
          <cell r="O557" t="str">
            <v>-</v>
          </cell>
          <cell r="P557">
            <v>44000</v>
          </cell>
        </row>
        <row r="558">
          <cell r="C558" t="str">
            <v>D0831-MMA-379</v>
          </cell>
          <cell r="D558" t="str">
            <v>မြန်မာ့အလှ</v>
          </cell>
          <cell r="E558" t="str">
            <v>ဝင်းမာထွေး</v>
          </cell>
          <cell r="F558" t="str">
            <v>09-753099783</v>
          </cell>
          <cell r="G558" t="str">
            <v>လှိုင်သာယာ</v>
          </cell>
          <cell r="H558" t="str">
            <v>ဧရာဝတီလမ်း၊ ရွှေညောင်ပင်၊ (၅) ရပ်ကွက်၊ လှိုင်သာယာမြို့နယ်</v>
          </cell>
          <cell r="I558">
            <v>47500</v>
          </cell>
          <cell r="J558">
            <v>4500</v>
          </cell>
          <cell r="K558">
            <v>52000</v>
          </cell>
          <cell r="L558">
            <v>4500</v>
          </cell>
          <cell r="M558">
            <v>4500</v>
          </cell>
          <cell r="O558" t="str">
            <v>-</v>
          </cell>
          <cell r="P558">
            <v>52000</v>
          </cell>
        </row>
        <row r="559">
          <cell r="C559" t="str">
            <v>D0831-KSC-189</v>
          </cell>
          <cell r="D559" t="str">
            <v>KS Cosmetic</v>
          </cell>
          <cell r="E559" t="str">
            <v>Wain Zin Yaung</v>
          </cell>
          <cell r="F559" t="str">
            <v>09-775276813</v>
          </cell>
          <cell r="G559" t="str">
            <v>လှိုင်သာယာ</v>
          </cell>
          <cell r="H559" t="str">
            <v>အမှတ် (1484B)၊ တကောင်းလမ်း၊ (၁၆) ရပ်ကွက်၊ လှိုင်သာယာမြို့နယ်</v>
          </cell>
          <cell r="I559">
            <v>79000</v>
          </cell>
          <cell r="J559">
            <v>4500</v>
          </cell>
          <cell r="K559">
            <v>83500</v>
          </cell>
          <cell r="L559">
            <v>4500</v>
          </cell>
          <cell r="M559">
            <v>4500</v>
          </cell>
          <cell r="O559" t="str">
            <v>-</v>
          </cell>
          <cell r="P559">
            <v>83500</v>
          </cell>
        </row>
        <row r="560">
          <cell r="C560" t="str">
            <v>D0831-MMA-364</v>
          </cell>
          <cell r="D560" t="str">
            <v>မြန်မာ့အလှ</v>
          </cell>
          <cell r="E560" t="str">
            <v>ဒေါ်သက်သက်</v>
          </cell>
          <cell r="F560" t="str">
            <v>09-941529560</v>
          </cell>
          <cell r="G560" t="str">
            <v>လှိုင်သာယာ</v>
          </cell>
          <cell r="H560" t="str">
            <v>မြတ်စံပယ်ဆေးဆိုင်၊ ရခိုင်ရိုးလေး၊ လှိုင်သာယာမြို့နယ်</v>
          </cell>
          <cell r="I560">
            <v>102000</v>
          </cell>
          <cell r="J560">
            <v>4500</v>
          </cell>
          <cell r="K560">
            <v>106500</v>
          </cell>
          <cell r="L560">
            <v>4500</v>
          </cell>
          <cell r="M560">
            <v>4500</v>
          </cell>
          <cell r="O560" t="str">
            <v>-</v>
          </cell>
          <cell r="P560">
            <v>106500</v>
          </cell>
        </row>
        <row r="561">
          <cell r="C561" t="str">
            <v>D0831-KSC-291</v>
          </cell>
          <cell r="D561" t="str">
            <v>KS Cosmetic</v>
          </cell>
          <cell r="E561" t="str">
            <v>မခင်</v>
          </cell>
          <cell r="F561" t="str">
            <v>09-799969892</v>
          </cell>
          <cell r="H561" t="str">
            <v>ရွှေတောင်စားသောက်ဆိုင်ရှေ့၊ အမှတ် (၂၀၅)၊ (ပင်လမ်းခွဲအကျော်)</v>
          </cell>
          <cell r="I561">
            <v>39500</v>
          </cell>
          <cell r="J561">
            <v>5000</v>
          </cell>
          <cell r="K561">
            <v>44500</v>
          </cell>
          <cell r="M561">
            <v>5000</v>
          </cell>
          <cell r="O561" t="str">
            <v>-</v>
          </cell>
          <cell r="P561">
            <v>44500</v>
          </cell>
        </row>
        <row r="562">
          <cell r="C562" t="str">
            <v>D0831-KAL-103</v>
          </cell>
          <cell r="D562" t="str">
            <v>ခင့်အလှူ</v>
          </cell>
          <cell r="E562" t="str">
            <v>Moe Myint Htay</v>
          </cell>
          <cell r="F562" t="str">
            <v>09-663641587</v>
          </cell>
          <cell r="G562" t="str">
            <v>ရွှေပြည်သာ</v>
          </cell>
          <cell r="H562" t="str">
            <v>စိန်ပန်း (၅) လမ်း၊ (ကျော်ကမ္ဘာမှတ်တိုင်)၊ ရွှေပြည်သာမြို့နယ်</v>
          </cell>
          <cell r="I562">
            <v>27500</v>
          </cell>
          <cell r="J562">
            <v>4500</v>
          </cell>
          <cell r="K562">
            <v>32000</v>
          </cell>
          <cell r="L562">
            <v>4500</v>
          </cell>
          <cell r="M562">
            <v>4500</v>
          </cell>
          <cell r="O562" t="str">
            <v>-</v>
          </cell>
          <cell r="P562">
            <v>32000</v>
          </cell>
        </row>
        <row r="563">
          <cell r="C563" t="str">
            <v>D0821-PHS-237</v>
          </cell>
          <cell r="D563" t="str">
            <v>ph level 7</v>
          </cell>
          <cell r="E563" t="str">
            <v>နန်းစုလှိုင်</v>
          </cell>
          <cell r="F563" t="str">
            <v>09-688393073</v>
          </cell>
          <cell r="G563" t="str">
            <v>ရွှေပြည်သာ</v>
          </cell>
          <cell r="H563" t="str">
    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v>
          </cell>
          <cell r="I563">
            <v>39000</v>
          </cell>
          <cell r="J563">
            <v>4500</v>
          </cell>
          <cell r="K563">
            <v>43500</v>
          </cell>
          <cell r="L563">
            <v>4500</v>
          </cell>
          <cell r="M563">
            <v>4500</v>
          </cell>
          <cell r="O563" t="str">
            <v>-</v>
          </cell>
          <cell r="P563">
            <v>43500</v>
          </cell>
        </row>
        <row r="564">
          <cell r="C564" t="str">
            <v>D0822-GGS-137</v>
          </cell>
          <cell r="D564" t="str">
            <v>The Gadget Store</v>
          </cell>
          <cell r="E564" t="str">
            <v>Ellie</v>
          </cell>
          <cell r="F564" t="str">
            <v>09-5040328</v>
          </cell>
          <cell r="G564" t="str">
            <v>မင်္ဂလာဒုံ</v>
          </cell>
          <cell r="H564" t="str">
            <v>အမှတ် (၁၅၉)၊ ကရင်ပင်လမ်း၊ မင်္ဂလာဒုံမြို့နယ်</v>
          </cell>
          <cell r="I564">
            <v>29800</v>
          </cell>
          <cell r="J564">
            <v>4500</v>
          </cell>
          <cell r="K564">
            <v>34300</v>
          </cell>
          <cell r="L564">
            <v>4500</v>
          </cell>
          <cell r="M564">
            <v>4500</v>
          </cell>
          <cell r="O564">
            <v>0</v>
          </cell>
          <cell r="P564">
            <v>34300</v>
          </cell>
        </row>
        <row r="565">
          <cell r="C565" t="str">
            <v>D0827-KAL-144</v>
          </cell>
          <cell r="D565" t="str">
            <v>ခင့်အလှူ</v>
          </cell>
          <cell r="E565" t="str">
            <v>Min Thwe Khant</v>
          </cell>
          <cell r="F565" t="str">
            <v>09-420200167</v>
          </cell>
          <cell r="G565" t="str">
            <v>ဒဂုံဆိပ်ကမ်း</v>
          </cell>
          <cell r="H565" t="str">
            <v>Fuji ဆပ်ပြာစက်ရုံ၊ အမှတ် (၃၈)၊ ကနောင်မင်းသားကြီးလမ်း၊ စက်မှုဇုန် (၁)၊ ဒဂုံဆိပ်ကမ်းမြို့နယ်</v>
          </cell>
          <cell r="I565">
            <v>35000</v>
          </cell>
          <cell r="J565">
            <v>5000</v>
          </cell>
          <cell r="K565">
            <v>40000</v>
          </cell>
          <cell r="L565">
            <v>4000</v>
          </cell>
          <cell r="M565">
            <v>5000</v>
          </cell>
          <cell r="O565" t="str">
            <v>-</v>
          </cell>
          <cell r="P565">
            <v>40000</v>
          </cell>
        </row>
        <row r="566">
          <cell r="C566" t="str">
            <v>D0831-POE-459</v>
          </cell>
          <cell r="D566" t="str">
            <v>Poe Poe OS</v>
          </cell>
          <cell r="E566" t="str">
            <v>Ma Phyu</v>
          </cell>
          <cell r="F566" t="str">
            <v>09-261599626</v>
          </cell>
          <cell r="G566" t="str">
            <v>မင်္ဂလာဒုံ</v>
          </cell>
          <cell r="H566" t="str">
            <v>စိန်ပဒေသာ (၃) လမ်း၊ ကုန်းတလပေါင်၊ မင်္ဂလာဒုံမြို့နယ်</v>
          </cell>
          <cell r="I566">
            <v>226000</v>
          </cell>
          <cell r="J566">
            <v>4500</v>
          </cell>
          <cell r="K566">
            <v>230500</v>
          </cell>
          <cell r="L566">
            <v>4500</v>
          </cell>
          <cell r="M566">
            <v>4500</v>
          </cell>
          <cell r="O566" t="str">
            <v>-</v>
          </cell>
          <cell r="P566">
            <v>230500</v>
          </cell>
        </row>
        <row r="567">
          <cell r="C567" t="str">
            <v>D0831-MML-148</v>
          </cell>
          <cell r="D567" t="str">
            <v>Ma Myat Lay</v>
          </cell>
          <cell r="E567" t="str">
            <v>တင်ဇာအောင်</v>
          </cell>
          <cell r="F567" t="str">
            <v>09-425031024</v>
          </cell>
          <cell r="G567" t="str">
            <v>ရွှေပြည်သာ</v>
          </cell>
          <cell r="H567" t="str">
            <v>ဝေဠုဝန်လမ်း၊ (၂၆) ရပ်ကွက်၊ ရွှေပြည်သာမြို့နယ်</v>
          </cell>
          <cell r="I567">
            <v>20000</v>
          </cell>
          <cell r="J567">
            <v>5000</v>
          </cell>
          <cell r="K567">
            <v>25000</v>
          </cell>
          <cell r="L567">
            <v>4500</v>
          </cell>
          <cell r="M567">
            <v>5000</v>
          </cell>
          <cell r="N567">
            <v>4</v>
          </cell>
          <cell r="O567">
            <v>500</v>
          </cell>
          <cell r="P567">
            <v>25500</v>
          </cell>
        </row>
        <row r="568">
          <cell r="C568" t="str">
            <v>D0902-LOS-189</v>
          </cell>
          <cell r="D568" t="str">
            <v>Lady OS</v>
          </cell>
          <cell r="E568" t="str">
            <v>Aye Yu Par</v>
          </cell>
          <cell r="F568" t="str">
            <v>09-256046171</v>
          </cell>
          <cell r="G568" t="str">
            <v xml:space="preserve"> စမ်းချောင်း</v>
          </cell>
          <cell r="H568" t="str">
            <v>KTH ကားပစ္စည်းဆိုင်၊ အမှတ် (၁၈)၊ ဝေဠုန်(၆)လမ်းနှင့်ဗဟိုလမ်းဒေါင့်၊ စမ်းချောင်း</v>
          </cell>
          <cell r="I568">
            <v>174000</v>
          </cell>
          <cell r="J568">
            <v>0</v>
          </cell>
          <cell r="K568">
            <v>174000</v>
          </cell>
          <cell r="M568">
            <v>0</v>
          </cell>
          <cell r="O568">
            <v>0</v>
          </cell>
          <cell r="P568">
            <v>174000</v>
          </cell>
        </row>
        <row r="569">
          <cell r="C569" t="str">
            <v>D0902-LOS-190</v>
          </cell>
          <cell r="D569" t="str">
            <v>Lady OS</v>
          </cell>
          <cell r="E569" t="str">
            <v>Su Myo Thu</v>
          </cell>
          <cell r="F569" t="str">
            <v>09-5051379</v>
          </cell>
          <cell r="G569" t="str">
            <v>ဗဟန်း</v>
          </cell>
          <cell r="H569" t="str">
            <v>အမှတ် (၁၇/အေ)၊ အင်းယားမြိုင်လမ်း၊ ဗဟန်း၊ မင်းကွန်းတောရဘုန်းကြီးကျောင်းကပ်ရပ်လမ်းမှဝင်ပါ</v>
          </cell>
          <cell r="I569">
            <v>152900</v>
          </cell>
          <cell r="J569">
            <v>0</v>
          </cell>
          <cell r="K569">
            <v>152900</v>
          </cell>
          <cell r="M569">
            <v>0</v>
          </cell>
          <cell r="O569">
            <v>0</v>
          </cell>
          <cell r="P569">
            <v>152900</v>
          </cell>
        </row>
        <row r="570">
          <cell r="C570" t="str">
            <v>D0831-TSW-086</v>
          </cell>
          <cell r="D570" t="str">
            <v>3 &amp; 6 Wholesale</v>
          </cell>
          <cell r="E570" t="str">
            <v>ကိုမျိူး</v>
          </cell>
          <cell r="F570" t="str">
            <v>09-450048375</v>
          </cell>
          <cell r="G570" t="str">
            <v>ရန်ကင်း</v>
          </cell>
          <cell r="H570" t="str">
            <v>Sedona Hotel၊ ရန်ကင်းမြို့နယ်</v>
          </cell>
          <cell r="I570">
            <v>16000</v>
          </cell>
          <cell r="J570">
            <v>4000</v>
          </cell>
          <cell r="K570">
            <v>20000</v>
          </cell>
          <cell r="L570">
            <v>4000</v>
          </cell>
          <cell r="M570">
            <v>4000</v>
          </cell>
          <cell r="O570" t="str">
            <v>-</v>
          </cell>
          <cell r="P570">
            <v>20000</v>
          </cell>
        </row>
        <row r="571">
          <cell r="C571" t="str">
            <v>D0824-BBW-449</v>
          </cell>
          <cell r="D571" t="str">
            <v>Baby World</v>
          </cell>
          <cell r="E571" t="str">
            <v>Lae Lae Soe</v>
          </cell>
          <cell r="F571" t="str">
            <v>09-95140278</v>
          </cell>
          <cell r="G571" t="str">
            <v>တာမွေ</v>
          </cell>
          <cell r="H571" t="str">
            <v>အမှတ် (၈)၊ သီလလမ်း၊ ဗျိုင်းရွာမရပ်ကွက်၊ ကျောက်မြောင်း၊ တာမွေမြို့နယ်</v>
          </cell>
          <cell r="I571">
            <v>46500</v>
          </cell>
          <cell r="J571">
            <v>4000</v>
          </cell>
          <cell r="K571">
            <v>50500</v>
          </cell>
          <cell r="L571">
            <v>4000</v>
          </cell>
          <cell r="M571">
            <v>4000</v>
          </cell>
          <cell r="O571" t="str">
            <v>-</v>
          </cell>
          <cell r="P571">
            <v>50500</v>
          </cell>
        </row>
        <row r="572">
          <cell r="C572" t="str">
            <v>D0831-JLS-042</v>
          </cell>
          <cell r="D572" t="str">
            <v>July Sis</v>
          </cell>
          <cell r="E572" t="str">
            <v>Khaing Khaing</v>
          </cell>
          <cell r="G572" t="str">
            <v>သာကေတ</v>
          </cell>
          <cell r="H572" t="str">
            <v>အမှတ် (၁၀)၊ မာန်ပြေ (၄) လမ်း (အနောက်)၊ (၂/တောင်) ရပ်ကွက်၊ သာကေတမြို့နယ်</v>
          </cell>
          <cell r="I572">
            <v>36000</v>
          </cell>
          <cell r="J572">
            <v>4000</v>
          </cell>
          <cell r="K572">
            <v>40000</v>
          </cell>
          <cell r="L572">
            <v>4000</v>
          </cell>
          <cell r="M572">
            <v>4000</v>
          </cell>
          <cell r="O572" t="str">
            <v>-</v>
          </cell>
          <cell r="P572">
            <v>40000</v>
          </cell>
        </row>
        <row r="573">
          <cell r="C573" t="str">
            <v>D0824-MSE-348</v>
          </cell>
          <cell r="D573" t="str">
            <v>မရွှေအိ</v>
          </cell>
          <cell r="E573" t="str">
            <v>Myo</v>
          </cell>
          <cell r="F573" t="str">
            <v>09-797264108</v>
          </cell>
          <cell r="G573" t="str">
            <v>မန္တလေး</v>
          </cell>
          <cell r="H573" t="str">
            <v>၈၄ x (105A) လမ်းထောင့်၊ မန္တလေးမြို့</v>
          </cell>
          <cell r="I573">
            <v>41000</v>
          </cell>
          <cell r="J573">
            <v>6000</v>
          </cell>
          <cell r="K573">
            <v>47000</v>
          </cell>
          <cell r="L573">
            <v>6000</v>
          </cell>
          <cell r="M573">
            <v>6000</v>
          </cell>
          <cell r="O573" t="str">
            <v>-</v>
          </cell>
          <cell r="P573">
            <v>47000</v>
          </cell>
        </row>
        <row r="574">
          <cell r="C574" t="str">
            <v>D0831-JLS-060</v>
          </cell>
          <cell r="D574" t="str">
            <v>July Sis</v>
          </cell>
          <cell r="E574" t="str">
            <v>Noe Noe Noe</v>
          </cell>
          <cell r="F574" t="str">
            <v>09-762472224</v>
          </cell>
          <cell r="G574" t="str">
            <v>ကြည့်မြင်တိုင်</v>
          </cell>
          <cell r="H574" t="str">
            <v>ထီးတန်းအိမ်ရာ၊ ကမ်းနားလမ်း၊ ကြည့်မြင်တိုင်မြို့နယ်</v>
          </cell>
          <cell r="I574">
            <v>105000</v>
          </cell>
          <cell r="J574">
            <v>4000</v>
          </cell>
          <cell r="K574">
            <v>109000</v>
          </cell>
          <cell r="L574">
            <v>4000</v>
          </cell>
          <cell r="M574">
            <v>4000</v>
          </cell>
          <cell r="O574" t="str">
            <v>-</v>
          </cell>
          <cell r="P574">
            <v>109000</v>
          </cell>
        </row>
        <row r="575">
          <cell r="C575" t="str">
            <v>D0822-PHS-169</v>
          </cell>
          <cell r="D575" t="str">
            <v>ph level 7</v>
          </cell>
          <cell r="E575" t="str">
            <v>Zar Zar Lin</v>
          </cell>
          <cell r="F575" t="str">
            <v>09-757503534</v>
          </cell>
          <cell r="G575" t="str">
            <v>Royal</v>
          </cell>
          <cell r="H575" t="str">
            <v>အမှတ် (၉၄၅)၊ (၁၀) လမ်း၊ မြိုင်သာယာရပ်ကွက်၊ မော်လမြိုင်ကျွန်းမြို့</v>
          </cell>
          <cell r="I575">
            <v>78000</v>
          </cell>
          <cell r="J575">
            <v>5000</v>
          </cell>
          <cell r="K575">
            <v>83000</v>
          </cell>
          <cell r="L575">
            <v>0</v>
          </cell>
          <cell r="M575">
            <v>5000</v>
          </cell>
          <cell r="O575">
            <v>0</v>
          </cell>
          <cell r="P575">
            <v>83000</v>
          </cell>
        </row>
        <row r="576">
          <cell r="C576" t="str">
            <v>D0811-MMA-098</v>
          </cell>
          <cell r="D576" t="str">
            <v>မြန်မာ့အလှ</v>
          </cell>
          <cell r="E576" t="str">
            <v>Chit Hnin Si</v>
          </cell>
          <cell r="F576" t="str">
            <v>09-797851002</v>
          </cell>
          <cell r="G576" t="str">
            <v>Royal Express</v>
          </cell>
          <cell r="H576" t="str">
            <v>Royal Express ရုံး၊ လယ်ဝေး၊ နေပြည်တော်</v>
          </cell>
          <cell r="I576">
            <v>28000</v>
          </cell>
          <cell r="J576">
            <v>6000</v>
          </cell>
          <cell r="K576">
            <v>34000</v>
          </cell>
          <cell r="L576">
            <v>3000</v>
          </cell>
          <cell r="M576">
            <v>6000</v>
          </cell>
          <cell r="O576" t="str">
            <v>-</v>
          </cell>
          <cell r="P576">
            <v>34000</v>
          </cell>
        </row>
        <row r="577">
          <cell r="C577" t="str">
            <v>D0829-CUY-056</v>
          </cell>
          <cell r="D577" t="str">
            <v>Curvy</v>
          </cell>
          <cell r="E577" t="str">
            <v>မနှင်းပွင့်ဖြူ</v>
          </cell>
          <cell r="F577" t="str">
            <v>09-449497306</v>
          </cell>
          <cell r="G577" t="str">
            <v>ရွှေပြည်သာ</v>
          </cell>
          <cell r="H577" t="str">
            <v>မြန်မာ PanPan အစားအသောက်ကုမ္ပဏီ၊ စက်ရုံအမှတ် (၁၅၆)၊ ဗိုလ်တိုက်ချွန်းလမ်း၊ (မင်းဗန္ဓုဘုရားဘေး)၊ ဝါးတစ်ရာစက်မှုဇုန်၊ ရွှေပြည်သာမြို့နယ်</v>
          </cell>
          <cell r="I577">
            <v>99000</v>
          </cell>
          <cell r="J577">
            <v>4500</v>
          </cell>
          <cell r="K577">
            <v>103500</v>
          </cell>
          <cell r="L577">
            <v>4500</v>
          </cell>
          <cell r="M577">
            <v>4500</v>
          </cell>
          <cell r="O577" t="str">
            <v>-</v>
          </cell>
          <cell r="P577">
            <v>103500</v>
          </cell>
        </row>
        <row r="578">
          <cell r="C578" t="str">
            <v>D0822-BBW-273</v>
          </cell>
          <cell r="D578" t="str">
            <v>Baby World</v>
          </cell>
          <cell r="E578" t="str">
            <v>Lin Lin Shwe</v>
          </cell>
          <cell r="F578" t="str">
            <v>09-259412918</v>
          </cell>
          <cell r="G578" t="str">
            <v>တာမွေ</v>
          </cell>
          <cell r="H578" t="str">
            <v>ဗိုလ်လက်ရာလမ်း၊ ဗိုလ်စိန်ရပ်ကွက်၊ (တာမွေအဝိုင်းထိပ်)၊ တာမွေမြို့နယ်</v>
          </cell>
          <cell r="I578">
            <v>54000</v>
          </cell>
          <cell r="J578">
            <v>4000</v>
          </cell>
          <cell r="K578">
            <v>58000</v>
          </cell>
          <cell r="M578">
            <v>4000</v>
          </cell>
          <cell r="O578">
            <v>0</v>
          </cell>
          <cell r="P578">
            <v>58000</v>
          </cell>
        </row>
        <row r="579">
          <cell r="C579" t="str">
            <v>D0817-KKK-163</v>
          </cell>
          <cell r="D579" t="str">
            <v>ကိုကျော် အထည်</v>
          </cell>
          <cell r="E579" t="str">
            <v>မသူဇာစိုး</v>
          </cell>
          <cell r="F579" t="str">
            <v>09-971557828</v>
          </cell>
          <cell r="G579" t="str">
            <v>မြောက်ဒဂုံ</v>
          </cell>
          <cell r="H579" t="str">
            <v>သန္တာလမ်း၊ (၃၃) ရပ်ကွက်၊ မြောက်ဒဂုံမြို့နယ်</v>
          </cell>
          <cell r="I579">
            <v>28500</v>
          </cell>
          <cell r="J579">
            <v>4000</v>
          </cell>
          <cell r="K579">
            <v>32500</v>
          </cell>
          <cell r="L579">
            <v>4000</v>
          </cell>
          <cell r="M579">
            <v>4000</v>
          </cell>
          <cell r="O579" t="str">
            <v>-</v>
          </cell>
          <cell r="P579">
            <v>32500</v>
          </cell>
        </row>
        <row r="580">
          <cell r="C580" t="str">
            <v>D0825-JSC-091</v>
          </cell>
          <cell r="D580" t="str">
            <v>Jessica Sue</v>
          </cell>
          <cell r="E580" t="str">
            <v>Aye Thidar Kyaw Kyaw</v>
          </cell>
          <cell r="F580" t="str">
            <v>09-982291231</v>
          </cell>
          <cell r="G580" t="str">
            <v>မြောက်ဥက္ကလာပ</v>
          </cell>
          <cell r="H580" t="str">
            <v>အမှတ် (၅၆)၊ သစ္စာပန်းလမ်း၊ မြောက်ဥက္ကလာပမြို့နယ်</v>
          </cell>
          <cell r="I580">
            <v>26000</v>
          </cell>
          <cell r="J580">
            <v>4500</v>
          </cell>
          <cell r="K580">
            <v>30500</v>
          </cell>
          <cell r="L580">
            <v>4500</v>
          </cell>
          <cell r="M580">
            <v>4500</v>
          </cell>
          <cell r="O580" t="str">
            <v>-</v>
          </cell>
          <cell r="P580">
            <v>30500</v>
          </cell>
        </row>
        <row r="581">
          <cell r="C581" t="str">
            <v>D0824-KAL-140</v>
          </cell>
          <cell r="D581" t="str">
            <v>ခင့်အလှူ</v>
          </cell>
          <cell r="E581" t="str">
            <v>Mar Mar</v>
          </cell>
          <cell r="F581" t="str">
            <v>09-753858684</v>
          </cell>
          <cell r="G581" t="str">
            <v>တာမွေ</v>
          </cell>
          <cell r="H581" t="str">
            <v>အမှတ် (၁၀၆)၊ (၁၅၄) လမ်း၊ တာမွေမြို့နယ်</v>
          </cell>
          <cell r="I581">
            <v>35000</v>
          </cell>
          <cell r="J581">
            <v>5000</v>
          </cell>
          <cell r="K581">
            <v>40000</v>
          </cell>
          <cell r="L581">
            <v>4000</v>
          </cell>
          <cell r="M581">
            <v>5000</v>
          </cell>
          <cell r="O581" t="str">
            <v>-</v>
          </cell>
          <cell r="P581">
            <v>40000</v>
          </cell>
        </row>
        <row r="582">
          <cell r="C582" t="str">
            <v>D0806-GGS-149</v>
          </cell>
          <cell r="D582" t="str">
            <v>The Gadget Store</v>
          </cell>
          <cell r="E582" t="str">
            <v>Hnin La Yanung</v>
          </cell>
          <cell r="F582" t="str">
            <v>09-761906623</v>
          </cell>
          <cell r="G582" t="str">
            <v>မြောက်ဥက္ကလာပ</v>
          </cell>
          <cell r="H582" t="str">
            <v>အမှတ် (၁၈၅)၊ သန္တာ (၁၁) လမ်း၊ မြောက်ဥက္ကလာပမြို့နယ်</v>
          </cell>
          <cell r="I582">
            <v>59000</v>
          </cell>
          <cell r="J582">
            <v>4500</v>
          </cell>
          <cell r="K582">
            <v>63500</v>
          </cell>
          <cell r="L582">
            <v>4500</v>
          </cell>
          <cell r="M582">
            <v>4500</v>
          </cell>
          <cell r="O582" t="str">
            <v>-</v>
          </cell>
          <cell r="P582">
            <v>63500</v>
          </cell>
        </row>
        <row r="583">
          <cell r="C583" t="str">
            <v>D0822-GGS-157</v>
          </cell>
          <cell r="D583" t="str">
            <v>The Gadget Store</v>
          </cell>
          <cell r="E583" t="str">
            <v>Ei Ei Thu</v>
          </cell>
          <cell r="F583" t="str">
            <v>09-880916320</v>
          </cell>
          <cell r="G583" t="str">
            <v>မရမ်းကုန်း</v>
          </cell>
          <cell r="H583" t="str">
            <v>ပြည်လမ်း၊ (Central (9) Office)</v>
          </cell>
          <cell r="I583">
            <v>29800</v>
          </cell>
          <cell r="J583">
            <v>4000</v>
          </cell>
          <cell r="K583">
            <v>33800</v>
          </cell>
          <cell r="L583">
            <v>4000</v>
          </cell>
          <cell r="M583">
            <v>4000</v>
          </cell>
          <cell r="O583">
            <v>0</v>
          </cell>
          <cell r="P583">
            <v>33800</v>
          </cell>
        </row>
        <row r="584">
          <cell r="C584" t="str">
            <v>D0806-MMM-041</v>
          </cell>
          <cell r="D584" t="str">
            <v>Ma Ma Myat</v>
          </cell>
          <cell r="E584" t="str">
            <v>U Ko Ko Lwin</v>
          </cell>
          <cell r="F584" t="str">
            <v>09-51012541</v>
          </cell>
          <cell r="G584" t="str">
            <v>မန္တလေး</v>
          </cell>
          <cell r="H584" t="str">
            <v>တိုက် (၇)၊ (၄) ထပ် တိုက်တန်း၊ စွယ်တော်ကြီးကွင်း၊ မန္တလေးမြို့</v>
          </cell>
          <cell r="I584">
            <v>75000</v>
          </cell>
          <cell r="J584" t="str">
            <v>-</v>
          </cell>
          <cell r="K584">
            <v>75000</v>
          </cell>
          <cell r="L584">
            <v>6000</v>
          </cell>
          <cell r="M584" t="str">
            <v>-</v>
          </cell>
          <cell r="N584">
            <v>9</v>
          </cell>
          <cell r="O584">
            <v>12000</v>
          </cell>
          <cell r="P584">
            <v>87000</v>
          </cell>
        </row>
        <row r="585">
          <cell r="C585" t="str">
            <v>D0809-MML-079</v>
          </cell>
          <cell r="D585" t="str">
            <v>Ma Myat Lay</v>
          </cell>
          <cell r="E585" t="str">
            <v>မထက်ထက်အောင်</v>
          </cell>
          <cell r="F585" t="str">
            <v>09-250332375</v>
          </cell>
          <cell r="G585" t="str">
            <v>မန္တလေး</v>
          </cell>
          <cell r="H585" t="str">
            <v>(ချမ်းသာကြီးဘုရားအနောက်မုဒ်)၊ (၂၆) လမ်း၊ ၉၀ x ၉၁ လမ်းကြား၊ မန္တလေးမြို့</v>
          </cell>
          <cell r="I585">
            <v>30000</v>
          </cell>
          <cell r="J585" t="str">
            <v>-</v>
          </cell>
          <cell r="K585">
            <v>30000</v>
          </cell>
          <cell r="L585">
            <v>6000</v>
          </cell>
          <cell r="M585" t="str">
            <v>-</v>
          </cell>
          <cell r="N585">
            <v>6</v>
          </cell>
          <cell r="O585">
            <v>8000</v>
          </cell>
          <cell r="P585">
            <v>38000</v>
          </cell>
        </row>
        <row r="586">
          <cell r="C586" t="str">
            <v>D0803-MML-162</v>
          </cell>
          <cell r="D586" t="str">
            <v>Ma Myat Lay</v>
          </cell>
          <cell r="E586" t="str">
            <v>Nway² Aung</v>
          </cell>
          <cell r="F586" t="str">
            <v>09-43061873</v>
          </cell>
          <cell r="G586" t="str">
            <v>မန္တလေး</v>
          </cell>
          <cell r="H586" t="str">
            <v>(ဂ) လမ်း၊ ၈၆ x ၈၇ လမ်းကြား၊ မန္တလေးမြို့</v>
          </cell>
          <cell r="I586">
            <v>30000</v>
          </cell>
          <cell r="J586">
            <v>0</v>
          </cell>
          <cell r="K586">
            <v>30000</v>
          </cell>
          <cell r="L586">
            <v>6000</v>
          </cell>
          <cell r="M586">
            <v>0</v>
          </cell>
          <cell r="N586">
            <v>6</v>
          </cell>
          <cell r="O586">
            <v>1500</v>
          </cell>
          <cell r="P586">
            <v>31500</v>
          </cell>
        </row>
        <row r="587">
          <cell r="C587" t="str">
            <v>D0819-MML-212</v>
          </cell>
          <cell r="D587" t="str">
            <v>Ma Myat Lay</v>
          </cell>
          <cell r="E587" t="str">
            <v>May Than Khine</v>
          </cell>
          <cell r="F587" t="str">
            <v>09-965655920
09-965655929</v>
          </cell>
          <cell r="G587" t="str">
            <v>မရမ်းကုန်း</v>
          </cell>
          <cell r="H587" t="str">
            <v>(၈) မိုင်လမ်းဆုံ၊ မြို့ပြအိမ်ရာ၊ မရမ်းကုန်းမြို့နယ်</v>
          </cell>
          <cell r="I587">
            <v>14100</v>
          </cell>
          <cell r="J587">
            <v>4000</v>
          </cell>
          <cell r="K587">
            <v>18100</v>
          </cell>
          <cell r="L587">
            <v>4000</v>
          </cell>
          <cell r="M587">
            <v>4000</v>
          </cell>
          <cell r="O587" t="str">
            <v>-</v>
          </cell>
          <cell r="P587">
            <v>18100</v>
          </cell>
        </row>
        <row r="588">
          <cell r="C588" t="str">
            <v>D0813-MML-268</v>
          </cell>
          <cell r="D588" t="str">
            <v>Ma Myat Lay</v>
          </cell>
          <cell r="E588" t="str">
            <v>Daw Sandi</v>
          </cell>
          <cell r="F588" t="str">
            <v>09-758787651</v>
          </cell>
          <cell r="G588" t="str">
            <v>မန္တလေး</v>
          </cell>
          <cell r="H588" t="str">
            <v>(၇၇) လမ်း၊ (၃၇) လမ်းနှင့် (၃၈) လမ်းကြား၊ မန္တလေးမြို့</v>
          </cell>
          <cell r="I588">
            <v>20000</v>
          </cell>
          <cell r="J588" t="str">
            <v>-</v>
          </cell>
          <cell r="K588">
            <v>20000</v>
          </cell>
          <cell r="L588">
            <v>6000</v>
          </cell>
          <cell r="M588" t="str">
            <v>-</v>
          </cell>
          <cell r="N588">
            <v>5</v>
          </cell>
          <cell r="O588">
            <v>8000</v>
          </cell>
          <cell r="P588">
            <v>28000</v>
          </cell>
        </row>
        <row r="589">
          <cell r="C589" t="str">
            <v>D0901-GRS-003</v>
          </cell>
          <cell r="D589" t="str">
            <v>GRS Express</v>
          </cell>
          <cell r="E589" t="str">
            <v>November Pearl Tun</v>
          </cell>
          <cell r="F589" t="str">
            <v>09-950685145</v>
          </cell>
          <cell r="G589" t="str">
            <v>ပန်းဘဲတန်း</v>
          </cell>
          <cell r="H589" t="str">
            <v>အမှတ် (၉၈)၊ (၃၀) လမ်း၊ အောက်ဘလောက်၊ (မဟာဗန္ဓုလလမ်းထိပ်မှလာလျှင် တစ်တိုက်ကျော်)၊ ပန်းဘဲတန်းမြို့နယ်</v>
          </cell>
          <cell r="I589">
            <v>34500</v>
          </cell>
          <cell r="J589">
            <v>4500</v>
          </cell>
          <cell r="K589">
            <v>39000</v>
          </cell>
          <cell r="L589">
            <v>4000</v>
          </cell>
          <cell r="M589">
            <v>4500</v>
          </cell>
          <cell r="O589" t="str">
            <v>-</v>
          </cell>
          <cell r="P589">
            <v>39000</v>
          </cell>
        </row>
        <row r="590">
          <cell r="C590" t="str">
            <v>D0901-UQD-141</v>
          </cell>
          <cell r="D590" t="str">
            <v>Unique/Diva</v>
          </cell>
          <cell r="E590" t="str">
            <v>Wai Yan</v>
          </cell>
          <cell r="F590" t="str">
            <v>09-977198783</v>
          </cell>
          <cell r="G590" t="str">
            <v>ဒဂုံဆိပ်ကမ်း</v>
          </cell>
          <cell r="H590" t="str">
            <v>မြင်စိုင်းလမ်း၊ (၈၉) ရပ်ကွက်၊ ဒဂုံဆိပ်ကမ်းမြို့နယ်</v>
          </cell>
          <cell r="I590">
            <v>28000</v>
          </cell>
          <cell r="J590">
            <v>4000</v>
          </cell>
          <cell r="K590">
            <v>32000</v>
          </cell>
          <cell r="L590">
            <v>4000</v>
          </cell>
          <cell r="M590">
            <v>4000</v>
          </cell>
          <cell r="O590" t="str">
            <v>-</v>
          </cell>
          <cell r="P590">
            <v>32000</v>
          </cell>
        </row>
        <row r="591">
          <cell r="C591" t="str">
            <v>D0901-KSH-147</v>
          </cell>
          <cell r="D591" t="str">
            <v>ကျော်စိုးဟိန်း</v>
          </cell>
          <cell r="E591" t="str">
            <v>Ma Ku Ku</v>
          </cell>
          <cell r="F591" t="str">
            <v>09-5128294</v>
          </cell>
          <cell r="G591" t="str">
            <v>ရန်ကင်း</v>
          </cell>
          <cell r="H591" t="str">
            <v>တိုက် (၁၇၃)၊ ရန်အောင် (၂) လမ်း၊ ရန်ကင်းမြို့နယ်</v>
          </cell>
          <cell r="I591">
            <v>121200</v>
          </cell>
          <cell r="J591">
            <v>4000</v>
          </cell>
          <cell r="K591">
            <v>125200</v>
          </cell>
          <cell r="M591">
            <v>4000</v>
          </cell>
          <cell r="O591" t="str">
            <v>-</v>
          </cell>
          <cell r="P591">
            <v>125200</v>
          </cell>
        </row>
        <row r="592">
          <cell r="C592" t="str">
            <v>D0901-KSC-230</v>
          </cell>
          <cell r="D592" t="str">
            <v>KS Cosmetic</v>
          </cell>
          <cell r="E592" t="str">
            <v>Swe hnijn</v>
          </cell>
          <cell r="F592" t="str">
            <v>09-432776655</v>
          </cell>
          <cell r="G592" t="str">
            <v>လမ်းမတော်</v>
          </cell>
          <cell r="H592" t="str">
            <v>အမှတ် (၆၈)၊ လမ်းမတော် (၅) လမ်း၊ လမ်းမတော်မြို့နယ်</v>
          </cell>
          <cell r="I592">
            <v>39500</v>
          </cell>
          <cell r="J592">
            <v>4000</v>
          </cell>
          <cell r="K592">
            <v>43500</v>
          </cell>
          <cell r="L592">
            <v>4000</v>
          </cell>
          <cell r="M592">
            <v>4000</v>
          </cell>
          <cell r="O592" t="str">
            <v>-</v>
          </cell>
          <cell r="P592">
            <v>43500</v>
          </cell>
        </row>
        <row r="593">
          <cell r="C593" t="str">
            <v>D0902-TSW-016</v>
          </cell>
          <cell r="D593" t="str">
            <v>3 &amp; 6 Wholesale</v>
          </cell>
          <cell r="E593" t="str">
            <v>ဒေါ်အေးခိုင်</v>
          </cell>
          <cell r="F593" t="str">
            <v>09-686753440</v>
          </cell>
          <cell r="G593" t="str">
            <v>ရွှေပြည်သာ</v>
          </cell>
          <cell r="H593" t="str">
            <v>(သံဒင်းဈေးအနီး)၊ ရွှေပြည်သာမြို့နယ်</v>
          </cell>
          <cell r="I593">
            <v>19000</v>
          </cell>
          <cell r="J593" t="str">
            <v>-</v>
          </cell>
          <cell r="K593">
            <v>19000</v>
          </cell>
          <cell r="L593">
            <v>4500</v>
          </cell>
          <cell r="M593" t="str">
            <v>-</v>
          </cell>
          <cell r="O593">
            <v>8000</v>
          </cell>
          <cell r="P593">
            <v>27000</v>
          </cell>
        </row>
        <row r="594">
          <cell r="C594" t="str">
            <v>D0902-KAL-100</v>
          </cell>
          <cell r="D594" t="str">
            <v>ခင့်အလှူ</v>
          </cell>
          <cell r="E594" t="str">
            <v>Hla Hla</v>
          </cell>
          <cell r="F594" t="str">
            <v>09-250276261</v>
          </cell>
          <cell r="G594" t="str">
            <v>မင်္ဂလာတောင်ညွန့်</v>
          </cell>
          <cell r="H594" t="str">
            <v>အမှတ် (၅၄)၊ (၉၁) လမ်း၊ မင်္ဂလာတောင်ညွန့်မြို့နယ်</v>
          </cell>
          <cell r="I594">
            <v>29700</v>
          </cell>
          <cell r="J594">
            <v>5000</v>
          </cell>
          <cell r="K594">
            <v>34700</v>
          </cell>
          <cell r="L594">
            <v>4000</v>
          </cell>
          <cell r="M594">
            <v>5000</v>
          </cell>
          <cell r="O594" t="str">
            <v>-</v>
          </cell>
          <cell r="P594">
            <v>34700</v>
          </cell>
        </row>
        <row r="595">
          <cell r="C595" t="str">
            <v>D0903-TSW-057</v>
          </cell>
          <cell r="D595" t="str">
            <v>3 &amp; 6 Wholesale</v>
          </cell>
          <cell r="E595" t="str">
            <v>Mu Sar By</v>
          </cell>
          <cell r="F595" t="str">
            <v>09-988859092</v>
          </cell>
          <cell r="G595" t="str">
            <v>Royal</v>
          </cell>
          <cell r="H595" t="str">
            <v>ဈေးရပ်ကွက်၊ တိုက်ကြီး</v>
          </cell>
          <cell r="I595">
            <v>19000</v>
          </cell>
          <cell r="J595">
            <v>5000</v>
          </cell>
          <cell r="K595">
            <v>24000</v>
          </cell>
          <cell r="L595" t="str">
            <v>-</v>
          </cell>
          <cell r="M595">
            <v>5000</v>
          </cell>
          <cell r="O595" t="str">
            <v>-</v>
          </cell>
          <cell r="P595">
            <v>24000</v>
          </cell>
        </row>
        <row r="596">
          <cell r="C596" t="str">
            <v>D0903-TSW-067</v>
          </cell>
          <cell r="D596" t="str">
            <v>3 &amp; 6 Wholesale</v>
          </cell>
          <cell r="E596" t="str">
            <v>မအေးမြတ်</v>
          </cell>
          <cell r="F596" t="str">
            <v>09-257220330</v>
          </cell>
          <cell r="G596" t="str">
            <v>နေပြည်တော်</v>
          </cell>
          <cell r="H596" t="str">
            <v>ပပဝတီလမ်း နှင့် သရဖီလမ်းထောင့်၊ ရွှေအင်းကြင်းရပ်ကွက်၊ ဒက္ခိဏသီရိမြို့နယ်၊ နေပြည်တော်</v>
          </cell>
          <cell r="I596">
            <v>19000</v>
          </cell>
          <cell r="J596" t="str">
            <v>-</v>
          </cell>
          <cell r="K596">
            <v>19000</v>
          </cell>
          <cell r="L596">
            <v>6000</v>
          </cell>
          <cell r="M596" t="str">
            <v>-</v>
          </cell>
          <cell r="N596">
            <v>4</v>
          </cell>
          <cell r="O596">
            <v>12000</v>
          </cell>
          <cell r="P596">
            <v>31000</v>
          </cell>
        </row>
        <row r="597">
          <cell r="C597" t="str">
            <v>D0903-APA-091</v>
          </cell>
          <cell r="D597" t="str">
            <v>APAC</v>
          </cell>
          <cell r="E597" t="str">
            <v>မော်မော်</v>
          </cell>
          <cell r="F597" t="str">
            <v>09-896912271</v>
          </cell>
          <cell r="G597" t="str">
            <v>သာကေတ</v>
          </cell>
          <cell r="H597" t="str">
            <v>အမှတ် (၈၈၂၁)၊ အောင်သစ္စာ (၂) လမ်း (အရှေ့)၊ သာကေတမြို့နယ်</v>
          </cell>
          <cell r="I597">
            <v>35700</v>
          </cell>
          <cell r="J597" t="str">
            <v>-</v>
          </cell>
          <cell r="K597">
            <v>35700</v>
          </cell>
          <cell r="L597">
            <v>4000</v>
          </cell>
          <cell r="M597" t="str">
            <v>-</v>
          </cell>
          <cell r="O597" t="str">
            <v>-</v>
          </cell>
          <cell r="P597">
            <v>35700</v>
          </cell>
        </row>
        <row r="598">
          <cell r="C598" t="str">
            <v>D0904-TSW-012</v>
          </cell>
          <cell r="D598" t="str">
            <v>3 &amp; 6 Wholesale</v>
          </cell>
          <cell r="E598" t="str">
            <v>Orange</v>
          </cell>
          <cell r="F598" t="str">
            <v>09-268981525</v>
          </cell>
          <cell r="G598" t="str">
            <v>သင်္ဃန်းကျွန်း</v>
          </cell>
          <cell r="H598" t="str">
            <v>ဇမ္ဗူထိပ်လမ်းမ၊ သင်္ဃန်းကျွန်းမြို့နယ်</v>
          </cell>
          <cell r="I598">
            <v>40000</v>
          </cell>
          <cell r="J598">
            <v>4000</v>
          </cell>
          <cell r="K598">
            <v>44000</v>
          </cell>
          <cell r="L598">
            <v>4000</v>
          </cell>
          <cell r="M598">
            <v>4000</v>
          </cell>
          <cell r="O598" t="str">
            <v>-</v>
          </cell>
          <cell r="P598">
            <v>44000</v>
          </cell>
        </row>
        <row r="599">
          <cell r="C599" t="str">
            <v>D0904-GGS-167</v>
          </cell>
          <cell r="D599" t="str">
            <v>The Gadget Store</v>
          </cell>
          <cell r="E599" t="str">
            <v>Ei Ei Thu</v>
          </cell>
          <cell r="F599" t="str">
            <v>09-880916320</v>
          </cell>
          <cell r="G599" t="str">
            <v>မရမ်းကုန်း</v>
          </cell>
          <cell r="H599" t="str">
            <v>Central (9) Office၊ ပြည်လမ်း၊ (၉)မိုင်၊ မရမ်းကုန်းမြို့နယ်</v>
          </cell>
          <cell r="I599" t="str">
            <v>-</v>
          </cell>
          <cell r="J599">
            <v>4000</v>
          </cell>
          <cell r="K599">
            <v>4000</v>
          </cell>
          <cell r="L599">
            <v>4000</v>
          </cell>
          <cell r="M599">
            <v>4000</v>
          </cell>
          <cell r="O599" t="str">
            <v>-</v>
          </cell>
          <cell r="P599">
            <v>4000</v>
          </cell>
        </row>
        <row r="600">
          <cell r="C600" t="str">
            <v>D0904-TSW-011</v>
          </cell>
          <cell r="D600" t="str">
            <v>3 &amp; 6 Wholesale</v>
          </cell>
          <cell r="E600" t="str">
            <v>ဒေါ်သိမ်းခင်</v>
          </cell>
          <cell r="F600" t="str">
            <v>09-253432157</v>
          </cell>
          <cell r="G600" t="str">
            <v>မင်္ဂလာတောင်ညွန့်</v>
          </cell>
          <cell r="H600" t="str">
            <v>(၁၂၃) လမ်း၊ မင်္ဂလာတောင်ညွန့်မြို့နယ်</v>
          </cell>
          <cell r="I600">
            <v>24000</v>
          </cell>
          <cell r="J600">
            <v>4000</v>
          </cell>
          <cell r="K600">
            <v>28000</v>
          </cell>
          <cell r="L600">
            <v>4000</v>
          </cell>
          <cell r="M600">
            <v>4000</v>
          </cell>
          <cell r="O600" t="str">
            <v>-</v>
          </cell>
          <cell r="P600">
            <v>28000</v>
          </cell>
        </row>
        <row r="601">
          <cell r="C601" t="str">
            <v>D0904-KYA-410</v>
          </cell>
          <cell r="D601" t="str">
            <v>Kyaw Aung</v>
          </cell>
          <cell r="E601" t="str">
            <v>09-946349346</v>
          </cell>
          <cell r="F601" t="str">
            <v>09-946349346</v>
          </cell>
          <cell r="G601" t="str">
            <v>Royal</v>
          </cell>
          <cell r="H601" t="str">
            <v>တာလော့ကျောင်း၊ တာချီလိတ်</v>
          </cell>
          <cell r="I601">
            <v>12000</v>
          </cell>
          <cell r="J601">
            <v>5000</v>
          </cell>
          <cell r="K601">
            <v>17000</v>
          </cell>
          <cell r="L601" t="str">
            <v>-</v>
          </cell>
          <cell r="M601">
            <v>5000</v>
          </cell>
          <cell r="O601" t="str">
            <v>-</v>
          </cell>
          <cell r="P601">
            <v>17000</v>
          </cell>
        </row>
        <row r="602">
          <cell r="C602" t="str">
            <v>D0904-MMA-326</v>
          </cell>
          <cell r="D602" t="str">
            <v>မြန်မာ့အလှ</v>
          </cell>
          <cell r="E602" t="str">
            <v>Mya Phyu</v>
          </cell>
          <cell r="F602" t="str">
            <v>09-420144932</v>
          </cell>
          <cell r="G602" t="str">
            <v>ကြည့်မြင်တိုင်</v>
          </cell>
          <cell r="H602" t="str">
            <v>အမှတ် (၁၂၄)၊ သရက်တော (၄) လမ်း၊ သရက်တော (တောင်) ရပ်ကွက်၊ ကြည့်မြင်တိုင်မြို့နယ်</v>
          </cell>
          <cell r="I602">
            <v>68800</v>
          </cell>
          <cell r="J602">
            <v>4000</v>
          </cell>
          <cell r="K602">
            <v>72800</v>
          </cell>
          <cell r="L602">
            <v>4000</v>
          </cell>
          <cell r="M602">
            <v>4000</v>
          </cell>
          <cell r="O602">
            <v>2000</v>
          </cell>
          <cell r="P602">
            <v>424300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968-C74C-4370-946E-48419D76A9C3}">
  <dimension ref="A1:O213"/>
  <sheetViews>
    <sheetView tabSelected="1" workbookViewId="0">
      <selection sqref="A1:O213"/>
    </sheetView>
  </sheetViews>
  <sheetFormatPr defaultRowHeight="14"/>
  <sheetData>
    <row r="1" spans="1:15" ht="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>
      <c r="A3" t="s">
        <v>15</v>
      </c>
      <c r="B3" t="s">
        <v>16</v>
      </c>
      <c r="C3" t="str">
        <f>VLOOKUP(A3,[1]Inventory!C:E,3,FALSE)</f>
        <v>May</v>
      </c>
      <c r="D3" t="str">
        <f>VLOOKUP(B3,[1]Inventory!D:F,3,FALSE)</f>
        <v>09-684451314</v>
      </c>
      <c r="E3" t="str">
        <f>VLOOKUP(A3,[1]Inventory!C:G,5,FALSE)</f>
        <v>ဒေါပုံ</v>
      </c>
      <c r="F3" t="str">
        <f>VLOOKUP(A3,[1]Inventory!C:H,6,FALSE)</f>
        <v>(ဒိုဓနုဘေးလမ်းကြား ဂိတ်ဆုံး)၊ (ရန်အောင်မှတ်တိုင်)၊ ဒေါပုံမြို့နယ်</v>
      </c>
      <c r="G3">
        <v>108000</v>
      </c>
      <c r="H3">
        <v>4000</v>
      </c>
      <c r="I3">
        <f>SUM(G3+H3)</f>
        <v>112000</v>
      </c>
      <c r="J3">
        <f>VLOOKUP(A3,[1]Inventory!C:L,10,FALSE)</f>
        <v>4000</v>
      </c>
      <c r="K3">
        <f>VLOOKUP(A3,[1]Inventory!C:M,11,FALSE)</f>
        <v>4000</v>
      </c>
      <c r="L3">
        <f>VLOOKUP(A3,[1]Inventory!C:N,12,FALSE)</f>
        <v>0</v>
      </c>
      <c r="M3" s="2" t="str">
        <f>VLOOKUP(A3,[1]Inventory!C:O,13,FALSE)</f>
        <v>-</v>
      </c>
      <c r="N3" s="2">
        <f>VLOOKUP(A3,[1]Inventory!C:P,14,FALSE)</f>
        <v>112000</v>
      </c>
      <c r="O3" t="s">
        <v>17</v>
      </c>
    </row>
    <row r="4" spans="1:15">
      <c r="A4" t="s">
        <v>18</v>
      </c>
      <c r="B4" t="s">
        <v>16</v>
      </c>
      <c r="C4" t="str">
        <f>VLOOKUP(A4,[1]Inventory!C:E,3,FALSE)</f>
        <v>မဖြိုးဝေသော်</v>
      </c>
      <c r="D4" t="str">
        <f>VLOOKUP(B4,[1]Inventory!D:F,3,FALSE)</f>
        <v>09-684451314</v>
      </c>
      <c r="E4" t="str">
        <f>VLOOKUP(A4,[1]Inventory!C:G,5,FALSE)</f>
        <v>မန္တလေး</v>
      </c>
      <c r="F4" t="str">
        <f>VLOOKUP(A4,[1]Inventory!C:H,6,FALSE)</f>
        <v>(၅၁) လမ်း၊ ၁၀၅ x ၁၀၆ လမ်းကြား၊ အောင်ပင်လယ်၊ ချမ်းမြသာစည်မြို့နယ်၊ မန္တလေး</v>
      </c>
      <c r="G4">
        <v>29000</v>
      </c>
      <c r="H4">
        <v>6000</v>
      </c>
      <c r="I4">
        <f t="shared" ref="I4:I67" si="0">SUM(G4+H4)</f>
        <v>35000</v>
      </c>
      <c r="J4">
        <f>VLOOKUP(A4,[1]Inventory!C:L,10,FALSE)</f>
        <v>6000</v>
      </c>
      <c r="K4">
        <f>VLOOKUP(A4,[1]Inventory!C:M,11,FALSE)</f>
        <v>6000</v>
      </c>
      <c r="L4">
        <f>VLOOKUP(A4,[1]Inventory!C:N,12,FALSE)</f>
        <v>0</v>
      </c>
      <c r="M4" s="2" t="str">
        <f>VLOOKUP(A4,[1]Inventory!C:O,13,FALSE)</f>
        <v>-</v>
      </c>
      <c r="N4" s="2">
        <f>VLOOKUP(A4,[1]Inventory!C:P,14,FALSE)</f>
        <v>35000</v>
      </c>
      <c r="O4" t="s">
        <v>17</v>
      </c>
    </row>
    <row r="5" spans="1:15">
      <c r="A5" t="s">
        <v>19</v>
      </c>
      <c r="B5" t="s">
        <v>16</v>
      </c>
      <c r="C5" t="str">
        <f>VLOOKUP(A5,[1]Inventory!C:E,3,FALSE)</f>
        <v>May Zin</v>
      </c>
      <c r="D5" t="str">
        <f>VLOOKUP(B5,[1]Inventory!D:F,3,FALSE)</f>
        <v>09-684451314</v>
      </c>
      <c r="E5" t="str">
        <f>VLOOKUP(A5,[1]Inventory!C:G,5,FALSE)</f>
        <v>လှိုင်</v>
      </c>
      <c r="F5" t="str">
        <f>VLOOKUP(A5,[1]Inventory!C:H,6,FALSE)</f>
        <v>အရှေ့ပေ (၅၀)၊ မာလာမြိုင် (၁) လမ်းသွယ်ထိပ်၊ လှိုင်မြို့နယ်</v>
      </c>
      <c r="G5">
        <v>39000</v>
      </c>
      <c r="H5">
        <v>4000</v>
      </c>
      <c r="I5">
        <f t="shared" si="0"/>
        <v>43000</v>
      </c>
      <c r="J5">
        <f>VLOOKUP(A5,[1]Inventory!C:L,10,FALSE)</f>
        <v>4000</v>
      </c>
      <c r="K5">
        <f>VLOOKUP(A5,[1]Inventory!C:M,11,FALSE)</f>
        <v>4000</v>
      </c>
      <c r="L5">
        <f>VLOOKUP(A5,[1]Inventory!C:N,12,FALSE)</f>
        <v>0</v>
      </c>
      <c r="M5" s="2" t="str">
        <f>VLOOKUP(A5,[1]Inventory!C:O,13,FALSE)</f>
        <v>-</v>
      </c>
      <c r="N5" s="2">
        <f>VLOOKUP(A5,[1]Inventory!C:P,14,FALSE)</f>
        <v>43000</v>
      </c>
      <c r="O5" t="s">
        <v>17</v>
      </c>
    </row>
    <row r="6" spans="1:15">
      <c r="A6" t="s">
        <v>20</v>
      </c>
      <c r="B6" t="s">
        <v>16</v>
      </c>
      <c r="C6" t="str">
        <f>VLOOKUP(A6,[1]Inventory!C:E,3,FALSE)</f>
        <v>Mee Nge</v>
      </c>
      <c r="D6" t="str">
        <f>VLOOKUP(B6,[1]Inventory!D:F,3,FALSE)</f>
        <v>09-684451314</v>
      </c>
      <c r="E6" t="str">
        <f>VLOOKUP(A6,[1]Inventory!C:G,5,FALSE)</f>
        <v>တောင်ဒဂုံ</v>
      </c>
      <c r="F6" t="str">
        <f>VLOOKUP(A6,[1]Inventory!C:H,6,FALSE)</f>
        <v>အမှတ် (၁၁)၊ မြယမုံဝန်အမှတ်၊ (၂၆) ရပ်ကွက်၊ တောင်ဒဂုံမြို့နယ်</v>
      </c>
      <c r="G6">
        <v>41000</v>
      </c>
      <c r="H6">
        <v>4000</v>
      </c>
      <c r="I6">
        <f t="shared" si="0"/>
        <v>45000</v>
      </c>
      <c r="J6">
        <f>VLOOKUP(A6,[1]Inventory!C:L,10,FALSE)</f>
        <v>4000</v>
      </c>
      <c r="K6">
        <f>VLOOKUP(A6,[1]Inventory!C:M,11,FALSE)</f>
        <v>4000</v>
      </c>
      <c r="L6">
        <f>VLOOKUP(A6,[1]Inventory!C:N,12,FALSE)</f>
        <v>0</v>
      </c>
      <c r="M6" s="2" t="str">
        <f>VLOOKUP(A6,[1]Inventory!C:O,13,FALSE)</f>
        <v>-</v>
      </c>
      <c r="N6" s="2">
        <f>VLOOKUP(A6,[1]Inventory!C:P,14,FALSE)</f>
        <v>45000</v>
      </c>
      <c r="O6" t="s">
        <v>17</v>
      </c>
    </row>
    <row r="7" spans="1:15">
      <c r="A7" t="s">
        <v>21</v>
      </c>
      <c r="B7" t="s">
        <v>22</v>
      </c>
      <c r="C7" t="str">
        <f>VLOOKUP(A7,[1]Inventory!C:E,3,FALSE)</f>
        <v>Aoav</v>
      </c>
      <c r="D7" t="str">
        <f>VLOOKUP(B7,[1]Inventory!D:F,3,FALSE)</f>
        <v>09-775879156
 09-783922942</v>
      </c>
      <c r="E7">
        <f>VLOOKUP(A7,[1]Inventory!C:G,5,FALSE)</f>
        <v>0</v>
      </c>
      <c r="F7" t="str">
        <f>VLOOKUP(A7,[1]Inventory!C:H,6,FALSE)</f>
        <v>အမှတ် (၅၂၆)၊ သပြေလမ်း</v>
      </c>
      <c r="G7">
        <v>24500</v>
      </c>
      <c r="H7">
        <v>4000</v>
      </c>
      <c r="I7">
        <f t="shared" si="0"/>
        <v>28500</v>
      </c>
      <c r="J7">
        <f>VLOOKUP(A7,[1]Inventory!C:L,10,FALSE)</f>
        <v>0</v>
      </c>
      <c r="K7">
        <f>VLOOKUP(A7,[1]Inventory!C:M,11,FALSE)</f>
        <v>4000</v>
      </c>
      <c r="L7">
        <f>VLOOKUP(A7,[1]Inventory!C:N,12,FALSE)</f>
        <v>0</v>
      </c>
      <c r="M7" s="2" t="str">
        <f>VLOOKUP(A7,[1]Inventory!C:O,13,FALSE)</f>
        <v>-</v>
      </c>
      <c r="N7" s="2">
        <f>VLOOKUP(A7,[1]Inventory!C:P,14,FALSE)</f>
        <v>28500</v>
      </c>
      <c r="O7" t="s">
        <v>17</v>
      </c>
    </row>
    <row r="8" spans="1:15">
      <c r="A8" t="s">
        <v>23</v>
      </c>
      <c r="B8" t="s">
        <v>24</v>
      </c>
      <c r="C8" t="str">
        <f>VLOOKUP(A8,[1]Inventory!C:E,3,FALSE)</f>
        <v>Khaing Lay</v>
      </c>
      <c r="D8" t="str">
        <f>VLOOKUP(B8,[1]Inventory!D:F,3,FALSE)</f>
        <v>09-881477288</v>
      </c>
      <c r="E8" t="str">
        <f>VLOOKUP(A8,[1]Inventory!C:G,5,FALSE)</f>
        <v>ကျောက်တံတား</v>
      </c>
      <c r="F8" t="str">
        <f>VLOOKUP(A8,[1]Inventory!C:H,6,FALSE)</f>
        <v>Strand Condo၊ အခန်း (၇၀၂)၊ (၇) လွှာ၊ မဟာဗန္ဓုလပန်းခြံလမ်း နှင့် ဘဏ်လမ်းထောင့်၊ ကျောက်တံတားမြို့နယ်</v>
      </c>
      <c r="G8">
        <v>14500</v>
      </c>
      <c r="H8">
        <v>4000</v>
      </c>
      <c r="I8">
        <f t="shared" si="0"/>
        <v>18500</v>
      </c>
      <c r="J8">
        <f>VLOOKUP(A8,[1]Inventory!C:L,10,FALSE)</f>
        <v>4000</v>
      </c>
      <c r="K8">
        <f>VLOOKUP(A8,[1]Inventory!C:M,11,FALSE)</f>
        <v>4000</v>
      </c>
      <c r="L8">
        <f>VLOOKUP(A8,[1]Inventory!C:N,12,FALSE)</f>
        <v>0</v>
      </c>
      <c r="M8" s="2" t="str">
        <f>VLOOKUP(A8,[1]Inventory!C:O,13,FALSE)</f>
        <v>-</v>
      </c>
      <c r="N8" s="2">
        <f>VLOOKUP(A8,[1]Inventory!C:P,14,FALSE)</f>
        <v>18500</v>
      </c>
      <c r="O8" t="s">
        <v>17</v>
      </c>
    </row>
    <row r="9" spans="1:15">
      <c r="A9" t="s">
        <v>25</v>
      </c>
      <c r="B9" t="s">
        <v>26</v>
      </c>
      <c r="C9" t="str">
        <f>VLOOKUP(A9,[1]Inventory!C:E,3,FALSE)</f>
        <v>ကိုဇော်ဝင်းနိုင်</v>
      </c>
      <c r="D9" t="str">
        <f>VLOOKUP(B9,[1]Inventory!D:F,3,FALSE)</f>
        <v>09-668712777</v>
      </c>
      <c r="E9" t="str">
        <f>VLOOKUP(A9,[1]Inventory!C:G,5,FALSE)</f>
        <v>ဂိတ်ချ</v>
      </c>
      <c r="F9" t="str">
        <f>VLOOKUP(A9,[1]Inventory!C:H,6,FALSE)</f>
        <v>ပဲခူးတိုင်းလက်ပံတန်းမြို့၊ မင်းရပ်ရပ်ကွက်၊ မြေစာရင်ရုံးလမ်း</v>
      </c>
      <c r="G9">
        <v>717000</v>
      </c>
      <c r="H9">
        <v>5000</v>
      </c>
      <c r="I9">
        <f t="shared" si="0"/>
        <v>722000</v>
      </c>
      <c r="J9">
        <f>VLOOKUP(A9,[1]Inventory!C:L,10,FALSE)</f>
        <v>3000</v>
      </c>
      <c r="K9">
        <f>VLOOKUP(A9,[1]Inventory!C:M,11,FALSE)</f>
        <v>5000</v>
      </c>
      <c r="L9">
        <f>VLOOKUP(A9,[1]Inventory!C:N,12,FALSE)</f>
        <v>26</v>
      </c>
      <c r="M9" s="2">
        <f>VLOOKUP(A9,[1]Inventory!C:O,13,FALSE)</f>
        <v>11500</v>
      </c>
      <c r="N9" s="2">
        <f>VLOOKUP(A9,[1]Inventory!C:P,14,FALSE)</f>
        <v>733500</v>
      </c>
      <c r="O9" t="s">
        <v>17</v>
      </c>
    </row>
    <row r="10" spans="1:15">
      <c r="A10" t="s">
        <v>27</v>
      </c>
      <c r="B10" t="s">
        <v>28</v>
      </c>
      <c r="C10" t="str">
        <f>VLOOKUP(A10,[1]Inventory!C:E,3,FALSE)</f>
        <v>Ma Su</v>
      </c>
      <c r="D10" t="str">
        <f>VLOOKUP(B10,[1]Inventory!D:F,3,FALSE)</f>
        <v>09-773209266</v>
      </c>
      <c r="E10" t="str">
        <f>VLOOKUP(A10,[1]Inventory!C:G,5,FALSE)</f>
        <v>စမ်းချောင်း</v>
      </c>
      <c r="F10" t="str">
        <f>VLOOKUP(A10,[1]Inventory!C:H,6,FALSE)</f>
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v>
      </c>
      <c r="G10">
        <v>228600</v>
      </c>
      <c r="H10">
        <v>4000</v>
      </c>
      <c r="I10">
        <f t="shared" si="0"/>
        <v>232600</v>
      </c>
      <c r="J10">
        <f>VLOOKUP(A10,[1]Inventory!C:L,10,FALSE)</f>
        <v>4000</v>
      </c>
      <c r="K10">
        <f>VLOOKUP(A10,[1]Inventory!C:M,11,FALSE)</f>
        <v>4000</v>
      </c>
      <c r="L10">
        <f>VLOOKUP(A10,[1]Inventory!C:N,12,FALSE)</f>
        <v>4</v>
      </c>
      <c r="M10" s="2">
        <f>VLOOKUP(A10,[1]Inventory!C:O,13,FALSE)</f>
        <v>500</v>
      </c>
      <c r="N10" s="2">
        <f>VLOOKUP(A10,[1]Inventory!C:P,14,FALSE)</f>
        <v>233100</v>
      </c>
      <c r="O10" t="s">
        <v>17</v>
      </c>
    </row>
    <row r="11" spans="1:15">
      <c r="A11" t="s">
        <v>29</v>
      </c>
      <c r="B11" t="s">
        <v>22</v>
      </c>
      <c r="C11" t="str">
        <f>VLOOKUP(A11,[1]Inventory!C:E,3,FALSE)</f>
        <v>မသော်တာ</v>
      </c>
      <c r="D11" t="str">
        <f>VLOOKUP(B11,[1]Inventory!D:F,3,FALSE)</f>
        <v>09-775879156
 09-783922942</v>
      </c>
      <c r="E11" t="str">
        <f>VLOOKUP(A11,[1]Inventory!C:G,5,FALSE)</f>
        <v>တောင်ဒဂုံ</v>
      </c>
      <c r="F11" t="str">
        <f>VLOOKUP(A11,[1]Inventory!C:H,6,FALSE)</f>
        <v>အမှတ် (၁၁၂)၊ စံပယ်မြိုင် (၆) လမ်း၊ (၁၇) ရပ်ကွက်၊ တောင်ဒဂုံမြို့နယ်</v>
      </c>
      <c r="G11">
        <v>14500</v>
      </c>
      <c r="H11">
        <v>4000</v>
      </c>
      <c r="I11">
        <f t="shared" si="0"/>
        <v>18500</v>
      </c>
      <c r="J11">
        <f>VLOOKUP(A11,[1]Inventory!C:L,10,FALSE)</f>
        <v>4000</v>
      </c>
      <c r="K11">
        <f>VLOOKUP(A11,[1]Inventory!C:M,11,FALSE)</f>
        <v>4000</v>
      </c>
      <c r="L11">
        <f>VLOOKUP(A11,[1]Inventory!C:N,12,FALSE)</f>
        <v>0</v>
      </c>
      <c r="M11" s="2" t="str">
        <f>VLOOKUP(A11,[1]Inventory!C:O,13,FALSE)</f>
        <v>-</v>
      </c>
      <c r="N11" s="2">
        <f>VLOOKUP(A11,[1]Inventory!C:P,14,FALSE)</f>
        <v>18500</v>
      </c>
      <c r="O11" t="s">
        <v>17</v>
      </c>
    </row>
    <row r="12" spans="1:15">
      <c r="A12" t="s">
        <v>30</v>
      </c>
      <c r="B12" t="s">
        <v>31</v>
      </c>
      <c r="C12" t="str">
        <f>VLOOKUP(A12,[1]Inventory!C:E,3,FALSE)</f>
        <v>Yin Pyone</v>
      </c>
      <c r="D12" t="str">
        <f>VLOOKUP(B12,[1]Inventory!D:F,3,FALSE)</f>
        <v>09-422219996</v>
      </c>
      <c r="E12" t="str">
        <f>VLOOKUP(A12,[1]Inventory!C:G,5,FALSE)</f>
        <v>တောင်ဒဂုံ</v>
      </c>
      <c r="F12" t="str">
        <f>VLOOKUP(A12,[1]Inventory!C:H,6,FALSE)</f>
        <v>ချင်းတွင်းလမ်း၊ (၁၀၅) ရပ်ကွက်၊ တောင်ဒဂုံမြို့နယ်</v>
      </c>
      <c r="G12">
        <v>57500</v>
      </c>
      <c r="H12">
        <v>4000</v>
      </c>
      <c r="I12">
        <f t="shared" si="0"/>
        <v>61500</v>
      </c>
      <c r="J12">
        <f>VLOOKUP(A12,[1]Inventory!C:L,10,FALSE)</f>
        <v>4000</v>
      </c>
      <c r="K12">
        <f>VLOOKUP(A12,[1]Inventory!C:M,11,FALSE)</f>
        <v>4000</v>
      </c>
      <c r="L12">
        <f>VLOOKUP(A12,[1]Inventory!C:N,12,FALSE)</f>
        <v>0</v>
      </c>
      <c r="M12" s="2" t="str">
        <f>VLOOKUP(A12,[1]Inventory!C:O,13,FALSE)</f>
        <v>-</v>
      </c>
      <c r="N12" s="2">
        <f>VLOOKUP(A12,[1]Inventory!C:P,14,FALSE)</f>
        <v>61500</v>
      </c>
      <c r="O12" t="s">
        <v>17</v>
      </c>
    </row>
    <row r="13" spans="1:15">
      <c r="A13" t="s">
        <v>32</v>
      </c>
      <c r="B13" t="s">
        <v>33</v>
      </c>
      <c r="C13" t="str">
        <f>VLOOKUP(A13,[1]Inventory!C:E,3,FALSE)</f>
        <v>Khaing Lay</v>
      </c>
      <c r="D13" t="str">
        <f>VLOOKUP(B13,[1]Inventory!D:F,3,FALSE)</f>
        <v>09-43151983</v>
      </c>
      <c r="E13" t="str">
        <f>VLOOKUP(A13,[1]Inventory!C:G,5,FALSE)</f>
        <v>တောင်ဒဂုံ</v>
      </c>
      <c r="F13" t="str">
        <f>VLOOKUP(A13,[1]Inventory!C:H,6,FALSE)</f>
        <v>အမှတ် (၁၉၃)၊ ရာမညလမ်း၊ (၂၆) ရပ်ကွက်၊ တောင်ဒဂုံမြို့နယ်</v>
      </c>
      <c r="G13">
        <v>65700</v>
      </c>
      <c r="H13">
        <v>4000</v>
      </c>
      <c r="I13">
        <f t="shared" si="0"/>
        <v>69700</v>
      </c>
      <c r="J13">
        <f>VLOOKUP(A13,[1]Inventory!C:L,10,FALSE)</f>
        <v>4000</v>
      </c>
      <c r="K13">
        <f>VLOOKUP(A13,[1]Inventory!C:M,11,FALSE)</f>
        <v>4000</v>
      </c>
      <c r="L13">
        <f>VLOOKUP(A13,[1]Inventory!C:N,12,FALSE)</f>
        <v>0</v>
      </c>
      <c r="M13" s="2" t="str">
        <f>VLOOKUP(A13,[1]Inventory!C:O,13,FALSE)</f>
        <v>-</v>
      </c>
      <c r="N13" s="2">
        <f>VLOOKUP(A13,[1]Inventory!C:P,14,FALSE)</f>
        <v>69700</v>
      </c>
      <c r="O13" t="s">
        <v>17</v>
      </c>
    </row>
    <row r="14" spans="1:15">
      <c r="A14" t="s">
        <v>34</v>
      </c>
      <c r="B14" t="s">
        <v>28</v>
      </c>
      <c r="C14" t="str">
        <f>VLOOKUP(A14,[1]Inventory!C:E,3,FALSE)</f>
        <v>Hsu Htet Wai</v>
      </c>
      <c r="D14" t="str">
        <f>VLOOKUP(B14,[1]Inventory!D:F,3,FALSE)</f>
        <v>09-773209266</v>
      </c>
      <c r="E14" t="str">
        <f>VLOOKUP(A14,[1]Inventory!C:G,5,FALSE)</f>
        <v>တောင်ဒဂုံ</v>
      </c>
      <c r="F14" t="str">
        <f>VLOOKUP(A14,[1]Inventory!C:H,6,FALSE)</f>
        <v>စစ်တောင်းလမ်း၊ စက်မှုဇုန် (၂)၊ (၆၄) ရပ်ကွက်၊ တောင်ဒဂုံမြို့နယ်</v>
      </c>
      <c r="G14">
        <v>87000</v>
      </c>
      <c r="H14">
        <v>4000</v>
      </c>
      <c r="I14">
        <f t="shared" si="0"/>
        <v>91000</v>
      </c>
      <c r="J14">
        <f>VLOOKUP(A14,[1]Inventory!C:L,10,FALSE)</f>
        <v>4000</v>
      </c>
      <c r="K14">
        <f>VLOOKUP(A14,[1]Inventory!C:M,11,FALSE)</f>
        <v>4000</v>
      </c>
      <c r="L14">
        <f>VLOOKUP(A14,[1]Inventory!C:N,12,FALSE)</f>
        <v>0</v>
      </c>
      <c r="M14" s="2" t="str">
        <f>VLOOKUP(A14,[1]Inventory!C:O,13,FALSE)</f>
        <v>-</v>
      </c>
      <c r="N14" s="2">
        <f>VLOOKUP(A14,[1]Inventory!C:P,14,FALSE)</f>
        <v>91000</v>
      </c>
      <c r="O14" t="s">
        <v>17</v>
      </c>
    </row>
    <row r="15" spans="1:15">
      <c r="A15" t="s">
        <v>35</v>
      </c>
      <c r="B15" t="s">
        <v>28</v>
      </c>
      <c r="C15" t="str">
        <f>VLOOKUP(A15,[1]Inventory!C:E,3,FALSE)</f>
        <v>အာဘွားလေးတို့မေမေ</v>
      </c>
      <c r="D15" t="str">
        <f>VLOOKUP(B15,[1]Inventory!D:F,3,FALSE)</f>
        <v>09-773209266</v>
      </c>
      <c r="E15" t="str">
        <f>VLOOKUP(A15,[1]Inventory!C:G,5,FALSE)</f>
        <v>တောင်ဥက္ကလာပ</v>
      </c>
      <c r="F15" t="str">
        <f>VLOOKUP(A15,[1]Inventory!C:H,6,FALSE)</f>
        <v>စစ်ကိုင်းလမ်း နှင့် (၂၅) လမ်း၊ (၁၅) ရပ်ကွက်၊ တောင်ဥက္ကလာပမြို့နယ်</v>
      </c>
      <c r="G15">
        <v>562000</v>
      </c>
      <c r="H15">
        <v>4000</v>
      </c>
      <c r="I15">
        <f t="shared" si="0"/>
        <v>566000</v>
      </c>
      <c r="J15">
        <f>VLOOKUP(A15,[1]Inventory!C:L,10,FALSE)</f>
        <v>4000</v>
      </c>
      <c r="K15">
        <f>VLOOKUP(A15,[1]Inventory!C:M,11,FALSE)</f>
        <v>4000</v>
      </c>
      <c r="L15">
        <f>VLOOKUP(A15,[1]Inventory!C:N,12,FALSE)</f>
        <v>0</v>
      </c>
      <c r="M15" s="2">
        <f>VLOOKUP(A15,[1]Inventory!C:O,13,FALSE)</f>
        <v>4000</v>
      </c>
      <c r="N15" s="2">
        <f>VLOOKUP(A15,[1]Inventory!C:P,14,FALSE)</f>
        <v>570000</v>
      </c>
      <c r="O15" t="s">
        <v>17</v>
      </c>
    </row>
    <row r="16" spans="1:15">
      <c r="A16" t="s">
        <v>36</v>
      </c>
      <c r="B16" t="s">
        <v>28</v>
      </c>
      <c r="C16" t="str">
        <f>VLOOKUP(A16,[1]Inventory!C:E,3,FALSE)</f>
        <v>U Mgoo</v>
      </c>
      <c r="D16" t="str">
        <f>VLOOKUP(B16,[1]Inventory!D:F,3,FALSE)</f>
        <v>09-773209266</v>
      </c>
      <c r="E16" t="str">
        <f>VLOOKUP(A16,[1]Inventory!C:G,5,FALSE)</f>
        <v>ဒဂုံဆိပ်ကမ်း</v>
      </c>
      <c r="F16" t="str">
        <f>VLOOKUP(A16,[1]Inventory!C:H,6,FALSE)</f>
        <v>ယုဇနဥယျာဉ်မြို့တော်၊ မေခလမ်း၊ (၉၃) ရပ်ကွက်၊ ဒဂုံဆိပ်ကမ်းမြို့နယ်</v>
      </c>
      <c r="G16">
        <v>387000</v>
      </c>
      <c r="H16">
        <v>4000</v>
      </c>
      <c r="I16">
        <f t="shared" si="0"/>
        <v>391000</v>
      </c>
      <c r="J16">
        <f>VLOOKUP(A16,[1]Inventory!C:L,10,FALSE)</f>
        <v>4000</v>
      </c>
      <c r="K16">
        <f>VLOOKUP(A16,[1]Inventory!C:M,11,FALSE)</f>
        <v>4000</v>
      </c>
      <c r="L16">
        <f>VLOOKUP(A16,[1]Inventory!C:N,12,FALSE)</f>
        <v>8</v>
      </c>
      <c r="M16" s="2">
        <f>VLOOKUP(A16,[1]Inventory!C:O,13,FALSE)</f>
        <v>2500</v>
      </c>
      <c r="N16" s="2">
        <f>VLOOKUP(A16,[1]Inventory!C:P,14,FALSE)</f>
        <v>393500</v>
      </c>
      <c r="O16" t="s">
        <v>17</v>
      </c>
    </row>
    <row r="17" spans="1:15">
      <c r="A17" t="s">
        <v>37</v>
      </c>
      <c r="B17" t="s">
        <v>31</v>
      </c>
      <c r="C17" t="str">
        <f>VLOOKUP(A17,[1]Inventory!C:E,3,FALSE)</f>
        <v>Jue Phoo</v>
      </c>
      <c r="D17" t="str">
        <f>VLOOKUP(B17,[1]Inventory!D:F,3,FALSE)</f>
        <v>09-422219996</v>
      </c>
      <c r="E17" t="str">
        <f>VLOOKUP(A17,[1]Inventory!C:G,5,FALSE)</f>
        <v>ဒဂုံဆိပ်ကမ်း</v>
      </c>
      <c r="F17" t="str">
        <f>VLOOKUP(A17,[1]Inventory!C:H,6,FALSE)</f>
        <v>(၈၄) ရပ်ကွက်၊ ဒဂုံဆိပ်ကမ်းမြို့နယ်</v>
      </c>
      <c r="G17">
        <v>23500</v>
      </c>
      <c r="H17">
        <v>4000</v>
      </c>
      <c r="I17">
        <f t="shared" si="0"/>
        <v>27500</v>
      </c>
      <c r="J17">
        <f>VLOOKUP(A17,[1]Inventory!C:L,10,FALSE)</f>
        <v>4000</v>
      </c>
      <c r="K17">
        <f>VLOOKUP(A17,[1]Inventory!C:M,11,FALSE)</f>
        <v>4000</v>
      </c>
      <c r="L17">
        <f>VLOOKUP(A17,[1]Inventory!C:N,12,FALSE)</f>
        <v>0</v>
      </c>
      <c r="M17" s="2" t="str">
        <f>VLOOKUP(A17,[1]Inventory!C:O,13,FALSE)</f>
        <v>-</v>
      </c>
      <c r="N17" s="2">
        <f>VLOOKUP(A17,[1]Inventory!C:P,14,FALSE)</f>
        <v>27500</v>
      </c>
      <c r="O17" t="s">
        <v>17</v>
      </c>
    </row>
    <row r="18" spans="1:15">
      <c r="A18" t="s">
        <v>38</v>
      </c>
      <c r="B18" t="s">
        <v>33</v>
      </c>
      <c r="C18" t="str">
        <f>VLOOKUP(A18,[1]Inventory!C:E,3,FALSE)</f>
        <v>Yu Yu</v>
      </c>
      <c r="D18" t="str">
        <f>VLOOKUP(B18,[1]Inventory!D:F,3,FALSE)</f>
        <v>09-43151983</v>
      </c>
      <c r="E18" t="str">
        <f>VLOOKUP(A18,[1]Inventory!C:G,5,FALSE)</f>
        <v>ဒဂုံဆိပ်ကမ်း</v>
      </c>
      <c r="F18" t="str">
        <f>VLOOKUP(A18,[1]Inventory!C:H,6,FALSE)</f>
        <v>စစ်တောင်းရိပ်မွန်၊ တိုက် (၇-၀၀၁)၊ ယုဇနလမ်း၊ ဒဂုံဆိပ်ကမ်းမြို့နယ်</v>
      </c>
      <c r="G18">
        <v>48000</v>
      </c>
      <c r="H18">
        <v>4000</v>
      </c>
      <c r="I18">
        <f t="shared" si="0"/>
        <v>52000</v>
      </c>
      <c r="J18">
        <f>VLOOKUP(A18,[1]Inventory!C:L,10,FALSE)</f>
        <v>4000</v>
      </c>
      <c r="K18">
        <f>VLOOKUP(A18,[1]Inventory!C:M,11,FALSE)</f>
        <v>4000</v>
      </c>
      <c r="L18">
        <f>VLOOKUP(A18,[1]Inventory!C:N,12,FALSE)</f>
        <v>0</v>
      </c>
      <c r="M18" s="2" t="str">
        <f>VLOOKUP(A18,[1]Inventory!C:O,13,FALSE)</f>
        <v>-</v>
      </c>
      <c r="N18" s="2">
        <f>VLOOKUP(A18,[1]Inventory!C:P,14,FALSE)</f>
        <v>52000</v>
      </c>
      <c r="O18" t="s">
        <v>17</v>
      </c>
    </row>
    <row r="19" spans="1:15">
      <c r="A19" t="s">
        <v>39</v>
      </c>
      <c r="B19" t="s">
        <v>40</v>
      </c>
      <c r="C19" t="str">
        <f>VLOOKUP(A19,[1]Inventory!C:E,3,FALSE)</f>
        <v>Mar Mar</v>
      </c>
      <c r="D19" t="str">
        <f>VLOOKUP(B19,[1]Inventory!D:F,3,FALSE)</f>
        <v>09-451248394
  09-45248394</v>
      </c>
      <c r="E19" t="str">
        <f>VLOOKUP(A19,[1]Inventory!C:G,5,FALSE)</f>
        <v>ဒဂုံဆိပ်ကမ်း</v>
      </c>
      <c r="F19" t="str">
        <f>VLOOKUP(A19,[1]Inventory!C:H,6,FALSE)</f>
        <v>ယုဇနဥယျာဉ်မြို့တော်၊ အမှတ် (၂၉)၊ အခန်း (102C)၊ (၁၄) လမ်း၊ ဒဂုံဆိပ်ကမ်းမြို့နယ်</v>
      </c>
      <c r="G19">
        <v>38200</v>
      </c>
      <c r="H19">
        <v>5000</v>
      </c>
      <c r="I19">
        <f t="shared" si="0"/>
        <v>43200</v>
      </c>
      <c r="J19">
        <f>VLOOKUP(A19,[1]Inventory!C:L,10,FALSE)</f>
        <v>4000</v>
      </c>
      <c r="K19">
        <f>VLOOKUP(A19,[1]Inventory!C:M,11,FALSE)</f>
        <v>5000</v>
      </c>
      <c r="L19">
        <f>VLOOKUP(A19,[1]Inventory!C:N,12,FALSE)</f>
        <v>6</v>
      </c>
      <c r="M19" s="2">
        <f>VLOOKUP(A19,[1]Inventory!C:O,13,FALSE)</f>
        <v>1500</v>
      </c>
      <c r="N19" s="2">
        <f>VLOOKUP(A19,[1]Inventory!C:P,14,FALSE)</f>
        <v>44700</v>
      </c>
      <c r="O19" t="s">
        <v>17</v>
      </c>
    </row>
    <row r="20" spans="1:15">
      <c r="A20" t="s">
        <v>41</v>
      </c>
      <c r="B20" t="s">
        <v>42</v>
      </c>
      <c r="C20" t="str">
        <f>VLOOKUP(A20,[1]Inventory!C:E,3,FALSE)</f>
        <v>ဦးဇော်လွင်</v>
      </c>
      <c r="D20" t="str">
        <f>VLOOKUP(B20,[1]Inventory!D:F,3,FALSE)</f>
        <v>09-650612392</v>
      </c>
      <c r="E20" t="str">
        <f>VLOOKUP(A20,[1]Inventory!C:G,5,FALSE)</f>
        <v>ဒဂုံဆိပ်ကမ်း</v>
      </c>
      <c r="F20" t="str">
        <f>VLOOKUP(A20,[1]Inventory!C:H,6,FALSE)</f>
        <v>စကားဖြူ (၁) လမ်း၊ (၈၈) ရပ်ကွက်၊ (ရွှေသန်လျင်ဘိုးဘွားရိပ်သာမှတ်တိုင်)၊ ဒဂုံဆိပ်ကမ်းမြို့နယ်</v>
      </c>
      <c r="G20">
        <v>189000</v>
      </c>
      <c r="H20">
        <v>4000</v>
      </c>
      <c r="I20">
        <f t="shared" si="0"/>
        <v>193000</v>
      </c>
      <c r="J20">
        <f>VLOOKUP(A20,[1]Inventory!C:L,10,FALSE)</f>
        <v>4000</v>
      </c>
      <c r="K20">
        <f>VLOOKUP(A20,[1]Inventory!C:M,11,FALSE)</f>
        <v>4000</v>
      </c>
      <c r="L20">
        <f>VLOOKUP(A20,[1]Inventory!C:N,12,FALSE)</f>
        <v>0</v>
      </c>
      <c r="M20" s="2" t="str">
        <f>VLOOKUP(A20,[1]Inventory!C:O,13,FALSE)</f>
        <v>-</v>
      </c>
      <c r="N20" s="2">
        <f>VLOOKUP(A20,[1]Inventory!C:P,14,FALSE)</f>
        <v>193000</v>
      </c>
      <c r="O20" t="s">
        <v>17</v>
      </c>
    </row>
    <row r="21" spans="1:15">
      <c r="A21" t="s">
        <v>43</v>
      </c>
      <c r="B21" t="s">
        <v>42</v>
      </c>
      <c r="C21" t="str">
        <f>VLOOKUP(A21,[1]Inventory!C:E,3,FALSE)</f>
        <v>May Kalayar</v>
      </c>
      <c r="D21" t="str">
        <f>VLOOKUP(B21,[1]Inventory!D:F,3,FALSE)</f>
        <v>09-650612392</v>
      </c>
      <c r="E21" t="str">
        <f>VLOOKUP(A21,[1]Inventory!C:G,5,FALSE)</f>
        <v>နေပြည်တော်</v>
      </c>
      <c r="F21" t="str">
        <f>VLOOKUP(A21,[1]Inventory!C:H,6,FALSE)</f>
        <v>အမှတ် (၁)၊ မေကလျာ၊ လယ်ဝေးမြို့နယ်၊ နေပြည်တော်</v>
      </c>
      <c r="G21">
        <v>121500</v>
      </c>
      <c r="H21">
        <v>6000</v>
      </c>
      <c r="I21">
        <f t="shared" si="0"/>
        <v>127500</v>
      </c>
      <c r="J21">
        <f>VLOOKUP(A21,[1]Inventory!C:L,10,FALSE)</f>
        <v>6000</v>
      </c>
      <c r="K21">
        <f>VLOOKUP(A21,[1]Inventory!C:M,11,FALSE)</f>
        <v>6000</v>
      </c>
      <c r="L21">
        <f>VLOOKUP(A21,[1]Inventory!C:N,12,FALSE)</f>
        <v>0</v>
      </c>
      <c r="M21" s="2" t="str">
        <f>VLOOKUP(A21,[1]Inventory!C:O,13,FALSE)</f>
        <v>-</v>
      </c>
      <c r="N21" s="2">
        <f>VLOOKUP(A21,[1]Inventory!C:P,14,FALSE)</f>
        <v>127500</v>
      </c>
      <c r="O21" t="s">
        <v>17</v>
      </c>
    </row>
    <row r="22" spans="1:15">
      <c r="A22" t="s">
        <v>44</v>
      </c>
      <c r="B22" t="s">
        <v>42</v>
      </c>
      <c r="C22" t="str">
        <f>VLOOKUP(A22,[1]Inventory!C:E,3,FALSE)</f>
        <v>Khin Pyoe Sone</v>
      </c>
      <c r="D22" t="str">
        <f>VLOOKUP(B22,[1]Inventory!D:F,3,FALSE)</f>
        <v>09-650612392</v>
      </c>
      <c r="E22" t="str">
        <f>VLOOKUP(A22,[1]Inventory!C:G,5,FALSE)</f>
        <v>နေပြည်တော်</v>
      </c>
      <c r="F22" t="str">
        <f>VLOOKUP(A22,[1]Inventory!C:H,6,FALSE)</f>
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v>
      </c>
      <c r="G22">
        <v>78000</v>
      </c>
      <c r="H22">
        <v>6000</v>
      </c>
      <c r="I22">
        <f t="shared" si="0"/>
        <v>84000</v>
      </c>
      <c r="J22">
        <f>VLOOKUP(A22,[1]Inventory!C:L,10,FALSE)</f>
        <v>6000</v>
      </c>
      <c r="K22">
        <f>VLOOKUP(A22,[1]Inventory!C:M,11,FALSE)</f>
        <v>6000</v>
      </c>
      <c r="L22">
        <f>VLOOKUP(A22,[1]Inventory!C:N,12,FALSE)</f>
        <v>0</v>
      </c>
      <c r="M22" s="2" t="str">
        <f>VLOOKUP(A22,[1]Inventory!C:O,13,FALSE)</f>
        <v>-</v>
      </c>
      <c r="N22" s="2">
        <f>VLOOKUP(A22,[1]Inventory!C:P,14,FALSE)</f>
        <v>84000</v>
      </c>
      <c r="O22" t="s">
        <v>17</v>
      </c>
    </row>
    <row r="23" spans="1:15">
      <c r="A23" t="s">
        <v>45</v>
      </c>
      <c r="B23" t="s">
        <v>22</v>
      </c>
      <c r="C23" t="str">
        <f>VLOOKUP(A23,[1]Inventory!C:E,3,FALSE)</f>
        <v>Sre Ther Oo</v>
      </c>
      <c r="D23" t="str">
        <f>VLOOKUP(B23,[1]Inventory!D:F,3,FALSE)</f>
        <v>09-775879156
 09-783922942</v>
      </c>
      <c r="E23" t="str">
        <f>VLOOKUP(A23,[1]Inventory!C:G,5,FALSE)</f>
        <v>နေပြည်တော်</v>
      </c>
      <c r="F23" t="str">
        <f>VLOOKUP(A23,[1]Inventory!C:H,6,FALSE)</f>
        <v>ခုတင် (၁၀၀၀) ဆေးရုံကြီး၊ အမှတ် (၂)၊ ဇေယျာသီရိမြို့နယ်၊ နေပြည်တော်</v>
      </c>
      <c r="G23">
        <v>0</v>
      </c>
      <c r="H23">
        <v>6000</v>
      </c>
      <c r="I23">
        <f t="shared" si="0"/>
        <v>6000</v>
      </c>
      <c r="J23">
        <f>VLOOKUP(A23,[1]Inventory!C:L,10,FALSE)</f>
        <v>6000</v>
      </c>
      <c r="K23">
        <f>VLOOKUP(A23,[1]Inventory!C:M,11,FALSE)</f>
        <v>6000</v>
      </c>
      <c r="L23">
        <f>VLOOKUP(A23,[1]Inventory!C:N,12,FALSE)</f>
        <v>0</v>
      </c>
      <c r="M23" s="2" t="str">
        <f>VLOOKUP(A23,[1]Inventory!C:O,13,FALSE)</f>
        <v>-</v>
      </c>
      <c r="N23" s="2">
        <f>VLOOKUP(A23,[1]Inventory!C:P,14,FALSE)</f>
        <v>6000</v>
      </c>
      <c r="O23" t="s">
        <v>17</v>
      </c>
    </row>
    <row r="24" spans="1:15">
      <c r="A24" t="s">
        <v>46</v>
      </c>
      <c r="B24" t="s">
        <v>22</v>
      </c>
      <c r="C24" t="str">
        <f>VLOOKUP(A24,[1]Inventory!C:E,3,FALSE)</f>
        <v>Swan Yi Htet</v>
      </c>
      <c r="D24" t="str">
        <f>VLOOKUP(B24,[1]Inventory!D:F,3,FALSE)</f>
        <v>09-775879156
 09-783922942</v>
      </c>
      <c r="E24" t="str">
        <f>VLOOKUP(A24,[1]Inventory!C:G,5,FALSE)</f>
        <v>နေပြည်တော်</v>
      </c>
      <c r="F24" t="str">
        <f>VLOOKUP(A24,[1]Inventory!C:H,6,FALSE)</f>
        <v>အင်းကြင်း (၂) လမ်း၊ ပုဗ္ဗသီရိမြို့နယ်၊ နေပြည်တော်</v>
      </c>
      <c r="G24">
        <v>0</v>
      </c>
      <c r="H24">
        <v>0</v>
      </c>
      <c r="I24">
        <f t="shared" si="0"/>
        <v>0</v>
      </c>
      <c r="J24">
        <f>VLOOKUP(A24,[1]Inventory!C:L,10,FALSE)</f>
        <v>6000</v>
      </c>
      <c r="K24" t="str">
        <f>VLOOKUP(A24,[1]Inventory!C:M,11,FALSE)</f>
        <v>-</v>
      </c>
      <c r="L24">
        <f>VLOOKUP(A24,[1]Inventory!C:N,12,FALSE)</f>
        <v>0</v>
      </c>
      <c r="M24" s="2" t="str">
        <f>VLOOKUP(A24,[1]Inventory!C:O,13,FALSE)</f>
        <v>-</v>
      </c>
      <c r="N24" s="2" t="str">
        <f>VLOOKUP(A24,[1]Inventory!C:P,14,FALSE)</f>
        <v>-</v>
      </c>
      <c r="O24" t="s">
        <v>17</v>
      </c>
    </row>
    <row r="25" spans="1:15">
      <c r="A25" t="s">
        <v>47</v>
      </c>
      <c r="B25" t="s">
        <v>22</v>
      </c>
      <c r="C25" t="str">
        <f>VLOOKUP(A25,[1]Inventory!C:E,3,FALSE)</f>
        <v>Bhone Hlaing Min Khant</v>
      </c>
      <c r="D25" t="str">
        <f>VLOOKUP(B25,[1]Inventory!D:F,3,FALSE)</f>
        <v>09-775879156
 09-783922942</v>
      </c>
      <c r="E25" t="str">
        <f>VLOOKUP(A25,[1]Inventory!C:G,5,FALSE)</f>
        <v>နေပြည်တော်</v>
      </c>
      <c r="F25" t="str">
        <f>VLOOKUP(A25,[1]Inventory!C:H,6,FALSE)</f>
        <v>ရေဆင်း၊ ပျဉ်းမနားမြို့နယ်၊ နေပြည်တော်</v>
      </c>
      <c r="G25">
        <v>0</v>
      </c>
      <c r="H25">
        <v>6000</v>
      </c>
      <c r="I25">
        <f t="shared" si="0"/>
        <v>6000</v>
      </c>
      <c r="J25">
        <f>VLOOKUP(A25,[1]Inventory!C:L,10,FALSE)</f>
        <v>6000</v>
      </c>
      <c r="K25">
        <f>VLOOKUP(A25,[1]Inventory!C:M,11,FALSE)</f>
        <v>6000</v>
      </c>
      <c r="L25">
        <f>VLOOKUP(A25,[1]Inventory!C:N,12,FALSE)</f>
        <v>0</v>
      </c>
      <c r="M25" s="2" t="str">
        <f>VLOOKUP(A25,[1]Inventory!C:O,13,FALSE)</f>
        <v>-</v>
      </c>
      <c r="N25" s="2">
        <f>VLOOKUP(A25,[1]Inventory!C:P,14,FALSE)</f>
        <v>6000</v>
      </c>
      <c r="O25" t="s">
        <v>17</v>
      </c>
    </row>
    <row r="26" spans="1:15">
      <c r="A26" t="s">
        <v>48</v>
      </c>
      <c r="B26" t="s">
        <v>22</v>
      </c>
      <c r="C26" t="str">
        <f>VLOOKUP(A26,[1]Inventory!C:E,3,FALSE)</f>
        <v>toe Thiri Lwin</v>
      </c>
      <c r="D26" t="str">
        <f>VLOOKUP(B26,[1]Inventory!D:F,3,FALSE)</f>
        <v>09-775879156
 09-783922942</v>
      </c>
      <c r="E26" t="str">
        <f>VLOOKUP(A26,[1]Inventory!C:G,5,FALSE)</f>
        <v>နေပြည်တော်</v>
      </c>
      <c r="F26" t="str">
        <f>VLOOKUP(A26,[1]Inventory!C:H,6,FALSE)</f>
        <v>လယ်ဝေးမြို့နယ်၊ နေပြည်တော်</v>
      </c>
      <c r="G26">
        <v>40600</v>
      </c>
      <c r="H26">
        <v>6000</v>
      </c>
      <c r="I26">
        <f t="shared" si="0"/>
        <v>46600</v>
      </c>
      <c r="J26">
        <f>VLOOKUP(A26,[1]Inventory!C:L,10,FALSE)</f>
        <v>6000</v>
      </c>
      <c r="K26">
        <f>VLOOKUP(A26,[1]Inventory!C:M,11,FALSE)</f>
        <v>6000</v>
      </c>
      <c r="L26">
        <f>VLOOKUP(A26,[1]Inventory!C:N,12,FALSE)</f>
        <v>0</v>
      </c>
      <c r="M26" s="2" t="str">
        <f>VLOOKUP(A26,[1]Inventory!C:O,13,FALSE)</f>
        <v>-</v>
      </c>
      <c r="N26" s="2">
        <f>VLOOKUP(A26,[1]Inventory!C:P,14,FALSE)</f>
        <v>46600</v>
      </c>
      <c r="O26" t="s">
        <v>17</v>
      </c>
    </row>
    <row r="27" spans="1:15">
      <c r="A27" t="s">
        <v>49</v>
      </c>
      <c r="B27" t="s">
        <v>22</v>
      </c>
      <c r="C27" t="str">
        <f>VLOOKUP(A27,[1]Inventory!C:E,3,FALSE)</f>
        <v>Shin Nyein Moe</v>
      </c>
      <c r="D27" t="str">
        <f>VLOOKUP(B27,[1]Inventory!D:F,3,FALSE)</f>
        <v>09-775879156
 09-783922942</v>
      </c>
      <c r="E27" t="str">
        <f>VLOOKUP(A27,[1]Inventory!C:G,5,FALSE)</f>
        <v>နေပြည်တော်</v>
      </c>
      <c r="F27" t="str">
        <f>VLOOKUP(A27,[1]Inventory!C:H,6,FALSE)</f>
        <v>သွားနှင့်ခံတွင်းဆေးရုံ၊ ပုဗ္ဗသီရိမြို့နယ်၊ နေပြည်တော်</v>
      </c>
      <c r="G27">
        <v>0</v>
      </c>
      <c r="H27">
        <v>6000</v>
      </c>
      <c r="I27">
        <f t="shared" si="0"/>
        <v>6000</v>
      </c>
      <c r="J27">
        <f>VLOOKUP(A27,[1]Inventory!C:L,10,FALSE)</f>
        <v>6000</v>
      </c>
      <c r="K27">
        <f>VLOOKUP(A27,[1]Inventory!C:M,11,FALSE)</f>
        <v>6000</v>
      </c>
      <c r="L27">
        <f>VLOOKUP(A27,[1]Inventory!C:N,12,FALSE)</f>
        <v>0</v>
      </c>
      <c r="M27" s="2" t="str">
        <f>VLOOKUP(A27,[1]Inventory!C:O,13,FALSE)</f>
        <v>-</v>
      </c>
      <c r="N27" s="2">
        <f>VLOOKUP(A27,[1]Inventory!C:P,14,FALSE)</f>
        <v>6000</v>
      </c>
      <c r="O27" t="s">
        <v>17</v>
      </c>
    </row>
    <row r="28" spans="1:15">
      <c r="A28" t="s">
        <v>50</v>
      </c>
      <c r="B28" t="s">
        <v>22</v>
      </c>
      <c r="C28" t="str">
        <f>VLOOKUP(A28,[1]Inventory!C:E,3,FALSE)</f>
        <v>Phyo</v>
      </c>
      <c r="D28" t="str">
        <f>VLOOKUP(B28,[1]Inventory!D:F,3,FALSE)</f>
        <v>09-775879156
 09-783922942</v>
      </c>
      <c r="E28" t="str">
        <f>VLOOKUP(A28,[1]Inventory!C:G,5,FALSE)</f>
        <v>နေပြည်တော်</v>
      </c>
      <c r="F28" t="str">
        <f>VLOOKUP(A28,[1]Inventory!C:H,6,FALSE)</f>
        <v>(အ.ထ.က ၁ ကျောင်းရှေ့)၊ မြို့ဦးရပ်ကွက်၊ ပျဉ်းမနားမြို့နယ်၊ နေပြည်တော်</v>
      </c>
      <c r="G28">
        <v>0</v>
      </c>
      <c r="H28">
        <v>6000</v>
      </c>
      <c r="I28">
        <f t="shared" si="0"/>
        <v>6000</v>
      </c>
      <c r="J28">
        <f>VLOOKUP(A28,[1]Inventory!C:L,10,FALSE)</f>
        <v>6000</v>
      </c>
      <c r="K28">
        <f>VLOOKUP(A28,[1]Inventory!C:M,11,FALSE)</f>
        <v>6000</v>
      </c>
      <c r="L28">
        <f>VLOOKUP(A28,[1]Inventory!C:N,12,FALSE)</f>
        <v>0</v>
      </c>
      <c r="M28" s="2" t="str">
        <f>VLOOKUP(A28,[1]Inventory!C:O,13,FALSE)</f>
        <v>-</v>
      </c>
      <c r="N28" s="2">
        <f>VLOOKUP(A28,[1]Inventory!C:P,14,FALSE)</f>
        <v>6000</v>
      </c>
      <c r="O28" t="s">
        <v>17</v>
      </c>
    </row>
    <row r="29" spans="1:15">
      <c r="A29" t="s">
        <v>51</v>
      </c>
      <c r="B29" t="s">
        <v>28</v>
      </c>
      <c r="C29" t="str">
        <f>VLOOKUP(A29,[1]Inventory!C:E,3,FALSE)</f>
        <v>ဦးကြည်မြင့်</v>
      </c>
      <c r="D29" t="str">
        <f>VLOOKUP(B29,[1]Inventory!D:F,3,FALSE)</f>
        <v>09-773209266</v>
      </c>
      <c r="E29" t="str">
        <f>VLOOKUP(A29,[1]Inventory!C:G,5,FALSE)</f>
        <v>နေပြည်တော်</v>
      </c>
      <c r="F29" t="str">
        <f>VLOOKUP(A29,[1]Inventory!C:H,6,FALSE)</f>
        <v>လယ်ဝေးမြို့နယ်၊ နေပြည်တော်</v>
      </c>
      <c r="G29">
        <v>64500</v>
      </c>
      <c r="H29">
        <v>6000</v>
      </c>
      <c r="I29">
        <f t="shared" si="0"/>
        <v>70500</v>
      </c>
      <c r="J29">
        <f>VLOOKUP(A29,[1]Inventory!C:L,10,FALSE)</f>
        <v>6000</v>
      </c>
      <c r="K29">
        <f>VLOOKUP(A29,[1]Inventory!C:M,11,FALSE)</f>
        <v>6000</v>
      </c>
      <c r="L29">
        <f>VLOOKUP(A29,[1]Inventory!C:N,12,FALSE)</f>
        <v>0</v>
      </c>
      <c r="M29" s="2" t="str">
        <f>VLOOKUP(A29,[1]Inventory!C:O,13,FALSE)</f>
        <v>-</v>
      </c>
      <c r="N29" s="2">
        <f>VLOOKUP(A29,[1]Inventory!C:P,14,FALSE)</f>
        <v>70500</v>
      </c>
      <c r="O29" t="s">
        <v>17</v>
      </c>
    </row>
    <row r="30" spans="1:15">
      <c r="A30" t="s">
        <v>52</v>
      </c>
      <c r="B30" t="s">
        <v>28</v>
      </c>
      <c r="C30" t="str">
        <f>VLOOKUP(A30,[1]Inventory!C:E,3,FALSE)</f>
        <v>Htet Lin</v>
      </c>
      <c r="D30" t="str">
        <f>VLOOKUP(B30,[1]Inventory!D:F,3,FALSE)</f>
        <v>09-773209266</v>
      </c>
      <c r="E30" t="str">
        <f>VLOOKUP(A30,[1]Inventory!C:G,5,FALSE)</f>
        <v>နေပြည်တော်</v>
      </c>
      <c r="F30" t="str">
        <f>VLOOKUP(A30,[1]Inventory!C:H,6,FALSE)</f>
        <v>မနွယ်နီထွန်း၊ လယ်ဝေးမြို့နယ်၊ နေပြည်တော်</v>
      </c>
      <c r="G30">
        <v>129000</v>
      </c>
      <c r="H30">
        <v>6000</v>
      </c>
      <c r="I30">
        <f t="shared" si="0"/>
        <v>135000</v>
      </c>
      <c r="J30">
        <f>VLOOKUP(A30,[1]Inventory!C:L,10,FALSE)</f>
        <v>6000</v>
      </c>
      <c r="K30">
        <f>VLOOKUP(A30,[1]Inventory!C:M,11,FALSE)</f>
        <v>6000</v>
      </c>
      <c r="L30">
        <f>VLOOKUP(A30,[1]Inventory!C:N,12,FALSE)</f>
        <v>0</v>
      </c>
      <c r="M30" s="2" t="str">
        <f>VLOOKUP(A30,[1]Inventory!C:O,13,FALSE)</f>
        <v>-</v>
      </c>
      <c r="N30" s="2">
        <f>VLOOKUP(A30,[1]Inventory!C:P,14,FALSE)</f>
        <v>135000</v>
      </c>
      <c r="O30" t="s">
        <v>17</v>
      </c>
    </row>
    <row r="31" spans="1:15">
      <c r="A31" t="s">
        <v>53</v>
      </c>
      <c r="B31" t="s">
        <v>28</v>
      </c>
      <c r="C31" t="str">
        <f>VLOOKUP(A31,[1]Inventory!C:E,3,FALSE)</f>
        <v>မသိမ့်</v>
      </c>
      <c r="D31" t="str">
        <f>VLOOKUP(B31,[1]Inventory!D:F,3,FALSE)</f>
        <v>09-773209266</v>
      </c>
      <c r="E31" t="str">
        <f>VLOOKUP(A31,[1]Inventory!C:G,5,FALSE)</f>
        <v>နေပြည်တော်</v>
      </c>
      <c r="F31" t="str">
        <f>VLOOKUP(A31,[1]Inventory!C:H,6,FALSE)</f>
        <v>ရုံးအမှတ် (၁၁)၊ နေပြည်တော်</v>
      </c>
      <c r="G31">
        <v>38700</v>
      </c>
      <c r="H31">
        <v>6000</v>
      </c>
      <c r="I31">
        <f t="shared" si="0"/>
        <v>44700</v>
      </c>
      <c r="J31">
        <f>VLOOKUP(A31,[1]Inventory!C:L,10,FALSE)</f>
        <v>6000</v>
      </c>
      <c r="K31">
        <f>VLOOKUP(A31,[1]Inventory!C:M,11,FALSE)</f>
        <v>6000</v>
      </c>
      <c r="L31">
        <f>VLOOKUP(A31,[1]Inventory!C:N,12,FALSE)</f>
        <v>0</v>
      </c>
      <c r="M31" s="2" t="str">
        <f>VLOOKUP(A31,[1]Inventory!C:O,13,FALSE)</f>
        <v>-</v>
      </c>
      <c r="N31" s="2">
        <f>VLOOKUP(A31,[1]Inventory!C:P,14,FALSE)</f>
        <v>44700</v>
      </c>
      <c r="O31" t="s">
        <v>17</v>
      </c>
    </row>
    <row r="32" spans="1:15">
      <c r="A32" t="s">
        <v>54</v>
      </c>
      <c r="B32" t="s">
        <v>28</v>
      </c>
      <c r="C32" t="str">
        <f>VLOOKUP(A32,[1]Inventory!C:E,3,FALSE)</f>
        <v>Ma Pyae</v>
      </c>
      <c r="D32" t="str">
        <f>VLOOKUP(B32,[1]Inventory!D:F,3,FALSE)</f>
        <v>09-773209266</v>
      </c>
      <c r="E32" t="str">
        <f>VLOOKUP(A32,[1]Inventory!C:G,5,FALSE)</f>
        <v>နေပြည်တော်</v>
      </c>
      <c r="F32" t="str">
        <f>VLOOKUP(A32,[1]Inventory!C:H,6,FALSE)</f>
        <v>အမှတ် (၄၀၈၃)၊ ချယ်ရီ (၂) လမ်း၊ မင်္ဂလာဒီပရပ်ကွက်၊ ပုဗ္ဗသီရိမြို့နယ်၊ နေပြည်တော်</v>
      </c>
      <c r="G32">
        <v>246300</v>
      </c>
      <c r="H32">
        <v>6000</v>
      </c>
      <c r="I32">
        <f t="shared" si="0"/>
        <v>252300</v>
      </c>
      <c r="J32">
        <f>VLOOKUP(A32,[1]Inventory!C:L,10,FALSE)</f>
        <v>6000</v>
      </c>
      <c r="K32">
        <f>VLOOKUP(A32,[1]Inventory!C:M,11,FALSE)</f>
        <v>6000</v>
      </c>
      <c r="L32">
        <f>VLOOKUP(A32,[1]Inventory!C:N,12,FALSE)</f>
        <v>4</v>
      </c>
      <c r="M32" s="2">
        <f>VLOOKUP(A32,[1]Inventory!C:O,13,FALSE)</f>
        <v>500</v>
      </c>
      <c r="N32" s="2">
        <f>VLOOKUP(A32,[1]Inventory!C:P,14,FALSE)</f>
        <v>252800</v>
      </c>
      <c r="O32" t="s">
        <v>17</v>
      </c>
    </row>
    <row r="33" spans="1:15">
      <c r="A33" t="s">
        <v>55</v>
      </c>
      <c r="B33" t="s">
        <v>28</v>
      </c>
      <c r="C33" t="str">
        <f>VLOOKUP(A33,[1]Inventory!C:E,3,FALSE)</f>
        <v>Daw Lay Ni</v>
      </c>
      <c r="D33" t="str">
        <f>VLOOKUP(B33,[1]Inventory!D:F,3,FALSE)</f>
        <v>09-773209266</v>
      </c>
      <c r="E33" t="str">
        <f>VLOOKUP(A33,[1]Inventory!C:G,5,FALSE)</f>
        <v>နေပြည်တော်</v>
      </c>
      <c r="F33" t="str">
        <f>VLOOKUP(A33,[1]Inventory!C:H,6,FALSE)</f>
        <v>မြို့မဈေး၊ နေပြည်တော်</v>
      </c>
      <c r="G33">
        <v>193500</v>
      </c>
      <c r="H33">
        <v>6000</v>
      </c>
      <c r="I33">
        <f t="shared" si="0"/>
        <v>199500</v>
      </c>
      <c r="J33">
        <f>VLOOKUP(A33,[1]Inventory!C:L,10,FALSE)</f>
        <v>6000</v>
      </c>
      <c r="K33">
        <f>VLOOKUP(A33,[1]Inventory!C:M,11,FALSE)</f>
        <v>6000</v>
      </c>
      <c r="L33">
        <f>VLOOKUP(A33,[1]Inventory!C:N,12,FALSE)</f>
        <v>4</v>
      </c>
      <c r="M33" s="2">
        <f>VLOOKUP(A33,[1]Inventory!C:O,13,FALSE)</f>
        <v>500</v>
      </c>
      <c r="N33" s="2">
        <f>VLOOKUP(A33,[1]Inventory!C:P,14,FALSE)</f>
        <v>200000</v>
      </c>
      <c r="O33" t="s">
        <v>17</v>
      </c>
    </row>
    <row r="34" spans="1:15">
      <c r="A34" t="s">
        <v>56</v>
      </c>
      <c r="B34" t="s">
        <v>28</v>
      </c>
      <c r="C34" t="str">
        <f>VLOOKUP(A34,[1]Inventory!C:E,3,FALSE)</f>
        <v>Hsu Wai</v>
      </c>
      <c r="D34" t="str">
        <f>VLOOKUP(B34,[1]Inventory!D:F,3,FALSE)</f>
        <v>09-773209266</v>
      </c>
      <c r="E34" t="str">
        <f>VLOOKUP(A34,[1]Inventory!C:G,5,FALSE)</f>
        <v>နေပြည်တော်</v>
      </c>
      <c r="F34" t="str">
        <f>VLOOKUP(A34,[1]Inventory!C:H,6,FALSE)</f>
        <v>ပေါင်းလောင်း (၁၀) လမ်း၊ ပျဉ်းမနားမြို့နယ်၊ နေပြည်တော်</v>
      </c>
      <c r="G34">
        <v>247400</v>
      </c>
      <c r="H34">
        <v>6000</v>
      </c>
      <c r="I34">
        <f t="shared" si="0"/>
        <v>253400</v>
      </c>
      <c r="J34">
        <f>VLOOKUP(A34,[1]Inventory!C:L,10,FALSE)</f>
        <v>6000</v>
      </c>
      <c r="K34">
        <f>VLOOKUP(A34,[1]Inventory!C:M,11,FALSE)</f>
        <v>6000</v>
      </c>
      <c r="L34">
        <f>VLOOKUP(A34,[1]Inventory!C:N,12,FALSE)</f>
        <v>4</v>
      </c>
      <c r="M34" s="2">
        <f>VLOOKUP(A34,[1]Inventory!C:O,13,FALSE)</f>
        <v>500</v>
      </c>
      <c r="N34" s="2">
        <f>VLOOKUP(A34,[1]Inventory!C:P,14,FALSE)</f>
        <v>253900</v>
      </c>
      <c r="O34" t="s">
        <v>17</v>
      </c>
    </row>
    <row r="35" spans="1:15">
      <c r="A35" t="s">
        <v>57</v>
      </c>
      <c r="B35" t="s">
        <v>28</v>
      </c>
      <c r="C35" t="str">
        <f>VLOOKUP(A35,[1]Inventory!C:E,3,FALSE)</f>
        <v>Su Lae Paing</v>
      </c>
      <c r="D35" t="str">
        <f>VLOOKUP(B35,[1]Inventory!D:F,3,FALSE)</f>
        <v>09-773209266</v>
      </c>
      <c r="E35" t="str">
        <f>VLOOKUP(A35,[1]Inventory!C:G,5,FALSE)</f>
        <v>နေပြည်တော်</v>
      </c>
      <c r="F35" t="str">
        <f>VLOOKUP(A35,[1]Inventory!C:H,6,FALSE)</f>
        <v>တရုတ်ဘုံကျောင်း၊ လယ်ဝေးမြို့နယ်၊ နေပြည်တော်</v>
      </c>
      <c r="G35">
        <v>253200</v>
      </c>
      <c r="H35">
        <v>6000</v>
      </c>
      <c r="I35">
        <f t="shared" si="0"/>
        <v>259200</v>
      </c>
      <c r="J35">
        <f>VLOOKUP(A35,[1]Inventory!C:L,10,FALSE)</f>
        <v>6000</v>
      </c>
      <c r="K35">
        <f>VLOOKUP(A35,[1]Inventory!C:M,11,FALSE)</f>
        <v>6000</v>
      </c>
      <c r="L35">
        <f>VLOOKUP(A35,[1]Inventory!C:N,12,FALSE)</f>
        <v>0</v>
      </c>
      <c r="M35" s="2" t="str">
        <f>VLOOKUP(A35,[1]Inventory!C:O,13,FALSE)</f>
        <v>-</v>
      </c>
      <c r="N35" s="2">
        <f>VLOOKUP(A35,[1]Inventory!C:P,14,FALSE)</f>
        <v>259200</v>
      </c>
      <c r="O35" t="s">
        <v>17</v>
      </c>
    </row>
    <row r="36" spans="1:15">
      <c r="A36" t="s">
        <v>58</v>
      </c>
      <c r="B36" t="s">
        <v>28</v>
      </c>
      <c r="C36" t="str">
        <f>VLOOKUP(A36,[1]Inventory!C:E,3,FALSE)</f>
        <v>ကိုထွန်း</v>
      </c>
      <c r="D36" t="str">
        <f>VLOOKUP(B36,[1]Inventory!D:F,3,FALSE)</f>
        <v>09-773209266</v>
      </c>
      <c r="E36" t="str">
        <f>VLOOKUP(A36,[1]Inventory!C:G,5,FALSE)</f>
        <v>နေပြည်တော်</v>
      </c>
      <c r="F36" t="str">
        <f>VLOOKUP(A36,[1]Inventory!C:H,6,FALSE)</f>
        <v>အမှတ် (၄၃၁)၊ ပန်းလောင်လမ်း၊ ရွှေကြာပင်ရပ်ကွက်၊ ဇမ္ဗူသီရိမြို့နယ်၊ နေပြည်တော်</v>
      </c>
      <c r="G36">
        <v>38400</v>
      </c>
      <c r="H36">
        <v>6000</v>
      </c>
      <c r="I36">
        <f t="shared" si="0"/>
        <v>44400</v>
      </c>
      <c r="J36">
        <f>VLOOKUP(A36,[1]Inventory!C:L,10,FALSE)</f>
        <v>6000</v>
      </c>
      <c r="K36">
        <f>VLOOKUP(A36,[1]Inventory!C:M,11,FALSE)</f>
        <v>6000</v>
      </c>
      <c r="L36">
        <f>VLOOKUP(A36,[1]Inventory!C:N,12,FALSE)</f>
        <v>0</v>
      </c>
      <c r="M36" s="2" t="str">
        <f>VLOOKUP(A36,[1]Inventory!C:O,13,FALSE)</f>
        <v>-</v>
      </c>
      <c r="N36" s="2">
        <f>VLOOKUP(A36,[1]Inventory!C:P,14,FALSE)</f>
        <v>44400</v>
      </c>
      <c r="O36" t="s">
        <v>17</v>
      </c>
    </row>
    <row r="37" spans="1:15">
      <c r="A37" t="s">
        <v>59</v>
      </c>
      <c r="B37" t="s">
        <v>28</v>
      </c>
      <c r="C37" t="str">
        <f>VLOOKUP(A37,[1]Inventory!C:E,3,FALSE)</f>
        <v>Ma Yi Mon Aung</v>
      </c>
      <c r="D37" t="str">
        <f>VLOOKUP(B37,[1]Inventory!D:F,3,FALSE)</f>
        <v>09-773209266</v>
      </c>
      <c r="E37" t="str">
        <f>VLOOKUP(A37,[1]Inventory!C:G,5,FALSE)</f>
        <v>နေပြည်တော်</v>
      </c>
      <c r="F37" t="str">
        <f>VLOOKUP(A37,[1]Inventory!C:H,6,FALSE)</f>
        <v>လယ်ဝေးမြို့နယ်၊ နေပြည်တော်</v>
      </c>
      <c r="G37">
        <v>430000</v>
      </c>
      <c r="H37">
        <v>6000</v>
      </c>
      <c r="I37">
        <f t="shared" si="0"/>
        <v>436000</v>
      </c>
      <c r="J37">
        <f>VLOOKUP(A37,[1]Inventory!C:L,10,FALSE)</f>
        <v>6000</v>
      </c>
      <c r="K37">
        <f>VLOOKUP(A37,[1]Inventory!C:M,11,FALSE)</f>
        <v>6000</v>
      </c>
      <c r="L37">
        <f>VLOOKUP(A37,[1]Inventory!C:N,12,FALSE)</f>
        <v>4</v>
      </c>
      <c r="M37" s="2">
        <f>VLOOKUP(A37,[1]Inventory!C:O,13,FALSE)</f>
        <v>500</v>
      </c>
      <c r="N37" s="2">
        <f>VLOOKUP(A37,[1]Inventory!C:P,14,FALSE)</f>
        <v>436500</v>
      </c>
      <c r="O37" t="s">
        <v>17</v>
      </c>
    </row>
    <row r="38" spans="1:15">
      <c r="A38" t="s">
        <v>60</v>
      </c>
      <c r="B38" t="s">
        <v>28</v>
      </c>
      <c r="C38" t="str">
        <f>VLOOKUP(A38,[1]Inventory!C:E,3,FALSE)</f>
        <v>Mu Mu</v>
      </c>
      <c r="D38" t="str">
        <f>VLOOKUP(B38,[1]Inventory!D:F,3,FALSE)</f>
        <v>09-773209266</v>
      </c>
      <c r="E38" t="str">
        <f>VLOOKUP(A38,[1]Inventory!C:G,5,FALSE)</f>
        <v>နေပြည်တော်</v>
      </c>
      <c r="F38" t="str">
        <f>VLOOKUP(A38,[1]Inventory!C:H,6,FALSE)</f>
        <v>အမှတ် (၂)၊ ကျည်တောက်ကန်၊ ပုဗ္ဗသီရိမြို့နယ်၊ နေပြည်တော်</v>
      </c>
      <c r="G38">
        <v>135800</v>
      </c>
      <c r="H38">
        <v>6000</v>
      </c>
      <c r="I38">
        <f t="shared" si="0"/>
        <v>141800</v>
      </c>
      <c r="J38">
        <f>VLOOKUP(A38,[1]Inventory!C:L,10,FALSE)</f>
        <v>6000</v>
      </c>
      <c r="K38">
        <f>VLOOKUP(A38,[1]Inventory!C:M,11,FALSE)</f>
        <v>6000</v>
      </c>
      <c r="L38">
        <f>VLOOKUP(A38,[1]Inventory!C:N,12,FALSE)</f>
        <v>0</v>
      </c>
      <c r="M38" s="2" t="str">
        <f>VLOOKUP(A38,[1]Inventory!C:O,13,FALSE)</f>
        <v>-</v>
      </c>
      <c r="N38" s="2">
        <f>VLOOKUP(A38,[1]Inventory!C:P,14,FALSE)</f>
        <v>141800</v>
      </c>
      <c r="O38" t="s">
        <v>17</v>
      </c>
    </row>
    <row r="39" spans="1:15">
      <c r="A39" t="s">
        <v>61</v>
      </c>
      <c r="B39" t="s">
        <v>33</v>
      </c>
      <c r="C39" t="str">
        <f>VLOOKUP(A39,[1]Inventory!C:E,3,FALSE)</f>
        <v>Yin Hline Zin</v>
      </c>
      <c r="D39" t="str">
        <f>VLOOKUP(B39,[1]Inventory!D:F,3,FALSE)</f>
        <v>09-43151983</v>
      </c>
      <c r="E39" t="str">
        <f>VLOOKUP(A39,[1]Inventory!C:G,5,FALSE)</f>
        <v>နေပြည်တော်</v>
      </c>
      <c r="F39" t="str">
        <f>VLOOKUP(A39,[1]Inventory!C:H,6,FALSE)</f>
        <v>ကံ့ကော်အိမ်ရာ၊ တိုက် (၂၄၃)၊ ဇမ္ဗူသီရိမြို့နယ်၊ နေပြည်တော်</v>
      </c>
      <c r="G39">
        <v>44000</v>
      </c>
      <c r="H39">
        <v>6000</v>
      </c>
      <c r="I39">
        <f t="shared" si="0"/>
        <v>50000</v>
      </c>
      <c r="J39">
        <f>VLOOKUP(A39,[1]Inventory!C:L,10,FALSE)</f>
        <v>6000</v>
      </c>
      <c r="K39">
        <f>VLOOKUP(A39,[1]Inventory!C:M,11,FALSE)</f>
        <v>6000</v>
      </c>
      <c r="L39">
        <f>VLOOKUP(A39,[1]Inventory!C:N,12,FALSE)</f>
        <v>0</v>
      </c>
      <c r="M39" s="2" t="str">
        <f>VLOOKUP(A39,[1]Inventory!C:O,13,FALSE)</f>
        <v>-</v>
      </c>
      <c r="N39" s="2">
        <f>VLOOKUP(A39,[1]Inventory!C:P,14,FALSE)</f>
        <v>50000</v>
      </c>
      <c r="O39" t="s">
        <v>17</v>
      </c>
    </row>
    <row r="40" spans="1:15">
      <c r="A40" t="s">
        <v>62</v>
      </c>
      <c r="B40" t="s">
        <v>33</v>
      </c>
      <c r="C40" t="str">
        <f>VLOOKUP(A40,[1]Inventory!C:E,3,FALSE)</f>
        <v>Ei Thandar Moe</v>
      </c>
      <c r="D40" t="str">
        <f>VLOOKUP(B40,[1]Inventory!D:F,3,FALSE)</f>
        <v>09-43151983</v>
      </c>
      <c r="E40" t="str">
        <f>VLOOKUP(A40,[1]Inventory!C:G,5,FALSE)</f>
        <v>နေပြည်တော်</v>
      </c>
      <c r="F40" t="str">
        <f>VLOOKUP(A40,[1]Inventory!C:H,6,FALSE)</f>
        <v>သုခတော်ဝင်အိမ်ရာ၊ အမှတ် (၅)၊ အခန်း (၁၁)၊ နေပြည်တော်</v>
      </c>
      <c r="G40">
        <v>63000</v>
      </c>
      <c r="H40">
        <v>6000</v>
      </c>
      <c r="I40">
        <f t="shared" si="0"/>
        <v>69000</v>
      </c>
      <c r="J40">
        <f>VLOOKUP(A40,[1]Inventory!C:L,10,FALSE)</f>
        <v>6000</v>
      </c>
      <c r="K40">
        <f>VLOOKUP(A40,[1]Inventory!C:M,11,FALSE)</f>
        <v>6000</v>
      </c>
      <c r="L40">
        <f>VLOOKUP(A40,[1]Inventory!C:N,12,FALSE)</f>
        <v>0</v>
      </c>
      <c r="M40" s="2" t="str">
        <f>VLOOKUP(A40,[1]Inventory!C:O,13,FALSE)</f>
        <v>-</v>
      </c>
      <c r="N40" s="2">
        <f>VLOOKUP(A40,[1]Inventory!C:P,14,FALSE)</f>
        <v>69000</v>
      </c>
      <c r="O40" t="s">
        <v>17</v>
      </c>
    </row>
    <row r="41" spans="1:15">
      <c r="A41" t="s">
        <v>63</v>
      </c>
      <c r="B41" t="s">
        <v>64</v>
      </c>
      <c r="C41" t="str">
        <f>VLOOKUP(A41,[1]Inventory!C:E,3,FALSE)</f>
        <v>Kyaw Zaw Zaw</v>
      </c>
      <c r="D41" t="str">
        <f>VLOOKUP(B41,[1]Inventory!D:F,3,FALSE)</f>
        <v>09-693251737</v>
      </c>
      <c r="E41" t="str">
        <f>VLOOKUP(A41,[1]Inventory!C:G,5,FALSE)</f>
        <v>နေပြည်တော်</v>
      </c>
      <c r="F41" t="str">
        <f>VLOOKUP(A41,[1]Inventory!C:H,6,FALSE)</f>
        <v>(မြို့မဈေး (သို့မဟုတ်) သပြေကုန်းဂိတ် တစ်ခုခုတွင် ချပေးပါရန်)၊ ဇမ္ဗူသီရိမြို့နယ်၊ နေပြည်တော်</v>
      </c>
      <c r="G41">
        <v>0</v>
      </c>
      <c r="H41">
        <v>6000</v>
      </c>
      <c r="I41">
        <f t="shared" si="0"/>
        <v>6000</v>
      </c>
      <c r="J41">
        <f>VLOOKUP(A41,[1]Inventory!C:L,10,FALSE)</f>
        <v>6000</v>
      </c>
      <c r="K41">
        <f>VLOOKUP(A41,[1]Inventory!C:M,11,FALSE)</f>
        <v>6000</v>
      </c>
      <c r="L41">
        <f>VLOOKUP(A41,[1]Inventory!C:N,12,FALSE)</f>
        <v>10</v>
      </c>
      <c r="M41" s="2">
        <f>VLOOKUP(A41,[1]Inventory!C:O,13,FALSE)</f>
        <v>3500</v>
      </c>
      <c r="N41" s="2">
        <f>VLOOKUP(A41,[1]Inventory!C:P,14,FALSE)</f>
        <v>9500</v>
      </c>
      <c r="O41" t="s">
        <v>17</v>
      </c>
    </row>
    <row r="42" spans="1:15">
      <c r="A42" t="s">
        <v>65</v>
      </c>
      <c r="B42" t="s">
        <v>22</v>
      </c>
      <c r="C42" t="str">
        <f>VLOOKUP(A42,[1]Inventory!C:E,3,FALSE)</f>
        <v>Expired Trent</v>
      </c>
      <c r="D42" t="str">
        <f>VLOOKUP(B42,[1]Inventory!D:F,3,FALSE)</f>
        <v>09-775879156
 09-783922942</v>
      </c>
      <c r="E42" t="str">
        <f>VLOOKUP(A42,[1]Inventory!C:G,5,FALSE)</f>
        <v>နေပြည်တော်</v>
      </c>
      <c r="F42" t="str">
        <f>VLOOKUP(A42,[1]Inventory!C:H,6,FALSE)</f>
        <v>တိုက် (၂၅)၊ ပုဏ္ဏသိဒ္ဓိရပ်ကွက်၊ ဇမ္ဗူသီရိမြို့နယ်၊ နေပြည်တော်</v>
      </c>
      <c r="G42">
        <v>0</v>
      </c>
      <c r="H42">
        <v>6000</v>
      </c>
      <c r="I42">
        <f t="shared" si="0"/>
        <v>6000</v>
      </c>
      <c r="J42">
        <f>VLOOKUP(A42,[1]Inventory!C:L,10,FALSE)</f>
        <v>6000</v>
      </c>
      <c r="K42">
        <f>VLOOKUP(A42,[1]Inventory!C:M,11,FALSE)</f>
        <v>6000</v>
      </c>
      <c r="L42">
        <f>VLOOKUP(A42,[1]Inventory!C:N,12,FALSE)</f>
        <v>0</v>
      </c>
      <c r="M42" s="2" t="str">
        <f>VLOOKUP(A42,[1]Inventory!C:O,13,FALSE)</f>
        <v>-</v>
      </c>
      <c r="N42" s="2">
        <f>VLOOKUP(A42,[1]Inventory!C:P,14,FALSE)</f>
        <v>6000</v>
      </c>
      <c r="O42" t="s">
        <v>17</v>
      </c>
    </row>
    <row r="43" spans="1:15">
      <c r="A43" t="s">
        <v>66</v>
      </c>
      <c r="B43" t="s">
        <v>28</v>
      </c>
      <c r="C43" t="str">
        <f>VLOOKUP(A43,[1]Inventory!C:E,3,FALSE)</f>
        <v>ရွှန်းလဲ့ဝေ</v>
      </c>
      <c r="D43" t="str">
        <f>VLOOKUP(B43,[1]Inventory!D:F,3,FALSE)</f>
        <v>09-773209266</v>
      </c>
      <c r="E43" t="str">
        <f>VLOOKUP(A43,[1]Inventory!C:G,5,FALSE)</f>
        <v>နေပြည်တော်</v>
      </c>
      <c r="F43" t="str">
        <f>VLOOKUP(A43,[1]Inventory!C:H,6,FALSE)</f>
        <v>အဆောင် (၁၅)၊ သဇင် (၄) လမ်း၊ (စနေ/တနင်္ဂနွေ ပို့ပေးပါ)၊ ဇေယျာသီရိမြို့နယ်၊ နေပြည်တော်</v>
      </c>
      <c r="G43">
        <v>29500</v>
      </c>
      <c r="H43">
        <v>6000</v>
      </c>
      <c r="I43">
        <f t="shared" si="0"/>
        <v>35500</v>
      </c>
      <c r="J43">
        <f>VLOOKUP(A43,[1]Inventory!C:L,10,FALSE)</f>
        <v>6000</v>
      </c>
      <c r="K43">
        <f>VLOOKUP(A43,[1]Inventory!C:M,11,FALSE)</f>
        <v>6000</v>
      </c>
      <c r="L43">
        <f>VLOOKUP(A43,[1]Inventory!C:N,12,FALSE)</f>
        <v>0</v>
      </c>
      <c r="M43" s="2" t="str">
        <f>VLOOKUP(A43,[1]Inventory!C:O,13,FALSE)</f>
        <v>-</v>
      </c>
      <c r="N43" s="2">
        <f>VLOOKUP(A43,[1]Inventory!C:P,14,FALSE)</f>
        <v>35500</v>
      </c>
      <c r="O43" t="s">
        <v>17</v>
      </c>
    </row>
    <row r="44" spans="1:15">
      <c r="A44" t="s">
        <v>67</v>
      </c>
      <c r="B44" t="s">
        <v>33</v>
      </c>
      <c r="C44" t="str">
        <f>VLOOKUP(A44,[1]Inventory!C:E,3,FALSE)</f>
        <v>May Win</v>
      </c>
      <c r="D44" t="str">
        <f>VLOOKUP(B44,[1]Inventory!D:F,3,FALSE)</f>
        <v>09-43151983</v>
      </c>
      <c r="E44" t="str">
        <f>VLOOKUP(A44,[1]Inventory!C:G,5,FALSE)</f>
        <v>ဗဟန်း</v>
      </c>
      <c r="F44" t="str">
        <f>VLOOKUP(A44,[1]Inventory!C:H,6,FALSE)</f>
        <v>အမှတ် (၄၂)၊ ဘိုးပိုင်ရိပ်သာလမ်း၊ ရွှေတောင်ကြား (၂) ရပ်ကွက်၊ ဗဟန်းမြို့နယ်</v>
      </c>
      <c r="G44">
        <v>62000</v>
      </c>
      <c r="H44">
        <v>4000</v>
      </c>
      <c r="I44">
        <f t="shared" si="0"/>
        <v>66000</v>
      </c>
      <c r="J44">
        <f>VLOOKUP(A44,[1]Inventory!C:L,10,FALSE)</f>
        <v>4000</v>
      </c>
      <c r="K44">
        <f>VLOOKUP(A44,[1]Inventory!C:M,11,FALSE)</f>
        <v>4000</v>
      </c>
      <c r="L44" t="str">
        <f>VLOOKUP(A44,[1]Inventory!C:N,12,FALSE)</f>
        <v>-</v>
      </c>
      <c r="M44" s="2">
        <f>VLOOKUP(A44,[1]Inventory!C:O,13,FALSE)</f>
        <v>66000</v>
      </c>
      <c r="N44" s="2" t="str">
        <f>VLOOKUP(A44,[1]Inventory!C:P,14,FALSE)</f>
        <v>စက်ပိတ်</v>
      </c>
      <c r="O44" t="s">
        <v>17</v>
      </c>
    </row>
    <row r="45" spans="1:15">
      <c r="A45" t="s">
        <v>68</v>
      </c>
      <c r="B45" t="s">
        <v>28</v>
      </c>
      <c r="C45" t="str">
        <f>VLOOKUP(A45,[1]Inventory!C:E,3,FALSE)</f>
        <v>Ma Ma Gyi Sue</v>
      </c>
      <c r="D45" t="str">
        <f>VLOOKUP(B45,[1]Inventory!D:F,3,FALSE)</f>
        <v>09-773209266</v>
      </c>
      <c r="E45" t="str">
        <f>VLOOKUP(A45,[1]Inventory!C:G,5,FALSE)</f>
        <v>ဗဟန်း</v>
      </c>
      <c r="F45" t="str">
        <f>VLOOKUP(A45,[1]Inventory!C:H,6,FALSE)</f>
        <v>အမှတ် (၁၆)၊ ဗိုလ်လရောင်လမ်း၊ ဗိုလ်စိန်မှန်ရပ်ကွက်၊ ဗဟန်းမြို့နယ်</v>
      </c>
      <c r="G45">
        <v>25000</v>
      </c>
      <c r="H45">
        <v>4000</v>
      </c>
      <c r="I45">
        <f t="shared" si="0"/>
        <v>29000</v>
      </c>
      <c r="J45">
        <f>VLOOKUP(A45,[1]Inventory!C:L,10,FALSE)</f>
        <v>4000</v>
      </c>
      <c r="K45">
        <f>VLOOKUP(A45,[1]Inventory!C:M,11,FALSE)</f>
        <v>4000</v>
      </c>
      <c r="L45" t="str">
        <f>VLOOKUP(A45,[1]Inventory!C:N,12,FALSE)</f>
        <v>-</v>
      </c>
      <c r="M45" s="2">
        <f>VLOOKUP(A45,[1]Inventory!C:O,13,FALSE)</f>
        <v>29000</v>
      </c>
      <c r="N45" s="2" t="str">
        <f>VLOOKUP(A45,[1]Inventory!C:P,14,FALSE)</f>
        <v>စက်ပိတ်</v>
      </c>
      <c r="O45" t="s">
        <v>17</v>
      </c>
    </row>
    <row r="46" spans="1:15">
      <c r="A46" t="s">
        <v>69</v>
      </c>
      <c r="B46" t="s">
        <v>42</v>
      </c>
      <c r="C46" t="str">
        <f>VLOOKUP(A46,[1]Inventory!C:E,3,FALSE)</f>
        <v>ရွှေလဝန်းဘေဘီစတိုး</v>
      </c>
      <c r="D46" t="str">
        <f>VLOOKUP(B46,[1]Inventory!D:F,3,FALSE)</f>
        <v>09-650612392</v>
      </c>
      <c r="E46" t="str">
        <f>VLOOKUP(A46,[1]Inventory!C:G,5,FALSE)</f>
        <v>မန္တလေး</v>
      </c>
      <c r="F46" t="str">
        <f>VLOOKUP(A46,[1]Inventory!C:H,6,FALSE)</f>
        <v>(၃၁) လမ်း၊ ၃၇ x ၃၈ လမ်းကြား၊ မဟာအောင်မြေမြို့နယ်၊ မန္တလေး</v>
      </c>
      <c r="G46">
        <v>354000</v>
      </c>
      <c r="H46">
        <v>6000</v>
      </c>
      <c r="I46">
        <f t="shared" si="0"/>
        <v>360000</v>
      </c>
      <c r="J46">
        <f>VLOOKUP(A46,[1]Inventory!C:L,10,FALSE)</f>
        <v>6000</v>
      </c>
      <c r="K46">
        <f>VLOOKUP(A46,[1]Inventory!C:M,11,FALSE)</f>
        <v>6000</v>
      </c>
      <c r="L46">
        <f>VLOOKUP(A46,[1]Inventory!C:N,12,FALSE)</f>
        <v>4</v>
      </c>
      <c r="M46" s="2">
        <f>VLOOKUP(A46,[1]Inventory!C:O,13,FALSE)</f>
        <v>500</v>
      </c>
      <c r="N46" s="2">
        <f>VLOOKUP(A46,[1]Inventory!C:P,14,FALSE)</f>
        <v>360500</v>
      </c>
      <c r="O46" t="s">
        <v>17</v>
      </c>
    </row>
    <row r="47" spans="1:15">
      <c r="A47" t="s">
        <v>70</v>
      </c>
      <c r="B47" t="s">
        <v>71</v>
      </c>
      <c r="C47" t="str">
        <f>VLOOKUP(A47,[1]Inventory!C:E,3,FALSE)</f>
        <v>Ya Ya</v>
      </c>
      <c r="D47" t="str">
        <f>VLOOKUP(B47,[1]Inventory!D:F,3,FALSE)</f>
        <v>09-266688826</v>
      </c>
      <c r="E47" t="str">
        <f>VLOOKUP(A47,[1]Inventory!C:G,5,FALSE)</f>
        <v>မန္တလေး</v>
      </c>
      <c r="F47" t="str">
        <f>VLOOKUP(A47,[1]Inventory!C:H,6,FALSE)</f>
        <v>(၅၄) လမ်း၊ (39D) လမ်း၊ မန္တလေး</v>
      </c>
      <c r="G47">
        <v>441000</v>
      </c>
      <c r="H47">
        <v>0</v>
      </c>
      <c r="I47">
        <f t="shared" si="0"/>
        <v>441000</v>
      </c>
      <c r="J47">
        <f>VLOOKUP(A47,[1]Inventory!C:L,10,FALSE)</f>
        <v>6000</v>
      </c>
      <c r="K47" t="str">
        <f>VLOOKUP(A47,[1]Inventory!C:M,11,FALSE)</f>
        <v>-</v>
      </c>
      <c r="L47">
        <f>VLOOKUP(A47,[1]Inventory!C:N,12,FALSE)</f>
        <v>7</v>
      </c>
      <c r="M47" s="2">
        <f>VLOOKUP(A47,[1]Inventory!C:O,13,FALSE)</f>
        <v>12000</v>
      </c>
      <c r="N47" s="2">
        <f>VLOOKUP(A47,[1]Inventory!C:P,14,FALSE)</f>
        <v>453000</v>
      </c>
      <c r="O47" t="s">
        <v>17</v>
      </c>
    </row>
    <row r="48" spans="1:15">
      <c r="A48" t="s">
        <v>72</v>
      </c>
      <c r="B48" t="s">
        <v>73</v>
      </c>
      <c r="C48" t="str">
        <f>VLOOKUP(A48,[1]Inventory!C:E,3,FALSE)</f>
        <v>Pinky Thae</v>
      </c>
      <c r="D48" t="str">
        <f>VLOOKUP(B48,[1]Inventory!D:F,3,FALSE)</f>
        <v>09-43038851</v>
      </c>
      <c r="E48" t="str">
        <f>VLOOKUP(A48,[1]Inventory!C:G,5,FALSE)</f>
        <v>မရမ်းကုန်း</v>
      </c>
      <c r="F48" t="str">
        <f>VLOOKUP(A48,[1]Inventory!C:H,6,FALSE)</f>
        <v>အမှတ် (၃၃)၊ ကျားပျံလမ်း၊ (၅) ရပ်ကွက်၊ မရမ်းကုန်းမြို့နယ်</v>
      </c>
      <c r="G48">
        <v>172500</v>
      </c>
      <c r="H48">
        <v>4000</v>
      </c>
      <c r="I48">
        <f t="shared" si="0"/>
        <v>176500</v>
      </c>
      <c r="J48">
        <f>VLOOKUP(A48,[1]Inventory!C:L,10,FALSE)</f>
        <v>4000</v>
      </c>
      <c r="K48">
        <f>VLOOKUP(A48,[1]Inventory!C:M,11,FALSE)</f>
        <v>4000</v>
      </c>
      <c r="L48">
        <f>VLOOKUP(A48,[1]Inventory!C:N,12,FALSE)</f>
        <v>0</v>
      </c>
      <c r="M48" s="2" t="str">
        <f>VLOOKUP(A48,[1]Inventory!C:O,13,FALSE)</f>
        <v>-</v>
      </c>
      <c r="N48" s="2">
        <f>VLOOKUP(A48,[1]Inventory!C:P,14,FALSE)</f>
        <v>176500</v>
      </c>
      <c r="O48" t="s">
        <v>17</v>
      </c>
    </row>
    <row r="49" spans="1:15">
      <c r="A49" t="s">
        <v>74</v>
      </c>
      <c r="B49" t="s">
        <v>75</v>
      </c>
      <c r="C49" t="str">
        <f>VLOOKUP(A49,[1]Inventory!C:E,3,FALSE)</f>
        <v>Nan Htike Aung</v>
      </c>
      <c r="D49" t="str">
        <f>VLOOKUP(B49,[1]Inventory!D:F,3,FALSE)</f>
        <v>09-755008786</v>
      </c>
      <c r="E49" t="str">
        <f>VLOOKUP(A49,[1]Inventory!C:G,5,FALSE)</f>
        <v>မြောက်ဒဂုံ</v>
      </c>
      <c r="F49" t="str">
        <f>VLOOKUP(A49,[1]Inventory!C:H,6,FALSE)</f>
        <v>တိုက် (A)၊ အခန်း (၄၀၂)၊ ရှုခင်းသာလမ်း၊ (၂၇) ရပ်ကွက်၊ မြောက်ဒဂုံမြို့နယ်</v>
      </c>
      <c r="G49">
        <v>0</v>
      </c>
      <c r="H49">
        <v>4000</v>
      </c>
      <c r="I49">
        <f t="shared" si="0"/>
        <v>4000</v>
      </c>
      <c r="J49">
        <f>VLOOKUP(A49,[1]Inventory!C:L,10,FALSE)</f>
        <v>4000</v>
      </c>
      <c r="K49">
        <f>VLOOKUP(A49,[1]Inventory!C:M,11,FALSE)</f>
        <v>4000</v>
      </c>
      <c r="L49" t="str">
        <f>VLOOKUP(A49,[1]Inventory!C:N,12,FALSE)</f>
        <v>-</v>
      </c>
      <c r="M49" s="2">
        <f>VLOOKUP(A49,[1]Inventory!C:O,13,FALSE)</f>
        <v>0</v>
      </c>
      <c r="N49" s="2">
        <f>VLOOKUP(A49,[1]Inventory!C:P,14,FALSE)</f>
        <v>4000</v>
      </c>
      <c r="O49" t="s">
        <v>17</v>
      </c>
    </row>
    <row r="50" spans="1:15">
      <c r="A50" t="s">
        <v>76</v>
      </c>
      <c r="B50" t="s">
        <v>28</v>
      </c>
      <c r="C50" t="str">
        <f>VLOOKUP(A50,[1]Inventory!C:E,3,FALSE)</f>
        <v>Ma Naw</v>
      </c>
      <c r="D50" t="str">
        <f>VLOOKUP(B50,[1]Inventory!D:F,3,FALSE)</f>
        <v>09-773209266</v>
      </c>
      <c r="E50" t="str">
        <f>VLOOKUP(A50,[1]Inventory!C:G,5,FALSE)</f>
        <v>မြောက်ဒဂုံ</v>
      </c>
      <c r="F50" t="str">
        <f>VLOOKUP(A50,[1]Inventory!C:H,6,FALSE)</f>
        <v>အမှတ် (၁၂၀၇)၊ ပိတောက်မြိုင် (၅) လမ်း၊ (၃၄) ရပ်ကွက်၊ မြောက်ဒဂုံမြို့နယ်</v>
      </c>
      <c r="G50">
        <v>200600</v>
      </c>
      <c r="H50">
        <v>4000</v>
      </c>
      <c r="I50">
        <f t="shared" si="0"/>
        <v>204600</v>
      </c>
      <c r="J50">
        <f>VLOOKUP(A50,[1]Inventory!C:L,10,FALSE)</f>
        <v>4000</v>
      </c>
      <c r="K50">
        <f>VLOOKUP(A50,[1]Inventory!C:M,11,FALSE)</f>
        <v>4000</v>
      </c>
      <c r="L50" t="str">
        <f>VLOOKUP(A50,[1]Inventory!C:N,12,FALSE)</f>
        <v>-</v>
      </c>
      <c r="M50" s="2">
        <f>VLOOKUP(A50,[1]Inventory!C:O,13,FALSE)</f>
        <v>0</v>
      </c>
      <c r="N50" s="2">
        <f>VLOOKUP(A50,[1]Inventory!C:P,14,FALSE)</f>
        <v>204600</v>
      </c>
      <c r="O50" t="s">
        <v>17</v>
      </c>
    </row>
    <row r="51" spans="1:15">
      <c r="A51" t="s">
        <v>77</v>
      </c>
      <c r="B51" t="s">
        <v>64</v>
      </c>
      <c r="C51" t="str">
        <f>VLOOKUP(A51,[1]Inventory!C:E,3,FALSE)</f>
        <v>Ko Aung</v>
      </c>
      <c r="D51" t="str">
        <f>VLOOKUP(B51,[1]Inventory!D:F,3,FALSE)</f>
        <v>09-693251737</v>
      </c>
      <c r="E51" t="str">
        <f>VLOOKUP(A51,[1]Inventory!C:G,5,FALSE)</f>
        <v>ရွှေပြည်သာ</v>
      </c>
      <c r="F51" t="str">
        <f>VLOOKUP(A51,[1]Inventory!C:H,6,FALSE)</f>
        <v>အမှတ် (၁၃၀)၊ ဦးမြဲလမ်း၊ စက်မှုဇုန် (၄)၊ ရွှေပြည်သာမြို့နယ်</v>
      </c>
      <c r="G51">
        <v>18000</v>
      </c>
      <c r="H51">
        <v>4500</v>
      </c>
      <c r="I51">
        <f t="shared" si="0"/>
        <v>22500</v>
      </c>
      <c r="J51">
        <f>VLOOKUP(A51,[1]Inventory!C:L,10,FALSE)</f>
        <v>4500</v>
      </c>
      <c r="K51">
        <f>VLOOKUP(A51,[1]Inventory!C:M,11,FALSE)</f>
        <v>4500</v>
      </c>
      <c r="L51" t="str">
        <f>VLOOKUP(A51,[1]Inventory!C:N,12,FALSE)</f>
        <v>-</v>
      </c>
      <c r="M51" s="2">
        <f>VLOOKUP(A51,[1]Inventory!C:O,13,FALSE)</f>
        <v>22500</v>
      </c>
      <c r="N51" s="2" t="str">
        <f>VLOOKUP(A51,[1]Inventory!C:P,14,FALSE)</f>
        <v>၂ရက်နေ့ပို့ရန်</v>
      </c>
      <c r="O51" t="s">
        <v>17</v>
      </c>
    </row>
    <row r="52" spans="1:15">
      <c r="A52" t="s">
        <v>78</v>
      </c>
      <c r="B52" t="s">
        <v>22</v>
      </c>
      <c r="C52" t="str">
        <f>VLOOKUP(A52,[1]Inventory!C:E,3,FALSE)</f>
        <v>Hsu Yee nai</v>
      </c>
      <c r="D52" t="str">
        <f>VLOOKUP(B52,[1]Inventory!D:F,3,FALSE)</f>
        <v>09-775879156
 09-783922942</v>
      </c>
      <c r="E52" t="str">
        <f>VLOOKUP(A52,[1]Inventory!C:G,5,FALSE)</f>
        <v>လယ်ဝေး</v>
      </c>
      <c r="F52" t="str">
        <f>VLOOKUP(A52,[1]Inventory!C:H,6,FALSE)</f>
        <v>အမှတ် (၄)၊ ရုံးလမ်း၊ (ဘဏ်ဘေး)၊ လယ်ဝေးမြို့နယ်၊ နေပြည်တော်</v>
      </c>
      <c r="G52">
        <v>0</v>
      </c>
      <c r="H52">
        <v>6000</v>
      </c>
      <c r="I52">
        <f t="shared" si="0"/>
        <v>6000</v>
      </c>
      <c r="J52">
        <f>VLOOKUP(A52,[1]Inventory!C:L,10,FALSE)</f>
        <v>6000</v>
      </c>
      <c r="K52">
        <f>VLOOKUP(A52,[1]Inventory!C:M,11,FALSE)</f>
        <v>6000</v>
      </c>
      <c r="L52">
        <f>VLOOKUP(A52,[1]Inventory!C:N,12,FALSE)</f>
        <v>0</v>
      </c>
      <c r="M52" s="2" t="str">
        <f>VLOOKUP(A52,[1]Inventory!C:O,13,FALSE)</f>
        <v>-</v>
      </c>
      <c r="N52" s="2">
        <f>VLOOKUP(A52,[1]Inventory!C:P,14,FALSE)</f>
        <v>6000</v>
      </c>
      <c r="O52" t="s">
        <v>17</v>
      </c>
    </row>
    <row r="53" spans="1:15">
      <c r="A53" t="s">
        <v>79</v>
      </c>
      <c r="B53" t="s">
        <v>80</v>
      </c>
      <c r="C53" t="str">
        <f>VLOOKUP(A53,[1]Inventory!C:E,3,FALSE)</f>
        <v>မဆုမြတ်ပိုး</v>
      </c>
      <c r="D53" t="str">
        <f>VLOOKUP(B53,[1]Inventory!D:F,3,FALSE)</f>
        <v>09-440680460</v>
      </c>
      <c r="E53" t="str">
        <f>VLOOKUP(A53,[1]Inventory!C:G,5,FALSE)</f>
        <v>လှိုင်သာယာ</v>
      </c>
      <c r="F53" t="str">
        <f>VLOOKUP(A53,[1]Inventory!C:H,6,FALSE)</f>
        <v>ကျန်စစ်မင်းအိမ်ရာ၊ တိုက် (၄)၊ (City Mart အနီး)၊ လှိုင်သာယာမြို့နယ်</v>
      </c>
      <c r="G53">
        <v>0</v>
      </c>
      <c r="H53">
        <v>4500</v>
      </c>
      <c r="I53">
        <f t="shared" si="0"/>
        <v>4500</v>
      </c>
      <c r="J53">
        <f>VLOOKUP(A53,[1]Inventory!C:L,10,FALSE)</f>
        <v>4500</v>
      </c>
      <c r="K53">
        <f>VLOOKUP(A53,[1]Inventory!C:M,11,FALSE)</f>
        <v>4500</v>
      </c>
      <c r="L53">
        <f>VLOOKUP(A53,[1]Inventory!C:N,12,FALSE)</f>
        <v>0</v>
      </c>
      <c r="M53" s="2" t="str">
        <f>VLOOKUP(A53,[1]Inventory!C:O,13,FALSE)</f>
        <v>-</v>
      </c>
      <c r="N53" s="2">
        <f>VLOOKUP(A53,[1]Inventory!C:P,14,FALSE)</f>
        <v>4500</v>
      </c>
      <c r="O53" t="s">
        <v>17</v>
      </c>
    </row>
    <row r="54" spans="1:15">
      <c r="A54" t="s">
        <v>81</v>
      </c>
      <c r="B54" t="s">
        <v>71</v>
      </c>
      <c r="C54" t="str">
        <f>VLOOKUP(A54,[1]Inventory!C:E,3,FALSE)</f>
        <v>Ma Hnin Nway Hlaing</v>
      </c>
      <c r="D54" t="str">
        <f>VLOOKUP(B54,[1]Inventory!D:F,3,FALSE)</f>
        <v>09-266688826</v>
      </c>
      <c r="E54" t="str">
        <f>VLOOKUP(A54,[1]Inventory!C:G,5,FALSE)</f>
        <v>သင်္ဃန်းကျွန်း</v>
      </c>
      <c r="F54" t="str">
        <f>VLOOKUP(A54,[1]Inventory!C:H,6,FALSE)</f>
        <v>ငမိုးရိပ် (၂) လမ်း၊ (အပိုင်း ၄)၊ သင်္ဃန်းကျွန်းမြို့နယ်</v>
      </c>
      <c r="G54">
        <v>0</v>
      </c>
      <c r="H54">
        <v>4000</v>
      </c>
      <c r="I54">
        <f t="shared" si="0"/>
        <v>4000</v>
      </c>
      <c r="J54">
        <f>VLOOKUP(A54,[1]Inventory!C:L,10,FALSE)</f>
        <v>4000</v>
      </c>
      <c r="K54">
        <f>VLOOKUP(A54,[1]Inventory!C:M,11,FALSE)</f>
        <v>4000</v>
      </c>
      <c r="L54">
        <f>VLOOKUP(A54,[1]Inventory!C:N,12,FALSE)</f>
        <v>4</v>
      </c>
      <c r="M54" s="2">
        <f>VLOOKUP(A54,[1]Inventory!C:O,13,FALSE)</f>
        <v>500</v>
      </c>
      <c r="N54" s="2">
        <f>VLOOKUP(A54,[1]Inventory!C:P,14,FALSE)</f>
        <v>4500</v>
      </c>
      <c r="O54" t="s">
        <v>17</v>
      </c>
    </row>
    <row r="55" spans="1:15">
      <c r="A55" t="s">
        <v>82</v>
      </c>
      <c r="B55" t="s">
        <v>31</v>
      </c>
      <c r="C55" t="str">
        <f>VLOOKUP(A55,[1]Inventory!C:E,3,FALSE)</f>
        <v>ခိုင်မေမေ</v>
      </c>
      <c r="D55" t="str">
        <f>VLOOKUP(B55,[1]Inventory!D:F,3,FALSE)</f>
        <v>09-422219996</v>
      </c>
      <c r="E55" t="str">
        <f>VLOOKUP(A55,[1]Inventory!C:G,5,FALSE)</f>
        <v>သင်္ဃန်းကျွန်း</v>
      </c>
      <c r="F55" t="str">
        <f>VLOOKUP(A55,[1]Inventory!C:H,6,FALSE)</f>
        <v>ငမိုးရိပ် (၅) လမ်း (အပိုင်း ၁)၊ သင်္ဃန်းကျွန်းမြို့နယ်</v>
      </c>
      <c r="G55">
        <v>47000</v>
      </c>
      <c r="H55">
        <v>4000</v>
      </c>
      <c r="I55">
        <f t="shared" si="0"/>
        <v>51000</v>
      </c>
      <c r="J55">
        <f>VLOOKUP(A55,[1]Inventory!C:L,10,FALSE)</f>
        <v>4000</v>
      </c>
      <c r="K55">
        <f>VLOOKUP(A55,[1]Inventory!C:M,11,FALSE)</f>
        <v>4000</v>
      </c>
      <c r="L55">
        <f>VLOOKUP(A55,[1]Inventory!C:N,12,FALSE)</f>
        <v>0</v>
      </c>
      <c r="M55" s="2" t="str">
        <f>VLOOKUP(A55,[1]Inventory!C:O,13,FALSE)</f>
        <v>-</v>
      </c>
      <c r="N55" s="2">
        <f>VLOOKUP(A55,[1]Inventory!C:P,14,FALSE)</f>
        <v>51000</v>
      </c>
      <c r="O55" t="s">
        <v>17</v>
      </c>
    </row>
    <row r="56" spans="1:15">
      <c r="A56" t="s">
        <v>83</v>
      </c>
      <c r="B56" t="s">
        <v>24</v>
      </c>
      <c r="C56" t="str">
        <f>VLOOKUP(A56,[1]Inventory!C:E,3,FALSE)</f>
        <v>Sithu Phyo</v>
      </c>
      <c r="D56" t="str">
        <f>VLOOKUP(B56,[1]Inventory!D:F,3,FALSE)</f>
        <v>09-881477288</v>
      </c>
      <c r="E56" t="str">
        <f>VLOOKUP(A56,[1]Inventory!C:G,5,FALSE)</f>
        <v>သင်္ဃန်းကျွန်း</v>
      </c>
      <c r="F56" t="str">
        <f>VLOOKUP(A56,[1]Inventory!C:H,6,FALSE)</f>
        <v>တိုက် (၅)၊ အခန်း (၃၀)၊ ဣစ္ဆာသယလမ်း၊ ဆယ်သိန်းရပ်ကွက်၊ သင်္ဃန်းကျွန်းမြို့နယ်</v>
      </c>
      <c r="G56">
        <v>25000</v>
      </c>
      <c r="H56">
        <v>4000</v>
      </c>
      <c r="I56">
        <f t="shared" si="0"/>
        <v>29000</v>
      </c>
      <c r="J56">
        <f>VLOOKUP(A56,[1]Inventory!C:L,10,FALSE)</f>
        <v>4000</v>
      </c>
      <c r="K56">
        <f>VLOOKUP(A56,[1]Inventory!C:M,11,FALSE)</f>
        <v>4000</v>
      </c>
      <c r="L56">
        <f>VLOOKUP(A56,[1]Inventory!C:N,12,FALSE)</f>
        <v>0</v>
      </c>
      <c r="M56" s="2" t="str">
        <f>VLOOKUP(A56,[1]Inventory!C:O,13,FALSE)</f>
        <v>-</v>
      </c>
      <c r="N56" s="2">
        <f>VLOOKUP(A56,[1]Inventory!C:P,14,FALSE)</f>
        <v>29000</v>
      </c>
      <c r="O56" t="s">
        <v>17</v>
      </c>
    </row>
    <row r="57" spans="1:15">
      <c r="A57" t="s">
        <v>84</v>
      </c>
      <c r="B57" t="s">
        <v>85</v>
      </c>
      <c r="C57" t="str">
        <f>VLOOKUP(A57,[1]Inventory!C:E,3,FALSE)</f>
        <v>Pan Dora /မချောချော</v>
      </c>
      <c r="D57" t="str">
        <f>VLOOKUP(B57,[1]Inventory!D:F,3,FALSE)</f>
        <v>09-962222488</v>
      </c>
      <c r="E57" t="str">
        <f>VLOOKUP(A57,[1]Inventory!C:G,5,FALSE)</f>
        <v>အင်းစိန်</v>
      </c>
      <c r="F57" t="str">
        <f>VLOOKUP(A57,[1]Inventory!C:H,6,FALSE)</f>
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</c>
      <c r="G57">
        <v>152100</v>
      </c>
      <c r="H57">
        <v>0</v>
      </c>
      <c r="I57">
        <f t="shared" si="0"/>
        <v>152100</v>
      </c>
      <c r="J57">
        <f>VLOOKUP(A57,[1]Inventory!C:L,10,FALSE)</f>
        <v>4000</v>
      </c>
      <c r="K57" t="str">
        <f>VLOOKUP(A57,[1]Inventory!C:M,11,FALSE)</f>
        <v>-</v>
      </c>
      <c r="L57">
        <f>VLOOKUP(A57,[1]Inventory!C:N,12,FALSE)</f>
        <v>5</v>
      </c>
      <c r="M57" s="2">
        <f>VLOOKUP(A57,[1]Inventory!C:O,13,FALSE)</f>
        <v>1000</v>
      </c>
      <c r="N57" s="2">
        <f>VLOOKUP(A57,[1]Inventory!C:P,14,FALSE)</f>
        <v>153100</v>
      </c>
      <c r="O57" t="s">
        <v>17</v>
      </c>
    </row>
    <row r="58" spans="1:15">
      <c r="A58" t="s">
        <v>86</v>
      </c>
      <c r="B58" t="s">
        <v>42</v>
      </c>
      <c r="C58" t="str">
        <f>VLOOKUP(A58,[1]Inventory!C:E,3,FALSE)</f>
        <v>Eaint Furniture</v>
      </c>
      <c r="D58" t="str">
        <f>VLOOKUP(B58,[1]Inventory!D:F,3,FALSE)</f>
        <v>09-650612392</v>
      </c>
      <c r="E58" t="str">
        <f>VLOOKUP(A58,[1]Inventory!C:G,5,FALSE)</f>
        <v>အရှေ့ဒဂုံ</v>
      </c>
      <c r="F58" t="str">
        <f>VLOOKUP(A58,[1]Inventory!C:H,6,FALSE)</f>
        <v>အမှတ် (၁၀၄၁)၊ ထိပ်တင်မှတ်လမ်းမ၊ (၁) ရပ်ကွက်၊ (မြောက်ဒဂုံ (၄၆) လမ်းဆုံအနီး)၊ အရှေ့ဒဂုံမြို့နယ်</v>
      </c>
      <c r="G58">
        <v>156000</v>
      </c>
      <c r="H58">
        <v>4000</v>
      </c>
      <c r="I58">
        <f t="shared" si="0"/>
        <v>160000</v>
      </c>
      <c r="J58">
        <f>VLOOKUP(A58,[1]Inventory!C:L,10,FALSE)</f>
        <v>4000</v>
      </c>
      <c r="K58">
        <f>VLOOKUP(A58,[1]Inventory!C:M,11,FALSE)</f>
        <v>4000</v>
      </c>
      <c r="L58">
        <f>VLOOKUP(A58,[1]Inventory!C:N,12,FALSE)</f>
        <v>0</v>
      </c>
      <c r="M58" s="2" t="str">
        <f>VLOOKUP(A58,[1]Inventory!C:O,13,FALSE)</f>
        <v>-</v>
      </c>
      <c r="N58" s="2">
        <f>VLOOKUP(A58,[1]Inventory!C:P,14,FALSE)</f>
        <v>160000</v>
      </c>
      <c r="O58" t="s">
        <v>17</v>
      </c>
    </row>
    <row r="59" spans="1:15">
      <c r="A59" t="s">
        <v>87</v>
      </c>
      <c r="B59" t="s">
        <v>22</v>
      </c>
      <c r="C59" t="str">
        <f>VLOOKUP(A59,[1]Inventory!C:E,3,FALSE)</f>
        <v>Thoon Thiri Kyal Sin</v>
      </c>
      <c r="D59" t="str">
        <f>VLOOKUP(B59,[1]Inventory!D:F,3,FALSE)</f>
        <v>09-775879156
 09-783922942</v>
      </c>
      <c r="E59" t="str">
        <f>VLOOKUP(A59,[1]Inventory!C:G,5,FALSE)</f>
        <v>အရှေ့ဒဂုံ</v>
      </c>
      <c r="F59" t="str">
        <f>VLOOKUP(A59,[1]Inventory!C:H,6,FALSE)</f>
        <v>အမှတ် (984B)၊ အောင်ရတနာလမ်း၊ (၇) ရပ်ကွက်၊ အရှေ့ဒဂုံမြို့နယ်</v>
      </c>
      <c r="G59">
        <v>22000</v>
      </c>
      <c r="H59">
        <v>4000</v>
      </c>
      <c r="I59">
        <f t="shared" si="0"/>
        <v>26000</v>
      </c>
      <c r="J59">
        <f>VLOOKUP(A59,[1]Inventory!C:L,10,FALSE)</f>
        <v>4000</v>
      </c>
      <c r="K59">
        <f>VLOOKUP(A59,[1]Inventory!C:M,11,FALSE)</f>
        <v>4000</v>
      </c>
      <c r="L59">
        <f>VLOOKUP(A59,[1]Inventory!C:N,12,FALSE)</f>
        <v>0</v>
      </c>
      <c r="M59" s="2" t="str">
        <f>VLOOKUP(A59,[1]Inventory!C:O,13,FALSE)</f>
        <v>-</v>
      </c>
      <c r="N59" s="2">
        <f>VLOOKUP(A59,[1]Inventory!C:P,14,FALSE)</f>
        <v>26000</v>
      </c>
      <c r="O59" t="s">
        <v>17</v>
      </c>
    </row>
    <row r="60" spans="1:15">
      <c r="A60" t="s">
        <v>88</v>
      </c>
      <c r="B60" t="s">
        <v>22</v>
      </c>
      <c r="C60" t="str">
        <f>VLOOKUP(A60,[1]Inventory!C:E,3,FALSE)</f>
        <v>Nyx</v>
      </c>
      <c r="D60" t="str">
        <f>VLOOKUP(B60,[1]Inventory!D:F,3,FALSE)</f>
        <v>09-775879156
 09-783922942</v>
      </c>
      <c r="E60" t="str">
        <f>VLOOKUP(A60,[1]Inventory!C:G,5,FALSE)</f>
        <v>အရှေ့ဒဂုံ</v>
      </c>
      <c r="F60" t="str">
        <f>VLOOKUP(A60,[1]Inventory!C:H,6,FALSE)</f>
        <v>ရွှေနဝင်းအိမ်ခြံမြေ၊ နဝဒေးလမ်း၊ (၁၂၅) ရပ်ကွက်၊ အရှေ့ဒဂုံမြို့နယ်</v>
      </c>
      <c r="G60">
        <v>96500</v>
      </c>
      <c r="H60">
        <v>4000</v>
      </c>
      <c r="I60">
        <f t="shared" si="0"/>
        <v>100500</v>
      </c>
      <c r="J60">
        <f>VLOOKUP(A60,[1]Inventory!C:L,10,FALSE)</f>
        <v>4000</v>
      </c>
      <c r="K60">
        <f>VLOOKUP(A60,[1]Inventory!C:M,11,FALSE)</f>
        <v>4000</v>
      </c>
      <c r="L60">
        <f>VLOOKUP(A60,[1]Inventory!C:N,12,FALSE)</f>
        <v>0</v>
      </c>
      <c r="M60" s="2" t="str">
        <f>VLOOKUP(A60,[1]Inventory!C:O,13,FALSE)</f>
        <v>-</v>
      </c>
      <c r="N60" s="2">
        <f>VLOOKUP(A60,[1]Inventory!C:P,14,FALSE)</f>
        <v>100500</v>
      </c>
      <c r="O60" t="s">
        <v>17</v>
      </c>
    </row>
    <row r="61" spans="1:15">
      <c r="A61" t="s">
        <v>89</v>
      </c>
      <c r="B61" t="s">
        <v>31</v>
      </c>
      <c r="C61" t="str">
        <f>VLOOKUP(A61,[1]Inventory!C:E,3,FALSE)</f>
        <v>Moh Moh</v>
      </c>
      <c r="D61" t="str">
        <f>VLOOKUP(B61,[1]Inventory!D:F,3,FALSE)</f>
        <v>09-422219996</v>
      </c>
      <c r="E61" t="str">
        <f>VLOOKUP(A61,[1]Inventory!C:G,5,FALSE)</f>
        <v>အရှေ့ဒဂုံ</v>
      </c>
      <c r="F61" t="str">
        <f>VLOOKUP(A61,[1]Inventory!C:H,6,FALSE)</f>
        <v>Theint Skincare၊ မင်းရဲကျော်စွာလမ်းမကြီး၊ (၁၂၅) ရပ်ကွက်၊ ((၃၆) ဂိတ်ဟောင်းမှတ်တိုင်)၊ အရှေ့ဒဂုံမြို့နယ်</v>
      </c>
      <c r="G61">
        <v>10500</v>
      </c>
      <c r="H61">
        <v>4000</v>
      </c>
      <c r="I61">
        <f t="shared" si="0"/>
        <v>14500</v>
      </c>
      <c r="J61">
        <f>VLOOKUP(A61,[1]Inventory!C:L,10,FALSE)</f>
        <v>4000</v>
      </c>
      <c r="K61">
        <f>VLOOKUP(A61,[1]Inventory!C:M,11,FALSE)</f>
        <v>4000</v>
      </c>
      <c r="L61">
        <f>VLOOKUP(A61,[1]Inventory!C:N,12,FALSE)</f>
        <v>6</v>
      </c>
      <c r="M61" s="2">
        <f>VLOOKUP(A61,[1]Inventory!C:O,13,FALSE)</f>
        <v>1500</v>
      </c>
      <c r="N61" s="2">
        <f>VLOOKUP(A61,[1]Inventory!C:P,14,FALSE)</f>
        <v>16000</v>
      </c>
      <c r="O61" t="s">
        <v>17</v>
      </c>
    </row>
    <row r="62" spans="1:15">
      <c r="A62" t="s">
        <v>90</v>
      </c>
      <c r="B62" t="s">
        <v>91</v>
      </c>
      <c r="C62" t="str">
        <f>VLOOKUP(A62,[1]Inventory!C:E,3,FALSE)</f>
        <v>Tsukki Fashion</v>
      </c>
      <c r="D62" t="str">
        <f>VLOOKUP(B62,[1]Inventory!D:F,3,FALSE)</f>
        <v>09-774100740</v>
      </c>
      <c r="E62" t="str">
        <f>VLOOKUP(A62,[1]Inventory!C:G,5,FALSE)</f>
        <v>အရှေ့ဒဂုံ</v>
      </c>
      <c r="F62" t="str">
        <f>VLOOKUP(A62,[1]Inventory!C:H,6,FALSE)</f>
        <v>အမှတ် (၉၀၂)၊ ခွာညိုလမ်း၊ (၈) ရပ်ကွက်၊ အရှေ့ဒဂုံမြို့နယ်</v>
      </c>
      <c r="G62">
        <v>0</v>
      </c>
      <c r="H62">
        <v>4000</v>
      </c>
      <c r="I62">
        <f t="shared" si="0"/>
        <v>4000</v>
      </c>
      <c r="J62">
        <f>VLOOKUP(A62,[1]Inventory!C:L,10,FALSE)</f>
        <v>4000</v>
      </c>
      <c r="K62">
        <f>VLOOKUP(A62,[1]Inventory!C:M,11,FALSE)</f>
        <v>4000</v>
      </c>
      <c r="L62">
        <f>VLOOKUP(A62,[1]Inventory!C:N,12,FALSE)</f>
        <v>0</v>
      </c>
      <c r="M62" s="2" t="str">
        <f>VLOOKUP(A62,[1]Inventory!C:O,13,FALSE)</f>
        <v>-</v>
      </c>
      <c r="N62" s="2">
        <f>VLOOKUP(A62,[1]Inventory!C:P,14,FALSE)</f>
        <v>4000</v>
      </c>
      <c r="O62" t="s">
        <v>17</v>
      </c>
    </row>
    <row r="63" spans="1:15">
      <c r="A63" t="s">
        <v>92</v>
      </c>
      <c r="B63" t="s">
        <v>22</v>
      </c>
      <c r="C63" t="str">
        <f>VLOOKUP(A63,[1]Inventory!C:E,3,FALSE)</f>
        <v>Ei Hnin Phyu</v>
      </c>
      <c r="D63" t="str">
        <f>VLOOKUP(B63,[1]Inventory!D:F,3,FALSE)</f>
        <v>09-775879156
 09-783922942</v>
      </c>
      <c r="E63" t="str">
        <f>VLOOKUP(A63,[1]Inventory!C:G,5,FALSE)</f>
        <v>အရှေ့ဒဂုံ</v>
      </c>
      <c r="F63" t="str">
        <f>VLOOKUP(A63,[1]Inventory!C:H,6,FALSE)</f>
        <v>ဒဂုံတက္ကသိုလ်၊ အရှေ့ဒဂုံမြို့နယ်</v>
      </c>
      <c r="G63">
        <v>0</v>
      </c>
      <c r="H63">
        <v>4000</v>
      </c>
      <c r="I63">
        <f t="shared" si="0"/>
        <v>4000</v>
      </c>
      <c r="J63">
        <f>VLOOKUP(A63,[1]Inventory!C:L,10,FALSE)</f>
        <v>4000</v>
      </c>
      <c r="K63">
        <f>VLOOKUP(A63,[1]Inventory!C:M,11,FALSE)</f>
        <v>4000</v>
      </c>
      <c r="L63">
        <f>VLOOKUP(A63,[1]Inventory!C:N,12,FALSE)</f>
        <v>0</v>
      </c>
      <c r="M63" s="2" t="str">
        <f>VLOOKUP(A63,[1]Inventory!C:O,13,FALSE)</f>
        <v>-</v>
      </c>
      <c r="N63" s="2">
        <f>VLOOKUP(A63,[1]Inventory!C:P,14,FALSE)</f>
        <v>4000</v>
      </c>
      <c r="O63" t="s">
        <v>17</v>
      </c>
    </row>
    <row r="64" spans="1:15">
      <c r="A64" t="s">
        <v>93</v>
      </c>
      <c r="B64" t="s">
        <v>42</v>
      </c>
      <c r="C64" t="str">
        <f>VLOOKUP(A64,[1]Inventory!C:E,3,FALSE)</f>
        <v>မထက်</v>
      </c>
      <c r="D64" t="str">
        <f>VLOOKUP(B64,[1]Inventory!D:F,3,FALSE)</f>
        <v>09-650612392</v>
      </c>
      <c r="E64">
        <f>VLOOKUP(A64,[1]Inventory!C:G,5,FALSE)</f>
        <v>0</v>
      </c>
      <c r="F64" t="str">
        <f>VLOOKUP(A64,[1]Inventory!C:H,6,FALSE)</f>
        <v>အမှတ် (၁၀၁)၊ ပထမထပ်၊ ဦးစံညွန့်လမ်း</v>
      </c>
      <c r="G64">
        <v>0</v>
      </c>
      <c r="H64">
        <v>0</v>
      </c>
      <c r="I64">
        <f t="shared" si="0"/>
        <v>0</v>
      </c>
      <c r="J64">
        <f>VLOOKUP(A64,[1]Inventory!C:L,10,FALSE)</f>
        <v>0</v>
      </c>
      <c r="K64" t="str">
        <f>VLOOKUP(A64,[1]Inventory!C:M,11,FALSE)</f>
        <v>-</v>
      </c>
      <c r="L64">
        <f>VLOOKUP(A64,[1]Inventory!C:N,12,FALSE)</f>
        <v>0</v>
      </c>
      <c r="M64" s="2" t="str">
        <f>VLOOKUP(A64,[1]Inventory!C:O,13,FALSE)</f>
        <v>-</v>
      </c>
      <c r="N64" s="2" t="str">
        <f>VLOOKUP(A64,[1]Inventory!C:P,14,FALSE)</f>
        <v>-</v>
      </c>
      <c r="O64" t="s">
        <v>17</v>
      </c>
    </row>
    <row r="65" spans="1:15">
      <c r="A65" t="s">
        <v>94</v>
      </c>
      <c r="B65" t="s">
        <v>22</v>
      </c>
      <c r="C65" t="str">
        <f>VLOOKUP(A65,[1]Inventory!C:E,3,FALSE)</f>
        <v>Thune Thiri Htut</v>
      </c>
      <c r="D65" t="str">
        <f>VLOOKUP(B65,[1]Inventory!D:F,3,FALSE)</f>
        <v>09-775879156
 09-783922942</v>
      </c>
      <c r="E65">
        <f>VLOOKUP(A65,[1]Inventory!C:G,5,FALSE)</f>
        <v>0</v>
      </c>
      <c r="F65">
        <f>VLOOKUP(A65,[1]Inventory!C:H,6,FALSE)</f>
        <v>0</v>
      </c>
      <c r="G65">
        <v>20500</v>
      </c>
      <c r="H65">
        <v>6000</v>
      </c>
      <c r="I65">
        <f t="shared" si="0"/>
        <v>26500</v>
      </c>
      <c r="J65">
        <f>VLOOKUP(A65,[1]Inventory!C:L,10,FALSE)</f>
        <v>0</v>
      </c>
      <c r="K65">
        <f>VLOOKUP(A65,[1]Inventory!C:M,11,FALSE)</f>
        <v>6000</v>
      </c>
      <c r="L65">
        <f>VLOOKUP(A65,[1]Inventory!C:N,12,FALSE)</f>
        <v>0</v>
      </c>
      <c r="M65" s="2" t="str">
        <f>VLOOKUP(A65,[1]Inventory!C:O,13,FALSE)</f>
        <v>-</v>
      </c>
      <c r="N65" s="2">
        <f>VLOOKUP(A65,[1]Inventory!C:P,14,FALSE)</f>
        <v>26500</v>
      </c>
      <c r="O65" t="s">
        <v>17</v>
      </c>
    </row>
    <row r="66" spans="1:15">
      <c r="A66" t="s">
        <v>95</v>
      </c>
      <c r="B66" t="s">
        <v>96</v>
      </c>
      <c r="C66" t="str">
        <f>VLOOKUP(A66,[1]Inventory!C:E,3,FALSE)</f>
        <v>မခိုင်ခိုင်</v>
      </c>
      <c r="D66" t="str">
        <f>VLOOKUP(B66,[1]Inventory!D:F,3,FALSE)</f>
        <v>09-762224688</v>
      </c>
      <c r="E66" t="str">
        <f>VLOOKUP(A66,[1]Inventory!C:G,5,FALSE)</f>
        <v>Royal</v>
      </c>
      <c r="F66" t="str">
        <f>VLOOKUP(A66,[1]Inventory!C:H,6,FALSE)</f>
        <v>ဦးမှန်လမ်း၊ (၁၃) ရပ်ကွက်၊ တောင်ငူ</v>
      </c>
      <c r="G66">
        <v>577200</v>
      </c>
      <c r="H66">
        <v>5000</v>
      </c>
      <c r="I66">
        <f t="shared" si="0"/>
        <v>582200</v>
      </c>
      <c r="J66" t="str">
        <f>VLOOKUP(A66,[1]Inventory!C:L,10,FALSE)</f>
        <v>-</v>
      </c>
      <c r="K66">
        <f>VLOOKUP(A66,[1]Inventory!C:M,11,FALSE)</f>
        <v>5000</v>
      </c>
      <c r="L66">
        <f>VLOOKUP(A66,[1]Inventory!C:N,12,FALSE)</f>
        <v>11</v>
      </c>
      <c r="M66" s="2">
        <f>VLOOKUP(A66,[1]Inventory!C:O,13,FALSE)</f>
        <v>4000</v>
      </c>
      <c r="N66" s="2">
        <f>VLOOKUP(A66,[1]Inventory!C:P,14,FALSE)</f>
        <v>586200</v>
      </c>
      <c r="O66" t="s">
        <v>17</v>
      </c>
    </row>
    <row r="67" spans="1:15">
      <c r="A67" t="s">
        <v>97</v>
      </c>
      <c r="B67" t="s">
        <v>22</v>
      </c>
      <c r="C67" t="str">
        <f>VLOOKUP(A67,[1]Inventory!C:E,3,FALSE)</f>
        <v>Steohanie</v>
      </c>
      <c r="D67" t="str">
        <f>VLOOKUP(B67,[1]Inventory!D:F,3,FALSE)</f>
        <v>09-775879156
 09-783922942</v>
      </c>
      <c r="E67" t="str">
        <f>VLOOKUP(A67,[1]Inventory!C:G,5,FALSE)</f>
        <v>Royal</v>
      </c>
      <c r="F67" t="str">
        <f>VLOOKUP(A67,[1]Inventory!C:H,6,FALSE)</f>
        <v>(တောင်ပေါ်)၊ မိုင်းရှူး</v>
      </c>
      <c r="G67">
        <v>38500</v>
      </c>
      <c r="H67">
        <v>5000</v>
      </c>
      <c r="I67">
        <f t="shared" si="0"/>
        <v>43500</v>
      </c>
      <c r="J67">
        <f>VLOOKUP(A67,[1]Inventory!C:L,10,FALSE)</f>
        <v>0</v>
      </c>
      <c r="K67">
        <f>VLOOKUP(A67,[1]Inventory!C:M,11,FALSE)</f>
        <v>5000</v>
      </c>
      <c r="L67">
        <f>VLOOKUP(A67,[1]Inventory!C:N,12,FALSE)</f>
        <v>0</v>
      </c>
      <c r="M67" s="2" t="str">
        <f>VLOOKUP(A67,[1]Inventory!C:O,13,FALSE)</f>
        <v>-</v>
      </c>
      <c r="N67" s="2">
        <f>VLOOKUP(A67,[1]Inventory!C:P,14,FALSE)</f>
        <v>43500</v>
      </c>
      <c r="O67" t="s">
        <v>17</v>
      </c>
    </row>
    <row r="68" spans="1:15">
      <c r="A68" t="s">
        <v>98</v>
      </c>
      <c r="B68" t="s">
        <v>99</v>
      </c>
      <c r="C68" t="str">
        <f>VLOOKUP(A68,[1]Inventory!C:E,3,FALSE)</f>
        <v>Cherry Ei Mon San</v>
      </c>
      <c r="D68" t="str">
        <f>VLOOKUP(B68,[1]Inventory!D:F,3,FALSE)</f>
        <v>09-974449949</v>
      </c>
      <c r="E68" t="str">
        <f>VLOOKUP(A68,[1]Inventory!C:G,5,FALSE)</f>
        <v>ဗိုလ်တထောင်</v>
      </c>
      <c r="F68" t="str">
        <f>VLOOKUP(A68,[1]Inventory!C:H,6,FALSE)</f>
        <v>အမှတ် (၂၅၉)၊ ဗိုလ်မြတ်ထွန်းလမ်း၊ အပေါ်ဘလောက်၊ ဗိုလ်တထောင်မြို့နယ်</v>
      </c>
      <c r="G68">
        <v>109200</v>
      </c>
      <c r="H68">
        <v>4000</v>
      </c>
      <c r="I68">
        <f t="shared" ref="I68:I131" si="1">SUM(G68+H68)</f>
        <v>113200</v>
      </c>
      <c r="J68">
        <f>VLOOKUP(A68,[1]Inventory!C:L,10,FALSE)</f>
        <v>4000</v>
      </c>
      <c r="K68">
        <f>VLOOKUP(A68,[1]Inventory!C:M,11,FALSE)</f>
        <v>4000</v>
      </c>
      <c r="L68">
        <f>VLOOKUP(A68,[1]Inventory!C:N,12,FALSE)</f>
        <v>0</v>
      </c>
      <c r="M68" s="2" t="str">
        <f>VLOOKUP(A68,[1]Inventory!C:O,13,FALSE)</f>
        <v>-</v>
      </c>
      <c r="N68" s="2">
        <f>VLOOKUP(A68,[1]Inventory!C:P,14,FALSE)</f>
        <v>113200</v>
      </c>
      <c r="O68" t="s">
        <v>17</v>
      </c>
    </row>
    <row r="69" spans="1:15">
      <c r="A69" t="s">
        <v>100</v>
      </c>
      <c r="B69" t="s">
        <v>24</v>
      </c>
      <c r="C69" t="str">
        <f>VLOOKUP(A69,[1]Inventory!C:E,3,FALSE)</f>
        <v>Daw Than Than Htwe</v>
      </c>
      <c r="D69" t="str">
        <f>VLOOKUP(B69,[1]Inventory!D:F,3,FALSE)</f>
        <v>09-881477288</v>
      </c>
      <c r="E69" t="str">
        <f>VLOOKUP(A69,[1]Inventory!C:G,5,FALSE)</f>
        <v>လှိုင်သာယာ</v>
      </c>
      <c r="F69" t="str">
        <f>VLOOKUP(A69,[1]Inventory!C:H,6,FALSE)</f>
        <v>ဆရာစံ (၁) လမ်း၊ (ရိုးကြီးမှတ်တိုင်)၊ လှိုင်သာယာမြို့နယ်</v>
      </c>
      <c r="G69">
        <v>14500</v>
      </c>
      <c r="H69">
        <v>4500</v>
      </c>
      <c r="I69">
        <f t="shared" si="1"/>
        <v>19000</v>
      </c>
      <c r="J69">
        <f>VLOOKUP(A69,[1]Inventory!C:L,10,FALSE)</f>
        <v>4500</v>
      </c>
      <c r="K69">
        <f>VLOOKUP(A69,[1]Inventory!C:M,11,FALSE)</f>
        <v>4500</v>
      </c>
      <c r="L69">
        <f>VLOOKUP(A69,[1]Inventory!C:N,12,FALSE)</f>
        <v>0</v>
      </c>
      <c r="M69" s="2" t="str">
        <f>VLOOKUP(A69,[1]Inventory!C:O,13,FALSE)</f>
        <v>-</v>
      </c>
      <c r="N69" s="2">
        <f>VLOOKUP(A69,[1]Inventory!C:P,14,FALSE)</f>
        <v>19000</v>
      </c>
      <c r="O69" t="s">
        <v>17</v>
      </c>
    </row>
    <row r="70" spans="1:15">
      <c r="A70" t="s">
        <v>101</v>
      </c>
      <c r="B70" t="s">
        <v>102</v>
      </c>
      <c r="C70" t="str">
        <f>VLOOKUP(A70,[1]Inventory!C:E,3,FALSE)</f>
        <v>မမ</v>
      </c>
      <c r="D70" t="str">
        <f>VLOOKUP(B70,[1]Inventory!D:F,3,FALSE)</f>
        <v>09-791162695</v>
      </c>
      <c r="E70" t="str">
        <f>VLOOKUP(A70,[1]Inventory!C:G,5,FALSE)</f>
        <v>တောင်ဥက္ကလာပ</v>
      </c>
      <c r="F70" t="str">
        <f>VLOOKUP(A70,[1]Inventory!C:H,6,FALSE)</f>
        <v>အမှတ် (၃၀)၊ (၃) လမ်း၊ (၃) ရပ်ကွက်၊ တောင်ဥက္ကလာပမြို့နယ်</v>
      </c>
      <c r="G70">
        <v>40000</v>
      </c>
      <c r="H70">
        <v>4000</v>
      </c>
      <c r="I70">
        <f t="shared" si="1"/>
        <v>44000</v>
      </c>
      <c r="J70">
        <f>VLOOKUP(A70,[1]Inventory!C:L,10,FALSE)</f>
        <v>4000</v>
      </c>
      <c r="K70">
        <f>VLOOKUP(A70,[1]Inventory!C:M,11,FALSE)</f>
        <v>4000</v>
      </c>
      <c r="L70">
        <f>VLOOKUP(A70,[1]Inventory!C:N,12,FALSE)</f>
        <v>0</v>
      </c>
      <c r="M70" s="2" t="str">
        <f>VLOOKUP(A70,[1]Inventory!C:O,13,FALSE)</f>
        <v>-</v>
      </c>
      <c r="N70" s="2">
        <f>VLOOKUP(A70,[1]Inventory!C:P,14,FALSE)</f>
        <v>44000</v>
      </c>
      <c r="O70" t="s">
        <v>17</v>
      </c>
    </row>
    <row r="71" spans="1:15">
      <c r="A71" t="s">
        <v>103</v>
      </c>
      <c r="B71" t="s">
        <v>42</v>
      </c>
      <c r="C71" t="str">
        <f>VLOOKUP(A71,[1]Inventory!C:E,3,FALSE)</f>
        <v>Moesintsint Phyo</v>
      </c>
      <c r="D71" t="str">
        <f>VLOOKUP(B71,[1]Inventory!D:F,3,FALSE)</f>
        <v>09-650612392</v>
      </c>
      <c r="E71" t="str">
        <f>VLOOKUP(A71,[1]Inventory!C:G,5,FALSE)</f>
        <v>လှိုင်သာယာ</v>
      </c>
      <c r="F71" t="str">
        <f>VLOOKUP(A71,[1]Inventory!C:H,6,FALSE)</f>
        <v>တောင်ငူလမ်း၊ (၁၉) ရပ်ကွက်၊ ((၁၂၇) လမ်းဆုံ)၊ (Atom ရုံးအနီး)၊ လှိုင်သာယာမြို့နယ်</v>
      </c>
      <c r="G71">
        <v>121500</v>
      </c>
      <c r="H71">
        <v>4500</v>
      </c>
      <c r="I71">
        <f t="shared" si="1"/>
        <v>126000</v>
      </c>
      <c r="J71">
        <f>VLOOKUP(A71,[1]Inventory!C:L,10,FALSE)</f>
        <v>4500</v>
      </c>
      <c r="K71">
        <f>VLOOKUP(A71,[1]Inventory!C:M,11,FALSE)</f>
        <v>4500</v>
      </c>
      <c r="L71">
        <f>VLOOKUP(A71,[1]Inventory!C:N,12,FALSE)</f>
        <v>0</v>
      </c>
      <c r="M71" s="2" t="str">
        <f>VLOOKUP(A71,[1]Inventory!C:O,13,FALSE)</f>
        <v>-</v>
      </c>
      <c r="N71" s="2">
        <f>VLOOKUP(A71,[1]Inventory!C:P,14,FALSE)</f>
        <v>126000</v>
      </c>
      <c r="O71" t="s">
        <v>17</v>
      </c>
    </row>
    <row r="72" spans="1:15">
      <c r="A72" t="s">
        <v>104</v>
      </c>
      <c r="B72" t="s">
        <v>42</v>
      </c>
      <c r="C72" t="str">
        <f>VLOOKUP(A72,[1]Inventory!C:E,3,FALSE)</f>
        <v>Zin Pwint</v>
      </c>
      <c r="D72" t="str">
        <f>VLOOKUP(B72,[1]Inventory!D:F,3,FALSE)</f>
        <v>09-650612392</v>
      </c>
      <c r="E72" t="str">
        <f>VLOOKUP(A72,[1]Inventory!C:G,5,FALSE)</f>
        <v>လှိုင်သာယာ</v>
      </c>
      <c r="F72" t="str">
        <f>VLOOKUP(A72,[1]Inventory!C:H,6,FALSE)</f>
        <v>အမှတ် (၅၉၄)၊ ဘားအံလမ်း၊ (စနေမမှတ်တိုင်)၊ လှိုင်သာယာမြို့နယ်</v>
      </c>
      <c r="G72">
        <v>42000</v>
      </c>
      <c r="H72">
        <v>4500</v>
      </c>
      <c r="I72">
        <f t="shared" si="1"/>
        <v>46500</v>
      </c>
      <c r="J72">
        <f>VLOOKUP(A72,[1]Inventory!C:L,10,FALSE)</f>
        <v>4500</v>
      </c>
      <c r="K72">
        <f>VLOOKUP(A72,[1]Inventory!C:M,11,FALSE)</f>
        <v>4500</v>
      </c>
      <c r="L72">
        <f>VLOOKUP(A72,[1]Inventory!C:N,12,FALSE)</f>
        <v>0</v>
      </c>
      <c r="M72" s="2" t="str">
        <f>VLOOKUP(A72,[1]Inventory!C:O,13,FALSE)</f>
        <v>-</v>
      </c>
      <c r="N72" s="2">
        <f>VLOOKUP(A72,[1]Inventory!C:P,14,FALSE)</f>
        <v>46500</v>
      </c>
      <c r="O72" t="s">
        <v>17</v>
      </c>
    </row>
    <row r="73" spans="1:15">
      <c r="A73" t="s">
        <v>105</v>
      </c>
      <c r="B73" t="s">
        <v>42</v>
      </c>
      <c r="C73" t="str">
        <f>VLOOKUP(A73,[1]Inventory!C:E,3,FALSE)</f>
        <v>မဖြူသီစိုင်</v>
      </c>
      <c r="D73" t="str">
        <f>VLOOKUP(B73,[1]Inventory!D:F,3,FALSE)</f>
        <v>09-650612392</v>
      </c>
      <c r="E73" t="str">
        <f>VLOOKUP(A73,[1]Inventory!C:G,5,FALSE)</f>
        <v>မြောက်ဥက္ကလာပ</v>
      </c>
      <c r="F73" t="str">
        <f>VLOOKUP(A73,[1]Inventory!C:H,6,FALSE)</f>
        <v>အမှတ် (၃၀၇)၊ အောင်ရာဇာလမ်း၊ ရွှေပေါက်ကံ၊ ((၁၂) ဈေး)၊ မြောက်ဥက္ကလာပမြို့နယ်</v>
      </c>
      <c r="G73">
        <v>22500</v>
      </c>
      <c r="H73">
        <v>4500</v>
      </c>
      <c r="I73">
        <f t="shared" si="1"/>
        <v>27000</v>
      </c>
      <c r="J73">
        <f>VLOOKUP(A73,[1]Inventory!C:L,10,FALSE)</f>
        <v>4500</v>
      </c>
      <c r="K73">
        <f>VLOOKUP(A73,[1]Inventory!C:M,11,FALSE)</f>
        <v>4500</v>
      </c>
      <c r="L73">
        <f>VLOOKUP(A73,[1]Inventory!C:N,12,FALSE)</f>
        <v>0</v>
      </c>
      <c r="M73" s="2" t="str">
        <f>VLOOKUP(A73,[1]Inventory!C:O,13,FALSE)</f>
        <v>-</v>
      </c>
      <c r="N73" s="2">
        <f>VLOOKUP(A73,[1]Inventory!C:P,14,FALSE)</f>
        <v>27000</v>
      </c>
      <c r="O73" t="s">
        <v>17</v>
      </c>
    </row>
    <row r="74" spans="1:15">
      <c r="A74" t="s">
        <v>106</v>
      </c>
      <c r="B74" t="s">
        <v>42</v>
      </c>
      <c r="C74" t="str">
        <f>VLOOKUP(A74,[1]Inventory!C:E,3,FALSE)</f>
        <v>Daw Tin Tin Htwe</v>
      </c>
      <c r="D74" t="str">
        <f>VLOOKUP(B74,[1]Inventory!D:F,3,FALSE)</f>
        <v>09-650612392</v>
      </c>
      <c r="E74" t="str">
        <f>VLOOKUP(A74,[1]Inventory!C:G,5,FALSE)</f>
        <v>လှိုင်သာယာ</v>
      </c>
      <c r="F74" t="str">
        <f>VLOOKUP(A74,[1]Inventory!C:H,6,FALSE)</f>
        <v>ပိတောက်မြိုင်ဈေး၊ (မီးခွက်ဈေးရုံ)၊ လှိုင်သာယာမြို့နယ်</v>
      </c>
      <c r="G74">
        <v>150000</v>
      </c>
      <c r="H74">
        <v>4500</v>
      </c>
      <c r="I74">
        <f t="shared" si="1"/>
        <v>154500</v>
      </c>
      <c r="J74">
        <f>VLOOKUP(A74,[1]Inventory!C:L,10,FALSE)</f>
        <v>4500</v>
      </c>
      <c r="K74">
        <f>VLOOKUP(A74,[1]Inventory!C:M,11,FALSE)</f>
        <v>4500</v>
      </c>
      <c r="L74">
        <f>VLOOKUP(A74,[1]Inventory!C:N,12,FALSE)</f>
        <v>0</v>
      </c>
      <c r="M74" s="2" t="str">
        <f>VLOOKUP(A74,[1]Inventory!C:O,13,FALSE)</f>
        <v>-</v>
      </c>
      <c r="N74" s="2">
        <f>VLOOKUP(A74,[1]Inventory!C:P,14,FALSE)</f>
        <v>154500</v>
      </c>
      <c r="O74" t="s">
        <v>17</v>
      </c>
    </row>
    <row r="75" spans="1:15">
      <c r="A75" t="s">
        <v>107</v>
      </c>
      <c r="B75" t="s">
        <v>80</v>
      </c>
      <c r="C75" t="str">
        <f>VLOOKUP(A75,[1]Inventory!C:E,3,FALSE)</f>
        <v>နန်းစုလှိုင်</v>
      </c>
      <c r="D75" t="str">
        <f>VLOOKUP(B75,[1]Inventory!D:F,3,FALSE)</f>
        <v>09-440680460</v>
      </c>
      <c r="E75" t="str">
        <f>VLOOKUP(A75,[1]Inventory!C:G,5,FALSE)</f>
        <v>ရွှေပြည်သာ</v>
      </c>
      <c r="F75" t="str">
        <f>VLOOKUP(A75,[1]Inventory!C:H,6,FALSE)</f>
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</c>
      <c r="G75">
        <v>34000</v>
      </c>
      <c r="H75">
        <v>4500</v>
      </c>
      <c r="I75">
        <f t="shared" si="1"/>
        <v>38500</v>
      </c>
      <c r="J75">
        <f>VLOOKUP(A75,[1]Inventory!C:L,10,FALSE)</f>
        <v>4500</v>
      </c>
      <c r="K75">
        <f>VLOOKUP(A75,[1]Inventory!C:M,11,FALSE)</f>
        <v>4500</v>
      </c>
      <c r="L75">
        <f>VLOOKUP(A75,[1]Inventory!C:N,12,FALSE)</f>
        <v>0</v>
      </c>
      <c r="M75" s="2" t="str">
        <f>VLOOKUP(A75,[1]Inventory!C:O,13,FALSE)</f>
        <v>-</v>
      </c>
      <c r="N75" s="2">
        <f>VLOOKUP(A75,[1]Inventory!C:P,14,FALSE)</f>
        <v>38500</v>
      </c>
      <c r="O75" t="s">
        <v>17</v>
      </c>
    </row>
    <row r="76" spans="1:15">
      <c r="A76" t="s">
        <v>108</v>
      </c>
      <c r="B76" t="s">
        <v>80</v>
      </c>
      <c r="C76" t="str">
        <f>VLOOKUP(A76,[1]Inventory!C:E,3,FALSE)</f>
        <v>မဝေမာအောင်</v>
      </c>
      <c r="D76" t="str">
        <f>VLOOKUP(B76,[1]Inventory!D:F,3,FALSE)</f>
        <v>09-440680460</v>
      </c>
      <c r="E76" t="str">
        <f>VLOOKUP(A76,[1]Inventory!C:G,5,FALSE)</f>
        <v>လှိုင်သာယာ</v>
      </c>
      <c r="F76" t="str">
        <f>VLOOKUP(A76,[1]Inventory!C:H,6,FALSE)</f>
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</c>
      <c r="G76">
        <v>0</v>
      </c>
      <c r="H76">
        <v>4500</v>
      </c>
      <c r="I76">
        <f t="shared" si="1"/>
        <v>4500</v>
      </c>
      <c r="J76">
        <f>VLOOKUP(A76,[1]Inventory!C:L,10,FALSE)</f>
        <v>4500</v>
      </c>
      <c r="K76">
        <f>VLOOKUP(A76,[1]Inventory!C:M,11,FALSE)</f>
        <v>4500</v>
      </c>
      <c r="L76">
        <f>VLOOKUP(A76,[1]Inventory!C:N,12,FALSE)</f>
        <v>0</v>
      </c>
      <c r="M76" s="2" t="str">
        <f>VLOOKUP(A76,[1]Inventory!C:O,13,FALSE)</f>
        <v>-</v>
      </c>
      <c r="N76" s="2">
        <f>VLOOKUP(A76,[1]Inventory!C:P,14,FALSE)</f>
        <v>4500</v>
      </c>
      <c r="O76" t="s">
        <v>17</v>
      </c>
    </row>
    <row r="77" spans="1:15">
      <c r="A77" t="s">
        <v>109</v>
      </c>
      <c r="B77" t="s">
        <v>80</v>
      </c>
      <c r="C77" t="str">
        <f>VLOOKUP(A77,[1]Inventory!C:E,3,FALSE)</f>
        <v>Aeri Aye Aye</v>
      </c>
      <c r="D77" t="str">
        <f>VLOOKUP(B77,[1]Inventory!D:F,3,FALSE)</f>
        <v>09-440680460</v>
      </c>
      <c r="E77" t="str">
        <f>VLOOKUP(A77,[1]Inventory!C:G,5,FALSE)</f>
        <v>လှိုင်သာယာ</v>
      </c>
      <c r="F77" t="str">
        <f>VLOOKUP(A77,[1]Inventory!C:H,6,FALSE)</f>
        <v>(၁၁) မီးငြိမ်းလမ်း၊ လှိုင်သာယာဇုန် (၅)၊ သောင်ကြီး၊ (ရဲစခန်း UMG Dagon Power ဘေး)၊ လှိုင်သာယာမြို့နယ်</v>
      </c>
      <c r="G77">
        <v>34000</v>
      </c>
      <c r="H77">
        <v>4500</v>
      </c>
      <c r="I77">
        <f t="shared" si="1"/>
        <v>38500</v>
      </c>
      <c r="J77">
        <f>VLOOKUP(A77,[1]Inventory!C:L,10,FALSE)</f>
        <v>4500</v>
      </c>
      <c r="K77">
        <f>VLOOKUP(A77,[1]Inventory!C:M,11,FALSE)</f>
        <v>4500</v>
      </c>
      <c r="L77">
        <f>VLOOKUP(A77,[1]Inventory!C:N,12,FALSE)</f>
        <v>0</v>
      </c>
      <c r="M77" s="2" t="str">
        <f>VLOOKUP(A77,[1]Inventory!C:O,13,FALSE)</f>
        <v>-</v>
      </c>
      <c r="N77" s="2">
        <f>VLOOKUP(A77,[1]Inventory!C:P,14,FALSE)</f>
        <v>38500</v>
      </c>
      <c r="O77" t="s">
        <v>17</v>
      </c>
    </row>
    <row r="78" spans="1:15">
      <c r="A78" t="s">
        <v>110</v>
      </c>
      <c r="B78" t="s">
        <v>111</v>
      </c>
      <c r="C78" t="str">
        <f>VLOOKUP(A78,[1]Inventory!C:E,3,FALSE)</f>
        <v>Ma Moe</v>
      </c>
      <c r="D78" t="str">
        <f>VLOOKUP(B78,[1]Inventory!D:F,3,FALSE)</f>
        <v>09-783475251</v>
      </c>
      <c r="E78" t="str">
        <f>VLOOKUP(A78,[1]Inventory!C:G,5,FALSE)</f>
        <v>မရမ်းကုန်း</v>
      </c>
      <c r="F78" t="str">
        <f>VLOOKUP(A78,[1]Inventory!C:H,6,FALSE)</f>
        <v>မုဒိတာအိမ်ရာ (၁)၊ မမိုးတိုက် (B)၊ အခန်း (၁၄၂)၊ ဗဟိုလမ်း၊ မရမ်းကုန်းမြို့နယ်</v>
      </c>
      <c r="G78">
        <v>0</v>
      </c>
      <c r="H78">
        <v>4000</v>
      </c>
      <c r="I78">
        <f t="shared" si="1"/>
        <v>4000</v>
      </c>
      <c r="J78">
        <f>VLOOKUP(A78,[1]Inventory!C:L,10,FALSE)</f>
        <v>4000</v>
      </c>
      <c r="K78">
        <f>VLOOKUP(A78,[1]Inventory!C:M,11,FALSE)</f>
        <v>4000</v>
      </c>
      <c r="L78">
        <f>VLOOKUP(A78,[1]Inventory!C:N,12,FALSE)</f>
        <v>0</v>
      </c>
      <c r="M78" s="2" t="str">
        <f>VLOOKUP(A78,[1]Inventory!C:O,13,FALSE)</f>
        <v>-</v>
      </c>
      <c r="N78" s="2">
        <f>VLOOKUP(A78,[1]Inventory!C:P,14,FALSE)</f>
        <v>4000</v>
      </c>
      <c r="O78" t="s">
        <v>17</v>
      </c>
    </row>
    <row r="79" spans="1:15">
      <c r="A79" t="s">
        <v>112</v>
      </c>
      <c r="B79" t="s">
        <v>111</v>
      </c>
      <c r="C79" t="str">
        <f>VLOOKUP(A79,[1]Inventory!C:E,3,FALSE)</f>
        <v>Layate</v>
      </c>
      <c r="D79" t="str">
        <f>VLOOKUP(B79,[1]Inventory!D:F,3,FALSE)</f>
        <v>09-783475251</v>
      </c>
      <c r="E79" t="str">
        <f>VLOOKUP(A79,[1]Inventory!C:G,5,FALSE)</f>
        <v>လှိုင်သာယာ</v>
      </c>
      <c r="F79" t="str">
        <f>VLOOKUP(A79,[1]Inventory!C:H,6,FALSE)</f>
        <v>(သစ်တံခါးကျောင်း နှင့် (၃) မှတ်တိုင်အနီး)၊ လှိုင်သာယာမြို့နယ်</v>
      </c>
      <c r="G79">
        <v>0</v>
      </c>
      <c r="H79">
        <v>4500</v>
      </c>
      <c r="I79">
        <f t="shared" si="1"/>
        <v>4500</v>
      </c>
      <c r="J79">
        <f>VLOOKUP(A79,[1]Inventory!C:L,10,FALSE)</f>
        <v>4500</v>
      </c>
      <c r="K79">
        <f>VLOOKUP(A79,[1]Inventory!C:M,11,FALSE)</f>
        <v>4500</v>
      </c>
      <c r="L79">
        <f>VLOOKUP(A79,[1]Inventory!C:N,12,FALSE)</f>
        <v>0</v>
      </c>
      <c r="M79" s="2" t="str">
        <f>VLOOKUP(A79,[1]Inventory!C:O,13,FALSE)</f>
        <v>-</v>
      </c>
      <c r="N79" s="2">
        <f>VLOOKUP(A79,[1]Inventory!C:P,14,FALSE)</f>
        <v>4500</v>
      </c>
      <c r="O79" t="s">
        <v>17</v>
      </c>
    </row>
    <row r="80" spans="1:15">
      <c r="A80" t="s">
        <v>113</v>
      </c>
      <c r="B80" t="s">
        <v>24</v>
      </c>
      <c r="C80" t="str">
        <f>VLOOKUP(A80,[1]Inventory!C:E,3,FALSE)</f>
        <v>Tin Phyo Wai</v>
      </c>
      <c r="D80" t="str">
        <f>VLOOKUP(B80,[1]Inventory!D:F,3,FALSE)</f>
        <v>09-881477288</v>
      </c>
      <c r="E80" t="str">
        <f>VLOOKUP(A80,[1]Inventory!C:G,5,FALSE)</f>
        <v>လှိုင်သာယာ</v>
      </c>
      <c r="F80" t="str">
        <f>VLOOKUP(A80,[1]Inventory!C:H,6,FALSE)</f>
        <v>ဗိုလ်အောင်ကျော်အိမ်ရာ၊ တိုက် (၄/၇)၊ လှိုင်သာယာမြို့နယ်</v>
      </c>
      <c r="G80">
        <v>24500</v>
      </c>
      <c r="H80">
        <v>4500</v>
      </c>
      <c r="I80">
        <f t="shared" si="1"/>
        <v>29000</v>
      </c>
      <c r="J80">
        <f>VLOOKUP(A80,[1]Inventory!C:L,10,FALSE)</f>
        <v>4500</v>
      </c>
      <c r="K80">
        <f>VLOOKUP(A80,[1]Inventory!C:M,11,FALSE)</f>
        <v>4500</v>
      </c>
      <c r="L80">
        <f>VLOOKUP(A80,[1]Inventory!C:N,12,FALSE)</f>
        <v>0</v>
      </c>
      <c r="M80" s="2" t="str">
        <f>VLOOKUP(A80,[1]Inventory!C:O,13,FALSE)</f>
        <v>-</v>
      </c>
      <c r="N80" s="2">
        <f>VLOOKUP(A80,[1]Inventory!C:P,14,FALSE)</f>
        <v>29000</v>
      </c>
      <c r="O80" t="s">
        <v>17</v>
      </c>
    </row>
    <row r="81" spans="1:15">
      <c r="A81" t="s">
        <v>114</v>
      </c>
      <c r="B81" t="s">
        <v>115</v>
      </c>
      <c r="C81" t="str">
        <f>VLOOKUP(A81,[1]Inventory!C:E,3,FALSE)</f>
        <v>Mon Mon Soe</v>
      </c>
      <c r="D81" t="str">
        <f>VLOOKUP(B81,[1]Inventory!D:F,3,FALSE)</f>
        <v>09-421117702</v>
      </c>
      <c r="E81" t="str">
        <f>VLOOKUP(A81,[1]Inventory!C:G,5,FALSE)</f>
        <v>မရမ်းကုန်း</v>
      </c>
      <c r="F81" t="str">
        <f>VLOOKUP(A81,[1]Inventory!C:H,6,FALSE)</f>
        <v>အမှတ် - ၂-က၊ ကန်လေးစုလမ်း၊ သမိုင်း၊ မရမ်းကုန်းမြို့နယ်</v>
      </c>
      <c r="G81">
        <v>34000</v>
      </c>
      <c r="H81">
        <v>0</v>
      </c>
      <c r="I81">
        <f t="shared" si="1"/>
        <v>34000</v>
      </c>
      <c r="J81">
        <f>VLOOKUP(A81,[1]Inventory!C:L,10,FALSE)</f>
        <v>4000</v>
      </c>
      <c r="K81" t="str">
        <f>VLOOKUP(A81,[1]Inventory!C:M,11,FALSE)</f>
        <v>-</v>
      </c>
      <c r="L81">
        <f>VLOOKUP(A81,[1]Inventory!C:N,12,FALSE)</f>
        <v>0</v>
      </c>
      <c r="M81" s="2" t="str">
        <f>VLOOKUP(A81,[1]Inventory!C:O,13,FALSE)</f>
        <v>-</v>
      </c>
      <c r="N81" s="2">
        <f>VLOOKUP(A81,[1]Inventory!C:P,14,FALSE)</f>
        <v>34000</v>
      </c>
      <c r="O81" t="s">
        <v>17</v>
      </c>
    </row>
    <row r="82" spans="1:15">
      <c r="A82" t="s">
        <v>116</v>
      </c>
      <c r="B82" t="s">
        <v>115</v>
      </c>
      <c r="C82" t="str">
        <f>VLOOKUP(A82,[1]Inventory!C:E,3,FALSE)</f>
        <v>Swe Swe</v>
      </c>
      <c r="D82" t="str">
        <f>VLOOKUP(B82,[1]Inventory!D:F,3,FALSE)</f>
        <v>09-421117702</v>
      </c>
      <c r="E82" t="str">
        <f>VLOOKUP(A82,[1]Inventory!C:G,5,FALSE)</f>
        <v>သင်္ဃန်းကျွန်း</v>
      </c>
      <c r="F82" t="str">
        <f>VLOOKUP(A82,[1]Inventory!C:H,6,FALSE)</f>
        <v>ကျိုက္ကဆံဘုရားလမ်း၊ (စံပြဆေးရုံရှေ့)၊ သင်္ဃန်းကျွန်းမြို့နယ်</v>
      </c>
      <c r="G82">
        <v>28000</v>
      </c>
      <c r="H82">
        <v>4000</v>
      </c>
      <c r="I82">
        <f t="shared" si="1"/>
        <v>32000</v>
      </c>
      <c r="J82">
        <f>VLOOKUP(A82,[1]Inventory!C:L,10,FALSE)</f>
        <v>4000</v>
      </c>
      <c r="K82">
        <f>VLOOKUP(A82,[1]Inventory!C:M,11,FALSE)</f>
        <v>4000</v>
      </c>
      <c r="L82">
        <f>VLOOKUP(A82,[1]Inventory!C:N,12,FALSE)</f>
        <v>0</v>
      </c>
      <c r="M82" s="2" t="str">
        <f>VLOOKUP(A82,[1]Inventory!C:O,13,FALSE)</f>
        <v>-</v>
      </c>
      <c r="N82" s="2">
        <f>VLOOKUP(A82,[1]Inventory!C:P,14,FALSE)</f>
        <v>32000</v>
      </c>
      <c r="O82" t="s">
        <v>17</v>
      </c>
    </row>
    <row r="83" spans="1:15">
      <c r="A83" t="s">
        <v>117</v>
      </c>
      <c r="B83" t="s">
        <v>64</v>
      </c>
      <c r="C83" t="str">
        <f>VLOOKUP(A83,[1]Inventory!C:E,3,FALSE)</f>
        <v>Eizali</v>
      </c>
      <c r="D83" t="str">
        <f>VLOOKUP(B83,[1]Inventory!D:F,3,FALSE)</f>
        <v>09-693251737</v>
      </c>
      <c r="E83" t="str">
        <f>VLOOKUP(A83,[1]Inventory!C:G,5,FALSE)</f>
        <v>ဗဟန်း</v>
      </c>
      <c r="F83" t="str">
        <f>VLOOKUP(A83,[1]Inventory!C:H,6,FALSE)</f>
        <v>ခင်စံပယ်ဦး၊ အမှတ် (၁၀)၊ ရွှေတောင်ကြားလမ်း၊ ဗဟန်းမြို့နယ်</v>
      </c>
      <c r="G83">
        <v>21000</v>
      </c>
      <c r="H83">
        <v>4000</v>
      </c>
      <c r="I83">
        <f t="shared" si="1"/>
        <v>25000</v>
      </c>
      <c r="J83">
        <f>VLOOKUP(A83,[1]Inventory!C:L,10,FALSE)</f>
        <v>4000</v>
      </c>
      <c r="K83">
        <f>VLOOKUP(A83,[1]Inventory!C:M,11,FALSE)</f>
        <v>4000</v>
      </c>
      <c r="L83">
        <f>VLOOKUP(A83,[1]Inventory!C:N,12,FALSE)</f>
        <v>0</v>
      </c>
      <c r="M83" s="2" t="str">
        <f>VLOOKUP(A83,[1]Inventory!C:O,13,FALSE)</f>
        <v>-</v>
      </c>
      <c r="N83" s="2">
        <f>VLOOKUP(A83,[1]Inventory!C:P,14,FALSE)</f>
        <v>25000</v>
      </c>
      <c r="O83" t="s">
        <v>17</v>
      </c>
    </row>
    <row r="84" spans="1:15">
      <c r="A84" t="s">
        <v>118</v>
      </c>
      <c r="B84" t="s">
        <v>22</v>
      </c>
      <c r="C84" t="str">
        <f>VLOOKUP(A84,[1]Inventory!C:E,3,FALSE)</f>
        <v>Cas</v>
      </c>
      <c r="D84" t="str">
        <f>VLOOKUP(B84,[1]Inventory!D:F,3,FALSE)</f>
        <v>09-775879156
 09-783922942</v>
      </c>
      <c r="E84" t="str">
        <f>VLOOKUP(A84,[1]Inventory!C:G,5,FALSE)</f>
        <v>လှိုင်</v>
      </c>
      <c r="F84" t="str">
        <f>VLOOKUP(A84,[1]Inventory!C:H,6,FALSE)</f>
        <v>မိဘမေတ္တာတိုက်၊ သီရိ (၄) လမ်းထိပ်၊ (ရွှေနေ့သစ်စားသောက်ဆိုင်ဘေး)၊ လှိုင်မြို့နယ်</v>
      </c>
      <c r="G84">
        <v>0</v>
      </c>
      <c r="H84">
        <v>4000</v>
      </c>
      <c r="I84">
        <f t="shared" si="1"/>
        <v>4000</v>
      </c>
      <c r="J84">
        <f>VLOOKUP(A84,[1]Inventory!C:L,10,FALSE)</f>
        <v>4000</v>
      </c>
      <c r="K84">
        <f>VLOOKUP(A84,[1]Inventory!C:M,11,FALSE)</f>
        <v>4000</v>
      </c>
      <c r="L84">
        <f>VLOOKUP(A84,[1]Inventory!C:N,12,FALSE)</f>
        <v>0</v>
      </c>
      <c r="M84" s="2" t="str">
        <f>VLOOKUP(A84,[1]Inventory!C:O,13,FALSE)</f>
        <v>-</v>
      </c>
      <c r="N84" s="2">
        <f>VLOOKUP(A84,[1]Inventory!C:P,14,FALSE)</f>
        <v>4000</v>
      </c>
      <c r="O84" t="s">
        <v>17</v>
      </c>
    </row>
    <row r="85" spans="1:15">
      <c r="A85" t="s">
        <v>119</v>
      </c>
      <c r="B85" t="s">
        <v>22</v>
      </c>
      <c r="C85" t="str">
        <f>VLOOKUP(A85,[1]Inventory!C:E,3,FALSE)</f>
        <v>May Thet Hlaing</v>
      </c>
      <c r="D85" t="str">
        <f>VLOOKUP(B85,[1]Inventory!D:F,3,FALSE)</f>
        <v>09-775879156
 09-783922942</v>
      </c>
      <c r="E85" t="str">
        <f>VLOOKUP(A85,[1]Inventory!C:G,5,FALSE)</f>
        <v>တာမွေ</v>
      </c>
      <c r="F85" t="str">
        <f>VLOOKUP(A85,[1]Inventory!C:H,6,FALSE)</f>
        <v>ပိတောက်ရွှေဝါလမ်း၊ တာမွေလေးရပ်ကွက်၊ တာမွေမြို့နယ်</v>
      </c>
      <c r="G85">
        <v>0</v>
      </c>
      <c r="H85">
        <v>4000</v>
      </c>
      <c r="I85">
        <f t="shared" si="1"/>
        <v>4000</v>
      </c>
      <c r="J85">
        <f>VLOOKUP(A85,[1]Inventory!C:L,10,FALSE)</f>
        <v>4000</v>
      </c>
      <c r="K85">
        <f>VLOOKUP(A85,[1]Inventory!C:M,11,FALSE)</f>
        <v>4000</v>
      </c>
      <c r="L85">
        <f>VLOOKUP(A85,[1]Inventory!C:N,12,FALSE)</f>
        <v>0</v>
      </c>
      <c r="M85" s="2" t="str">
        <f>VLOOKUP(A85,[1]Inventory!C:O,13,FALSE)</f>
        <v>-</v>
      </c>
      <c r="N85" s="2">
        <f>VLOOKUP(A85,[1]Inventory!C:P,14,FALSE)</f>
        <v>4000</v>
      </c>
      <c r="O85" t="s">
        <v>17</v>
      </c>
    </row>
    <row r="86" spans="1:15">
      <c r="A86" t="s">
        <v>120</v>
      </c>
      <c r="B86" t="s">
        <v>16</v>
      </c>
      <c r="C86" t="str">
        <f>VLOOKUP(A86,[1]Inventory!C:E,3,FALSE)</f>
        <v>ပုံ့ပုံ့</v>
      </c>
      <c r="D86" t="str">
        <f>VLOOKUP(B86,[1]Inventory!D:F,3,FALSE)</f>
        <v>09-684451314</v>
      </c>
      <c r="E86" t="str">
        <f>VLOOKUP(A86,[1]Inventory!C:G,5,FALSE)</f>
        <v>မင်္ဂလာဒုံ</v>
      </c>
      <c r="F86" t="str">
        <f>VLOOKUP(A86,[1]Inventory!C:H,6,FALSE)</f>
        <v>မြတောင်ညို (၁) လမ်း၊ ကြံခင်းစုရပ်ကွက်၊ မင်္ဂလာဒုံမြို့နယ်</v>
      </c>
      <c r="G86">
        <v>79000</v>
      </c>
      <c r="H86">
        <v>4500</v>
      </c>
      <c r="I86">
        <f t="shared" si="1"/>
        <v>83500</v>
      </c>
      <c r="J86">
        <f>VLOOKUP(A86,[1]Inventory!C:L,10,FALSE)</f>
        <v>4500</v>
      </c>
      <c r="K86">
        <f>VLOOKUP(A86,[1]Inventory!C:M,11,FALSE)</f>
        <v>4500</v>
      </c>
      <c r="L86">
        <f>VLOOKUP(A86,[1]Inventory!C:N,12,FALSE)</f>
        <v>0</v>
      </c>
      <c r="M86" s="2" t="str">
        <f>VLOOKUP(A86,[1]Inventory!C:O,13,FALSE)</f>
        <v>-</v>
      </c>
      <c r="N86" s="2">
        <f>VLOOKUP(A86,[1]Inventory!C:P,14,FALSE)</f>
        <v>83500</v>
      </c>
      <c r="O86" t="s">
        <v>17</v>
      </c>
    </row>
    <row r="87" spans="1:15">
      <c r="A87" t="s">
        <v>121</v>
      </c>
      <c r="B87" t="s">
        <v>24</v>
      </c>
      <c r="C87" t="str">
        <f>VLOOKUP(A87,[1]Inventory!C:E,3,FALSE)</f>
        <v>Waddy Waddy</v>
      </c>
      <c r="D87" t="str">
        <f>VLOOKUP(B87,[1]Inventory!D:F,3,FALSE)</f>
        <v>09-881477288</v>
      </c>
      <c r="E87" t="str">
        <f>VLOOKUP(A87,[1]Inventory!C:G,5,FALSE)</f>
        <v>အင်းစိန်</v>
      </c>
      <c r="F87" t="str">
        <f>VLOOKUP(A87,[1]Inventory!C:H,6,FALSE)</f>
        <v>ပညာသိင်္ဂီသီလရှင်ကျောင်းတိုက်၊ ပညာသိင်္ဂီကျောင်းလမ်း၊ အင်းစိန်မြို့နယ်</v>
      </c>
      <c r="G87">
        <v>50000</v>
      </c>
      <c r="H87">
        <v>4000</v>
      </c>
      <c r="I87">
        <f t="shared" si="1"/>
        <v>54000</v>
      </c>
      <c r="J87">
        <f>VLOOKUP(A87,[1]Inventory!C:L,10,FALSE)</f>
        <v>4000</v>
      </c>
      <c r="K87">
        <f>VLOOKUP(A87,[1]Inventory!C:M,11,FALSE)</f>
        <v>4000</v>
      </c>
      <c r="L87">
        <f>VLOOKUP(A87,[1]Inventory!C:N,12,FALSE)</f>
        <v>0</v>
      </c>
      <c r="M87" s="2" t="str">
        <f>VLOOKUP(A87,[1]Inventory!C:O,13,FALSE)</f>
        <v>-</v>
      </c>
      <c r="N87" s="2">
        <f>VLOOKUP(A87,[1]Inventory!C:P,14,FALSE)</f>
        <v>54000</v>
      </c>
      <c r="O87" t="s">
        <v>17</v>
      </c>
    </row>
    <row r="88" spans="1:15">
      <c r="A88" t="s">
        <v>122</v>
      </c>
      <c r="B88" t="s">
        <v>123</v>
      </c>
      <c r="C88" t="str">
        <f>VLOOKUP(A88,[1]Inventory!C:E,3,FALSE)</f>
        <v>မဟီနာ</v>
      </c>
      <c r="D88" t="str">
        <f>VLOOKUP(B88,[1]Inventory!D:F,3,FALSE)</f>
        <v>09-453774568</v>
      </c>
      <c r="E88" t="str">
        <f>VLOOKUP(A88,[1]Inventory!C:G,5,FALSE)</f>
        <v>ပန်းဘဲတန်း</v>
      </c>
      <c r="F88" t="str">
        <f>VLOOKUP(A88,[1]Inventory!C:H,6,FALSE)</f>
        <v>အမှတ် (၅၆)၊ မြေညီထပ်၊ (၃၁) လမ်း၊ အောက်ဘလောက်၊ ပန်းဘဲတန်းမြို့နယ်</v>
      </c>
      <c r="G88">
        <v>240000</v>
      </c>
      <c r="H88">
        <v>4000</v>
      </c>
      <c r="I88">
        <f t="shared" si="1"/>
        <v>244000</v>
      </c>
      <c r="J88">
        <f>VLOOKUP(A88,[1]Inventory!C:L,10,FALSE)</f>
        <v>4000</v>
      </c>
      <c r="K88">
        <f>VLOOKUP(A88,[1]Inventory!C:M,11,FALSE)</f>
        <v>4000</v>
      </c>
      <c r="L88">
        <f>VLOOKUP(A88,[1]Inventory!C:N,12,FALSE)</f>
        <v>7</v>
      </c>
      <c r="M88" s="2">
        <f>VLOOKUP(A88,[1]Inventory!C:O,13,FALSE)</f>
        <v>2000</v>
      </c>
      <c r="N88" s="2">
        <f>VLOOKUP(A88,[1]Inventory!C:P,14,FALSE)</f>
        <v>246000</v>
      </c>
      <c r="O88" t="s">
        <v>17</v>
      </c>
    </row>
    <row r="89" spans="1:15">
      <c r="A89" t="s">
        <v>124</v>
      </c>
      <c r="B89" t="s">
        <v>22</v>
      </c>
      <c r="C89" t="str">
        <f>VLOOKUP(A89,[1]Inventory!C:E,3,FALSE)</f>
        <v>Rayy</v>
      </c>
      <c r="D89" t="str">
        <f>VLOOKUP(B89,[1]Inventory!D:F,3,FALSE)</f>
        <v>09-775879156
 09-783922942</v>
      </c>
      <c r="E89" t="str">
        <f>VLOOKUP(A89,[1]Inventory!C:G,5,FALSE)</f>
        <v>ရွှေပြည်သာ</v>
      </c>
      <c r="F89" t="str">
        <f>VLOOKUP(A89,[1]Inventory!C:H,6,FALSE)</f>
        <v>သံဖြူဆိုင်မှတ်တိုင်၊ ရွှေပြည်သာမြို့နယ်</v>
      </c>
      <c r="G89">
        <v>15000</v>
      </c>
      <c r="H89">
        <v>4500</v>
      </c>
      <c r="I89">
        <f t="shared" si="1"/>
        <v>19500</v>
      </c>
      <c r="J89">
        <f>VLOOKUP(A89,[1]Inventory!C:L,10,FALSE)</f>
        <v>4500</v>
      </c>
      <c r="K89">
        <f>VLOOKUP(A89,[1]Inventory!C:M,11,FALSE)</f>
        <v>4500</v>
      </c>
      <c r="L89">
        <f>VLOOKUP(A89,[1]Inventory!C:N,12,FALSE)</f>
        <v>0</v>
      </c>
      <c r="M89" s="2" t="str">
        <f>VLOOKUP(A89,[1]Inventory!C:O,13,FALSE)</f>
        <v>-</v>
      </c>
      <c r="N89" s="2">
        <f>VLOOKUP(A89,[1]Inventory!C:P,14,FALSE)</f>
        <v>19500</v>
      </c>
      <c r="O89" t="s">
        <v>17</v>
      </c>
    </row>
    <row r="90" spans="1:15">
      <c r="A90" t="s">
        <v>125</v>
      </c>
      <c r="B90" t="s">
        <v>42</v>
      </c>
      <c r="C90" t="str">
        <f>VLOOKUP(A90,[1]Inventory!C:E,3,FALSE)</f>
        <v>အိမ့်သန္ဒါထွန်း</v>
      </c>
      <c r="D90" t="str">
        <f>VLOOKUP(B90,[1]Inventory!D:F,3,FALSE)</f>
        <v>09-650612392</v>
      </c>
      <c r="E90" t="str">
        <f>VLOOKUP(A90,[1]Inventory!C:G,5,FALSE)</f>
        <v>ဗဟန်း</v>
      </c>
      <c r="F90" t="str">
        <f>VLOOKUP(A90,[1]Inventory!C:H,6,FALSE)</f>
        <v>မြတ်သွန်းရှေ့ဂုဏ်၊ တိုက်မြေညီ (၅)၊ ဗန္ဓုလပင်လမ်းဝိုက်၊ ဗဟန်းမြို့နယ်</v>
      </c>
      <c r="G90">
        <v>100000</v>
      </c>
      <c r="H90">
        <v>4000</v>
      </c>
      <c r="I90">
        <f t="shared" si="1"/>
        <v>104000</v>
      </c>
      <c r="J90">
        <f>VLOOKUP(A90,[1]Inventory!C:L,10,FALSE)</f>
        <v>4000</v>
      </c>
      <c r="K90">
        <f>VLOOKUP(A90,[1]Inventory!C:M,11,FALSE)</f>
        <v>4000</v>
      </c>
      <c r="L90">
        <f>VLOOKUP(A90,[1]Inventory!C:N,12,FALSE)</f>
        <v>0</v>
      </c>
      <c r="M90" s="2" t="str">
        <f>VLOOKUP(A90,[1]Inventory!C:O,13,FALSE)</f>
        <v>-</v>
      </c>
      <c r="N90" s="2">
        <f>VLOOKUP(A90,[1]Inventory!C:P,14,FALSE)</f>
        <v>104000</v>
      </c>
      <c r="O90" t="s">
        <v>17</v>
      </c>
    </row>
    <row r="91" spans="1:15">
      <c r="A91" t="s">
        <v>126</v>
      </c>
      <c r="B91" t="s">
        <v>42</v>
      </c>
      <c r="C91" t="str">
        <f>VLOOKUP(A91,[1]Inventory!C:E,3,FALSE)</f>
        <v>Poe Pwint Phyu</v>
      </c>
      <c r="D91" t="str">
        <f>VLOOKUP(B91,[1]Inventory!D:F,3,FALSE)</f>
        <v>09-650612392</v>
      </c>
      <c r="E91" t="str">
        <f>VLOOKUP(A91,[1]Inventory!C:G,5,FALSE)</f>
        <v>လှိုင်သာယာ</v>
      </c>
      <c r="F91" t="str">
        <f>VLOOKUP(A91,[1]Inventory!C:H,6,FALSE)</f>
        <v>ရွှေလင်ပန်းတန်ဖိုးနည်းအိမ်ရာ (အပိုင်း ၁)၊ တိုက် (၂၂)၊ လှိုင်သာယာမြို့နယ်</v>
      </c>
      <c r="G91">
        <v>294000</v>
      </c>
      <c r="H91">
        <v>4500</v>
      </c>
      <c r="I91">
        <f t="shared" si="1"/>
        <v>298500</v>
      </c>
      <c r="J91">
        <f>VLOOKUP(A91,[1]Inventory!C:L,10,FALSE)</f>
        <v>4500</v>
      </c>
      <c r="K91">
        <f>VLOOKUP(A91,[1]Inventory!C:M,11,FALSE)</f>
        <v>4500</v>
      </c>
      <c r="L91">
        <f>VLOOKUP(A91,[1]Inventory!C:N,12,FALSE)</f>
        <v>0</v>
      </c>
      <c r="M91" s="2" t="str">
        <f>VLOOKUP(A91,[1]Inventory!C:O,13,FALSE)</f>
        <v>-</v>
      </c>
      <c r="N91" s="2">
        <f>VLOOKUP(A91,[1]Inventory!C:P,14,FALSE)</f>
        <v>298500</v>
      </c>
      <c r="O91" t="s">
        <v>17</v>
      </c>
    </row>
    <row r="92" spans="1:15">
      <c r="A92" t="s">
        <v>127</v>
      </c>
      <c r="B92" t="s">
        <v>42</v>
      </c>
      <c r="C92" t="str">
        <f>VLOOKUP(A92,[1]Inventory!C:E,3,FALSE)</f>
        <v>Nan Tharaphy</v>
      </c>
      <c r="D92" t="str">
        <f>VLOOKUP(B92,[1]Inventory!D:F,3,FALSE)</f>
        <v>09-650612392</v>
      </c>
      <c r="E92" t="str">
        <f>VLOOKUP(A92,[1]Inventory!C:G,5,FALSE)</f>
        <v>မြောက်ဥက္ကလာပ</v>
      </c>
      <c r="F92" t="str">
        <f>VLOOKUP(A92,[1]Inventory!C:H,6,FALSE)</f>
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</c>
      <c r="G92">
        <v>357600</v>
      </c>
      <c r="H92">
        <v>4500</v>
      </c>
      <c r="I92">
        <f t="shared" si="1"/>
        <v>362100</v>
      </c>
      <c r="J92">
        <f>VLOOKUP(A92,[1]Inventory!C:L,10,FALSE)</f>
        <v>4500</v>
      </c>
      <c r="K92">
        <f>VLOOKUP(A92,[1]Inventory!C:M,11,FALSE)</f>
        <v>4500</v>
      </c>
      <c r="L92">
        <f>VLOOKUP(A92,[1]Inventory!C:N,12,FALSE)</f>
        <v>4</v>
      </c>
      <c r="M92" s="2">
        <f>VLOOKUP(A92,[1]Inventory!C:O,13,FALSE)</f>
        <v>500</v>
      </c>
      <c r="N92" s="2">
        <f>VLOOKUP(A92,[1]Inventory!C:P,14,FALSE)</f>
        <v>362600</v>
      </c>
      <c r="O92" t="s">
        <v>17</v>
      </c>
    </row>
    <row r="93" spans="1:15">
      <c r="A93" t="s">
        <v>128</v>
      </c>
      <c r="B93" t="s">
        <v>42</v>
      </c>
      <c r="C93" t="str">
        <f>VLOOKUP(A93,[1]Inventory!C:E,3,FALSE)</f>
        <v>Ei Moe</v>
      </c>
      <c r="D93" t="str">
        <f>VLOOKUP(B93,[1]Inventory!D:F,3,FALSE)</f>
        <v>09-650612392</v>
      </c>
      <c r="E93" t="str">
        <f>VLOOKUP(A93,[1]Inventory!C:G,5,FALSE)</f>
        <v>ဂိတ်ချ</v>
      </c>
      <c r="F93" t="str">
        <f>VLOOKUP(A93,[1]Inventory!C:H,6,FALSE)</f>
        <v>Little Dream Baby Shop၊ (ပြုံးပြုံးလေးဂိတ်)၊ သုံးဆယ်</v>
      </c>
      <c r="G93">
        <v>0</v>
      </c>
      <c r="H93">
        <v>5000</v>
      </c>
      <c r="I93">
        <f t="shared" si="1"/>
        <v>5000</v>
      </c>
      <c r="J93">
        <f>VLOOKUP(A93,[1]Inventory!C:L,10,FALSE)</f>
        <v>5000</v>
      </c>
      <c r="K93">
        <f>VLOOKUP(A93,[1]Inventory!C:M,11,FALSE)</f>
        <v>5000</v>
      </c>
      <c r="L93">
        <f>VLOOKUP(A93,[1]Inventory!C:N,12,FALSE)</f>
        <v>10</v>
      </c>
      <c r="M93" s="2">
        <f>VLOOKUP(A93,[1]Inventory!C:O,13,FALSE)</f>
        <v>3500</v>
      </c>
      <c r="N93" s="2">
        <f>VLOOKUP(A93,[1]Inventory!C:P,14,FALSE)</f>
        <v>8500</v>
      </c>
      <c r="O93" t="s">
        <v>17</v>
      </c>
    </row>
    <row r="94" spans="1:15">
      <c r="A94" t="s">
        <v>129</v>
      </c>
      <c r="B94" t="s">
        <v>42</v>
      </c>
      <c r="C94" t="str">
        <f>VLOOKUP(A94,[1]Inventory!C:E,3,FALSE)</f>
        <v>Ei Thandar Lwin</v>
      </c>
      <c r="D94" t="str">
        <f>VLOOKUP(B94,[1]Inventory!D:F,3,FALSE)</f>
        <v>09-650612392</v>
      </c>
      <c r="E94" t="str">
        <f>VLOOKUP(A94,[1]Inventory!C:G,5,FALSE)</f>
        <v>မြောက်ဥက္ကလာပ</v>
      </c>
      <c r="F94" t="str">
        <f>VLOOKUP(A94,[1]Inventory!C:H,6,FALSE)</f>
        <v>အမှတ် (၂၀၄)၊ ပဲခူးလမ်း၊ (၁၃) ရပ်ကွက်၊ ရွှေပေါက်ကံ၊ မြောက်ဥက္ကလာပမြို့နယ်</v>
      </c>
      <c r="G94">
        <v>120000</v>
      </c>
      <c r="H94">
        <v>4500</v>
      </c>
      <c r="I94">
        <f t="shared" si="1"/>
        <v>124500</v>
      </c>
      <c r="J94">
        <f>VLOOKUP(A94,[1]Inventory!C:L,10,FALSE)</f>
        <v>4500</v>
      </c>
      <c r="K94">
        <f>VLOOKUP(A94,[1]Inventory!C:M,11,FALSE)</f>
        <v>4500</v>
      </c>
      <c r="L94">
        <f>VLOOKUP(A94,[1]Inventory!C:N,12,FALSE)</f>
        <v>0</v>
      </c>
      <c r="M94" s="2" t="str">
        <f>VLOOKUP(A94,[1]Inventory!C:O,13,FALSE)</f>
        <v>-</v>
      </c>
      <c r="N94" s="2">
        <f>VLOOKUP(A94,[1]Inventory!C:P,14,FALSE)</f>
        <v>124500</v>
      </c>
      <c r="O94" t="s">
        <v>17</v>
      </c>
    </row>
    <row r="95" spans="1:15">
      <c r="A95" t="s">
        <v>130</v>
      </c>
      <c r="B95" t="s">
        <v>42</v>
      </c>
      <c r="C95" t="str">
        <f>VLOOKUP(A95,[1]Inventory!C:E,3,FALSE)</f>
        <v>Yin Yin Mon</v>
      </c>
      <c r="D95" t="str">
        <f>VLOOKUP(B95,[1]Inventory!D:F,3,FALSE)</f>
        <v>09-650612392</v>
      </c>
      <c r="E95" t="str">
        <f>VLOOKUP(A95,[1]Inventory!C:G,5,FALSE)</f>
        <v>ဗဟန်း</v>
      </c>
      <c r="F95" t="str">
        <f>VLOOKUP(A95,[1]Inventory!C:H,6,FALSE)</f>
        <v>ဆရာစံပလာဇာ၊ ဆရာစံလမ်း နှင့် တက္ကသိုလ်ရိပ်သာလမ်းသစ်ထောင့်၊ ဗဟန်းမြို့နယ်</v>
      </c>
      <c r="G95">
        <v>100000</v>
      </c>
      <c r="H95">
        <v>4000</v>
      </c>
      <c r="I95">
        <f t="shared" si="1"/>
        <v>104000</v>
      </c>
      <c r="J95">
        <f>VLOOKUP(A95,[1]Inventory!C:L,10,FALSE)</f>
        <v>4000</v>
      </c>
      <c r="K95">
        <f>VLOOKUP(A95,[1]Inventory!C:M,11,FALSE)</f>
        <v>4000</v>
      </c>
      <c r="L95">
        <f>VLOOKUP(A95,[1]Inventory!C:N,12,FALSE)</f>
        <v>0</v>
      </c>
      <c r="M95" s="2" t="str">
        <f>VLOOKUP(A95,[1]Inventory!C:O,13,FALSE)</f>
        <v>-</v>
      </c>
      <c r="N95" s="2">
        <f>VLOOKUP(A95,[1]Inventory!C:P,14,FALSE)</f>
        <v>104000</v>
      </c>
      <c r="O95" t="s">
        <v>17</v>
      </c>
    </row>
    <row r="96" spans="1:15">
      <c r="A96" t="s">
        <v>131</v>
      </c>
      <c r="B96" t="s">
        <v>42</v>
      </c>
      <c r="C96" t="str">
        <f>VLOOKUP(A96,[1]Inventory!C:E,3,FALSE)</f>
        <v>Hnin Wuit Yee</v>
      </c>
      <c r="D96" t="str">
        <f>VLOOKUP(B96,[1]Inventory!D:F,3,FALSE)</f>
        <v>09-650612392</v>
      </c>
      <c r="E96" t="str">
        <f>VLOOKUP(A96,[1]Inventory!C:G,5,FALSE)</f>
        <v>ဂိတ်ချ</v>
      </c>
      <c r="F96" t="str">
        <f>VLOOKUP(A96,[1]Inventory!C:H,6,FALSE)</f>
        <v>(မအူပင်မြို့နယ် နန်းရတီအထည်ဆိုင် ဇေယျာမင်းကားဂိတ်သို့ တင်ရန်)</v>
      </c>
      <c r="G96">
        <v>0</v>
      </c>
      <c r="H96">
        <v>3000</v>
      </c>
      <c r="I96">
        <f t="shared" si="1"/>
        <v>3000</v>
      </c>
      <c r="J96">
        <f>VLOOKUP(A96,[1]Inventory!C:L,10,FALSE)</f>
        <v>3000</v>
      </c>
      <c r="K96">
        <f>VLOOKUP(A96,[1]Inventory!C:M,11,FALSE)</f>
        <v>3000</v>
      </c>
      <c r="L96">
        <f>VLOOKUP(A96,[1]Inventory!C:N,12,FALSE)</f>
        <v>0</v>
      </c>
      <c r="M96" s="2" t="str">
        <f>VLOOKUP(A96,[1]Inventory!C:O,13,FALSE)</f>
        <v>-</v>
      </c>
      <c r="N96" s="2">
        <f>VLOOKUP(A96,[1]Inventory!C:P,14,FALSE)</f>
        <v>3000</v>
      </c>
      <c r="O96" t="s">
        <v>17</v>
      </c>
    </row>
    <row r="97" spans="1:15">
      <c r="A97" t="s">
        <v>132</v>
      </c>
      <c r="B97" t="s">
        <v>42</v>
      </c>
      <c r="C97" t="str">
        <f>VLOOKUP(A97,[1]Inventory!C:E,3,FALSE)</f>
        <v>Ko Thet</v>
      </c>
      <c r="D97" t="str">
        <f>VLOOKUP(B97,[1]Inventory!D:F,3,FALSE)</f>
        <v>09-650612392</v>
      </c>
      <c r="E97" t="str">
        <f>VLOOKUP(A97,[1]Inventory!C:G,5,FALSE)</f>
        <v>လှိုင်သာယာ</v>
      </c>
      <c r="F97" t="str">
        <f>VLOOKUP(A97,[1]Inventory!C:H,6,FALSE)</f>
        <v>ငွေလမင်းအထည်ဆိုင်၊ (ဈေးမိုးကုတ်ကျောင်းရှေ့)၊ တံတားဖြူ၊ လှိုင်သာယာမြို့နယ်</v>
      </c>
      <c r="G97">
        <v>90000</v>
      </c>
      <c r="H97">
        <v>4500</v>
      </c>
      <c r="I97">
        <f t="shared" si="1"/>
        <v>94500</v>
      </c>
      <c r="J97">
        <f>VLOOKUP(A97,[1]Inventory!C:L,10,FALSE)</f>
        <v>4500</v>
      </c>
      <c r="K97">
        <f>VLOOKUP(A97,[1]Inventory!C:M,11,FALSE)</f>
        <v>4500</v>
      </c>
      <c r="L97">
        <f>VLOOKUP(A97,[1]Inventory!C:N,12,FALSE)</f>
        <v>0</v>
      </c>
      <c r="M97" s="2" t="str">
        <f>VLOOKUP(A97,[1]Inventory!C:O,13,FALSE)</f>
        <v>-</v>
      </c>
      <c r="N97" s="2">
        <f>VLOOKUP(A97,[1]Inventory!C:P,14,FALSE)</f>
        <v>94500</v>
      </c>
      <c r="O97" t="s">
        <v>17</v>
      </c>
    </row>
    <row r="98" spans="1:15">
      <c r="A98" t="s">
        <v>133</v>
      </c>
      <c r="B98" t="s">
        <v>42</v>
      </c>
      <c r="C98" t="str">
        <f>VLOOKUP(A98,[1]Inventory!C:E,3,FALSE)</f>
        <v>Moon</v>
      </c>
      <c r="D98" t="str">
        <f>VLOOKUP(B98,[1]Inventory!D:F,3,FALSE)</f>
        <v>09-650612392</v>
      </c>
      <c r="E98" t="str">
        <f>VLOOKUP(A98,[1]Inventory!C:G,5,FALSE)</f>
        <v>မင်္ဂလာတောင်ညွန့်</v>
      </c>
      <c r="F98" t="str">
        <f>VLOOKUP(A98,[1]Inventory!C:H,6,FALSE)</f>
        <v>အမှတ် (၃၅၁)၊ သိမ်ဖြူလမ်း၊ မင်္ဂလာတောင်ညွန့်မြို့နယ်</v>
      </c>
      <c r="G98">
        <v>67500</v>
      </c>
      <c r="H98">
        <v>4000</v>
      </c>
      <c r="I98">
        <f t="shared" si="1"/>
        <v>71500</v>
      </c>
      <c r="J98">
        <f>VLOOKUP(A98,[1]Inventory!C:L,10,FALSE)</f>
        <v>4000</v>
      </c>
      <c r="K98">
        <f>VLOOKUP(A98,[1]Inventory!C:M,11,FALSE)</f>
        <v>4000</v>
      </c>
      <c r="L98">
        <f>VLOOKUP(A98,[1]Inventory!C:N,12,FALSE)</f>
        <v>0</v>
      </c>
      <c r="M98" s="2" t="str">
        <f>VLOOKUP(A98,[1]Inventory!C:O,13,FALSE)</f>
        <v>-</v>
      </c>
      <c r="N98" s="2">
        <f>VLOOKUP(A98,[1]Inventory!C:P,14,FALSE)</f>
        <v>71500</v>
      </c>
      <c r="O98" t="s">
        <v>17</v>
      </c>
    </row>
    <row r="99" spans="1:15">
      <c r="A99" t="s">
        <v>134</v>
      </c>
      <c r="B99" t="s">
        <v>42</v>
      </c>
      <c r="C99" t="str">
        <f>VLOOKUP(A99,[1]Inventory!C:E,3,FALSE)</f>
        <v>YJr</v>
      </c>
      <c r="D99" t="str">
        <f>VLOOKUP(B99,[1]Inventory!D:F,3,FALSE)</f>
        <v>09-650612392</v>
      </c>
      <c r="E99" t="str">
        <f>VLOOKUP(A99,[1]Inventory!C:G,5,FALSE)</f>
        <v>ဒေါပုံ</v>
      </c>
      <c r="F99" t="str">
        <f>VLOOKUP(A99,[1]Inventory!C:H,6,FALSE)</f>
        <v>မစန်းစန်းဝင်း၊ အမှတ် (၄၂)၊ ဒေါပုံစာတိုက် (၁) လမ်း၊ ဒေါပုံမြို့နယ်</v>
      </c>
      <c r="G99">
        <v>82500</v>
      </c>
      <c r="H99">
        <v>4000</v>
      </c>
      <c r="I99">
        <f t="shared" si="1"/>
        <v>86500</v>
      </c>
      <c r="J99">
        <f>VLOOKUP(A99,[1]Inventory!C:L,10,FALSE)</f>
        <v>4000</v>
      </c>
      <c r="K99">
        <f>VLOOKUP(A99,[1]Inventory!C:M,11,FALSE)</f>
        <v>4000</v>
      </c>
      <c r="L99">
        <f>VLOOKUP(A99,[1]Inventory!C:N,12,FALSE)</f>
        <v>0</v>
      </c>
      <c r="M99" s="2" t="str">
        <f>VLOOKUP(A99,[1]Inventory!C:O,13,FALSE)</f>
        <v>-</v>
      </c>
      <c r="N99" s="2">
        <f>VLOOKUP(A99,[1]Inventory!C:P,14,FALSE)</f>
        <v>86500</v>
      </c>
      <c r="O99" t="s">
        <v>17</v>
      </c>
    </row>
    <row r="100" spans="1:15">
      <c r="A100" t="s">
        <v>135</v>
      </c>
      <c r="B100" t="s">
        <v>42</v>
      </c>
      <c r="C100" t="str">
        <f>VLOOKUP(A100,[1]Inventory!C:E,3,FALSE)</f>
        <v>Angel Queen Lifest</v>
      </c>
      <c r="D100" t="str">
        <f>VLOOKUP(B100,[1]Inventory!D:F,3,FALSE)</f>
        <v>09-650612392</v>
      </c>
      <c r="E100" t="str">
        <f>VLOOKUP(A100,[1]Inventory!C:G,5,FALSE)</f>
        <v>မရမ်းကုန်း</v>
      </c>
      <c r="F100" t="str">
        <f>VLOOKUP(A100,[1]Inventory!C:H,6,FALSE)</f>
        <v>အမှတ် (၃၈)၊ မာယာလမ်း၊ (၂) ရပ်ကွက်၊ မရမ်းကုန်းမြို့နယ်</v>
      </c>
      <c r="G100">
        <v>0</v>
      </c>
      <c r="H100">
        <v>4000</v>
      </c>
      <c r="I100">
        <f t="shared" si="1"/>
        <v>4000</v>
      </c>
      <c r="J100">
        <f>VLOOKUP(A100,[1]Inventory!C:L,10,FALSE)</f>
        <v>4000</v>
      </c>
      <c r="K100">
        <f>VLOOKUP(A100,[1]Inventory!C:M,11,FALSE)</f>
        <v>4000</v>
      </c>
      <c r="L100">
        <f>VLOOKUP(A100,[1]Inventory!C:N,12,FALSE)</f>
        <v>0</v>
      </c>
      <c r="M100" s="2" t="str">
        <f>VLOOKUP(A100,[1]Inventory!C:O,13,FALSE)</f>
        <v>-</v>
      </c>
      <c r="N100" s="2">
        <f>VLOOKUP(A100,[1]Inventory!C:P,14,FALSE)</f>
        <v>4000</v>
      </c>
      <c r="O100" t="s">
        <v>17</v>
      </c>
    </row>
    <row r="101" spans="1:15">
      <c r="A101" t="s">
        <v>136</v>
      </c>
      <c r="B101" t="s">
        <v>42</v>
      </c>
      <c r="C101" t="str">
        <f>VLOOKUP(A101,[1]Inventory!C:E,3,FALSE)</f>
        <v>ကိုဝေယံစက်ပစ္စည်း</v>
      </c>
      <c r="D101" t="str">
        <f>VLOOKUP(B101,[1]Inventory!D:F,3,FALSE)</f>
        <v>09-650612392</v>
      </c>
      <c r="E101" t="str">
        <f>VLOOKUP(A101,[1]Inventory!C:G,5,FALSE)</f>
        <v>ပန်းဘဲတန်း</v>
      </c>
      <c r="F101" t="str">
        <f>VLOOKUP(A101,[1]Inventory!C:H,6,FALSE)</f>
        <v>Moora၊ (၂၅) လမ်း၊ အောက်ဘလောက်၊ ပန်းဘဲတန်းမြို့နယ်</v>
      </c>
      <c r="G101">
        <v>96000</v>
      </c>
      <c r="H101">
        <v>4000</v>
      </c>
      <c r="I101">
        <f t="shared" si="1"/>
        <v>100000</v>
      </c>
      <c r="J101">
        <f>VLOOKUP(A101,[1]Inventory!C:L,10,FALSE)</f>
        <v>4000</v>
      </c>
      <c r="K101">
        <f>VLOOKUP(A101,[1]Inventory!C:M,11,FALSE)</f>
        <v>4000</v>
      </c>
      <c r="L101">
        <f>VLOOKUP(A101,[1]Inventory!C:N,12,FALSE)</f>
        <v>0</v>
      </c>
      <c r="M101" s="2" t="str">
        <f>VLOOKUP(A101,[1]Inventory!C:O,13,FALSE)</f>
        <v>-</v>
      </c>
      <c r="N101" s="2">
        <f>VLOOKUP(A101,[1]Inventory!C:P,14,FALSE)</f>
        <v>100000</v>
      </c>
      <c r="O101" t="s">
        <v>17</v>
      </c>
    </row>
    <row r="102" spans="1:15">
      <c r="A102" t="s">
        <v>137</v>
      </c>
      <c r="B102" t="s">
        <v>42</v>
      </c>
      <c r="C102" t="str">
        <f>VLOOKUP(A102,[1]Inventory!C:E,3,FALSE)</f>
        <v>Thet Htar Wai</v>
      </c>
      <c r="D102" t="str">
        <f>VLOOKUP(B102,[1]Inventory!D:F,3,FALSE)</f>
        <v>09-650612392</v>
      </c>
      <c r="E102" t="str">
        <f>VLOOKUP(A102,[1]Inventory!C:G,5,FALSE)</f>
        <v>မြောက်ဥက္ကလာပ</v>
      </c>
      <c r="F102" t="str">
        <f>VLOOKUP(A102,[1]Inventory!C:H,6,FALSE)</f>
        <v>အမှတ် (C-260)၊ သန္တာလမ်း (ညာဘက်ခြမ်း)၊ မြောက်ဥက္ကလာပမြို့နယ်</v>
      </c>
      <c r="G102">
        <v>15000</v>
      </c>
      <c r="H102">
        <v>4500</v>
      </c>
      <c r="I102">
        <f t="shared" si="1"/>
        <v>19500</v>
      </c>
      <c r="J102">
        <f>VLOOKUP(A102,[1]Inventory!C:L,10,FALSE)</f>
        <v>4500</v>
      </c>
      <c r="K102">
        <f>VLOOKUP(A102,[1]Inventory!C:M,11,FALSE)</f>
        <v>4500</v>
      </c>
      <c r="L102">
        <f>VLOOKUP(A102,[1]Inventory!C:N,12,FALSE)</f>
        <v>0</v>
      </c>
      <c r="M102" s="2" t="str">
        <f>VLOOKUP(A102,[1]Inventory!C:O,13,FALSE)</f>
        <v>-</v>
      </c>
      <c r="N102" s="2">
        <f>VLOOKUP(A102,[1]Inventory!C:P,14,FALSE)</f>
        <v>19500</v>
      </c>
      <c r="O102" t="s">
        <v>17</v>
      </c>
    </row>
    <row r="103" spans="1:15">
      <c r="A103" t="s">
        <v>138</v>
      </c>
      <c r="B103" t="s">
        <v>42</v>
      </c>
      <c r="C103" t="str">
        <f>VLOOKUP(A103,[1]Inventory!C:E,3,FALSE)</f>
        <v>Wint Wint Zaw</v>
      </c>
      <c r="D103" t="str">
        <f>VLOOKUP(B103,[1]Inventory!D:F,3,FALSE)</f>
        <v>09-650612392</v>
      </c>
      <c r="E103" t="str">
        <f>VLOOKUP(A103,[1]Inventory!C:G,5,FALSE)</f>
        <v>ကမာရွတ်</v>
      </c>
      <c r="F103" t="str">
        <f>VLOOKUP(A103,[1]Inventory!C:H,6,FALSE)</f>
        <v>ရန်ကုန်တက္ကသိုလ်၊ ကမာရွတ်မြို့နယ်</v>
      </c>
      <c r="G103">
        <v>33000</v>
      </c>
      <c r="H103">
        <v>4000</v>
      </c>
      <c r="I103">
        <f t="shared" si="1"/>
        <v>37000</v>
      </c>
      <c r="J103">
        <f>VLOOKUP(A103,[1]Inventory!C:L,10,FALSE)</f>
        <v>4000</v>
      </c>
      <c r="K103">
        <f>VLOOKUP(A103,[1]Inventory!C:M,11,FALSE)</f>
        <v>4000</v>
      </c>
      <c r="L103">
        <f>VLOOKUP(A103,[1]Inventory!C:N,12,FALSE)</f>
        <v>0</v>
      </c>
      <c r="M103" s="2" t="str">
        <f>VLOOKUP(A103,[1]Inventory!C:O,13,FALSE)</f>
        <v>-</v>
      </c>
      <c r="N103" s="2">
        <f>VLOOKUP(A103,[1]Inventory!C:P,14,FALSE)</f>
        <v>37000</v>
      </c>
      <c r="O103" t="s">
        <v>17</v>
      </c>
    </row>
    <row r="104" spans="1:15">
      <c r="A104" t="s">
        <v>139</v>
      </c>
      <c r="B104" t="s">
        <v>42</v>
      </c>
      <c r="C104" t="str">
        <f>VLOOKUP(A104,[1]Inventory!C:E,3,FALSE)</f>
        <v>Hnint Oo Laykha</v>
      </c>
      <c r="D104" t="str">
        <f>VLOOKUP(B104,[1]Inventory!D:F,3,FALSE)</f>
        <v>09-650612392</v>
      </c>
      <c r="E104" t="str">
        <f>VLOOKUP(A104,[1]Inventory!C:G,5,FALSE)</f>
        <v>သာကေတ</v>
      </c>
      <c r="F104" t="str">
        <f>VLOOKUP(A104,[1]Inventory!C:H,6,FALSE)</f>
        <v>အမှတ် (၃၁)၊ ဈေးလမ်း၊ (၅) ရပ်ကွက်၊ (သာကေတရုပ်ရှင်ရုံအောက်ဘက်)၊ သာကေတမြို့နယ်</v>
      </c>
      <c r="G104">
        <v>121000</v>
      </c>
      <c r="H104">
        <v>4000</v>
      </c>
      <c r="I104">
        <f t="shared" si="1"/>
        <v>125000</v>
      </c>
      <c r="J104">
        <f>VLOOKUP(A104,[1]Inventory!C:L,10,FALSE)</f>
        <v>4000</v>
      </c>
      <c r="K104">
        <f>VLOOKUP(A104,[1]Inventory!C:M,11,FALSE)</f>
        <v>4000</v>
      </c>
      <c r="L104">
        <f>VLOOKUP(A104,[1]Inventory!C:N,12,FALSE)</f>
        <v>0</v>
      </c>
      <c r="M104" s="2" t="str">
        <f>VLOOKUP(A104,[1]Inventory!C:O,13,FALSE)</f>
        <v>-</v>
      </c>
      <c r="N104" s="2">
        <f>VLOOKUP(A104,[1]Inventory!C:P,14,FALSE)</f>
        <v>125000</v>
      </c>
      <c r="O104" t="s">
        <v>17</v>
      </c>
    </row>
    <row r="105" spans="1:15">
      <c r="A105" t="s">
        <v>140</v>
      </c>
      <c r="B105" t="s">
        <v>42</v>
      </c>
      <c r="C105" t="str">
        <f>VLOOKUP(A105,[1]Inventory!C:E,3,FALSE)</f>
        <v>Moe Moe</v>
      </c>
      <c r="D105" t="str">
        <f>VLOOKUP(B105,[1]Inventory!D:F,3,FALSE)</f>
        <v>09-650612392</v>
      </c>
      <c r="E105" t="str">
        <f>VLOOKUP(A105,[1]Inventory!C:G,5,FALSE)</f>
        <v>ရွှေပြည်သာ</v>
      </c>
      <c r="F105" t="str">
        <f>VLOOKUP(A105,[1]Inventory!C:H,6,FALSE)</f>
        <v>ရွှေမြန်မာတည်းခိုခန်း၊ မိုချောင်းအိုင် ရွှေဗဟိုပတ်လမ်း၊ ရွှေပြည်သာမြို့နယ်</v>
      </c>
      <c r="G105">
        <v>42000</v>
      </c>
      <c r="H105">
        <v>4500</v>
      </c>
      <c r="I105">
        <f t="shared" si="1"/>
        <v>46500</v>
      </c>
      <c r="J105">
        <f>VLOOKUP(A105,[1]Inventory!C:L,10,FALSE)</f>
        <v>4500</v>
      </c>
      <c r="K105">
        <f>VLOOKUP(A105,[1]Inventory!C:M,11,FALSE)</f>
        <v>4500</v>
      </c>
      <c r="L105">
        <f>VLOOKUP(A105,[1]Inventory!C:N,12,FALSE)</f>
        <v>0</v>
      </c>
      <c r="M105" s="2" t="str">
        <f>VLOOKUP(A105,[1]Inventory!C:O,13,FALSE)</f>
        <v>-</v>
      </c>
      <c r="N105" s="2">
        <f>VLOOKUP(A105,[1]Inventory!C:P,14,FALSE)</f>
        <v>46500</v>
      </c>
      <c r="O105" t="s">
        <v>17</v>
      </c>
    </row>
    <row r="106" spans="1:15">
      <c r="A106" t="s">
        <v>141</v>
      </c>
      <c r="B106" t="s">
        <v>22</v>
      </c>
      <c r="C106" t="str">
        <f>VLOOKUP(A106,[1]Inventory!C:E,3,FALSE)</f>
        <v>Zeck</v>
      </c>
      <c r="D106" t="str">
        <f>VLOOKUP(B106,[1]Inventory!D:F,3,FALSE)</f>
        <v>09-775879156
 09-783922942</v>
      </c>
      <c r="E106" t="str">
        <f>VLOOKUP(A106,[1]Inventory!C:G,5,FALSE)</f>
        <v>ဒေါပုံ</v>
      </c>
      <c r="F106" t="str">
        <f>VLOOKUP(A106,[1]Inventory!C:H,6,FALSE)</f>
        <v>မဏ္ဍိုင်လမ်း၊ ဝါဆိုရပ်ကွက်၊ ဒေါပုံမြို့နယ်</v>
      </c>
      <c r="G106">
        <v>0</v>
      </c>
      <c r="H106">
        <v>4000</v>
      </c>
      <c r="I106">
        <f t="shared" si="1"/>
        <v>4000</v>
      </c>
      <c r="J106">
        <f>VLOOKUP(A106,[1]Inventory!C:L,10,FALSE)</f>
        <v>4000</v>
      </c>
      <c r="K106">
        <f>VLOOKUP(A106,[1]Inventory!C:M,11,FALSE)</f>
        <v>4000</v>
      </c>
      <c r="L106">
        <f>VLOOKUP(A106,[1]Inventory!C:N,12,FALSE)</f>
        <v>0</v>
      </c>
      <c r="M106" s="2" t="str">
        <f>VLOOKUP(A106,[1]Inventory!C:O,13,FALSE)</f>
        <v>-</v>
      </c>
      <c r="N106" s="2">
        <f>VLOOKUP(A106,[1]Inventory!C:P,14,FALSE)</f>
        <v>4000</v>
      </c>
      <c r="O106" t="s">
        <v>17</v>
      </c>
    </row>
    <row r="107" spans="1:15">
      <c r="A107" t="s">
        <v>142</v>
      </c>
      <c r="B107" t="s">
        <v>22</v>
      </c>
      <c r="C107" t="str">
        <f>VLOOKUP(A107,[1]Inventory!C:E,3,FALSE)</f>
        <v>Mya Thin Kyu</v>
      </c>
      <c r="D107" t="str">
        <f>VLOOKUP(B107,[1]Inventory!D:F,3,FALSE)</f>
        <v>09-775879156
 09-783922942</v>
      </c>
      <c r="E107" t="str">
        <f>VLOOKUP(A107,[1]Inventory!C:G,5,FALSE)</f>
        <v>ရွှေပြည်သာ</v>
      </c>
      <c r="F107" t="str">
        <f>VLOOKUP(A107,[1]Inventory!C:H,6,FALSE)</f>
        <v>အမှတ် (377A)၊ မဟာမြိုင်လမ်း၊ ရွှေပြည်သာမြို့နယ်</v>
      </c>
      <c r="G107">
        <v>0</v>
      </c>
      <c r="H107">
        <v>4500</v>
      </c>
      <c r="I107">
        <f t="shared" si="1"/>
        <v>4500</v>
      </c>
      <c r="J107">
        <f>VLOOKUP(A107,[1]Inventory!C:L,10,FALSE)</f>
        <v>4500</v>
      </c>
      <c r="K107">
        <f>VLOOKUP(A107,[1]Inventory!C:M,11,FALSE)</f>
        <v>4500</v>
      </c>
      <c r="L107">
        <f>VLOOKUP(A107,[1]Inventory!C:N,12,FALSE)</f>
        <v>0</v>
      </c>
      <c r="M107" s="2" t="str">
        <f>VLOOKUP(A107,[1]Inventory!C:O,13,FALSE)</f>
        <v>-</v>
      </c>
      <c r="N107" s="2">
        <f>VLOOKUP(A107,[1]Inventory!C:P,14,FALSE)</f>
        <v>4500</v>
      </c>
      <c r="O107" t="s">
        <v>17</v>
      </c>
    </row>
    <row r="108" spans="1:15">
      <c r="A108" t="s">
        <v>143</v>
      </c>
      <c r="B108" t="s">
        <v>22</v>
      </c>
      <c r="C108" t="str">
        <f>VLOOKUP(A108,[1]Inventory!C:E,3,FALSE)</f>
        <v>Ki Ki</v>
      </c>
      <c r="D108" t="str">
        <f>VLOOKUP(B108,[1]Inventory!D:F,3,FALSE)</f>
        <v>09-775879156
 09-783922942</v>
      </c>
      <c r="E108" t="str">
        <f>VLOOKUP(A108,[1]Inventory!C:G,5,FALSE)</f>
        <v>သာကေတ</v>
      </c>
      <c r="F108" t="str">
        <f>VLOOKUP(A108,[1]Inventory!C:H,6,FALSE)</f>
        <v>အမှတ် (945A)၊ ရှုခင်းသာမြို့ပတ်လမ်း၊ သာကေတမြို့နယ်</v>
      </c>
      <c r="G108">
        <v>20800</v>
      </c>
      <c r="H108">
        <v>4000</v>
      </c>
      <c r="I108">
        <f t="shared" si="1"/>
        <v>24800</v>
      </c>
      <c r="J108">
        <f>VLOOKUP(A108,[1]Inventory!C:L,10,FALSE)</f>
        <v>4000</v>
      </c>
      <c r="K108">
        <f>VLOOKUP(A108,[1]Inventory!C:M,11,FALSE)</f>
        <v>4000</v>
      </c>
      <c r="L108">
        <f>VLOOKUP(A108,[1]Inventory!C:N,12,FALSE)</f>
        <v>0</v>
      </c>
      <c r="M108" s="2" t="str">
        <f>VLOOKUP(A108,[1]Inventory!C:O,13,FALSE)</f>
        <v>-</v>
      </c>
      <c r="N108" s="2">
        <f>VLOOKUP(A108,[1]Inventory!C:P,14,FALSE)</f>
        <v>24800</v>
      </c>
      <c r="O108" t="s">
        <v>17</v>
      </c>
    </row>
    <row r="109" spans="1:15">
      <c r="A109" t="s">
        <v>144</v>
      </c>
      <c r="B109" t="s">
        <v>22</v>
      </c>
      <c r="C109" t="str">
        <f>VLOOKUP(A109,[1]Inventory!C:E,3,FALSE)</f>
        <v>Aye Chan moe</v>
      </c>
      <c r="D109" t="str">
        <f>VLOOKUP(B109,[1]Inventory!D:F,3,FALSE)</f>
        <v>09-775879156
 09-783922942</v>
      </c>
      <c r="E109" t="str">
        <f>VLOOKUP(A109,[1]Inventory!C:G,5,FALSE)</f>
        <v>ကြည့်မြင်တိုင်</v>
      </c>
      <c r="F109" t="str">
        <f>VLOOKUP(A109,[1]Inventory!C:H,6,FALSE)</f>
        <v>ကမ်းသာယာပလာဇာကွန်ဒို၊ ကမ်းနားလမ်း၊ ကြည့်မြင်တိုင်မြို့နယ်</v>
      </c>
      <c r="G109">
        <v>22000</v>
      </c>
      <c r="H109">
        <v>4000</v>
      </c>
      <c r="I109">
        <f t="shared" si="1"/>
        <v>26000</v>
      </c>
      <c r="J109">
        <f>VLOOKUP(A109,[1]Inventory!C:L,10,FALSE)</f>
        <v>4000</v>
      </c>
      <c r="K109">
        <f>VLOOKUP(A109,[1]Inventory!C:M,11,FALSE)</f>
        <v>4000</v>
      </c>
      <c r="L109">
        <f>VLOOKUP(A109,[1]Inventory!C:N,12,FALSE)</f>
        <v>0</v>
      </c>
      <c r="M109" s="2" t="str">
        <f>VLOOKUP(A109,[1]Inventory!C:O,13,FALSE)</f>
        <v>-</v>
      </c>
      <c r="N109" s="2">
        <f>VLOOKUP(A109,[1]Inventory!C:P,14,FALSE)</f>
        <v>26000</v>
      </c>
      <c r="O109" t="s">
        <v>17</v>
      </c>
    </row>
    <row r="110" spans="1:15">
      <c r="A110" t="s">
        <v>145</v>
      </c>
      <c r="B110" t="s">
        <v>22</v>
      </c>
      <c r="C110" t="str">
        <f>VLOOKUP(A110,[1]Inventory!C:E,3,FALSE)</f>
        <v>စန်းပပသင်း</v>
      </c>
      <c r="D110" t="str">
        <f>VLOOKUP(B110,[1]Inventory!D:F,3,FALSE)</f>
        <v>09-775879156
 09-783922942</v>
      </c>
      <c r="E110" t="str">
        <f>VLOOKUP(A110,[1]Inventory!C:G,5,FALSE)</f>
        <v>တာမွေ</v>
      </c>
      <c r="F110" t="str">
        <f>VLOOKUP(A110,[1]Inventory!C:H,6,FALSE)</f>
        <v>အမှတ် (၁၉၇)၊ စက်မှု (၃) လမ်းသွယ် (၂)၊ မေတ္တာညွန့်ရပ်ကွက်၊ တာမွေမြို့နယ်</v>
      </c>
      <c r="G110">
        <v>22000</v>
      </c>
      <c r="H110">
        <v>4000</v>
      </c>
      <c r="I110">
        <f t="shared" si="1"/>
        <v>26000</v>
      </c>
      <c r="J110">
        <f>VLOOKUP(A110,[1]Inventory!C:L,10,FALSE)</f>
        <v>4000</v>
      </c>
      <c r="K110">
        <f>VLOOKUP(A110,[1]Inventory!C:M,11,FALSE)</f>
        <v>4000</v>
      </c>
      <c r="L110">
        <f>VLOOKUP(A110,[1]Inventory!C:N,12,FALSE)</f>
        <v>0</v>
      </c>
      <c r="M110" s="2" t="str">
        <f>VLOOKUP(A110,[1]Inventory!C:O,13,FALSE)</f>
        <v>-</v>
      </c>
      <c r="N110" s="2">
        <f>VLOOKUP(A110,[1]Inventory!C:P,14,FALSE)</f>
        <v>26000</v>
      </c>
      <c r="O110" t="s">
        <v>17</v>
      </c>
    </row>
    <row r="111" spans="1:15">
      <c r="A111" t="s">
        <v>146</v>
      </c>
      <c r="B111" t="s">
        <v>22</v>
      </c>
      <c r="C111" t="str">
        <f>VLOOKUP(A111,[1]Inventory!C:E,3,FALSE)</f>
        <v>နန်းအိဝါ</v>
      </c>
      <c r="D111" t="str">
        <f>VLOOKUP(B111,[1]Inventory!D:F,3,FALSE)</f>
        <v>09-775879156
 09-783922942</v>
      </c>
      <c r="E111" t="str">
        <f>VLOOKUP(A111,[1]Inventory!C:G,5,FALSE)</f>
        <v>ဒေါပုံ</v>
      </c>
      <c r="F111" t="str">
        <f>VLOOKUP(A111,[1]Inventory!C:H,6,FALSE)</f>
        <v>အမှတ် (၉)၊ မင်္ဂလာသီရိလမ်း၊ ဒေါပုံမြို့နယ်</v>
      </c>
      <c r="G111">
        <v>22000</v>
      </c>
      <c r="H111">
        <v>4000</v>
      </c>
      <c r="I111">
        <f t="shared" si="1"/>
        <v>26000</v>
      </c>
      <c r="J111">
        <f>VLOOKUP(A111,[1]Inventory!C:L,10,FALSE)</f>
        <v>4000</v>
      </c>
      <c r="K111">
        <f>VLOOKUP(A111,[1]Inventory!C:M,11,FALSE)</f>
        <v>4000</v>
      </c>
      <c r="L111">
        <f>VLOOKUP(A111,[1]Inventory!C:N,12,FALSE)</f>
        <v>0</v>
      </c>
      <c r="M111" s="2" t="str">
        <f>VLOOKUP(A111,[1]Inventory!C:O,13,FALSE)</f>
        <v>-</v>
      </c>
      <c r="N111" s="2">
        <f>VLOOKUP(A111,[1]Inventory!C:P,14,FALSE)</f>
        <v>26000</v>
      </c>
      <c r="O111" t="s">
        <v>17</v>
      </c>
    </row>
    <row r="112" spans="1:15">
      <c r="A112" t="s">
        <v>147</v>
      </c>
      <c r="B112" t="s">
        <v>22</v>
      </c>
      <c r="C112" t="str">
        <f>VLOOKUP(A112,[1]Inventory!C:E,3,FALSE)</f>
        <v>Tain Yan Khoon Sit</v>
      </c>
      <c r="D112" t="str">
        <f>VLOOKUP(B112,[1]Inventory!D:F,3,FALSE)</f>
        <v>09-775879156
 09-783922942</v>
      </c>
      <c r="E112" t="str">
        <f>VLOOKUP(A112,[1]Inventory!C:G,5,FALSE)</f>
        <v>သာကေတ</v>
      </c>
      <c r="F112" t="str">
        <f>VLOOKUP(A112,[1]Inventory!C:H,6,FALSE)</f>
        <v>ရှုခင်းသာအိမ်ရာ၊ သာကေတမြို့နယ်</v>
      </c>
      <c r="G112">
        <v>23800</v>
      </c>
      <c r="H112">
        <v>4000</v>
      </c>
      <c r="I112">
        <f t="shared" si="1"/>
        <v>27800</v>
      </c>
      <c r="J112">
        <f>VLOOKUP(A112,[1]Inventory!C:L,10,FALSE)</f>
        <v>4000</v>
      </c>
      <c r="K112">
        <f>VLOOKUP(A112,[1]Inventory!C:M,11,FALSE)</f>
        <v>4000</v>
      </c>
      <c r="L112">
        <f>VLOOKUP(A112,[1]Inventory!C:N,12,FALSE)</f>
        <v>0</v>
      </c>
      <c r="M112" s="2" t="str">
        <f>VLOOKUP(A112,[1]Inventory!C:O,13,FALSE)</f>
        <v>-</v>
      </c>
      <c r="N112" s="2">
        <f>VLOOKUP(A112,[1]Inventory!C:P,14,FALSE)</f>
        <v>27800</v>
      </c>
      <c r="O112" t="s">
        <v>17</v>
      </c>
    </row>
    <row r="113" spans="1:15">
      <c r="A113" t="s">
        <v>148</v>
      </c>
      <c r="B113" t="s">
        <v>22</v>
      </c>
      <c r="C113" t="str">
        <f>VLOOKUP(A113,[1]Inventory!C:E,3,FALSE)</f>
        <v>အာနိသိုဝမ်</v>
      </c>
      <c r="D113" t="str">
        <f>VLOOKUP(B113,[1]Inventory!D:F,3,FALSE)</f>
        <v>09-775879156
 09-783922942</v>
      </c>
      <c r="E113" t="str">
        <f>VLOOKUP(A113,[1]Inventory!C:G,5,FALSE)</f>
        <v>ကြည့်မြင်တိုင်</v>
      </c>
      <c r="F113" t="str">
        <f>VLOOKUP(A113,[1]Inventory!C:H,6,FALSE)</f>
        <v>ကြည့်မြင်တိုင်ညဈေး၊ ကြည့်မြင်တိုင်မြို့နယ်</v>
      </c>
      <c r="G113">
        <v>19800</v>
      </c>
      <c r="H113">
        <v>4000</v>
      </c>
      <c r="I113">
        <f t="shared" si="1"/>
        <v>23800</v>
      </c>
      <c r="J113">
        <f>VLOOKUP(A113,[1]Inventory!C:L,10,FALSE)</f>
        <v>4000</v>
      </c>
      <c r="K113">
        <f>VLOOKUP(A113,[1]Inventory!C:M,11,FALSE)</f>
        <v>4000</v>
      </c>
      <c r="L113">
        <f>VLOOKUP(A113,[1]Inventory!C:N,12,FALSE)</f>
        <v>0</v>
      </c>
      <c r="M113" s="2" t="str">
        <f>VLOOKUP(A113,[1]Inventory!C:O,13,FALSE)</f>
        <v>-</v>
      </c>
      <c r="N113" s="2">
        <f>VLOOKUP(A113,[1]Inventory!C:P,14,FALSE)</f>
        <v>23800</v>
      </c>
      <c r="O113" t="s">
        <v>17</v>
      </c>
    </row>
    <row r="114" spans="1:15">
      <c r="A114" t="s">
        <v>149</v>
      </c>
      <c r="B114" t="s">
        <v>22</v>
      </c>
      <c r="C114" t="str">
        <f>VLOOKUP(A114,[1]Inventory!C:E,3,FALSE)</f>
        <v>Ellie</v>
      </c>
      <c r="D114" t="str">
        <f>VLOOKUP(B114,[1]Inventory!D:F,3,FALSE)</f>
        <v>09-775879156
 09-783922942</v>
      </c>
      <c r="E114" t="str">
        <f>VLOOKUP(A114,[1]Inventory!C:G,5,FALSE)</f>
        <v>မင်္ဂလာဒုံ</v>
      </c>
      <c r="F114" t="str">
        <f>VLOOKUP(A114,[1]Inventory!C:H,6,FALSE)</f>
        <v>Shal Minimart၊ အမှတ် (၁၅၉)၊ ကရင်ရင်းလမ်း၊ မင်္ဂလာဒုံမြို့နယ်</v>
      </c>
      <c r="G114">
        <v>0</v>
      </c>
      <c r="H114">
        <v>4500</v>
      </c>
      <c r="I114">
        <f t="shared" si="1"/>
        <v>4500</v>
      </c>
      <c r="J114">
        <f>VLOOKUP(A114,[1]Inventory!C:L,10,FALSE)</f>
        <v>4500</v>
      </c>
      <c r="K114">
        <f>VLOOKUP(A114,[1]Inventory!C:M,11,FALSE)</f>
        <v>4500</v>
      </c>
      <c r="L114">
        <f>VLOOKUP(A114,[1]Inventory!C:N,12,FALSE)</f>
        <v>0</v>
      </c>
      <c r="M114" s="2" t="str">
        <f>VLOOKUP(A114,[1]Inventory!C:O,13,FALSE)</f>
        <v>-</v>
      </c>
      <c r="N114" s="2">
        <f>VLOOKUP(A114,[1]Inventory!C:P,14,FALSE)</f>
        <v>4500</v>
      </c>
      <c r="O114" t="s">
        <v>17</v>
      </c>
    </row>
    <row r="115" spans="1:15">
      <c r="A115" t="s">
        <v>150</v>
      </c>
      <c r="B115" t="s">
        <v>22</v>
      </c>
      <c r="C115" t="str">
        <f>VLOOKUP(A115,[1]Inventory!C:E,3,FALSE)</f>
        <v>Su</v>
      </c>
      <c r="D115" t="str">
        <f>VLOOKUP(B115,[1]Inventory!D:F,3,FALSE)</f>
        <v>09-775879156
 09-783922942</v>
      </c>
      <c r="E115" t="str">
        <f>VLOOKUP(A115,[1]Inventory!C:G,5,FALSE)</f>
        <v>မြောက်ဥက္ကလာပ</v>
      </c>
      <c r="F115" t="str">
        <f>VLOOKUP(A115,[1]Inventory!C:H,6,FALSE)</f>
        <v>အမှတ် (၄၈)၊ စံပယ်လမ်း၊ (၁၇) ရပ်ကွက်၊ ရွှေပေါက်ကံ၊ မြောက်ဥက္ကလာပမြို့နယ်</v>
      </c>
      <c r="G115">
        <v>0</v>
      </c>
      <c r="H115">
        <v>4500</v>
      </c>
      <c r="I115">
        <f t="shared" si="1"/>
        <v>4500</v>
      </c>
      <c r="J115">
        <f>VLOOKUP(A115,[1]Inventory!C:L,10,FALSE)</f>
        <v>4500</v>
      </c>
      <c r="K115">
        <f>VLOOKUP(A115,[1]Inventory!C:M,11,FALSE)</f>
        <v>4500</v>
      </c>
      <c r="L115">
        <f>VLOOKUP(A115,[1]Inventory!C:N,12,FALSE)</f>
        <v>0</v>
      </c>
      <c r="M115" s="2" t="str">
        <f>VLOOKUP(A115,[1]Inventory!C:O,13,FALSE)</f>
        <v>-</v>
      </c>
      <c r="N115" s="2">
        <f>VLOOKUP(A115,[1]Inventory!C:P,14,FALSE)</f>
        <v>4500</v>
      </c>
      <c r="O115" t="s">
        <v>17</v>
      </c>
    </row>
    <row r="116" spans="1:15">
      <c r="A116" t="s">
        <v>151</v>
      </c>
      <c r="B116" t="s">
        <v>22</v>
      </c>
      <c r="C116" t="str">
        <f>VLOOKUP(A116,[1]Inventory!C:E,3,FALSE)</f>
        <v>Zee Kwet</v>
      </c>
      <c r="D116" t="str">
        <f>VLOOKUP(B116,[1]Inventory!D:F,3,FALSE)</f>
        <v>09-775879156
 09-783922942</v>
      </c>
      <c r="E116" t="str">
        <f>VLOOKUP(A116,[1]Inventory!C:G,5,FALSE)</f>
        <v>မြောက်ဒဂုံ</v>
      </c>
      <c r="F116" t="str">
        <f>VLOOKUP(A116,[1]Inventory!C:H,6,FALSE)</f>
        <v>အမှတ် (၈၀၃)၊ ဗထူးအိမ်ရာ၊ မြောက်ဒဂုံမြို့နယ်</v>
      </c>
      <c r="G116">
        <v>0</v>
      </c>
      <c r="H116">
        <v>4000</v>
      </c>
      <c r="I116">
        <f t="shared" si="1"/>
        <v>4000</v>
      </c>
      <c r="J116">
        <f>VLOOKUP(A116,[1]Inventory!C:L,10,FALSE)</f>
        <v>4000</v>
      </c>
      <c r="K116">
        <f>VLOOKUP(A116,[1]Inventory!C:M,11,FALSE)</f>
        <v>4000</v>
      </c>
      <c r="L116">
        <f>VLOOKUP(A116,[1]Inventory!C:N,12,FALSE)</f>
        <v>0</v>
      </c>
      <c r="M116" s="2" t="str">
        <f>VLOOKUP(A116,[1]Inventory!C:O,13,FALSE)</f>
        <v>-</v>
      </c>
      <c r="N116" s="2">
        <f>VLOOKUP(A116,[1]Inventory!C:P,14,FALSE)</f>
        <v>4000</v>
      </c>
      <c r="O116" t="s">
        <v>17</v>
      </c>
    </row>
    <row r="117" spans="1:15">
      <c r="A117" t="s">
        <v>152</v>
      </c>
      <c r="B117" t="s">
        <v>22</v>
      </c>
      <c r="C117" t="str">
        <f>VLOOKUP(A117,[1]Inventory!C:E,3,FALSE)</f>
        <v>Thet htar San</v>
      </c>
      <c r="D117" t="str">
        <f>VLOOKUP(B117,[1]Inventory!D:F,3,FALSE)</f>
        <v>09-775879156
 09-783922942</v>
      </c>
      <c r="E117" t="str">
        <f>VLOOKUP(A117,[1]Inventory!C:G,5,FALSE)</f>
        <v>မရမ်းကုန်း</v>
      </c>
      <c r="F117" t="str">
        <f>VLOOKUP(A117,[1]Inventory!C:H,6,FALSE)</f>
        <v>အမှတ် (၆၅)၊ ကျိုက်ဝိုင်းဘုရားလမ်း၊ မရမ်းကုန်းမြို့နယ်</v>
      </c>
      <c r="G117">
        <v>0</v>
      </c>
      <c r="H117">
        <v>0</v>
      </c>
      <c r="I117">
        <f t="shared" si="1"/>
        <v>0</v>
      </c>
      <c r="J117">
        <f>VLOOKUP(A117,[1]Inventory!C:L,10,FALSE)</f>
        <v>4000</v>
      </c>
      <c r="K117" t="str">
        <f>VLOOKUP(A117,[1]Inventory!C:M,11,FALSE)</f>
        <v>-</v>
      </c>
      <c r="L117">
        <f>VLOOKUP(A117,[1]Inventory!C:N,12,FALSE)</f>
        <v>0</v>
      </c>
      <c r="M117" s="2" t="str">
        <f>VLOOKUP(A117,[1]Inventory!C:O,13,FALSE)</f>
        <v>-</v>
      </c>
      <c r="N117" s="2" t="str">
        <f>VLOOKUP(A117,[1]Inventory!C:P,14,FALSE)</f>
        <v>-</v>
      </c>
      <c r="O117" t="s">
        <v>17</v>
      </c>
    </row>
    <row r="118" spans="1:15">
      <c r="A118" t="s">
        <v>153</v>
      </c>
      <c r="B118" t="s">
        <v>22</v>
      </c>
      <c r="C118" t="str">
        <f>VLOOKUP(A118,[1]Inventory!C:E,3,FALSE)</f>
        <v>Phyu Hnin May</v>
      </c>
      <c r="D118" t="str">
        <f>VLOOKUP(B118,[1]Inventory!D:F,3,FALSE)</f>
        <v>09-775879156
 09-783922942</v>
      </c>
      <c r="E118" t="str">
        <f>VLOOKUP(A118,[1]Inventory!C:G,5,FALSE)</f>
        <v>ကြည့်မြင်တိုင်</v>
      </c>
      <c r="F118" t="str">
        <f>VLOOKUP(A118,[1]Inventory!C:H,6,FALSE)</f>
        <v>သာဓုလမ်း၊ ကြည့်မြင်တိုင်မြို့နယ်</v>
      </c>
      <c r="G118">
        <v>0</v>
      </c>
      <c r="H118">
        <v>0</v>
      </c>
      <c r="I118">
        <f t="shared" si="1"/>
        <v>0</v>
      </c>
      <c r="J118">
        <f>VLOOKUP(A118,[1]Inventory!C:L,10,FALSE)</f>
        <v>4000</v>
      </c>
      <c r="K118" t="str">
        <f>VLOOKUP(A118,[1]Inventory!C:M,11,FALSE)</f>
        <v>-</v>
      </c>
      <c r="L118">
        <f>VLOOKUP(A118,[1]Inventory!C:N,12,FALSE)</f>
        <v>0</v>
      </c>
      <c r="M118" s="2" t="str">
        <f>VLOOKUP(A118,[1]Inventory!C:O,13,FALSE)</f>
        <v>-</v>
      </c>
      <c r="N118" s="2" t="str">
        <f>VLOOKUP(A118,[1]Inventory!C:P,14,FALSE)</f>
        <v>-</v>
      </c>
      <c r="O118" t="s">
        <v>17</v>
      </c>
    </row>
    <row r="119" spans="1:15">
      <c r="A119" t="s">
        <v>154</v>
      </c>
      <c r="B119" t="s">
        <v>22</v>
      </c>
      <c r="C119" t="str">
        <f>VLOOKUP(A119,[1]Inventory!C:E,3,FALSE)</f>
        <v>Ei Phyu</v>
      </c>
      <c r="D119" t="str">
        <f>VLOOKUP(B119,[1]Inventory!D:F,3,FALSE)</f>
        <v>09-775879156
 09-783922942</v>
      </c>
      <c r="E119" t="str">
        <f>VLOOKUP(A119,[1]Inventory!C:G,5,FALSE)</f>
        <v>ရွှေပြည်သာ</v>
      </c>
      <c r="F119" t="str">
        <f>VLOOKUP(A119,[1]Inventory!C:H,6,FALSE)</f>
        <v>သာဓုကန်၊ ဇေယျာသီရိ၊ ရွှေပြည်သာမြို့နယ်</v>
      </c>
      <c r="G119">
        <v>45000</v>
      </c>
      <c r="H119">
        <v>4500</v>
      </c>
      <c r="I119">
        <f t="shared" si="1"/>
        <v>49500</v>
      </c>
      <c r="J119">
        <f>VLOOKUP(A119,[1]Inventory!C:L,10,FALSE)</f>
        <v>4500</v>
      </c>
      <c r="K119">
        <f>VLOOKUP(A119,[1]Inventory!C:M,11,FALSE)</f>
        <v>4500</v>
      </c>
      <c r="L119">
        <f>VLOOKUP(A119,[1]Inventory!C:N,12,FALSE)</f>
        <v>0</v>
      </c>
      <c r="M119" s="2" t="str">
        <f>VLOOKUP(A119,[1]Inventory!C:O,13,FALSE)</f>
        <v>-</v>
      </c>
      <c r="N119" s="2">
        <f>VLOOKUP(A119,[1]Inventory!C:P,14,FALSE)</f>
        <v>49500</v>
      </c>
      <c r="O119" t="s">
        <v>17</v>
      </c>
    </row>
    <row r="120" spans="1:15">
      <c r="A120" t="s">
        <v>155</v>
      </c>
      <c r="B120" t="s">
        <v>22</v>
      </c>
      <c r="C120" t="str">
        <f>VLOOKUP(A120,[1]Inventory!C:E,3,FALSE)</f>
        <v>မနုနုရီ</v>
      </c>
      <c r="D120" t="str">
        <f>VLOOKUP(B120,[1]Inventory!D:F,3,FALSE)</f>
        <v>09-775879156
 09-783922942</v>
      </c>
      <c r="E120" t="str">
        <f>VLOOKUP(A120,[1]Inventory!C:G,5,FALSE)</f>
        <v>ပန်းဘဲတန်း</v>
      </c>
      <c r="F120" t="str">
        <f>VLOOKUP(A120,[1]Inventory!C:H,6,FALSE)</f>
        <v>အမှတ် (၅၃၂/၅၄၂)၊ ပထမထပ်၊ (၂၇) လမ်း နှင့် မဟာဗန္ဓုလလမ်းထောင့်၊ ပန်းဘဲတန်းမြို့နယ်</v>
      </c>
      <c r="G120">
        <v>26500</v>
      </c>
      <c r="H120">
        <v>4000</v>
      </c>
      <c r="I120">
        <f t="shared" si="1"/>
        <v>30500</v>
      </c>
      <c r="J120">
        <f>VLOOKUP(A120,[1]Inventory!C:L,10,FALSE)</f>
        <v>4000</v>
      </c>
      <c r="K120">
        <f>VLOOKUP(A120,[1]Inventory!C:M,11,FALSE)</f>
        <v>4000</v>
      </c>
      <c r="L120">
        <f>VLOOKUP(A120,[1]Inventory!C:N,12,FALSE)</f>
        <v>0</v>
      </c>
      <c r="M120" s="2" t="str">
        <f>VLOOKUP(A120,[1]Inventory!C:O,13,FALSE)</f>
        <v>-</v>
      </c>
      <c r="N120" s="2">
        <f>VLOOKUP(A120,[1]Inventory!C:P,14,FALSE)</f>
        <v>30500</v>
      </c>
      <c r="O120" t="s">
        <v>17</v>
      </c>
    </row>
    <row r="121" spans="1:15">
      <c r="A121" t="s">
        <v>156</v>
      </c>
      <c r="B121" t="s">
        <v>22</v>
      </c>
      <c r="C121" t="str">
        <f>VLOOKUP(A121,[1]Inventory!C:E,3,FALSE)</f>
        <v>Adalia</v>
      </c>
      <c r="D121" t="str">
        <f>VLOOKUP(B121,[1]Inventory!D:F,3,FALSE)</f>
        <v>09-775879156
 09-783922942</v>
      </c>
      <c r="E121" t="str">
        <f>VLOOKUP(A121,[1]Inventory!C:G,5,FALSE)</f>
        <v>စမ်းချောင်း</v>
      </c>
      <c r="F121" t="str">
        <f>VLOOKUP(A121,[1]Inventory!C:H,6,FALSE)</f>
        <v>တိုက် (၃)၊ ဇလွန်လမ်း၊ စမ်းချောင်းမြို့နယ်</v>
      </c>
      <c r="G121">
        <v>22000</v>
      </c>
      <c r="H121">
        <v>4000</v>
      </c>
      <c r="I121">
        <f t="shared" si="1"/>
        <v>26000</v>
      </c>
      <c r="J121">
        <f>VLOOKUP(A121,[1]Inventory!C:L,10,FALSE)</f>
        <v>4000</v>
      </c>
      <c r="K121">
        <f>VLOOKUP(A121,[1]Inventory!C:M,11,FALSE)</f>
        <v>4000</v>
      </c>
      <c r="L121">
        <f>VLOOKUP(A121,[1]Inventory!C:N,12,FALSE)</f>
        <v>0</v>
      </c>
      <c r="M121" s="2" t="str">
        <f>VLOOKUP(A121,[1]Inventory!C:O,13,FALSE)</f>
        <v>-</v>
      </c>
      <c r="N121" s="2">
        <f>VLOOKUP(A121,[1]Inventory!C:P,14,FALSE)</f>
        <v>26000</v>
      </c>
      <c r="O121" t="s">
        <v>17</v>
      </c>
    </row>
    <row r="122" spans="1:15">
      <c r="A122" t="s">
        <v>157</v>
      </c>
      <c r="B122" t="s">
        <v>22</v>
      </c>
      <c r="C122" t="str">
        <f>VLOOKUP(A122,[1]Inventory!C:E,3,FALSE)</f>
        <v>Christine Kim</v>
      </c>
      <c r="D122" t="str">
        <f>VLOOKUP(B122,[1]Inventory!D:F,3,FALSE)</f>
        <v>09-775879156
 09-783922942</v>
      </c>
      <c r="E122" t="str">
        <f>VLOOKUP(A122,[1]Inventory!C:G,5,FALSE)</f>
        <v>[ကမာရွတ်]</v>
      </c>
      <c r="F122" t="str">
        <f>VLOOKUP(A122,[1]Inventory!C:H,6,FALSE)</f>
        <v>ပြည်ရိပ်မွန်အိမ်ရာ၊ တိုက် (၂၂)၊ ကမာရွတ်မြို့နယ်</v>
      </c>
      <c r="G122">
        <v>0</v>
      </c>
      <c r="H122">
        <v>0</v>
      </c>
      <c r="I122">
        <f t="shared" si="1"/>
        <v>0</v>
      </c>
      <c r="J122">
        <f>VLOOKUP(A122,[1]Inventory!C:L,10,FALSE)</f>
        <v>0</v>
      </c>
      <c r="K122" t="str">
        <f>VLOOKUP(A122,[1]Inventory!C:M,11,FALSE)</f>
        <v>-</v>
      </c>
      <c r="L122">
        <f>VLOOKUP(A122,[1]Inventory!C:N,12,FALSE)</f>
        <v>0</v>
      </c>
      <c r="M122" s="2" t="str">
        <f>VLOOKUP(A122,[1]Inventory!C:O,13,FALSE)</f>
        <v>-</v>
      </c>
      <c r="N122" s="2" t="str">
        <f>VLOOKUP(A122,[1]Inventory!C:P,14,FALSE)</f>
        <v>-</v>
      </c>
      <c r="O122" t="s">
        <v>17</v>
      </c>
    </row>
    <row r="123" spans="1:15">
      <c r="A123" t="s">
        <v>158</v>
      </c>
      <c r="B123" t="s">
        <v>22</v>
      </c>
      <c r="C123" t="str">
        <f>VLOOKUP(A123,[1]Inventory!C:E,3,FALSE)</f>
        <v>Linn Soe Ko</v>
      </c>
      <c r="D123" t="str">
        <f>VLOOKUP(B123,[1]Inventory!D:F,3,FALSE)</f>
        <v>09-775879156
 09-783922942</v>
      </c>
      <c r="E123" t="str">
        <f>VLOOKUP(A123,[1]Inventory!C:G,5,FALSE)</f>
        <v>တာမွေ</v>
      </c>
      <c r="F123" t="str">
        <f>VLOOKUP(A123,[1]Inventory!C:H,6,FALSE)</f>
        <v>အမှတ် (၁၃၇)၊ မအူကုန်းလမ်းကျယ်၊ တာမွေမြို့နယ်</v>
      </c>
      <c r="G123">
        <v>22000</v>
      </c>
      <c r="H123">
        <v>4000</v>
      </c>
      <c r="I123">
        <f t="shared" si="1"/>
        <v>26000</v>
      </c>
      <c r="J123">
        <f>VLOOKUP(A123,[1]Inventory!C:L,10,FALSE)</f>
        <v>4000</v>
      </c>
      <c r="K123">
        <f>VLOOKUP(A123,[1]Inventory!C:M,11,FALSE)</f>
        <v>4000</v>
      </c>
      <c r="L123">
        <f>VLOOKUP(A123,[1]Inventory!C:N,12,FALSE)</f>
        <v>0</v>
      </c>
      <c r="M123" s="2" t="str">
        <f>VLOOKUP(A123,[1]Inventory!C:O,13,FALSE)</f>
        <v>-</v>
      </c>
      <c r="N123" s="2">
        <f>VLOOKUP(A123,[1]Inventory!C:P,14,FALSE)</f>
        <v>26000</v>
      </c>
      <c r="O123" t="s">
        <v>17</v>
      </c>
    </row>
    <row r="124" spans="1:15">
      <c r="A124" t="s">
        <v>159</v>
      </c>
      <c r="B124" t="s">
        <v>22</v>
      </c>
      <c r="C124" t="str">
        <f>VLOOKUP(A124,[1]Inventory!C:E,3,FALSE)</f>
        <v>Soe Thiri Aung</v>
      </c>
      <c r="D124" t="str">
        <f>VLOOKUP(B124,[1]Inventory!D:F,3,FALSE)</f>
        <v>09-775879156
 09-783922942</v>
      </c>
      <c r="E124" t="str">
        <f>VLOOKUP(A124,[1]Inventory!C:G,5,FALSE)</f>
        <v>ကမာရွတ်</v>
      </c>
      <c r="F124" t="str">
        <f>VLOOKUP(A124,[1]Inventory!C:H,6,FALSE)</f>
        <v>တိုက် (၁၇)၊ ဗဟိုလမ်း၊ လှည်းတန်း၊ (ဆိုက်ကားဂိတ်မှတ်တိုင်)၊ ကမာရွတ်မြို့နယ်</v>
      </c>
      <c r="G124">
        <v>0</v>
      </c>
      <c r="H124">
        <v>4000</v>
      </c>
      <c r="I124">
        <f t="shared" si="1"/>
        <v>4000</v>
      </c>
      <c r="J124">
        <f>VLOOKUP(A124,[1]Inventory!C:L,10,FALSE)</f>
        <v>4000</v>
      </c>
      <c r="K124">
        <f>VLOOKUP(A124,[1]Inventory!C:M,11,FALSE)</f>
        <v>4000</v>
      </c>
      <c r="L124">
        <f>VLOOKUP(A124,[1]Inventory!C:N,12,FALSE)</f>
        <v>0</v>
      </c>
      <c r="M124" s="2" t="str">
        <f>VLOOKUP(A124,[1]Inventory!C:O,13,FALSE)</f>
        <v>-</v>
      </c>
      <c r="N124" s="2">
        <f>VLOOKUP(A124,[1]Inventory!C:P,14,FALSE)</f>
        <v>4000</v>
      </c>
      <c r="O124" t="s">
        <v>17</v>
      </c>
    </row>
    <row r="125" spans="1:15">
      <c r="A125" t="s">
        <v>160</v>
      </c>
      <c r="B125" t="s">
        <v>22</v>
      </c>
      <c r="C125" t="str">
        <f>VLOOKUP(A125,[1]Inventory!C:E,3,FALSE)</f>
        <v>Pyae Mon Mon Ko</v>
      </c>
      <c r="D125" t="str">
        <f>VLOOKUP(B125,[1]Inventory!D:F,3,FALSE)</f>
        <v>09-775879156
 09-783922942</v>
      </c>
      <c r="E125" t="str">
        <f>VLOOKUP(A125,[1]Inventory!C:G,5,FALSE)</f>
        <v>ဗိုလ်တထောင်</v>
      </c>
      <c r="F125" t="str">
        <f>VLOOKUP(A125,[1]Inventory!C:H,6,FALSE)</f>
        <v>အမှတ် (၁၀/၁၂)၊ မြေညီထပ်၊ (၄) ရပ်ကွက်၊ ဗိုလ်တထောင်မြို့နယ်</v>
      </c>
      <c r="G125">
        <v>20800</v>
      </c>
      <c r="H125">
        <v>4000</v>
      </c>
      <c r="I125">
        <f t="shared" si="1"/>
        <v>24800</v>
      </c>
      <c r="J125">
        <f>VLOOKUP(A125,[1]Inventory!C:L,10,FALSE)</f>
        <v>4000</v>
      </c>
      <c r="K125">
        <f>VLOOKUP(A125,[1]Inventory!C:M,11,FALSE)</f>
        <v>4000</v>
      </c>
      <c r="L125">
        <f>VLOOKUP(A125,[1]Inventory!C:N,12,FALSE)</f>
        <v>0</v>
      </c>
      <c r="M125" s="2" t="str">
        <f>VLOOKUP(A125,[1]Inventory!C:O,13,FALSE)</f>
        <v>-</v>
      </c>
      <c r="N125" s="2">
        <f>VLOOKUP(A125,[1]Inventory!C:P,14,FALSE)</f>
        <v>24800</v>
      </c>
      <c r="O125" t="s">
        <v>17</v>
      </c>
    </row>
    <row r="126" spans="1:15">
      <c r="A126" t="s">
        <v>161</v>
      </c>
      <c r="B126" t="s">
        <v>22</v>
      </c>
      <c r="C126" t="str">
        <f>VLOOKUP(A126,[1]Inventory!C:E,3,FALSE)</f>
        <v>Eaint Thae</v>
      </c>
      <c r="D126" t="str">
        <f>VLOOKUP(B126,[1]Inventory!D:F,3,FALSE)</f>
        <v>09-775879156
 09-783922942</v>
      </c>
      <c r="E126" t="str">
        <f>VLOOKUP(A126,[1]Inventory!C:G,5,FALSE)</f>
        <v>လှိုင်</v>
      </c>
      <c r="F126" t="str">
        <f>VLOOKUP(A126,[1]Inventory!C:H,6,FALSE)</f>
        <v>စီးပွားရေးတက္ကသိုလ်၊ လှိုင်မြို့နယ်</v>
      </c>
      <c r="G126">
        <v>57000</v>
      </c>
      <c r="H126">
        <v>4000</v>
      </c>
      <c r="I126">
        <f t="shared" si="1"/>
        <v>61000</v>
      </c>
      <c r="J126">
        <f>VLOOKUP(A126,[1]Inventory!C:L,10,FALSE)</f>
        <v>4000</v>
      </c>
      <c r="K126">
        <f>VLOOKUP(A126,[1]Inventory!C:M,11,FALSE)</f>
        <v>4000</v>
      </c>
      <c r="L126">
        <f>VLOOKUP(A126,[1]Inventory!C:N,12,FALSE)</f>
        <v>0</v>
      </c>
      <c r="M126" s="2" t="str">
        <f>VLOOKUP(A126,[1]Inventory!C:O,13,FALSE)</f>
        <v>-</v>
      </c>
      <c r="N126" s="2">
        <f>VLOOKUP(A126,[1]Inventory!C:P,14,FALSE)</f>
        <v>61000</v>
      </c>
      <c r="O126" t="s">
        <v>17</v>
      </c>
    </row>
    <row r="127" spans="1:15">
      <c r="A127" t="s">
        <v>162</v>
      </c>
      <c r="B127" t="s">
        <v>22</v>
      </c>
      <c r="C127" t="str">
        <f>VLOOKUP(A127,[1]Inventory!C:E,3,FALSE)</f>
        <v>ဝေဝေကျော်</v>
      </c>
      <c r="D127" t="str">
        <f>VLOOKUP(B127,[1]Inventory!D:F,3,FALSE)</f>
        <v>09-775879156
 09-783922942</v>
      </c>
      <c r="E127" t="str">
        <f>VLOOKUP(A127,[1]Inventory!C:G,5,FALSE)</f>
        <v>သာကေတ</v>
      </c>
      <c r="F127" t="str">
        <f>VLOOKUP(A127,[1]Inventory!C:H,6,FALSE)</f>
        <v>အမှတ် (၅၈)၊ ပတ္တမြားလမ်း၊ (ခိုင်ရွှေဝါမှတ်တိုင်)၊ သာကေတမြို့နယ်</v>
      </c>
      <c r="G127">
        <v>22000</v>
      </c>
      <c r="H127">
        <v>4000</v>
      </c>
      <c r="I127">
        <f t="shared" si="1"/>
        <v>26000</v>
      </c>
      <c r="J127">
        <f>VLOOKUP(A127,[1]Inventory!C:L,10,FALSE)</f>
        <v>4000</v>
      </c>
      <c r="K127">
        <f>VLOOKUP(A127,[1]Inventory!C:M,11,FALSE)</f>
        <v>4000</v>
      </c>
      <c r="L127">
        <f>VLOOKUP(A127,[1]Inventory!C:N,12,FALSE)</f>
        <v>0</v>
      </c>
      <c r="M127" s="2" t="str">
        <f>VLOOKUP(A127,[1]Inventory!C:O,13,FALSE)</f>
        <v>-</v>
      </c>
      <c r="N127" s="2">
        <f>VLOOKUP(A127,[1]Inventory!C:P,14,FALSE)</f>
        <v>26000</v>
      </c>
      <c r="O127" t="s">
        <v>17</v>
      </c>
    </row>
    <row r="128" spans="1:15">
      <c r="A128" t="s">
        <v>163</v>
      </c>
      <c r="B128" t="s">
        <v>22</v>
      </c>
      <c r="C128" t="str">
        <f>VLOOKUP(A128,[1]Inventory!C:E,3,FALSE)</f>
        <v>Thin Htet Htet Aung</v>
      </c>
      <c r="D128" t="str">
        <f>VLOOKUP(B128,[1]Inventory!D:F,3,FALSE)</f>
        <v>09-775879156
 09-783922942</v>
      </c>
      <c r="E128" t="str">
        <f>VLOOKUP(A128,[1]Inventory!C:G,5,FALSE)</f>
        <v>မြောက်ဥက္ကလာပ</v>
      </c>
      <c r="F128" t="str">
        <f>VLOOKUP(A128,[1]Inventory!C:H,6,FALSE)</f>
        <v>အမှတ် (၂၃၁)၊ ဥက္ကာ (၈) လမ်း၊ (ဆေး ၂ ရှေ့)၊ မြောက်ဥက္ကလာပမြို့နယ်</v>
      </c>
      <c r="G128">
        <v>22800</v>
      </c>
      <c r="H128">
        <v>4500</v>
      </c>
      <c r="I128">
        <f t="shared" si="1"/>
        <v>27300</v>
      </c>
      <c r="J128">
        <f>VLOOKUP(A128,[1]Inventory!C:L,10,FALSE)</f>
        <v>4500</v>
      </c>
      <c r="K128">
        <f>VLOOKUP(A128,[1]Inventory!C:M,11,FALSE)</f>
        <v>4500</v>
      </c>
      <c r="L128">
        <f>VLOOKUP(A128,[1]Inventory!C:N,12,FALSE)</f>
        <v>0</v>
      </c>
      <c r="M128" s="2" t="str">
        <f>VLOOKUP(A128,[1]Inventory!C:O,13,FALSE)</f>
        <v>-</v>
      </c>
      <c r="N128" s="2">
        <f>VLOOKUP(A128,[1]Inventory!C:P,14,FALSE)</f>
        <v>27300</v>
      </c>
      <c r="O128" t="s">
        <v>17</v>
      </c>
    </row>
    <row r="129" spans="1:15">
      <c r="A129" t="s">
        <v>164</v>
      </c>
      <c r="B129" t="s">
        <v>22</v>
      </c>
      <c r="C129" t="str">
        <f>VLOOKUP(A129,[1]Inventory!C:E,3,FALSE)</f>
        <v>Thazin Phoo</v>
      </c>
      <c r="D129" t="str">
        <f>VLOOKUP(B129,[1]Inventory!D:F,3,FALSE)</f>
        <v>09-775879156
 09-783922942</v>
      </c>
      <c r="E129" t="str">
        <f>VLOOKUP(A129,[1]Inventory!C:G,5,FALSE)</f>
        <v>သာကေတ</v>
      </c>
      <c r="F129" t="str">
        <f>VLOOKUP(A129,[1]Inventory!C:H,6,FALSE)</f>
        <v>အမှတ် (၂၄/၂၆)၊ ပထမထပ်၊ ရန်အောင်လမ်း၊ (၃/ရန်ပြေ)၊ သာကေတမြို့နယ်</v>
      </c>
      <c r="G129">
        <v>19500</v>
      </c>
      <c r="H129">
        <v>4000</v>
      </c>
      <c r="I129">
        <f t="shared" si="1"/>
        <v>23500</v>
      </c>
      <c r="J129">
        <f>VLOOKUP(A129,[1]Inventory!C:L,10,FALSE)</f>
        <v>4000</v>
      </c>
      <c r="K129">
        <f>VLOOKUP(A129,[1]Inventory!C:M,11,FALSE)</f>
        <v>4000</v>
      </c>
      <c r="L129">
        <f>VLOOKUP(A129,[1]Inventory!C:N,12,FALSE)</f>
        <v>0</v>
      </c>
      <c r="M129" s="2" t="str">
        <f>VLOOKUP(A129,[1]Inventory!C:O,13,FALSE)</f>
        <v>-</v>
      </c>
      <c r="N129" s="2">
        <f>VLOOKUP(A129,[1]Inventory!C:P,14,FALSE)</f>
        <v>23500</v>
      </c>
      <c r="O129" t="s">
        <v>17</v>
      </c>
    </row>
    <row r="130" spans="1:15">
      <c r="A130" t="s">
        <v>165</v>
      </c>
      <c r="B130" t="s">
        <v>22</v>
      </c>
      <c r="C130" t="str">
        <f>VLOOKUP(A130,[1]Inventory!C:E,3,FALSE)</f>
        <v>ဂျာဆိုင်းမွန်း</v>
      </c>
      <c r="D130" t="str">
        <f>VLOOKUP(B130,[1]Inventory!D:F,3,FALSE)</f>
        <v>09-775879156
 09-783922942</v>
      </c>
      <c r="E130" t="str">
        <f>VLOOKUP(A130,[1]Inventory!C:G,5,FALSE)</f>
        <v>စမ်းချောင်း</v>
      </c>
      <c r="F130" t="str">
        <f>VLOOKUP(A130,[1]Inventory!C:H,6,FALSE)</f>
        <v>ဗဟိုလမ်း၊ (YGN Gym အနီး)၊ စမ်းချောင်းမြို့နယ်</v>
      </c>
      <c r="G130">
        <v>20500</v>
      </c>
      <c r="H130">
        <v>4000</v>
      </c>
      <c r="I130">
        <f t="shared" si="1"/>
        <v>24500</v>
      </c>
      <c r="J130">
        <f>VLOOKUP(A130,[1]Inventory!C:L,10,FALSE)</f>
        <v>4000</v>
      </c>
      <c r="K130">
        <f>VLOOKUP(A130,[1]Inventory!C:M,11,FALSE)</f>
        <v>4000</v>
      </c>
      <c r="L130">
        <f>VLOOKUP(A130,[1]Inventory!C:N,12,FALSE)</f>
        <v>0</v>
      </c>
      <c r="M130" s="2" t="str">
        <f>VLOOKUP(A130,[1]Inventory!C:O,13,FALSE)</f>
        <v>-</v>
      </c>
      <c r="N130" s="2">
        <f>VLOOKUP(A130,[1]Inventory!C:P,14,FALSE)</f>
        <v>24500</v>
      </c>
      <c r="O130" t="s">
        <v>17</v>
      </c>
    </row>
    <row r="131" spans="1:15">
      <c r="A131" t="s">
        <v>166</v>
      </c>
      <c r="B131" t="s">
        <v>22</v>
      </c>
      <c r="C131" t="str">
        <f>VLOOKUP(A131,[1]Inventory!C:E,3,FALSE)</f>
        <v>Moe Wai Hin</v>
      </c>
      <c r="D131" t="str">
        <f>VLOOKUP(B131,[1]Inventory!D:F,3,FALSE)</f>
        <v>09-775879156
 09-783922942</v>
      </c>
      <c r="E131" t="str">
        <f>VLOOKUP(A131,[1]Inventory!C:G,5,FALSE)</f>
        <v>တောင်ဥက္ကလာပ</v>
      </c>
      <c r="F131" t="str">
        <f>VLOOKUP(A131,[1]Inventory!C:H,6,FALSE)</f>
        <v>(စီမံကိန်းမှတ်တိုင်အနီး)၊ တောင်ဥက္ကလာပမြို့နယ်</v>
      </c>
      <c r="G131">
        <v>0</v>
      </c>
      <c r="H131">
        <v>4000</v>
      </c>
      <c r="I131">
        <f t="shared" si="1"/>
        <v>4000</v>
      </c>
      <c r="J131">
        <f>VLOOKUP(A131,[1]Inventory!C:L,10,FALSE)</f>
        <v>4000</v>
      </c>
      <c r="K131">
        <f>VLOOKUP(A131,[1]Inventory!C:M,11,FALSE)</f>
        <v>4000</v>
      </c>
      <c r="L131">
        <f>VLOOKUP(A131,[1]Inventory!C:N,12,FALSE)</f>
        <v>0</v>
      </c>
      <c r="M131" s="2" t="str">
        <f>VLOOKUP(A131,[1]Inventory!C:O,13,FALSE)</f>
        <v>-</v>
      </c>
      <c r="N131" s="2">
        <f>VLOOKUP(A131,[1]Inventory!C:P,14,FALSE)</f>
        <v>4000</v>
      </c>
      <c r="O131" t="s">
        <v>17</v>
      </c>
    </row>
    <row r="132" spans="1:15">
      <c r="A132" t="s">
        <v>167</v>
      </c>
      <c r="B132" t="s">
        <v>22</v>
      </c>
      <c r="C132" t="str">
        <f>VLOOKUP(A132,[1]Inventory!C:E,3,FALSE)</f>
        <v>Phyo Myat</v>
      </c>
      <c r="D132" t="str">
        <f>VLOOKUP(B132,[1]Inventory!D:F,3,FALSE)</f>
        <v>09-775879156
 09-783922942</v>
      </c>
      <c r="E132" t="str">
        <f>VLOOKUP(A132,[1]Inventory!C:G,5,FALSE)</f>
        <v>မင်္ဂလာဒုံ</v>
      </c>
      <c r="F132" t="str">
        <f>VLOOKUP(A132,[1]Inventory!C:H,6,FALSE)</f>
        <v>ထောက်ကြန့်တိုးချဲ့ (၃) ရပ်ကွက်၊ မင်္ဂလာဒုံမြို့နယ်</v>
      </c>
      <c r="G132">
        <v>0</v>
      </c>
      <c r="H132">
        <v>4500</v>
      </c>
      <c r="I132">
        <f t="shared" ref="I132:I195" si="2">SUM(G132+H132)</f>
        <v>4500</v>
      </c>
      <c r="J132">
        <f>VLOOKUP(A132,[1]Inventory!C:L,10,FALSE)</f>
        <v>4500</v>
      </c>
      <c r="K132">
        <f>VLOOKUP(A132,[1]Inventory!C:M,11,FALSE)</f>
        <v>4500</v>
      </c>
      <c r="L132">
        <f>VLOOKUP(A132,[1]Inventory!C:N,12,FALSE)</f>
        <v>0</v>
      </c>
      <c r="M132" s="2" t="str">
        <f>VLOOKUP(A132,[1]Inventory!C:O,13,FALSE)</f>
        <v>-</v>
      </c>
      <c r="N132" s="2">
        <f>VLOOKUP(A132,[1]Inventory!C:P,14,FALSE)</f>
        <v>4500</v>
      </c>
      <c r="O132" t="s">
        <v>17</v>
      </c>
    </row>
    <row r="133" spans="1:15">
      <c r="A133" t="s">
        <v>168</v>
      </c>
      <c r="B133" t="s">
        <v>22</v>
      </c>
      <c r="C133" t="str">
        <f>VLOOKUP(A133,[1]Inventory!C:E,3,FALSE)</f>
        <v>Emma</v>
      </c>
      <c r="D133" t="str">
        <f>VLOOKUP(B133,[1]Inventory!D:F,3,FALSE)</f>
        <v>09-775879156
 09-783922942</v>
      </c>
      <c r="E133" t="str">
        <f>VLOOKUP(A133,[1]Inventory!C:G,5,FALSE)</f>
        <v>မင်္ဂလာဒုံ</v>
      </c>
      <c r="F133" t="str">
        <f>VLOOKUP(A133,[1]Inventory!C:H,6,FALSE)</f>
        <v>အမှတ် (၂၃၉)၊ ကံ့ကော်ရိပ်သာ (၁) လမ်း၊ မင်္ဂလာဒုံမြို့နယ်</v>
      </c>
      <c r="G133">
        <v>19800</v>
      </c>
      <c r="H133">
        <v>4500</v>
      </c>
      <c r="I133">
        <f t="shared" si="2"/>
        <v>24300</v>
      </c>
      <c r="J133">
        <f>VLOOKUP(A133,[1]Inventory!C:L,10,FALSE)</f>
        <v>4500</v>
      </c>
      <c r="K133">
        <f>VLOOKUP(A133,[1]Inventory!C:M,11,FALSE)</f>
        <v>4500</v>
      </c>
      <c r="L133">
        <f>VLOOKUP(A133,[1]Inventory!C:N,12,FALSE)</f>
        <v>0</v>
      </c>
      <c r="M133" s="2" t="str">
        <f>VLOOKUP(A133,[1]Inventory!C:O,13,FALSE)</f>
        <v>-</v>
      </c>
      <c r="N133" s="2">
        <f>VLOOKUP(A133,[1]Inventory!C:P,14,FALSE)</f>
        <v>24300</v>
      </c>
      <c r="O133" t="s">
        <v>17</v>
      </c>
    </row>
    <row r="134" spans="1:15">
      <c r="A134" t="s">
        <v>169</v>
      </c>
      <c r="B134" t="s">
        <v>22</v>
      </c>
      <c r="C134" t="str">
        <f>VLOOKUP(A134,[1]Inventory!C:E,3,FALSE)</f>
        <v>Zun Wady</v>
      </c>
      <c r="D134" t="str">
        <f>VLOOKUP(B134,[1]Inventory!D:F,3,FALSE)</f>
        <v>09-775879156
 09-783922942</v>
      </c>
      <c r="E134" t="str">
        <f>VLOOKUP(A134,[1]Inventory!C:G,5,FALSE)</f>
        <v>မြောက်ဥက္ကလာပ</v>
      </c>
      <c r="F134" t="str">
        <f>VLOOKUP(A134,[1]Inventory!C:H,6,FALSE)</f>
        <v>အမှတ် (၆၄၅)၊ အိန္ဒြာ (၅) လမ်း၊ မြောက်ဥက္ကလာပမြို့နယ်</v>
      </c>
      <c r="G134">
        <v>30000</v>
      </c>
      <c r="H134">
        <v>4500</v>
      </c>
      <c r="I134">
        <f t="shared" si="2"/>
        <v>34500</v>
      </c>
      <c r="J134">
        <f>VLOOKUP(A134,[1]Inventory!C:L,10,FALSE)</f>
        <v>4500</v>
      </c>
      <c r="K134">
        <f>VLOOKUP(A134,[1]Inventory!C:M,11,FALSE)</f>
        <v>4500</v>
      </c>
      <c r="L134">
        <f>VLOOKUP(A134,[1]Inventory!C:N,12,FALSE)</f>
        <v>0</v>
      </c>
      <c r="M134" s="2" t="str">
        <f>VLOOKUP(A134,[1]Inventory!C:O,13,FALSE)</f>
        <v>-</v>
      </c>
      <c r="N134" s="2">
        <f>VLOOKUP(A134,[1]Inventory!C:P,14,FALSE)</f>
        <v>34500</v>
      </c>
      <c r="O134" t="s">
        <v>17</v>
      </c>
    </row>
    <row r="135" spans="1:15">
      <c r="A135" t="s">
        <v>170</v>
      </c>
      <c r="B135" t="s">
        <v>22</v>
      </c>
      <c r="C135" t="str">
        <f>VLOOKUP(A135,[1]Inventory!C:E,3,FALSE)</f>
        <v>Sandy Kyaw Win</v>
      </c>
      <c r="D135" t="str">
        <f>VLOOKUP(B135,[1]Inventory!D:F,3,FALSE)</f>
        <v>09-775879156
 09-783922942</v>
      </c>
      <c r="E135" t="str">
        <f>VLOOKUP(A135,[1]Inventory!C:G,5,FALSE)</f>
        <v>စမ်းချောင်း</v>
      </c>
      <c r="F135" t="str">
        <f>VLOOKUP(A135,[1]Inventory!C:H,6,FALSE)</f>
        <v>အမှတ် (၄၀)၊ သုခလမ်း၊ မြေနီကုန်း၊ စမ်းချောင်းမြို့နယ်</v>
      </c>
      <c r="G135">
        <v>22000</v>
      </c>
      <c r="H135">
        <v>4000</v>
      </c>
      <c r="I135">
        <f t="shared" si="2"/>
        <v>26000</v>
      </c>
      <c r="J135">
        <f>VLOOKUP(A135,[1]Inventory!C:L,10,FALSE)</f>
        <v>4000</v>
      </c>
      <c r="K135">
        <f>VLOOKUP(A135,[1]Inventory!C:M,11,FALSE)</f>
        <v>4000</v>
      </c>
      <c r="L135">
        <f>VLOOKUP(A135,[1]Inventory!C:N,12,FALSE)</f>
        <v>0</v>
      </c>
      <c r="M135" s="2" t="str">
        <f>VLOOKUP(A135,[1]Inventory!C:O,13,FALSE)</f>
        <v>-</v>
      </c>
      <c r="N135" s="2">
        <f>VLOOKUP(A135,[1]Inventory!C:P,14,FALSE)</f>
        <v>26000</v>
      </c>
      <c r="O135" t="s">
        <v>17</v>
      </c>
    </row>
    <row r="136" spans="1:15">
      <c r="A136" t="s">
        <v>171</v>
      </c>
      <c r="B136" t="s">
        <v>22</v>
      </c>
      <c r="C136" t="str">
        <f>VLOOKUP(A136,[1]Inventory!C:E,3,FALSE)</f>
        <v>Val Shay</v>
      </c>
      <c r="D136" t="str">
        <f>VLOOKUP(B136,[1]Inventory!D:F,3,FALSE)</f>
        <v>09-775879156
 09-783922942</v>
      </c>
      <c r="E136" t="str">
        <f>VLOOKUP(A136,[1]Inventory!C:G,5,FALSE)</f>
        <v>သာကေတ</v>
      </c>
      <c r="F136" t="str">
        <f>VLOOKUP(A136,[1]Inventory!C:H,6,FALSE)</f>
        <v>တိုက် (၁၆)၊ တက်လမ်းအိမ်ရာ၊ ရတနာလမ်း၊ သာကေတမြို့နယ်</v>
      </c>
      <c r="G136">
        <v>22000</v>
      </c>
      <c r="H136">
        <v>4000</v>
      </c>
      <c r="I136">
        <f t="shared" si="2"/>
        <v>26000</v>
      </c>
      <c r="J136">
        <f>VLOOKUP(A136,[1]Inventory!C:L,10,FALSE)</f>
        <v>4000</v>
      </c>
      <c r="K136">
        <f>VLOOKUP(A136,[1]Inventory!C:M,11,FALSE)</f>
        <v>4000</v>
      </c>
      <c r="L136">
        <f>VLOOKUP(A136,[1]Inventory!C:N,12,FALSE)</f>
        <v>0</v>
      </c>
      <c r="M136" s="2" t="str">
        <f>VLOOKUP(A136,[1]Inventory!C:O,13,FALSE)</f>
        <v>-</v>
      </c>
      <c r="N136" s="2">
        <f>VLOOKUP(A136,[1]Inventory!C:P,14,FALSE)</f>
        <v>26000</v>
      </c>
      <c r="O136" t="s">
        <v>17</v>
      </c>
    </row>
    <row r="137" spans="1:15">
      <c r="A137" t="s">
        <v>172</v>
      </c>
      <c r="B137" t="s">
        <v>22</v>
      </c>
      <c r="C137" t="str">
        <f>VLOOKUP(A137,[1]Inventory!C:E,3,FALSE)</f>
        <v>Shune Lei Wutyi</v>
      </c>
      <c r="D137" t="str">
        <f>VLOOKUP(B137,[1]Inventory!D:F,3,FALSE)</f>
        <v>09-775879156
 09-783922942</v>
      </c>
      <c r="E137" t="str">
        <f>VLOOKUP(A137,[1]Inventory!C:G,5,FALSE)</f>
        <v>ဒေါပုံ</v>
      </c>
      <c r="F137" t="str">
        <f>VLOOKUP(A137,[1]Inventory!C:H,6,FALSE)</f>
        <v>အမှတ် (၆၁)၊ ဗိုလ်တေဇလမ်း၊ ဗိုလ်ထွန်းဇံရပ်ကွက်၊ ဒေါပုံမြို့နယ်</v>
      </c>
      <c r="G137">
        <v>20800</v>
      </c>
      <c r="H137">
        <v>4000</v>
      </c>
      <c r="I137">
        <f t="shared" si="2"/>
        <v>24800</v>
      </c>
      <c r="J137">
        <f>VLOOKUP(A137,[1]Inventory!C:L,10,FALSE)</f>
        <v>4000</v>
      </c>
      <c r="K137">
        <f>VLOOKUP(A137,[1]Inventory!C:M,11,FALSE)</f>
        <v>4000</v>
      </c>
      <c r="L137">
        <f>VLOOKUP(A137,[1]Inventory!C:N,12,FALSE)</f>
        <v>0</v>
      </c>
      <c r="M137" s="2" t="str">
        <f>VLOOKUP(A137,[1]Inventory!C:O,13,FALSE)</f>
        <v>-</v>
      </c>
      <c r="N137" s="2">
        <f>VLOOKUP(A137,[1]Inventory!C:P,14,FALSE)</f>
        <v>24800</v>
      </c>
      <c r="O137" t="s">
        <v>17</v>
      </c>
    </row>
    <row r="138" spans="1:15">
      <c r="A138" t="s">
        <v>173</v>
      </c>
      <c r="B138" t="s">
        <v>22</v>
      </c>
      <c r="C138" t="str">
        <f>VLOOKUP(A138,[1]Inventory!C:E,3,FALSE)</f>
        <v>မြဖူးခင်</v>
      </c>
      <c r="D138" t="str">
        <f>VLOOKUP(B138,[1]Inventory!D:F,3,FALSE)</f>
        <v>09-775879156
 09-783922942</v>
      </c>
      <c r="E138" t="str">
        <f>VLOOKUP(A138,[1]Inventory!C:G,5,FALSE)</f>
        <v>ရန်ကင်း</v>
      </c>
      <c r="F138" t="str">
        <f>VLOOKUP(A138,[1]Inventory!C:H,6,FALSE)</f>
        <v>တိုက် (၂၉၃)၊ အခန်း (၁၁)၊ ရန်အောင် (၂) လမ်း၊ အရှေ့ရန်ကင်း၊ ရန်ကင်းမြို့နယ်</v>
      </c>
      <c r="G138">
        <v>76400</v>
      </c>
      <c r="H138">
        <v>4000</v>
      </c>
      <c r="I138">
        <f t="shared" si="2"/>
        <v>80400</v>
      </c>
      <c r="J138">
        <f>VLOOKUP(A138,[1]Inventory!C:L,10,FALSE)</f>
        <v>4000</v>
      </c>
      <c r="K138">
        <f>VLOOKUP(A138,[1]Inventory!C:M,11,FALSE)</f>
        <v>4000</v>
      </c>
      <c r="L138">
        <f>VLOOKUP(A138,[1]Inventory!C:N,12,FALSE)</f>
        <v>0</v>
      </c>
      <c r="M138" s="2" t="str">
        <f>VLOOKUP(A138,[1]Inventory!C:O,13,FALSE)</f>
        <v>-</v>
      </c>
      <c r="N138" s="2">
        <f>VLOOKUP(A138,[1]Inventory!C:P,14,FALSE)</f>
        <v>80400</v>
      </c>
      <c r="O138" t="s">
        <v>17</v>
      </c>
    </row>
    <row r="139" spans="1:15">
      <c r="A139" t="s">
        <v>174</v>
      </c>
      <c r="B139" t="s">
        <v>22</v>
      </c>
      <c r="C139" t="str">
        <f>VLOOKUP(A139,[1]Inventory!C:E,3,FALSE)</f>
        <v>Molly</v>
      </c>
      <c r="D139" t="str">
        <f>VLOOKUP(B139,[1]Inventory!D:F,3,FALSE)</f>
        <v>09-775879156
 09-783922942</v>
      </c>
      <c r="E139" t="str">
        <f>VLOOKUP(A139,[1]Inventory!C:G,5,FALSE)</f>
        <v>ရွှေပြည်သာ</v>
      </c>
      <c r="F139" t="str">
        <f>VLOOKUP(A139,[1]Inventory!C:H,6,FALSE)</f>
        <v>ပန်းခြံ (၃၀) လမ်း၊ တ (၁၅) ရပ်ကွက်၊ ရွှေပြည်သာမြို့နယ်</v>
      </c>
      <c r="G139">
        <v>126700</v>
      </c>
      <c r="H139">
        <v>4500</v>
      </c>
      <c r="I139">
        <f t="shared" si="2"/>
        <v>131200</v>
      </c>
      <c r="J139">
        <f>VLOOKUP(A139,[1]Inventory!C:L,10,FALSE)</f>
        <v>4500</v>
      </c>
      <c r="K139">
        <f>VLOOKUP(A139,[1]Inventory!C:M,11,FALSE)</f>
        <v>4500</v>
      </c>
      <c r="L139">
        <f>VLOOKUP(A139,[1]Inventory!C:N,12,FALSE)</f>
        <v>0</v>
      </c>
      <c r="M139" s="2" t="str">
        <f>VLOOKUP(A139,[1]Inventory!C:O,13,FALSE)</f>
        <v>-</v>
      </c>
      <c r="N139" s="2">
        <f>VLOOKUP(A139,[1]Inventory!C:P,14,FALSE)</f>
        <v>131200</v>
      </c>
      <c r="O139" t="s">
        <v>17</v>
      </c>
    </row>
    <row r="140" spans="1:15">
      <c r="A140" t="s">
        <v>175</v>
      </c>
      <c r="B140" t="s">
        <v>176</v>
      </c>
      <c r="C140" t="str">
        <f>VLOOKUP(A140,[1]Inventory!C:E,3,FALSE)</f>
        <v>Ma Wyne Cho</v>
      </c>
      <c r="D140" t="str">
        <f>VLOOKUP(B140,[1]Inventory!D:F,3,FALSE)</f>
        <v>09-678601818</v>
      </c>
      <c r="E140" t="str">
        <f>VLOOKUP(A140,[1]Inventory!C:G,5,FALSE)</f>
        <v>မြောက်ဥက္ကလာပ</v>
      </c>
      <c r="F140" t="str">
        <f>VLOOKUP(A140,[1]Inventory!C:H,6,FALSE)</f>
        <v>ခိုင်ရွှေဝါ (၃) လမ်း၊ (ဓမ္မာရုံမှတ်တိုင်နောက်)၊ မြောက်ဥက္ကလာပမြို့နယ်</v>
      </c>
      <c r="G140">
        <v>13000</v>
      </c>
      <c r="H140">
        <v>4500</v>
      </c>
      <c r="I140">
        <f t="shared" si="2"/>
        <v>17500</v>
      </c>
      <c r="J140">
        <f>VLOOKUP(A140,[1]Inventory!C:L,10,FALSE)</f>
        <v>4500</v>
      </c>
      <c r="K140">
        <f>VLOOKUP(A140,[1]Inventory!C:M,11,FALSE)</f>
        <v>4500</v>
      </c>
      <c r="L140">
        <f>VLOOKUP(A140,[1]Inventory!C:N,12,FALSE)</f>
        <v>0</v>
      </c>
      <c r="M140" s="2" t="str">
        <f>VLOOKUP(A140,[1]Inventory!C:O,13,FALSE)</f>
        <v>-</v>
      </c>
      <c r="N140" s="2">
        <f>VLOOKUP(A140,[1]Inventory!C:P,14,FALSE)</f>
        <v>17500</v>
      </c>
      <c r="O140" t="s">
        <v>17</v>
      </c>
    </row>
    <row r="141" spans="1:15">
      <c r="A141" t="s">
        <v>177</v>
      </c>
      <c r="B141" t="s">
        <v>176</v>
      </c>
      <c r="C141" t="str">
        <f>VLOOKUP(A141,[1]Inventory!C:E,3,FALSE)</f>
        <v>Ma Hsu Htet Oo</v>
      </c>
      <c r="D141" t="str">
        <f>VLOOKUP(B141,[1]Inventory!D:F,3,FALSE)</f>
        <v>09-678601818</v>
      </c>
      <c r="E141" t="str">
        <f>VLOOKUP(A141,[1]Inventory!C:G,5,FALSE)</f>
        <v>မြောက်ဥက္ကလာပ</v>
      </c>
      <c r="F141" t="str">
        <f>VLOOKUP(A141,[1]Inventory!C:H,6,FALSE)</f>
        <v>အမှတ် (၃၅၉)၊ ရဲမျိုးကျော်သူရလမ်း၊ (၁၄/၁၅) ရပ်ကွက်၊ ရွှေပေါက်ကံ၊ မြောက်ဥက္ကလာပမြို့နယ်</v>
      </c>
      <c r="G141">
        <v>40000</v>
      </c>
      <c r="H141">
        <v>4500</v>
      </c>
      <c r="I141">
        <f t="shared" si="2"/>
        <v>44500</v>
      </c>
      <c r="J141">
        <f>VLOOKUP(A141,[1]Inventory!C:L,10,FALSE)</f>
        <v>4500</v>
      </c>
      <c r="K141">
        <f>VLOOKUP(A141,[1]Inventory!C:M,11,FALSE)</f>
        <v>4500</v>
      </c>
      <c r="L141">
        <f>VLOOKUP(A141,[1]Inventory!C:N,12,FALSE)</f>
        <v>0</v>
      </c>
      <c r="M141" s="2" t="str">
        <f>VLOOKUP(A141,[1]Inventory!C:O,13,FALSE)</f>
        <v>-</v>
      </c>
      <c r="N141" s="2">
        <f>VLOOKUP(A141,[1]Inventory!C:P,14,FALSE)</f>
        <v>44500</v>
      </c>
      <c r="O141" t="s">
        <v>17</v>
      </c>
    </row>
    <row r="142" spans="1:15">
      <c r="A142" t="s">
        <v>178</v>
      </c>
      <c r="B142" t="s">
        <v>176</v>
      </c>
      <c r="C142" t="str">
        <f>VLOOKUP(A142,[1]Inventory!C:E,3,FALSE)</f>
        <v>Ma Hein Htet</v>
      </c>
      <c r="D142" t="str">
        <f>VLOOKUP(B142,[1]Inventory!D:F,3,FALSE)</f>
        <v>09-678601818</v>
      </c>
      <c r="E142" t="str">
        <f>VLOOKUP(A142,[1]Inventory!C:G,5,FALSE)</f>
        <v>မင်္ဂလာဒုံ</v>
      </c>
      <c r="F142" t="str">
        <f>VLOOKUP(A142,[1]Inventory!C:H,6,FALSE)</f>
        <v>ကျိုက်ကလဲ့ဘုရားလမ်းဘေး၊ (အရိယကျောင်းရှေ့)၊ မင်္ဂလာဒုံမြို့နယ်</v>
      </c>
      <c r="G142">
        <v>17000</v>
      </c>
      <c r="H142">
        <v>4500</v>
      </c>
      <c r="I142">
        <f t="shared" si="2"/>
        <v>21500</v>
      </c>
      <c r="J142">
        <f>VLOOKUP(A142,[1]Inventory!C:L,10,FALSE)</f>
        <v>4500</v>
      </c>
      <c r="K142">
        <f>VLOOKUP(A142,[1]Inventory!C:M,11,FALSE)</f>
        <v>4500</v>
      </c>
      <c r="L142">
        <f>VLOOKUP(A142,[1]Inventory!C:N,12,FALSE)</f>
        <v>0</v>
      </c>
      <c r="M142" s="2" t="str">
        <f>VLOOKUP(A142,[1]Inventory!C:O,13,FALSE)</f>
        <v>-</v>
      </c>
      <c r="N142" s="2">
        <f>VLOOKUP(A142,[1]Inventory!C:P,14,FALSE)</f>
        <v>21500</v>
      </c>
      <c r="O142" t="s">
        <v>17</v>
      </c>
    </row>
    <row r="143" spans="1:15">
      <c r="A143" t="s">
        <v>179</v>
      </c>
      <c r="B143" t="s">
        <v>26</v>
      </c>
      <c r="C143" t="str">
        <f>VLOOKUP(A143,[1]Inventory!C:E,3,FALSE)</f>
        <v>စံပယ်ဖြူ/Bra And Underwear Store</v>
      </c>
      <c r="D143" t="str">
        <f>VLOOKUP(B143,[1]Inventory!D:F,3,FALSE)</f>
        <v>09-668712777</v>
      </c>
      <c r="E143" t="str">
        <f>VLOOKUP(A143,[1]Inventory!C:G,5,FALSE)</f>
        <v>မြောက်ဒဂုံ</v>
      </c>
      <c r="F143" t="str">
        <f>VLOOKUP(A143,[1]Inventory!C:H,6,FALSE)</f>
        <v>မဟာမြိုင်အိမ်ရာ၊ တိုက် (47-B-1)၊ မဟာမြိုင်မနက်ဈေးလမ်း၊ မြောက်ဒဂုံမြို့နယ်</v>
      </c>
      <c r="G143">
        <v>0</v>
      </c>
      <c r="H143">
        <v>4000</v>
      </c>
      <c r="I143">
        <f t="shared" si="2"/>
        <v>4000</v>
      </c>
      <c r="J143">
        <f>VLOOKUP(A143,[1]Inventory!C:L,10,FALSE)</f>
        <v>4000</v>
      </c>
      <c r="K143">
        <f>VLOOKUP(A143,[1]Inventory!C:M,11,FALSE)</f>
        <v>4000</v>
      </c>
      <c r="L143">
        <f>VLOOKUP(A143,[1]Inventory!C:N,12,FALSE)</f>
        <v>6</v>
      </c>
      <c r="M143" s="2">
        <f>VLOOKUP(A143,[1]Inventory!C:O,13,FALSE)</f>
        <v>1500</v>
      </c>
      <c r="N143" s="2">
        <f>VLOOKUP(A143,[1]Inventory!C:P,14,FALSE)</f>
        <v>5500</v>
      </c>
      <c r="O143" t="s">
        <v>17</v>
      </c>
    </row>
    <row r="144" spans="1:15">
      <c r="A144" t="s">
        <v>180</v>
      </c>
      <c r="B144" t="s">
        <v>71</v>
      </c>
      <c r="C144" t="str">
        <f>VLOOKUP(A144,[1]Inventory!C:E,3,FALSE)</f>
        <v>Ma Zin Htet</v>
      </c>
      <c r="D144" t="str">
        <f>VLOOKUP(B144,[1]Inventory!D:F,3,FALSE)</f>
        <v>09-266688826</v>
      </c>
      <c r="E144" t="str">
        <f>VLOOKUP(A144,[1]Inventory!C:G,5,FALSE)</f>
        <v>သာကေတ</v>
      </c>
      <c r="F144" t="str">
        <f>VLOOKUP(A144,[1]Inventory!C:H,6,FALSE)</f>
        <v>အမှတ် (၆၉၂)၊ အောင်သစ္စာ (၆) လမ်း (အနောက်)၊ (၄/တောင်) ရပ်ကွက်၊ သာကေတမြို့နယ်</v>
      </c>
      <c r="G144">
        <v>25000</v>
      </c>
      <c r="H144">
        <v>4000</v>
      </c>
      <c r="I144">
        <f t="shared" si="2"/>
        <v>29000</v>
      </c>
      <c r="J144">
        <f>VLOOKUP(A144,[1]Inventory!C:L,10,FALSE)</f>
        <v>4000</v>
      </c>
      <c r="K144">
        <f>VLOOKUP(A144,[1]Inventory!C:M,11,FALSE)</f>
        <v>4000</v>
      </c>
      <c r="L144">
        <f>VLOOKUP(A144,[1]Inventory!C:N,12,FALSE)</f>
        <v>0</v>
      </c>
      <c r="M144" s="2" t="str">
        <f>VLOOKUP(A144,[1]Inventory!C:O,13,FALSE)</f>
        <v>-</v>
      </c>
      <c r="N144" s="2">
        <f>VLOOKUP(A144,[1]Inventory!C:P,14,FALSE)</f>
        <v>29000</v>
      </c>
      <c r="O144" t="s">
        <v>17</v>
      </c>
    </row>
    <row r="145" spans="1:15">
      <c r="A145" t="s">
        <v>181</v>
      </c>
      <c r="B145" t="s">
        <v>71</v>
      </c>
      <c r="C145" t="str">
        <f>VLOOKUP(A145,[1]Inventory!C:E,3,FALSE)</f>
        <v>Hsu Thet Hnin</v>
      </c>
      <c r="D145" t="str">
        <f>VLOOKUP(B145,[1]Inventory!D:F,3,FALSE)</f>
        <v>09-266688826</v>
      </c>
      <c r="E145" t="str">
        <f>VLOOKUP(A145,[1]Inventory!C:G,5,FALSE)</f>
        <v>လှိုင်သာယာ</v>
      </c>
      <c r="F145" t="str">
        <f>VLOOKUP(A145,[1]Inventory!C:H,6,FALSE)</f>
        <v>((၅) ထပ်ဆောင်စာသင်ကျောင်းအနီး)၊ (ရိုးလေးကားမှတ်တိုင်မှဝင်ရန်)၊ လှိုင်သာယာမြို့နယ်</v>
      </c>
      <c r="G145" t="s">
        <v>182</v>
      </c>
      <c r="H145">
        <v>0</v>
      </c>
      <c r="I145" t="e">
        <f t="shared" si="2"/>
        <v>#VALUE!</v>
      </c>
      <c r="J145">
        <f>VLOOKUP(A145,[1]Inventory!C:L,10,FALSE)</f>
        <v>4500</v>
      </c>
      <c r="K145" t="str">
        <f>VLOOKUP(A145,[1]Inventory!C:M,11,FALSE)</f>
        <v>-</v>
      </c>
      <c r="L145">
        <f>VLOOKUP(A145,[1]Inventory!C:N,12,FALSE)</f>
        <v>16</v>
      </c>
      <c r="M145" s="2">
        <f>VLOOKUP(A145,[1]Inventory!C:O,13,FALSE)</f>
        <v>15000</v>
      </c>
      <c r="N145" s="2" t="str">
        <f>VLOOKUP(A145,[1]Inventory!C:P,14,FALSE)</f>
        <v>######</v>
      </c>
      <c r="O145" t="s">
        <v>17</v>
      </c>
    </row>
    <row r="146" spans="1:15">
      <c r="A146" t="s">
        <v>183</v>
      </c>
      <c r="B146" t="s">
        <v>28</v>
      </c>
      <c r="C146" t="str">
        <f>VLOOKUP(A146,[1]Inventory!C:E,3,FALSE)</f>
        <v>Daw Moe Sandar</v>
      </c>
      <c r="D146" t="str">
        <f>VLOOKUP(B146,[1]Inventory!D:F,3,FALSE)</f>
        <v>09-773209266</v>
      </c>
      <c r="E146" t="str">
        <f>VLOOKUP(A146,[1]Inventory!C:G,5,FALSE)</f>
        <v>ဂိတ်ချ</v>
      </c>
      <c r="F146" t="str">
        <f>VLOOKUP(A146,[1]Inventory!C:H,6,FALSE)</f>
        <v>သူရထွန်းကားဂိတ်၊ ဒဂုံဧရာအဝေးပြေး၊ (သူရထွန်းကားဖြင့် ကျုံတနီးသို့ တင်ပေးပါ)၊ လှိုင်သာယာမြို့နယ်</v>
      </c>
      <c r="G146">
        <v>0</v>
      </c>
      <c r="H146">
        <v>0</v>
      </c>
      <c r="I146">
        <f t="shared" si="2"/>
        <v>0</v>
      </c>
      <c r="J146">
        <f>VLOOKUP(A146,[1]Inventory!C:L,10,FALSE)</f>
        <v>3000</v>
      </c>
      <c r="K146" t="str">
        <f>VLOOKUP(A146,[1]Inventory!C:M,11,FALSE)</f>
        <v>-</v>
      </c>
      <c r="L146">
        <f>VLOOKUP(A146,[1]Inventory!C:N,12,FALSE)</f>
        <v>8</v>
      </c>
      <c r="M146" s="2">
        <f>VLOOKUP(A146,[1]Inventory!C:O,13,FALSE)</f>
        <v>2500</v>
      </c>
      <c r="N146" s="2">
        <f>VLOOKUP(A146,[1]Inventory!C:P,14,FALSE)</f>
        <v>2500</v>
      </c>
      <c r="O146" t="s">
        <v>17</v>
      </c>
    </row>
    <row r="147" spans="1:15">
      <c r="A147" t="s">
        <v>184</v>
      </c>
      <c r="B147" t="s">
        <v>28</v>
      </c>
      <c r="C147" t="str">
        <f>VLOOKUP(A147,[1]Inventory!C:E,3,FALSE)</f>
        <v>Honey Ko</v>
      </c>
      <c r="D147" t="str">
        <f>VLOOKUP(B147,[1]Inventory!D:F,3,FALSE)</f>
        <v>09-773209266</v>
      </c>
      <c r="E147" t="str">
        <f>VLOOKUP(A147,[1]Inventory!C:G,5,FALSE)</f>
        <v>မြောက်ဥက္ကလာပ</v>
      </c>
      <c r="F147" t="str">
        <f>VLOOKUP(A147,[1]Inventory!C:H,6,FALSE)</f>
        <v>ရွှေပေါက်ကံ၊ မြောက်ဥက္ကလာပမြို့နယ်</v>
      </c>
      <c r="G147">
        <v>274000</v>
      </c>
      <c r="H147">
        <v>4500</v>
      </c>
      <c r="I147">
        <f t="shared" si="2"/>
        <v>278500</v>
      </c>
      <c r="J147">
        <f>VLOOKUP(A147,[1]Inventory!C:L,10,FALSE)</f>
        <v>4500</v>
      </c>
      <c r="K147">
        <f>VLOOKUP(A147,[1]Inventory!C:M,11,FALSE)</f>
        <v>4500</v>
      </c>
      <c r="L147">
        <f>VLOOKUP(A147,[1]Inventory!C:N,12,FALSE)</f>
        <v>0</v>
      </c>
      <c r="M147" s="2" t="str">
        <f>VLOOKUP(A147,[1]Inventory!C:O,13,FALSE)</f>
        <v>-</v>
      </c>
      <c r="N147" s="2">
        <f>VLOOKUP(A147,[1]Inventory!C:P,14,FALSE)</f>
        <v>278500</v>
      </c>
      <c r="O147" t="s">
        <v>17</v>
      </c>
    </row>
    <row r="148" spans="1:15">
      <c r="A148" t="s">
        <v>185</v>
      </c>
      <c r="B148" t="s">
        <v>28</v>
      </c>
      <c r="C148" t="str">
        <f>VLOOKUP(A148,[1]Inventory!C:E,3,FALSE)</f>
        <v>Khin Than Soe</v>
      </c>
      <c r="D148" t="str">
        <f>VLOOKUP(B148,[1]Inventory!D:F,3,FALSE)</f>
        <v>09-773209266</v>
      </c>
      <c r="E148" t="str">
        <f>VLOOKUP(A148,[1]Inventory!C:G,5,FALSE)</f>
        <v>တာမွေ</v>
      </c>
      <c r="F148" t="str">
        <f>VLOOKUP(A148,[1]Inventory!C:H,6,FALSE)</f>
        <v>မြန်မာ့ဂုဏ်ရောင်အိမ်ရာ၊ ခြံအမှတ် (48A)၊ မေတ္တာညွန့်ရပ်ကွက်၊ တာမွေမြို့နယ်</v>
      </c>
      <c r="G148">
        <v>133200</v>
      </c>
      <c r="H148">
        <v>4000</v>
      </c>
      <c r="I148">
        <f t="shared" si="2"/>
        <v>137200</v>
      </c>
      <c r="J148">
        <f>VLOOKUP(A148,[1]Inventory!C:L,10,FALSE)</f>
        <v>4000</v>
      </c>
      <c r="K148">
        <f>VLOOKUP(A148,[1]Inventory!C:M,11,FALSE)</f>
        <v>4000</v>
      </c>
      <c r="L148">
        <f>VLOOKUP(A148,[1]Inventory!C:N,12,FALSE)</f>
        <v>0</v>
      </c>
      <c r="M148" s="2" t="str">
        <f>VLOOKUP(A148,[1]Inventory!C:O,13,FALSE)</f>
        <v>-</v>
      </c>
      <c r="N148" s="2">
        <f>VLOOKUP(A148,[1]Inventory!C:P,14,FALSE)</f>
        <v>137200</v>
      </c>
      <c r="O148" t="s">
        <v>17</v>
      </c>
    </row>
    <row r="149" spans="1:15">
      <c r="A149" t="s">
        <v>186</v>
      </c>
      <c r="B149" t="s">
        <v>28</v>
      </c>
      <c r="C149" t="str">
        <f>VLOOKUP(A149,[1]Inventory!C:E,3,FALSE)</f>
        <v>Nay Chi</v>
      </c>
      <c r="D149" t="str">
        <f>VLOOKUP(B149,[1]Inventory!D:F,3,FALSE)</f>
        <v>09-773209266</v>
      </c>
      <c r="E149" t="str">
        <f>VLOOKUP(A149,[1]Inventory!C:G,5,FALSE)</f>
        <v>ရွှေပြည်သာ</v>
      </c>
      <c r="F149" t="str">
        <f>VLOOKUP(A149,[1]Inventory!C:H,6,FALSE)</f>
        <v>စစ်အကျဉ်းထောင်လမ်း၊ (ကန်သာယာမှတ်တိုင်)၊ (ရွှေပြည်သာမြို့အဝင်)၊ ရွှေပြည်သာမြို့နယ်</v>
      </c>
      <c r="G149">
        <v>83100</v>
      </c>
      <c r="H149">
        <v>4500</v>
      </c>
      <c r="I149">
        <f t="shared" si="2"/>
        <v>87600</v>
      </c>
      <c r="J149">
        <f>VLOOKUP(A149,[1]Inventory!C:L,10,FALSE)</f>
        <v>4500</v>
      </c>
      <c r="K149">
        <f>VLOOKUP(A149,[1]Inventory!C:M,11,FALSE)</f>
        <v>4500</v>
      </c>
      <c r="L149">
        <f>VLOOKUP(A149,[1]Inventory!C:N,12,FALSE)</f>
        <v>0</v>
      </c>
      <c r="M149" s="2" t="str">
        <f>VLOOKUP(A149,[1]Inventory!C:O,13,FALSE)</f>
        <v>-</v>
      </c>
      <c r="N149" s="2">
        <f>VLOOKUP(A149,[1]Inventory!C:P,14,FALSE)</f>
        <v>87600</v>
      </c>
      <c r="O149" t="s">
        <v>17</v>
      </c>
    </row>
    <row r="150" spans="1:15">
      <c r="A150" t="s">
        <v>187</v>
      </c>
      <c r="B150" t="s">
        <v>28</v>
      </c>
      <c r="C150" t="str">
        <f>VLOOKUP(A150,[1]Inventory!C:E,3,FALSE)</f>
        <v>May Kyu</v>
      </c>
      <c r="D150" t="str">
        <f>VLOOKUP(B150,[1]Inventory!D:F,3,FALSE)</f>
        <v>09-773209266</v>
      </c>
      <c r="E150" t="str">
        <f>VLOOKUP(A150,[1]Inventory!C:G,5,FALSE)</f>
        <v>ရန်ကင်း</v>
      </c>
      <c r="F150" t="str">
        <f>VLOOKUP(A150,[1]Inventory!C:H,6,FALSE)</f>
        <v>(မိုးကောင်းကားမှတ်တိုင်)၊ ရန်ကင်းမြို့နယ်</v>
      </c>
      <c r="G150">
        <v>101300</v>
      </c>
      <c r="H150">
        <v>4000</v>
      </c>
      <c r="I150">
        <f t="shared" si="2"/>
        <v>105300</v>
      </c>
      <c r="J150">
        <f>VLOOKUP(A150,[1]Inventory!C:L,10,FALSE)</f>
        <v>4000</v>
      </c>
      <c r="K150">
        <f>VLOOKUP(A150,[1]Inventory!C:M,11,FALSE)</f>
        <v>4000</v>
      </c>
      <c r="L150">
        <f>VLOOKUP(A150,[1]Inventory!C:N,12,FALSE)</f>
        <v>0</v>
      </c>
      <c r="M150" s="2" t="str">
        <f>VLOOKUP(A150,[1]Inventory!C:O,13,FALSE)</f>
        <v>-</v>
      </c>
      <c r="N150" s="2">
        <f>VLOOKUP(A150,[1]Inventory!C:P,14,FALSE)</f>
        <v>105300</v>
      </c>
      <c r="O150" t="s">
        <v>17</v>
      </c>
    </row>
    <row r="151" spans="1:15">
      <c r="A151" t="s">
        <v>188</v>
      </c>
      <c r="B151" t="s">
        <v>28</v>
      </c>
      <c r="C151" t="str">
        <f>VLOOKUP(A151,[1]Inventory!C:E,3,FALSE)</f>
        <v>Mar Myint</v>
      </c>
      <c r="D151" t="str">
        <f>VLOOKUP(B151,[1]Inventory!D:F,3,FALSE)</f>
        <v>09-773209266</v>
      </c>
      <c r="E151" t="str">
        <f>VLOOKUP(A151,[1]Inventory!C:G,5,FALSE)</f>
        <v>မရမ်းကုန်း</v>
      </c>
      <c r="F151" t="str">
        <f>VLOOKUP(A151,[1]Inventory!C:H,6,FALSE)</f>
        <v>95-Resident၊ အမှတ် (95B)၊ ကျိုက်ဝိုင်းဘုရားလမ်း၊ (၈) မိုင်၊ (လမ်းဆုံ)၊ မရမ်းကုန်းမြို့နယ်</v>
      </c>
      <c r="G151">
        <v>190500</v>
      </c>
      <c r="H151">
        <v>4000</v>
      </c>
      <c r="I151">
        <f t="shared" si="2"/>
        <v>194500</v>
      </c>
      <c r="J151">
        <f>VLOOKUP(A151,[1]Inventory!C:L,10,FALSE)</f>
        <v>4000</v>
      </c>
      <c r="K151">
        <f>VLOOKUP(A151,[1]Inventory!C:M,11,FALSE)</f>
        <v>4000</v>
      </c>
      <c r="L151">
        <f>VLOOKUP(A151,[1]Inventory!C:N,12,FALSE)</f>
        <v>4</v>
      </c>
      <c r="M151" s="2">
        <f>VLOOKUP(A151,[1]Inventory!C:O,13,FALSE)</f>
        <v>500</v>
      </c>
      <c r="N151" s="2">
        <f>VLOOKUP(A151,[1]Inventory!C:P,14,FALSE)</f>
        <v>195000</v>
      </c>
      <c r="O151" t="s">
        <v>17</v>
      </c>
    </row>
    <row r="152" spans="1:15">
      <c r="A152" t="s">
        <v>189</v>
      </c>
      <c r="B152" t="s">
        <v>28</v>
      </c>
      <c r="C152" t="str">
        <f>VLOOKUP(A152,[1]Inventory!C:E,3,FALSE)</f>
        <v>နှင်းနှင်း</v>
      </c>
      <c r="D152" t="str">
        <f>VLOOKUP(B152,[1]Inventory!D:F,3,FALSE)</f>
        <v>09-773209266</v>
      </c>
      <c r="E152" t="str">
        <f>VLOOKUP(A152,[1]Inventory!C:G,5,FALSE)</f>
        <v>မင်္ဂလာဒုံ</v>
      </c>
      <c r="F152" t="str">
        <f>VLOOKUP(A152,[1]Inventory!C:H,6,FALSE)</f>
        <v>စိန်ပဒေသာ (၅) လမ်း၊ ကုန်းတလပေါင်ရပ်ကွက်၊ မင်္ဂလာဒုံမြို့နယ်</v>
      </c>
      <c r="G152">
        <v>96000</v>
      </c>
      <c r="H152">
        <v>4500</v>
      </c>
      <c r="I152">
        <f t="shared" si="2"/>
        <v>100500</v>
      </c>
      <c r="J152">
        <f>VLOOKUP(A152,[1]Inventory!C:L,10,FALSE)</f>
        <v>4500</v>
      </c>
      <c r="K152">
        <f>VLOOKUP(A152,[1]Inventory!C:M,11,FALSE)</f>
        <v>4500</v>
      </c>
      <c r="L152">
        <f>VLOOKUP(A152,[1]Inventory!C:N,12,FALSE)</f>
        <v>0</v>
      </c>
      <c r="M152" s="2" t="str">
        <f>VLOOKUP(A152,[1]Inventory!C:O,13,FALSE)</f>
        <v>-</v>
      </c>
      <c r="N152" s="2">
        <f>VLOOKUP(A152,[1]Inventory!C:P,14,FALSE)</f>
        <v>100500</v>
      </c>
      <c r="O152" t="s">
        <v>17</v>
      </c>
    </row>
    <row r="153" spans="1:15">
      <c r="A153" t="s">
        <v>190</v>
      </c>
      <c r="B153" t="s">
        <v>28</v>
      </c>
      <c r="C153" t="str">
        <f>VLOOKUP(A153,[1]Inventory!C:E,3,FALSE)</f>
        <v>San San Mar</v>
      </c>
      <c r="D153" t="str">
        <f>VLOOKUP(B153,[1]Inventory!D:F,3,FALSE)</f>
        <v>09-773209266</v>
      </c>
      <c r="E153" t="str">
        <f>VLOOKUP(A153,[1]Inventory!C:G,5,FALSE)</f>
        <v>ဗဟန်း</v>
      </c>
      <c r="F153" t="str">
        <f>VLOOKUP(A153,[1]Inventory!C:H,6,FALSE)</f>
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</c>
      <c r="G153">
        <v>64500</v>
      </c>
      <c r="H153">
        <v>4000</v>
      </c>
      <c r="I153">
        <f t="shared" si="2"/>
        <v>68500</v>
      </c>
      <c r="J153">
        <f>VLOOKUP(A153,[1]Inventory!C:L,10,FALSE)</f>
        <v>4000</v>
      </c>
      <c r="K153">
        <f>VLOOKUP(A153,[1]Inventory!C:M,11,FALSE)</f>
        <v>4000</v>
      </c>
      <c r="L153">
        <f>VLOOKUP(A153,[1]Inventory!C:N,12,FALSE)</f>
        <v>0</v>
      </c>
      <c r="M153" s="2" t="str">
        <f>VLOOKUP(A153,[1]Inventory!C:O,13,FALSE)</f>
        <v>-</v>
      </c>
      <c r="N153" s="2">
        <f>VLOOKUP(A153,[1]Inventory!C:P,14,FALSE)</f>
        <v>68500</v>
      </c>
      <c r="O153" t="s">
        <v>17</v>
      </c>
    </row>
    <row r="154" spans="1:15">
      <c r="A154" t="s">
        <v>191</v>
      </c>
      <c r="B154" t="s">
        <v>28</v>
      </c>
      <c r="C154" t="str">
        <f>VLOOKUP(A154,[1]Inventory!C:E,3,FALSE)</f>
        <v>Kaung Kaung</v>
      </c>
      <c r="D154" t="str">
        <f>VLOOKUP(B154,[1]Inventory!D:F,3,FALSE)</f>
        <v>09-773209266</v>
      </c>
      <c r="E154" t="str">
        <f>VLOOKUP(A154,[1]Inventory!C:G,5,FALSE)</f>
        <v>လှိုင်သာယာ</v>
      </c>
      <c r="F154" t="str">
        <f>VLOOKUP(A154,[1]Inventory!C:H,6,FALSE)</f>
        <v>ရွှေလင်ပန်း၊ လှိုင်သာယာမြို့နယ်</v>
      </c>
      <c r="G154">
        <v>64500</v>
      </c>
      <c r="H154">
        <v>4500</v>
      </c>
      <c r="I154">
        <f t="shared" si="2"/>
        <v>69000</v>
      </c>
      <c r="J154">
        <f>VLOOKUP(A154,[1]Inventory!C:L,10,FALSE)</f>
        <v>4500</v>
      </c>
      <c r="K154">
        <f>VLOOKUP(A154,[1]Inventory!C:M,11,FALSE)</f>
        <v>4500</v>
      </c>
      <c r="L154">
        <f>VLOOKUP(A154,[1]Inventory!C:N,12,FALSE)</f>
        <v>0</v>
      </c>
      <c r="M154" s="2" t="str">
        <f>VLOOKUP(A154,[1]Inventory!C:O,13,FALSE)</f>
        <v>-</v>
      </c>
      <c r="N154" s="2">
        <f>VLOOKUP(A154,[1]Inventory!C:P,14,FALSE)</f>
        <v>69000</v>
      </c>
      <c r="O154" t="s">
        <v>17</v>
      </c>
    </row>
    <row r="155" spans="1:15">
      <c r="A155" t="s">
        <v>192</v>
      </c>
      <c r="B155" t="s">
        <v>28</v>
      </c>
      <c r="C155" t="str">
        <f>VLOOKUP(A155,[1]Inventory!C:E,3,FALSE)</f>
        <v>May Myat</v>
      </c>
      <c r="D155" t="str">
        <f>VLOOKUP(B155,[1]Inventory!D:F,3,FALSE)</f>
        <v>09-773209266</v>
      </c>
      <c r="E155" t="str">
        <f>VLOOKUP(A155,[1]Inventory!C:G,5,FALSE)</f>
        <v>လှိုင်သာယာ</v>
      </c>
      <c r="F155" t="str">
        <f>VLOOKUP(A155,[1]Inventory!C:H,6,FALSE)</f>
        <v>ရိုးကြီးကျေးရွာ၊ လှိုင်သာယာမြို့နယ်</v>
      </c>
      <c r="G155">
        <v>244400</v>
      </c>
      <c r="H155">
        <v>4500</v>
      </c>
      <c r="I155">
        <f t="shared" si="2"/>
        <v>248900</v>
      </c>
      <c r="J155">
        <f>VLOOKUP(A155,[1]Inventory!C:L,10,FALSE)</f>
        <v>4500</v>
      </c>
      <c r="K155">
        <f>VLOOKUP(A155,[1]Inventory!C:M,11,FALSE)</f>
        <v>4500</v>
      </c>
      <c r="L155">
        <f>VLOOKUP(A155,[1]Inventory!C:N,12,FALSE)</f>
        <v>0</v>
      </c>
      <c r="M155" s="2" t="str">
        <f>VLOOKUP(A155,[1]Inventory!C:O,13,FALSE)</f>
        <v>-</v>
      </c>
      <c r="N155" s="2">
        <f>VLOOKUP(A155,[1]Inventory!C:P,14,FALSE)</f>
        <v>248900</v>
      </c>
      <c r="O155" t="s">
        <v>17</v>
      </c>
    </row>
    <row r="156" spans="1:15">
      <c r="A156" t="s">
        <v>193</v>
      </c>
      <c r="B156" t="s">
        <v>31</v>
      </c>
      <c r="C156" t="str">
        <f>VLOOKUP(A156,[1]Inventory!C:E,3,FALSE)</f>
        <v>Woutee</v>
      </c>
      <c r="D156" t="str">
        <f>VLOOKUP(B156,[1]Inventory!D:F,3,FALSE)</f>
        <v>09-422219996</v>
      </c>
      <c r="E156" t="str">
        <f>VLOOKUP(A156,[1]Inventory!C:G,5,FALSE)</f>
        <v>လှိုင်သာယာ</v>
      </c>
      <c r="F156" t="str">
        <f>VLOOKUP(A156,[1]Inventory!C:H,6,FALSE)</f>
        <v>သပြေလမ်း၊ အိုင်စုရပ်ကွက်၊ လှိုင်သာယာမြို့နယ်</v>
      </c>
      <c r="G156">
        <v>27000</v>
      </c>
      <c r="H156">
        <v>4500</v>
      </c>
      <c r="I156">
        <f t="shared" si="2"/>
        <v>31500</v>
      </c>
      <c r="J156">
        <f>VLOOKUP(A156,[1]Inventory!C:L,10,FALSE)</f>
        <v>4500</v>
      </c>
      <c r="K156">
        <f>VLOOKUP(A156,[1]Inventory!C:M,11,FALSE)</f>
        <v>4500</v>
      </c>
      <c r="L156">
        <f>VLOOKUP(A156,[1]Inventory!C:N,12,FALSE)</f>
        <v>0</v>
      </c>
      <c r="M156" s="2" t="str">
        <f>VLOOKUP(A156,[1]Inventory!C:O,13,FALSE)</f>
        <v>-</v>
      </c>
      <c r="N156" s="2">
        <f>VLOOKUP(A156,[1]Inventory!C:P,14,FALSE)</f>
        <v>31500</v>
      </c>
      <c r="O156" t="s">
        <v>17</v>
      </c>
    </row>
    <row r="157" spans="1:15">
      <c r="A157" t="s">
        <v>194</v>
      </c>
      <c r="B157" t="s">
        <v>31</v>
      </c>
      <c r="C157" t="str">
        <f>VLOOKUP(A157,[1]Inventory!C:E,3,FALSE)</f>
        <v>အေးခိုင်</v>
      </c>
      <c r="D157" t="str">
        <f>VLOOKUP(B157,[1]Inventory!D:F,3,FALSE)</f>
        <v>09-422219996</v>
      </c>
      <c r="E157" t="str">
        <f>VLOOKUP(A157,[1]Inventory!C:G,5,FALSE)</f>
        <v>ဂိတ်ချ</v>
      </c>
      <c r="F157" t="str">
        <f>VLOOKUP(A157,[1]Inventory!C:H,6,FALSE)</f>
        <v>အမှတ် (G-80)၊ ငုဝါလမ်း၊ ကင်းမလင်းကျွန်း၊ ပုသိမ်</v>
      </c>
      <c r="G157">
        <v>32000</v>
      </c>
      <c r="H157">
        <v>3000</v>
      </c>
      <c r="I157">
        <f t="shared" si="2"/>
        <v>35000</v>
      </c>
      <c r="J157">
        <f>VLOOKUP(A157,[1]Inventory!C:L,10,FALSE)</f>
        <v>3000</v>
      </c>
      <c r="K157">
        <f>VLOOKUP(A157,[1]Inventory!C:M,11,FALSE)</f>
        <v>3000</v>
      </c>
      <c r="L157">
        <f>VLOOKUP(A157,[1]Inventory!C:N,12,FALSE)</f>
        <v>0</v>
      </c>
      <c r="M157" s="2" t="str">
        <f>VLOOKUP(A157,[1]Inventory!C:O,13,FALSE)</f>
        <v>-</v>
      </c>
      <c r="N157" s="2">
        <f>VLOOKUP(A157,[1]Inventory!C:P,14,FALSE)</f>
        <v>35000</v>
      </c>
      <c r="O157" t="s">
        <v>17</v>
      </c>
    </row>
    <row r="158" spans="1:15">
      <c r="A158" t="s">
        <v>195</v>
      </c>
      <c r="B158" t="s">
        <v>31</v>
      </c>
      <c r="C158" t="str">
        <f>VLOOKUP(A158,[1]Inventory!C:E,3,FALSE)</f>
        <v>Htet Htet</v>
      </c>
      <c r="D158" t="str">
        <f>VLOOKUP(B158,[1]Inventory!D:F,3,FALSE)</f>
        <v>09-422219996</v>
      </c>
      <c r="E158" t="str">
        <f>VLOOKUP(A158,[1]Inventory!C:G,5,FALSE)</f>
        <v>တောင်ဥက္ကလာပ</v>
      </c>
      <c r="F158" t="str">
        <f>VLOOKUP(A158,[1]Inventory!C:H,6,FALSE)</f>
        <v>အမှတ် (၁၉၃)၊ ကောလိယ (၂၆) လမ်း၊ (၁၃) ရပ်ကွက်၊ တောင်ဥက္ကလာပမြို့နယ်</v>
      </c>
      <c r="G158">
        <v>23500</v>
      </c>
      <c r="H158">
        <v>4000</v>
      </c>
      <c r="I158">
        <f t="shared" si="2"/>
        <v>27500</v>
      </c>
      <c r="J158">
        <f>VLOOKUP(A158,[1]Inventory!C:L,10,FALSE)</f>
        <v>4000</v>
      </c>
      <c r="K158">
        <f>VLOOKUP(A158,[1]Inventory!C:M,11,FALSE)</f>
        <v>4000</v>
      </c>
      <c r="L158">
        <f>VLOOKUP(A158,[1]Inventory!C:N,12,FALSE)</f>
        <v>0</v>
      </c>
      <c r="M158" s="2" t="str">
        <f>VLOOKUP(A158,[1]Inventory!C:O,13,FALSE)</f>
        <v>-</v>
      </c>
      <c r="N158" s="2">
        <f>VLOOKUP(A158,[1]Inventory!C:P,14,FALSE)</f>
        <v>27500</v>
      </c>
      <c r="O158" t="s">
        <v>17</v>
      </c>
    </row>
    <row r="159" spans="1:15">
      <c r="A159" t="s">
        <v>196</v>
      </c>
      <c r="B159" t="s">
        <v>31</v>
      </c>
      <c r="C159" t="str">
        <f>VLOOKUP(A159,[1]Inventory!C:E,3,FALSE)</f>
        <v>Poe Poe</v>
      </c>
      <c r="D159" t="str">
        <f>VLOOKUP(B159,[1]Inventory!D:F,3,FALSE)</f>
        <v>09-422219996</v>
      </c>
      <c r="E159" t="str">
        <f>VLOOKUP(A159,[1]Inventory!C:G,5,FALSE)</f>
        <v>မင်္ဂလာဒုံ</v>
      </c>
      <c r="F159" t="str">
        <f>VLOOKUP(A159,[1]Inventory!C:H,6,FALSE)</f>
        <v>စွယ်တော် (၃) လမ်း၊ (ပတ္တမြားမှတ်တိုင်)၊ မင်္ဂလာဒုံမြို့နယ်</v>
      </c>
      <c r="G159">
        <v>23000</v>
      </c>
      <c r="H159">
        <v>4500</v>
      </c>
      <c r="I159">
        <f t="shared" si="2"/>
        <v>27500</v>
      </c>
      <c r="J159">
        <f>VLOOKUP(A159,[1]Inventory!C:L,10,FALSE)</f>
        <v>4500</v>
      </c>
      <c r="K159">
        <f>VLOOKUP(A159,[1]Inventory!C:M,11,FALSE)</f>
        <v>4500</v>
      </c>
      <c r="L159">
        <f>VLOOKUP(A159,[1]Inventory!C:N,12,FALSE)</f>
        <v>0</v>
      </c>
      <c r="M159" s="2" t="str">
        <f>VLOOKUP(A159,[1]Inventory!C:O,13,FALSE)</f>
        <v>-</v>
      </c>
      <c r="N159" s="2">
        <f>VLOOKUP(A159,[1]Inventory!C:P,14,FALSE)</f>
        <v>27500</v>
      </c>
      <c r="O159" t="s">
        <v>17</v>
      </c>
    </row>
    <row r="160" spans="1:15">
      <c r="A160" t="s">
        <v>197</v>
      </c>
      <c r="B160" t="s">
        <v>31</v>
      </c>
      <c r="C160" t="str">
        <f>VLOOKUP(A160,[1]Inventory!C:E,3,FALSE)</f>
        <v>Moh Moh</v>
      </c>
      <c r="D160" t="str">
        <f>VLOOKUP(B160,[1]Inventory!D:F,3,FALSE)</f>
        <v>09-422219996</v>
      </c>
      <c r="E160" t="str">
        <f>VLOOKUP(A160,[1]Inventory!C:G,5,FALSE)</f>
        <v>အင်းစိန်</v>
      </c>
      <c r="F160" t="str">
        <f>VLOOKUP(A160,[1]Inventory!C:H,6,FALSE)</f>
        <v>အမှတ် (၂၂၆၁)၊ မဂ္ဂင်ကျောင်းလမ်း၊ တောင်သူကုန်းရပ်ကွက်၊ (ဘိုကုန်းမှတ်တိုင်)၊ အင်းစိန်မြို့နယ်</v>
      </c>
      <c r="G160">
        <v>113500</v>
      </c>
      <c r="H160">
        <v>4000</v>
      </c>
      <c r="I160">
        <f t="shared" si="2"/>
        <v>117500</v>
      </c>
      <c r="J160">
        <f>VLOOKUP(A160,[1]Inventory!C:L,10,FALSE)</f>
        <v>4000</v>
      </c>
      <c r="K160">
        <f>VLOOKUP(A160,[1]Inventory!C:M,11,FALSE)</f>
        <v>4000</v>
      </c>
      <c r="L160">
        <f>VLOOKUP(A160,[1]Inventory!C:N,12,FALSE)</f>
        <v>6</v>
      </c>
      <c r="M160" s="2">
        <f>VLOOKUP(A160,[1]Inventory!C:O,13,FALSE)</f>
        <v>1500</v>
      </c>
      <c r="N160" s="2">
        <f>VLOOKUP(A160,[1]Inventory!C:P,14,FALSE)</f>
        <v>119000</v>
      </c>
      <c r="O160" t="s">
        <v>17</v>
      </c>
    </row>
    <row r="161" spans="1:15">
      <c r="A161" t="s">
        <v>198</v>
      </c>
      <c r="B161" t="s">
        <v>96</v>
      </c>
      <c r="C161" t="str">
        <f>VLOOKUP(A161,[1]Inventory!C:E,3,FALSE)</f>
        <v>ဒေါ်နီလာစိုး</v>
      </c>
      <c r="D161" t="str">
        <f>VLOOKUP(B161,[1]Inventory!D:F,3,FALSE)</f>
        <v>09-762224688</v>
      </c>
      <c r="E161" t="str">
        <f>VLOOKUP(A161,[1]Inventory!C:G,5,FALSE)</f>
        <v>လှိုင်သာယာ</v>
      </c>
      <c r="F161" t="str">
        <f>VLOOKUP(A161,[1]Inventory!C:H,6,FALSE)</f>
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</c>
      <c r="G161">
        <v>232500</v>
      </c>
      <c r="H161">
        <v>4500</v>
      </c>
      <c r="I161">
        <f t="shared" si="2"/>
        <v>237000</v>
      </c>
      <c r="J161">
        <f>VLOOKUP(A161,[1]Inventory!C:L,10,FALSE)</f>
        <v>4500</v>
      </c>
      <c r="K161">
        <f>VLOOKUP(A161,[1]Inventory!C:M,11,FALSE)</f>
        <v>4500</v>
      </c>
      <c r="L161">
        <f>VLOOKUP(A161,[1]Inventory!C:N,12,FALSE)</f>
        <v>5</v>
      </c>
      <c r="M161" s="2">
        <f>VLOOKUP(A161,[1]Inventory!C:O,13,FALSE)</f>
        <v>1000</v>
      </c>
      <c r="N161" s="2">
        <f>VLOOKUP(A161,[1]Inventory!C:P,14,FALSE)</f>
        <v>238000</v>
      </c>
      <c r="O161" t="s">
        <v>17</v>
      </c>
    </row>
    <row r="162" spans="1:15">
      <c r="A162" t="s">
        <v>199</v>
      </c>
      <c r="B162" t="s">
        <v>85</v>
      </c>
      <c r="C162" t="str">
        <f>VLOOKUP(A162,[1]Inventory!C:E,3,FALSE)</f>
        <v>Machawi Khiangte</v>
      </c>
      <c r="D162" t="str">
        <f>VLOOKUP(B162,[1]Inventory!D:F,3,FALSE)</f>
        <v>09-962222488</v>
      </c>
      <c r="E162" t="str">
        <f>VLOOKUP(A162,[1]Inventory!C:G,5,FALSE)</f>
        <v>တာမွေ</v>
      </c>
      <c r="F162" t="str">
        <f>VLOOKUP(A162,[1]Inventory!C:H,6,FALSE)</f>
        <v>Mother Indian Food၊ ဦးချစ်မောင်လမ်း၊ တာမွေအဝိုင်း၊ (ဆိုင်ရှေ့ရောက်လျှင် ဖုန်းခေါ်ရန်)၊ တာမွေမြို့နယ်</v>
      </c>
      <c r="G162">
        <v>162500</v>
      </c>
      <c r="H162">
        <v>0</v>
      </c>
      <c r="I162">
        <f t="shared" si="2"/>
        <v>162500</v>
      </c>
      <c r="J162">
        <f>VLOOKUP(A162,[1]Inventory!C:L,10,FALSE)</f>
        <v>4000</v>
      </c>
      <c r="K162" t="str">
        <f>VLOOKUP(A162,[1]Inventory!C:M,11,FALSE)</f>
        <v>-</v>
      </c>
      <c r="L162">
        <f>VLOOKUP(A162,[1]Inventory!C:N,12,FALSE)</f>
        <v>4</v>
      </c>
      <c r="M162" s="2">
        <f>VLOOKUP(A162,[1]Inventory!C:O,13,FALSE)</f>
        <v>500</v>
      </c>
      <c r="N162" s="2">
        <f>VLOOKUP(A162,[1]Inventory!C:P,14,FALSE)</f>
        <v>163000</v>
      </c>
      <c r="O162" t="s">
        <v>17</v>
      </c>
    </row>
    <row r="163" spans="1:15">
      <c r="A163" t="s">
        <v>200</v>
      </c>
      <c r="B163" t="s">
        <v>85</v>
      </c>
      <c r="C163" t="str">
        <f>VLOOKUP(A163,[1]Inventory!C:E,3,FALSE)</f>
        <v>San San Win</v>
      </c>
      <c r="D163" t="str">
        <f>VLOOKUP(B163,[1]Inventory!D:F,3,FALSE)</f>
        <v>09-962222488</v>
      </c>
      <c r="E163" t="str">
        <f>VLOOKUP(A163,[1]Inventory!C:G,5,FALSE)</f>
        <v>အလုံ</v>
      </c>
      <c r="F163" t="str">
        <f>VLOOKUP(A163,[1]Inventory!C:H,6,FALSE)</f>
        <v>အမှတ် (၇၂)၊ နံ့သာလမ်း၊ (အလုံဆင်မင်းမှတ်တိုင်အနီး)၊ အလုံမြို့နယ်</v>
      </c>
      <c r="G163">
        <v>83500</v>
      </c>
      <c r="H163">
        <v>0</v>
      </c>
      <c r="I163">
        <f t="shared" si="2"/>
        <v>83500</v>
      </c>
      <c r="J163">
        <f>VLOOKUP(A163,[1]Inventory!C:L,10,FALSE)</f>
        <v>4000</v>
      </c>
      <c r="K163" t="str">
        <f>VLOOKUP(A163,[1]Inventory!C:M,11,FALSE)</f>
        <v>-</v>
      </c>
      <c r="L163">
        <f>VLOOKUP(A163,[1]Inventory!C:N,12,FALSE)</f>
        <v>0</v>
      </c>
      <c r="M163" s="2" t="str">
        <f>VLOOKUP(A163,[1]Inventory!C:O,13,FALSE)</f>
        <v>-</v>
      </c>
      <c r="N163" s="2">
        <f>VLOOKUP(A163,[1]Inventory!C:P,14,FALSE)</f>
        <v>83500</v>
      </c>
      <c r="O163" t="s">
        <v>17</v>
      </c>
    </row>
    <row r="164" spans="1:15">
      <c r="A164" t="s">
        <v>201</v>
      </c>
      <c r="B164" t="s">
        <v>85</v>
      </c>
      <c r="C164" t="str">
        <f>VLOOKUP(A164,[1]Inventory!C:E,3,FALSE)</f>
        <v>Lagang Zezawng/ဦးဇော်ဇော်</v>
      </c>
      <c r="D164" t="str">
        <f>VLOOKUP(B164,[1]Inventory!D:F,3,FALSE)</f>
        <v>09-962222488</v>
      </c>
      <c r="E164" t="str">
        <f>VLOOKUP(A164,[1]Inventory!C:G,5,FALSE)</f>
        <v>စမ်းချောင်း</v>
      </c>
      <c r="F164" t="str">
        <f>VLOOKUP(A164,[1]Inventory!C:H,6,FALSE)</f>
        <v>မြင့်မိုရ်တိုက် (၁၆)၊ မြင့်မိုရ်လမ်း၊ စမ်းချောင်းမြို့နယ်</v>
      </c>
      <c r="G164">
        <v>22500</v>
      </c>
      <c r="H164">
        <v>0</v>
      </c>
      <c r="I164">
        <f t="shared" si="2"/>
        <v>22500</v>
      </c>
      <c r="J164">
        <f>VLOOKUP(A164,[1]Inventory!C:L,10,FALSE)</f>
        <v>4000</v>
      </c>
      <c r="K164" t="str">
        <f>VLOOKUP(A164,[1]Inventory!C:M,11,FALSE)</f>
        <v>-</v>
      </c>
      <c r="L164">
        <f>VLOOKUP(A164,[1]Inventory!C:N,12,FALSE)</f>
        <v>0</v>
      </c>
      <c r="M164" s="2" t="str">
        <f>VLOOKUP(A164,[1]Inventory!C:O,13,FALSE)</f>
        <v>-</v>
      </c>
      <c r="N164" s="2">
        <f>VLOOKUP(A164,[1]Inventory!C:P,14,FALSE)</f>
        <v>22500</v>
      </c>
      <c r="O164" t="s">
        <v>17</v>
      </c>
    </row>
    <row r="165" spans="1:15">
      <c r="A165" t="s">
        <v>202</v>
      </c>
      <c r="B165" t="s">
        <v>24</v>
      </c>
      <c r="C165" t="str">
        <f>VLOOKUP(A165,[1]Inventory!C:E,3,FALSE)</f>
        <v>Cho Zin Latt</v>
      </c>
      <c r="D165" t="str">
        <f>VLOOKUP(B165,[1]Inventory!D:F,3,FALSE)</f>
        <v>09-881477288</v>
      </c>
      <c r="E165" t="str">
        <f>VLOOKUP(A165,[1]Inventory!C:G,5,FALSE)</f>
        <v>မင်္ဂလာတောင်ညွန့်</v>
      </c>
      <c r="F165" t="str">
        <f>VLOOKUP(A165,[1]Inventory!C:H,6,FALSE)</f>
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ကန်တော်ကလေး၊ မင်္ဂလာတောင်ညွန့်မြို့နယ်</v>
      </c>
      <c r="G165">
        <v>72500</v>
      </c>
      <c r="H165">
        <v>4000</v>
      </c>
      <c r="I165">
        <f t="shared" si="2"/>
        <v>76500</v>
      </c>
      <c r="J165">
        <f>VLOOKUP(A165,[1]Inventory!C:L,10,FALSE)</f>
        <v>4000</v>
      </c>
      <c r="K165">
        <f>VLOOKUP(A165,[1]Inventory!C:M,11,FALSE)</f>
        <v>4000</v>
      </c>
      <c r="L165">
        <f>VLOOKUP(A165,[1]Inventory!C:N,12,FALSE)</f>
        <v>0</v>
      </c>
      <c r="M165" s="2" t="str">
        <f>VLOOKUP(A165,[1]Inventory!C:O,13,FALSE)</f>
        <v>-</v>
      </c>
      <c r="N165" s="2">
        <f>VLOOKUP(A165,[1]Inventory!C:P,14,FALSE)</f>
        <v>76500</v>
      </c>
      <c r="O165" t="s">
        <v>17</v>
      </c>
    </row>
    <row r="166" spans="1:15">
      <c r="A166" t="s">
        <v>203</v>
      </c>
      <c r="B166" t="s">
        <v>24</v>
      </c>
      <c r="C166" t="str">
        <f>VLOOKUP(A166,[1]Inventory!C:E,3,FALSE)</f>
        <v>Soe Soe</v>
      </c>
      <c r="D166" t="str">
        <f>VLOOKUP(B166,[1]Inventory!D:F,3,FALSE)</f>
        <v>09-881477288</v>
      </c>
      <c r="E166" t="str">
        <f>VLOOKUP(A166,[1]Inventory!C:G,5,FALSE)</f>
        <v>မြောက်ဥက္ကလာပ</v>
      </c>
      <c r="F166" t="str">
        <f>VLOOKUP(A166,[1]Inventory!C:H,6,FALSE)</f>
        <v>(အောင်မင်္ဂလာ မြရတနာကားဂိတ်က ကိုရှိန်းသုမောင်ဆီ အပ်ရန်)၊ မြောက်ဥက္ကလာပမြို့နယ်</v>
      </c>
      <c r="G166">
        <v>54000</v>
      </c>
      <c r="H166">
        <v>4500</v>
      </c>
      <c r="I166">
        <f t="shared" si="2"/>
        <v>58500</v>
      </c>
      <c r="J166">
        <f>VLOOKUP(A166,[1]Inventory!C:L,10,FALSE)</f>
        <v>4500</v>
      </c>
      <c r="K166">
        <f>VLOOKUP(A166,[1]Inventory!C:M,11,FALSE)</f>
        <v>4500</v>
      </c>
      <c r="L166">
        <f>VLOOKUP(A166,[1]Inventory!C:N,12,FALSE)</f>
        <v>0</v>
      </c>
      <c r="M166" s="2" t="str">
        <f>VLOOKUP(A166,[1]Inventory!C:O,13,FALSE)</f>
        <v>-</v>
      </c>
      <c r="N166" s="2">
        <f>VLOOKUP(A166,[1]Inventory!C:P,14,FALSE)</f>
        <v>58500</v>
      </c>
      <c r="O166" t="s">
        <v>17</v>
      </c>
    </row>
    <row r="167" spans="1:15">
      <c r="A167" t="s">
        <v>204</v>
      </c>
      <c r="B167" t="s">
        <v>33</v>
      </c>
      <c r="C167" t="str">
        <f>VLOOKUP(A167,[1]Inventory!C:E,3,FALSE)</f>
        <v>Myo Myo Zin</v>
      </c>
      <c r="D167" t="str">
        <f>VLOOKUP(B167,[1]Inventory!D:F,3,FALSE)</f>
        <v>09-43151983</v>
      </c>
      <c r="E167" t="str">
        <f>VLOOKUP(A167,[1]Inventory!C:G,5,FALSE)</f>
        <v>သာကေတ</v>
      </c>
      <c r="F167" t="str">
        <f>VLOOKUP(A167,[1]Inventory!C:H,6,FALSE)</f>
        <v>အမှတ် (၆၈၁)၊ မြေညီထပ်၊ (၅) လမ်း၊ (၇/အနောက်) ရပ်ကွက်၊ သာကေတမြို့နယ်</v>
      </c>
      <c r="G167">
        <v>64500</v>
      </c>
      <c r="H167">
        <v>4000</v>
      </c>
      <c r="I167">
        <f t="shared" si="2"/>
        <v>68500</v>
      </c>
      <c r="J167">
        <f>VLOOKUP(A167,[1]Inventory!C:L,10,FALSE)</f>
        <v>4000</v>
      </c>
      <c r="K167">
        <f>VLOOKUP(A167,[1]Inventory!C:M,11,FALSE)</f>
        <v>4000</v>
      </c>
      <c r="L167">
        <f>VLOOKUP(A167,[1]Inventory!C:N,12,FALSE)</f>
        <v>0</v>
      </c>
      <c r="M167" s="2" t="str">
        <f>VLOOKUP(A167,[1]Inventory!C:O,13,FALSE)</f>
        <v>-</v>
      </c>
      <c r="N167" s="2">
        <f>VLOOKUP(A167,[1]Inventory!C:P,14,FALSE)</f>
        <v>68500</v>
      </c>
      <c r="O167" t="s">
        <v>17</v>
      </c>
    </row>
    <row r="168" spans="1:15">
      <c r="A168" t="s">
        <v>205</v>
      </c>
      <c r="B168" t="s">
        <v>64</v>
      </c>
      <c r="C168" t="str">
        <f>VLOOKUP(A168,[1]Inventory!C:E,3,FALSE)</f>
        <v>မအေးဆုမွန်</v>
      </c>
      <c r="D168" t="str">
        <f>VLOOKUP(B168,[1]Inventory!D:F,3,FALSE)</f>
        <v>09-693251737</v>
      </c>
      <c r="E168" t="str">
        <f>VLOOKUP(A168,[1]Inventory!C:G,5,FALSE)</f>
        <v>ရွှေပြည်သာ</v>
      </c>
      <c r="F168" t="str">
        <f>VLOOKUP(A168,[1]Inventory!C:H,6,FALSE)</f>
        <v>အမှတ် (966B)၊ စိန်စီဂုဏ်ရောင်လမ်း၊ ပန်းခြံ (၃)၊ (၉) ရပ်ကွက်၊ ရွှေပြည်သာမြို့နယ်</v>
      </c>
      <c r="G168">
        <v>8000</v>
      </c>
      <c r="H168">
        <v>4500</v>
      </c>
      <c r="I168">
        <f t="shared" si="2"/>
        <v>12500</v>
      </c>
      <c r="J168">
        <f>VLOOKUP(A168,[1]Inventory!C:L,10,FALSE)</f>
        <v>4500</v>
      </c>
      <c r="K168">
        <f>VLOOKUP(A168,[1]Inventory!C:M,11,FALSE)</f>
        <v>4500</v>
      </c>
      <c r="L168">
        <f>VLOOKUP(A168,[1]Inventory!C:N,12,FALSE)</f>
        <v>0</v>
      </c>
      <c r="M168" s="2" t="str">
        <f>VLOOKUP(A168,[1]Inventory!C:O,13,FALSE)</f>
        <v>-</v>
      </c>
      <c r="N168" s="2">
        <f>VLOOKUP(A168,[1]Inventory!C:P,14,FALSE)</f>
        <v>12500</v>
      </c>
      <c r="O168" t="s">
        <v>17</v>
      </c>
    </row>
    <row r="169" spans="1:15">
      <c r="A169" t="s">
        <v>206</v>
      </c>
      <c r="B169" t="s">
        <v>64</v>
      </c>
      <c r="C169" t="str">
        <f>VLOOKUP(A169,[1]Inventory!C:E,3,FALSE)</f>
        <v>ဒေါ်သဲသဲဦး</v>
      </c>
      <c r="D169" t="str">
        <f>VLOOKUP(B169,[1]Inventory!D:F,3,FALSE)</f>
        <v>09-693251737</v>
      </c>
      <c r="E169" t="str">
        <f>VLOOKUP(A169,[1]Inventory!C:G,5,FALSE)</f>
        <v>ရွှေပြည်သာ</v>
      </c>
      <c r="F169" t="str">
        <f>VLOOKUP(A169,[1]Inventory!C:H,6,FALSE)</f>
        <v>ပြည်ထောင်စုလမ်း၊ (ရေစင်မှတ်တိုင်)၊ ရွှေပြည်သာမြို့နယ်</v>
      </c>
      <c r="G169">
        <v>13000</v>
      </c>
      <c r="H169">
        <v>4500</v>
      </c>
      <c r="I169">
        <f t="shared" si="2"/>
        <v>17500</v>
      </c>
      <c r="J169">
        <f>VLOOKUP(A169,[1]Inventory!C:L,10,FALSE)</f>
        <v>4500</v>
      </c>
      <c r="K169">
        <f>VLOOKUP(A169,[1]Inventory!C:M,11,FALSE)</f>
        <v>4500</v>
      </c>
      <c r="L169">
        <f>VLOOKUP(A169,[1]Inventory!C:N,12,FALSE)</f>
        <v>0</v>
      </c>
      <c r="M169" s="2" t="str">
        <f>VLOOKUP(A169,[1]Inventory!C:O,13,FALSE)</f>
        <v>-</v>
      </c>
      <c r="N169" s="2">
        <f>VLOOKUP(A169,[1]Inventory!C:P,14,FALSE)</f>
        <v>17500</v>
      </c>
      <c r="O169" t="s">
        <v>17</v>
      </c>
    </row>
    <row r="170" spans="1:15">
      <c r="A170" t="s">
        <v>207</v>
      </c>
      <c r="B170" t="s">
        <v>208</v>
      </c>
      <c r="C170" t="str">
        <f>VLOOKUP(A170,[1]Inventory!C:E,3,FALSE)</f>
        <v>Chimyo Htet</v>
      </c>
      <c r="D170" t="str">
        <f>VLOOKUP(B170,[1]Inventory!D:F,3,FALSE)</f>
        <v>09-673098268</v>
      </c>
      <c r="E170" t="str">
        <f>VLOOKUP(A170,[1]Inventory!C:G,5,FALSE)</f>
        <v>ရွှေပြည်သာ</v>
      </c>
      <c r="F170" t="str">
        <f>VLOOKUP(A170,[1]Inventory!C:H,6,FALSE)</f>
        <v>သီတာပန်းခြံ (၂) လမ်း၊ (၈) ရပ်ကွက်၊ (ကျေးရွာမှတ်တိုင်)၊ ရွှေပြည်သာမြို့နယ်</v>
      </c>
      <c r="G170">
        <v>15500</v>
      </c>
      <c r="H170">
        <v>4500</v>
      </c>
      <c r="I170">
        <f t="shared" si="2"/>
        <v>20000</v>
      </c>
      <c r="J170">
        <f>VLOOKUP(A170,[1]Inventory!C:L,10,FALSE)</f>
        <v>4500</v>
      </c>
      <c r="K170">
        <f>VLOOKUP(A170,[1]Inventory!C:M,11,FALSE)</f>
        <v>4500</v>
      </c>
      <c r="L170">
        <f>VLOOKUP(A170,[1]Inventory!C:N,12,FALSE)</f>
        <v>0</v>
      </c>
      <c r="M170" s="2" t="str">
        <f>VLOOKUP(A170,[1]Inventory!C:O,13,FALSE)</f>
        <v>-</v>
      </c>
      <c r="N170" s="2">
        <f>VLOOKUP(A170,[1]Inventory!C:P,14,FALSE)</f>
        <v>20000</v>
      </c>
      <c r="O170" t="s">
        <v>17</v>
      </c>
    </row>
    <row r="171" spans="1:15">
      <c r="A171" t="s">
        <v>209</v>
      </c>
      <c r="B171" t="s">
        <v>210</v>
      </c>
      <c r="C171" t="str">
        <f>VLOOKUP(A171,[1]Inventory!C:E,3,FALSE)</f>
        <v>Ma Htet Yee Win</v>
      </c>
      <c r="D171" t="str">
        <f>VLOOKUP(B171,[1]Inventory!D:F,3,FALSE)</f>
        <v>09-786642566</v>
      </c>
      <c r="E171" t="str">
        <f>VLOOKUP(A171,[1]Inventory!C:G,5,FALSE)</f>
        <v>မရမ်းကုန်း</v>
      </c>
      <c r="F171" t="str">
        <f>VLOOKUP(A171,[1]Inventory!C:H,6,FALSE)</f>
        <v>ရန်ကုန်နည်းပညာတက္ကသိုလ် ၊ BPI မှတ်တိုင် ၊ မရမ်းကုန်း</v>
      </c>
      <c r="G171">
        <v>36000</v>
      </c>
      <c r="H171">
        <v>4000</v>
      </c>
      <c r="I171">
        <f t="shared" si="2"/>
        <v>40000</v>
      </c>
      <c r="J171">
        <f>VLOOKUP(A171,[1]Inventory!C:L,10,FALSE)</f>
        <v>4000</v>
      </c>
      <c r="K171">
        <f>VLOOKUP(A171,[1]Inventory!C:M,11,FALSE)</f>
        <v>4000</v>
      </c>
      <c r="L171">
        <f>VLOOKUP(A171,[1]Inventory!C:N,12,FALSE)</f>
        <v>0</v>
      </c>
      <c r="M171" s="2" t="str">
        <f>VLOOKUP(A171,[1]Inventory!C:O,13,FALSE)</f>
        <v>-</v>
      </c>
      <c r="N171" s="2">
        <f>VLOOKUP(A171,[1]Inventory!C:P,14,FALSE)</f>
        <v>40000</v>
      </c>
      <c r="O171" t="s">
        <v>17</v>
      </c>
    </row>
    <row r="172" spans="1:15">
      <c r="A172" t="s">
        <v>211</v>
      </c>
      <c r="B172" t="s">
        <v>212</v>
      </c>
      <c r="C172" t="str">
        <f>VLOOKUP(A172,[1]Inventory!C:E,3,FALSE)</f>
        <v>Keiko</v>
      </c>
      <c r="D172" t="str">
        <f>VLOOKUP(B172,[1]Inventory!D:F,3,FALSE)</f>
        <v>09-785269777</v>
      </c>
      <c r="E172" t="str">
        <f>VLOOKUP(A172,[1]Inventory!C:G,5,FALSE)</f>
        <v>လှိုင်</v>
      </c>
      <c r="F172" t="str">
        <f>VLOOKUP(A172,[1]Inventory!C:H,6,FALSE)</f>
        <v>The Century Condo၊ လှိုင်မြို့နယ်</v>
      </c>
      <c r="G172">
        <v>0</v>
      </c>
      <c r="H172">
        <v>0</v>
      </c>
      <c r="I172">
        <f t="shared" si="2"/>
        <v>0</v>
      </c>
      <c r="J172">
        <f>VLOOKUP(A172,[1]Inventory!C:L,10,FALSE)</f>
        <v>4000</v>
      </c>
      <c r="K172" t="str">
        <f>VLOOKUP(A172,[1]Inventory!C:M,11,FALSE)</f>
        <v>-</v>
      </c>
      <c r="L172">
        <f>VLOOKUP(A172,[1]Inventory!C:N,12,FALSE)</f>
        <v>0</v>
      </c>
      <c r="M172" s="2" t="str">
        <f>VLOOKUP(A172,[1]Inventory!C:O,13,FALSE)</f>
        <v>-</v>
      </c>
      <c r="N172" s="2" t="str">
        <f>VLOOKUP(A172,[1]Inventory!C:P,14,FALSE)</f>
        <v>-</v>
      </c>
      <c r="O172" t="s">
        <v>17</v>
      </c>
    </row>
    <row r="173" spans="1:15">
      <c r="A173" t="s">
        <v>213</v>
      </c>
      <c r="B173" t="s">
        <v>22</v>
      </c>
      <c r="C173" t="str">
        <f>VLOOKUP(A173,[1]Inventory!C:E,3,FALSE)</f>
        <v>Thet Htar</v>
      </c>
      <c r="D173" t="str">
        <f>VLOOKUP(B173,[1]Inventory!D:F,3,FALSE)</f>
        <v>09-775879156
 09-783922942</v>
      </c>
      <c r="E173" t="str">
        <f>VLOOKUP(A173,[1]Inventory!C:G,5,FALSE)</f>
        <v>ကျောက်တံတား</v>
      </c>
      <c r="F173" t="str">
        <f>VLOOKUP(A173,[1]Inventory!C:H,6,FALSE)</f>
        <v>ကျောက်တံတားမြို့နယ်</v>
      </c>
      <c r="G173">
        <v>29800</v>
      </c>
      <c r="H173">
        <v>4000</v>
      </c>
      <c r="I173">
        <f t="shared" si="2"/>
        <v>33800</v>
      </c>
      <c r="J173">
        <f>VLOOKUP(A173,[1]Inventory!C:L,10,FALSE)</f>
        <v>4000</v>
      </c>
      <c r="K173">
        <f>VLOOKUP(A173,[1]Inventory!C:M,11,FALSE)</f>
        <v>4000</v>
      </c>
      <c r="L173">
        <f>VLOOKUP(A173,[1]Inventory!C:N,12,FALSE)</f>
        <v>0</v>
      </c>
      <c r="M173" s="2" t="str">
        <f>VLOOKUP(A173,[1]Inventory!C:O,13,FALSE)</f>
        <v>-</v>
      </c>
      <c r="N173" s="2">
        <f>VLOOKUP(A173,[1]Inventory!C:P,14,FALSE)</f>
        <v>33800</v>
      </c>
      <c r="O173" t="s">
        <v>17</v>
      </c>
    </row>
    <row r="174" spans="1:15">
      <c r="A174" t="s">
        <v>214</v>
      </c>
      <c r="B174" t="s">
        <v>42</v>
      </c>
      <c r="C174" t="str">
        <f>VLOOKUP(A174,[1]Inventory!C:E,3,FALSE)</f>
        <v>Moe Moe</v>
      </c>
      <c r="D174" t="str">
        <f>VLOOKUP(B174,[1]Inventory!D:F,3,FALSE)</f>
        <v>09-650612392</v>
      </c>
      <c r="E174" t="str">
        <f>VLOOKUP(A174,[1]Inventory!C:G,5,FALSE)</f>
        <v>ဒေါပုံ</v>
      </c>
      <c r="F174" t="str">
        <f>VLOOKUP(A174,[1]Inventory!C:H,6,FALSE)</f>
        <v>အမှတ် (၁၁၀)၊ မေတ္တာ (၂၃) လမ်း၊ ဗိုလ်ထွန်းစံရပ်ကွက်၊ ဒေါပုံမြို့နယ်</v>
      </c>
      <c r="G174">
        <v>138000</v>
      </c>
      <c r="H174">
        <v>4000</v>
      </c>
      <c r="I174">
        <f t="shared" si="2"/>
        <v>142000</v>
      </c>
      <c r="J174">
        <f>VLOOKUP(A174,[1]Inventory!C:L,10,FALSE)</f>
        <v>4000</v>
      </c>
      <c r="K174">
        <f>VLOOKUP(A174,[1]Inventory!C:M,11,FALSE)</f>
        <v>4000</v>
      </c>
      <c r="L174">
        <f>VLOOKUP(A174,[1]Inventory!C:N,12,FALSE)</f>
        <v>0</v>
      </c>
      <c r="M174" s="2" t="str">
        <f>VLOOKUP(A174,[1]Inventory!C:O,13,FALSE)</f>
        <v>-</v>
      </c>
      <c r="N174" s="2">
        <f>VLOOKUP(A174,[1]Inventory!C:P,14,FALSE)</f>
        <v>160000</v>
      </c>
      <c r="O174" t="s">
        <v>17</v>
      </c>
    </row>
    <row r="175" spans="1:15">
      <c r="A175" t="s">
        <v>215</v>
      </c>
      <c r="B175" t="s">
        <v>42</v>
      </c>
      <c r="C175" t="str">
        <f>VLOOKUP(A175,[1]Inventory!C:E,3,FALSE)</f>
        <v>Tha Zin Aye</v>
      </c>
      <c r="D175" t="str">
        <f>VLOOKUP(B175,[1]Inventory!D:F,3,FALSE)</f>
        <v>09-650612392</v>
      </c>
      <c r="E175" t="str">
        <f>VLOOKUP(A175,[1]Inventory!C:G,5,FALSE)</f>
        <v>ဒေါပုံ</v>
      </c>
      <c r="F175" t="str">
        <f>VLOOKUP(A175,[1]Inventory!C:H,6,FALSE)</f>
        <v>အမှတ် (၃၄၁)၊ သစ္စာနွယ်လမ်း၊ နွယ်အေးရပ်ကွက်၊ ဒေါပုံမြို့နယ်</v>
      </c>
      <c r="G175">
        <v>84000</v>
      </c>
      <c r="H175">
        <v>4000</v>
      </c>
      <c r="I175">
        <f t="shared" si="2"/>
        <v>88000</v>
      </c>
      <c r="J175">
        <f>VLOOKUP(A175,[1]Inventory!C:L,10,FALSE)</f>
        <v>4000</v>
      </c>
      <c r="K175">
        <f>VLOOKUP(A175,[1]Inventory!C:M,11,FALSE)</f>
        <v>4000</v>
      </c>
      <c r="L175">
        <f>VLOOKUP(A175,[1]Inventory!C:N,12,FALSE)</f>
        <v>0</v>
      </c>
      <c r="M175" s="2" t="str">
        <f>VLOOKUP(A175,[1]Inventory!C:O,13,FALSE)</f>
        <v>-</v>
      </c>
      <c r="N175" s="2">
        <f>VLOOKUP(A175,[1]Inventory!C:P,14,FALSE)</f>
        <v>88000</v>
      </c>
      <c r="O175" t="s">
        <v>17</v>
      </c>
    </row>
    <row r="176" spans="1:15">
      <c r="A176" t="s">
        <v>216</v>
      </c>
      <c r="B176" t="s">
        <v>24</v>
      </c>
      <c r="C176" t="str">
        <f>VLOOKUP(A176,[1]Inventory!C:E,3,FALSE)</f>
        <v>စိန်ရတနာ</v>
      </c>
      <c r="D176" t="str">
        <f>VLOOKUP(B176,[1]Inventory!D:F,3,FALSE)</f>
        <v>09-881477288</v>
      </c>
      <c r="E176" t="str">
        <f>VLOOKUP(A176,[1]Inventory!C:G,5,FALSE)</f>
        <v>ဒေါပုံ</v>
      </c>
      <c r="F176" t="str">
        <f>VLOOKUP(A176,[1]Inventory!C:H,6,FALSE)</f>
        <v>အမှတ် (၃၉၀)၊ ဇေယျာသီရိ (၁၃) လမ်း၊ (စာတိုက်အနီး)၊ ဒေါပုံမြို့နယ်</v>
      </c>
      <c r="G176">
        <v>108000</v>
      </c>
      <c r="H176">
        <v>4000</v>
      </c>
      <c r="I176">
        <f t="shared" si="2"/>
        <v>112000</v>
      </c>
      <c r="J176">
        <f>VLOOKUP(A176,[1]Inventory!C:L,10,FALSE)</f>
        <v>4000</v>
      </c>
      <c r="K176">
        <f>VLOOKUP(A176,[1]Inventory!C:M,11,FALSE)</f>
        <v>4000</v>
      </c>
      <c r="L176">
        <f>VLOOKUP(A176,[1]Inventory!C:N,12,FALSE)</f>
        <v>6</v>
      </c>
      <c r="M176" s="2">
        <f>VLOOKUP(A176,[1]Inventory!C:O,13,FALSE)</f>
        <v>1500</v>
      </c>
      <c r="N176" s="2">
        <f>VLOOKUP(A176,[1]Inventory!C:P,14,FALSE)</f>
        <v>113500</v>
      </c>
      <c r="O176" t="s">
        <v>17</v>
      </c>
    </row>
    <row r="177" spans="1:15">
      <c r="A177" t="s">
        <v>217</v>
      </c>
      <c r="B177" t="s">
        <v>24</v>
      </c>
      <c r="C177" t="str">
        <f>VLOOKUP(A177,[1]Inventory!C:E,3,FALSE)</f>
        <v>San San Myint</v>
      </c>
      <c r="D177" t="str">
        <f>VLOOKUP(B177,[1]Inventory!D:F,3,FALSE)</f>
        <v>09-881477288</v>
      </c>
      <c r="E177" t="str">
        <f>VLOOKUP(A177,[1]Inventory!C:G,5,FALSE)</f>
        <v>တာမွေ</v>
      </c>
      <c r="F177" t="str">
        <f>VLOOKUP(A177,[1]Inventory!C:H,6,FALSE)</f>
        <v>အမှတ် (၅)၊ အေးသာယာလမ်း၊ တာမွေမြို့နယ်</v>
      </c>
      <c r="G177">
        <v>29000</v>
      </c>
      <c r="H177">
        <v>4000</v>
      </c>
      <c r="I177">
        <f t="shared" si="2"/>
        <v>33000</v>
      </c>
      <c r="J177">
        <f>VLOOKUP(A177,[1]Inventory!C:L,10,FALSE)</f>
        <v>4000</v>
      </c>
      <c r="K177">
        <f>VLOOKUP(A177,[1]Inventory!C:M,11,FALSE)</f>
        <v>4000</v>
      </c>
      <c r="L177">
        <f>VLOOKUP(A177,[1]Inventory!C:N,12,FALSE)</f>
        <v>0</v>
      </c>
      <c r="M177" s="2" t="str">
        <f>VLOOKUP(A177,[1]Inventory!C:O,13,FALSE)</f>
        <v>-</v>
      </c>
      <c r="N177" s="2">
        <f>VLOOKUP(A177,[1]Inventory!C:P,14,FALSE)</f>
        <v>33000</v>
      </c>
      <c r="O177" t="s">
        <v>17</v>
      </c>
    </row>
    <row r="178" spans="1:15">
      <c r="A178" t="s">
        <v>218</v>
      </c>
      <c r="B178" t="s">
        <v>40</v>
      </c>
      <c r="C178" t="str">
        <f>VLOOKUP(A178,[1]Inventory!C:E,3,FALSE)</f>
        <v>မသူသူစိုး</v>
      </c>
      <c r="D178" t="str">
        <f>VLOOKUP(B178,[1]Inventory!D:F,3,FALSE)</f>
        <v>09-451248394
  09-45248394</v>
      </c>
      <c r="E178" t="str">
        <f>VLOOKUP(A178,[1]Inventory!C:G,5,FALSE)</f>
        <v>လှိုင်သာယာ</v>
      </c>
      <c r="F178" t="str">
        <f>VLOOKUP(A178,[1]Inventory!C:H,6,FALSE)</f>
        <v>(ရိုးကြီးမှတ်တိုင်နား)၊ လှိုင်သာယာမြို့နယ်</v>
      </c>
      <c r="G178">
        <v>30000</v>
      </c>
      <c r="H178">
        <v>4500</v>
      </c>
      <c r="I178">
        <f t="shared" si="2"/>
        <v>34500</v>
      </c>
      <c r="J178">
        <f>VLOOKUP(A178,[1]Inventory!C:L,10,FALSE)</f>
        <v>4500</v>
      </c>
      <c r="K178">
        <f>VLOOKUP(A178,[1]Inventory!C:M,11,FALSE)</f>
        <v>4500</v>
      </c>
      <c r="L178">
        <f>VLOOKUP(A178,[1]Inventory!C:N,12,FALSE)</f>
        <v>6</v>
      </c>
      <c r="M178" s="2">
        <f>VLOOKUP(A178,[1]Inventory!C:O,13,FALSE)</f>
        <v>1500</v>
      </c>
      <c r="N178" s="2">
        <f>VLOOKUP(A178,[1]Inventory!C:P,14,FALSE)</f>
        <v>36000</v>
      </c>
      <c r="O178" t="s">
        <v>17</v>
      </c>
    </row>
    <row r="179" spans="1:15">
      <c r="A179" t="s">
        <v>219</v>
      </c>
      <c r="B179" t="s">
        <v>75</v>
      </c>
      <c r="C179" t="str">
        <f>VLOOKUP(A179,[1]Inventory!C:E,3,FALSE)</f>
        <v>Win WIn</v>
      </c>
      <c r="D179" t="str">
        <f>VLOOKUP(B179,[1]Inventory!D:F,3,FALSE)</f>
        <v>09-755008786</v>
      </c>
      <c r="E179" t="str">
        <f>VLOOKUP(A179,[1]Inventory!C:G,5,FALSE)</f>
        <v>လှိုင်သာယာ</v>
      </c>
      <c r="F179" t="str">
        <f>VLOOKUP(A179,[1]Inventory!C:H,6,FALSE)</f>
        <v>အမှတ် (၇၅၃)၊ နွယ်နီ (၃) လမ်း၊ (၁၅) ရပ်ကွက်၊ ((၁၂၇) မီးပွိုင့်အနီး)၊ လှိုင်သာယာမြို့နယ်</v>
      </c>
      <c r="G179">
        <v>232000</v>
      </c>
      <c r="H179">
        <v>4500</v>
      </c>
      <c r="I179">
        <f t="shared" si="2"/>
        <v>236500</v>
      </c>
      <c r="J179">
        <f>VLOOKUP(A179,[1]Inventory!C:L,10,FALSE)</f>
        <v>4500</v>
      </c>
      <c r="K179">
        <f>VLOOKUP(A179,[1]Inventory!C:M,11,FALSE)</f>
        <v>4500</v>
      </c>
      <c r="L179">
        <f>VLOOKUP(A179,[1]Inventory!C:N,12,FALSE)</f>
        <v>0</v>
      </c>
      <c r="M179" s="2" t="str">
        <f>VLOOKUP(A179,[1]Inventory!C:O,13,FALSE)</f>
        <v>-</v>
      </c>
      <c r="N179" s="2">
        <f>VLOOKUP(A179,[1]Inventory!C:P,14,FALSE)</f>
        <v>236500</v>
      </c>
      <c r="O179" t="s">
        <v>17</v>
      </c>
    </row>
    <row r="180" spans="1:15">
      <c r="A180" t="s">
        <v>220</v>
      </c>
      <c r="B180" t="s">
        <v>42</v>
      </c>
      <c r="C180" t="str">
        <f>VLOOKUP(A180,[1]Inventory!C:E,3,FALSE)</f>
        <v>Baby Lay</v>
      </c>
      <c r="D180" t="str">
        <f>VLOOKUP(B180,[1]Inventory!D:F,3,FALSE)</f>
        <v>09-650612392</v>
      </c>
      <c r="E180" t="str">
        <f>VLOOKUP(A180,[1]Inventory!C:G,5,FALSE)</f>
        <v>လှိုင်သာယာ</v>
      </c>
      <c r="F180" t="str">
        <f>VLOOKUP(A180,[1]Inventory!C:H,6,FALSE)</f>
        <v>အမှတ် (227B)၊ နှောင်းဦးလမ်း၊ (၁၀) ရပ်ကွက်၊ လှိုင်သာယာမြို့နယ်</v>
      </c>
      <c r="G180">
        <v>22500</v>
      </c>
      <c r="H180">
        <v>4500</v>
      </c>
      <c r="I180">
        <f t="shared" si="2"/>
        <v>27000</v>
      </c>
      <c r="J180">
        <f>VLOOKUP(A180,[1]Inventory!C:L,10,FALSE)</f>
        <v>4500</v>
      </c>
      <c r="K180">
        <f>VLOOKUP(A180,[1]Inventory!C:M,11,FALSE)</f>
        <v>4500</v>
      </c>
      <c r="L180">
        <f>VLOOKUP(A180,[1]Inventory!C:N,12,FALSE)</f>
        <v>0</v>
      </c>
      <c r="M180" s="2" t="str">
        <f>VLOOKUP(A180,[1]Inventory!C:O,13,FALSE)</f>
        <v>-</v>
      </c>
      <c r="N180" s="2">
        <f>VLOOKUP(A180,[1]Inventory!C:P,14,FALSE)</f>
        <v>27000</v>
      </c>
      <c r="O180" t="s">
        <v>17</v>
      </c>
    </row>
    <row r="181" spans="1:15">
      <c r="A181" t="s">
        <v>221</v>
      </c>
      <c r="B181" t="s">
        <v>28</v>
      </c>
      <c r="C181" t="str">
        <f>VLOOKUP(A181,[1]Inventory!C:E,3,FALSE)</f>
        <v>Mya Lay</v>
      </c>
      <c r="D181" t="str">
        <f>VLOOKUP(B181,[1]Inventory!D:F,3,FALSE)</f>
        <v>09-773209266</v>
      </c>
      <c r="E181" t="str">
        <f>VLOOKUP(A181,[1]Inventory!C:G,5,FALSE)</f>
        <v>လှိုင်</v>
      </c>
      <c r="F181" t="str">
        <f>VLOOKUP(A181,[1]Inventory!C:H,6,FALSE)</f>
        <v>အေးမြသာယာလမ်း၊ (၁၄) ရပ်ကွက်၊ လှိုင်မြို့နယ်</v>
      </c>
      <c r="G181">
        <v>42900</v>
      </c>
      <c r="H181">
        <v>4000</v>
      </c>
      <c r="I181">
        <f t="shared" si="2"/>
        <v>46900</v>
      </c>
      <c r="J181">
        <f>VLOOKUP(A181,[1]Inventory!C:L,10,FALSE)</f>
        <v>4000</v>
      </c>
      <c r="K181">
        <f>VLOOKUP(A181,[1]Inventory!C:M,11,FALSE)</f>
        <v>4000</v>
      </c>
      <c r="L181">
        <f>VLOOKUP(A181,[1]Inventory!C:N,12,FALSE)</f>
        <v>0</v>
      </c>
      <c r="M181" s="2" t="str">
        <f>VLOOKUP(A181,[1]Inventory!C:O,13,FALSE)</f>
        <v>-</v>
      </c>
      <c r="N181" s="2">
        <f>VLOOKUP(A181,[1]Inventory!C:P,14,FALSE)</f>
        <v>46900</v>
      </c>
      <c r="O181" t="s">
        <v>17</v>
      </c>
    </row>
    <row r="182" spans="1:15">
      <c r="A182" t="s">
        <v>222</v>
      </c>
      <c r="B182" t="s">
        <v>28</v>
      </c>
      <c r="C182" t="str">
        <f>VLOOKUP(A182,[1]Inventory!C:E,3,FALSE)</f>
        <v>Yu Yu</v>
      </c>
      <c r="D182" t="str">
        <f>VLOOKUP(B182,[1]Inventory!D:F,3,FALSE)</f>
        <v>09-773209266</v>
      </c>
      <c r="E182" t="str">
        <f>VLOOKUP(A182,[1]Inventory!C:G,5,FALSE)</f>
        <v>လှိုင်သာယာ</v>
      </c>
      <c r="F182" t="str">
        <f>VLOOKUP(A182,[1]Inventory!C:H,6,FALSE)</f>
        <v>ဓမ္မာရုံ (၁) လမ်း၊ (၂၂) ရပ်ကွက်၊ လှိုင်သာယာမြို့နယ်</v>
      </c>
      <c r="G182">
        <v>68200</v>
      </c>
      <c r="H182">
        <v>4500</v>
      </c>
      <c r="I182">
        <f t="shared" si="2"/>
        <v>72700</v>
      </c>
      <c r="J182">
        <f>VLOOKUP(A182,[1]Inventory!C:L,10,FALSE)</f>
        <v>4500</v>
      </c>
      <c r="K182">
        <f>VLOOKUP(A182,[1]Inventory!C:M,11,FALSE)</f>
        <v>4500</v>
      </c>
      <c r="L182">
        <f>VLOOKUP(A182,[1]Inventory!C:N,12,FALSE)</f>
        <v>0</v>
      </c>
      <c r="M182" s="2" t="str">
        <f>VLOOKUP(A182,[1]Inventory!C:O,13,FALSE)</f>
        <v>-</v>
      </c>
      <c r="N182" s="2">
        <f>VLOOKUP(A182,[1]Inventory!C:P,14,FALSE)</f>
        <v>72700</v>
      </c>
      <c r="O182" t="s">
        <v>17</v>
      </c>
    </row>
    <row r="183" spans="1:15">
      <c r="A183" t="s">
        <v>223</v>
      </c>
      <c r="B183" t="s">
        <v>28</v>
      </c>
      <c r="C183" t="str">
        <f>VLOOKUP(A183,[1]Inventory!C:E,3,FALSE)</f>
        <v>သက်ထား</v>
      </c>
      <c r="D183" t="str">
        <f>VLOOKUP(B183,[1]Inventory!D:F,3,FALSE)</f>
        <v>09-773209266</v>
      </c>
      <c r="E183" t="str">
        <f>VLOOKUP(A183,[1]Inventory!C:G,5,FALSE)</f>
        <v>လှိုင်သာယာ</v>
      </c>
      <c r="F183" t="str">
        <f>VLOOKUP(A183,[1]Inventory!C:H,6,FALSE)</f>
        <v>ညောင်လေးပင်လမ်း၊ (၁၆) ရပ်ကွက်၊ လှိုင်သာယာမြို့နယ်</v>
      </c>
      <c r="G183">
        <v>29000</v>
      </c>
      <c r="H183">
        <v>4500</v>
      </c>
      <c r="I183">
        <f t="shared" si="2"/>
        <v>33500</v>
      </c>
      <c r="J183">
        <f>VLOOKUP(A183,[1]Inventory!C:L,10,FALSE)</f>
        <v>4500</v>
      </c>
      <c r="K183">
        <f>VLOOKUP(A183,[1]Inventory!C:M,11,FALSE)</f>
        <v>4500</v>
      </c>
      <c r="L183">
        <f>VLOOKUP(A183,[1]Inventory!C:N,12,FALSE)</f>
        <v>0</v>
      </c>
      <c r="M183" s="2" t="str">
        <f>VLOOKUP(A183,[1]Inventory!C:O,13,FALSE)</f>
        <v>-</v>
      </c>
      <c r="N183" s="2">
        <f>VLOOKUP(A183,[1]Inventory!C:P,14,FALSE)</f>
        <v>33500</v>
      </c>
      <c r="O183" t="s">
        <v>17</v>
      </c>
    </row>
    <row r="184" spans="1:15">
      <c r="A184" t="s">
        <v>224</v>
      </c>
      <c r="B184" t="s">
        <v>28</v>
      </c>
      <c r="C184" t="str">
        <f>VLOOKUP(A184,[1]Inventory!C:E,3,FALSE)</f>
        <v>ဝင်းမာထွေး</v>
      </c>
      <c r="D184" t="str">
        <f>VLOOKUP(B184,[1]Inventory!D:F,3,FALSE)</f>
        <v>09-773209266</v>
      </c>
      <c r="E184" t="str">
        <f>VLOOKUP(A184,[1]Inventory!C:G,5,FALSE)</f>
        <v>လှိုင်သာယာ</v>
      </c>
      <c r="F184" t="str">
        <f>VLOOKUP(A184,[1]Inventory!C:H,6,FALSE)</f>
        <v>ဧရာဝတီလမ်း၊ ရွှေညောင်ပင်၊ (၅) ရပ်ကွက်၊ လှိုင်သာယာမြို့နယ်</v>
      </c>
      <c r="G184">
        <v>47500</v>
      </c>
      <c r="H184">
        <v>4500</v>
      </c>
      <c r="I184">
        <f t="shared" si="2"/>
        <v>52000</v>
      </c>
      <c r="J184">
        <f>VLOOKUP(A184,[1]Inventory!C:L,10,FALSE)</f>
        <v>4500</v>
      </c>
      <c r="K184">
        <f>VLOOKUP(A184,[1]Inventory!C:M,11,FALSE)</f>
        <v>4500</v>
      </c>
      <c r="L184">
        <f>VLOOKUP(A184,[1]Inventory!C:N,12,FALSE)</f>
        <v>0</v>
      </c>
      <c r="M184" s="2" t="str">
        <f>VLOOKUP(A184,[1]Inventory!C:O,13,FALSE)</f>
        <v>-</v>
      </c>
      <c r="N184" s="2">
        <f>VLOOKUP(A184,[1]Inventory!C:P,14,FALSE)</f>
        <v>52000</v>
      </c>
      <c r="O184" t="s">
        <v>17</v>
      </c>
    </row>
    <row r="185" spans="1:15">
      <c r="A185" t="s">
        <v>225</v>
      </c>
      <c r="B185" t="s">
        <v>28</v>
      </c>
      <c r="C185" t="str">
        <f>VLOOKUP(A185,[1]Inventory!C:E,3,FALSE)</f>
        <v>ဒေါ်သက်သက်</v>
      </c>
      <c r="D185" t="str">
        <f>VLOOKUP(B185,[1]Inventory!D:F,3,FALSE)</f>
        <v>09-773209266</v>
      </c>
      <c r="E185" t="str">
        <f>VLOOKUP(A185,[1]Inventory!C:G,5,FALSE)</f>
        <v>လှိုင်သာယာ</v>
      </c>
      <c r="F185" t="str">
        <f>VLOOKUP(A185,[1]Inventory!C:H,6,FALSE)</f>
        <v>မြတ်စံပယ်ဆေးဆိုင်၊ ရခိုင်ရိုးလေး၊ လှိုင်သာယာမြို့နယ်</v>
      </c>
      <c r="G185">
        <v>102000</v>
      </c>
      <c r="H185">
        <v>4500</v>
      </c>
      <c r="I185">
        <f t="shared" si="2"/>
        <v>106500</v>
      </c>
      <c r="J185">
        <f>VLOOKUP(A185,[1]Inventory!C:L,10,FALSE)</f>
        <v>4500</v>
      </c>
      <c r="K185">
        <f>VLOOKUP(A185,[1]Inventory!C:M,11,FALSE)</f>
        <v>4500</v>
      </c>
      <c r="L185">
        <f>VLOOKUP(A185,[1]Inventory!C:N,12,FALSE)</f>
        <v>0</v>
      </c>
      <c r="M185" s="2" t="str">
        <f>VLOOKUP(A185,[1]Inventory!C:O,13,FALSE)</f>
        <v>-</v>
      </c>
      <c r="N185" s="2">
        <f>VLOOKUP(A185,[1]Inventory!C:P,14,FALSE)</f>
        <v>106500</v>
      </c>
      <c r="O185" t="s">
        <v>17</v>
      </c>
    </row>
    <row r="186" spans="1:15">
      <c r="A186" t="s">
        <v>226</v>
      </c>
      <c r="B186" t="s">
        <v>80</v>
      </c>
      <c r="C186" t="str">
        <f>VLOOKUP(A186,[1]Inventory!C:E,3,FALSE)</f>
        <v>နန်းစုလှိုင်</v>
      </c>
      <c r="D186" t="str">
        <f>VLOOKUP(B186,[1]Inventory!D:F,3,FALSE)</f>
        <v>09-440680460</v>
      </c>
      <c r="E186" t="str">
        <f>VLOOKUP(A186,[1]Inventory!C:G,5,FALSE)</f>
        <v>ရွှေပြည်သာ</v>
      </c>
      <c r="F186" t="str">
        <f>VLOOKUP(A186,[1]Inventory!C:H,6,FALSE)</f>
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v>
      </c>
      <c r="G186">
        <v>39000</v>
      </c>
      <c r="H186">
        <v>4500</v>
      </c>
      <c r="I186">
        <f t="shared" si="2"/>
        <v>43500</v>
      </c>
      <c r="J186">
        <f>VLOOKUP(A186,[1]Inventory!C:L,10,FALSE)</f>
        <v>4500</v>
      </c>
      <c r="K186">
        <f>VLOOKUP(A186,[1]Inventory!C:M,11,FALSE)</f>
        <v>4500</v>
      </c>
      <c r="L186">
        <f>VLOOKUP(A186,[1]Inventory!C:N,12,FALSE)</f>
        <v>0</v>
      </c>
      <c r="M186" s="2" t="str">
        <f>VLOOKUP(A186,[1]Inventory!C:O,13,FALSE)</f>
        <v>-</v>
      </c>
      <c r="N186" s="2">
        <f>VLOOKUP(A186,[1]Inventory!C:P,14,FALSE)</f>
        <v>43500</v>
      </c>
      <c r="O186" t="s">
        <v>17</v>
      </c>
    </row>
    <row r="187" spans="1:15">
      <c r="A187" t="s">
        <v>227</v>
      </c>
      <c r="B187" t="s">
        <v>22</v>
      </c>
      <c r="C187" t="str">
        <f>VLOOKUP(A187,[1]Inventory!C:E,3,FALSE)</f>
        <v>Ellie</v>
      </c>
      <c r="D187" t="str">
        <f>VLOOKUP(B187,[1]Inventory!D:F,3,FALSE)</f>
        <v>09-775879156
 09-783922942</v>
      </c>
      <c r="E187" t="str">
        <f>VLOOKUP(A187,[1]Inventory!C:G,5,FALSE)</f>
        <v>မင်္ဂလာဒုံ</v>
      </c>
      <c r="F187" t="str">
        <f>VLOOKUP(A187,[1]Inventory!C:H,6,FALSE)</f>
        <v>အမှတ် (၁၅၉)၊ ကရင်ပင်လမ်း၊ မင်္ဂလာဒုံမြို့နယ်</v>
      </c>
      <c r="G187">
        <v>29800</v>
      </c>
      <c r="H187">
        <v>4500</v>
      </c>
      <c r="I187">
        <f t="shared" si="2"/>
        <v>34300</v>
      </c>
      <c r="J187">
        <f>VLOOKUP(A187,[1]Inventory!C:L,10,FALSE)</f>
        <v>4500</v>
      </c>
      <c r="K187">
        <f>VLOOKUP(A187,[1]Inventory!C:M,11,FALSE)</f>
        <v>4500</v>
      </c>
      <c r="L187">
        <f>VLOOKUP(A187,[1]Inventory!C:N,12,FALSE)</f>
        <v>0</v>
      </c>
      <c r="M187" s="2">
        <f>VLOOKUP(A187,[1]Inventory!C:O,13,FALSE)</f>
        <v>0</v>
      </c>
      <c r="N187" s="2">
        <f>VLOOKUP(A187,[1]Inventory!C:P,14,FALSE)</f>
        <v>34300</v>
      </c>
      <c r="O187" t="s">
        <v>17</v>
      </c>
    </row>
    <row r="188" spans="1:15">
      <c r="A188" t="s">
        <v>228</v>
      </c>
      <c r="B188" t="s">
        <v>229</v>
      </c>
      <c r="C188" t="str">
        <f>VLOOKUP(A188,[1]Inventory!C:E,3,FALSE)</f>
        <v>Ma Phyu</v>
      </c>
      <c r="D188" t="str">
        <f>VLOOKUP(B188,[1]Inventory!D:F,3,FALSE)</f>
        <v>09-261599626</v>
      </c>
      <c r="E188" t="str">
        <f>VLOOKUP(A188,[1]Inventory!C:G,5,FALSE)</f>
        <v>မင်္ဂလာဒုံ</v>
      </c>
      <c r="F188" t="str">
        <f>VLOOKUP(A188,[1]Inventory!C:H,6,FALSE)</f>
        <v>စိန်ပဒေသာ (၃) လမ်း၊ ကုန်းတလပေါင်၊ မင်္ဂလာဒုံမြို့နယ်</v>
      </c>
      <c r="G188">
        <v>226000</v>
      </c>
      <c r="H188">
        <v>4500</v>
      </c>
      <c r="I188">
        <f t="shared" si="2"/>
        <v>230500</v>
      </c>
      <c r="J188">
        <f>VLOOKUP(A188,[1]Inventory!C:L,10,FALSE)</f>
        <v>4500</v>
      </c>
      <c r="K188">
        <f>VLOOKUP(A188,[1]Inventory!C:M,11,FALSE)</f>
        <v>4500</v>
      </c>
      <c r="L188">
        <f>VLOOKUP(A188,[1]Inventory!C:N,12,FALSE)</f>
        <v>0</v>
      </c>
      <c r="M188" s="2" t="str">
        <f>VLOOKUP(A188,[1]Inventory!C:O,13,FALSE)</f>
        <v>-</v>
      </c>
      <c r="N188" s="2">
        <f>VLOOKUP(A188,[1]Inventory!C:P,14,FALSE)</f>
        <v>230500</v>
      </c>
      <c r="O188" t="s">
        <v>17</v>
      </c>
    </row>
    <row r="189" spans="1:15">
      <c r="A189" t="s">
        <v>230</v>
      </c>
      <c r="B189" t="s">
        <v>40</v>
      </c>
      <c r="C189" t="str">
        <f>VLOOKUP(A189,[1]Inventory!C:E,3,FALSE)</f>
        <v>တင်ဇာအောင်</v>
      </c>
      <c r="D189" t="str">
        <f>VLOOKUP(B189,[1]Inventory!D:F,3,FALSE)</f>
        <v>09-451248394
  09-45248394</v>
      </c>
      <c r="E189" t="str">
        <f>VLOOKUP(A189,[1]Inventory!C:G,5,FALSE)</f>
        <v>ရွှေပြည်သာ</v>
      </c>
      <c r="F189" t="str">
        <f>VLOOKUP(A189,[1]Inventory!C:H,6,FALSE)</f>
        <v>ဝေဠုဝန်လမ်း၊ (၂၆) ရပ်ကွက်၊ ရွှေပြည်သာမြို့နယ်</v>
      </c>
      <c r="G189">
        <v>20000</v>
      </c>
      <c r="H189">
        <v>5000</v>
      </c>
      <c r="I189">
        <f t="shared" si="2"/>
        <v>25000</v>
      </c>
      <c r="J189">
        <f>VLOOKUP(A189,[1]Inventory!C:L,10,FALSE)</f>
        <v>4500</v>
      </c>
      <c r="K189">
        <f>VLOOKUP(A189,[1]Inventory!C:M,11,FALSE)</f>
        <v>5000</v>
      </c>
      <c r="L189">
        <f>VLOOKUP(A189,[1]Inventory!C:N,12,FALSE)</f>
        <v>4</v>
      </c>
      <c r="M189" s="2">
        <f>VLOOKUP(A189,[1]Inventory!C:O,13,FALSE)</f>
        <v>500</v>
      </c>
      <c r="N189" s="2">
        <f>VLOOKUP(A189,[1]Inventory!C:P,14,FALSE)</f>
        <v>25500</v>
      </c>
      <c r="O189" t="s">
        <v>17</v>
      </c>
    </row>
    <row r="190" spans="1:15">
      <c r="A190" t="s">
        <v>231</v>
      </c>
      <c r="B190" t="s">
        <v>85</v>
      </c>
      <c r="C190" t="str">
        <f>VLOOKUP(A190,[1]Inventory!C:E,3,FALSE)</f>
        <v>Aye Yu Par</v>
      </c>
      <c r="D190" t="str">
        <f>VLOOKUP(B190,[1]Inventory!D:F,3,FALSE)</f>
        <v>09-962222488</v>
      </c>
      <c r="E190" t="str">
        <f>VLOOKUP(A190,[1]Inventory!C:G,5,FALSE)</f>
        <v xml:space="preserve"> စမ်းချောင်း</v>
      </c>
      <c r="F190" t="str">
        <f>VLOOKUP(A190,[1]Inventory!C:H,6,FALSE)</f>
        <v>KTH ကားပစ္စည်းဆိုင်၊ အမှတ် (၁၈)၊ ဝေဠုန်(၆)လမ်းနှင့်ဗဟိုလမ်းဒေါင့်၊ စမ်းချောင်း</v>
      </c>
      <c r="G190">
        <v>174000</v>
      </c>
      <c r="H190">
        <v>0</v>
      </c>
      <c r="I190">
        <f t="shared" si="2"/>
        <v>174000</v>
      </c>
      <c r="J190">
        <f>VLOOKUP(A190,[1]Inventory!C:L,10,FALSE)</f>
        <v>0</v>
      </c>
      <c r="K190">
        <f>VLOOKUP(A190,[1]Inventory!C:M,11,FALSE)</f>
        <v>0</v>
      </c>
      <c r="L190">
        <f>VLOOKUP(A190,[1]Inventory!C:N,12,FALSE)</f>
        <v>0</v>
      </c>
      <c r="M190" s="2">
        <f>VLOOKUP(A190,[1]Inventory!C:O,13,FALSE)</f>
        <v>0</v>
      </c>
      <c r="N190" s="2">
        <f>VLOOKUP(A190,[1]Inventory!C:P,14,FALSE)</f>
        <v>174000</v>
      </c>
      <c r="O190" t="s">
        <v>17</v>
      </c>
    </row>
    <row r="191" spans="1:15">
      <c r="A191" t="s">
        <v>232</v>
      </c>
      <c r="B191" t="s">
        <v>85</v>
      </c>
      <c r="C191" t="str">
        <f>VLOOKUP(A191,[1]Inventory!C:E,3,FALSE)</f>
        <v>Su Myo Thu</v>
      </c>
      <c r="D191" t="str">
        <f>VLOOKUP(B191,[1]Inventory!D:F,3,FALSE)</f>
        <v>09-962222488</v>
      </c>
      <c r="E191" t="str">
        <f>VLOOKUP(A191,[1]Inventory!C:G,5,FALSE)</f>
        <v>ဗဟန်း</v>
      </c>
      <c r="F191" t="str">
        <f>VLOOKUP(A191,[1]Inventory!C:H,6,FALSE)</f>
        <v>အမှတ် (၁၇/အေ)၊ အင်းယားမြိုင်လမ်း၊ ဗဟန်း၊ မင်းကွန်းတောရဘုန်းကြီးကျောင်းကပ်ရပ်လမ်းမှဝင်ပါ</v>
      </c>
      <c r="G191">
        <v>152900</v>
      </c>
      <c r="H191">
        <v>0</v>
      </c>
      <c r="I191">
        <f t="shared" si="2"/>
        <v>152900</v>
      </c>
      <c r="J191">
        <f>VLOOKUP(A191,[1]Inventory!C:L,10,FALSE)</f>
        <v>0</v>
      </c>
      <c r="K191">
        <f>VLOOKUP(A191,[1]Inventory!C:M,11,FALSE)</f>
        <v>0</v>
      </c>
      <c r="L191">
        <f>VLOOKUP(A191,[1]Inventory!C:N,12,FALSE)</f>
        <v>0</v>
      </c>
      <c r="M191" s="2">
        <f>VLOOKUP(A191,[1]Inventory!C:O,13,FALSE)</f>
        <v>0</v>
      </c>
      <c r="N191" s="2">
        <f>VLOOKUP(A191,[1]Inventory!C:P,14,FALSE)</f>
        <v>152900</v>
      </c>
      <c r="O191" t="s">
        <v>17</v>
      </c>
    </row>
    <row r="192" spans="1:15">
      <c r="A192" s="3" t="s">
        <v>233</v>
      </c>
      <c r="B192" s="3" t="s">
        <v>42</v>
      </c>
      <c r="C192" t="str">
        <f>VLOOKUP(A192,[1]Inventory!C:E,3,FALSE)</f>
        <v>Lae Lae Soe</v>
      </c>
      <c r="D192" t="str">
        <f>VLOOKUP(B192,[1]Inventory!D:F,3,FALSE)</f>
        <v>09-650612392</v>
      </c>
      <c r="E192" t="str">
        <f>VLOOKUP(A192,[1]Inventory!C:G,5,FALSE)</f>
        <v>တာမွေ</v>
      </c>
      <c r="F192" t="str">
        <f>VLOOKUP(A192,[1]Inventory!C:H,6,FALSE)</f>
        <v>အမှတ် (၈)၊ သီလလမ်း၊ ဗျိုင်းရွာမရပ်ကွက်၊ ကျောက်မြောင်း၊ တာမွေမြို့နယ်</v>
      </c>
      <c r="G192">
        <v>46500</v>
      </c>
      <c r="H192">
        <v>4000</v>
      </c>
      <c r="I192">
        <f t="shared" si="2"/>
        <v>50500</v>
      </c>
      <c r="J192">
        <f>VLOOKUP(A192,[1]Inventory!C:L,10,FALSE)</f>
        <v>4000</v>
      </c>
      <c r="K192">
        <f>VLOOKUP(A192,[1]Inventory!C:M,11,FALSE)</f>
        <v>4000</v>
      </c>
      <c r="L192">
        <f>VLOOKUP(A192,[1]Inventory!C:N,12,FALSE)</f>
        <v>0</v>
      </c>
      <c r="M192" s="2" t="str">
        <f>VLOOKUP(A192,[1]Inventory!C:O,13,FALSE)</f>
        <v>-</v>
      </c>
      <c r="N192" s="2">
        <f>VLOOKUP(A192,[1]Inventory!C:P,14,FALSE)</f>
        <v>50500</v>
      </c>
      <c r="O192" t="s">
        <v>17</v>
      </c>
    </row>
    <row r="193" spans="1:15">
      <c r="A193" s="3" t="s">
        <v>234</v>
      </c>
      <c r="B193" s="3" t="s">
        <v>75</v>
      </c>
      <c r="C193" t="str">
        <f>VLOOKUP(A193,[1]Inventory!C:E,3,FALSE)</f>
        <v>Khaing Khaing</v>
      </c>
      <c r="D193" t="str">
        <f>VLOOKUP(B193,[1]Inventory!D:F,3,FALSE)</f>
        <v>09-755008786</v>
      </c>
      <c r="E193" t="str">
        <f>VLOOKUP(A193,[1]Inventory!C:G,5,FALSE)</f>
        <v>သာကေတ</v>
      </c>
      <c r="F193" t="str">
        <f>VLOOKUP(A193,[1]Inventory!C:H,6,FALSE)</f>
        <v>အမှတ် (၁၀)၊ မာန်ပြေ (၄) လမ်း (အနောက်)၊ (၂/တောင်) ရပ်ကွက်၊ သာကေတမြို့နယ်</v>
      </c>
      <c r="G193">
        <v>36000</v>
      </c>
      <c r="H193">
        <v>4000</v>
      </c>
      <c r="I193">
        <f t="shared" si="2"/>
        <v>40000</v>
      </c>
      <c r="J193">
        <f>VLOOKUP(A193,[1]Inventory!C:L,10,FALSE)</f>
        <v>4000</v>
      </c>
      <c r="K193">
        <f>VLOOKUP(A193,[1]Inventory!C:M,11,FALSE)</f>
        <v>4000</v>
      </c>
      <c r="L193">
        <f>VLOOKUP(A193,[1]Inventory!C:N,12,FALSE)</f>
        <v>0</v>
      </c>
      <c r="M193" s="2" t="str">
        <f>VLOOKUP(A193,[1]Inventory!C:O,13,FALSE)</f>
        <v>-</v>
      </c>
      <c r="N193" s="2">
        <f>VLOOKUP(A193,[1]Inventory!C:P,14,FALSE)</f>
        <v>40000</v>
      </c>
      <c r="O193" t="s">
        <v>17</v>
      </c>
    </row>
    <row r="194" spans="1:15">
      <c r="A194" s="3" t="s">
        <v>235</v>
      </c>
      <c r="B194" s="3" t="s">
        <v>16</v>
      </c>
      <c r="C194" t="str">
        <f>VLOOKUP(A194,[1]Inventory!C:E,3,FALSE)</f>
        <v>Myo</v>
      </c>
      <c r="D194" t="str">
        <f>VLOOKUP(B194,[1]Inventory!D:F,3,FALSE)</f>
        <v>09-684451314</v>
      </c>
      <c r="E194" t="str">
        <f>VLOOKUP(A194,[1]Inventory!C:G,5,FALSE)</f>
        <v>မန္တလေး</v>
      </c>
      <c r="F194" t="str">
        <f>VLOOKUP(A194,[1]Inventory!C:H,6,FALSE)</f>
        <v>၈၄ x (105A) လမ်းထောင့်၊ မန္တလေးမြို့</v>
      </c>
      <c r="G194">
        <v>41000</v>
      </c>
      <c r="H194">
        <v>6000</v>
      </c>
      <c r="I194">
        <f t="shared" si="2"/>
        <v>47000</v>
      </c>
      <c r="J194">
        <f>VLOOKUP(A194,[1]Inventory!C:L,10,FALSE)</f>
        <v>6000</v>
      </c>
      <c r="K194">
        <f>VLOOKUP(A194,[1]Inventory!C:M,11,FALSE)</f>
        <v>6000</v>
      </c>
      <c r="L194">
        <f>VLOOKUP(A194,[1]Inventory!C:N,12,FALSE)</f>
        <v>0</v>
      </c>
      <c r="M194" s="2" t="str">
        <f>VLOOKUP(A194,[1]Inventory!C:O,13,FALSE)</f>
        <v>-</v>
      </c>
      <c r="N194" s="2">
        <f>VLOOKUP(A194,[1]Inventory!C:P,14,FALSE)</f>
        <v>47000</v>
      </c>
      <c r="O194" t="s">
        <v>17</v>
      </c>
    </row>
    <row r="195" spans="1:15">
      <c r="A195" s="3" t="s">
        <v>236</v>
      </c>
      <c r="B195" s="3" t="s">
        <v>75</v>
      </c>
      <c r="C195" t="str">
        <f>VLOOKUP(A195,[1]Inventory!C:E,3,FALSE)</f>
        <v>Noe Noe Noe</v>
      </c>
      <c r="D195" t="str">
        <f>VLOOKUP(B195,[1]Inventory!D:F,3,FALSE)</f>
        <v>09-755008786</v>
      </c>
      <c r="E195" t="str">
        <f>VLOOKUP(A195,[1]Inventory!C:G,5,FALSE)</f>
        <v>ကြည့်မြင်တိုင်</v>
      </c>
      <c r="F195" t="str">
        <f>VLOOKUP(A195,[1]Inventory!C:H,6,FALSE)</f>
        <v>ထီးတန်းအိမ်ရာ၊ ကမ်းနားလမ်း၊ ကြည့်မြင်တိုင်မြို့နယ်</v>
      </c>
      <c r="G195">
        <v>105000</v>
      </c>
      <c r="H195">
        <v>4000</v>
      </c>
      <c r="I195">
        <f t="shared" si="2"/>
        <v>109000</v>
      </c>
      <c r="J195">
        <f>VLOOKUP(A195,[1]Inventory!C:L,10,FALSE)</f>
        <v>4000</v>
      </c>
      <c r="K195">
        <f>VLOOKUP(A195,[1]Inventory!C:M,11,FALSE)</f>
        <v>4000</v>
      </c>
      <c r="L195">
        <f>VLOOKUP(A195,[1]Inventory!C:N,12,FALSE)</f>
        <v>0</v>
      </c>
      <c r="M195" s="2" t="str">
        <f>VLOOKUP(A195,[1]Inventory!C:O,13,FALSE)</f>
        <v>-</v>
      </c>
      <c r="N195" s="2">
        <f>VLOOKUP(A195,[1]Inventory!C:P,14,FALSE)</f>
        <v>109000</v>
      </c>
      <c r="O195" t="s">
        <v>17</v>
      </c>
    </row>
    <row r="196" spans="1:15">
      <c r="A196" s="3" t="s">
        <v>237</v>
      </c>
      <c r="B196" s="3" t="s">
        <v>80</v>
      </c>
      <c r="C196" t="str">
        <f>VLOOKUP(A196,[1]Inventory!C:E,3,FALSE)</f>
        <v>Zar Zar Lin</v>
      </c>
      <c r="D196" t="str">
        <f>VLOOKUP(B196,[1]Inventory!D:F,3,FALSE)</f>
        <v>09-440680460</v>
      </c>
      <c r="E196" t="str">
        <f>VLOOKUP(A196,[1]Inventory!C:G,5,FALSE)</f>
        <v>Royal</v>
      </c>
      <c r="F196" t="str">
        <f>VLOOKUP(A196,[1]Inventory!C:H,6,FALSE)</f>
        <v>အမှတ် (၉၄၅)၊ (၁၀) လမ်း၊ မြိုင်သာယာရပ်ကွက်၊ မော်လမြိုင်ကျွန်းမြို့</v>
      </c>
      <c r="G196">
        <v>78000</v>
      </c>
      <c r="H196">
        <v>5000</v>
      </c>
      <c r="I196">
        <f t="shared" ref="I196:I213" si="3">SUM(G196+H196)</f>
        <v>83000</v>
      </c>
      <c r="J196">
        <f>VLOOKUP(A196,[1]Inventory!C:L,10,FALSE)</f>
        <v>0</v>
      </c>
      <c r="K196">
        <f>VLOOKUP(A196,[1]Inventory!C:M,11,FALSE)</f>
        <v>5000</v>
      </c>
      <c r="L196">
        <f>VLOOKUP(A196,[1]Inventory!C:N,12,FALSE)</f>
        <v>0</v>
      </c>
      <c r="M196" s="2">
        <f>VLOOKUP(A196,[1]Inventory!C:O,13,FALSE)</f>
        <v>0</v>
      </c>
      <c r="N196" s="2">
        <f>VLOOKUP(A196,[1]Inventory!C:P,14,FALSE)</f>
        <v>83000</v>
      </c>
      <c r="O196" t="s">
        <v>17</v>
      </c>
    </row>
    <row r="197" spans="1:15">
      <c r="A197" s="3" t="s">
        <v>238</v>
      </c>
      <c r="B197" s="3" t="s">
        <v>28</v>
      </c>
      <c r="C197" t="str">
        <f>VLOOKUP(A197,[1]Inventory!C:E,3,FALSE)</f>
        <v>Chit Hnin Si</v>
      </c>
      <c r="D197" t="str">
        <f>VLOOKUP(B197,[1]Inventory!D:F,3,FALSE)</f>
        <v>09-773209266</v>
      </c>
      <c r="E197" t="str">
        <f>VLOOKUP(A197,[1]Inventory!C:G,5,FALSE)</f>
        <v>Royal Express</v>
      </c>
      <c r="F197" t="str">
        <f>VLOOKUP(A197,[1]Inventory!C:H,6,FALSE)</f>
        <v>Royal Express ရုံး၊ လယ်ဝေး၊ နေပြည်တော်</v>
      </c>
      <c r="G197">
        <v>28000</v>
      </c>
      <c r="H197">
        <v>6000</v>
      </c>
      <c r="I197">
        <f t="shared" si="3"/>
        <v>34000</v>
      </c>
      <c r="J197">
        <f>VLOOKUP(A197,[1]Inventory!C:L,10,FALSE)</f>
        <v>3000</v>
      </c>
      <c r="K197">
        <f>VLOOKUP(A197,[1]Inventory!C:M,11,FALSE)</f>
        <v>6000</v>
      </c>
      <c r="L197">
        <f>VLOOKUP(A197,[1]Inventory!C:N,12,FALSE)</f>
        <v>0</v>
      </c>
      <c r="M197" s="2" t="str">
        <f>VLOOKUP(A197,[1]Inventory!C:O,13,FALSE)</f>
        <v>-</v>
      </c>
      <c r="N197" s="2">
        <f>VLOOKUP(A197,[1]Inventory!C:P,14,FALSE)</f>
        <v>34000</v>
      </c>
      <c r="O197" t="s">
        <v>17</v>
      </c>
    </row>
    <row r="198" spans="1:15">
      <c r="A198" s="3" t="s">
        <v>239</v>
      </c>
      <c r="B198" s="3" t="s">
        <v>42</v>
      </c>
      <c r="C198" t="str">
        <f>VLOOKUP(A198,[1]Inventory!C:E,3,FALSE)</f>
        <v>Lin Lin Shwe</v>
      </c>
      <c r="D198" t="str">
        <f>VLOOKUP(B198,[1]Inventory!D:F,3,FALSE)</f>
        <v>09-650612392</v>
      </c>
      <c r="E198" t="str">
        <f>VLOOKUP(A198,[1]Inventory!C:G,5,FALSE)</f>
        <v>တာမွေ</v>
      </c>
      <c r="F198" t="str">
        <f>VLOOKUP(A198,[1]Inventory!C:H,6,FALSE)</f>
        <v>ဗိုလ်လက်ရာလမ်း၊ ဗိုလ်စိန်ရပ်ကွက်၊ (တာမွေအဝိုင်းထိပ်)၊ တာမွေမြို့နယ်</v>
      </c>
      <c r="G198">
        <v>54000</v>
      </c>
      <c r="H198">
        <v>4000</v>
      </c>
      <c r="I198">
        <f t="shared" si="3"/>
        <v>58000</v>
      </c>
      <c r="J198">
        <f>VLOOKUP(A198,[1]Inventory!C:L,10,FALSE)</f>
        <v>0</v>
      </c>
      <c r="K198">
        <f>VLOOKUP(A198,[1]Inventory!C:M,11,FALSE)</f>
        <v>4000</v>
      </c>
      <c r="L198">
        <f>VLOOKUP(A198,[1]Inventory!C:N,12,FALSE)</f>
        <v>0</v>
      </c>
      <c r="M198" s="2">
        <f>VLOOKUP(A198,[1]Inventory!C:O,13,FALSE)</f>
        <v>0</v>
      </c>
      <c r="N198" s="2">
        <f>VLOOKUP(A198,[1]Inventory!C:P,14,FALSE)</f>
        <v>58000</v>
      </c>
      <c r="O198" t="s">
        <v>17</v>
      </c>
    </row>
    <row r="199" spans="1:15">
      <c r="A199" s="3" t="s">
        <v>240</v>
      </c>
      <c r="B199" s="3" t="s">
        <v>241</v>
      </c>
      <c r="C199" t="str">
        <f>VLOOKUP(A199,[1]Inventory!C:E,3,FALSE)</f>
        <v>မသူဇာစိုး</v>
      </c>
      <c r="D199" t="str">
        <f>VLOOKUP(B199,[1]Inventory!D:F,3,FALSE)</f>
        <v>09-971557828</v>
      </c>
      <c r="E199" t="str">
        <f>VLOOKUP(A199,[1]Inventory!C:G,5,FALSE)</f>
        <v>မြောက်ဒဂုံ</v>
      </c>
      <c r="F199" t="str">
        <f>VLOOKUP(A199,[1]Inventory!C:H,6,FALSE)</f>
        <v>သန္တာလမ်း၊ (၃၃) ရပ်ကွက်၊ မြောက်ဒဂုံမြို့နယ်</v>
      </c>
      <c r="G199">
        <v>28500</v>
      </c>
      <c r="H199">
        <v>4000</v>
      </c>
      <c r="I199">
        <f t="shared" si="3"/>
        <v>32500</v>
      </c>
      <c r="J199">
        <f>VLOOKUP(A199,[1]Inventory!C:L,10,FALSE)</f>
        <v>4000</v>
      </c>
      <c r="K199">
        <f>VLOOKUP(A199,[1]Inventory!C:M,11,FALSE)</f>
        <v>4000</v>
      </c>
      <c r="L199">
        <f>VLOOKUP(A199,[1]Inventory!C:N,12,FALSE)</f>
        <v>0</v>
      </c>
      <c r="M199" s="2" t="str">
        <f>VLOOKUP(A199,[1]Inventory!C:O,13,FALSE)</f>
        <v>-</v>
      </c>
      <c r="N199" s="2">
        <f>VLOOKUP(A199,[1]Inventory!C:P,14,FALSE)</f>
        <v>32500</v>
      </c>
      <c r="O199" t="s">
        <v>17</v>
      </c>
    </row>
    <row r="200" spans="1:15">
      <c r="A200" s="3" t="s">
        <v>242</v>
      </c>
      <c r="B200" s="3" t="s">
        <v>33</v>
      </c>
      <c r="C200" t="str">
        <f>VLOOKUP(A200,[1]Inventory!C:E,3,FALSE)</f>
        <v>Aye Thidar Kyaw Kyaw</v>
      </c>
      <c r="D200" t="str">
        <f>VLOOKUP(B200,[1]Inventory!D:F,3,FALSE)</f>
        <v>09-43151983</v>
      </c>
      <c r="E200" t="str">
        <f>VLOOKUP(A200,[1]Inventory!C:G,5,FALSE)</f>
        <v>မြောက်ဥက္ကလာပ</v>
      </c>
      <c r="F200" t="str">
        <f>VLOOKUP(A200,[1]Inventory!C:H,6,FALSE)</f>
        <v>အမှတ် (၅၆)၊ သစ္စာပန်းလမ်း၊ မြောက်ဥက္ကလာပမြို့နယ်</v>
      </c>
      <c r="G200">
        <v>26000</v>
      </c>
      <c r="H200">
        <v>4500</v>
      </c>
      <c r="I200">
        <f t="shared" si="3"/>
        <v>30500</v>
      </c>
      <c r="J200">
        <f>VLOOKUP(A200,[1]Inventory!C:L,10,FALSE)</f>
        <v>4500</v>
      </c>
      <c r="K200">
        <f>VLOOKUP(A200,[1]Inventory!C:M,11,FALSE)</f>
        <v>4500</v>
      </c>
      <c r="L200">
        <f>VLOOKUP(A200,[1]Inventory!C:N,12,FALSE)</f>
        <v>0</v>
      </c>
      <c r="M200" s="2" t="str">
        <f>VLOOKUP(A200,[1]Inventory!C:O,13,FALSE)</f>
        <v>-</v>
      </c>
      <c r="N200" s="2">
        <f>VLOOKUP(A200,[1]Inventory!C:P,14,FALSE)</f>
        <v>30500</v>
      </c>
      <c r="O200" t="s">
        <v>17</v>
      </c>
    </row>
    <row r="201" spans="1:15">
      <c r="A201" s="3" t="s">
        <v>243</v>
      </c>
      <c r="B201" s="3" t="s">
        <v>22</v>
      </c>
      <c r="C201" t="str">
        <f>VLOOKUP(A201,[1]Inventory!C:E,3,FALSE)</f>
        <v>Hnin La Yanung</v>
      </c>
      <c r="D201" t="str">
        <f>VLOOKUP(B201,[1]Inventory!D:F,3,FALSE)</f>
        <v>09-775879156
 09-783922942</v>
      </c>
      <c r="E201" t="str">
        <f>VLOOKUP(A201,[1]Inventory!C:G,5,FALSE)</f>
        <v>မြောက်ဥက္ကလာပ</v>
      </c>
      <c r="F201" t="str">
        <f>VLOOKUP(A201,[1]Inventory!C:H,6,FALSE)</f>
        <v>အမှတ် (၁၈၅)၊ သန္တာ (၁၁) လမ်း၊ မြောက်ဥက္ကလာပမြို့နယ်</v>
      </c>
      <c r="G201">
        <v>59000</v>
      </c>
      <c r="H201">
        <v>4500</v>
      </c>
      <c r="I201">
        <f t="shared" si="3"/>
        <v>63500</v>
      </c>
      <c r="J201">
        <f>VLOOKUP(A201,[1]Inventory!C:L,10,FALSE)</f>
        <v>4500</v>
      </c>
      <c r="K201">
        <f>VLOOKUP(A201,[1]Inventory!C:M,11,FALSE)</f>
        <v>4500</v>
      </c>
      <c r="L201">
        <f>VLOOKUP(A201,[1]Inventory!C:N,12,FALSE)</f>
        <v>0</v>
      </c>
      <c r="M201" s="2" t="str">
        <f>VLOOKUP(A201,[1]Inventory!C:O,13,FALSE)</f>
        <v>-</v>
      </c>
      <c r="N201" s="2">
        <f>VLOOKUP(A201,[1]Inventory!C:P,14,FALSE)</f>
        <v>63500</v>
      </c>
      <c r="O201" t="s">
        <v>17</v>
      </c>
    </row>
    <row r="202" spans="1:15">
      <c r="A202" s="3" t="s">
        <v>244</v>
      </c>
      <c r="B202" s="3" t="s">
        <v>22</v>
      </c>
      <c r="C202" t="str">
        <f>VLOOKUP(A202,[1]Inventory!C:E,3,FALSE)</f>
        <v>Ei Ei Thu</v>
      </c>
      <c r="D202" t="str">
        <f>VLOOKUP(B202,[1]Inventory!D:F,3,FALSE)</f>
        <v>09-775879156
 09-783922942</v>
      </c>
      <c r="E202" t="str">
        <f>VLOOKUP(A202,[1]Inventory!C:G,5,FALSE)</f>
        <v>မရမ်းကုန်း</v>
      </c>
      <c r="F202" t="str">
        <f>VLOOKUP(A202,[1]Inventory!C:H,6,FALSE)</f>
        <v>ပြည်လမ်း၊ (Central (9) Office)</v>
      </c>
      <c r="G202">
        <v>29800</v>
      </c>
      <c r="H202">
        <v>4000</v>
      </c>
      <c r="I202">
        <f t="shared" si="3"/>
        <v>33800</v>
      </c>
      <c r="J202">
        <f>VLOOKUP(A202,[1]Inventory!C:L,10,FALSE)</f>
        <v>4000</v>
      </c>
      <c r="K202">
        <f>VLOOKUP(A202,[1]Inventory!C:M,11,FALSE)</f>
        <v>4000</v>
      </c>
      <c r="L202">
        <f>VLOOKUP(A202,[1]Inventory!C:N,12,FALSE)</f>
        <v>0</v>
      </c>
      <c r="M202" s="2">
        <f>VLOOKUP(A202,[1]Inventory!C:O,13,FALSE)</f>
        <v>0</v>
      </c>
      <c r="N202" s="2">
        <f>VLOOKUP(A202,[1]Inventory!C:P,14,FALSE)</f>
        <v>33800</v>
      </c>
      <c r="O202" t="s">
        <v>17</v>
      </c>
    </row>
    <row r="203" spans="1:15">
      <c r="A203" s="3" t="s">
        <v>245</v>
      </c>
      <c r="B203" s="3" t="s">
        <v>246</v>
      </c>
      <c r="C203" t="str">
        <f>VLOOKUP(A203,[1]Inventory!C:E,3,FALSE)</f>
        <v>U Ko Ko Lwin</v>
      </c>
      <c r="D203" t="str">
        <f>VLOOKUP(B203,[1]Inventory!D:F,3,FALSE)</f>
        <v>09-51012541</v>
      </c>
      <c r="E203" t="str">
        <f>VLOOKUP(A203,[1]Inventory!C:G,5,FALSE)</f>
        <v>မန္တလေး</v>
      </c>
      <c r="F203" t="str">
        <f>VLOOKUP(A203,[1]Inventory!C:H,6,FALSE)</f>
        <v>တိုက် (၇)၊ (၄) ထပ် တိုက်တန်း၊ စွယ်တော်ကြီးကွင်း၊ မန္တလေးမြို့</v>
      </c>
      <c r="G203">
        <v>75000</v>
      </c>
      <c r="H203">
        <v>0</v>
      </c>
      <c r="I203">
        <f t="shared" si="3"/>
        <v>75000</v>
      </c>
      <c r="J203">
        <f>VLOOKUP(A203,[1]Inventory!C:L,10,FALSE)</f>
        <v>6000</v>
      </c>
      <c r="K203" t="str">
        <f>VLOOKUP(A203,[1]Inventory!C:M,11,FALSE)</f>
        <v>-</v>
      </c>
      <c r="L203">
        <f>VLOOKUP(A203,[1]Inventory!C:N,12,FALSE)</f>
        <v>9</v>
      </c>
      <c r="M203" s="2">
        <f>VLOOKUP(A203,[1]Inventory!C:O,13,FALSE)</f>
        <v>12000</v>
      </c>
      <c r="N203" s="2">
        <f>VLOOKUP(A203,[1]Inventory!C:P,14,FALSE)</f>
        <v>87000</v>
      </c>
      <c r="O203" t="s">
        <v>17</v>
      </c>
    </row>
    <row r="204" spans="1:15">
      <c r="A204" s="3" t="s">
        <v>247</v>
      </c>
      <c r="B204" s="3" t="s">
        <v>40</v>
      </c>
      <c r="C204" t="str">
        <f>VLOOKUP(A204,[1]Inventory!C:E,3,FALSE)</f>
        <v>မထက်ထက်အောင်</v>
      </c>
      <c r="D204" t="str">
        <f>VLOOKUP(B204,[1]Inventory!D:F,3,FALSE)</f>
        <v>09-451248394
  09-45248394</v>
      </c>
      <c r="E204" t="str">
        <f>VLOOKUP(A204,[1]Inventory!C:G,5,FALSE)</f>
        <v>မန္တလေး</v>
      </c>
      <c r="F204" t="str">
        <f>VLOOKUP(A204,[1]Inventory!C:H,6,FALSE)</f>
        <v>(ချမ်းသာကြီးဘုရားအနောက်မုဒ်)၊ (၂၆) လမ်း၊ ၉၀ x ၉၁ လမ်းကြား၊ မန္တလေးမြို့</v>
      </c>
      <c r="G204">
        <v>30000</v>
      </c>
      <c r="H204">
        <v>0</v>
      </c>
      <c r="I204">
        <f t="shared" si="3"/>
        <v>30000</v>
      </c>
      <c r="J204">
        <f>VLOOKUP(A204,[1]Inventory!C:L,10,FALSE)</f>
        <v>6000</v>
      </c>
      <c r="K204" t="str">
        <f>VLOOKUP(A204,[1]Inventory!C:M,11,FALSE)</f>
        <v>-</v>
      </c>
      <c r="L204">
        <f>VLOOKUP(A204,[1]Inventory!C:N,12,FALSE)</f>
        <v>6</v>
      </c>
      <c r="M204" s="2">
        <f>VLOOKUP(A204,[1]Inventory!C:O,13,FALSE)</f>
        <v>8000</v>
      </c>
      <c r="N204" s="2">
        <f>VLOOKUP(A204,[1]Inventory!C:P,14,FALSE)</f>
        <v>38000</v>
      </c>
      <c r="O204" t="s">
        <v>17</v>
      </c>
    </row>
    <row r="205" spans="1:15">
      <c r="A205" s="3" t="s">
        <v>248</v>
      </c>
      <c r="B205" s="3" t="s">
        <v>40</v>
      </c>
      <c r="C205" t="str">
        <f>VLOOKUP(A205,[1]Inventory!C:E,3,FALSE)</f>
        <v>Nway² Aung</v>
      </c>
      <c r="D205" t="str">
        <f>VLOOKUP(B205,[1]Inventory!D:F,3,FALSE)</f>
        <v>09-451248394
  09-45248394</v>
      </c>
      <c r="E205" t="str">
        <f>VLOOKUP(A205,[1]Inventory!C:G,5,FALSE)</f>
        <v>မန္တလေး</v>
      </c>
      <c r="F205" t="str">
        <f>VLOOKUP(A205,[1]Inventory!C:H,6,FALSE)</f>
        <v>(ဂ) လမ်း၊ ၈၆ x ၈၇ လမ်းကြား၊ မန္တလေးမြို့</v>
      </c>
      <c r="G205">
        <v>30000</v>
      </c>
      <c r="H205">
        <v>0</v>
      </c>
      <c r="I205">
        <f t="shared" si="3"/>
        <v>30000</v>
      </c>
      <c r="J205">
        <f>VLOOKUP(A205,[1]Inventory!C:L,10,FALSE)</f>
        <v>6000</v>
      </c>
      <c r="K205">
        <f>VLOOKUP(A205,[1]Inventory!C:M,11,FALSE)</f>
        <v>0</v>
      </c>
      <c r="L205">
        <f>VLOOKUP(A205,[1]Inventory!C:N,12,FALSE)</f>
        <v>6</v>
      </c>
      <c r="M205" s="2">
        <f>VLOOKUP(A205,[1]Inventory!C:O,13,FALSE)</f>
        <v>1500</v>
      </c>
      <c r="N205" s="2">
        <f>VLOOKUP(A205,[1]Inventory!C:P,14,FALSE)</f>
        <v>31500</v>
      </c>
      <c r="O205" t="s">
        <v>17</v>
      </c>
    </row>
    <row r="206" spans="1:15">
      <c r="A206" s="3" t="s">
        <v>249</v>
      </c>
      <c r="B206" s="3" t="s">
        <v>40</v>
      </c>
      <c r="C206" t="str">
        <f>VLOOKUP(A206,[1]Inventory!C:E,3,FALSE)</f>
        <v>May Than Khine</v>
      </c>
      <c r="D206" t="str">
        <f>VLOOKUP(B206,[1]Inventory!D:F,3,FALSE)</f>
        <v>09-451248394
  09-45248394</v>
      </c>
      <c r="E206" t="str">
        <f>VLOOKUP(A206,[1]Inventory!C:G,5,FALSE)</f>
        <v>မရမ်းကုန်း</v>
      </c>
      <c r="F206" t="str">
        <f>VLOOKUP(A206,[1]Inventory!C:H,6,FALSE)</f>
        <v>(၈) မိုင်လမ်းဆုံ၊ မြို့ပြအိမ်ရာ၊ မရမ်းကုန်းမြို့နယ်</v>
      </c>
      <c r="G206">
        <v>14100</v>
      </c>
      <c r="H206">
        <v>4000</v>
      </c>
      <c r="I206">
        <f t="shared" si="3"/>
        <v>18100</v>
      </c>
      <c r="J206">
        <f>VLOOKUP(A206,[1]Inventory!C:L,10,FALSE)</f>
        <v>4000</v>
      </c>
      <c r="K206">
        <f>VLOOKUP(A206,[1]Inventory!C:M,11,FALSE)</f>
        <v>4000</v>
      </c>
      <c r="L206">
        <f>VLOOKUP(A206,[1]Inventory!C:N,12,FALSE)</f>
        <v>0</v>
      </c>
      <c r="M206" s="2" t="str">
        <f>VLOOKUP(A206,[1]Inventory!C:O,13,FALSE)</f>
        <v>-</v>
      </c>
      <c r="N206" s="2">
        <f>VLOOKUP(A206,[1]Inventory!C:P,14,FALSE)</f>
        <v>18100</v>
      </c>
      <c r="O206" t="s">
        <v>17</v>
      </c>
    </row>
    <row r="207" spans="1:15">
      <c r="A207" s="3" t="s">
        <v>250</v>
      </c>
      <c r="B207" s="3" t="s">
        <v>40</v>
      </c>
      <c r="C207" t="str">
        <f>VLOOKUP(A207,[1]Inventory!C:E,3,FALSE)</f>
        <v>Daw Sandi</v>
      </c>
      <c r="D207" t="str">
        <f>VLOOKUP(B207,[1]Inventory!D:F,3,FALSE)</f>
        <v>09-451248394
  09-45248394</v>
      </c>
      <c r="E207" t="str">
        <f>VLOOKUP(A207,[1]Inventory!C:G,5,FALSE)</f>
        <v>မန္တလေး</v>
      </c>
      <c r="F207" t="str">
        <f>VLOOKUP(A207,[1]Inventory!C:H,6,FALSE)</f>
        <v>(၇၇) လမ်း၊ (၃၇) လမ်းနှင့် (၃၈) လမ်းကြား၊ မန္တလေးမြို့</v>
      </c>
      <c r="G207">
        <v>20000</v>
      </c>
      <c r="H207">
        <v>0</v>
      </c>
      <c r="I207">
        <f t="shared" si="3"/>
        <v>20000</v>
      </c>
      <c r="J207">
        <f>VLOOKUP(A207,[1]Inventory!C:L,10,FALSE)</f>
        <v>6000</v>
      </c>
      <c r="K207" t="str">
        <f>VLOOKUP(A207,[1]Inventory!C:M,11,FALSE)</f>
        <v>-</v>
      </c>
      <c r="L207">
        <f>VLOOKUP(A207,[1]Inventory!C:N,12,FALSE)</f>
        <v>5</v>
      </c>
      <c r="M207" s="2">
        <f>VLOOKUP(A207,[1]Inventory!C:O,13,FALSE)</f>
        <v>8000</v>
      </c>
      <c r="N207" s="2">
        <f>VLOOKUP(A207,[1]Inventory!C:P,14,FALSE)</f>
        <v>28000</v>
      </c>
      <c r="O207" t="s">
        <v>17</v>
      </c>
    </row>
    <row r="208" spans="1:15">
      <c r="A208" s="3" t="s">
        <v>251</v>
      </c>
      <c r="B208" s="3" t="s">
        <v>99</v>
      </c>
      <c r="C208" t="str">
        <f>VLOOKUP(A208,[1]Inventory!C:E,3,FALSE)</f>
        <v>Wai Yan</v>
      </c>
      <c r="D208" t="str">
        <f>VLOOKUP(B208,[1]Inventory!D:F,3,FALSE)</f>
        <v>09-974449949</v>
      </c>
      <c r="E208" t="str">
        <f>VLOOKUP(A208,[1]Inventory!C:G,5,FALSE)</f>
        <v>ဒဂုံဆိပ်ကမ်း</v>
      </c>
      <c r="F208" t="str">
        <f>VLOOKUP(A208,[1]Inventory!C:H,6,FALSE)</f>
        <v>မြင်စိုင်းလမ်း၊ (၈၉) ရပ်ကွက်၊ ဒဂုံဆိပ်ကမ်းမြို့နယ်</v>
      </c>
      <c r="G208">
        <v>28000</v>
      </c>
      <c r="H208">
        <v>4000</v>
      </c>
      <c r="I208">
        <f t="shared" si="3"/>
        <v>32000</v>
      </c>
      <c r="J208">
        <f>VLOOKUP(A208,[1]Inventory!C:L,10,FALSE)</f>
        <v>4000</v>
      </c>
      <c r="K208">
        <f>VLOOKUP(A208,[1]Inventory!C:M,11,FALSE)</f>
        <v>4000</v>
      </c>
      <c r="L208">
        <f>VLOOKUP(A208,[1]Inventory!C:N,12,FALSE)</f>
        <v>0</v>
      </c>
      <c r="M208" s="2" t="str">
        <f>VLOOKUP(A208,[1]Inventory!C:O,13,FALSE)</f>
        <v>-</v>
      </c>
      <c r="N208" s="2">
        <f>VLOOKUP(A208,[1]Inventory!C:P,14,FALSE)</f>
        <v>32000</v>
      </c>
      <c r="O208" t="s">
        <v>17</v>
      </c>
    </row>
    <row r="209" spans="1:15">
      <c r="A209" s="3" t="s">
        <v>252</v>
      </c>
      <c r="B209" s="3" t="s">
        <v>26</v>
      </c>
      <c r="C209" t="str">
        <f>VLOOKUP(A209,[1]Inventory!C:E,3,FALSE)</f>
        <v>Ma Ku Ku</v>
      </c>
      <c r="D209" t="str">
        <f>VLOOKUP(B209,[1]Inventory!D:F,3,FALSE)</f>
        <v>09-668712777</v>
      </c>
      <c r="E209" t="str">
        <f>VLOOKUP(A209,[1]Inventory!C:G,5,FALSE)</f>
        <v>ရန်ကင်း</v>
      </c>
      <c r="F209" t="str">
        <f>VLOOKUP(A209,[1]Inventory!C:H,6,FALSE)</f>
        <v>တိုက် (၁၇၃)၊ ရန်အောင် (၂) လမ်း၊ ရန်ကင်းမြို့နယ်</v>
      </c>
      <c r="G209">
        <v>121200</v>
      </c>
      <c r="H209">
        <v>4000</v>
      </c>
      <c r="I209">
        <f t="shared" si="3"/>
        <v>125200</v>
      </c>
      <c r="J209">
        <f>VLOOKUP(A209,[1]Inventory!C:L,10,FALSE)</f>
        <v>0</v>
      </c>
      <c r="K209">
        <f>VLOOKUP(A209,[1]Inventory!C:M,11,FALSE)</f>
        <v>4000</v>
      </c>
      <c r="L209">
        <f>VLOOKUP(A209,[1]Inventory!C:N,12,FALSE)</f>
        <v>0</v>
      </c>
      <c r="M209" s="2" t="str">
        <f>VLOOKUP(A209,[1]Inventory!C:O,13,FALSE)</f>
        <v>-</v>
      </c>
      <c r="N209" s="2">
        <f>VLOOKUP(A209,[1]Inventory!C:P,14,FALSE)</f>
        <v>125200</v>
      </c>
      <c r="O209" t="s">
        <v>17</v>
      </c>
    </row>
    <row r="210" spans="1:15">
      <c r="A210" s="3" t="s">
        <v>253</v>
      </c>
      <c r="B210" s="3" t="s">
        <v>115</v>
      </c>
      <c r="C210" t="str">
        <f>VLOOKUP(A210,[1]Inventory!C:E,3,FALSE)</f>
        <v>မော်မော်</v>
      </c>
      <c r="D210" t="str">
        <f>VLOOKUP(B210,[1]Inventory!D:F,3,FALSE)</f>
        <v>09-421117702</v>
      </c>
      <c r="E210" t="str">
        <f>VLOOKUP(A210,[1]Inventory!C:G,5,FALSE)</f>
        <v>သာကေတ</v>
      </c>
      <c r="F210" t="str">
        <f>VLOOKUP(A210,[1]Inventory!C:H,6,FALSE)</f>
        <v>အမှတ် (၈၈၂၁)၊ အောင်သစ္စာ (၂) လမ်း (အရှေ့)၊ သာကေတမြို့နယ်</v>
      </c>
      <c r="G210">
        <v>35700</v>
      </c>
      <c r="H210">
        <v>0</v>
      </c>
      <c r="I210">
        <f t="shared" si="3"/>
        <v>35700</v>
      </c>
      <c r="J210">
        <f>VLOOKUP(A210,[1]Inventory!C:L,10,FALSE)</f>
        <v>4000</v>
      </c>
      <c r="K210" t="str">
        <f>VLOOKUP(A210,[1]Inventory!C:M,11,FALSE)</f>
        <v>-</v>
      </c>
      <c r="L210">
        <f>VLOOKUP(A210,[1]Inventory!C:N,12,FALSE)</f>
        <v>0</v>
      </c>
      <c r="M210" s="2" t="str">
        <f>VLOOKUP(A210,[1]Inventory!C:O,13,FALSE)</f>
        <v>-</v>
      </c>
      <c r="N210" s="2">
        <f>VLOOKUP(A210,[1]Inventory!C:P,14,FALSE)</f>
        <v>35700</v>
      </c>
      <c r="O210" t="s">
        <v>17</v>
      </c>
    </row>
    <row r="211" spans="1:15">
      <c r="A211" s="3" t="s">
        <v>254</v>
      </c>
      <c r="B211" s="3" t="s">
        <v>22</v>
      </c>
      <c r="C211" t="str">
        <f>VLOOKUP(A211,[1]Inventory!C:E,3,FALSE)</f>
        <v>Ei Ei Thu</v>
      </c>
      <c r="D211" t="str">
        <f>VLOOKUP(B211,[1]Inventory!D:F,3,FALSE)</f>
        <v>09-775879156
 09-783922942</v>
      </c>
      <c r="E211" t="str">
        <f>VLOOKUP(A211,[1]Inventory!C:G,5,FALSE)</f>
        <v>မရမ်းကုန်း</v>
      </c>
      <c r="F211" t="str">
        <f>VLOOKUP(A211,[1]Inventory!C:H,6,FALSE)</f>
        <v>Central (9) Office၊ ပြည်လမ်း၊ (၉)မိုင်၊ မရမ်းကုန်းမြို့နယ်</v>
      </c>
      <c r="G211">
        <v>0</v>
      </c>
      <c r="H211">
        <v>4000</v>
      </c>
      <c r="I211">
        <f t="shared" si="3"/>
        <v>4000</v>
      </c>
      <c r="J211">
        <f>VLOOKUP(A211,[1]Inventory!C:L,10,FALSE)</f>
        <v>4000</v>
      </c>
      <c r="K211">
        <f>VLOOKUP(A211,[1]Inventory!C:M,11,FALSE)</f>
        <v>4000</v>
      </c>
      <c r="L211">
        <f>VLOOKUP(A211,[1]Inventory!C:N,12,FALSE)</f>
        <v>0</v>
      </c>
      <c r="M211" s="2" t="str">
        <f>VLOOKUP(A211,[1]Inventory!C:O,13,FALSE)</f>
        <v>-</v>
      </c>
      <c r="N211" s="2">
        <f>VLOOKUP(A211,[1]Inventory!C:P,14,FALSE)</f>
        <v>4000</v>
      </c>
      <c r="O211" t="s">
        <v>17</v>
      </c>
    </row>
    <row r="212" spans="1:15">
      <c r="A212" s="3" t="s">
        <v>255</v>
      </c>
      <c r="B212" s="3" t="s">
        <v>208</v>
      </c>
      <c r="C212" t="str">
        <f>VLOOKUP(A212,[1]Inventory!C:E,3,FALSE)</f>
        <v>09-946349346</v>
      </c>
      <c r="D212" t="str">
        <f>VLOOKUP(B212,[1]Inventory!D:F,3,FALSE)</f>
        <v>09-673098268</v>
      </c>
      <c r="E212" t="str">
        <f>VLOOKUP(A212,[1]Inventory!C:G,5,FALSE)</f>
        <v>Royal</v>
      </c>
      <c r="F212" t="str">
        <f>VLOOKUP(A212,[1]Inventory!C:H,6,FALSE)</f>
        <v>တာလော့ကျောင်း၊ တာချီလိတ်</v>
      </c>
      <c r="G212">
        <v>12000</v>
      </c>
      <c r="H212">
        <v>5000</v>
      </c>
      <c r="I212">
        <f t="shared" si="3"/>
        <v>17000</v>
      </c>
      <c r="J212" t="str">
        <f>VLOOKUP(A212,[1]Inventory!C:L,10,FALSE)</f>
        <v>-</v>
      </c>
      <c r="K212">
        <f>VLOOKUP(A212,[1]Inventory!C:M,11,FALSE)</f>
        <v>5000</v>
      </c>
      <c r="L212">
        <f>VLOOKUP(A212,[1]Inventory!C:N,12,FALSE)</f>
        <v>0</v>
      </c>
      <c r="M212" s="2" t="str">
        <f>VLOOKUP(A212,[1]Inventory!C:O,13,FALSE)</f>
        <v>-</v>
      </c>
      <c r="N212" s="2">
        <f>VLOOKUP(A212,[1]Inventory!C:P,14,FALSE)</f>
        <v>17000</v>
      </c>
      <c r="O212" t="s">
        <v>17</v>
      </c>
    </row>
    <row r="213" spans="1:15">
      <c r="A213" s="3" t="s">
        <v>256</v>
      </c>
      <c r="B213" s="3" t="s">
        <v>28</v>
      </c>
      <c r="C213" t="str">
        <f>VLOOKUP(A213,[1]Inventory!C:E,3,FALSE)</f>
        <v>Mya Phyu</v>
      </c>
      <c r="D213" t="str">
        <f>VLOOKUP(B213,[1]Inventory!D:F,3,FALSE)</f>
        <v>09-773209266</v>
      </c>
      <c r="E213" t="str">
        <f>VLOOKUP(A213,[1]Inventory!C:G,5,FALSE)</f>
        <v>ကြည့်မြင်တိုင်</v>
      </c>
      <c r="F213" t="str">
        <f>VLOOKUP(A213,[1]Inventory!C:H,6,FALSE)</f>
        <v>အမှတ် (၁၂၄)၊ သရက်တော (၄) လမ်း၊ သရက်တော (တောင်) ရပ်ကွက်၊ ကြည့်မြင်တိုင်မြို့နယ်</v>
      </c>
      <c r="G213">
        <v>68800</v>
      </c>
      <c r="H213">
        <v>4000</v>
      </c>
      <c r="I213">
        <f t="shared" si="3"/>
        <v>72800</v>
      </c>
      <c r="J213">
        <f>VLOOKUP(A213,[1]Inventory!C:L,10,FALSE)</f>
        <v>4000</v>
      </c>
      <c r="K213">
        <f>VLOOKUP(A213,[1]Inventory!C:M,11,FALSE)</f>
        <v>4000</v>
      </c>
      <c r="L213">
        <f>VLOOKUP(A213,[1]Inventory!C:N,12,FALSE)</f>
        <v>0</v>
      </c>
      <c r="M213" s="2">
        <f>VLOOKUP(A213,[1]Inventory!C:O,13,FALSE)</f>
        <v>2000</v>
      </c>
      <c r="N213" s="2">
        <f>VLOOKUP(A213,[1]Inventory!C:P,14,FALSE)</f>
        <v>424300</v>
      </c>
      <c r="O2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 wanna</dc:creator>
  <cp:lastModifiedBy>kyaw wanna</cp:lastModifiedBy>
  <dcterms:created xsi:type="dcterms:W3CDTF">2026-09-07T01:23:20Z</dcterms:created>
  <dcterms:modified xsi:type="dcterms:W3CDTF">2026-09-07T01:24:06Z</dcterms:modified>
</cp:coreProperties>
</file>