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27072026\britium-go-live\britium-go-live\"/>
    </mc:Choice>
  </mc:AlternateContent>
  <xr:revisionPtr revIDLastSave="0" documentId="8_{4407F2C9-4339-4076-9C37-0CEC834A6A86}" xr6:coauthVersionLast="47" xr6:coauthVersionMax="47" xr10:uidLastSave="{00000000-0000-0000-0000-000000000000}"/>
  <bookViews>
    <workbookView xWindow="-110" yWindow="-110" windowWidth="22780" windowHeight="14540" xr2:uid="{0FF85BC3-F89F-4FAF-9CB4-5EC9007A44F3}"/>
  </bookViews>
  <sheets>
    <sheet name="06092026_PENDINGRT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27" i="1" l="1"/>
  <c r="O227" i="1"/>
  <c r="M227" i="1"/>
  <c r="L227" i="1"/>
  <c r="K227" i="1"/>
  <c r="J227" i="1"/>
  <c r="I227" i="1"/>
  <c r="H227" i="1"/>
  <c r="G227" i="1"/>
  <c r="F227" i="1"/>
  <c r="E227" i="1"/>
  <c r="D227" i="1"/>
  <c r="C227" i="1"/>
  <c r="Q227" i="1" s="1"/>
  <c r="B227" i="1"/>
  <c r="A227" i="1"/>
  <c r="P226" i="1"/>
  <c r="O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P225" i="1"/>
  <c r="O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P224" i="1"/>
  <c r="O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P223" i="1"/>
  <c r="O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P222" i="1"/>
  <c r="O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P221" i="1"/>
  <c r="O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P220" i="1"/>
  <c r="O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P219" i="1"/>
  <c r="O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P218" i="1"/>
  <c r="O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B4" i="1"/>
  <c r="G3" i="1"/>
  <c r="B3" i="1"/>
  <c r="H2" i="1"/>
  <c r="A1" i="1"/>
</calcChain>
</file>

<file path=xl/sharedStrings.xml><?xml version="1.0" encoding="utf-8"?>
<sst xmlns="http://schemas.openxmlformats.org/spreadsheetml/2006/main" count="1468" uniqueCount="722">
  <si>
    <t>REMARKS</t>
  </si>
  <si>
    <t>D0905-MSE-161</t>
  </si>
  <si>
    <t>မရွှေအိ</t>
  </si>
  <si>
    <t>May</t>
  </si>
  <si>
    <t>09-684451314</t>
  </si>
  <si>
    <t>ဒေါပုံ</t>
  </si>
  <si>
    <t>(ဒိုဓနုဘေးလမ်းကြား ဂိတ်ဆုံး)၊ (ရန်အောင်မှတ်တိုင်)၊ ဒေါပုံမြို့နယ်</t>
  </si>
  <si>
    <t>-</t>
  </si>
  <si>
    <t>D0905-MSE-162</t>
  </si>
  <si>
    <t>မဖြိုးဝေသော်</t>
  </si>
  <si>
    <t>မန္တလေး</t>
  </si>
  <si>
    <t>(၅၁) လမ်း၊ ၁၀၅ x ၁၀၆ လမ်းကြား၊ အောင်ပင်လယ်၊ ချမ်းမြသာစည်မြို့နယ်၊ မန္တလေး</t>
  </si>
  <si>
    <t>D0905-MSE-163</t>
  </si>
  <si>
    <t>May Zin</t>
  </si>
  <si>
    <t>လှိုင်</t>
  </si>
  <si>
    <t>အရှေ့ပေ (၅၀)၊ မာလာမြိုင် (၁) လမ်းသွယ်ထိပ်၊ လှိုင်မြို့နယ်</t>
  </si>
  <si>
    <t>D0905-MSE-164</t>
  </si>
  <si>
    <t>Mee Nge</t>
  </si>
  <si>
    <t>တောင်ဒဂုံ</t>
  </si>
  <si>
    <t>အမှတ် (၁၁)၊ မြယမုံဝန်အမှတ်၊ (၂၆) ရပ်ကွက်၊ တောင်ဒဂုံမြို့နယ်</t>
  </si>
  <si>
    <t>D0904-GGS-146</t>
  </si>
  <si>
    <t>The Gadget Store</t>
  </si>
  <si>
    <t>Aoav</t>
  </si>
  <si>
    <t>09-775879156
 09-783922942</t>
  </si>
  <si>
    <t>အမှတ် (၅၂၆)၊ သပြေလမ်း</t>
  </si>
  <si>
    <t>D0904-CTM-390</t>
  </si>
  <si>
    <t>ချစ်သွန်းသီရိ မေမေ</t>
  </si>
  <si>
    <t>Khaing Lay</t>
  </si>
  <si>
    <t>09-881477288</t>
  </si>
  <si>
    <t>ကျောက်တံတား</t>
  </si>
  <si>
    <t>Strand Condo၊ အခန်း (၇၀၂)၊ (၇) လွှာ၊ မဟာဗန္ဓုလပန်းခြံလမ်း နှင့် ဘဏ်လမ်းထောင့်၊ ကျောက်တံတားမြို့နယ်</t>
  </si>
  <si>
    <t>D0904-KSH-253</t>
  </si>
  <si>
    <t>ကျော်စိုးဟိန်း</t>
  </si>
  <si>
    <t>ကိုဇော်ဝင်းနိုင်</t>
  </si>
  <si>
    <t>09-668712777</t>
  </si>
  <si>
    <t>ဂိတ်ချ</t>
  </si>
  <si>
    <t>ပဲခူးတိုင်းလက်ပံတန်းမြို့၊ မင်းရပ်ရပ်ကွက်၊ မြေစာရင်ရုံးလမ်း</t>
  </si>
  <si>
    <t>D0904-MMA-354</t>
  </si>
  <si>
    <t>မြန်မာ့အလှ</t>
  </si>
  <si>
    <t>Ma Su</t>
  </si>
  <si>
    <t>09-773209266</t>
  </si>
  <si>
    <t>စမ်းချောင်း</t>
  </si>
  <si>
    <t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</t>
  </si>
  <si>
    <t>D0904-GGS-208</t>
  </si>
  <si>
    <t>မသော်တာ</t>
  </si>
  <si>
    <t>အမှတ် (၁၁၂)၊ စံပယ်မြိုင် (၆) လမ်း၊ (၁၇) ရပ်ကွက်၊ တောင်ဒဂုံမြို့နယ်</t>
  </si>
  <si>
    <t>D0904-PYT-363</t>
  </si>
  <si>
    <t>ပုရစ်ကလေး</t>
  </si>
  <si>
    <t>Yin Pyone</t>
  </si>
  <si>
    <t>09-422219996</t>
  </si>
  <si>
    <t>ချင်းတွင်းလမ်း၊ (၁၀၅) ရပ်ကွက်၊ တောင်ဒဂုံမြို့နယ်</t>
  </si>
  <si>
    <t>D0904-JSC-399</t>
  </si>
  <si>
    <t>Jessica Sue</t>
  </si>
  <si>
    <t>09-43151983</t>
  </si>
  <si>
    <t>အမှတ် (၁၉၃)၊ ရာမညလမ်း၊ (၂၆) ရပ်ကွက်၊ တောင်ဒဂုံမြို့နယ်</t>
  </si>
  <si>
    <t>D0828-MMA-019</t>
  </si>
  <si>
    <t>Hsu Htet Wai</t>
  </si>
  <si>
    <t>စစ်တောင်းလမ်း၊ စက်မှုဇုန် (၂)၊ (၆၄) ရပ်ကွက်၊ တောင်ဒဂုံမြို့နယ်</t>
  </si>
  <si>
    <t>D0831-MMA-371</t>
  </si>
  <si>
    <t>အာဘွားလေးတို့မေမေ</t>
  </si>
  <si>
    <t>တောင်ဥက္ကလာပ</t>
  </si>
  <si>
    <t>စစ်ကိုင်းလမ်း နှင့် (၂၅) လမ်း၊ (၁၅) ရပ်ကွက်၊ တောင်ဥက္ကလာပမြို့နယ်</t>
  </si>
  <si>
    <t>D0904-MMA-306</t>
  </si>
  <si>
    <t>U Mgoo</t>
  </si>
  <si>
    <t>ဒဂုံဆိပ်ကမ်း</t>
  </si>
  <si>
    <t>ယုဇနဥယျာဉ်မြို့တော်၊ မေခလမ်း၊ (၉၃) ရပ်ကွက်၊ ဒဂုံဆိပ်ကမ်းမြို့နယ်</t>
  </si>
  <si>
    <t>D0904-PYT-361</t>
  </si>
  <si>
    <t>Jue Phoo</t>
  </si>
  <si>
    <t>(၈၄) ရပ်ကွက်၊ ဒဂုံဆိပ်ကမ်းမြို့နယ်</t>
  </si>
  <si>
    <t>D0904-JSC-398</t>
  </si>
  <si>
    <t>Yu Yu</t>
  </si>
  <si>
    <t>စစ်တောင်းရိပ်မွန်၊ တိုက် (၇-၀၀၁)၊ ယုဇနလမ်း၊ ဒဂုံဆိပ်ကမ်းမြို့နယ်</t>
  </si>
  <si>
    <t>D0831-MML-152</t>
  </si>
  <si>
    <t>Ma Myat Lay</t>
  </si>
  <si>
    <t>Mar Mar</t>
  </si>
  <si>
    <t>09-451248394
  09-45248394</t>
  </si>
  <si>
    <t>ယုဇနဥယျာဉ်မြို့တော်၊ အမှတ် (၂၉)၊ အခန်း (102C)၊ (၁၄) လမ်း၊ ဒဂုံဆိပ်ကမ်းမြို့နယ်</t>
  </si>
  <si>
    <t>D0902-BBW-044</t>
  </si>
  <si>
    <t>Baby World</t>
  </si>
  <si>
    <t>ဦးဇော်လွင်</t>
  </si>
  <si>
    <t>09-650612392</t>
  </si>
  <si>
    <t>စကားဖြူ (၁) လမ်း၊ (၈၈) ရပ်ကွက်၊ (ရွှေသန်လျင်ဘိုးဘွားရိပ်သာမှတ်တိုင်)၊ ဒဂုံဆိပ်ကမ်းမြို့နယ်</t>
  </si>
  <si>
    <t>D0904-BBW-048</t>
  </si>
  <si>
    <t>May Kalayar</t>
  </si>
  <si>
    <t>နေပြည်တော်</t>
  </si>
  <si>
    <t>အမှတ် (၁)၊ မေကလျာ၊ လယ်ဝေးမြို့နယ်၊ နေပြည်တော်</t>
  </si>
  <si>
    <t>D0904-BBW-060</t>
  </si>
  <si>
    <t>Khin Pyoe Sone</t>
  </si>
  <si>
    <t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</t>
  </si>
  <si>
    <t>D0904-GGS-121</t>
  </si>
  <si>
    <t>Sre Ther Oo</t>
  </si>
  <si>
    <t>ခုတင် (၁၀၀၀) ဆေးရုံကြီး၊ အမှတ် (၂)၊ ဇေယျာသီရိမြို့နယ်၊ နေပြည်တော်</t>
  </si>
  <si>
    <t>D0904-GGS-142</t>
  </si>
  <si>
    <t>Swan Yi Htet</t>
  </si>
  <si>
    <t>အင်းကြင်း (၂) လမ်း၊ ပုဗ္ဗသီရိမြို့နယ်၊ နေပြည်တော်</t>
  </si>
  <si>
    <t>D0904-GGS-147</t>
  </si>
  <si>
    <t>Bhone Hlaing Min Khant</t>
  </si>
  <si>
    <t>ရေဆင်း၊ ပျဉ်းမနားမြို့နယ်၊ နေပြည်တော်</t>
  </si>
  <si>
    <t>D0904-GGS-171</t>
  </si>
  <si>
    <t>toe Thiri Lwin</t>
  </si>
  <si>
    <t>လယ်ဝေးမြို့နယ်၊ နေပြည်တော်</t>
  </si>
  <si>
    <t>D0904-GGS-175</t>
  </si>
  <si>
    <t>Shin Nyein Moe</t>
  </si>
  <si>
    <t>သွားနှင့်ခံတွင်းဆေးရုံ၊ ပုဗ္ဗသီရိမြို့နယ်၊ နေပြည်တော်</t>
  </si>
  <si>
    <t>D0904-GGS-216</t>
  </si>
  <si>
    <t>Phyo</t>
  </si>
  <si>
    <t>(အ.ထ.က ၁ ကျောင်းရှေ့)၊ မြို့ဦးရပ်ကွက်၊ ပျဉ်းမနားမြို့နယ်၊ နေပြည်တော်</t>
  </si>
  <si>
    <t>D0904-MMA-316</t>
  </si>
  <si>
    <t>ဦးကြည်မြင့်</t>
  </si>
  <si>
    <t>D0904-MMA-323</t>
  </si>
  <si>
    <t>Htet Lin</t>
  </si>
  <si>
    <t>မနွယ်နီထွန်း၊ လယ်ဝေးမြို့နယ်၊ နေပြည်တော်</t>
  </si>
  <si>
    <t>D0904-MMA-325</t>
  </si>
  <si>
    <t>မသိမ့်</t>
  </si>
  <si>
    <t>ရုံးအမှတ် (၁၁)၊ နေပြည်တော်</t>
  </si>
  <si>
    <t>D0904-MMA-333</t>
  </si>
  <si>
    <t>Ma Pyae</t>
  </si>
  <si>
    <t>အမှတ် (၄၀၈၃)၊ ချယ်ရီ (၂) လမ်း၊ မင်္ဂလာဒီပရပ်ကွက်၊ ပုဗ္ဗသီရိမြို့နယ်၊ နေပြည်တော်</t>
  </si>
  <si>
    <t>D0904-MMA-339</t>
  </si>
  <si>
    <t>Daw Lay Ni</t>
  </si>
  <si>
    <t>မြို့မဈေး၊ နေပြည်တော်</t>
  </si>
  <si>
    <t>D0904-MMA-342</t>
  </si>
  <si>
    <t>Hsu Wai</t>
  </si>
  <si>
    <t>ပေါင်းလောင်း (၁၀) လမ်း၊ ပျဉ်းမနားမြို့နယ်၊ နေပြည်တော်</t>
  </si>
  <si>
    <t>D0904-MMA-343</t>
  </si>
  <si>
    <t>Su Lae Paing</t>
  </si>
  <si>
    <t>တရုတ်ဘုံကျောင်း၊ လယ်ဝေးမြို့နယ်၊ နေပြည်တော်</t>
  </si>
  <si>
    <t>D0904-MMA-344</t>
  </si>
  <si>
    <t>ကိုထွန်း</t>
  </si>
  <si>
    <t>အမှတ် (၄၃၁)၊ ပန်းလောင်လမ်း၊ ရွှေကြာပင်ရပ်ကွက်၊ ဇမ္ဗူသီရိမြို့နယ်၊ နေပြည်တော်</t>
  </si>
  <si>
    <t>D0904-MMA-352</t>
  </si>
  <si>
    <t>Ma Yi Mon Aung</t>
  </si>
  <si>
    <t>D0904-MMA-353</t>
  </si>
  <si>
    <t>Mu Mu</t>
  </si>
  <si>
    <t>အမှတ် (၂)၊ ကျည်တောက်ကန်၊ ပုဗ္ဗသီရိမြို့နယ်၊ နေပြည်တော်</t>
  </si>
  <si>
    <t>D0904-JSC-396</t>
  </si>
  <si>
    <t>Yin Hline Zin</t>
  </si>
  <si>
    <t>ကံ့ကော်အိမ်ရာ၊ တိုက် (၂၄၃)၊ ဇမ္ဗူသီရိမြို့နယ်၊ နေပြည်တော်</t>
  </si>
  <si>
    <t>D0904-JSC-397</t>
  </si>
  <si>
    <t>Ei Thandar Moe</t>
  </si>
  <si>
    <t>သုခတော်ဝင်အိမ်ရာ၊ အမှတ် (၅)၊ အခန်း (၁၁)၊ နေပြည်တော်</t>
  </si>
  <si>
    <t>D0903-SMW-132</t>
  </si>
  <si>
    <t>ရှု့မဝ</t>
  </si>
  <si>
    <t>Kyaw Zaw Zaw</t>
  </si>
  <si>
    <t>09-693251737</t>
  </si>
  <si>
    <t>(မြို့မဈေး (သို့မဟုတ်) သပြေကုန်းဂိတ် တစ်ခုခုတွင် ချပေးပါရန်)၊ ဇမ္ဗူသီရိမြို့နယ်၊ နေပြည်တော်</t>
  </si>
  <si>
    <t>D0903-GGS-135</t>
  </si>
  <si>
    <t>Expired Trent</t>
  </si>
  <si>
    <t>တိုက် (၂၅)၊ ပုဏ္ဏသိဒ္ဓိရပ်ကွက်၊ ဇမ္ဗူသီရိမြို့နယ်၊ နေပြည်တော်</t>
  </si>
  <si>
    <t>D0903-MMA-156</t>
  </si>
  <si>
    <t>ရွှန်းလဲ့ဝေ</t>
  </si>
  <si>
    <t>အဆောင် (၁၅)၊ သဇင် (၄) လမ်း၊ (စနေ/တနင်္ဂနွေ ပို့ပေးပါ)၊ ဇေယျာသီရိမြို့နယ်၊ နေပြည်တော်</t>
  </si>
  <si>
    <t>D0825-JSC-086</t>
  </si>
  <si>
    <t>May Win</t>
  </si>
  <si>
    <t>ဗဟန်း</t>
  </si>
  <si>
    <t>အမှတ် (၄၂)၊ ဘိုးပိုင်ရိပ်သာလမ်း၊ ရွှေတောင်ကြား (၂) ရပ်ကွက်၊ ဗဟန်းမြို့နယ်</t>
  </si>
  <si>
    <t>စက်ပိတ်</t>
  </si>
  <si>
    <t>D0831-MMA-385</t>
  </si>
  <si>
    <t>Ma Ma Gyi Sue</t>
  </si>
  <si>
    <t>အမှတ် (၁၆)၊ ဗိုလ်လရောင်လမ်း၊ ဗိုလ်စိန်မှန်ရပ်ကွက်၊ ဗဟန်းမြို့နယ်</t>
  </si>
  <si>
    <t>D0904-BBW-047</t>
  </si>
  <si>
    <t>ရွှေလဝန်းဘေဘီစတိုး</t>
  </si>
  <si>
    <t>(၃၁) လမ်း၊ ၃၇ x ၃၈ လမ်းကြား၊ မဟာအောင်မြေမြို့နယ်၊ မန္တလေး</t>
  </si>
  <si>
    <t>D0904-MBO-279</t>
  </si>
  <si>
    <t>MaBel OS</t>
  </si>
  <si>
    <t>Ya Ya</t>
  </si>
  <si>
    <t>09-266688826</t>
  </si>
  <si>
    <t>(၅၄) လမ်း၊ (39D) လမ်း၊ မန္တလေး</t>
  </si>
  <si>
    <t>D0829-NM6-169</t>
  </si>
  <si>
    <t>Poe Poe</t>
  </si>
  <si>
    <t>Pinky Thae</t>
  </si>
  <si>
    <t>09-43038851</t>
  </si>
  <si>
    <t>မရမ်းကုန်း</t>
  </si>
  <si>
    <t>အမှတ် (၃၃)၊ ကျားပျံလမ်း၊ (၅) ရပ်ကွက်၊ မရမ်းကုန်းမြို့နယ်</t>
  </si>
  <si>
    <t>D0831-JLS-057</t>
  </si>
  <si>
    <t>July Sis</t>
  </si>
  <si>
    <t>Nan Htike Aung</t>
  </si>
  <si>
    <t>09-755008786</t>
  </si>
  <si>
    <t>မြောက်ဒဂုံ</t>
  </si>
  <si>
    <t>တိုက် (A)၊ အခန်း (၄၀၂)၊ ရှုခင်းသာလမ်း၊ (၂၇) ရပ်ကွက်၊ မြောက်ဒဂုံမြို့နယ်</t>
  </si>
  <si>
    <t>D0831-MMA-400</t>
  </si>
  <si>
    <t>Ma Naw</t>
  </si>
  <si>
    <t>အမှတ် (၁၂၀၇)၊ ပိတောက်မြိုင် (၅) လမ်း၊ (၃၄) ရပ်ကွက်၊ မြောက်ဒဂုံမြို့နယ်</t>
  </si>
  <si>
    <t>D0819-SMW-061</t>
  </si>
  <si>
    <t>Ko Aung</t>
  </si>
  <si>
    <t>ရွှေပြည်သာ</t>
  </si>
  <si>
    <t>အမှတ် (၁၃၀)၊ ဦးမြဲလမ်း၊ စက်မှုဇုန် (၄)၊ ရွှေပြည်သာမြို့နယ်</t>
  </si>
  <si>
    <t>၂ရက်နေ့ပို့ရန်</t>
  </si>
  <si>
    <t>D0904-GGS-177</t>
  </si>
  <si>
    <t>Hsu Yee nai</t>
  </si>
  <si>
    <t>လယ်ဝေး</t>
  </si>
  <si>
    <t>အမှတ် (၄)၊ ရုံးလမ်း၊ (ဘဏ်ဘေး)၊ လယ်ဝေးမြို့နယ်၊ နေပြည်တော်</t>
  </si>
  <si>
    <t>D0901-PHS-071</t>
  </si>
  <si>
    <t>ph level 7</t>
  </si>
  <si>
    <t>မဆုမြတ်ပိုး</t>
  </si>
  <si>
    <t>09-440680460</t>
  </si>
  <si>
    <t>လှိုင်သာယာ</t>
  </si>
  <si>
    <t>ကျန်စစ်မင်းအိမ်ရာ၊ တိုက် (၄)၊ (City Mart အနီး)၊ လှိုင်သာယာမြို့နယ်</t>
  </si>
  <si>
    <t>D0904-MBO-285</t>
  </si>
  <si>
    <t>Ma Hnin Nway Hlaing</t>
  </si>
  <si>
    <t>သင်္ဃန်းကျွန်း</t>
  </si>
  <si>
    <t>ငမိုးရိပ် (၂) လမ်း၊ (အပိုင်း ၄)၊ သင်္ဃန်းကျွန်းမြို့နယ်</t>
  </si>
  <si>
    <t>D0904-PYT-367</t>
  </si>
  <si>
    <t>ခိုင်မေမေ</t>
  </si>
  <si>
    <t>ငမိုးရိပ် (၅) လမ်း (အပိုင်း ၁)၊ သင်္ဃန်းကျွန်းမြို့နယ်</t>
  </si>
  <si>
    <t>D0904-CTM-387</t>
  </si>
  <si>
    <t>Sithu Phyo</t>
  </si>
  <si>
    <t>တိုက် (၅)၊ အခန်း (၃၀)၊ ဣစ္ဆာသယလမ်း၊ ဆယ်သိန်းရပ်ကွက်၊ သင်္ဃန်းကျွန်းမြို့နယ်</t>
  </si>
  <si>
    <t>D0902-LOS-192</t>
  </si>
  <si>
    <t>Lady OS</t>
  </si>
  <si>
    <t>Pan Dora /မချောချော</t>
  </si>
  <si>
    <t>09-962222488</t>
  </si>
  <si>
    <t>အင်းစိန်</t>
  </si>
  <si>
    <t>Liquor Store၊ အမှတ် (၂၃)၊ မင်္ဂလာလမ်း၊ နံ့သာကုန်း၊ စော်ဘွားကြီးကုန်း၊ (စက်ဘီးဝင်းဘေး)၊ အင်းစိန်မြို့နယ်</t>
  </si>
  <si>
    <t>D0904-BBW-062</t>
  </si>
  <si>
    <t>Eaint Furniture</t>
  </si>
  <si>
    <t>အရှေ့ဒဂုံ</t>
  </si>
  <si>
    <t>အမှတ် (၁၀၄၁)၊ ထိပ်တင်မှတ်လမ်းမ၊ (၁) ရပ်ကွက်၊ (မြောက်ဒဂုံ (၄၆) လမ်းဆုံအနီး)၊ အရှေ့ဒဂုံမြို့နယ်</t>
  </si>
  <si>
    <t>D0904-GGS-228</t>
  </si>
  <si>
    <t>Thoon Thiri Kyal Sin</t>
  </si>
  <si>
    <t>အမှတ် (984B)၊ အောင်ရတနာလမ်း၊ (၇) ရပ်ကွက်၊ အရှေ့ဒဂုံမြို့နယ်</t>
  </si>
  <si>
    <t>D0904-GGS-236</t>
  </si>
  <si>
    <t>Nyx</t>
  </si>
  <si>
    <t>ရွှေနဝင်းအိမ်ခြံမြေ၊ နဝဒေးလမ်း၊ (၁၂၅) ရပ်ကွက်၊ အရှေ့ဒဂုံမြို့နယ်</t>
  </si>
  <si>
    <t>D0904-PYT-356</t>
  </si>
  <si>
    <t>Moh Moh</t>
  </si>
  <si>
    <t>Theint Skincare၊ မင်းရဲကျော်စွာလမ်းမကြီး၊ (၁၂၅) ရပ်ကွက်၊ ((၃၆) ဂိတ်ဟောင်းမှတ်တိုင်)၊ အရှေ့ဒဂုံမြို့နယ်</t>
  </si>
  <si>
    <t>D0904-OTH-414</t>
  </si>
  <si>
    <t>Other</t>
  </si>
  <si>
    <t>Tsukki Fashion</t>
  </si>
  <si>
    <t>09-774100740</t>
  </si>
  <si>
    <t>အမှတ် (၉၀၂)၊ ခွာညိုလမ်း၊ (၈) ရပ်ကွက်၊ အရှေ့ဒဂုံမြို့နယ်</t>
  </si>
  <si>
    <t>D0903-GGS-141</t>
  </si>
  <si>
    <t>Ei Hnin Phyu</t>
  </si>
  <si>
    <t>ဒဂုံတက္ကသိုလ်၊ အရှေ့ဒဂုံမြို့နယ်</t>
  </si>
  <si>
    <t>D0904-BBW-034</t>
  </si>
  <si>
    <t>မထက်</t>
  </si>
  <si>
    <t>အမှတ် (၁၀၁)၊ ပထမထပ်၊ ဦးစံညွန့်လမ်း</t>
  </si>
  <si>
    <t>D0904-GGS-160</t>
  </si>
  <si>
    <t>Thune Thiri Htut</t>
  </si>
  <si>
    <t>D0904-BLC-370</t>
  </si>
  <si>
    <t>Billionaire Clothing</t>
  </si>
  <si>
    <t>မခိုင်ခိုင်</t>
  </si>
  <si>
    <t>09-762224688</t>
  </si>
  <si>
    <t>Royal</t>
  </si>
  <si>
    <t>ဦးမှန်လမ်း၊ (၁၃) ရပ်ကွက်၊ တောင်ငူ</t>
  </si>
  <si>
    <t>D0904-GGS-195</t>
  </si>
  <si>
    <t>Steohanie</t>
  </si>
  <si>
    <t>(တောင်ပေါ်)၊ မိုင်းရှူး</t>
  </si>
  <si>
    <t>D0901-UQD-140</t>
  </si>
  <si>
    <t>Unique/Diva</t>
  </si>
  <si>
    <t>Cherry Ei Mon San</t>
  </si>
  <si>
    <t>09-974449949</t>
  </si>
  <si>
    <t>ဗိုလ်တထောင်</t>
  </si>
  <si>
    <t>အမှတ် (၂၅၉)၊ ဗိုလ်မြတ်ထွန်းလမ်း၊ အပေါ်ဘလောက်၊ ဗိုလ်တထောင်မြို့နယ်</t>
  </si>
  <si>
    <t>D0901-CTM-229</t>
  </si>
  <si>
    <t>Daw Than Than Htwe</t>
  </si>
  <si>
    <t>ဆရာစံ (၁) လမ်း၊ (ရိုးကြီးမှတ်တိုင်)၊ လှိုင်သာယာမြို့နယ်</t>
  </si>
  <si>
    <t>D0902-PPL-027</t>
  </si>
  <si>
    <t>Poe Poe Lay</t>
  </si>
  <si>
    <t>မမ</t>
  </si>
  <si>
    <t>09-791162695</t>
  </si>
  <si>
    <t>အမှတ် (၃၀)၊ (၃) လမ်း၊ (၃) ရပ်ကွက်၊ တောင်ဥက္ကလာပမြို့နယ်</t>
  </si>
  <si>
    <t>D0902-BBW-033</t>
  </si>
  <si>
    <t>Moesintsint Phyo</t>
  </si>
  <si>
    <t>တောင်ငူလမ်း၊ (၁၉) ရပ်ကွက်၊ ((၁၂၇) လမ်းဆုံ)၊ (Atom ရုံးအနီး)၊ လှိုင်သာယာမြို့နယ်</t>
  </si>
  <si>
    <t>D0902-BBW-043</t>
  </si>
  <si>
    <t>Zin Pwint</t>
  </si>
  <si>
    <t>အမှတ် (၅၉၄)၊ ဘားအံလမ်း၊ (စနေမမှတ်တိုင်)၊ လှိုင်သာယာမြို့နယ်</t>
  </si>
  <si>
    <t>D0902-BBW-051</t>
  </si>
  <si>
    <t>မဖြူသီစိုင်</t>
  </si>
  <si>
    <t>မြောက်ဥက္ကလာပ</t>
  </si>
  <si>
    <t>အမှတ် (၃၀၇)၊ အောင်ရာဇာလမ်း၊ ရွှေပေါက်ကံ၊ ((၁၂) ဈေး)၊ မြောက်ဥက္ကလာပမြို့နယ်</t>
  </si>
  <si>
    <t>D0902-BBW-058</t>
  </si>
  <si>
    <t>Daw Tin Tin Htwe</t>
  </si>
  <si>
    <t>ပိတောက်မြိုင်ဈေး၊ (မီးခွက်ဈေးရုံ)၊ လှိုင်သာယာမြို့နယ်</t>
  </si>
  <si>
    <t>D0902-PHS-063</t>
  </si>
  <si>
    <t>နန်းစုလှိုင်</t>
  </si>
  <si>
    <t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t>
  </si>
  <si>
    <t>D0902-PHS-070</t>
  </si>
  <si>
    <t>မဝေမာအောင်</t>
  </si>
  <si>
    <t>မင်းရဲကျော်စွာ (၁) လမ်း၊ (၂၀) ရပ်ကွက်၊ (ကျောင်းရှေ့မှတ်တိုင်)၊ (Capital Mart ဘေးလမ်း)၊ လှိုင်သာယာမြို့နယ်</t>
  </si>
  <si>
    <t>D0902-PHS-074</t>
  </si>
  <si>
    <t>Aeri Aye Aye</t>
  </si>
  <si>
    <t>(၁၁) မီးငြိမ်းလမ်း၊ လှိုင်သာယာဇုန် (၅)၊ သောင်ကြီး၊ (ရဲစခန်း UMG Dagon Power ဘေး)၊ လှိုင်သာယာမြို့နယ်</t>
  </si>
  <si>
    <t>D0902-NPM-201</t>
  </si>
  <si>
    <t>နတ်ပြည်မွှေး</t>
  </si>
  <si>
    <t>Ma Moe</t>
  </si>
  <si>
    <t>09-783475251</t>
  </si>
  <si>
    <t>မုဒိတာအိမ်ရာ (၁)၊ မမိုးတိုက် (B)၊ အခန်း (၁၄၂)၊ ဗဟိုလမ်း၊ မရမ်းကုန်းမြို့နယ်</t>
  </si>
  <si>
    <t>D0902-NPM-196</t>
  </si>
  <si>
    <t>Layate</t>
  </si>
  <si>
    <t>(သစ်တံခါးကျောင်း နှင့် (၃) မှတ်တိုင်အနီး)၊ လှိုင်သာယာမြို့နယ်</t>
  </si>
  <si>
    <t>D0902-CTM-393</t>
  </si>
  <si>
    <t>Tin Phyo Wai</t>
  </si>
  <si>
    <t>ဗိုလ်အောင်ကျော်အိမ်ရာ၊ တိုက် (၄/၇)၊ လှိုင်သာယာမြို့နယ်</t>
  </si>
  <si>
    <t>D0903-APA-071</t>
  </si>
  <si>
    <t>APAC</t>
  </si>
  <si>
    <t>Mon Mon Soe</t>
  </si>
  <si>
    <t>09-421117702</t>
  </si>
  <si>
    <t>အမှတ် - ၂-က၊ ကန်လေးစုလမ်း၊ သမိုင်း၊ မရမ်းကုန်းမြို့နယ်</t>
  </si>
  <si>
    <t>D0903-APA-090</t>
  </si>
  <si>
    <t>Swe Swe</t>
  </si>
  <si>
    <t>ကျိုက္ကဆံဘုရားလမ်း၊ (စံပြဆေးရုံရှေ့)၊ သင်္ဃန်းကျွန်းမြို့နယ်</t>
  </si>
  <si>
    <t>D0903-SMW-133</t>
  </si>
  <si>
    <t>Eizali</t>
  </si>
  <si>
    <t>ခင်စံပယ်ဦး၊ အမှတ် (၁၀)၊ ရွှေတောင်ကြားလမ်း၊ ဗဟန်းမြို့နယ်</t>
  </si>
  <si>
    <t>D0903-GGS-136</t>
  </si>
  <si>
    <t>Cas</t>
  </si>
  <si>
    <t>မိဘမေတ္တာတိုက်၊ သီရိ (၄) လမ်းထိပ်၊ (ရွှေနေ့သစ်စားသောက်ဆိုင်ဘေး)၊ လှိုင်မြို့နယ်</t>
  </si>
  <si>
    <t>D0903-GGS-142</t>
  </si>
  <si>
    <t>May Thet Hlaing</t>
  </si>
  <si>
    <t>တာမွေ</t>
  </si>
  <si>
    <t>ပိတောက်ရွှေဝါလမ်း၊ တာမွေလေးရပ်ကွက်၊ တာမွေမြို့နယ်</t>
  </si>
  <si>
    <t>D0903-MSE-170</t>
  </si>
  <si>
    <t>ပုံ့ပုံ့</t>
  </si>
  <si>
    <t>မင်္ဂလာဒုံ</t>
  </si>
  <si>
    <t>မြတောင်ညို (၁) လမ်း၊ ကြံခင်းစုရပ်ကွက်၊ မင်္ဂလာဒုံမြို့နယ်</t>
  </si>
  <si>
    <t>D0903-CTM-189</t>
  </si>
  <si>
    <t>Waddy Waddy</t>
  </si>
  <si>
    <t>ပညာသိင်္ဂီသီလရှင်ကျောင်းတိုက်၊ ပညာသိင်္ဂီကျောင်းလမ်း၊ အင်းစိန်မြို့နယ်</t>
  </si>
  <si>
    <t>D0904-MTC-005</t>
  </si>
  <si>
    <t>Mommy Top Choice</t>
  </si>
  <si>
    <t>မဟီနာ</t>
  </si>
  <si>
    <t>09-453774568</t>
  </si>
  <si>
    <t>ပန်းဘဲတန်း</t>
  </si>
  <si>
    <t>အမှတ် (၅၆)၊ မြေညီထပ်၊ (၃၁) လမ်း၊ အောက်ဘလောက်၊ ပန်းဘဲတန်းမြို့နယ်</t>
  </si>
  <si>
    <t>D0904-GGS-033</t>
  </si>
  <si>
    <t>Rayy</t>
  </si>
  <si>
    <t>သံဖြူဆိုင်မှတ်တိုင်၊ ရွှေပြည်သာမြို့နယ်</t>
  </si>
  <si>
    <t>D0904-BBW-035</t>
  </si>
  <si>
    <t>အိမ့်သန္ဒါထွန်း</t>
  </si>
  <si>
    <t>မြတ်သွန်းရှေ့ဂုဏ်၊ တိုက်မြေညီ (၅)၊ ဗန္ဓုလပင်လမ်းဝိုက်၊ ဗဟန်းမြို့နယ်</t>
  </si>
  <si>
    <t>D0904-BBW-037</t>
  </si>
  <si>
    <t>Poe Pwint Phyu</t>
  </si>
  <si>
    <t>ရွှေလင်ပန်းတန်ဖိုးနည်းအိမ်ရာ (အပိုင်း ၁)၊ တိုက် (၂၂)၊ လှိုင်သာယာမြို့နယ်</t>
  </si>
  <si>
    <t>D0904-BBW-039</t>
  </si>
  <si>
    <t>Nan Tharaphy</t>
  </si>
  <si>
    <t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t>
  </si>
  <si>
    <t>D0904-BBW-040</t>
  </si>
  <si>
    <t>Ei Moe</t>
  </si>
  <si>
    <t>Little Dream Baby Shop၊ (ပြုံးပြုံးလေးဂိတ်)၊ သုံးဆယ်</t>
  </si>
  <si>
    <t>D0904-BBW-041</t>
  </si>
  <si>
    <t>Ei Thandar Lwin</t>
  </si>
  <si>
    <t>အမှတ် (၂၀၄)၊ ပဲခူးလမ်း၊ (၁၃) ရပ်ကွက်၊ ရွှေပေါက်ကံ၊ မြောက်ဥက္ကလာပမြို့နယ်</t>
  </si>
  <si>
    <t>D0904-BBW-043</t>
  </si>
  <si>
    <t>Yin Yin Mon</t>
  </si>
  <si>
    <t>ဆရာစံပလာဇာ၊ ဆရာစံလမ်း နှင့် တက္ကသိုလ်ရိပ်သာလမ်းသစ်ထောင့်၊ ဗဟန်းမြို့နယ်</t>
  </si>
  <si>
    <t>D0904-BBW-046</t>
  </si>
  <si>
    <t>Hnin Wuit Yee</t>
  </si>
  <si>
    <t>(မအူပင်မြို့နယ် နန်းရတီအထည်ဆိုင် ဇေယျာမင်းကားဂိတ်သို့ တင်ရန်)</t>
  </si>
  <si>
    <t>D0904-BBW-051</t>
  </si>
  <si>
    <t>Ko Thet</t>
  </si>
  <si>
    <t>ငွေလမင်းအထည်ဆိုင်၊ (ဈေးမိုးကုတ်ကျောင်းရှေ့)၊ တံတားဖြူ၊ လှိုင်သာယာမြို့နယ်</t>
  </si>
  <si>
    <t>D0904-BBW-052</t>
  </si>
  <si>
    <t>Moon</t>
  </si>
  <si>
    <t>မင်္ဂလာတောင်ညွန့်</t>
  </si>
  <si>
    <t>အမှတ် (၃၅၁)၊ သိမ်ဖြူလမ်း၊ မင်္ဂလာတောင်ညွန့်မြို့နယ်</t>
  </si>
  <si>
    <t>D0904-BBW-057</t>
  </si>
  <si>
    <t>YJr</t>
  </si>
  <si>
    <t>မစန်းစန်းဝင်း၊ အမှတ် (၄၂)၊ ဒေါပုံစာတိုက် (၁) လမ်း၊ ဒေါပုံမြို့နယ်</t>
  </si>
  <si>
    <t>D0904-BBW-061</t>
  </si>
  <si>
    <t>Angel Queen Lifest</t>
  </si>
  <si>
    <t>အမှတ် (၃၈)၊ မာယာလမ်း၊ (၂) ရပ်ကွက်၊ မရမ်းကုန်းမြို့နယ်</t>
  </si>
  <si>
    <t>D0904-BBW-063</t>
  </si>
  <si>
    <t>ကိုဝေယံစက်ပစ္စည်း</t>
  </si>
  <si>
    <t>Moora၊ (၂၅) လမ်း၊ အောက်ဘလောက်၊ ပန်းဘဲတန်းမြို့နယ်</t>
  </si>
  <si>
    <t>D0904-BBW-065</t>
  </si>
  <si>
    <t>Thet Htar Wai</t>
  </si>
  <si>
    <t>အမှတ် (C-260)၊ သန္တာလမ်း (ညာဘက်ခြမ်း)၊ မြောက်ဥက္ကလာပမြို့နယ်</t>
  </si>
  <si>
    <t>D0904-BBW-066</t>
  </si>
  <si>
    <t>Wint Wint Zaw</t>
  </si>
  <si>
    <t>ကမာရွတ်</t>
  </si>
  <si>
    <t>ရန်ကုန်တက္ကသိုလ်၊ ကမာရွတ်မြို့နယ်</t>
  </si>
  <si>
    <t>D0904-BBW-067</t>
  </si>
  <si>
    <t>Hnint Oo Laykha</t>
  </si>
  <si>
    <t>သာကေတ</t>
  </si>
  <si>
    <t>အမှတ် (၃၁)၊ ဈေးလမ်း၊ (၅) ရပ်ကွက်၊ (သာကေတရုပ်ရှင်ရုံအောက်ဘက်)၊ သာကေတမြို့နယ်</t>
  </si>
  <si>
    <t>D0904-BBW-068</t>
  </si>
  <si>
    <t>Moe Moe</t>
  </si>
  <si>
    <t>ရွှေမြန်မာတည်းခိုခန်း၊ မိုချောင်းအိုင် ရွှေဗဟိုပတ်လမ်း၊ ရွှေပြည်သာမြို့နယ်</t>
  </si>
  <si>
    <t>D0904-GGS-113</t>
  </si>
  <si>
    <t>Zeck</t>
  </si>
  <si>
    <t>မဏ္ဍိုင်လမ်း၊ ဝါဆိုရပ်ကွက်၊ ဒေါပုံမြို့နယ်</t>
  </si>
  <si>
    <t>D0904-GGS-122</t>
  </si>
  <si>
    <t>Mya Thin Kyu</t>
  </si>
  <si>
    <t>အမှတ် (377A)၊ မဟာမြိုင်လမ်း၊ ရွှေပြည်သာမြို့နယ်</t>
  </si>
  <si>
    <t>D0904-GGS-126</t>
  </si>
  <si>
    <t>Ki Ki</t>
  </si>
  <si>
    <t>အမှတ် (945A)၊ ရှုခင်းသာမြို့ပတ်လမ်း၊ သာကေတမြို့နယ်</t>
  </si>
  <si>
    <t>D0904-GGS-130</t>
  </si>
  <si>
    <t>Aye Chan moe</t>
  </si>
  <si>
    <t>ကြည့်မြင်တိုင်</t>
  </si>
  <si>
    <t>ကမ်းသာယာပလာဇာကွန်ဒို၊ ကမ်းနားလမ်း၊ ကြည့်မြင်တိုင်မြို့နယ်</t>
  </si>
  <si>
    <t>D0904-GGS-132</t>
  </si>
  <si>
    <t>စန်းပပသင်း</t>
  </si>
  <si>
    <t>အမှတ် (၁၉၇)၊ စက်မှု (၃) လမ်းသွယ် (၂)၊ မေတ္တာညွန့်ရပ်ကွက်၊ တာမွေမြို့နယ်</t>
  </si>
  <si>
    <t>D0904-GGS-134</t>
  </si>
  <si>
    <t>နန်းအိဝါ</t>
  </si>
  <si>
    <t>အမှတ် (၉)၊ မင်္ဂလာသီရိလမ်း၊ ဒေါပုံမြို့နယ်</t>
  </si>
  <si>
    <t>D0904-GGS-136</t>
  </si>
  <si>
    <t>Tain Yan Khoon Sit</t>
  </si>
  <si>
    <t>ရှုခင်းသာအိမ်ရာ၊ သာကေတမြို့နယ်</t>
  </si>
  <si>
    <t>D0904-GGS-137</t>
  </si>
  <si>
    <t>အာနိသိုဝမ်</t>
  </si>
  <si>
    <t>ကြည့်မြင်တိုင်ညဈေး၊ ကြည့်မြင်တိုင်မြို့နယ်</t>
  </si>
  <si>
    <t>D0904-GGS-139</t>
  </si>
  <si>
    <t>Ellie</t>
  </si>
  <si>
    <t>Shal Minimart၊ အမှတ် (၁၅၉)၊ ကရင်ရင်းလမ်း၊ မင်္ဂလာဒုံမြို့နယ်</t>
  </si>
  <si>
    <t>D0904-GGS-143</t>
  </si>
  <si>
    <t>Su</t>
  </si>
  <si>
    <t>အမှတ် (၄၈)၊ စံပယ်လမ်း၊ (၁၇) ရပ်ကွက်၊ ရွှေပေါက်ကံ၊ မြောက်ဥက္ကလာပမြို့နယ်</t>
  </si>
  <si>
    <t>D0904-GGS-163</t>
  </si>
  <si>
    <t>Zee Kwet</t>
  </si>
  <si>
    <t>အမှတ် (၈၀၃)၊ ဗထူးအိမ်ရာ၊ မြောက်ဒဂုံမြို့နယ်</t>
  </si>
  <si>
    <t>D0904-GGS-164</t>
  </si>
  <si>
    <t>Thet htar San</t>
  </si>
  <si>
    <t>အမှတ် (၆၅)၊ ကျိုက်ဝိုင်းဘုရားလမ်း၊ မရမ်းကုန်းမြို့နယ်</t>
  </si>
  <si>
    <t>D0904-GGS-165</t>
  </si>
  <si>
    <t>Phyu Hnin May</t>
  </si>
  <si>
    <t>သာဓုလမ်း၊ ကြည့်မြင်တိုင်မြို့နယ်</t>
  </si>
  <si>
    <t>D0904-GGS-176</t>
  </si>
  <si>
    <t>Ei Phyu</t>
  </si>
  <si>
    <t>သာဓုကန်၊ ဇေယျာသီရိ၊ ရွှေပြည်သာမြို့နယ်</t>
  </si>
  <si>
    <t>D0904-GGS-182</t>
  </si>
  <si>
    <t>မနုနုရီ</t>
  </si>
  <si>
    <t>အမှတ် (၅၃၂/၅၄၂)၊ ပထမထပ်၊ (၂၇) လမ်း နှင့် မဟာဗန္ဓုလလမ်းထောင့်၊ ပန်းဘဲတန်းမြို့နယ်</t>
  </si>
  <si>
    <t>D0904-GGS-186</t>
  </si>
  <si>
    <t>Adalia</t>
  </si>
  <si>
    <t>တိုက် (၃)၊ ဇလွန်လမ်း၊ စမ်းချောင်းမြို့နယ်</t>
  </si>
  <si>
    <t>D0904-GGS-190</t>
  </si>
  <si>
    <t>Christine Kim</t>
  </si>
  <si>
    <t>[ကမာရွတ်]</t>
  </si>
  <si>
    <t>ပြည်ရိပ်မွန်အိမ်ရာ၊ တိုက် (၂၂)၊ ကမာရွတ်မြို့နယ်</t>
  </si>
  <si>
    <t>D0904-GGS-194</t>
  </si>
  <si>
    <t>Linn Soe Ko</t>
  </si>
  <si>
    <t>အမှတ် (၁၃၇)၊ မအူကုန်းလမ်းကျယ်၊ တာမွေမြို့နယ်</t>
  </si>
  <si>
    <t>D0904-GGS-199</t>
  </si>
  <si>
    <t>Soe Thiri Aung</t>
  </si>
  <si>
    <t>တိုက် (၁၇)၊ ဗဟိုလမ်း၊ လှည်းတန်း၊ (ဆိုက်ကားဂိတ်မှတ်တိုင်)၊ ကမာရွတ်မြို့နယ်</t>
  </si>
  <si>
    <t>D0904-GGS-200</t>
  </si>
  <si>
    <t>Pyae Mon Mon Ko</t>
  </si>
  <si>
    <t>အမှတ် (၁၀/၁၂)၊ မြေညီထပ်၊ (၄) ရပ်ကွက်၊ ဗိုလ်တထောင်မြို့နယ်</t>
  </si>
  <si>
    <t>D0904-GGS-204</t>
  </si>
  <si>
    <t>Eaint Thae</t>
  </si>
  <si>
    <t>စီးပွားရေးတက္ကသိုလ်၊ လှိုင်မြို့နယ်</t>
  </si>
  <si>
    <t>D0904-GGS-211</t>
  </si>
  <si>
    <t>ဝေဝေကျော်</t>
  </si>
  <si>
    <t>အမှတ် (၅၈)၊ ပတ္တမြားလမ်း၊ (ခိုင်ရွှေဝါမှတ်တိုင်)၊ သာကေတမြို့နယ်</t>
  </si>
  <si>
    <t>D0904-GGS-212</t>
  </si>
  <si>
    <t>Thin Htet Htet Aung</t>
  </si>
  <si>
    <t>အမှတ် (၂၃၁)၊ ဥက္ကာ (၈) လမ်း၊ (ဆေး ၂ ရှေ့)၊ မြောက်ဥက္ကလာပမြို့နယ်</t>
  </si>
  <si>
    <t>D0904-GGS-213</t>
  </si>
  <si>
    <t>Thazin Phoo</t>
  </si>
  <si>
    <t>အမှတ် (၂၄/၂၆)၊ ပထမထပ်၊ ရန်အောင်လမ်း၊ (၃/ရန်ပြေ)၊ သာကေတမြို့နယ်</t>
  </si>
  <si>
    <t>D0904-GGS-217</t>
  </si>
  <si>
    <t>ဂျာဆိုင်းမွန်း</t>
  </si>
  <si>
    <t>ဗဟိုလမ်း၊ (YGN Gym အနီး)၊ စမ်းချောင်းမြို့နယ်</t>
  </si>
  <si>
    <t>D0904-GGS-218</t>
  </si>
  <si>
    <t>Moe Wai Hin</t>
  </si>
  <si>
    <t>(စီမံကိန်းမှတ်တိုင်အနီး)၊ တောင်ဥက္ကလာပမြို့နယ်</t>
  </si>
  <si>
    <t>D0904-GGS-223</t>
  </si>
  <si>
    <t>Phyo Myat</t>
  </si>
  <si>
    <t>ထောက်ကြန့်တိုးချဲ့ (၃) ရပ်ကွက်၊ မင်္ဂလာဒုံမြို့နယ်</t>
  </si>
  <si>
    <t>D0904-GGS-229</t>
  </si>
  <si>
    <t>Emma</t>
  </si>
  <si>
    <t>အမှတ် (၂၃၉)၊ ကံ့ကော်ရိပ်သာ (၁) လမ်း၊ မင်္ဂလာဒုံမြို့နယ်</t>
  </si>
  <si>
    <t>D0904-GGS-230</t>
  </si>
  <si>
    <t>Zun Wady</t>
  </si>
  <si>
    <t>အမှတ် (၆၄၅)၊ အိန္ဒြာ (၅) လမ်း၊ မြောက်ဥက္ကလာပမြို့နယ်</t>
  </si>
  <si>
    <t>D0904-GGS-235</t>
  </si>
  <si>
    <t>Sandy Kyaw Win</t>
  </si>
  <si>
    <t>အမှတ် (၄၀)၊ သုခလမ်း၊ မြေနီကုန်း၊ စမ်းချောင်းမြို့နယ်</t>
  </si>
  <si>
    <t>D0904-GGS-238</t>
  </si>
  <si>
    <t>Val Shay</t>
  </si>
  <si>
    <t>တိုက် (၁၆)၊ တက်လမ်းအိမ်ရာ၊ ရတနာလမ်း၊ သာကေတမြို့နယ်</t>
  </si>
  <si>
    <t>D0904-GGS-239</t>
  </si>
  <si>
    <t>Shune Lei Wutyi</t>
  </si>
  <si>
    <t>အမှတ် (၆၁)၊ ဗိုလ်တေဇလမ်း၊ ဗိုလ်ထွန်းဇံရပ်ကွက်၊ ဒေါပုံမြို့နယ်</t>
  </si>
  <si>
    <t>D0904-GGS-242</t>
  </si>
  <si>
    <t>မြဖူးခင်</t>
  </si>
  <si>
    <t>ရန်ကင်း</t>
  </si>
  <si>
    <t>တိုက် (၂၉၃)၊ အခန်း (၁၁)၊ ရန်အောင် (၂) လမ်း၊ အရှေ့ရန်ကင်း၊ ရန်ကင်းမြို့နယ်</t>
  </si>
  <si>
    <t>D0904-GGS-243</t>
  </si>
  <si>
    <t>Molly</t>
  </si>
  <si>
    <t>ပန်းခြံ (၃၀) လမ်း၊ တ (၁၅) ရပ်ကွက်၊ ရွှေပြည်သာမြို့နယ်</t>
  </si>
  <si>
    <t>D0904-SHA-246</t>
  </si>
  <si>
    <t>မေသျှား</t>
  </si>
  <si>
    <t>Ma Wyne Cho</t>
  </si>
  <si>
    <t>09-678601818</t>
  </si>
  <si>
    <t>ခိုင်ရွှေဝါ (၃) လမ်း၊ (ဓမ္မာရုံမှတ်တိုင်နောက်)၊ မြောက်ဥက္ကလာပမြို့နယ်</t>
  </si>
  <si>
    <t>D0904-SHA-247</t>
  </si>
  <si>
    <t>Ma Hsu Htet Oo</t>
  </si>
  <si>
    <t>အမှတ် (၃၅၉)၊ ရဲမျိုးကျော်သူရလမ်း၊ (၁၄/၁၅) ရပ်ကွက်၊ ရွှေပေါက်ကံ၊ မြောက်ဥက္ကလာပမြို့နယ်</t>
  </si>
  <si>
    <t>D0904-SHA-248</t>
  </si>
  <si>
    <t>Ma Hein Htet</t>
  </si>
  <si>
    <t>ကျိုက်ကလဲ့ဘုရားလမ်းဘေး၊ (အရိယကျောင်းရှေ့)၊ မင်္ဂလာဒုံမြို့နယ်</t>
  </si>
  <si>
    <t>D0904-KSH-252</t>
  </si>
  <si>
    <t>စံပယ်ဖြူ/Bra And Underwear Store</t>
  </si>
  <si>
    <t>မဟာမြိုင်အိမ်ရာ၊ တိုက် (47-B-1)၊ မဟာမြိုင်မနက်ဈေးလမ်း၊ မြောက်ဒဂုံမြို့နယ်</t>
  </si>
  <si>
    <t>D0904-MBO-281</t>
  </si>
  <si>
    <t>Ma Zin Htet</t>
  </si>
  <si>
    <t>အမှတ် (၆၉၂)၊ အောင်သစ္စာ (၆) လမ်း (အနောက်)၊ (၄/တောင်) ရပ်ကွက်၊ သာကေတမြို့နယ်</t>
  </si>
  <si>
    <t>D0904-MBO-284</t>
  </si>
  <si>
    <t>Hsu Thet Hnin</t>
  </si>
  <si>
    <t>((၅) ထပ်ဆောင်စာသင်ကျောင်းအနီး)၊ (ရိုးလေးကားမှတ်တိုင်မှဝင်ရန်)၊ လှိုင်သာယာမြို့နယ်</t>
  </si>
  <si>
    <t>######</t>
  </si>
  <si>
    <t>D0904-MMA-290</t>
  </si>
  <si>
    <t>Daw Moe Sandar</t>
  </si>
  <si>
    <t>သူရထွန်းကားဂိတ်၊ ဒဂုံဧရာအဝေးပြေး၊ (သူရထွန်းကားဖြင့် ကျုံတနီးသို့ တင်ပေးပါ)၊ လှိုင်သာယာမြို့နယ်</t>
  </si>
  <si>
    <t>D0904-MMA-296</t>
  </si>
  <si>
    <t>Honey Ko</t>
  </si>
  <si>
    <t>ရွှေပေါက်ကံ၊ မြောက်ဥက္ကလာပမြို့နယ်</t>
  </si>
  <si>
    <t>D0904-MMA-298</t>
  </si>
  <si>
    <t>Khin Than Soe</t>
  </si>
  <si>
    <t>မြန်မာ့ဂုဏ်ရောင်အိမ်ရာ၊ ခြံအမှတ် (48A)၊ မေတ္တာညွန့်ရပ်ကွက်၊ တာမွေမြို့နယ်</t>
  </si>
  <si>
    <t>D0904-MMA-299</t>
  </si>
  <si>
    <t>Nay Chi</t>
  </si>
  <si>
    <t>စစ်အကျဉ်းထောင်လမ်း၊ (ကန်သာယာမှတ်တိုင်)၊ (ရွှေပြည်သာမြို့အဝင်)၊ ရွှေပြည်သာမြို့နယ်</t>
  </si>
  <si>
    <t>D0904-MMA-300</t>
  </si>
  <si>
    <t>May Kyu</t>
  </si>
  <si>
    <t>(မိုးကောင်းကားမှတ်တိုင်)၊ ရန်ကင်းမြို့နယ်</t>
  </si>
  <si>
    <t>D0904-MMA-310</t>
  </si>
  <si>
    <t>Mar Myint</t>
  </si>
  <si>
    <t>95-Resident၊ အမှတ် (95B)၊ ကျိုက်ဝိုင်းဘုရားလမ်း၊ (၈) မိုင်၊ (လမ်းဆုံ)၊ မရမ်းကုန်းမြို့နယ်</t>
  </si>
  <si>
    <t>D0904-MMA-311</t>
  </si>
  <si>
    <t>နှင်းနှင်း</t>
  </si>
  <si>
    <t>စိန်ပဒေသာ (၅) လမ်း၊ ကုန်းတလပေါင်ရပ်ကွက်၊ မင်္ဂလာဒုံမြို့နယ်</t>
  </si>
  <si>
    <t>D0904-MMA-329</t>
  </si>
  <si>
    <t>San San Mar</t>
  </si>
  <si>
    <t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t>
  </si>
  <si>
    <t>D0904-MMA-331</t>
  </si>
  <si>
    <t>Kaung Kaung</t>
  </si>
  <si>
    <t>ရွှေလင်ပန်း၊ လှိုင်သာယာမြို့နယ်</t>
  </si>
  <si>
    <t>D0904-MMA-340</t>
  </si>
  <si>
    <t>May Myat</t>
  </si>
  <si>
    <t>ရိုးကြီးကျေးရွာ၊ လှိုင်သာယာမြို့နယ်</t>
  </si>
  <si>
    <t>D0904-PYT-358</t>
  </si>
  <si>
    <t>Woutee</t>
  </si>
  <si>
    <t>သပြေလမ်း၊ အိုင်စုရပ်ကွက်၊ လှိုင်သာယာမြို့နယ်</t>
  </si>
  <si>
    <t>D0904-PYT-360</t>
  </si>
  <si>
    <t>အေးခိုင်</t>
  </si>
  <si>
    <t>အမှတ် (G-80)၊ ငုဝါလမ်း၊ ကင်းမလင်းကျွန်း၊ ပုသိမ်</t>
  </si>
  <si>
    <t>D0904-PYT-362</t>
  </si>
  <si>
    <t>Htet Htet</t>
  </si>
  <si>
    <t>အမှတ် (၁၉၃)၊ ကောလိယ (၂၆) လမ်း၊ (၁၃) ရပ်ကွက်၊ တောင်ဥက္ကလာပမြို့နယ်</t>
  </si>
  <si>
    <t>D0904-PYT-365</t>
  </si>
  <si>
    <t>စွယ်တော် (၃) လမ်း၊ (ပတ္တမြားမှတ်တိုင်)၊ မင်္ဂလာဒုံမြို့နယ်</t>
  </si>
  <si>
    <t>D0904-PYT-368</t>
  </si>
  <si>
    <t>အမှတ် (၂၂၆၁)၊ မဂ္ဂင်ကျောင်းလမ်း၊ တောင်သူကုန်းရပ်ကွက်၊ (ဘိုကုန်းမှတ်တိုင်)၊ အင်းစိန်မြို့နယ်</t>
  </si>
  <si>
    <t>D0904-BLC-371</t>
  </si>
  <si>
    <t>ဒေါ်နီလာစိုး</t>
  </si>
  <si>
    <t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t>
  </si>
  <si>
    <t>D0904-LOS-372</t>
  </si>
  <si>
    <t>Machawi Khiangte</t>
  </si>
  <si>
    <t>Mother Indian Food၊ ဦးချစ်မောင်လမ်း၊ တာမွေအဝိုင်း၊ (ဆိုင်ရှေ့ရောက်လျှင် ဖုန်းခေါ်ရန်)၊ တာမွေမြို့နယ်</t>
  </si>
  <si>
    <t>D0904-LOS-374</t>
  </si>
  <si>
    <t>San San Win</t>
  </si>
  <si>
    <t>အလုံ</t>
  </si>
  <si>
    <t>အမှတ် (၇၂)၊ နံ့သာလမ်း၊ (အလုံဆင်မင်းမှတ်တိုင်အနီး)၊ အလုံမြို့နယ်</t>
  </si>
  <si>
    <t>D0904-LOS-376</t>
  </si>
  <si>
    <t>Lagang Zezawng/ဦးဇော်ဇော်</t>
  </si>
  <si>
    <t>မြင့်မိုရ်တိုက် (၁၆)၊ မြင့်မိုရ်လမ်း၊ စမ်းချောင်းမြို့နယ်</t>
  </si>
  <si>
    <t>D0904-CTM-383</t>
  </si>
  <si>
    <t>Cho Zin Latt</t>
  </si>
  <si>
    <t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ကန်တော်ကလေး၊ မင်္ဂလာတောင်ညွန့်မြို့နယ်</t>
  </si>
  <si>
    <t>D0904-CTM-392</t>
  </si>
  <si>
    <t>Soe Soe</t>
  </si>
  <si>
    <t>(အောင်မင်္ဂလာ မြရတနာကားဂိတ်က ကိုရှိန်းသုမောင်ဆီ အပ်ရန်)၊ မြောက်ဥက္ကလာပမြို့နယ်</t>
  </si>
  <si>
    <t>D0904-JSC-401</t>
  </si>
  <si>
    <t>Myo Myo Zin</t>
  </si>
  <si>
    <t>အမှတ် (၆၈၁)၊ မြေညီထပ်၊ (၅) လမ်း၊ (၇/အနောက်) ရပ်ကွက်၊ သာကေတမြို့နယ်</t>
  </si>
  <si>
    <t>D0904-SMW-407</t>
  </si>
  <si>
    <t>မအေးဆုမွန်</t>
  </si>
  <si>
    <t>အမှတ် (966B)၊ စိန်စီဂုဏ်ရောင်လမ်း၊ ပန်းခြံ (၃)၊ (၉) ရပ်ကွက်၊ ရွှေပြည်သာမြို့နယ်</t>
  </si>
  <si>
    <t>D0904-SMW-408</t>
  </si>
  <si>
    <t>ဒေါ်သဲသဲဦး</t>
  </si>
  <si>
    <t>ပြည်ထောင်စုလမ်း၊ (ရေစင်မှတ်တိုင်)၊ ရွှေပြည်သာမြို့နယ်</t>
  </si>
  <si>
    <t>D0904-KYA-409</t>
  </si>
  <si>
    <t>Kyaw Aung</t>
  </si>
  <si>
    <t>Chimyo Htet</t>
  </si>
  <si>
    <t>09-673098268</t>
  </si>
  <si>
    <t>သီတာပန်းခြံ (၂) လမ်း၊ (၈) ရပ်ကွက်၊ (ကျေးရွာမှတ်တိုင်)၊ ရွှေပြည်သာမြို့နယ်</t>
  </si>
  <si>
    <t>D0904-RYP-415</t>
  </si>
  <si>
    <t>Royal Poe</t>
  </si>
  <si>
    <t>Ma Htet Yee Win</t>
  </si>
  <si>
    <t>09-786642566</t>
  </si>
  <si>
    <t>ရန်ကုန်နည်းပညာတက္ကသိုလ် ၊ BPI မှတ်တိုင် ၊ မရမ်းကုန်း</t>
  </si>
  <si>
    <t>D0826-PRE-099</t>
  </si>
  <si>
    <t>PREMIER</t>
  </si>
  <si>
    <t>Keiko</t>
  </si>
  <si>
    <t>09-785269777</t>
  </si>
  <si>
    <t>The Century Condo၊ လှိုင်မြို့နယ်</t>
  </si>
  <si>
    <t>D0824-GGS-061</t>
  </si>
  <si>
    <t>Thet Htar</t>
  </si>
  <si>
    <t>ကျောက်တံတားမြို့နယ်</t>
  </si>
  <si>
    <t>D0904-BBW-056</t>
  </si>
  <si>
    <t>အမှတ် (၁၁၀)၊ မေတ္တာ (၂၃) လမ်း၊ ဗိုလ်ထွန်းစံရပ်ကွက်၊ ဒေါပုံမြို့နယ်</t>
  </si>
  <si>
    <t>D0831-BBW-441</t>
  </si>
  <si>
    <t>Tha Zin Aye</t>
  </si>
  <si>
    <t>အမှတ် (၃၄၁)၊ သစ္စာနွယ်လမ်း၊ နွယ်အေးရပ်ကွက်၊ ဒေါပုံမြို့နယ်</t>
  </si>
  <si>
    <t>D0831-CTM-417</t>
  </si>
  <si>
    <t>စိန်ရတနာ</t>
  </si>
  <si>
    <t>အမှတ် (၃၉၀)၊ ဇေယျာသီရိ (၁၃) လမ်း၊ (စာတိုက်အနီး)၊ ဒေါပုံမြို့နယ်</t>
  </si>
  <si>
    <t>D0831-CTM-421</t>
  </si>
  <si>
    <t>San San Myint</t>
  </si>
  <si>
    <t>အမှတ် (၅)၊ အေးသာယာလမ်း၊ တာမွေမြို့နယ်</t>
  </si>
  <si>
    <t>Sunday ပို့ပေးပါရန်</t>
  </si>
  <si>
    <t>D0824-MML-368</t>
  </si>
  <si>
    <t>မသူသူစိုး</t>
  </si>
  <si>
    <t>(ရိုးကြီးမှတ်တိုင်နား)၊ လှိုင်သာယာမြို့နယ်</t>
  </si>
  <si>
    <t>D0831-JLS-052</t>
  </si>
  <si>
    <t>Win WIn</t>
  </si>
  <si>
    <t>အမှတ် (၇၅၃)၊ နွယ်နီ (၃) လမ်း၊ (၁၅) ရပ်ကွက်၊ ((၁၂၇) မီးပွိုင့်အနီး)၊ လှိုင်သာယာမြို့နယ်</t>
  </si>
  <si>
    <t>D0831-BBW-444</t>
  </si>
  <si>
    <t>Baby Lay</t>
  </si>
  <si>
    <t>အမှတ် (227B)၊ နှောင်းဦးလမ်း၊ (၁၀) ရပ်ကွက်၊ လှိုင်သာယာမြို့နယ်</t>
  </si>
  <si>
    <t>D0828-MMA-033</t>
  </si>
  <si>
    <t>Mya Lay</t>
  </si>
  <si>
    <t>အေးမြသာယာလမ်း၊ (၁၄) ရပ်ကွက်၊ လှိုင်မြို့နယ်</t>
  </si>
  <si>
    <t>D0831-MMA-378</t>
  </si>
  <si>
    <t>ဓမ္မာရုံ (၁) လမ်း၊ (၂၂) ရပ်ကွက်၊ လှိုင်သာယာမြို့နယ်</t>
  </si>
  <si>
    <t>D0831-MMA-383</t>
  </si>
  <si>
    <t>သက်ထား</t>
  </si>
  <si>
    <t>ညောင်လေးပင်လမ်း၊ (၁၆) ရပ်ကွက်၊ လှိုင်သာယာမြို့နယ်</t>
  </si>
  <si>
    <t>D0831-MMA-379</t>
  </si>
  <si>
    <t>ဝင်းမာထွေး</t>
  </si>
  <si>
    <t>ဧရာဝတီလမ်း၊ ရွှေညောင်ပင်၊ (၅) ရပ်ကွက်၊ လှိုင်သာယာမြို့နယ်</t>
  </si>
  <si>
    <t>D0831-MMA-364</t>
  </si>
  <si>
    <t>ဒေါ်သက်သက်</t>
  </si>
  <si>
    <t>မြတ်စံပယ်ဆေးဆိုင်၊ ရခိုင်ရိုးလေး၊ လှိုင်သာယာမြို့နယ်</t>
  </si>
  <si>
    <t>D0821-PHS-237</t>
  </si>
  <si>
    <t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t>
  </si>
  <si>
    <t>D0822-GGS-137</t>
  </si>
  <si>
    <t>အမှတ် (၁၅၉)၊ ကရင်ပင်လမ်း၊ မင်္ဂလာဒုံမြို့နယ်</t>
  </si>
  <si>
    <t>ဖုန်းကြိုဆက်ပါ</t>
  </si>
  <si>
    <t>D0831-POE-459</t>
  </si>
  <si>
    <t>Poe Poe OS</t>
  </si>
  <si>
    <t>Ma Phyu</t>
  </si>
  <si>
    <t>09-261599626</t>
  </si>
  <si>
    <t>စိန်ပဒေသာ (၃) လမ်း၊ ကုန်းတလပေါင်၊ မင်္ဂလာဒုံမြို့နယ်</t>
  </si>
  <si>
    <t>D0831-MML-148</t>
  </si>
  <si>
    <t>တင်ဇာအောင်</t>
  </si>
  <si>
    <t>ဝေဠုဝန်လမ်း၊ (၂၆) ရပ်ကွက်၊ ရွှေပြည်သာမြို့နယ်</t>
  </si>
  <si>
    <t>9ခွဲမှ (၅)အတွင်းပို့ပေးပါ</t>
  </si>
  <si>
    <t>D0902-LOS-189</t>
  </si>
  <si>
    <t>Aye Yu Par</t>
  </si>
  <si>
    <t xml:space="preserve"> စမ်းချောင်း</t>
  </si>
  <si>
    <t>KTH ကားပစ္စည်းဆိုင်၊ အမှတ် (၁၈)၊ ဝေဠုန်(၆)လမ်းနှင့်ဗဟိုလမ်းဒေါင့်၊ စမ်းချောင်း</t>
  </si>
  <si>
    <t>D0902-LOS-190</t>
  </si>
  <si>
    <t>Su Myo Thu</t>
  </si>
  <si>
    <t>အမှတ် (၁၇/အေ)၊ အင်းယားမြိုင်လမ်း၊ ဗဟန်း၊ မင်းကွန်းတောရဘုန်းကြီးကျောင်းကပ်ရပ်လမ်းမှဝင်ပါ</t>
  </si>
  <si>
    <t>D0824-BBW-449</t>
  </si>
  <si>
    <t>Lae Lae Soe</t>
  </si>
  <si>
    <t>အမှတ် (၈)၊ သီလလမ်း၊ ဗျိုင်းရွာမရပ်ကွက်၊ ကျောက်မြောင်း၊ တာမွေမြို့နယ်</t>
  </si>
  <si>
    <t>D0831-JLS-042</t>
  </si>
  <si>
    <t>Khaing Khaing</t>
  </si>
  <si>
    <t>အမှတ် (၁၀)၊ မာန်ပြေ (၄) လမ်း (အနောက်)၊ (၂/တောင်) ရပ်ကွက်၊ သာကေတမြို့နယ်</t>
  </si>
  <si>
    <t>D0824-MSE-348</t>
  </si>
  <si>
    <t>Myo</t>
  </si>
  <si>
    <t>၈၄ x (105A) လမ်းထောင့်၊ မန္တလေးမြို့</t>
  </si>
  <si>
    <t>D0831-JLS-060</t>
  </si>
  <si>
    <t>Noe Noe Noe</t>
  </si>
  <si>
    <t>ထီးတန်းအိမ်ရာ၊ ကမ်းနားလမ်း၊ ကြည့်မြင်တိုင်မြို့နယ်</t>
  </si>
  <si>
    <t>D0822-PHS-169</t>
  </si>
  <si>
    <t>Zar Zar Lin</t>
  </si>
  <si>
    <t>အမှတ် (၉၄၅)၊ (၁၀) လမ်း၊ မြိုင်သာယာရပ်ကွက်၊ မော်လမြိုင်ကျွန်းမြို့</t>
  </si>
  <si>
    <t>D0811-MMA-098</t>
  </si>
  <si>
    <t>Chit Hnin Si</t>
  </si>
  <si>
    <t>Royal Express</t>
  </si>
  <si>
    <t>Royal Express ရုံး၊ လယ်ဝေး၊ နေပြည်တော်</t>
  </si>
  <si>
    <t>D0822-BBW-273</t>
  </si>
  <si>
    <t>Lin Lin Shwe</t>
  </si>
  <si>
    <t>ဗိုလ်လက်ရာလမ်း၊ ဗိုလ်စိန်ရပ်ကွက်၊ (တာမွေအဝိုင်းထိပ်)၊ တာမွေမြို့နယ်</t>
  </si>
  <si>
    <t>D0817-KKK-163</t>
  </si>
  <si>
    <t>ကိုကျော် အထည်</t>
  </si>
  <si>
    <t>မသူဇာစိုး</t>
  </si>
  <si>
    <t>09-971557828</t>
  </si>
  <si>
    <t>သန္တာလမ်း၊ (၃၃) ရပ်ကွက်၊ မြောက်ဒဂုံမြို့နယ်</t>
  </si>
  <si>
    <t>D0825-JSC-091</t>
  </si>
  <si>
    <t>Aye Thidar Kyaw Kyaw</t>
  </si>
  <si>
    <t>အမှတ် (၅၆)၊ သစ္စာပန်းလမ်း၊ မြောက်ဥက္ကလာပမြို့နယ်</t>
  </si>
  <si>
    <t>D0806-GGS-149</t>
  </si>
  <si>
    <t>Hnin La Yanung</t>
  </si>
  <si>
    <t>အမှတ် (၁၈၅)၊ သန္တာ (၁၁) လမ်း၊ မြောက်ဥက္ကလာပမြို့နယ်</t>
  </si>
  <si>
    <t>D0822-GGS-157</t>
  </si>
  <si>
    <t>Ei Ei Thu</t>
  </si>
  <si>
    <t>ပြည်လမ်း၊ (Central (9) Office)</t>
  </si>
  <si>
    <t>D0806-MMM-041</t>
  </si>
  <si>
    <t>Ma Ma Myat</t>
  </si>
  <si>
    <t>U Ko Ko Lwin</t>
  </si>
  <si>
    <t>09-51012541</t>
  </si>
  <si>
    <t>တိုက် (၇)၊ (၄) ထပ် တိုက်တန်း၊ စွယ်တော်ကြီးကွင်း၊ မန္တလေးမြို့</t>
  </si>
  <si>
    <t>D0809-MML-079</t>
  </si>
  <si>
    <t>မထက်ထက်အောင်</t>
  </si>
  <si>
    <t>(ချမ်းသာကြီးဘုရားအနောက်မုဒ်)၊ (၂၆) လမ်း၊ ၉၀ x ၉၁ လမ်းကြား၊ မန္တလေးမြို့</t>
  </si>
  <si>
    <t>D0803-MML-162</t>
  </si>
  <si>
    <t>Nway² Aung</t>
  </si>
  <si>
    <t>(ဂ) လမ်း၊ ၈၆ x ၈၇ လမ်းကြား၊ မန္တလေးမြို့</t>
  </si>
  <si>
    <t>D0819-MML-212</t>
  </si>
  <si>
    <t>May Than Khine</t>
  </si>
  <si>
    <t>(၈) မိုင်လမ်းဆုံ၊ မြို့ပြအိမ်ရာ၊ မရမ်းကုန်းမြို့နယ်</t>
  </si>
  <si>
    <t>D0813-MML-268</t>
  </si>
  <si>
    <t>Daw Sandi</t>
  </si>
  <si>
    <t>(၇၇) လမ်း၊ (၃၇) လမ်းနှင့် (၃၈) လမ်းကြား၊ မန္တလေးမြို့</t>
  </si>
  <si>
    <t>D0901-UQD-141</t>
  </si>
  <si>
    <t>Wai Yan</t>
  </si>
  <si>
    <t>မြင်စိုင်းလမ်း၊ (၈၉) ရပ်ကွက်၊ ဒဂုံဆိပ်ကမ်းမြို့နယ်</t>
  </si>
  <si>
    <t>D0901-KSH-147</t>
  </si>
  <si>
    <t>Ma Ku Ku</t>
  </si>
  <si>
    <t>တိုက် (၁၇၃)၊ ရန်အောင် (၂) လမ်း၊ ရန်ကင်းမြို့နယ်</t>
  </si>
  <si>
    <t>D0903-APA-091</t>
  </si>
  <si>
    <t>မော်မော်</t>
  </si>
  <si>
    <t>အမှတ် (၈၈၂၁)၊ အောင်သစ္စာ (၂) လမ်း (အရှေ့)၊ သာကေတမြို့နယ်</t>
  </si>
  <si>
    <t>D0904-GGS-167</t>
  </si>
  <si>
    <t>Central (9) Office၊ ပြည်လမ်း၊ (၉)မိုင်၊ မရမ်းကုန်းမြို့နယ်</t>
  </si>
  <si>
    <t>D0904-KYA-410</t>
  </si>
  <si>
    <t>09-946349346</t>
  </si>
  <si>
    <t>တာလော့ကျောင်း၊ တာချီလိတ်</t>
  </si>
  <si>
    <t>D0904-MMA-326</t>
  </si>
  <si>
    <t>Mya Phyu</t>
  </si>
  <si>
    <t>အမှတ် (၁၂၄)၊ သရက်တော (၄) လမ်း၊ သရက်တော (တောင်) ရပ်ကွက်၊ ကြည့်မြင်တိုင်မြို့နယ်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</si>
</sst>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#,##0;\(#,##0\)"/>
    <numFmt numFmtId="188" formatCode="dd&quot;/&quot;mm&quot;/&quot;yyyy"/>
  </numFmts>
  <fonts count="15">
    <font>
      <sz val="11"/>
      <color theme="1"/>
      <name val="Tahoma"/>
      <family val="2"/>
      <scheme val="minor"/>
    </font>
    <font>
      <b/>
      <sz val="8"/>
      <color rgb="FF351C75"/>
      <name val="Montserrat"/>
    </font>
    <font>
      <b/>
      <sz val="8"/>
      <color theme="0"/>
      <name val="Roboto"/>
    </font>
    <font>
      <b/>
      <sz val="8"/>
      <color rgb="FF0000FF"/>
      <name val="Roboto"/>
    </font>
    <font>
      <b/>
      <sz val="8"/>
      <color rgb="FF8E7CC3"/>
      <name val="Roboto"/>
    </font>
    <font>
      <sz val="8"/>
      <color theme="1"/>
      <name val="Tahoma"/>
      <family val="2"/>
      <scheme val="minor"/>
    </font>
    <font>
      <b/>
      <sz val="8"/>
      <color rgb="FF292F50"/>
      <name val="Montserrat"/>
    </font>
    <font>
      <sz val="8"/>
      <color rgb="FF000000"/>
      <name val="Roboto"/>
    </font>
    <font>
      <b/>
      <sz val="8"/>
      <color rgb="FF38761D"/>
      <name val="Montserrat"/>
    </font>
    <font>
      <i/>
      <sz val="8"/>
      <color rgb="FFFFFFFF"/>
      <name val="Roboto"/>
    </font>
    <font>
      <sz val="16"/>
      <color rgb="FFFFFFFF"/>
      <name val="Lexend"/>
    </font>
    <font>
      <sz val="17"/>
      <color rgb="FFFFFFFF"/>
      <name val="Lexend"/>
    </font>
    <font>
      <sz val="14"/>
      <color theme="1"/>
      <name val="Nunito"/>
    </font>
    <font>
      <sz val="14"/>
      <color rgb="FF000000"/>
      <name val="Arial"/>
      <family val="2"/>
    </font>
    <font>
      <sz val="14"/>
      <color rgb="FF000000"/>
      <name val="DengXi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57BB8A"/>
        <bgColor rgb="FF57BB8A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87" fontId="4" fillId="2" borderId="0" xfId="0" applyNumberFormat="1" applyFont="1" applyFill="1" applyAlignment="1">
      <alignment horizontal="right" vertical="center" wrapText="1"/>
    </xf>
    <xf numFmtId="0" fontId="5" fillId="0" borderId="0" xfId="0" applyFont="1"/>
    <xf numFmtId="188" fontId="6" fillId="2" borderId="0" xfId="0" applyNumberFormat="1" applyFont="1" applyFill="1" applyAlignment="1">
      <alignment horizontal="left"/>
    </xf>
    <xf numFmtId="0" fontId="5" fillId="0" borderId="0" xfId="0" applyFont="1"/>
    <xf numFmtId="0" fontId="7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/>
    </xf>
    <xf numFmtId="49" fontId="7" fillId="3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187" fontId="2" fillId="2" borderId="0" xfId="0" applyNumberFormat="1" applyFont="1" applyFill="1" applyAlignment="1">
      <alignment horizontal="center" vertical="center"/>
    </xf>
    <xf numFmtId="187" fontId="9" fillId="2" borderId="0" xfId="0" applyNumberFormat="1" applyFont="1" applyFill="1" applyAlignment="1">
      <alignment horizontal="left" vertical="center"/>
    </xf>
    <xf numFmtId="187" fontId="2" fillId="2" borderId="0" xfId="0" applyNumberFormat="1" applyFont="1" applyFill="1" applyAlignment="1">
      <alignment horizontal="right" vertical="center"/>
    </xf>
    <xf numFmtId="187" fontId="2" fillId="2" borderId="0" xfId="0" applyNumberFormat="1" applyFont="1" applyFill="1" applyAlignment="1">
      <alignment horizontal="left" vertical="center"/>
    </xf>
    <xf numFmtId="187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 wrapText="1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3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3" fontId="14" fillId="0" borderId="3" xfId="0" applyNumberFormat="1" applyFont="1" applyBorder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0" fontId="14" fillId="4" borderId="0" xfId="0" applyFont="1" applyFill="1" applyAlignment="1">
      <alignment horizontal="left" vertical="center"/>
    </xf>
    <xf numFmtId="3" fontId="14" fillId="4" borderId="0" xfId="0" applyNumberFormat="1" applyFont="1" applyFill="1" applyAlignment="1">
      <alignment horizontal="right" vertical="center"/>
    </xf>
    <xf numFmtId="0" fontId="14" fillId="4" borderId="0" xfId="0" applyFont="1" applyFill="1" applyAlignment="1">
      <alignment horizontal="right" vertical="center"/>
    </xf>
    <xf numFmtId="0" fontId="13" fillId="0" borderId="0" xfId="0" applyFont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4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bound"/>
      <sheetName val="Sheet2"/>
      <sheetName val="Inventory"/>
      <sheetName val="Sheet4"/>
      <sheetName val="Sheet5"/>
      <sheetName val="06092026_PENDINGRTO"/>
    </sheetNames>
    <sheetDataSet>
      <sheetData sheetId="0"/>
      <sheetData sheetId="1"/>
      <sheetData sheetId="2">
        <row r="2">
          <cell r="H2">
            <v>46271</v>
          </cell>
        </row>
        <row r="3">
          <cell r="C3" t="str">
            <v>🟡 Pending</v>
          </cell>
          <cell r="D3" t="str">
            <v>🔵 Failed</v>
          </cell>
          <cell r="E3" t="str">
            <v>🔴 RTO</v>
          </cell>
          <cell r="F3" t="str">
            <v>Total</v>
          </cell>
          <cell r="G3" t="str">
            <v>Warehouse Inventory</v>
          </cell>
        </row>
        <row r="4">
          <cell r="C4">
            <v>123</v>
          </cell>
          <cell r="D4">
            <v>219</v>
          </cell>
          <cell r="E4">
            <v>33</v>
          </cell>
          <cell r="F4">
            <v>596</v>
          </cell>
        </row>
        <row r="6">
          <cell r="C6" t="str">
            <v>Way ID</v>
          </cell>
          <cell r="D6" t="str">
            <v>Merchant</v>
          </cell>
          <cell r="E6" t="str">
            <v>Recipient name</v>
          </cell>
          <cell r="F6" t="str">
            <v>Recipient Phone</v>
          </cell>
          <cell r="G6" t="str">
            <v>Recipient  Town</v>
          </cell>
          <cell r="H6" t="str">
            <v>Recipient address</v>
          </cell>
          <cell r="I6" t="str">
            <v>Item price</v>
          </cell>
          <cell r="J6" t="str">
            <v>Deli Fee (OS)</v>
          </cell>
          <cell r="K6" t="str">
            <v>COD (OS)</v>
          </cell>
          <cell r="L6" t="str">
            <v>Std Deli</v>
          </cell>
          <cell r="M6" t="str">
            <v>Max Deli</v>
          </cell>
          <cell r="N6" t="str">
            <v>Weight</v>
          </cell>
          <cell r="O6" t="str">
            <v>Surcharge</v>
          </cell>
          <cell r="P6" t="str">
            <v>Final COD</v>
          </cell>
          <cell r="Q6" t="str">
            <v>Destination</v>
          </cell>
          <cell r="R6" t="str">
            <v>Remarks</v>
          </cell>
        </row>
        <row r="7">
          <cell r="C7" t="str">
            <v>D0905-GRS-001</v>
          </cell>
          <cell r="D7" t="str">
            <v>GRS Express</v>
          </cell>
          <cell r="E7" t="str">
            <v>Ma Myint Soe</v>
          </cell>
          <cell r="F7" t="str">
            <v>09-897729745</v>
          </cell>
          <cell r="G7" t="str">
            <v>စမ်းချောင်း</v>
          </cell>
          <cell r="H7" t="str">
            <v>အမှတ် (၁၈)၊ ဓမ္မာရုံလမ်းတို၊ တောင်ရပ်ကွက်၊ မြေနီကုန်း၊ စမ်းချောင်းမြို့နယ်</v>
          </cell>
          <cell r="I7">
            <v>68000</v>
          </cell>
          <cell r="J7">
            <v>4500</v>
          </cell>
          <cell r="K7">
            <v>72500</v>
          </cell>
          <cell r="L7">
            <v>4000</v>
          </cell>
          <cell r="M7">
            <v>4500</v>
          </cell>
          <cell r="O7" t="str">
            <v>-</v>
          </cell>
          <cell r="P7">
            <v>72500</v>
          </cell>
        </row>
        <row r="8">
          <cell r="C8" t="str">
            <v>D0905-GRS-002</v>
          </cell>
          <cell r="D8" t="str">
            <v>GRS Express</v>
          </cell>
          <cell r="E8" t="str">
            <v>Julia Moe</v>
          </cell>
          <cell r="F8" t="str">
            <v>09-968348442</v>
          </cell>
          <cell r="G8" t="str">
            <v>ကြည့်မြင်တိုင်</v>
          </cell>
          <cell r="H8" t="str">
            <v>(သဲကွင်းမှတ်တိုင်)၊ ကြည့်မြင်တိုင်မြို့နယ်</v>
          </cell>
          <cell r="I8">
            <v>36000</v>
          </cell>
          <cell r="J8" t="str">
            <v>-</v>
          </cell>
          <cell r="K8">
            <v>36000</v>
          </cell>
          <cell r="L8">
            <v>4000</v>
          </cell>
          <cell r="M8" t="str">
            <v>-</v>
          </cell>
          <cell r="O8" t="str">
            <v>-</v>
          </cell>
          <cell r="P8">
            <v>36000</v>
          </cell>
        </row>
        <row r="9">
          <cell r="C9" t="str">
            <v>D0905-GRS-003</v>
          </cell>
          <cell r="D9" t="str">
            <v>GRS Express</v>
          </cell>
          <cell r="E9" t="str">
            <v>Tin Chaw Su Win</v>
          </cell>
          <cell r="F9" t="str">
            <v>09-250186412</v>
          </cell>
          <cell r="G9" t="str">
            <v>သင်္ဃန်းကျွန်း</v>
          </cell>
          <cell r="H9" t="str">
            <v>အမှတ် (၉/၂)၊ ကောက်သွယ် (၁) လမ်း၊ (၂၉) ရပ်ကွက်၊ သုဝဏ္ဏ၊ သင်္ဃန်းကျွန်းမြို့နယ်</v>
          </cell>
          <cell r="I9">
            <v>34000</v>
          </cell>
          <cell r="J9" t="str">
            <v>-</v>
          </cell>
          <cell r="K9">
            <v>34000</v>
          </cell>
          <cell r="L9">
            <v>4000</v>
          </cell>
          <cell r="M9" t="str">
            <v>-</v>
          </cell>
          <cell r="O9" t="str">
            <v>-</v>
          </cell>
          <cell r="P9">
            <v>34000</v>
          </cell>
        </row>
        <row r="10">
          <cell r="C10" t="str">
            <v>D0905-GRS-004</v>
          </cell>
          <cell r="D10" t="str">
            <v>GRS Express</v>
          </cell>
          <cell r="E10" t="str">
            <v>Thida Aung/မသီတာ</v>
          </cell>
          <cell r="F10" t="str">
            <v>09-983869408</v>
          </cell>
          <cell r="G10" t="str">
            <v>ပုဇွန်တောင်</v>
          </cell>
          <cell r="H10" t="str">
            <v>အဏ္ဏဝါရေလုပ်ငန်း၊ ပုဇွန်တောင်မြို့နယ်</v>
          </cell>
          <cell r="I10">
            <v>99000</v>
          </cell>
          <cell r="J10" t="str">
            <v>-</v>
          </cell>
          <cell r="K10">
            <v>99000</v>
          </cell>
          <cell r="L10">
            <v>4000</v>
          </cell>
          <cell r="M10" t="str">
            <v>-</v>
          </cell>
          <cell r="O10" t="str">
            <v>-</v>
          </cell>
          <cell r="P10">
            <v>99000</v>
          </cell>
        </row>
        <row r="11">
          <cell r="C11" t="str">
            <v>D0905-GRS-005</v>
          </cell>
          <cell r="D11" t="str">
            <v>GRS Express</v>
          </cell>
          <cell r="E11" t="str">
            <v>Ma Mar Lar</v>
          </cell>
          <cell r="F11" t="str">
            <v>09-887887181</v>
          </cell>
          <cell r="G11" t="str">
            <v>သင်္ဃန်းကျွန်း</v>
          </cell>
          <cell r="H11" t="str">
            <v>အမှတ် (6A)၊ သံသုမာလမ်း၊ သင်္ဃန်းကျွန်းမြို့နယ်</v>
          </cell>
          <cell r="I11" t="str">
            <v>-</v>
          </cell>
          <cell r="J11">
            <v>4500</v>
          </cell>
          <cell r="K11">
            <v>4500</v>
          </cell>
          <cell r="L11">
            <v>4000</v>
          </cell>
          <cell r="M11">
            <v>4500</v>
          </cell>
          <cell r="O11" t="str">
            <v>-</v>
          </cell>
          <cell r="P11">
            <v>4500</v>
          </cell>
          <cell r="R11" t="str">
            <v>ဘောင်ချာပြန်ယူပေးပါ</v>
          </cell>
        </row>
        <row r="12">
          <cell r="C12" t="str">
            <v>D0905-GRS-006</v>
          </cell>
          <cell r="D12" t="str">
            <v>GRS Express</v>
          </cell>
          <cell r="E12" t="str">
            <v>Ma Myat myo</v>
          </cell>
          <cell r="F12" t="str">
            <v>09-787755251</v>
          </cell>
          <cell r="G12" t="str">
            <v>တာမွေ</v>
          </cell>
          <cell r="H12" t="str">
            <v>အမှတ် (၁၃/၂၇)၊ ရွှေဝါလမ်း၊ (ကျိုက္ကဆံ Super One အနောက်ဘက်)၊ တာမွေမြို့နယ်</v>
          </cell>
          <cell r="I12">
            <v>80000</v>
          </cell>
          <cell r="J12" t="str">
            <v>-</v>
          </cell>
          <cell r="K12">
            <v>80000</v>
          </cell>
          <cell r="L12">
            <v>4000</v>
          </cell>
          <cell r="M12" t="str">
            <v>-</v>
          </cell>
          <cell r="O12" t="str">
            <v>-</v>
          </cell>
          <cell r="P12">
            <v>80000</v>
          </cell>
        </row>
        <row r="13">
          <cell r="C13" t="str">
            <v>D0905-GRS-007</v>
          </cell>
          <cell r="D13" t="str">
            <v>GRS Express</v>
          </cell>
          <cell r="E13" t="str">
            <v>Ma Swe San</v>
          </cell>
          <cell r="F13" t="str">
            <v>09-400370491</v>
          </cell>
          <cell r="G13" t="str">
            <v>စမ်းချောင်း</v>
          </cell>
          <cell r="H13" t="str">
            <v>တိုက် (၁)၊ ကျွန်းတောလမ်း၊ ပြည်သူ့ကွက်သစ် (၁) လမ်း၊ စမ်းချောင်းမြို့နယ်</v>
          </cell>
          <cell r="I13">
            <v>74000</v>
          </cell>
          <cell r="J13">
            <v>4500</v>
          </cell>
          <cell r="K13">
            <v>78500</v>
          </cell>
          <cell r="L13">
            <v>4000</v>
          </cell>
          <cell r="M13">
            <v>4500</v>
          </cell>
          <cell r="O13" t="str">
            <v>-</v>
          </cell>
          <cell r="P13">
            <v>78500</v>
          </cell>
        </row>
        <row r="14">
          <cell r="C14" t="str">
            <v>D0905-GRS-008</v>
          </cell>
          <cell r="D14" t="str">
            <v>GRS Express</v>
          </cell>
          <cell r="E14" t="str">
            <v>မအေးမြတ်သူ/ Ttarius Sagi</v>
          </cell>
          <cell r="F14" t="str">
            <v>09-687374243</v>
          </cell>
          <cell r="G14" t="str">
            <v>လမ်းမတော်</v>
          </cell>
          <cell r="H14" t="str">
            <v>ဂျပန်ဆေးရုံ၊ လမ်းမတော်မြို့နယ်</v>
          </cell>
          <cell r="I14">
            <v>99000</v>
          </cell>
          <cell r="J14">
            <v>4500</v>
          </cell>
          <cell r="K14">
            <v>103500</v>
          </cell>
          <cell r="L14">
            <v>4000</v>
          </cell>
          <cell r="M14">
            <v>4500</v>
          </cell>
          <cell r="O14" t="str">
            <v>-</v>
          </cell>
          <cell r="P14">
            <v>103500</v>
          </cell>
          <cell r="R14" t="str">
            <v>ရုံးဖွင့်ရက်ပဲပို့ပေးပါ</v>
          </cell>
        </row>
        <row r="15">
          <cell r="C15" t="str">
            <v>D0905-GRS-009</v>
          </cell>
          <cell r="D15" t="str">
            <v>GRS Express</v>
          </cell>
          <cell r="E15" t="str">
            <v>Moe Thuzar</v>
          </cell>
          <cell r="F15" t="str">
            <v>09-400370491</v>
          </cell>
          <cell r="G15" t="str">
            <v>စမ်းချောင်း</v>
          </cell>
          <cell r="H15" t="str">
            <v>တိုက် (၈)၊ (၅) လွှာ၊ ကျွန်းတောလမ်း၊ ပြည်သူ့ကွက်သစ် (၁) လမ်း၊ စမ်းချောင်းမြို့နယ်</v>
          </cell>
          <cell r="I15">
            <v>71500</v>
          </cell>
          <cell r="J15" t="str">
            <v>-</v>
          </cell>
          <cell r="K15">
            <v>71500</v>
          </cell>
          <cell r="L15">
            <v>4000</v>
          </cell>
          <cell r="M15" t="str">
            <v>-</v>
          </cell>
          <cell r="O15" t="str">
            <v>-</v>
          </cell>
          <cell r="P15">
            <v>71500</v>
          </cell>
        </row>
        <row r="16">
          <cell r="C16" t="str">
            <v>D0905-GRS-010</v>
          </cell>
          <cell r="D16" t="str">
            <v>GRS Express</v>
          </cell>
          <cell r="E16" t="str">
            <v>Ma Hnin Thida Win</v>
          </cell>
          <cell r="F16" t="str">
            <v>09-957638607</v>
          </cell>
          <cell r="G16" t="str">
            <v>သင်္ဃန်းကျွန်း</v>
          </cell>
          <cell r="H16" t="str">
            <v>အမှတ် (၁၀)၊ ရိပ်သာလမ်း၊ လေးထောင့်ကန်ရပ်ကွက်၊ သင်္ဃန်းကျွန်းမြို့နယ်</v>
          </cell>
          <cell r="I16">
            <v>22000</v>
          </cell>
          <cell r="J16">
            <v>4500</v>
          </cell>
          <cell r="K16">
            <v>26500</v>
          </cell>
          <cell r="L16">
            <v>4000</v>
          </cell>
          <cell r="M16">
            <v>4500</v>
          </cell>
          <cell r="O16" t="str">
            <v>-</v>
          </cell>
          <cell r="P16">
            <v>26500</v>
          </cell>
        </row>
        <row r="17">
          <cell r="C17" t="str">
            <v>D0905-GRS-011</v>
          </cell>
          <cell r="D17" t="str">
            <v>GRS Express</v>
          </cell>
          <cell r="E17" t="str">
            <v>Wpp Myo</v>
          </cell>
          <cell r="F17" t="str">
            <v>09-455081859</v>
          </cell>
          <cell r="G17" t="str">
            <v>ကျောက်တံတား</v>
          </cell>
          <cell r="H17" t="str">
            <v>အမှတ် (၂၅၃)၊ မြေညီထပ်၊ (၄၀) လမ်း၊ အထက်ဘလောက်၊ ကျောက်တံတားမြို့နယ်</v>
          </cell>
          <cell r="I17">
            <v>50000</v>
          </cell>
          <cell r="J17" t="str">
            <v>-</v>
          </cell>
          <cell r="K17">
            <v>50000</v>
          </cell>
          <cell r="L17">
            <v>4000</v>
          </cell>
          <cell r="M17" t="str">
            <v>-</v>
          </cell>
          <cell r="O17" t="str">
            <v>-</v>
          </cell>
          <cell r="P17">
            <v>50000</v>
          </cell>
        </row>
        <row r="18">
          <cell r="C18" t="str">
            <v>D0905-GRS-012</v>
          </cell>
          <cell r="D18" t="str">
            <v>GRS Express</v>
          </cell>
          <cell r="E18" t="str">
            <v>Thin Su Htwe</v>
          </cell>
          <cell r="F18" t="str">
            <v>09-888034007
09-888035007</v>
          </cell>
          <cell r="G18" t="str">
            <v>ပုဇွန်တောင်</v>
          </cell>
          <cell r="H18" t="str">
            <v>အမှတ် (၅)၊ မြေညီထပ်၊ (၅၄) လမ်း၊ ဗိုလ်တထောင်ဘုရားလမ်း နှင့် အနော်ရထာလမ်း၊ ပုဇွန်တောင်မြို့နယ်</v>
          </cell>
          <cell r="I18" t="str">
            <v>-</v>
          </cell>
          <cell r="J18" t="str">
            <v>-</v>
          </cell>
          <cell r="K18" t="str">
            <v>-</v>
          </cell>
          <cell r="L18">
            <v>4000</v>
          </cell>
          <cell r="M18" t="str">
            <v>-</v>
          </cell>
          <cell r="O18" t="str">
            <v>-</v>
          </cell>
          <cell r="P18" t="str">
            <v>-</v>
          </cell>
        </row>
        <row r="19">
          <cell r="C19" t="str">
            <v>D0905-GRS-013</v>
          </cell>
          <cell r="D19" t="str">
            <v>GRS Express</v>
          </cell>
          <cell r="E19" t="str">
            <v>Pauk Sa/ဒေါ်ခင်လှဝင်း</v>
          </cell>
          <cell r="F19" t="str">
            <v>09-254418277</v>
          </cell>
          <cell r="G19" t="str">
            <v>ဗဟန်း</v>
          </cell>
          <cell r="H19" t="str">
            <v>အမှတ် (၃၀)၊ ရေတာရှည်လမ်းသစ်၊ ဗဟန်းမြို့နယ်</v>
          </cell>
          <cell r="I19">
            <v>69500</v>
          </cell>
          <cell r="J19" t="str">
            <v>-</v>
          </cell>
          <cell r="K19">
            <v>69500</v>
          </cell>
          <cell r="L19">
            <v>4000</v>
          </cell>
          <cell r="M19" t="str">
            <v>-</v>
          </cell>
          <cell r="O19" t="str">
            <v>-</v>
          </cell>
          <cell r="P19">
            <v>69500</v>
          </cell>
        </row>
        <row r="20">
          <cell r="C20" t="str">
            <v>D0905-GRS-014</v>
          </cell>
          <cell r="D20" t="str">
            <v>GRS Express</v>
          </cell>
          <cell r="E20" t="str">
            <v>Khant Win Win</v>
          </cell>
          <cell r="F20" t="str">
            <v>09-961278542</v>
          </cell>
          <cell r="G20" t="str">
            <v>တာမွေ</v>
          </cell>
          <cell r="H20" t="str">
            <v>(၁၆၄) လမ်း၊ (အာယုဆေးရုံရှေ့)၊ တာမွေမြို့နယ်</v>
          </cell>
          <cell r="I20">
            <v>34000</v>
          </cell>
          <cell r="J20" t="str">
            <v>-</v>
          </cell>
          <cell r="K20">
            <v>34000</v>
          </cell>
          <cell r="L20">
            <v>4000</v>
          </cell>
          <cell r="M20" t="str">
            <v>-</v>
          </cell>
          <cell r="O20" t="str">
            <v>-</v>
          </cell>
          <cell r="P20">
            <v>34000</v>
          </cell>
        </row>
        <row r="21">
          <cell r="C21" t="str">
            <v>D0905-GRS-015</v>
          </cell>
          <cell r="D21" t="str">
            <v>GRS Express</v>
          </cell>
          <cell r="E21" t="str">
            <v>Pann Cherry/Ruth Cing</v>
          </cell>
          <cell r="F21" t="str">
            <v>09-5181748</v>
          </cell>
          <cell r="G21" t="str">
            <v>မင်္ဂလာတောင်ညွန့်</v>
          </cell>
          <cell r="H21" t="str">
            <v>KLCC Ko Salim၊ အမှတ် (၁၉)၊ မြေညီထပ်၊ (၁၂၃) လမ်း၊ မင်္ဂလာတောင်ညွန့်မြို့နယ်</v>
          </cell>
          <cell r="I21" t="str">
            <v>-</v>
          </cell>
          <cell r="J21" t="str">
            <v>-</v>
          </cell>
          <cell r="K21" t="str">
            <v>-</v>
          </cell>
          <cell r="L21">
            <v>4000</v>
          </cell>
          <cell r="M21" t="str">
            <v>-</v>
          </cell>
          <cell r="O21" t="str">
            <v>-</v>
          </cell>
          <cell r="P21" t="str">
            <v>-</v>
          </cell>
        </row>
        <row r="22">
          <cell r="C22" t="str">
            <v>D0905-GRS-016</v>
          </cell>
          <cell r="D22" t="str">
            <v>GRS Express</v>
          </cell>
          <cell r="E22" t="str">
            <v>Tin San Ye</v>
          </cell>
          <cell r="F22" t="str">
            <v>09-684600146</v>
          </cell>
          <cell r="G22" t="str">
            <v>ဒေါပုံ</v>
          </cell>
          <cell r="H22" t="str">
            <v>အမှတ် (၂၀)၊ နဝဒေးလမ်း၊ ဝါဆိုရပ်ကွက်၊ ဒေါပုံမြို့နယ်</v>
          </cell>
          <cell r="I22">
            <v>37000</v>
          </cell>
          <cell r="J22" t="str">
            <v>-</v>
          </cell>
          <cell r="K22">
            <v>37000</v>
          </cell>
          <cell r="L22">
            <v>4000</v>
          </cell>
          <cell r="M22" t="str">
            <v>-</v>
          </cell>
          <cell r="O22" t="str">
            <v>-</v>
          </cell>
          <cell r="P22">
            <v>37000</v>
          </cell>
        </row>
        <row r="23">
          <cell r="C23" t="str">
            <v>D0905-GRS-017</v>
          </cell>
          <cell r="D23" t="str">
            <v>GRS Express</v>
          </cell>
          <cell r="E23" t="str">
            <v>TK (14)Hair Designer</v>
          </cell>
          <cell r="F23" t="str">
            <v>09-792587050
09-451491786</v>
          </cell>
          <cell r="G23" t="str">
            <v>တာမွေ</v>
          </cell>
          <cell r="H23" t="str">
            <v>အမှတ် (၅၃)၊ မြေညီထပ် (A)၊ သမာဓိလမ်း၊ ကျောက်မြောင်း၊ (သတိပဋ္ဌာန် နှင့် ကပ်လျက်လမ်း)၊ တာမွေမြို့နယ်</v>
          </cell>
          <cell r="I23">
            <v>789500</v>
          </cell>
          <cell r="J23">
            <v>8500</v>
          </cell>
          <cell r="K23">
            <v>798000</v>
          </cell>
          <cell r="L23">
            <v>4000</v>
          </cell>
          <cell r="M23">
            <v>8500</v>
          </cell>
          <cell r="N23">
            <v>10</v>
          </cell>
          <cell r="O23">
            <v>3500</v>
          </cell>
          <cell r="P23">
            <v>801500</v>
          </cell>
        </row>
        <row r="24">
          <cell r="C24" t="str">
            <v>D0905-GRS-018</v>
          </cell>
          <cell r="D24" t="str">
            <v>GRS Express</v>
          </cell>
          <cell r="E24" t="str">
            <v>Ma Aye Sandar/Alma</v>
          </cell>
          <cell r="F24" t="str">
            <v>09-897174786</v>
          </cell>
          <cell r="G24" t="str">
            <v>တာမွေ</v>
          </cell>
          <cell r="H24" t="str">
            <v>အမှတ် (၅၀)၊ အခန်း (A)၊ (၅) လွှာ၊ (၁၃၃) လမ်း၊ တာမွေမြို့နယ်</v>
          </cell>
          <cell r="I24">
            <v>72000</v>
          </cell>
          <cell r="J24">
            <v>4500</v>
          </cell>
          <cell r="K24">
            <v>76500</v>
          </cell>
          <cell r="L24">
            <v>4000</v>
          </cell>
          <cell r="M24">
            <v>4500</v>
          </cell>
          <cell r="O24" t="str">
            <v>-</v>
          </cell>
          <cell r="P24">
            <v>76500</v>
          </cell>
        </row>
        <row r="25">
          <cell r="C25" t="str">
            <v>D0905-GRS-019</v>
          </cell>
          <cell r="D25" t="str">
            <v>GRS Express</v>
          </cell>
          <cell r="E25" t="str">
            <v>Ma Nam Boih Colt</v>
          </cell>
          <cell r="F25" t="str">
            <v>09-765181748
09-885665565</v>
          </cell>
          <cell r="G25" t="str">
            <v>မင်္ဂလာတောင်ညွန့်</v>
          </cell>
          <cell r="H25" t="str">
            <v>အမှတ် (၁၉)၊ မြေညီထပ်၊ (၁၂၃) လမ်း၊ မင်္ဂလာတောင်ညွန့်မြို့နယ်</v>
          </cell>
          <cell r="I25" t="str">
            <v>-</v>
          </cell>
          <cell r="J25">
            <v>4500</v>
          </cell>
          <cell r="K25">
            <v>4500</v>
          </cell>
          <cell r="L25">
            <v>4000</v>
          </cell>
          <cell r="M25">
            <v>4500</v>
          </cell>
          <cell r="N25">
            <v>7</v>
          </cell>
          <cell r="O25">
            <v>2000</v>
          </cell>
          <cell r="P25">
            <v>6500</v>
          </cell>
          <cell r="R25" t="str">
            <v>ဘောင်ချာပြန်ယူခဲ့ပါ</v>
          </cell>
        </row>
        <row r="26">
          <cell r="C26" t="str">
            <v>D0905-GRS-020</v>
          </cell>
          <cell r="D26" t="str">
            <v>GRS Express</v>
          </cell>
          <cell r="E26" t="str">
            <v>မပန်းအိခန့်</v>
          </cell>
          <cell r="F26" t="str">
            <v>09-661970340</v>
          </cell>
          <cell r="G26" t="str">
            <v>သင်္ဃန်းကျွန်း</v>
          </cell>
          <cell r="H26" t="str">
            <v>သမာဓိ (၁) လမ်း၊ သင်္ဃန်းကျွန်းမြို့နယ်</v>
          </cell>
          <cell r="I26">
            <v>57500</v>
          </cell>
          <cell r="J26">
            <v>4500</v>
          </cell>
          <cell r="K26">
            <v>62000</v>
          </cell>
          <cell r="L26">
            <v>4000</v>
          </cell>
          <cell r="M26">
            <v>4500</v>
          </cell>
          <cell r="O26" t="str">
            <v>-</v>
          </cell>
          <cell r="P26">
            <v>62000</v>
          </cell>
        </row>
        <row r="27">
          <cell r="C27" t="str">
            <v>D0905-GRS-021</v>
          </cell>
          <cell r="D27" t="str">
            <v>GRS Express</v>
          </cell>
          <cell r="E27" t="str">
            <v>Ma Saung Hay Mar Htoo</v>
          </cell>
          <cell r="F27" t="str">
            <v>09-785775819</v>
          </cell>
          <cell r="G27" t="str">
            <v>လသာ</v>
          </cell>
          <cell r="H27" t="str">
            <v>အမှတ် (၁၂၆/၁၂၈)၊ (၁၈) လမ်းဈေး၊ တရုတ်တန်း၊ လသာမြို့နယ်</v>
          </cell>
          <cell r="I27">
            <v>72000</v>
          </cell>
          <cell r="J27">
            <v>4500</v>
          </cell>
          <cell r="K27">
            <v>76500</v>
          </cell>
          <cell r="L27">
            <v>4000</v>
          </cell>
          <cell r="M27">
            <v>4500</v>
          </cell>
          <cell r="O27" t="str">
            <v>-</v>
          </cell>
          <cell r="P27">
            <v>76500</v>
          </cell>
        </row>
        <row r="28">
          <cell r="C28" t="str">
            <v>D0905-GRS-022</v>
          </cell>
          <cell r="D28" t="str">
            <v>GRS Express</v>
          </cell>
          <cell r="E28" t="str">
            <v>Thu Zar Khaing</v>
          </cell>
          <cell r="F28" t="str">
            <v>09-254534690</v>
          </cell>
          <cell r="G28" t="str">
            <v>စမ်းချောင်း</v>
          </cell>
          <cell r="H28" t="str">
            <v>စမ်းချောင်းဂါးဒန်းကွန်ဒို၊ အမှတ် (၁၀၄)၊ စမ်းချောင်းလမ်း၊ စမ်းချောင်းမြို့နယ်</v>
          </cell>
          <cell r="I28">
            <v>72500</v>
          </cell>
          <cell r="J28" t="str">
            <v>-</v>
          </cell>
          <cell r="K28">
            <v>72500</v>
          </cell>
          <cell r="L28">
            <v>4000</v>
          </cell>
          <cell r="M28" t="str">
            <v>-</v>
          </cell>
          <cell r="O28" t="str">
            <v>-</v>
          </cell>
          <cell r="P28">
            <v>72500</v>
          </cell>
        </row>
        <row r="29">
          <cell r="C29" t="str">
            <v>D0905-GRS-023</v>
          </cell>
          <cell r="D29" t="str">
            <v>GRS Express</v>
          </cell>
          <cell r="E29" t="str">
            <v>Ma Mya Zin Aung</v>
          </cell>
          <cell r="F29" t="str">
            <v>09-443153277</v>
          </cell>
          <cell r="G29" t="str">
            <v>မင်္ဂလာတောင်ညွန့်</v>
          </cell>
          <cell r="H29" t="str">
            <v>အမှတ် (၇)၊ ယုဇနလမ်း၊ (ယုဇနပလာဇာအနောက်ဘက်)၊ မင်္ဂလာတောင်ညွန့်မြို့နယ်</v>
          </cell>
          <cell r="I29">
            <v>85500</v>
          </cell>
          <cell r="J29">
            <v>4500</v>
          </cell>
          <cell r="K29">
            <v>90000</v>
          </cell>
          <cell r="L29">
            <v>4000</v>
          </cell>
          <cell r="M29">
            <v>4500</v>
          </cell>
          <cell r="O29" t="str">
            <v>-</v>
          </cell>
          <cell r="P29">
            <v>90000</v>
          </cell>
        </row>
        <row r="30">
          <cell r="C30" t="str">
            <v>D0905-GRS-024</v>
          </cell>
          <cell r="D30" t="str">
            <v>GRS Express</v>
          </cell>
          <cell r="E30" t="str">
            <v>Si Si</v>
          </cell>
          <cell r="F30" t="str">
            <v>09-785142426</v>
          </cell>
          <cell r="G30" t="str">
            <v>ဗဟန်း</v>
          </cell>
          <cell r="H30" t="str">
            <v>အမှတ် (၁၈၁)၊ ဗိုလ်မှူးအောင်လမ်း၊ ဗိုလ်စိန်မှန်ရပ်ကွက်၊ ဗဟန်းမြို့နယ်</v>
          </cell>
          <cell r="I30">
            <v>75500</v>
          </cell>
          <cell r="J30" t="str">
            <v>-</v>
          </cell>
          <cell r="K30">
            <v>75500</v>
          </cell>
          <cell r="L30">
            <v>4000</v>
          </cell>
          <cell r="M30" t="str">
            <v>-</v>
          </cell>
          <cell r="O30" t="str">
            <v>-</v>
          </cell>
          <cell r="P30">
            <v>75500</v>
          </cell>
        </row>
        <row r="31">
          <cell r="C31" t="str">
            <v>D0905-GRS-025</v>
          </cell>
          <cell r="D31" t="str">
            <v>GRS Express</v>
          </cell>
          <cell r="E31" t="str">
            <v>Khin Cho Cho</v>
          </cell>
          <cell r="F31" t="str">
            <v>09-403708435</v>
          </cell>
          <cell r="G31" t="str">
            <v>စမ်းချောင်း</v>
          </cell>
          <cell r="H31" t="str">
            <v>အမှတ် (၁၈)၊ ကျွန်းတောလမ်း၊ စမ်းချောင်းမြို့နယ်</v>
          </cell>
          <cell r="I31">
            <v>50000</v>
          </cell>
          <cell r="J31" t="str">
            <v>-</v>
          </cell>
          <cell r="K31">
            <v>50000</v>
          </cell>
          <cell r="L31">
            <v>4000</v>
          </cell>
          <cell r="M31" t="str">
            <v>-</v>
          </cell>
          <cell r="O31" t="str">
            <v>-</v>
          </cell>
          <cell r="P31">
            <v>50000</v>
          </cell>
        </row>
        <row r="32">
          <cell r="C32" t="str">
            <v>D0905-GRS-026</v>
          </cell>
          <cell r="D32" t="str">
            <v>GRS Express</v>
          </cell>
          <cell r="E32" t="str">
            <v>Ei Phyo</v>
          </cell>
          <cell r="F32" t="str">
            <v>09-979760118</v>
          </cell>
          <cell r="G32" t="str">
            <v>တာမွေ</v>
          </cell>
          <cell r="H32" t="str">
            <v>Sky Star Hotel၊ အရှေ့မြင်းပြိုင်ကွင်း၊ တာမွေမြို့နယ်</v>
          </cell>
          <cell r="I32">
            <v>71500</v>
          </cell>
          <cell r="J32" t="str">
            <v>-</v>
          </cell>
          <cell r="K32">
            <v>71500</v>
          </cell>
          <cell r="L32">
            <v>4000</v>
          </cell>
          <cell r="M32" t="str">
            <v>-</v>
          </cell>
          <cell r="O32" t="str">
            <v>-</v>
          </cell>
          <cell r="P32">
            <v>71500</v>
          </cell>
        </row>
        <row r="33">
          <cell r="C33" t="str">
            <v>D0905-GRS-027</v>
          </cell>
          <cell r="D33" t="str">
            <v>GRS Express</v>
          </cell>
          <cell r="E33" t="str">
            <v>Ki Kie</v>
          </cell>
          <cell r="F33" t="str">
            <v>09-789568730</v>
          </cell>
          <cell r="G33" t="str">
            <v>အလုံ</v>
          </cell>
          <cell r="H33" t="str">
            <v>River View Point ကွန်ဒို၊ အမှတ် (3B)၊ ကမ်းနားလမ်း နှင့် သစ်တောလမ်းထောင့်၊ အလုံမြို့နယ်</v>
          </cell>
          <cell r="I33">
            <v>39000</v>
          </cell>
          <cell r="J33">
            <v>4500</v>
          </cell>
          <cell r="K33">
            <v>43500</v>
          </cell>
          <cell r="L33">
            <v>4000</v>
          </cell>
          <cell r="M33">
            <v>4500</v>
          </cell>
          <cell r="O33" t="str">
            <v>-</v>
          </cell>
          <cell r="P33">
            <v>43500</v>
          </cell>
        </row>
        <row r="34">
          <cell r="C34" t="str">
            <v>D0905-GRS-028</v>
          </cell>
          <cell r="D34" t="str">
            <v>GRS Express</v>
          </cell>
          <cell r="E34" t="str">
            <v>Ma Shirley Ohara</v>
          </cell>
          <cell r="F34" t="str">
            <v>09-424398559</v>
          </cell>
          <cell r="G34" t="str">
            <v>ဒဂုံ</v>
          </cell>
          <cell r="H34" t="str">
            <v>Park Royal ဟိုတယ်ရှေ့၊ အလံပြဘုရားလမ်း၊ ဒဂုံမြို့နယ်</v>
          </cell>
          <cell r="I34">
            <v>31500</v>
          </cell>
          <cell r="J34">
            <v>4500</v>
          </cell>
          <cell r="K34">
            <v>36000</v>
          </cell>
          <cell r="L34">
            <v>4000</v>
          </cell>
          <cell r="M34">
            <v>4500</v>
          </cell>
          <cell r="O34" t="str">
            <v>-</v>
          </cell>
          <cell r="P34">
            <v>36000</v>
          </cell>
        </row>
        <row r="35">
          <cell r="C35" t="str">
            <v>D0905-GRS-029</v>
          </cell>
          <cell r="D35" t="str">
            <v>GRS Express</v>
          </cell>
          <cell r="E35" t="str">
            <v>Ma Tha Zin</v>
          </cell>
          <cell r="F35" t="str">
            <v>09-253993135</v>
          </cell>
          <cell r="G35" t="str">
            <v>သင်္ဃန်းကျွန်း</v>
          </cell>
          <cell r="H35" t="str">
            <v>အမှတ် (1090A)၊ သုမန (၁) လမ်း၊ (၁၆/၄) ရပ်ကွက်၊ သင်္ဃန်းကျွန်းမြို့နယ်</v>
          </cell>
          <cell r="I35">
            <v>108000</v>
          </cell>
          <cell r="J35">
            <v>4500</v>
          </cell>
          <cell r="K35">
            <v>112500</v>
          </cell>
          <cell r="L35">
            <v>4000</v>
          </cell>
          <cell r="M35">
            <v>4500</v>
          </cell>
          <cell r="O35" t="str">
            <v>-</v>
          </cell>
          <cell r="P35">
            <v>112500</v>
          </cell>
        </row>
        <row r="36">
          <cell r="C36" t="str">
            <v>D0905-GRS-030</v>
          </cell>
          <cell r="D36" t="str">
            <v>GRS Express</v>
          </cell>
          <cell r="E36" t="str">
            <v>AKar</v>
          </cell>
          <cell r="F36" t="str">
            <v>09-786669216</v>
          </cell>
          <cell r="G36" t="str">
            <v>ပန်းဘဲတန်း</v>
          </cell>
          <cell r="H36" t="str">
            <v>(၂၈) လမ်း၊ အလယ်ဘလောက်၊ (သိမ်ကြီးဈေးအနီး)၊ ပန်းဘဲတန်းမြို့နယ်</v>
          </cell>
          <cell r="I36">
            <v>87000</v>
          </cell>
          <cell r="J36">
            <v>4500</v>
          </cell>
          <cell r="K36">
            <v>91500</v>
          </cell>
          <cell r="L36">
            <v>4000</v>
          </cell>
          <cell r="M36">
            <v>4500</v>
          </cell>
          <cell r="O36" t="str">
            <v>-</v>
          </cell>
          <cell r="P36">
            <v>91500</v>
          </cell>
        </row>
        <row r="37">
          <cell r="C37" t="str">
            <v>D0905-GRS-031</v>
          </cell>
          <cell r="D37" t="str">
            <v>GRS Express</v>
          </cell>
          <cell r="E37" t="str">
            <v>Ma Kay Kay</v>
          </cell>
          <cell r="F37" t="str">
            <v>09-792887587</v>
          </cell>
          <cell r="G37" t="str">
            <v>သင်္ဃန်းကျွန်း</v>
          </cell>
          <cell r="H37" t="str">
            <v>အမှတ် (၅၂၀)၊ ငမိုးရိပ် (၄) လမ်း (အပိုင်း ၄)၊ သင်္ဃန်းကျွန်းမြို့နယ်</v>
          </cell>
          <cell r="I37">
            <v>70500</v>
          </cell>
          <cell r="J37">
            <v>4500</v>
          </cell>
          <cell r="K37">
            <v>75000</v>
          </cell>
          <cell r="L37">
            <v>4000</v>
          </cell>
          <cell r="M37">
            <v>4500</v>
          </cell>
          <cell r="O37" t="str">
            <v>-</v>
          </cell>
          <cell r="P37">
            <v>75000</v>
          </cell>
        </row>
        <row r="38">
          <cell r="C38" t="str">
            <v>D0905-GRS-032</v>
          </cell>
          <cell r="D38" t="str">
            <v>GRS Express</v>
          </cell>
          <cell r="E38" t="str">
            <v>Ma Khine Khine</v>
          </cell>
          <cell r="F38" t="str">
            <v>09-795400758
09-967072338</v>
          </cell>
          <cell r="G38" t="str">
            <v>ကျောက်တံတား</v>
          </cell>
          <cell r="H38" t="str">
            <v>အမှတ် (၂၈၂)၊ (၃၉) လမ်း၊ အထက်ဘလောက်၊ ကျောက်တံတားမြို့နယ်</v>
          </cell>
          <cell r="I38">
            <v>128000</v>
          </cell>
          <cell r="J38">
            <v>4500</v>
          </cell>
          <cell r="K38">
            <v>132500</v>
          </cell>
          <cell r="L38">
            <v>4000</v>
          </cell>
          <cell r="M38">
            <v>4500</v>
          </cell>
          <cell r="O38" t="str">
            <v>-</v>
          </cell>
          <cell r="P38">
            <v>132500</v>
          </cell>
        </row>
        <row r="39">
          <cell r="C39" t="str">
            <v>D0905-GRS-033</v>
          </cell>
          <cell r="D39" t="str">
            <v>GRS Express</v>
          </cell>
          <cell r="E39" t="str">
            <v>Seine Moh Moh Oo</v>
          </cell>
          <cell r="F39" t="str">
            <v>09-799962416</v>
          </cell>
          <cell r="G39" t="str">
            <v>ဒေါပုံ</v>
          </cell>
          <cell r="H39" t="str">
            <v>အမှတ် (၂၇၇)၊ (၁၃) လမ်း၊ ယမုံနာ (၁) ရပ်ကွက်၊ ဒေါပုံမြို့နယ်</v>
          </cell>
          <cell r="I39">
            <v>83500</v>
          </cell>
          <cell r="J39" t="str">
            <v>-</v>
          </cell>
          <cell r="K39">
            <v>83500</v>
          </cell>
          <cell r="L39">
            <v>4000</v>
          </cell>
          <cell r="M39" t="str">
            <v>-</v>
          </cell>
          <cell r="O39" t="str">
            <v>-</v>
          </cell>
          <cell r="P39">
            <v>83500</v>
          </cell>
        </row>
        <row r="40">
          <cell r="C40" t="str">
            <v>D0905-GRS-034</v>
          </cell>
          <cell r="D40" t="str">
            <v>GRS Express</v>
          </cell>
          <cell r="E40" t="str">
            <v>Alexander Queen</v>
          </cell>
          <cell r="F40" t="str">
            <v>09-421154705</v>
          </cell>
          <cell r="G40" t="str">
            <v>ပန်းဘဲတန်း</v>
          </cell>
          <cell r="H40" t="str">
            <v>အမှတ် (၁၆၂)၊ (၃၀) လမ်း၊ အလယ်ဘလောက်၊ ပန်းဘဲတန်းမြို့နယ်</v>
          </cell>
          <cell r="I40">
            <v>34500</v>
          </cell>
          <cell r="J40">
            <v>4500</v>
          </cell>
          <cell r="K40">
            <v>39000</v>
          </cell>
          <cell r="L40">
            <v>4000</v>
          </cell>
          <cell r="M40">
            <v>4500</v>
          </cell>
          <cell r="O40" t="str">
            <v>-</v>
          </cell>
          <cell r="P40">
            <v>39000</v>
          </cell>
        </row>
        <row r="41">
          <cell r="C41" t="str">
            <v>D0905-GRS-035</v>
          </cell>
          <cell r="D41" t="str">
            <v>GRS Express</v>
          </cell>
          <cell r="E41" t="str">
            <v>Soe Thiri Hlaing/မမိုသီရိလှိုင်</v>
          </cell>
          <cell r="F41" t="str">
            <v>09-960530422</v>
          </cell>
          <cell r="G41" t="str">
            <v>ကျောက်တံတား</v>
          </cell>
          <cell r="H41" t="str">
            <v>တိုက် (၂၂)၊ ဘဏ်လမ်း နှင့် (၃၅) လမ်းထောင့် (အောက်ဘလောက်)၊ (၂) ရပ်ကွက်၊ ကျောက်တံတားမြို့နယ်</v>
          </cell>
          <cell r="I41">
            <v>33000</v>
          </cell>
          <cell r="J41" t="str">
            <v>-</v>
          </cell>
          <cell r="K41">
            <v>33000</v>
          </cell>
          <cell r="L41">
            <v>4000</v>
          </cell>
          <cell r="M41" t="str">
            <v>-</v>
          </cell>
          <cell r="O41" t="str">
            <v>-</v>
          </cell>
          <cell r="P41">
            <v>33000</v>
          </cell>
        </row>
        <row r="42">
          <cell r="C42" t="str">
            <v>D0905-GRS-036</v>
          </cell>
          <cell r="D42" t="str">
            <v>GRS Express</v>
          </cell>
          <cell r="E42" t="str">
            <v>Daw HoH HoH Linn</v>
          </cell>
          <cell r="F42" t="str">
            <v>09-420736387</v>
          </cell>
          <cell r="G42" t="str">
            <v>သင်္ဃန်းကျွန်း</v>
          </cell>
          <cell r="H42" t="str">
            <v>အမှတ် (၃၂)၊ စံပြ (၇) လမ်း၊ သင်္ဃန်းကျွန်းမြို့နယ်</v>
          </cell>
          <cell r="I42">
            <v>81000</v>
          </cell>
          <cell r="J42">
            <v>4500</v>
          </cell>
          <cell r="K42">
            <v>85500</v>
          </cell>
          <cell r="L42">
            <v>4000</v>
          </cell>
          <cell r="M42">
            <v>4500</v>
          </cell>
          <cell r="O42" t="str">
            <v>-</v>
          </cell>
          <cell r="P42">
            <v>85500</v>
          </cell>
        </row>
        <row r="43">
          <cell r="C43" t="str">
            <v>D0905-GRS-037</v>
          </cell>
          <cell r="D43" t="str">
            <v>GRS Express</v>
          </cell>
          <cell r="E43" t="str">
            <v>Ma Nila Tun</v>
          </cell>
          <cell r="F43" t="str">
            <v>09-795673354</v>
          </cell>
          <cell r="G43" t="str">
            <v>စမ်းချောင်း</v>
          </cell>
          <cell r="H43" t="str">
            <v>အမှတ် (၁၇)၊ ဈေးလမ်း၊ မြေနီကုန်း၊ စမ်းချောင်းမြို့နယ်</v>
          </cell>
          <cell r="I43">
            <v>32500</v>
          </cell>
          <cell r="J43">
            <v>4500</v>
          </cell>
          <cell r="K43">
            <v>37000</v>
          </cell>
          <cell r="L43">
            <v>4000</v>
          </cell>
          <cell r="M43">
            <v>4500</v>
          </cell>
          <cell r="O43" t="str">
            <v>-</v>
          </cell>
          <cell r="P43">
            <v>37000</v>
          </cell>
        </row>
        <row r="44">
          <cell r="C44" t="str">
            <v>D0905-GRS-038</v>
          </cell>
          <cell r="D44" t="str">
            <v>GRS Express</v>
          </cell>
          <cell r="E44" t="str">
            <v>Sha Sha Thapa/ဒေါ်ရှား</v>
          </cell>
          <cell r="F44" t="str">
            <v>09-772797821</v>
          </cell>
          <cell r="G44" t="str">
            <v>တာမွေ</v>
          </cell>
          <cell r="H44" t="str">
            <v>အခန်း (၂၀၂)၊ မြလေးရုံလမ်း၊ မင်္ဂလာတောင်ညွန့်ရပ်ကွက်၊ တာမွေမြို့နယ်</v>
          </cell>
          <cell r="I44">
            <v>57500</v>
          </cell>
          <cell r="J44" t="str">
            <v>-</v>
          </cell>
          <cell r="K44">
            <v>57500</v>
          </cell>
          <cell r="L44">
            <v>4000</v>
          </cell>
          <cell r="M44" t="str">
            <v>-</v>
          </cell>
          <cell r="O44" t="str">
            <v>-</v>
          </cell>
          <cell r="P44">
            <v>57500</v>
          </cell>
        </row>
        <row r="45">
          <cell r="C45" t="str">
            <v>D0905-GRS-039</v>
          </cell>
          <cell r="D45" t="str">
            <v>GRS Express</v>
          </cell>
          <cell r="E45" t="str">
            <v>Nang Phyu Phyu Wie</v>
          </cell>
          <cell r="F45" t="str">
            <v>09-43041865</v>
          </cell>
          <cell r="G45" t="str">
            <v>ပုဇွန်တောင်</v>
          </cell>
          <cell r="H45" t="str">
            <v>အမှတ် (၁၃)၊ ပထမထပ်၊ မဟာသုခလမ်း၊ ပုဇွန်တောင်မြို့နယ်</v>
          </cell>
          <cell r="I45">
            <v>20500</v>
          </cell>
          <cell r="J45">
            <v>4500</v>
          </cell>
          <cell r="K45">
            <v>25000</v>
          </cell>
          <cell r="L45">
            <v>4000</v>
          </cell>
          <cell r="M45">
            <v>4500</v>
          </cell>
          <cell r="O45" t="str">
            <v>-</v>
          </cell>
          <cell r="P45">
            <v>25000</v>
          </cell>
        </row>
        <row r="46">
          <cell r="C46" t="str">
            <v>D0905-GRS-040</v>
          </cell>
          <cell r="D46" t="str">
            <v>GRS Express</v>
          </cell>
          <cell r="E46" t="str">
            <v>Ma La Pyae</v>
          </cell>
          <cell r="F46" t="str">
            <v>09-448021443</v>
          </cell>
          <cell r="G46" t="str">
            <v>မင်္ဂလာတောင်ညွန့်</v>
          </cell>
          <cell r="H46" t="str">
            <v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</v>
          </cell>
          <cell r="I46">
            <v>36500</v>
          </cell>
          <cell r="J46">
            <v>4500</v>
          </cell>
          <cell r="K46">
            <v>41000</v>
          </cell>
          <cell r="L46">
            <v>4000</v>
          </cell>
          <cell r="M46">
            <v>4500</v>
          </cell>
          <cell r="O46" t="str">
            <v>-</v>
          </cell>
          <cell r="P46">
            <v>41000</v>
          </cell>
        </row>
        <row r="47">
          <cell r="C47" t="str">
            <v>D0905-GRS-041</v>
          </cell>
          <cell r="D47" t="str">
            <v>GRS Express</v>
          </cell>
          <cell r="E47" t="str">
            <v>Ma Thi Dar</v>
          </cell>
          <cell r="F47" t="str">
            <v>09-408188910</v>
          </cell>
          <cell r="G47" t="str">
            <v>ရန်ကင်း</v>
          </cell>
          <cell r="H47" t="str">
            <v>(ရန်ကင်းစင်တာအနီး)၊ ရန်ကင်းမြို့နယ်</v>
          </cell>
          <cell r="I47">
            <v>38000</v>
          </cell>
          <cell r="J47">
            <v>4500</v>
          </cell>
          <cell r="K47">
            <v>42500</v>
          </cell>
          <cell r="L47">
            <v>4000</v>
          </cell>
          <cell r="M47">
            <v>4500</v>
          </cell>
          <cell r="O47" t="str">
            <v>-</v>
          </cell>
          <cell r="P47">
            <v>42500</v>
          </cell>
          <cell r="R47" t="str">
            <v>တစ်နာရီလောက်ဖုန်းကြိုဆက်ပါရှင်</v>
          </cell>
        </row>
        <row r="48">
          <cell r="C48" t="str">
            <v>D0905-GRS-042</v>
          </cell>
          <cell r="D48" t="str">
            <v>GRS Express</v>
          </cell>
          <cell r="E48" t="str">
            <v>Toe/ဒေါ်တိုးတိုးနောင်</v>
          </cell>
          <cell r="F48" t="str">
            <v>09-250151162</v>
          </cell>
          <cell r="G48" t="str">
            <v>ဗဟန်း</v>
          </cell>
          <cell r="H48" t="str">
            <v>တိုက် (၄၇)၊ အခန်း (B)၊ (၄) လွှာ၊ ဗဟန်း (၃) လမ်း၊ ရွှေတိဂုံ (အရှေ့ဘက်မုခ်)၊ ဗဟန်းမြို့နယ်</v>
          </cell>
          <cell r="I48">
            <v>65500</v>
          </cell>
          <cell r="J48" t="str">
            <v>-</v>
          </cell>
          <cell r="K48">
            <v>65500</v>
          </cell>
          <cell r="L48">
            <v>4000</v>
          </cell>
          <cell r="M48" t="str">
            <v>-</v>
          </cell>
          <cell r="O48" t="str">
            <v>-</v>
          </cell>
          <cell r="P48">
            <v>65500</v>
          </cell>
        </row>
        <row r="49">
          <cell r="C49" t="str">
            <v>D0905-GRS-043</v>
          </cell>
          <cell r="D49" t="str">
            <v>GRS Express</v>
          </cell>
          <cell r="E49" t="str">
            <v>Ma May Thandar Shwe</v>
          </cell>
          <cell r="F49" t="str">
            <v>09-2024016</v>
          </cell>
          <cell r="G49" t="str">
            <v>သင်္ဃန်းကျွန်း</v>
          </cell>
          <cell r="H49" t="str">
            <v>တရားရေးအိမ်ရာ၊ လွတ်လပ်ရေးလမ်း၊ သင်္ဃန်းကျွန်းမြို့နယ်</v>
          </cell>
          <cell r="I49">
            <v>55000</v>
          </cell>
          <cell r="J49">
            <v>4500</v>
          </cell>
          <cell r="K49">
            <v>59500</v>
          </cell>
          <cell r="L49">
            <v>4000</v>
          </cell>
          <cell r="M49">
            <v>4500</v>
          </cell>
          <cell r="O49" t="str">
            <v>-</v>
          </cell>
          <cell r="P49">
            <v>59500</v>
          </cell>
        </row>
        <row r="50">
          <cell r="C50" t="str">
            <v>D0905-GRS-044</v>
          </cell>
          <cell r="D50" t="str">
            <v>GRS Express</v>
          </cell>
          <cell r="E50" t="str">
            <v>Ma Hlaing</v>
          </cell>
          <cell r="F50" t="str">
            <v>09-263642946</v>
          </cell>
          <cell r="G50" t="str">
            <v>သင်္ဃန်းကျွန်း</v>
          </cell>
          <cell r="H50" t="str">
            <v>အမှတ် (25A)၊ အောင်ဇေယျလမ်း (ညာဘက်ခြမ်း)၊ ရန်ကုန်သစ်ရပ်ကွက်၊ သုဝဏ္ဏ၊ သင်္ဃန်းကျွန်းမြို့နယ်</v>
          </cell>
          <cell r="I50" t="str">
            <v>-</v>
          </cell>
          <cell r="J50">
            <v>4500</v>
          </cell>
          <cell r="K50">
            <v>4500</v>
          </cell>
          <cell r="L50">
            <v>4000</v>
          </cell>
          <cell r="M50">
            <v>4500</v>
          </cell>
          <cell r="N50">
            <v>5</v>
          </cell>
          <cell r="O50">
            <v>1000</v>
          </cell>
          <cell r="P50">
            <v>5500</v>
          </cell>
        </row>
        <row r="51">
          <cell r="C51" t="str">
            <v>D0905-GRS-045</v>
          </cell>
          <cell r="D51" t="str">
            <v>GRS Express</v>
          </cell>
          <cell r="E51" t="str">
            <v>Khin Myo Khaing</v>
          </cell>
          <cell r="F51" t="str">
            <v>09-955636691</v>
          </cell>
          <cell r="G51" t="str">
            <v>ဗဟန်း</v>
          </cell>
          <cell r="H51" t="str">
            <v>အမှတ် (၁၄)၊ ဗိုလ်မှူးအောင်လမ်း၊ ဗိုလ်စိန်မှန်ရပ်ကွက်၊ ဗဟန်းမြို့နယ်</v>
          </cell>
          <cell r="I51">
            <v>35000</v>
          </cell>
          <cell r="J51" t="str">
            <v>-</v>
          </cell>
          <cell r="K51">
            <v>35000</v>
          </cell>
          <cell r="L51">
            <v>4000</v>
          </cell>
          <cell r="M51" t="str">
            <v>-</v>
          </cell>
          <cell r="O51" t="str">
            <v>-</v>
          </cell>
          <cell r="P51">
            <v>35000</v>
          </cell>
        </row>
        <row r="52">
          <cell r="C52" t="str">
            <v>D0905-GRS-046</v>
          </cell>
          <cell r="D52" t="str">
            <v>GRS Express</v>
          </cell>
          <cell r="E52" t="str">
            <v>Suzy Aung</v>
          </cell>
          <cell r="F52" t="str">
            <v>09-421165179</v>
          </cell>
          <cell r="G52" t="str">
            <v>သင်္ဃန်းကျွန်း</v>
          </cell>
          <cell r="H52" t="str">
            <v>အမှတ် (၉၉)၊ စံပြ (၅) လမ်း၊ သင်္ဃန်းကျွန်းမြို့နယ်</v>
          </cell>
          <cell r="I52">
            <v>79500</v>
          </cell>
          <cell r="J52">
            <v>4500</v>
          </cell>
          <cell r="K52">
            <v>84000</v>
          </cell>
          <cell r="L52">
            <v>4000</v>
          </cell>
          <cell r="M52">
            <v>4500</v>
          </cell>
          <cell r="O52" t="str">
            <v>-</v>
          </cell>
          <cell r="P52">
            <v>84000</v>
          </cell>
        </row>
        <row r="53">
          <cell r="C53" t="str">
            <v>D0905-GRS-047</v>
          </cell>
          <cell r="D53" t="str">
            <v>GRS Express</v>
          </cell>
          <cell r="E53" t="str">
            <v>Ma Su Myat Wai Wai</v>
          </cell>
          <cell r="F53" t="str">
            <v>09-783088533
09-968305609</v>
          </cell>
          <cell r="G53" t="str">
            <v>ဒဂုံ</v>
          </cell>
          <cell r="H53" t="str">
            <v>Natural World Co., Ltd၊ ပြည်သူ့ရင်ပြင်၊ ဓမ္မစေတီလမ်း၊ ဒဂုံမြို့နယ်</v>
          </cell>
          <cell r="I53">
            <v>31500</v>
          </cell>
          <cell r="J53">
            <v>4500</v>
          </cell>
          <cell r="K53">
            <v>36000</v>
          </cell>
          <cell r="L53">
            <v>4000</v>
          </cell>
          <cell r="M53">
            <v>4500</v>
          </cell>
          <cell r="O53" t="str">
            <v>-</v>
          </cell>
          <cell r="P53">
            <v>36000</v>
          </cell>
        </row>
        <row r="54">
          <cell r="C54" t="str">
            <v>D0905-GRS-048</v>
          </cell>
          <cell r="D54" t="str">
            <v>GRS Express</v>
          </cell>
          <cell r="E54" t="str">
            <v>Ma Swe Swe Pyone</v>
          </cell>
          <cell r="F54" t="str">
            <v>09-5042448</v>
          </cell>
          <cell r="G54" t="str">
            <v>စမ်းချောင်း</v>
          </cell>
          <cell r="H54" t="str">
            <v>KMD Computer Center၊ အမှတ် (၃၃၁)၊ ပြည်လမ်း၊ (မဟာမြိုင်မှတ်တိုင်အနီး)၊ စမ်းချောင်းမြို့နယ်</v>
          </cell>
          <cell r="I54">
            <v>22000</v>
          </cell>
          <cell r="J54">
            <v>4500</v>
          </cell>
          <cell r="K54">
            <v>26500</v>
          </cell>
          <cell r="L54">
            <v>4000</v>
          </cell>
          <cell r="M54">
            <v>4500</v>
          </cell>
          <cell r="O54" t="str">
            <v>-</v>
          </cell>
          <cell r="P54">
            <v>26500</v>
          </cell>
        </row>
        <row r="55">
          <cell r="C55" t="str">
            <v>D0905-GRS-049</v>
          </cell>
          <cell r="D55" t="str">
            <v>GRS Express</v>
          </cell>
          <cell r="E55" t="str">
            <v>Ma Yee Yee</v>
          </cell>
          <cell r="F55" t="str">
            <v>09-420069164</v>
          </cell>
          <cell r="G55" t="str">
            <v>လသာ</v>
          </cell>
          <cell r="H55" t="str">
            <v>ရန်ကုန်ဆေးရုံကြီး (အရေးပေါ်ပေါက်)၊ လသာမြို့နယ်</v>
          </cell>
          <cell r="I55">
            <v>33500</v>
          </cell>
          <cell r="J55">
            <v>4500</v>
          </cell>
          <cell r="K55">
            <v>38000</v>
          </cell>
          <cell r="L55">
            <v>4000</v>
          </cell>
          <cell r="M55">
            <v>4500</v>
          </cell>
          <cell r="O55" t="str">
            <v>-</v>
          </cell>
          <cell r="P55">
            <v>38000</v>
          </cell>
        </row>
        <row r="56">
          <cell r="C56" t="str">
            <v>D0905-GRS-050</v>
          </cell>
          <cell r="D56" t="str">
            <v>GRS Express</v>
          </cell>
          <cell r="E56" t="str">
            <v>Ma Aye Nu</v>
          </cell>
          <cell r="F56" t="str">
            <v>09-651650897</v>
          </cell>
          <cell r="G56" t="str">
            <v>ဒေါပုံ</v>
          </cell>
          <cell r="H56" t="str">
            <v>အမှတ် (၂၁၅)၊ မာလာနွယ်လမ်းတို၊ နွယ်အေးရပ်ကွက်၊ ဒေါပုံမြို့နယ်</v>
          </cell>
          <cell r="I56">
            <v>30500</v>
          </cell>
          <cell r="J56">
            <v>4500</v>
          </cell>
          <cell r="K56">
            <v>35000</v>
          </cell>
          <cell r="L56">
            <v>4000</v>
          </cell>
          <cell r="M56">
            <v>4500</v>
          </cell>
          <cell r="O56" t="str">
            <v>-</v>
          </cell>
          <cell r="P56">
            <v>35000</v>
          </cell>
        </row>
        <row r="57">
          <cell r="C57" t="str">
            <v>D0905-GRS-051</v>
          </cell>
          <cell r="D57" t="str">
            <v>GRS Express</v>
          </cell>
          <cell r="E57" t="str">
            <v>Ma Aye Thandar Kyaw</v>
          </cell>
          <cell r="F57" t="str">
            <v>09-5413452</v>
          </cell>
          <cell r="G57" t="str">
            <v>ဒေါပုံ</v>
          </cell>
          <cell r="H57" t="str">
            <v>အမှတ် (၂၁)၊ ဇေယျာသီရိလမ်း၊ ဗိုလ်ထွန်းဇံရပ်ကွက်၊ ဒေါပုံမြို့နယ်</v>
          </cell>
          <cell r="I57">
            <v>69000</v>
          </cell>
          <cell r="J57">
            <v>4500</v>
          </cell>
          <cell r="K57">
            <v>73500</v>
          </cell>
          <cell r="L57">
            <v>4000</v>
          </cell>
          <cell r="M57">
            <v>4500</v>
          </cell>
          <cell r="O57" t="str">
            <v>-</v>
          </cell>
          <cell r="P57">
            <v>73500</v>
          </cell>
        </row>
        <row r="58">
          <cell r="C58" t="str">
            <v>D0905-GRS-052</v>
          </cell>
          <cell r="D58" t="str">
            <v>GRS Express</v>
          </cell>
          <cell r="E58" t="str">
            <v>Ma Moon Nwe Ni</v>
          </cell>
          <cell r="F58" t="str">
            <v>09-43157446</v>
          </cell>
          <cell r="G58" t="str">
            <v>ဗဟန်း</v>
          </cell>
          <cell r="H58" t="str">
            <v>အမှတ် (၃၆)၊ မေယုလမ်း၊ ဆရာစံ (တောင်) စံပြရပ်ကွက်၊ ဗဟန်းမြို့နယ်</v>
          </cell>
          <cell r="I58">
            <v>44000</v>
          </cell>
          <cell r="J58">
            <v>4500</v>
          </cell>
          <cell r="K58">
            <v>48500</v>
          </cell>
          <cell r="L58">
            <v>4000</v>
          </cell>
          <cell r="M58">
            <v>4500</v>
          </cell>
          <cell r="O58" t="str">
            <v>-</v>
          </cell>
          <cell r="P58">
            <v>48500</v>
          </cell>
        </row>
        <row r="59">
          <cell r="C59" t="str">
            <v>D0905-GRS-053</v>
          </cell>
          <cell r="D59" t="str">
            <v>GRS Express</v>
          </cell>
          <cell r="E59" t="str">
            <v>Ma Win Mon</v>
          </cell>
          <cell r="F59" t="str">
            <v>09-420940664</v>
          </cell>
          <cell r="G59" t="str">
            <v>ဗဟန်း</v>
          </cell>
          <cell r="H59" t="str">
            <v>ဗဟန်းစည်ပင်ရုံး၊ ကမ္ဘာအေးဘုရားလမ်း၊ ရွှေတောင်ကြား (၂) ရပ်ကွက်၊ ဗဟန်းမြို့နယ်</v>
          </cell>
          <cell r="I59">
            <v>28000</v>
          </cell>
          <cell r="J59">
            <v>4500</v>
          </cell>
          <cell r="K59">
            <v>32500</v>
          </cell>
          <cell r="L59">
            <v>4000</v>
          </cell>
          <cell r="M59">
            <v>4500</v>
          </cell>
          <cell r="O59" t="str">
            <v>-</v>
          </cell>
          <cell r="P59">
            <v>32500</v>
          </cell>
        </row>
        <row r="60">
          <cell r="C60" t="str">
            <v>D0905-GRS-054</v>
          </cell>
          <cell r="D60" t="str">
            <v>GRS Express</v>
          </cell>
          <cell r="E60" t="str">
            <v>Min Yan Naung</v>
          </cell>
          <cell r="F60" t="str">
            <v>09-448888070</v>
          </cell>
          <cell r="G60" t="str">
            <v>ကြည့်မြင်တိုင်</v>
          </cell>
          <cell r="H60" t="str">
            <v>အမှတ် (၄၆)၊ စလင်းလမ်း၊ ကြည့်မြင်တိုင်မြို့နယ်</v>
          </cell>
          <cell r="I60">
            <v>38000</v>
          </cell>
          <cell r="J60" t="str">
            <v>-</v>
          </cell>
          <cell r="K60">
            <v>38000</v>
          </cell>
          <cell r="L60">
            <v>4000</v>
          </cell>
          <cell r="M60" t="str">
            <v>-</v>
          </cell>
          <cell r="O60" t="str">
            <v>-</v>
          </cell>
          <cell r="P60">
            <v>38000</v>
          </cell>
        </row>
        <row r="61">
          <cell r="C61" t="str">
            <v>D0905-GRS-055</v>
          </cell>
          <cell r="D61" t="str">
            <v>GRS Express</v>
          </cell>
          <cell r="E61" t="str">
            <v>Win War War</v>
          </cell>
          <cell r="F61" t="str">
            <v>09-673121098
09-682679194</v>
          </cell>
          <cell r="G61" t="str">
            <v>စမ်းချောင်း</v>
          </cell>
          <cell r="H61" t="str">
            <v>အမှတ် (၈)၊ ရန်ပြိုလမ်း၊ မုန့်လက်ဆောင်း (မြောက်) ရပ်ကွက်၊ စမ်းချောင်းမြို့နယ်</v>
          </cell>
          <cell r="I61">
            <v>33000</v>
          </cell>
          <cell r="J61" t="str">
            <v>-</v>
          </cell>
          <cell r="K61">
            <v>33000</v>
          </cell>
          <cell r="L61">
            <v>4000</v>
          </cell>
          <cell r="M61" t="str">
            <v>-</v>
          </cell>
          <cell r="O61" t="str">
            <v>-</v>
          </cell>
          <cell r="P61">
            <v>33000</v>
          </cell>
        </row>
        <row r="62">
          <cell r="C62" t="str">
            <v>D0905-CMF-056</v>
          </cell>
          <cell r="D62" t="str">
            <v>Classix Men Fashion</v>
          </cell>
          <cell r="E62" t="str">
            <v>Shwe Zin</v>
          </cell>
          <cell r="F62" t="str">
            <v>09-250335383</v>
          </cell>
          <cell r="G62" t="str">
            <v>Royal</v>
          </cell>
          <cell r="H62" t="str">
            <v>စစ်ကိုင်းလမ်း၊ ပုလဲဒီပရပ်ကွက်၊ မြိတ်၊ တနင်္သာရီတိုင်း</v>
          </cell>
          <cell r="I62">
            <v>90000</v>
          </cell>
          <cell r="J62">
            <v>5000</v>
          </cell>
          <cell r="K62">
            <v>95000</v>
          </cell>
          <cell r="L62" t="str">
            <v>-</v>
          </cell>
          <cell r="M62">
            <v>5000</v>
          </cell>
          <cell r="O62" t="str">
            <v>-</v>
          </cell>
          <cell r="P62">
            <v>95000</v>
          </cell>
        </row>
        <row r="63">
          <cell r="C63" t="str">
            <v>D0905-CMF-057</v>
          </cell>
          <cell r="D63" t="str">
            <v>Classix Men Fashion</v>
          </cell>
          <cell r="E63" t="str">
            <v>ကိုချမ်းမြေ့</v>
          </cell>
          <cell r="F63" t="str">
            <v>09-989827018</v>
          </cell>
          <cell r="G63" t="str">
            <v>တောင်ဒဂုံ</v>
          </cell>
          <cell r="H63" t="str">
            <v>(၁၄၀) ရပ်ကွက်၊ (အကောက်ခွန်မှတ်တိုင်)၊ တောင်ဒဂုံမြို့နယ်</v>
          </cell>
          <cell r="I63">
            <v>108000</v>
          </cell>
          <cell r="J63">
            <v>4000</v>
          </cell>
          <cell r="K63">
            <v>112000</v>
          </cell>
          <cell r="L63">
            <v>4000</v>
          </cell>
          <cell r="M63">
            <v>4000</v>
          </cell>
          <cell r="O63" t="str">
            <v>-</v>
          </cell>
          <cell r="P63">
            <v>112000</v>
          </cell>
          <cell r="R63" t="str">
            <v>ဖုန်းကြိုဆက်ပါ၊ နေ့လည်(၁)နာရီမထိုးခင်ပို့ရန်</v>
          </cell>
        </row>
        <row r="64">
          <cell r="C64" t="str">
            <v>D0905-CMF-058</v>
          </cell>
          <cell r="D64" t="str">
            <v>Classix Men Fashion</v>
          </cell>
          <cell r="E64" t="str">
            <v>မနှင်းထက်ထက်ဝေ</v>
          </cell>
          <cell r="F64" t="str">
            <v>09-404856452</v>
          </cell>
          <cell r="G64" t="str">
            <v>နေပြည်တော်</v>
          </cell>
          <cell r="H64" t="str">
            <v>Naypyitaw State Academy၊ ဇမ္ဗူသီရိမြို့နယ်၊ နေပြည်တော်</v>
          </cell>
          <cell r="I64">
            <v>48000</v>
          </cell>
          <cell r="J64">
            <v>6000</v>
          </cell>
          <cell r="K64">
            <v>54000</v>
          </cell>
          <cell r="L64">
            <v>6000</v>
          </cell>
          <cell r="M64">
            <v>6000</v>
          </cell>
          <cell r="O64" t="str">
            <v>-</v>
          </cell>
          <cell r="P64">
            <v>54000</v>
          </cell>
        </row>
        <row r="65">
          <cell r="C65" t="str">
            <v>D0905-CMF-059</v>
          </cell>
          <cell r="D65" t="str">
            <v>Classix Men Fashion</v>
          </cell>
          <cell r="E65" t="str">
            <v>Than Win Naing</v>
          </cell>
          <cell r="F65" t="str">
            <v>09-669200977</v>
          </cell>
          <cell r="G65" t="str">
            <v>မန္တလေး</v>
          </cell>
          <cell r="H65" t="str">
            <v>777 Bar၊ စစ်ကိုင်း-မန္တလေးလမ်း၊ (ရွှေကြက်ယက်ဘုရားအနီး)၊ မန္တလေး</v>
          </cell>
          <cell r="I65">
            <v>35000</v>
          </cell>
          <cell r="J65">
            <v>6000</v>
          </cell>
          <cell r="K65">
            <v>41000</v>
          </cell>
          <cell r="L65">
            <v>6000</v>
          </cell>
          <cell r="M65">
            <v>6000</v>
          </cell>
          <cell r="O65" t="str">
            <v>-</v>
          </cell>
          <cell r="P65">
            <v>41000</v>
          </cell>
        </row>
        <row r="66">
          <cell r="C66" t="str">
            <v>D0905-CMF-060</v>
          </cell>
          <cell r="D66" t="str">
            <v>Classix Men Fashion</v>
          </cell>
          <cell r="E66" t="str">
            <v>ရန်ပိုင်</v>
          </cell>
          <cell r="F66" t="str">
            <v>09-401562082</v>
          </cell>
          <cell r="G66" t="str">
            <v>Royal</v>
          </cell>
          <cell r="H66" t="str">
            <v>တိုင်း လ.ဝ.က ရုံး၊ (Royal ရုံးသို့ ပို့ပေးရန်)၊ မကွေး</v>
          </cell>
          <cell r="I66">
            <v>46000</v>
          </cell>
          <cell r="J66">
            <v>5000</v>
          </cell>
          <cell r="K66">
            <v>51000</v>
          </cell>
          <cell r="L66" t="str">
            <v>-</v>
          </cell>
          <cell r="M66">
            <v>5000</v>
          </cell>
          <cell r="O66" t="str">
            <v>-</v>
          </cell>
          <cell r="P66">
            <v>51000</v>
          </cell>
        </row>
        <row r="67">
          <cell r="C67" t="str">
            <v>D0905-FFY-061</v>
          </cell>
          <cell r="D67" t="str">
            <v>Food For U</v>
          </cell>
          <cell r="E67" t="str">
            <v>မနီနီဝင်း</v>
          </cell>
          <cell r="F67" t="str">
            <v>09-772609113</v>
          </cell>
          <cell r="G67" t="str">
            <v>အရှေ့ဒဂုံ</v>
          </cell>
          <cell r="H67" t="str">
            <v>အမှတ် (၂၉၆)၊ ရတနာ (၂) လမ်း၊ (၁၃၂) ရပ်ကွက်၊ အရှေ့ဒဂုံမြို့နယ်</v>
          </cell>
          <cell r="I67">
            <v>87500</v>
          </cell>
          <cell r="J67">
            <v>4500</v>
          </cell>
          <cell r="K67">
            <v>92000</v>
          </cell>
          <cell r="L67">
            <v>4000</v>
          </cell>
          <cell r="M67">
            <v>4500</v>
          </cell>
          <cell r="O67" t="str">
            <v>-</v>
          </cell>
          <cell r="P67">
            <v>92000</v>
          </cell>
        </row>
        <row r="68">
          <cell r="C68" t="str">
            <v>D0905-FFY-062</v>
          </cell>
          <cell r="D68" t="str">
            <v>Food For U</v>
          </cell>
          <cell r="E68" t="str">
            <v>Ma Theingi Hlaing</v>
          </cell>
          <cell r="F68" t="str">
            <v>09-650342923</v>
          </cell>
          <cell r="G68" t="str">
            <v>အင်းစိန်</v>
          </cell>
          <cell r="H68" t="str">
            <v>အင်းစိန်လမ်းမကြီး၊ အရှေ့ကြို့ကုန်း၊ (YTU ရှေ့)၊ (BPI မှတ်တိုင်အနီး)၊ အင်းစိန်မြို့နယ်</v>
          </cell>
          <cell r="I68">
            <v>24000</v>
          </cell>
          <cell r="J68">
            <v>4000</v>
          </cell>
          <cell r="K68">
            <v>28000</v>
          </cell>
          <cell r="L68">
            <v>4000</v>
          </cell>
          <cell r="M68">
            <v>4000</v>
          </cell>
          <cell r="O68" t="str">
            <v>-</v>
          </cell>
          <cell r="P68">
            <v>28000</v>
          </cell>
        </row>
        <row r="69">
          <cell r="C69" t="str">
            <v>D0905-FFY-063</v>
          </cell>
          <cell r="D69" t="str">
            <v>Food For U</v>
          </cell>
          <cell r="E69" t="str">
            <v>‌ဒေါ်သင်းသင်းမာ</v>
          </cell>
          <cell r="F69" t="str">
            <v>09-420100419</v>
          </cell>
          <cell r="G69" t="str">
            <v>အင်းစိန်</v>
          </cell>
          <cell r="H69" t="str">
            <v>လှကမ္ဘာသစ်အလှပြင်ဆိုင်၊ ရာကျော်လမ်းမကြီး၊ အင်းစိန်မြို့သစ်ရပ်ကွက်၊ အင်းစိန်မြို့နယ်</v>
          </cell>
          <cell r="I69">
            <v>117000</v>
          </cell>
          <cell r="J69">
            <v>4000</v>
          </cell>
          <cell r="K69">
            <v>121000</v>
          </cell>
          <cell r="L69">
            <v>4000</v>
          </cell>
          <cell r="M69">
            <v>4000</v>
          </cell>
          <cell r="O69" t="str">
            <v>-</v>
          </cell>
          <cell r="P69">
            <v>121000</v>
          </cell>
        </row>
        <row r="70">
          <cell r="C70" t="str">
            <v>D0905-FFY-064</v>
          </cell>
          <cell r="D70" t="str">
            <v>Food For U</v>
          </cell>
          <cell r="E70" t="str">
            <v>Pawlove Wah</v>
          </cell>
          <cell r="F70" t="str">
            <v>09-423719428</v>
          </cell>
          <cell r="G70" t="str">
            <v>အင်းစိန်</v>
          </cell>
          <cell r="H70" t="str">
            <v>ဇိအုန်ကုန်းလမ်း၊ နံ့သာကုန်းရပ်ကွက်၊ အင်းစိန်မြို့နယ်</v>
          </cell>
          <cell r="I70">
            <v>48000</v>
          </cell>
          <cell r="J70">
            <v>4000</v>
          </cell>
          <cell r="K70">
            <v>52000</v>
          </cell>
          <cell r="L70">
            <v>4000</v>
          </cell>
          <cell r="M70">
            <v>4000</v>
          </cell>
          <cell r="O70" t="str">
            <v>-</v>
          </cell>
          <cell r="P70">
            <v>52000</v>
          </cell>
        </row>
        <row r="71">
          <cell r="C71" t="str">
            <v>D0905-FFY-065</v>
          </cell>
          <cell r="D71" t="str">
            <v>Food For U</v>
          </cell>
          <cell r="E71" t="str">
            <v>Ma Chaw Su</v>
          </cell>
          <cell r="F71" t="str">
            <v>09-785079675
09-5079675</v>
          </cell>
          <cell r="G71" t="str">
            <v>လှိုင်</v>
          </cell>
          <cell r="H71" t="str">
            <v>တိုက် (၂)၊ အခန်း (၂၀၁)၊ အေးရိပ်မွန် (၅) လမ်း၊ (၅) ရပ်ကွက်၊ (G&amp;B Sport Wear ရှိသောတိုက်)၊ လှိုင်မြို့နယ်</v>
          </cell>
          <cell r="I71">
            <v>295000</v>
          </cell>
          <cell r="J71">
            <v>4000</v>
          </cell>
          <cell r="K71">
            <v>299000</v>
          </cell>
          <cell r="L71">
            <v>4000</v>
          </cell>
          <cell r="M71">
            <v>4000</v>
          </cell>
          <cell r="O71" t="str">
            <v>-</v>
          </cell>
          <cell r="P71">
            <v>299000</v>
          </cell>
          <cell r="R71" t="str">
            <v>(၆)ရက်နေ့အရောက်ပို့ပေးပါ</v>
          </cell>
        </row>
        <row r="72">
          <cell r="C72" t="str">
            <v>D0905-FFY-066</v>
          </cell>
          <cell r="D72" t="str">
            <v>Food For U</v>
          </cell>
          <cell r="E72" t="str">
            <v>Thae Lay</v>
          </cell>
          <cell r="F72" t="str">
            <v>09-770741899</v>
          </cell>
          <cell r="G72" t="str">
            <v>အင်းစိန်</v>
          </cell>
          <cell r="H72" t="str">
            <v>အမှတ် (၅၉၁)၊ ညောင်တစ်ပင်လမ်း၊ အောင်ဆန်းရပ်ကွက်၊ အင်းစိန်မြို့နယ်</v>
          </cell>
          <cell r="I72">
            <v>101500</v>
          </cell>
          <cell r="J72">
            <v>4500</v>
          </cell>
          <cell r="K72">
            <v>106000</v>
          </cell>
          <cell r="L72">
            <v>4000</v>
          </cell>
          <cell r="M72">
            <v>4500</v>
          </cell>
          <cell r="O72" t="str">
            <v>-</v>
          </cell>
          <cell r="P72">
            <v>106000</v>
          </cell>
        </row>
        <row r="73">
          <cell r="C73" t="str">
            <v>D0905-MHC-067</v>
          </cell>
          <cell r="D73" t="str">
            <v>My Heart Cosmetic</v>
          </cell>
          <cell r="E73" t="str">
            <v>ဆုမြတ်နိုး</v>
          </cell>
          <cell r="F73" t="str">
            <v>09-761286138</v>
          </cell>
          <cell r="G73" t="str">
            <v>ဂိတ်ချ</v>
          </cell>
          <cell r="H73" t="str">
            <v>ပဒုမ္မာတောင်စွန်းကားဂိတ် (ဘီးလင်း)၊ အောင်မင်္ဂလာအဝေးပြေးဝင်း၊ (YRTA ရုံးရှေ့)၊ မင်္ဂလာဒုံမြို့နယ်</v>
          </cell>
          <cell r="I73" t="str">
            <v>-</v>
          </cell>
          <cell r="J73">
            <v>3000</v>
          </cell>
          <cell r="K73">
            <v>3000</v>
          </cell>
          <cell r="L73">
            <v>3000</v>
          </cell>
          <cell r="M73">
            <v>3000</v>
          </cell>
          <cell r="O73" t="str">
            <v>-</v>
          </cell>
          <cell r="P73">
            <v>3000</v>
          </cell>
          <cell r="R73" t="str">
            <v>ကုန်ကြွေး</v>
          </cell>
        </row>
        <row r="74">
          <cell r="C74" t="str">
            <v>D0905-MHC-068</v>
          </cell>
          <cell r="D74" t="str">
            <v>My Heart Cosmetic</v>
          </cell>
          <cell r="E74" t="str">
            <v>Aye Chan Ko Ko</v>
          </cell>
          <cell r="F74" t="str">
            <v>09-691186033</v>
          </cell>
          <cell r="G74" t="str">
            <v>စမ်းချောင်း</v>
          </cell>
          <cell r="H74" t="str">
            <v>အမှတ် (၅)၊ သရက်တောလမ်း၊ စမ်းချောင်းမြို့နယ်</v>
          </cell>
          <cell r="I74">
            <v>56000</v>
          </cell>
          <cell r="J74">
            <v>4000</v>
          </cell>
          <cell r="K74">
            <v>60000</v>
          </cell>
          <cell r="L74">
            <v>4000</v>
          </cell>
          <cell r="M74">
            <v>4000</v>
          </cell>
          <cell r="O74" t="str">
            <v>-</v>
          </cell>
          <cell r="P74">
            <v>60000</v>
          </cell>
        </row>
        <row r="75">
          <cell r="C75" t="str">
            <v>D0905-MHC-069</v>
          </cell>
          <cell r="D75" t="str">
            <v>My Heart Cosmetic</v>
          </cell>
          <cell r="E75" t="str">
            <v>W Twin</v>
          </cell>
          <cell r="F75" t="str">
            <v>09-795515549</v>
          </cell>
          <cell r="G75" t="str">
            <v>မရမ်းကုန်း</v>
          </cell>
          <cell r="H75" t="str">
            <v>အမှတ် (၄၅)၊ တေးနုယဉ်လမ်း၊ မရမ်းကုန်းမြို့နယ်</v>
          </cell>
          <cell r="I75">
            <v>36000</v>
          </cell>
          <cell r="J75">
            <v>4000</v>
          </cell>
          <cell r="K75">
            <v>40000</v>
          </cell>
          <cell r="L75">
            <v>4000</v>
          </cell>
          <cell r="M75">
            <v>4000</v>
          </cell>
          <cell r="O75" t="str">
            <v>-</v>
          </cell>
          <cell r="P75">
            <v>40000</v>
          </cell>
          <cell r="R75" t="str">
            <v>ပစ်မချရ၊ ကွဲတတ်သည်</v>
          </cell>
        </row>
        <row r="76">
          <cell r="C76" t="str">
            <v>D0905-KAL-070</v>
          </cell>
          <cell r="D76" t="str">
            <v>ခင့်အလှူ</v>
          </cell>
          <cell r="E76" t="str">
            <v>Moon Luck Dagon</v>
          </cell>
          <cell r="F76" t="str">
            <v>09-755385317</v>
          </cell>
          <cell r="G76" t="str">
            <v>တောင်ဒဂုံ</v>
          </cell>
          <cell r="H76" t="str">
            <v>အောင်မြင့်မိုရ်အိမ်ရာ၊ တိုက် (၆)၊ အခန်း (၀၀၃)၊ တောင်ဒဂုံမြို့နယ်</v>
          </cell>
          <cell r="I76">
            <v>49500</v>
          </cell>
          <cell r="J76">
            <v>4000</v>
          </cell>
          <cell r="K76">
            <v>53500</v>
          </cell>
          <cell r="L76">
            <v>4000</v>
          </cell>
          <cell r="M76">
            <v>4000</v>
          </cell>
          <cell r="O76" t="str">
            <v>-</v>
          </cell>
          <cell r="P76">
            <v>53500</v>
          </cell>
        </row>
        <row r="77">
          <cell r="C77" t="str">
            <v>D0905-KAL-071</v>
          </cell>
          <cell r="D77" t="str">
            <v>ခင့်အလှူ</v>
          </cell>
          <cell r="E77" t="str">
            <v>December</v>
          </cell>
          <cell r="F77" t="str">
            <v>09-769133709</v>
          </cell>
          <cell r="G77" t="str">
            <v>သင်္ဃန်းကျွန်း</v>
          </cell>
          <cell r="H77" t="str">
            <v>တိုက် (၇)၊ သီရိဂေဟာလမ်း၊ ဇဝနရပ်ကွက်၊ သင်္ဃန်းကျွန်းမြို့နယ်</v>
          </cell>
          <cell r="I77">
            <v>30000</v>
          </cell>
          <cell r="J77">
            <v>4000</v>
          </cell>
          <cell r="K77">
            <v>34000</v>
          </cell>
          <cell r="L77">
            <v>4000</v>
          </cell>
          <cell r="M77">
            <v>4000</v>
          </cell>
          <cell r="O77" t="str">
            <v>-</v>
          </cell>
          <cell r="P77">
            <v>34000</v>
          </cell>
        </row>
        <row r="78">
          <cell r="C78" t="str">
            <v>D0905-KAL-072</v>
          </cell>
          <cell r="D78" t="str">
            <v>ခင့်အလှူ</v>
          </cell>
          <cell r="E78" t="str">
            <v>Thatnaimgkyaw</v>
          </cell>
          <cell r="F78" t="str">
            <v>09-797331494</v>
          </cell>
          <cell r="G78" t="str">
            <v>လှိုင်သာယာ</v>
          </cell>
          <cell r="H78" t="str">
            <v>အမှတ် (266B)၊ တေးဥယျာဉ် (၁) လမ်း၊ (၇) ရပ်ကွက်၊ လှိုင်သာယာမြို့နယ်</v>
          </cell>
          <cell r="I78">
            <v>15000</v>
          </cell>
          <cell r="J78">
            <v>4500</v>
          </cell>
          <cell r="K78">
            <v>19500</v>
          </cell>
          <cell r="L78">
            <v>4500</v>
          </cell>
          <cell r="M78">
            <v>4500</v>
          </cell>
          <cell r="O78" t="str">
            <v>-</v>
          </cell>
          <cell r="P78">
            <v>19500</v>
          </cell>
        </row>
        <row r="79">
          <cell r="C79" t="str">
            <v>D0905-KAL-073</v>
          </cell>
          <cell r="D79" t="str">
            <v>ခင့်အလှူ</v>
          </cell>
          <cell r="E79" t="str">
            <v>မိုင်သုင်ခ</v>
          </cell>
          <cell r="F79" t="str">
            <v>09-767028423</v>
          </cell>
          <cell r="G79" t="str">
            <v>မြောက်ဒဂုံ</v>
          </cell>
          <cell r="H79" t="str">
            <v>အမှတ် (C-1443)၊ စေတနာ (၁) လမ်း၊ (၄၃) ရပ်ကွက်၊ မြောက်ဒဂုံမြို့နယ်</v>
          </cell>
          <cell r="I79">
            <v>36000</v>
          </cell>
          <cell r="J79">
            <v>4000</v>
          </cell>
          <cell r="K79">
            <v>40000</v>
          </cell>
          <cell r="L79">
            <v>4000</v>
          </cell>
          <cell r="M79">
            <v>4000</v>
          </cell>
          <cell r="O79" t="str">
            <v>-</v>
          </cell>
          <cell r="P79">
            <v>40000</v>
          </cell>
        </row>
        <row r="80">
          <cell r="C80" t="str">
            <v>D0905-KAL-074</v>
          </cell>
          <cell r="D80" t="str">
            <v>ခင့်အလှူ</v>
          </cell>
          <cell r="E80" t="str">
            <v>Myo Thu Swe</v>
          </cell>
          <cell r="F80" t="str">
            <v>09-401657829</v>
          </cell>
          <cell r="G80" t="str">
            <v>မြောက်ဥက္ကလာပ</v>
          </cell>
          <cell r="H80" t="str">
            <v>ဘုမ္မာ (၉) လမ်း၊ (ကန်သာယာမှတ်တိုင်)၊ မြောက်ဥက္ကလာပမြို့နယ်</v>
          </cell>
          <cell r="I80">
            <v>21000</v>
          </cell>
          <cell r="J80">
            <v>4500</v>
          </cell>
          <cell r="K80">
            <v>25500</v>
          </cell>
          <cell r="L80">
            <v>4500</v>
          </cell>
          <cell r="M80">
            <v>4500</v>
          </cell>
          <cell r="O80" t="str">
            <v>-</v>
          </cell>
          <cell r="P80">
            <v>25500</v>
          </cell>
        </row>
        <row r="81">
          <cell r="C81" t="str">
            <v>D0905-KAL-075</v>
          </cell>
          <cell r="D81" t="str">
            <v>ခင့်အလှူ</v>
          </cell>
          <cell r="E81" t="str">
            <v>Khin Hnin Mon</v>
          </cell>
          <cell r="G81" t="str">
            <v>မြောက်ဒဂုံ</v>
          </cell>
          <cell r="H81" t="str">
            <v>အမှတ် (၇၆၂)၊ သခင်ဘစိန်လမ်း၊ (၂၉) ရပ်ကွက်၊ မြောက်ဒဂုံမြို့နယ်</v>
          </cell>
          <cell r="I81">
            <v>21000</v>
          </cell>
          <cell r="J81">
            <v>4000</v>
          </cell>
          <cell r="K81">
            <v>25000</v>
          </cell>
          <cell r="L81">
            <v>4000</v>
          </cell>
          <cell r="M81">
            <v>4000</v>
          </cell>
          <cell r="O81" t="str">
            <v>-</v>
          </cell>
          <cell r="P81">
            <v>25000</v>
          </cell>
        </row>
        <row r="82">
          <cell r="C82" t="str">
            <v>D0905-KAL-076</v>
          </cell>
          <cell r="D82" t="str">
            <v>ခင့်အလှူ</v>
          </cell>
          <cell r="E82" t="str">
            <v>KayKhaing KayKhaing</v>
          </cell>
          <cell r="F82" t="str">
            <v>09-942077409</v>
          </cell>
          <cell r="G82" t="str">
            <v>အင်းစိန်</v>
          </cell>
          <cell r="H82" t="str">
            <v>အင်းစိန်ဆေးရုံကြီး၊ အင်းစိန်မြို့နယ်</v>
          </cell>
          <cell r="I82">
            <v>49000</v>
          </cell>
          <cell r="J82">
            <v>4000</v>
          </cell>
          <cell r="K82">
            <v>53000</v>
          </cell>
          <cell r="L82">
            <v>4000</v>
          </cell>
          <cell r="M82">
            <v>4000</v>
          </cell>
          <cell r="O82" t="str">
            <v>-</v>
          </cell>
          <cell r="P82">
            <v>53000</v>
          </cell>
        </row>
        <row r="83">
          <cell r="C83" t="str">
            <v>D0905-KAL-077</v>
          </cell>
          <cell r="D83" t="str">
            <v>ခင့်အလှူ</v>
          </cell>
          <cell r="E83" t="str">
            <v>Susan Ko Ko</v>
          </cell>
          <cell r="F83" t="str">
            <v>09-257419909</v>
          </cell>
          <cell r="G83" t="str">
            <v>တောင်ဒဂုံ</v>
          </cell>
          <cell r="H83" t="str">
            <v>ပုလဲမွန်အိမ်ရာ၊ တိုက် (၁၄)၊ (၆၅) ရပ်ကွက်၊ တောင်ဒဂုံမြို့နယ်</v>
          </cell>
          <cell r="I83">
            <v>207000</v>
          </cell>
          <cell r="J83">
            <v>4000</v>
          </cell>
          <cell r="K83">
            <v>211000</v>
          </cell>
          <cell r="L83">
            <v>4000</v>
          </cell>
          <cell r="M83">
            <v>4000</v>
          </cell>
          <cell r="O83" t="str">
            <v>-</v>
          </cell>
          <cell r="P83">
            <v>211000</v>
          </cell>
        </row>
        <row r="84">
          <cell r="C84" t="str">
            <v>D0905-KAL-078</v>
          </cell>
          <cell r="D84" t="str">
            <v>ခင့်အလှူ</v>
          </cell>
          <cell r="E84" t="str">
            <v>Ko Aye</v>
          </cell>
          <cell r="F84" t="str">
            <v>09-5119300</v>
          </cell>
          <cell r="G84" t="str">
            <v>လမ်းမတော်</v>
          </cell>
          <cell r="H84" t="str">
            <v>အမှတ် (၃၉)၊ (၁၄) လမ်း၊ လမ်းမတော်မြို့နယ်</v>
          </cell>
          <cell r="I84">
            <v>38000</v>
          </cell>
          <cell r="J84">
            <v>4000</v>
          </cell>
          <cell r="K84">
            <v>42000</v>
          </cell>
          <cell r="L84">
            <v>4000</v>
          </cell>
          <cell r="M84">
            <v>4000</v>
          </cell>
          <cell r="O84" t="str">
            <v>-</v>
          </cell>
          <cell r="P84">
            <v>42000</v>
          </cell>
        </row>
        <row r="85">
          <cell r="C85" t="str">
            <v>D0905-KAL-079</v>
          </cell>
          <cell r="D85" t="str">
            <v>ခင့်အလှူ</v>
          </cell>
          <cell r="E85" t="str">
            <v>Ma Win</v>
          </cell>
          <cell r="F85" t="str">
            <v>09-422538618</v>
          </cell>
          <cell r="G85" t="str">
            <v>ကြည့်မြင်တိုင်</v>
          </cell>
          <cell r="H85" t="str">
            <v>ကသစ်လမ်း၊ သီတာရပ်ကွက်၊ ကြည့်မြင်တိုင်မြို့နယ်</v>
          </cell>
          <cell r="I85">
            <v>50000</v>
          </cell>
          <cell r="J85">
            <v>4000</v>
          </cell>
          <cell r="K85">
            <v>54000</v>
          </cell>
          <cell r="L85">
            <v>4000</v>
          </cell>
          <cell r="M85">
            <v>4000</v>
          </cell>
          <cell r="O85" t="str">
            <v>-</v>
          </cell>
          <cell r="P85">
            <v>54000</v>
          </cell>
        </row>
        <row r="86">
          <cell r="C86" t="str">
            <v>D0905-KAL-080</v>
          </cell>
          <cell r="D86" t="str">
            <v>ခင့်အလှူ</v>
          </cell>
          <cell r="E86" t="str">
            <v>Thu Thu</v>
          </cell>
          <cell r="F86" t="str">
            <v>09-689481666</v>
          </cell>
          <cell r="G86" t="str">
            <v>မင်္ဂလာဒုံ</v>
          </cell>
          <cell r="H86" t="str">
            <v>ရန်ကုန်-ပြည်လမ်း၊ (BOC နှင့် ဆေးကျောင်းမှတ်တိုင်ကြား)၊ မင်္ဂလာဒုံမြို့နယ်</v>
          </cell>
          <cell r="I86">
            <v>42000</v>
          </cell>
          <cell r="J86">
            <v>4500</v>
          </cell>
          <cell r="K86">
            <v>46500</v>
          </cell>
          <cell r="L86">
            <v>4500</v>
          </cell>
          <cell r="M86">
            <v>4500</v>
          </cell>
          <cell r="O86" t="str">
            <v>-</v>
          </cell>
          <cell r="P86">
            <v>46500</v>
          </cell>
        </row>
        <row r="87">
          <cell r="C87" t="str">
            <v>D0905-KAL-081</v>
          </cell>
          <cell r="D87" t="str">
            <v>ခင့်အလှူ</v>
          </cell>
          <cell r="E87" t="str">
            <v>Chit Pu Lay</v>
          </cell>
          <cell r="F87" t="str">
            <v>09-5182296</v>
          </cell>
          <cell r="G87" t="str">
            <v>သာကေတ</v>
          </cell>
          <cell r="H87" t="str">
            <v>အမှတ် (၇၀၅)၊ အနော်မာ (၁၆) လမ်း၊ သာကေတမြို့နယ်</v>
          </cell>
          <cell r="I87">
            <v>55000</v>
          </cell>
          <cell r="J87">
            <v>4000</v>
          </cell>
          <cell r="K87">
            <v>59000</v>
          </cell>
          <cell r="L87">
            <v>4000</v>
          </cell>
          <cell r="M87">
            <v>4000</v>
          </cell>
          <cell r="O87" t="str">
            <v>-</v>
          </cell>
          <cell r="P87">
            <v>59000</v>
          </cell>
        </row>
        <row r="88">
          <cell r="C88" t="str">
            <v>D0905-KAL-082</v>
          </cell>
          <cell r="D88" t="str">
            <v>ခင့်အလှူ</v>
          </cell>
          <cell r="E88" t="str">
            <v>Nwe Lay</v>
          </cell>
          <cell r="F88" t="str">
            <v>09-453919994</v>
          </cell>
          <cell r="G88" t="str">
            <v>အရှေ့ဒဂုံ</v>
          </cell>
          <cell r="H88" t="str">
            <v>အမှတ် (၇၈၆)၊ ဆည်မြောင်း (၅) လမ်း၊ (၁၃) ရပ်ကွက်၊ အရှေ့ဒဂုံမြို့နယ်</v>
          </cell>
          <cell r="I88">
            <v>21000</v>
          </cell>
          <cell r="J88">
            <v>4000</v>
          </cell>
          <cell r="K88">
            <v>25000</v>
          </cell>
          <cell r="L88">
            <v>4000</v>
          </cell>
          <cell r="M88">
            <v>4000</v>
          </cell>
          <cell r="O88" t="str">
            <v>-</v>
          </cell>
          <cell r="P88">
            <v>25000</v>
          </cell>
        </row>
        <row r="89">
          <cell r="C89" t="str">
            <v>D0905-KAL-083</v>
          </cell>
          <cell r="D89" t="str">
            <v>ခင့်အလှူ</v>
          </cell>
          <cell r="E89" t="str">
            <v>Sandar Win</v>
          </cell>
          <cell r="F89" t="str">
            <v>09-5114967</v>
          </cell>
          <cell r="G89" t="str">
            <v>တောင်ဥက္ကလာပ</v>
          </cell>
          <cell r="H89" t="str">
            <v>အမှတ် (၁၀၃/၂)၊ ကျေးတမာလမ်း၊ (၁၄/၂) ရပ်ကွက်၊ တောင်ဥက္ကလာပမြို့နယ်</v>
          </cell>
          <cell r="I89">
            <v>55000</v>
          </cell>
          <cell r="J89">
            <v>4000</v>
          </cell>
          <cell r="K89">
            <v>59000</v>
          </cell>
          <cell r="L89">
            <v>4000</v>
          </cell>
          <cell r="M89">
            <v>4000</v>
          </cell>
          <cell r="O89" t="str">
            <v>-</v>
          </cell>
          <cell r="P89">
            <v>59000</v>
          </cell>
        </row>
        <row r="90">
          <cell r="C90" t="str">
            <v>D0905-KAL-084</v>
          </cell>
          <cell r="D90" t="str">
            <v>ခင့်အလှူ</v>
          </cell>
          <cell r="E90" t="str">
            <v>Shwe Sin</v>
          </cell>
          <cell r="F90" t="str">
            <v>09-740905322</v>
          </cell>
          <cell r="G90" t="str">
            <v>တာမွေ</v>
          </cell>
          <cell r="H90" t="str">
            <v>အမှတ် (၄၅၉/၄၆၇)၊ မြလေးရုံလမ်း၊ မေတ္တာညွန့်၊ တာမွေမြို့နယ်</v>
          </cell>
          <cell r="I90">
            <v>50000</v>
          </cell>
          <cell r="J90">
            <v>4000</v>
          </cell>
          <cell r="K90">
            <v>54000</v>
          </cell>
          <cell r="L90">
            <v>4000</v>
          </cell>
          <cell r="M90">
            <v>4000</v>
          </cell>
          <cell r="O90" t="str">
            <v>-</v>
          </cell>
          <cell r="P90">
            <v>54000</v>
          </cell>
        </row>
        <row r="91">
          <cell r="C91" t="str">
            <v>D0905-KAL-085</v>
          </cell>
          <cell r="D91" t="str">
            <v>ခင့်အလှူ</v>
          </cell>
          <cell r="E91" t="str">
            <v>မိသားစုအိမ်ကလေး</v>
          </cell>
          <cell r="F91" t="str">
            <v>09-668522677</v>
          </cell>
          <cell r="G91" t="str">
            <v>လှိုင်သာယာ</v>
          </cell>
          <cell r="H91" t="str">
            <v>ပဒံရွှေမကျည်းပင်လမ်း၊ သမကုန်းအတွင်း၊ လှိုင်သာယာမြို့နယ်</v>
          </cell>
          <cell r="I91">
            <v>136000</v>
          </cell>
          <cell r="J91">
            <v>4500</v>
          </cell>
          <cell r="K91">
            <v>140500</v>
          </cell>
          <cell r="L91">
            <v>4500</v>
          </cell>
          <cell r="M91">
            <v>4500</v>
          </cell>
          <cell r="N91">
            <v>12</v>
          </cell>
          <cell r="O91">
            <v>4500</v>
          </cell>
          <cell r="P91">
            <v>145000</v>
          </cell>
        </row>
        <row r="92">
          <cell r="C92" t="str">
            <v>D0905-KAL-086</v>
          </cell>
          <cell r="D92" t="str">
            <v>ခင့်အလှူ</v>
          </cell>
          <cell r="E92" t="str">
            <v>San Dar</v>
          </cell>
          <cell r="F92" t="str">
            <v>09-965005127</v>
          </cell>
          <cell r="G92" t="str">
            <v>အရှေ့ဒဂုံ</v>
          </cell>
          <cell r="H92" t="str">
            <v>အမှတ် (၃၁)၊ ချယ်ရီလမ်း၊ (၈) ရပ်ကွက်၊ အရှေ့ဒဂုံမြို့နယ်</v>
          </cell>
          <cell r="I92">
            <v>29700</v>
          </cell>
          <cell r="J92">
            <v>4000</v>
          </cell>
          <cell r="K92">
            <v>33700</v>
          </cell>
          <cell r="L92">
            <v>4000</v>
          </cell>
          <cell r="M92">
            <v>4000</v>
          </cell>
          <cell r="O92" t="str">
            <v>-</v>
          </cell>
          <cell r="P92">
            <v>33700</v>
          </cell>
        </row>
        <row r="93">
          <cell r="C93" t="str">
            <v>D0905-KAL-087</v>
          </cell>
          <cell r="D93" t="str">
            <v>ခင့်အလှူ</v>
          </cell>
          <cell r="E93" t="str">
            <v>Hnin Nu</v>
          </cell>
          <cell r="F93" t="str">
            <v>09-973060727</v>
          </cell>
          <cell r="G93" t="str">
            <v>သင်္ဃန်းကျွန်း</v>
          </cell>
          <cell r="H93" t="str">
            <v>တိုက် (၂)၊ ဇမ္ဗူသီရိ၊ သင်္ဃန်းကျွန်းဘုရားလမ်း၊ သင်္ဃန်းကျွန်းမြို့နယ်</v>
          </cell>
          <cell r="I93">
            <v>36000</v>
          </cell>
          <cell r="J93">
            <v>4000</v>
          </cell>
          <cell r="K93">
            <v>40000</v>
          </cell>
          <cell r="L93">
            <v>4000</v>
          </cell>
          <cell r="M93">
            <v>4000</v>
          </cell>
          <cell r="O93" t="str">
            <v>-</v>
          </cell>
          <cell r="P93">
            <v>40000</v>
          </cell>
        </row>
        <row r="94">
          <cell r="C94" t="str">
            <v>D0905-KAL-088</v>
          </cell>
          <cell r="D94" t="str">
            <v>ခင့်အလှူ</v>
          </cell>
          <cell r="E94" t="str">
            <v>Shwe Nu</v>
          </cell>
          <cell r="F94" t="str">
            <v>09-950626814</v>
          </cell>
          <cell r="G94" t="str">
            <v>တောင်ဒဂုံ</v>
          </cell>
          <cell r="H94" t="str">
            <v>အမှတ် (၅၇၇)၊ (၅၆) ရပ်ကွက်၊ တောင်ဒဂုံမြို့နယ်</v>
          </cell>
          <cell r="I94">
            <v>90000</v>
          </cell>
          <cell r="J94">
            <v>4000</v>
          </cell>
          <cell r="K94">
            <v>94000</v>
          </cell>
          <cell r="L94">
            <v>4000</v>
          </cell>
          <cell r="M94">
            <v>4000</v>
          </cell>
          <cell r="O94" t="str">
            <v>-</v>
          </cell>
          <cell r="P94">
            <v>94000</v>
          </cell>
        </row>
        <row r="95">
          <cell r="C95" t="str">
            <v>D0905-KAL-089</v>
          </cell>
          <cell r="D95" t="str">
            <v>ခင့်အလှူ</v>
          </cell>
          <cell r="E95" t="str">
            <v>သစ္စာမရှိတဲ့သစ္စာ</v>
          </cell>
          <cell r="F95" t="str">
            <v>09-780540099</v>
          </cell>
          <cell r="G95" t="str">
            <v>ရွှေပြည်သာ</v>
          </cell>
          <cell r="H95" t="str">
            <v>ရွှေပြည်သာမြို့နယ်</v>
          </cell>
          <cell r="I95">
            <v>543000</v>
          </cell>
          <cell r="J95">
            <v>4500</v>
          </cell>
          <cell r="K95">
            <v>547500</v>
          </cell>
          <cell r="L95">
            <v>4500</v>
          </cell>
          <cell r="M95">
            <v>4500</v>
          </cell>
          <cell r="N95">
            <v>25</v>
          </cell>
          <cell r="O95">
            <v>11000</v>
          </cell>
          <cell r="P95">
            <v>558500</v>
          </cell>
        </row>
        <row r="96">
          <cell r="C96" t="str">
            <v>D0905-KAL-090</v>
          </cell>
          <cell r="D96" t="str">
            <v>ခင့်အလှူ</v>
          </cell>
          <cell r="E96" t="str">
            <v>Unty Lay</v>
          </cell>
          <cell r="F96" t="str">
            <v>09-798198541</v>
          </cell>
          <cell r="G96" t="str">
            <v>သာကေတ</v>
          </cell>
          <cell r="H96" t="str">
            <v>တိုက် (၂၅)၊ အနော်မာလမ်း၊ (အနောက် (၂၀) လမ်းထိပ်)၊ သာကေတမြို့နယ်</v>
          </cell>
          <cell r="I96">
            <v>30000</v>
          </cell>
          <cell r="J96">
            <v>4000</v>
          </cell>
          <cell r="K96">
            <v>34000</v>
          </cell>
          <cell r="L96">
            <v>4000</v>
          </cell>
          <cell r="M96">
            <v>4000</v>
          </cell>
          <cell r="O96" t="str">
            <v>-</v>
          </cell>
          <cell r="P96">
            <v>34000</v>
          </cell>
          <cell r="R96" t="str">
            <v>ှSundayပို့မရပါ</v>
          </cell>
        </row>
        <row r="97">
          <cell r="C97" t="str">
            <v>D0905-KAL-091</v>
          </cell>
          <cell r="D97" t="str">
            <v>ခင့်အလှူ</v>
          </cell>
          <cell r="E97" t="str">
            <v>သားချောလေးမေမေ</v>
          </cell>
          <cell r="F97" t="str">
            <v>09-788427599</v>
          </cell>
          <cell r="G97" t="str">
            <v>ရန်ကင်း</v>
          </cell>
          <cell r="H97" t="str">
            <v>Empower Education၊ အမှတ် (6A)၊ မိုးကောင်းဘုရားလမ်း၊ ရန်ကင်းမြို့နယ်</v>
          </cell>
          <cell r="I97">
            <v>21000</v>
          </cell>
          <cell r="J97">
            <v>4000</v>
          </cell>
          <cell r="K97">
            <v>25000</v>
          </cell>
          <cell r="L97">
            <v>4000</v>
          </cell>
          <cell r="M97">
            <v>4000</v>
          </cell>
          <cell r="O97" t="str">
            <v>-</v>
          </cell>
          <cell r="P97">
            <v>25000</v>
          </cell>
        </row>
        <row r="98">
          <cell r="C98" t="str">
            <v>D0905-KAL-092</v>
          </cell>
          <cell r="D98" t="str">
            <v>ခင့်အလှူ</v>
          </cell>
          <cell r="E98" t="str">
            <v>Khinlay Wai</v>
          </cell>
          <cell r="F98" t="str">
            <v>09-450012039</v>
          </cell>
          <cell r="G98" t="str">
            <v>မြောက်ဥက္ကလာပ</v>
          </cell>
          <cell r="H98" t="str">
            <v>အမှတ် (၇၈၀)၊ ဧရာ (၁/ခ) လမ်း၊ (ည) ရပ်ကွက်၊ မြောက်ဥက္ကလာပမြို့နယ်</v>
          </cell>
          <cell r="I98">
            <v>211100</v>
          </cell>
          <cell r="J98">
            <v>4500</v>
          </cell>
          <cell r="K98">
            <v>215600</v>
          </cell>
          <cell r="L98">
            <v>4500</v>
          </cell>
          <cell r="M98">
            <v>4500</v>
          </cell>
          <cell r="N98">
            <v>14</v>
          </cell>
          <cell r="O98">
            <v>5500</v>
          </cell>
          <cell r="P98">
            <v>221100</v>
          </cell>
        </row>
        <row r="99">
          <cell r="C99" t="str">
            <v>D0905-YDC-093</v>
          </cell>
          <cell r="D99" t="str">
            <v>Yadanar Clothing</v>
          </cell>
          <cell r="E99" t="str">
            <v>Yadanar Theint Theint Oo</v>
          </cell>
          <cell r="F99" t="str">
            <v>09-795255853</v>
          </cell>
          <cell r="G99" t="str">
            <v>လှိုင်</v>
          </cell>
          <cell r="H99" t="str">
            <v>အမှတ် (25A)၊ မြေညီထပ်၊ သီတာလမ်း၊ (၁၃) ရပ်ကွက်၊ လှိုင်မြို့နယ်</v>
          </cell>
          <cell r="I99">
            <v>308500</v>
          </cell>
          <cell r="J99">
            <v>4000</v>
          </cell>
          <cell r="K99">
            <v>312500</v>
          </cell>
          <cell r="L99">
            <v>4000</v>
          </cell>
          <cell r="M99">
            <v>4000</v>
          </cell>
          <cell r="O99" t="str">
            <v>-</v>
          </cell>
          <cell r="P99">
            <v>312500</v>
          </cell>
        </row>
        <row r="100">
          <cell r="C100" t="str">
            <v>D0905-YDC-094</v>
          </cell>
          <cell r="D100" t="str">
            <v>Yadanar Clothing</v>
          </cell>
          <cell r="E100" t="str">
            <v>Lwin Khine</v>
          </cell>
          <cell r="F100" t="str">
            <v>09-777856112</v>
          </cell>
          <cell r="G100" t="str">
            <v>သင်္ဃန်းကျွန်း</v>
          </cell>
          <cell r="H100" t="str">
            <v>အမှတ် (၃၈)၊ (ည) ရုံ၊ သုဝဏ္ဏ၊ သင်္ဃန်းကျွန်းမြို့နယ်</v>
          </cell>
          <cell r="I100">
            <v>787000</v>
          </cell>
          <cell r="J100">
            <v>4000</v>
          </cell>
          <cell r="K100">
            <v>791000</v>
          </cell>
          <cell r="L100">
            <v>4000</v>
          </cell>
          <cell r="M100">
            <v>4000</v>
          </cell>
          <cell r="N100">
            <v>7</v>
          </cell>
          <cell r="O100">
            <v>2000</v>
          </cell>
          <cell r="P100">
            <v>793000</v>
          </cell>
        </row>
        <row r="101">
          <cell r="C101" t="str">
            <v>D0905-YDC-095</v>
          </cell>
          <cell r="D101" t="str">
            <v>Yadanar Clothing</v>
          </cell>
          <cell r="E101" t="str">
            <v>Min Khant</v>
          </cell>
          <cell r="F101" t="str">
            <v>09-781014177</v>
          </cell>
          <cell r="G101" t="str">
            <v>အလုံ</v>
          </cell>
          <cell r="H101" t="str">
            <v>Asia World Gate (4)၊ ကွင်းကျောင်းလမ်း၊ အလုံမြို့နယ်</v>
          </cell>
          <cell r="I101">
            <v>39000</v>
          </cell>
          <cell r="J101">
            <v>4000</v>
          </cell>
          <cell r="K101">
            <v>43000</v>
          </cell>
          <cell r="L101">
            <v>4000</v>
          </cell>
          <cell r="M101">
            <v>4000</v>
          </cell>
          <cell r="O101" t="str">
            <v>-</v>
          </cell>
          <cell r="P101">
            <v>43000</v>
          </cell>
        </row>
        <row r="102">
          <cell r="C102" t="str">
            <v>D0905-YDC-096</v>
          </cell>
          <cell r="D102" t="str">
            <v>Yadanar Clothing</v>
          </cell>
          <cell r="E102" t="str">
            <v>Pwint Phuu</v>
          </cell>
          <cell r="F102" t="str">
            <v>09-455585540</v>
          </cell>
          <cell r="G102" t="str">
            <v>တောင်ဒဂုံ</v>
          </cell>
          <cell r="H102" t="str">
            <v>အမှတ် (၅၅)၊ စိန်ရတနာလမ်း၊ (၅၆) ရပ်ကွက်၊ တောင်ဒဂုံမြို့နယ်</v>
          </cell>
          <cell r="I102">
            <v>39000</v>
          </cell>
          <cell r="J102">
            <v>4000</v>
          </cell>
          <cell r="K102">
            <v>43000</v>
          </cell>
          <cell r="L102">
            <v>4000</v>
          </cell>
          <cell r="M102">
            <v>4000</v>
          </cell>
          <cell r="O102" t="str">
            <v>-</v>
          </cell>
          <cell r="P102">
            <v>43000</v>
          </cell>
        </row>
        <row r="103">
          <cell r="C103" t="str">
            <v>D0905-YDC-097</v>
          </cell>
          <cell r="D103" t="str">
            <v>Yadanar Clothing</v>
          </cell>
          <cell r="E103" t="str">
            <v>Aye Sandar Soe</v>
          </cell>
          <cell r="F103" t="str">
            <v>09-972447301</v>
          </cell>
          <cell r="G103" t="str">
            <v>ဒေါပုံ</v>
          </cell>
          <cell r="H103" t="str">
            <v>အမှတ် (၈)၊ (၅) လွှာ၊ သီရိရတနာလမ်း၊ ဒေါပုံမြို့နယ်</v>
          </cell>
          <cell r="I103">
            <v>1251500</v>
          </cell>
          <cell r="J103">
            <v>4000</v>
          </cell>
          <cell r="K103">
            <v>1255500</v>
          </cell>
          <cell r="L103">
            <v>4000</v>
          </cell>
          <cell r="M103">
            <v>4000</v>
          </cell>
          <cell r="N103">
            <v>11</v>
          </cell>
          <cell r="O103">
            <v>4000</v>
          </cell>
          <cell r="P103">
            <v>1259500</v>
          </cell>
        </row>
        <row r="104">
          <cell r="C104" t="str">
            <v>D0905-YDC-098</v>
          </cell>
          <cell r="D104" t="str">
            <v>Yadanar Clothing</v>
          </cell>
          <cell r="E104" t="str">
            <v>Hsu Po Po Naing</v>
          </cell>
          <cell r="F104" t="str">
            <v>09-760342986</v>
          </cell>
          <cell r="G104" t="str">
            <v>Royal</v>
          </cell>
          <cell r="H104" t="str">
            <v>ဇမ္ဗူသီရိလမ်း၊ တောင်ဘက်ပိုင်းရပ်ကွက်၊ ကွမ်းခြံကုန်း</v>
          </cell>
          <cell r="I104" t="str">
            <v>-</v>
          </cell>
          <cell r="J104">
            <v>5000</v>
          </cell>
          <cell r="K104">
            <v>5000</v>
          </cell>
          <cell r="L104" t="str">
            <v>-</v>
          </cell>
          <cell r="M104">
            <v>5000</v>
          </cell>
          <cell r="O104" t="str">
            <v>-</v>
          </cell>
          <cell r="P104">
            <v>5000</v>
          </cell>
        </row>
        <row r="105">
          <cell r="C105" t="str">
            <v>D0905-YDC-099</v>
          </cell>
          <cell r="D105" t="str">
            <v>Yadanar Clothing</v>
          </cell>
          <cell r="E105" t="str">
            <v>May</v>
          </cell>
          <cell r="F105" t="str">
            <v>09-796096673</v>
          </cell>
          <cell r="G105" t="str">
            <v>မင်္ဂလာဒုံ</v>
          </cell>
          <cell r="H105" t="str">
            <v>Terminal Mall၊ မင်္ဂလာဒုံမြို့နယ်</v>
          </cell>
          <cell r="I105">
            <v>571900</v>
          </cell>
          <cell r="J105">
            <v>4500</v>
          </cell>
          <cell r="K105">
            <v>576400</v>
          </cell>
          <cell r="L105">
            <v>4500</v>
          </cell>
          <cell r="M105">
            <v>4500</v>
          </cell>
          <cell r="N105">
            <v>5</v>
          </cell>
          <cell r="O105">
            <v>1000</v>
          </cell>
          <cell r="P105">
            <v>577400</v>
          </cell>
          <cell r="R105" t="str">
            <v>Tun မှပို့ပေးရန်</v>
          </cell>
        </row>
        <row r="106">
          <cell r="C106" t="str">
            <v>D0905-CUY-100</v>
          </cell>
          <cell r="D106" t="str">
            <v>Curvy</v>
          </cell>
          <cell r="E106" t="str">
            <v>မအိမေမွန်</v>
          </cell>
          <cell r="F106" t="str">
            <v>09-250675801</v>
          </cell>
          <cell r="G106" t="str">
            <v>တာမွေ</v>
          </cell>
          <cell r="H106" t="str">
            <v>မွန်မြတ်မေတ္တာအိမ်ရာ၊ အမှတ် (G1-G6)၊ ပင်ရွှေညောင်ပင်လမ်း၊ မေတ္တာညွန့်ရပ်ကွက်၊ တာမွေမြို့နယ်</v>
          </cell>
          <cell r="I106">
            <v>55500</v>
          </cell>
          <cell r="J106">
            <v>4000</v>
          </cell>
          <cell r="K106">
            <v>59500</v>
          </cell>
          <cell r="L106">
            <v>4000</v>
          </cell>
          <cell r="M106">
            <v>4000</v>
          </cell>
          <cell r="O106" t="str">
            <v>-</v>
          </cell>
          <cell r="P106">
            <v>59500</v>
          </cell>
        </row>
        <row r="107">
          <cell r="C107" t="str">
            <v>D0905-CUY-101</v>
          </cell>
          <cell r="D107" t="str">
            <v>Curvy</v>
          </cell>
          <cell r="E107" t="str">
            <v>Ma Aye Myat Thu</v>
          </cell>
          <cell r="F107" t="str">
            <v>09-422112263</v>
          </cell>
          <cell r="G107" t="str">
            <v>နေပြည်တော်</v>
          </cell>
          <cell r="H107" t="str">
            <v>ရွှေနံ့သာရပ်ကွက်၊ ဥတ္တရသီရိမြို့နယ်၊ နေပြည်တော်</v>
          </cell>
          <cell r="I107">
            <v>105000</v>
          </cell>
          <cell r="J107">
            <v>6000</v>
          </cell>
          <cell r="K107">
            <v>111000</v>
          </cell>
          <cell r="L107">
            <v>6000</v>
          </cell>
          <cell r="M107">
            <v>6000</v>
          </cell>
          <cell r="O107" t="str">
            <v>-</v>
          </cell>
          <cell r="P107">
            <v>111000</v>
          </cell>
        </row>
        <row r="108">
          <cell r="C108" t="str">
            <v>D0905-CUY-102</v>
          </cell>
          <cell r="D108" t="str">
            <v>Curvy</v>
          </cell>
          <cell r="E108" t="str">
            <v>Ma May Thin Zar</v>
          </cell>
          <cell r="F108" t="str">
            <v>09-668890078</v>
          </cell>
          <cell r="G108" t="str">
            <v>မြောက်ဒဂုံ</v>
          </cell>
          <cell r="H108" t="str">
            <v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v>
          </cell>
          <cell r="I108">
            <v>99000</v>
          </cell>
          <cell r="J108">
            <v>4000</v>
          </cell>
          <cell r="K108">
            <v>103000</v>
          </cell>
          <cell r="L108">
            <v>4000</v>
          </cell>
          <cell r="M108">
            <v>4000</v>
          </cell>
          <cell r="O108" t="str">
            <v>-</v>
          </cell>
          <cell r="P108">
            <v>103000</v>
          </cell>
        </row>
        <row r="109">
          <cell r="C109" t="str">
            <v>D0905-CUY-103</v>
          </cell>
          <cell r="D109" t="str">
            <v>Curvy</v>
          </cell>
          <cell r="E109" t="str">
            <v>Hoshi</v>
          </cell>
          <cell r="F109" t="str">
            <v>09-42015226</v>
          </cell>
          <cell r="G109" t="str">
            <v>Royal</v>
          </cell>
          <cell r="H109" t="str">
            <v>သုခဒဂုံအိမ်ရာ၊ တိုက် (၇၇/F7)၊ အခန်း (၂၀၃)၊ (ရွာသာကြီးတိုးဂိတ်အနီး)၊ တောင်ဒဂုံမြို့နယ်</v>
          </cell>
          <cell r="I109">
            <v>105000</v>
          </cell>
          <cell r="J109">
            <v>4000</v>
          </cell>
          <cell r="K109">
            <v>109000</v>
          </cell>
          <cell r="L109" t="str">
            <v>-</v>
          </cell>
          <cell r="M109">
            <v>4000</v>
          </cell>
          <cell r="O109" t="str">
            <v>-</v>
          </cell>
          <cell r="P109">
            <v>109000</v>
          </cell>
        </row>
        <row r="110">
          <cell r="C110" t="str">
            <v>D0905-CUY-104</v>
          </cell>
          <cell r="D110" t="str">
            <v>Curvy</v>
          </cell>
          <cell r="E110" t="str">
            <v>Kay</v>
          </cell>
          <cell r="F110" t="str">
            <v>09-661555881</v>
          </cell>
          <cell r="G110" t="str">
            <v>တောင်ဒဂုံ</v>
          </cell>
          <cell r="H110" t="str">
            <v>တိုက် (၆) လွှာ၊ ခရေဇီလမ်း၊ လှော်ကားလမ်းမ၊ (မူကထဆိုင်ဘေး)၊ တောင်ဒဂုံမြို့နယ်</v>
          </cell>
          <cell r="I110">
            <v>17500</v>
          </cell>
          <cell r="J110">
            <v>4000</v>
          </cell>
          <cell r="K110">
            <v>21500</v>
          </cell>
          <cell r="L110">
            <v>4000</v>
          </cell>
          <cell r="M110">
            <v>4000</v>
          </cell>
          <cell r="O110" t="str">
            <v>-</v>
          </cell>
          <cell r="P110">
            <v>21500</v>
          </cell>
        </row>
        <row r="111">
          <cell r="C111" t="str">
            <v>D0905-CUY-105</v>
          </cell>
          <cell r="D111" t="str">
            <v>Curvy</v>
          </cell>
          <cell r="E111" t="str">
            <v>Thet</v>
          </cell>
          <cell r="F111" t="str">
            <v>09-420006792</v>
          </cell>
          <cell r="G111" t="str">
            <v>မင်္ဂလာတောင်ညွန့်</v>
          </cell>
          <cell r="H111" t="str">
            <v>အမှတ် (၁၂၉)၊ မြန်မာ့ဂုဏ်ရည်လမ်း နှင့် မန္တလေးလမ်းထိပ်၊ ကန်တော်ကလေး၊ မင်္ဂလာတောင်ညွန့်မြို့နယ်</v>
          </cell>
          <cell r="I111" t="str">
            <v>-</v>
          </cell>
          <cell r="J111">
            <v>4000</v>
          </cell>
          <cell r="K111">
            <v>4000</v>
          </cell>
          <cell r="L111">
            <v>4000</v>
          </cell>
          <cell r="M111">
            <v>4000</v>
          </cell>
          <cell r="O111" t="str">
            <v>-</v>
          </cell>
          <cell r="P111">
            <v>4000</v>
          </cell>
        </row>
        <row r="112">
          <cell r="C112" t="str">
            <v>D0905-MAU-106</v>
          </cell>
          <cell r="D112" t="str">
            <v>Moe Audio</v>
          </cell>
          <cell r="E112" t="str">
            <v>ကိုတာတီး</v>
          </cell>
          <cell r="F112" t="str">
            <v>09-776059276
09-764422323</v>
          </cell>
          <cell r="G112" t="str">
            <v>ဂိတ်ချ</v>
          </cell>
          <cell r="H112" t="str">
            <v>(မန္တလာမင်းဂိတ်ချ)၊ ဘောဂသီရိကားကွင်း၊ နေပြည်တော်</v>
          </cell>
          <cell r="I112" t="str">
            <v>-</v>
          </cell>
          <cell r="J112" t="str">
            <v>-</v>
          </cell>
          <cell r="K112" t="str">
            <v>-</v>
          </cell>
          <cell r="L112">
            <v>3000</v>
          </cell>
          <cell r="M112" t="str">
            <v>-</v>
          </cell>
          <cell r="N112">
            <v>9</v>
          </cell>
          <cell r="O112">
            <v>3000</v>
          </cell>
          <cell r="P112">
            <v>3000</v>
          </cell>
          <cell r="R112" t="str">
            <v>ဂိတ်ခ Os မှယူရန်</v>
          </cell>
        </row>
        <row r="113">
          <cell r="C113" t="str">
            <v>D0905-HAM-107</v>
          </cell>
          <cell r="D113" t="str">
            <v>HAIM</v>
          </cell>
          <cell r="E113" t="str">
            <v>Ko Zaw Ye Htut</v>
          </cell>
          <cell r="F113" t="str">
            <v>09-799905703</v>
          </cell>
          <cell r="G113" t="str">
            <v>သင်္ဃန်းကျွန်း</v>
          </cell>
          <cell r="H113" t="str">
            <v>အမှတ် (232A)၊ စံပြ (၃) လမ်း၊ (စံပြဈေး)၊ သင်္ဃန်းကျွန်းမြို့နယ်</v>
          </cell>
          <cell r="I113">
            <v>48000</v>
          </cell>
          <cell r="J113">
            <v>4000</v>
          </cell>
          <cell r="K113">
            <v>52000</v>
          </cell>
          <cell r="L113">
            <v>4000</v>
          </cell>
          <cell r="M113">
            <v>4000</v>
          </cell>
          <cell r="O113" t="str">
            <v>-</v>
          </cell>
          <cell r="P113">
            <v>52000</v>
          </cell>
        </row>
        <row r="114">
          <cell r="C114" t="str">
            <v>D0905-CHI-108</v>
          </cell>
          <cell r="D114" t="str">
            <v>Chi 21 Myanmar</v>
          </cell>
          <cell r="E114" t="str">
            <v>Hnin Ei Hlaing</v>
          </cell>
          <cell r="F114" t="str">
            <v>09-788522315</v>
          </cell>
          <cell r="G114" t="str">
            <v>တောင်ဒဂုံ</v>
          </cell>
          <cell r="H114" t="str">
            <v>စိန်မြရံခြယ် (၂) လမ်း၊ (၅၆) ရပ်ကွက်၊ တောင်ဒဂုံမြို့နယ်</v>
          </cell>
          <cell r="I114">
            <v>18000</v>
          </cell>
          <cell r="J114">
            <v>4000</v>
          </cell>
          <cell r="K114">
            <v>22000</v>
          </cell>
          <cell r="L114">
            <v>4000</v>
          </cell>
          <cell r="M114">
            <v>4000</v>
          </cell>
          <cell r="O114" t="str">
            <v>-</v>
          </cell>
          <cell r="P114">
            <v>22000</v>
          </cell>
        </row>
        <row r="115">
          <cell r="C115" t="str">
            <v>D0905-SKW-109</v>
          </cell>
          <cell r="D115" t="str">
            <v>စကားဝါ</v>
          </cell>
          <cell r="E115" t="str">
            <v>Zin Mar Oo</v>
          </cell>
          <cell r="F115" t="str">
            <v>09-457605950</v>
          </cell>
          <cell r="G115" t="str">
            <v>Royal</v>
          </cell>
          <cell r="H115" t="str">
            <v>မယ်ဟန်၊ လားရှိုး</v>
          </cell>
          <cell r="I115" t="str">
            <v>-</v>
          </cell>
          <cell r="J115">
            <v>7000</v>
          </cell>
          <cell r="K115">
            <v>7000</v>
          </cell>
          <cell r="L115" t="str">
            <v>-</v>
          </cell>
          <cell r="M115">
            <v>7000</v>
          </cell>
          <cell r="O115" t="str">
            <v>-</v>
          </cell>
          <cell r="P115">
            <v>7000</v>
          </cell>
        </row>
        <row r="116">
          <cell r="C116" t="str">
            <v>D0905-TSW-110</v>
          </cell>
          <cell r="D116" t="str">
            <v>3 &amp; 6 Wholesale</v>
          </cell>
          <cell r="E116" t="str">
            <v>ဝါလေး</v>
          </cell>
          <cell r="F116" t="str">
            <v>09-455814053</v>
          </cell>
          <cell r="G116" t="str">
            <v>လှိုင်သာယာ</v>
          </cell>
          <cell r="H116" t="str">
            <v>အမှတ် (146A)၊ ဇမ္ဗူအေး (၄) လမ်း၊ ပင်လုံဈေး၊ (မိုးကုတ်ရိပ်သာအနီး)၊ လှိုင်သာယာမြို့နယ်</v>
          </cell>
          <cell r="I116">
            <v>39000</v>
          </cell>
          <cell r="J116" t="str">
            <v>-</v>
          </cell>
          <cell r="K116">
            <v>39000</v>
          </cell>
          <cell r="L116">
            <v>4500</v>
          </cell>
          <cell r="M116" t="str">
            <v>-</v>
          </cell>
          <cell r="N116">
            <v>4</v>
          </cell>
          <cell r="O116">
            <v>5500</v>
          </cell>
          <cell r="P116">
            <v>44500</v>
          </cell>
        </row>
        <row r="117">
          <cell r="C117" t="str">
            <v>D0905-TSW-111</v>
          </cell>
          <cell r="D117" t="str">
            <v>3 &amp; 6 Wholesale</v>
          </cell>
          <cell r="E117" t="str">
            <v>ဒေါ်သန္တာဝင်း</v>
          </cell>
          <cell r="F117" t="str">
            <v>09-668235626</v>
          </cell>
          <cell r="G117" t="str">
            <v>သာကေတ</v>
          </cell>
          <cell r="H117" t="str">
            <v>ဓမ္မာရုံ (၁) လမ်း၊ (ပစောက်ကွေ့)၊ သာကေတမြို့နယ်</v>
          </cell>
          <cell r="I117">
            <v>39000</v>
          </cell>
          <cell r="J117" t="str">
            <v>-</v>
          </cell>
          <cell r="K117">
            <v>39000</v>
          </cell>
          <cell r="L117">
            <v>4000</v>
          </cell>
          <cell r="M117" t="str">
            <v>-</v>
          </cell>
          <cell r="N117">
            <v>4</v>
          </cell>
          <cell r="O117">
            <v>5000</v>
          </cell>
          <cell r="P117">
            <v>44000</v>
          </cell>
        </row>
        <row r="118">
          <cell r="C118" t="str">
            <v>D0905-TSW-112</v>
          </cell>
          <cell r="D118" t="str">
            <v>3 &amp; 6 Wholesale</v>
          </cell>
          <cell r="E118" t="str">
            <v>မောင်ထူး</v>
          </cell>
          <cell r="F118" t="str">
            <v>09-662475943</v>
          </cell>
          <cell r="G118" t="str">
            <v>လှိုင်</v>
          </cell>
          <cell r="H118" t="str">
            <v>အောင်ချမ်းသာဓမ္မာရုံ၊ ပန်းခြံကျောင်းလမ်း၊ (သဘာဝမှတ်တိုင်အနီး)၊ လှိုင်မြို့နယ်</v>
          </cell>
          <cell r="I118">
            <v>26000</v>
          </cell>
          <cell r="J118" t="str">
            <v>-</v>
          </cell>
          <cell r="K118">
            <v>26000</v>
          </cell>
          <cell r="L118">
            <v>4000</v>
          </cell>
          <cell r="M118" t="str">
            <v>-</v>
          </cell>
          <cell r="O118">
            <v>4500</v>
          </cell>
          <cell r="P118">
            <v>30500</v>
          </cell>
        </row>
        <row r="119">
          <cell r="C119" t="str">
            <v>D0905-TSW-113</v>
          </cell>
          <cell r="D119" t="str">
            <v>3 &amp; 6 Wholesale</v>
          </cell>
          <cell r="E119" t="str">
            <v>ခင်စုခိုင်</v>
          </cell>
          <cell r="F119" t="str">
            <v>09-449431832</v>
          </cell>
          <cell r="G119" t="str">
            <v>ပန်းဘဲတန်း</v>
          </cell>
          <cell r="H119" t="str">
            <v>အမှတ် (၁၉၆)၊ (၄) လွှာ၊ (၂၉) လမ်း၊ ပန်းဘဲတန်းမြို့နယ်</v>
          </cell>
          <cell r="I119">
            <v>26000</v>
          </cell>
          <cell r="J119" t="str">
            <v>-</v>
          </cell>
          <cell r="K119">
            <v>26000</v>
          </cell>
          <cell r="L119">
            <v>4000</v>
          </cell>
          <cell r="M119" t="str">
            <v>-</v>
          </cell>
          <cell r="O119">
            <v>4500</v>
          </cell>
          <cell r="P119">
            <v>30500</v>
          </cell>
        </row>
        <row r="120">
          <cell r="C120" t="str">
            <v>D0905-TSW-114</v>
          </cell>
          <cell r="D120" t="str">
            <v>3 &amp; 6 Wholesale</v>
          </cell>
          <cell r="E120" t="str">
            <v>မစန္ဒာကျော်</v>
          </cell>
          <cell r="F120" t="str">
            <v>09-787288749</v>
          </cell>
          <cell r="G120" t="str">
            <v>ဒဂုံ</v>
          </cell>
          <cell r="H120" t="str">
            <v>ရန်ကုန်ကလေးဆေးရုံကြီး (ဟယ်ပင်)၊ ဒဂုံမြို့နယ်</v>
          </cell>
          <cell r="I120">
            <v>26000</v>
          </cell>
          <cell r="J120" t="str">
            <v>-</v>
          </cell>
          <cell r="K120">
            <v>26000</v>
          </cell>
          <cell r="L120">
            <v>4000</v>
          </cell>
          <cell r="M120" t="str">
            <v>-</v>
          </cell>
          <cell r="O120">
            <v>4500</v>
          </cell>
          <cell r="P120">
            <v>30500</v>
          </cell>
        </row>
        <row r="121">
          <cell r="C121" t="str">
            <v>D0905-TSW-115</v>
          </cell>
          <cell r="D121" t="str">
            <v>3 &amp; 6 Wholesale</v>
          </cell>
          <cell r="E121" t="str">
            <v>Taw Tar May</v>
          </cell>
          <cell r="F121" t="str">
            <v>09-425270341</v>
          </cell>
          <cell r="G121" t="str">
            <v>နေပြည်တော်</v>
          </cell>
          <cell r="H121" t="str">
            <v>ပဒုမ္မာ (၁) လမ်း၊ တပင်ရွှေထီးရပ်ကွက်၊ ပုဗ္ဗသီရိမြို့နယ်၊ နေပြည်တော်</v>
          </cell>
          <cell r="I121">
            <v>26000</v>
          </cell>
          <cell r="J121" t="str">
            <v>-</v>
          </cell>
          <cell r="K121">
            <v>26000</v>
          </cell>
          <cell r="L121">
            <v>6000</v>
          </cell>
          <cell r="M121" t="str">
            <v>-</v>
          </cell>
          <cell r="O121">
            <v>9000</v>
          </cell>
          <cell r="P121">
            <v>35000</v>
          </cell>
        </row>
        <row r="122">
          <cell r="C122" t="str">
            <v>D0905-TSW-116</v>
          </cell>
          <cell r="D122" t="str">
            <v>3 &amp; 6 Wholesale</v>
          </cell>
          <cell r="E122" t="str">
            <v>မသဲစု</v>
          </cell>
          <cell r="F122" t="str">
            <v>09-400345005</v>
          </cell>
          <cell r="G122" t="str">
            <v>နေပြည်တော်</v>
          </cell>
          <cell r="H122" t="str">
            <v>အောင်ချမ်းသာသီလရှင်ကျောင်းရှေ့၊ ရွှေအင်ကြင်း၊ ဧရာဝတီလမ်း၊ ဒက္ခိဏသီရိမြို့နယ်၊ နေပြည်တော်</v>
          </cell>
          <cell r="I122">
            <v>30000</v>
          </cell>
          <cell r="J122">
            <v>6000</v>
          </cell>
          <cell r="K122">
            <v>36000</v>
          </cell>
          <cell r="L122">
            <v>6000</v>
          </cell>
          <cell r="M122">
            <v>6000</v>
          </cell>
          <cell r="O122" t="str">
            <v>-</v>
          </cell>
          <cell r="P122">
            <v>36000</v>
          </cell>
        </row>
        <row r="123">
          <cell r="C123" t="str">
            <v>D0905-TSW-117</v>
          </cell>
          <cell r="D123" t="str">
            <v>3 &amp; 6 Wholesale</v>
          </cell>
          <cell r="E123" t="str">
            <v>ဦးဇင်းတရုတ်ကြီး</v>
          </cell>
          <cell r="F123" t="str">
            <v>09-421048860</v>
          </cell>
          <cell r="G123" t="str">
            <v>မြောက်ဥက္ကလာပ</v>
          </cell>
          <cell r="H123" t="str">
            <v>ပန်းတနော်ကျောင်း၊ အမှတ် (၇၇)၊ အာသာဝတီလမ်း၊ (၂) ရပ်ကွက်၊ မြောက်ဥက္ကလာပမြို့နယ်</v>
          </cell>
          <cell r="I123">
            <v>30000</v>
          </cell>
          <cell r="J123">
            <v>4500</v>
          </cell>
          <cell r="K123">
            <v>34500</v>
          </cell>
          <cell r="L123">
            <v>4500</v>
          </cell>
          <cell r="M123">
            <v>4500</v>
          </cell>
          <cell r="O123" t="str">
            <v>-</v>
          </cell>
          <cell r="P123">
            <v>34500</v>
          </cell>
        </row>
        <row r="124">
          <cell r="C124" t="str">
            <v>D0905-TSW-118</v>
          </cell>
          <cell r="D124" t="str">
            <v>3 &amp; 6 Wholesale</v>
          </cell>
          <cell r="E124" t="str">
            <v>မပေါက်</v>
          </cell>
          <cell r="F124" t="str">
            <v>09-650588044</v>
          </cell>
          <cell r="G124" t="str">
            <v>နေပြည်တော်</v>
          </cell>
          <cell r="H124" t="str">
            <v>လယ်ဝေးမြို့နယ်၊ နေပြည်တော်</v>
          </cell>
          <cell r="I124">
            <v>34000</v>
          </cell>
          <cell r="J124" t="str">
            <v>-</v>
          </cell>
          <cell r="K124">
            <v>34000</v>
          </cell>
          <cell r="L124">
            <v>6000</v>
          </cell>
          <cell r="M124" t="str">
            <v>-</v>
          </cell>
          <cell r="O124">
            <v>7000</v>
          </cell>
          <cell r="P124">
            <v>41000</v>
          </cell>
        </row>
        <row r="125">
          <cell r="C125" t="str">
            <v>D0905-TSW-119</v>
          </cell>
          <cell r="D125" t="str">
            <v>3 &amp; 6 Wholesale</v>
          </cell>
          <cell r="E125" t="str">
            <v>May</v>
          </cell>
          <cell r="F125" t="str">
            <v>09-789000038
09-799533777</v>
          </cell>
          <cell r="G125" t="str">
            <v>နေပြည်တော်</v>
          </cell>
          <cell r="H125" t="str">
            <v>ပေါင်းလောင်း (၇) လမ်း၊ ပျဉ်းမနားမြို့နယ်၊ နေပြည်တော်</v>
          </cell>
          <cell r="I125">
            <v>39000</v>
          </cell>
          <cell r="J125" t="str">
            <v>-</v>
          </cell>
          <cell r="K125">
            <v>39000</v>
          </cell>
          <cell r="L125">
            <v>6000</v>
          </cell>
          <cell r="M125" t="str">
            <v>-</v>
          </cell>
          <cell r="N125">
            <v>4</v>
          </cell>
          <cell r="O125">
            <v>11000</v>
          </cell>
          <cell r="P125">
            <v>50000</v>
          </cell>
        </row>
        <row r="126">
          <cell r="C126" t="str">
            <v>D0905-TSW-120</v>
          </cell>
          <cell r="D126" t="str">
            <v>3 &amp; 6 Wholesale</v>
          </cell>
          <cell r="E126" t="str">
            <v>ဒေါ်ဌေး</v>
          </cell>
          <cell r="F126" t="str">
            <v>09-799732387</v>
          </cell>
          <cell r="G126" t="str">
            <v>ရွှေပြည်သာ</v>
          </cell>
          <cell r="H126" t="str">
            <v xml:space="preserve">ရွှေပြည်သာ	</v>
          </cell>
          <cell r="I126">
            <v>40000</v>
          </cell>
          <cell r="J126" t="str">
            <v>-</v>
          </cell>
          <cell r="K126">
            <v>40000</v>
          </cell>
          <cell r="L126">
            <v>4500</v>
          </cell>
          <cell r="M126" t="str">
            <v>-</v>
          </cell>
          <cell r="O126">
            <v>5000</v>
          </cell>
          <cell r="P126">
            <v>45000</v>
          </cell>
        </row>
        <row r="127">
          <cell r="C127" t="str">
            <v>D0905-TSW-121</v>
          </cell>
          <cell r="D127" t="str">
            <v>3 &amp; 6 Wholesale</v>
          </cell>
          <cell r="E127" t="str">
            <v>ဒေါ်မြတ်မြတ်မိုး</v>
          </cell>
          <cell r="F127" t="str">
            <v>09-43027677</v>
          </cell>
          <cell r="G127" t="str">
            <v>မရမ်းကုန်း</v>
          </cell>
          <cell r="H127" t="str">
            <v>အမှတ် (၃၁၅)၊ သမိုင်းမြို့ဟောင်း (၁၁) လမ်း၊ ဘုရင့်နောင်လမ်းဆုံ၊ (KBZ ဘဏ် (၂) အနီး)၊ မရမ်းကုန်းမြို့နယ်</v>
          </cell>
          <cell r="I127">
            <v>17000</v>
          </cell>
          <cell r="J127">
            <v>4000</v>
          </cell>
          <cell r="K127">
            <v>21000</v>
          </cell>
          <cell r="L127">
            <v>4000</v>
          </cell>
          <cell r="M127">
            <v>4000</v>
          </cell>
          <cell r="O127" t="str">
            <v>-</v>
          </cell>
          <cell r="P127">
            <v>21000</v>
          </cell>
        </row>
        <row r="128">
          <cell r="C128" t="str">
            <v>D0905-TSW-122</v>
          </cell>
          <cell r="D128" t="str">
            <v>3 &amp; 6 Wholesale</v>
          </cell>
          <cell r="E128" t="str">
            <v>မငြိမ်းငြိမ်း</v>
          </cell>
          <cell r="F128" t="str">
            <v>09-954834240</v>
          </cell>
          <cell r="G128" t="str">
            <v>နေပြည်တော်</v>
          </cell>
          <cell r="H128" t="str">
            <v>ပန်းခင်းလမ်း၊ နေပြည်တော်</v>
          </cell>
          <cell r="I128">
            <v>180000</v>
          </cell>
          <cell r="J128" t="str">
            <v>-</v>
          </cell>
          <cell r="K128">
            <v>180000</v>
          </cell>
          <cell r="L128">
            <v>6000</v>
          </cell>
          <cell r="M128" t="str">
            <v>-</v>
          </cell>
          <cell r="N128">
            <v>12</v>
          </cell>
          <cell r="O128">
            <v>25000</v>
          </cell>
          <cell r="P128">
            <v>205000</v>
          </cell>
        </row>
        <row r="129">
          <cell r="C129" t="str">
            <v>D0905-TSW-123</v>
          </cell>
          <cell r="D129" t="str">
            <v>3 &amp; 6 Wholesale</v>
          </cell>
          <cell r="E129" t="str">
            <v>အေးငြိမ်းစံ</v>
          </cell>
          <cell r="F129" t="str">
            <v>09-794387877
09-756356298</v>
          </cell>
          <cell r="G129" t="str">
            <v>လှိုင်သာယာ</v>
          </cell>
          <cell r="H129" t="str">
            <v>ငွေဇမ္မူဟိန်းစတိုး၊ အမှတ် (၆)ရပ်ကွက်၊ လှိုင်သာယာမြို့နယ်</v>
          </cell>
          <cell r="I129">
            <v>100000</v>
          </cell>
          <cell r="J129">
            <v>4500</v>
          </cell>
          <cell r="K129">
            <v>104500</v>
          </cell>
          <cell r="L129">
            <v>4500</v>
          </cell>
          <cell r="M129">
            <v>4500</v>
          </cell>
          <cell r="O129" t="str">
            <v>-</v>
          </cell>
          <cell r="P129">
            <v>104500</v>
          </cell>
        </row>
        <row r="130">
          <cell r="C130" t="str">
            <v>D0905-KSC-124</v>
          </cell>
          <cell r="D130" t="str">
            <v>KS Cosmetic</v>
          </cell>
          <cell r="E130" t="str">
            <v>နန်းထိပ်ထားအထည် နှင့် စတိုး</v>
          </cell>
          <cell r="F130" t="str">
            <v>09-429206653</v>
          </cell>
          <cell r="G130" t="str">
            <v>နေပြည်တော်</v>
          </cell>
          <cell r="H130" t="str">
            <v>အောင်စည်သာနှင်းဆီပန်းအဝိုင်းအနီး၊ ပုဗ္ဗသီရိမြို့နယ်၊ နေပြည်တော်</v>
          </cell>
          <cell r="I130">
            <v>340000</v>
          </cell>
          <cell r="J130">
            <v>6000</v>
          </cell>
          <cell r="K130">
            <v>346000</v>
          </cell>
          <cell r="L130">
            <v>6000</v>
          </cell>
          <cell r="M130">
            <v>6000</v>
          </cell>
          <cell r="O130" t="str">
            <v>-</v>
          </cell>
          <cell r="P130">
            <v>346000</v>
          </cell>
        </row>
        <row r="131">
          <cell r="C131" t="str">
            <v>D0905-KSC-125</v>
          </cell>
          <cell r="D131" t="str">
            <v>KS Cosmetic</v>
          </cell>
          <cell r="E131" t="str">
            <v>Mee Mee</v>
          </cell>
          <cell r="F131" t="str">
            <v>09-797677786</v>
          </cell>
          <cell r="G131" t="str">
            <v>ပုဇွန်တောင်</v>
          </cell>
          <cell r="H131" t="str">
            <v>Emperor Air Cargo အမှတ် (၂၀၆/၂၀၈)၊ မြေညီထပ်၊ ဗိုလ်တထောင်ဘုရားလမ်း (အလယ်)၊ ပုဇွန်တောင်မြို့နယ် [Singapore: +65-85444752]</v>
          </cell>
          <cell r="I131" t="str">
            <v>-</v>
          </cell>
          <cell r="J131" t="str">
            <v>-</v>
          </cell>
          <cell r="K131" t="str">
            <v>-</v>
          </cell>
          <cell r="L131">
            <v>4000</v>
          </cell>
          <cell r="M131" t="str">
            <v>-</v>
          </cell>
          <cell r="O131" t="str">
            <v>-</v>
          </cell>
          <cell r="P131" t="str">
            <v>-</v>
          </cell>
        </row>
        <row r="132">
          <cell r="C132" t="str">
            <v>D0905-KSC-126</v>
          </cell>
          <cell r="D132" t="str">
            <v>KS Cosmetic</v>
          </cell>
          <cell r="E132" t="str">
            <v>Sai Khant</v>
          </cell>
          <cell r="F132" t="str">
            <v>09-444496715
09-972772360</v>
          </cell>
          <cell r="G132" t="str">
            <v>လှိုင်သာယာ</v>
          </cell>
          <cell r="H132" t="str">
            <v>YS တရုတ်သင်တန်း၊ နဝဒေးအိမ်ရာ၊ (၆) ရပ်ကွက်၊ (Super One ကုန်တိုက်ဘေး)၊ လှိုင်သာယာမြို့နယ်</v>
          </cell>
          <cell r="I132">
            <v>118500</v>
          </cell>
          <cell r="J132">
            <v>4500</v>
          </cell>
          <cell r="K132">
            <v>123000</v>
          </cell>
          <cell r="L132">
            <v>4500</v>
          </cell>
          <cell r="M132">
            <v>4500</v>
          </cell>
          <cell r="O132" t="str">
            <v>-</v>
          </cell>
          <cell r="P132">
            <v>123000</v>
          </cell>
        </row>
        <row r="133">
          <cell r="C133" t="str">
            <v>D0905-KSC-127</v>
          </cell>
          <cell r="D133" t="str">
            <v>KS Cosmetic</v>
          </cell>
          <cell r="E133" t="str">
            <v>မေဇင်</v>
          </cell>
          <cell r="F133" t="str">
            <v>09-268755768</v>
          </cell>
          <cell r="G133" t="str">
            <v>လှိုင်သာယာ</v>
          </cell>
          <cell r="H133" t="str">
            <v>မဉ္ဇူလမ်း၊ (၁၅) ရပ်ကွက်၊ လှိုင်သာယာမြို့နယ်</v>
          </cell>
          <cell r="I133">
            <v>79000</v>
          </cell>
          <cell r="J133">
            <v>4500</v>
          </cell>
          <cell r="K133">
            <v>83500</v>
          </cell>
          <cell r="L133">
            <v>4500</v>
          </cell>
          <cell r="M133">
            <v>4500</v>
          </cell>
          <cell r="O133" t="str">
            <v>-</v>
          </cell>
          <cell r="P133">
            <v>83500</v>
          </cell>
        </row>
        <row r="134">
          <cell r="C134" t="str">
            <v>D0905-KSC-128</v>
          </cell>
          <cell r="D134" t="str">
            <v>KS Cosmetic</v>
          </cell>
          <cell r="E134" t="str">
            <v>Chit Moe</v>
          </cell>
          <cell r="F134" t="str">
            <v>09-407176226</v>
          </cell>
          <cell r="G134" t="str">
            <v>မင်္ဂလာတောင်ညွန့်</v>
          </cell>
          <cell r="H134" t="str">
            <v>အမှတ် (၃၉)၊ (၃) လွှာ၊ (၁၂၅) လမ်း၊ မင်္ဂလာတောင်ညွန့်မြို့နယ်</v>
          </cell>
          <cell r="I134">
            <v>39500</v>
          </cell>
          <cell r="J134">
            <v>4000</v>
          </cell>
          <cell r="K134">
            <v>43500</v>
          </cell>
          <cell r="L134">
            <v>4000</v>
          </cell>
          <cell r="M134">
            <v>4000</v>
          </cell>
          <cell r="O134" t="str">
            <v>-</v>
          </cell>
          <cell r="P134">
            <v>43500</v>
          </cell>
        </row>
        <row r="135">
          <cell r="C135" t="str">
            <v>D0905-KSC-129</v>
          </cell>
          <cell r="D135" t="str">
            <v>KS Cosmetic</v>
          </cell>
          <cell r="E135" t="str">
            <v>အိအိချော</v>
          </cell>
          <cell r="F135" t="str">
            <v>09-796058589</v>
          </cell>
          <cell r="G135" t="str">
            <v>Royal</v>
          </cell>
          <cell r="H135" t="str">
            <v>AYA Bank၊ အမှတ် (၂၂)၊ ဒုတိယလမ်း၊ (၆) ရပ်ကွက်၊ ဖျာပုံ</v>
          </cell>
          <cell r="I135">
            <v>81500</v>
          </cell>
          <cell r="J135">
            <v>5000</v>
          </cell>
          <cell r="K135">
            <v>86500</v>
          </cell>
          <cell r="L135" t="str">
            <v>-</v>
          </cell>
          <cell r="M135">
            <v>5000</v>
          </cell>
          <cell r="O135" t="str">
            <v>-</v>
          </cell>
          <cell r="P135">
            <v>86500</v>
          </cell>
        </row>
        <row r="136">
          <cell r="C136" t="str">
            <v>D0905-KSC-130</v>
          </cell>
          <cell r="D136" t="str">
            <v>KS Cosmetic</v>
          </cell>
          <cell r="E136" t="str">
            <v>Hnin Ei</v>
          </cell>
          <cell r="F136" t="str">
            <v>09-953082848</v>
          </cell>
          <cell r="G136" t="str">
            <v>တောင်ဥက္ကလာပ</v>
          </cell>
          <cell r="H136" t="str">
            <v>Akkhaya Tea House၊ Parami Inno City ရှေ့၊ (ပါရမီကားဝင်းအနီး)၊ တောင်ဥက္ကလာပမြို့နယ်</v>
          </cell>
          <cell r="I136">
            <v>79000</v>
          </cell>
          <cell r="J136">
            <v>4000</v>
          </cell>
          <cell r="K136">
            <v>83000</v>
          </cell>
          <cell r="L136">
            <v>4000</v>
          </cell>
          <cell r="M136">
            <v>4000</v>
          </cell>
          <cell r="O136" t="str">
            <v>-</v>
          </cell>
          <cell r="P136">
            <v>83000</v>
          </cell>
        </row>
        <row r="137">
          <cell r="C137" t="str">
            <v>D0905-KSC-131</v>
          </cell>
          <cell r="D137" t="str">
            <v>KS Cosmetic</v>
          </cell>
          <cell r="E137" t="str">
            <v>Khin Thae Mar</v>
          </cell>
          <cell r="F137" t="str">
            <v>09-988492687</v>
          </cell>
          <cell r="G137" t="str">
            <v>ပန်းဘဲတန်း</v>
          </cell>
          <cell r="H137" t="str">
            <v>Central Hotel၊ ဗိုလ်ချုပ်လမ်းမပေါ်၊ (၃၁) လမ်း၊ ပန်းဘဲတန်းမြို့နယ်</v>
          </cell>
          <cell r="I137">
            <v>81500</v>
          </cell>
          <cell r="J137">
            <v>4000</v>
          </cell>
          <cell r="K137">
            <v>85500</v>
          </cell>
          <cell r="L137">
            <v>4000</v>
          </cell>
          <cell r="M137">
            <v>4000</v>
          </cell>
          <cell r="O137" t="str">
            <v>-</v>
          </cell>
          <cell r="P137">
            <v>85500</v>
          </cell>
        </row>
        <row r="138">
          <cell r="C138" t="str">
            <v>D0905-KSC-132</v>
          </cell>
          <cell r="D138" t="str">
            <v>KS Cosmetic</v>
          </cell>
          <cell r="E138" t="str">
            <v>အောင်အောင်</v>
          </cell>
          <cell r="F138" t="str">
            <v>09-798619026</v>
          </cell>
          <cell r="G138" t="str">
            <v>မန္တလေး</v>
          </cell>
          <cell r="H138" t="str">
            <v>(၁၁၆) လမ်း၊ (65D) လမ်း၊ ပြည်ကြီးတံခွန်မြို့နယ်၊ မန္တလေး</v>
          </cell>
          <cell r="I138">
            <v>79000</v>
          </cell>
          <cell r="J138" t="str">
            <v>-</v>
          </cell>
          <cell r="K138">
            <v>79000</v>
          </cell>
          <cell r="L138">
            <v>6000</v>
          </cell>
          <cell r="M138" t="str">
            <v>-</v>
          </cell>
          <cell r="O138" t="str">
            <v>-</v>
          </cell>
          <cell r="P138">
            <v>79000</v>
          </cell>
        </row>
        <row r="139">
          <cell r="C139" t="str">
            <v>D0905-KSC-133</v>
          </cell>
          <cell r="D139" t="str">
            <v>KS Cosmetic</v>
          </cell>
          <cell r="E139" t="str">
            <v>Hnin Hnin Yu</v>
          </cell>
          <cell r="F139" t="str">
            <v>09-790631033</v>
          </cell>
          <cell r="G139" t="str">
            <v>အရှေ့ဒဂုံ</v>
          </cell>
          <cell r="H139" t="str">
            <v>ပင်းယ (၁) လမ်း၊ (၆) ရပ်ကွက်၊ အရှေ့ဒဂုံမြို့နယ်</v>
          </cell>
          <cell r="I139">
            <v>81500</v>
          </cell>
          <cell r="J139">
            <v>4000</v>
          </cell>
          <cell r="K139">
            <v>85500</v>
          </cell>
          <cell r="L139">
            <v>4000</v>
          </cell>
          <cell r="M139">
            <v>4000</v>
          </cell>
          <cell r="O139" t="str">
            <v>-</v>
          </cell>
          <cell r="P139">
            <v>85500</v>
          </cell>
        </row>
        <row r="140">
          <cell r="C140" t="str">
            <v>D0905-KSC-134</v>
          </cell>
          <cell r="D140" t="str">
            <v>KS Cosmetic</v>
          </cell>
          <cell r="E140" t="str">
            <v>Shwe Bo Thu</v>
          </cell>
          <cell r="F140" t="str">
            <v>09-422152428</v>
          </cell>
          <cell r="G140" t="str">
            <v>လှိုင်သာယာ</v>
          </cell>
          <cell r="H140" t="str">
            <v>(၁၂၄)၊ (၂၀) ဈေး၊ လှိုင်သာယာမြို့နယ်</v>
          </cell>
          <cell r="I140">
            <v>158000</v>
          </cell>
          <cell r="J140">
            <v>4500</v>
          </cell>
          <cell r="K140">
            <v>162500</v>
          </cell>
          <cell r="L140">
            <v>4500</v>
          </cell>
          <cell r="M140">
            <v>4500</v>
          </cell>
          <cell r="O140" t="str">
            <v>-</v>
          </cell>
          <cell r="P140">
            <v>162500</v>
          </cell>
        </row>
        <row r="141">
          <cell r="C141" t="str">
            <v>D0905-KSC-135</v>
          </cell>
          <cell r="D141" t="str">
            <v>KS Cosmetic</v>
          </cell>
          <cell r="E141" t="str">
            <v>Noralin</v>
          </cell>
          <cell r="F141" t="str">
            <v>09-750844611</v>
          </cell>
          <cell r="G141" t="str">
            <v>Royal</v>
          </cell>
          <cell r="H141" t="str">
            <v>ကျောက်ဆည်</v>
          </cell>
          <cell r="I141">
            <v>42000</v>
          </cell>
          <cell r="J141">
            <v>6000</v>
          </cell>
          <cell r="K141">
            <v>48000</v>
          </cell>
          <cell r="L141" t="str">
            <v>-</v>
          </cell>
          <cell r="M141">
            <v>6000</v>
          </cell>
          <cell r="O141" t="str">
            <v>-</v>
          </cell>
          <cell r="P141">
            <v>48000</v>
          </cell>
        </row>
        <row r="142">
          <cell r="C142" t="str">
            <v>D0905-KSC-136</v>
          </cell>
          <cell r="D142" t="str">
            <v>KS Cosmetic</v>
          </cell>
          <cell r="E142" t="str">
            <v>စန္ဒာစိုး</v>
          </cell>
          <cell r="F142" t="str">
            <v>09-984291941</v>
          </cell>
          <cell r="G142" t="str">
            <v>မရမ်းကုန်း</v>
          </cell>
          <cell r="H142" t="str">
            <v>အင်းစိန်လမ်းမကြီး၊ (ခဝဲခြံမှတ်တိုင်)၊ (Marko ဘေး)၊ မရမ်းကုန်းမြို့နယ်</v>
          </cell>
          <cell r="I142">
            <v>362500</v>
          </cell>
          <cell r="J142">
            <v>4000</v>
          </cell>
          <cell r="K142">
            <v>366500</v>
          </cell>
          <cell r="L142">
            <v>4000</v>
          </cell>
          <cell r="M142">
            <v>4000</v>
          </cell>
          <cell r="O142" t="str">
            <v>-</v>
          </cell>
          <cell r="P142">
            <v>366500</v>
          </cell>
        </row>
        <row r="143">
          <cell r="C143" t="str">
            <v>D0905-KSC-137</v>
          </cell>
          <cell r="D143" t="str">
            <v>KS Cosmetic</v>
          </cell>
          <cell r="E143" t="str">
            <v>လှလှ</v>
          </cell>
          <cell r="F143" t="str">
            <v>09-799010867</v>
          </cell>
          <cell r="G143" t="str">
            <v>မန္တလေး</v>
          </cell>
          <cell r="H143" t="str">
            <v>တော်ဝင်စက်ချုပ်သင်တန်း၊ (၂၆) လမ်း၊ ၇၈ x ၇၉ လမ်းကြား၊ အောင်မြေသာစံမြို့နယ်၊ မန္တလေး</v>
          </cell>
          <cell r="I143">
            <v>79000</v>
          </cell>
          <cell r="J143">
            <v>6000</v>
          </cell>
          <cell r="K143">
            <v>85000</v>
          </cell>
          <cell r="L143">
            <v>6000</v>
          </cell>
          <cell r="M143">
            <v>6000</v>
          </cell>
          <cell r="O143" t="str">
            <v>-</v>
          </cell>
          <cell r="P143">
            <v>85000</v>
          </cell>
        </row>
        <row r="144">
          <cell r="C144" t="str">
            <v>D0905-KSC-138</v>
          </cell>
          <cell r="D144" t="str">
            <v>KS Cosmetic</v>
          </cell>
          <cell r="E144" t="str">
            <v>သရဖီ</v>
          </cell>
          <cell r="F144" t="str">
            <v>09-774290224</v>
          </cell>
          <cell r="G144" t="str">
            <v>လသာ</v>
          </cell>
          <cell r="H144" t="str">
            <v>ရန်ကုန်သံလွင် Hotel၊ လသာမြို့နယ်</v>
          </cell>
          <cell r="I144">
            <v>39500</v>
          </cell>
          <cell r="J144">
            <v>4000</v>
          </cell>
          <cell r="K144">
            <v>43500</v>
          </cell>
          <cell r="L144">
            <v>4000</v>
          </cell>
          <cell r="M144">
            <v>4000</v>
          </cell>
          <cell r="O144" t="str">
            <v>-</v>
          </cell>
          <cell r="P144">
            <v>43500</v>
          </cell>
        </row>
        <row r="145">
          <cell r="C145" t="str">
            <v>D0905-KSC-139</v>
          </cell>
          <cell r="D145" t="str">
            <v>KS Cosmetic</v>
          </cell>
          <cell r="E145" t="str">
            <v>Naw Htoo Gay Phaw</v>
          </cell>
          <cell r="F145" t="str">
            <v>09-797677786</v>
          </cell>
          <cell r="G145" t="str">
            <v>ပုဇွန်တောင်</v>
          </cell>
          <cell r="H145" t="str">
            <v>Emperor Air Cargo အမှတ် (၂၀၆/၂၀၈)၊ မြေညီထပ်၊ ဗိုလ်တထောင်ဘုရားလမ်း (အလယ်)၊ ပုဇွန်တောင်မြို့နယ် [Singapore: +65-86476253]</v>
          </cell>
          <cell r="I145" t="str">
            <v>-</v>
          </cell>
          <cell r="J145" t="str">
            <v>-</v>
          </cell>
          <cell r="K145" t="str">
            <v>-</v>
          </cell>
          <cell r="L145">
            <v>4000</v>
          </cell>
          <cell r="M145" t="str">
            <v>-</v>
          </cell>
          <cell r="O145" t="str">
            <v>-</v>
          </cell>
          <cell r="P145" t="str">
            <v>-</v>
          </cell>
        </row>
        <row r="146">
          <cell r="C146" t="str">
            <v>D0905-KSC-140</v>
          </cell>
          <cell r="D146" t="str">
            <v>KS Cosmetic</v>
          </cell>
          <cell r="E146" t="str">
            <v>ကိုနောင်နောင်သံဆိုင်</v>
          </cell>
          <cell r="F146" t="str">
            <v>09-766185770</v>
          </cell>
          <cell r="G146" t="str">
            <v>ဒေါပုံ</v>
          </cell>
          <cell r="H146" t="str">
            <v>သင်္ဘောကျင်းရပ်ကွက်၊ (ဂိတ်ဟောင်းကားမှတ်တိုင် အောင်သုခလမ်းအဆုံး)၊ ဒေါပုံမြို့နယ်</v>
          </cell>
          <cell r="I146">
            <v>39500</v>
          </cell>
          <cell r="J146">
            <v>4000</v>
          </cell>
          <cell r="K146">
            <v>43500</v>
          </cell>
          <cell r="L146">
            <v>4000</v>
          </cell>
          <cell r="M146">
            <v>4000</v>
          </cell>
          <cell r="O146" t="str">
            <v>-</v>
          </cell>
          <cell r="P146">
            <v>43500</v>
          </cell>
        </row>
        <row r="147">
          <cell r="C147" t="str">
            <v>D0905-KSC-141</v>
          </cell>
          <cell r="D147" t="str">
            <v>KS Cosmetic</v>
          </cell>
          <cell r="E147" t="str">
            <v>မချစ်ချစ်ဇော်</v>
          </cell>
          <cell r="F147" t="str">
            <v>09-250232040</v>
          </cell>
          <cell r="G147" t="str">
            <v>Royal</v>
          </cell>
          <cell r="H147" t="str">
            <v>ရတနာကုန်ခြောက်ဆိုင်၊ အိမ်မဲ</v>
          </cell>
          <cell r="I147">
            <v>39500</v>
          </cell>
          <cell r="J147">
            <v>5000</v>
          </cell>
          <cell r="K147">
            <v>44500</v>
          </cell>
          <cell r="L147" t="str">
            <v>-</v>
          </cell>
          <cell r="M147">
            <v>5000</v>
          </cell>
          <cell r="O147" t="str">
            <v>-</v>
          </cell>
          <cell r="P147">
            <v>44500</v>
          </cell>
        </row>
        <row r="148">
          <cell r="C148" t="str">
            <v>D0905-KSC-142</v>
          </cell>
          <cell r="D148" t="str">
            <v>KS Cosmetic</v>
          </cell>
          <cell r="E148" t="str">
            <v>Hnin</v>
          </cell>
          <cell r="F148" t="str">
            <v>09-451836069</v>
          </cell>
          <cell r="G148" t="str">
            <v>လမ်းမတော်</v>
          </cell>
          <cell r="H148" t="str">
            <v>(၂) ရပ်ကွက်၊ လမ်းမတော်မြို့နယ်</v>
          </cell>
          <cell r="I148">
            <v>39500</v>
          </cell>
          <cell r="J148">
            <v>4000</v>
          </cell>
          <cell r="K148">
            <v>43500</v>
          </cell>
          <cell r="L148">
            <v>4000</v>
          </cell>
          <cell r="M148">
            <v>4000</v>
          </cell>
          <cell r="O148" t="str">
            <v>-</v>
          </cell>
          <cell r="P148">
            <v>43500</v>
          </cell>
        </row>
        <row r="149">
          <cell r="C149" t="str">
            <v>D0905-KSC-143</v>
          </cell>
          <cell r="D149" t="str">
            <v>KS Cosmetic</v>
          </cell>
          <cell r="E149" t="str">
            <v>Yum Nadi</v>
          </cell>
          <cell r="F149" t="str">
            <v>09-676740084</v>
          </cell>
          <cell r="G149" t="str">
            <v>အရှေ့ဒဂုံ</v>
          </cell>
          <cell r="H149" t="str">
            <v>ကောလင်း (၂) လမ်း၊ (၇) ရပ်ကွက်၊ အရှေ့ဒဂုံမြို့နယ်</v>
          </cell>
          <cell r="I149">
            <v>39500</v>
          </cell>
          <cell r="J149">
            <v>4000</v>
          </cell>
          <cell r="K149">
            <v>43500</v>
          </cell>
          <cell r="L149">
            <v>4000</v>
          </cell>
          <cell r="M149">
            <v>4000</v>
          </cell>
          <cell r="O149" t="str">
            <v>-</v>
          </cell>
          <cell r="P149">
            <v>43500</v>
          </cell>
        </row>
        <row r="150">
          <cell r="C150" t="str">
            <v>D0905-KSC-144</v>
          </cell>
          <cell r="D150" t="str">
            <v>KS Cosmetic</v>
          </cell>
          <cell r="E150" t="str">
            <v>မယမင်း</v>
          </cell>
          <cell r="F150" t="str">
            <v>09-5157259</v>
          </cell>
          <cell r="G150" t="str">
            <v>သင်္ဃန်းကျွန်း</v>
          </cell>
          <cell r="H150" t="str">
            <v>အမှတ် (၂၂၀)၊ အခန်း (၁)၊ မဟော်ဂနီလမ်း၊ (၂၅) ရပ်ကွက်၊ သုဝဏ္ဏ၊ သင်္ဃန်းကျွန်းမြို့နယ်</v>
          </cell>
          <cell r="I150">
            <v>39500</v>
          </cell>
          <cell r="J150">
            <v>4000</v>
          </cell>
          <cell r="K150">
            <v>43500</v>
          </cell>
          <cell r="L150">
            <v>4000</v>
          </cell>
          <cell r="M150">
            <v>4000</v>
          </cell>
          <cell r="O150" t="str">
            <v>-</v>
          </cell>
          <cell r="P150">
            <v>43500</v>
          </cell>
        </row>
        <row r="151">
          <cell r="C151" t="str">
            <v>D0905-KSC-145</v>
          </cell>
          <cell r="D151" t="str">
            <v>KS Cosmetic</v>
          </cell>
          <cell r="E151" t="str">
            <v>Love</v>
          </cell>
          <cell r="F151" t="str">
            <v>09-440715031</v>
          </cell>
          <cell r="G151" t="str">
            <v>သာကေတ</v>
          </cell>
          <cell r="H151" t="str">
            <v>အနော်မာ (၁၅) လမ်း၊ (အနောက်) ရပ်ကွက်၊ သာကေတမြို့နယ်</v>
          </cell>
          <cell r="I151">
            <v>39500</v>
          </cell>
          <cell r="J151">
            <v>4000</v>
          </cell>
          <cell r="K151">
            <v>43500</v>
          </cell>
          <cell r="L151">
            <v>4000</v>
          </cell>
          <cell r="M151">
            <v>4000</v>
          </cell>
          <cell r="O151" t="str">
            <v>-</v>
          </cell>
          <cell r="P151">
            <v>43500</v>
          </cell>
        </row>
        <row r="152">
          <cell r="C152" t="str">
            <v>D0905-KSC-146</v>
          </cell>
          <cell r="D152" t="str">
            <v>KS Cosmetic</v>
          </cell>
          <cell r="E152" t="str">
            <v>ပျိုပျို</v>
          </cell>
          <cell r="F152" t="str">
            <v>09-796872231</v>
          </cell>
          <cell r="G152" t="str">
            <v>တောင်ဒဂုံ</v>
          </cell>
          <cell r="H152" t="str">
            <v>အမှတ် (၁၁၅၅)၊ ဇီဇဝါလမ်း၊ (၆၅) ရပ်ကွက်၊ တောင်ဒဂုံမြို့နယ်</v>
          </cell>
          <cell r="I152">
            <v>39500</v>
          </cell>
          <cell r="J152">
            <v>4000</v>
          </cell>
          <cell r="K152">
            <v>43500</v>
          </cell>
          <cell r="L152">
            <v>4000</v>
          </cell>
          <cell r="M152">
            <v>4000</v>
          </cell>
          <cell r="O152" t="str">
            <v>-</v>
          </cell>
          <cell r="P152">
            <v>43500</v>
          </cell>
        </row>
        <row r="153">
          <cell r="C153" t="str">
            <v>D0905-KSC-147</v>
          </cell>
          <cell r="D153" t="str">
            <v>KS Cosmetic</v>
          </cell>
          <cell r="E153" t="str">
            <v>မခင်စန်းမွန်</v>
          </cell>
          <cell r="F153" t="str">
            <v>09-661947363</v>
          </cell>
          <cell r="G153" t="str">
            <v>Royal</v>
          </cell>
          <cell r="H153" t="str">
            <v>ညောင်နွယ်၊ ပျော်ဘွယ်၊ မန္တလေးတိုင်း</v>
          </cell>
          <cell r="I153">
            <v>39500</v>
          </cell>
          <cell r="J153">
            <v>6000</v>
          </cell>
          <cell r="K153">
            <v>45500</v>
          </cell>
          <cell r="L153" t="str">
            <v>-</v>
          </cell>
          <cell r="M153">
            <v>6000</v>
          </cell>
          <cell r="O153" t="str">
            <v>-</v>
          </cell>
          <cell r="P153">
            <v>45500</v>
          </cell>
        </row>
        <row r="154">
          <cell r="C154" t="str">
            <v>D0905-KSC-148</v>
          </cell>
          <cell r="D154" t="str">
            <v>KS Cosmetic</v>
          </cell>
          <cell r="E154" t="str">
            <v>Oo Zay Yar</v>
          </cell>
          <cell r="F154" t="str">
            <v>09-666100355</v>
          </cell>
          <cell r="G154" t="str">
            <v>မရမ်းကုန်း</v>
          </cell>
          <cell r="H154" t="str">
            <v>အမှတ် (၄၀၆)၊ (၉) လမ်း၊ (၁) ရပ်ကွက်၊ မရမ်းကုန်းမြို့နယ်</v>
          </cell>
          <cell r="I154">
            <v>42000</v>
          </cell>
          <cell r="J154">
            <v>4000</v>
          </cell>
          <cell r="K154">
            <v>46000</v>
          </cell>
          <cell r="L154">
            <v>4000</v>
          </cell>
          <cell r="M154">
            <v>4000</v>
          </cell>
          <cell r="O154" t="str">
            <v>-</v>
          </cell>
          <cell r="P154">
            <v>46000</v>
          </cell>
        </row>
        <row r="155">
          <cell r="C155" t="str">
            <v>D0905-KSC-149</v>
          </cell>
          <cell r="D155" t="str">
            <v>KS Cosmetic</v>
          </cell>
          <cell r="E155" t="str">
            <v>Jadomphyo</v>
          </cell>
          <cell r="F155" t="str">
            <v>09-974740020</v>
          </cell>
          <cell r="G155" t="str">
            <v>သာကေတ</v>
          </cell>
          <cell r="H155" t="str">
            <v>ဒေါ်ငွေသိမ်း မြန်မာထမင်းဆိုင်၊ (ရန်အောင်မှတ်တိုင်)၊ သာကေတမြို့နယ်</v>
          </cell>
          <cell r="I155">
            <v>39500</v>
          </cell>
          <cell r="J155">
            <v>4000</v>
          </cell>
          <cell r="K155">
            <v>43500</v>
          </cell>
          <cell r="L155">
            <v>4000</v>
          </cell>
          <cell r="M155">
            <v>4000</v>
          </cell>
          <cell r="O155" t="str">
            <v>-</v>
          </cell>
          <cell r="P155">
            <v>43500</v>
          </cell>
        </row>
        <row r="156">
          <cell r="C156" t="str">
            <v>D0905-KSC-150</v>
          </cell>
          <cell r="D156" t="str">
            <v>KS Cosmetic</v>
          </cell>
          <cell r="E156" t="str">
            <v>ဆုရည်ထွန်း</v>
          </cell>
          <cell r="F156" t="str">
            <v>09-777513936</v>
          </cell>
          <cell r="G156" t="str">
            <v>ကြည့်မြင်တိုင်</v>
          </cell>
          <cell r="H156" t="str">
            <v>(တိုက်စတိုးရှေ့)၊ တိုက် (၁)၊ အခန်း (၃၀)၊ ထီးတန်း (၂) လမ်းထိပ်၊ ကြည့်မြင်တိုင်မြို့နယ်</v>
          </cell>
          <cell r="I156">
            <v>39500</v>
          </cell>
          <cell r="J156">
            <v>4000</v>
          </cell>
          <cell r="K156">
            <v>43500</v>
          </cell>
          <cell r="L156">
            <v>4000</v>
          </cell>
          <cell r="M156">
            <v>4000</v>
          </cell>
          <cell r="O156" t="str">
            <v>-</v>
          </cell>
          <cell r="P156">
            <v>43500</v>
          </cell>
        </row>
        <row r="157">
          <cell r="C157" t="str">
            <v>D0905-KSC-151</v>
          </cell>
          <cell r="D157" t="str">
            <v>KS Cosmetic</v>
          </cell>
          <cell r="E157" t="str">
            <v>Nic</v>
          </cell>
          <cell r="F157" t="str">
            <v>09-252026771</v>
          </cell>
          <cell r="G157" t="str">
            <v>တောင်ဒဂုံ</v>
          </cell>
          <cell r="H157" t="str">
            <v>ဗဟိုစည်ဈေး၊ အမှတ် (၇၁)၊ တောင်ဒဂုံမြို့နယ်</v>
          </cell>
          <cell r="I157">
            <v>39500</v>
          </cell>
          <cell r="J157">
            <v>4000</v>
          </cell>
          <cell r="K157">
            <v>43500</v>
          </cell>
          <cell r="L157">
            <v>4000</v>
          </cell>
          <cell r="M157">
            <v>4000</v>
          </cell>
          <cell r="O157" t="str">
            <v>-</v>
          </cell>
          <cell r="P157">
            <v>43500</v>
          </cell>
        </row>
        <row r="158">
          <cell r="C158" t="str">
            <v>D0905-KSC-152</v>
          </cell>
          <cell r="D158" t="str">
            <v>KS Cosmetic</v>
          </cell>
          <cell r="E158" t="str">
            <v>Myat Noe</v>
          </cell>
          <cell r="F158" t="str">
            <v>09-759644704</v>
          </cell>
          <cell r="G158" t="str">
            <v>အရှေ့ဒဂုံ</v>
          </cell>
          <cell r="H158" t="str">
            <v>အမှတ် (၂၉၄)၊ ဧရာဝတီလမ်း၊ (၁၁) ရပ်ကွက်၊ အရှေ့ဒဂုံမြို့နယ်</v>
          </cell>
          <cell r="I158">
            <v>39500</v>
          </cell>
          <cell r="J158">
            <v>4000</v>
          </cell>
          <cell r="K158">
            <v>43500</v>
          </cell>
          <cell r="L158">
            <v>4000</v>
          </cell>
          <cell r="M158">
            <v>4000</v>
          </cell>
          <cell r="O158" t="str">
            <v>-</v>
          </cell>
          <cell r="P158">
            <v>43500</v>
          </cell>
        </row>
        <row r="159">
          <cell r="C159" t="str">
            <v>D0905-KSC-153</v>
          </cell>
          <cell r="D159" t="str">
            <v>KS Cosmetic</v>
          </cell>
          <cell r="E159" t="str">
            <v>ထားသခင်</v>
          </cell>
          <cell r="F159" t="str">
            <v>09-259217112</v>
          </cell>
          <cell r="G159" t="str">
            <v>မန္တလေး</v>
          </cell>
          <cell r="H159" t="str">
            <v>(၇၆) လမ်း၊ ၃၁ x ၃၂ လမ်းကြား၊ မန္တလေး</v>
          </cell>
          <cell r="I159">
            <v>163000</v>
          </cell>
          <cell r="J159">
            <v>6000</v>
          </cell>
          <cell r="K159">
            <v>169000</v>
          </cell>
          <cell r="L159">
            <v>6000</v>
          </cell>
          <cell r="M159">
            <v>6000</v>
          </cell>
          <cell r="O159" t="str">
            <v>-</v>
          </cell>
          <cell r="P159">
            <v>169000</v>
          </cell>
        </row>
        <row r="160">
          <cell r="C160" t="str">
            <v>D0905-KSC-154</v>
          </cell>
          <cell r="D160" t="str">
            <v>KS Cosmetic</v>
          </cell>
          <cell r="E160" t="str">
            <v>Ya Ya</v>
          </cell>
          <cell r="F160" t="str">
            <v>09-668133495</v>
          </cell>
          <cell r="G160" t="str">
            <v>စမ်းချောင်း</v>
          </cell>
          <cell r="H160" t="str">
            <v>စမ်းချောင်းဂါးဒန်းကွန်ဒို၊ စမ်းချောင်းလမ်း၊ စမ်းချောင်းမြို့နယ်</v>
          </cell>
          <cell r="I160">
            <v>39500</v>
          </cell>
          <cell r="J160">
            <v>4000</v>
          </cell>
          <cell r="K160">
            <v>43500</v>
          </cell>
          <cell r="L160">
            <v>4000</v>
          </cell>
          <cell r="M160">
            <v>4000</v>
          </cell>
          <cell r="O160" t="str">
            <v>-</v>
          </cell>
          <cell r="P160">
            <v>43500</v>
          </cell>
        </row>
        <row r="161">
          <cell r="C161" t="str">
            <v>D0905-KSC-155</v>
          </cell>
          <cell r="D161" t="str">
            <v>KS Cosmetic</v>
          </cell>
          <cell r="E161" t="str">
            <v>မရွှေဇင်လှိုင်</v>
          </cell>
          <cell r="F161" t="str">
            <v>09-668945241
09-2017173</v>
          </cell>
          <cell r="G161" t="str">
            <v>မန္တလေး</v>
          </cell>
          <cell r="H161" t="str">
            <v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v>
          </cell>
          <cell r="I161">
            <v>39500</v>
          </cell>
          <cell r="J161">
            <v>6000</v>
          </cell>
          <cell r="K161">
            <v>45500</v>
          </cell>
          <cell r="L161">
            <v>6000</v>
          </cell>
          <cell r="M161">
            <v>6000</v>
          </cell>
          <cell r="O161" t="str">
            <v>-</v>
          </cell>
          <cell r="P161">
            <v>45500</v>
          </cell>
        </row>
        <row r="162">
          <cell r="C162" t="str">
            <v>D0905-KSC-156</v>
          </cell>
          <cell r="D162" t="str">
            <v>KS Cosmetic</v>
          </cell>
          <cell r="E162" t="str">
            <v>Shine Lady Fashion</v>
          </cell>
          <cell r="F162" t="str">
            <v>09-686054652</v>
          </cell>
          <cell r="G162" t="str">
            <v>မြောက်ဥက္ကလာပ</v>
          </cell>
          <cell r="H162" t="str">
            <v>(၂၀) ရပ်ကွက်၊ ရွှေပေါက်ကံ၊ (မင်းထူးကျော်မှတ်တိုင်)၊ မြောက်ဥက္ကလာပမြို့နယ်</v>
          </cell>
          <cell r="I162">
            <v>39500</v>
          </cell>
          <cell r="J162">
            <v>4500</v>
          </cell>
          <cell r="K162">
            <v>44000</v>
          </cell>
          <cell r="L162">
            <v>4500</v>
          </cell>
          <cell r="M162">
            <v>4500</v>
          </cell>
          <cell r="O162" t="str">
            <v>-</v>
          </cell>
          <cell r="P162">
            <v>44000</v>
          </cell>
        </row>
        <row r="163">
          <cell r="C163" t="str">
            <v>D0905-KSC-157</v>
          </cell>
          <cell r="D163" t="str">
            <v>KS Cosmetic</v>
          </cell>
          <cell r="E163" t="str">
            <v>ကြူကြူစန်း</v>
          </cell>
          <cell r="F163" t="str">
            <v>09-770694034</v>
          </cell>
          <cell r="G163" t="str">
            <v>အရှေ့ဒဂုံ</v>
          </cell>
          <cell r="H163" t="str">
            <v>ခြံအမှတ် (၄)၊ ကနောင်မင်းသားကြီးလမ်း၊ အရှေ့ဒဂုံစက်မှုဇုန်၊ အရှေ့ဒဂုံမြို့နယ်</v>
          </cell>
          <cell r="I163">
            <v>39500</v>
          </cell>
          <cell r="J163">
            <v>4000</v>
          </cell>
          <cell r="K163">
            <v>43500</v>
          </cell>
          <cell r="L163">
            <v>4000</v>
          </cell>
          <cell r="M163">
            <v>4000</v>
          </cell>
          <cell r="O163" t="str">
            <v>-</v>
          </cell>
          <cell r="P163">
            <v>43500</v>
          </cell>
        </row>
        <row r="164">
          <cell r="C164" t="str">
            <v>D0905-KSC-158</v>
          </cell>
          <cell r="D164" t="str">
            <v>KS Cosmetic</v>
          </cell>
          <cell r="E164" t="str">
            <v>Hsu</v>
          </cell>
          <cell r="F164" t="str">
            <v>09-988243560</v>
          </cell>
          <cell r="G164" t="str">
            <v>မန္တလေး</v>
          </cell>
          <cell r="H164" t="str">
            <v>(37B) လမ်း၊ ၇၆ x ၇၇ လမ်းကြား၊ မဟာအောင်မြေမြို့နယ်၊ မန္တလေး</v>
          </cell>
          <cell r="I164">
            <v>158000</v>
          </cell>
          <cell r="J164">
            <v>6000</v>
          </cell>
          <cell r="K164">
            <v>164000</v>
          </cell>
          <cell r="L164">
            <v>6000</v>
          </cell>
          <cell r="M164">
            <v>6000</v>
          </cell>
          <cell r="O164" t="str">
            <v>-</v>
          </cell>
          <cell r="P164">
            <v>164000</v>
          </cell>
        </row>
        <row r="165">
          <cell r="C165" t="str">
            <v>D0905-KSC-159</v>
          </cell>
          <cell r="D165" t="str">
            <v>KS Cosmetic</v>
          </cell>
          <cell r="E165" t="str">
            <v>ဒေါ်ထွေးထွေး</v>
          </cell>
          <cell r="F165" t="str">
            <v>09-897859116</v>
          </cell>
          <cell r="G165" t="str">
            <v>နေပြည်တော်</v>
          </cell>
          <cell r="H165" t="str">
            <v>သဇင်လမ်း၊ ရွှေကြာပင်ရပ်ကွက်၊ ဇမ္ဗူသီရိမြို့နယ်၊ နေပြည်တော်</v>
          </cell>
          <cell r="I165">
            <v>39500</v>
          </cell>
          <cell r="J165">
            <v>6000</v>
          </cell>
          <cell r="K165">
            <v>45500</v>
          </cell>
          <cell r="L165">
            <v>6000</v>
          </cell>
          <cell r="M165">
            <v>6000</v>
          </cell>
          <cell r="O165" t="str">
            <v>-</v>
          </cell>
          <cell r="P165">
            <v>45500</v>
          </cell>
        </row>
        <row r="166">
          <cell r="C166" t="str">
            <v>D0905-KSC-160</v>
          </cell>
          <cell r="D166" t="str">
            <v>KS Cosmetic</v>
          </cell>
          <cell r="E166" t="str">
            <v>မိုးမိုး</v>
          </cell>
          <cell r="F166" t="str">
            <v>09-755960431</v>
          </cell>
          <cell r="G166" t="str">
            <v>သင်္ဃန်းကျွန်း</v>
          </cell>
          <cell r="H166" t="str">
            <v>အမှတ် (၄၀)၊ သဇင်ပန်းလမ်း၊ (ဈေးလေးထိပ်)၊ သင်္ဃန်းကျွန်းမြို့နယ်</v>
          </cell>
          <cell r="I166">
            <v>79000</v>
          </cell>
          <cell r="J166">
            <v>4000</v>
          </cell>
          <cell r="K166">
            <v>83000</v>
          </cell>
          <cell r="L166">
            <v>4000</v>
          </cell>
          <cell r="M166">
            <v>4000</v>
          </cell>
          <cell r="O166" t="str">
            <v>-</v>
          </cell>
          <cell r="P166">
            <v>83000</v>
          </cell>
        </row>
        <row r="167">
          <cell r="C167" t="str">
            <v>D0906-GRS-001</v>
          </cell>
          <cell r="D167" t="str">
            <v>GRS Express</v>
          </cell>
          <cell r="E167" t="str">
            <v>Hla Htay</v>
          </cell>
          <cell r="F167" t="str">
            <v>09-421158679</v>
          </cell>
          <cell r="G167" t="str">
            <v>ကျောက်တံတား</v>
          </cell>
          <cell r="H167" t="str">
            <v>(၃၇) လမ်း (အောက်ဆုံးဘလောက်)၊ ကုန်သည်လမ်း နှင့် ကမ်းနားလမ်းကြား၊ ကျောက်တံတားမြို့နယ်</v>
          </cell>
          <cell r="I167">
            <v>35000</v>
          </cell>
          <cell r="J167" t="str">
            <v>-</v>
          </cell>
          <cell r="K167">
            <v>35000</v>
          </cell>
          <cell r="L167">
            <v>4000</v>
          </cell>
          <cell r="M167" t="str">
            <v>-</v>
          </cell>
          <cell r="O167" t="str">
            <v>-</v>
          </cell>
          <cell r="P167">
            <v>35000</v>
          </cell>
          <cell r="R167" t="str">
            <v>ရုံးဖွင့်ရက်  ရုံးချိန်အတွင်းပို့ရန်</v>
          </cell>
        </row>
        <row r="168">
          <cell r="C168" t="str">
            <v>D0906-GRS-002</v>
          </cell>
          <cell r="D168" t="str">
            <v>GRS Express</v>
          </cell>
          <cell r="E168" t="str">
            <v>Thin zar Thein</v>
          </cell>
          <cell r="F168" t="str">
            <v>09-420245880</v>
          </cell>
          <cell r="G168" t="str">
            <v>စမ်းချောင်း</v>
          </cell>
          <cell r="H168" t="str">
            <v>ပန်းလှိုင်လမ်း၊ (အာရှတော်ဝင်ဆေးရုံရှေ့)၊ (သုခရိပ်ကဖေး နှင့် မျက်နှာချင်းဆိုင်တိုက်)၊ စမ်းချောင်းမြို့နယ်</v>
          </cell>
          <cell r="I168">
            <v>111000</v>
          </cell>
          <cell r="J168" t="str">
            <v>-</v>
          </cell>
          <cell r="K168">
            <v>111000</v>
          </cell>
          <cell r="L168">
            <v>4000</v>
          </cell>
          <cell r="M168" t="str">
            <v>-</v>
          </cell>
          <cell r="O168" t="str">
            <v>-</v>
          </cell>
          <cell r="P168">
            <v>111000</v>
          </cell>
          <cell r="R168" t="str">
            <v>ရုံးဖွင့်ရက်  ရုံးချိန်အတွင်းပို့ရန်</v>
          </cell>
        </row>
        <row r="169">
          <cell r="C169" t="str">
            <v>D0906-GRS-003</v>
          </cell>
          <cell r="D169" t="str">
            <v>GRS Express</v>
          </cell>
          <cell r="E169" t="str">
            <v>Nini Mou</v>
          </cell>
          <cell r="F169" t="str">
            <v>09-693202238</v>
          </cell>
          <cell r="G169" t="str">
            <v>စမ်းချောင်း</v>
          </cell>
          <cell r="H169" t="str">
            <v>အမှတ် (၁၂)၊ မြသီတာလမ်း၊ စမ်းချောင်းမြို့နယ်</v>
          </cell>
          <cell r="I169">
            <v>38000</v>
          </cell>
          <cell r="J169" t="str">
            <v>-</v>
          </cell>
          <cell r="K169">
            <v>38000</v>
          </cell>
          <cell r="L169">
            <v>4000</v>
          </cell>
          <cell r="M169" t="str">
            <v>-</v>
          </cell>
          <cell r="O169" t="str">
            <v>-</v>
          </cell>
          <cell r="P169">
            <v>38000</v>
          </cell>
        </row>
        <row r="170">
          <cell r="C170" t="str">
            <v>D0906-GRS-004</v>
          </cell>
          <cell r="D170" t="str">
            <v>GRS Express</v>
          </cell>
          <cell r="E170" t="str">
            <v>မအေးခိုင်မွန်</v>
          </cell>
          <cell r="F170" t="str">
            <v>09-43022942</v>
          </cell>
          <cell r="G170" t="str">
            <v>စမ်းချောင်း</v>
          </cell>
          <cell r="H170" t="str">
            <v>အမှတ် (၄၃)၊ မြေညီထပ်၊ မအူပင်လမ်း၊ စမ်းချောင်းမြို့နယ်</v>
          </cell>
          <cell r="I170">
            <v>30700</v>
          </cell>
          <cell r="J170">
            <v>4500</v>
          </cell>
          <cell r="K170">
            <v>35200</v>
          </cell>
          <cell r="L170">
            <v>4000</v>
          </cell>
          <cell r="M170">
            <v>4500</v>
          </cell>
          <cell r="O170" t="str">
            <v>-</v>
          </cell>
          <cell r="P170">
            <v>35200</v>
          </cell>
        </row>
        <row r="171">
          <cell r="C171" t="str">
            <v>D0906-GRS-005</v>
          </cell>
          <cell r="D171" t="str">
            <v>GRS Express</v>
          </cell>
          <cell r="E171" t="str">
            <v>မသင်းနုနုအေး / Chi Phyu</v>
          </cell>
          <cell r="F171" t="str">
            <v>09-420883377</v>
          </cell>
          <cell r="G171" t="str">
            <v>စမ်းချောင်း</v>
          </cell>
          <cell r="H171" t="str">
            <v>အမှတ် (၄၄)၊ ငှက်ပျောတောလမ်း၊ စမ်းချောင်းမြို့နယ်</v>
          </cell>
          <cell r="I171">
            <v>26000</v>
          </cell>
          <cell r="J171">
            <v>4500</v>
          </cell>
          <cell r="K171">
            <v>30500</v>
          </cell>
          <cell r="L171">
            <v>4000</v>
          </cell>
          <cell r="M171">
            <v>4500</v>
          </cell>
          <cell r="O171" t="str">
            <v>-</v>
          </cell>
          <cell r="P171">
            <v>30500</v>
          </cell>
        </row>
        <row r="172">
          <cell r="C172" t="str">
            <v>D0906-GRS-006</v>
          </cell>
          <cell r="D172" t="str">
            <v>GRS Express</v>
          </cell>
          <cell r="E172" t="str">
            <v>MMH</v>
          </cell>
          <cell r="F172" t="str">
            <v>09-797805095</v>
          </cell>
          <cell r="G172" t="str">
            <v>စမ်းချောင်း</v>
          </cell>
          <cell r="H172" t="str">
            <v>[Zar Zar Htun | S'pore +65-81164003 ]
via: အမှတ် (၂၇)၊ မြေညီထပ်၊ သုခလမ်း၊ မြေနီကုန်း၊ (မြေနီကုန်းမှတ်တိုင်)၊ စမ်းချောင်းမြို့နယ်</v>
          </cell>
          <cell r="I172" t="str">
            <v>-</v>
          </cell>
          <cell r="J172" t="str">
            <v>-</v>
          </cell>
          <cell r="K172" t="str">
            <v>-</v>
          </cell>
          <cell r="L172">
            <v>4000</v>
          </cell>
          <cell r="M172" t="str">
            <v>-</v>
          </cell>
          <cell r="O172" t="str">
            <v>-</v>
          </cell>
          <cell r="P172" t="str">
            <v>-</v>
          </cell>
          <cell r="R172" t="str">
            <v>ဘောင်ချာ ပြန်ယူခဲ့ပေးပါ</v>
          </cell>
        </row>
        <row r="173">
          <cell r="C173" t="str">
            <v>D0906-GRS-007</v>
          </cell>
          <cell r="D173" t="str">
            <v>GRS Express</v>
          </cell>
          <cell r="E173" t="str">
            <v>Nu Nu</v>
          </cell>
          <cell r="F173" t="str">
            <v>09-250971217</v>
          </cell>
          <cell r="G173" t="str">
            <v>တာမွေ</v>
          </cell>
          <cell r="H173" t="str">
            <v>အမှတ် (၂၀)၊ ဘယသုဒ္ဓိလမ်း၊ ကျောက်မြောင်း၊ တာမွေမြို့နယ်</v>
          </cell>
          <cell r="I173">
            <v>38000</v>
          </cell>
          <cell r="J173" t="str">
            <v>-</v>
          </cell>
          <cell r="K173">
            <v>38000</v>
          </cell>
          <cell r="L173">
            <v>4000</v>
          </cell>
          <cell r="M173" t="str">
            <v>-</v>
          </cell>
          <cell r="O173" t="str">
            <v>-</v>
          </cell>
          <cell r="P173">
            <v>38000</v>
          </cell>
        </row>
        <row r="174">
          <cell r="C174" t="str">
            <v>D0906-GRS-008</v>
          </cell>
          <cell r="D174" t="str">
            <v>GRS Express</v>
          </cell>
          <cell r="E174" t="str">
            <v>Nelly Nelly</v>
          </cell>
          <cell r="F174" t="str">
            <v>09-794946554</v>
          </cell>
          <cell r="G174" t="str">
            <v>တာမွေ</v>
          </cell>
          <cell r="H174" t="str">
            <v>အမှတ် (8A)၊ ဗိုလ်မင်းခေါင်လမ်း၊ ဗိုလ်စိန်မှန်ရပ်ကွက်၊ (တာမွေအဝိုင်းမှတ်တိုင် ဘောလုံးကွင်းဘေးကလမ်း)၊ တာမွေမြို့နယ်</v>
          </cell>
          <cell r="I174">
            <v>38000</v>
          </cell>
          <cell r="J174" t="str">
            <v>-</v>
          </cell>
          <cell r="K174">
            <v>38000</v>
          </cell>
          <cell r="L174">
            <v>4000</v>
          </cell>
          <cell r="M174" t="str">
            <v>-</v>
          </cell>
          <cell r="O174" t="str">
            <v>-</v>
          </cell>
          <cell r="P174">
            <v>38000</v>
          </cell>
        </row>
        <row r="175">
          <cell r="C175" t="str">
            <v>D0906-GRS-009</v>
          </cell>
          <cell r="D175" t="str">
            <v>GRS Express</v>
          </cell>
          <cell r="E175" t="str">
            <v>Roman Khin</v>
          </cell>
          <cell r="F175" t="str">
            <v>09-425834096</v>
          </cell>
          <cell r="G175" t="str">
            <v>တာမွေ</v>
          </cell>
          <cell r="H175" t="str">
            <v>အမှတ် (၁၅)၊ ကျောက်မြောင်းဈေးမျက်နှာစာတန်း၊ ကျောက်မြောင်း၊ တာမွေမြို့နယ်</v>
          </cell>
          <cell r="I175">
            <v>42000</v>
          </cell>
          <cell r="J175" t="str">
            <v>-</v>
          </cell>
          <cell r="K175">
            <v>42000</v>
          </cell>
          <cell r="L175">
            <v>4000</v>
          </cell>
          <cell r="M175" t="str">
            <v>-</v>
          </cell>
          <cell r="O175" t="str">
            <v>-</v>
          </cell>
          <cell r="P175">
            <v>42000</v>
          </cell>
        </row>
        <row r="176">
          <cell r="C176" t="str">
            <v>D0906-GRS-010</v>
          </cell>
          <cell r="D176" t="str">
            <v>GRS Express</v>
          </cell>
          <cell r="E176" t="str">
            <v>Ma May Thet Mon</v>
          </cell>
          <cell r="F176" t="str">
            <v>09-43185287</v>
          </cell>
          <cell r="G176" t="str">
            <v>တာမွေ</v>
          </cell>
          <cell r="H176" t="str">
            <v>အမှတ် (၁၀၆)၊ ကျိုက္ကဆံလမ်း၊ ပျားရည်ကုန်းရပ်ကွက်၊ တာမွေမြို့နယ်</v>
          </cell>
          <cell r="I176">
            <v>58500</v>
          </cell>
          <cell r="J176">
            <v>4500</v>
          </cell>
          <cell r="K176">
            <v>63000</v>
          </cell>
          <cell r="L176">
            <v>4000</v>
          </cell>
          <cell r="M176">
            <v>4500</v>
          </cell>
          <cell r="O176" t="str">
            <v>-</v>
          </cell>
          <cell r="P176">
            <v>63000</v>
          </cell>
          <cell r="R176" t="str">
            <v>Sunday မပို့ရ / ကျန်ရက်များ ပို့ရန်</v>
          </cell>
        </row>
        <row r="177">
          <cell r="C177" t="str">
            <v>D0906-GRS-011</v>
          </cell>
          <cell r="D177" t="str">
            <v>GRS Express</v>
          </cell>
          <cell r="E177" t="str">
            <v>Ma May Thet Htwee</v>
          </cell>
          <cell r="F177" t="str">
            <v>09-965115677</v>
          </cell>
          <cell r="G177" t="str">
            <v>တာမွေ</v>
          </cell>
          <cell r="H177" t="str">
            <v>အမှတ် (၃)၊ သုဒဿနလမ်း၊ မလွှကုန်း၊ ဌေးကြွယ်ရပ်ကွက်၊ တာမွေမြို့နယ်</v>
          </cell>
          <cell r="I177" t="str">
            <v>-</v>
          </cell>
          <cell r="J177" t="str">
            <v>-</v>
          </cell>
          <cell r="K177" t="str">
            <v>-</v>
          </cell>
          <cell r="L177">
            <v>4000</v>
          </cell>
          <cell r="M177" t="str">
            <v>-</v>
          </cell>
          <cell r="O177" t="str">
            <v>-</v>
          </cell>
          <cell r="P177" t="str">
            <v>-</v>
          </cell>
        </row>
        <row r="178">
          <cell r="C178" t="str">
            <v>D0906-GRS-012</v>
          </cell>
          <cell r="D178" t="str">
            <v>GRS Express</v>
          </cell>
          <cell r="E178" t="str">
            <v>Aye Nyein Thu</v>
          </cell>
          <cell r="F178" t="str">
            <v>09-978838641 / 09-254073210</v>
          </cell>
          <cell r="G178" t="str">
            <v>တာမွေ</v>
          </cell>
          <cell r="H178" t="str">
            <v>အမှတ် (၅၆)၊ (၅) လွှာ (A)၊ ကျားကွက်သစ်လမ်း၊ ကျောက်မြောင်း၊ တာမွေမြို့နယ်</v>
          </cell>
          <cell r="I178">
            <v>42000</v>
          </cell>
          <cell r="J178" t="str">
            <v>-</v>
          </cell>
          <cell r="K178">
            <v>42000</v>
          </cell>
          <cell r="L178">
            <v>4000</v>
          </cell>
          <cell r="M178" t="str">
            <v>-</v>
          </cell>
          <cell r="O178" t="str">
            <v>-</v>
          </cell>
          <cell r="P178">
            <v>42000</v>
          </cell>
        </row>
        <row r="179">
          <cell r="C179" t="str">
            <v>D0906-GRS-013</v>
          </cell>
          <cell r="D179" t="str">
            <v>GRS Express</v>
          </cell>
          <cell r="E179" t="str">
            <v>Ma Thu Thu Htun</v>
          </cell>
          <cell r="F179" t="str">
            <v>09-696321130</v>
          </cell>
          <cell r="G179" t="str">
            <v>တာမွေ</v>
          </cell>
          <cell r="H179" t="str">
            <v>အမှတ် (3A-1)၊ သီရိလင်္ကာရာမကျောင်းလမ်း၊ တာမွေမြို့နယ်</v>
          </cell>
          <cell r="I179">
            <v>16000</v>
          </cell>
          <cell r="J179">
            <v>4500</v>
          </cell>
          <cell r="K179">
            <v>20500</v>
          </cell>
          <cell r="L179">
            <v>4000</v>
          </cell>
          <cell r="M179">
            <v>4500</v>
          </cell>
          <cell r="O179" t="str">
            <v>-</v>
          </cell>
          <cell r="P179">
            <v>20500</v>
          </cell>
        </row>
        <row r="180">
          <cell r="C180" t="str">
            <v>D0906-GRS-014</v>
          </cell>
          <cell r="D180" t="str">
            <v>GRS Express</v>
          </cell>
          <cell r="E180" t="str">
            <v>Ma War War</v>
          </cell>
          <cell r="F180" t="str">
            <v>09-781440272</v>
          </cell>
          <cell r="G180" t="str">
            <v>ဒေါပုံ</v>
          </cell>
          <cell r="H180" t="str">
            <v>အမှတ် (၂၆၂)၊ အောင်သစ္စာလမ်း၊ ဇေယျာသီရိရပ်ကွက်၊ ဒေါပုံမြို့နယ်</v>
          </cell>
          <cell r="I180">
            <v>78700</v>
          </cell>
          <cell r="J180">
            <v>4500</v>
          </cell>
          <cell r="K180">
            <v>83200</v>
          </cell>
          <cell r="L180">
            <v>4000</v>
          </cell>
          <cell r="M180">
            <v>4500</v>
          </cell>
          <cell r="O180" t="str">
            <v>-</v>
          </cell>
          <cell r="P180">
            <v>83200</v>
          </cell>
        </row>
        <row r="181">
          <cell r="C181" t="str">
            <v>D0906-GRS-015</v>
          </cell>
          <cell r="D181" t="str">
            <v>GRS Express</v>
          </cell>
          <cell r="E181" t="str">
            <v>Nay Chi Win Mon</v>
          </cell>
          <cell r="F181" t="str">
            <v>09-407708900 / 09-765433015</v>
          </cell>
          <cell r="G181" t="str">
            <v>ဗဟန်း</v>
          </cell>
          <cell r="H181" t="str">
            <v>UBC Tower၊ နတ်မောက်လမ်း နှင့် ဗိုလ်ချိုလမ်းသွယ်ထောင့်၊ ဗဟန်းမြို့နယ်</v>
          </cell>
          <cell r="I181">
            <v>49500</v>
          </cell>
          <cell r="J181" t="str">
            <v>-</v>
          </cell>
          <cell r="K181">
            <v>49500</v>
          </cell>
          <cell r="L181">
            <v>4000</v>
          </cell>
          <cell r="M181" t="str">
            <v>-</v>
          </cell>
          <cell r="O181" t="str">
            <v>-</v>
          </cell>
          <cell r="P181">
            <v>49500</v>
          </cell>
          <cell r="R181" t="str">
            <v>ရုံးဖွင့်ရက်  ရုံးချိန်အတွင်းပို့ရန်</v>
          </cell>
        </row>
        <row r="182">
          <cell r="C182" t="str">
            <v>D0906-GRS-016</v>
          </cell>
          <cell r="D182" t="str">
            <v>GRS Express</v>
          </cell>
          <cell r="E182" t="str">
            <v>Nandar Lei Lei Win</v>
          </cell>
          <cell r="F182" t="str">
            <v>09-5181502</v>
          </cell>
          <cell r="G182" t="str">
            <v>ဗဟန်း</v>
          </cell>
          <cell r="H182" t="str">
            <v>ယုဇနကွန်ဒို (Yuzana Condo Tower)၊ (ရွှေဂုံတိုင်မီးပွိုင့်ထိပ်)၊ ဗဟန်းမြို့နယ်</v>
          </cell>
          <cell r="I182">
            <v>120000</v>
          </cell>
          <cell r="J182" t="str">
            <v>-</v>
          </cell>
          <cell r="K182">
            <v>120000</v>
          </cell>
          <cell r="L182">
            <v>4000</v>
          </cell>
          <cell r="M182" t="str">
            <v>-</v>
          </cell>
          <cell r="O182" t="str">
            <v>-</v>
          </cell>
          <cell r="P182">
            <v>120000</v>
          </cell>
          <cell r="R182" t="str">
            <v>ရုံးဖွင့်ရက်  ရုံးချိန်အတွင်းပို့ရန်</v>
          </cell>
        </row>
        <row r="183">
          <cell r="C183" t="str">
            <v>D0906-GRS-017</v>
          </cell>
          <cell r="D183" t="str">
            <v>GRS Express</v>
          </cell>
          <cell r="E183" t="str">
            <v>Shwe Ya Min Oo</v>
          </cell>
          <cell r="F183" t="str">
            <v>09-777631204</v>
          </cell>
          <cell r="G183" t="str">
            <v>ဗဟန်း</v>
          </cell>
          <cell r="H183" t="str">
            <v>အမှတ် (၁၁၄)၊ ဆရာစံရပ်ကွက်၊ (ကျိုက္ကဆံကျောင်းရှေ့မှတ်တိုင်အနီး)၊ ဗဟန်းမြို့နယ်</v>
          </cell>
          <cell r="I183">
            <v>38000</v>
          </cell>
          <cell r="J183">
            <v>4500</v>
          </cell>
          <cell r="K183">
            <v>42500</v>
          </cell>
          <cell r="L183">
            <v>4000</v>
          </cell>
          <cell r="M183">
            <v>4500</v>
          </cell>
          <cell r="O183" t="str">
            <v>-</v>
          </cell>
          <cell r="P183">
            <v>42500</v>
          </cell>
          <cell r="R183" t="str">
            <v>ရုံးဖွင့်ရက်  ရုံးချိန်အတွင်းပို့ရန်</v>
          </cell>
        </row>
        <row r="184">
          <cell r="C184" t="str">
            <v>D0906-GRS-018</v>
          </cell>
          <cell r="D184" t="str">
            <v>GRS Express</v>
          </cell>
          <cell r="E184" t="str">
            <v>Ma Ni Ni Lwin</v>
          </cell>
          <cell r="F184" t="str">
            <v>09-420155136</v>
          </cell>
          <cell r="G184" t="str">
            <v>ဗဟန်း</v>
          </cell>
          <cell r="H184" t="str">
            <v>MPT ရုံး၊ အမှတ် (၇၄)၊ အရှေ့ရွှေဂုံတိုင်လမ်း၊ ဗဟန်းမြို့နယ်</v>
          </cell>
          <cell r="I184">
            <v>21300</v>
          </cell>
          <cell r="J184">
            <v>4500</v>
          </cell>
          <cell r="K184">
            <v>25800</v>
          </cell>
          <cell r="L184">
            <v>4000</v>
          </cell>
          <cell r="M184">
            <v>4500</v>
          </cell>
          <cell r="O184" t="str">
            <v>-</v>
          </cell>
          <cell r="P184">
            <v>25800</v>
          </cell>
          <cell r="R184" t="str">
            <v>ရုံးဖွင့်ရက်  ရုံးချိန်အတွင်းပို့ရန်</v>
          </cell>
        </row>
        <row r="185">
          <cell r="C185" t="str">
            <v>D0906-GRS-019</v>
          </cell>
          <cell r="D185" t="str">
            <v>GRS Express</v>
          </cell>
          <cell r="E185" t="str">
            <v>Ma Aye Chan / Roselynn Bo</v>
          </cell>
          <cell r="F185" t="str">
            <v>09-452424487</v>
          </cell>
          <cell r="G185" t="str">
            <v>ဗဟန်း</v>
          </cell>
          <cell r="H185" t="str">
            <v>အမှတ် (97/101A)၊ ဓမ္မစေတီလမ်း နှင့် ဦးဝိစာရလမ်းကြား၊ 99 Condo ဘေးလမ်း၊ (တောင်ကုန်းအဆုံးထိ တက်လာပါရန်)၊ ၊ ဗဟန်းမြို့နယ်</v>
          </cell>
          <cell r="I185">
            <v>102000</v>
          </cell>
          <cell r="J185">
            <v>4500</v>
          </cell>
          <cell r="K185">
            <v>106500</v>
          </cell>
          <cell r="L185">
            <v>4000</v>
          </cell>
          <cell r="M185">
            <v>4500</v>
          </cell>
          <cell r="O185" t="str">
            <v>-</v>
          </cell>
          <cell r="P185">
            <v>106500</v>
          </cell>
          <cell r="R185" t="str">
            <v>(တနင်္လာမှ သောကြာ မနက် ၉ နာရီမှ ညနေ ၄:၃၀ အတွင်း ပို့ပေးပါ)</v>
          </cell>
        </row>
        <row r="186">
          <cell r="C186" t="str">
            <v>D0906-GRS-020</v>
          </cell>
          <cell r="D186" t="str">
            <v>GRS Express</v>
          </cell>
          <cell r="E186" t="str">
            <v>Ma Hnin Si</v>
          </cell>
          <cell r="F186" t="str">
            <v>09-250925029</v>
          </cell>
          <cell r="G186" t="str">
            <v>မင်္ဂလာတောင်ညွန့်</v>
          </cell>
          <cell r="H186" t="str">
            <v>အမှတ် (၂၉)၊ (၁၂၂) လမ်း၊ မင်္ဂလာတောင်ညွန့်မြို့နယ်</v>
          </cell>
          <cell r="I186">
            <v>26000</v>
          </cell>
          <cell r="J186">
            <v>4500</v>
          </cell>
          <cell r="K186">
            <v>30500</v>
          </cell>
          <cell r="L186">
            <v>4000</v>
          </cell>
          <cell r="M186">
            <v>4500</v>
          </cell>
          <cell r="O186" t="str">
            <v>-</v>
          </cell>
          <cell r="P186">
            <v>30500</v>
          </cell>
        </row>
        <row r="187">
          <cell r="C187" t="str">
            <v>D0906-GRS-021</v>
          </cell>
          <cell r="D187" t="str">
            <v>GRS Express</v>
          </cell>
          <cell r="E187" t="str">
            <v>Ma Zar Kyi</v>
          </cell>
          <cell r="F187" t="str">
            <v>09-678205674</v>
          </cell>
          <cell r="G187" t="str">
            <v>ရန်ကင်း</v>
          </cell>
          <cell r="H187" t="str">
            <v>ကျိုက္ကဆံရဲဝင်း၊ (၁၆) ရပ်ကွက်၊ (အဝိုင်းလေးမှတ်တိုင်အနီး)၊ ရန်ကင်းမြို့နယ်</v>
          </cell>
          <cell r="I187">
            <v>73500</v>
          </cell>
          <cell r="J187">
            <v>4500</v>
          </cell>
          <cell r="K187">
            <v>78000</v>
          </cell>
          <cell r="L187">
            <v>4000</v>
          </cell>
          <cell r="M187">
            <v>4500</v>
          </cell>
          <cell r="O187" t="str">
            <v>-</v>
          </cell>
          <cell r="P187">
            <v>78000</v>
          </cell>
        </row>
        <row r="188">
          <cell r="C188" t="str">
            <v>D0906-GRS-022</v>
          </cell>
          <cell r="D188" t="str">
            <v>GRS Express</v>
          </cell>
          <cell r="E188" t="str">
            <v>Ma Zar Zar Myo</v>
          </cell>
          <cell r="F188" t="str">
            <v>09-5164188</v>
          </cell>
          <cell r="G188" t="str">
            <v>ရန်ကင်း</v>
          </cell>
          <cell r="H188" t="str">
            <v>ရွှေမိုးကောင်းကွန်ဒို၊ အခန်း (J-704)၊ (Fashion Story ဘေး ကားဝင်ပေါက်)၊ ရန်ကင်းမြို့နယ်</v>
          </cell>
          <cell r="I188">
            <v>35600</v>
          </cell>
          <cell r="J188">
            <v>4500</v>
          </cell>
          <cell r="K188">
            <v>40100</v>
          </cell>
          <cell r="L188">
            <v>4000</v>
          </cell>
          <cell r="M188">
            <v>4500</v>
          </cell>
          <cell r="O188" t="str">
            <v>-</v>
          </cell>
          <cell r="P188">
            <v>40100</v>
          </cell>
        </row>
        <row r="189">
          <cell r="C189" t="str">
            <v>D0906-GRS-023</v>
          </cell>
          <cell r="D189" t="str">
            <v>GRS Express</v>
          </cell>
          <cell r="E189" t="str">
            <v>Thu Zar Myint</v>
          </cell>
          <cell r="F189" t="str">
            <v>09-5014312</v>
          </cell>
          <cell r="G189" t="str">
            <v>လမ်းမတော်</v>
          </cell>
          <cell r="H189" t="str">
            <v>ဗဟိုစည်အိမ်ရာ၊ တိုက် (၄၃)၊ အခန်း (၁၂)၊ လမ်းမတော်မြို့နယ်</v>
          </cell>
          <cell r="I189">
            <v>46000</v>
          </cell>
          <cell r="J189" t="str">
            <v>-</v>
          </cell>
          <cell r="K189">
            <v>46000</v>
          </cell>
          <cell r="L189">
            <v>4000</v>
          </cell>
          <cell r="M189" t="str">
            <v>-</v>
          </cell>
          <cell r="O189" t="str">
            <v>-</v>
          </cell>
          <cell r="P189">
            <v>46000</v>
          </cell>
        </row>
        <row r="190">
          <cell r="C190" t="str">
            <v>D0906-GRS-024</v>
          </cell>
          <cell r="D190" t="str">
            <v>GRS Express</v>
          </cell>
          <cell r="E190" t="str">
            <v>Daw San Dar</v>
          </cell>
          <cell r="F190" t="str">
            <v>09-781783477</v>
          </cell>
          <cell r="G190" t="str">
            <v>လမ်းမတော်</v>
          </cell>
          <cell r="H190" t="str">
            <v>ညောင်ပင်လေးဈေး၊ လမ်းမတော်မြို့နယ်</v>
          </cell>
          <cell r="I190">
            <v>50000</v>
          </cell>
          <cell r="J190" t="str">
            <v>-</v>
          </cell>
          <cell r="K190">
            <v>50000</v>
          </cell>
          <cell r="L190">
            <v>4000</v>
          </cell>
          <cell r="M190" t="str">
            <v>-</v>
          </cell>
          <cell r="O190" t="str">
            <v>-</v>
          </cell>
          <cell r="P190">
            <v>50000</v>
          </cell>
          <cell r="R190" t="str">
            <v>Sunday မပို့ရ / ဖုန်းကြိုဆက်ရန်</v>
          </cell>
        </row>
        <row r="191">
          <cell r="C191" t="str">
            <v>D0906-GRS-025</v>
          </cell>
          <cell r="D191" t="str">
            <v>GRS Express</v>
          </cell>
          <cell r="E191" t="str">
            <v>Thein Thein / ဒေါ်သိန်း</v>
          </cell>
          <cell r="F191" t="str">
            <v>09-5033566</v>
          </cell>
          <cell r="G191" t="str">
            <v>လမ်းမတော်</v>
          </cell>
          <cell r="H191" t="str">
            <v>Great Wall Condo၊ အမှတ် (၃၁၂)၊ အနော်ရထာလမ်း နှင့် (၃) လမ်းထိပ်၊ (ကြက်တောင်ကွင်းဘေး)၊ လမ်းမတော်မြို့နယ်</v>
          </cell>
          <cell r="I191">
            <v>46000</v>
          </cell>
          <cell r="J191" t="str">
            <v>-</v>
          </cell>
          <cell r="K191">
            <v>46000</v>
          </cell>
          <cell r="L191">
            <v>4000</v>
          </cell>
          <cell r="M191" t="str">
            <v>-</v>
          </cell>
          <cell r="O191" t="str">
            <v>-</v>
          </cell>
          <cell r="P191">
            <v>46000</v>
          </cell>
        </row>
        <row r="192">
          <cell r="C192" t="str">
            <v>D0906-GRS-026</v>
          </cell>
          <cell r="D192" t="str">
            <v>GRS Express</v>
          </cell>
          <cell r="E192" t="str">
            <v>မချစ်သုန်မာမီ</v>
          </cell>
          <cell r="F192" t="str">
            <v>09-43129695</v>
          </cell>
          <cell r="G192" t="str">
            <v>လမ်းမတော်</v>
          </cell>
          <cell r="H192" t="str">
            <v>အမှတ် (၁၇၄)၊ အနော်ရထာလမ်း နှင့် (၁၅) လမ်းထိပ်၊ လမ်းမတော်မြို့နယ်</v>
          </cell>
          <cell r="I192">
            <v>27100</v>
          </cell>
          <cell r="J192">
            <v>4500</v>
          </cell>
          <cell r="K192">
            <v>31600</v>
          </cell>
          <cell r="L192">
            <v>4000</v>
          </cell>
          <cell r="M192">
            <v>4500</v>
          </cell>
          <cell r="O192" t="str">
            <v>-</v>
          </cell>
          <cell r="P192">
            <v>31600</v>
          </cell>
          <cell r="R192" t="str">
            <v>ရုံးဖွင့်ရက်  ရုံးချိန်အတွင်းပို့ရန်</v>
          </cell>
        </row>
        <row r="193">
          <cell r="C193" t="str">
            <v>D0906-GRS-027</v>
          </cell>
          <cell r="D193" t="str">
            <v>GRS Express</v>
          </cell>
          <cell r="E193" t="str">
            <v>Ma Hnin Lai Ye Soe</v>
          </cell>
          <cell r="F193" t="str">
            <v>09-250060366</v>
          </cell>
          <cell r="G193" t="str">
            <v>လသာ</v>
          </cell>
          <cell r="H193" t="str">
            <v>လရိပ်စားသောက်ဆိုင်ရှေ့၊ လသာလမ်း (အပေါ်ဘလောက်)၊ လသာမြို့နယ်</v>
          </cell>
          <cell r="I193" t="str">
            <v>-</v>
          </cell>
          <cell r="J193">
            <v>4500</v>
          </cell>
          <cell r="K193">
            <v>4500</v>
          </cell>
          <cell r="L193">
            <v>4000</v>
          </cell>
          <cell r="M193">
            <v>4500</v>
          </cell>
          <cell r="O193" t="str">
            <v>-</v>
          </cell>
          <cell r="P193">
            <v>4500</v>
          </cell>
        </row>
        <row r="194">
          <cell r="C194" t="str">
            <v>D0906-GRS-028</v>
          </cell>
          <cell r="D194" t="str">
            <v>GRS Express</v>
          </cell>
          <cell r="E194" t="str">
            <v>Mya Sann Nwey</v>
          </cell>
          <cell r="F194" t="str">
            <v>09-797795147</v>
          </cell>
          <cell r="G194" t="str">
            <v>သင်္ဃန်းကျွန်း</v>
          </cell>
          <cell r="H194" t="str">
            <v>စံပြ (၅) လမ်း၊ သင်္ဃန်းကျွန်းမြို့နယ်</v>
          </cell>
          <cell r="I194">
            <v>147500</v>
          </cell>
          <cell r="J194" t="str">
            <v>-</v>
          </cell>
          <cell r="K194">
            <v>147500</v>
          </cell>
          <cell r="L194">
            <v>4000</v>
          </cell>
          <cell r="M194" t="str">
            <v>-</v>
          </cell>
          <cell r="O194" t="str">
            <v>-</v>
          </cell>
          <cell r="P194">
            <v>147500</v>
          </cell>
          <cell r="R194" t="str">
            <v>မြန်မြန်‌ေလးပို့ပေးရန်</v>
          </cell>
        </row>
        <row r="195">
          <cell r="C195" t="str">
            <v>D0906-GRS-029</v>
          </cell>
          <cell r="D195" t="str">
            <v>GRS Express</v>
          </cell>
          <cell r="E195" t="str">
            <v>Ni Lar Hlaing</v>
          </cell>
          <cell r="F195" t="str">
            <v>09-776161961</v>
          </cell>
          <cell r="G195" t="str">
            <v>သင်္ဃန်းကျွန်း</v>
          </cell>
          <cell r="H195" t="str">
            <v>အမှတ် (၇၄၈)၊ ဇောတိကလမ်း နှင့် ဇဋိလ လမ်းထောင့်၊ (၁၆/၁) ရပ်ကွက်၊ သင်္ဃန်းကျွန်းမြို့နယ်</v>
          </cell>
          <cell r="I195">
            <v>124000</v>
          </cell>
          <cell r="J195" t="str">
            <v>-</v>
          </cell>
          <cell r="K195">
            <v>124000</v>
          </cell>
          <cell r="L195">
            <v>4000</v>
          </cell>
          <cell r="M195" t="str">
            <v>-</v>
          </cell>
          <cell r="O195" t="str">
            <v>-</v>
          </cell>
          <cell r="P195">
            <v>124000</v>
          </cell>
        </row>
        <row r="196">
          <cell r="C196" t="str">
            <v>D0906-GRS-030</v>
          </cell>
          <cell r="D196" t="str">
            <v>GRS Express</v>
          </cell>
          <cell r="E196" t="str">
            <v>Ma Nwe Ni Aye</v>
          </cell>
          <cell r="F196" t="str">
            <v>09-754406474</v>
          </cell>
          <cell r="G196" t="str">
            <v>သင်္ဃန်းကျွန်း</v>
          </cell>
          <cell r="H196" t="str">
            <v>အောင်ဇေယျ (၁) လမ်း (ညာဘက်ခြမ်း)၊ (သုဝဏ္ဏဈေးအနီး)၊ သင်္ဃန်းကျွန်းမြို့နယ်</v>
          </cell>
          <cell r="I196">
            <v>50000</v>
          </cell>
          <cell r="J196">
            <v>4500</v>
          </cell>
          <cell r="K196">
            <v>54500</v>
          </cell>
          <cell r="L196">
            <v>4000</v>
          </cell>
          <cell r="M196">
            <v>4500</v>
          </cell>
          <cell r="O196" t="str">
            <v>-</v>
          </cell>
          <cell r="P196">
            <v>54500</v>
          </cell>
        </row>
        <row r="197">
          <cell r="C197" t="str">
            <v>D0906-GRS-031</v>
          </cell>
          <cell r="D197" t="str">
            <v>GRS Express</v>
          </cell>
          <cell r="E197" t="str">
            <v>Ma Yu Naing</v>
          </cell>
          <cell r="F197" t="str">
            <v>09-448023775</v>
          </cell>
          <cell r="G197" t="str">
            <v>သင်္ဃန်းကျွန်း</v>
          </cell>
          <cell r="H197" t="str">
            <v>တိုက် (၂)၊ စံပြ (၈) လမ်း၊ သင်္ဃန်းကျွန်းမြို့နယ်</v>
          </cell>
          <cell r="I197">
            <v>29200</v>
          </cell>
          <cell r="J197">
            <v>4500</v>
          </cell>
          <cell r="K197">
            <v>33700</v>
          </cell>
          <cell r="L197">
            <v>4000</v>
          </cell>
          <cell r="M197">
            <v>4500</v>
          </cell>
          <cell r="O197" t="str">
            <v>-</v>
          </cell>
          <cell r="P197">
            <v>33700</v>
          </cell>
        </row>
        <row r="198">
          <cell r="C198" t="str">
            <v>D0906-GRS-032</v>
          </cell>
          <cell r="D198" t="str">
            <v>GRS Express</v>
          </cell>
          <cell r="E198" t="str">
            <v>Khin Sandar Lynn</v>
          </cell>
          <cell r="F198" t="str">
            <v>09-895705937</v>
          </cell>
          <cell r="G198" t="str">
            <v>သင်္ဃန်းကျွန်း</v>
          </cell>
          <cell r="H198" t="str">
            <v>အမှတ် (၃၉၆)၊ ကန်ဦးလမ်း၊ လေးထောင့်ကန်၊ သင်္ဃန်းကျွန်းမြို့နယ်</v>
          </cell>
          <cell r="I198">
            <v>42000</v>
          </cell>
          <cell r="J198" t="str">
            <v>-</v>
          </cell>
          <cell r="K198">
            <v>42000</v>
          </cell>
          <cell r="L198">
            <v>4000</v>
          </cell>
          <cell r="M198" t="str">
            <v>-</v>
          </cell>
          <cell r="O198" t="str">
            <v>-</v>
          </cell>
          <cell r="P198">
            <v>42000</v>
          </cell>
          <cell r="R198" t="str">
            <v>အစိုးရ ရုံးပိတ်ရက်ပဲပို့ရန်</v>
          </cell>
        </row>
        <row r="199">
          <cell r="C199" t="str">
            <v>D0906-GRS-033</v>
          </cell>
          <cell r="D199" t="str">
            <v>GRS Express</v>
          </cell>
          <cell r="E199" t="str">
            <v>Zin Mar Win</v>
          </cell>
          <cell r="F199" t="str">
            <v>09-450380556</v>
          </cell>
          <cell r="G199" t="str">
            <v>သင်္ဃန်းကျွန်း</v>
          </cell>
          <cell r="H199" t="str">
            <v>အမှတ် (၈၃၃)၊ ငမိုးရိပ် (၂) လမ်း (အပိုင်း ၃)၊ သင်္ဃန်းကျွန်းမြို့နယ်</v>
          </cell>
          <cell r="I199">
            <v>40000</v>
          </cell>
          <cell r="J199" t="str">
            <v>-</v>
          </cell>
          <cell r="K199">
            <v>40000</v>
          </cell>
          <cell r="L199">
            <v>4000</v>
          </cell>
          <cell r="M199" t="str">
            <v>-</v>
          </cell>
          <cell r="O199" t="str">
            <v>-</v>
          </cell>
          <cell r="P199">
            <v>40000</v>
          </cell>
        </row>
        <row r="200">
          <cell r="C200" t="str">
            <v>D0906-GRS-034</v>
          </cell>
          <cell r="D200" t="str">
            <v>GRS Express</v>
          </cell>
          <cell r="E200" t="str">
            <v>Kyi Kyi Win</v>
          </cell>
          <cell r="F200" t="str">
            <v>09-43190027</v>
          </cell>
          <cell r="G200" t="str">
            <v>သင်္ဃန်းကျွန်း</v>
          </cell>
          <cell r="H200" t="str">
            <v>အမှတ် (၃၀၄)၊ ဣစိတံအိမ်ရာ (SH2 Eaisitan Housing) ဝေဇယန္တာလမ်း၊ သင်္ဃန်းကျွန်းမြို့နယ်</v>
          </cell>
          <cell r="I200">
            <v>27000</v>
          </cell>
          <cell r="J200" t="str">
            <v>-</v>
          </cell>
          <cell r="K200">
            <v>27000</v>
          </cell>
          <cell r="L200">
            <v>4000</v>
          </cell>
          <cell r="M200" t="str">
            <v>-</v>
          </cell>
          <cell r="O200" t="str">
            <v>-</v>
          </cell>
          <cell r="P200">
            <v>27000</v>
          </cell>
        </row>
        <row r="201">
          <cell r="C201" t="str">
            <v>D0906-GRS-035</v>
          </cell>
          <cell r="D201" t="str">
            <v>GRS Express</v>
          </cell>
          <cell r="E201" t="str">
            <v>Ma Htay Htay</v>
          </cell>
          <cell r="F201" t="str">
            <v>09-426645479</v>
          </cell>
          <cell r="G201" t="str">
            <v>သင်္ဃန်းကျွန်း</v>
          </cell>
          <cell r="H201" t="str">
            <v>အောင်ဇေယျလမ်း နှင့် ကမာကြည်လမ်းထောင့်၊ ရန်ကုန်သစ်ရပ်ကွက်၊ သုဝဏ္ဏ၊ သင်္ဃန်းကျွန်းမြို့နယ်</v>
          </cell>
          <cell r="I201">
            <v>34500</v>
          </cell>
          <cell r="J201">
            <v>4500</v>
          </cell>
          <cell r="K201">
            <v>39000</v>
          </cell>
          <cell r="L201">
            <v>4000</v>
          </cell>
          <cell r="M201">
            <v>4500</v>
          </cell>
          <cell r="O201" t="str">
            <v>-</v>
          </cell>
          <cell r="P201">
            <v>39000</v>
          </cell>
        </row>
        <row r="202">
          <cell r="C202" t="str">
            <v>D0906-KSC-036</v>
          </cell>
          <cell r="D202" t="str">
            <v>KS Cosmetic</v>
          </cell>
          <cell r="E202" t="str">
            <v>စန်းစန်ပွင့်</v>
          </cell>
          <cell r="F202" t="str">
            <v>09-691449616</v>
          </cell>
          <cell r="G202" t="str">
            <v>Royal</v>
          </cell>
          <cell r="H202" t="str">
            <v>သီရိပစ္စယာ (၅)၊ ညောင်ဦး</v>
          </cell>
          <cell r="I202">
            <v>39500</v>
          </cell>
          <cell r="J202">
            <v>6000</v>
          </cell>
          <cell r="K202">
            <v>45500</v>
          </cell>
          <cell r="L202" t="str">
            <v>-</v>
          </cell>
          <cell r="M202">
            <v>6000</v>
          </cell>
          <cell r="O202" t="str">
            <v>-</v>
          </cell>
          <cell r="P202">
            <v>45500</v>
          </cell>
          <cell r="Q202" t="str">
            <v>ညောင်ဦး</v>
          </cell>
        </row>
        <row r="203">
          <cell r="C203" t="str">
            <v>D0906-KSC-037</v>
          </cell>
          <cell r="D203" t="str">
            <v>KS Cosmetic</v>
          </cell>
          <cell r="E203" t="str">
            <v>တင်မိုးသူ</v>
          </cell>
          <cell r="F203" t="str">
            <v>09-682291826</v>
          </cell>
          <cell r="G203" t="str">
            <v>Royal</v>
          </cell>
          <cell r="H203" t="str">
            <v>ကြက်ဖြူကန်၊ မှော်ဘီ</v>
          </cell>
          <cell r="I203">
            <v>39500</v>
          </cell>
          <cell r="J203">
            <v>5000</v>
          </cell>
          <cell r="K203">
            <v>44500</v>
          </cell>
          <cell r="L203" t="str">
            <v>-</v>
          </cell>
          <cell r="M203">
            <v>5000</v>
          </cell>
          <cell r="O203" t="str">
            <v>-</v>
          </cell>
          <cell r="P203">
            <v>44500</v>
          </cell>
          <cell r="Q203" t="str">
            <v>မှော်ဘီ</v>
          </cell>
        </row>
        <row r="204">
          <cell r="C204" t="str">
            <v>D0906-KSC-038</v>
          </cell>
          <cell r="D204" t="str">
            <v>KS Cosmetic</v>
          </cell>
          <cell r="E204" t="str">
            <v>နွယ်</v>
          </cell>
          <cell r="F204" t="str">
            <v>09-778383501</v>
          </cell>
          <cell r="G204" t="str">
            <v>Royal</v>
          </cell>
          <cell r="H204" t="str">
            <v>နှင်းဆီ KTV၊ (၁၀၈) မိုင်၊ မင်းလှ၊ အုတ်ဖို၊ ပဲခူးတိုင်း</v>
          </cell>
          <cell r="I204">
            <v>79000</v>
          </cell>
          <cell r="J204">
            <v>5000</v>
          </cell>
          <cell r="K204">
            <v>84000</v>
          </cell>
          <cell r="L204" t="str">
            <v>-</v>
          </cell>
          <cell r="M204">
            <v>5000</v>
          </cell>
          <cell r="O204" t="str">
            <v>-</v>
          </cell>
          <cell r="P204">
            <v>84000</v>
          </cell>
          <cell r="Q204" t="str">
            <v>အုတ်ဖို</v>
          </cell>
        </row>
        <row r="205">
          <cell r="C205" t="str">
            <v>D0906-KSC-039</v>
          </cell>
          <cell r="D205" t="str">
            <v>KS Cosmetic</v>
          </cell>
          <cell r="E205" t="str">
            <v>ဒေါ်ခင်သန်းနု</v>
          </cell>
          <cell r="F205" t="str">
            <v>09-444649874</v>
          </cell>
          <cell r="G205" t="str">
            <v>Royal</v>
          </cell>
          <cell r="H205" t="str">
            <v>တောမ၊ စဉ့်ကိုင်မြို့နယ်၊ မန္တလေးတိုင်း</v>
          </cell>
          <cell r="I205">
            <v>79000</v>
          </cell>
          <cell r="J205">
            <v>6000</v>
          </cell>
          <cell r="K205">
            <v>85000</v>
          </cell>
          <cell r="L205" t="str">
            <v>-</v>
          </cell>
          <cell r="M205">
            <v>6000</v>
          </cell>
          <cell r="O205" t="str">
            <v>-</v>
          </cell>
          <cell r="P205">
            <v>85000</v>
          </cell>
          <cell r="Q205" t="str">
            <v>စဉ့်ကိုင်</v>
          </cell>
        </row>
        <row r="206">
          <cell r="C206" t="str">
            <v>D0906-KSC-040</v>
          </cell>
          <cell r="D206" t="str">
            <v>KS Cosmetic</v>
          </cell>
          <cell r="E206" t="str">
            <v>မမိုးမိုးဆွေ</v>
          </cell>
          <cell r="F206" t="str">
            <v>09-794724534</v>
          </cell>
          <cell r="G206" t="str">
            <v>Royal</v>
          </cell>
          <cell r="H206" t="str">
            <v>BBB (ဘီသုံးလုံး) ကြာဇံစက်ရုံ၊ ဆားမလောက်</v>
          </cell>
          <cell r="I206">
            <v>79000</v>
          </cell>
          <cell r="J206">
            <v>5000</v>
          </cell>
          <cell r="K206">
            <v>84000</v>
          </cell>
          <cell r="L206" t="str">
            <v>-</v>
          </cell>
          <cell r="M206">
            <v>5000</v>
          </cell>
          <cell r="O206" t="str">
            <v>-</v>
          </cell>
          <cell r="P206">
            <v>84000</v>
          </cell>
          <cell r="Q206" t="str">
            <v>ဆားမလောက်</v>
          </cell>
        </row>
        <row r="207">
          <cell r="C207" t="str">
            <v>D0906-KSC-041</v>
          </cell>
          <cell r="D207" t="str">
            <v>KS Cosmetic</v>
          </cell>
          <cell r="E207" t="str">
            <v>Cherry</v>
          </cell>
          <cell r="F207" t="str">
            <v>09-256265472</v>
          </cell>
          <cell r="G207" t="str">
            <v>တာမွေ</v>
          </cell>
          <cell r="H207" t="str">
            <v>(Ocean ရှေ့)၊ တာမွေအဝိုင်းထိပ်၊ တာမွေမြို့နယ်</v>
          </cell>
          <cell r="I207">
            <v>39500</v>
          </cell>
          <cell r="J207">
            <v>4000</v>
          </cell>
          <cell r="K207">
            <v>43500</v>
          </cell>
          <cell r="L207">
            <v>4000</v>
          </cell>
          <cell r="M207">
            <v>4000</v>
          </cell>
          <cell r="O207" t="str">
            <v>-</v>
          </cell>
          <cell r="P207">
            <v>43500</v>
          </cell>
        </row>
        <row r="208">
          <cell r="C208" t="str">
            <v>D0906-KSC-042</v>
          </cell>
          <cell r="D208" t="str">
            <v>KS Cosmetic</v>
          </cell>
          <cell r="E208" t="str">
            <v>Ma Gu</v>
          </cell>
          <cell r="F208" t="str">
            <v>09-952060299</v>
          </cell>
          <cell r="G208" t="str">
            <v>ဒဂုံဆိပ်ကမ်း</v>
          </cell>
          <cell r="H208" t="str">
            <v>ရတနာနှင်းဆီအိမ်ရာ၊ အမှတ် (4B/1507)၊ ဒဂုံဆိပ်ကမ်းမြို့နယ်</v>
          </cell>
          <cell r="I208">
            <v>39500</v>
          </cell>
          <cell r="J208">
            <v>4000</v>
          </cell>
          <cell r="K208">
            <v>43500</v>
          </cell>
          <cell r="L208">
            <v>4000</v>
          </cell>
          <cell r="M208">
            <v>4000</v>
          </cell>
          <cell r="O208" t="str">
            <v>-</v>
          </cell>
          <cell r="P208">
            <v>43500</v>
          </cell>
        </row>
        <row r="209">
          <cell r="C209" t="str">
            <v>D0906-KSC-043</v>
          </cell>
          <cell r="D209" t="str">
            <v>KS Cosmetic</v>
          </cell>
          <cell r="E209" t="str">
            <v>စိုးစိုး</v>
          </cell>
          <cell r="F209" t="str">
            <v>09-440990011</v>
          </cell>
          <cell r="G209" t="str">
            <v>နေပြည်တော်</v>
          </cell>
          <cell r="H209" t="str">
            <v>အမှတ် (၅၁၅၈)၊ လားရှိုးလမ်း နှင့် သဇင် (၈) လမ်းထောင့်၊ ဥတ္တရသီရိမြို့နယ်၊ နေပြည်တော်</v>
          </cell>
          <cell r="I209">
            <v>79000</v>
          </cell>
          <cell r="J209">
            <v>6000</v>
          </cell>
          <cell r="K209">
            <v>85000</v>
          </cell>
          <cell r="L209">
            <v>6000</v>
          </cell>
          <cell r="M209">
            <v>6000</v>
          </cell>
          <cell r="O209" t="str">
            <v>-</v>
          </cell>
          <cell r="P209">
            <v>85000</v>
          </cell>
        </row>
        <row r="210">
          <cell r="C210" t="str">
            <v>D0906-KSC-044</v>
          </cell>
          <cell r="D210" t="str">
            <v>KS Cosmetic</v>
          </cell>
          <cell r="E210" t="str">
            <v>ခက်ခက်ကျော်</v>
          </cell>
          <cell r="F210" t="str">
            <v>09-758265556
09-666045770</v>
          </cell>
          <cell r="G210" t="str">
            <v>နေပြည်တော်</v>
          </cell>
          <cell r="H210" t="str">
            <v>ဝဏ္ဏသိဒ္ဓိရပ်ကွက်၊ ဇမ္ဗူသီရိမြို့နယ်၊ နေပြည်တော်</v>
          </cell>
          <cell r="I210">
            <v>118500</v>
          </cell>
          <cell r="J210">
            <v>6000</v>
          </cell>
          <cell r="K210">
            <v>124500</v>
          </cell>
          <cell r="L210">
            <v>6000</v>
          </cell>
          <cell r="M210">
            <v>6000</v>
          </cell>
          <cell r="O210" t="str">
            <v>-</v>
          </cell>
          <cell r="P210">
            <v>124500</v>
          </cell>
        </row>
        <row r="211">
          <cell r="C211" t="str">
            <v>D0906-KSC-045</v>
          </cell>
          <cell r="D211" t="str">
            <v>KS Cosmetic</v>
          </cell>
          <cell r="E211" t="str">
            <v>Daw Ye Ye Tun</v>
          </cell>
          <cell r="F211" t="str">
            <v>09-441288080</v>
          </cell>
          <cell r="G211" t="str">
            <v>ဗဟန်း</v>
          </cell>
          <cell r="H211" t="str">
            <v>တက္ကသိုလ်ရိပ်သာလမ်းဟောင်း၊ ရွှေတောင်ကြားရပ်ကွက်၊ ဗဟန်းမြို့နယ်</v>
          </cell>
          <cell r="I211">
            <v>39500</v>
          </cell>
          <cell r="J211">
            <v>4000</v>
          </cell>
          <cell r="K211">
            <v>43500</v>
          </cell>
          <cell r="L211">
            <v>4000</v>
          </cell>
          <cell r="M211">
            <v>4000</v>
          </cell>
          <cell r="O211" t="str">
            <v>-</v>
          </cell>
          <cell r="P211">
            <v>43500</v>
          </cell>
        </row>
        <row r="212">
          <cell r="C212" t="str">
            <v>D0906-KSC-046</v>
          </cell>
          <cell r="D212" t="str">
            <v>KS Cosmetic</v>
          </cell>
          <cell r="E212" t="str">
            <v>Su Mon</v>
          </cell>
          <cell r="F212" t="str">
            <v>09-779697713</v>
          </cell>
          <cell r="G212" t="str">
            <v>ဗိုလ်တထောင်</v>
          </cell>
          <cell r="H212" t="str">
            <v>အခွန်ရုံး (၂)၊ အနော်ရထာလမ်း နှင့် (၄၆) လမ်းမှတ်တိုင်အနီး၊ (Thai 47 ကပ်လျက်)၊ ဗိုလ်တထောင်မြို့နယ်</v>
          </cell>
          <cell r="I212">
            <v>39500</v>
          </cell>
          <cell r="J212">
            <v>4000</v>
          </cell>
          <cell r="K212">
            <v>43500</v>
          </cell>
          <cell r="L212">
            <v>4000</v>
          </cell>
          <cell r="M212">
            <v>4000</v>
          </cell>
          <cell r="O212" t="str">
            <v>-</v>
          </cell>
          <cell r="P212">
            <v>43500</v>
          </cell>
        </row>
        <row r="213">
          <cell r="C213" t="str">
            <v>D0906-KSC-047</v>
          </cell>
          <cell r="D213" t="str">
            <v>KS Cosmetic</v>
          </cell>
          <cell r="E213" t="str">
            <v>Min Thu Ta</v>
          </cell>
          <cell r="F213" t="str">
            <v>09-695623399</v>
          </cell>
          <cell r="G213" t="str">
            <v>မင်္ဂလာဒုံ</v>
          </cell>
          <cell r="H213" t="str">
            <v>ဝါယာလက်ဈေး၊ (အ.မ.က ၁၀ ကျောင်းရှေ့)၊ မင်္ဂလာဒုံမြို့နယ်</v>
          </cell>
          <cell r="I213">
            <v>39500</v>
          </cell>
          <cell r="J213">
            <v>4500</v>
          </cell>
          <cell r="K213">
            <v>44000</v>
          </cell>
          <cell r="L213">
            <v>4500</v>
          </cell>
          <cell r="M213">
            <v>4500</v>
          </cell>
          <cell r="O213" t="str">
            <v>-</v>
          </cell>
          <cell r="P213">
            <v>44000</v>
          </cell>
        </row>
        <row r="214">
          <cell r="C214" t="str">
            <v>D0906-KSC-048</v>
          </cell>
          <cell r="D214" t="str">
            <v>KS Cosmetic</v>
          </cell>
          <cell r="E214" t="str">
            <v>Thin Zar</v>
          </cell>
          <cell r="F214" t="str">
            <v>09-673398722</v>
          </cell>
          <cell r="G214" t="str">
            <v>မင်္ဂလာဒုံ</v>
          </cell>
          <cell r="H214" t="str">
            <v>အောင်စည်ဂုံဘုရားအနီး၊ သင်္ဃန်းကျွန်းကြီး၊ မင်္ဂလာဒုံမြို့နယ်</v>
          </cell>
          <cell r="I214">
            <v>39500</v>
          </cell>
          <cell r="J214">
            <v>4500</v>
          </cell>
          <cell r="K214">
            <v>44000</v>
          </cell>
          <cell r="L214">
            <v>4500</v>
          </cell>
          <cell r="M214">
            <v>4500</v>
          </cell>
          <cell r="O214" t="str">
            <v>-</v>
          </cell>
          <cell r="P214">
            <v>44000</v>
          </cell>
        </row>
        <row r="215">
          <cell r="C215" t="str">
            <v>D0906-KSC-049</v>
          </cell>
          <cell r="D215" t="str">
            <v>KS Cosmetic</v>
          </cell>
          <cell r="E215" t="str">
            <v>မဝါ</v>
          </cell>
          <cell r="F215" t="str">
            <v>09-401620531</v>
          </cell>
          <cell r="G215" t="str">
            <v>မင်္ဂလာဒုံ</v>
          </cell>
          <cell r="H215" t="str">
            <v>ကုန်းတလပေါင်ကျေးရွာ၊ မင်္ဂလာဒုံမြို့နယ်</v>
          </cell>
          <cell r="I215">
            <v>39500</v>
          </cell>
          <cell r="J215">
            <v>4500</v>
          </cell>
          <cell r="K215">
            <v>44000</v>
          </cell>
          <cell r="L215">
            <v>4500</v>
          </cell>
          <cell r="M215">
            <v>4500</v>
          </cell>
          <cell r="O215" t="str">
            <v>-</v>
          </cell>
          <cell r="P215">
            <v>44000</v>
          </cell>
        </row>
        <row r="216">
          <cell r="C216" t="str">
            <v>D0906-KSC-050</v>
          </cell>
          <cell r="D216" t="str">
            <v>KS Cosmetic</v>
          </cell>
          <cell r="E216" t="str">
            <v>May May Ei</v>
          </cell>
          <cell r="F216" t="str">
            <v>09-795127758</v>
          </cell>
          <cell r="G216" t="str">
            <v>မင်္ဂလာဒုံ</v>
          </cell>
          <cell r="H216" t="str">
            <v>နွယ်နီလမ်းသွယ် (၂)၊ ကုန်းတလပေါင် (တောင်ပိုင်း)၊ မင်္ဂလာဒုံမြို့နယ်</v>
          </cell>
          <cell r="I216">
            <v>39500</v>
          </cell>
          <cell r="J216">
            <v>4500</v>
          </cell>
          <cell r="K216">
            <v>44000</v>
          </cell>
          <cell r="L216">
            <v>4500</v>
          </cell>
          <cell r="M216">
            <v>4500</v>
          </cell>
          <cell r="O216" t="str">
            <v>-</v>
          </cell>
          <cell r="P216">
            <v>44000</v>
          </cell>
        </row>
        <row r="217">
          <cell r="C217" t="str">
            <v>D0906-KSC-051</v>
          </cell>
          <cell r="D217" t="str">
            <v>KS Cosmetic</v>
          </cell>
          <cell r="E217" t="str">
            <v>မမိုးမိုး</v>
          </cell>
          <cell r="F217" t="str">
            <v>09-752865205</v>
          </cell>
          <cell r="G217" t="str">
            <v>မင်္ဂလာဒုံ</v>
          </cell>
          <cell r="H217" t="str">
            <v>ကျောင်းကြီး (၂) လမ်း၊ သင်္ဃန်းကျွန်းကြီး၊ မင်္ဂလာဒုံမြို့နယ်</v>
          </cell>
          <cell r="I217">
            <v>79000</v>
          </cell>
          <cell r="J217">
            <v>4500</v>
          </cell>
          <cell r="K217">
            <v>83500</v>
          </cell>
          <cell r="L217">
            <v>4500</v>
          </cell>
          <cell r="M217">
            <v>4500</v>
          </cell>
          <cell r="O217" t="str">
            <v>-</v>
          </cell>
          <cell r="P217">
            <v>83500</v>
          </cell>
        </row>
        <row r="218">
          <cell r="C218" t="str">
            <v>D0906-KSC-052</v>
          </cell>
          <cell r="D218" t="str">
            <v>KS Cosmetic</v>
          </cell>
          <cell r="E218" t="str">
            <v>Myat Lin Khant</v>
          </cell>
          <cell r="F218" t="str">
            <v>09-957031471</v>
          </cell>
          <cell r="G218" t="str">
            <v>မန္တလေး</v>
          </cell>
          <cell r="H218" t="str">
            <v>၇၈ x ၁၁၅ လမ်းကြား၊ မန္တလေး</v>
          </cell>
          <cell r="I218">
            <v>118500</v>
          </cell>
          <cell r="J218" t="str">
            <v>-</v>
          </cell>
          <cell r="K218">
            <v>118500</v>
          </cell>
          <cell r="L218">
            <v>6000</v>
          </cell>
          <cell r="M218" t="str">
            <v>-</v>
          </cell>
          <cell r="O218" t="str">
            <v>-</v>
          </cell>
          <cell r="P218">
            <v>118500</v>
          </cell>
        </row>
        <row r="219">
          <cell r="C219" t="str">
            <v>D0906-KSC-053</v>
          </cell>
          <cell r="D219" t="str">
            <v>KS Cosmetic</v>
          </cell>
          <cell r="E219" t="str">
            <v>အဖြိုး</v>
          </cell>
          <cell r="F219" t="str">
            <v>09-964527550</v>
          </cell>
          <cell r="G219" t="str">
            <v>မြောက်ဒဂုံ</v>
          </cell>
          <cell r="H219" t="str">
            <v>(၄၆) လမ်းဆုံ၊ မြောက်ဒဂုံမြို့နယ်</v>
          </cell>
          <cell r="I219">
            <v>39500</v>
          </cell>
          <cell r="J219">
            <v>4000</v>
          </cell>
          <cell r="K219">
            <v>43500</v>
          </cell>
          <cell r="L219">
            <v>4000</v>
          </cell>
          <cell r="M219">
            <v>4000</v>
          </cell>
          <cell r="O219" t="str">
            <v>-</v>
          </cell>
          <cell r="P219">
            <v>43500</v>
          </cell>
        </row>
        <row r="220">
          <cell r="C220" t="str">
            <v>D0906-KSC-054</v>
          </cell>
          <cell r="D220" t="str">
            <v>KS Cosmetic</v>
          </cell>
          <cell r="E220" t="str">
            <v>Hnin</v>
          </cell>
          <cell r="F220" t="str">
            <v>09-451836069</v>
          </cell>
          <cell r="G220" t="str">
            <v>လမ်းမတော်</v>
          </cell>
          <cell r="H220" t="str">
            <v>အမှတ် (၄၁)၊ (၂) လမ်း၊ လမ်းမတော်မြို့နယ်</v>
          </cell>
          <cell r="I220">
            <v>39500</v>
          </cell>
          <cell r="J220" t="str">
            <v>-</v>
          </cell>
          <cell r="K220">
            <v>39500</v>
          </cell>
          <cell r="L220">
            <v>4000</v>
          </cell>
          <cell r="M220" t="str">
            <v>-</v>
          </cell>
          <cell r="O220" t="str">
            <v>-</v>
          </cell>
          <cell r="P220">
            <v>39500</v>
          </cell>
        </row>
        <row r="221">
          <cell r="C221" t="str">
            <v>D0906-KSC-055</v>
          </cell>
          <cell r="D221" t="str">
            <v>KS Cosmetic</v>
          </cell>
          <cell r="E221" t="str">
            <v>Rio</v>
          </cell>
          <cell r="F221" t="str">
            <v>09-952140717</v>
          </cell>
          <cell r="G221" t="str">
            <v>လှိုင်</v>
          </cell>
          <cell r="H221" t="str">
            <v>အမှတ် (၇၇)၊ ကန်လမ်း၊ လှိုင်မြင့်မိုရ် (၁) လမ်း၊ လှိုင်မြို့နယ်</v>
          </cell>
          <cell r="I221">
            <v>39500</v>
          </cell>
          <cell r="J221">
            <v>4000</v>
          </cell>
          <cell r="K221">
            <v>43500</v>
          </cell>
          <cell r="L221">
            <v>4000</v>
          </cell>
          <cell r="M221">
            <v>4000</v>
          </cell>
          <cell r="O221" t="str">
            <v>-</v>
          </cell>
          <cell r="P221">
            <v>43500</v>
          </cell>
        </row>
        <row r="222">
          <cell r="C222" t="str">
            <v>D0906-KSC-056</v>
          </cell>
          <cell r="D222" t="str">
            <v>KS Cosmetic</v>
          </cell>
          <cell r="E222" t="str">
            <v>ဆွေကောင်းလျံအုတ်သဲကျောက်</v>
          </cell>
          <cell r="F222" t="str">
            <v>09-940898807</v>
          </cell>
          <cell r="G222" t="str">
            <v>လှိုင်သာယာ</v>
          </cell>
          <cell r="H222" t="str">
            <v>မန္တလေးလမ်း နှင့် ဦးပုညလမ်းထောင့်အနီး၊ လှိုင်သာယာမြို့နယ်</v>
          </cell>
          <cell r="I222">
            <v>158000</v>
          </cell>
          <cell r="J222">
            <v>4500</v>
          </cell>
          <cell r="K222">
            <v>162500</v>
          </cell>
          <cell r="L222">
            <v>4500</v>
          </cell>
          <cell r="M222">
            <v>4500</v>
          </cell>
          <cell r="O222" t="str">
            <v>-</v>
          </cell>
          <cell r="P222">
            <v>162500</v>
          </cell>
        </row>
        <row r="223">
          <cell r="C223" t="str">
            <v>D0906-KSC-057</v>
          </cell>
          <cell r="D223" t="str">
            <v>KS Cosmetic</v>
          </cell>
          <cell r="E223" t="str">
            <v>Z.L.W</v>
          </cell>
          <cell r="F223" t="str">
            <v>09-765056110</v>
          </cell>
          <cell r="G223" t="str">
            <v>သင်္ဃန်းကျွန်း</v>
          </cell>
          <cell r="H223" t="str">
            <v>အမှတ် (၂၅၀)၊ ဦးဘဟန်လမ်း၊ (င/က) ရပ်ကွက်၊ သင်္ဃန်းကျွန်းမြို့နယ်</v>
          </cell>
          <cell r="I223">
            <v>42000</v>
          </cell>
          <cell r="J223">
            <v>4000</v>
          </cell>
          <cell r="K223">
            <v>46000</v>
          </cell>
          <cell r="L223">
            <v>4000</v>
          </cell>
          <cell r="M223">
            <v>4000</v>
          </cell>
          <cell r="O223" t="str">
            <v>-</v>
          </cell>
          <cell r="P223">
            <v>46000</v>
          </cell>
        </row>
        <row r="224">
          <cell r="C224" t="str">
            <v>D0905-MSE-161</v>
          </cell>
          <cell r="D224" t="str">
            <v>မရွှေအိ</v>
          </cell>
          <cell r="E224" t="str">
            <v>May</v>
          </cell>
          <cell r="F224" t="str">
            <v>09-684451314</v>
          </cell>
          <cell r="G224" t="str">
            <v>ဒေါပုံ</v>
          </cell>
          <cell r="H224" t="str">
            <v>(ဒိုဓနုဘေးလမ်းကြား ဂိတ်ဆုံး)၊ (ရန်အောင်မှတ်တိုင်)၊ ဒေါပုံမြို့နယ်</v>
          </cell>
          <cell r="I224">
            <v>108000</v>
          </cell>
          <cell r="J224">
            <v>4000</v>
          </cell>
          <cell r="K224">
            <v>112000</v>
          </cell>
          <cell r="L224">
            <v>4000</v>
          </cell>
          <cell r="M224">
            <v>4000</v>
          </cell>
          <cell r="O224" t="str">
            <v>-</v>
          </cell>
          <cell r="P224">
            <v>112000</v>
          </cell>
        </row>
        <row r="225">
          <cell r="C225" t="str">
            <v>D0905-MSE-162</v>
          </cell>
          <cell r="D225" t="str">
            <v>မရွှေအိ</v>
          </cell>
          <cell r="E225" t="str">
            <v>မဖြိုးဝေသော်</v>
          </cell>
          <cell r="F225" t="str">
            <v>09-784808745</v>
          </cell>
          <cell r="G225" t="str">
            <v>မန္တလေး</v>
          </cell>
          <cell r="H225" t="str">
            <v>(၅၁) လမ်း၊ ၁၀၅ x ၁၀၆ လမ်းကြား၊ အောင်ပင်လယ်၊ ချမ်းမြသာစည်မြို့နယ်၊ မန္တလေး</v>
          </cell>
          <cell r="I225">
            <v>29000</v>
          </cell>
          <cell r="J225">
            <v>6000</v>
          </cell>
          <cell r="K225">
            <v>35000</v>
          </cell>
          <cell r="L225">
            <v>6000</v>
          </cell>
          <cell r="M225">
            <v>6000</v>
          </cell>
          <cell r="O225" t="str">
            <v>-</v>
          </cell>
          <cell r="P225">
            <v>35000</v>
          </cell>
        </row>
        <row r="226">
          <cell r="C226" t="str">
            <v>D0905-MSE-163</v>
          </cell>
          <cell r="D226" t="str">
            <v>မရွှေအိ</v>
          </cell>
          <cell r="E226" t="str">
            <v>May Zin</v>
          </cell>
          <cell r="F226" t="str">
            <v>09-695884820</v>
          </cell>
          <cell r="G226" t="str">
            <v>လှိုင်</v>
          </cell>
          <cell r="H226" t="str">
            <v>အရှေ့ပေ (၅၀)၊ မာလာမြိုင် (၁) လမ်းသွယ်ထိပ်၊ လှိုင်မြို့နယ်</v>
          </cell>
          <cell r="I226">
            <v>39000</v>
          </cell>
          <cell r="J226">
            <v>4000</v>
          </cell>
          <cell r="K226">
            <v>43000</v>
          </cell>
          <cell r="L226">
            <v>4000</v>
          </cell>
          <cell r="M226">
            <v>4000</v>
          </cell>
          <cell r="O226" t="str">
            <v>-</v>
          </cell>
          <cell r="P226">
            <v>43000</v>
          </cell>
        </row>
        <row r="227">
          <cell r="C227" t="str">
            <v>D0905-MSE-164</v>
          </cell>
          <cell r="D227" t="str">
            <v>မရွှေအိ</v>
          </cell>
          <cell r="E227" t="str">
            <v>Mee Nge</v>
          </cell>
          <cell r="F227" t="str">
            <v>09-409311371</v>
          </cell>
          <cell r="G227" t="str">
            <v>တောင်ဒဂုံ</v>
          </cell>
          <cell r="H227" t="str">
            <v>အမှတ် (၁၁)၊ မြယမုံဝန်အမှတ်၊ (၂၆) ရပ်ကွက်၊ တောင်ဒဂုံမြို့နယ်</v>
          </cell>
          <cell r="I227">
            <v>41000</v>
          </cell>
          <cell r="J227">
            <v>4000</v>
          </cell>
          <cell r="K227">
            <v>45000</v>
          </cell>
          <cell r="L227">
            <v>4000</v>
          </cell>
          <cell r="M227">
            <v>4000</v>
          </cell>
          <cell r="O227" t="str">
            <v>-</v>
          </cell>
          <cell r="P227">
            <v>45000</v>
          </cell>
        </row>
        <row r="228">
          <cell r="C228" t="str">
            <v>D0904-GGS-146</v>
          </cell>
          <cell r="D228" t="str">
            <v>The Gadget Store</v>
          </cell>
          <cell r="E228" t="str">
            <v>Aoav</v>
          </cell>
          <cell r="F228" t="str">
            <v>09-775879156
 09-783922942</v>
          </cell>
          <cell r="H228" t="str">
            <v>အမှတ် (၅၂၆)၊ သပြေလမ်း</v>
          </cell>
          <cell r="I228">
            <v>24500</v>
          </cell>
          <cell r="J228">
            <v>4000</v>
          </cell>
          <cell r="K228">
            <v>28500</v>
          </cell>
          <cell r="M228">
            <v>4000</v>
          </cell>
          <cell r="O228" t="str">
            <v>-</v>
          </cell>
          <cell r="P228">
            <v>28500</v>
          </cell>
        </row>
        <row r="229">
          <cell r="C229" t="str">
            <v>D0829-KSC-146</v>
          </cell>
          <cell r="D229" t="str">
            <v>KS Cosmetic</v>
          </cell>
          <cell r="E229" t="str">
            <v>မခင်သူဇာမြင့်</v>
          </cell>
          <cell r="F229" t="str">
            <v>09-781796497</v>
          </cell>
          <cell r="G229" t="str">
            <v>Royal</v>
          </cell>
          <cell r="H229" t="str">
            <v>ဘုတ်ပြင်း၊ တနင်္သာရီတိုင်း</v>
          </cell>
          <cell r="I229">
            <v>118500</v>
          </cell>
          <cell r="J229">
            <v>6000</v>
          </cell>
          <cell r="K229">
            <v>124500</v>
          </cell>
          <cell r="M229">
            <v>6000</v>
          </cell>
          <cell r="O229" t="str">
            <v>-</v>
          </cell>
          <cell r="P229">
            <v>124500</v>
          </cell>
          <cell r="Q229" t="str">
            <v>ဘုတ်ပြင်း</v>
          </cell>
        </row>
        <row r="230">
          <cell r="C230" t="str">
            <v>D0904-CTM-390</v>
          </cell>
          <cell r="D230" t="str">
            <v>ချစ်သွန်းသီရိ မေမေ</v>
          </cell>
          <cell r="E230" t="str">
            <v>Khaing Lay</v>
          </cell>
          <cell r="F230" t="str">
            <v>09-881477288</v>
          </cell>
          <cell r="G230" t="str">
            <v>ကျောက်တံတား</v>
          </cell>
          <cell r="H230" t="str">
            <v>Strand Condo၊ အခန်း (၇၀၂)၊ (၇) လွှာ၊ မဟာဗန္ဓုလပန်းခြံလမ်း နှင့် ဘဏ်လမ်းထောင့်၊ ကျောက်တံတားမြို့နယ်</v>
          </cell>
          <cell r="I230">
            <v>14500</v>
          </cell>
          <cell r="J230">
            <v>4000</v>
          </cell>
          <cell r="K230">
            <v>18500</v>
          </cell>
          <cell r="L230">
            <v>4000</v>
          </cell>
          <cell r="M230">
            <v>4000</v>
          </cell>
          <cell r="O230" t="str">
            <v>-</v>
          </cell>
          <cell r="P230">
            <v>18500</v>
          </cell>
        </row>
        <row r="231">
          <cell r="C231" t="str">
            <v>D0903-TSW-052</v>
          </cell>
          <cell r="D231" t="str">
            <v>3 &amp; 6 Wholesale</v>
          </cell>
          <cell r="E231" t="str">
            <v>ကိုမင်းမင်း</v>
          </cell>
          <cell r="F231" t="str">
            <v>09-425612786
 09-420033969</v>
          </cell>
          <cell r="G231" t="str">
            <v>ကျောက်တံတား</v>
          </cell>
          <cell r="H231" t="str">
            <v>ရောင်နီဖုန်းဆိုင်၊ အနော်ရထာလမ်း နှင့် (၃၅) လမ်းထောင့်၊ ကျောက်တံတားမြို့နယ်</v>
          </cell>
          <cell r="I231">
            <v>88000</v>
          </cell>
          <cell r="J231" t="str">
            <v>-</v>
          </cell>
          <cell r="K231">
            <v>88000</v>
          </cell>
          <cell r="L231">
            <v>4000</v>
          </cell>
          <cell r="M231" t="str">
            <v>-</v>
          </cell>
          <cell r="N231">
            <v>17</v>
          </cell>
          <cell r="O231">
            <v>17000</v>
          </cell>
          <cell r="P231">
            <v>105000</v>
          </cell>
        </row>
        <row r="232">
          <cell r="C232" t="str">
            <v>D0904-KSH-253</v>
          </cell>
          <cell r="D232" t="str">
            <v>ကျော်စိုးဟိန်း</v>
          </cell>
          <cell r="E232" t="str">
            <v>ကိုဇော်ဝင်းနိုင်</v>
          </cell>
          <cell r="F232" t="str">
            <v>09-668712777</v>
          </cell>
          <cell r="G232" t="str">
            <v>ဂိတ်ချ</v>
          </cell>
          <cell r="H232" t="str">
            <v>ပဲခူးတိုင်းလက်ပံတန်းမြို့၊ မင်းရပ်ရပ်ကွက်၊ မြေစာရင်ရုံးလမ်း</v>
          </cell>
          <cell r="I232">
            <v>717000</v>
          </cell>
          <cell r="J232">
            <v>5000</v>
          </cell>
          <cell r="K232">
            <v>722000</v>
          </cell>
          <cell r="L232">
            <v>3000</v>
          </cell>
          <cell r="M232">
            <v>5000</v>
          </cell>
          <cell r="N232">
            <v>26</v>
          </cell>
          <cell r="O232">
            <v>11500</v>
          </cell>
          <cell r="P232">
            <v>733500</v>
          </cell>
          <cell r="Q232" t="str">
            <v>TBC</v>
          </cell>
        </row>
        <row r="233">
          <cell r="C233" t="str">
            <v>D0904-MMA-354</v>
          </cell>
          <cell r="D233" t="str">
            <v>မြန်မာ့အလှ</v>
          </cell>
          <cell r="E233" t="str">
            <v>Ma Su</v>
          </cell>
          <cell r="F233" t="str">
            <v>09-773209266</v>
          </cell>
          <cell r="G233" t="str">
            <v>စမ်းချောင်း</v>
          </cell>
          <cell r="H233" t="str">
            <v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</v>
          </cell>
          <cell r="I233">
            <v>228600</v>
          </cell>
          <cell r="J233">
            <v>4000</v>
          </cell>
          <cell r="K233">
            <v>232600</v>
          </cell>
          <cell r="L233">
            <v>4000</v>
          </cell>
          <cell r="M233">
            <v>4000</v>
          </cell>
          <cell r="N233">
            <v>4</v>
          </cell>
          <cell r="O233">
            <v>500</v>
          </cell>
          <cell r="P233">
            <v>233100</v>
          </cell>
        </row>
        <row r="234">
          <cell r="C234" t="str">
            <v>D0903-GRS-006</v>
          </cell>
          <cell r="D234" t="str">
            <v>GRS Express</v>
          </cell>
          <cell r="E234" t="str">
            <v>Ma Zon Lay</v>
          </cell>
          <cell r="F234" t="str">
            <v>09-968586673</v>
          </cell>
          <cell r="G234" t="str">
            <v>စမ်းချောင်း</v>
          </cell>
          <cell r="H234" t="str">
            <v>KBZ Bank (Redhill Tower)၊ (Dagon Center ရှေ့)၊ မြေနီကုန်း၊ စမ်းချောင်းမြို့နယ်</v>
          </cell>
          <cell r="I234">
            <v>33500</v>
          </cell>
          <cell r="J234">
            <v>4500</v>
          </cell>
          <cell r="K234">
            <v>38000</v>
          </cell>
          <cell r="L234">
            <v>4000</v>
          </cell>
          <cell r="M234">
            <v>4500</v>
          </cell>
          <cell r="O234" t="str">
            <v>-</v>
          </cell>
          <cell r="P234">
            <v>38000</v>
          </cell>
        </row>
        <row r="235">
          <cell r="C235" t="str">
            <v>D0904-KAL-070</v>
          </cell>
          <cell r="D235" t="str">
            <v>ခင့်အလှူ</v>
          </cell>
          <cell r="E235" t="str">
            <v>Susan Ko Ko</v>
          </cell>
          <cell r="F235" t="str">
            <v>09-257419909</v>
          </cell>
          <cell r="G235" t="str">
            <v>တောင်ဒဂုံ</v>
          </cell>
          <cell r="H235" t="str">
            <v>တိုက် (၁၄)၊ ပုလဲမွန်အိမ်ရာ၊ (၆၅) ရပ်ကွက်၊ တောင်ဒဂုံမြို့နယ်</v>
          </cell>
          <cell r="I235">
            <v>249000</v>
          </cell>
          <cell r="J235">
            <v>4000</v>
          </cell>
          <cell r="K235">
            <v>253000</v>
          </cell>
          <cell r="L235">
            <v>4000</v>
          </cell>
          <cell r="M235">
            <v>4000</v>
          </cell>
          <cell r="N235">
            <v>15</v>
          </cell>
          <cell r="O235">
            <v>6000</v>
          </cell>
          <cell r="P235">
            <v>259000</v>
          </cell>
        </row>
        <row r="236">
          <cell r="C236" t="str">
            <v>D0904-GGS-208</v>
          </cell>
          <cell r="D236" t="str">
            <v>The Gadget Store</v>
          </cell>
          <cell r="E236" t="str">
            <v>မသော်တာ</v>
          </cell>
          <cell r="F236" t="str">
            <v>09-784610687</v>
          </cell>
          <cell r="G236" t="str">
            <v>တောင်ဒဂုံ</v>
          </cell>
          <cell r="H236" t="str">
            <v>အမှတ် (၁၁၂)၊ စံပယ်မြိုင် (၆) လမ်း၊ (၁၇) ရပ်ကွက်၊ တောင်ဒဂုံမြို့နယ်</v>
          </cell>
          <cell r="I236">
            <v>14500</v>
          </cell>
          <cell r="J236">
            <v>4000</v>
          </cell>
          <cell r="K236">
            <v>18500</v>
          </cell>
          <cell r="L236">
            <v>4000</v>
          </cell>
          <cell r="M236">
            <v>4000</v>
          </cell>
          <cell r="O236" t="str">
            <v>-</v>
          </cell>
          <cell r="P236">
            <v>18500</v>
          </cell>
        </row>
        <row r="237">
          <cell r="C237" t="str">
            <v>D0904-KSC-263</v>
          </cell>
          <cell r="D237" t="str">
            <v>KS Cosmetic</v>
          </cell>
          <cell r="E237" t="str">
            <v>9. Su Hanni aung</v>
          </cell>
          <cell r="F237" t="str">
            <v>09-695710263</v>
          </cell>
          <cell r="G237" t="str">
            <v>တောင်ဒဂုံ</v>
          </cell>
          <cell r="H237" t="str">
            <v>(ရွှေဝါလမ်းဆုံအနီး)၊ (၂၁) ရပ်ကွက်၊ တောင်ဒဂုံမြို့နယ်</v>
          </cell>
          <cell r="I237">
            <v>39500</v>
          </cell>
          <cell r="J237">
            <v>4000</v>
          </cell>
          <cell r="K237">
            <v>43500</v>
          </cell>
          <cell r="L237">
            <v>4000</v>
          </cell>
          <cell r="M237">
            <v>4000</v>
          </cell>
          <cell r="O237" t="str">
            <v>-</v>
          </cell>
          <cell r="P237">
            <v>43500</v>
          </cell>
        </row>
        <row r="238">
          <cell r="C238" t="str">
            <v>D0904-KSC-277</v>
          </cell>
          <cell r="D238" t="str">
            <v>KS Cosmetic</v>
          </cell>
          <cell r="E238" t="str">
            <v>11. Po Po yin</v>
          </cell>
          <cell r="F238" t="str">
            <v>09-44055010</v>
          </cell>
          <cell r="G238" t="str">
            <v>တောင်ဒဂုံ</v>
          </cell>
          <cell r="H238" t="str">
            <v>အမှတ် (၈၆၉)၊ အကောက်ခွန်လမ်း၊ (၅၆) ရပ်ကွက်၊ တောင်ဒဂုံမြို့နယ်</v>
          </cell>
          <cell r="I238">
            <v>79000</v>
          </cell>
          <cell r="J238">
            <v>4000</v>
          </cell>
          <cell r="K238">
            <v>83000</v>
          </cell>
          <cell r="L238">
            <v>4000</v>
          </cell>
          <cell r="M238">
            <v>4000</v>
          </cell>
          <cell r="O238" t="str">
            <v>-</v>
          </cell>
          <cell r="P238">
            <v>83000</v>
          </cell>
        </row>
        <row r="239">
          <cell r="C239" t="str">
            <v>D0904-PYT-363</v>
          </cell>
          <cell r="D239" t="str">
            <v>ပုရစ်ကလေး</v>
          </cell>
          <cell r="E239" t="str">
            <v>Yin Pyone</v>
          </cell>
          <cell r="F239" t="str">
            <v>09-422219996</v>
          </cell>
          <cell r="G239" t="str">
            <v>တောင်ဒဂုံ</v>
          </cell>
          <cell r="H239" t="str">
            <v>ချင်းတွင်းလမ်း၊ (၁၀၅) ရပ်ကွက်၊ တောင်ဒဂုံမြို့နယ်</v>
          </cell>
          <cell r="I239">
            <v>57500</v>
          </cell>
          <cell r="J239">
            <v>4000</v>
          </cell>
          <cell r="K239">
            <v>61500</v>
          </cell>
          <cell r="L239">
            <v>4000</v>
          </cell>
          <cell r="M239">
            <v>4000</v>
          </cell>
          <cell r="O239" t="str">
            <v>-</v>
          </cell>
          <cell r="P239">
            <v>61500</v>
          </cell>
        </row>
        <row r="240">
          <cell r="C240" t="str">
            <v>D0904-JSC-399</v>
          </cell>
          <cell r="D240" t="str">
            <v>Jessica Sue</v>
          </cell>
          <cell r="E240" t="str">
            <v>Khaing Lay</v>
          </cell>
          <cell r="F240" t="str">
            <v>09-43151983</v>
          </cell>
          <cell r="G240" t="str">
            <v>တောင်ဒဂုံ</v>
          </cell>
          <cell r="H240" t="str">
            <v>အမှတ် (၁၉၃)၊ ရာမညလမ်း၊ (၂၆) ရပ်ကွက်၊ တောင်ဒဂုံမြို့နယ်</v>
          </cell>
          <cell r="I240">
            <v>65700</v>
          </cell>
          <cell r="J240">
            <v>4000</v>
          </cell>
          <cell r="K240">
            <v>69700</v>
          </cell>
          <cell r="L240">
            <v>4000</v>
          </cell>
          <cell r="M240">
            <v>4000</v>
          </cell>
          <cell r="O240" t="str">
            <v>-</v>
          </cell>
          <cell r="P240">
            <v>69700</v>
          </cell>
        </row>
        <row r="241">
          <cell r="C241" t="str">
            <v>D0901-TSW-045</v>
          </cell>
          <cell r="D241" t="str">
            <v>3 &amp; 6 Wholesale</v>
          </cell>
          <cell r="E241" t="str">
            <v>သမီးချော</v>
          </cell>
          <cell r="F241" t="str">
            <v>09-402235997</v>
          </cell>
          <cell r="G241" t="str">
            <v>တောင်ဒဂုံ</v>
          </cell>
          <cell r="H241" t="str">
            <v>ရိုးမရိပ်သာအိမ်ရာ၊ တိုက် (၃၇)၊ အခန်း (၀၀၉)၊ (၁၆၈) ရပ်ကွက်၊ တောင်ဒဂုံမြို့နယ်</v>
          </cell>
          <cell r="I241">
            <v>32000</v>
          </cell>
          <cell r="J241" t="str">
            <v>-</v>
          </cell>
          <cell r="K241">
            <v>32000</v>
          </cell>
          <cell r="L241">
            <v>4000</v>
          </cell>
          <cell r="M241" t="str">
            <v>-</v>
          </cell>
          <cell r="N241">
            <v>5</v>
          </cell>
          <cell r="O241">
            <v>7000</v>
          </cell>
          <cell r="P241">
            <v>39000</v>
          </cell>
        </row>
        <row r="242">
          <cell r="C242" t="str">
            <v>D0902-TSW-010</v>
          </cell>
          <cell r="D242" t="str">
            <v>3 &amp; 6 Wholesale</v>
          </cell>
          <cell r="E242" t="str">
            <v>မမေဖြိုးဇင်</v>
          </cell>
          <cell r="F242" t="str">
            <v>09-403792699</v>
          </cell>
          <cell r="G242" t="str">
            <v>တောင်ဒဂုံ</v>
          </cell>
          <cell r="H242" t="str">
            <v>တိုက် (၂၀၀)၊ အင်းတော်လမ်း၊ ((၆၄) ဈေးအနီး)၊ တောင်ဒဂုံမြို့နယ်</v>
          </cell>
          <cell r="I242">
            <v>57000</v>
          </cell>
          <cell r="J242">
            <v>4000</v>
          </cell>
          <cell r="K242">
            <v>61000</v>
          </cell>
          <cell r="L242">
            <v>4000</v>
          </cell>
          <cell r="M242">
            <v>4000</v>
          </cell>
          <cell r="O242" t="str">
            <v>-</v>
          </cell>
          <cell r="P242">
            <v>61000</v>
          </cell>
        </row>
        <row r="243">
          <cell r="C243" t="str">
            <v>D0901-KSC-285</v>
          </cell>
          <cell r="D243" t="str">
            <v>KS Cosmetic</v>
          </cell>
          <cell r="E243" t="str">
            <v>Ei Lay</v>
          </cell>
          <cell r="F243" t="str">
            <v>09-441703070</v>
          </cell>
          <cell r="G243" t="str">
            <v>တောင်ဒဂုံ</v>
          </cell>
          <cell r="H243" t="str">
            <v>အမှတ် (1237B)၊ သပြေညိုလမ်း၊ (၆၅) ရပ်ကွက်၊ တောင်ဒဂုံမြို့နယ်</v>
          </cell>
          <cell r="I243">
            <v>39500</v>
          </cell>
          <cell r="J243">
            <v>4000</v>
          </cell>
          <cell r="K243">
            <v>43500</v>
          </cell>
          <cell r="L243">
            <v>4000</v>
          </cell>
          <cell r="M243">
            <v>4000</v>
          </cell>
          <cell r="O243" t="str">
            <v>-</v>
          </cell>
          <cell r="P243">
            <v>43500</v>
          </cell>
        </row>
        <row r="244">
          <cell r="C244" t="str">
            <v>D0831-KSC-312</v>
          </cell>
          <cell r="D244" t="str">
            <v>KS Cosmetic</v>
          </cell>
          <cell r="E244" t="str">
            <v>မအိသက်</v>
          </cell>
          <cell r="F244" t="str">
            <v>09-422588536</v>
          </cell>
          <cell r="G244" t="str">
            <v>တောင်ဒဂုံ</v>
          </cell>
          <cell r="H244" t="str">
            <v>အမှတ် (၆၅၈)၊ ခတ္တာလမ်း၊ (၂၂) ရပ်ကွက်၊ (တောင်ဒဂုံသစ်ဆိပ်)၊ တောင်ဒဂုံမြို့နယ်</v>
          </cell>
          <cell r="I244">
            <v>39500</v>
          </cell>
          <cell r="J244">
            <v>4000</v>
          </cell>
          <cell r="K244">
            <v>43500</v>
          </cell>
          <cell r="L244">
            <v>4000</v>
          </cell>
          <cell r="M244">
            <v>4000</v>
          </cell>
          <cell r="O244" t="str">
            <v>-</v>
          </cell>
          <cell r="P244">
            <v>43500</v>
          </cell>
        </row>
        <row r="245">
          <cell r="C245" t="str">
            <v>D0831-KSC-216</v>
          </cell>
          <cell r="D245" t="str">
            <v>KS Cosmetic</v>
          </cell>
          <cell r="E245">
            <v>142</v>
          </cell>
          <cell r="F245" t="str">
            <v>09-788235536</v>
          </cell>
          <cell r="G245" t="str">
            <v>တောင်ဒဂုံ</v>
          </cell>
          <cell r="H245" t="str">
            <v>(ကျောက်စိမ်းဘုရားရောက်လျှင် ဖုန်းဆက်ပေးပါ)၊ တောင်ဒဂုံမြို့နယ်</v>
          </cell>
          <cell r="I245">
            <v>39500</v>
          </cell>
          <cell r="J245">
            <v>4000</v>
          </cell>
          <cell r="K245">
            <v>43500</v>
          </cell>
          <cell r="L245">
            <v>4000</v>
          </cell>
          <cell r="M245">
            <v>4000</v>
          </cell>
          <cell r="O245" t="str">
            <v>-</v>
          </cell>
          <cell r="P245">
            <v>43500</v>
          </cell>
        </row>
        <row r="246">
          <cell r="C246" t="str">
            <v>D0828-MMA-019</v>
          </cell>
          <cell r="D246" t="str">
            <v>မြန်မာ့အလှ</v>
          </cell>
          <cell r="E246" t="str">
            <v>Hsu Htet Wai</v>
          </cell>
          <cell r="F246" t="str">
            <v>09-682824081</v>
          </cell>
          <cell r="G246" t="str">
            <v>တောင်ဒဂုံ</v>
          </cell>
          <cell r="H246" t="str">
            <v>စစ်တောင်းလမ်း၊ စက်မှုဇုန် (၂)၊ (၆၄) ရပ်ကွက်၊ တောင်ဒဂုံမြို့နယ်</v>
          </cell>
          <cell r="I246">
            <v>87000</v>
          </cell>
          <cell r="J246">
            <v>4000</v>
          </cell>
          <cell r="K246">
            <v>91000</v>
          </cell>
          <cell r="L246">
            <v>4000</v>
          </cell>
          <cell r="M246">
            <v>4000</v>
          </cell>
          <cell r="O246" t="str">
            <v>-</v>
          </cell>
          <cell r="P246">
            <v>91000</v>
          </cell>
        </row>
        <row r="247">
          <cell r="C247" t="str">
            <v>D0902-TSW-021</v>
          </cell>
          <cell r="D247" t="str">
            <v>3 &amp; 6 Wholesale</v>
          </cell>
          <cell r="E247" t="str">
            <v>နန်းဧပရယ်ဝင်း</v>
          </cell>
          <cell r="F247" t="str">
            <v>09-899980619
  09-454943803</v>
          </cell>
          <cell r="G247" t="str">
            <v>တောင်ဒဂုံ</v>
          </cell>
          <cell r="H247" t="str">
            <v>အလင်္ကာဥယျာဉ် သီလရှင်ဝတ်စုံဆိုင်၊ ဓာတ်နန်း (၃) လမ်း၊ ရွာသာကြီးရပ်ကွက်၊ တောင်ဒဂုံမြို့နယ်</v>
          </cell>
          <cell r="I247">
            <v>38000</v>
          </cell>
          <cell r="J247" t="str">
            <v>-</v>
          </cell>
          <cell r="K247">
            <v>38000</v>
          </cell>
          <cell r="L247">
            <v>4000</v>
          </cell>
          <cell r="M247" t="str">
            <v>-</v>
          </cell>
          <cell r="N247">
            <v>6</v>
          </cell>
          <cell r="O247">
            <v>15000</v>
          </cell>
          <cell r="P247">
            <v>53000</v>
          </cell>
        </row>
        <row r="248">
          <cell r="C248" t="str">
            <v>D0820-KAL-054</v>
          </cell>
          <cell r="D248" t="str">
            <v>ခင့်အလှူ</v>
          </cell>
          <cell r="E248" t="str">
            <v>Chit Cho</v>
          </cell>
          <cell r="F248" t="str">
            <v>09-421080358</v>
          </cell>
          <cell r="G248" t="str">
            <v>တောင်ဥက္ကလာပ</v>
          </cell>
          <cell r="H248" t="str">
            <v>အမှတ် (၉၀၄)၊ နန္ဒဝန်ဈေးလမ်း၊ (၆) ရပ်ကွက်၊ တောင်ဥက္ကလာမြို့နယ်ပ</v>
          </cell>
          <cell r="I248">
            <v>35000</v>
          </cell>
          <cell r="J248">
            <v>5000</v>
          </cell>
          <cell r="K248">
            <v>40000</v>
          </cell>
          <cell r="L248">
            <v>4000</v>
          </cell>
          <cell r="M248">
            <v>5000</v>
          </cell>
          <cell r="O248" t="str">
            <v>-</v>
          </cell>
          <cell r="P248">
            <v>40000</v>
          </cell>
        </row>
        <row r="249">
          <cell r="C249" t="str">
            <v>D0903-TSW-056</v>
          </cell>
          <cell r="D249" t="str">
            <v>3 &amp; 6 Wholesale</v>
          </cell>
          <cell r="E249" t="str">
            <v>Khin Moh Moh Lin</v>
          </cell>
          <cell r="F249" t="str">
            <v>09-453111826</v>
          </cell>
          <cell r="G249" t="str">
            <v>တောင်ဥက္ကလာပ</v>
          </cell>
          <cell r="H249" t="str">
            <v>ရွှေဖီခိုင်ညာလမ်း၊ (မြင်သာဈေး)၊ တောင်ဥက္ကလာပမြို့နယ်</v>
          </cell>
          <cell r="I249">
            <v>19000</v>
          </cell>
          <cell r="J249">
            <v>4000</v>
          </cell>
          <cell r="K249">
            <v>23000</v>
          </cell>
          <cell r="L249">
            <v>4000</v>
          </cell>
          <cell r="M249">
            <v>4000</v>
          </cell>
          <cell r="N249">
            <v>4</v>
          </cell>
          <cell r="O249">
            <v>8000</v>
          </cell>
          <cell r="P249">
            <v>31000</v>
          </cell>
        </row>
        <row r="250">
          <cell r="C250" t="str">
            <v>D0831-MMA-371</v>
          </cell>
          <cell r="D250" t="str">
            <v>မြန်မာ့အလှ</v>
          </cell>
          <cell r="E250" t="str">
            <v>အာဘွားလေးတို့မေမေ</v>
          </cell>
          <cell r="F250" t="str">
            <v>09-755649086</v>
          </cell>
          <cell r="G250" t="str">
            <v>တောင်ဥက္ကလာပ</v>
          </cell>
          <cell r="H250" t="str">
            <v>စစ်ကိုင်းလမ်း နှင့် (၂၅) လမ်း၊ (၁၅) ရပ်ကွက်၊ တောင်ဥက္ကလာပမြို့နယ်</v>
          </cell>
          <cell r="I250">
            <v>562000</v>
          </cell>
          <cell r="J250">
            <v>4000</v>
          </cell>
          <cell r="K250">
            <v>566000</v>
          </cell>
          <cell r="L250">
            <v>4000</v>
          </cell>
          <cell r="M250">
            <v>4000</v>
          </cell>
          <cell r="O250">
            <v>4000</v>
          </cell>
          <cell r="P250">
            <v>570000</v>
          </cell>
        </row>
        <row r="251">
          <cell r="C251" t="str">
            <v>D0831-TSW-079</v>
          </cell>
          <cell r="D251" t="str">
            <v>3 &amp; 6 Wholesale</v>
          </cell>
          <cell r="E251" t="str">
            <v>Zioldl Yorl</v>
          </cell>
          <cell r="F251" t="str">
            <v>09-977433758</v>
          </cell>
          <cell r="G251" t="str">
            <v>တောင်ဥက္ကလာပ</v>
          </cell>
          <cell r="H251" t="str">
            <v>အမှတ် (၅၆)၊ ရာဇသင်္ကြန် (၁) လမ်း၊ (၁၁) ရပ်ကွက်၊ တောင်ဥက္ကလာပမြို့နယ်</v>
          </cell>
          <cell r="I251">
            <v>32000</v>
          </cell>
          <cell r="J251">
            <v>4000</v>
          </cell>
          <cell r="K251">
            <v>36000</v>
          </cell>
          <cell r="L251">
            <v>4000</v>
          </cell>
          <cell r="M251">
            <v>4000</v>
          </cell>
          <cell r="O251">
            <v>7000</v>
          </cell>
          <cell r="P251">
            <v>43000</v>
          </cell>
        </row>
        <row r="252">
          <cell r="C252" t="str">
            <v>D0831-KAL-125</v>
          </cell>
          <cell r="D252" t="str">
            <v>ခင့်အလှူ</v>
          </cell>
          <cell r="E252" t="str">
            <v>Snow Lay</v>
          </cell>
          <cell r="F252" t="str">
            <v>09-421647267</v>
          </cell>
          <cell r="G252" t="str">
            <v>တောင်ဥက္ကလာပ</v>
          </cell>
          <cell r="H252" t="str">
            <v>အမှတ် (၄၅၀)၊ သုတ (၂) လမ်း၊ (၄) ရပ်ကွက်၊ တောင်ဥက္ကလာပမြို့နယ်</v>
          </cell>
          <cell r="I252">
            <v>102000</v>
          </cell>
          <cell r="J252">
            <v>5000</v>
          </cell>
          <cell r="K252">
            <v>107000</v>
          </cell>
          <cell r="L252">
            <v>4000</v>
          </cell>
          <cell r="M252">
            <v>5000</v>
          </cell>
          <cell r="O252">
            <v>3500</v>
          </cell>
          <cell r="P252">
            <v>110500</v>
          </cell>
        </row>
        <row r="253">
          <cell r="C253" t="str">
            <v>D0902-KAL-163</v>
          </cell>
          <cell r="D253" t="str">
            <v>ခင့်အလှူ</v>
          </cell>
          <cell r="E253" t="str">
            <v>မာမီ</v>
          </cell>
          <cell r="F253" t="str">
            <v>09-750915228</v>
          </cell>
          <cell r="G253" t="str">
            <v>ဒဂုံ</v>
          </cell>
          <cell r="H253" t="str">
            <v>သော်ကမြိုင်လမ်း၊ (၃၈) ရပ်ကွက်၊ ဒဂုံမြို့နယ်</v>
          </cell>
          <cell r="I253">
            <v>49500</v>
          </cell>
          <cell r="J253">
            <v>4000</v>
          </cell>
          <cell r="K253">
            <v>53500</v>
          </cell>
          <cell r="L253">
            <v>4000</v>
          </cell>
          <cell r="M253">
            <v>4000</v>
          </cell>
          <cell r="O253" t="str">
            <v>-</v>
          </cell>
          <cell r="P253">
            <v>53500</v>
          </cell>
        </row>
        <row r="254">
          <cell r="C254" t="str">
            <v>D0904-KAL-079</v>
          </cell>
          <cell r="D254" t="str">
            <v>ခင့်အလှူ</v>
          </cell>
          <cell r="E254" t="str">
            <v>Shin Let Let Mg</v>
          </cell>
          <cell r="F254" t="str">
            <v>09-252299795</v>
          </cell>
          <cell r="G254" t="str">
            <v>ဒဂုံဆိပ်ကမ်း</v>
          </cell>
          <cell r="H254" t="str">
            <v>တိုက် (၂၄)၊ အခန်း (202B)၊ (၁) လမ်း၊ ဒဂုံဆိပ်ကမ်းမြို့နယ်</v>
          </cell>
          <cell r="I254">
            <v>40000</v>
          </cell>
          <cell r="J254">
            <v>4000</v>
          </cell>
          <cell r="K254">
            <v>44000</v>
          </cell>
          <cell r="L254">
            <v>4000</v>
          </cell>
          <cell r="M254">
            <v>4000</v>
          </cell>
          <cell r="O254" t="str">
            <v>-</v>
          </cell>
          <cell r="P254">
            <v>44000</v>
          </cell>
        </row>
        <row r="255">
          <cell r="C255" t="str">
            <v>D0904-MMA-306</v>
          </cell>
          <cell r="D255" t="str">
            <v>မြန်မာ့အလှ</v>
          </cell>
          <cell r="E255" t="str">
            <v>U Mgoo</v>
          </cell>
          <cell r="F255" t="str">
            <v>09-420286588</v>
          </cell>
          <cell r="G255" t="str">
            <v>ဒဂုံဆိပ်ကမ်း</v>
          </cell>
          <cell r="H255" t="str">
            <v>ယုဇနဥယျာဉ်မြို့တော်၊ မေခလမ်း၊ (၉၃) ရပ်ကွက်၊ ဒဂုံဆိပ်ကမ်းမြို့နယ်</v>
          </cell>
          <cell r="I255">
            <v>387000</v>
          </cell>
          <cell r="J255">
            <v>4000</v>
          </cell>
          <cell r="K255">
            <v>391000</v>
          </cell>
          <cell r="L255">
            <v>4000</v>
          </cell>
          <cell r="M255">
            <v>4000</v>
          </cell>
          <cell r="N255">
            <v>8</v>
          </cell>
          <cell r="O255">
            <v>2500</v>
          </cell>
          <cell r="P255">
            <v>393500</v>
          </cell>
        </row>
        <row r="256">
          <cell r="C256" t="str">
            <v>D0904-PYT-361</v>
          </cell>
          <cell r="D256" t="str">
            <v>ပုရစ်ကလေး</v>
          </cell>
          <cell r="E256" t="str">
            <v>Jue Phoo</v>
          </cell>
          <cell r="F256" t="str">
            <v>09-786656989</v>
          </cell>
          <cell r="G256" t="str">
            <v>ဒဂုံဆိပ်ကမ်း</v>
          </cell>
          <cell r="H256" t="str">
            <v>(၈၄) ရပ်ကွက်၊ ဒဂုံဆိပ်ကမ်းမြို့နယ်</v>
          </cell>
          <cell r="I256">
            <v>23500</v>
          </cell>
          <cell r="J256">
            <v>4000</v>
          </cell>
          <cell r="K256">
            <v>27500</v>
          </cell>
          <cell r="L256">
            <v>4000</v>
          </cell>
          <cell r="M256">
            <v>4000</v>
          </cell>
          <cell r="O256" t="str">
            <v>-</v>
          </cell>
          <cell r="P256">
            <v>27500</v>
          </cell>
        </row>
        <row r="257">
          <cell r="C257" t="str">
            <v>D0904-JSC-398</v>
          </cell>
          <cell r="D257" t="str">
            <v>Jessica Sue</v>
          </cell>
          <cell r="E257" t="str">
            <v>Yu Yu</v>
          </cell>
          <cell r="F257" t="str">
            <v>09-962916562</v>
          </cell>
          <cell r="G257" t="str">
            <v>ဒဂုံဆိပ်ကမ်း</v>
          </cell>
          <cell r="H257" t="str">
            <v>စစ်တောင်းရိပ်မွန်၊ တိုက် (၇-၀၀၁)၊ ယုဇနလမ်း၊ ဒဂုံဆိပ်ကမ်းမြို့နယ်</v>
          </cell>
          <cell r="I257">
            <v>48000</v>
          </cell>
          <cell r="J257">
            <v>4000</v>
          </cell>
          <cell r="K257">
            <v>52000</v>
          </cell>
          <cell r="L257">
            <v>4000</v>
          </cell>
          <cell r="M257">
            <v>4000</v>
          </cell>
          <cell r="O257" t="str">
            <v>-</v>
          </cell>
          <cell r="P257">
            <v>52000</v>
          </cell>
        </row>
        <row r="258">
          <cell r="C258" t="str">
            <v>D0831-MML-152</v>
          </cell>
          <cell r="D258" t="str">
            <v>Ma Myat Lay</v>
          </cell>
          <cell r="E258" t="str">
            <v>Mar Mar</v>
          </cell>
          <cell r="F258" t="str">
            <v>09-451248394
  09-45248394</v>
          </cell>
          <cell r="G258" t="str">
            <v>ဒဂုံဆိပ်ကမ်း</v>
          </cell>
          <cell r="H258" t="str">
            <v>ယုဇနဥယျာဉ်မြို့တော်၊ အမှတ် (၂၉)၊ အခန်း (102C)၊ (၁၄) လမ်း၊ ဒဂုံဆိပ်ကမ်းမြို့နယ်</v>
          </cell>
          <cell r="I258">
            <v>38200</v>
          </cell>
          <cell r="J258">
            <v>5000</v>
          </cell>
          <cell r="K258">
            <v>43200</v>
          </cell>
          <cell r="L258">
            <v>4000</v>
          </cell>
          <cell r="M258">
            <v>5000</v>
          </cell>
          <cell r="N258">
            <v>6</v>
          </cell>
          <cell r="O258">
            <v>1500</v>
          </cell>
          <cell r="P258">
            <v>44700</v>
          </cell>
        </row>
        <row r="259">
          <cell r="C259" t="str">
            <v>D0902-BBW-044</v>
          </cell>
          <cell r="D259" t="str">
            <v>Baby World</v>
          </cell>
          <cell r="E259" t="str">
            <v>ဦးဇော်လွင်</v>
          </cell>
          <cell r="F259" t="str">
            <v>09-650612392</v>
          </cell>
          <cell r="G259" t="str">
            <v>ဒဂုံဆိပ်ကမ်း</v>
          </cell>
          <cell r="H259" t="str">
            <v>စကားဖြူ (၁) လမ်း၊ (၈၈) ရပ်ကွက်၊ (ရွှေသန်လျင်ဘိုးဘွားရိပ်သာမှတ်တိုင်)၊ ဒဂုံဆိပ်ကမ်းမြို့နယ်</v>
          </cell>
          <cell r="I259">
            <v>189000</v>
          </cell>
          <cell r="J259">
            <v>4000</v>
          </cell>
          <cell r="K259">
            <v>193000</v>
          </cell>
          <cell r="L259">
            <v>4000</v>
          </cell>
          <cell r="M259">
            <v>4000</v>
          </cell>
          <cell r="O259" t="str">
            <v>-</v>
          </cell>
          <cell r="P259">
            <v>193000</v>
          </cell>
        </row>
        <row r="260">
          <cell r="C260" t="str">
            <v>D0902-TSW-007</v>
          </cell>
          <cell r="D260" t="str">
            <v>3 &amp; 6 Wholesale</v>
          </cell>
          <cell r="E260" t="str">
            <v>Daw Mi Mi Latt</v>
          </cell>
          <cell r="F260" t="str">
            <v>09-974523656</v>
          </cell>
          <cell r="G260" t="str">
            <v>ဒဂုံဆိပ်ကမ်း</v>
          </cell>
          <cell r="H260" t="str">
            <v>အမှတ် (၂၃၁)၊ ဘိုကလေးမြစ်လမ်း၊ (၉၁) ရပ်ကွက်၊ ဒဂုံဆိပ်ကမ်းမြို့နယ်</v>
          </cell>
          <cell r="I260">
            <v>19000</v>
          </cell>
          <cell r="J260" t="str">
            <v>-</v>
          </cell>
          <cell r="K260">
            <v>19000</v>
          </cell>
          <cell r="L260">
            <v>4000</v>
          </cell>
          <cell r="M260" t="str">
            <v>-</v>
          </cell>
          <cell r="O260">
            <v>8000</v>
          </cell>
          <cell r="P260">
            <v>27000</v>
          </cell>
        </row>
        <row r="261">
          <cell r="C261" t="str">
            <v>D0904-TSW-008</v>
          </cell>
          <cell r="D261" t="str">
            <v>3 &amp; 6 Wholesale</v>
          </cell>
          <cell r="E261" t="str">
            <v>မမြင့်သူဇာ</v>
          </cell>
          <cell r="F261" t="str">
            <v>09-79787910</v>
          </cell>
          <cell r="G261" t="str">
            <v>နေပြည်တော်</v>
          </cell>
          <cell r="H261" t="str">
            <v>လယ်ဝေးမြို့နယ်၊ နေပြည်တော်</v>
          </cell>
          <cell r="I261">
            <v>24000</v>
          </cell>
          <cell r="J261">
            <v>6000</v>
          </cell>
          <cell r="K261">
            <v>30000</v>
          </cell>
          <cell r="L261">
            <v>6000</v>
          </cell>
          <cell r="M261">
            <v>6000</v>
          </cell>
          <cell r="O261" t="str">
            <v>-</v>
          </cell>
          <cell r="P261">
            <v>30000</v>
          </cell>
        </row>
        <row r="262">
          <cell r="C262" t="str">
            <v>D0904-TSW-009</v>
          </cell>
          <cell r="D262" t="str">
            <v>3 &amp; 6 Wholesale</v>
          </cell>
          <cell r="E262" t="str">
            <v>ဒေါ် Nang</v>
          </cell>
          <cell r="F262" t="str">
            <v>09-420753528</v>
          </cell>
          <cell r="G262" t="str">
            <v>နေပြည်တော်</v>
          </cell>
          <cell r="H262" t="str">
            <v>စည်ပင်အိမ်ရာ၊ ((၂၄) နာရီဂိတ်)၊ (ဦးမင်းသူရဲကို ပေးထားပါ)၊ ဇမ္ဗူသီရိမြို့နယ်၊ နေပြည်တော်</v>
          </cell>
          <cell r="I262">
            <v>32000</v>
          </cell>
          <cell r="J262">
            <v>6000</v>
          </cell>
          <cell r="K262">
            <v>38000</v>
          </cell>
          <cell r="L262">
            <v>6000</v>
          </cell>
          <cell r="M262">
            <v>6000</v>
          </cell>
          <cell r="O262" t="str">
            <v>-</v>
          </cell>
          <cell r="P262">
            <v>38000</v>
          </cell>
        </row>
        <row r="263">
          <cell r="C263" t="str">
            <v>D0904-TSW-013</v>
          </cell>
          <cell r="D263" t="str">
            <v>3 &amp; 6 Wholesale</v>
          </cell>
          <cell r="E263" t="str">
            <v>Soe Sandar Myint</v>
          </cell>
          <cell r="F263" t="str">
            <v>09-258296198</v>
          </cell>
          <cell r="G263" t="str">
            <v>နေပြည်တော်</v>
          </cell>
          <cell r="H263" t="str">
            <v>ကုန်ထုတ်လမ်း၊ အောင်ချမ်းရပ်ကွက်၊ နေပြည်တော်</v>
          </cell>
          <cell r="I263">
            <v>18000</v>
          </cell>
          <cell r="J263" t="str">
            <v>-</v>
          </cell>
          <cell r="K263">
            <v>18000</v>
          </cell>
          <cell r="L263">
            <v>6000</v>
          </cell>
          <cell r="M263" t="str">
            <v>-</v>
          </cell>
          <cell r="O263">
            <v>8000</v>
          </cell>
          <cell r="P263">
            <v>26000</v>
          </cell>
        </row>
        <row r="264">
          <cell r="C264" t="str">
            <v>D0904-TSW-018</v>
          </cell>
          <cell r="D264" t="str">
            <v>3 &amp; 6 Wholesale</v>
          </cell>
          <cell r="E264" t="str">
            <v>May</v>
          </cell>
          <cell r="F264" t="str">
            <v>09-789000038</v>
          </cell>
          <cell r="G264" t="str">
            <v>နေပြည်တော်</v>
          </cell>
          <cell r="H264" t="str">
            <v>ပေါင်းလောင်း (၇) လမ်း၊ ပျဉ်းမနားမြို့နယ်၊ နေပြည်တော်</v>
          </cell>
          <cell r="I264">
            <v>51000</v>
          </cell>
          <cell r="J264" t="str">
            <v>-</v>
          </cell>
          <cell r="K264">
            <v>51000</v>
          </cell>
          <cell r="L264">
            <v>6000</v>
          </cell>
          <cell r="M264" t="str">
            <v>-</v>
          </cell>
          <cell r="O264">
            <v>12000</v>
          </cell>
          <cell r="P264">
            <v>63000</v>
          </cell>
          <cell r="Q264" t="str">
            <v>ပျဉ်းမနား</v>
          </cell>
        </row>
        <row r="265">
          <cell r="C265" t="str">
            <v>D0904-TSW-020</v>
          </cell>
          <cell r="D265" t="str">
            <v>3 &amp; 6 Wholesale</v>
          </cell>
          <cell r="E265" t="str">
            <v>ဦးထွေးလင်း</v>
          </cell>
          <cell r="F265" t="str">
            <v>09-789323270</v>
          </cell>
          <cell r="G265" t="str">
            <v>နေပြည်တော်</v>
          </cell>
          <cell r="H265" t="str">
            <v>ဖိုးသားလေး လက်ဖက်ရည်ဆိုင်၊ နေပြည်တော်တောင်ညိုလမ်း၊ (ကွန်ရှင်းတံတားထိပ်)၊ ဥတ္တရသီရိမြို့နယ်၊ နေပြည်တော်</v>
          </cell>
          <cell r="I265">
            <v>16500</v>
          </cell>
          <cell r="J265" t="str">
            <v>-</v>
          </cell>
          <cell r="K265">
            <v>16500</v>
          </cell>
          <cell r="L265">
            <v>6000</v>
          </cell>
          <cell r="M265" t="str">
            <v>-</v>
          </cell>
          <cell r="O265">
            <v>8000</v>
          </cell>
          <cell r="P265">
            <v>24500</v>
          </cell>
        </row>
        <row r="266">
          <cell r="C266" t="str">
            <v>D0904-TSW-025</v>
          </cell>
          <cell r="D266" t="str">
            <v>3 &amp; 6 Wholesale</v>
          </cell>
          <cell r="E266" t="str">
            <v>မောင်ကျော်မိုး</v>
          </cell>
          <cell r="F266" t="str">
            <v>09-43077134</v>
          </cell>
          <cell r="G266" t="str">
            <v>နေပြည်တော်</v>
          </cell>
          <cell r="H266" t="str">
            <v>ရုံးအမှတ် (၁၆)၊ နေပြည်တော်</v>
          </cell>
          <cell r="I266">
            <v>91000</v>
          </cell>
          <cell r="J266" t="str">
            <v>-</v>
          </cell>
          <cell r="K266">
            <v>91000</v>
          </cell>
          <cell r="L266">
            <v>6000</v>
          </cell>
          <cell r="M266" t="str">
            <v>-</v>
          </cell>
          <cell r="N266">
            <v>8</v>
          </cell>
          <cell r="O266">
            <v>15000</v>
          </cell>
          <cell r="P266">
            <v>106000</v>
          </cell>
        </row>
        <row r="267">
          <cell r="C267" t="str">
            <v>D0904-BBW-048</v>
          </cell>
          <cell r="D267" t="str">
            <v>Baby World</v>
          </cell>
          <cell r="E267" t="str">
            <v>May Kalayar</v>
          </cell>
          <cell r="F267" t="str">
            <v>09-420808335</v>
          </cell>
          <cell r="G267" t="str">
            <v>နေပြည်တော်</v>
          </cell>
          <cell r="H267" t="str">
            <v>အမှတ် (၁)၊ မေကလျာ၊ လယ်ဝေးမြို့နယ်၊ နေပြည်တော်</v>
          </cell>
          <cell r="I267">
            <v>121500</v>
          </cell>
          <cell r="J267">
            <v>6000</v>
          </cell>
          <cell r="K267">
            <v>127500</v>
          </cell>
          <cell r="L267">
            <v>6000</v>
          </cell>
          <cell r="M267">
            <v>6000</v>
          </cell>
          <cell r="O267" t="str">
            <v>-</v>
          </cell>
          <cell r="P267">
            <v>127500</v>
          </cell>
          <cell r="Q267" t="str">
            <v>လယ်ဝေး</v>
          </cell>
        </row>
        <row r="268">
          <cell r="C268" t="str">
            <v>D0904-BBW-060</v>
          </cell>
          <cell r="D268" t="str">
            <v>Baby World</v>
          </cell>
          <cell r="E268" t="str">
            <v>Khin Pyoe Sone</v>
          </cell>
          <cell r="F268" t="str">
            <v>09-2037196</v>
          </cell>
          <cell r="G268" t="str">
            <v>နေပြည်တော်</v>
          </cell>
          <cell r="H268" t="str">
            <v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</v>
          </cell>
          <cell r="I268">
            <v>78000</v>
          </cell>
          <cell r="J268">
            <v>6000</v>
          </cell>
          <cell r="K268">
            <v>84000</v>
          </cell>
          <cell r="L268">
            <v>6000</v>
          </cell>
          <cell r="M268">
            <v>6000</v>
          </cell>
          <cell r="O268" t="str">
            <v>-</v>
          </cell>
          <cell r="P268">
            <v>84000</v>
          </cell>
        </row>
        <row r="269">
          <cell r="C269" t="str">
            <v>D0904-GGS-121</v>
          </cell>
          <cell r="D269" t="str">
            <v>The Gadget Store</v>
          </cell>
          <cell r="E269" t="str">
            <v>Sre Ther Oo</v>
          </cell>
          <cell r="F269" t="str">
            <v>09-661999339</v>
          </cell>
          <cell r="G269" t="str">
            <v>နေပြည်တော်</v>
          </cell>
          <cell r="H269" t="str">
            <v>ခုတင် (၁၀၀၀) ဆေးရုံကြီး၊ အမှတ် (၂)၊ ဇေယျာသီရိမြို့နယ်၊ နေပြည်တော်</v>
          </cell>
          <cell r="I269" t="str">
            <v>-</v>
          </cell>
          <cell r="J269">
            <v>6000</v>
          </cell>
          <cell r="K269">
            <v>6000</v>
          </cell>
          <cell r="L269">
            <v>6000</v>
          </cell>
          <cell r="M269">
            <v>6000</v>
          </cell>
          <cell r="O269" t="str">
            <v>-</v>
          </cell>
          <cell r="P269">
            <v>6000</v>
          </cell>
        </row>
        <row r="270">
          <cell r="C270" t="str">
            <v>D0904-GGS-142</v>
          </cell>
          <cell r="D270" t="str">
            <v>The Gadget Store</v>
          </cell>
          <cell r="E270" t="str">
            <v>Swan Yi Htet</v>
          </cell>
          <cell r="F270" t="str">
            <v>09-772810201</v>
          </cell>
          <cell r="G270" t="str">
            <v>နေပြည်တော်</v>
          </cell>
          <cell r="H270" t="str">
            <v>အင်းကြင်း (၂) လမ်း၊ ပုဗ္ဗသီရိမြို့နယ်၊ နေပြည်တော်</v>
          </cell>
          <cell r="I270" t="str">
            <v>-</v>
          </cell>
          <cell r="J270" t="str">
            <v>-</v>
          </cell>
          <cell r="K270" t="str">
            <v>-</v>
          </cell>
          <cell r="L270">
            <v>6000</v>
          </cell>
          <cell r="M270" t="str">
            <v>-</v>
          </cell>
          <cell r="O270" t="str">
            <v>-</v>
          </cell>
          <cell r="P270" t="str">
            <v>-</v>
          </cell>
        </row>
        <row r="271">
          <cell r="C271" t="str">
            <v>D0904-GGS-147</v>
          </cell>
          <cell r="D271" t="str">
            <v>The Gadget Store</v>
          </cell>
          <cell r="E271" t="str">
            <v>Bhone Hlaing Min Khant</v>
          </cell>
          <cell r="F271" t="str">
            <v>09-43965585</v>
          </cell>
          <cell r="G271" t="str">
            <v>နေပြည်တော်</v>
          </cell>
          <cell r="H271" t="str">
            <v>ရေဆင်း၊ ပျဉ်းမနားမြို့နယ်၊ နေပြည်တော်</v>
          </cell>
          <cell r="I271" t="str">
            <v>-</v>
          </cell>
          <cell r="J271">
            <v>6000</v>
          </cell>
          <cell r="K271">
            <v>6000</v>
          </cell>
          <cell r="L271">
            <v>6000</v>
          </cell>
          <cell r="M271">
            <v>6000</v>
          </cell>
          <cell r="O271" t="str">
            <v>-</v>
          </cell>
          <cell r="P271">
            <v>6000</v>
          </cell>
        </row>
        <row r="272">
          <cell r="C272" t="str">
            <v>D0904-GGS-171</v>
          </cell>
          <cell r="D272" t="str">
            <v>The Gadget Store</v>
          </cell>
          <cell r="E272" t="str">
            <v>toe Thiri Lwin</v>
          </cell>
          <cell r="F272" t="str">
            <v>09-957704818
 09-957709819</v>
          </cell>
          <cell r="G272" t="str">
            <v>နေပြည်တော်</v>
          </cell>
          <cell r="H272" t="str">
            <v>လယ်ဝေးမြို့နယ်၊ နေပြည်တော်</v>
          </cell>
          <cell r="I272">
            <v>40600</v>
          </cell>
          <cell r="J272">
            <v>6000</v>
          </cell>
          <cell r="K272">
            <v>46600</v>
          </cell>
          <cell r="L272">
            <v>6000</v>
          </cell>
          <cell r="M272">
            <v>6000</v>
          </cell>
          <cell r="O272" t="str">
            <v>-</v>
          </cell>
          <cell r="P272">
            <v>46600</v>
          </cell>
          <cell r="Q272" t="str">
            <v>လယ်ဝေး</v>
          </cell>
        </row>
        <row r="273">
          <cell r="C273" t="str">
            <v>D0904-GGS-175</v>
          </cell>
          <cell r="D273" t="str">
            <v>The Gadget Store</v>
          </cell>
          <cell r="E273" t="str">
            <v>Shin Nyein Moe</v>
          </cell>
          <cell r="F273" t="str">
            <v>09-797736689</v>
          </cell>
          <cell r="G273" t="str">
            <v>နေပြည်တော်</v>
          </cell>
          <cell r="H273" t="str">
            <v>သွားနှင့်ခံတွင်းဆေးရုံ၊ ပုဗ္ဗသီရိမြို့နယ်၊ နေပြည်တော်</v>
          </cell>
          <cell r="I273" t="str">
            <v>-</v>
          </cell>
          <cell r="J273">
            <v>6000</v>
          </cell>
          <cell r="K273">
            <v>6000</v>
          </cell>
          <cell r="L273">
            <v>6000</v>
          </cell>
          <cell r="M273">
            <v>6000</v>
          </cell>
          <cell r="O273" t="str">
            <v>-</v>
          </cell>
          <cell r="P273">
            <v>6000</v>
          </cell>
        </row>
        <row r="274">
          <cell r="C274" t="str">
            <v>D0904-GGS-216</v>
          </cell>
          <cell r="D274" t="str">
            <v>The Gadget Store</v>
          </cell>
          <cell r="E274" t="str">
            <v>Phyo</v>
          </cell>
          <cell r="F274" t="str">
            <v>09-988133644</v>
          </cell>
          <cell r="G274" t="str">
            <v>နေပြည်တော်</v>
          </cell>
          <cell r="H274" t="str">
            <v>(အ.ထ.က ၁ ကျောင်းရှေ့)၊ မြို့ဦးရပ်ကွက်၊ ပျဉ်းမနားမြို့နယ်၊ နေပြည်တော်</v>
          </cell>
          <cell r="I274" t="str">
            <v>-</v>
          </cell>
          <cell r="J274">
            <v>6000</v>
          </cell>
          <cell r="K274">
            <v>6000</v>
          </cell>
          <cell r="L274">
            <v>6000</v>
          </cell>
          <cell r="M274">
            <v>6000</v>
          </cell>
          <cell r="O274" t="str">
            <v>-</v>
          </cell>
          <cell r="P274">
            <v>6000</v>
          </cell>
          <cell r="Q274" t="str">
            <v>ပျဉ်းမနား</v>
          </cell>
        </row>
        <row r="275">
          <cell r="C275" t="str">
            <v>D0904-KSC-273</v>
          </cell>
          <cell r="D275" t="str">
            <v>KS Cosmetic</v>
          </cell>
          <cell r="E275" t="str">
            <v>26. Lolypot</v>
          </cell>
          <cell r="F275" t="str">
            <v>09-401561813</v>
          </cell>
          <cell r="G275" t="str">
            <v>နေပြည်တော်</v>
          </cell>
          <cell r="H275" t="str">
            <v>မင်းကုန်းကွက်သစ်၊ ဥတ္တရသီရိမြို့နယ်၊ နေပြည်တော်</v>
          </cell>
          <cell r="I275">
            <v>39500</v>
          </cell>
          <cell r="J275">
            <v>6000</v>
          </cell>
          <cell r="K275">
            <v>45500</v>
          </cell>
          <cell r="L275">
            <v>6000</v>
          </cell>
          <cell r="M275">
            <v>6000</v>
          </cell>
          <cell r="O275" t="str">
            <v>-</v>
          </cell>
          <cell r="P275">
            <v>45500</v>
          </cell>
        </row>
        <row r="276">
          <cell r="C276" t="str">
            <v>D0904-MMA-316</v>
          </cell>
          <cell r="D276" t="str">
            <v>မြန်မာ့အလှ</v>
          </cell>
          <cell r="E276" t="str">
            <v>ဦးကြည်မြင့်</v>
          </cell>
          <cell r="F276" t="str">
            <v>09-254365124</v>
          </cell>
          <cell r="G276" t="str">
            <v>နေပြည်တော်</v>
          </cell>
          <cell r="H276" t="str">
            <v>လယ်ဝေးမြို့နယ်၊ နေပြည်တော်</v>
          </cell>
          <cell r="I276">
            <v>64500</v>
          </cell>
          <cell r="J276">
            <v>6000</v>
          </cell>
          <cell r="K276">
            <v>70500</v>
          </cell>
          <cell r="L276">
            <v>6000</v>
          </cell>
          <cell r="M276">
            <v>6000</v>
          </cell>
          <cell r="O276" t="str">
            <v>-</v>
          </cell>
          <cell r="P276">
            <v>70500</v>
          </cell>
        </row>
        <row r="277">
          <cell r="C277" t="str">
            <v>D0904-MMA-323</v>
          </cell>
          <cell r="D277" t="str">
            <v>မြန်မာ့အလှ</v>
          </cell>
          <cell r="E277" t="str">
            <v>Htet Lin</v>
          </cell>
          <cell r="F277" t="str">
            <v>09-420754264</v>
          </cell>
          <cell r="G277" t="str">
            <v>နေပြည်တော်</v>
          </cell>
          <cell r="H277" t="str">
            <v>မနွယ်နီထွန်း၊ လယ်ဝေးမြို့နယ်၊ နေပြည်တော်</v>
          </cell>
          <cell r="I277">
            <v>129000</v>
          </cell>
          <cell r="J277">
            <v>6000</v>
          </cell>
          <cell r="K277">
            <v>135000</v>
          </cell>
          <cell r="L277">
            <v>6000</v>
          </cell>
          <cell r="M277">
            <v>6000</v>
          </cell>
          <cell r="O277" t="str">
            <v>-</v>
          </cell>
          <cell r="P277">
            <v>135000</v>
          </cell>
        </row>
        <row r="278">
          <cell r="C278" t="str">
            <v>D0904-MMA-325</v>
          </cell>
          <cell r="D278" t="str">
            <v>မြန်မာ့အလှ</v>
          </cell>
          <cell r="E278" t="str">
            <v>မသိမ့်</v>
          </cell>
          <cell r="F278" t="str">
            <v>09-402671136</v>
          </cell>
          <cell r="G278" t="str">
            <v>နေပြည်တော်</v>
          </cell>
          <cell r="H278" t="str">
            <v>ရုံးအမှတ် (၁၁)၊ နေပြည်တော်</v>
          </cell>
          <cell r="I278">
            <v>38700</v>
          </cell>
          <cell r="J278">
            <v>6000</v>
          </cell>
          <cell r="K278">
            <v>44700</v>
          </cell>
          <cell r="L278">
            <v>6000</v>
          </cell>
          <cell r="M278">
            <v>6000</v>
          </cell>
          <cell r="O278" t="str">
            <v>-</v>
          </cell>
          <cell r="P278">
            <v>44700</v>
          </cell>
        </row>
        <row r="279">
          <cell r="C279" t="str">
            <v>D0904-MMA-333</v>
          </cell>
          <cell r="D279" t="str">
            <v>မြန်မာ့အလှ</v>
          </cell>
          <cell r="E279" t="str">
            <v>Ma Pyae</v>
          </cell>
          <cell r="F279" t="str">
            <v>09-797705082</v>
          </cell>
          <cell r="G279" t="str">
            <v>နေပြည်တော်</v>
          </cell>
          <cell r="H279" t="str">
            <v>အမှတ် (၄၀၈၃)၊ ချယ်ရီ (၂) လမ်း၊ မင်္ဂလာဒီပရပ်ကွက်၊ ပုဗ္ဗသီရိမြို့နယ်၊ နေပြည်တော်</v>
          </cell>
          <cell r="I279">
            <v>246300</v>
          </cell>
          <cell r="J279">
            <v>6000</v>
          </cell>
          <cell r="K279">
            <v>252300</v>
          </cell>
          <cell r="L279">
            <v>6000</v>
          </cell>
          <cell r="M279">
            <v>6000</v>
          </cell>
          <cell r="N279">
            <v>4</v>
          </cell>
          <cell r="O279">
            <v>500</v>
          </cell>
          <cell r="P279">
            <v>252800</v>
          </cell>
        </row>
        <row r="280">
          <cell r="C280" t="str">
            <v>D0904-MMA-339</v>
          </cell>
          <cell r="D280" t="str">
            <v>မြန်မာ့အလှ</v>
          </cell>
          <cell r="E280" t="str">
            <v>Daw Lay Ni</v>
          </cell>
          <cell r="F280" t="str">
            <v>09-956095587</v>
          </cell>
          <cell r="G280" t="str">
            <v>နေပြည်တော်</v>
          </cell>
          <cell r="H280" t="str">
            <v>မြို့မဈေး၊ နေပြည်တော်</v>
          </cell>
          <cell r="I280">
            <v>193500</v>
          </cell>
          <cell r="J280">
            <v>6000</v>
          </cell>
          <cell r="K280">
            <v>199500</v>
          </cell>
          <cell r="L280">
            <v>6000</v>
          </cell>
          <cell r="M280">
            <v>6000</v>
          </cell>
          <cell r="N280">
            <v>4</v>
          </cell>
          <cell r="O280">
            <v>500</v>
          </cell>
          <cell r="P280">
            <v>200000</v>
          </cell>
        </row>
        <row r="281">
          <cell r="C281" t="str">
            <v>D0904-MMA-342</v>
          </cell>
          <cell r="D281" t="str">
            <v>မြန်မာ့အလှ</v>
          </cell>
          <cell r="E281" t="str">
            <v>Hsu Wai</v>
          </cell>
          <cell r="F281" t="str">
            <v>09-946444533</v>
          </cell>
          <cell r="G281" t="str">
            <v>နေပြည်တော်</v>
          </cell>
          <cell r="H281" t="str">
            <v>ပေါင်းလောင်း (၁၀) လမ်း၊ ပျဉ်းမနားမြို့နယ်၊ နေပြည်တော်</v>
          </cell>
          <cell r="I281">
            <v>247400</v>
          </cell>
          <cell r="J281">
            <v>6000</v>
          </cell>
          <cell r="K281">
            <v>253400</v>
          </cell>
          <cell r="L281">
            <v>6000</v>
          </cell>
          <cell r="M281">
            <v>6000</v>
          </cell>
          <cell r="N281">
            <v>4</v>
          </cell>
          <cell r="O281">
            <v>500</v>
          </cell>
          <cell r="P281">
            <v>253900</v>
          </cell>
        </row>
        <row r="282">
          <cell r="C282" t="str">
            <v>D0904-MMA-343</v>
          </cell>
          <cell r="D282" t="str">
            <v>မြန်မာ့အလှ</v>
          </cell>
          <cell r="E282" t="str">
            <v>Su Lae Paing</v>
          </cell>
          <cell r="F282" t="str">
            <v>09-696413855</v>
          </cell>
          <cell r="G282" t="str">
            <v>နေပြည်တော်</v>
          </cell>
          <cell r="H282" t="str">
            <v>တရုတ်ဘုံကျောင်း၊ လယ်ဝေးမြို့နယ်၊ နေပြည်တော်</v>
          </cell>
          <cell r="I282">
            <v>253200</v>
          </cell>
          <cell r="J282">
            <v>6000</v>
          </cell>
          <cell r="K282">
            <v>259200</v>
          </cell>
          <cell r="L282">
            <v>6000</v>
          </cell>
          <cell r="M282">
            <v>6000</v>
          </cell>
          <cell r="O282" t="str">
            <v>-</v>
          </cell>
          <cell r="P282">
            <v>259200</v>
          </cell>
        </row>
        <row r="283">
          <cell r="C283" t="str">
            <v>D0904-MMA-344</v>
          </cell>
          <cell r="D283" t="str">
            <v>မြန်မာ့အလှ</v>
          </cell>
          <cell r="E283" t="str">
            <v>ကိုထွန်း</v>
          </cell>
          <cell r="F283" t="str">
            <v>09-429205596</v>
          </cell>
          <cell r="G283" t="str">
            <v>နေပြည်တော်</v>
          </cell>
          <cell r="H283" t="str">
            <v>အမှတ် (၄၃၁)၊ ပန်းလောင်လမ်း၊ ရွှေကြာပင်ရပ်ကွက်၊ ဇမ္ဗူသီရိမြို့နယ်၊ နေပြည်တော်</v>
          </cell>
          <cell r="I283">
            <v>38400</v>
          </cell>
          <cell r="J283">
            <v>6000</v>
          </cell>
          <cell r="K283">
            <v>44400</v>
          </cell>
          <cell r="L283">
            <v>6000</v>
          </cell>
          <cell r="M283">
            <v>6000</v>
          </cell>
          <cell r="O283" t="str">
            <v>-</v>
          </cell>
          <cell r="P283">
            <v>44400</v>
          </cell>
        </row>
        <row r="284">
          <cell r="C284" t="str">
            <v>D0904-MMA-352</v>
          </cell>
          <cell r="D284" t="str">
            <v>မြန်မာ့အလှ</v>
          </cell>
          <cell r="E284" t="str">
            <v>Ma Yi Mon Aung</v>
          </cell>
          <cell r="F284" t="str">
            <v>09-250197604</v>
          </cell>
          <cell r="G284" t="str">
            <v>နေပြည်တော်</v>
          </cell>
          <cell r="H284" t="str">
            <v>လယ်ဝေးမြို့နယ်၊ နေပြည်တော်</v>
          </cell>
          <cell r="I284">
            <v>430000</v>
          </cell>
          <cell r="J284">
            <v>6000</v>
          </cell>
          <cell r="K284">
            <v>436000</v>
          </cell>
          <cell r="L284">
            <v>6000</v>
          </cell>
          <cell r="M284">
            <v>6000</v>
          </cell>
          <cell r="N284">
            <v>4</v>
          </cell>
          <cell r="O284">
            <v>500</v>
          </cell>
          <cell r="P284">
            <v>436500</v>
          </cell>
        </row>
        <row r="285">
          <cell r="C285" t="str">
            <v>D0904-MMA-353</v>
          </cell>
          <cell r="D285" t="str">
            <v>မြန်မာ့အလှ</v>
          </cell>
          <cell r="E285" t="str">
            <v>Mu Mu</v>
          </cell>
          <cell r="F285" t="str">
            <v>09-43017701</v>
          </cell>
          <cell r="G285" t="str">
            <v>နေပြည်တော်</v>
          </cell>
          <cell r="H285" t="str">
            <v>အမှတ် (၂)၊ ကျည်တောက်ကန်၊ ပုဗ္ဗသီရိမြို့နယ်၊ နေပြည်တော်</v>
          </cell>
          <cell r="I285">
            <v>135800</v>
          </cell>
          <cell r="J285">
            <v>6000</v>
          </cell>
          <cell r="K285">
            <v>141800</v>
          </cell>
          <cell r="L285">
            <v>6000</v>
          </cell>
          <cell r="M285">
            <v>6000</v>
          </cell>
          <cell r="O285" t="str">
            <v>-</v>
          </cell>
          <cell r="P285">
            <v>141800</v>
          </cell>
        </row>
        <row r="286">
          <cell r="C286" t="str">
            <v>D0904-JSC-396</v>
          </cell>
          <cell r="D286" t="str">
            <v>Jessica Sue</v>
          </cell>
          <cell r="E286" t="str">
            <v>Yin Hline Zin</v>
          </cell>
          <cell r="F286" t="str">
            <v>09-691915937</v>
          </cell>
          <cell r="G286" t="str">
            <v>နေပြည်တော်</v>
          </cell>
          <cell r="H286" t="str">
            <v>ကံ့ကော်အိမ်ရာ၊ တိုက် (၂၄၃)၊ ဇမ္ဗူသီရိမြို့နယ်၊ နေပြည်တော်</v>
          </cell>
          <cell r="I286">
            <v>44000</v>
          </cell>
          <cell r="J286">
            <v>6000</v>
          </cell>
          <cell r="K286">
            <v>50000</v>
          </cell>
          <cell r="L286">
            <v>6000</v>
          </cell>
          <cell r="M286">
            <v>6000</v>
          </cell>
          <cell r="O286" t="str">
            <v>-</v>
          </cell>
          <cell r="P286">
            <v>50000</v>
          </cell>
        </row>
        <row r="287">
          <cell r="C287" t="str">
            <v>D0904-JSC-397</v>
          </cell>
          <cell r="D287" t="str">
            <v>Jessica Sue</v>
          </cell>
          <cell r="E287" t="str">
            <v>Ei Thandar Moe</v>
          </cell>
          <cell r="F287" t="str">
            <v>09-778625604</v>
          </cell>
          <cell r="G287" t="str">
            <v>နေပြည်တော်</v>
          </cell>
          <cell r="H287" t="str">
            <v>သုခတော်ဝင်အိမ်ရာ၊ အမှတ် (၅)၊ အခန်း (၁၁)၊ နေပြည်တော်</v>
          </cell>
          <cell r="I287">
            <v>63000</v>
          </cell>
          <cell r="J287">
            <v>6000</v>
          </cell>
          <cell r="K287">
            <v>69000</v>
          </cell>
          <cell r="L287">
            <v>6000</v>
          </cell>
          <cell r="M287">
            <v>6000</v>
          </cell>
          <cell r="O287" t="str">
            <v>-</v>
          </cell>
          <cell r="P287">
            <v>69000</v>
          </cell>
        </row>
        <row r="288">
          <cell r="C288" t="str">
            <v>D0902-KSC-388</v>
          </cell>
          <cell r="D288" t="str">
            <v>KS Cosmetic</v>
          </cell>
          <cell r="E288" t="str">
            <v>မဖူးသက်ဝေ</v>
          </cell>
          <cell r="F288" t="str">
            <v>09-404151025
  09-958622302</v>
          </cell>
          <cell r="G288" t="str">
            <v>နေပြည်တော်</v>
          </cell>
          <cell r="H288" t="str">
            <v>Newpower ဆိုင်ကယ်စက်ရုံ၊ ဒက္ခိဏမိုးဝေလမ်း၊ လယ်ဝေးမြို့နယ်၊ နေပြည်တော်</v>
          </cell>
          <cell r="I288">
            <v>340000</v>
          </cell>
          <cell r="J288">
            <v>6000</v>
          </cell>
          <cell r="K288">
            <v>346000</v>
          </cell>
          <cell r="L288">
            <v>6000</v>
          </cell>
          <cell r="M288">
            <v>6000</v>
          </cell>
          <cell r="N288">
            <v>4</v>
          </cell>
          <cell r="O288">
            <v>500</v>
          </cell>
          <cell r="P288">
            <v>346500</v>
          </cell>
          <cell r="Q288" t="str">
            <v>လယ်ဝေး</v>
          </cell>
        </row>
        <row r="289">
          <cell r="C289" t="str">
            <v>D0903-TSW-051</v>
          </cell>
          <cell r="D289" t="str">
            <v>3 &amp; 6 Wholesale</v>
          </cell>
          <cell r="E289" t="str">
            <v>ကိုမောင်</v>
          </cell>
          <cell r="F289" t="str">
            <v>09-257407610</v>
          </cell>
          <cell r="G289" t="str">
            <v>နေပြည်တော်</v>
          </cell>
          <cell r="H289" t="str">
            <v>ကော်စက်ရုံ၊ ဝန်ပျံရွာထိပ်၊ (ခရေပင်လမ်းခွဲ)၊ နေပြည်တော်</v>
          </cell>
          <cell r="I289">
            <v>90000</v>
          </cell>
          <cell r="J289" t="str">
            <v>-</v>
          </cell>
          <cell r="K289">
            <v>90000</v>
          </cell>
          <cell r="L289">
            <v>6000</v>
          </cell>
          <cell r="M289" t="str">
            <v>-</v>
          </cell>
          <cell r="N289">
            <v>6</v>
          </cell>
          <cell r="O289">
            <v>15000</v>
          </cell>
          <cell r="P289">
            <v>105000</v>
          </cell>
        </row>
        <row r="290">
          <cell r="C290" t="str">
            <v>D0903-TSW-064</v>
          </cell>
          <cell r="D290" t="str">
            <v>3 &amp; 6 Wholesale</v>
          </cell>
          <cell r="E290" t="str">
            <v>မခင်ခင်ဦး</v>
          </cell>
          <cell r="F290" t="str">
            <v>09-259531644</v>
          </cell>
          <cell r="G290" t="str">
            <v>နေပြည်တော်</v>
          </cell>
          <cell r="H290" t="str">
            <v>အမှတ် (F-220)၊ ရွှေသစ္စာလမ်း၊ သပြေကုန်းရပ်ကွက်၊ ဇမ္ဗူသီရိမြို့နယ်၊ နေပြည်တော်</v>
          </cell>
          <cell r="I290">
            <v>85000</v>
          </cell>
          <cell r="J290" t="str">
            <v>-</v>
          </cell>
          <cell r="K290">
            <v>85000</v>
          </cell>
          <cell r="L290">
            <v>6000</v>
          </cell>
          <cell r="M290" t="str">
            <v>-</v>
          </cell>
          <cell r="N290">
            <v>5</v>
          </cell>
          <cell r="O290">
            <v>12000</v>
          </cell>
          <cell r="P290">
            <v>97000</v>
          </cell>
        </row>
        <row r="291">
          <cell r="C291" t="str">
            <v>D0903-TSW-068</v>
          </cell>
          <cell r="D291" t="str">
            <v>3 &amp; 6 Wholesale</v>
          </cell>
          <cell r="E291" t="str">
            <v>ထာဝရမာ</v>
          </cell>
          <cell r="F291" t="str">
            <v>09-692108157</v>
          </cell>
          <cell r="G291" t="str">
            <v>နေပြည်တော်</v>
          </cell>
          <cell r="H291" t="str">
            <v>ခတ္တာအေးဘုရားကြီးလမ်း၊ ဇေယျာသီရိမြို့နယ်၊ နေပြည်တော်</v>
          </cell>
          <cell r="I291">
            <v>43000</v>
          </cell>
          <cell r="J291" t="str">
            <v>-</v>
          </cell>
          <cell r="K291">
            <v>43000</v>
          </cell>
          <cell r="L291">
            <v>6000</v>
          </cell>
          <cell r="M291" t="str">
            <v>-</v>
          </cell>
          <cell r="O291">
            <v>6000</v>
          </cell>
          <cell r="P291">
            <v>49000</v>
          </cell>
        </row>
        <row r="292">
          <cell r="C292" t="str">
            <v>D0903-SMW-132</v>
          </cell>
          <cell r="D292" t="str">
            <v>ရှု့မဝ</v>
          </cell>
          <cell r="E292" t="str">
            <v>Kyaw Zaw Zaw</v>
          </cell>
          <cell r="F292" t="str">
            <v>09-693251737</v>
          </cell>
          <cell r="G292" t="str">
            <v>နေပြည်တော်</v>
          </cell>
          <cell r="H292" t="str">
            <v>(မြို့မဈေး (သို့မဟုတ်) သပြေကုန်းဂိတ် တစ်ခုခုတွင် ချပေးပါရန်)၊ ဇမ္ဗူသီရိမြို့နယ်၊ နေပြည်တော်</v>
          </cell>
          <cell r="I292" t="str">
            <v>-</v>
          </cell>
          <cell r="J292">
            <v>6000</v>
          </cell>
          <cell r="K292">
            <v>6000</v>
          </cell>
          <cell r="L292">
            <v>6000</v>
          </cell>
          <cell r="M292">
            <v>6000</v>
          </cell>
          <cell r="N292">
            <v>10</v>
          </cell>
          <cell r="O292">
            <v>3500</v>
          </cell>
          <cell r="P292">
            <v>9500</v>
          </cell>
        </row>
        <row r="293">
          <cell r="C293" t="str">
            <v>D0903-GGS-135</v>
          </cell>
          <cell r="D293" t="str">
            <v>The Gadget Store</v>
          </cell>
          <cell r="E293" t="str">
            <v>Expired Trent</v>
          </cell>
          <cell r="F293" t="str">
            <v>09-250896180
 09-250896182</v>
          </cell>
          <cell r="G293" t="str">
            <v>နေပြည်တော်</v>
          </cell>
          <cell r="H293" t="str">
            <v>တိုက် (၂၅)၊ ပုဏ္ဏသိဒ္ဓိရပ်ကွက်၊ ဇမ္ဗူသီရိမြို့နယ်၊ နေပြည်တော်</v>
          </cell>
          <cell r="I293" t="str">
            <v>-</v>
          </cell>
          <cell r="J293">
            <v>6000</v>
          </cell>
          <cell r="K293">
            <v>6000</v>
          </cell>
          <cell r="L293">
            <v>6000</v>
          </cell>
          <cell r="M293">
            <v>6000</v>
          </cell>
          <cell r="O293" t="str">
            <v>-</v>
          </cell>
          <cell r="P293">
            <v>6000</v>
          </cell>
        </row>
        <row r="294">
          <cell r="C294" t="str">
            <v>D0903-MMA-156</v>
          </cell>
          <cell r="D294" t="str">
            <v>မြန်မာ့အလှ</v>
          </cell>
          <cell r="E294" t="str">
            <v>ရွှန်းလဲ့ဝေ</v>
          </cell>
          <cell r="F294" t="str">
            <v>09-890989355</v>
          </cell>
          <cell r="G294" t="str">
            <v>နေပြည်တော်</v>
          </cell>
          <cell r="H294" t="str">
            <v>အဆောင် (၁၅)၊ သဇင် (၄) လမ်း၊ (စနေ/တနင်္ဂနွေ ပို့ပေးပါ)၊ ဇေယျာသီရိမြို့နယ်၊ နေပြည်တော်</v>
          </cell>
          <cell r="I294">
            <v>29500</v>
          </cell>
          <cell r="J294">
            <v>6000</v>
          </cell>
          <cell r="K294">
            <v>35500</v>
          </cell>
          <cell r="L294">
            <v>6000</v>
          </cell>
          <cell r="M294">
            <v>6000</v>
          </cell>
          <cell r="O294" t="str">
            <v>-</v>
          </cell>
          <cell r="P294">
            <v>35500</v>
          </cell>
        </row>
        <row r="295">
          <cell r="C295" t="str">
            <v>D0825-JSC-086</v>
          </cell>
          <cell r="D295" t="str">
            <v>Jessica Sue</v>
          </cell>
          <cell r="E295" t="str">
            <v>May Win</v>
          </cell>
          <cell r="F295" t="str">
            <v>09-403394966
  09-40394966</v>
          </cell>
          <cell r="G295" t="str">
            <v>ဗဟန်း</v>
          </cell>
          <cell r="H295" t="str">
            <v>အမှတ် (၄၂)၊ ဘိုးပိုင်ရိပ်သာလမ်း၊ ရွှေတောင်ကြား (၂) ရပ်ကွက်၊ ဗဟန်းမြို့နယ်</v>
          </cell>
          <cell r="I295">
            <v>62000</v>
          </cell>
          <cell r="J295">
            <v>4000</v>
          </cell>
          <cell r="K295">
            <v>66000</v>
          </cell>
          <cell r="L295">
            <v>4000</v>
          </cell>
          <cell r="M295">
            <v>4000</v>
          </cell>
          <cell r="N295" t="str">
            <v>-</v>
          </cell>
          <cell r="O295">
            <v>66000</v>
          </cell>
          <cell r="P295" t="str">
            <v>စက်ပိတ်</v>
          </cell>
        </row>
        <row r="296">
          <cell r="C296" t="str">
            <v>D0831-MMA-385</v>
          </cell>
          <cell r="D296" t="str">
            <v>မြန်မာ့အလှ</v>
          </cell>
          <cell r="E296" t="str">
            <v>Ma Ma Gyi Sue</v>
          </cell>
          <cell r="F296" t="str">
            <v>09-778607185</v>
          </cell>
          <cell r="G296" t="str">
            <v>ဗဟန်း</v>
          </cell>
          <cell r="H296" t="str">
            <v>အမှတ် (၁၆)၊ ဗိုလ်လရောင်လမ်း၊ ဗိုလ်စိန်မှန်ရပ်ကွက်၊ ဗဟန်းမြို့နယ်</v>
          </cell>
          <cell r="I296">
            <v>25000</v>
          </cell>
          <cell r="J296">
            <v>4000</v>
          </cell>
          <cell r="K296">
            <v>29000</v>
          </cell>
          <cell r="L296">
            <v>4000</v>
          </cell>
          <cell r="M296">
            <v>4000</v>
          </cell>
          <cell r="N296" t="str">
            <v>-</v>
          </cell>
          <cell r="O296">
            <v>29000</v>
          </cell>
          <cell r="P296" t="str">
            <v>စက်ပိတ်</v>
          </cell>
        </row>
        <row r="297">
          <cell r="C297" t="str">
            <v>D0827-KAL-104</v>
          </cell>
          <cell r="D297" t="str">
            <v>ခင့်အလှူ</v>
          </cell>
          <cell r="E297" t="str">
            <v>Than Than Hla</v>
          </cell>
          <cell r="F297" t="str">
            <v>09-51255887</v>
          </cell>
          <cell r="G297" t="str">
            <v>မင်္ဂလာတောင်ညွန့်</v>
          </cell>
          <cell r="H297" t="str">
            <v>ရွှေမြယာအိမ်ရာ၊ မင်္ဂလာတောင်ညွန့်မြို့နယ်</v>
          </cell>
          <cell r="I297">
            <v>35000</v>
          </cell>
          <cell r="J297">
            <v>5000</v>
          </cell>
          <cell r="K297">
            <v>40000</v>
          </cell>
          <cell r="L297">
            <v>4000</v>
          </cell>
          <cell r="M297">
            <v>5000</v>
          </cell>
          <cell r="O297" t="str">
            <v>-</v>
          </cell>
          <cell r="P297">
            <v>40000</v>
          </cell>
        </row>
        <row r="298">
          <cell r="C298" t="str">
            <v>D0904-TSW-019</v>
          </cell>
          <cell r="D298" t="str">
            <v>3 &amp; 6 Wholesale</v>
          </cell>
          <cell r="E298" t="str">
            <v>Daw Kyu Kyu Myint</v>
          </cell>
          <cell r="F298" t="str">
            <v>09-775557780</v>
          </cell>
          <cell r="G298" t="str">
            <v>မန္တလေး</v>
          </cell>
          <cell r="H298" t="str">
            <v>လေယာဉ်ဆန်ဆိုင်၊ (၅၈) လမ်း၊ ၃၀ x ၃၁ လမ်းကြား၊ ချမ်းအေးသာစံမြို့နယ်၊ မန္တလေး</v>
          </cell>
          <cell r="I298">
            <v>36000</v>
          </cell>
          <cell r="J298" t="str">
            <v>-</v>
          </cell>
          <cell r="K298">
            <v>36000</v>
          </cell>
          <cell r="L298">
            <v>6000</v>
          </cell>
          <cell r="M298" t="str">
            <v>-</v>
          </cell>
          <cell r="O298">
            <v>10000</v>
          </cell>
          <cell r="P298">
            <v>46000</v>
          </cell>
        </row>
        <row r="299">
          <cell r="C299" t="str">
            <v>D0904-TSW-021</v>
          </cell>
          <cell r="D299" t="str">
            <v>3 &amp; 6 Wholesale</v>
          </cell>
          <cell r="E299" t="str">
            <v>ဒေါ်ဝင်းမာအေး</v>
          </cell>
          <cell r="F299" t="str">
            <v>09-982355475
 09-761754240</v>
          </cell>
          <cell r="G299" t="str">
            <v>မန္တလေး</v>
          </cell>
          <cell r="H299" t="str">
            <v>ထုပ်ပိုးမှုစက်ရုံလမ်း၊ မှန်တန်းရပ်ကွက်၊ အမရပူရမြို့နယ်၊ မန္တလေး</v>
          </cell>
          <cell r="I299">
            <v>32500</v>
          </cell>
          <cell r="J299" t="str">
            <v>-</v>
          </cell>
          <cell r="K299">
            <v>32500</v>
          </cell>
          <cell r="L299">
            <v>6000</v>
          </cell>
          <cell r="M299" t="str">
            <v>-</v>
          </cell>
          <cell r="O299">
            <v>15000</v>
          </cell>
          <cell r="P299">
            <v>47500</v>
          </cell>
        </row>
        <row r="300">
          <cell r="C300" t="str">
            <v>D0904-TSW-023</v>
          </cell>
          <cell r="D300" t="str">
            <v>3 &amp; 6 Wholesale</v>
          </cell>
          <cell r="E300" t="str">
            <v>Emma</v>
          </cell>
          <cell r="F300" t="str">
            <v>09-444257727</v>
          </cell>
          <cell r="G300" t="str">
            <v>မန္တလေး</v>
          </cell>
          <cell r="H300" t="str">
            <v>(၇၅) လမ်း၊ ၃၄ x ၃၅ လမ်းကြား၊ မန္တလေး</v>
          </cell>
          <cell r="I300">
            <v>54000</v>
          </cell>
          <cell r="K300">
            <v>54000</v>
          </cell>
          <cell r="L300">
            <v>6000</v>
          </cell>
          <cell r="M300" t="str">
            <v>-</v>
          </cell>
          <cell r="N300">
            <v>5</v>
          </cell>
          <cell r="O300">
            <v>12000</v>
          </cell>
          <cell r="P300">
            <v>66000</v>
          </cell>
        </row>
        <row r="301">
          <cell r="C301" t="str">
            <v>D0904-BBW-047</v>
          </cell>
          <cell r="D301" t="str">
            <v>Baby World</v>
          </cell>
          <cell r="E301" t="str">
            <v>ရွှေလဝန်းဘေဘီစတိုး</v>
          </cell>
          <cell r="F301" t="str">
            <v>09-773675072</v>
          </cell>
          <cell r="G301" t="str">
            <v>မန္တလေး</v>
          </cell>
          <cell r="H301" t="str">
            <v>(၃၁) လမ်း၊ ၃၇ x ၃၈ လမ်းကြား၊ မဟာအောင်မြေမြို့နယ်၊ မန္တလေး</v>
          </cell>
          <cell r="I301">
            <v>354000</v>
          </cell>
          <cell r="J301">
            <v>6000</v>
          </cell>
          <cell r="K301">
            <v>360000</v>
          </cell>
          <cell r="L301">
            <v>6000</v>
          </cell>
          <cell r="M301">
            <v>6000</v>
          </cell>
          <cell r="N301">
            <v>4</v>
          </cell>
          <cell r="O301">
            <v>500</v>
          </cell>
          <cell r="P301">
            <v>360500</v>
          </cell>
        </row>
        <row r="302">
          <cell r="C302" t="str">
            <v>D0904-MBO-279</v>
          </cell>
          <cell r="D302" t="str">
            <v>MaBel OS</v>
          </cell>
          <cell r="E302" t="str">
            <v>Ya Ya</v>
          </cell>
          <cell r="F302" t="str">
            <v>09-266688826</v>
          </cell>
          <cell r="G302" t="str">
            <v>မန္တလေး</v>
          </cell>
          <cell r="H302" t="str">
            <v>(၅၄) လမ်း၊ (39D) လမ်း၊ မန္တလေး</v>
          </cell>
          <cell r="I302">
            <v>441000</v>
          </cell>
          <cell r="J302" t="str">
            <v>-</v>
          </cell>
          <cell r="K302">
            <v>441000</v>
          </cell>
          <cell r="L302">
            <v>6000</v>
          </cell>
          <cell r="M302" t="str">
            <v>-</v>
          </cell>
          <cell r="N302">
            <v>7</v>
          </cell>
          <cell r="O302">
            <v>12000</v>
          </cell>
          <cell r="P302">
            <v>453000</v>
          </cell>
        </row>
        <row r="303">
          <cell r="C303" t="str">
            <v>D0902-TSW-022</v>
          </cell>
          <cell r="D303" t="str">
            <v>3 &amp; 6 Wholesale</v>
          </cell>
          <cell r="E303" t="str">
            <v>မအေးအေးထွန်း</v>
          </cell>
          <cell r="F303" t="str">
            <v>09-775275880</v>
          </cell>
          <cell r="G303" t="str">
            <v>မန္တလေး</v>
          </cell>
          <cell r="H303" t="str">
            <v>(၄၁) လမ်း၊ ညဈေး၊ မဟာအောင်မြေမြို့နယ်၊ မန္တလေး</v>
          </cell>
          <cell r="I303">
            <v>19000</v>
          </cell>
          <cell r="J303" t="str">
            <v>-</v>
          </cell>
          <cell r="K303">
            <v>19000</v>
          </cell>
          <cell r="L303">
            <v>6000</v>
          </cell>
          <cell r="M303" t="str">
            <v>-</v>
          </cell>
          <cell r="O303">
            <v>10000</v>
          </cell>
          <cell r="P303">
            <v>29000</v>
          </cell>
        </row>
        <row r="304">
          <cell r="C304" t="str">
            <v>D0829-NM6-169</v>
          </cell>
          <cell r="D304" t="str">
            <v>Poe Poe</v>
          </cell>
          <cell r="E304" t="str">
            <v>Pinky Thae</v>
          </cell>
          <cell r="F304" t="str">
            <v>09-43038851</v>
          </cell>
          <cell r="G304" t="str">
            <v>မရမ်းကုန်း</v>
          </cell>
          <cell r="H304" t="str">
            <v>အမှတ် (၃၃)၊ ကျားပျံလမ်း၊ (၅) ရပ်ကွက်၊ မရမ်းကုန်းမြို့နယ်</v>
          </cell>
          <cell r="I304">
            <v>172500</v>
          </cell>
          <cell r="J304">
            <v>4000</v>
          </cell>
          <cell r="K304">
            <v>176500</v>
          </cell>
          <cell r="L304">
            <v>4000</v>
          </cell>
          <cell r="M304">
            <v>4000</v>
          </cell>
          <cell r="O304" t="str">
            <v>-</v>
          </cell>
          <cell r="P304">
            <v>176500</v>
          </cell>
        </row>
        <row r="305">
          <cell r="C305" t="str">
            <v>D0904-TSW-029</v>
          </cell>
          <cell r="D305" t="str">
            <v>3 &amp; 6 Wholesale</v>
          </cell>
          <cell r="E305" t="str">
            <v>ဦးစန္ဒိမာ</v>
          </cell>
          <cell r="F305" t="str">
            <v>09-43042885</v>
          </cell>
          <cell r="G305" t="str">
            <v>မြောက်ဒဂုံ</v>
          </cell>
          <cell r="H305" t="str">
            <v>ဓမ္မဂုဏ်ရည်ကျောင်းတိုက်၊ ဗိုလ်သုန်လမ်း၊ (၅၁) ရပ်ကွက်၊ မြောက်ဒဂုံမြို့နယ်</v>
          </cell>
          <cell r="I305">
            <v>52000</v>
          </cell>
          <cell r="J305" t="str">
            <v>-</v>
          </cell>
          <cell r="K305">
            <v>52000</v>
          </cell>
          <cell r="L305">
            <v>4000</v>
          </cell>
          <cell r="M305" t="str">
            <v>-</v>
          </cell>
          <cell r="N305">
            <v>7</v>
          </cell>
          <cell r="O305">
            <v>10000</v>
          </cell>
          <cell r="P305">
            <v>62000</v>
          </cell>
        </row>
        <row r="306">
          <cell r="C306" t="str">
            <v>D0827-KAL-054</v>
          </cell>
          <cell r="D306" t="str">
            <v>ခင့်အလှူ</v>
          </cell>
          <cell r="E306" t="str">
            <v>Daw Khin Aye Win</v>
          </cell>
          <cell r="F306" t="str">
            <v>09-5052677</v>
          </cell>
          <cell r="G306" t="str">
            <v>မြောက်ဒဂုံ</v>
          </cell>
          <cell r="H306" t="str">
            <v>အမှတ် (၁၁၂၄)၊ လောပိတလမ်း၊ (၃၄) ရပ်ကွက်၊ မြောက်ဒဂုံမြို့နယ်</v>
          </cell>
          <cell r="I306">
            <v>70000</v>
          </cell>
          <cell r="J306">
            <v>5000</v>
          </cell>
          <cell r="K306">
            <v>6</v>
          </cell>
          <cell r="L306">
            <v>1500</v>
          </cell>
          <cell r="M306">
            <v>76500</v>
          </cell>
        </row>
        <row r="307">
          <cell r="C307" t="str">
            <v>D0901-TSW-044</v>
          </cell>
          <cell r="D307" t="str">
            <v>3 &amp; 6 Wholesale</v>
          </cell>
          <cell r="E307" t="str">
            <v>ကိုမင်း</v>
          </cell>
          <cell r="F307" t="str">
            <v>09-53132996</v>
          </cell>
          <cell r="G307" t="str">
            <v>မြောက်ဒဂုံ</v>
          </cell>
          <cell r="H307" t="str">
            <v>ပြည်ထောင်စုလမ်းမကြီး၊ (၇၈) လမ်းဆုံ၊ (ရိုးမဘဏ်အနီး)၊ မြောက်ဒဂုံမြို့နယ်</v>
          </cell>
          <cell r="I307">
            <v>76000</v>
          </cell>
          <cell r="J307" t="str">
            <v>-</v>
          </cell>
          <cell r="K307">
            <v>76000</v>
          </cell>
          <cell r="L307">
            <v>4000</v>
          </cell>
          <cell r="M307" t="str">
            <v>-</v>
          </cell>
          <cell r="O307">
            <v>12000</v>
          </cell>
          <cell r="P307">
            <v>88000</v>
          </cell>
          <cell r="Q307" t="str">
            <v>၂ထုပ်တွဲ</v>
          </cell>
        </row>
        <row r="308">
          <cell r="C308" t="str">
            <v>D0821-KAL-309</v>
          </cell>
          <cell r="D308" t="str">
            <v>ခင့်အလှူ</v>
          </cell>
          <cell r="E308" t="str">
            <v>Dhfxgvycuvu</v>
          </cell>
          <cell r="F308" t="str">
            <v>09-682365505</v>
          </cell>
          <cell r="G308" t="str">
            <v>မြောက်ဒဂုံ</v>
          </cell>
          <cell r="H308" t="str">
            <v>အမှတ် (၉၉၉)၊ မြဝတီမင်းကြီး (၂) လမ်း၊ (၅၁) ရပ်ကွက်၊ မြောက်ဒဂုံမြို့နယ်</v>
          </cell>
          <cell r="I308">
            <v>35000</v>
          </cell>
          <cell r="J308">
            <v>5000</v>
          </cell>
          <cell r="K308">
            <v>40000</v>
          </cell>
          <cell r="L308">
            <v>4000</v>
          </cell>
          <cell r="M308">
            <v>5000</v>
          </cell>
          <cell r="O308">
            <v>500</v>
          </cell>
          <cell r="P308">
            <v>40500</v>
          </cell>
        </row>
        <row r="309">
          <cell r="C309" t="str">
            <v>D0831-JLS-057</v>
          </cell>
          <cell r="D309" t="str">
            <v>July Sis</v>
          </cell>
          <cell r="E309" t="str">
            <v>Nan Htike Aung</v>
          </cell>
          <cell r="F309" t="str">
            <v>09-755008786</v>
          </cell>
          <cell r="G309" t="str">
            <v>မြောက်ဒဂုံ</v>
          </cell>
          <cell r="H309" t="str">
            <v>တိုက် (A)၊ အခန်း (၄၀၂)၊ ရှုခင်းသာလမ်း၊ (၂၇) ရပ်ကွက်၊ မြောက်ဒဂုံမြို့နယ်</v>
          </cell>
          <cell r="I309" t="str">
            <v>-</v>
          </cell>
          <cell r="J309">
            <v>4000</v>
          </cell>
          <cell r="K309">
            <v>4000</v>
          </cell>
          <cell r="L309">
            <v>4000</v>
          </cell>
          <cell r="M309">
            <v>4000</v>
          </cell>
          <cell r="N309" t="str">
            <v>-</v>
          </cell>
          <cell r="P309">
            <v>4000</v>
          </cell>
        </row>
        <row r="310">
          <cell r="C310" t="str">
            <v>D0831-MMA-400</v>
          </cell>
          <cell r="D310" t="str">
            <v>မြန်မာ့အလှ</v>
          </cell>
          <cell r="E310" t="str">
            <v>Ma Naw</v>
          </cell>
          <cell r="F310" t="str">
            <v>09-250062349</v>
          </cell>
          <cell r="G310" t="str">
            <v>မြောက်ဒဂုံ</v>
          </cell>
          <cell r="H310" t="str">
            <v>အမှတ် (၁၂၀၇)၊ ပိတောက်မြိုင် (၅) လမ်း၊ (၃၄) ရပ်ကွက်၊ မြောက်ဒဂုံမြို့နယ်</v>
          </cell>
          <cell r="I310">
            <v>200600</v>
          </cell>
          <cell r="J310">
            <v>4000</v>
          </cell>
          <cell r="K310">
            <v>204600</v>
          </cell>
          <cell r="L310">
            <v>4000</v>
          </cell>
          <cell r="M310">
            <v>4000</v>
          </cell>
          <cell r="N310" t="str">
            <v>-</v>
          </cell>
          <cell r="P310">
            <v>204600</v>
          </cell>
        </row>
        <row r="311">
          <cell r="C311" t="str">
            <v>D0903-YDC-110</v>
          </cell>
          <cell r="D311" t="str">
            <v>Yadanar Clothing</v>
          </cell>
          <cell r="E311" t="str">
            <v>Mommy Baby</v>
          </cell>
          <cell r="F311" t="str">
            <v>09-942150031</v>
          </cell>
          <cell r="G311" t="str">
            <v>မြောက်ဒဂုံ</v>
          </cell>
          <cell r="H311" t="str">
            <v>အမှတ် (၈၀)၊ စံပယ်လမ်း၊ (၄၇) ရပ်ကွက်၊ မြောက်ဒဂုံမြို့နယ်</v>
          </cell>
          <cell r="I311" t="str">
            <v>-</v>
          </cell>
          <cell r="J311">
            <v>4000</v>
          </cell>
          <cell r="K311">
            <v>4000</v>
          </cell>
          <cell r="L311">
            <v>4000</v>
          </cell>
          <cell r="M311">
            <v>4000</v>
          </cell>
          <cell r="N311">
            <v>7</v>
          </cell>
          <cell r="O311">
            <v>2000</v>
          </cell>
          <cell r="P311">
            <v>6000</v>
          </cell>
        </row>
        <row r="312">
          <cell r="C312" t="str">
            <v>D0827-KAL-141</v>
          </cell>
          <cell r="D312" t="str">
            <v>ခင့်အလှူ</v>
          </cell>
          <cell r="E312" t="str">
            <v>Khu Mah</v>
          </cell>
          <cell r="F312" t="str">
            <v>09-449557652</v>
          </cell>
          <cell r="G312" t="str">
            <v>မြောက်ဥက္ကလာပ</v>
          </cell>
          <cell r="H312" t="str">
            <v>အမှတ် (၁၁၂၂)၊ သုဓမ္မာ (၆) လမ်း၊ (၂) ရပ်ကွက်၊ မြောက်ဥက္ကလာပမြို့နယ်</v>
          </cell>
          <cell r="I312">
            <v>35000</v>
          </cell>
          <cell r="J312">
            <v>55000</v>
          </cell>
          <cell r="K312">
            <v>90000</v>
          </cell>
          <cell r="L312">
            <v>4500</v>
          </cell>
          <cell r="M312">
            <v>55000</v>
          </cell>
          <cell r="O312" t="str">
            <v>-</v>
          </cell>
          <cell r="P312">
            <v>90000</v>
          </cell>
        </row>
        <row r="313">
          <cell r="C313" t="str">
            <v>D0819-SMW-061</v>
          </cell>
          <cell r="D313" t="str">
            <v>ရှု့မဝ</v>
          </cell>
          <cell r="E313" t="str">
            <v>Ko Aung</v>
          </cell>
          <cell r="F313" t="str">
            <v>09-750482566
  09-986566595</v>
          </cell>
          <cell r="G313" t="str">
            <v>ရွှေပြည်သာ</v>
          </cell>
          <cell r="H313" t="str">
            <v>အမှတ် (၁၃၀)၊ ဦးမြဲလမ်း၊ စက်မှုဇုန် (၄)၊ ရွှေပြည်သာမြို့နယ်</v>
          </cell>
          <cell r="I313">
            <v>18000</v>
          </cell>
          <cell r="J313">
            <v>4500</v>
          </cell>
          <cell r="K313">
            <v>22500</v>
          </cell>
          <cell r="L313">
            <v>4500</v>
          </cell>
          <cell r="M313">
            <v>4500</v>
          </cell>
          <cell r="N313" t="str">
            <v>-</v>
          </cell>
          <cell r="O313">
            <v>22500</v>
          </cell>
          <cell r="P313" t="str">
            <v>၂ရက်နေ့ပို့ရန်</v>
          </cell>
        </row>
        <row r="314">
          <cell r="C314" t="str">
            <v>D0902-KAL-101</v>
          </cell>
          <cell r="D314" t="str">
            <v>ခင့်အလှူ</v>
          </cell>
          <cell r="E314" t="str">
            <v>Pa Lat Ti Nan</v>
          </cell>
          <cell r="F314" t="str">
            <v>09-445172379</v>
          </cell>
          <cell r="G314" t="str">
            <v>လမ်းမတော်</v>
          </cell>
          <cell r="H314" t="str">
            <v>အမှတ် (၆၀)၊ ကိုင်းတန်းလမ်း၊ လမ်းမတော်မြို့နယ်</v>
          </cell>
          <cell r="I314">
            <v>59400</v>
          </cell>
          <cell r="J314">
            <v>5000</v>
          </cell>
          <cell r="K314">
            <v>64400</v>
          </cell>
          <cell r="L314">
            <v>4000</v>
          </cell>
          <cell r="M314">
            <v>5000</v>
          </cell>
          <cell r="O314" t="str">
            <v>-</v>
          </cell>
          <cell r="P314">
            <v>64400</v>
          </cell>
        </row>
        <row r="315">
          <cell r="C315" t="str">
            <v>D0904-GGS-177</v>
          </cell>
          <cell r="D315" t="str">
            <v>The Gadget Store</v>
          </cell>
          <cell r="E315" t="str">
            <v>Hsu Yee nai</v>
          </cell>
          <cell r="F315" t="str">
            <v>09-450995525</v>
          </cell>
          <cell r="G315" t="str">
            <v>လယ်ဝေး</v>
          </cell>
          <cell r="H315" t="str">
            <v>အမှတ် (၄)၊ ရုံးလမ်း၊ (ဘဏ်ဘေး)၊ လယ်ဝေးမြို့နယ်၊ နေပြည်တော်</v>
          </cell>
          <cell r="I315" t="str">
            <v>-</v>
          </cell>
          <cell r="J315">
            <v>6000</v>
          </cell>
          <cell r="K315">
            <v>6000</v>
          </cell>
          <cell r="L315">
            <v>6000</v>
          </cell>
          <cell r="M315">
            <v>6000</v>
          </cell>
          <cell r="O315" t="str">
            <v>-</v>
          </cell>
          <cell r="P315">
            <v>6000</v>
          </cell>
        </row>
        <row r="316">
          <cell r="C316" t="str">
            <v>D0830-GRS-032</v>
          </cell>
          <cell r="D316" t="str">
            <v>GRS Express</v>
          </cell>
          <cell r="E316" t="str">
            <v>Ma Huu Ra</v>
          </cell>
          <cell r="F316" t="str">
            <v>09-768508458</v>
          </cell>
          <cell r="G316" t="str">
            <v>လသာ</v>
          </cell>
          <cell r="H316" t="str">
            <v>အမှတ် (၆၇၅)၊ မဟာဗန္ဓုလလမ်း၊ လသာမြို့နယ်</v>
          </cell>
          <cell r="I316">
            <v>29000</v>
          </cell>
          <cell r="J316" t="str">
            <v>-</v>
          </cell>
          <cell r="K316">
            <v>29000</v>
          </cell>
          <cell r="L316">
            <v>4000</v>
          </cell>
          <cell r="M316" t="str">
            <v>-</v>
          </cell>
          <cell r="O316" t="str">
            <v>-</v>
          </cell>
          <cell r="P316">
            <v>29000</v>
          </cell>
        </row>
        <row r="317">
          <cell r="C317" t="str">
            <v>D0831-KAL-119</v>
          </cell>
          <cell r="D317" t="str">
            <v>ခင့်အလှူ</v>
          </cell>
          <cell r="E317" t="str">
            <v>User67948613486632</v>
          </cell>
          <cell r="F317" t="str">
            <v>09-788788420</v>
          </cell>
          <cell r="G317" t="str">
            <v>လှိုင်</v>
          </cell>
          <cell r="H317" t="str">
            <v>အမှတ် (၆၃၀)၊ မြရတနာလမ်း၊ ဓမ္မာရုံလမ်းမကြီး၊ (၁၁) ရပ်ကွက်၊ လှိုင်မြို့နယ်</v>
          </cell>
          <cell r="I317">
            <v>27500</v>
          </cell>
          <cell r="J317">
            <v>4000</v>
          </cell>
          <cell r="K317">
            <v>31500</v>
          </cell>
          <cell r="L317">
            <v>4000</v>
          </cell>
          <cell r="M317">
            <v>4000</v>
          </cell>
          <cell r="O317" t="str">
            <v>-</v>
          </cell>
          <cell r="P317">
            <v>31500</v>
          </cell>
        </row>
        <row r="318">
          <cell r="C318" t="str">
            <v>D0901-TSW-055</v>
          </cell>
          <cell r="D318" t="str">
            <v>3 &amp; 6 Wholesale</v>
          </cell>
          <cell r="E318" t="str">
            <v>ဆောင်းသဇင်</v>
          </cell>
          <cell r="F318" t="str">
            <v>09-974200452</v>
          </cell>
          <cell r="G318" t="str">
            <v>လှိုင်</v>
          </cell>
          <cell r="H318" t="str">
            <v>(၁၀) လမ်း၊ (၃) ရပ်ကွက်၊ လှိုင်မြို့နယ်</v>
          </cell>
          <cell r="I318">
            <v>19000</v>
          </cell>
          <cell r="K318">
            <v>19000</v>
          </cell>
          <cell r="L318">
            <v>4000</v>
          </cell>
          <cell r="M318" t="str">
            <v>-</v>
          </cell>
          <cell r="O318">
            <v>5000</v>
          </cell>
          <cell r="P318">
            <v>24000</v>
          </cell>
        </row>
        <row r="319">
          <cell r="C319" t="str">
            <v>D0901-PHS-071</v>
          </cell>
          <cell r="D319" t="str">
            <v>ph level 7</v>
          </cell>
          <cell r="E319" t="str">
            <v>မဆုမြတ်ပိုး</v>
          </cell>
          <cell r="F319" t="str">
            <v>09-440680460</v>
          </cell>
          <cell r="G319" t="str">
            <v>လှိုင်သာယာ</v>
          </cell>
          <cell r="H319" t="str">
            <v>ကျန်စစ်မင်းအိမ်ရာ၊ တိုက် (၄)၊ (City Mart အနီး)၊ လှိုင်သာယာမြို့နယ်</v>
          </cell>
          <cell r="I319" t="str">
            <v>-</v>
          </cell>
          <cell r="J319">
            <v>4500</v>
          </cell>
          <cell r="K319">
            <v>4500</v>
          </cell>
          <cell r="L319">
            <v>4500</v>
          </cell>
          <cell r="M319">
            <v>4500</v>
          </cell>
          <cell r="O319" t="str">
            <v>-</v>
          </cell>
          <cell r="P319">
            <v>4500</v>
          </cell>
        </row>
        <row r="320">
          <cell r="C320" t="str">
            <v>D0904-TSW-030</v>
          </cell>
          <cell r="D320" t="str">
            <v>3 &amp; 6 Wholesale</v>
          </cell>
          <cell r="E320" t="str">
            <v>မစု</v>
          </cell>
          <cell r="F320" t="str">
            <v>09-755822588</v>
          </cell>
          <cell r="G320" t="str">
            <v>သင်္ဃန်းကျွန်း</v>
          </cell>
          <cell r="H320" t="str">
            <v>အမှတ် (၇၈)၊ (၄) လွှာ၊ သုဒဿန (၁) လမ်း၊ (၁၆) ရပ်ကွက်၊ (ကုလားဘုရားကျောင်းမှတ်တိုင်)၊ သင်္ဃန်းကျွန်းမြို့နယ်</v>
          </cell>
          <cell r="I320">
            <v>19000</v>
          </cell>
          <cell r="J320" t="str">
            <v>-</v>
          </cell>
          <cell r="K320">
            <v>19000</v>
          </cell>
          <cell r="L320">
            <v>4000</v>
          </cell>
          <cell r="M320" t="str">
            <v>-</v>
          </cell>
          <cell r="N320">
            <v>4</v>
          </cell>
          <cell r="O320">
            <v>7000</v>
          </cell>
          <cell r="P320">
            <v>26000</v>
          </cell>
        </row>
        <row r="321">
          <cell r="C321" t="str">
            <v>D0904-MBO-285</v>
          </cell>
          <cell r="D321" t="str">
            <v>MaBel OS</v>
          </cell>
          <cell r="E321" t="str">
            <v>Ma Hnin Nway Hlaing</v>
          </cell>
          <cell r="F321" t="str">
            <v>09-988643696 / 09-444086344</v>
          </cell>
          <cell r="G321" t="str">
            <v>သင်္ဃန်းကျွန်း</v>
          </cell>
          <cell r="H321" t="str">
            <v>ငမိုးရိပ် (၂) လမ်း၊ (အပိုင်း ၄)၊ သင်္ဃန်းကျွန်းမြို့နယ်</v>
          </cell>
          <cell r="I321" t="str">
            <v>-</v>
          </cell>
          <cell r="J321">
            <v>4000</v>
          </cell>
          <cell r="K321">
            <v>4000</v>
          </cell>
          <cell r="L321">
            <v>4000</v>
          </cell>
          <cell r="M321">
            <v>4000</v>
          </cell>
          <cell r="N321">
            <v>4</v>
          </cell>
          <cell r="O321">
            <v>500</v>
          </cell>
          <cell r="P321">
            <v>4500</v>
          </cell>
        </row>
        <row r="322">
          <cell r="C322" t="str">
            <v>D0904-PYT-367</v>
          </cell>
          <cell r="D322" t="str">
            <v>ပုရစ်ကလေး</v>
          </cell>
          <cell r="E322" t="str">
            <v>ခိုင်မေမေ</v>
          </cell>
          <cell r="F322" t="str">
            <v>09-955825874</v>
          </cell>
          <cell r="G322" t="str">
            <v>သင်္ဃန်းကျွန်း</v>
          </cell>
          <cell r="H322" t="str">
            <v>ငမိုးရိပ် (၅) လမ်း (အပိုင်း ၁)၊ သင်္ဃန်းကျွန်းမြို့နယ်</v>
          </cell>
          <cell r="I322">
            <v>47000</v>
          </cell>
          <cell r="J322">
            <v>4000</v>
          </cell>
          <cell r="K322">
            <v>51000</v>
          </cell>
          <cell r="L322">
            <v>4000</v>
          </cell>
          <cell r="M322">
            <v>4000</v>
          </cell>
          <cell r="O322" t="str">
            <v>-</v>
          </cell>
          <cell r="P322">
            <v>51000</v>
          </cell>
        </row>
        <row r="323">
          <cell r="C323" t="str">
            <v>D0904-CTM-387</v>
          </cell>
          <cell r="D323" t="str">
            <v>ချစ်သွန်းသီရိ မေမေ</v>
          </cell>
          <cell r="E323" t="str">
            <v>Sithu Phyo</v>
          </cell>
          <cell r="F323" t="str">
            <v>09-792271404</v>
          </cell>
          <cell r="G323" t="str">
            <v>သင်္ဃန်းကျွန်း</v>
          </cell>
          <cell r="H323" t="str">
            <v>တိုက် (၅)၊ အခန်း (၃၀)၊ ဣစ္ဆာသယလမ်း၊ ဆယ်သိန်းရပ်ကွက်၊ သင်္ဃန်းကျွန်းမြို့နယ်</v>
          </cell>
          <cell r="I323">
            <v>25000</v>
          </cell>
          <cell r="J323">
            <v>4000</v>
          </cell>
          <cell r="K323">
            <v>29000</v>
          </cell>
          <cell r="L323">
            <v>4000</v>
          </cell>
          <cell r="M323">
            <v>4000</v>
          </cell>
          <cell r="O323" t="str">
            <v>-</v>
          </cell>
          <cell r="P323">
            <v>29000</v>
          </cell>
        </row>
        <row r="324">
          <cell r="C324" t="str">
            <v>D0903-TSW-050</v>
          </cell>
          <cell r="D324" t="str">
            <v>3 &amp; 6 Wholesale</v>
          </cell>
          <cell r="E324" t="str">
            <v>Thaw</v>
          </cell>
          <cell r="F324" t="str">
            <v>09-955585780
 09-797107243</v>
          </cell>
          <cell r="G324" t="str">
            <v>သင်္ဃန်းကျွန်း</v>
          </cell>
          <cell r="H324" t="str">
            <v>အမှတ် (၉)၊ ငမိုးရိပ် (၁၀) လမ်း (အပိုင်း ၁)၊ (အဝါရောင်နှစ်ထပ်တိုက် ခေါင်းရင်းအိမ်)၊ သင်္ဃန်းကျွန်းမြို့နယ်</v>
          </cell>
          <cell r="I324">
            <v>32000</v>
          </cell>
          <cell r="J324" t="str">
            <v>-</v>
          </cell>
          <cell r="K324">
            <v>32000</v>
          </cell>
          <cell r="L324">
            <v>4000</v>
          </cell>
          <cell r="M324" t="str">
            <v>-</v>
          </cell>
          <cell r="N324">
            <v>5</v>
          </cell>
          <cell r="O324">
            <v>8000</v>
          </cell>
          <cell r="P324">
            <v>40000</v>
          </cell>
        </row>
        <row r="325">
          <cell r="C325" t="str">
            <v>D0903-TSW-061</v>
          </cell>
          <cell r="D325" t="str">
            <v>3 &amp; 6 Wholesale</v>
          </cell>
          <cell r="E325" t="str">
            <v>May Lay</v>
          </cell>
          <cell r="F325" t="str">
            <v>09-970707137</v>
          </cell>
          <cell r="G325" t="str">
            <v>သင်္ဃန်းကျွန်း</v>
          </cell>
          <cell r="H325" t="str">
            <v>ဇာဝေယျာလမ်း၊ (ခန့်စည်သူဘုန်းကြီးကျောင်းရှေ့)၊ သင်္ဃန်းကျွန်းမြို့နယ်</v>
          </cell>
          <cell r="I325">
            <v>19000</v>
          </cell>
          <cell r="J325" t="str">
            <v>-</v>
          </cell>
          <cell r="K325">
            <v>19000</v>
          </cell>
          <cell r="L325">
            <v>4000</v>
          </cell>
          <cell r="M325" t="str">
            <v>-</v>
          </cell>
          <cell r="N325">
            <v>4</v>
          </cell>
          <cell r="O325">
            <v>8000</v>
          </cell>
          <cell r="P325">
            <v>27000</v>
          </cell>
        </row>
        <row r="326">
          <cell r="C326" t="str">
            <v>D0903-TSW-070</v>
          </cell>
          <cell r="D326" t="str">
            <v>3 &amp; 6 Wholesale</v>
          </cell>
          <cell r="E326" t="str">
            <v>Orange</v>
          </cell>
          <cell r="F326" t="str">
            <v>09-268981525</v>
          </cell>
          <cell r="G326" t="str">
            <v>သင်္ဃန်းကျွန်း</v>
          </cell>
          <cell r="H326" t="str">
            <v>(ဘုရားလမ်းမှတ်တိုင်အနီး)၊ သင်္ဃန်းကျွန်းမြို့နယ်</v>
          </cell>
          <cell r="I326">
            <v>61000</v>
          </cell>
          <cell r="J326" t="str">
            <v>-</v>
          </cell>
          <cell r="K326">
            <v>61000</v>
          </cell>
          <cell r="L326">
            <v>4000</v>
          </cell>
          <cell r="M326" t="str">
            <v>-</v>
          </cell>
          <cell r="N326">
            <v>7</v>
          </cell>
          <cell r="O326">
            <v>12000</v>
          </cell>
          <cell r="P326">
            <v>73000</v>
          </cell>
        </row>
        <row r="327">
          <cell r="C327" t="str">
            <v>D0819-GRS-142</v>
          </cell>
          <cell r="D327" t="str">
            <v>GRS Express</v>
          </cell>
          <cell r="E327" t="str">
            <v>သစ်ခွ</v>
          </cell>
          <cell r="F327" t="str">
            <v>09-763903926</v>
          </cell>
          <cell r="G327" t="str">
            <v>သင်္ဃန်းကျွန်း</v>
          </cell>
          <cell r="H327" t="str">
            <v>သမာဓိ (၃) လမ်း၊ (ဘီအိုစီမှတ်တိုင်)၊ သင်္ဃန်းကျွန်းမြို့နယ်</v>
          </cell>
          <cell r="I327">
            <v>38000</v>
          </cell>
          <cell r="J327" t="str">
            <v>-</v>
          </cell>
          <cell r="K327">
            <v>38000</v>
          </cell>
          <cell r="L327">
            <v>4000</v>
          </cell>
          <cell r="M327" t="str">
            <v>-</v>
          </cell>
          <cell r="N327" t="str">
            <v>-</v>
          </cell>
          <cell r="P327">
            <v>38000</v>
          </cell>
        </row>
        <row r="328">
          <cell r="C328" t="str">
            <v>D0821-GRS-027</v>
          </cell>
          <cell r="D328" t="str">
            <v>GRS Express</v>
          </cell>
          <cell r="E328" t="str">
            <v>Star Baby</v>
          </cell>
          <cell r="F328" t="str">
            <v>09-682466431</v>
          </cell>
          <cell r="G328" t="str">
            <v>သင်္ဃန်းကျွန်း</v>
          </cell>
          <cell r="H328" t="str">
            <v>အမှတ် (၉)၊ သီရိခေမာလမ်းသွယ်၊ ကျိုက္ကဆံဘုရားလမ်း၊ ဇဝနရပ်ကွက်၊ သင်္ဃန်းကျွန်းမြို့နယ်</v>
          </cell>
          <cell r="I328">
            <v>62500</v>
          </cell>
          <cell r="J328" t="str">
            <v>-</v>
          </cell>
          <cell r="K328">
            <v>62500</v>
          </cell>
          <cell r="L328">
            <v>4000</v>
          </cell>
          <cell r="M328" t="str">
            <v>-</v>
          </cell>
          <cell r="N328" t="str">
            <v>-</v>
          </cell>
          <cell r="P328">
            <v>62500</v>
          </cell>
          <cell r="Q328" t="str">
            <v>Ygn-162502</v>
          </cell>
        </row>
        <row r="329">
          <cell r="C329" t="str">
            <v>D0824-KAL-147</v>
          </cell>
          <cell r="D329" t="str">
            <v>ခင့်အလှူ</v>
          </cell>
          <cell r="E329" t="str">
            <v>Ni Ni</v>
          </cell>
          <cell r="F329" t="str">
            <v>09-976281895</v>
          </cell>
          <cell r="G329" t="str">
            <v>သင်္ဃန်းကျွန်း</v>
          </cell>
          <cell r="H329" t="str">
            <v>အမှတ် (၂၄)၊ ဓနသဇိလမ်း၊ (၂၉) ရပ်ကွက်၊ သုဝဏ္ဏ၊ သင်္ဃန်းကျွန်းမြို့နယ်</v>
          </cell>
          <cell r="I329">
            <v>35000</v>
          </cell>
          <cell r="J329">
            <v>5000</v>
          </cell>
          <cell r="K329">
            <v>40000</v>
          </cell>
          <cell r="L329">
            <v>4000</v>
          </cell>
          <cell r="M329">
            <v>5000</v>
          </cell>
          <cell r="O329" t="str">
            <v>-</v>
          </cell>
          <cell r="P329">
            <v>40000</v>
          </cell>
        </row>
        <row r="330">
          <cell r="C330" t="str">
            <v>D0824-TSW-015</v>
          </cell>
          <cell r="D330" t="str">
            <v>3 &amp; 6 Wholesale</v>
          </cell>
          <cell r="E330" t="str">
            <v>ပန်းအိ</v>
          </cell>
          <cell r="F330" t="str">
            <v>09-669695058</v>
          </cell>
          <cell r="G330" t="str">
            <v>သင်္ဃန်းကျွန်း</v>
          </cell>
          <cell r="H330" t="str">
            <v>အမှတ် (၁၀၈)၊ လေးထောင့်ကန် (၃) လမ်းရိပ်သာလမ်း၊ သင်္ဃန်းကျွန်းမြို့နယ်</v>
          </cell>
          <cell r="I330">
            <v>20000</v>
          </cell>
          <cell r="J330">
            <v>4000</v>
          </cell>
          <cell r="K330">
            <v>24000</v>
          </cell>
          <cell r="L330">
            <v>4000</v>
          </cell>
          <cell r="M330">
            <v>4000</v>
          </cell>
          <cell r="O330" t="str">
            <v>-</v>
          </cell>
          <cell r="P330">
            <v>24000</v>
          </cell>
        </row>
        <row r="331">
          <cell r="C331" t="str">
            <v>D0831-KAL-346</v>
          </cell>
          <cell r="D331" t="str">
            <v>ခင့်အလှူ</v>
          </cell>
          <cell r="E331" t="str">
            <v>Nwe Ni Win</v>
          </cell>
          <cell r="F331" t="str">
            <v>09-941442893</v>
          </cell>
          <cell r="G331" t="str">
            <v>သင်္ဃန်းကျွန်း</v>
          </cell>
          <cell r="H331" t="str">
            <v>အမှတ် (83A)၊ သစ်ယာပတ်လမ်းသွယ် (၃)၊ ဗိုလ်ချုပ်ရွာ၊ သုဝဏ္ဏ၊ သင်္ဃန်းကျွန်းမြို့နယ်</v>
          </cell>
          <cell r="I331">
            <v>85000</v>
          </cell>
          <cell r="J331">
            <v>4000</v>
          </cell>
          <cell r="K331">
            <v>89000</v>
          </cell>
          <cell r="L331">
            <v>4000</v>
          </cell>
          <cell r="M331">
            <v>4000</v>
          </cell>
          <cell r="O331">
            <v>2500</v>
          </cell>
          <cell r="P331">
            <v>91500</v>
          </cell>
        </row>
        <row r="332">
          <cell r="C332" t="str">
            <v>D0901-TSW-053</v>
          </cell>
          <cell r="D332" t="str">
            <v>3 &amp; 6 Wholesale</v>
          </cell>
          <cell r="E332" t="str">
            <v>မတင်တင်နွယ်</v>
          </cell>
          <cell r="F332" t="str">
            <v>09-759988108</v>
          </cell>
          <cell r="G332" t="str">
            <v>သင်္ဃန်းကျွန်း</v>
          </cell>
          <cell r="H332" t="str">
            <v>ရန်ငြိမ်းလမ်း၊ ဘဝမြင့်၊ (အ.ထ.က (၄) ကျောင်းအနီး)၊ သင်္ဃန်းကျွန်းမြို့နယ်</v>
          </cell>
          <cell r="I332">
            <v>45000</v>
          </cell>
          <cell r="J332">
            <v>4000</v>
          </cell>
          <cell r="K332">
            <v>49000</v>
          </cell>
          <cell r="L332">
            <v>4000</v>
          </cell>
          <cell r="M332">
            <v>4000</v>
          </cell>
          <cell r="O332" t="str">
            <v>-</v>
          </cell>
          <cell r="P332">
            <v>49000</v>
          </cell>
        </row>
        <row r="333">
          <cell r="C333" t="str">
            <v>D0901-KAL-112</v>
          </cell>
          <cell r="D333" t="str">
            <v>ခင့်အလှူ</v>
          </cell>
          <cell r="E333" t="str">
            <v>Aye Aye Khaing</v>
          </cell>
          <cell r="F333" t="str">
            <v>09-678902932</v>
          </cell>
          <cell r="G333" t="str">
            <v>သင်္ဃန်းကျွန်း</v>
          </cell>
          <cell r="H333" t="str">
            <v>သုဝဏ္ဏဘောဂလမ်း၊ (ဘုရားကျောင်းရှေ့)၊ သင်္ဃန်းကျွန်းမြို့နယ်</v>
          </cell>
          <cell r="I333">
            <v>29700</v>
          </cell>
          <cell r="J333">
            <v>5000</v>
          </cell>
          <cell r="K333">
            <v>34700</v>
          </cell>
          <cell r="L333">
            <v>4000</v>
          </cell>
          <cell r="M333">
            <v>5000</v>
          </cell>
          <cell r="O333" t="str">
            <v>-</v>
          </cell>
          <cell r="P333">
            <v>34700</v>
          </cell>
        </row>
        <row r="334">
          <cell r="C334" t="str">
            <v>D0902-KAL-115</v>
          </cell>
          <cell r="D334" t="str">
            <v>ခင့်အလှူ</v>
          </cell>
          <cell r="E334" t="str">
            <v>Hnin Nu</v>
          </cell>
          <cell r="F334" t="str">
            <v>09-973060727</v>
          </cell>
          <cell r="G334" t="str">
            <v>သင်္ဃန်းကျွန်း</v>
          </cell>
          <cell r="H334" t="str">
            <v>ဇမ္ဗူသီရိ၊ တိုက် (၂)၊ သင်္ဃန်းကျွန်းဘုရားလမ်း၊ သင်္ဃန်းကျွန်းမြို့နယ်</v>
          </cell>
          <cell r="I334">
            <v>49500</v>
          </cell>
          <cell r="J334">
            <v>4000</v>
          </cell>
          <cell r="K334">
            <v>53500</v>
          </cell>
          <cell r="L334">
            <v>4000</v>
          </cell>
          <cell r="M334">
            <v>4000</v>
          </cell>
          <cell r="O334" t="str">
            <v>-</v>
          </cell>
          <cell r="P334">
            <v>53500</v>
          </cell>
        </row>
        <row r="335">
          <cell r="C335" t="str">
            <v>D0901-KAL-114</v>
          </cell>
          <cell r="D335" t="str">
            <v>ခင့်အလှူ</v>
          </cell>
          <cell r="E335" t="str">
            <v>Ni Ni Win</v>
          </cell>
          <cell r="F335" t="str">
            <v>09-5141838</v>
          </cell>
          <cell r="G335" t="str">
            <v>သာကေတ</v>
          </cell>
          <cell r="H335" t="str">
            <v>အမှတ် (၃၄၅)၊ သုမန (၁) လမ်း၊ သာကေတမြို့နယ်</v>
          </cell>
          <cell r="I335">
            <v>27500</v>
          </cell>
          <cell r="J335">
            <v>5000</v>
          </cell>
          <cell r="K335">
            <v>32500</v>
          </cell>
          <cell r="L335">
            <v>4000</v>
          </cell>
          <cell r="M335">
            <v>5000</v>
          </cell>
          <cell r="O335" t="str">
            <v>-</v>
          </cell>
          <cell r="P335">
            <v>32500</v>
          </cell>
        </row>
        <row r="336">
          <cell r="C336" t="str">
            <v>D0902-LOS-192</v>
          </cell>
          <cell r="D336" t="str">
            <v>Lady OS</v>
          </cell>
          <cell r="E336" t="str">
            <v>Pan Dora /မချောချော</v>
          </cell>
          <cell r="F336" t="str">
            <v>09-962222488</v>
          </cell>
          <cell r="G336" t="str">
            <v>အင်းစိန်</v>
          </cell>
          <cell r="H336" t="str">
            <v>Liquor Store၊ အမှတ် (၂၃)၊ မင်္ဂလာလမ်း၊ နံ့သာကုန်း၊ စော်ဘွားကြီးကုန်း၊ (စက်ဘီးဝင်းဘေး)၊ အင်းစိန်မြို့နယ်</v>
          </cell>
          <cell r="I336">
            <v>152100</v>
          </cell>
          <cell r="J336" t="str">
            <v>-</v>
          </cell>
          <cell r="K336">
            <v>152100</v>
          </cell>
          <cell r="L336">
            <v>4000</v>
          </cell>
          <cell r="M336" t="str">
            <v>-</v>
          </cell>
          <cell r="N336">
            <v>5</v>
          </cell>
          <cell r="O336">
            <v>1000</v>
          </cell>
          <cell r="P336">
            <v>153100</v>
          </cell>
        </row>
        <row r="337">
          <cell r="C337" t="str">
            <v>D0904-BBW-062</v>
          </cell>
          <cell r="D337" t="str">
            <v>Baby World</v>
          </cell>
          <cell r="E337" t="str">
            <v>Eaint Furniture</v>
          </cell>
          <cell r="F337" t="str">
            <v>09-797175073</v>
          </cell>
          <cell r="G337" t="str">
            <v>အရှေ့ဒဂုံ</v>
          </cell>
          <cell r="H337" t="str">
            <v>အမှတ် (၁၀၄၁)၊ ထိပ်တင်မှတ်လမ်းမ၊ (၁) ရပ်ကွက်၊ (မြောက်ဒဂုံ (၄၆) လမ်းဆုံအနီး)၊ အရှေ့ဒဂုံမြို့နယ်</v>
          </cell>
          <cell r="I337">
            <v>156000</v>
          </cell>
          <cell r="J337">
            <v>4000</v>
          </cell>
          <cell r="K337">
            <v>160000</v>
          </cell>
          <cell r="L337">
            <v>4000</v>
          </cell>
          <cell r="M337">
            <v>4000</v>
          </cell>
          <cell r="O337" t="str">
            <v>-</v>
          </cell>
          <cell r="P337">
            <v>160000</v>
          </cell>
        </row>
        <row r="338">
          <cell r="C338" t="str">
            <v>D0904-KAL-100</v>
          </cell>
          <cell r="D338" t="str">
            <v>ခင့်အလှူ</v>
          </cell>
          <cell r="E338" t="str">
            <v>Daw Hla Hla Htay</v>
          </cell>
          <cell r="F338" t="str">
            <v>09-782054172</v>
          </cell>
          <cell r="G338" t="str">
            <v>အရှေ့ဒဂုံ</v>
          </cell>
          <cell r="H338" t="str">
            <v>ကြိုးကြာ (၂) လမ်း၊ (၆) ရပ်ကွက်၊ အရှေ့ဒဂုံမြို့နယ်</v>
          </cell>
          <cell r="I338">
            <v>34000</v>
          </cell>
          <cell r="J338">
            <v>4000</v>
          </cell>
          <cell r="K338">
            <v>38000</v>
          </cell>
          <cell r="L338">
            <v>4000</v>
          </cell>
          <cell r="M338">
            <v>4000</v>
          </cell>
          <cell r="O338" t="str">
            <v>-</v>
          </cell>
          <cell r="P338">
            <v>38000</v>
          </cell>
        </row>
        <row r="339">
          <cell r="C339" t="str">
            <v>D0904-GGS-228</v>
          </cell>
          <cell r="D339" t="str">
            <v>The Gadget Store</v>
          </cell>
          <cell r="E339" t="str">
            <v>Thoon Thiri Kyal Sin</v>
          </cell>
          <cell r="F339" t="str">
            <v>09-455877599</v>
          </cell>
          <cell r="G339" t="str">
            <v>အရှေ့ဒဂုံ</v>
          </cell>
          <cell r="H339" t="str">
            <v>အမှတ် (984B)၊ အောင်ရတနာလမ်း၊ (၇) ရပ်ကွက်၊ အရှေ့ဒဂုံမြို့နယ်</v>
          </cell>
          <cell r="I339">
            <v>22000</v>
          </cell>
          <cell r="J339">
            <v>4000</v>
          </cell>
          <cell r="K339">
            <v>26000</v>
          </cell>
          <cell r="L339">
            <v>4000</v>
          </cell>
          <cell r="M339">
            <v>4000</v>
          </cell>
          <cell r="O339" t="str">
            <v>-</v>
          </cell>
          <cell r="P339">
            <v>26000</v>
          </cell>
        </row>
        <row r="340">
          <cell r="C340" t="str">
            <v>D0904-GGS-236</v>
          </cell>
          <cell r="D340" t="str">
            <v>The Gadget Store</v>
          </cell>
          <cell r="E340" t="str">
            <v>Nyx</v>
          </cell>
          <cell r="F340" t="str">
            <v>09-974174509</v>
          </cell>
          <cell r="G340" t="str">
            <v>အရှေ့ဒဂုံ</v>
          </cell>
          <cell r="H340" t="str">
            <v>ရွှေနဝင်းအိမ်ခြံမြေ၊ နဝဒေးလမ်း၊ (၁၂၅) ရပ်ကွက်၊ အရှေ့ဒဂုံမြို့နယ်</v>
          </cell>
          <cell r="I340">
            <v>96500</v>
          </cell>
          <cell r="J340">
            <v>4000</v>
          </cell>
          <cell r="K340">
            <v>100500</v>
          </cell>
          <cell r="L340">
            <v>4000</v>
          </cell>
          <cell r="M340">
            <v>4000</v>
          </cell>
          <cell r="O340" t="str">
            <v>-</v>
          </cell>
          <cell r="P340">
            <v>100500</v>
          </cell>
        </row>
        <row r="341">
          <cell r="C341" t="str">
            <v>D0904-PYT-356</v>
          </cell>
          <cell r="D341" t="str">
            <v>ပုရစ်ကလေး</v>
          </cell>
          <cell r="E341" t="str">
            <v>Moh Moh</v>
          </cell>
          <cell r="F341" t="str">
            <v>09-770056600</v>
          </cell>
          <cell r="G341" t="str">
            <v>အရှေ့ဒဂုံ</v>
          </cell>
          <cell r="H341" t="str">
            <v>Theint Skincare၊ မင်းရဲကျော်စွာလမ်းမကြီး၊ (၁၂၅) ရပ်ကွက်၊ ((၃၆) ဂိတ်ဟောင်းမှတ်တိုင်)၊ အရှေ့ဒဂုံမြို့နယ်</v>
          </cell>
          <cell r="I341">
            <v>10500</v>
          </cell>
          <cell r="J341">
            <v>4000</v>
          </cell>
          <cell r="K341">
            <v>14500</v>
          </cell>
          <cell r="L341">
            <v>4000</v>
          </cell>
          <cell r="M341">
            <v>4000</v>
          </cell>
          <cell r="N341">
            <v>6</v>
          </cell>
          <cell r="O341">
            <v>1500</v>
          </cell>
          <cell r="P341">
            <v>16000</v>
          </cell>
        </row>
        <row r="342">
          <cell r="C342" t="str">
            <v>D0904-OTH-414</v>
          </cell>
          <cell r="D342" t="str">
            <v>Other</v>
          </cell>
          <cell r="E342" t="str">
            <v>Tsukki Fashion</v>
          </cell>
          <cell r="F342" t="str">
            <v>09-774100740</v>
          </cell>
          <cell r="G342" t="str">
            <v>အရှေ့ဒဂုံ</v>
          </cell>
          <cell r="H342" t="str">
            <v>အမှတ် (၉၀၂)၊ ခွာညိုလမ်း၊ (၈) ရပ်ကွက်၊ အရှေ့ဒဂုံမြို့နယ်</v>
          </cell>
          <cell r="I342" t="str">
            <v>-</v>
          </cell>
          <cell r="J342">
            <v>4000</v>
          </cell>
          <cell r="K342">
            <v>4000</v>
          </cell>
          <cell r="L342">
            <v>4000</v>
          </cell>
          <cell r="M342">
            <v>4000</v>
          </cell>
          <cell r="O342" t="str">
            <v>-</v>
          </cell>
          <cell r="P342">
            <v>4000</v>
          </cell>
        </row>
        <row r="343">
          <cell r="C343" t="str">
            <v>D0831-KAL-113</v>
          </cell>
          <cell r="D343" t="str">
            <v>ခင့်အလှူ</v>
          </cell>
          <cell r="E343" t="str">
            <v>Ma Khaing</v>
          </cell>
          <cell r="F343" t="str">
            <v>09-254118096</v>
          </cell>
          <cell r="G343" t="str">
            <v>အရှေ့ဒဂုံ</v>
          </cell>
          <cell r="H343" t="str">
            <v>တက္ကသိုလ်ရိပ်မွန်၊ အမှတ် (B-1/304)၊ ချယ်ရီလမ်းသွယ် (၂)၊ အရှေ့ဒဂုံမြို့နယ်</v>
          </cell>
          <cell r="I343">
            <v>18000</v>
          </cell>
          <cell r="J343">
            <v>4000</v>
          </cell>
          <cell r="K343">
            <v>22000</v>
          </cell>
          <cell r="L343">
            <v>4000</v>
          </cell>
          <cell r="M343">
            <v>4000</v>
          </cell>
          <cell r="O343" t="str">
            <v>-</v>
          </cell>
          <cell r="P343">
            <v>22000</v>
          </cell>
        </row>
        <row r="344">
          <cell r="C344" t="str">
            <v>D0902-KAL-111</v>
          </cell>
          <cell r="D344" t="str">
            <v>ခင့်အလှူ</v>
          </cell>
          <cell r="E344" t="str">
            <v>Swe Swe</v>
          </cell>
          <cell r="F344" t="str">
            <v>09-269775773</v>
          </cell>
          <cell r="G344" t="str">
            <v>အရှေ့ဒဂုံ</v>
          </cell>
          <cell r="H344" t="str">
            <v>အမှတ် (968B)၊ မြေတိုင်း (၃) လမ်း၊ (၁၃) ရပ်ကွက်၊ အရှေ့ဒဂုံမြို့နယ်</v>
          </cell>
          <cell r="I344">
            <v>29700</v>
          </cell>
          <cell r="J344">
            <v>5000</v>
          </cell>
          <cell r="K344">
            <v>34700</v>
          </cell>
          <cell r="L344">
            <v>4000</v>
          </cell>
          <cell r="M344">
            <v>5000</v>
          </cell>
          <cell r="O344" t="str">
            <v>-</v>
          </cell>
          <cell r="P344">
            <v>34700</v>
          </cell>
        </row>
        <row r="345">
          <cell r="C345" t="str">
            <v>D0903-GGS-141</v>
          </cell>
          <cell r="D345" t="str">
            <v>The Gadget Store</v>
          </cell>
          <cell r="E345" t="str">
            <v>Ei Hnin Phyu</v>
          </cell>
          <cell r="F345" t="str">
            <v>09-699064982</v>
          </cell>
          <cell r="G345" t="str">
            <v>အရှေ့ဒဂုံ</v>
          </cell>
          <cell r="H345" t="str">
            <v>ဒဂုံတက္ကသိုလ်၊ အရှေ့ဒဂုံမြို့နယ်</v>
          </cell>
          <cell r="I345" t="str">
            <v>-</v>
          </cell>
          <cell r="J345">
            <v>4000</v>
          </cell>
          <cell r="K345">
            <v>4000</v>
          </cell>
          <cell r="L345">
            <v>4000</v>
          </cell>
          <cell r="M345">
            <v>4000</v>
          </cell>
          <cell r="O345" t="str">
            <v>-</v>
          </cell>
          <cell r="P345">
            <v>4000</v>
          </cell>
        </row>
        <row r="346">
          <cell r="C346" t="str">
            <v>D0904-BBW-034</v>
          </cell>
          <cell r="D346" t="str">
            <v>Baby World</v>
          </cell>
          <cell r="E346" t="str">
            <v>မထက်</v>
          </cell>
          <cell r="F346" t="str">
            <v>09-425328127</v>
          </cell>
          <cell r="H346" t="str">
            <v>အမှတ် (၁၀၁)၊ ပထမထပ်၊ ဦးစံညွန့်လမ်း</v>
          </cell>
          <cell r="I346" t="str">
            <v>-</v>
          </cell>
          <cell r="J346" t="str">
            <v>-</v>
          </cell>
          <cell r="K346" t="str">
            <v>-</v>
          </cell>
          <cell r="M346" t="str">
            <v>-</v>
          </cell>
          <cell r="O346" t="str">
            <v>-</v>
          </cell>
          <cell r="P346" t="str">
            <v>-</v>
          </cell>
        </row>
        <row r="347">
          <cell r="C347" t="str">
            <v>D0904-GGS-160</v>
          </cell>
          <cell r="D347" t="str">
            <v>The Gadget Store</v>
          </cell>
          <cell r="E347" t="str">
            <v>Thune Thiri Htut</v>
          </cell>
          <cell r="F347" t="str">
            <v>09-799699894</v>
          </cell>
          <cell r="I347">
            <v>20500</v>
          </cell>
          <cell r="J347">
            <v>6000</v>
          </cell>
          <cell r="K347">
            <v>26500</v>
          </cell>
          <cell r="M347">
            <v>6000</v>
          </cell>
          <cell r="O347" t="str">
            <v>-</v>
          </cell>
          <cell r="P347">
            <v>26500</v>
          </cell>
        </row>
        <row r="348">
          <cell r="C348" t="str">
            <v>D0831-KSC-175</v>
          </cell>
          <cell r="D348" t="str">
            <v>KS Cosmetic</v>
          </cell>
          <cell r="E348" t="str">
            <v>Daw Ei Pyae</v>
          </cell>
          <cell r="F348" t="str">
            <v>09-782228768</v>
          </cell>
          <cell r="H348" t="str">
            <v>ဦးဗိုလ်ဗိုလ်ထွန်း၊ ပြည်တော်သာလမ်း၊ (၃) ရပ်ကွက်</v>
          </cell>
          <cell r="I348">
            <v>81500</v>
          </cell>
          <cell r="J348">
            <v>4000</v>
          </cell>
          <cell r="K348">
            <v>85500</v>
          </cell>
          <cell r="M348">
            <v>4000</v>
          </cell>
          <cell r="N348" t="str">
            <v>-</v>
          </cell>
          <cell r="O348">
            <v>85500</v>
          </cell>
        </row>
        <row r="349">
          <cell r="C349" t="str">
            <v>D0904-BLC-370</v>
          </cell>
          <cell r="D349" t="str">
            <v>Billionaire Clothing</v>
          </cell>
          <cell r="E349" t="str">
            <v>မခိုင်ခိုင်</v>
          </cell>
          <cell r="F349" t="str">
            <v>09-762224688</v>
          </cell>
          <cell r="G349" t="str">
            <v>Royal</v>
          </cell>
          <cell r="H349" t="str">
            <v>ဦးမှန်လမ်း၊ (၁၃) ရပ်ကွက်၊ တောင်ငူ</v>
          </cell>
          <cell r="I349">
            <v>577200</v>
          </cell>
          <cell r="J349">
            <v>5000</v>
          </cell>
          <cell r="K349">
            <v>582200</v>
          </cell>
          <cell r="L349" t="str">
            <v>-</v>
          </cell>
          <cell r="M349">
            <v>5000</v>
          </cell>
          <cell r="N349">
            <v>11</v>
          </cell>
          <cell r="O349">
            <v>4000</v>
          </cell>
          <cell r="P349">
            <v>586200</v>
          </cell>
          <cell r="Q349" t="str">
            <v>တောင်ငူ</v>
          </cell>
        </row>
        <row r="350">
          <cell r="C350" t="str">
            <v>D0904-GGS-195</v>
          </cell>
          <cell r="D350" t="str">
            <v>The Gadget Store</v>
          </cell>
          <cell r="E350" t="str">
            <v>Steohanie</v>
          </cell>
          <cell r="F350" t="str">
            <v>09-881977421</v>
          </cell>
          <cell r="G350" t="str">
            <v>Royal</v>
          </cell>
          <cell r="H350" t="str">
            <v>(တောင်ပေါ်)၊ မိုင်းရှူး</v>
          </cell>
          <cell r="I350">
            <v>38500</v>
          </cell>
          <cell r="J350">
            <v>5000</v>
          </cell>
          <cell r="K350">
            <v>43500</v>
          </cell>
          <cell r="M350">
            <v>5000</v>
          </cell>
          <cell r="O350" t="str">
            <v>-</v>
          </cell>
          <cell r="P350">
            <v>43500</v>
          </cell>
          <cell r="Q350" t="str">
            <v>မိုင်းရှူး</v>
          </cell>
        </row>
        <row r="351">
          <cell r="C351" t="str">
            <v>D0901-GRS-004</v>
          </cell>
          <cell r="D351" t="str">
            <v>GRS Express</v>
          </cell>
          <cell r="E351" t="str">
            <v>Zin Mar Myint</v>
          </cell>
          <cell r="F351" t="str">
            <v>09-783439410</v>
          </cell>
          <cell r="G351" t="str">
            <v>တာမွေ</v>
          </cell>
          <cell r="H351" t="str">
            <v>(၆၅) လမ်း (လမ်းရှည်)၊ (SSS ဂျင်အနီး)၊ တာမွေမြို့နယ်</v>
          </cell>
          <cell r="I351">
            <v>36000</v>
          </cell>
          <cell r="J351" t="str">
            <v>-</v>
          </cell>
          <cell r="K351">
            <v>36000</v>
          </cell>
          <cell r="L351">
            <v>4000</v>
          </cell>
          <cell r="M351" t="str">
            <v>-</v>
          </cell>
          <cell r="O351" t="str">
            <v>-</v>
          </cell>
          <cell r="P351">
            <v>36000</v>
          </cell>
        </row>
        <row r="352">
          <cell r="C352" t="str">
            <v>D0901-GRS-018</v>
          </cell>
          <cell r="D352" t="str">
            <v>GRS Express</v>
          </cell>
          <cell r="E352" t="str">
            <v>Thet Thet Swe</v>
          </cell>
          <cell r="F352" t="str">
            <v>09-420029327</v>
          </cell>
          <cell r="G352" t="str">
            <v>တာမွေ</v>
          </cell>
          <cell r="H352" t="str">
            <v>Sweety Home Living Mall (အရှေ့)၊ မြင်းပြိုင်ကွင်းလမ်း၊ မာန်အောင်ရပ်ကွက်၊ တာမွေမြို့နယ်</v>
          </cell>
          <cell r="I352">
            <v>50000</v>
          </cell>
          <cell r="J352" t="str">
            <v>-</v>
          </cell>
          <cell r="K352">
            <v>50000</v>
          </cell>
          <cell r="L352">
            <v>4000</v>
          </cell>
          <cell r="M352" t="str">
            <v>-</v>
          </cell>
          <cell r="O352" t="str">
            <v>-</v>
          </cell>
          <cell r="P352">
            <v>50000</v>
          </cell>
        </row>
        <row r="353">
          <cell r="C353" t="str">
            <v>D0901-FFY-029</v>
          </cell>
          <cell r="D353" t="str">
            <v>Food For U</v>
          </cell>
          <cell r="E353" t="str">
            <v>Ma Thae Su Khaing</v>
          </cell>
          <cell r="F353" t="str">
            <v>09-881080200</v>
          </cell>
          <cell r="G353" t="str">
            <v>လှိုင်သာယာ</v>
          </cell>
          <cell r="H353" t="str">
            <v>ခိုင်လေးစတိုးဆိုင်၊ ဆရာစံလမ်း၊ (၂၀) ရပ်ကွက်၊ ဝေပုလ္လ (၇) လမ်းအကျော်၊ ((၈၆) ဂိတ်ဟောင်း)၊ လှိုင်သာယာမြို့နယ်</v>
          </cell>
          <cell r="I353">
            <v>98000</v>
          </cell>
          <cell r="J353">
            <v>4500</v>
          </cell>
          <cell r="K353">
            <v>102500</v>
          </cell>
          <cell r="L353">
            <v>4500</v>
          </cell>
          <cell r="M353">
            <v>4500</v>
          </cell>
          <cell r="O353" t="str">
            <v>-</v>
          </cell>
          <cell r="P353">
            <v>102500</v>
          </cell>
        </row>
        <row r="354">
          <cell r="C354" t="str">
            <v>D0901-FFY-031</v>
          </cell>
          <cell r="D354" t="str">
            <v>Food For U</v>
          </cell>
          <cell r="E354" t="str">
            <v>Jaiden</v>
          </cell>
          <cell r="F354" t="str">
            <v>09-951102102</v>
          </cell>
          <cell r="G354" t="str">
            <v>လှိုင်သာယာ</v>
          </cell>
          <cell r="H354" t="str">
            <v>တော်ဝင်နှင်းဆီအိမ်ရာ၊ ရွှေလင်ပန်း၊ လှိုင်သာယာမြို့နယ်</v>
          </cell>
          <cell r="I354">
            <v>39000</v>
          </cell>
          <cell r="J354">
            <v>4000</v>
          </cell>
          <cell r="K354">
            <v>43000</v>
          </cell>
          <cell r="L354">
            <v>4500</v>
          </cell>
          <cell r="M354">
            <v>4500</v>
          </cell>
          <cell r="O354" t="str">
            <v>-</v>
          </cell>
          <cell r="P354">
            <v>43500</v>
          </cell>
        </row>
        <row r="355">
          <cell r="C355" t="str">
            <v>D0901-TSW-052</v>
          </cell>
          <cell r="D355" t="str">
            <v>3 &amp; 6 Wholesale</v>
          </cell>
          <cell r="E355" t="str">
            <v>အိအိစိုး</v>
          </cell>
          <cell r="F355" t="str">
            <v>09-791468691</v>
          </cell>
          <cell r="G355" t="str">
            <v>လှိုင်</v>
          </cell>
          <cell r="H355" t="str">
            <v>သုခ (၅၁) လမ်း နှင့် (ဃ) လမ်း၊ (၆) ရပ်ကွက်၊ (သုခကွန်ဒိုရှေ့)၊ လှိုင်မြို့နယ်</v>
          </cell>
          <cell r="I355">
            <v>79000</v>
          </cell>
          <cell r="J355" t="str">
            <v>-</v>
          </cell>
          <cell r="K355">
            <v>79000</v>
          </cell>
          <cell r="L355">
            <v>4000</v>
          </cell>
          <cell r="M355" t="str">
            <v>-</v>
          </cell>
          <cell r="N355">
            <v>7</v>
          </cell>
          <cell r="O355">
            <v>7000</v>
          </cell>
          <cell r="P355">
            <v>86000</v>
          </cell>
        </row>
        <row r="356">
          <cell r="C356" t="str">
            <v>D0901-KAL-076</v>
          </cell>
          <cell r="D356" t="str">
            <v>ခင့်အလှူ</v>
          </cell>
          <cell r="E356" t="str">
            <v>Thi Dar Htin Lin</v>
          </cell>
          <cell r="F356" t="str">
            <v>09-762150014
 09-766095195</v>
          </cell>
          <cell r="G356" t="str">
            <v>တာမွေ</v>
          </cell>
          <cell r="H356" t="str">
            <v>ကန်တော်ကြီးတာဝါ၊ အခန်း (၆၀၃)၊ (၆) လွှာ၊ (၁၃၂) လမ်းထိပ်၊ တာမွေမြို့နယ်</v>
          </cell>
          <cell r="I356">
            <v>57200</v>
          </cell>
          <cell r="J356">
            <v>5000</v>
          </cell>
          <cell r="K356">
            <v>62200</v>
          </cell>
          <cell r="L356">
            <v>4000</v>
          </cell>
          <cell r="M356">
            <v>5000</v>
          </cell>
          <cell r="O356" t="str">
            <v>-</v>
          </cell>
          <cell r="P356">
            <v>62200</v>
          </cell>
        </row>
        <row r="357">
          <cell r="C357" t="str">
            <v>D0901-KAL-077</v>
          </cell>
          <cell r="D357" t="str">
            <v>ခင့်အလှူ</v>
          </cell>
          <cell r="E357" t="str">
            <v>Daw San Nu</v>
          </cell>
          <cell r="F357" t="str">
            <v>09-972400447</v>
          </cell>
          <cell r="G357" t="str">
            <v>ဗဟန်း</v>
          </cell>
          <cell r="H357" t="str">
            <v>အမှတ် (10A/4)၊ ရေတာရှည်လမ်းသစ်၊ ဗဟန်းမြို့နယ်</v>
          </cell>
          <cell r="I357">
            <v>46700</v>
          </cell>
          <cell r="J357">
            <v>5000</v>
          </cell>
          <cell r="K357">
            <v>51700</v>
          </cell>
          <cell r="L357">
            <v>4000</v>
          </cell>
          <cell r="M357">
            <v>5000</v>
          </cell>
          <cell r="O357" t="str">
            <v>-</v>
          </cell>
          <cell r="P357">
            <v>51700</v>
          </cell>
        </row>
        <row r="358">
          <cell r="C358" t="str">
            <v>D0901-KAL-102</v>
          </cell>
          <cell r="D358" t="str">
            <v>ခင့်အလှူ</v>
          </cell>
          <cell r="E358" t="str">
            <v>Moe Moe Moe</v>
          </cell>
          <cell r="F358" t="str">
            <v>09-264816147</v>
          </cell>
          <cell r="G358" t="str">
            <v>လှိုင်သာယာ</v>
          </cell>
          <cell r="H358" t="str">
            <v>လှိုင်သာယာမြို့နယ်</v>
          </cell>
          <cell r="I358">
            <v>50700</v>
          </cell>
          <cell r="J358">
            <v>5500</v>
          </cell>
          <cell r="K358">
            <v>56200</v>
          </cell>
          <cell r="L358">
            <v>4500</v>
          </cell>
          <cell r="M358">
            <v>5500</v>
          </cell>
          <cell r="O358" t="str">
            <v>-</v>
          </cell>
          <cell r="P358">
            <v>56200</v>
          </cell>
        </row>
        <row r="359">
          <cell r="C359" t="str">
            <v>D0901-KAL-104</v>
          </cell>
          <cell r="D359" t="str">
            <v>ခင့်အလှူ</v>
          </cell>
          <cell r="E359" t="str">
            <v>Mahar Aung Myin</v>
          </cell>
          <cell r="F359" t="str">
            <v>09-684980375</v>
          </cell>
          <cell r="G359" t="str">
            <v>မင်္ဂလာဒုံ</v>
          </cell>
          <cell r="H359" t="str">
            <v>အမှတ် (B-27)၊ ရဲရိပ်သာလမ်း၊ ကြံခင်းစု၊ မင်္ဂလာဒုံမြို့နယ်</v>
          </cell>
          <cell r="I359">
            <v>29700</v>
          </cell>
          <cell r="J359">
            <v>5500</v>
          </cell>
          <cell r="K359">
            <v>35200</v>
          </cell>
          <cell r="L359">
            <v>4500</v>
          </cell>
          <cell r="M359">
            <v>5500</v>
          </cell>
          <cell r="O359" t="str">
            <v>-</v>
          </cell>
          <cell r="P359">
            <v>35200</v>
          </cell>
        </row>
        <row r="360">
          <cell r="C360" t="str">
            <v>D0901-UQD-140</v>
          </cell>
          <cell r="D360" t="str">
            <v>Unique/Diva</v>
          </cell>
          <cell r="E360" t="str">
            <v>Cherry Ei Mon San</v>
          </cell>
          <cell r="F360" t="str">
            <v>09-974449949</v>
          </cell>
          <cell r="G360" t="str">
            <v>ဗိုလ်တထောင်</v>
          </cell>
          <cell r="H360" t="str">
            <v>အမှတ် (၂၅၉)၊ ဗိုလ်မြတ်ထွန်းလမ်း၊ အပေါ်ဘလောက်၊ ဗိုလ်တထောင်မြို့နယ်</v>
          </cell>
          <cell r="I360">
            <v>109200</v>
          </cell>
          <cell r="J360">
            <v>4000</v>
          </cell>
          <cell r="K360">
            <v>113200</v>
          </cell>
          <cell r="L360">
            <v>4000</v>
          </cell>
          <cell r="M360">
            <v>4000</v>
          </cell>
          <cell r="O360" t="str">
            <v>-</v>
          </cell>
          <cell r="P360">
            <v>113200</v>
          </cell>
        </row>
        <row r="361">
          <cell r="C361" t="str">
            <v>D0901-KSC-233</v>
          </cell>
          <cell r="D361" t="str">
            <v>KS Cosmetic</v>
          </cell>
          <cell r="E361" t="str">
            <v>Lucky Money</v>
          </cell>
          <cell r="F361" t="str">
            <v>09-697896198</v>
          </cell>
          <cell r="G361" t="str">
            <v>မြောက်ဥက္ကလာပ</v>
          </cell>
          <cell r="H361" t="str">
            <v>အမှတ် (၈၆၂)၊ နွယ်သာဂီ (၂) လမ်း (အရှေ့ခြမ်း)၊ (က) ရပ်ကွက်၊ မြောက်ဥက္ကလာပမြို့နယ်</v>
          </cell>
          <cell r="I361">
            <v>39500</v>
          </cell>
          <cell r="J361">
            <v>4500</v>
          </cell>
          <cell r="K361">
            <v>44000</v>
          </cell>
          <cell r="L361">
            <v>4500</v>
          </cell>
          <cell r="M361">
            <v>4500</v>
          </cell>
          <cell r="O361" t="str">
            <v>-</v>
          </cell>
          <cell r="P361">
            <v>44000</v>
          </cell>
        </row>
        <row r="362">
          <cell r="C362" t="str">
            <v>D0901-KSC-238</v>
          </cell>
          <cell r="D362" t="str">
            <v>KS Cosmetic</v>
          </cell>
          <cell r="E362" t="str">
            <v>မရတနာ</v>
          </cell>
          <cell r="F362" t="str">
            <v>09-769275029</v>
          </cell>
          <cell r="G362" t="str">
            <v>လှိုင်သာယာ</v>
          </cell>
          <cell r="H362" t="str">
            <v>တိုက် (162B)၊ ထီးလှိုင်ရှင်အိမ်ရာ (အပြင်ဘက်)၊ (လှိုင်သာယာရုံးရှေ့)၊ လှိုင်သာယာမြို့နယ်</v>
          </cell>
          <cell r="I362">
            <v>79000</v>
          </cell>
          <cell r="J362">
            <v>4500</v>
          </cell>
          <cell r="K362">
            <v>83500</v>
          </cell>
          <cell r="L362">
            <v>4500</v>
          </cell>
          <cell r="M362">
            <v>4500</v>
          </cell>
          <cell r="O362" t="str">
            <v>-</v>
          </cell>
          <cell r="P362">
            <v>83500</v>
          </cell>
        </row>
        <row r="363">
          <cell r="C363" t="str">
            <v>D0901-KSC-299</v>
          </cell>
          <cell r="D363" t="str">
            <v>KS Cosmetic</v>
          </cell>
          <cell r="E363" t="str">
            <v>မေမျိုးထွန်း</v>
          </cell>
          <cell r="F363" t="str">
            <v>09-446428086</v>
          </cell>
          <cell r="G363" t="str">
            <v>ပန်းဘဲတန်း</v>
          </cell>
          <cell r="H363" t="str">
            <v>အနော်ရထာလမ်း နှင့် ကုန်ဈေးတန်းလမ်းထိပ်၊ ပန်းဘဲတန်းမြို့နယ်</v>
          </cell>
          <cell r="I363">
            <v>39500</v>
          </cell>
          <cell r="J363">
            <v>4000</v>
          </cell>
          <cell r="K363">
            <v>43500</v>
          </cell>
          <cell r="L363">
            <v>4000</v>
          </cell>
          <cell r="M363">
            <v>4000</v>
          </cell>
          <cell r="O363" t="str">
            <v>-</v>
          </cell>
          <cell r="P363">
            <v>43500</v>
          </cell>
        </row>
        <row r="364">
          <cell r="C364" t="str">
            <v>D0901-KSC-306</v>
          </cell>
          <cell r="D364" t="str">
            <v>KS Cosmetic</v>
          </cell>
          <cell r="E364" t="str">
            <v>Sh</v>
          </cell>
          <cell r="F364" t="str">
            <v>09-766897035</v>
          </cell>
          <cell r="G364" t="str">
            <v>လှိုင်သာယာ</v>
          </cell>
          <cell r="H364" t="str">
            <v>ဇေယျာသီရိ (၃) လမ်း၊ (၁၆) ရပ်ကွက်၊ လှိုင်သာယာမြို့နယ်</v>
          </cell>
          <cell r="I364">
            <v>39500</v>
          </cell>
          <cell r="J364">
            <v>4500</v>
          </cell>
          <cell r="K364">
            <v>44000</v>
          </cell>
          <cell r="L364">
            <v>4500</v>
          </cell>
          <cell r="M364">
            <v>4500</v>
          </cell>
          <cell r="O364" t="str">
            <v>-</v>
          </cell>
          <cell r="P364">
            <v>44000</v>
          </cell>
        </row>
        <row r="365">
          <cell r="C365" t="str">
            <v>D0901-KSC-329</v>
          </cell>
          <cell r="D365" t="str">
            <v>KS Cosmetic</v>
          </cell>
          <cell r="E365" t="str">
            <v>ခိုင်သဇင်</v>
          </cell>
          <cell r="F365" t="str">
            <v>09-753337978</v>
          </cell>
          <cell r="G365" t="str">
            <v>လှိုင်သာယာ</v>
          </cell>
          <cell r="H365" t="str">
            <v>အမှတ် (252M)၊ အောင်တံခွန်လမ်း၊ (၇) ရပ်ကွက်၊ (မီးခွက်ဈေး)၊ လှိုင်သာယာမြို့နယ်</v>
          </cell>
          <cell r="I365">
            <v>39500</v>
          </cell>
          <cell r="J365">
            <v>4500</v>
          </cell>
          <cell r="K365">
            <v>44000</v>
          </cell>
          <cell r="L365">
            <v>4500</v>
          </cell>
          <cell r="M365">
            <v>4500</v>
          </cell>
          <cell r="O365" t="str">
            <v>-</v>
          </cell>
          <cell r="P365">
            <v>44000</v>
          </cell>
        </row>
        <row r="366">
          <cell r="C366" t="str">
            <v>D0901-KSC-332</v>
          </cell>
          <cell r="D366" t="str">
            <v>KS Cosmetic</v>
          </cell>
          <cell r="E366" t="str">
            <v>ရွှေဘိုသူ</v>
          </cell>
          <cell r="F366" t="str">
            <v>09-422152428</v>
          </cell>
          <cell r="G366" t="str">
            <v>လှိုင်သာယာ</v>
          </cell>
          <cell r="H366" t="str">
            <v>အမှတ် (၁၂၄)၊ အခန်း (2D)၊ လှိုင်သာယာမြို့နယ်</v>
          </cell>
          <cell r="I366">
            <v>79000</v>
          </cell>
          <cell r="J366">
            <v>4500</v>
          </cell>
          <cell r="K366">
            <v>83500</v>
          </cell>
          <cell r="L366">
            <v>4500</v>
          </cell>
          <cell r="M366">
            <v>4500</v>
          </cell>
          <cell r="O366" t="str">
            <v>-</v>
          </cell>
          <cell r="P366">
            <v>83500</v>
          </cell>
        </row>
        <row r="367">
          <cell r="C367" t="str">
            <v>D0901-MHC-159</v>
          </cell>
          <cell r="D367" t="str">
            <v>My Heart Cosmetic</v>
          </cell>
          <cell r="E367" t="str">
            <v>Click House By Yoymi</v>
          </cell>
          <cell r="F367" t="str">
            <v>09-767296700</v>
          </cell>
          <cell r="G367" t="str">
            <v>သာကေတ</v>
          </cell>
          <cell r="H367" t="str">
            <v>အမှတ် (၂၃)၊ ဂန္ဓမာလမ်း၊ ရှုခင်းသာမြို့ပတ်လမ်းမကြီး၊ (Two Brother စားသောက်ဆိုင်ဘေးလမ်းကြား)၊ သာကေတမြို့နယ်</v>
          </cell>
          <cell r="I367">
            <v>28500</v>
          </cell>
          <cell r="J367">
            <v>4000</v>
          </cell>
          <cell r="K367">
            <v>32500</v>
          </cell>
          <cell r="L367">
            <v>4000</v>
          </cell>
          <cell r="M367">
            <v>4000</v>
          </cell>
          <cell r="O367" t="str">
            <v>-</v>
          </cell>
          <cell r="P367">
            <v>32500</v>
          </cell>
        </row>
        <row r="368">
          <cell r="C368" t="str">
            <v>D0901-MHC-165</v>
          </cell>
          <cell r="D368" t="str">
            <v>My Heart Cosmetic</v>
          </cell>
          <cell r="E368" t="str">
            <v>Nyein Cosmetics</v>
          </cell>
          <cell r="F368" t="str">
            <v>09-899383714</v>
          </cell>
          <cell r="G368" t="str">
            <v>လှိုင်သာယာ</v>
          </cell>
          <cell r="H368" t="str">
            <v>အမှတ် (701A)၊ သခင်မြလမ်း၊ (၁၂) ရပ်ကွက်၊ (ကောင်းဆေးခန်းဘေးကပ်လျက်)၊ လှိုင်သာယာမြို့နယ်</v>
          </cell>
          <cell r="I368" t="str">
            <v>-</v>
          </cell>
          <cell r="J368">
            <v>4500</v>
          </cell>
          <cell r="K368">
            <v>4500</v>
          </cell>
          <cell r="L368">
            <v>4500</v>
          </cell>
          <cell r="M368">
            <v>4500</v>
          </cell>
          <cell r="O368" t="str">
            <v>-</v>
          </cell>
          <cell r="P368">
            <v>4500</v>
          </cell>
        </row>
        <row r="369">
          <cell r="C369" t="str">
            <v>D0901-CTM-229</v>
          </cell>
          <cell r="D369" t="str">
            <v>ချစ်သွန်းသီရိ မေမေ</v>
          </cell>
          <cell r="E369" t="str">
            <v>Daw Than Than Htwe</v>
          </cell>
          <cell r="F369" t="str">
            <v>09-793712923</v>
          </cell>
          <cell r="G369" t="str">
            <v>လှိုင်သာယာ</v>
          </cell>
          <cell r="H369" t="str">
            <v>ဆရာစံ (၁) လမ်း၊ (ရိုးကြီးမှတ်တိုင်)၊ လှိုင်သာယာမြို့နယ်</v>
          </cell>
          <cell r="I369">
            <v>14500</v>
          </cell>
          <cell r="J369">
            <v>4500</v>
          </cell>
          <cell r="K369">
            <v>19000</v>
          </cell>
          <cell r="L369">
            <v>4500</v>
          </cell>
          <cell r="M369">
            <v>4500</v>
          </cell>
          <cell r="O369" t="str">
            <v>-</v>
          </cell>
          <cell r="P369">
            <v>19000</v>
          </cell>
        </row>
        <row r="370">
          <cell r="C370" t="str">
            <v>D0902-TSW-009</v>
          </cell>
          <cell r="D370" t="str">
            <v>3 &amp; 6 Wholesale</v>
          </cell>
          <cell r="E370" t="str">
            <v>မဇာခြည်</v>
          </cell>
          <cell r="F370" t="str">
            <v>09-970491883</v>
          </cell>
          <cell r="G370" t="str">
            <v>သာကေတ</v>
          </cell>
          <cell r="H370" t="str">
            <v>အမှတ် (၁၀၇၈)၊ နဝရတ် (၇) လမ်း၊ (၉) ရပ်ကွက်၊ သာကေတမြို့နယ်</v>
          </cell>
          <cell r="I370">
            <v>165000</v>
          </cell>
          <cell r="J370" t="str">
            <v>-</v>
          </cell>
          <cell r="K370">
            <v>165000</v>
          </cell>
          <cell r="L370">
            <v>4000</v>
          </cell>
          <cell r="M370" t="str">
            <v>-</v>
          </cell>
          <cell r="O370">
            <v>10000</v>
          </cell>
          <cell r="P370">
            <v>175000</v>
          </cell>
        </row>
        <row r="371">
          <cell r="C371" t="str">
            <v>D0902-TSW-019</v>
          </cell>
          <cell r="D371" t="str">
            <v>3 &amp; 6 Wholesale</v>
          </cell>
          <cell r="E371" t="str">
            <v>ဒေါ်ရီဝင်း</v>
          </cell>
          <cell r="F371" t="str">
            <v>09-408572553</v>
          </cell>
          <cell r="G371" t="str">
            <v>လှိုင်သာယာ</v>
          </cell>
          <cell r="H371" t="str">
            <v>အမှတ် (၃၂၀)၊ ဒေါနလမ်း၊ (၁၀) ရပ်ကွက်၊ လှိုင်သာယာမြို့နယ်</v>
          </cell>
          <cell r="I371">
            <v>72500</v>
          </cell>
          <cell r="J371" t="str">
            <v>-</v>
          </cell>
          <cell r="K371">
            <v>72500</v>
          </cell>
          <cell r="L371">
            <v>4500</v>
          </cell>
          <cell r="M371" t="str">
            <v>-</v>
          </cell>
          <cell r="N371">
            <v>11</v>
          </cell>
          <cell r="O371">
            <v>15000</v>
          </cell>
          <cell r="P371">
            <v>87500</v>
          </cell>
        </row>
        <row r="372">
          <cell r="C372" t="str">
            <v>D0902-MHC-025</v>
          </cell>
          <cell r="D372" t="str">
            <v>My Heart Cosmetic</v>
          </cell>
          <cell r="E372" t="str">
            <v>Aye Ei Ei Phyo</v>
          </cell>
          <cell r="F372" t="str">
            <v>09-448012036</v>
          </cell>
          <cell r="G372" t="str">
            <v>လှိုင်သာယာ</v>
          </cell>
          <cell r="H372" t="str">
            <v>မြကန်သာအိမ်ရာ၊ တိုက် (၆)၊ အခန်း (၁၀၂)၊ ခရေ (၁) လမ်း၊ (၅) ရပ်ကွက်၊ (Grand မြကန်သာကွန်ဒိုအနီး)၊ လှိုင်သာယာမြို့နယ်</v>
          </cell>
          <cell r="I372">
            <v>87000</v>
          </cell>
          <cell r="J372">
            <v>4500</v>
          </cell>
          <cell r="K372">
            <v>91500</v>
          </cell>
          <cell r="L372">
            <v>4500</v>
          </cell>
          <cell r="M372">
            <v>4500</v>
          </cell>
          <cell r="O372" t="str">
            <v>-</v>
          </cell>
          <cell r="P372">
            <v>91500</v>
          </cell>
        </row>
        <row r="373">
          <cell r="C373" t="str">
            <v>D0902-PPL-027</v>
          </cell>
          <cell r="D373" t="str">
            <v>Poe Poe Lay</v>
          </cell>
          <cell r="E373" t="str">
            <v>မမ</v>
          </cell>
          <cell r="F373" t="str">
            <v>09-791162695</v>
          </cell>
          <cell r="G373" t="str">
            <v>တောင်ဥက္ကလာပ</v>
          </cell>
          <cell r="H373" t="str">
            <v>အမှတ် (၃၀)၊ (၃) လမ်း၊ (၃) ရပ်ကွက်၊ တောင်ဥက္ကလာပမြို့နယ်</v>
          </cell>
          <cell r="I373">
            <v>40000</v>
          </cell>
          <cell r="J373">
            <v>4000</v>
          </cell>
          <cell r="K373">
            <v>44000</v>
          </cell>
          <cell r="L373">
            <v>4000</v>
          </cell>
          <cell r="M373">
            <v>4000</v>
          </cell>
          <cell r="O373" t="str">
            <v>-</v>
          </cell>
          <cell r="P373">
            <v>44000</v>
          </cell>
        </row>
        <row r="374">
          <cell r="C374" t="str">
            <v>D0902-BBW-033</v>
          </cell>
          <cell r="D374" t="str">
            <v>Baby World</v>
          </cell>
          <cell r="E374" t="str">
            <v>Moesintsint Phyo</v>
          </cell>
          <cell r="F374" t="str">
            <v>09-779388411</v>
          </cell>
          <cell r="G374" t="str">
            <v>လှိုင်သာယာ</v>
          </cell>
          <cell r="H374" t="str">
            <v>တောင်ငူလမ်း၊ (၁၉) ရပ်ကွက်၊ ((၁၂၇) လမ်းဆုံ)၊ (Atom ရုံးအနီး)၊ လှိုင်သာယာမြို့နယ်</v>
          </cell>
          <cell r="I374">
            <v>121500</v>
          </cell>
          <cell r="J374">
            <v>4500</v>
          </cell>
          <cell r="K374">
            <v>126000</v>
          </cell>
          <cell r="L374">
            <v>4500</v>
          </cell>
          <cell r="M374">
            <v>4500</v>
          </cell>
          <cell r="O374" t="str">
            <v>-</v>
          </cell>
          <cell r="P374">
            <v>126000</v>
          </cell>
        </row>
        <row r="375">
          <cell r="C375" t="str">
            <v>D0902-BBW-043</v>
          </cell>
          <cell r="D375" t="str">
            <v>Baby World</v>
          </cell>
          <cell r="E375" t="str">
            <v>Zin Pwint</v>
          </cell>
          <cell r="F375" t="str">
            <v>09-777343053</v>
          </cell>
          <cell r="G375" t="str">
            <v>လှိုင်သာယာ</v>
          </cell>
          <cell r="H375" t="str">
            <v>အမှတ် (၅၉၄)၊ ဘားအံလမ်း၊ (စနေမမှတ်တိုင်)၊ လှိုင်သာယာမြို့နယ်</v>
          </cell>
          <cell r="I375">
            <v>42000</v>
          </cell>
          <cell r="J375">
            <v>4500</v>
          </cell>
          <cell r="K375">
            <v>46500</v>
          </cell>
          <cell r="L375">
            <v>4500</v>
          </cell>
          <cell r="M375">
            <v>4500</v>
          </cell>
          <cell r="O375" t="str">
            <v>-</v>
          </cell>
          <cell r="P375">
            <v>46500</v>
          </cell>
        </row>
        <row r="376">
          <cell r="C376" t="str">
            <v>D0902-BBW-051</v>
          </cell>
          <cell r="D376" t="str">
            <v>Baby World</v>
          </cell>
          <cell r="E376" t="str">
            <v>မဖြူသီစိုင်</v>
          </cell>
          <cell r="F376" t="str">
            <v>09-633340096</v>
          </cell>
          <cell r="G376" t="str">
            <v>မြောက်ဥက္ကလာပ</v>
          </cell>
          <cell r="H376" t="str">
            <v>အမှတ် (၃၀၇)၊ အောင်ရာဇာလမ်း၊ ရွှေပေါက်ကံ၊ ((၁၂) ဈေး)၊ မြောက်ဥက္ကလာပမြို့နယ်</v>
          </cell>
          <cell r="I376">
            <v>22500</v>
          </cell>
          <cell r="J376">
            <v>4500</v>
          </cell>
          <cell r="K376">
            <v>27000</v>
          </cell>
          <cell r="L376">
            <v>4500</v>
          </cell>
          <cell r="M376">
            <v>4500</v>
          </cell>
          <cell r="O376" t="str">
            <v>-</v>
          </cell>
          <cell r="P376">
            <v>27000</v>
          </cell>
        </row>
        <row r="377">
          <cell r="C377" t="str">
            <v>D0902-BBW-058</v>
          </cell>
          <cell r="D377" t="str">
            <v>Baby World</v>
          </cell>
          <cell r="E377" t="str">
            <v>Daw Tin Tin Htwe</v>
          </cell>
          <cell r="F377" t="str">
            <v>09-425336588</v>
          </cell>
          <cell r="G377" t="str">
            <v>လှိုင်သာယာ</v>
          </cell>
          <cell r="H377" t="str">
            <v>ပိတောက်မြိုင်ဈေး၊ (မီးခွက်ဈေးရုံ)၊ လှိုင်သာယာမြို့နယ်</v>
          </cell>
          <cell r="I377">
            <v>150000</v>
          </cell>
          <cell r="J377">
            <v>4500</v>
          </cell>
          <cell r="K377">
            <v>154500</v>
          </cell>
          <cell r="L377">
            <v>4500</v>
          </cell>
          <cell r="M377">
            <v>4500</v>
          </cell>
          <cell r="O377" t="str">
            <v>-</v>
          </cell>
          <cell r="P377">
            <v>154500</v>
          </cell>
        </row>
        <row r="378">
          <cell r="C378" t="str">
            <v>D0902-PHS-063</v>
          </cell>
          <cell r="D378" t="str">
            <v>ph level 7</v>
          </cell>
          <cell r="E378" t="str">
            <v>နန်းစုလှိုင်</v>
          </cell>
          <cell r="F378" t="str">
            <v>09-688393073</v>
          </cell>
          <cell r="G378" t="str">
            <v>ရွှေပြည်သာ</v>
          </cell>
          <cell r="H378" t="str">
            <v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v>
          </cell>
          <cell r="I378">
            <v>34000</v>
          </cell>
          <cell r="J378">
            <v>4500</v>
          </cell>
          <cell r="K378">
            <v>38500</v>
          </cell>
          <cell r="L378">
            <v>4500</v>
          </cell>
          <cell r="M378">
            <v>4500</v>
          </cell>
          <cell r="O378" t="str">
            <v>-</v>
          </cell>
          <cell r="P378">
            <v>38500</v>
          </cell>
        </row>
        <row r="379">
          <cell r="C379" t="str">
            <v>D0902-PHS-070</v>
          </cell>
          <cell r="D379" t="str">
            <v>ph level 7</v>
          </cell>
          <cell r="E379" t="str">
            <v>မဝေမာအောင်</v>
          </cell>
          <cell r="F379" t="str">
            <v>09-894399995
 09-790597779</v>
          </cell>
          <cell r="G379" t="str">
            <v>လှိုင်သာယာ</v>
          </cell>
          <cell r="H379" t="str">
            <v>မင်းရဲကျော်စွာ (၁) လမ်း၊ (၂၀) ရပ်ကွက်၊ (ကျောင်းရှေ့မှတ်တိုင်)၊ (Capital Mart ဘေးလမ်း)၊ လှိုင်သာယာမြို့နယ်</v>
          </cell>
          <cell r="I379" t="str">
            <v>-</v>
          </cell>
          <cell r="J379">
            <v>4500</v>
          </cell>
          <cell r="K379">
            <v>4500</v>
          </cell>
          <cell r="L379">
            <v>4500</v>
          </cell>
          <cell r="M379">
            <v>4500</v>
          </cell>
          <cell r="O379" t="str">
            <v>-</v>
          </cell>
          <cell r="P379">
            <v>4500</v>
          </cell>
        </row>
        <row r="380">
          <cell r="C380" t="str">
            <v>D0902-PHS-074</v>
          </cell>
          <cell r="D380" t="str">
            <v>ph level 7</v>
          </cell>
          <cell r="E380" t="str">
            <v>Aeri Aye Aye</v>
          </cell>
          <cell r="F380" t="str">
            <v>09-797803784</v>
          </cell>
          <cell r="G380" t="str">
            <v>လှိုင်သာယာ</v>
          </cell>
          <cell r="H380" t="str">
            <v>(၁၁) မီးငြိမ်းလမ်း၊ လှိုင်သာယာဇုန် (၅)၊ သောင်ကြီး၊ (ရဲစခန်း UMG Dagon Power ဘေး)၊ လှိုင်သာယာမြို့နယ်</v>
          </cell>
          <cell r="I380">
            <v>34000</v>
          </cell>
          <cell r="J380">
            <v>4500</v>
          </cell>
          <cell r="K380">
            <v>38500</v>
          </cell>
          <cell r="L380">
            <v>4500</v>
          </cell>
          <cell r="M380">
            <v>4500</v>
          </cell>
          <cell r="O380" t="str">
            <v>-</v>
          </cell>
          <cell r="P380">
            <v>38500</v>
          </cell>
        </row>
        <row r="381">
          <cell r="C381" t="str">
            <v>D0902-CUY-079</v>
          </cell>
          <cell r="D381" t="str">
            <v>Curvy</v>
          </cell>
          <cell r="E381" t="str">
            <v>Htay Htay Oo</v>
          </cell>
          <cell r="F381" t="str">
            <v>09-458731839</v>
          </cell>
          <cell r="G381" t="str">
            <v>သင်္ဃန်းကျွန်း</v>
          </cell>
          <cell r="H381" t="str">
            <v>ပြည်ထောင်စုရိပ်မွန်အိမ်ရာ၊ ပျဉ်းမလမ်း၊ သင်္ဃန်းကျွန်းမြို့နယ်</v>
          </cell>
          <cell r="I381">
            <v>39900</v>
          </cell>
          <cell r="J381">
            <v>4000</v>
          </cell>
          <cell r="K381">
            <v>43900</v>
          </cell>
          <cell r="L381">
            <v>4000</v>
          </cell>
          <cell r="M381">
            <v>4000</v>
          </cell>
          <cell r="O381" t="str">
            <v>-</v>
          </cell>
          <cell r="P381">
            <v>43900</v>
          </cell>
        </row>
        <row r="382">
          <cell r="C382" t="str">
            <v>D0902-CUY-080</v>
          </cell>
          <cell r="D382" t="str">
            <v>Curvy</v>
          </cell>
          <cell r="E382" t="str">
            <v>Ma Wint Zarni Aung</v>
          </cell>
          <cell r="F382" t="str">
            <v>09-763651509</v>
          </cell>
          <cell r="G382" t="str">
            <v>ရွှေပြည်သာ</v>
          </cell>
          <cell r="H382" t="str">
            <v>အမှတ် (၃၅)၊ ပဲခူးပန်းတောင်းမောင်ခက်လမ်း၊ ရွှေပြည်သာဇုန် (၄)၊ ရွှေပြည်သာမြို့နယ်</v>
          </cell>
          <cell r="I382">
            <v>17500</v>
          </cell>
          <cell r="J382">
            <v>4500</v>
          </cell>
          <cell r="K382">
            <v>22000</v>
          </cell>
          <cell r="L382">
            <v>4500</v>
          </cell>
          <cell r="M382">
            <v>4500</v>
          </cell>
          <cell r="O382" t="str">
            <v>-</v>
          </cell>
          <cell r="P382">
            <v>22000</v>
          </cell>
        </row>
        <row r="383">
          <cell r="C383" t="str">
            <v>D0902-KAL-087</v>
          </cell>
          <cell r="D383" t="str">
            <v>ခင့်အလှူ</v>
          </cell>
          <cell r="E383" t="str">
            <v>Shwe Yee</v>
          </cell>
          <cell r="F383" t="str">
            <v>09-974564548</v>
          </cell>
          <cell r="G383" t="str">
            <v>မရမ်းကုန်း</v>
          </cell>
          <cell r="H383" t="str">
            <v>အမှတ် (၅၇၉)၊ ရန်ကြီးအောင်လမ်း၊ မရမ်းကုန်းမြို့နယ်</v>
          </cell>
          <cell r="I383">
            <v>29700</v>
          </cell>
          <cell r="J383">
            <v>5000</v>
          </cell>
          <cell r="K383">
            <v>34700</v>
          </cell>
          <cell r="L383">
            <v>4000</v>
          </cell>
          <cell r="M383">
            <v>5000</v>
          </cell>
          <cell r="O383" t="str">
            <v>-</v>
          </cell>
          <cell r="P383">
            <v>34700</v>
          </cell>
        </row>
        <row r="384">
          <cell r="C384" t="str">
            <v>D0902-KAL-088</v>
          </cell>
          <cell r="D384" t="str">
            <v>ခင့်အလှူ</v>
          </cell>
          <cell r="E384" t="str">
            <v>Marina Pwar</v>
          </cell>
          <cell r="F384" t="str">
            <v>09-254046500</v>
          </cell>
          <cell r="G384" t="str">
            <v>လှိုင်သာယာ</v>
          </cell>
          <cell r="H384" t="str">
            <v>အမှတ် (533B)၊ ခိုင်သဇင်လမ်း၊ (၁၁) ရပ်ကွက်၊ လှိုင်သာယာမြို့နယ်</v>
          </cell>
          <cell r="I384">
            <v>51000</v>
          </cell>
          <cell r="J384">
            <v>5500</v>
          </cell>
          <cell r="K384">
            <v>56500</v>
          </cell>
          <cell r="L384">
            <v>4500</v>
          </cell>
          <cell r="M384">
            <v>5500</v>
          </cell>
          <cell r="N384">
            <v>5</v>
          </cell>
          <cell r="O384">
            <v>1000</v>
          </cell>
          <cell r="P384">
            <v>57500</v>
          </cell>
        </row>
        <row r="385">
          <cell r="C385" t="str">
            <v>D0902-KAL-089</v>
          </cell>
          <cell r="D385" t="str">
            <v>ခင့်အလှူ</v>
          </cell>
          <cell r="E385" t="str">
            <v>Hla Hla Win</v>
          </cell>
          <cell r="F385" t="str">
            <v>09-795690062</v>
          </cell>
          <cell r="G385" t="str">
            <v>မင်္ဂလာတောင်ညွန့်</v>
          </cell>
          <cell r="H385" t="str">
            <v>အမှတ် (၁၀၀)၊ မဟာသုခလမ်း၊ ကျီတော်ရပ်ကွက်၊ မင်္ဂလာတောင်ညွန့်မြို့နယ်</v>
          </cell>
          <cell r="I385">
            <v>29700</v>
          </cell>
          <cell r="J385">
            <v>5000</v>
          </cell>
          <cell r="K385">
            <v>34700</v>
          </cell>
          <cell r="L385">
            <v>4000</v>
          </cell>
          <cell r="M385">
            <v>5000</v>
          </cell>
          <cell r="O385" t="str">
            <v>-</v>
          </cell>
          <cell r="P385">
            <v>34700</v>
          </cell>
        </row>
        <row r="386">
          <cell r="C386" t="str">
            <v>D0902-KAL-091</v>
          </cell>
          <cell r="D386" t="str">
            <v>ခင့်အလှူ</v>
          </cell>
          <cell r="E386" t="str">
            <v>Tint Tint Soe</v>
          </cell>
          <cell r="F386" t="str">
            <v>09-791520240</v>
          </cell>
          <cell r="G386" t="str">
            <v>လှိုင်သာယာ</v>
          </cell>
          <cell r="H386" t="str">
            <v>အမှတ် (1201B)၊ ကင်းဝန်မင်းကြီးလမ်း၊ လှိုင်သာယာမြို့နယ်</v>
          </cell>
          <cell r="I386">
            <v>51000</v>
          </cell>
          <cell r="J386">
            <v>5500</v>
          </cell>
          <cell r="K386">
            <v>56500</v>
          </cell>
          <cell r="L386">
            <v>4500</v>
          </cell>
          <cell r="M386">
            <v>5500</v>
          </cell>
          <cell r="N386">
            <v>5</v>
          </cell>
          <cell r="O386">
            <v>1000</v>
          </cell>
          <cell r="P386">
            <v>57500</v>
          </cell>
        </row>
        <row r="387">
          <cell r="C387" t="str">
            <v>D0902-KAL-094</v>
          </cell>
          <cell r="D387" t="str">
            <v>ခင့်အလှူ</v>
          </cell>
          <cell r="E387" t="str">
            <v>Win Winn</v>
          </cell>
          <cell r="F387" t="str">
            <v>09-977674710</v>
          </cell>
          <cell r="G387" t="str">
            <v>တာမွေ</v>
          </cell>
          <cell r="H387" t="str">
            <v>အမှတ် (၈)၊ (၁၄) လမ်း၊ တာမွေမြို့နယ်</v>
          </cell>
          <cell r="I387">
            <v>29700</v>
          </cell>
          <cell r="J387">
            <v>5000</v>
          </cell>
          <cell r="K387">
            <v>34700</v>
          </cell>
          <cell r="L387">
            <v>4000</v>
          </cell>
          <cell r="M387">
            <v>5000</v>
          </cell>
          <cell r="O387" t="str">
            <v>-</v>
          </cell>
          <cell r="P387">
            <v>34700</v>
          </cell>
        </row>
        <row r="388">
          <cell r="C388" t="str">
            <v>D0902-KAL-102</v>
          </cell>
          <cell r="D388" t="str">
            <v>ခင့်အလှူ</v>
          </cell>
          <cell r="E388" t="str">
            <v>Thet Su Htwe</v>
          </cell>
          <cell r="F388" t="str">
            <v>09-451068230</v>
          </cell>
          <cell r="G388" t="str">
            <v>မြောက်ဥက္ကလာပ</v>
          </cell>
          <cell r="H388" t="str">
            <v>သုနန္ဒာလမ်း၊ မြောက်ဥက္ကလာပမြို့နယ်</v>
          </cell>
          <cell r="I388">
            <v>49500</v>
          </cell>
          <cell r="J388">
            <v>5500</v>
          </cell>
          <cell r="K388">
            <v>55000</v>
          </cell>
          <cell r="L388">
            <v>4500</v>
          </cell>
          <cell r="M388">
            <v>5500</v>
          </cell>
          <cell r="O388" t="str">
            <v>-</v>
          </cell>
          <cell r="P388">
            <v>55000</v>
          </cell>
        </row>
        <row r="389">
          <cell r="C389" t="str">
            <v>D0902-KAL-107</v>
          </cell>
          <cell r="D389" t="str">
            <v>ခင့်အလှူ</v>
          </cell>
          <cell r="E389" t="str">
            <v>Thi Thi Myint</v>
          </cell>
          <cell r="F389" t="str">
            <v>09-429385531</v>
          </cell>
          <cell r="G389" t="str">
            <v>မြောက်ဥက္ကလာပ</v>
          </cell>
          <cell r="H389" t="str">
            <v>ပိတောက် (၅) လမ်း၊ (ဌ) ရပ်ကွက်၊ (ဓမ္မာရုံမှတ်တိုင်)၊ မြောက်ဥက္ကလာပမြို့နယ်</v>
          </cell>
          <cell r="I389">
            <v>29700</v>
          </cell>
          <cell r="J389">
            <v>5500</v>
          </cell>
          <cell r="K389">
            <v>35200</v>
          </cell>
          <cell r="L389">
            <v>4500</v>
          </cell>
          <cell r="M389">
            <v>5500</v>
          </cell>
          <cell r="O389" t="str">
            <v>-</v>
          </cell>
          <cell r="P389">
            <v>35200</v>
          </cell>
        </row>
        <row r="390">
          <cell r="C390" t="str">
            <v>D0902-KAL-128</v>
          </cell>
          <cell r="D390" t="str">
            <v>ခင့်အလှူ</v>
          </cell>
          <cell r="E390" t="str">
            <v>Khin Moe Nwe</v>
          </cell>
          <cell r="F390" t="str">
            <v>09-754224512</v>
          </cell>
          <cell r="G390" t="str">
            <v>မြောက်ဥက္ကလာပ</v>
          </cell>
          <cell r="H390" t="str">
            <v>အမှတ် (၅၀)၊ ဗိုလ်ဗထူးလမ်း၊ နွယ်ခွေ၊ မြောက်ဥက္ကလာပမြို့နယ်</v>
          </cell>
          <cell r="I390">
            <v>29700</v>
          </cell>
          <cell r="J390">
            <v>4500</v>
          </cell>
          <cell r="K390">
            <v>34200</v>
          </cell>
          <cell r="L390">
            <v>4500</v>
          </cell>
          <cell r="M390">
            <v>4500</v>
          </cell>
          <cell r="O390" t="str">
            <v>-</v>
          </cell>
          <cell r="P390">
            <v>34200</v>
          </cell>
        </row>
        <row r="391">
          <cell r="C391" t="str">
            <v>D0902-KAL-134</v>
          </cell>
          <cell r="D391" t="str">
            <v>ခင့်အလှူ</v>
          </cell>
          <cell r="E391" t="str">
            <v>Daw Mar G</v>
          </cell>
          <cell r="F391" t="str">
            <v>09-905071875</v>
          </cell>
          <cell r="G391" t="str">
            <v>တာမွေ</v>
          </cell>
          <cell r="H391" t="str">
            <v>အမှတ် (48/A3)၊ ဓမ္မဝိဟာရလမ်း၊ ကျောက်မြောင်း၊ တာမွေမြို့နယ်</v>
          </cell>
          <cell r="I391">
            <v>49500</v>
          </cell>
          <cell r="J391">
            <v>4000</v>
          </cell>
          <cell r="K391">
            <v>53500</v>
          </cell>
          <cell r="L391">
            <v>4000</v>
          </cell>
          <cell r="M391">
            <v>4000</v>
          </cell>
          <cell r="O391" t="str">
            <v>-</v>
          </cell>
          <cell r="P391">
            <v>53500</v>
          </cell>
        </row>
        <row r="392">
          <cell r="C392" t="str">
            <v>D0902-KAL-137</v>
          </cell>
          <cell r="D392" t="str">
            <v>ခင့်အလှူ</v>
          </cell>
          <cell r="E392" t="str">
            <v>Ni Lar</v>
          </cell>
          <cell r="F392" t="str">
            <v>09-973481205</v>
          </cell>
          <cell r="G392" t="str">
            <v>လှိုင်သာယာ</v>
          </cell>
          <cell r="H392" t="str">
            <v>အမှတ် (၂၈၂)၊ ဇေယျာသီရိ (၃) လမ်း၊ လှိုင်သာယာမြို့နယ်</v>
          </cell>
          <cell r="I392">
            <v>29700</v>
          </cell>
          <cell r="J392">
            <v>4500</v>
          </cell>
          <cell r="K392">
            <v>34200</v>
          </cell>
          <cell r="L392">
            <v>4500</v>
          </cell>
          <cell r="M392">
            <v>4500</v>
          </cell>
          <cell r="O392" t="str">
            <v>-</v>
          </cell>
          <cell r="P392">
            <v>34200</v>
          </cell>
        </row>
        <row r="393">
          <cell r="C393" t="str">
            <v>D0902-KAL-145</v>
          </cell>
          <cell r="D393" t="str">
            <v>ခင့်အလှူ</v>
          </cell>
          <cell r="E393" t="str">
            <v>Aye Mon Aung</v>
          </cell>
          <cell r="F393" t="str">
            <v>09-691108724</v>
          </cell>
          <cell r="G393" t="str">
            <v>မရမ်းကုန်း</v>
          </cell>
          <cell r="H393" t="str">
            <v>အမှတ် (၄) ရပ်ကွက်၊ အောင်မင်္ဂလာဈေးလမ်း၊ မရမ်းကုန်းမြို့နယ်</v>
          </cell>
          <cell r="I393">
            <v>29700</v>
          </cell>
          <cell r="J393">
            <v>4000</v>
          </cell>
          <cell r="K393">
            <v>33700</v>
          </cell>
          <cell r="L393">
            <v>4000</v>
          </cell>
          <cell r="M393">
            <v>4000</v>
          </cell>
          <cell r="O393" t="str">
            <v>-</v>
          </cell>
          <cell r="P393">
            <v>33700</v>
          </cell>
        </row>
        <row r="394">
          <cell r="C394" t="str">
            <v>D0902-KAL-167</v>
          </cell>
          <cell r="D394" t="str">
            <v>ခင့်အလှူ</v>
          </cell>
          <cell r="E394" t="str">
            <v>Hla Hla</v>
          </cell>
          <cell r="F394" t="str">
            <v>09-942288916</v>
          </cell>
          <cell r="G394" t="str">
            <v>လှိုင်သာယာ</v>
          </cell>
          <cell r="H394" t="str">
            <v>(ဈေးလေးမှတ်တိုင်)၊ (သမကုန်းအဝိုင်းမှဝင်ရန်)၊ (၁၁) ရပ်ကွက်၊ လှိုင်သာယာမြို့နယ်</v>
          </cell>
          <cell r="I394">
            <v>29700</v>
          </cell>
          <cell r="J394">
            <v>4500</v>
          </cell>
          <cell r="K394">
            <v>34200</v>
          </cell>
          <cell r="L394">
            <v>4500</v>
          </cell>
          <cell r="M394">
            <v>4500</v>
          </cell>
          <cell r="O394" t="str">
            <v>-</v>
          </cell>
          <cell r="P394">
            <v>34200</v>
          </cell>
        </row>
        <row r="395">
          <cell r="C395" t="str">
            <v>D0902-KAL-175</v>
          </cell>
          <cell r="D395" t="str">
            <v>ခင့်အလှူ</v>
          </cell>
          <cell r="E395" t="str">
            <v>Aye Soe</v>
          </cell>
          <cell r="F395" t="str">
            <v>09-250336237</v>
          </cell>
          <cell r="G395" t="str">
            <v>ကမာရွတ်</v>
          </cell>
          <cell r="H395" t="str">
            <v>အမှတ် (၃၅)၊ ကွမ်းခြံ (၁) လမ်း၊ လှည်းတန်း၊ ကမာရွတ်မြို့နယ်</v>
          </cell>
          <cell r="I395">
            <v>29700</v>
          </cell>
          <cell r="J395">
            <v>4000</v>
          </cell>
          <cell r="K395">
            <v>33700</v>
          </cell>
          <cell r="L395">
            <v>4000</v>
          </cell>
          <cell r="M395">
            <v>4000</v>
          </cell>
          <cell r="O395" t="str">
            <v>-</v>
          </cell>
          <cell r="P395">
            <v>33700</v>
          </cell>
        </row>
        <row r="396">
          <cell r="C396" t="str">
            <v>D0902-KSC-216</v>
          </cell>
          <cell r="D396" t="str">
            <v>KS Cosmetic</v>
          </cell>
          <cell r="E396" t="str">
            <v>Ei Khin Khin</v>
          </cell>
          <cell r="F396" t="str">
            <v>09-662009824</v>
          </cell>
          <cell r="G396" t="str">
            <v>လှိုင်သာယာ</v>
          </cell>
          <cell r="H396" t="str">
            <v>ဟိန်းကုန်စုံဆိုင်၊ ရိုးကြီး၊ ရုံးရှေ့လမ်း၊ လှိုင်သာယာမြို့နယ်</v>
          </cell>
          <cell r="I396">
            <v>81500</v>
          </cell>
          <cell r="J396">
            <v>4500</v>
          </cell>
          <cell r="K396">
            <v>86000</v>
          </cell>
          <cell r="L396">
            <v>4500</v>
          </cell>
          <cell r="M396">
            <v>4500</v>
          </cell>
          <cell r="O396" t="str">
            <v>-</v>
          </cell>
          <cell r="P396">
            <v>86000</v>
          </cell>
        </row>
        <row r="397">
          <cell r="C397" t="str">
            <v>D0902-KSC-258</v>
          </cell>
          <cell r="D397" t="str">
            <v>KS Cosmetic</v>
          </cell>
          <cell r="E397" t="str">
            <v>Thaw Tar Win</v>
          </cell>
          <cell r="F397" t="str">
            <v>09-777531193</v>
          </cell>
          <cell r="G397" t="str">
            <v>မင်္ဂလာဒုံ</v>
          </cell>
          <cell r="H397" t="str">
            <v>နွယ်နီလမ်းသွယ်၊ ကုန်းတလပေါင်၊ မင်္ဂလာဒုံမြို့နယ်</v>
          </cell>
          <cell r="I397">
            <v>39500</v>
          </cell>
          <cell r="J397">
            <v>4500</v>
          </cell>
          <cell r="K397">
            <v>44000</v>
          </cell>
          <cell r="L397">
            <v>4500</v>
          </cell>
          <cell r="M397">
            <v>4500</v>
          </cell>
          <cell r="O397" t="str">
            <v>-</v>
          </cell>
          <cell r="P397">
            <v>44000</v>
          </cell>
        </row>
        <row r="398">
          <cell r="C398" t="str">
            <v>D0902-KSC-307</v>
          </cell>
          <cell r="D398" t="str">
            <v>KS Cosmetic</v>
          </cell>
          <cell r="E398" t="str">
            <v>မျိုးမျိုးအေး</v>
          </cell>
          <cell r="F398" t="str">
            <v>09-794821438</v>
          </cell>
          <cell r="G398" t="str">
            <v>လှိုင်သာယာ</v>
          </cell>
          <cell r="H398" t="str">
            <v>မနော်ဟရီလမ်း၊ (စနေမမှတ်တိုင်အနီး)၊ လှိုင်သာယာမြို့နယ်</v>
          </cell>
          <cell r="I398">
            <v>39500</v>
          </cell>
          <cell r="J398">
            <v>4500</v>
          </cell>
          <cell r="K398">
            <v>44000</v>
          </cell>
          <cell r="L398">
            <v>4500</v>
          </cell>
          <cell r="M398">
            <v>4500</v>
          </cell>
          <cell r="O398" t="str">
            <v>-</v>
          </cell>
          <cell r="P398">
            <v>44000</v>
          </cell>
        </row>
        <row r="399">
          <cell r="C399" t="str">
            <v>D0902-KSC-359</v>
          </cell>
          <cell r="D399" t="str">
            <v>KS Cosmetic</v>
          </cell>
          <cell r="E399" t="str">
            <v>Pwint Phyu</v>
          </cell>
          <cell r="F399" t="str">
            <v>09-4511433730</v>
          </cell>
          <cell r="G399" t="str">
            <v>စမ်းချောင်း</v>
          </cell>
          <cell r="H399" t="str">
            <v>အမှတ် (၁၆၆)၊ ဗားကရာလမ်းမပေါ်၊ စမ်းချောင်းမြို့နယ်</v>
          </cell>
          <cell r="I399">
            <v>39500</v>
          </cell>
          <cell r="J399">
            <v>4000</v>
          </cell>
          <cell r="K399">
            <v>43500</v>
          </cell>
          <cell r="L399">
            <v>4000</v>
          </cell>
          <cell r="M399">
            <v>4000</v>
          </cell>
          <cell r="O399" t="str">
            <v>-</v>
          </cell>
          <cell r="P399">
            <v>43500</v>
          </cell>
        </row>
        <row r="400">
          <cell r="C400" t="str">
            <v>D0902-KSC-363</v>
          </cell>
          <cell r="D400" t="str">
            <v>KS Cosmetic</v>
          </cell>
          <cell r="E400" t="str">
            <v>လဲ့လဲ့ဝင်း</v>
          </cell>
          <cell r="F400" t="str">
            <v>09-678551990</v>
          </cell>
          <cell r="G400" t="str">
            <v>တာမွေ</v>
          </cell>
          <cell r="H400" t="str">
            <v>(၁၅၄) လမ်းထဲ၊ (တာမွေဈေး)၊ တာမွေမြို့နယ်</v>
          </cell>
          <cell r="I400">
            <v>39500</v>
          </cell>
          <cell r="J400">
            <v>4000</v>
          </cell>
          <cell r="K400">
            <v>43500</v>
          </cell>
          <cell r="L400">
            <v>4000</v>
          </cell>
          <cell r="M400">
            <v>4000</v>
          </cell>
          <cell r="O400" t="str">
            <v>-</v>
          </cell>
          <cell r="P400">
            <v>43500</v>
          </cell>
        </row>
        <row r="401">
          <cell r="C401" t="str">
            <v>D0902-KSC-370</v>
          </cell>
          <cell r="D401" t="str">
            <v>KS Cosmetic</v>
          </cell>
          <cell r="E401" t="str">
            <v>Zi Zi</v>
          </cell>
          <cell r="F401" t="str">
            <v>09-452300447</v>
          </cell>
          <cell r="G401" t="str">
            <v>မြောက်ဥက္ကလာပ</v>
          </cell>
          <cell r="H401" t="str">
            <v>ကရုဏာ (၂) လမ်း၊ မြောက်ဥက္ကလာပမြို့နယ်</v>
          </cell>
          <cell r="I401">
            <v>39500</v>
          </cell>
          <cell r="J401">
            <v>4500</v>
          </cell>
          <cell r="K401">
            <v>44000</v>
          </cell>
          <cell r="L401">
            <v>4500</v>
          </cell>
          <cell r="M401">
            <v>4500</v>
          </cell>
          <cell r="O401" t="str">
            <v>-</v>
          </cell>
          <cell r="P401">
            <v>44000</v>
          </cell>
        </row>
        <row r="402">
          <cell r="C402" t="str">
            <v>D0902-NPM-201</v>
          </cell>
          <cell r="D402" t="str">
            <v>နတ်ပြည်မွှေး</v>
          </cell>
          <cell r="E402" t="str">
            <v>Ma Moe</v>
          </cell>
          <cell r="F402" t="str">
            <v>09-783475251</v>
          </cell>
          <cell r="G402" t="str">
            <v>မရမ်းကုန်း</v>
          </cell>
          <cell r="H402" t="str">
            <v>မုဒိတာအိမ်ရာ (၁)၊ မမိုးတိုက် (B)၊ အခန်း (၁၄၂)၊ ဗဟိုလမ်း၊ မရမ်းကုန်းမြို့နယ်</v>
          </cell>
          <cell r="I402" t="str">
            <v>-</v>
          </cell>
          <cell r="J402">
            <v>4000</v>
          </cell>
          <cell r="K402">
            <v>4000</v>
          </cell>
          <cell r="L402">
            <v>4000</v>
          </cell>
          <cell r="M402">
            <v>4000</v>
          </cell>
          <cell r="O402" t="str">
            <v>-</v>
          </cell>
          <cell r="P402">
            <v>4000</v>
          </cell>
        </row>
        <row r="403">
          <cell r="C403" t="str">
            <v>D0902-NPM-196</v>
          </cell>
          <cell r="D403" t="str">
            <v>နတ်ပြည်မွှေး</v>
          </cell>
          <cell r="E403" t="str">
            <v>Layate</v>
          </cell>
          <cell r="F403" t="str">
            <v>09-45633043</v>
          </cell>
          <cell r="G403" t="str">
            <v>လှိုင်သာယာ</v>
          </cell>
          <cell r="H403" t="str">
            <v>(သစ်တံခါးကျောင်း နှင့် (၃) မှတ်တိုင်အနီး)၊ လှိုင်သာယာမြို့နယ်</v>
          </cell>
          <cell r="I403" t="str">
            <v>-</v>
          </cell>
          <cell r="J403">
            <v>4500</v>
          </cell>
          <cell r="K403">
            <v>4500</v>
          </cell>
          <cell r="L403">
            <v>4500</v>
          </cell>
          <cell r="M403">
            <v>4500</v>
          </cell>
          <cell r="O403" t="str">
            <v>-</v>
          </cell>
          <cell r="P403">
            <v>4500</v>
          </cell>
        </row>
        <row r="404">
          <cell r="C404" t="str">
            <v>D0902-CTM-393</v>
          </cell>
          <cell r="D404" t="str">
            <v>ချစ်သွန်းသီရိ မေမေ</v>
          </cell>
          <cell r="E404" t="str">
            <v>Tin Phyo Wai</v>
          </cell>
          <cell r="F404" t="str">
            <v>09-942626193</v>
          </cell>
          <cell r="G404" t="str">
            <v>လှိုင်သာယာ</v>
          </cell>
          <cell r="H404" t="str">
            <v>ဗိုလ်အောင်ကျော်အိမ်ရာ၊ တိုက် (၄/၇)၊ လှိုင်သာယာမြို့နယ်</v>
          </cell>
          <cell r="I404">
            <v>24500</v>
          </cell>
          <cell r="J404">
            <v>4500</v>
          </cell>
          <cell r="K404">
            <v>29000</v>
          </cell>
          <cell r="L404">
            <v>4500</v>
          </cell>
          <cell r="M404">
            <v>4500</v>
          </cell>
          <cell r="O404" t="str">
            <v>-</v>
          </cell>
          <cell r="P404">
            <v>29000</v>
          </cell>
        </row>
        <row r="405">
          <cell r="C405" t="str">
            <v>D0903-GRS-007</v>
          </cell>
          <cell r="D405" t="str">
            <v>GRS Express</v>
          </cell>
          <cell r="E405" t="str">
            <v>Ma Phyo</v>
          </cell>
          <cell r="F405" t="str">
            <v>09-957239953</v>
          </cell>
          <cell r="G405" t="str">
            <v>ဗိုလ်တထောင်</v>
          </cell>
          <cell r="H405" t="str">
            <v>သိမ်ဖြူလမ်း နှင့် ကမ်းနားလမ်းထောင့်၊ ဗိုလ်တထောင်မြို့နယ်</v>
          </cell>
          <cell r="I405">
            <v>152500</v>
          </cell>
          <cell r="J405">
            <v>4500</v>
          </cell>
          <cell r="K405">
            <v>157000</v>
          </cell>
          <cell r="L405">
            <v>4000</v>
          </cell>
          <cell r="M405">
            <v>4500</v>
          </cell>
          <cell r="O405" t="str">
            <v>-</v>
          </cell>
          <cell r="P405">
            <v>157000</v>
          </cell>
        </row>
        <row r="406">
          <cell r="C406" t="str">
            <v>D0903-GRS-019</v>
          </cell>
          <cell r="D406" t="str">
            <v>GRS Express</v>
          </cell>
          <cell r="E406" t="str">
            <v>မယုယုမော်</v>
          </cell>
          <cell r="F406" t="str">
            <v>09-420018170</v>
          </cell>
          <cell r="G406" t="str">
            <v>ဒေါပုံ</v>
          </cell>
          <cell r="H406" t="str">
            <v>အမှတ် (၄၃)၊ သင်္ဘောကျင်း (၇) လမ်း၊ ဒေါပုံမြို့နယ်</v>
          </cell>
          <cell r="I406">
            <v>47000</v>
          </cell>
          <cell r="J406" t="str">
            <v>-</v>
          </cell>
          <cell r="K406">
            <v>47000</v>
          </cell>
          <cell r="L406">
            <v>4000</v>
          </cell>
          <cell r="M406" t="str">
            <v>-</v>
          </cell>
          <cell r="O406" t="str">
            <v>-</v>
          </cell>
          <cell r="P406">
            <v>47000</v>
          </cell>
        </row>
        <row r="407">
          <cell r="C407" t="str">
            <v>D0903-GRS-020</v>
          </cell>
          <cell r="D407" t="str">
            <v>GRS Express</v>
          </cell>
          <cell r="E407" t="str">
            <v>မယုယုနွယ်</v>
          </cell>
          <cell r="F407" t="str">
            <v>09-767310061</v>
          </cell>
          <cell r="G407" t="str">
            <v>တာမွေ</v>
          </cell>
          <cell r="H407" t="str">
            <v>ပညာရေးဆိုင်ရာ စာအုပ်မျိုးစုံရောင်းဝယ်ရေး၊ ဦးချစ်မောင်လမ်းပေါ်၊ အနောက်မြင်းပြိုင်ကွင်းလမ်းဆုံ၊ (Unique Computer ဆိုင် မျက်နှာချင်းဆိုင်)၊ (လမ်းဆုံမှတ်တိုင်)၊ တာမွေမြို့နယ်</v>
          </cell>
          <cell r="I407">
            <v>32500</v>
          </cell>
          <cell r="J407">
            <v>4500</v>
          </cell>
          <cell r="K407">
            <v>37000</v>
          </cell>
          <cell r="L407">
            <v>4000</v>
          </cell>
          <cell r="M407">
            <v>4500</v>
          </cell>
          <cell r="O407" t="str">
            <v>-</v>
          </cell>
          <cell r="P407">
            <v>37000</v>
          </cell>
        </row>
        <row r="408">
          <cell r="C408" t="str">
            <v>D0903-GRS-033</v>
          </cell>
          <cell r="D408" t="str">
            <v>GRS Express</v>
          </cell>
          <cell r="E408" t="str">
            <v>Aye Aye Yuu</v>
          </cell>
          <cell r="F408" t="str">
            <v>09-796969609
 09-969181969</v>
          </cell>
          <cell r="G408" t="str">
            <v>မင်္ဂလာတောင်ညွန့်</v>
          </cell>
          <cell r="H408" t="str">
            <v>တိုက် (၉)၊ အခန်း (၁)၊ စံပယ်လမ်း၊ (ယုဇနပလာဇာအနောက်လမ်း)၊ မင်္ဂလာတောင်ညွန့်မြို့နယ်</v>
          </cell>
          <cell r="I408">
            <v>46000</v>
          </cell>
          <cell r="J408" t="str">
            <v>-</v>
          </cell>
          <cell r="K408">
            <v>46000</v>
          </cell>
          <cell r="L408">
            <v>4000</v>
          </cell>
          <cell r="M408" t="str">
            <v>-</v>
          </cell>
          <cell r="O408" t="str">
            <v>-</v>
          </cell>
          <cell r="P408">
            <v>46000</v>
          </cell>
        </row>
        <row r="409">
          <cell r="C409" t="str">
            <v>D0903-GRS-034</v>
          </cell>
          <cell r="D409" t="str">
            <v>GRS Express</v>
          </cell>
          <cell r="E409" t="str">
            <v>Ma Khine mar</v>
          </cell>
          <cell r="F409" t="str">
            <v>09-250002145</v>
          </cell>
          <cell r="G409" t="str">
            <v>တာမွေ</v>
          </cell>
          <cell r="H409" t="str">
            <v>အမှတ် (၁၂)၊ (၁၅၄) လမ်း၊ တာမွေမြို့နယ်</v>
          </cell>
          <cell r="I409">
            <v>60000</v>
          </cell>
          <cell r="J409">
            <v>4500</v>
          </cell>
          <cell r="K409">
            <v>64500</v>
          </cell>
          <cell r="L409">
            <v>4000</v>
          </cell>
          <cell r="M409">
            <v>4500</v>
          </cell>
          <cell r="O409" t="str">
            <v>-</v>
          </cell>
          <cell r="P409">
            <v>64500</v>
          </cell>
        </row>
        <row r="410">
          <cell r="C410" t="str">
            <v>D0903-GRS-038</v>
          </cell>
          <cell r="D410" t="str">
            <v>GRS Express</v>
          </cell>
          <cell r="E410" t="str">
            <v>Ma Yati Oo</v>
          </cell>
          <cell r="F410" t="str">
            <v>09-972364140</v>
          </cell>
          <cell r="G410" t="str">
            <v>ပုဇွန်တောင်</v>
          </cell>
          <cell r="H410" t="str">
            <v>အမှတ် (၆)၊ သာယာကုန်းလမ်း၊ ပုဇွန်တောင်မြို့နယ်</v>
          </cell>
          <cell r="I410">
            <v>28000</v>
          </cell>
          <cell r="J410">
            <v>4500</v>
          </cell>
          <cell r="K410">
            <v>32500</v>
          </cell>
          <cell r="L410">
            <v>4000</v>
          </cell>
          <cell r="M410">
            <v>4500</v>
          </cell>
          <cell r="O410" t="str">
            <v>-</v>
          </cell>
          <cell r="P410">
            <v>32500</v>
          </cell>
        </row>
        <row r="411">
          <cell r="C411" t="str">
            <v>D0903-GRS-040</v>
          </cell>
          <cell r="D411" t="str">
            <v>GRS Express</v>
          </cell>
          <cell r="E411" t="str">
            <v>Ma Poe Zar Chi Thaung</v>
          </cell>
          <cell r="F411" t="str">
            <v>09-761006371</v>
          </cell>
          <cell r="G411" t="str">
            <v>ဗဟန်း</v>
          </cell>
          <cell r="H411" t="str">
            <v>ဇီဝိတဒါနသံဃာ့ဆေးရုံကြီး၊ စပါးလမ်းထိပ်၊ (ဒံပေါက်ဆိုင်)၊ ဗဟန်းမြို့နယ်</v>
          </cell>
          <cell r="I411">
            <v>9500</v>
          </cell>
          <cell r="J411">
            <v>4500</v>
          </cell>
          <cell r="K411">
            <v>14000</v>
          </cell>
          <cell r="L411">
            <v>4000</v>
          </cell>
          <cell r="M411">
            <v>4500</v>
          </cell>
          <cell r="O411" t="str">
            <v>-</v>
          </cell>
          <cell r="P411">
            <v>14000</v>
          </cell>
        </row>
        <row r="412">
          <cell r="C412" t="str">
            <v>D0903-GRS-041</v>
          </cell>
          <cell r="D412" t="str">
            <v>GRS Express</v>
          </cell>
          <cell r="E412" t="str">
            <v>Ma Aye Myat Yandanar</v>
          </cell>
          <cell r="F412" t="str">
            <v>09-966315542</v>
          </cell>
          <cell r="G412" t="str">
            <v>ဒေါပုံ</v>
          </cell>
          <cell r="H412" t="str">
            <v>အမှတ် (၂၉၅)၊ (၅) လွှာ၊ မင်းနန္ဒာလမ်း၊ (ဒေါပုံတပ်ဖွဲ့မှတ်တိုင်)၊ ဒေါပုံမြို့နယ်</v>
          </cell>
          <cell r="I412">
            <v>59000</v>
          </cell>
          <cell r="J412">
            <v>4500</v>
          </cell>
          <cell r="K412">
            <v>63500</v>
          </cell>
          <cell r="L412">
            <v>4000</v>
          </cell>
          <cell r="M412">
            <v>4500</v>
          </cell>
          <cell r="O412" t="str">
            <v>-</v>
          </cell>
          <cell r="P412">
            <v>63500</v>
          </cell>
        </row>
        <row r="413">
          <cell r="C413" t="str">
            <v>D0903-APA-071</v>
          </cell>
          <cell r="D413" t="str">
            <v>APAC</v>
          </cell>
          <cell r="E413" t="str">
            <v>Mon Mon Soe</v>
          </cell>
          <cell r="F413" t="str">
            <v>09-421117702</v>
          </cell>
          <cell r="G413" t="str">
            <v>မရမ်းကုန်း</v>
          </cell>
          <cell r="H413" t="str">
            <v>အမှတ် - ၂-က၊ ကန်လေးစုလမ်း၊ သမိုင်း၊ မရမ်းကုန်းမြို့နယ်</v>
          </cell>
          <cell r="I413">
            <v>34000</v>
          </cell>
          <cell r="J413" t="str">
            <v>-</v>
          </cell>
          <cell r="K413">
            <v>34000</v>
          </cell>
          <cell r="L413">
            <v>4000</v>
          </cell>
          <cell r="M413" t="str">
            <v>-</v>
          </cell>
          <cell r="O413" t="str">
            <v>-</v>
          </cell>
          <cell r="P413">
            <v>34000</v>
          </cell>
        </row>
        <row r="414">
          <cell r="C414" t="str">
            <v>D0903-FFY-081</v>
          </cell>
          <cell r="D414" t="str">
            <v>Food For U</v>
          </cell>
          <cell r="E414" t="str">
            <v>FeedMAS Livestock Co.,Ltd</v>
          </cell>
          <cell r="F414" t="str">
            <v>09-792054634</v>
          </cell>
          <cell r="G414" t="str">
            <v>ရွှေပြည်သာ</v>
          </cell>
          <cell r="H414" t="str">
            <v>အမှတ် (၇၂)၊ အကွက် (၄၉)၊ သံဒင်းလမ်း၊ ဝါးတရာစက်မှုဇုန်၊ ရွှေပြည်သာမြို့နယ်</v>
          </cell>
          <cell r="I414">
            <v>63000</v>
          </cell>
          <cell r="J414">
            <v>5000</v>
          </cell>
          <cell r="K414">
            <v>68000</v>
          </cell>
          <cell r="L414">
            <v>4500</v>
          </cell>
          <cell r="M414">
            <v>5000</v>
          </cell>
          <cell r="O414" t="str">
            <v>-</v>
          </cell>
          <cell r="P414">
            <v>68000</v>
          </cell>
        </row>
        <row r="415">
          <cell r="C415" t="str">
            <v>D0903-FFY-084</v>
          </cell>
          <cell r="D415" t="str">
            <v>Food For U</v>
          </cell>
          <cell r="E415" t="str">
            <v>ဒေါ်ဝါဝါကျော်</v>
          </cell>
          <cell r="F415" t="str">
            <v>09-791676433</v>
          </cell>
          <cell r="G415" t="str">
            <v>မင်္ဂလာဒုံ</v>
          </cell>
          <cell r="H415" t="str">
            <v>အမှတ် (၁၀၇-၂/၁)၊ ပုလဲလမ်း၊ ထောက်ကြန့်၊ မင်္ဂလာဒုံမြို့နယ်</v>
          </cell>
          <cell r="I415">
            <v>63500</v>
          </cell>
          <cell r="J415">
            <v>4500</v>
          </cell>
          <cell r="K415">
            <v>68000</v>
          </cell>
          <cell r="L415">
            <v>4500</v>
          </cell>
          <cell r="M415">
            <v>4500</v>
          </cell>
          <cell r="O415" t="str">
            <v>-</v>
          </cell>
          <cell r="P415">
            <v>68000</v>
          </cell>
        </row>
        <row r="416">
          <cell r="C416" t="str">
            <v>D0903-APA-090</v>
          </cell>
          <cell r="D416" t="str">
            <v>APAC</v>
          </cell>
          <cell r="E416" t="str">
            <v>Swe Swe</v>
          </cell>
          <cell r="F416" t="str">
            <v>09-257475487</v>
          </cell>
          <cell r="G416" t="str">
            <v>သင်္ဃန်းကျွန်း</v>
          </cell>
          <cell r="H416" t="str">
            <v>ကျိုက္ကဆံဘုရားလမ်း၊ (စံပြဆေးရုံရှေ့)၊ သင်္ဃန်းကျွန်းမြို့နယ်</v>
          </cell>
          <cell r="I416">
            <v>28000</v>
          </cell>
          <cell r="J416">
            <v>4000</v>
          </cell>
          <cell r="K416">
            <v>32000</v>
          </cell>
          <cell r="L416">
            <v>4000</v>
          </cell>
          <cell r="M416">
            <v>4000</v>
          </cell>
          <cell r="O416" t="str">
            <v>-</v>
          </cell>
          <cell r="P416">
            <v>32000</v>
          </cell>
        </row>
        <row r="417">
          <cell r="C417" t="str">
            <v>D0903-SMW-133</v>
          </cell>
          <cell r="D417" t="str">
            <v>ရှု့မဝ</v>
          </cell>
          <cell r="E417" t="str">
            <v>Eizali</v>
          </cell>
          <cell r="F417" t="str">
            <v>09-694478260</v>
          </cell>
          <cell r="G417" t="str">
            <v>ဗဟန်း</v>
          </cell>
          <cell r="H417" t="str">
            <v>ခင်စံပယ်ဦး၊ အမှတ် (၁၀)၊ ရွှေတောင်ကြားလမ်း၊ ဗဟန်းမြို့နယ်</v>
          </cell>
          <cell r="I417">
            <v>21000</v>
          </cell>
          <cell r="J417">
            <v>4000</v>
          </cell>
          <cell r="K417">
            <v>25000</v>
          </cell>
          <cell r="L417">
            <v>4000</v>
          </cell>
          <cell r="M417">
            <v>4000</v>
          </cell>
          <cell r="O417" t="str">
            <v>-</v>
          </cell>
          <cell r="P417">
            <v>25000</v>
          </cell>
        </row>
        <row r="418">
          <cell r="C418" t="str">
            <v>D0903-GGS-136</v>
          </cell>
          <cell r="D418" t="str">
            <v>The Gadget Store</v>
          </cell>
          <cell r="E418" t="str">
            <v>Cas</v>
          </cell>
          <cell r="F418" t="str">
            <v>09-799329296</v>
          </cell>
          <cell r="G418" t="str">
            <v>လှိုင်</v>
          </cell>
          <cell r="H418" t="str">
            <v>မိဘမေတ္တာတိုက်၊ သီရိ (၄) လမ်းထိပ်၊ (ရွှေနေ့သစ်စားသောက်ဆိုင်ဘေး)၊ လှိုင်မြို့နယ်</v>
          </cell>
          <cell r="I418" t="str">
            <v>-</v>
          </cell>
          <cell r="J418">
            <v>4000</v>
          </cell>
          <cell r="K418">
            <v>4000</v>
          </cell>
          <cell r="L418">
            <v>4000</v>
          </cell>
          <cell r="M418">
            <v>4000</v>
          </cell>
          <cell r="O418" t="str">
            <v>-</v>
          </cell>
          <cell r="P418">
            <v>4000</v>
          </cell>
        </row>
        <row r="419">
          <cell r="C419" t="str">
            <v>D0903-GGS-142</v>
          </cell>
          <cell r="D419" t="str">
            <v>The Gadget Store</v>
          </cell>
          <cell r="E419" t="str">
            <v>May Thet Hlaing</v>
          </cell>
          <cell r="F419" t="str">
            <v>09-776299321
 09-894175120</v>
          </cell>
          <cell r="G419" t="str">
            <v>တာမွေ</v>
          </cell>
          <cell r="H419" t="str">
            <v>ပိတောက်ရွှေဝါလမ်း၊ တာမွေလေးရပ်ကွက်၊ တာမွေမြို့နယ်</v>
          </cell>
          <cell r="I419" t="str">
            <v>-</v>
          </cell>
          <cell r="J419">
            <v>4000</v>
          </cell>
          <cell r="K419">
            <v>4000</v>
          </cell>
          <cell r="L419">
            <v>4000</v>
          </cell>
          <cell r="M419">
            <v>4000</v>
          </cell>
          <cell r="O419" t="str">
            <v>-</v>
          </cell>
          <cell r="P419">
            <v>4000</v>
          </cell>
        </row>
        <row r="420">
          <cell r="C420" t="str">
            <v>D0903-MSE-170</v>
          </cell>
          <cell r="D420" t="str">
            <v>မရွှေအိ</v>
          </cell>
          <cell r="E420" t="str">
            <v>ပုံ့ပုံ့</v>
          </cell>
          <cell r="F420" t="str">
            <v>09-987778607</v>
          </cell>
          <cell r="G420" t="str">
            <v>မင်္ဂလာဒုံ</v>
          </cell>
          <cell r="H420" t="str">
            <v>မြတောင်ညို (၁) လမ်း၊ ကြံခင်းစုရပ်ကွက်၊ မင်္ဂလာဒုံမြို့နယ်</v>
          </cell>
          <cell r="I420">
            <v>79000</v>
          </cell>
          <cell r="J420">
            <v>4500</v>
          </cell>
          <cell r="K420">
            <v>83500</v>
          </cell>
          <cell r="L420">
            <v>4500</v>
          </cell>
          <cell r="M420">
            <v>4500</v>
          </cell>
          <cell r="O420" t="str">
            <v>-</v>
          </cell>
          <cell r="P420">
            <v>83500</v>
          </cell>
        </row>
        <row r="421">
          <cell r="C421" t="str">
            <v>D0903-CUY-183</v>
          </cell>
          <cell r="D421" t="str">
            <v>Curvy</v>
          </cell>
          <cell r="E421" t="str">
            <v>Phyo nay Zar Htet</v>
          </cell>
          <cell r="F421" t="str">
            <v>09-255610236
 09-963099707</v>
          </cell>
          <cell r="G421" t="str">
            <v>လှိုင်သာယာ</v>
          </cell>
          <cell r="H421" t="str">
            <v>တိုက် (၃၆၁)၊ အောင်မြေသာယာဘုရားလမ်းသွယ်၊ ပုသိမ်လမ်းမပေါ်၊ (၆) ရပ်ကွက်၊ (ဆောက်လုပ်ရေးမှတ်တိုင်)၊ (တော်ဝင်ဆေးခန်းအနီး)၊ လှိုင်သာယာမြို့နယ်</v>
          </cell>
          <cell r="I421">
            <v>95500</v>
          </cell>
          <cell r="J421">
            <v>4500</v>
          </cell>
          <cell r="K421">
            <v>100000</v>
          </cell>
          <cell r="L421">
            <v>4500</v>
          </cell>
          <cell r="M421">
            <v>4500</v>
          </cell>
          <cell r="O421" t="str">
            <v>-</v>
          </cell>
          <cell r="P421">
            <v>100000</v>
          </cell>
        </row>
        <row r="422">
          <cell r="C422" t="str">
            <v>D0903-CUY-185</v>
          </cell>
          <cell r="D422" t="str">
            <v>Curvy</v>
          </cell>
          <cell r="E422" t="str">
            <v>Ma Hsu</v>
          </cell>
          <cell r="F422" t="str">
            <v>09-444146435</v>
          </cell>
          <cell r="G422" t="str">
            <v>တာမွေ</v>
          </cell>
          <cell r="H422" t="str">
            <v>Royal Holiday Hotel၊ အခန်း (၂၀၄)၊ အမှတ် (၁၆၆)၊ လေးထောင့်ကန်လမ်းမကြီး၊ (တာမွေတံတားဘေး)၊ တာမွေမြို့နယ်</v>
          </cell>
          <cell r="I422">
            <v>30000</v>
          </cell>
          <cell r="J422">
            <v>4000</v>
          </cell>
          <cell r="K422">
            <v>34000</v>
          </cell>
          <cell r="L422">
            <v>4000</v>
          </cell>
          <cell r="M422">
            <v>4000</v>
          </cell>
          <cell r="O422" t="str">
            <v>-</v>
          </cell>
          <cell r="P422">
            <v>34000</v>
          </cell>
        </row>
        <row r="423">
          <cell r="C423" t="str">
            <v>D0903-CTM-189</v>
          </cell>
          <cell r="D423" t="str">
            <v>ချစ်သွန်းသီရိ မေမေ</v>
          </cell>
          <cell r="E423" t="str">
            <v>Waddy Waddy</v>
          </cell>
          <cell r="F423" t="str">
            <v>09-5080215</v>
          </cell>
          <cell r="G423" t="str">
            <v>အင်းစိန်</v>
          </cell>
          <cell r="H423" t="str">
            <v>ပညာသိင်္ဂီသီလရှင်ကျောင်းတိုက်၊ ပညာသိင်္ဂီကျောင်းလမ်း၊ အင်းစိန်မြို့နယ်</v>
          </cell>
          <cell r="I423">
            <v>50000</v>
          </cell>
          <cell r="J423">
            <v>4000</v>
          </cell>
          <cell r="K423">
            <v>54000</v>
          </cell>
          <cell r="L423">
            <v>4000</v>
          </cell>
          <cell r="M423">
            <v>4000</v>
          </cell>
          <cell r="O423" t="str">
            <v>-</v>
          </cell>
          <cell r="P423">
            <v>54000</v>
          </cell>
        </row>
        <row r="424">
          <cell r="C424" t="str">
            <v>D0904-FFY-001</v>
          </cell>
          <cell r="D424" t="str">
            <v>Food For U</v>
          </cell>
          <cell r="E424" t="str">
            <v>Cady</v>
          </cell>
          <cell r="F424" t="str">
            <v>09-79276350</v>
          </cell>
          <cell r="G424" t="str">
            <v>ရွှေပြည်သာ</v>
          </cell>
          <cell r="H424" t="str">
            <v>(ဏ) ဈေး၊ မောင်ညိုလမ်း၊ (သားဖွားဆေးခန်းမှတ်တိုင်)၊ ရွှေပြည်သာမြို့နယ်</v>
          </cell>
          <cell r="I424">
            <v>126000</v>
          </cell>
          <cell r="J424">
            <v>5000</v>
          </cell>
          <cell r="K424">
            <v>131000</v>
          </cell>
          <cell r="L424">
            <v>4500</v>
          </cell>
          <cell r="M424">
            <v>5000</v>
          </cell>
          <cell r="O424" t="str">
            <v>-</v>
          </cell>
          <cell r="P424">
            <v>131000</v>
          </cell>
        </row>
        <row r="425">
          <cell r="C425" t="str">
            <v>D0904-MTC-005</v>
          </cell>
          <cell r="D425" t="str">
            <v>Mommy Top Choice</v>
          </cell>
          <cell r="E425" t="str">
            <v>မဟီနာ</v>
          </cell>
          <cell r="F425" t="str">
            <v>09-453774568</v>
          </cell>
          <cell r="G425" t="str">
            <v>ပန်းဘဲတန်း</v>
          </cell>
          <cell r="H425" t="str">
            <v>အမှတ် (၅၆)၊ မြေညီထပ်၊ (၃၁) လမ်း၊ အောက်ဘလောက်၊ ပန်းဘဲတန်းမြို့နယ်</v>
          </cell>
          <cell r="I425">
            <v>240000</v>
          </cell>
          <cell r="J425">
            <v>4000</v>
          </cell>
          <cell r="K425">
            <v>244000</v>
          </cell>
          <cell r="L425">
            <v>4000</v>
          </cell>
          <cell r="M425">
            <v>4000</v>
          </cell>
          <cell r="N425">
            <v>7</v>
          </cell>
          <cell r="O425">
            <v>2000</v>
          </cell>
          <cell r="P425">
            <v>246000</v>
          </cell>
        </row>
        <row r="426">
          <cell r="C426" t="str">
            <v>D0904-TSW-010</v>
          </cell>
          <cell r="D426" t="str">
            <v>3 &amp; 6 Wholesale</v>
          </cell>
          <cell r="E426" t="str">
            <v>ဦးမြင့်ဦးလှိုင်</v>
          </cell>
          <cell r="F426" t="str">
            <v>09-795183084</v>
          </cell>
          <cell r="G426" t="str">
            <v>သာကေတ</v>
          </cell>
          <cell r="H426" t="str">
            <v>အမှတ် (၈၅၂)၊ ထူပါရုံ (၁၄) လမ်း (အနောက်)၊ သာကေတမြို့နယ်</v>
          </cell>
          <cell r="I426">
            <v>20000</v>
          </cell>
          <cell r="J426">
            <v>4000</v>
          </cell>
          <cell r="K426">
            <v>24000</v>
          </cell>
          <cell r="L426">
            <v>4000</v>
          </cell>
          <cell r="M426">
            <v>4000</v>
          </cell>
          <cell r="O426" t="str">
            <v>-</v>
          </cell>
          <cell r="P426">
            <v>24000</v>
          </cell>
        </row>
        <row r="427">
          <cell r="C427" t="str">
            <v>D0904-TSW-014</v>
          </cell>
          <cell r="D427" t="str">
            <v>3 &amp; 6 Wholesale</v>
          </cell>
          <cell r="E427" t="str">
            <v>အောင်ကိုမင်း</v>
          </cell>
          <cell r="F427" t="str">
            <v>09-250826180</v>
          </cell>
          <cell r="G427" t="str">
            <v>သာကေတ</v>
          </cell>
          <cell r="H427" t="str">
            <v>အမှတ် (၁၀၅၁)၊ မာန်ပြေ (၅) လမ်း (အနောက်)၊ သာကေတမြို့နယ်</v>
          </cell>
          <cell r="I427">
            <v>23000</v>
          </cell>
          <cell r="J427">
            <v>4000</v>
          </cell>
          <cell r="K427">
            <v>27000</v>
          </cell>
          <cell r="L427">
            <v>4000</v>
          </cell>
          <cell r="M427">
            <v>4000</v>
          </cell>
          <cell r="O427" t="str">
            <v>-</v>
          </cell>
          <cell r="P427">
            <v>27000</v>
          </cell>
        </row>
        <row r="428">
          <cell r="C428" t="str">
            <v>D0904-TSW-015</v>
          </cell>
          <cell r="D428" t="str">
            <v>3 &amp; 6 Wholesale</v>
          </cell>
          <cell r="E428" t="str">
            <v>မထက်ထက်အောင်</v>
          </cell>
          <cell r="F428" t="str">
            <v>09-445067933</v>
          </cell>
          <cell r="G428" t="str">
            <v>မင်္ဂလာဒုံ</v>
          </cell>
          <cell r="H428" t="str">
            <v>အမှတ် (၁၁)၊ ပိတောက်လမ်း၊ စမ်းကြီးဝရပ်ကွက်၊ (ဈေးဘူတာ)၊ မင်္ဂလာဒုံမြို့နယ်</v>
          </cell>
          <cell r="I428">
            <v>53000</v>
          </cell>
          <cell r="J428">
            <v>4500</v>
          </cell>
          <cell r="K428">
            <v>57500</v>
          </cell>
          <cell r="L428">
            <v>4500</v>
          </cell>
          <cell r="M428">
            <v>4500</v>
          </cell>
          <cell r="O428" t="str">
            <v>-</v>
          </cell>
          <cell r="P428">
            <v>57500</v>
          </cell>
        </row>
        <row r="429">
          <cell r="C429" t="str">
            <v>D0904-TSW-017</v>
          </cell>
          <cell r="D429" t="str">
            <v>3 &amp; 6 Wholesale</v>
          </cell>
          <cell r="E429" t="str">
            <v>မဝေသင်း</v>
          </cell>
          <cell r="F429" t="str">
            <v>09-898476658</v>
          </cell>
          <cell r="G429" t="str">
            <v>ရွှေပြည်သာ</v>
          </cell>
          <cell r="H429" t="str">
            <v>အောင်မင်္ဂလာလမ်း၊ ပန်းခြံ (၁၅)၊ ရွှေပြည်သာမြို့နယ်</v>
          </cell>
          <cell r="I429">
            <v>32000</v>
          </cell>
          <cell r="J429">
            <v>4500</v>
          </cell>
          <cell r="K429">
            <v>36500</v>
          </cell>
          <cell r="L429">
            <v>4500</v>
          </cell>
          <cell r="M429">
            <v>4500</v>
          </cell>
          <cell r="O429" t="str">
            <v>-</v>
          </cell>
          <cell r="P429">
            <v>36500</v>
          </cell>
        </row>
        <row r="430">
          <cell r="C430" t="str">
            <v>D0904-TSW-022</v>
          </cell>
          <cell r="D430" t="str">
            <v>3 &amp; 6 Wholesale</v>
          </cell>
          <cell r="E430" t="str">
            <v>AZB</v>
          </cell>
          <cell r="F430" t="str">
            <v>09-781617955</v>
          </cell>
          <cell r="G430" t="str">
            <v>မရမ်းကုန်း</v>
          </cell>
          <cell r="H430" t="str">
            <v>အမှတ် (၄၁)၊ အောင်မင်္ဂလာ (၂) လမ်း၊ (ရဲဘော်ဟောင်းမှတ်တိုင်)၊ မရမ်းကုန်းမြို့နယ်</v>
          </cell>
          <cell r="I430">
            <v>19000</v>
          </cell>
          <cell r="J430" t="str">
            <v>-</v>
          </cell>
          <cell r="K430">
            <v>19000</v>
          </cell>
          <cell r="L430">
            <v>4000</v>
          </cell>
          <cell r="M430" t="str">
            <v>-</v>
          </cell>
          <cell r="O430">
            <v>6000</v>
          </cell>
          <cell r="P430">
            <v>25000</v>
          </cell>
        </row>
        <row r="431">
          <cell r="C431" t="str">
            <v>D0904-TSW-032</v>
          </cell>
          <cell r="D431" t="str">
            <v>3 &amp; 6 Wholesale</v>
          </cell>
          <cell r="E431" t="str">
            <v>ဦးဝေလွင်</v>
          </cell>
          <cell r="F431" t="str">
            <v>09-5012087</v>
          </cell>
          <cell r="G431" t="str">
            <v>မရမ်းကုန်း</v>
          </cell>
          <cell r="H431" t="str">
            <v>အမှတ် (26C)၊ ဒေါ်လှပန်းလမ်း၊ (၂) ရပ်ကွက်၊ မရမ်းကုန်းမြို့နယ်</v>
          </cell>
          <cell r="I431">
            <v>50000</v>
          </cell>
          <cell r="J431">
            <v>4000</v>
          </cell>
          <cell r="K431">
            <v>54000</v>
          </cell>
          <cell r="L431">
            <v>4000</v>
          </cell>
          <cell r="M431">
            <v>4000</v>
          </cell>
          <cell r="O431" t="str">
            <v>-</v>
          </cell>
          <cell r="P431">
            <v>54000</v>
          </cell>
        </row>
        <row r="432">
          <cell r="C432" t="str">
            <v>D0904-GGS-033</v>
          </cell>
          <cell r="D432" t="str">
            <v>The Gadget Store</v>
          </cell>
          <cell r="E432" t="str">
            <v>Rayy</v>
          </cell>
          <cell r="F432" t="str">
            <v>09-451258511</v>
          </cell>
          <cell r="G432" t="str">
            <v>ရွှေပြည်သာ</v>
          </cell>
          <cell r="H432" t="str">
            <v>သံဖြူဆိုင်မှတ်တိုင်၊ ရွှေပြည်သာမြို့နယ်</v>
          </cell>
          <cell r="I432">
            <v>15000</v>
          </cell>
          <cell r="J432">
            <v>4500</v>
          </cell>
          <cell r="K432">
            <v>19500</v>
          </cell>
          <cell r="L432">
            <v>4500</v>
          </cell>
          <cell r="M432">
            <v>4500</v>
          </cell>
          <cell r="O432" t="str">
            <v>-</v>
          </cell>
          <cell r="P432">
            <v>19500</v>
          </cell>
        </row>
        <row r="433">
          <cell r="C433" t="str">
            <v>D0904-BBW-035</v>
          </cell>
          <cell r="D433" t="str">
            <v>Baby World</v>
          </cell>
          <cell r="E433" t="str">
            <v>အိမ့်သန္ဒါထွန်း</v>
          </cell>
          <cell r="F433" t="str">
            <v>09-456016397</v>
          </cell>
          <cell r="G433" t="str">
            <v>ဗဟန်း</v>
          </cell>
          <cell r="H433" t="str">
            <v>မြတ်သွန်းရှေ့ဂုဏ်၊ တိုက်မြေညီ (၅)၊ ဗန္ဓုလပင်လမ်းဝိုက်၊ ဗဟန်းမြို့နယ်</v>
          </cell>
          <cell r="I433">
            <v>100000</v>
          </cell>
          <cell r="J433">
            <v>4000</v>
          </cell>
          <cell r="K433">
            <v>104000</v>
          </cell>
          <cell r="L433">
            <v>4000</v>
          </cell>
          <cell r="M433">
            <v>4000</v>
          </cell>
          <cell r="O433" t="str">
            <v>-</v>
          </cell>
          <cell r="P433">
            <v>104000</v>
          </cell>
        </row>
        <row r="434">
          <cell r="C434" t="str">
            <v>D0904-BBW-037</v>
          </cell>
          <cell r="D434" t="str">
            <v>Baby World</v>
          </cell>
          <cell r="E434" t="str">
            <v>Poe Pwint Phyu</v>
          </cell>
          <cell r="F434" t="str">
            <v>09-452898977</v>
          </cell>
          <cell r="G434" t="str">
            <v>လှိုင်သာယာ</v>
          </cell>
          <cell r="H434" t="str">
            <v>ရွှေလင်ပန်းတန်ဖိုးနည်းအိမ်ရာ (အပိုင်း ၁)၊ တိုက် (၂၂)၊ လှိုင်သာယာမြို့နယ်</v>
          </cell>
          <cell r="I434">
            <v>294000</v>
          </cell>
          <cell r="J434">
            <v>4500</v>
          </cell>
          <cell r="K434">
            <v>298500</v>
          </cell>
          <cell r="L434">
            <v>4500</v>
          </cell>
          <cell r="M434">
            <v>4500</v>
          </cell>
          <cell r="O434" t="str">
            <v>-</v>
          </cell>
          <cell r="P434">
            <v>298500</v>
          </cell>
        </row>
        <row r="435">
          <cell r="C435" t="str">
            <v>D0904-BBW-039</v>
          </cell>
          <cell r="D435" t="str">
            <v>Baby World</v>
          </cell>
          <cell r="E435" t="str">
            <v>Nan Tharaphy</v>
          </cell>
          <cell r="F435" t="str">
            <v>09-43130061</v>
          </cell>
          <cell r="G435" t="str">
            <v>မြောက်ဥက္ကလာပ</v>
          </cell>
          <cell r="H435" t="str">
            <v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v>
          </cell>
          <cell r="I435">
            <v>357600</v>
          </cell>
          <cell r="J435">
            <v>4500</v>
          </cell>
          <cell r="K435">
            <v>362100</v>
          </cell>
          <cell r="L435">
            <v>4500</v>
          </cell>
          <cell r="M435">
            <v>4500</v>
          </cell>
          <cell r="N435">
            <v>4</v>
          </cell>
          <cell r="O435">
            <v>500</v>
          </cell>
          <cell r="P435">
            <v>362600</v>
          </cell>
        </row>
        <row r="436">
          <cell r="C436" t="str">
            <v>D0904-BBW-040</v>
          </cell>
          <cell r="D436" t="str">
            <v>Baby World</v>
          </cell>
          <cell r="E436" t="str">
            <v>Ei Moe</v>
          </cell>
          <cell r="F436" t="str">
            <v>09-41005303</v>
          </cell>
          <cell r="G436" t="str">
            <v>ဂိတ်ချ</v>
          </cell>
          <cell r="H436" t="str">
            <v>Little Dream Baby Shop၊ (ပြုံးပြုံးလေးဂိတ်)၊ သုံးဆယ်</v>
          </cell>
          <cell r="I436" t="str">
            <v>-</v>
          </cell>
          <cell r="J436">
            <v>5000</v>
          </cell>
          <cell r="K436">
            <v>5000</v>
          </cell>
          <cell r="L436">
            <v>5000</v>
          </cell>
          <cell r="M436">
            <v>5000</v>
          </cell>
          <cell r="N436">
            <v>10</v>
          </cell>
          <cell r="O436">
            <v>3500</v>
          </cell>
          <cell r="P436">
            <v>8500</v>
          </cell>
          <cell r="Q436" t="str">
            <v>သုံးဆယ်</v>
          </cell>
        </row>
        <row r="437">
          <cell r="C437" t="str">
            <v>D0904-BBW-041</v>
          </cell>
          <cell r="D437" t="str">
            <v>Baby World</v>
          </cell>
          <cell r="E437" t="str">
            <v>Ei Thandar Lwin</v>
          </cell>
          <cell r="F437" t="str">
            <v>09-666944400</v>
          </cell>
          <cell r="G437" t="str">
            <v>မြောက်ဥက္ကလာပ</v>
          </cell>
          <cell r="H437" t="str">
            <v>အမှတ် (၂၀၄)၊ ပဲခူးလမ်း၊ (၁၃) ရပ်ကွက်၊ ရွှေပေါက်ကံ၊ မြောက်ဥက္ကလာပမြို့နယ်</v>
          </cell>
          <cell r="I437">
            <v>120000</v>
          </cell>
          <cell r="J437">
            <v>4500</v>
          </cell>
          <cell r="K437">
            <v>124500</v>
          </cell>
          <cell r="L437">
            <v>4500</v>
          </cell>
          <cell r="M437">
            <v>4500</v>
          </cell>
          <cell r="O437" t="str">
            <v>-</v>
          </cell>
          <cell r="P437">
            <v>124500</v>
          </cell>
        </row>
        <row r="438">
          <cell r="C438" t="str">
            <v>D0904-BBW-043</v>
          </cell>
          <cell r="D438" t="str">
            <v>Baby World</v>
          </cell>
          <cell r="E438" t="str">
            <v>Yin Yin Mon</v>
          </cell>
          <cell r="F438" t="str">
            <v>09-977991527</v>
          </cell>
          <cell r="G438" t="str">
            <v>ဗဟန်း</v>
          </cell>
          <cell r="H438" t="str">
            <v>ဆရာစံပလာဇာ၊ ဆရာစံလမ်း နှင့် တက္ကသိုလ်ရိပ်သာလမ်းသစ်ထောင့်၊ ဗဟန်းမြို့နယ်</v>
          </cell>
          <cell r="I438">
            <v>100000</v>
          </cell>
          <cell r="J438">
            <v>4000</v>
          </cell>
          <cell r="K438">
            <v>104000</v>
          </cell>
          <cell r="L438">
            <v>4000</v>
          </cell>
          <cell r="M438">
            <v>4000</v>
          </cell>
          <cell r="O438" t="str">
            <v>-</v>
          </cell>
          <cell r="P438">
            <v>104000</v>
          </cell>
        </row>
        <row r="439">
          <cell r="C439" t="str">
            <v>D0904-BBW-046</v>
          </cell>
          <cell r="D439" t="str">
            <v>Baby World</v>
          </cell>
          <cell r="E439" t="str">
            <v>Hnin Wuit Yee</v>
          </cell>
          <cell r="F439" t="str">
            <v>09-666070196</v>
          </cell>
          <cell r="G439" t="str">
            <v>ဂိတ်ချ</v>
          </cell>
          <cell r="H439" t="str">
            <v>(မအူပင်မြို့နယ် နန်းရတီအထည်ဆိုင် ဇေယျာမင်းကားဂိတ်သို့ တင်ရန်)</v>
          </cell>
          <cell r="I439" t="str">
            <v>-</v>
          </cell>
          <cell r="J439">
            <v>3000</v>
          </cell>
          <cell r="K439">
            <v>3000</v>
          </cell>
          <cell r="L439">
            <v>3000</v>
          </cell>
          <cell r="M439">
            <v>3000</v>
          </cell>
          <cell r="O439" t="str">
            <v>-</v>
          </cell>
          <cell r="P439">
            <v>3000</v>
          </cell>
        </row>
        <row r="440">
          <cell r="C440" t="str">
            <v>D0904-BBW-051</v>
          </cell>
          <cell r="D440" t="str">
            <v>Baby World</v>
          </cell>
          <cell r="E440" t="str">
            <v>Ko Thet</v>
          </cell>
          <cell r="F440" t="str">
            <v>09-773899075</v>
          </cell>
          <cell r="G440" t="str">
            <v>လှိုင်သာယာ</v>
          </cell>
          <cell r="H440" t="str">
            <v>ငွေလမင်းအထည်ဆိုင်၊ (ဈေးမိုးကုတ်ကျောင်းရှေ့)၊ တံတားဖြူ၊ လှိုင်သာယာမြို့နယ်</v>
          </cell>
          <cell r="I440">
            <v>90000</v>
          </cell>
          <cell r="J440">
            <v>4500</v>
          </cell>
          <cell r="K440">
            <v>94500</v>
          </cell>
          <cell r="L440">
            <v>4500</v>
          </cell>
          <cell r="M440">
            <v>4500</v>
          </cell>
          <cell r="O440" t="str">
            <v>-</v>
          </cell>
          <cell r="P440">
            <v>94500</v>
          </cell>
        </row>
        <row r="441">
          <cell r="C441" t="str">
            <v>D0904-BBW-052</v>
          </cell>
          <cell r="D441" t="str">
            <v>Baby World</v>
          </cell>
          <cell r="E441" t="str">
            <v>Moon</v>
          </cell>
          <cell r="F441" t="str">
            <v>09-759661663</v>
          </cell>
          <cell r="G441" t="str">
            <v>မင်္ဂလာတောင်ညွန့်</v>
          </cell>
          <cell r="H441" t="str">
            <v>အမှတ် (၃၅၁)၊ သိမ်ဖြူလမ်း၊ မင်္ဂလာတောင်ညွန့်မြို့နယ်</v>
          </cell>
          <cell r="I441">
            <v>67500</v>
          </cell>
          <cell r="J441">
            <v>4000</v>
          </cell>
          <cell r="K441">
            <v>71500</v>
          </cell>
          <cell r="L441">
            <v>4000</v>
          </cell>
          <cell r="M441">
            <v>4000</v>
          </cell>
          <cell r="O441" t="str">
            <v>-</v>
          </cell>
          <cell r="P441">
            <v>71500</v>
          </cell>
        </row>
        <row r="442">
          <cell r="C442" t="str">
            <v>D0904-BBW-057</v>
          </cell>
          <cell r="D442" t="str">
            <v>Baby World</v>
          </cell>
          <cell r="E442" t="str">
            <v>YJr</v>
          </cell>
          <cell r="F442" t="str">
            <v>09-967467695</v>
          </cell>
          <cell r="G442" t="str">
            <v>ဒေါပုံ</v>
          </cell>
          <cell r="H442" t="str">
            <v>မစန်းစန်းဝင်း၊ အမှတ် (၄၂)၊ ဒေါပုံစာတိုက် (၁) လမ်း၊ ဒေါပုံမြို့နယ်</v>
          </cell>
          <cell r="I442">
            <v>82500</v>
          </cell>
          <cell r="J442">
            <v>4000</v>
          </cell>
          <cell r="K442">
            <v>86500</v>
          </cell>
          <cell r="L442">
            <v>4000</v>
          </cell>
          <cell r="M442">
            <v>4000</v>
          </cell>
          <cell r="O442" t="str">
            <v>-</v>
          </cell>
          <cell r="P442">
            <v>86500</v>
          </cell>
        </row>
        <row r="443">
          <cell r="C443" t="str">
            <v>D0904-BBW-061</v>
          </cell>
          <cell r="D443" t="str">
            <v>Baby World</v>
          </cell>
          <cell r="E443" t="str">
            <v>Angel Queen Lifest</v>
          </cell>
          <cell r="F443" t="str">
            <v>09-793663929</v>
          </cell>
          <cell r="G443" t="str">
            <v>မရမ်းကုန်း</v>
          </cell>
          <cell r="H443" t="str">
            <v>အမှတ် (၃၈)၊ မာယာလမ်း၊ (၂) ရပ်ကွက်၊ မရမ်းကုန်းမြို့နယ်</v>
          </cell>
          <cell r="I443" t="str">
            <v>-</v>
          </cell>
          <cell r="J443">
            <v>4000</v>
          </cell>
          <cell r="K443">
            <v>4000</v>
          </cell>
          <cell r="L443">
            <v>4000</v>
          </cell>
          <cell r="M443">
            <v>4000</v>
          </cell>
          <cell r="O443" t="str">
            <v>-</v>
          </cell>
          <cell r="P443">
            <v>4000</v>
          </cell>
        </row>
        <row r="444">
          <cell r="C444" t="str">
            <v>D0904-BBW-063</v>
          </cell>
          <cell r="D444" t="str">
            <v>Baby World</v>
          </cell>
          <cell r="E444" t="str">
            <v>ကိုဝေယံစက်ပစ္စည်း</v>
          </cell>
          <cell r="F444" t="str">
            <v>09-9983438305</v>
          </cell>
          <cell r="G444" t="str">
            <v>ပန်းဘဲတန်း</v>
          </cell>
          <cell r="H444" t="str">
            <v>Moora၊ (၂၅) လမ်း၊ အောက်ဘလောက်၊ ပန်းဘဲတန်းမြို့နယ်</v>
          </cell>
          <cell r="I444">
            <v>96000</v>
          </cell>
          <cell r="J444">
            <v>4000</v>
          </cell>
          <cell r="K444">
            <v>100000</v>
          </cell>
          <cell r="L444">
            <v>4000</v>
          </cell>
          <cell r="M444">
            <v>4000</v>
          </cell>
          <cell r="O444" t="str">
            <v>-</v>
          </cell>
          <cell r="P444">
            <v>100000</v>
          </cell>
        </row>
        <row r="445">
          <cell r="C445" t="str">
            <v>D0904-BBW-065</v>
          </cell>
          <cell r="D445" t="str">
            <v>Baby World</v>
          </cell>
          <cell r="E445" t="str">
            <v>Thet Htar Wai</v>
          </cell>
          <cell r="F445" t="str">
            <v>09-799520446</v>
          </cell>
          <cell r="G445" t="str">
            <v>မြောက်ဥက္ကလာပ</v>
          </cell>
          <cell r="H445" t="str">
            <v>အမှတ် (C-260)၊ သန္တာလမ်း (ညာဘက်ခြမ်း)၊ မြောက်ဥက္ကလာပမြို့နယ်</v>
          </cell>
          <cell r="I445">
            <v>15000</v>
          </cell>
          <cell r="J445">
            <v>4500</v>
          </cell>
          <cell r="K445">
            <v>19500</v>
          </cell>
          <cell r="L445">
            <v>4500</v>
          </cell>
          <cell r="M445">
            <v>4500</v>
          </cell>
          <cell r="O445" t="str">
            <v>-</v>
          </cell>
          <cell r="P445">
            <v>19500</v>
          </cell>
        </row>
        <row r="446">
          <cell r="C446" t="str">
            <v>D0904-BBW-066</v>
          </cell>
          <cell r="D446" t="str">
            <v>Baby World</v>
          </cell>
          <cell r="E446" t="str">
            <v>Wint Wint Zaw</v>
          </cell>
          <cell r="F446" t="str">
            <v>09-787598298</v>
          </cell>
          <cell r="G446" t="str">
            <v>ကမာရွတ်</v>
          </cell>
          <cell r="H446" t="str">
            <v>ရန်ကုန်တက္ကသိုလ်၊ ကမာရွတ်မြို့နယ်</v>
          </cell>
          <cell r="I446">
            <v>33000</v>
          </cell>
          <cell r="J446">
            <v>4000</v>
          </cell>
          <cell r="K446">
            <v>37000</v>
          </cell>
          <cell r="L446">
            <v>4000</v>
          </cell>
          <cell r="M446">
            <v>4000</v>
          </cell>
          <cell r="O446" t="str">
            <v>-</v>
          </cell>
          <cell r="P446">
            <v>37000</v>
          </cell>
        </row>
        <row r="447">
          <cell r="C447" t="str">
            <v>D0904-BBW-067</v>
          </cell>
          <cell r="D447" t="str">
            <v>Baby World</v>
          </cell>
          <cell r="E447" t="str">
            <v>Hnint Oo Laykha</v>
          </cell>
          <cell r="F447" t="str">
            <v>09-43089139
 09-43128311</v>
          </cell>
          <cell r="G447" t="str">
            <v>သာကေတ</v>
          </cell>
          <cell r="H447" t="str">
            <v>အမှတ် (၃၁)၊ ဈေးလမ်း၊ (၅) ရပ်ကွက်၊ (သာကေတရုပ်ရှင်ရုံအောက်ဘက်)၊ သာကေတမြို့နယ်</v>
          </cell>
          <cell r="I447">
            <v>121000</v>
          </cell>
          <cell r="J447">
            <v>4000</v>
          </cell>
          <cell r="K447">
            <v>125000</v>
          </cell>
          <cell r="L447">
            <v>4000</v>
          </cell>
          <cell r="M447">
            <v>4000</v>
          </cell>
          <cell r="O447" t="str">
            <v>-</v>
          </cell>
          <cell r="P447">
            <v>125000</v>
          </cell>
        </row>
        <row r="448">
          <cell r="C448" t="str">
            <v>D0904-BBW-068</v>
          </cell>
          <cell r="D448" t="str">
            <v>Baby World</v>
          </cell>
          <cell r="E448" t="str">
            <v>Moe Moe</v>
          </cell>
          <cell r="F448" t="str">
            <v>09-790629196</v>
          </cell>
          <cell r="G448" t="str">
            <v>ရွှေပြည်သာ</v>
          </cell>
          <cell r="H448" t="str">
            <v>ရွှေမြန်မာတည်းခိုခန်း၊ မိုချောင်းအိုင် ရွှေဗဟိုပတ်လမ်း၊ ရွှေပြည်သာမြို့နယ်</v>
          </cell>
          <cell r="I448">
            <v>42000</v>
          </cell>
          <cell r="J448">
            <v>4500</v>
          </cell>
          <cell r="K448">
            <v>46500</v>
          </cell>
          <cell r="L448">
            <v>4500</v>
          </cell>
          <cell r="M448">
            <v>4500</v>
          </cell>
          <cell r="O448" t="str">
            <v>-</v>
          </cell>
          <cell r="P448">
            <v>46500</v>
          </cell>
        </row>
        <row r="449">
          <cell r="C449" t="str">
            <v>D0904-KAL-071</v>
          </cell>
          <cell r="D449" t="str">
            <v>ခင့်အလှူ</v>
          </cell>
          <cell r="E449" t="str">
            <v>Bay Bae San</v>
          </cell>
          <cell r="F449" t="str">
            <v>09-765375750</v>
          </cell>
          <cell r="G449" t="str">
            <v>စမ်းချောင်း</v>
          </cell>
          <cell r="H449" t="str">
            <v>အမှတ် (၃၄)၊ ကျိုက်လတ်လမ်း၊ စမ်းချောင်းမြို့နယ်</v>
          </cell>
          <cell r="I449">
            <v>29700</v>
          </cell>
          <cell r="J449">
            <v>4000</v>
          </cell>
          <cell r="K449">
            <v>33700</v>
          </cell>
          <cell r="L449">
            <v>4000</v>
          </cell>
          <cell r="M449">
            <v>4000</v>
          </cell>
          <cell r="O449" t="str">
            <v>-</v>
          </cell>
          <cell r="P449">
            <v>33700</v>
          </cell>
        </row>
        <row r="450">
          <cell r="C450" t="str">
            <v>D0904-KAL-077</v>
          </cell>
          <cell r="D450" t="str">
            <v>ခင့်အလှူ</v>
          </cell>
          <cell r="E450" t="str">
            <v>Khin Khin Mone</v>
          </cell>
          <cell r="F450" t="str">
            <v>09-420157683</v>
          </cell>
          <cell r="G450" t="str">
            <v>အင်းစိန်</v>
          </cell>
          <cell r="H450" t="str">
            <v>အမှတ် (၃၀)၊ သုခနယ်မြေ (၅)၊ ရွာမအနောက်၊ အင်းစိန်မြို့နယ်</v>
          </cell>
          <cell r="I450">
            <v>42000</v>
          </cell>
          <cell r="J450">
            <v>4000</v>
          </cell>
          <cell r="K450">
            <v>46000</v>
          </cell>
          <cell r="L450">
            <v>4000</v>
          </cell>
          <cell r="M450">
            <v>4000</v>
          </cell>
          <cell r="O450" t="str">
            <v>-</v>
          </cell>
          <cell r="P450">
            <v>46000</v>
          </cell>
        </row>
        <row r="451">
          <cell r="C451" t="str">
            <v>D0904-KAL-080</v>
          </cell>
          <cell r="D451" t="str">
            <v>ခင့်အလှူ</v>
          </cell>
          <cell r="E451" t="str">
            <v>Chaw Su</v>
          </cell>
          <cell r="F451" t="str">
            <v>09-5079675
 09-785079675</v>
          </cell>
          <cell r="G451" t="str">
            <v>ကမာရွတ်</v>
          </cell>
          <cell r="H451" t="str">
            <v>Active Gym၊ ထန်းတပင်လမ်း၊ (ဂမုန်းပွင့် မျက်စောင်းထိုး ရတနာမြိုင်အိမ်ရာဆိုင်းဘုတ် တည့်တည့်ဝင် လမ်းဆုံးလျှင် တွေ့မည်)၊ ကမာရွတ်မြို့နယ်</v>
          </cell>
          <cell r="I451">
            <v>29700</v>
          </cell>
          <cell r="J451">
            <v>4000</v>
          </cell>
          <cell r="K451">
            <v>33700</v>
          </cell>
          <cell r="L451">
            <v>4000</v>
          </cell>
          <cell r="M451">
            <v>4000</v>
          </cell>
          <cell r="O451" t="str">
            <v>-</v>
          </cell>
          <cell r="P451">
            <v>33700</v>
          </cell>
        </row>
        <row r="452">
          <cell r="C452" t="str">
            <v>D0904-KAL-082</v>
          </cell>
          <cell r="D452" t="str">
            <v>ခင့်အလှူ</v>
          </cell>
          <cell r="E452" t="str">
            <v>Zin Zin</v>
          </cell>
          <cell r="F452" t="str">
            <v>09-773248208</v>
          </cell>
          <cell r="G452" t="str">
            <v>ရွှေပြည်သာ</v>
          </cell>
          <cell r="H452" t="str">
            <v>ယင်းမာပင်လမ်း၊ (၁၂) ရပ်ကွက်၊ ရွှေပြည်သာမြို့နယ်</v>
          </cell>
          <cell r="I452">
            <v>18000</v>
          </cell>
          <cell r="J452">
            <v>4500</v>
          </cell>
          <cell r="K452">
            <v>22500</v>
          </cell>
          <cell r="L452">
            <v>4500</v>
          </cell>
          <cell r="M452">
            <v>4500</v>
          </cell>
          <cell r="O452" t="str">
            <v>-</v>
          </cell>
          <cell r="P452">
            <v>22500</v>
          </cell>
        </row>
        <row r="453">
          <cell r="C453" t="str">
            <v>D0904-KAL-084</v>
          </cell>
          <cell r="D453" t="str">
            <v>ခင့်အလှူ</v>
          </cell>
          <cell r="E453" t="str">
            <v>Nilar Soe</v>
          </cell>
          <cell r="F453" t="str">
            <v>09-772897855
 09-795574409</v>
          </cell>
          <cell r="G453" t="str">
            <v>လှိုင်</v>
          </cell>
          <cell r="H453" t="str">
            <v>အမှတ် (၁၃၁)၊ အခန်း (4B)၊ သုခလမ်း၊ (စ) လုံးလမ်းသွယ်၊ (၅၁) လမ်း၊ (၆) ရပ်ကွက်၊ လှိုင်မြို့နယ်</v>
          </cell>
          <cell r="I453" t="str">
            <v>-</v>
          </cell>
          <cell r="J453">
            <v>4000</v>
          </cell>
          <cell r="K453">
            <v>4000</v>
          </cell>
          <cell r="L453">
            <v>4000</v>
          </cell>
          <cell r="M453">
            <v>4000</v>
          </cell>
          <cell r="O453" t="str">
            <v>-</v>
          </cell>
          <cell r="P453">
            <v>4000</v>
          </cell>
        </row>
        <row r="454">
          <cell r="C454" t="str">
            <v>D0904-KAL-085</v>
          </cell>
          <cell r="D454" t="str">
            <v>ခင့်အလှူ</v>
          </cell>
          <cell r="E454" t="str">
            <v>Moh Moh Thu</v>
          </cell>
          <cell r="F454" t="str">
            <v>09-421728231</v>
          </cell>
          <cell r="G454" t="str">
            <v>မြောက်ဥက္ကလာပ</v>
          </cell>
          <cell r="H454" t="str">
            <v>အမှတ် (၁၉၃)၊ နှင်းဆီ (၁) လမ်း၊ (၁၇) ရပ်ကွက်၊ ရွှေပေါက်ကံ၊ မြောက်ဥက္ကလာပမြို့နယ်</v>
          </cell>
          <cell r="I454">
            <v>28500</v>
          </cell>
          <cell r="J454">
            <v>4500</v>
          </cell>
          <cell r="K454">
            <v>33000</v>
          </cell>
          <cell r="L454">
            <v>4500</v>
          </cell>
          <cell r="M454">
            <v>4500</v>
          </cell>
          <cell r="O454" t="str">
            <v>-</v>
          </cell>
          <cell r="P454">
            <v>33000</v>
          </cell>
        </row>
        <row r="455">
          <cell r="C455" t="str">
            <v>D0904-KAL-095</v>
          </cell>
          <cell r="D455" t="str">
            <v>ခင့်အလှူ</v>
          </cell>
          <cell r="E455" t="str">
            <v>Goddness</v>
          </cell>
          <cell r="F455" t="str">
            <v>09-403047780
 09-261242848</v>
          </cell>
          <cell r="G455" t="str">
            <v>ဒေါပုံ</v>
          </cell>
          <cell r="H455" t="str">
            <v>အမှတ် (၁၀၇)၊ စံပြ (၃) လမ်း၊ ဒေါပုံမြို့နယ်</v>
          </cell>
          <cell r="I455">
            <v>96000</v>
          </cell>
          <cell r="J455">
            <v>4000</v>
          </cell>
          <cell r="K455">
            <v>100000</v>
          </cell>
          <cell r="L455">
            <v>4000</v>
          </cell>
          <cell r="M455">
            <v>4000</v>
          </cell>
          <cell r="N455">
            <v>7</v>
          </cell>
          <cell r="O455">
            <v>2000</v>
          </cell>
          <cell r="P455">
            <v>102000</v>
          </cell>
        </row>
        <row r="456">
          <cell r="C456" t="str">
            <v>D0904-KAL-097</v>
          </cell>
          <cell r="D456" t="str">
            <v>ခင့်အလှူ</v>
          </cell>
          <cell r="E456" t="str">
            <v>Moh Moh Thu</v>
          </cell>
          <cell r="F456" t="str">
            <v>09-421728231</v>
          </cell>
          <cell r="G456" t="str">
            <v>မြောက်ဥက္ကလာပ</v>
          </cell>
          <cell r="H456" t="str">
            <v>အမှတ် (၁၉၃)၊ နှင်းဆီ (၁) လမ်း၊ (၁၇) ရပ်ကွက်၊ ရွှေပေါက်ကံ၊ မြောက်ဥက္ကလာပမြို့နယ်</v>
          </cell>
          <cell r="I456">
            <v>21000</v>
          </cell>
          <cell r="J456">
            <v>4500</v>
          </cell>
          <cell r="K456">
            <v>25500</v>
          </cell>
          <cell r="L456">
            <v>4500</v>
          </cell>
          <cell r="M456">
            <v>4500</v>
          </cell>
          <cell r="O456" t="str">
            <v>-</v>
          </cell>
          <cell r="P456">
            <v>25500</v>
          </cell>
        </row>
        <row r="457">
          <cell r="C457" t="str">
            <v>D0904-KAL-098</v>
          </cell>
          <cell r="D457" t="str">
            <v>ခင့်အလှူ</v>
          </cell>
          <cell r="E457" t="str">
            <v>Mya Khwar Nyo</v>
          </cell>
          <cell r="F457" t="str">
            <v>09-974820868</v>
          </cell>
          <cell r="G457" t="str">
            <v>အင်းစိန်</v>
          </cell>
          <cell r="H457" t="str">
            <v>အမှတ် (၆၄၁)၊ ညောင်တစ်ပင်လမ်း၊ အောင်ဆန်းရပ်ကွက်၊ အင်းစိန်မြို့နယ်</v>
          </cell>
          <cell r="I457">
            <v>28500</v>
          </cell>
          <cell r="J457">
            <v>4000</v>
          </cell>
          <cell r="K457">
            <v>32500</v>
          </cell>
          <cell r="L457">
            <v>4000</v>
          </cell>
          <cell r="M457">
            <v>4000</v>
          </cell>
          <cell r="O457" t="str">
            <v>-</v>
          </cell>
          <cell r="P457">
            <v>32500</v>
          </cell>
        </row>
        <row r="458">
          <cell r="C458" t="str">
            <v>D0904-KAL-099</v>
          </cell>
          <cell r="D458" t="str">
            <v>ခင့်အလှူ</v>
          </cell>
          <cell r="E458" t="str">
            <v>Myo Htay</v>
          </cell>
          <cell r="F458" t="str">
            <v>09-965190406</v>
          </cell>
          <cell r="G458" t="str">
            <v>သင်္ဃန်းကျွန်း</v>
          </cell>
          <cell r="H458" t="str">
            <v>(ဇ/မြောက်) ရပ်ကွက်၊ (အသင်းတိုက်မှတ်တိုင်အနီး)၊ သင်္ဃန်းကျွန်းမြို့နယ်</v>
          </cell>
          <cell r="I458">
            <v>45000</v>
          </cell>
          <cell r="J458">
            <v>4000</v>
          </cell>
          <cell r="K458">
            <v>49000</v>
          </cell>
          <cell r="L458">
            <v>4000</v>
          </cell>
          <cell r="M458">
            <v>4000</v>
          </cell>
          <cell r="O458" t="str">
            <v>-</v>
          </cell>
          <cell r="P458">
            <v>49000</v>
          </cell>
        </row>
        <row r="459">
          <cell r="C459" t="str">
            <v>D0904-GGS-113</v>
          </cell>
          <cell r="D459" t="str">
            <v>The Gadget Store</v>
          </cell>
          <cell r="E459" t="str">
            <v>Zeck</v>
          </cell>
          <cell r="F459" t="str">
            <v>09-692916160</v>
          </cell>
          <cell r="G459" t="str">
            <v>ဒေါပုံ</v>
          </cell>
          <cell r="H459" t="str">
            <v>မဏ္ဍိုင်လမ်း၊ ဝါဆိုရပ်ကွက်၊ ဒေါပုံမြို့နယ်</v>
          </cell>
          <cell r="I459" t="str">
            <v>-</v>
          </cell>
          <cell r="J459">
            <v>4000</v>
          </cell>
          <cell r="K459">
            <v>4000</v>
          </cell>
          <cell r="L459">
            <v>4000</v>
          </cell>
          <cell r="M459">
            <v>4000</v>
          </cell>
          <cell r="O459" t="str">
            <v>-</v>
          </cell>
          <cell r="P459">
            <v>4000</v>
          </cell>
        </row>
        <row r="460">
          <cell r="C460" t="str">
            <v>D0904-GGS-122</v>
          </cell>
          <cell r="D460" t="str">
            <v>The Gadget Store</v>
          </cell>
          <cell r="E460" t="str">
            <v>Mya Thin Kyu</v>
          </cell>
          <cell r="F460" t="str">
            <v>09-458833310</v>
          </cell>
          <cell r="G460" t="str">
            <v>ရွှေပြည်သာ</v>
          </cell>
          <cell r="H460" t="str">
            <v>အမှတ် (377A)၊ မဟာမြိုင်လမ်း၊ ရွှေပြည်သာမြို့နယ်</v>
          </cell>
          <cell r="I460" t="str">
            <v>-</v>
          </cell>
          <cell r="J460">
            <v>4500</v>
          </cell>
          <cell r="K460">
            <v>4500</v>
          </cell>
          <cell r="L460">
            <v>4500</v>
          </cell>
          <cell r="M460">
            <v>4500</v>
          </cell>
          <cell r="O460" t="str">
            <v>-</v>
          </cell>
          <cell r="P460">
            <v>4500</v>
          </cell>
        </row>
        <row r="461">
          <cell r="C461" t="str">
            <v>D0904-GGS-126</v>
          </cell>
          <cell r="D461" t="str">
            <v>The Gadget Store</v>
          </cell>
          <cell r="E461" t="str">
            <v>Ki Ki</v>
          </cell>
          <cell r="F461" t="str">
            <v>09-662528655
 09-662578655</v>
          </cell>
          <cell r="G461" t="str">
            <v>သာကေတ</v>
          </cell>
          <cell r="H461" t="str">
            <v>အမှတ် (945A)၊ ရှုခင်းသာမြို့ပတ်လမ်း၊ သာကေတမြို့နယ်</v>
          </cell>
          <cell r="I461">
            <v>20800</v>
          </cell>
          <cell r="J461">
            <v>4000</v>
          </cell>
          <cell r="K461">
            <v>24800</v>
          </cell>
          <cell r="L461">
            <v>4000</v>
          </cell>
          <cell r="M461">
            <v>4000</v>
          </cell>
          <cell r="O461" t="str">
            <v>-</v>
          </cell>
          <cell r="P461">
            <v>24800</v>
          </cell>
        </row>
        <row r="462">
          <cell r="C462" t="str">
            <v>D0904-GGS-130</v>
          </cell>
          <cell r="D462" t="str">
            <v>The Gadget Store</v>
          </cell>
          <cell r="E462" t="str">
            <v>Aye Chan moe</v>
          </cell>
          <cell r="F462" t="str">
            <v>09-781825778</v>
          </cell>
          <cell r="G462" t="str">
            <v>ကြည့်မြင်တိုင်</v>
          </cell>
          <cell r="H462" t="str">
            <v>ကမ်းသာယာပလာဇာကွန်ဒို၊ ကမ်းနားလမ်း၊ ကြည့်မြင်တိုင်မြို့နယ်</v>
          </cell>
          <cell r="I462">
            <v>22000</v>
          </cell>
          <cell r="J462">
            <v>4000</v>
          </cell>
          <cell r="K462">
            <v>26000</v>
          </cell>
          <cell r="L462">
            <v>4000</v>
          </cell>
          <cell r="M462">
            <v>4000</v>
          </cell>
          <cell r="O462" t="str">
            <v>-</v>
          </cell>
          <cell r="P462">
            <v>26000</v>
          </cell>
        </row>
        <row r="463">
          <cell r="C463" t="str">
            <v>D0904-GGS-132</v>
          </cell>
          <cell r="D463" t="str">
            <v>The Gadget Store</v>
          </cell>
          <cell r="E463" t="str">
            <v>စန်းပပသင်း</v>
          </cell>
          <cell r="F463" t="str">
            <v>09-255475959
 09-755475759</v>
          </cell>
          <cell r="G463" t="str">
            <v>တာမွေ</v>
          </cell>
          <cell r="H463" t="str">
            <v>အမှတ် (၁၉၇)၊ စက်မှု (၃) လမ်းသွယ် (၂)၊ မေတ္တာညွန့်ရပ်ကွက်၊ တာမွေမြို့နယ်</v>
          </cell>
          <cell r="I463">
            <v>22000</v>
          </cell>
          <cell r="J463">
            <v>4000</v>
          </cell>
          <cell r="K463">
            <v>26000</v>
          </cell>
          <cell r="L463">
            <v>4000</v>
          </cell>
          <cell r="M463">
            <v>4000</v>
          </cell>
          <cell r="O463" t="str">
            <v>-</v>
          </cell>
          <cell r="P463">
            <v>26000</v>
          </cell>
        </row>
        <row r="464">
          <cell r="C464" t="str">
            <v>D0904-GGS-134</v>
          </cell>
          <cell r="D464" t="str">
            <v>The Gadget Store</v>
          </cell>
          <cell r="E464" t="str">
            <v>နန်းအိဝါ</v>
          </cell>
          <cell r="F464" t="str">
            <v>09-400243723</v>
          </cell>
          <cell r="G464" t="str">
            <v>ဒေါပုံ</v>
          </cell>
          <cell r="H464" t="str">
            <v>အမှတ် (၉)၊ မင်္ဂလာသီရိလမ်း၊ ဒေါပုံမြို့နယ်</v>
          </cell>
          <cell r="I464">
            <v>22000</v>
          </cell>
          <cell r="J464">
            <v>4000</v>
          </cell>
          <cell r="K464">
            <v>26000</v>
          </cell>
          <cell r="L464">
            <v>4000</v>
          </cell>
          <cell r="M464">
            <v>4000</v>
          </cell>
          <cell r="O464" t="str">
            <v>-</v>
          </cell>
          <cell r="P464">
            <v>26000</v>
          </cell>
        </row>
        <row r="465">
          <cell r="C465" t="str">
            <v>D0904-GGS-136</v>
          </cell>
          <cell r="D465" t="str">
            <v>The Gadget Store</v>
          </cell>
          <cell r="E465" t="str">
            <v>Tain Yan Khoon Sit</v>
          </cell>
          <cell r="F465" t="str">
            <v>09-980280253</v>
          </cell>
          <cell r="G465" t="str">
            <v>သာကေတ</v>
          </cell>
          <cell r="H465" t="str">
            <v>ရှုခင်းသာအိမ်ရာ၊ သာကေတမြို့နယ်</v>
          </cell>
          <cell r="I465">
            <v>23800</v>
          </cell>
          <cell r="J465">
            <v>4000</v>
          </cell>
          <cell r="K465">
            <v>27800</v>
          </cell>
          <cell r="L465">
            <v>4000</v>
          </cell>
          <cell r="M465">
            <v>4000</v>
          </cell>
          <cell r="O465" t="str">
            <v>-</v>
          </cell>
          <cell r="P465">
            <v>27800</v>
          </cell>
        </row>
        <row r="466">
          <cell r="C466" t="str">
            <v>D0904-GGS-137</v>
          </cell>
          <cell r="D466" t="str">
            <v>The Gadget Store</v>
          </cell>
          <cell r="E466" t="str">
            <v>အာနိသိုဝမ်</v>
          </cell>
          <cell r="F466" t="str">
            <v>09-421163726
 09-421163776</v>
          </cell>
          <cell r="G466" t="str">
            <v>ကြည့်မြင်တိုင်</v>
          </cell>
          <cell r="H466" t="str">
            <v>ကြည့်မြင်တိုင်ညဈေး၊ ကြည့်မြင်တိုင်မြို့နယ်</v>
          </cell>
          <cell r="I466">
            <v>19800</v>
          </cell>
          <cell r="J466">
            <v>4000</v>
          </cell>
          <cell r="K466">
            <v>23800</v>
          </cell>
          <cell r="L466">
            <v>4000</v>
          </cell>
          <cell r="M466">
            <v>4000</v>
          </cell>
          <cell r="O466" t="str">
            <v>-</v>
          </cell>
          <cell r="P466">
            <v>23800</v>
          </cell>
        </row>
        <row r="467">
          <cell r="C467" t="str">
            <v>D0904-GGS-139</v>
          </cell>
          <cell r="D467" t="str">
            <v>The Gadget Store</v>
          </cell>
          <cell r="E467" t="str">
            <v>Ellie</v>
          </cell>
          <cell r="F467" t="str">
            <v>09-5040328</v>
          </cell>
          <cell r="G467" t="str">
            <v>မင်္ဂလာဒုံ</v>
          </cell>
          <cell r="H467" t="str">
            <v>Shal Minimart၊ အမှတ် (၁၅၉)၊ ကရင်ရင်းလမ်း၊ မင်္ဂလာဒုံမြို့နယ်</v>
          </cell>
          <cell r="I467" t="str">
            <v>-</v>
          </cell>
          <cell r="J467">
            <v>4500</v>
          </cell>
          <cell r="K467">
            <v>4500</v>
          </cell>
          <cell r="L467">
            <v>4500</v>
          </cell>
          <cell r="M467">
            <v>4500</v>
          </cell>
          <cell r="O467" t="str">
            <v>-</v>
          </cell>
          <cell r="P467">
            <v>4500</v>
          </cell>
        </row>
        <row r="468">
          <cell r="C468" t="str">
            <v>D0904-GGS-143</v>
          </cell>
          <cell r="D468" t="str">
            <v>The Gadget Store</v>
          </cell>
          <cell r="E468" t="str">
            <v>Su</v>
          </cell>
          <cell r="F468" t="str">
            <v>09-767236769</v>
          </cell>
          <cell r="G468" t="str">
            <v>မြောက်ဥက္ကလာပ</v>
          </cell>
          <cell r="H468" t="str">
            <v>အမှတ် (၄၈)၊ စံပယ်လမ်း၊ (၁၇) ရပ်ကွက်၊ ရွှေပေါက်ကံ၊ မြောက်ဥက္ကလာပမြို့နယ်</v>
          </cell>
          <cell r="I468" t="str">
            <v>-</v>
          </cell>
          <cell r="J468">
            <v>4500</v>
          </cell>
          <cell r="K468">
            <v>4500</v>
          </cell>
          <cell r="L468">
            <v>4500</v>
          </cell>
          <cell r="M468">
            <v>4500</v>
          </cell>
          <cell r="O468" t="str">
            <v>-</v>
          </cell>
          <cell r="P468">
            <v>4500</v>
          </cell>
        </row>
        <row r="469">
          <cell r="C469" t="str">
            <v>D0904-GGS-163</v>
          </cell>
          <cell r="D469" t="str">
            <v>The Gadget Store</v>
          </cell>
          <cell r="E469" t="str">
            <v>Zee Kwet</v>
          </cell>
          <cell r="F469" t="str">
            <v>09-9702111799</v>
          </cell>
          <cell r="G469" t="str">
            <v>မြောက်ဒဂုံ</v>
          </cell>
          <cell r="H469" t="str">
            <v>အမှတ် (၈၀၃)၊ ဗထူးအိမ်ရာ၊ မြောက်ဒဂုံမြို့နယ်</v>
          </cell>
          <cell r="I469" t="str">
            <v>-</v>
          </cell>
          <cell r="J469">
            <v>4000</v>
          </cell>
          <cell r="K469">
            <v>4000</v>
          </cell>
          <cell r="L469">
            <v>4000</v>
          </cell>
          <cell r="M469">
            <v>4000</v>
          </cell>
          <cell r="O469" t="str">
            <v>-</v>
          </cell>
          <cell r="P469">
            <v>4000</v>
          </cell>
        </row>
        <row r="470">
          <cell r="C470" t="str">
            <v>D0904-GGS-164</v>
          </cell>
          <cell r="D470" t="str">
            <v>The Gadget Store</v>
          </cell>
          <cell r="E470" t="str">
            <v>Thet htar San</v>
          </cell>
          <cell r="F470" t="str">
            <v>09-787347209</v>
          </cell>
          <cell r="G470" t="str">
            <v>မရမ်းကုန်း</v>
          </cell>
          <cell r="H470" t="str">
            <v>အမှတ် (၆၅)၊ ကျိုက်ဝိုင်းဘုရားလမ်း၊ မရမ်းကုန်းမြို့နယ်</v>
          </cell>
          <cell r="I470" t="str">
            <v>-</v>
          </cell>
          <cell r="J470" t="str">
            <v>-</v>
          </cell>
          <cell r="K470" t="str">
            <v>-</v>
          </cell>
          <cell r="L470">
            <v>4000</v>
          </cell>
          <cell r="M470" t="str">
            <v>-</v>
          </cell>
          <cell r="O470" t="str">
            <v>-</v>
          </cell>
          <cell r="P470" t="str">
            <v>-</v>
          </cell>
        </row>
        <row r="471">
          <cell r="C471" t="str">
            <v>D0904-GGS-165</v>
          </cell>
          <cell r="D471" t="str">
            <v>The Gadget Store</v>
          </cell>
          <cell r="E471" t="str">
            <v>Phyu Hnin May</v>
          </cell>
          <cell r="F471" t="str">
            <v>09-400111902</v>
          </cell>
          <cell r="G471" t="str">
            <v>ကြည့်မြင်တိုင်</v>
          </cell>
          <cell r="H471" t="str">
            <v>သာဓုလမ်း၊ ကြည့်မြင်တိုင်မြို့နယ်</v>
          </cell>
          <cell r="I471" t="str">
            <v>-</v>
          </cell>
          <cell r="J471" t="str">
            <v>-</v>
          </cell>
          <cell r="K471" t="str">
            <v>-</v>
          </cell>
          <cell r="L471">
            <v>4000</v>
          </cell>
          <cell r="M471" t="str">
            <v>-</v>
          </cell>
          <cell r="O471" t="str">
            <v>-</v>
          </cell>
          <cell r="P471" t="str">
            <v>-</v>
          </cell>
        </row>
        <row r="472">
          <cell r="C472" t="str">
            <v>D0904-GGS-176</v>
          </cell>
          <cell r="D472" t="str">
            <v>The Gadget Store</v>
          </cell>
          <cell r="E472" t="str">
            <v>Ei Phyu</v>
          </cell>
          <cell r="F472" t="str">
            <v>09-765576558</v>
          </cell>
          <cell r="G472" t="str">
            <v>ရွှေပြည်သာ</v>
          </cell>
          <cell r="H472" t="str">
            <v>သာဓုကန်၊ ဇေယျာသီရိ၊ ရွှေပြည်သာမြို့နယ်</v>
          </cell>
          <cell r="I472">
            <v>45000</v>
          </cell>
          <cell r="J472">
            <v>4500</v>
          </cell>
          <cell r="K472">
            <v>49500</v>
          </cell>
          <cell r="L472">
            <v>4500</v>
          </cell>
          <cell r="M472">
            <v>4500</v>
          </cell>
          <cell r="O472" t="str">
            <v>-</v>
          </cell>
          <cell r="P472">
            <v>49500</v>
          </cell>
        </row>
        <row r="473">
          <cell r="C473" t="str">
            <v>D0904-GGS-182</v>
          </cell>
          <cell r="D473" t="str">
            <v>The Gadget Store</v>
          </cell>
          <cell r="E473" t="str">
            <v>မနုနုရီ</v>
          </cell>
          <cell r="F473" t="str">
            <v>09-795339624</v>
          </cell>
          <cell r="G473" t="str">
            <v>ပန်းဘဲတန်း</v>
          </cell>
          <cell r="H473" t="str">
            <v>အမှတ် (၅၃၂/၅၄၂)၊ ပထမထပ်၊ (၂၇) လမ်း နှင့် မဟာဗန္ဓုလလမ်းထောင့်၊ ပန်းဘဲတန်းမြို့နယ်</v>
          </cell>
          <cell r="I473">
            <v>26500</v>
          </cell>
          <cell r="J473">
            <v>4000</v>
          </cell>
          <cell r="K473">
            <v>30500</v>
          </cell>
          <cell r="L473">
            <v>4000</v>
          </cell>
          <cell r="M473">
            <v>4000</v>
          </cell>
          <cell r="O473" t="str">
            <v>-</v>
          </cell>
          <cell r="P473">
            <v>30500</v>
          </cell>
        </row>
        <row r="474">
          <cell r="C474" t="str">
            <v>D0904-GGS-186</v>
          </cell>
          <cell r="D474" t="str">
            <v>The Gadget Store</v>
          </cell>
          <cell r="E474" t="str">
            <v>Adalia</v>
          </cell>
          <cell r="F474" t="str">
            <v>09-989816151
 09-939816151</v>
          </cell>
          <cell r="G474" t="str">
            <v>စမ်းချောင်း</v>
          </cell>
          <cell r="H474" t="str">
            <v>တိုက် (၃)၊ ဇလွန်လမ်း၊ စမ်းချောင်းမြို့နယ်</v>
          </cell>
          <cell r="I474">
            <v>22000</v>
          </cell>
          <cell r="J474">
            <v>4000</v>
          </cell>
          <cell r="K474">
            <v>26000</v>
          </cell>
          <cell r="L474">
            <v>4000</v>
          </cell>
          <cell r="M474">
            <v>4000</v>
          </cell>
          <cell r="O474" t="str">
            <v>-</v>
          </cell>
          <cell r="P474">
            <v>26000</v>
          </cell>
        </row>
        <row r="475">
          <cell r="C475" t="str">
            <v>D0904-GGS-190</v>
          </cell>
          <cell r="D475" t="str">
            <v>The Gadget Store</v>
          </cell>
          <cell r="E475" t="str">
            <v>Christine Kim</v>
          </cell>
          <cell r="F475" t="str">
            <v>09-269000181</v>
          </cell>
          <cell r="G475" t="str">
            <v>[ကမာရွတ်]</v>
          </cell>
          <cell r="H475" t="str">
            <v>ပြည်ရိပ်မွန်အိမ်ရာ၊ တိုက် (၂၂)၊ ကမာရွတ်မြို့နယ်</v>
          </cell>
          <cell r="I475" t="str">
            <v>-</v>
          </cell>
          <cell r="J475" t="str">
            <v>-</v>
          </cell>
          <cell r="K475" t="str">
            <v>-</v>
          </cell>
          <cell r="M475" t="str">
            <v>-</v>
          </cell>
          <cell r="O475" t="str">
            <v>-</v>
          </cell>
          <cell r="P475" t="str">
            <v>-</v>
          </cell>
        </row>
        <row r="476">
          <cell r="C476" t="str">
            <v>D0904-GGS-194</v>
          </cell>
          <cell r="D476" t="str">
            <v>The Gadget Store</v>
          </cell>
          <cell r="E476" t="str">
            <v>Linn Soe Ko</v>
          </cell>
          <cell r="F476" t="str">
            <v>09-756828210</v>
          </cell>
          <cell r="G476" t="str">
            <v>တာမွေ</v>
          </cell>
          <cell r="H476" t="str">
            <v>အမှတ် (၁၃၇)၊ မအူကုန်းလမ်းကျယ်၊ တာမွေမြို့နယ်</v>
          </cell>
          <cell r="I476">
            <v>22000</v>
          </cell>
          <cell r="J476">
            <v>4000</v>
          </cell>
          <cell r="K476">
            <v>26000</v>
          </cell>
          <cell r="L476">
            <v>4000</v>
          </cell>
          <cell r="M476">
            <v>4000</v>
          </cell>
          <cell r="O476" t="str">
            <v>-</v>
          </cell>
          <cell r="P476">
            <v>26000</v>
          </cell>
        </row>
        <row r="477">
          <cell r="C477" t="str">
            <v>D0904-GGS-199</v>
          </cell>
          <cell r="D477" t="str">
            <v>The Gadget Store</v>
          </cell>
          <cell r="E477" t="str">
            <v>Soe Thiri Aung</v>
          </cell>
          <cell r="F477" t="str">
            <v>09-2564750115</v>
          </cell>
          <cell r="G477" t="str">
            <v>ကမာရွတ်</v>
          </cell>
          <cell r="H477" t="str">
            <v>တိုက် (၁၇)၊ ဗဟိုလမ်း၊ လှည်းတန်း၊ (ဆိုက်ကားဂိတ်မှတ်တိုင်)၊ ကမာရွတ်မြို့နယ်</v>
          </cell>
          <cell r="I477" t="str">
            <v>-</v>
          </cell>
          <cell r="J477">
            <v>4000</v>
          </cell>
          <cell r="K477">
            <v>4000</v>
          </cell>
          <cell r="L477">
            <v>4000</v>
          </cell>
          <cell r="M477">
            <v>4000</v>
          </cell>
          <cell r="O477" t="str">
            <v>-</v>
          </cell>
          <cell r="P477">
            <v>4000</v>
          </cell>
        </row>
        <row r="478">
          <cell r="C478" t="str">
            <v>D0904-GGS-200</v>
          </cell>
          <cell r="D478" t="str">
            <v>The Gadget Store</v>
          </cell>
          <cell r="E478" t="str">
            <v>Pyae Mon Mon Ko</v>
          </cell>
          <cell r="F478" t="str">
            <v>09-791269041</v>
          </cell>
          <cell r="G478" t="str">
            <v>ဗိုလ်တထောင်</v>
          </cell>
          <cell r="H478" t="str">
            <v>အမှတ် (၁၀/၁၂)၊ မြေညီထပ်၊ (၄) ရပ်ကွက်၊ ဗိုလ်တထောင်မြို့နယ်</v>
          </cell>
          <cell r="I478">
            <v>20800</v>
          </cell>
          <cell r="J478">
            <v>4000</v>
          </cell>
          <cell r="K478">
            <v>24800</v>
          </cell>
          <cell r="L478">
            <v>4000</v>
          </cell>
          <cell r="M478">
            <v>4000</v>
          </cell>
          <cell r="O478" t="str">
            <v>-</v>
          </cell>
          <cell r="P478">
            <v>24800</v>
          </cell>
        </row>
        <row r="479">
          <cell r="C479" t="str">
            <v>D0904-GGS-204</v>
          </cell>
          <cell r="D479" t="str">
            <v>The Gadget Store</v>
          </cell>
          <cell r="E479" t="str">
            <v>Eaint Thae</v>
          </cell>
          <cell r="F479" t="str">
            <v>09-955024644</v>
          </cell>
          <cell r="G479" t="str">
            <v>လှိုင်</v>
          </cell>
          <cell r="H479" t="str">
            <v>စီးပွားရေးတက္ကသိုလ်၊ လှိုင်မြို့နယ်</v>
          </cell>
          <cell r="I479">
            <v>57000</v>
          </cell>
          <cell r="J479">
            <v>4000</v>
          </cell>
          <cell r="K479">
            <v>61000</v>
          </cell>
          <cell r="L479">
            <v>4000</v>
          </cell>
          <cell r="M479">
            <v>4000</v>
          </cell>
          <cell r="O479" t="str">
            <v>-</v>
          </cell>
          <cell r="P479">
            <v>61000</v>
          </cell>
        </row>
        <row r="480">
          <cell r="C480" t="str">
            <v>D0904-GGS-211</v>
          </cell>
          <cell r="D480" t="str">
            <v>The Gadget Store</v>
          </cell>
          <cell r="E480" t="str">
            <v>ဝေဝေကျော်</v>
          </cell>
          <cell r="F480" t="str">
            <v>09-975392284</v>
          </cell>
          <cell r="G480" t="str">
            <v>သာကေတ</v>
          </cell>
          <cell r="H480" t="str">
            <v>အမှတ် (၅၈)၊ ပတ္တမြားလမ်း၊ (ခိုင်ရွှေဝါမှတ်တိုင်)၊ သာကေတမြို့နယ်</v>
          </cell>
          <cell r="I480">
            <v>22000</v>
          </cell>
          <cell r="J480">
            <v>4000</v>
          </cell>
          <cell r="K480">
            <v>26000</v>
          </cell>
          <cell r="L480">
            <v>4000</v>
          </cell>
          <cell r="M480">
            <v>4000</v>
          </cell>
          <cell r="O480" t="str">
            <v>-</v>
          </cell>
          <cell r="P480">
            <v>26000</v>
          </cell>
        </row>
        <row r="481">
          <cell r="C481" t="str">
            <v>D0904-GGS-212</v>
          </cell>
          <cell r="D481" t="str">
            <v>The Gadget Store</v>
          </cell>
          <cell r="E481" t="str">
            <v>Thin Htet Htet Aung</v>
          </cell>
          <cell r="F481" t="str">
            <v>09-775494112</v>
          </cell>
          <cell r="G481" t="str">
            <v>မြောက်ဥက္ကလာပ</v>
          </cell>
          <cell r="H481" t="str">
            <v>အမှတ် (၂၃၁)၊ ဥက္ကာ (၈) လမ်း၊ (ဆေး ၂ ရှေ့)၊ မြောက်ဥက္ကလာပမြို့နယ်</v>
          </cell>
          <cell r="I481">
            <v>22800</v>
          </cell>
          <cell r="J481">
            <v>4500</v>
          </cell>
          <cell r="K481">
            <v>27300</v>
          </cell>
          <cell r="L481">
            <v>4500</v>
          </cell>
          <cell r="M481">
            <v>4500</v>
          </cell>
          <cell r="O481" t="str">
            <v>-</v>
          </cell>
          <cell r="P481">
            <v>27300</v>
          </cell>
        </row>
        <row r="482">
          <cell r="C482" t="str">
            <v>D0904-GGS-213</v>
          </cell>
          <cell r="D482" t="str">
            <v>The Gadget Store</v>
          </cell>
          <cell r="E482" t="str">
            <v>Thazin Phoo</v>
          </cell>
          <cell r="F482" t="str">
            <v>09-885107524</v>
          </cell>
          <cell r="G482" t="str">
            <v>သာကေတ</v>
          </cell>
          <cell r="H482" t="str">
            <v>အမှတ် (၂၄/၂၆)၊ ပထမထပ်၊ ရန်အောင်လမ်း၊ (၃/ရန်ပြေ)၊ သာကေတမြို့နယ်</v>
          </cell>
          <cell r="I482">
            <v>19500</v>
          </cell>
          <cell r="J482">
            <v>4000</v>
          </cell>
          <cell r="K482">
            <v>23500</v>
          </cell>
          <cell r="L482">
            <v>4000</v>
          </cell>
          <cell r="M482">
            <v>4000</v>
          </cell>
          <cell r="O482" t="str">
            <v>-</v>
          </cell>
          <cell r="P482">
            <v>23500</v>
          </cell>
        </row>
        <row r="483">
          <cell r="C483" t="str">
            <v>D0904-GGS-217</v>
          </cell>
          <cell r="D483" t="str">
            <v>The Gadget Store</v>
          </cell>
          <cell r="E483" t="str">
            <v>ဂျာဆိုင်းမွန်း</v>
          </cell>
          <cell r="F483" t="str">
            <v>09-799012692</v>
          </cell>
          <cell r="G483" t="str">
            <v>စမ်းချောင်း</v>
          </cell>
          <cell r="H483" t="str">
            <v>ဗဟိုလမ်း၊ (YGN Gym အနီး)၊ စမ်းချောင်းမြို့နယ်</v>
          </cell>
          <cell r="I483">
            <v>20500</v>
          </cell>
          <cell r="J483">
            <v>4000</v>
          </cell>
          <cell r="K483">
            <v>24500</v>
          </cell>
          <cell r="L483">
            <v>4000</v>
          </cell>
          <cell r="M483">
            <v>4000</v>
          </cell>
          <cell r="O483" t="str">
            <v>-</v>
          </cell>
          <cell r="P483">
            <v>24500</v>
          </cell>
        </row>
        <row r="484">
          <cell r="C484" t="str">
            <v>D0904-GGS-218</v>
          </cell>
          <cell r="D484" t="str">
            <v>The Gadget Store</v>
          </cell>
          <cell r="E484" t="str">
            <v>Moe Wai Hin</v>
          </cell>
          <cell r="F484" t="str">
            <v>09-760389418</v>
          </cell>
          <cell r="G484" t="str">
            <v>တောင်ဥက္ကလာပ</v>
          </cell>
          <cell r="H484" t="str">
            <v>(စီမံကိန်းမှတ်တိုင်အနီး)၊ တောင်ဥက္ကလာပမြို့နယ်</v>
          </cell>
          <cell r="I484" t="str">
            <v>-</v>
          </cell>
          <cell r="J484">
            <v>4000</v>
          </cell>
          <cell r="K484">
            <v>4000</v>
          </cell>
          <cell r="L484">
            <v>4000</v>
          </cell>
          <cell r="M484">
            <v>4000</v>
          </cell>
          <cell r="O484" t="str">
            <v>-</v>
          </cell>
          <cell r="P484">
            <v>4000</v>
          </cell>
        </row>
        <row r="485">
          <cell r="C485" t="str">
            <v>D0904-GGS-223</v>
          </cell>
          <cell r="D485" t="str">
            <v>The Gadget Store</v>
          </cell>
          <cell r="E485" t="str">
            <v>Phyo Myat</v>
          </cell>
          <cell r="F485" t="str">
            <v>09-768960629</v>
          </cell>
          <cell r="G485" t="str">
            <v>မင်္ဂလာဒုံ</v>
          </cell>
          <cell r="H485" t="str">
            <v>ထောက်ကြန့်တိုးချဲ့ (၃) ရပ်ကွက်၊ မင်္ဂလာဒုံမြို့နယ်</v>
          </cell>
          <cell r="I485" t="str">
            <v>-</v>
          </cell>
          <cell r="J485">
            <v>4500</v>
          </cell>
          <cell r="K485">
            <v>4500</v>
          </cell>
          <cell r="L485">
            <v>4500</v>
          </cell>
          <cell r="M485">
            <v>4500</v>
          </cell>
          <cell r="O485" t="str">
            <v>-</v>
          </cell>
          <cell r="P485">
            <v>4500</v>
          </cell>
        </row>
        <row r="486">
          <cell r="C486" t="str">
            <v>D0904-GGS-229</v>
          </cell>
          <cell r="D486" t="str">
            <v>The Gadget Store</v>
          </cell>
          <cell r="E486" t="str">
            <v>Emma</v>
          </cell>
          <cell r="F486" t="str">
            <v>09-454200264</v>
          </cell>
          <cell r="G486" t="str">
            <v>မင်္ဂလာဒုံ</v>
          </cell>
          <cell r="H486" t="str">
            <v>အမှတ် (၂၃၉)၊ ကံ့ကော်ရိပ်သာ (၁) လမ်း၊ မင်္ဂလာဒုံမြို့နယ်</v>
          </cell>
          <cell r="I486">
            <v>19800</v>
          </cell>
          <cell r="J486">
            <v>4500</v>
          </cell>
          <cell r="K486">
            <v>24300</v>
          </cell>
          <cell r="L486">
            <v>4500</v>
          </cell>
          <cell r="M486">
            <v>4500</v>
          </cell>
          <cell r="O486" t="str">
            <v>-</v>
          </cell>
          <cell r="P486">
            <v>24300</v>
          </cell>
        </row>
        <row r="487">
          <cell r="C487" t="str">
            <v>D0904-GGS-230</v>
          </cell>
          <cell r="D487" t="str">
            <v>The Gadget Store</v>
          </cell>
          <cell r="E487" t="str">
            <v>Zun Wady</v>
          </cell>
          <cell r="F487" t="str">
            <v>09-960944306
 09-775427294</v>
          </cell>
          <cell r="G487" t="str">
            <v>မြောက်ဥက္ကလာပ</v>
          </cell>
          <cell r="H487" t="str">
            <v>အမှတ် (၆၄၅)၊ အိန္ဒြာ (၅) လမ်း၊ မြောက်ဥက္ကလာပမြို့နယ်</v>
          </cell>
          <cell r="I487">
            <v>30000</v>
          </cell>
          <cell r="J487">
            <v>4500</v>
          </cell>
          <cell r="K487">
            <v>34500</v>
          </cell>
          <cell r="L487">
            <v>4500</v>
          </cell>
          <cell r="M487">
            <v>4500</v>
          </cell>
          <cell r="O487" t="str">
            <v>-</v>
          </cell>
          <cell r="P487">
            <v>34500</v>
          </cell>
        </row>
        <row r="488">
          <cell r="C488" t="str">
            <v>D0904-GGS-235</v>
          </cell>
          <cell r="D488" t="str">
            <v>The Gadget Store</v>
          </cell>
          <cell r="E488" t="str">
            <v>Sandy Kyaw Win</v>
          </cell>
          <cell r="F488" t="str">
            <v>09-895360199</v>
          </cell>
          <cell r="G488" t="str">
            <v>စမ်းချောင်း</v>
          </cell>
          <cell r="H488" t="str">
            <v>အမှတ် (၄၀)၊ သုခလမ်း၊ မြေနီကုန်း၊ စမ်းချောင်းမြို့နယ်</v>
          </cell>
          <cell r="I488">
            <v>22000</v>
          </cell>
          <cell r="J488">
            <v>4000</v>
          </cell>
          <cell r="K488">
            <v>26000</v>
          </cell>
          <cell r="L488">
            <v>4000</v>
          </cell>
          <cell r="M488">
            <v>4000</v>
          </cell>
          <cell r="O488" t="str">
            <v>-</v>
          </cell>
          <cell r="P488">
            <v>26000</v>
          </cell>
        </row>
        <row r="489">
          <cell r="C489" t="str">
            <v>D0904-GGS-238</v>
          </cell>
          <cell r="D489" t="str">
            <v>The Gadget Store</v>
          </cell>
          <cell r="E489" t="str">
            <v>Val Shay</v>
          </cell>
          <cell r="F489" t="str">
            <v>09-667712003</v>
          </cell>
          <cell r="G489" t="str">
            <v>သာကေတ</v>
          </cell>
          <cell r="H489" t="str">
            <v>တိုက် (၁၆)၊ တက်လမ်းအိမ်ရာ၊ ရတနာလမ်း၊ သာကေတမြို့နယ်</v>
          </cell>
          <cell r="I489">
            <v>22000</v>
          </cell>
          <cell r="J489">
            <v>4000</v>
          </cell>
          <cell r="K489">
            <v>26000</v>
          </cell>
          <cell r="L489">
            <v>4000</v>
          </cell>
          <cell r="M489">
            <v>4000</v>
          </cell>
          <cell r="O489" t="str">
            <v>-</v>
          </cell>
          <cell r="P489">
            <v>26000</v>
          </cell>
        </row>
        <row r="490">
          <cell r="C490" t="str">
            <v>D0904-GGS-239</v>
          </cell>
          <cell r="D490" t="str">
            <v>The Gadget Store</v>
          </cell>
          <cell r="E490" t="str">
            <v>Shune Lei Wutyi</v>
          </cell>
          <cell r="F490" t="str">
            <v>09-973357145</v>
          </cell>
          <cell r="G490" t="str">
            <v>ဒေါပုံ</v>
          </cell>
          <cell r="H490" t="str">
            <v>အမှတ် (၆၁)၊ ဗိုလ်တေဇလမ်း၊ ဗိုလ်ထွန်းဇံရပ်ကွက်၊ ဒေါပုံမြို့နယ်</v>
          </cell>
          <cell r="I490">
            <v>20800</v>
          </cell>
          <cell r="J490">
            <v>4000</v>
          </cell>
          <cell r="K490">
            <v>24800</v>
          </cell>
          <cell r="L490">
            <v>4000</v>
          </cell>
          <cell r="M490">
            <v>4000</v>
          </cell>
          <cell r="O490" t="str">
            <v>-</v>
          </cell>
          <cell r="P490">
            <v>24800</v>
          </cell>
        </row>
        <row r="491">
          <cell r="C491" t="str">
            <v>D0904-GGS-242</v>
          </cell>
          <cell r="D491" t="str">
            <v>The Gadget Store</v>
          </cell>
          <cell r="E491" t="str">
            <v>မြဖူးခင်</v>
          </cell>
          <cell r="F491" t="str">
            <v>09-400971144</v>
          </cell>
          <cell r="G491" t="str">
            <v>ရန်ကင်း</v>
          </cell>
          <cell r="H491" t="str">
            <v>တိုက် (၂၉၃)၊ အခန်း (၁၁)၊ ရန်အောင် (၂) လမ်း၊ အရှေ့ရန်ကင်း၊ ရန်ကင်းမြို့နယ်</v>
          </cell>
          <cell r="I491">
            <v>76400</v>
          </cell>
          <cell r="J491">
            <v>4000</v>
          </cell>
          <cell r="K491">
            <v>80400</v>
          </cell>
          <cell r="L491">
            <v>4000</v>
          </cell>
          <cell r="M491">
            <v>4000</v>
          </cell>
          <cell r="O491" t="str">
            <v>-</v>
          </cell>
          <cell r="P491">
            <v>80400</v>
          </cell>
        </row>
        <row r="492">
          <cell r="C492" t="str">
            <v>D0904-GGS-243</v>
          </cell>
          <cell r="D492" t="str">
            <v>The Gadget Store</v>
          </cell>
          <cell r="E492" t="str">
            <v>Molly</v>
          </cell>
          <cell r="F492" t="str">
            <v>09-959943472</v>
          </cell>
          <cell r="G492" t="str">
            <v>ရွှေပြည်သာ</v>
          </cell>
          <cell r="H492" t="str">
            <v>ပန်းခြံ (၃၀) လမ်း၊ တ (၁၅) ရပ်ကွက်၊ ရွှေပြည်သာမြို့နယ်</v>
          </cell>
          <cell r="I492">
            <v>126700</v>
          </cell>
          <cell r="J492">
            <v>4500</v>
          </cell>
          <cell r="K492">
            <v>131200</v>
          </cell>
          <cell r="L492">
            <v>4500</v>
          </cell>
          <cell r="M492">
            <v>4500</v>
          </cell>
          <cell r="O492" t="str">
            <v>-</v>
          </cell>
          <cell r="P492">
            <v>131200</v>
          </cell>
        </row>
        <row r="493">
          <cell r="C493" t="str">
            <v>D0904-SHA-246</v>
          </cell>
          <cell r="D493" t="str">
            <v>မေသျှား</v>
          </cell>
          <cell r="E493" t="str">
            <v>Ma Wyne Cho</v>
          </cell>
          <cell r="F493" t="str">
            <v>09-678601818</v>
          </cell>
          <cell r="G493" t="str">
            <v>မြောက်ဥက္ကလာပ</v>
          </cell>
          <cell r="H493" t="str">
            <v>ခိုင်ရွှေဝါ (၃) လမ်း၊ (ဓမ္မာရုံမှတ်တိုင်နောက်)၊ မြောက်ဥက္ကလာပမြို့နယ်</v>
          </cell>
          <cell r="I493">
            <v>13000</v>
          </cell>
          <cell r="J493">
            <v>4500</v>
          </cell>
          <cell r="K493">
            <v>17500</v>
          </cell>
          <cell r="L493">
            <v>4500</v>
          </cell>
          <cell r="M493">
            <v>4500</v>
          </cell>
          <cell r="O493" t="str">
            <v>-</v>
          </cell>
          <cell r="P493">
            <v>17500</v>
          </cell>
        </row>
        <row r="494">
          <cell r="C494" t="str">
            <v>D0904-SHA-247</v>
          </cell>
          <cell r="D494" t="str">
            <v>မေသျှား</v>
          </cell>
          <cell r="E494" t="str">
            <v>Ma Hsu Htet Oo</v>
          </cell>
          <cell r="F494" t="str">
            <v>09-980904476</v>
          </cell>
          <cell r="G494" t="str">
            <v>မြောက်ဥက္ကလာပ</v>
          </cell>
          <cell r="H494" t="str">
            <v>အမှတ် (၃၅၉)၊ ရဲမျိုးကျော်သူရလမ်း၊ (၁၄/၁၅) ရပ်ကွက်၊ ရွှေပေါက်ကံ၊ မြောက်ဥက္ကလာပမြို့နယ်</v>
          </cell>
          <cell r="I494">
            <v>40000</v>
          </cell>
          <cell r="J494">
            <v>4500</v>
          </cell>
          <cell r="K494">
            <v>44500</v>
          </cell>
          <cell r="L494">
            <v>4500</v>
          </cell>
          <cell r="M494">
            <v>4500</v>
          </cell>
          <cell r="O494" t="str">
            <v>-</v>
          </cell>
          <cell r="P494">
            <v>44500</v>
          </cell>
        </row>
        <row r="495">
          <cell r="C495" t="str">
            <v>D0904-SHA-248</v>
          </cell>
          <cell r="D495" t="str">
            <v>မေသျှား</v>
          </cell>
          <cell r="E495" t="str">
            <v>Ma Hein Htet</v>
          </cell>
          <cell r="F495" t="str">
            <v>09-698805511</v>
          </cell>
          <cell r="G495" t="str">
            <v>မင်္ဂလာဒုံ</v>
          </cell>
          <cell r="H495" t="str">
            <v>ကျိုက်ကလဲ့ဘုရားလမ်းဘေး၊ (အရိယကျောင်းရှေ့)၊ မင်္ဂလာဒုံမြို့နယ်</v>
          </cell>
          <cell r="I495">
            <v>17000</v>
          </cell>
          <cell r="J495">
            <v>4500</v>
          </cell>
          <cell r="K495">
            <v>21500</v>
          </cell>
          <cell r="L495">
            <v>4500</v>
          </cell>
          <cell r="M495">
            <v>4500</v>
          </cell>
          <cell r="O495" t="str">
            <v>-</v>
          </cell>
          <cell r="P495">
            <v>21500</v>
          </cell>
        </row>
        <row r="496">
          <cell r="C496" t="str">
            <v>D0904-KSH-252</v>
          </cell>
          <cell r="D496" t="str">
            <v>ကျော်စိုးဟိန်း</v>
          </cell>
          <cell r="E496" t="str">
            <v>စံပယ်ဖြူ/Bra And Underwear Store</v>
          </cell>
          <cell r="F496" t="str">
            <v>09-420777315</v>
          </cell>
          <cell r="G496" t="str">
            <v>မြောက်ဒဂုံ</v>
          </cell>
          <cell r="H496" t="str">
            <v>မဟာမြိုင်အိမ်ရာ၊ တိုက် (47-B-1)၊ မဟာမြိုင်မနက်ဈေးလမ်း၊ မြောက်ဒဂုံမြို့နယ်</v>
          </cell>
          <cell r="I496" t="str">
            <v>-</v>
          </cell>
          <cell r="J496">
            <v>4000</v>
          </cell>
          <cell r="K496">
            <v>4000</v>
          </cell>
          <cell r="L496">
            <v>4000</v>
          </cell>
          <cell r="M496">
            <v>4000</v>
          </cell>
          <cell r="N496">
            <v>6</v>
          </cell>
          <cell r="O496">
            <v>1500</v>
          </cell>
          <cell r="P496">
            <v>5500</v>
          </cell>
        </row>
        <row r="497">
          <cell r="C497" t="str">
            <v>D0904-KSC-254</v>
          </cell>
          <cell r="D497" t="str">
            <v>KS Cosmetic</v>
          </cell>
          <cell r="E497" t="str">
            <v>17. Thukha mg mg</v>
          </cell>
          <cell r="F497" t="str">
            <v>09-795581800</v>
          </cell>
          <cell r="G497" t="str">
            <v>မြောက်ဥက္ကလာပ</v>
          </cell>
          <cell r="H497" t="str">
            <v>အမှတ် (၄၂၇)၊ အင်းဝလမ်း၊ (၁၆) ရပ်ကွက်၊ ရွှေပေါက်ကံ၊ မြောက်ဥက္ကလာပမြို့နယ်</v>
          </cell>
          <cell r="I497">
            <v>39500</v>
          </cell>
          <cell r="J497">
            <v>4500</v>
          </cell>
          <cell r="K497">
            <v>44000</v>
          </cell>
          <cell r="L497">
            <v>4500</v>
          </cell>
          <cell r="M497">
            <v>4500</v>
          </cell>
          <cell r="O497" t="str">
            <v>-</v>
          </cell>
          <cell r="P497">
            <v>44000</v>
          </cell>
        </row>
        <row r="498">
          <cell r="C498" t="str">
            <v>D0904-KSC-255</v>
          </cell>
          <cell r="D498" t="str">
            <v>KS Cosmetic</v>
          </cell>
          <cell r="E498" t="str">
            <v>21. Hansel</v>
          </cell>
          <cell r="F498" t="str">
            <v>09-957265794</v>
          </cell>
          <cell r="G498" t="str">
            <v>မင်္ဂလာတောင်ညွန့်</v>
          </cell>
          <cell r="H498" t="str">
            <v>မန္တလေးလမ်း၊ မင်္ဂလာတောင်ညွန့်မြို့နယ်</v>
          </cell>
          <cell r="I498">
            <v>39500</v>
          </cell>
          <cell r="J498">
            <v>4000</v>
          </cell>
          <cell r="K498">
            <v>43500</v>
          </cell>
          <cell r="L498">
            <v>4000</v>
          </cell>
          <cell r="M498">
            <v>4000</v>
          </cell>
          <cell r="O498" t="str">
            <v>-</v>
          </cell>
          <cell r="P498">
            <v>43500</v>
          </cell>
        </row>
        <row r="499">
          <cell r="C499" t="str">
            <v>D0904-KSC-256</v>
          </cell>
          <cell r="D499" t="str">
            <v>KS Cosmetic</v>
          </cell>
          <cell r="E499" t="str">
            <v>16. Phyu</v>
          </cell>
          <cell r="F499" t="str">
            <v>09-681495629</v>
          </cell>
          <cell r="G499" t="str">
            <v>သာကေတ</v>
          </cell>
          <cell r="H499" t="str">
            <v>အမှတ် (၃၅၉)၊ မြနန္ဒာ (၁) လမ်း၊ (၈) ရပ်ကွက်၊ သာကေတမြို့နယ်</v>
          </cell>
          <cell r="I499">
            <v>39500</v>
          </cell>
          <cell r="J499">
            <v>4000</v>
          </cell>
          <cell r="K499">
            <v>43500</v>
          </cell>
          <cell r="L499">
            <v>4000</v>
          </cell>
          <cell r="M499">
            <v>4000</v>
          </cell>
          <cell r="O499" t="str">
            <v>-</v>
          </cell>
          <cell r="P499">
            <v>43500</v>
          </cell>
        </row>
        <row r="500">
          <cell r="C500" t="str">
            <v>D0904-KSC-257</v>
          </cell>
          <cell r="D500" t="str">
            <v>KS Cosmetic</v>
          </cell>
          <cell r="E500" t="str">
            <v>ဦးတင့်ဖူး</v>
          </cell>
          <cell r="F500" t="str">
            <v>09-260108116, 09-758246700</v>
          </cell>
          <cell r="G500" t="str">
            <v>မြောက်ဥက္ကလာပ</v>
          </cell>
          <cell r="H500" t="str">
            <v>ခြံအမှတ် (၂၂၈)၊ ခိုင်ရွှေဝါ (၁) လမ်း၊ စိုက်ပျိုးရေး၊ (ဌ) ရပ်ကွက်၊ မြောက်ဥက္ကလာပမြို့နယ်</v>
          </cell>
          <cell r="I500">
            <v>39500</v>
          </cell>
          <cell r="J500">
            <v>4500</v>
          </cell>
          <cell r="K500">
            <v>44000</v>
          </cell>
          <cell r="L500">
            <v>4500</v>
          </cell>
          <cell r="M500">
            <v>4500</v>
          </cell>
          <cell r="O500" t="str">
            <v>-</v>
          </cell>
          <cell r="P500">
            <v>44000</v>
          </cell>
        </row>
        <row r="501">
          <cell r="C501" t="str">
            <v>D0904-KSC-260</v>
          </cell>
          <cell r="D501" t="str">
            <v>KS Cosmetic</v>
          </cell>
          <cell r="E501" t="str">
            <v>14. Sandi Cho</v>
          </cell>
          <cell r="F501" t="str">
            <v>09-404966915</v>
          </cell>
          <cell r="G501" t="str">
            <v>သာကေတ</v>
          </cell>
          <cell r="H501" t="str">
            <v>တိုးချဲ့ (၂) လမ်း၊ ((၁) ဈေးကွေ့ရှေ့)၊ သာကေတမြို့နယ်</v>
          </cell>
          <cell r="I501">
            <v>39500</v>
          </cell>
          <cell r="J501">
            <v>4000</v>
          </cell>
          <cell r="K501">
            <v>43500</v>
          </cell>
          <cell r="L501">
            <v>4000</v>
          </cell>
          <cell r="M501">
            <v>4000</v>
          </cell>
          <cell r="O501" t="str">
            <v>-</v>
          </cell>
          <cell r="P501">
            <v>43500</v>
          </cell>
        </row>
        <row r="502">
          <cell r="C502" t="str">
            <v>D0904-MBO-281</v>
          </cell>
          <cell r="D502" t="str">
            <v>MaBel OS</v>
          </cell>
          <cell r="E502" t="str">
            <v>Ma Zin Htet</v>
          </cell>
          <cell r="F502" t="str">
            <v>09-783322236</v>
          </cell>
          <cell r="G502" t="str">
            <v>သာကေတ</v>
          </cell>
          <cell r="H502" t="str">
            <v>အမှတ် (၆၉၂)၊ အောင်သစ္စာ (၆) လမ်း (အနောက်)၊ (၄/တောင်) ရပ်ကွက်၊ သာကေတမြို့နယ်</v>
          </cell>
          <cell r="I502">
            <v>25000</v>
          </cell>
          <cell r="J502">
            <v>4000</v>
          </cell>
          <cell r="K502">
            <v>29000</v>
          </cell>
          <cell r="L502">
            <v>4000</v>
          </cell>
          <cell r="M502">
            <v>4000</v>
          </cell>
          <cell r="O502" t="str">
            <v>-</v>
          </cell>
          <cell r="P502">
            <v>29000</v>
          </cell>
        </row>
        <row r="503">
          <cell r="C503" t="str">
            <v>D0904-MBO-284</v>
          </cell>
          <cell r="D503" t="str">
            <v>MaBel OS</v>
          </cell>
          <cell r="E503" t="str">
            <v>Hsu Thet Hnin</v>
          </cell>
          <cell r="F503" t="str">
            <v>09-758524618 / 09-894145141</v>
          </cell>
          <cell r="G503" t="str">
            <v>လှိုင်သာယာ</v>
          </cell>
          <cell r="H503" t="str">
            <v>((၅) ထပ်ဆောင်စာသင်ကျောင်းအနီး)၊ (ရိုးလေးကားမှတ်တိုင်မှဝင်ရန်)၊ လှိုင်သာယာမြို့နယ်</v>
          </cell>
          <cell r="I503" t="str">
            <v>######</v>
          </cell>
          <cell r="J503" t="str">
            <v>-</v>
          </cell>
          <cell r="K503" t="str">
            <v>######</v>
          </cell>
          <cell r="L503">
            <v>4500</v>
          </cell>
          <cell r="M503" t="str">
            <v>-</v>
          </cell>
          <cell r="N503">
            <v>16</v>
          </cell>
          <cell r="O503">
            <v>15000</v>
          </cell>
          <cell r="P503" t="str">
            <v>######</v>
          </cell>
        </row>
        <row r="504">
          <cell r="C504" t="str">
            <v>D0904-MMA-290</v>
          </cell>
          <cell r="D504" t="str">
            <v>မြန်မာ့အလှ</v>
          </cell>
          <cell r="E504" t="str">
            <v>Daw Moe Sandar</v>
          </cell>
          <cell r="F504" t="str">
            <v>09-441431024 09-688260197</v>
          </cell>
          <cell r="G504" t="str">
            <v>ဂိတ်ချ</v>
          </cell>
          <cell r="H504" t="str">
            <v>သူရထွန်းကားဂိတ်၊ ဒဂုံဧရာအဝေးပြေး၊ (သူရထွန်းကားဖြင့် ကျုံတနီးသို့ တင်ပေးပါ)၊ လှိုင်သာယာမြို့နယ်</v>
          </cell>
          <cell r="I504" t="str">
            <v>-</v>
          </cell>
          <cell r="K504" t="str">
            <v>-</v>
          </cell>
          <cell r="L504">
            <v>3000</v>
          </cell>
          <cell r="M504" t="str">
            <v>-</v>
          </cell>
          <cell r="N504">
            <v>8</v>
          </cell>
          <cell r="O504">
            <v>2500</v>
          </cell>
          <cell r="P504">
            <v>2500</v>
          </cell>
        </row>
        <row r="505">
          <cell r="C505" t="str">
            <v>D0904-MMA-296</v>
          </cell>
          <cell r="D505" t="str">
            <v>မြန်မာ့အလှ</v>
          </cell>
          <cell r="E505" t="str">
            <v>Honey Ko</v>
          </cell>
          <cell r="F505" t="str">
            <v>09-420738620</v>
          </cell>
          <cell r="G505" t="str">
            <v>မြောက်ဥက္ကလာပ</v>
          </cell>
          <cell r="H505" t="str">
            <v>ရွှေပေါက်ကံ၊ မြောက်ဥက္ကလာပမြို့နယ်</v>
          </cell>
          <cell r="I505">
            <v>274000</v>
          </cell>
          <cell r="J505">
            <v>4500</v>
          </cell>
          <cell r="K505">
            <v>278500</v>
          </cell>
          <cell r="L505">
            <v>4500</v>
          </cell>
          <cell r="M505">
            <v>4500</v>
          </cell>
          <cell r="O505" t="str">
            <v>-</v>
          </cell>
          <cell r="P505">
            <v>278500</v>
          </cell>
        </row>
        <row r="506">
          <cell r="C506" t="str">
            <v>D0904-MMA-298</v>
          </cell>
          <cell r="D506" t="str">
            <v>မြန်မာ့အလှ</v>
          </cell>
          <cell r="E506" t="str">
            <v>Khin Than Soe</v>
          </cell>
          <cell r="F506" t="str">
            <v>09-794312297</v>
          </cell>
          <cell r="G506" t="str">
            <v>တာမွေ</v>
          </cell>
          <cell r="H506" t="str">
            <v>မြန်မာ့ဂုဏ်ရောင်အိမ်ရာ၊ ခြံအမှတ် (48A)၊ မေတ္တာညွန့်ရပ်ကွက်၊ တာမွေမြို့နယ်</v>
          </cell>
          <cell r="I506">
            <v>133200</v>
          </cell>
          <cell r="J506">
            <v>4000</v>
          </cell>
          <cell r="K506">
            <v>137200</v>
          </cell>
          <cell r="L506">
            <v>4000</v>
          </cell>
          <cell r="M506">
            <v>4000</v>
          </cell>
          <cell r="O506" t="str">
            <v>-</v>
          </cell>
          <cell r="P506">
            <v>137200</v>
          </cell>
        </row>
        <row r="507">
          <cell r="C507" t="str">
            <v>D0904-MMA-299</v>
          </cell>
          <cell r="D507" t="str">
            <v>မြန်မာ့အလှ</v>
          </cell>
          <cell r="E507" t="str">
            <v>Nay Chi</v>
          </cell>
          <cell r="F507" t="str">
            <v>09-783527061</v>
          </cell>
          <cell r="G507" t="str">
            <v>ရွှေပြည်သာ</v>
          </cell>
          <cell r="H507" t="str">
            <v>စစ်အကျဉ်းထောင်လမ်း၊ (ကန်သာယာမှတ်တိုင်)၊ (ရွှေပြည်သာမြို့အဝင်)၊ ရွှေပြည်သာမြို့နယ်</v>
          </cell>
          <cell r="I507">
            <v>83100</v>
          </cell>
          <cell r="J507">
            <v>4500</v>
          </cell>
          <cell r="K507">
            <v>87600</v>
          </cell>
          <cell r="L507">
            <v>4500</v>
          </cell>
          <cell r="M507">
            <v>4500</v>
          </cell>
          <cell r="O507" t="str">
            <v>-</v>
          </cell>
          <cell r="P507">
            <v>87600</v>
          </cell>
        </row>
        <row r="508">
          <cell r="C508" t="str">
            <v>D0904-MMA-300</v>
          </cell>
          <cell r="D508" t="str">
            <v>မြန်မာ့အလှ</v>
          </cell>
          <cell r="E508" t="str">
            <v>May Kyu</v>
          </cell>
          <cell r="F508" t="str">
            <v>09-965095114</v>
          </cell>
          <cell r="G508" t="str">
            <v>ရန်ကင်း</v>
          </cell>
          <cell r="H508" t="str">
            <v>(မိုးကောင်းကားမှတ်တိုင်)၊ ရန်ကင်းမြို့နယ်</v>
          </cell>
          <cell r="I508">
            <v>101300</v>
          </cell>
          <cell r="J508">
            <v>4000</v>
          </cell>
          <cell r="K508">
            <v>105300</v>
          </cell>
          <cell r="L508">
            <v>4000</v>
          </cell>
          <cell r="M508">
            <v>4000</v>
          </cell>
          <cell r="O508" t="str">
            <v>-</v>
          </cell>
          <cell r="P508">
            <v>105300</v>
          </cell>
        </row>
        <row r="509">
          <cell r="C509" t="str">
            <v>D0904-MMA-310</v>
          </cell>
          <cell r="D509" t="str">
            <v>မြန်မာ့အလှ</v>
          </cell>
          <cell r="E509" t="str">
            <v>Mar Myint</v>
          </cell>
          <cell r="F509" t="str">
            <v>09-765410947</v>
          </cell>
          <cell r="G509" t="str">
            <v>မရမ်းကုန်း</v>
          </cell>
          <cell r="H509" t="str">
            <v>95-Resident၊ အမှတ် (95B)၊ ကျိုက်ဝိုင်းဘုရားလမ်း၊ (၈) မိုင်၊ (လမ်းဆုံ)၊ မရမ်းကုန်းမြို့နယ်</v>
          </cell>
          <cell r="I509">
            <v>190500</v>
          </cell>
          <cell r="J509">
            <v>4000</v>
          </cell>
          <cell r="K509">
            <v>194500</v>
          </cell>
          <cell r="L509">
            <v>4000</v>
          </cell>
          <cell r="M509">
            <v>4000</v>
          </cell>
          <cell r="N509">
            <v>4</v>
          </cell>
          <cell r="O509">
            <v>500</v>
          </cell>
          <cell r="P509">
            <v>195000</v>
          </cell>
        </row>
        <row r="510">
          <cell r="C510" t="str">
            <v>D0904-MMA-311</v>
          </cell>
          <cell r="D510" t="str">
            <v>မြန်မာ့အလှ</v>
          </cell>
          <cell r="E510" t="str">
            <v>နှင်းနှင်း</v>
          </cell>
          <cell r="F510" t="str">
            <v>09-755987925</v>
          </cell>
          <cell r="G510" t="str">
            <v>မင်္ဂလာဒုံ</v>
          </cell>
          <cell r="H510" t="str">
            <v>စိန်ပဒေသာ (၅) လမ်း၊ ကုန်းတလပေါင်ရပ်ကွက်၊ မင်္ဂလာဒုံမြို့နယ်</v>
          </cell>
          <cell r="I510">
            <v>96000</v>
          </cell>
          <cell r="J510">
            <v>4500</v>
          </cell>
          <cell r="K510">
            <v>100500</v>
          </cell>
          <cell r="L510">
            <v>4500</v>
          </cell>
          <cell r="M510">
            <v>4500</v>
          </cell>
          <cell r="O510" t="str">
            <v>-</v>
          </cell>
          <cell r="P510">
            <v>100500</v>
          </cell>
        </row>
        <row r="511">
          <cell r="C511" t="str">
            <v>D0904-MMA-329</v>
          </cell>
          <cell r="D511" t="str">
            <v>မြန်မာ့အလှ</v>
          </cell>
          <cell r="E511" t="str">
            <v>San San Mar</v>
          </cell>
          <cell r="F511" t="str">
            <v>09-443013989</v>
          </cell>
          <cell r="G511" t="str">
            <v>ဗဟန်း</v>
          </cell>
          <cell r="H511" t="str">
            <v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v>
          </cell>
          <cell r="I511">
            <v>64500</v>
          </cell>
          <cell r="J511">
            <v>4000</v>
          </cell>
          <cell r="K511">
            <v>68500</v>
          </cell>
          <cell r="L511">
            <v>4000</v>
          </cell>
          <cell r="M511">
            <v>4000</v>
          </cell>
          <cell r="O511" t="str">
            <v>-</v>
          </cell>
          <cell r="P511">
            <v>68500</v>
          </cell>
        </row>
        <row r="512">
          <cell r="C512" t="str">
            <v>D0904-MMA-331</v>
          </cell>
          <cell r="D512" t="str">
            <v>မြန်မာ့အလှ</v>
          </cell>
          <cell r="E512" t="str">
            <v>Kaung Kaung</v>
          </cell>
          <cell r="F512" t="str">
            <v>09-740010803</v>
          </cell>
          <cell r="G512" t="str">
            <v>လှိုင်သာယာ</v>
          </cell>
          <cell r="H512" t="str">
            <v>ရွှေလင်ပန်း၊ လှိုင်သာယာမြို့နယ်</v>
          </cell>
          <cell r="I512">
            <v>64500</v>
          </cell>
          <cell r="J512">
            <v>4500</v>
          </cell>
          <cell r="K512">
            <v>69000</v>
          </cell>
          <cell r="L512">
            <v>4500</v>
          </cell>
          <cell r="M512">
            <v>4500</v>
          </cell>
          <cell r="O512" t="str">
            <v>-</v>
          </cell>
          <cell r="P512">
            <v>69000</v>
          </cell>
        </row>
        <row r="513">
          <cell r="C513" t="str">
            <v>D0904-MMA-340</v>
          </cell>
          <cell r="D513" t="str">
            <v>မြန်မာ့အလှ</v>
          </cell>
          <cell r="E513" t="str">
            <v>May Myat</v>
          </cell>
          <cell r="F513" t="str">
            <v>09-420598474</v>
          </cell>
          <cell r="G513" t="str">
            <v>လှိုင်သာယာ</v>
          </cell>
          <cell r="H513" t="str">
            <v>ရိုးကြီးကျေးရွာ၊ လှိုင်သာယာမြို့နယ်</v>
          </cell>
          <cell r="I513">
            <v>244400</v>
          </cell>
          <cell r="J513">
            <v>4500</v>
          </cell>
          <cell r="K513">
            <v>248900</v>
          </cell>
          <cell r="L513">
            <v>4500</v>
          </cell>
          <cell r="M513">
            <v>4500</v>
          </cell>
          <cell r="O513" t="str">
            <v>-</v>
          </cell>
          <cell r="P513">
            <v>248900</v>
          </cell>
        </row>
        <row r="514">
          <cell r="C514" t="str">
            <v>D0904-PYT-358</v>
          </cell>
          <cell r="D514" t="str">
            <v>ပုရစ်ကလေး</v>
          </cell>
          <cell r="E514" t="str">
            <v>Woutee</v>
          </cell>
          <cell r="F514" t="str">
            <v>09-403439238</v>
          </cell>
          <cell r="G514" t="str">
            <v>လှိုင်သာယာ</v>
          </cell>
          <cell r="H514" t="str">
            <v>သပြေလမ်း၊ အိုင်စုရပ်ကွက်၊ လှိုင်သာယာမြို့နယ်</v>
          </cell>
          <cell r="I514">
            <v>27000</v>
          </cell>
          <cell r="J514">
            <v>4500</v>
          </cell>
          <cell r="K514">
            <v>31500</v>
          </cell>
          <cell r="L514">
            <v>4500</v>
          </cell>
          <cell r="M514">
            <v>4500</v>
          </cell>
          <cell r="O514" t="str">
            <v>-</v>
          </cell>
          <cell r="P514">
            <v>31500</v>
          </cell>
        </row>
        <row r="515">
          <cell r="C515" t="str">
            <v>D0904-PYT-360</v>
          </cell>
          <cell r="D515" t="str">
            <v>ပုရစ်ကလေး</v>
          </cell>
          <cell r="E515" t="str">
            <v>အေးခိုင်</v>
          </cell>
          <cell r="F515" t="str">
            <v>09-427467543</v>
          </cell>
          <cell r="G515" t="str">
            <v>ဂိတ်ချ</v>
          </cell>
          <cell r="H515" t="str">
            <v>အမှတ် (G-80)၊ ငုဝါလမ်း၊ ကင်းမလင်းကျွန်း၊ ပုသိမ်</v>
          </cell>
          <cell r="I515">
            <v>32000</v>
          </cell>
          <cell r="J515">
            <v>3000</v>
          </cell>
          <cell r="K515">
            <v>35000</v>
          </cell>
          <cell r="L515">
            <v>3000</v>
          </cell>
          <cell r="M515">
            <v>3000</v>
          </cell>
          <cell r="O515" t="str">
            <v>-</v>
          </cell>
          <cell r="P515">
            <v>35000</v>
          </cell>
          <cell r="Q515" t="str">
            <v>ပုသိမ်</v>
          </cell>
        </row>
        <row r="516">
          <cell r="C516" t="str">
            <v>D0904-PYT-362</v>
          </cell>
          <cell r="D516" t="str">
            <v>ပုရစ်ကလေး</v>
          </cell>
          <cell r="E516" t="str">
            <v>Htet Htet</v>
          </cell>
          <cell r="F516" t="str">
            <v>09-250277220</v>
          </cell>
          <cell r="G516" t="str">
            <v>တောင်ဥက္ကလာပ</v>
          </cell>
          <cell r="H516" t="str">
            <v>အမှတ် (၁၉၃)၊ ကောလိယ (၂၆) လမ်း၊ (၁၃) ရပ်ကွက်၊ တောင်ဥက္ကလာပမြို့နယ်</v>
          </cell>
          <cell r="I516">
            <v>23500</v>
          </cell>
          <cell r="J516">
            <v>4000</v>
          </cell>
          <cell r="K516">
            <v>27500</v>
          </cell>
          <cell r="L516">
            <v>4000</v>
          </cell>
          <cell r="M516">
            <v>4000</v>
          </cell>
          <cell r="O516" t="str">
            <v>-</v>
          </cell>
          <cell r="P516">
            <v>27500</v>
          </cell>
        </row>
        <row r="517">
          <cell r="C517" t="str">
            <v>D0904-PYT-365</v>
          </cell>
          <cell r="D517" t="str">
            <v>ပုရစ်ကလေး</v>
          </cell>
          <cell r="E517" t="str">
            <v>Poe Poe</v>
          </cell>
          <cell r="F517" t="str">
            <v>09-740801782</v>
          </cell>
          <cell r="G517" t="str">
            <v>မင်္ဂလာဒုံ</v>
          </cell>
          <cell r="H517" t="str">
            <v>စွယ်တော် (၃) လမ်း၊ (ပတ္တမြားမှတ်တိုင်)၊ မင်္ဂလာဒုံမြို့နယ်</v>
          </cell>
          <cell r="I517">
            <v>23000</v>
          </cell>
          <cell r="J517">
            <v>4500</v>
          </cell>
          <cell r="K517">
            <v>27500</v>
          </cell>
          <cell r="L517">
            <v>4500</v>
          </cell>
          <cell r="M517">
            <v>4500</v>
          </cell>
          <cell r="O517" t="str">
            <v>-</v>
          </cell>
          <cell r="P517">
            <v>27500</v>
          </cell>
        </row>
        <row r="518">
          <cell r="C518" t="str">
            <v>D0904-PYT-368</v>
          </cell>
          <cell r="D518" t="str">
            <v>ပုရစ်ကလေး</v>
          </cell>
          <cell r="E518" t="str">
            <v>Moh Moh</v>
          </cell>
          <cell r="F518" t="str">
            <v>09-962527878</v>
          </cell>
          <cell r="G518" t="str">
            <v>အင်းစိန်</v>
          </cell>
          <cell r="H518" t="str">
            <v>အမှတ် (၂၂၆၁)၊ မဂ္ဂင်ကျောင်းလမ်း၊ တောင်သူကုန်းရပ်ကွက်၊ (ဘိုကုန်းမှတ်တိုင်)၊ အင်းစိန်မြို့နယ်</v>
          </cell>
          <cell r="I518">
            <v>113500</v>
          </cell>
          <cell r="J518">
            <v>4000</v>
          </cell>
          <cell r="K518">
            <v>117500</v>
          </cell>
          <cell r="L518">
            <v>4000</v>
          </cell>
          <cell r="M518">
            <v>4000</v>
          </cell>
          <cell r="N518">
            <v>6</v>
          </cell>
          <cell r="O518">
            <v>1500</v>
          </cell>
          <cell r="P518">
            <v>119000</v>
          </cell>
        </row>
        <row r="519">
          <cell r="C519" t="str">
            <v>D0904-BLC-371</v>
          </cell>
          <cell r="D519" t="str">
            <v>Billionaire Clothing</v>
          </cell>
          <cell r="E519" t="str">
            <v>ဒေါ်နီလာစိုး</v>
          </cell>
          <cell r="F519" t="str">
            <v>09-880198556</v>
          </cell>
          <cell r="G519" t="str">
            <v>လှိုင်သာယာ</v>
          </cell>
          <cell r="H519" t="str">
            <v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v>
          </cell>
          <cell r="I519">
            <v>232500</v>
          </cell>
          <cell r="J519">
            <v>4500</v>
          </cell>
          <cell r="K519">
            <v>237000</v>
          </cell>
          <cell r="L519">
            <v>4500</v>
          </cell>
          <cell r="M519">
            <v>4500</v>
          </cell>
          <cell r="N519">
            <v>5</v>
          </cell>
          <cell r="O519">
            <v>1000</v>
          </cell>
          <cell r="P519">
            <v>238000</v>
          </cell>
        </row>
        <row r="520">
          <cell r="C520" t="str">
            <v>D0904-LOS-372</v>
          </cell>
          <cell r="D520" t="str">
            <v>Lady OS</v>
          </cell>
          <cell r="E520" t="str">
            <v>Machawi Khiangte</v>
          </cell>
          <cell r="F520" t="str">
            <v>09-407502033</v>
          </cell>
          <cell r="G520" t="str">
            <v>တာမွေ</v>
          </cell>
          <cell r="H520" t="str">
            <v>Mother Indian Food၊ ဦးချစ်မောင်လမ်း၊ တာမွေအဝိုင်း၊ (ဆိုင်ရှေ့ရောက်လျှင် ဖုန်းခေါ်ရန်)၊ တာမွေမြို့နယ်</v>
          </cell>
          <cell r="I520">
            <v>162500</v>
          </cell>
          <cell r="J520" t="str">
            <v>-</v>
          </cell>
          <cell r="K520">
            <v>162500</v>
          </cell>
          <cell r="L520">
            <v>4000</v>
          </cell>
          <cell r="M520" t="str">
            <v>-</v>
          </cell>
          <cell r="N520">
            <v>4</v>
          </cell>
          <cell r="O520">
            <v>500</v>
          </cell>
          <cell r="P520">
            <v>163000</v>
          </cell>
        </row>
        <row r="521">
          <cell r="C521" t="str">
            <v>D0904-LOS-374</v>
          </cell>
          <cell r="D521" t="str">
            <v>Lady OS</v>
          </cell>
          <cell r="E521" t="str">
            <v>San San Win</v>
          </cell>
          <cell r="F521" t="str">
            <v>09-5033178</v>
          </cell>
          <cell r="G521" t="str">
            <v>အလုံ</v>
          </cell>
          <cell r="H521" t="str">
            <v>အမှတ် (၇၂)၊ နံ့သာလမ်း၊ (အလုံဆင်မင်းမှတ်တိုင်အနီး)၊ အလုံမြို့နယ်</v>
          </cell>
          <cell r="I521">
            <v>83500</v>
          </cell>
          <cell r="J521" t="str">
            <v>-</v>
          </cell>
          <cell r="K521">
            <v>83500</v>
          </cell>
          <cell r="L521">
            <v>4000</v>
          </cell>
          <cell r="M521" t="str">
            <v>-</v>
          </cell>
          <cell r="O521" t="str">
            <v>-</v>
          </cell>
          <cell r="P521">
            <v>83500</v>
          </cell>
        </row>
        <row r="522">
          <cell r="C522" t="str">
            <v>D0904-LOS-376</v>
          </cell>
          <cell r="D522" t="str">
            <v>Lady OS</v>
          </cell>
          <cell r="E522" t="str">
            <v>Lagang Zezawng/ဦးဇော်ဇော်</v>
          </cell>
          <cell r="F522" t="str">
            <v>09-440001401</v>
          </cell>
          <cell r="G522" t="str">
            <v>စမ်းချောင်း</v>
          </cell>
          <cell r="H522" t="str">
            <v>မြင့်မိုရ်တိုက် (၁၆)၊ မြင့်မိုရ်လမ်း၊ စမ်းချောင်းမြို့နယ်</v>
          </cell>
          <cell r="I522">
            <v>22500</v>
          </cell>
          <cell r="J522" t="str">
            <v>-</v>
          </cell>
          <cell r="K522">
            <v>22500</v>
          </cell>
          <cell r="L522">
            <v>4000</v>
          </cell>
          <cell r="M522" t="str">
            <v>-</v>
          </cell>
          <cell r="O522" t="str">
            <v>-</v>
          </cell>
          <cell r="P522">
            <v>22500</v>
          </cell>
        </row>
        <row r="523">
          <cell r="C523" t="str">
            <v>D0904-CTM-383</v>
          </cell>
          <cell r="D523" t="str">
            <v>ချစ်သွန်းသီရိ မေမေ</v>
          </cell>
          <cell r="E523" t="str">
            <v>Cho Zin Latt</v>
          </cell>
          <cell r="F523" t="str">
            <v>09-770301799
 09-763680697</v>
          </cell>
          <cell r="G523" t="str">
            <v>မင်္ဂလာတောင်ညွန့်</v>
          </cell>
          <cell r="H523" t="str">
            <v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ကန်တော်ကလေး၊ မင်္ဂလာတောင်ညွန့်မြို့နယ်</v>
          </cell>
          <cell r="I523">
            <v>72500</v>
          </cell>
          <cell r="J523">
            <v>4000</v>
          </cell>
          <cell r="K523">
            <v>76500</v>
          </cell>
          <cell r="L523">
            <v>4000</v>
          </cell>
          <cell r="M523">
            <v>4000</v>
          </cell>
          <cell r="O523" t="str">
            <v>-</v>
          </cell>
          <cell r="P523">
            <v>76500</v>
          </cell>
        </row>
        <row r="524">
          <cell r="C524" t="str">
            <v>D0904-CTM-392</v>
          </cell>
          <cell r="D524" t="str">
            <v>ချစ်သွန်းသီရိ မေမေ</v>
          </cell>
          <cell r="E524" t="str">
            <v>Soe Soe</v>
          </cell>
          <cell r="F524" t="str">
            <v>09-967512037</v>
          </cell>
          <cell r="G524" t="str">
            <v>မြောက်ဥက္ကလာပ</v>
          </cell>
          <cell r="H524" t="str">
            <v>(အောင်မင်္ဂလာ မြရတနာကားဂိတ်က ကိုရှိန်းသုမောင်ဆီ အပ်ရန်)၊ မြောက်ဥက္ကလာပမြို့နယ်</v>
          </cell>
          <cell r="I524">
            <v>54000</v>
          </cell>
          <cell r="J524">
            <v>4500</v>
          </cell>
          <cell r="K524">
            <v>58500</v>
          </cell>
          <cell r="L524">
            <v>4500</v>
          </cell>
          <cell r="M524">
            <v>4500</v>
          </cell>
          <cell r="O524" t="str">
            <v>-</v>
          </cell>
          <cell r="P524">
            <v>58500</v>
          </cell>
        </row>
        <row r="525">
          <cell r="C525" t="str">
            <v>D0904-JSC-401</v>
          </cell>
          <cell r="D525" t="str">
            <v>Jessica Sue</v>
          </cell>
          <cell r="E525" t="str">
            <v>Myo Myo Zin</v>
          </cell>
          <cell r="F525" t="str">
            <v>09-956030338</v>
          </cell>
          <cell r="G525" t="str">
            <v>သာကေတ</v>
          </cell>
          <cell r="H525" t="str">
            <v>အမှတ် (၆၈၁)၊ မြေညီထပ်၊ (၅) လမ်း၊ (၇/အနောက်) ရပ်ကွက်၊ သာကေတမြို့နယ်</v>
          </cell>
          <cell r="I525">
            <v>64500</v>
          </cell>
          <cell r="J525">
            <v>4000</v>
          </cell>
          <cell r="K525">
            <v>68500</v>
          </cell>
          <cell r="L525">
            <v>4000</v>
          </cell>
          <cell r="M525">
            <v>4000</v>
          </cell>
          <cell r="O525" t="str">
            <v>-</v>
          </cell>
          <cell r="P525">
            <v>68500</v>
          </cell>
        </row>
        <row r="526">
          <cell r="C526" t="str">
            <v>D0904-SMW-407</v>
          </cell>
          <cell r="D526" t="str">
            <v>ရှု့မဝ</v>
          </cell>
          <cell r="E526" t="str">
            <v>မအေးဆုမွန်</v>
          </cell>
          <cell r="F526" t="str">
            <v>09-940634577</v>
          </cell>
          <cell r="G526" t="str">
            <v>ရွှေပြည်သာ</v>
          </cell>
          <cell r="H526" t="str">
            <v>အမှတ် (966B)၊ စိန်စီဂုဏ်ရောင်လမ်း၊ ပန်းခြံ (၃)၊ (၉) ရပ်ကွက်၊ ရွှေပြည်သာမြို့နယ်</v>
          </cell>
          <cell r="I526">
            <v>8000</v>
          </cell>
          <cell r="J526">
            <v>4500</v>
          </cell>
          <cell r="K526">
            <v>12500</v>
          </cell>
          <cell r="L526">
            <v>4500</v>
          </cell>
          <cell r="M526">
            <v>4500</v>
          </cell>
          <cell r="O526" t="str">
            <v>-</v>
          </cell>
          <cell r="P526">
            <v>12500</v>
          </cell>
        </row>
        <row r="527">
          <cell r="C527" t="str">
            <v>D0904-SMW-408</v>
          </cell>
          <cell r="D527" t="str">
            <v>ရှု့မဝ</v>
          </cell>
          <cell r="E527" t="str">
            <v>ဒေါ်သဲသဲဦး</v>
          </cell>
          <cell r="F527" t="str">
            <v>09-269730875</v>
          </cell>
          <cell r="G527" t="str">
            <v>ရွှေပြည်သာ</v>
          </cell>
          <cell r="H527" t="str">
            <v>ပြည်ထောင်စုလမ်း၊ (ရေစင်မှတ်တိုင်)၊ ရွှေပြည်သာမြို့နယ်</v>
          </cell>
          <cell r="I527">
            <v>13000</v>
          </cell>
          <cell r="J527">
            <v>4500</v>
          </cell>
          <cell r="K527">
            <v>17500</v>
          </cell>
          <cell r="L527">
            <v>4500</v>
          </cell>
          <cell r="M527">
            <v>4500</v>
          </cell>
          <cell r="O527" t="str">
            <v>-</v>
          </cell>
          <cell r="P527">
            <v>17500</v>
          </cell>
        </row>
        <row r="528">
          <cell r="C528" t="str">
            <v>D0904-KYA-409</v>
          </cell>
          <cell r="D528" t="str">
            <v>Kyaw Aung</v>
          </cell>
          <cell r="E528" t="str">
            <v>Chimyo Htet</v>
          </cell>
          <cell r="F528" t="str">
            <v>09-673098268</v>
          </cell>
          <cell r="G528" t="str">
            <v>ရွှေပြည်သာ</v>
          </cell>
          <cell r="H528" t="str">
            <v>သီတာပန်းခြံ (၂) လမ်း၊ (၈) ရပ်ကွက်၊ (ကျေးရွာမှတ်တိုင်)၊ ရွှေပြည်သာမြို့နယ်</v>
          </cell>
          <cell r="I528">
            <v>15500</v>
          </cell>
          <cell r="J528">
            <v>4500</v>
          </cell>
          <cell r="K528">
            <v>20000</v>
          </cell>
          <cell r="L528">
            <v>4500</v>
          </cell>
          <cell r="M528">
            <v>4500</v>
          </cell>
          <cell r="O528" t="str">
            <v>-</v>
          </cell>
          <cell r="P528">
            <v>20000</v>
          </cell>
        </row>
        <row r="529">
          <cell r="C529" t="str">
            <v>D0904-HAM-412</v>
          </cell>
          <cell r="D529" t="str">
            <v>HAIM</v>
          </cell>
          <cell r="E529" t="str">
            <v>Origin Coffee &amp;
 Roastery</v>
          </cell>
          <cell r="F529" t="str">
            <v>09-958340352</v>
          </cell>
          <cell r="G529" t="str">
            <v>ရန်ကင်း</v>
          </cell>
          <cell r="H529" t="str">
            <v>ကမ္ဘာအေးဘုရားလမ်း နှင့် ကံဘဲ့ဘူတာရုံလမ်းထောင့်၊ ရန်ကင်းမြို့နယ်</v>
          </cell>
          <cell r="I529">
            <v>537500</v>
          </cell>
          <cell r="J529">
            <v>4000</v>
          </cell>
          <cell r="K529">
            <v>541500</v>
          </cell>
          <cell r="L529">
            <v>4000</v>
          </cell>
          <cell r="M529">
            <v>4000</v>
          </cell>
          <cell r="N529">
            <v>8</v>
          </cell>
          <cell r="O529">
            <v>2500</v>
          </cell>
          <cell r="P529">
            <v>544000</v>
          </cell>
        </row>
        <row r="530">
          <cell r="C530" t="str">
            <v>D0904-RYP-415</v>
          </cell>
          <cell r="D530" t="str">
            <v>Royal Poe</v>
          </cell>
          <cell r="E530" t="str">
            <v>Ma Htet Yee Win</v>
          </cell>
          <cell r="F530" t="str">
            <v>09-786642566</v>
          </cell>
          <cell r="G530" t="str">
            <v>မရမ်းကုန်း</v>
          </cell>
          <cell r="H530" t="str">
            <v>ရန်ကုန်နည်းပညာတက္ကသိုလ် ၊ BPI မှတ်တိုင် ၊ မရမ်းကုန်း</v>
          </cell>
          <cell r="I530">
            <v>36000</v>
          </cell>
          <cell r="J530">
            <v>4000</v>
          </cell>
          <cell r="K530">
            <v>40000</v>
          </cell>
          <cell r="L530">
            <v>4000</v>
          </cell>
          <cell r="M530">
            <v>4000</v>
          </cell>
          <cell r="O530" t="str">
            <v>-</v>
          </cell>
          <cell r="P530">
            <v>40000</v>
          </cell>
        </row>
        <row r="531">
          <cell r="C531" t="str">
            <v>D0824-KSC-286</v>
          </cell>
          <cell r="D531" t="str">
            <v>KS Cosmetic</v>
          </cell>
          <cell r="E531">
            <v>6</v>
          </cell>
          <cell r="F531" t="str">
            <v>09-77078965
09-450744344</v>
          </cell>
          <cell r="G531" t="str">
            <v>လှိုင်</v>
          </cell>
          <cell r="H531" t="str">
            <v>ဦးချိုလမ်း နှင့် သုခလမ်းထောင့်၊ (DKMA Condo)၊ လှိုင်မြို့နယ်</v>
          </cell>
          <cell r="I531">
            <v>79000</v>
          </cell>
          <cell r="J531">
            <v>4000</v>
          </cell>
          <cell r="K531">
            <v>83000</v>
          </cell>
          <cell r="L531">
            <v>4000</v>
          </cell>
          <cell r="M531">
            <v>4000</v>
          </cell>
          <cell r="O531" t="str">
            <v>-</v>
          </cell>
          <cell r="P531">
            <v>83000</v>
          </cell>
        </row>
        <row r="532">
          <cell r="C532" t="str">
            <v>D0826-PRE-099</v>
          </cell>
          <cell r="D532" t="str">
            <v>PREMIER</v>
          </cell>
          <cell r="E532" t="str">
            <v>Keiko</v>
          </cell>
          <cell r="F532" t="str">
            <v>09-785269777</v>
          </cell>
          <cell r="G532" t="str">
            <v>လှိုင်</v>
          </cell>
          <cell r="H532" t="str">
            <v>The Century Condo၊ လှိုင်မြို့နယ်</v>
          </cell>
          <cell r="K532" t="str">
            <v>-</v>
          </cell>
          <cell r="L532">
            <v>4000</v>
          </cell>
          <cell r="M532" t="str">
            <v>-</v>
          </cell>
          <cell r="O532" t="str">
            <v>-</v>
          </cell>
          <cell r="P532" t="str">
            <v>-</v>
          </cell>
        </row>
        <row r="533">
          <cell r="C533" t="str">
            <v>D0827-HAM-334</v>
          </cell>
          <cell r="D533" t="str">
            <v>HAIM</v>
          </cell>
          <cell r="E533" t="str">
            <v>Ko Zar Ni Min Htet</v>
          </cell>
          <cell r="F533" t="str">
            <v>09-428279987</v>
          </cell>
          <cell r="G533" t="str">
            <v>အင်းစိန်</v>
          </cell>
          <cell r="H533" t="str">
            <v>The Leaf Condo၊ ဓမ္မသုခကျောင်းလမ်းအဆုံး၊ (သံလမ်းမှတ်တိုင်ကျော်)၊ အင်းစိန်မြို့နယ်</v>
          </cell>
          <cell r="I533">
            <v>269500</v>
          </cell>
          <cell r="J533">
            <v>4000</v>
          </cell>
          <cell r="K533">
            <v>273500</v>
          </cell>
          <cell r="L533">
            <v>4000</v>
          </cell>
          <cell r="M533">
            <v>4000</v>
          </cell>
          <cell r="N533">
            <v>11</v>
          </cell>
          <cell r="O533">
            <v>4000</v>
          </cell>
          <cell r="P533">
            <v>277500</v>
          </cell>
        </row>
        <row r="534">
          <cell r="C534" t="str">
            <v>D0827-KAL-157</v>
          </cell>
          <cell r="D534" t="str">
            <v>ခင့်အလှူ</v>
          </cell>
          <cell r="E534" t="str">
            <v>Daw Tin Shwe</v>
          </cell>
          <cell r="F534" t="str">
            <v>09-401489491</v>
          </cell>
          <cell r="G534" t="str">
            <v>လှိုင်</v>
          </cell>
          <cell r="H534" t="str">
            <v>အင်းယားလမ်း၊ လှိုင်မြို့နယ်</v>
          </cell>
          <cell r="I534">
            <v>35000</v>
          </cell>
          <cell r="J534">
            <v>5000</v>
          </cell>
          <cell r="K534">
            <v>40000</v>
          </cell>
          <cell r="L534">
            <v>4000</v>
          </cell>
          <cell r="M534">
            <v>5000</v>
          </cell>
          <cell r="O534" t="str">
            <v>-</v>
          </cell>
          <cell r="P534">
            <v>40000</v>
          </cell>
        </row>
        <row r="535">
          <cell r="C535" t="str">
            <v>D0809-GRS-043</v>
          </cell>
          <cell r="D535" t="str">
            <v>GRS Express</v>
          </cell>
          <cell r="E535" t="str">
            <v>Ma Thu Myat Zaw</v>
          </cell>
          <cell r="F535" t="str">
            <v>09-765408791</v>
          </cell>
          <cell r="G535" t="str">
            <v>အလုံ</v>
          </cell>
          <cell r="H535" t="str">
            <v>တိုက် (၅၀)၊ ငုဝါလမ်း၊ အလုံမြို့နယ်</v>
          </cell>
          <cell r="I535">
            <v>32000</v>
          </cell>
          <cell r="J535">
            <v>4500</v>
          </cell>
          <cell r="K535">
            <v>36500</v>
          </cell>
          <cell r="L535">
            <v>4000</v>
          </cell>
          <cell r="M535">
            <v>4500</v>
          </cell>
          <cell r="O535" t="str">
            <v>-</v>
          </cell>
          <cell r="P535">
            <v>36500</v>
          </cell>
        </row>
        <row r="536">
          <cell r="C536" t="str">
            <v>D0824-GGS-061</v>
          </cell>
          <cell r="D536" t="str">
            <v>The Gadget Store</v>
          </cell>
          <cell r="E536" t="str">
            <v>Thet Htar</v>
          </cell>
          <cell r="F536" t="str">
            <v>09-5154953</v>
          </cell>
          <cell r="G536" t="str">
            <v>ကျောက်တံတား</v>
          </cell>
          <cell r="H536" t="str">
            <v>ကျောက်တံတားမြို့နယ်</v>
          </cell>
          <cell r="I536">
            <v>29800</v>
          </cell>
          <cell r="J536">
            <v>4000</v>
          </cell>
          <cell r="K536">
            <v>33800</v>
          </cell>
          <cell r="L536">
            <v>4000</v>
          </cell>
          <cell r="M536">
            <v>4000</v>
          </cell>
          <cell r="O536" t="str">
            <v>-</v>
          </cell>
          <cell r="P536">
            <v>33800</v>
          </cell>
        </row>
        <row r="537">
          <cell r="C537" t="str">
            <v>D0831-GRS-007</v>
          </cell>
          <cell r="D537" t="str">
            <v>GRS Express</v>
          </cell>
          <cell r="E537" t="str">
            <v>Ma Hla Hla</v>
          </cell>
          <cell r="F537" t="str">
            <v>09-451801625</v>
          </cell>
          <cell r="G537" t="str">
            <v>ကြည့်မြင်တိုင်</v>
          </cell>
          <cell r="H537" t="str">
            <v>အမှတ် (၈)၊ အုန်းပင်လမ်း၊ ကြည့်မြင်တိုင်မြို့နယ်</v>
          </cell>
          <cell r="I537">
            <v>14000</v>
          </cell>
          <cell r="J537">
            <v>4500</v>
          </cell>
          <cell r="K537">
            <v>18500</v>
          </cell>
          <cell r="L537">
            <v>4000</v>
          </cell>
          <cell r="M537">
            <v>4500</v>
          </cell>
          <cell r="O537" t="str">
            <v>-</v>
          </cell>
          <cell r="P537">
            <v>18500</v>
          </cell>
        </row>
        <row r="538">
          <cell r="C538" t="str">
            <v>D0831-KSC-193</v>
          </cell>
          <cell r="D538" t="str">
            <v>KS Cosmetic</v>
          </cell>
          <cell r="E538" t="str">
            <v>တင်ထွန်းနိုင်</v>
          </cell>
          <cell r="F538" t="str">
            <v>09-967807519</v>
          </cell>
          <cell r="G538" t="str">
            <v>ကြည့်မြင်တိုင်</v>
          </cell>
          <cell r="H538" t="str">
            <v>ဧရာဝတီဘဏ်၊ အမှတ် (၇၃)၊ ကမ်းနားလမ်း၊ သာဓုလမ်း နှင့် နိဗ္ဗာန်လမ်းကြား၊ ကြည့်မြင်တိုင်မြို့နယ်</v>
          </cell>
          <cell r="I538">
            <v>79000</v>
          </cell>
          <cell r="J538">
            <v>4000</v>
          </cell>
          <cell r="K538">
            <v>83000</v>
          </cell>
          <cell r="L538">
            <v>4000</v>
          </cell>
          <cell r="M538">
            <v>4000</v>
          </cell>
          <cell r="O538" t="str">
            <v>-</v>
          </cell>
          <cell r="P538">
            <v>83000</v>
          </cell>
        </row>
        <row r="539">
          <cell r="C539" t="str">
            <v>D0831-KAL-098</v>
          </cell>
          <cell r="D539" t="str">
            <v>ခင့်အလှူ</v>
          </cell>
          <cell r="E539" t="str">
            <v>Salma BiBi</v>
          </cell>
          <cell r="F539" t="str">
            <v>09-261477545</v>
          </cell>
          <cell r="G539" t="str">
            <v>မင်္ဂလာတောင်ညွန့်</v>
          </cell>
          <cell r="H539" t="str">
            <v>အမှတ် (၃၇)၊ (၁၀၉) လမ်း၊ မင်္ဂလာတောင်ညွန့်မြို့နယ်</v>
          </cell>
          <cell r="I539">
            <v>17000</v>
          </cell>
          <cell r="J539">
            <v>4000</v>
          </cell>
          <cell r="K539">
            <v>21000</v>
          </cell>
          <cell r="L539">
            <v>4000</v>
          </cell>
          <cell r="M539">
            <v>4000</v>
          </cell>
          <cell r="O539" t="str">
            <v>-</v>
          </cell>
          <cell r="P539">
            <v>21000</v>
          </cell>
        </row>
        <row r="540">
          <cell r="C540" t="str">
            <v>D0904-BBW-056</v>
          </cell>
          <cell r="D540" t="str">
            <v>Baby World</v>
          </cell>
          <cell r="E540" t="str">
            <v>Moe Moe</v>
          </cell>
          <cell r="F540" t="str">
            <v>09-955096444</v>
          </cell>
          <cell r="G540" t="str">
            <v>ဒေါပုံ</v>
          </cell>
          <cell r="H540" t="str">
            <v>အမှတ် (၁၁၀)၊ မေတ္တာ (၂၃) လမ်း၊ ဗိုလ်ထွန်းစံရပ်ကွက်၊ ဒေါပုံမြို့နယ်</v>
          </cell>
          <cell r="I540">
            <v>138000</v>
          </cell>
          <cell r="J540">
            <v>4000</v>
          </cell>
          <cell r="K540">
            <v>142000</v>
          </cell>
          <cell r="L540">
            <v>4000</v>
          </cell>
          <cell r="M540">
            <v>4000</v>
          </cell>
          <cell r="O540" t="str">
            <v>-</v>
          </cell>
          <cell r="P540">
            <v>160000</v>
          </cell>
        </row>
        <row r="541">
          <cell r="C541" t="str">
            <v>D0831-BBW-441</v>
          </cell>
          <cell r="D541" t="str">
            <v>Baby World</v>
          </cell>
          <cell r="E541" t="str">
            <v>Tha Zin Aye</v>
          </cell>
          <cell r="F541" t="str">
            <v>09-786338637</v>
          </cell>
          <cell r="G541" t="str">
            <v>ဒေါပုံ</v>
          </cell>
          <cell r="H541" t="str">
            <v>အမှတ် (၃၄၁)၊ သစ္စာနွယ်လမ်း၊ နွယ်အေးရပ်ကွက်၊ ဒေါပုံမြို့နယ်</v>
          </cell>
          <cell r="I541">
            <v>84000</v>
          </cell>
          <cell r="J541">
            <v>4000</v>
          </cell>
          <cell r="K541">
            <v>88000</v>
          </cell>
          <cell r="L541">
            <v>4000</v>
          </cell>
          <cell r="M541">
            <v>4000</v>
          </cell>
          <cell r="O541" t="str">
            <v>-</v>
          </cell>
          <cell r="P541">
            <v>88000</v>
          </cell>
        </row>
        <row r="542">
          <cell r="C542" t="str">
            <v>D0831-CTM-417</v>
          </cell>
          <cell r="D542" t="str">
            <v>ချစ်သွန်းသီရိ မေမေ</v>
          </cell>
          <cell r="E542" t="str">
            <v>စိန်ရတနာ</v>
          </cell>
          <cell r="F542" t="str">
            <v>09-787977326</v>
          </cell>
          <cell r="G542" t="str">
            <v>ဒေါပုံ</v>
          </cell>
          <cell r="H542" t="str">
            <v>အမှတ် (၃၉၀)၊ ဇေယျာသီရိ (၁၃) လမ်း၊ (စာတိုက်အနီး)၊ ဒေါပုံမြို့နယ်</v>
          </cell>
          <cell r="I542">
            <v>108000</v>
          </cell>
          <cell r="J542">
            <v>4000</v>
          </cell>
          <cell r="K542">
            <v>112000</v>
          </cell>
          <cell r="L542">
            <v>4000</v>
          </cell>
          <cell r="M542">
            <v>4000</v>
          </cell>
          <cell r="N542">
            <v>6</v>
          </cell>
          <cell r="O542">
            <v>1500</v>
          </cell>
          <cell r="P542">
            <v>113500</v>
          </cell>
        </row>
        <row r="543">
          <cell r="C543" t="str">
            <v>D0831-CTM-421</v>
          </cell>
          <cell r="D543" t="str">
            <v>ချစ်သွန်းသီရိ မေမေ</v>
          </cell>
          <cell r="E543" t="str">
            <v>San San Myint</v>
          </cell>
          <cell r="F543" t="str">
            <v>09-5168589</v>
          </cell>
          <cell r="G543" t="str">
            <v>တာမွေ</v>
          </cell>
          <cell r="H543" t="str">
            <v>အမှတ် (၅)၊ အေးသာယာလမ်း၊ တာမွေမြို့နယ်</v>
          </cell>
          <cell r="I543">
            <v>29000</v>
          </cell>
          <cell r="J543">
            <v>4000</v>
          </cell>
          <cell r="K543">
            <v>33000</v>
          </cell>
          <cell r="L543">
            <v>4000</v>
          </cell>
          <cell r="M543">
            <v>4000</v>
          </cell>
          <cell r="O543" t="str">
            <v>-</v>
          </cell>
          <cell r="P543">
            <v>33000</v>
          </cell>
        </row>
        <row r="544">
          <cell r="C544" t="str">
            <v>D0831-KSC-237</v>
          </cell>
          <cell r="D544" t="str">
            <v>KS Cosmetic</v>
          </cell>
          <cell r="E544" t="str">
            <v>Moe</v>
          </cell>
          <cell r="F544" t="str">
            <v>09-664044709</v>
          </cell>
          <cell r="G544" t="str">
            <v>ဗဟန်း</v>
          </cell>
          <cell r="H544" t="str">
            <v>ပုလဲလမ်း၊ ကျိုက္ကဆံရပ်ကွက်၊ ဗဟန်းမြို့နယ်</v>
          </cell>
          <cell r="I544">
            <v>39500</v>
          </cell>
          <cell r="J544">
            <v>4000</v>
          </cell>
          <cell r="K544">
            <v>43500</v>
          </cell>
          <cell r="L544">
            <v>4000</v>
          </cell>
          <cell r="M544">
            <v>4000</v>
          </cell>
          <cell r="O544" t="str">
            <v>-</v>
          </cell>
          <cell r="P544">
            <v>43500</v>
          </cell>
        </row>
        <row r="545">
          <cell r="C545" t="str">
            <v>D0831-KAL-328</v>
          </cell>
          <cell r="D545" t="str">
            <v>ခင့်အလှူ</v>
          </cell>
          <cell r="E545" t="str">
            <v>Aye Than</v>
          </cell>
          <cell r="F545" t="str">
            <v>09-881939880</v>
          </cell>
          <cell r="G545" t="str">
            <v>အင်းစိန်</v>
          </cell>
          <cell r="H545" t="str">
            <v>ဒညင်းကုန်းဈေး၊ ရုံ (၂)၊ အင်းစိန်မြို့နယ်</v>
          </cell>
          <cell r="I545">
            <v>27500</v>
          </cell>
          <cell r="J545">
            <v>4000</v>
          </cell>
          <cell r="K545">
            <v>31500</v>
          </cell>
          <cell r="L545">
            <v>4000</v>
          </cell>
          <cell r="M545">
            <v>4000</v>
          </cell>
          <cell r="O545" t="str">
            <v>-</v>
          </cell>
          <cell r="P545">
            <v>31500</v>
          </cell>
        </row>
        <row r="546">
          <cell r="C546" t="str">
            <v>D0824-MML-368</v>
          </cell>
          <cell r="D546" t="str">
            <v>Ma Myat Lay</v>
          </cell>
          <cell r="E546" t="str">
            <v>မသူသူစိုး</v>
          </cell>
          <cell r="F546" t="str">
            <v>09-678193846</v>
          </cell>
          <cell r="G546" t="str">
            <v>လှိုင်သာယာ</v>
          </cell>
          <cell r="H546" t="str">
            <v>(ရိုးကြီးမှတ်တိုင်နား)၊ လှိုင်သာယာမြို့နယ်</v>
          </cell>
          <cell r="I546">
            <v>30000</v>
          </cell>
          <cell r="J546">
            <v>4500</v>
          </cell>
          <cell r="K546">
            <v>34500</v>
          </cell>
          <cell r="L546">
            <v>4500</v>
          </cell>
          <cell r="M546">
            <v>4500</v>
          </cell>
          <cell r="N546">
            <v>6</v>
          </cell>
          <cell r="O546">
            <v>1500</v>
          </cell>
          <cell r="P546">
            <v>36000</v>
          </cell>
          <cell r="R546" t="str">
            <v>Sunday ပို့ပေးပါရန်</v>
          </cell>
        </row>
        <row r="547">
          <cell r="C547" t="str">
            <v>D0827-KAL-160</v>
          </cell>
          <cell r="D547" t="str">
            <v>ခင့်အလှူ</v>
          </cell>
          <cell r="E547" t="str">
            <v>မစိမ်းလဲ့</v>
          </cell>
          <cell r="F547" t="str">
            <v>09-457333005</v>
          </cell>
          <cell r="G547" t="str">
            <v>မရမ်းကုန်း</v>
          </cell>
          <cell r="H547" t="str">
            <v>တိုက် (၇၃၄)၊ (၄) လွှာ၊ ဗိုလ်တေဇလမ်း၊ သမိုင်း၊ မရမ်းကုန်းမြို့နယ်</v>
          </cell>
          <cell r="I547">
            <v>105000</v>
          </cell>
          <cell r="J547">
            <v>5000</v>
          </cell>
          <cell r="K547">
            <v>110000</v>
          </cell>
          <cell r="L547">
            <v>4000</v>
          </cell>
          <cell r="M547">
            <v>5000</v>
          </cell>
          <cell r="N547">
            <v>9</v>
          </cell>
          <cell r="O547">
            <v>3000</v>
          </cell>
          <cell r="P547">
            <v>113000</v>
          </cell>
        </row>
        <row r="548">
          <cell r="C548" t="str">
            <v>D0831-JLS-052</v>
          </cell>
          <cell r="D548" t="str">
            <v>July Sis</v>
          </cell>
          <cell r="E548" t="str">
            <v>Win WIn</v>
          </cell>
          <cell r="F548" t="str">
            <v>09-942398223</v>
          </cell>
          <cell r="G548" t="str">
            <v>လှိုင်သာယာ</v>
          </cell>
          <cell r="H548" t="str">
            <v>အမှတ် (၇၅၃)၊ နွယ်နီ (၃) လမ်း၊ (၁၅) ရပ်ကွက်၊ ((၁၂၇) မီးပွိုင့်အနီး)၊ လှိုင်သာယာမြို့နယ်</v>
          </cell>
          <cell r="I548">
            <v>232000</v>
          </cell>
          <cell r="J548">
            <v>4500</v>
          </cell>
          <cell r="K548">
            <v>236500</v>
          </cell>
          <cell r="L548">
            <v>4500</v>
          </cell>
          <cell r="M548">
            <v>4500</v>
          </cell>
          <cell r="O548" t="str">
            <v>-</v>
          </cell>
          <cell r="P548">
            <v>236500</v>
          </cell>
          <cell r="Q548">
            <v>17</v>
          </cell>
        </row>
        <row r="549">
          <cell r="C549" t="str">
            <v>D0831-KSC-170</v>
          </cell>
          <cell r="D549" t="str">
            <v>KS Cosmetic</v>
          </cell>
          <cell r="E549" t="str">
            <v>Moe Sat Lay</v>
          </cell>
          <cell r="F549" t="str">
            <v>09-781364800
09-698950075</v>
          </cell>
          <cell r="G549" t="str">
            <v>လှိုင်သာယာ</v>
          </cell>
          <cell r="H549" t="str">
            <v>(ကြက်ခြံမှတ်တိုင်)၊ လှိုင်သာယာမြို့နယ်</v>
          </cell>
          <cell r="I549">
            <v>97500</v>
          </cell>
          <cell r="J549">
            <v>4500</v>
          </cell>
          <cell r="K549">
            <v>102000</v>
          </cell>
          <cell r="L549">
            <v>4500</v>
          </cell>
          <cell r="M549">
            <v>4500</v>
          </cell>
          <cell r="O549" t="str">
            <v>-</v>
          </cell>
          <cell r="P549">
            <v>102000</v>
          </cell>
        </row>
        <row r="550">
          <cell r="C550" t="str">
            <v>D0831-BBW-444</v>
          </cell>
          <cell r="D550" t="str">
            <v>Baby World</v>
          </cell>
          <cell r="E550" t="str">
            <v>Baby Lay</v>
          </cell>
          <cell r="F550" t="str">
            <v>09-975159184</v>
          </cell>
          <cell r="G550" t="str">
            <v>လှိုင်သာယာ</v>
          </cell>
          <cell r="H550" t="str">
            <v>အမှတ် (227B)၊ နှောင်းဦးလမ်း၊ (၁၀) ရပ်ကွက်၊ လှိုင်သာယာမြို့နယ်</v>
          </cell>
          <cell r="I550">
            <v>22500</v>
          </cell>
          <cell r="J550">
            <v>4500</v>
          </cell>
          <cell r="K550">
            <v>27000</v>
          </cell>
          <cell r="L550">
            <v>4500</v>
          </cell>
          <cell r="M550">
            <v>4500</v>
          </cell>
          <cell r="O550" t="str">
            <v>-</v>
          </cell>
          <cell r="P550">
            <v>27000</v>
          </cell>
        </row>
        <row r="551">
          <cell r="C551" t="str">
            <v>D0822-FFY-091</v>
          </cell>
          <cell r="D551" t="str">
            <v>Food For U</v>
          </cell>
          <cell r="E551" t="str">
            <v>မယွန်းမှုူးအိမ်</v>
          </cell>
          <cell r="F551" t="str">
            <v>09-456882655</v>
          </cell>
          <cell r="G551" t="str">
            <v>လှိုင်သာယာ</v>
          </cell>
          <cell r="H551" t="str">
            <v>အမှတ် (၄၀၆)၊ မဟော်သဓာလမ်း၊ (၁/၁၂) ရပ်ကွက်၊ လှိုင်သာယာမြို့နယ်</v>
          </cell>
          <cell r="I551">
            <v>48500</v>
          </cell>
          <cell r="J551">
            <v>4000</v>
          </cell>
          <cell r="K551">
            <v>52500</v>
          </cell>
          <cell r="L551">
            <v>4500</v>
          </cell>
          <cell r="M551">
            <v>4500</v>
          </cell>
          <cell r="O551">
            <v>0</v>
          </cell>
          <cell r="P551">
            <v>53000</v>
          </cell>
        </row>
        <row r="552">
          <cell r="C552" t="str">
            <v>D0828-MMA-033</v>
          </cell>
          <cell r="D552" t="str">
            <v>မြန်မာ့အလှ</v>
          </cell>
          <cell r="E552" t="str">
            <v>Mya Lay</v>
          </cell>
          <cell r="F552" t="str">
            <v>09-426264786</v>
          </cell>
          <cell r="G552" t="str">
            <v>လှိုင်</v>
          </cell>
          <cell r="H552" t="str">
            <v>အေးမြသာယာလမ်း၊ (၁၄) ရပ်ကွက်၊ လှိုင်မြို့နယ်</v>
          </cell>
          <cell r="I552">
            <v>42900</v>
          </cell>
          <cell r="J552">
            <v>4000</v>
          </cell>
          <cell r="K552">
            <v>46900</v>
          </cell>
          <cell r="L552">
            <v>4000</v>
          </cell>
          <cell r="M552">
            <v>4000</v>
          </cell>
          <cell r="O552" t="str">
            <v>-</v>
          </cell>
          <cell r="P552">
            <v>46900</v>
          </cell>
        </row>
        <row r="553">
          <cell r="C553" t="str">
            <v>D0827-FFY-246</v>
          </cell>
          <cell r="D553" t="str">
            <v>Food For U</v>
          </cell>
          <cell r="E553" t="str">
            <v>Ma Ni Lar Phyu</v>
          </cell>
          <cell r="F553" t="str">
            <v>09-5138197</v>
          </cell>
          <cell r="G553" t="str">
            <v>လှိုင်သာယာ</v>
          </cell>
          <cell r="H553" t="str">
            <v>အမှတ် (746B)၊ ဗိုလ်တေဇပတ်လမ်း၊ ((၂၀) ဈေးအကျော်)၊ လှိုင်သာယာမြို့နယ်</v>
          </cell>
          <cell r="I553">
            <v>100000</v>
          </cell>
          <cell r="J553">
            <v>4000</v>
          </cell>
          <cell r="K553">
            <v>104000</v>
          </cell>
          <cell r="L553">
            <v>4500</v>
          </cell>
          <cell r="M553">
            <v>4500</v>
          </cell>
          <cell r="O553" t="str">
            <v>-</v>
          </cell>
          <cell r="P553">
            <v>104500</v>
          </cell>
        </row>
        <row r="554">
          <cell r="C554" t="str">
            <v>D0831-MMA-378</v>
          </cell>
          <cell r="D554" t="str">
            <v>မြန်မာ့အလှ</v>
          </cell>
          <cell r="E554" t="str">
            <v>Yu Yu</v>
          </cell>
          <cell r="F554" t="str">
            <v>09-258649756</v>
          </cell>
          <cell r="G554" t="str">
            <v>လှိုင်သာယာ</v>
          </cell>
          <cell r="H554" t="str">
            <v>ဓမ္မာရုံ (၁) လမ်း၊ (၂၂) ရပ်ကွက်၊ လှိုင်သာယာမြို့နယ်</v>
          </cell>
          <cell r="I554">
            <v>68200</v>
          </cell>
          <cell r="J554">
            <v>4500</v>
          </cell>
          <cell r="K554">
            <v>72700</v>
          </cell>
          <cell r="L554">
            <v>4500</v>
          </cell>
          <cell r="M554">
            <v>4500</v>
          </cell>
          <cell r="O554" t="str">
            <v>-</v>
          </cell>
          <cell r="P554">
            <v>72700</v>
          </cell>
        </row>
        <row r="555">
          <cell r="C555" t="str">
            <v>D0831-MMA-383</v>
          </cell>
          <cell r="D555" t="str">
            <v>မြန်မာ့အလှ</v>
          </cell>
          <cell r="E555" t="str">
            <v>သက်ထား</v>
          </cell>
          <cell r="F555" t="str">
            <v>09-794309661</v>
          </cell>
          <cell r="G555" t="str">
            <v>လှိုင်သာယာ</v>
          </cell>
          <cell r="H555" t="str">
            <v>ညောင်လေးပင်လမ်း၊ (၁၆) ရပ်ကွက်၊ လှိုင်သာယာမြို့နယ်</v>
          </cell>
          <cell r="I555">
            <v>29000</v>
          </cell>
          <cell r="J555">
            <v>4500</v>
          </cell>
          <cell r="K555">
            <v>33500</v>
          </cell>
          <cell r="L555">
            <v>4500</v>
          </cell>
          <cell r="M555">
            <v>4500</v>
          </cell>
          <cell r="O555" t="str">
            <v>-</v>
          </cell>
          <cell r="P555">
            <v>33500</v>
          </cell>
        </row>
        <row r="556">
          <cell r="C556" t="str">
            <v>D0831-KSC-282</v>
          </cell>
          <cell r="D556" t="str">
            <v>KS Cosmetic</v>
          </cell>
          <cell r="E556" t="str">
            <v>Paing Lay</v>
          </cell>
          <cell r="F556" t="str">
            <v>09-670549822</v>
          </cell>
          <cell r="G556" t="str">
            <v>လှိုင်သာယာ</v>
          </cell>
          <cell r="H556" t="str">
            <v>ပိုင်စိုး၊ အမှတ် (၄၄)၊ ရွှေပဒေသာ (၂) လမ်း၊ (စိမ်းပန်းမှတ်တိုင်)၊ ရွှေလင်ပန်း၊ လှိုင်သာယာမြို့နယ်</v>
          </cell>
          <cell r="I556">
            <v>39500</v>
          </cell>
          <cell r="J556">
            <v>4500</v>
          </cell>
          <cell r="K556">
            <v>44000</v>
          </cell>
          <cell r="L556">
            <v>4500</v>
          </cell>
          <cell r="M556">
            <v>4500</v>
          </cell>
          <cell r="O556" t="str">
            <v>-</v>
          </cell>
          <cell r="P556">
            <v>44000</v>
          </cell>
        </row>
        <row r="557">
          <cell r="C557" t="str">
            <v>D0831-KSC-310</v>
          </cell>
          <cell r="D557" t="str">
            <v>KS Cosmetic</v>
          </cell>
          <cell r="E557" t="str">
            <v>TT</v>
          </cell>
          <cell r="F557" t="str">
            <v>09-680213679</v>
          </cell>
          <cell r="G557" t="str">
            <v>လှိုင်သာယာ</v>
          </cell>
          <cell r="H557" t="str">
            <v>ဗိုလ်မင်းရောင်လမ်း၊ ရိုးကြီး၊ လှိုင်သာယာမြို့နယ်</v>
          </cell>
          <cell r="I557">
            <v>39500</v>
          </cell>
          <cell r="J557">
            <v>4500</v>
          </cell>
          <cell r="K557">
            <v>44000</v>
          </cell>
          <cell r="L557">
            <v>4500</v>
          </cell>
          <cell r="M557">
            <v>4500</v>
          </cell>
          <cell r="O557" t="str">
            <v>-</v>
          </cell>
          <cell r="P557">
            <v>44000</v>
          </cell>
          <cell r="R557" t="str">
            <v>၁၀ရက်နေ့မှပို့ရန်</v>
          </cell>
        </row>
        <row r="558">
          <cell r="C558" t="str">
            <v>D0831-MMA-379</v>
          </cell>
          <cell r="D558" t="str">
            <v>မြန်မာ့အလှ</v>
          </cell>
          <cell r="E558" t="str">
            <v>ဝင်းမာထွေး</v>
          </cell>
          <cell r="F558" t="str">
            <v>09-753099783</v>
          </cell>
          <cell r="G558" t="str">
            <v>လှိုင်သာယာ</v>
          </cell>
          <cell r="H558" t="str">
            <v>ဧရာဝတီလမ်း၊ ရွှေညောင်ပင်၊ (၅) ရပ်ကွက်၊ လှိုင်သာယာမြို့နယ်</v>
          </cell>
          <cell r="I558">
            <v>47500</v>
          </cell>
          <cell r="J558">
            <v>4500</v>
          </cell>
          <cell r="K558">
            <v>52000</v>
          </cell>
          <cell r="L558">
            <v>4500</v>
          </cell>
          <cell r="M558">
            <v>4500</v>
          </cell>
          <cell r="O558" t="str">
            <v>-</v>
          </cell>
          <cell r="P558">
            <v>52000</v>
          </cell>
        </row>
        <row r="559">
          <cell r="C559" t="str">
            <v>D0831-KSC-189</v>
          </cell>
          <cell r="D559" t="str">
            <v>KS Cosmetic</v>
          </cell>
          <cell r="E559" t="str">
            <v>Wain Zin Yaung</v>
          </cell>
          <cell r="F559" t="str">
            <v>09-775276813</v>
          </cell>
          <cell r="G559" t="str">
            <v>လှိုင်သာယာ</v>
          </cell>
          <cell r="H559" t="str">
            <v>အမှတ် (1484B)၊ တကောင်းလမ်း၊ (၁၆) ရပ်ကွက်၊ လှိုင်သာယာမြို့နယ်</v>
          </cell>
          <cell r="I559">
            <v>79000</v>
          </cell>
          <cell r="J559">
            <v>4500</v>
          </cell>
          <cell r="K559">
            <v>83500</v>
          </cell>
          <cell r="L559">
            <v>4500</v>
          </cell>
          <cell r="M559">
            <v>4500</v>
          </cell>
          <cell r="O559" t="str">
            <v>-</v>
          </cell>
          <cell r="P559">
            <v>83500</v>
          </cell>
        </row>
        <row r="560">
          <cell r="C560" t="str">
            <v>D0831-MMA-364</v>
          </cell>
          <cell r="D560" t="str">
            <v>မြန်မာ့အလှ</v>
          </cell>
          <cell r="E560" t="str">
            <v>ဒေါ်သက်သက်</v>
          </cell>
          <cell r="F560" t="str">
            <v>09-941529560</v>
          </cell>
          <cell r="G560" t="str">
            <v>လှိုင်သာယာ</v>
          </cell>
          <cell r="H560" t="str">
            <v>မြတ်စံပယ်ဆေးဆိုင်၊ ရခိုင်ရိုးလေး၊ လှိုင်သာယာမြို့နယ်</v>
          </cell>
          <cell r="I560">
            <v>102000</v>
          </cell>
          <cell r="J560">
            <v>4500</v>
          </cell>
          <cell r="K560">
            <v>106500</v>
          </cell>
          <cell r="L560">
            <v>4500</v>
          </cell>
          <cell r="M560">
            <v>4500</v>
          </cell>
          <cell r="O560" t="str">
            <v>-</v>
          </cell>
          <cell r="P560">
            <v>106500</v>
          </cell>
        </row>
        <row r="561">
          <cell r="C561" t="str">
            <v>D0831-KSC-291</v>
          </cell>
          <cell r="D561" t="str">
            <v>KS Cosmetic</v>
          </cell>
          <cell r="E561" t="str">
            <v>မခင်</v>
          </cell>
          <cell r="F561" t="str">
            <v>09-799969892</v>
          </cell>
          <cell r="H561" t="str">
            <v>ရွှေတောင်စားသောက်ဆိုင်ရှေ့၊ အမှတ် (၂၀၅)၊ (ပင်လမ်းခွဲအကျော်)</v>
          </cell>
          <cell r="I561">
            <v>39500</v>
          </cell>
          <cell r="J561">
            <v>5000</v>
          </cell>
          <cell r="K561">
            <v>44500</v>
          </cell>
          <cell r="M561">
            <v>5000</v>
          </cell>
          <cell r="O561" t="str">
            <v>-</v>
          </cell>
          <cell r="P561">
            <v>44500</v>
          </cell>
        </row>
        <row r="562">
          <cell r="C562" t="str">
            <v>D0831-KAL-103</v>
          </cell>
          <cell r="D562" t="str">
            <v>ခင့်အလှူ</v>
          </cell>
          <cell r="E562" t="str">
            <v>Moe Myint Htay</v>
          </cell>
          <cell r="F562" t="str">
            <v>09-663641587</v>
          </cell>
          <cell r="G562" t="str">
            <v>ရွှေပြည်သာ</v>
          </cell>
          <cell r="H562" t="str">
            <v>စိန်ပန်း (၅) လမ်း၊ (ကျော်ကမ္ဘာမှတ်တိုင်)၊ ရွှေပြည်သာမြို့နယ်</v>
          </cell>
          <cell r="I562">
            <v>27500</v>
          </cell>
          <cell r="J562">
            <v>4500</v>
          </cell>
          <cell r="K562">
            <v>32000</v>
          </cell>
          <cell r="L562">
            <v>4500</v>
          </cell>
          <cell r="M562">
            <v>4500</v>
          </cell>
          <cell r="O562" t="str">
            <v>-</v>
          </cell>
          <cell r="P562">
            <v>32000</v>
          </cell>
        </row>
        <row r="563">
          <cell r="C563" t="str">
            <v>D0821-PHS-237</v>
          </cell>
          <cell r="D563" t="str">
            <v>ph level 7</v>
          </cell>
          <cell r="E563" t="str">
            <v>နန်းစုလှိုင်</v>
          </cell>
          <cell r="F563" t="str">
            <v>09-688393073</v>
          </cell>
          <cell r="G563" t="str">
            <v>ရွှေပြည်သာ</v>
          </cell>
          <cell r="H563" t="str">
            <v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v>
          </cell>
          <cell r="I563">
            <v>39000</v>
          </cell>
          <cell r="J563">
            <v>4500</v>
          </cell>
          <cell r="K563">
            <v>43500</v>
          </cell>
          <cell r="L563">
            <v>4500</v>
          </cell>
          <cell r="M563">
            <v>4500</v>
          </cell>
          <cell r="O563" t="str">
            <v>-</v>
          </cell>
          <cell r="P563">
            <v>43500</v>
          </cell>
        </row>
        <row r="564">
          <cell r="C564" t="str">
            <v>D0822-GGS-137</v>
          </cell>
          <cell r="D564" t="str">
            <v>The Gadget Store</v>
          </cell>
          <cell r="E564" t="str">
            <v>Ellie</v>
          </cell>
          <cell r="F564" t="str">
            <v>09-5040328</v>
          </cell>
          <cell r="G564" t="str">
            <v>မင်္ဂလာဒုံ</v>
          </cell>
          <cell r="H564" t="str">
            <v>အမှတ် (၁၅၉)၊ ကရင်ပင်လမ်း၊ မင်္ဂလာဒုံမြို့နယ်</v>
          </cell>
          <cell r="I564">
            <v>29800</v>
          </cell>
          <cell r="J564">
            <v>4500</v>
          </cell>
          <cell r="K564">
            <v>34300</v>
          </cell>
          <cell r="L564">
            <v>4500</v>
          </cell>
          <cell r="M564">
            <v>4500</v>
          </cell>
          <cell r="O564">
            <v>0</v>
          </cell>
          <cell r="P564">
            <v>34300</v>
          </cell>
        </row>
        <row r="565">
          <cell r="C565" t="str">
            <v>D0827-KAL-144</v>
          </cell>
          <cell r="D565" t="str">
            <v>ခင့်အလှူ</v>
          </cell>
          <cell r="E565" t="str">
            <v>Min Thwe Khant</v>
          </cell>
          <cell r="F565" t="str">
            <v>09-420200167</v>
          </cell>
          <cell r="G565" t="str">
            <v>ဒဂုံဆိပ်ကမ်း</v>
          </cell>
          <cell r="H565" t="str">
            <v>Fuji ဆပ်ပြာစက်ရုံ၊ အမှတ် (၃၈)၊ ကနောင်မင်းသားကြီးလမ်း၊ စက်မှုဇုန် (၁)၊ ဒဂုံဆိပ်ကမ်းမြို့နယ်</v>
          </cell>
          <cell r="I565">
            <v>35000</v>
          </cell>
          <cell r="J565">
            <v>5000</v>
          </cell>
          <cell r="K565">
            <v>40000</v>
          </cell>
          <cell r="L565">
            <v>4000</v>
          </cell>
          <cell r="M565">
            <v>5000</v>
          </cell>
          <cell r="O565" t="str">
            <v>-</v>
          </cell>
          <cell r="P565">
            <v>40000</v>
          </cell>
        </row>
        <row r="566">
          <cell r="C566" t="str">
            <v>D0831-POE-459</v>
          </cell>
          <cell r="D566" t="str">
            <v>Poe Poe OS</v>
          </cell>
          <cell r="E566" t="str">
            <v>Ma Phyu</v>
          </cell>
          <cell r="F566" t="str">
            <v>09-261599626</v>
          </cell>
          <cell r="G566" t="str">
            <v>မင်္ဂလာဒုံ</v>
          </cell>
          <cell r="H566" t="str">
            <v>စိန်ပဒေသာ (၃) လမ်း၊ ကုန်းတလပေါင်၊ မင်္ဂလာဒုံမြို့နယ်</v>
          </cell>
          <cell r="I566">
            <v>226000</v>
          </cell>
          <cell r="J566">
            <v>4500</v>
          </cell>
          <cell r="K566">
            <v>230500</v>
          </cell>
          <cell r="L566">
            <v>4500</v>
          </cell>
          <cell r="M566">
            <v>4500</v>
          </cell>
          <cell r="O566" t="str">
            <v>-</v>
          </cell>
          <cell r="P566">
            <v>230500</v>
          </cell>
          <cell r="R566" t="str">
            <v>ဖုန်းကြိုဆက်ပါ</v>
          </cell>
        </row>
        <row r="567">
          <cell r="C567" t="str">
            <v>D0831-MML-148</v>
          </cell>
          <cell r="D567" t="str">
            <v>Ma Myat Lay</v>
          </cell>
          <cell r="E567" t="str">
            <v>တင်ဇာအောင်</v>
          </cell>
          <cell r="F567" t="str">
            <v>09-425031024</v>
          </cell>
          <cell r="G567" t="str">
            <v>ရွှေပြည်သာ</v>
          </cell>
          <cell r="H567" t="str">
            <v>ဝေဠုဝန်လမ်း၊ (၂၆) ရပ်ကွက်၊ ရွှေပြည်သာမြို့နယ်</v>
          </cell>
          <cell r="I567">
            <v>20000</v>
          </cell>
          <cell r="J567">
            <v>5000</v>
          </cell>
          <cell r="K567">
            <v>25000</v>
          </cell>
          <cell r="L567">
            <v>4500</v>
          </cell>
          <cell r="M567">
            <v>5000</v>
          </cell>
          <cell r="N567">
            <v>4</v>
          </cell>
          <cell r="O567">
            <v>500</v>
          </cell>
          <cell r="P567">
            <v>25500</v>
          </cell>
        </row>
        <row r="568">
          <cell r="C568" t="str">
            <v>D0902-LOS-189</v>
          </cell>
          <cell r="D568" t="str">
            <v>Lady OS</v>
          </cell>
          <cell r="E568" t="str">
            <v>Aye Yu Par</v>
          </cell>
          <cell r="F568" t="str">
            <v>09-256046171</v>
          </cell>
          <cell r="G568" t="str">
            <v xml:space="preserve"> စမ်းချောင်း</v>
          </cell>
          <cell r="H568" t="str">
            <v>KTH ကားပစ္စည်းဆိုင်၊ အမှတ် (၁၈)၊ ဝေဠုန်(၆)လမ်းနှင့်ဗဟိုလမ်းဒေါင့်၊ စမ်းချောင်း</v>
          </cell>
          <cell r="I568">
            <v>174000</v>
          </cell>
          <cell r="J568">
            <v>0</v>
          </cell>
          <cell r="K568">
            <v>174000</v>
          </cell>
          <cell r="M568">
            <v>0</v>
          </cell>
          <cell r="O568">
            <v>0</v>
          </cell>
          <cell r="P568">
            <v>174000</v>
          </cell>
          <cell r="R568" t="str">
            <v>9ခွဲမှ (၅)အတွင်းပို့ပေးပါ</v>
          </cell>
        </row>
        <row r="569">
          <cell r="C569" t="str">
            <v>D0902-LOS-190</v>
          </cell>
          <cell r="D569" t="str">
            <v>Lady OS</v>
          </cell>
          <cell r="E569" t="str">
            <v>Su Myo Thu</v>
          </cell>
          <cell r="F569" t="str">
            <v>09-5051379</v>
          </cell>
          <cell r="G569" t="str">
            <v>ဗဟန်း</v>
          </cell>
          <cell r="H569" t="str">
            <v>အမှတ် (၁၇/အေ)၊ အင်းယားမြိုင်လမ်း၊ ဗဟန်း၊ မင်းကွန်းတောရဘုန်းကြီးကျောင်းကပ်ရပ်လမ်းမှဝင်ပါ</v>
          </cell>
          <cell r="I569">
            <v>152900</v>
          </cell>
          <cell r="J569">
            <v>0</v>
          </cell>
          <cell r="K569">
            <v>152900</v>
          </cell>
          <cell r="M569">
            <v>0</v>
          </cell>
          <cell r="O569">
            <v>0</v>
          </cell>
          <cell r="P569">
            <v>152900</v>
          </cell>
        </row>
        <row r="570">
          <cell r="C570" t="str">
            <v>D0831-TSW-086</v>
          </cell>
          <cell r="D570" t="str">
            <v>3 &amp; 6 Wholesale</v>
          </cell>
          <cell r="E570" t="str">
            <v>ကိုမျိူး</v>
          </cell>
          <cell r="F570" t="str">
            <v>09-450048375</v>
          </cell>
          <cell r="G570" t="str">
            <v>ရန်ကင်း</v>
          </cell>
          <cell r="H570" t="str">
            <v>Sedona Hotel၊ ရန်ကင်းမြို့နယ်</v>
          </cell>
          <cell r="I570">
            <v>16000</v>
          </cell>
          <cell r="J570">
            <v>4000</v>
          </cell>
          <cell r="K570">
            <v>20000</v>
          </cell>
          <cell r="L570">
            <v>4000</v>
          </cell>
          <cell r="M570">
            <v>4000</v>
          </cell>
          <cell r="O570" t="str">
            <v>-</v>
          </cell>
          <cell r="P570">
            <v>20000</v>
          </cell>
        </row>
        <row r="571">
          <cell r="C571" t="str">
            <v>D0824-BBW-449</v>
          </cell>
          <cell r="D571" t="str">
            <v>Baby World</v>
          </cell>
          <cell r="E571" t="str">
            <v>Lae Lae Soe</v>
          </cell>
          <cell r="F571" t="str">
            <v>09-95140278</v>
          </cell>
          <cell r="G571" t="str">
            <v>တာမွေ</v>
          </cell>
          <cell r="H571" t="str">
            <v>အမှတ် (၈)၊ သီလလမ်း၊ ဗျိုင်းရွာမရပ်ကွက်၊ ကျောက်မြောင်း၊ တာမွေမြို့နယ်</v>
          </cell>
          <cell r="I571">
            <v>46500</v>
          </cell>
          <cell r="J571">
            <v>4000</v>
          </cell>
          <cell r="K571">
            <v>50500</v>
          </cell>
          <cell r="L571">
            <v>4000</v>
          </cell>
          <cell r="M571">
            <v>4000</v>
          </cell>
          <cell r="O571" t="str">
            <v>-</v>
          </cell>
          <cell r="P571">
            <v>50500</v>
          </cell>
        </row>
        <row r="572">
          <cell r="C572" t="str">
            <v>D0831-JLS-042</v>
          </cell>
          <cell r="D572" t="str">
            <v>July Sis</v>
          </cell>
          <cell r="E572" t="str">
            <v>Khaing Khaing</v>
          </cell>
          <cell r="G572" t="str">
            <v>သာကေတ</v>
          </cell>
          <cell r="H572" t="str">
            <v>အမှတ် (၁၀)၊ မာန်ပြေ (၄) လမ်း (အနောက်)၊ (၂/တောင်) ရပ်ကွက်၊ သာကေတမြို့နယ်</v>
          </cell>
          <cell r="I572">
            <v>36000</v>
          </cell>
          <cell r="J572">
            <v>4000</v>
          </cell>
          <cell r="K572">
            <v>40000</v>
          </cell>
          <cell r="L572">
            <v>4000</v>
          </cell>
          <cell r="M572">
            <v>4000</v>
          </cell>
          <cell r="O572" t="str">
            <v>-</v>
          </cell>
          <cell r="P572">
            <v>40000</v>
          </cell>
        </row>
        <row r="573">
          <cell r="C573" t="str">
            <v>D0824-MSE-348</v>
          </cell>
          <cell r="D573" t="str">
            <v>မရွှေအိ</v>
          </cell>
          <cell r="E573" t="str">
            <v>Myo</v>
          </cell>
          <cell r="F573" t="str">
            <v>09-797264108</v>
          </cell>
          <cell r="G573" t="str">
            <v>မန္တလေး</v>
          </cell>
          <cell r="H573" t="str">
            <v>၈၄ x (105A) လမ်းထောင့်၊ မန္တလေးမြို့</v>
          </cell>
          <cell r="I573">
            <v>41000</v>
          </cell>
          <cell r="J573">
            <v>6000</v>
          </cell>
          <cell r="K573">
            <v>47000</v>
          </cell>
          <cell r="L573">
            <v>6000</v>
          </cell>
          <cell r="M573">
            <v>6000</v>
          </cell>
          <cell r="O573" t="str">
            <v>-</v>
          </cell>
          <cell r="P573">
            <v>47000</v>
          </cell>
        </row>
        <row r="574">
          <cell r="C574" t="str">
            <v>D0831-JLS-060</v>
          </cell>
          <cell r="D574" t="str">
            <v>July Sis</v>
          </cell>
          <cell r="E574" t="str">
            <v>Noe Noe Noe</v>
          </cell>
          <cell r="F574" t="str">
            <v>09-762472224</v>
          </cell>
          <cell r="G574" t="str">
            <v>ကြည့်မြင်တိုင်</v>
          </cell>
          <cell r="H574" t="str">
            <v>ထီးတန်းအိမ်ရာ၊ ကမ်းနားလမ်း၊ ကြည့်မြင်တိုင်မြို့နယ်</v>
          </cell>
          <cell r="I574">
            <v>105000</v>
          </cell>
          <cell r="J574">
            <v>4000</v>
          </cell>
          <cell r="K574">
            <v>109000</v>
          </cell>
          <cell r="L574">
            <v>4000</v>
          </cell>
          <cell r="M574">
            <v>4000</v>
          </cell>
          <cell r="O574" t="str">
            <v>-</v>
          </cell>
          <cell r="P574">
            <v>109000</v>
          </cell>
        </row>
        <row r="575">
          <cell r="C575" t="str">
            <v>D0822-PHS-169</v>
          </cell>
          <cell r="D575" t="str">
            <v>ph level 7</v>
          </cell>
          <cell r="E575" t="str">
            <v>Zar Zar Lin</v>
          </cell>
          <cell r="F575" t="str">
            <v>09-757503534</v>
          </cell>
          <cell r="G575" t="str">
            <v>Royal</v>
          </cell>
          <cell r="H575" t="str">
            <v>အမှတ် (၉၄၅)၊ (၁၀) လမ်း၊ မြိုင်သာယာရပ်ကွက်၊ မော်လမြိုင်ကျွန်းမြို့</v>
          </cell>
          <cell r="I575">
            <v>78000</v>
          </cell>
          <cell r="J575">
            <v>5000</v>
          </cell>
          <cell r="K575">
            <v>83000</v>
          </cell>
          <cell r="L575">
            <v>0</v>
          </cell>
          <cell r="M575">
            <v>5000</v>
          </cell>
          <cell r="O575">
            <v>0</v>
          </cell>
          <cell r="P575">
            <v>83000</v>
          </cell>
        </row>
        <row r="576">
          <cell r="C576" t="str">
            <v>D0811-MMA-098</v>
          </cell>
          <cell r="D576" t="str">
            <v>မြန်မာ့အလှ</v>
          </cell>
          <cell r="E576" t="str">
            <v>Chit Hnin Si</v>
          </cell>
          <cell r="F576" t="str">
            <v>09-797851002</v>
          </cell>
          <cell r="G576" t="str">
            <v>Royal Express</v>
          </cell>
          <cell r="H576" t="str">
            <v>Royal Express ရုံး၊ လယ်ဝေး၊ နေပြည်တော်</v>
          </cell>
          <cell r="I576">
            <v>28000</v>
          </cell>
          <cell r="J576">
            <v>6000</v>
          </cell>
          <cell r="K576">
            <v>34000</v>
          </cell>
          <cell r="L576">
            <v>3000</v>
          </cell>
          <cell r="M576">
            <v>6000</v>
          </cell>
          <cell r="O576" t="str">
            <v>-</v>
          </cell>
          <cell r="P576">
            <v>34000</v>
          </cell>
        </row>
        <row r="577">
          <cell r="C577" t="str">
            <v>D0829-CUY-056</v>
          </cell>
          <cell r="D577" t="str">
            <v>Curvy</v>
          </cell>
          <cell r="E577" t="str">
            <v>မနှင်းပွင့်ဖြူ</v>
          </cell>
          <cell r="F577" t="str">
            <v>09-449497306</v>
          </cell>
          <cell r="G577" t="str">
            <v>ရွှေပြည်သာ</v>
          </cell>
          <cell r="H577" t="str">
            <v>မြန်မာ PanPan အစားအသောက်ကုမ္ပဏီ၊ စက်ရုံအမှတ် (၁၅၆)၊ ဗိုလ်တိုက်ချွန်းလမ်း၊ (မင်းဗန္ဓုဘုရားဘေး)၊ ဝါးတစ်ရာစက်မှုဇုန်၊ ရွှေပြည်သာမြို့နယ်</v>
          </cell>
          <cell r="I577">
            <v>99000</v>
          </cell>
          <cell r="J577">
            <v>4500</v>
          </cell>
          <cell r="K577">
            <v>103500</v>
          </cell>
          <cell r="L577">
            <v>4500</v>
          </cell>
          <cell r="M577">
            <v>4500</v>
          </cell>
          <cell r="O577" t="str">
            <v>-</v>
          </cell>
          <cell r="P577">
            <v>103500</v>
          </cell>
        </row>
        <row r="578">
          <cell r="C578" t="str">
            <v>D0822-BBW-273</v>
          </cell>
          <cell r="D578" t="str">
            <v>Baby World</v>
          </cell>
          <cell r="E578" t="str">
            <v>Lin Lin Shwe</v>
          </cell>
          <cell r="F578" t="str">
            <v>09-259412918</v>
          </cell>
          <cell r="G578" t="str">
            <v>တာမွေ</v>
          </cell>
          <cell r="H578" t="str">
            <v>ဗိုလ်လက်ရာလမ်း၊ ဗိုလ်စိန်ရပ်ကွက်၊ (တာမွေအဝိုင်းထိပ်)၊ တာမွေမြို့နယ်</v>
          </cell>
          <cell r="I578">
            <v>54000</v>
          </cell>
          <cell r="J578">
            <v>4000</v>
          </cell>
          <cell r="K578">
            <v>58000</v>
          </cell>
          <cell r="M578">
            <v>4000</v>
          </cell>
          <cell r="O578">
            <v>0</v>
          </cell>
          <cell r="P578">
            <v>58000</v>
          </cell>
        </row>
        <row r="579">
          <cell r="C579" t="str">
            <v>D0817-KKK-163</v>
          </cell>
          <cell r="D579" t="str">
            <v>ကိုကျော် အထည်</v>
          </cell>
          <cell r="E579" t="str">
            <v>မသူဇာစိုး</v>
          </cell>
          <cell r="F579" t="str">
            <v>09-971557828</v>
          </cell>
          <cell r="G579" t="str">
            <v>မြောက်ဒဂုံ</v>
          </cell>
          <cell r="H579" t="str">
            <v>သန္တာလမ်း၊ (၃၃) ရပ်ကွက်၊ မြောက်ဒဂုံမြို့နယ်</v>
          </cell>
          <cell r="I579">
            <v>28500</v>
          </cell>
          <cell r="J579">
            <v>4000</v>
          </cell>
          <cell r="K579">
            <v>32500</v>
          </cell>
          <cell r="L579">
            <v>4000</v>
          </cell>
          <cell r="M579">
            <v>4000</v>
          </cell>
          <cell r="O579" t="str">
            <v>-</v>
          </cell>
          <cell r="P579">
            <v>32500</v>
          </cell>
        </row>
        <row r="580">
          <cell r="C580" t="str">
            <v>D0825-JSC-091</v>
          </cell>
          <cell r="D580" t="str">
            <v>Jessica Sue</v>
          </cell>
          <cell r="E580" t="str">
            <v>Aye Thidar Kyaw Kyaw</v>
          </cell>
          <cell r="F580" t="str">
            <v>09-982291231</v>
          </cell>
          <cell r="G580" t="str">
            <v>မြောက်ဥက္ကလာပ</v>
          </cell>
          <cell r="H580" t="str">
            <v>အမှတ် (၅၆)၊ သစ္စာပန်းလမ်း၊ မြောက်ဥက္ကလာပမြို့နယ်</v>
          </cell>
          <cell r="I580">
            <v>26000</v>
          </cell>
          <cell r="J580">
            <v>4500</v>
          </cell>
          <cell r="K580">
            <v>30500</v>
          </cell>
          <cell r="L580">
            <v>4500</v>
          </cell>
          <cell r="M580">
            <v>4500</v>
          </cell>
          <cell r="O580" t="str">
            <v>-</v>
          </cell>
          <cell r="P580">
            <v>30500</v>
          </cell>
        </row>
        <row r="581">
          <cell r="C581" t="str">
            <v>D0824-KAL-140</v>
          </cell>
          <cell r="D581" t="str">
            <v>ခင့်အလှူ</v>
          </cell>
          <cell r="E581" t="str">
            <v>Mar Mar</v>
          </cell>
          <cell r="F581" t="str">
            <v>09-753858684</v>
          </cell>
          <cell r="G581" t="str">
            <v>တာမွေ</v>
          </cell>
          <cell r="H581" t="str">
            <v>အမှတ် (၁၀၆)၊ (၁၅၄) လမ်း၊ တာမွေမြို့နယ်</v>
          </cell>
          <cell r="I581">
            <v>35000</v>
          </cell>
          <cell r="J581">
            <v>5000</v>
          </cell>
          <cell r="K581">
            <v>40000</v>
          </cell>
          <cell r="L581">
            <v>4000</v>
          </cell>
          <cell r="M581">
            <v>5000</v>
          </cell>
          <cell r="O581" t="str">
            <v>-</v>
          </cell>
          <cell r="P581">
            <v>40000</v>
          </cell>
        </row>
        <row r="582">
          <cell r="C582" t="str">
            <v>D0806-GGS-149</v>
          </cell>
          <cell r="D582" t="str">
            <v>The Gadget Store</v>
          </cell>
          <cell r="E582" t="str">
            <v>Hnin La Yanung</v>
          </cell>
          <cell r="F582" t="str">
            <v>09-761906623</v>
          </cell>
          <cell r="G582" t="str">
            <v>မြောက်ဥက္ကလာပ</v>
          </cell>
          <cell r="H582" t="str">
            <v>အမှတ် (၁၈၅)၊ သန္တာ (၁၁) လမ်း၊ မြောက်ဥက္ကလာပမြို့နယ်</v>
          </cell>
          <cell r="I582">
            <v>59000</v>
          </cell>
          <cell r="J582">
            <v>4500</v>
          </cell>
          <cell r="K582">
            <v>63500</v>
          </cell>
          <cell r="L582">
            <v>4500</v>
          </cell>
          <cell r="M582">
            <v>4500</v>
          </cell>
          <cell r="O582" t="str">
            <v>-</v>
          </cell>
          <cell r="P582">
            <v>63500</v>
          </cell>
        </row>
        <row r="583">
          <cell r="C583" t="str">
            <v>D0822-GGS-157</v>
          </cell>
          <cell r="D583" t="str">
            <v>The Gadget Store</v>
          </cell>
          <cell r="E583" t="str">
            <v>Ei Ei Thu</v>
          </cell>
          <cell r="F583" t="str">
            <v>09-880916320</v>
          </cell>
          <cell r="G583" t="str">
            <v>မရမ်းကုန်း</v>
          </cell>
          <cell r="H583" t="str">
            <v>ပြည်လမ်း၊ (Central (9) Office)</v>
          </cell>
          <cell r="I583">
            <v>29800</v>
          </cell>
          <cell r="J583">
            <v>4000</v>
          </cell>
          <cell r="K583">
            <v>33800</v>
          </cell>
          <cell r="L583">
            <v>4000</v>
          </cell>
          <cell r="M583">
            <v>4000</v>
          </cell>
          <cell r="O583">
            <v>0</v>
          </cell>
          <cell r="P583">
            <v>33800</v>
          </cell>
        </row>
        <row r="584">
          <cell r="C584" t="str">
            <v>D0806-MMM-041</v>
          </cell>
          <cell r="D584" t="str">
            <v>Ma Ma Myat</v>
          </cell>
          <cell r="E584" t="str">
            <v>U Ko Ko Lwin</v>
          </cell>
          <cell r="F584" t="str">
            <v>09-51012541</v>
          </cell>
          <cell r="G584" t="str">
            <v>မန္တလေး</v>
          </cell>
          <cell r="H584" t="str">
            <v>တိုက် (၇)၊ (၄) ထပ် တိုက်တန်း၊ စွယ်တော်ကြီးကွင်း၊ မန္တလေးမြို့</v>
          </cell>
          <cell r="I584">
            <v>75000</v>
          </cell>
          <cell r="J584" t="str">
            <v>-</v>
          </cell>
          <cell r="K584">
            <v>75000</v>
          </cell>
          <cell r="L584">
            <v>6000</v>
          </cell>
          <cell r="M584" t="str">
            <v>-</v>
          </cell>
          <cell r="N584">
            <v>9</v>
          </cell>
          <cell r="O584">
            <v>12000</v>
          </cell>
          <cell r="P584">
            <v>87000</v>
          </cell>
        </row>
        <row r="585">
          <cell r="C585" t="str">
            <v>D0809-MML-079</v>
          </cell>
          <cell r="D585" t="str">
            <v>Ma Myat Lay</v>
          </cell>
          <cell r="E585" t="str">
            <v>မထက်ထက်အောင်</v>
          </cell>
          <cell r="F585" t="str">
            <v>09-250332375</v>
          </cell>
          <cell r="G585" t="str">
            <v>မန္တလေး</v>
          </cell>
          <cell r="H585" t="str">
            <v>(ချမ်းသာကြီးဘုရားအနောက်မုဒ်)၊ (၂၆) လမ်း၊ ၉၀ x ၉၁ လမ်းကြား၊ မန္တလေးမြို့</v>
          </cell>
          <cell r="I585">
            <v>30000</v>
          </cell>
          <cell r="J585" t="str">
            <v>-</v>
          </cell>
          <cell r="K585">
            <v>30000</v>
          </cell>
          <cell r="L585">
            <v>6000</v>
          </cell>
          <cell r="M585" t="str">
            <v>-</v>
          </cell>
          <cell r="N585">
            <v>6</v>
          </cell>
          <cell r="O585">
            <v>8000</v>
          </cell>
          <cell r="P585">
            <v>38000</v>
          </cell>
        </row>
        <row r="586">
          <cell r="C586" t="str">
            <v>D0803-MML-162</v>
          </cell>
          <cell r="D586" t="str">
            <v>Ma Myat Lay</v>
          </cell>
          <cell r="E586" t="str">
            <v>Nway² Aung</v>
          </cell>
          <cell r="F586" t="str">
            <v>09-43061873</v>
          </cell>
          <cell r="G586" t="str">
            <v>မန္တလေး</v>
          </cell>
          <cell r="H586" t="str">
            <v>(ဂ) လမ်း၊ ၈၆ x ၈၇ လမ်းကြား၊ မန္တလေးမြို့</v>
          </cell>
          <cell r="I586">
            <v>30000</v>
          </cell>
          <cell r="J586">
            <v>0</v>
          </cell>
          <cell r="K586">
            <v>30000</v>
          </cell>
          <cell r="L586">
            <v>6000</v>
          </cell>
          <cell r="M586">
            <v>0</v>
          </cell>
          <cell r="N586">
            <v>6</v>
          </cell>
          <cell r="O586">
            <v>1500</v>
          </cell>
          <cell r="P586">
            <v>31500</v>
          </cell>
        </row>
        <row r="587">
          <cell r="C587" t="str">
            <v>D0819-MML-212</v>
          </cell>
          <cell r="D587" t="str">
            <v>Ma Myat Lay</v>
          </cell>
          <cell r="E587" t="str">
            <v>May Than Khine</v>
          </cell>
          <cell r="F587" t="str">
            <v>09-965655920
09-965655929</v>
          </cell>
          <cell r="G587" t="str">
            <v>မရမ်းကုန်း</v>
          </cell>
          <cell r="H587" t="str">
            <v>(၈) မိုင်လမ်းဆုံ၊ မြို့ပြအိမ်ရာ၊ မရမ်းကုန်းမြို့နယ်</v>
          </cell>
          <cell r="I587">
            <v>14100</v>
          </cell>
          <cell r="J587">
            <v>4000</v>
          </cell>
          <cell r="K587">
            <v>18100</v>
          </cell>
          <cell r="L587">
            <v>4000</v>
          </cell>
          <cell r="M587">
            <v>4000</v>
          </cell>
          <cell r="O587" t="str">
            <v>-</v>
          </cell>
          <cell r="P587">
            <v>18100</v>
          </cell>
        </row>
        <row r="588">
          <cell r="C588" t="str">
            <v>D0813-MML-268</v>
          </cell>
          <cell r="D588" t="str">
            <v>Ma Myat Lay</v>
          </cell>
          <cell r="E588" t="str">
            <v>Daw Sandi</v>
          </cell>
          <cell r="F588" t="str">
            <v>09-758787651</v>
          </cell>
          <cell r="G588" t="str">
            <v>မန္တလေး</v>
          </cell>
          <cell r="H588" t="str">
            <v>(၇၇) လမ်း၊ (၃၇) လမ်းနှင့် (၃၈) လမ်းကြား၊ မန္တလေးမြို့</v>
          </cell>
          <cell r="I588">
            <v>20000</v>
          </cell>
          <cell r="J588" t="str">
            <v>-</v>
          </cell>
          <cell r="K588">
            <v>20000</v>
          </cell>
          <cell r="L588">
            <v>6000</v>
          </cell>
          <cell r="M588" t="str">
            <v>-</v>
          </cell>
          <cell r="N588">
            <v>5</v>
          </cell>
          <cell r="O588">
            <v>8000</v>
          </cell>
          <cell r="P588">
            <v>28000</v>
          </cell>
        </row>
        <row r="589">
          <cell r="C589" t="str">
            <v>D0901-GRS-003</v>
          </cell>
          <cell r="D589" t="str">
            <v>GRS Express</v>
          </cell>
          <cell r="E589" t="str">
            <v>November Pearl Tun</v>
          </cell>
          <cell r="F589" t="str">
            <v>09-950685145</v>
          </cell>
          <cell r="G589" t="str">
            <v>ပန်းဘဲတန်း</v>
          </cell>
          <cell r="H589" t="str">
            <v>အမှတ် (၉၈)၊ (၃၀) လမ်း၊ အောက်ဘလောက်၊ (မဟာဗန္ဓုလလမ်းထိပ်မှလာလျှင် တစ်တိုက်ကျော်)၊ ပန်းဘဲတန်းမြို့နယ်</v>
          </cell>
          <cell r="I589">
            <v>34500</v>
          </cell>
          <cell r="J589">
            <v>4500</v>
          </cell>
          <cell r="K589">
            <v>39000</v>
          </cell>
          <cell r="L589">
            <v>4000</v>
          </cell>
          <cell r="M589">
            <v>4500</v>
          </cell>
          <cell r="O589" t="str">
            <v>-</v>
          </cell>
          <cell r="P589">
            <v>39000</v>
          </cell>
        </row>
        <row r="590">
          <cell r="C590" t="str">
            <v>D0901-UQD-141</v>
          </cell>
          <cell r="D590" t="str">
            <v>Unique/Diva</v>
          </cell>
          <cell r="E590" t="str">
            <v>Wai Yan</v>
          </cell>
          <cell r="F590" t="str">
            <v>09-977198783</v>
          </cell>
          <cell r="G590" t="str">
            <v>ဒဂုံဆိပ်ကမ်း</v>
          </cell>
          <cell r="H590" t="str">
            <v>မြင်စိုင်းလမ်း၊ (၈၉) ရပ်ကွက်၊ ဒဂုံဆိပ်ကမ်းမြို့နယ်</v>
          </cell>
          <cell r="I590">
            <v>28000</v>
          </cell>
          <cell r="J590">
            <v>4000</v>
          </cell>
          <cell r="K590">
            <v>32000</v>
          </cell>
          <cell r="L590">
            <v>4000</v>
          </cell>
          <cell r="M590">
            <v>4000</v>
          </cell>
          <cell r="O590" t="str">
            <v>-</v>
          </cell>
          <cell r="P590">
            <v>32000</v>
          </cell>
        </row>
        <row r="591">
          <cell r="C591" t="str">
            <v>D0901-KSH-147</v>
          </cell>
          <cell r="D591" t="str">
            <v>ကျော်စိုးဟိန်း</v>
          </cell>
          <cell r="E591" t="str">
            <v>Ma Ku Ku</v>
          </cell>
          <cell r="F591" t="str">
            <v>09-5128294</v>
          </cell>
          <cell r="G591" t="str">
            <v>ရန်ကင်း</v>
          </cell>
          <cell r="H591" t="str">
            <v>တိုက် (၁၇၃)၊ ရန်အောင် (၂) လမ်း၊ ရန်ကင်းမြို့နယ်</v>
          </cell>
          <cell r="I591">
            <v>121200</v>
          </cell>
          <cell r="J591">
            <v>4000</v>
          </cell>
          <cell r="K591">
            <v>125200</v>
          </cell>
          <cell r="M591">
            <v>4000</v>
          </cell>
          <cell r="O591" t="str">
            <v>-</v>
          </cell>
          <cell r="P591">
            <v>125200</v>
          </cell>
        </row>
        <row r="592">
          <cell r="C592" t="str">
            <v>D0901-KSC-230</v>
          </cell>
          <cell r="D592" t="str">
            <v>KS Cosmetic</v>
          </cell>
          <cell r="E592" t="str">
            <v>Swe hnijn</v>
          </cell>
          <cell r="F592" t="str">
            <v>09-432776655</v>
          </cell>
          <cell r="G592" t="str">
            <v>လမ်းမတော်</v>
          </cell>
          <cell r="H592" t="str">
            <v>အမှတ် (၆၈)၊ လမ်းမတော် (၅) လမ်း၊ လမ်းမတော်မြို့နယ်</v>
          </cell>
          <cell r="I592">
            <v>39500</v>
          </cell>
          <cell r="J592">
            <v>4000</v>
          </cell>
          <cell r="K592">
            <v>43500</v>
          </cell>
          <cell r="L592">
            <v>4000</v>
          </cell>
          <cell r="M592">
            <v>4000</v>
          </cell>
          <cell r="O592" t="str">
            <v>-</v>
          </cell>
          <cell r="P592">
            <v>43500</v>
          </cell>
        </row>
        <row r="593">
          <cell r="C593" t="str">
            <v>D0902-TSW-016</v>
          </cell>
          <cell r="D593" t="str">
            <v>3 &amp; 6 Wholesale</v>
          </cell>
          <cell r="E593" t="str">
            <v>ဒေါ်အေးခိုင်</v>
          </cell>
          <cell r="F593" t="str">
            <v>09-686753440</v>
          </cell>
          <cell r="G593" t="str">
            <v>ရွှေပြည်သာ</v>
          </cell>
          <cell r="H593" t="str">
            <v>(သံဒင်းဈေးအနီး)၊ ရွှေပြည်သာမြို့နယ်</v>
          </cell>
          <cell r="I593">
            <v>19000</v>
          </cell>
          <cell r="J593" t="str">
            <v>-</v>
          </cell>
          <cell r="K593">
            <v>19000</v>
          </cell>
          <cell r="L593">
            <v>4500</v>
          </cell>
          <cell r="M593" t="str">
            <v>-</v>
          </cell>
          <cell r="O593">
            <v>8000</v>
          </cell>
          <cell r="P593">
            <v>27000</v>
          </cell>
        </row>
        <row r="594">
          <cell r="C594" t="str">
            <v>D0902-KAL-100</v>
          </cell>
          <cell r="D594" t="str">
            <v>ခင့်အလှူ</v>
          </cell>
          <cell r="E594" t="str">
            <v>Hla Hla</v>
          </cell>
          <cell r="F594" t="str">
            <v>09-250276261</v>
          </cell>
          <cell r="G594" t="str">
            <v>မင်္ဂလာတောင်ညွန့်</v>
          </cell>
          <cell r="H594" t="str">
            <v>အမှတ် (၅၄)၊ (၉၁) လမ်း၊ မင်္ဂလာတောင်ညွန့်မြို့နယ်</v>
          </cell>
          <cell r="I594">
            <v>29700</v>
          </cell>
          <cell r="J594">
            <v>5000</v>
          </cell>
          <cell r="K594">
            <v>34700</v>
          </cell>
          <cell r="L594">
            <v>4000</v>
          </cell>
          <cell r="M594">
            <v>5000</v>
          </cell>
          <cell r="O594" t="str">
            <v>-</v>
          </cell>
          <cell r="P594">
            <v>34700</v>
          </cell>
        </row>
        <row r="595">
          <cell r="C595" t="str">
            <v>D0903-TSW-057</v>
          </cell>
          <cell r="D595" t="str">
            <v>3 &amp; 6 Wholesale</v>
          </cell>
          <cell r="E595" t="str">
            <v>Mu Sar By</v>
          </cell>
          <cell r="F595" t="str">
            <v>09-988859092</v>
          </cell>
          <cell r="G595" t="str">
            <v>Royal</v>
          </cell>
          <cell r="H595" t="str">
            <v>ဈေးရပ်ကွက်၊ တိုက်ကြီး</v>
          </cell>
          <cell r="I595">
            <v>19000</v>
          </cell>
          <cell r="J595">
            <v>5000</v>
          </cell>
          <cell r="K595">
            <v>24000</v>
          </cell>
          <cell r="L595" t="str">
            <v>-</v>
          </cell>
          <cell r="M595">
            <v>5000</v>
          </cell>
          <cell r="O595" t="str">
            <v>-</v>
          </cell>
          <cell r="P595">
            <v>24000</v>
          </cell>
          <cell r="Q595" t="str">
            <v>တိုက်ကြီး</v>
          </cell>
        </row>
        <row r="596">
          <cell r="C596" t="str">
            <v>D0903-TSW-067</v>
          </cell>
          <cell r="D596" t="str">
            <v>3 &amp; 6 Wholesale</v>
          </cell>
          <cell r="E596" t="str">
            <v>မအေးမြတ်</v>
          </cell>
          <cell r="F596" t="str">
            <v>09-257220330</v>
          </cell>
          <cell r="G596" t="str">
            <v>နေပြည်တော်</v>
          </cell>
          <cell r="H596" t="str">
            <v>ပပဝတီလမ်း နှင့် သရဖီလမ်းထောင့်၊ ရွှေအင်းကြင်းရပ်ကွက်၊ ဒက္ခိဏသီရိမြို့နယ်၊ နေပြည်တော်</v>
          </cell>
          <cell r="I596">
            <v>19000</v>
          </cell>
          <cell r="J596" t="str">
            <v>-</v>
          </cell>
          <cell r="K596">
            <v>19000</v>
          </cell>
          <cell r="L596">
            <v>6000</v>
          </cell>
          <cell r="M596" t="str">
            <v>-</v>
          </cell>
          <cell r="N596">
            <v>4</v>
          </cell>
          <cell r="O596">
            <v>12000</v>
          </cell>
          <cell r="P596">
            <v>31000</v>
          </cell>
        </row>
        <row r="597">
          <cell r="C597" t="str">
            <v>D0903-APA-091</v>
          </cell>
          <cell r="D597" t="str">
            <v>APAC</v>
          </cell>
          <cell r="E597" t="str">
            <v>မော်မော်</v>
          </cell>
          <cell r="F597" t="str">
            <v>09-896912271</v>
          </cell>
          <cell r="G597" t="str">
            <v>သာကေတ</v>
          </cell>
          <cell r="H597" t="str">
            <v>အမှတ် (၈၈၂၁)၊ အောင်သစ္စာ (၂) လမ်း (အရှေ့)၊ သာကေတမြို့နယ်</v>
          </cell>
          <cell r="I597">
            <v>35700</v>
          </cell>
          <cell r="J597" t="str">
            <v>-</v>
          </cell>
          <cell r="K597">
            <v>35700</v>
          </cell>
          <cell r="L597">
            <v>4000</v>
          </cell>
          <cell r="M597" t="str">
            <v>-</v>
          </cell>
          <cell r="O597" t="str">
            <v>-</v>
          </cell>
          <cell r="P597">
            <v>35700</v>
          </cell>
        </row>
        <row r="598">
          <cell r="C598" t="str">
            <v>D0904-TSW-012</v>
          </cell>
          <cell r="D598" t="str">
            <v>3 &amp; 6 Wholesale</v>
          </cell>
          <cell r="E598" t="str">
            <v>Orange</v>
          </cell>
          <cell r="F598" t="str">
            <v>09-268981525</v>
          </cell>
          <cell r="G598" t="str">
            <v>သင်္ဃန်းကျွန်း</v>
          </cell>
          <cell r="H598" t="str">
            <v>ဇမ္ဗူထိပ်လမ်းမ၊ သင်္ဃန်းကျွန်းမြို့နယ်</v>
          </cell>
          <cell r="I598">
            <v>40000</v>
          </cell>
          <cell r="J598">
            <v>4000</v>
          </cell>
          <cell r="K598">
            <v>44000</v>
          </cell>
          <cell r="L598">
            <v>4000</v>
          </cell>
          <cell r="M598">
            <v>4000</v>
          </cell>
          <cell r="O598" t="str">
            <v>-</v>
          </cell>
          <cell r="P598">
            <v>44000</v>
          </cell>
        </row>
        <row r="599">
          <cell r="C599" t="str">
            <v>D0904-GGS-167</v>
          </cell>
          <cell r="D599" t="str">
            <v>The Gadget Store</v>
          </cell>
          <cell r="E599" t="str">
            <v>Ei Ei Thu</v>
          </cell>
          <cell r="F599" t="str">
            <v>09-880916320</v>
          </cell>
          <cell r="G599" t="str">
            <v>မရမ်းကုန်း</v>
          </cell>
          <cell r="H599" t="str">
            <v>Central (9) Office၊ ပြည်လမ်း၊ (၉)မိုင်၊ မရမ်းကုန်းမြို့နယ်</v>
          </cell>
          <cell r="I599" t="str">
            <v>-</v>
          </cell>
          <cell r="J599">
            <v>4000</v>
          </cell>
          <cell r="K599">
            <v>4000</v>
          </cell>
          <cell r="L599">
            <v>4000</v>
          </cell>
          <cell r="M599">
            <v>4000</v>
          </cell>
          <cell r="O599" t="str">
            <v>-</v>
          </cell>
          <cell r="P599">
            <v>4000</v>
          </cell>
        </row>
        <row r="600">
          <cell r="C600" t="str">
            <v>D0904-TSW-011</v>
          </cell>
          <cell r="D600" t="str">
            <v>3 &amp; 6 Wholesale</v>
          </cell>
          <cell r="E600" t="str">
            <v>ဒေါ်သိမ်းခင်</v>
          </cell>
          <cell r="F600" t="str">
            <v>09-253432157</v>
          </cell>
          <cell r="G600" t="str">
            <v>မင်္ဂလာတောင်ညွန့်</v>
          </cell>
          <cell r="H600" t="str">
            <v>(၁၂၃) လမ်း၊ မင်္ဂလာတောင်ညွန့်မြို့နယ်</v>
          </cell>
          <cell r="I600">
            <v>24000</v>
          </cell>
          <cell r="J600">
            <v>4000</v>
          </cell>
          <cell r="K600">
            <v>28000</v>
          </cell>
          <cell r="L600">
            <v>4000</v>
          </cell>
          <cell r="M600">
            <v>4000</v>
          </cell>
          <cell r="O600" t="str">
            <v>-</v>
          </cell>
          <cell r="P600">
            <v>28000</v>
          </cell>
        </row>
        <row r="601">
          <cell r="C601" t="str">
            <v>D0904-KYA-410</v>
          </cell>
          <cell r="D601" t="str">
            <v>Kyaw Aung</v>
          </cell>
          <cell r="E601" t="str">
            <v>09-946349346</v>
          </cell>
          <cell r="F601" t="str">
            <v>09-946349346</v>
          </cell>
          <cell r="G601" t="str">
            <v>Royal</v>
          </cell>
          <cell r="H601" t="str">
            <v>တာလော့ကျောင်း၊ တာချီလိတ်</v>
          </cell>
          <cell r="I601">
            <v>12000</v>
          </cell>
          <cell r="J601">
            <v>5000</v>
          </cell>
          <cell r="K601">
            <v>17000</v>
          </cell>
          <cell r="L601" t="str">
            <v>-</v>
          </cell>
          <cell r="M601">
            <v>5000</v>
          </cell>
          <cell r="O601" t="str">
            <v>-</v>
          </cell>
          <cell r="P601">
            <v>17000</v>
          </cell>
          <cell r="Q601" t="str">
            <v>တာချီလိတ်</v>
          </cell>
        </row>
        <row r="602">
          <cell r="C602" t="str">
            <v>D0904-MMA-326</v>
          </cell>
          <cell r="D602" t="str">
            <v>မြန်မာ့အလှ</v>
          </cell>
          <cell r="E602" t="str">
            <v>Mya Phyu</v>
          </cell>
          <cell r="F602" t="str">
            <v>09-420144932</v>
          </cell>
          <cell r="G602" t="str">
            <v>ကြည့်မြင်တိုင်</v>
          </cell>
          <cell r="H602" t="str">
            <v>အမှတ် (၁၂၄)၊ သရက်တော (၄) လမ်း၊ သရက်တော (တောင်) ရပ်ကွက်၊ ကြည့်မြင်တိုင်မြို့နယ်</v>
          </cell>
          <cell r="I602">
            <v>68800</v>
          </cell>
          <cell r="J602">
            <v>4000</v>
          </cell>
          <cell r="K602">
            <v>72800</v>
          </cell>
          <cell r="L602">
            <v>4000</v>
          </cell>
          <cell r="M602">
            <v>4000</v>
          </cell>
          <cell r="O602">
            <v>2000</v>
          </cell>
          <cell r="P602">
            <v>424300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DF8B-C4D2-4510-9553-FC5750E3C3CF}">
  <dimension ref="A1:S670"/>
  <sheetViews>
    <sheetView tabSelected="1" topLeftCell="A175" workbookViewId="0">
      <selection activeCell="R6" sqref="R6:W217"/>
    </sheetView>
  </sheetViews>
  <sheetFormatPr defaultRowHeight="14"/>
  <cols>
    <col min="1" max="1" width="10.1640625" customWidth="1"/>
    <col min="2" max="2" width="24.6640625" customWidth="1"/>
    <col min="3" max="6" width="23" customWidth="1"/>
    <col min="7" max="7" width="22" customWidth="1"/>
    <col min="8" max="8" width="70.25" customWidth="1"/>
    <col min="9" max="9" width="14.33203125" customWidth="1"/>
    <col min="10" max="10" width="18.33203125" customWidth="1"/>
    <col min="11" max="11" width="15.9140625" customWidth="1"/>
    <col min="12" max="13" width="16.75" customWidth="1"/>
    <col min="14" max="14" width="17.6640625" customWidth="1"/>
    <col min="15" max="15" width="21.6640625" customWidth="1"/>
    <col min="16" max="16" width="15" customWidth="1"/>
    <col min="17" max="19" width="33.33203125" customWidth="1"/>
  </cols>
  <sheetData>
    <row r="1" spans="1:19" s="6" customFormat="1" ht="23.5" customHeight="1">
      <c r="A1" s="1" t="str">
        <f ca="1">IFERROR(__xludf.DUMMYFUNCTION("IMPORTRANGE(""1y9jPJYKqkRrY17JtvP7B74qab9Dmc5dICIr2P3Wdojc"",""A1:R"")"),"")</f>
        <v/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4"/>
      <c r="Q1" s="5"/>
      <c r="R1" s="5"/>
      <c r="S1" s="5"/>
    </row>
    <row r="2" spans="1:19" s="6" customFormat="1" ht="23.5" customHeight="1">
      <c r="A2" s="1"/>
      <c r="B2" s="2"/>
      <c r="C2" s="2"/>
      <c r="D2" s="2"/>
      <c r="E2" s="2"/>
      <c r="F2" s="2"/>
      <c r="G2" s="2"/>
      <c r="H2" s="7">
        <f ca="1">IFERROR(__xludf.DUMMYFUNCTION("""COMPUTED_VALUE"""),46271)</f>
        <v>46271</v>
      </c>
      <c r="I2" s="8"/>
      <c r="J2" s="3"/>
      <c r="K2" s="3"/>
      <c r="L2" s="3"/>
      <c r="M2" s="3"/>
      <c r="N2" s="3"/>
      <c r="O2" s="3"/>
      <c r="P2" s="4"/>
      <c r="Q2" s="5"/>
      <c r="R2" s="5"/>
      <c r="S2" s="5"/>
    </row>
    <row r="3" spans="1:19" s="6" customFormat="1" ht="23.5" customHeight="1">
      <c r="A3" s="1"/>
      <c r="B3" s="9" t="str">
        <f ca="1">IFERROR(__xludf.DUMMYFUNCTION("""COMPUTED_VALUE"""),"🟩 Inbound")</f>
        <v>🟩 Inbound</v>
      </c>
      <c r="C3" s="2"/>
      <c r="D3" s="2"/>
      <c r="E3" s="2"/>
      <c r="F3" s="2"/>
      <c r="G3" s="10" t="str">
        <f ca="1">IFERROR(__xludf.DUMMYFUNCTION("""COMPUTED_VALUE"""),"Inbound Manifest")</f>
        <v>Inbound Manifest</v>
      </c>
      <c r="H3" s="8"/>
      <c r="I3" s="8"/>
      <c r="J3" s="8"/>
      <c r="K3" s="3"/>
      <c r="L3" s="3"/>
      <c r="M3" s="3"/>
      <c r="N3" s="3"/>
      <c r="O3" s="3"/>
      <c r="P3" s="4"/>
      <c r="Q3" s="5"/>
      <c r="R3" s="5"/>
      <c r="S3" s="5"/>
    </row>
    <row r="4" spans="1:19" s="6" customFormat="1" ht="23.5" customHeight="1">
      <c r="A4" s="1"/>
      <c r="B4" s="11">
        <f ca="1">IFERROR(__xludf.DUMMYFUNCTION("""COMPUTED_VALUE"""),221)</f>
        <v>221</v>
      </c>
      <c r="C4" s="2"/>
      <c r="D4" s="2"/>
      <c r="E4" s="2"/>
      <c r="F4" s="2"/>
      <c r="G4" s="8"/>
      <c r="H4" s="8"/>
      <c r="I4" s="8"/>
      <c r="J4" s="8"/>
      <c r="K4" s="3"/>
      <c r="L4" s="3"/>
      <c r="M4" s="12"/>
      <c r="N4" s="3"/>
      <c r="O4" s="3"/>
      <c r="P4" s="4"/>
      <c r="Q4" s="5"/>
      <c r="R4" s="5"/>
      <c r="S4" s="5"/>
    </row>
    <row r="5" spans="1:19" s="6" customFormat="1" ht="23.5" customHeight="1">
      <c r="A5" s="13"/>
      <c r="B5" s="14"/>
      <c r="C5" s="15"/>
      <c r="D5" s="16"/>
      <c r="E5" s="16"/>
      <c r="F5" s="2"/>
      <c r="G5" s="16"/>
      <c r="H5" s="16"/>
      <c r="I5" s="15"/>
      <c r="J5" s="15"/>
      <c r="K5" s="3"/>
      <c r="L5" s="3"/>
      <c r="M5" s="17"/>
      <c r="N5" s="18"/>
      <c r="O5" s="19"/>
      <c r="P5" s="20"/>
      <c r="Q5" s="21"/>
      <c r="R5" s="21"/>
      <c r="S5" s="21"/>
    </row>
    <row r="6" spans="1:19" ht="21">
      <c r="A6" s="22" t="str">
        <f ca="1">IFERROR(__xludf.DUMMYFUNCTION("""COMPUTED_VALUE"""),"Sr.")</f>
        <v>Sr.</v>
      </c>
      <c r="B6" s="22" t="str">
        <f ca="1">IFERROR(__xludf.DUMMYFUNCTION("""COMPUTED_VALUE"""),"Status")</f>
        <v>Status</v>
      </c>
      <c r="C6" s="22" t="str">
        <f ca="1">IFERROR(__xludf.DUMMYFUNCTION("""COMPUTED_VALUE"""),"Way ID")</f>
        <v>Way ID</v>
      </c>
      <c r="D6" s="23" t="str">
        <f ca="1">IFERROR(__xludf.DUMMYFUNCTION("""COMPUTED_VALUE"""),"Merchant")</f>
        <v>Merchant</v>
      </c>
      <c r="E6" s="24" t="str">
        <f ca="1">IFERROR(__xludf.DUMMYFUNCTION("""COMPUTED_VALUE"""),"Recipient name")</f>
        <v>Recipient name</v>
      </c>
      <c r="F6" s="22" t="str">
        <f ca="1">IFERROR(__xludf.DUMMYFUNCTION("""COMPUTED_VALUE"""),"Recipient Phone")</f>
        <v>Recipient Phone</v>
      </c>
      <c r="G6" s="22" t="str">
        <f ca="1">IFERROR(__xludf.DUMMYFUNCTION("""COMPUTED_VALUE"""),"Recipient  Town")</f>
        <v>Recipient  Town</v>
      </c>
      <c r="H6" s="22" t="str">
        <f ca="1">IFERROR(__xludf.DUMMYFUNCTION("""COMPUTED_VALUE"""),"Recipient address")</f>
        <v>Recipient address</v>
      </c>
      <c r="I6" s="22" t="str">
        <f ca="1">IFERROR(__xludf.DUMMYFUNCTION("""COMPUTED_VALUE"""),"Item price")</f>
        <v>Item price</v>
      </c>
      <c r="J6" s="22" t="str">
        <f ca="1">IFERROR(__xludf.DUMMYFUNCTION("""COMPUTED_VALUE"""),"Deli Fee (OS)")</f>
        <v>Deli Fee (OS)</v>
      </c>
      <c r="K6" s="22" t="str">
        <f ca="1">IFERROR(__xludf.DUMMYFUNCTION("""COMPUTED_VALUE"""),"COD (OS)")</f>
        <v>COD (OS)</v>
      </c>
      <c r="L6" s="22" t="str">
        <f ca="1">IFERROR(__xludf.DUMMYFUNCTION("""COMPUTED_VALUE"""),"Std Deli")</f>
        <v>Std Deli</v>
      </c>
      <c r="M6" s="22" t="str">
        <f ca="1">IFERROR(__xludf.DUMMYFUNCTION("""COMPUTED_VALUE"""),"Max Deli")</f>
        <v>Max Deli</v>
      </c>
      <c r="N6" s="22" t="str">
        <f ca="1">IFERROR(__xludf.DUMMYFUNCTION("""COMPUTED_VALUE"""),"Weight")</f>
        <v>Weight</v>
      </c>
      <c r="O6" s="22" t="str">
        <f ca="1">IFERROR(__xludf.DUMMYFUNCTION("""COMPUTED_VALUE"""),"Surcharge")</f>
        <v>Surcharge</v>
      </c>
      <c r="P6" s="22" t="str">
        <f ca="1">IFERROR(__xludf.DUMMYFUNCTION("""COMPUTED_VALUE"""),"Final COD")</f>
        <v>Final COD</v>
      </c>
      <c r="Q6" s="25" t="s">
        <v>0</v>
      </c>
      <c r="R6" s="25"/>
      <c r="S6" s="25"/>
    </row>
    <row r="7" spans="1:19" ht="20.5">
      <c r="A7" s="26">
        <f ca="1">IFERROR(__xludf.DUMMYFUNCTION("""COMPUTED_VALUE"""),1)</f>
        <v>1</v>
      </c>
      <c r="B7" s="27" t="str">
        <f ca="1">IFERROR(__xludf.DUMMYFUNCTION("""COMPUTED_VALUE"""),"🟩 Inbound")</f>
        <v>🟩 Inbound</v>
      </c>
      <c r="C7" s="28" t="s">
        <v>1</v>
      </c>
      <c r="D7" s="28" t="s">
        <v>2</v>
      </c>
      <c r="E7" s="28" t="s">
        <v>3</v>
      </c>
      <c r="F7" s="28" t="s">
        <v>4</v>
      </c>
      <c r="G7" s="28" t="s">
        <v>5</v>
      </c>
      <c r="H7" s="28" t="s">
        <v>6</v>
      </c>
      <c r="I7" s="29">
        <v>108000</v>
      </c>
      <c r="J7" s="29">
        <v>4000</v>
      </c>
      <c r="K7" s="29">
        <v>112000</v>
      </c>
      <c r="L7" s="29">
        <v>4000</v>
      </c>
      <c r="M7" s="29">
        <v>4000</v>
      </c>
      <c r="N7" s="30">
        <v>0</v>
      </c>
      <c r="O7" s="29" t="s">
        <v>7</v>
      </c>
      <c r="P7" s="29">
        <v>112000</v>
      </c>
      <c r="Q7" s="31"/>
      <c r="R7" s="31"/>
      <c r="S7" s="31"/>
    </row>
    <row r="8" spans="1:19" ht="20.5">
      <c r="A8" s="26">
        <f ca="1">IFERROR(__xludf.DUMMYFUNCTION("""COMPUTED_VALUE"""),2)</f>
        <v>2</v>
      </c>
      <c r="B8" s="27" t="str">
        <f ca="1">IFERROR(__xludf.DUMMYFUNCTION("""COMPUTED_VALUE"""),"🟩 Inbound")</f>
        <v>🟩 Inbound</v>
      </c>
      <c r="C8" s="28" t="s">
        <v>8</v>
      </c>
      <c r="D8" s="28" t="s">
        <v>2</v>
      </c>
      <c r="E8" s="28" t="s">
        <v>9</v>
      </c>
      <c r="F8" s="28" t="s">
        <v>4</v>
      </c>
      <c r="G8" s="28" t="s">
        <v>10</v>
      </c>
      <c r="H8" s="28" t="s">
        <v>11</v>
      </c>
      <c r="I8" s="29">
        <v>29000</v>
      </c>
      <c r="J8" s="29">
        <v>6000</v>
      </c>
      <c r="K8" s="29">
        <v>35000</v>
      </c>
      <c r="L8" s="29">
        <v>6000</v>
      </c>
      <c r="M8" s="29">
        <v>6000</v>
      </c>
      <c r="N8" s="30">
        <v>0</v>
      </c>
      <c r="O8" s="29" t="s">
        <v>7</v>
      </c>
      <c r="P8" s="29">
        <v>35000</v>
      </c>
      <c r="Q8" s="31"/>
      <c r="R8" s="31"/>
      <c r="S8" s="31"/>
    </row>
    <row r="9" spans="1:19" ht="20.5">
      <c r="A9" s="26">
        <f ca="1">IFERROR(__xludf.DUMMYFUNCTION("""COMPUTED_VALUE"""),3)</f>
        <v>3</v>
      </c>
      <c r="B9" s="27" t="str">
        <f ca="1">IFERROR(__xludf.DUMMYFUNCTION("""COMPUTED_VALUE"""),"🟩 Inbound")</f>
        <v>🟩 Inbound</v>
      </c>
      <c r="C9" s="28" t="s">
        <v>12</v>
      </c>
      <c r="D9" s="28" t="s">
        <v>2</v>
      </c>
      <c r="E9" s="28" t="s">
        <v>13</v>
      </c>
      <c r="F9" s="28" t="s">
        <v>4</v>
      </c>
      <c r="G9" s="28" t="s">
        <v>14</v>
      </c>
      <c r="H9" s="28" t="s">
        <v>15</v>
      </c>
      <c r="I9" s="29">
        <v>39000</v>
      </c>
      <c r="J9" s="29">
        <v>4000</v>
      </c>
      <c r="K9" s="29">
        <v>43000</v>
      </c>
      <c r="L9" s="29">
        <v>4000</v>
      </c>
      <c r="M9" s="29">
        <v>4000</v>
      </c>
      <c r="N9" s="30">
        <v>0</v>
      </c>
      <c r="O9" s="29" t="s">
        <v>7</v>
      </c>
      <c r="P9" s="29">
        <v>43000</v>
      </c>
      <c r="Q9" s="31"/>
      <c r="R9" s="31"/>
      <c r="S9" s="31"/>
    </row>
    <row r="10" spans="1:19" ht="20.5">
      <c r="A10" s="26">
        <f ca="1">IFERROR(__xludf.DUMMYFUNCTION("""COMPUTED_VALUE"""),4)</f>
        <v>4</v>
      </c>
      <c r="B10" s="27" t="str">
        <f ca="1">IFERROR(__xludf.DUMMYFUNCTION("""COMPUTED_VALUE"""),"🟩 Inbound")</f>
        <v>🟩 Inbound</v>
      </c>
      <c r="C10" s="28" t="s">
        <v>16</v>
      </c>
      <c r="D10" s="28" t="s">
        <v>2</v>
      </c>
      <c r="E10" s="28" t="s">
        <v>17</v>
      </c>
      <c r="F10" s="28" t="s">
        <v>4</v>
      </c>
      <c r="G10" s="28" t="s">
        <v>18</v>
      </c>
      <c r="H10" s="28" t="s">
        <v>19</v>
      </c>
      <c r="I10" s="29">
        <v>41000</v>
      </c>
      <c r="J10" s="29">
        <v>4000</v>
      </c>
      <c r="K10" s="29">
        <v>45000</v>
      </c>
      <c r="L10" s="29">
        <v>4000</v>
      </c>
      <c r="M10" s="29">
        <v>4000</v>
      </c>
      <c r="N10" s="30">
        <v>0</v>
      </c>
      <c r="O10" s="29" t="s">
        <v>7</v>
      </c>
      <c r="P10" s="29">
        <v>45000</v>
      </c>
      <c r="Q10" s="31"/>
      <c r="R10" s="31"/>
      <c r="S10" s="31"/>
    </row>
    <row r="11" spans="1:19" ht="20.5">
      <c r="A11" s="26">
        <f ca="1">IFERROR(__xludf.DUMMYFUNCTION("""COMPUTED_VALUE"""),5)</f>
        <v>5</v>
      </c>
      <c r="B11" s="27" t="str">
        <f ca="1">IFERROR(__xludf.DUMMYFUNCTION("""COMPUTED_VALUE"""),"🟩 Inbound")</f>
        <v>🟩 Inbound</v>
      </c>
      <c r="C11" s="28" t="s">
        <v>20</v>
      </c>
      <c r="D11" s="28" t="s">
        <v>21</v>
      </c>
      <c r="E11" s="28" t="s">
        <v>22</v>
      </c>
      <c r="F11" s="28" t="s">
        <v>23</v>
      </c>
      <c r="G11" s="28">
        <v>0</v>
      </c>
      <c r="H11" s="28" t="s">
        <v>24</v>
      </c>
      <c r="I11" s="29">
        <v>24500</v>
      </c>
      <c r="J11" s="29">
        <v>4000</v>
      </c>
      <c r="K11" s="29">
        <v>28500</v>
      </c>
      <c r="L11" s="29">
        <v>0</v>
      </c>
      <c r="M11" s="29">
        <v>4000</v>
      </c>
      <c r="N11" s="30">
        <v>0</v>
      </c>
      <c r="O11" s="29" t="s">
        <v>7</v>
      </c>
      <c r="P11" s="29">
        <v>28500</v>
      </c>
      <c r="Q11" s="31"/>
      <c r="R11" s="31"/>
      <c r="S11" s="31"/>
    </row>
    <row r="12" spans="1:19" ht="20.5">
      <c r="A12" s="26">
        <f ca="1">IFERROR(__xludf.DUMMYFUNCTION("""COMPUTED_VALUE"""),6)</f>
        <v>6</v>
      </c>
      <c r="B12" s="27" t="str">
        <f ca="1">IFERROR(__xludf.DUMMYFUNCTION("""COMPUTED_VALUE"""),"🟩 Inbound")</f>
        <v>🟩 Inbound</v>
      </c>
      <c r="C12" s="28" t="s">
        <v>25</v>
      </c>
      <c r="D12" s="28" t="s">
        <v>26</v>
      </c>
      <c r="E12" s="28" t="s">
        <v>27</v>
      </c>
      <c r="F12" s="28" t="s">
        <v>28</v>
      </c>
      <c r="G12" s="28" t="s">
        <v>29</v>
      </c>
      <c r="H12" s="28" t="s">
        <v>30</v>
      </c>
      <c r="I12" s="29">
        <v>14500</v>
      </c>
      <c r="J12" s="29">
        <v>4000</v>
      </c>
      <c r="K12" s="29">
        <v>18500</v>
      </c>
      <c r="L12" s="29">
        <v>4000</v>
      </c>
      <c r="M12" s="29">
        <v>4000</v>
      </c>
      <c r="N12" s="30">
        <v>0</v>
      </c>
      <c r="O12" s="29" t="s">
        <v>7</v>
      </c>
      <c r="P12" s="29">
        <v>18500</v>
      </c>
      <c r="Q12" s="31"/>
      <c r="R12" s="31"/>
      <c r="S12" s="31"/>
    </row>
    <row r="13" spans="1:19" ht="20.5">
      <c r="A13" s="26">
        <f ca="1">IFERROR(__xludf.DUMMYFUNCTION("""COMPUTED_VALUE"""),7)</f>
        <v>7</v>
      </c>
      <c r="B13" s="27" t="str">
        <f ca="1">IFERROR(__xludf.DUMMYFUNCTION("""COMPUTED_VALUE"""),"🟩 Inbound")</f>
        <v>🟩 Inbound</v>
      </c>
      <c r="C13" s="28" t="s">
        <v>31</v>
      </c>
      <c r="D13" s="28" t="s">
        <v>32</v>
      </c>
      <c r="E13" s="28" t="s">
        <v>33</v>
      </c>
      <c r="F13" s="28" t="s">
        <v>34</v>
      </c>
      <c r="G13" s="28" t="s">
        <v>35</v>
      </c>
      <c r="H13" s="28" t="s">
        <v>36</v>
      </c>
      <c r="I13" s="29">
        <v>717000</v>
      </c>
      <c r="J13" s="29">
        <v>5000</v>
      </c>
      <c r="K13" s="29">
        <v>722000</v>
      </c>
      <c r="L13" s="29">
        <v>3000</v>
      </c>
      <c r="M13" s="29">
        <v>5000</v>
      </c>
      <c r="N13" s="30">
        <v>26</v>
      </c>
      <c r="O13" s="29">
        <v>11500</v>
      </c>
      <c r="P13" s="29">
        <v>733500</v>
      </c>
      <c r="Q13" s="31"/>
      <c r="R13" s="31"/>
      <c r="S13" s="31"/>
    </row>
    <row r="14" spans="1:19" ht="20.5">
      <c r="A14" s="26">
        <f ca="1">IFERROR(__xludf.DUMMYFUNCTION("""COMPUTED_VALUE"""),8)</f>
        <v>8</v>
      </c>
      <c r="B14" s="27" t="str">
        <f ca="1">IFERROR(__xludf.DUMMYFUNCTION("""COMPUTED_VALUE"""),"🟩 Inbound")</f>
        <v>🟩 Inbound</v>
      </c>
      <c r="C14" s="28" t="s">
        <v>37</v>
      </c>
      <c r="D14" s="28" t="s">
        <v>38</v>
      </c>
      <c r="E14" s="28" t="s">
        <v>39</v>
      </c>
      <c r="F14" s="28" t="s">
        <v>40</v>
      </c>
      <c r="G14" s="28" t="s">
        <v>41</v>
      </c>
      <c r="H14" s="28" t="s">
        <v>42</v>
      </c>
      <c r="I14" s="29">
        <v>228600</v>
      </c>
      <c r="J14" s="29">
        <v>4000</v>
      </c>
      <c r="K14" s="29">
        <v>232600</v>
      </c>
      <c r="L14" s="29">
        <v>4000</v>
      </c>
      <c r="M14" s="29">
        <v>4000</v>
      </c>
      <c r="N14" s="30">
        <v>4</v>
      </c>
      <c r="O14" s="29">
        <v>500</v>
      </c>
      <c r="P14" s="29">
        <v>233100</v>
      </c>
      <c r="Q14" s="31"/>
      <c r="R14" s="31"/>
      <c r="S14" s="31"/>
    </row>
    <row r="15" spans="1:19" ht="20.5">
      <c r="A15" s="26">
        <f ca="1">IFERROR(__xludf.DUMMYFUNCTION("""COMPUTED_VALUE"""),9)</f>
        <v>9</v>
      </c>
      <c r="B15" s="27" t="str">
        <f ca="1">IFERROR(__xludf.DUMMYFUNCTION("""COMPUTED_VALUE"""),"🟩 Inbound")</f>
        <v>🟩 Inbound</v>
      </c>
      <c r="C15" s="28" t="s">
        <v>43</v>
      </c>
      <c r="D15" s="28" t="s">
        <v>21</v>
      </c>
      <c r="E15" s="28" t="s">
        <v>44</v>
      </c>
      <c r="F15" s="28" t="s">
        <v>23</v>
      </c>
      <c r="G15" s="28" t="s">
        <v>18</v>
      </c>
      <c r="H15" s="28" t="s">
        <v>45</v>
      </c>
      <c r="I15" s="29">
        <v>14500</v>
      </c>
      <c r="J15" s="29">
        <v>4000</v>
      </c>
      <c r="K15" s="29">
        <v>18500</v>
      </c>
      <c r="L15" s="29">
        <v>4000</v>
      </c>
      <c r="M15" s="29">
        <v>4000</v>
      </c>
      <c r="N15" s="30">
        <v>0</v>
      </c>
      <c r="O15" s="29" t="s">
        <v>7</v>
      </c>
      <c r="P15" s="29">
        <v>18500</v>
      </c>
      <c r="Q15" s="31"/>
      <c r="R15" s="31"/>
      <c r="S15" s="31"/>
    </row>
    <row r="16" spans="1:19" ht="20.5">
      <c r="A16" s="26">
        <f ca="1">IFERROR(__xludf.DUMMYFUNCTION("""COMPUTED_VALUE"""),10)</f>
        <v>10</v>
      </c>
      <c r="B16" s="27" t="str">
        <f ca="1">IFERROR(__xludf.DUMMYFUNCTION("""COMPUTED_VALUE"""),"🟩 Inbound")</f>
        <v>🟩 Inbound</v>
      </c>
      <c r="C16" s="28" t="s">
        <v>46</v>
      </c>
      <c r="D16" s="28" t="s">
        <v>47</v>
      </c>
      <c r="E16" s="28" t="s">
        <v>48</v>
      </c>
      <c r="F16" s="28" t="s">
        <v>49</v>
      </c>
      <c r="G16" s="28" t="s">
        <v>18</v>
      </c>
      <c r="H16" s="28" t="s">
        <v>50</v>
      </c>
      <c r="I16" s="29">
        <v>57500</v>
      </c>
      <c r="J16" s="29">
        <v>4000</v>
      </c>
      <c r="K16" s="29">
        <v>61500</v>
      </c>
      <c r="L16" s="29">
        <v>4000</v>
      </c>
      <c r="M16" s="29">
        <v>4000</v>
      </c>
      <c r="N16" s="30">
        <v>0</v>
      </c>
      <c r="O16" s="29" t="s">
        <v>7</v>
      </c>
      <c r="P16" s="29">
        <v>61500</v>
      </c>
      <c r="Q16" s="31"/>
      <c r="R16" s="31"/>
      <c r="S16" s="31"/>
    </row>
    <row r="17" spans="1:19" ht="20.5">
      <c r="A17" s="26">
        <f ca="1">IFERROR(__xludf.DUMMYFUNCTION("""COMPUTED_VALUE"""),11)</f>
        <v>11</v>
      </c>
      <c r="B17" s="27" t="str">
        <f ca="1">IFERROR(__xludf.DUMMYFUNCTION("""COMPUTED_VALUE"""),"🟩 Inbound")</f>
        <v>🟩 Inbound</v>
      </c>
      <c r="C17" s="28" t="s">
        <v>51</v>
      </c>
      <c r="D17" s="28" t="s">
        <v>52</v>
      </c>
      <c r="E17" s="28" t="s">
        <v>27</v>
      </c>
      <c r="F17" s="28" t="s">
        <v>53</v>
      </c>
      <c r="G17" s="28" t="s">
        <v>18</v>
      </c>
      <c r="H17" s="28" t="s">
        <v>54</v>
      </c>
      <c r="I17" s="29">
        <v>65700</v>
      </c>
      <c r="J17" s="29">
        <v>4000</v>
      </c>
      <c r="K17" s="29">
        <v>69700</v>
      </c>
      <c r="L17" s="29">
        <v>4000</v>
      </c>
      <c r="M17" s="29">
        <v>4000</v>
      </c>
      <c r="N17" s="30">
        <v>0</v>
      </c>
      <c r="O17" s="29" t="s">
        <v>7</v>
      </c>
      <c r="P17" s="29">
        <v>69700</v>
      </c>
      <c r="Q17" s="31"/>
      <c r="R17" s="31"/>
      <c r="S17" s="31"/>
    </row>
    <row r="18" spans="1:19" ht="20.5">
      <c r="A18" s="26">
        <f ca="1">IFERROR(__xludf.DUMMYFUNCTION("""COMPUTED_VALUE"""),12)</f>
        <v>12</v>
      </c>
      <c r="B18" s="27" t="str">
        <f ca="1">IFERROR(__xludf.DUMMYFUNCTION("""COMPUTED_VALUE"""),"🟩 Inbound")</f>
        <v>🟩 Inbound</v>
      </c>
      <c r="C18" s="28" t="s">
        <v>55</v>
      </c>
      <c r="D18" s="28" t="s">
        <v>38</v>
      </c>
      <c r="E18" s="28" t="s">
        <v>56</v>
      </c>
      <c r="F18" s="28" t="s">
        <v>40</v>
      </c>
      <c r="G18" s="28" t="s">
        <v>18</v>
      </c>
      <c r="H18" s="28" t="s">
        <v>57</v>
      </c>
      <c r="I18" s="29">
        <v>87000</v>
      </c>
      <c r="J18" s="29">
        <v>4000</v>
      </c>
      <c r="K18" s="29">
        <v>91000</v>
      </c>
      <c r="L18" s="29">
        <v>4000</v>
      </c>
      <c r="M18" s="29">
        <v>4000</v>
      </c>
      <c r="N18" s="30">
        <v>0</v>
      </c>
      <c r="O18" s="29" t="s">
        <v>7</v>
      </c>
      <c r="P18" s="29">
        <v>91000</v>
      </c>
      <c r="Q18" s="31"/>
      <c r="R18" s="31"/>
      <c r="S18" s="31"/>
    </row>
    <row r="19" spans="1:19" ht="20.5">
      <c r="A19" s="26">
        <f ca="1">IFERROR(__xludf.DUMMYFUNCTION("""COMPUTED_VALUE"""),13)</f>
        <v>13</v>
      </c>
      <c r="B19" s="27" t="str">
        <f ca="1">IFERROR(__xludf.DUMMYFUNCTION("""COMPUTED_VALUE"""),"🟩 Inbound")</f>
        <v>🟩 Inbound</v>
      </c>
      <c r="C19" s="28" t="s">
        <v>58</v>
      </c>
      <c r="D19" s="28" t="s">
        <v>38</v>
      </c>
      <c r="E19" s="28" t="s">
        <v>59</v>
      </c>
      <c r="F19" s="28" t="s">
        <v>40</v>
      </c>
      <c r="G19" s="28" t="s">
        <v>60</v>
      </c>
      <c r="H19" s="28" t="s">
        <v>61</v>
      </c>
      <c r="I19" s="29">
        <v>562000</v>
      </c>
      <c r="J19" s="29">
        <v>4000</v>
      </c>
      <c r="K19" s="29">
        <v>566000</v>
      </c>
      <c r="L19" s="29">
        <v>4000</v>
      </c>
      <c r="M19" s="29">
        <v>4000</v>
      </c>
      <c r="N19" s="30">
        <v>0</v>
      </c>
      <c r="O19" s="29">
        <v>4000</v>
      </c>
      <c r="P19" s="29">
        <v>570000</v>
      </c>
      <c r="Q19" s="31"/>
      <c r="R19" s="31"/>
      <c r="S19" s="31"/>
    </row>
    <row r="20" spans="1:19" ht="20.5">
      <c r="A20" s="26">
        <f ca="1">IFERROR(__xludf.DUMMYFUNCTION("""COMPUTED_VALUE"""),14)</f>
        <v>14</v>
      </c>
      <c r="B20" s="27" t="str">
        <f ca="1">IFERROR(__xludf.DUMMYFUNCTION("""COMPUTED_VALUE"""),"🟩 Inbound")</f>
        <v>🟩 Inbound</v>
      </c>
      <c r="C20" s="28" t="s">
        <v>62</v>
      </c>
      <c r="D20" s="28" t="s">
        <v>38</v>
      </c>
      <c r="E20" s="28" t="s">
        <v>63</v>
      </c>
      <c r="F20" s="28" t="s">
        <v>40</v>
      </c>
      <c r="G20" s="28" t="s">
        <v>64</v>
      </c>
      <c r="H20" s="28" t="s">
        <v>65</v>
      </c>
      <c r="I20" s="29">
        <v>387000</v>
      </c>
      <c r="J20" s="29">
        <v>4000</v>
      </c>
      <c r="K20" s="29">
        <v>391000</v>
      </c>
      <c r="L20" s="29">
        <v>4000</v>
      </c>
      <c r="M20" s="29">
        <v>4000</v>
      </c>
      <c r="N20" s="30">
        <v>8</v>
      </c>
      <c r="O20" s="29">
        <v>2500</v>
      </c>
      <c r="P20" s="29">
        <v>393500</v>
      </c>
      <c r="Q20" s="31"/>
      <c r="R20" s="31"/>
      <c r="S20" s="31"/>
    </row>
    <row r="21" spans="1:19" ht="20.5">
      <c r="A21" s="26">
        <f ca="1">IFERROR(__xludf.DUMMYFUNCTION("""COMPUTED_VALUE"""),15)</f>
        <v>15</v>
      </c>
      <c r="B21" s="27" t="str">
        <f ca="1">IFERROR(__xludf.DUMMYFUNCTION("""COMPUTED_VALUE"""),"🟩 Inbound")</f>
        <v>🟩 Inbound</v>
      </c>
      <c r="C21" s="28" t="s">
        <v>66</v>
      </c>
      <c r="D21" s="28" t="s">
        <v>47</v>
      </c>
      <c r="E21" s="28" t="s">
        <v>67</v>
      </c>
      <c r="F21" s="28" t="s">
        <v>49</v>
      </c>
      <c r="G21" s="28" t="s">
        <v>64</v>
      </c>
      <c r="H21" s="28" t="s">
        <v>68</v>
      </c>
      <c r="I21" s="29">
        <v>23500</v>
      </c>
      <c r="J21" s="29">
        <v>4000</v>
      </c>
      <c r="K21" s="29">
        <v>27500</v>
      </c>
      <c r="L21" s="29">
        <v>4000</v>
      </c>
      <c r="M21" s="29">
        <v>4000</v>
      </c>
      <c r="N21" s="30">
        <v>0</v>
      </c>
      <c r="O21" s="29" t="s">
        <v>7</v>
      </c>
      <c r="P21" s="29">
        <v>27500</v>
      </c>
      <c r="Q21" s="31"/>
      <c r="R21" s="31"/>
      <c r="S21" s="31"/>
    </row>
    <row r="22" spans="1:19" ht="20.5">
      <c r="A22" s="26">
        <f ca="1">IFERROR(__xludf.DUMMYFUNCTION("""COMPUTED_VALUE"""),16)</f>
        <v>16</v>
      </c>
      <c r="B22" s="27" t="str">
        <f ca="1">IFERROR(__xludf.DUMMYFUNCTION("""COMPUTED_VALUE"""),"🟩 Inbound")</f>
        <v>🟩 Inbound</v>
      </c>
      <c r="C22" s="28" t="s">
        <v>69</v>
      </c>
      <c r="D22" s="28" t="s">
        <v>52</v>
      </c>
      <c r="E22" s="28" t="s">
        <v>70</v>
      </c>
      <c r="F22" s="28" t="s">
        <v>53</v>
      </c>
      <c r="G22" s="28" t="s">
        <v>64</v>
      </c>
      <c r="H22" s="28" t="s">
        <v>71</v>
      </c>
      <c r="I22" s="29">
        <v>48000</v>
      </c>
      <c r="J22" s="29">
        <v>4000</v>
      </c>
      <c r="K22" s="29">
        <v>52000</v>
      </c>
      <c r="L22" s="29">
        <v>4000</v>
      </c>
      <c r="M22" s="29">
        <v>4000</v>
      </c>
      <c r="N22" s="30">
        <v>0</v>
      </c>
      <c r="O22" s="29" t="s">
        <v>7</v>
      </c>
      <c r="P22" s="29">
        <v>52000</v>
      </c>
      <c r="Q22" s="31"/>
      <c r="R22" s="31"/>
      <c r="S22" s="31"/>
    </row>
    <row r="23" spans="1:19" ht="20.5">
      <c r="A23" s="26">
        <f ca="1">IFERROR(__xludf.DUMMYFUNCTION("""COMPUTED_VALUE"""),17)</f>
        <v>17</v>
      </c>
      <c r="B23" s="27" t="str">
        <f ca="1">IFERROR(__xludf.DUMMYFUNCTION("""COMPUTED_VALUE"""),"🟩 Inbound")</f>
        <v>🟩 Inbound</v>
      </c>
      <c r="C23" s="28" t="s">
        <v>72</v>
      </c>
      <c r="D23" s="28" t="s">
        <v>73</v>
      </c>
      <c r="E23" s="28" t="s">
        <v>74</v>
      </c>
      <c r="F23" s="28" t="s">
        <v>75</v>
      </c>
      <c r="G23" s="28" t="s">
        <v>64</v>
      </c>
      <c r="H23" s="28" t="s">
        <v>76</v>
      </c>
      <c r="I23" s="29">
        <v>38200</v>
      </c>
      <c r="J23" s="29">
        <v>5000</v>
      </c>
      <c r="K23" s="29">
        <v>43200</v>
      </c>
      <c r="L23" s="29">
        <v>4000</v>
      </c>
      <c r="M23" s="29">
        <v>5000</v>
      </c>
      <c r="N23" s="30">
        <v>6</v>
      </c>
      <c r="O23" s="29">
        <v>1500</v>
      </c>
      <c r="P23" s="29">
        <v>44700</v>
      </c>
      <c r="Q23" s="31"/>
      <c r="R23" s="31"/>
      <c r="S23" s="31"/>
    </row>
    <row r="24" spans="1:19" ht="20.5">
      <c r="A24" s="26">
        <f ca="1">IFERROR(__xludf.DUMMYFUNCTION("""COMPUTED_VALUE"""),18)</f>
        <v>18</v>
      </c>
      <c r="B24" s="27" t="str">
        <f ca="1">IFERROR(__xludf.DUMMYFUNCTION("""COMPUTED_VALUE"""),"🟩 Inbound")</f>
        <v>🟩 Inbound</v>
      </c>
      <c r="C24" s="28" t="s">
        <v>77</v>
      </c>
      <c r="D24" s="28" t="s">
        <v>78</v>
      </c>
      <c r="E24" s="28" t="s">
        <v>79</v>
      </c>
      <c r="F24" s="28" t="s">
        <v>80</v>
      </c>
      <c r="G24" s="28" t="s">
        <v>64</v>
      </c>
      <c r="H24" s="28" t="s">
        <v>81</v>
      </c>
      <c r="I24" s="29">
        <v>189000</v>
      </c>
      <c r="J24" s="29">
        <v>4000</v>
      </c>
      <c r="K24" s="29">
        <v>193000</v>
      </c>
      <c r="L24" s="29">
        <v>4000</v>
      </c>
      <c r="M24" s="29">
        <v>4000</v>
      </c>
      <c r="N24" s="30">
        <v>0</v>
      </c>
      <c r="O24" s="29" t="s">
        <v>7</v>
      </c>
      <c r="P24" s="29">
        <v>193000</v>
      </c>
      <c r="Q24" s="31"/>
      <c r="R24" s="31"/>
      <c r="S24" s="31"/>
    </row>
    <row r="25" spans="1:19" ht="20.5">
      <c r="A25" s="26">
        <f ca="1">IFERROR(__xludf.DUMMYFUNCTION("""COMPUTED_VALUE"""),19)</f>
        <v>19</v>
      </c>
      <c r="B25" s="27" t="str">
        <f ca="1">IFERROR(__xludf.DUMMYFUNCTION("""COMPUTED_VALUE"""),"🟩 Inbound")</f>
        <v>🟩 Inbound</v>
      </c>
      <c r="C25" s="28" t="s">
        <v>82</v>
      </c>
      <c r="D25" s="28" t="s">
        <v>78</v>
      </c>
      <c r="E25" s="28" t="s">
        <v>83</v>
      </c>
      <c r="F25" s="28" t="s">
        <v>80</v>
      </c>
      <c r="G25" s="28" t="s">
        <v>84</v>
      </c>
      <c r="H25" s="28" t="s">
        <v>85</v>
      </c>
      <c r="I25" s="29">
        <v>121500</v>
      </c>
      <c r="J25" s="29">
        <v>6000</v>
      </c>
      <c r="K25" s="29">
        <v>127500</v>
      </c>
      <c r="L25" s="29">
        <v>6000</v>
      </c>
      <c r="M25" s="29">
        <v>6000</v>
      </c>
      <c r="N25" s="30">
        <v>0</v>
      </c>
      <c r="O25" s="29" t="s">
        <v>7</v>
      </c>
      <c r="P25" s="29">
        <v>127500</v>
      </c>
      <c r="Q25" s="31"/>
      <c r="R25" s="31"/>
      <c r="S25" s="31"/>
    </row>
    <row r="26" spans="1:19" ht="20.5">
      <c r="A26" s="32">
        <f ca="1">IFERROR(__xludf.DUMMYFUNCTION("""COMPUTED_VALUE"""),20)</f>
        <v>20</v>
      </c>
      <c r="B26" s="33" t="str">
        <f ca="1">IFERROR(__xludf.DUMMYFUNCTION("""COMPUTED_VALUE"""),"🟩 Inbound")</f>
        <v>🟩 Inbound</v>
      </c>
      <c r="C26" s="34" t="s">
        <v>86</v>
      </c>
      <c r="D26" s="34" t="s">
        <v>78</v>
      </c>
      <c r="E26" s="34" t="s">
        <v>87</v>
      </c>
      <c r="F26" s="34" t="s">
        <v>80</v>
      </c>
      <c r="G26" s="34" t="s">
        <v>84</v>
      </c>
      <c r="H26" s="34" t="s">
        <v>88</v>
      </c>
      <c r="I26" s="35">
        <v>78000</v>
      </c>
      <c r="J26" s="35">
        <v>6000</v>
      </c>
      <c r="K26" s="35">
        <v>84000</v>
      </c>
      <c r="L26" s="35">
        <v>6000</v>
      </c>
      <c r="M26" s="35">
        <v>6000</v>
      </c>
      <c r="N26" s="36">
        <v>0</v>
      </c>
      <c r="O26" s="35" t="s">
        <v>7</v>
      </c>
      <c r="P26" s="35">
        <v>84000</v>
      </c>
      <c r="Q26" s="31"/>
      <c r="R26" s="31"/>
      <c r="S26" s="31"/>
    </row>
    <row r="27" spans="1:19" ht="20.5">
      <c r="A27" s="26">
        <f ca="1">IFERROR(__xludf.DUMMYFUNCTION("""COMPUTED_VALUE"""),21)</f>
        <v>21</v>
      </c>
      <c r="B27" s="27" t="str">
        <f ca="1">IFERROR(__xludf.DUMMYFUNCTION("""COMPUTED_VALUE"""),"🟩 Inbound")</f>
        <v>🟩 Inbound</v>
      </c>
      <c r="C27" s="28" t="s">
        <v>89</v>
      </c>
      <c r="D27" s="28" t="s">
        <v>21</v>
      </c>
      <c r="E27" s="28" t="s">
        <v>90</v>
      </c>
      <c r="F27" s="28" t="s">
        <v>23</v>
      </c>
      <c r="G27" s="28" t="s">
        <v>84</v>
      </c>
      <c r="H27" s="28" t="s">
        <v>91</v>
      </c>
      <c r="I27" s="29">
        <v>0</v>
      </c>
      <c r="J27" s="29">
        <v>6000</v>
      </c>
      <c r="K27" s="29">
        <v>6000</v>
      </c>
      <c r="L27" s="29">
        <v>6000</v>
      </c>
      <c r="M27" s="29">
        <v>6000</v>
      </c>
      <c r="N27" s="30">
        <v>0</v>
      </c>
      <c r="O27" s="29" t="s">
        <v>7</v>
      </c>
      <c r="P27" s="29">
        <v>6000</v>
      </c>
      <c r="Q27" s="31"/>
      <c r="R27" s="31"/>
      <c r="S27" s="31"/>
    </row>
    <row r="28" spans="1:19" ht="20.5">
      <c r="A28" s="26">
        <f ca="1">IFERROR(__xludf.DUMMYFUNCTION("""COMPUTED_VALUE"""),22)</f>
        <v>22</v>
      </c>
      <c r="B28" s="27" t="str">
        <f ca="1">IFERROR(__xludf.DUMMYFUNCTION("""COMPUTED_VALUE"""),"🟩 Inbound")</f>
        <v>🟩 Inbound</v>
      </c>
      <c r="C28" s="28" t="s">
        <v>92</v>
      </c>
      <c r="D28" s="28" t="s">
        <v>21</v>
      </c>
      <c r="E28" s="28" t="s">
        <v>93</v>
      </c>
      <c r="F28" s="28" t="s">
        <v>23</v>
      </c>
      <c r="G28" s="28" t="s">
        <v>84</v>
      </c>
      <c r="H28" s="28" t="s">
        <v>94</v>
      </c>
      <c r="I28" s="29">
        <v>0</v>
      </c>
      <c r="J28" s="29">
        <v>0</v>
      </c>
      <c r="K28" s="29">
        <v>0</v>
      </c>
      <c r="L28" s="29">
        <v>6000</v>
      </c>
      <c r="M28" s="29" t="s">
        <v>7</v>
      </c>
      <c r="N28" s="30">
        <v>0</v>
      </c>
      <c r="O28" s="29" t="s">
        <v>7</v>
      </c>
      <c r="P28" s="29" t="s">
        <v>7</v>
      </c>
      <c r="Q28" s="31"/>
      <c r="R28" s="31"/>
      <c r="S28" s="31"/>
    </row>
    <row r="29" spans="1:19" ht="20.5">
      <c r="A29" s="26">
        <f ca="1">IFERROR(__xludf.DUMMYFUNCTION("""COMPUTED_VALUE"""),23)</f>
        <v>23</v>
      </c>
      <c r="B29" s="27" t="str">
        <f ca="1">IFERROR(__xludf.DUMMYFUNCTION("""COMPUTED_VALUE"""),"🟩 Inbound")</f>
        <v>🟩 Inbound</v>
      </c>
      <c r="C29" s="28" t="s">
        <v>95</v>
      </c>
      <c r="D29" s="28" t="s">
        <v>21</v>
      </c>
      <c r="E29" s="28" t="s">
        <v>96</v>
      </c>
      <c r="F29" s="28" t="s">
        <v>23</v>
      </c>
      <c r="G29" s="28" t="s">
        <v>84</v>
      </c>
      <c r="H29" s="28" t="s">
        <v>97</v>
      </c>
      <c r="I29" s="29">
        <v>0</v>
      </c>
      <c r="J29" s="29">
        <v>6000</v>
      </c>
      <c r="K29" s="29">
        <v>6000</v>
      </c>
      <c r="L29" s="29">
        <v>6000</v>
      </c>
      <c r="M29" s="29">
        <v>6000</v>
      </c>
      <c r="N29" s="30">
        <v>0</v>
      </c>
      <c r="O29" s="29" t="s">
        <v>7</v>
      </c>
      <c r="P29" s="29">
        <v>6000</v>
      </c>
      <c r="Q29" s="31"/>
      <c r="R29" s="31"/>
      <c r="S29" s="31"/>
    </row>
    <row r="30" spans="1:19" ht="20.5">
      <c r="A30" s="26">
        <f ca="1">IFERROR(__xludf.DUMMYFUNCTION("""COMPUTED_VALUE"""),24)</f>
        <v>24</v>
      </c>
      <c r="B30" s="27" t="str">
        <f ca="1">IFERROR(__xludf.DUMMYFUNCTION("""COMPUTED_VALUE"""),"🟩 Inbound")</f>
        <v>🟩 Inbound</v>
      </c>
      <c r="C30" s="28" t="s">
        <v>98</v>
      </c>
      <c r="D30" s="28" t="s">
        <v>21</v>
      </c>
      <c r="E30" s="28" t="s">
        <v>99</v>
      </c>
      <c r="F30" s="28" t="s">
        <v>23</v>
      </c>
      <c r="G30" s="28" t="s">
        <v>84</v>
      </c>
      <c r="H30" s="28" t="s">
        <v>100</v>
      </c>
      <c r="I30" s="29">
        <v>40600</v>
      </c>
      <c r="J30" s="29">
        <v>6000</v>
      </c>
      <c r="K30" s="29">
        <v>46600</v>
      </c>
      <c r="L30" s="29">
        <v>6000</v>
      </c>
      <c r="M30" s="29">
        <v>6000</v>
      </c>
      <c r="N30" s="30">
        <v>0</v>
      </c>
      <c r="O30" s="29" t="s">
        <v>7</v>
      </c>
      <c r="P30" s="29">
        <v>46600</v>
      </c>
      <c r="Q30" s="31"/>
      <c r="R30" s="31"/>
      <c r="S30" s="31"/>
    </row>
    <row r="31" spans="1:19" ht="20.5">
      <c r="A31" s="26">
        <f ca="1">IFERROR(__xludf.DUMMYFUNCTION("""COMPUTED_VALUE"""),25)</f>
        <v>25</v>
      </c>
      <c r="B31" s="27" t="str">
        <f ca="1">IFERROR(__xludf.DUMMYFUNCTION("""COMPUTED_VALUE"""),"🟩 Inbound")</f>
        <v>🟩 Inbound</v>
      </c>
      <c r="C31" s="28" t="s">
        <v>101</v>
      </c>
      <c r="D31" s="28" t="s">
        <v>21</v>
      </c>
      <c r="E31" s="28" t="s">
        <v>102</v>
      </c>
      <c r="F31" s="28" t="s">
        <v>23</v>
      </c>
      <c r="G31" s="28" t="s">
        <v>84</v>
      </c>
      <c r="H31" s="28" t="s">
        <v>103</v>
      </c>
      <c r="I31" s="29">
        <v>0</v>
      </c>
      <c r="J31" s="29">
        <v>6000</v>
      </c>
      <c r="K31" s="29">
        <v>6000</v>
      </c>
      <c r="L31" s="29">
        <v>6000</v>
      </c>
      <c r="M31" s="29">
        <v>6000</v>
      </c>
      <c r="N31" s="30">
        <v>0</v>
      </c>
      <c r="O31" s="29" t="s">
        <v>7</v>
      </c>
      <c r="P31" s="29">
        <v>6000</v>
      </c>
      <c r="Q31" s="31"/>
      <c r="R31" s="31"/>
      <c r="S31" s="31"/>
    </row>
    <row r="32" spans="1:19" ht="20.5">
      <c r="A32" s="26">
        <f ca="1">IFERROR(__xludf.DUMMYFUNCTION("""COMPUTED_VALUE"""),26)</f>
        <v>26</v>
      </c>
      <c r="B32" s="27" t="str">
        <f ca="1">IFERROR(__xludf.DUMMYFUNCTION("""COMPUTED_VALUE"""),"🟩 Inbound")</f>
        <v>🟩 Inbound</v>
      </c>
      <c r="C32" s="28" t="s">
        <v>104</v>
      </c>
      <c r="D32" s="28" t="s">
        <v>21</v>
      </c>
      <c r="E32" s="28" t="s">
        <v>105</v>
      </c>
      <c r="F32" s="28" t="s">
        <v>23</v>
      </c>
      <c r="G32" s="28" t="s">
        <v>84</v>
      </c>
      <c r="H32" s="28" t="s">
        <v>106</v>
      </c>
      <c r="I32" s="29">
        <v>0</v>
      </c>
      <c r="J32" s="29">
        <v>6000</v>
      </c>
      <c r="K32" s="29">
        <v>6000</v>
      </c>
      <c r="L32" s="29">
        <v>6000</v>
      </c>
      <c r="M32" s="29">
        <v>6000</v>
      </c>
      <c r="N32" s="30">
        <v>0</v>
      </c>
      <c r="O32" s="29" t="s">
        <v>7</v>
      </c>
      <c r="P32" s="29">
        <v>6000</v>
      </c>
      <c r="Q32" s="31"/>
      <c r="R32" s="31"/>
      <c r="S32" s="31"/>
    </row>
    <row r="33" spans="1:19" ht="20.5">
      <c r="A33" s="26">
        <f ca="1">IFERROR(__xludf.DUMMYFUNCTION("""COMPUTED_VALUE"""),27)</f>
        <v>27</v>
      </c>
      <c r="B33" s="27" t="str">
        <f ca="1">IFERROR(__xludf.DUMMYFUNCTION("""COMPUTED_VALUE"""),"🟩 Inbound")</f>
        <v>🟩 Inbound</v>
      </c>
      <c r="C33" s="28" t="s">
        <v>107</v>
      </c>
      <c r="D33" s="28" t="s">
        <v>38</v>
      </c>
      <c r="E33" s="28" t="s">
        <v>108</v>
      </c>
      <c r="F33" s="28" t="s">
        <v>40</v>
      </c>
      <c r="G33" s="28" t="s">
        <v>84</v>
      </c>
      <c r="H33" s="28" t="s">
        <v>100</v>
      </c>
      <c r="I33" s="29">
        <v>64500</v>
      </c>
      <c r="J33" s="29">
        <v>6000</v>
      </c>
      <c r="K33" s="29">
        <v>70500</v>
      </c>
      <c r="L33" s="29">
        <v>6000</v>
      </c>
      <c r="M33" s="29">
        <v>6000</v>
      </c>
      <c r="N33" s="30">
        <v>0</v>
      </c>
      <c r="O33" s="29" t="s">
        <v>7</v>
      </c>
      <c r="P33" s="29">
        <v>70500</v>
      </c>
      <c r="Q33" s="31"/>
      <c r="R33" s="31"/>
      <c r="S33" s="31"/>
    </row>
    <row r="34" spans="1:19" ht="20.5">
      <c r="A34" s="26">
        <f ca="1">IFERROR(__xludf.DUMMYFUNCTION("""COMPUTED_VALUE"""),28)</f>
        <v>28</v>
      </c>
      <c r="B34" s="27" t="str">
        <f ca="1">IFERROR(__xludf.DUMMYFUNCTION("""COMPUTED_VALUE"""),"🟩 Inbound")</f>
        <v>🟩 Inbound</v>
      </c>
      <c r="C34" s="28" t="s">
        <v>109</v>
      </c>
      <c r="D34" s="28" t="s">
        <v>38</v>
      </c>
      <c r="E34" s="28" t="s">
        <v>110</v>
      </c>
      <c r="F34" s="28" t="s">
        <v>40</v>
      </c>
      <c r="G34" s="28" t="s">
        <v>84</v>
      </c>
      <c r="H34" s="28" t="s">
        <v>111</v>
      </c>
      <c r="I34" s="29">
        <v>129000</v>
      </c>
      <c r="J34" s="29">
        <v>6000</v>
      </c>
      <c r="K34" s="29">
        <v>135000</v>
      </c>
      <c r="L34" s="29">
        <v>6000</v>
      </c>
      <c r="M34" s="29">
        <v>6000</v>
      </c>
      <c r="N34" s="30">
        <v>0</v>
      </c>
      <c r="O34" s="29" t="s">
        <v>7</v>
      </c>
      <c r="P34" s="29">
        <v>135000</v>
      </c>
      <c r="Q34" s="31"/>
      <c r="R34" s="31"/>
      <c r="S34" s="31"/>
    </row>
    <row r="35" spans="1:19" ht="20.5">
      <c r="A35" s="26">
        <f ca="1">IFERROR(__xludf.DUMMYFUNCTION("""COMPUTED_VALUE"""),29)</f>
        <v>29</v>
      </c>
      <c r="B35" s="27" t="str">
        <f ca="1">IFERROR(__xludf.DUMMYFUNCTION("""COMPUTED_VALUE"""),"🟩 Inbound")</f>
        <v>🟩 Inbound</v>
      </c>
      <c r="C35" s="28" t="s">
        <v>112</v>
      </c>
      <c r="D35" s="28" t="s">
        <v>38</v>
      </c>
      <c r="E35" s="28" t="s">
        <v>113</v>
      </c>
      <c r="F35" s="28" t="s">
        <v>40</v>
      </c>
      <c r="G35" s="28" t="s">
        <v>84</v>
      </c>
      <c r="H35" s="28" t="s">
        <v>114</v>
      </c>
      <c r="I35" s="29">
        <v>38700</v>
      </c>
      <c r="J35" s="29">
        <v>6000</v>
      </c>
      <c r="K35" s="29">
        <v>44700</v>
      </c>
      <c r="L35" s="29">
        <v>6000</v>
      </c>
      <c r="M35" s="29">
        <v>6000</v>
      </c>
      <c r="N35" s="30">
        <v>0</v>
      </c>
      <c r="O35" s="29" t="s">
        <v>7</v>
      </c>
      <c r="P35" s="29">
        <v>44700</v>
      </c>
      <c r="Q35" s="31"/>
      <c r="R35" s="31"/>
      <c r="S35" s="31"/>
    </row>
    <row r="36" spans="1:19" ht="20.5">
      <c r="A36" s="26">
        <f ca="1">IFERROR(__xludf.DUMMYFUNCTION("""COMPUTED_VALUE"""),30)</f>
        <v>30</v>
      </c>
      <c r="B36" s="27" t="str">
        <f ca="1">IFERROR(__xludf.DUMMYFUNCTION("""COMPUTED_VALUE"""),"🟩 Inbound")</f>
        <v>🟩 Inbound</v>
      </c>
      <c r="C36" s="28" t="s">
        <v>115</v>
      </c>
      <c r="D36" s="28" t="s">
        <v>38</v>
      </c>
      <c r="E36" s="28" t="s">
        <v>116</v>
      </c>
      <c r="F36" s="28" t="s">
        <v>40</v>
      </c>
      <c r="G36" s="28" t="s">
        <v>84</v>
      </c>
      <c r="H36" s="28" t="s">
        <v>117</v>
      </c>
      <c r="I36" s="29">
        <v>246300</v>
      </c>
      <c r="J36" s="29">
        <v>6000</v>
      </c>
      <c r="K36" s="29">
        <v>252300</v>
      </c>
      <c r="L36" s="29">
        <v>6000</v>
      </c>
      <c r="M36" s="29">
        <v>6000</v>
      </c>
      <c r="N36" s="30">
        <v>4</v>
      </c>
      <c r="O36" s="29">
        <v>500</v>
      </c>
      <c r="P36" s="29">
        <v>252800</v>
      </c>
      <c r="Q36" s="31"/>
      <c r="R36" s="31"/>
      <c r="S36" s="31"/>
    </row>
    <row r="37" spans="1:19" ht="20.5">
      <c r="A37" s="26">
        <f ca="1">IFERROR(__xludf.DUMMYFUNCTION("""COMPUTED_VALUE"""),31)</f>
        <v>31</v>
      </c>
      <c r="B37" s="27" t="str">
        <f ca="1">IFERROR(__xludf.DUMMYFUNCTION("""COMPUTED_VALUE"""),"🟩 Inbound")</f>
        <v>🟩 Inbound</v>
      </c>
      <c r="C37" s="28" t="s">
        <v>118</v>
      </c>
      <c r="D37" s="28" t="s">
        <v>38</v>
      </c>
      <c r="E37" s="28" t="s">
        <v>119</v>
      </c>
      <c r="F37" s="28" t="s">
        <v>40</v>
      </c>
      <c r="G37" s="28" t="s">
        <v>84</v>
      </c>
      <c r="H37" s="28" t="s">
        <v>120</v>
      </c>
      <c r="I37" s="29">
        <v>193500</v>
      </c>
      <c r="J37" s="29">
        <v>6000</v>
      </c>
      <c r="K37" s="29">
        <v>199500</v>
      </c>
      <c r="L37" s="29">
        <v>6000</v>
      </c>
      <c r="M37" s="29">
        <v>6000</v>
      </c>
      <c r="N37" s="30">
        <v>4</v>
      </c>
      <c r="O37" s="29">
        <v>500</v>
      </c>
      <c r="P37" s="29">
        <v>200000</v>
      </c>
      <c r="Q37" s="31"/>
      <c r="R37" s="31"/>
      <c r="S37" s="31"/>
    </row>
    <row r="38" spans="1:19" ht="20.5">
      <c r="A38" s="26">
        <f ca="1">IFERROR(__xludf.DUMMYFUNCTION("""COMPUTED_VALUE"""),32)</f>
        <v>32</v>
      </c>
      <c r="B38" s="27" t="str">
        <f ca="1">IFERROR(__xludf.DUMMYFUNCTION("""COMPUTED_VALUE"""),"🟩 Inbound")</f>
        <v>🟩 Inbound</v>
      </c>
      <c r="C38" s="28" t="s">
        <v>121</v>
      </c>
      <c r="D38" s="28" t="s">
        <v>38</v>
      </c>
      <c r="E38" s="28" t="s">
        <v>122</v>
      </c>
      <c r="F38" s="28" t="s">
        <v>40</v>
      </c>
      <c r="G38" s="28" t="s">
        <v>84</v>
      </c>
      <c r="H38" s="28" t="s">
        <v>123</v>
      </c>
      <c r="I38" s="29">
        <v>247400</v>
      </c>
      <c r="J38" s="29">
        <v>6000</v>
      </c>
      <c r="K38" s="29">
        <v>253400</v>
      </c>
      <c r="L38" s="29">
        <v>6000</v>
      </c>
      <c r="M38" s="29">
        <v>6000</v>
      </c>
      <c r="N38" s="30">
        <v>4</v>
      </c>
      <c r="O38" s="29">
        <v>500</v>
      </c>
      <c r="P38" s="29">
        <v>253900</v>
      </c>
      <c r="Q38" s="31"/>
      <c r="R38" s="31"/>
      <c r="S38" s="31"/>
    </row>
    <row r="39" spans="1:19" ht="20.5">
      <c r="A39" s="26">
        <f ca="1">IFERROR(__xludf.DUMMYFUNCTION("""COMPUTED_VALUE"""),33)</f>
        <v>33</v>
      </c>
      <c r="B39" s="27" t="str">
        <f ca="1">IFERROR(__xludf.DUMMYFUNCTION("""COMPUTED_VALUE"""),"🟩 Inbound")</f>
        <v>🟩 Inbound</v>
      </c>
      <c r="C39" s="28" t="s">
        <v>124</v>
      </c>
      <c r="D39" s="28" t="s">
        <v>38</v>
      </c>
      <c r="E39" s="28" t="s">
        <v>125</v>
      </c>
      <c r="F39" s="28" t="s">
        <v>40</v>
      </c>
      <c r="G39" s="28" t="s">
        <v>84</v>
      </c>
      <c r="H39" s="28" t="s">
        <v>126</v>
      </c>
      <c r="I39" s="29">
        <v>253200</v>
      </c>
      <c r="J39" s="29">
        <v>6000</v>
      </c>
      <c r="K39" s="29">
        <v>259200</v>
      </c>
      <c r="L39" s="29">
        <v>6000</v>
      </c>
      <c r="M39" s="29">
        <v>6000</v>
      </c>
      <c r="N39" s="30">
        <v>0</v>
      </c>
      <c r="O39" s="29" t="s">
        <v>7</v>
      </c>
      <c r="P39" s="29">
        <v>259200</v>
      </c>
      <c r="Q39" s="31"/>
      <c r="R39" s="31"/>
      <c r="S39" s="31"/>
    </row>
    <row r="40" spans="1:19" ht="20.5">
      <c r="A40" s="26">
        <f ca="1">IFERROR(__xludf.DUMMYFUNCTION("""COMPUTED_VALUE"""),34)</f>
        <v>34</v>
      </c>
      <c r="B40" s="27" t="str">
        <f ca="1">IFERROR(__xludf.DUMMYFUNCTION("""COMPUTED_VALUE"""),"🟩 Inbound")</f>
        <v>🟩 Inbound</v>
      </c>
      <c r="C40" s="28" t="s">
        <v>127</v>
      </c>
      <c r="D40" s="28" t="s">
        <v>38</v>
      </c>
      <c r="E40" s="28" t="s">
        <v>128</v>
      </c>
      <c r="F40" s="28" t="s">
        <v>40</v>
      </c>
      <c r="G40" s="28" t="s">
        <v>84</v>
      </c>
      <c r="H40" s="28" t="s">
        <v>129</v>
      </c>
      <c r="I40" s="29">
        <v>38400</v>
      </c>
      <c r="J40" s="29">
        <v>6000</v>
      </c>
      <c r="K40" s="29">
        <v>44400</v>
      </c>
      <c r="L40" s="29">
        <v>6000</v>
      </c>
      <c r="M40" s="29">
        <v>6000</v>
      </c>
      <c r="N40" s="30">
        <v>0</v>
      </c>
      <c r="O40" s="29" t="s">
        <v>7</v>
      </c>
      <c r="P40" s="29">
        <v>44400</v>
      </c>
      <c r="Q40" s="31"/>
      <c r="R40" s="31"/>
      <c r="S40" s="31"/>
    </row>
    <row r="41" spans="1:19" ht="20.5">
      <c r="A41" s="26">
        <f ca="1">IFERROR(__xludf.DUMMYFUNCTION("""COMPUTED_VALUE"""),35)</f>
        <v>35</v>
      </c>
      <c r="B41" s="27" t="str">
        <f ca="1">IFERROR(__xludf.DUMMYFUNCTION("""COMPUTED_VALUE"""),"🟩 Inbound")</f>
        <v>🟩 Inbound</v>
      </c>
      <c r="C41" s="28" t="s">
        <v>130</v>
      </c>
      <c r="D41" s="28" t="s">
        <v>38</v>
      </c>
      <c r="E41" s="28" t="s">
        <v>131</v>
      </c>
      <c r="F41" s="28" t="s">
        <v>40</v>
      </c>
      <c r="G41" s="28" t="s">
        <v>84</v>
      </c>
      <c r="H41" s="28" t="s">
        <v>100</v>
      </c>
      <c r="I41" s="29">
        <v>430000</v>
      </c>
      <c r="J41" s="29">
        <v>6000</v>
      </c>
      <c r="K41" s="29">
        <v>436000</v>
      </c>
      <c r="L41" s="29">
        <v>6000</v>
      </c>
      <c r="M41" s="29">
        <v>6000</v>
      </c>
      <c r="N41" s="30">
        <v>4</v>
      </c>
      <c r="O41" s="29">
        <v>500</v>
      </c>
      <c r="P41" s="29">
        <v>436500</v>
      </c>
      <c r="Q41" s="31"/>
      <c r="R41" s="31"/>
      <c r="S41" s="31"/>
    </row>
    <row r="42" spans="1:19" ht="20.5">
      <c r="A42" s="26">
        <f ca="1">IFERROR(__xludf.DUMMYFUNCTION("""COMPUTED_VALUE"""),36)</f>
        <v>36</v>
      </c>
      <c r="B42" s="27" t="str">
        <f ca="1">IFERROR(__xludf.DUMMYFUNCTION("""COMPUTED_VALUE"""),"🟩 Inbound")</f>
        <v>🟩 Inbound</v>
      </c>
      <c r="C42" s="28" t="s">
        <v>132</v>
      </c>
      <c r="D42" s="28" t="s">
        <v>38</v>
      </c>
      <c r="E42" s="28" t="s">
        <v>133</v>
      </c>
      <c r="F42" s="28" t="s">
        <v>40</v>
      </c>
      <c r="G42" s="28" t="s">
        <v>84</v>
      </c>
      <c r="H42" s="28" t="s">
        <v>134</v>
      </c>
      <c r="I42" s="29">
        <v>135800</v>
      </c>
      <c r="J42" s="29">
        <v>6000</v>
      </c>
      <c r="K42" s="29">
        <v>141800</v>
      </c>
      <c r="L42" s="29">
        <v>6000</v>
      </c>
      <c r="M42" s="29">
        <v>6000</v>
      </c>
      <c r="N42" s="30">
        <v>0</v>
      </c>
      <c r="O42" s="29" t="s">
        <v>7</v>
      </c>
      <c r="P42" s="29">
        <v>141800</v>
      </c>
      <c r="Q42" s="31"/>
      <c r="R42" s="31"/>
      <c r="S42" s="31"/>
    </row>
    <row r="43" spans="1:19" ht="20.5">
      <c r="A43" s="26">
        <f ca="1">IFERROR(__xludf.DUMMYFUNCTION("""COMPUTED_VALUE"""),37)</f>
        <v>37</v>
      </c>
      <c r="B43" s="27" t="str">
        <f ca="1">IFERROR(__xludf.DUMMYFUNCTION("""COMPUTED_VALUE"""),"🟩 Inbound")</f>
        <v>🟩 Inbound</v>
      </c>
      <c r="C43" s="37" t="s">
        <v>135</v>
      </c>
      <c r="D43" s="37" t="s">
        <v>52</v>
      </c>
      <c r="E43" s="37" t="s">
        <v>136</v>
      </c>
      <c r="F43" s="37" t="s">
        <v>53</v>
      </c>
      <c r="G43" s="37" t="s">
        <v>84</v>
      </c>
      <c r="H43" s="37" t="s">
        <v>137</v>
      </c>
      <c r="I43" s="38">
        <v>44000</v>
      </c>
      <c r="J43" s="38">
        <v>6000</v>
      </c>
      <c r="K43" s="38">
        <v>50000</v>
      </c>
      <c r="L43" s="38">
        <v>6000</v>
      </c>
      <c r="M43" s="38">
        <v>6000</v>
      </c>
      <c r="N43" s="39">
        <v>0</v>
      </c>
      <c r="O43" s="38" t="s">
        <v>7</v>
      </c>
      <c r="P43" s="38">
        <v>50000</v>
      </c>
      <c r="Q43" s="31"/>
      <c r="R43" s="31"/>
      <c r="S43" s="31"/>
    </row>
    <row r="44" spans="1:19" ht="20.5">
      <c r="A44" s="26">
        <f ca="1">IFERROR(__xludf.DUMMYFUNCTION("""COMPUTED_VALUE"""),38)</f>
        <v>38</v>
      </c>
      <c r="B44" s="27" t="str">
        <f ca="1">IFERROR(__xludf.DUMMYFUNCTION("""COMPUTED_VALUE"""),"🟩 Inbound")</f>
        <v>🟩 Inbound</v>
      </c>
      <c r="C44" s="28" t="s">
        <v>138</v>
      </c>
      <c r="D44" s="28" t="s">
        <v>52</v>
      </c>
      <c r="E44" s="28" t="s">
        <v>139</v>
      </c>
      <c r="F44" s="28" t="s">
        <v>53</v>
      </c>
      <c r="G44" s="28" t="s">
        <v>84</v>
      </c>
      <c r="H44" s="28" t="s">
        <v>140</v>
      </c>
      <c r="I44" s="29">
        <v>63000</v>
      </c>
      <c r="J44" s="29">
        <v>6000</v>
      </c>
      <c r="K44" s="29">
        <v>69000</v>
      </c>
      <c r="L44" s="29">
        <v>6000</v>
      </c>
      <c r="M44" s="29">
        <v>6000</v>
      </c>
      <c r="N44" s="30">
        <v>0</v>
      </c>
      <c r="O44" s="29" t="s">
        <v>7</v>
      </c>
      <c r="P44" s="29">
        <v>69000</v>
      </c>
      <c r="Q44" s="31"/>
      <c r="R44" s="31"/>
      <c r="S44" s="31"/>
    </row>
    <row r="45" spans="1:19" ht="20.5">
      <c r="A45" s="26">
        <f ca="1">IFERROR(__xludf.DUMMYFUNCTION("""COMPUTED_VALUE"""),39)</f>
        <v>39</v>
      </c>
      <c r="B45" s="27" t="str">
        <f ca="1">IFERROR(__xludf.DUMMYFUNCTION("""COMPUTED_VALUE"""),"🟩 Inbound")</f>
        <v>🟩 Inbound</v>
      </c>
      <c r="C45" s="28" t="s">
        <v>141</v>
      </c>
      <c r="D45" s="28" t="s">
        <v>142</v>
      </c>
      <c r="E45" s="28" t="s">
        <v>143</v>
      </c>
      <c r="F45" s="28" t="s">
        <v>144</v>
      </c>
      <c r="G45" s="28" t="s">
        <v>84</v>
      </c>
      <c r="H45" s="28" t="s">
        <v>145</v>
      </c>
      <c r="I45" s="29">
        <v>0</v>
      </c>
      <c r="J45" s="29">
        <v>6000</v>
      </c>
      <c r="K45" s="29">
        <v>6000</v>
      </c>
      <c r="L45" s="29">
        <v>6000</v>
      </c>
      <c r="M45" s="29">
        <v>6000</v>
      </c>
      <c r="N45" s="30">
        <v>10</v>
      </c>
      <c r="O45" s="29">
        <v>3500</v>
      </c>
      <c r="P45" s="29">
        <v>9500</v>
      </c>
      <c r="Q45" s="31"/>
      <c r="R45" s="31"/>
      <c r="S45" s="31"/>
    </row>
    <row r="46" spans="1:19" ht="20.5">
      <c r="A46" s="26">
        <f ca="1">IFERROR(__xludf.DUMMYFUNCTION("""COMPUTED_VALUE"""),40)</f>
        <v>40</v>
      </c>
      <c r="B46" s="27" t="str">
        <f ca="1">IFERROR(__xludf.DUMMYFUNCTION("""COMPUTED_VALUE"""),"🟩 Inbound")</f>
        <v>🟩 Inbound</v>
      </c>
      <c r="C46" s="28" t="s">
        <v>146</v>
      </c>
      <c r="D46" s="28" t="s">
        <v>21</v>
      </c>
      <c r="E46" s="28" t="s">
        <v>147</v>
      </c>
      <c r="F46" s="28" t="s">
        <v>23</v>
      </c>
      <c r="G46" s="28" t="s">
        <v>84</v>
      </c>
      <c r="H46" s="28" t="s">
        <v>148</v>
      </c>
      <c r="I46" s="29">
        <v>0</v>
      </c>
      <c r="J46" s="29">
        <v>6000</v>
      </c>
      <c r="K46" s="29">
        <v>6000</v>
      </c>
      <c r="L46" s="29">
        <v>6000</v>
      </c>
      <c r="M46" s="29">
        <v>6000</v>
      </c>
      <c r="N46" s="30">
        <v>0</v>
      </c>
      <c r="O46" s="29" t="s">
        <v>7</v>
      </c>
      <c r="P46" s="29">
        <v>6000</v>
      </c>
      <c r="Q46" s="31"/>
      <c r="R46" s="31"/>
      <c r="S46" s="31"/>
    </row>
    <row r="47" spans="1:19" ht="20.5">
      <c r="A47" s="26">
        <f ca="1">IFERROR(__xludf.DUMMYFUNCTION("""COMPUTED_VALUE"""),41)</f>
        <v>41</v>
      </c>
      <c r="B47" s="27" t="str">
        <f ca="1">IFERROR(__xludf.DUMMYFUNCTION("""COMPUTED_VALUE"""),"🟩 Inbound")</f>
        <v>🟩 Inbound</v>
      </c>
      <c r="C47" s="28" t="s">
        <v>149</v>
      </c>
      <c r="D47" s="28" t="s">
        <v>38</v>
      </c>
      <c r="E47" s="28" t="s">
        <v>150</v>
      </c>
      <c r="F47" s="28" t="s">
        <v>40</v>
      </c>
      <c r="G47" s="28" t="s">
        <v>84</v>
      </c>
      <c r="H47" s="28" t="s">
        <v>151</v>
      </c>
      <c r="I47" s="29">
        <v>29500</v>
      </c>
      <c r="J47" s="29">
        <v>6000</v>
      </c>
      <c r="K47" s="29">
        <v>35500</v>
      </c>
      <c r="L47" s="29">
        <v>6000</v>
      </c>
      <c r="M47" s="29">
        <v>6000</v>
      </c>
      <c r="N47" s="30">
        <v>0</v>
      </c>
      <c r="O47" s="29" t="s">
        <v>7</v>
      </c>
      <c r="P47" s="29">
        <v>35500</v>
      </c>
      <c r="Q47" s="31"/>
      <c r="R47" s="31"/>
      <c r="S47" s="31"/>
    </row>
    <row r="48" spans="1:19" ht="20.5">
      <c r="A48" s="26">
        <f ca="1">IFERROR(__xludf.DUMMYFUNCTION("""COMPUTED_VALUE"""),42)</f>
        <v>42</v>
      </c>
      <c r="B48" s="27" t="str">
        <f ca="1">IFERROR(__xludf.DUMMYFUNCTION("""COMPUTED_VALUE"""),"🟩 Inbound")</f>
        <v>🟩 Inbound</v>
      </c>
      <c r="C48" s="28" t="s">
        <v>152</v>
      </c>
      <c r="D48" s="28" t="s">
        <v>52</v>
      </c>
      <c r="E48" s="28" t="s">
        <v>153</v>
      </c>
      <c r="F48" s="28" t="s">
        <v>53</v>
      </c>
      <c r="G48" s="28" t="s">
        <v>154</v>
      </c>
      <c r="H48" s="28" t="s">
        <v>155</v>
      </c>
      <c r="I48" s="29">
        <v>62000</v>
      </c>
      <c r="J48" s="29">
        <v>4000</v>
      </c>
      <c r="K48" s="29">
        <v>66000</v>
      </c>
      <c r="L48" s="29">
        <v>4000</v>
      </c>
      <c r="M48" s="29">
        <v>4000</v>
      </c>
      <c r="N48" s="30" t="s">
        <v>7</v>
      </c>
      <c r="O48" s="29">
        <v>66000</v>
      </c>
      <c r="P48" s="29" t="s">
        <v>156</v>
      </c>
      <c r="Q48" s="31"/>
      <c r="R48" s="31"/>
      <c r="S48" s="31"/>
    </row>
    <row r="49" spans="1:19" ht="20.5">
      <c r="A49" s="26">
        <f ca="1">IFERROR(__xludf.DUMMYFUNCTION("""COMPUTED_VALUE"""),43)</f>
        <v>43</v>
      </c>
      <c r="B49" s="27" t="str">
        <f ca="1">IFERROR(__xludf.DUMMYFUNCTION("""COMPUTED_VALUE"""),"🟩 Inbound")</f>
        <v>🟩 Inbound</v>
      </c>
      <c r="C49" s="28" t="s">
        <v>157</v>
      </c>
      <c r="D49" s="28" t="s">
        <v>38</v>
      </c>
      <c r="E49" s="28" t="s">
        <v>158</v>
      </c>
      <c r="F49" s="28" t="s">
        <v>40</v>
      </c>
      <c r="G49" s="28" t="s">
        <v>154</v>
      </c>
      <c r="H49" s="28" t="s">
        <v>159</v>
      </c>
      <c r="I49" s="29">
        <v>25000</v>
      </c>
      <c r="J49" s="29">
        <v>4000</v>
      </c>
      <c r="K49" s="29">
        <v>29000</v>
      </c>
      <c r="L49" s="29">
        <v>4000</v>
      </c>
      <c r="M49" s="29">
        <v>4000</v>
      </c>
      <c r="N49" s="30" t="s">
        <v>7</v>
      </c>
      <c r="O49" s="29">
        <v>29000</v>
      </c>
      <c r="P49" s="29" t="s">
        <v>156</v>
      </c>
      <c r="Q49" s="31"/>
      <c r="R49" s="31"/>
      <c r="S49" s="31"/>
    </row>
    <row r="50" spans="1:19" ht="20.5">
      <c r="A50" s="26">
        <f ca="1">IFERROR(__xludf.DUMMYFUNCTION("""COMPUTED_VALUE"""),44)</f>
        <v>44</v>
      </c>
      <c r="B50" s="27" t="str">
        <f ca="1">IFERROR(__xludf.DUMMYFUNCTION("""COMPUTED_VALUE"""),"🟩 Inbound")</f>
        <v>🟩 Inbound</v>
      </c>
      <c r="C50" s="28" t="s">
        <v>160</v>
      </c>
      <c r="D50" s="28" t="s">
        <v>78</v>
      </c>
      <c r="E50" s="28" t="s">
        <v>161</v>
      </c>
      <c r="F50" s="28" t="s">
        <v>80</v>
      </c>
      <c r="G50" s="28" t="s">
        <v>10</v>
      </c>
      <c r="H50" s="28" t="s">
        <v>162</v>
      </c>
      <c r="I50" s="29">
        <v>354000</v>
      </c>
      <c r="J50" s="29">
        <v>6000</v>
      </c>
      <c r="K50" s="29">
        <v>360000</v>
      </c>
      <c r="L50" s="29">
        <v>6000</v>
      </c>
      <c r="M50" s="29">
        <v>6000</v>
      </c>
      <c r="N50" s="30">
        <v>4</v>
      </c>
      <c r="O50" s="29">
        <v>500</v>
      </c>
      <c r="P50" s="29">
        <v>360500</v>
      </c>
      <c r="Q50" s="31"/>
      <c r="R50" s="31"/>
      <c r="S50" s="31"/>
    </row>
    <row r="51" spans="1:19" ht="20.5">
      <c r="A51" s="26">
        <f ca="1">IFERROR(__xludf.DUMMYFUNCTION("""COMPUTED_VALUE"""),45)</f>
        <v>45</v>
      </c>
      <c r="B51" s="27" t="str">
        <f ca="1">IFERROR(__xludf.DUMMYFUNCTION("""COMPUTED_VALUE"""),"🟩 Inbound")</f>
        <v>🟩 Inbound</v>
      </c>
      <c r="C51" s="28" t="s">
        <v>163</v>
      </c>
      <c r="D51" s="28" t="s">
        <v>164</v>
      </c>
      <c r="E51" s="28" t="s">
        <v>165</v>
      </c>
      <c r="F51" s="28" t="s">
        <v>166</v>
      </c>
      <c r="G51" s="28" t="s">
        <v>10</v>
      </c>
      <c r="H51" s="28" t="s">
        <v>167</v>
      </c>
      <c r="I51" s="29">
        <v>441000</v>
      </c>
      <c r="J51" s="29">
        <v>0</v>
      </c>
      <c r="K51" s="29">
        <v>441000</v>
      </c>
      <c r="L51" s="29">
        <v>6000</v>
      </c>
      <c r="M51" s="29" t="s">
        <v>7</v>
      </c>
      <c r="N51" s="30">
        <v>7</v>
      </c>
      <c r="O51" s="29">
        <v>12000</v>
      </c>
      <c r="P51" s="29">
        <v>453000</v>
      </c>
      <c r="Q51" s="31"/>
      <c r="R51" s="31"/>
      <c r="S51" s="31"/>
    </row>
    <row r="52" spans="1:19" ht="20.5">
      <c r="A52" s="26">
        <f ca="1">IFERROR(__xludf.DUMMYFUNCTION("""COMPUTED_VALUE"""),46)</f>
        <v>46</v>
      </c>
      <c r="B52" s="27" t="str">
        <f ca="1">IFERROR(__xludf.DUMMYFUNCTION("""COMPUTED_VALUE"""),"🟩 Inbound")</f>
        <v>🟩 Inbound</v>
      </c>
      <c r="C52" s="28" t="s">
        <v>168</v>
      </c>
      <c r="D52" s="28" t="s">
        <v>169</v>
      </c>
      <c r="E52" s="28" t="s">
        <v>170</v>
      </c>
      <c r="F52" s="28" t="s">
        <v>171</v>
      </c>
      <c r="G52" s="28" t="s">
        <v>172</v>
      </c>
      <c r="H52" s="28" t="s">
        <v>173</v>
      </c>
      <c r="I52" s="29">
        <v>172500</v>
      </c>
      <c r="J52" s="29">
        <v>4000</v>
      </c>
      <c r="K52" s="29">
        <v>176500</v>
      </c>
      <c r="L52" s="29">
        <v>4000</v>
      </c>
      <c r="M52" s="29">
        <v>4000</v>
      </c>
      <c r="N52" s="30">
        <v>0</v>
      </c>
      <c r="O52" s="29" t="s">
        <v>7</v>
      </c>
      <c r="P52" s="29">
        <v>176500</v>
      </c>
      <c r="Q52" s="31"/>
      <c r="R52" s="31"/>
      <c r="S52" s="31"/>
    </row>
    <row r="53" spans="1:19" ht="20.5">
      <c r="A53" s="26">
        <f ca="1">IFERROR(__xludf.DUMMYFUNCTION("""COMPUTED_VALUE"""),47)</f>
        <v>47</v>
      </c>
      <c r="B53" s="27" t="str">
        <f ca="1">IFERROR(__xludf.DUMMYFUNCTION("""COMPUTED_VALUE"""),"🟩 Inbound")</f>
        <v>🟩 Inbound</v>
      </c>
      <c r="C53" s="28" t="s">
        <v>174</v>
      </c>
      <c r="D53" s="28" t="s">
        <v>175</v>
      </c>
      <c r="E53" s="28" t="s">
        <v>176</v>
      </c>
      <c r="F53" s="28" t="s">
        <v>177</v>
      </c>
      <c r="G53" s="28" t="s">
        <v>178</v>
      </c>
      <c r="H53" s="28" t="s">
        <v>179</v>
      </c>
      <c r="I53" s="29">
        <v>0</v>
      </c>
      <c r="J53" s="29">
        <v>4000</v>
      </c>
      <c r="K53" s="29">
        <v>4000</v>
      </c>
      <c r="L53" s="29">
        <v>4000</v>
      </c>
      <c r="M53" s="29">
        <v>4000</v>
      </c>
      <c r="N53" s="30" t="s">
        <v>7</v>
      </c>
      <c r="O53" s="29">
        <v>0</v>
      </c>
      <c r="P53" s="29">
        <v>4000</v>
      </c>
      <c r="Q53" s="31"/>
      <c r="R53" s="31"/>
      <c r="S53" s="31"/>
    </row>
    <row r="54" spans="1:19" ht="20.5">
      <c r="A54" s="26">
        <f ca="1">IFERROR(__xludf.DUMMYFUNCTION("""COMPUTED_VALUE"""),48)</f>
        <v>48</v>
      </c>
      <c r="B54" s="27" t="str">
        <f ca="1">IFERROR(__xludf.DUMMYFUNCTION("""COMPUTED_VALUE"""),"🟩 Inbound")</f>
        <v>🟩 Inbound</v>
      </c>
      <c r="C54" s="28" t="s">
        <v>180</v>
      </c>
      <c r="D54" s="28" t="s">
        <v>38</v>
      </c>
      <c r="E54" s="28" t="s">
        <v>181</v>
      </c>
      <c r="F54" s="28" t="s">
        <v>40</v>
      </c>
      <c r="G54" s="28" t="s">
        <v>178</v>
      </c>
      <c r="H54" s="28" t="s">
        <v>182</v>
      </c>
      <c r="I54" s="29">
        <v>200600</v>
      </c>
      <c r="J54" s="29">
        <v>4000</v>
      </c>
      <c r="K54" s="29">
        <v>204600</v>
      </c>
      <c r="L54" s="29">
        <v>4000</v>
      </c>
      <c r="M54" s="29">
        <v>4000</v>
      </c>
      <c r="N54" s="30" t="s">
        <v>7</v>
      </c>
      <c r="O54" s="29">
        <v>0</v>
      </c>
      <c r="P54" s="29">
        <v>204600</v>
      </c>
      <c r="Q54" s="31"/>
      <c r="R54" s="31"/>
      <c r="S54" s="31"/>
    </row>
    <row r="55" spans="1:19" ht="20.5">
      <c r="A55" s="26">
        <f ca="1">IFERROR(__xludf.DUMMYFUNCTION("""COMPUTED_VALUE"""),49)</f>
        <v>49</v>
      </c>
      <c r="B55" s="27" t="str">
        <f ca="1">IFERROR(__xludf.DUMMYFUNCTION("""COMPUTED_VALUE"""),"🟩 Inbound")</f>
        <v>🟩 Inbound</v>
      </c>
      <c r="C55" s="28" t="s">
        <v>183</v>
      </c>
      <c r="D55" s="28" t="s">
        <v>142</v>
      </c>
      <c r="E55" s="28" t="s">
        <v>184</v>
      </c>
      <c r="F55" s="28" t="s">
        <v>144</v>
      </c>
      <c r="G55" s="28" t="s">
        <v>185</v>
      </c>
      <c r="H55" s="28" t="s">
        <v>186</v>
      </c>
      <c r="I55" s="29">
        <v>18000</v>
      </c>
      <c r="J55" s="29">
        <v>4500</v>
      </c>
      <c r="K55" s="29">
        <v>22500</v>
      </c>
      <c r="L55" s="29">
        <v>4500</v>
      </c>
      <c r="M55" s="29">
        <v>4500</v>
      </c>
      <c r="N55" s="30" t="s">
        <v>7</v>
      </c>
      <c r="O55" s="29">
        <v>22500</v>
      </c>
      <c r="P55" s="29" t="s">
        <v>187</v>
      </c>
      <c r="Q55" s="31"/>
      <c r="R55" s="31"/>
      <c r="S55" s="31"/>
    </row>
    <row r="56" spans="1:19" ht="20.5">
      <c r="A56" s="26">
        <f ca="1">IFERROR(__xludf.DUMMYFUNCTION("""COMPUTED_VALUE"""),50)</f>
        <v>50</v>
      </c>
      <c r="B56" s="27" t="str">
        <f ca="1">IFERROR(__xludf.DUMMYFUNCTION("""COMPUTED_VALUE"""),"🟩 Inbound")</f>
        <v>🟩 Inbound</v>
      </c>
      <c r="C56" s="28" t="s">
        <v>188</v>
      </c>
      <c r="D56" s="28" t="s">
        <v>21</v>
      </c>
      <c r="E56" s="28" t="s">
        <v>189</v>
      </c>
      <c r="F56" s="28" t="s">
        <v>23</v>
      </c>
      <c r="G56" s="28" t="s">
        <v>190</v>
      </c>
      <c r="H56" s="28" t="s">
        <v>191</v>
      </c>
      <c r="I56" s="29">
        <v>0</v>
      </c>
      <c r="J56" s="29">
        <v>6000</v>
      </c>
      <c r="K56" s="29">
        <v>6000</v>
      </c>
      <c r="L56" s="29">
        <v>6000</v>
      </c>
      <c r="M56" s="29">
        <v>6000</v>
      </c>
      <c r="N56" s="30">
        <v>0</v>
      </c>
      <c r="O56" s="29" t="s">
        <v>7</v>
      </c>
      <c r="P56" s="29">
        <v>6000</v>
      </c>
      <c r="Q56" s="31"/>
      <c r="R56" s="31"/>
      <c r="S56" s="31"/>
    </row>
    <row r="57" spans="1:19" ht="20.5">
      <c r="A57" s="26">
        <f ca="1">IFERROR(__xludf.DUMMYFUNCTION("""COMPUTED_VALUE"""),51)</f>
        <v>51</v>
      </c>
      <c r="B57" s="27" t="str">
        <f ca="1">IFERROR(__xludf.DUMMYFUNCTION("""COMPUTED_VALUE"""),"🟩 Inbound")</f>
        <v>🟩 Inbound</v>
      </c>
      <c r="C57" s="28" t="s">
        <v>192</v>
      </c>
      <c r="D57" s="28" t="s">
        <v>193</v>
      </c>
      <c r="E57" s="28" t="s">
        <v>194</v>
      </c>
      <c r="F57" s="28" t="s">
        <v>195</v>
      </c>
      <c r="G57" s="28" t="s">
        <v>196</v>
      </c>
      <c r="H57" s="28" t="s">
        <v>197</v>
      </c>
      <c r="I57" s="29">
        <v>0</v>
      </c>
      <c r="J57" s="29">
        <v>4500</v>
      </c>
      <c r="K57" s="29">
        <v>4500</v>
      </c>
      <c r="L57" s="29">
        <v>4500</v>
      </c>
      <c r="M57" s="29">
        <v>4500</v>
      </c>
      <c r="N57" s="30">
        <v>0</v>
      </c>
      <c r="O57" s="29" t="s">
        <v>7</v>
      </c>
      <c r="P57" s="29">
        <v>4500</v>
      </c>
      <c r="Q57" s="31"/>
      <c r="R57" s="31"/>
      <c r="S57" s="31"/>
    </row>
    <row r="58" spans="1:19" ht="20.5">
      <c r="A58" s="26">
        <f ca="1">IFERROR(__xludf.DUMMYFUNCTION("""COMPUTED_VALUE"""),52)</f>
        <v>52</v>
      </c>
      <c r="B58" s="27" t="str">
        <f ca="1">IFERROR(__xludf.DUMMYFUNCTION("""COMPUTED_VALUE"""),"🟩 Inbound")</f>
        <v>🟩 Inbound</v>
      </c>
      <c r="C58" s="28" t="s">
        <v>198</v>
      </c>
      <c r="D58" s="28" t="s">
        <v>164</v>
      </c>
      <c r="E58" s="28" t="s">
        <v>199</v>
      </c>
      <c r="F58" s="28" t="s">
        <v>166</v>
      </c>
      <c r="G58" s="28" t="s">
        <v>200</v>
      </c>
      <c r="H58" s="28" t="s">
        <v>201</v>
      </c>
      <c r="I58" s="29">
        <v>0</v>
      </c>
      <c r="J58" s="29">
        <v>4000</v>
      </c>
      <c r="K58" s="29">
        <v>4000</v>
      </c>
      <c r="L58" s="29">
        <v>4000</v>
      </c>
      <c r="M58" s="29">
        <v>4000</v>
      </c>
      <c r="N58" s="30">
        <v>4</v>
      </c>
      <c r="O58" s="29">
        <v>500</v>
      </c>
      <c r="P58" s="29">
        <v>4500</v>
      </c>
      <c r="Q58" s="31"/>
      <c r="R58" s="31"/>
      <c r="S58" s="31"/>
    </row>
    <row r="59" spans="1:19" ht="20.5">
      <c r="A59" s="26">
        <f ca="1">IFERROR(__xludf.DUMMYFUNCTION("""COMPUTED_VALUE"""),53)</f>
        <v>53</v>
      </c>
      <c r="B59" s="27" t="str">
        <f ca="1">IFERROR(__xludf.DUMMYFUNCTION("""COMPUTED_VALUE"""),"🟩 Inbound")</f>
        <v>🟩 Inbound</v>
      </c>
      <c r="C59" s="28" t="s">
        <v>202</v>
      </c>
      <c r="D59" s="28" t="s">
        <v>47</v>
      </c>
      <c r="E59" s="28" t="s">
        <v>203</v>
      </c>
      <c r="F59" s="28" t="s">
        <v>49</v>
      </c>
      <c r="G59" s="28" t="s">
        <v>200</v>
      </c>
      <c r="H59" s="28" t="s">
        <v>204</v>
      </c>
      <c r="I59" s="29">
        <v>47000</v>
      </c>
      <c r="J59" s="29">
        <v>4000</v>
      </c>
      <c r="K59" s="29">
        <v>51000</v>
      </c>
      <c r="L59" s="29">
        <v>4000</v>
      </c>
      <c r="M59" s="29">
        <v>4000</v>
      </c>
      <c r="N59" s="30">
        <v>0</v>
      </c>
      <c r="O59" s="29" t="s">
        <v>7</v>
      </c>
      <c r="P59" s="29">
        <v>51000</v>
      </c>
      <c r="Q59" s="31"/>
      <c r="R59" s="31"/>
      <c r="S59" s="31"/>
    </row>
    <row r="60" spans="1:19" ht="20.5">
      <c r="A60" s="26">
        <f ca="1">IFERROR(__xludf.DUMMYFUNCTION("""COMPUTED_VALUE"""),54)</f>
        <v>54</v>
      </c>
      <c r="B60" s="27" t="str">
        <f ca="1">IFERROR(__xludf.DUMMYFUNCTION("""COMPUTED_VALUE"""),"🟩 Inbound")</f>
        <v>🟩 Inbound</v>
      </c>
      <c r="C60" s="28" t="s">
        <v>205</v>
      </c>
      <c r="D60" s="28" t="s">
        <v>26</v>
      </c>
      <c r="E60" s="28" t="s">
        <v>206</v>
      </c>
      <c r="F60" s="28" t="s">
        <v>28</v>
      </c>
      <c r="G60" s="28" t="s">
        <v>200</v>
      </c>
      <c r="H60" s="28" t="s">
        <v>207</v>
      </c>
      <c r="I60" s="29">
        <v>25000</v>
      </c>
      <c r="J60" s="29">
        <v>4000</v>
      </c>
      <c r="K60" s="29">
        <v>29000</v>
      </c>
      <c r="L60" s="29">
        <v>4000</v>
      </c>
      <c r="M60" s="29">
        <v>4000</v>
      </c>
      <c r="N60" s="30">
        <v>0</v>
      </c>
      <c r="O60" s="29" t="s">
        <v>7</v>
      </c>
      <c r="P60" s="29">
        <v>29000</v>
      </c>
      <c r="Q60" s="31"/>
      <c r="R60" s="31"/>
      <c r="S60" s="31"/>
    </row>
    <row r="61" spans="1:19" ht="20.5">
      <c r="A61" s="26">
        <f ca="1">IFERROR(__xludf.DUMMYFUNCTION("""COMPUTED_VALUE"""),55)</f>
        <v>55</v>
      </c>
      <c r="B61" s="27" t="str">
        <f ca="1">IFERROR(__xludf.DUMMYFUNCTION("""COMPUTED_VALUE"""),"🟩 Inbound")</f>
        <v>🟩 Inbound</v>
      </c>
      <c r="C61" s="28" t="s">
        <v>208</v>
      </c>
      <c r="D61" s="28" t="s">
        <v>209</v>
      </c>
      <c r="E61" s="28" t="s">
        <v>210</v>
      </c>
      <c r="F61" s="28" t="s">
        <v>211</v>
      </c>
      <c r="G61" s="28" t="s">
        <v>212</v>
      </c>
      <c r="H61" s="28" t="s">
        <v>213</v>
      </c>
      <c r="I61" s="29">
        <v>152100</v>
      </c>
      <c r="J61" s="29">
        <v>0</v>
      </c>
      <c r="K61" s="29">
        <v>152100</v>
      </c>
      <c r="L61" s="29">
        <v>4000</v>
      </c>
      <c r="M61" s="29" t="s">
        <v>7</v>
      </c>
      <c r="N61" s="30">
        <v>5</v>
      </c>
      <c r="O61" s="29">
        <v>1000</v>
      </c>
      <c r="P61" s="29">
        <v>153100</v>
      </c>
      <c r="Q61" s="31"/>
      <c r="R61" s="31"/>
      <c r="S61" s="31"/>
    </row>
    <row r="62" spans="1:19" ht="20.5">
      <c r="A62" s="26">
        <f ca="1">IFERROR(__xludf.DUMMYFUNCTION("""COMPUTED_VALUE"""),56)</f>
        <v>56</v>
      </c>
      <c r="B62" s="27" t="str">
        <f ca="1">IFERROR(__xludf.DUMMYFUNCTION("""COMPUTED_VALUE"""),"🟩 Inbound")</f>
        <v>🟩 Inbound</v>
      </c>
      <c r="C62" s="28" t="s">
        <v>214</v>
      </c>
      <c r="D62" s="28" t="s">
        <v>78</v>
      </c>
      <c r="E62" s="28" t="s">
        <v>215</v>
      </c>
      <c r="F62" s="28" t="s">
        <v>80</v>
      </c>
      <c r="G62" s="28" t="s">
        <v>216</v>
      </c>
      <c r="H62" s="28" t="s">
        <v>217</v>
      </c>
      <c r="I62" s="29">
        <v>156000</v>
      </c>
      <c r="J62" s="29">
        <v>4000</v>
      </c>
      <c r="K62" s="29">
        <v>160000</v>
      </c>
      <c r="L62" s="29">
        <v>4000</v>
      </c>
      <c r="M62" s="29">
        <v>4000</v>
      </c>
      <c r="N62" s="30">
        <v>0</v>
      </c>
      <c r="O62" s="29" t="s">
        <v>7</v>
      </c>
      <c r="P62" s="29">
        <v>160000</v>
      </c>
      <c r="Q62" s="31"/>
      <c r="R62" s="31"/>
      <c r="S62" s="31"/>
    </row>
    <row r="63" spans="1:19" ht="20.5">
      <c r="A63" s="26">
        <f ca="1">IFERROR(__xludf.DUMMYFUNCTION("""COMPUTED_VALUE"""),57)</f>
        <v>57</v>
      </c>
      <c r="B63" s="27" t="str">
        <f ca="1">IFERROR(__xludf.DUMMYFUNCTION("""COMPUTED_VALUE"""),"🟩 Inbound")</f>
        <v>🟩 Inbound</v>
      </c>
      <c r="C63" s="28" t="s">
        <v>218</v>
      </c>
      <c r="D63" s="28" t="s">
        <v>21</v>
      </c>
      <c r="E63" s="28" t="s">
        <v>219</v>
      </c>
      <c r="F63" s="28" t="s">
        <v>23</v>
      </c>
      <c r="G63" s="28" t="s">
        <v>216</v>
      </c>
      <c r="H63" s="28" t="s">
        <v>220</v>
      </c>
      <c r="I63" s="29">
        <v>22000</v>
      </c>
      <c r="J63" s="29">
        <v>4000</v>
      </c>
      <c r="K63" s="29">
        <v>26000</v>
      </c>
      <c r="L63" s="29">
        <v>4000</v>
      </c>
      <c r="M63" s="29">
        <v>4000</v>
      </c>
      <c r="N63" s="30">
        <v>0</v>
      </c>
      <c r="O63" s="29" t="s">
        <v>7</v>
      </c>
      <c r="P63" s="29">
        <v>26000</v>
      </c>
      <c r="Q63" s="31"/>
      <c r="R63" s="31"/>
      <c r="S63" s="31"/>
    </row>
    <row r="64" spans="1:19" ht="20.5">
      <c r="A64" s="26">
        <f ca="1">IFERROR(__xludf.DUMMYFUNCTION("""COMPUTED_VALUE"""),58)</f>
        <v>58</v>
      </c>
      <c r="B64" s="27" t="str">
        <f ca="1">IFERROR(__xludf.DUMMYFUNCTION("""COMPUTED_VALUE"""),"🟩 Inbound")</f>
        <v>🟩 Inbound</v>
      </c>
      <c r="C64" s="28" t="s">
        <v>221</v>
      </c>
      <c r="D64" s="28" t="s">
        <v>21</v>
      </c>
      <c r="E64" s="28" t="s">
        <v>222</v>
      </c>
      <c r="F64" s="28" t="s">
        <v>23</v>
      </c>
      <c r="G64" s="28" t="s">
        <v>216</v>
      </c>
      <c r="H64" s="28" t="s">
        <v>223</v>
      </c>
      <c r="I64" s="29">
        <v>96500</v>
      </c>
      <c r="J64" s="29">
        <v>4000</v>
      </c>
      <c r="K64" s="29">
        <v>100500</v>
      </c>
      <c r="L64" s="29">
        <v>4000</v>
      </c>
      <c r="M64" s="29">
        <v>4000</v>
      </c>
      <c r="N64" s="30">
        <v>0</v>
      </c>
      <c r="O64" s="29" t="s">
        <v>7</v>
      </c>
      <c r="P64" s="29">
        <v>100500</v>
      </c>
      <c r="Q64" s="31"/>
      <c r="R64" s="31"/>
      <c r="S64" s="31"/>
    </row>
    <row r="65" spans="1:19" ht="20.5">
      <c r="A65" s="26">
        <f ca="1">IFERROR(__xludf.DUMMYFUNCTION("""COMPUTED_VALUE"""),59)</f>
        <v>59</v>
      </c>
      <c r="B65" s="27" t="str">
        <f ca="1">IFERROR(__xludf.DUMMYFUNCTION("""COMPUTED_VALUE"""),"🟩 Inbound")</f>
        <v>🟩 Inbound</v>
      </c>
      <c r="C65" s="28" t="s">
        <v>224</v>
      </c>
      <c r="D65" s="28" t="s">
        <v>47</v>
      </c>
      <c r="E65" s="28" t="s">
        <v>225</v>
      </c>
      <c r="F65" s="28" t="s">
        <v>49</v>
      </c>
      <c r="G65" s="28" t="s">
        <v>216</v>
      </c>
      <c r="H65" s="28" t="s">
        <v>226</v>
      </c>
      <c r="I65" s="29">
        <v>10500</v>
      </c>
      <c r="J65" s="29">
        <v>4000</v>
      </c>
      <c r="K65" s="29">
        <v>14500</v>
      </c>
      <c r="L65" s="29">
        <v>4000</v>
      </c>
      <c r="M65" s="29">
        <v>4000</v>
      </c>
      <c r="N65" s="30">
        <v>6</v>
      </c>
      <c r="O65" s="29">
        <v>1500</v>
      </c>
      <c r="P65" s="29">
        <v>16000</v>
      </c>
      <c r="Q65" s="31"/>
      <c r="R65" s="31"/>
      <c r="S65" s="31"/>
    </row>
    <row r="66" spans="1:19" ht="20.5">
      <c r="A66" s="26">
        <f ca="1">IFERROR(__xludf.DUMMYFUNCTION("""COMPUTED_VALUE"""),60)</f>
        <v>60</v>
      </c>
      <c r="B66" s="27" t="str">
        <f ca="1">IFERROR(__xludf.DUMMYFUNCTION("""COMPUTED_VALUE"""),"🟩 Inbound")</f>
        <v>🟩 Inbound</v>
      </c>
      <c r="C66" s="28" t="s">
        <v>227</v>
      </c>
      <c r="D66" s="28" t="s">
        <v>228</v>
      </c>
      <c r="E66" s="28" t="s">
        <v>229</v>
      </c>
      <c r="F66" s="28" t="s">
        <v>230</v>
      </c>
      <c r="G66" s="28" t="s">
        <v>216</v>
      </c>
      <c r="H66" s="28" t="s">
        <v>231</v>
      </c>
      <c r="I66" s="29">
        <v>0</v>
      </c>
      <c r="J66" s="29">
        <v>4000</v>
      </c>
      <c r="K66" s="29">
        <v>4000</v>
      </c>
      <c r="L66" s="29">
        <v>4000</v>
      </c>
      <c r="M66" s="29">
        <v>4000</v>
      </c>
      <c r="N66" s="30">
        <v>0</v>
      </c>
      <c r="O66" s="29" t="s">
        <v>7</v>
      </c>
      <c r="P66" s="29">
        <v>4000</v>
      </c>
      <c r="Q66" s="31"/>
      <c r="R66" s="31"/>
      <c r="S66" s="31"/>
    </row>
    <row r="67" spans="1:19" ht="20.5">
      <c r="A67" s="26">
        <f ca="1">IFERROR(__xludf.DUMMYFUNCTION("""COMPUTED_VALUE"""),61)</f>
        <v>61</v>
      </c>
      <c r="B67" s="27" t="str">
        <f ca="1">IFERROR(__xludf.DUMMYFUNCTION("""COMPUTED_VALUE"""),"🟩 Inbound")</f>
        <v>🟩 Inbound</v>
      </c>
      <c r="C67" s="28" t="s">
        <v>232</v>
      </c>
      <c r="D67" s="28" t="s">
        <v>21</v>
      </c>
      <c r="E67" s="28" t="s">
        <v>233</v>
      </c>
      <c r="F67" s="28" t="s">
        <v>23</v>
      </c>
      <c r="G67" s="28" t="s">
        <v>216</v>
      </c>
      <c r="H67" s="28" t="s">
        <v>234</v>
      </c>
      <c r="I67" s="29">
        <v>0</v>
      </c>
      <c r="J67" s="29">
        <v>4000</v>
      </c>
      <c r="K67" s="29">
        <v>4000</v>
      </c>
      <c r="L67" s="29">
        <v>4000</v>
      </c>
      <c r="M67" s="29">
        <v>4000</v>
      </c>
      <c r="N67" s="30">
        <v>0</v>
      </c>
      <c r="O67" s="29" t="s">
        <v>7</v>
      </c>
      <c r="P67" s="29">
        <v>4000</v>
      </c>
      <c r="Q67" s="31"/>
      <c r="R67" s="31"/>
      <c r="S67" s="31"/>
    </row>
    <row r="68" spans="1:19" ht="20.5">
      <c r="A68" s="26">
        <f ca="1">IFERROR(__xludf.DUMMYFUNCTION("""COMPUTED_VALUE"""),62)</f>
        <v>62</v>
      </c>
      <c r="B68" s="27" t="str">
        <f ca="1">IFERROR(__xludf.DUMMYFUNCTION("""COMPUTED_VALUE"""),"🟩 Inbound")</f>
        <v>🟩 Inbound</v>
      </c>
      <c r="C68" s="28" t="s">
        <v>235</v>
      </c>
      <c r="D68" s="28" t="s">
        <v>78</v>
      </c>
      <c r="E68" s="28" t="s">
        <v>236</v>
      </c>
      <c r="F68" s="28" t="s">
        <v>80</v>
      </c>
      <c r="G68" s="28">
        <v>0</v>
      </c>
      <c r="H68" s="28" t="s">
        <v>237</v>
      </c>
      <c r="I68" s="29">
        <v>0</v>
      </c>
      <c r="J68" s="29">
        <v>0</v>
      </c>
      <c r="K68" s="29">
        <v>0</v>
      </c>
      <c r="L68" s="29">
        <v>0</v>
      </c>
      <c r="M68" s="29" t="s">
        <v>7</v>
      </c>
      <c r="N68" s="30">
        <v>0</v>
      </c>
      <c r="O68" s="29" t="s">
        <v>7</v>
      </c>
      <c r="P68" s="29" t="s">
        <v>7</v>
      </c>
      <c r="Q68" s="31"/>
      <c r="R68" s="31"/>
      <c r="S68" s="31"/>
    </row>
    <row r="69" spans="1:19" ht="20.5">
      <c r="A69" s="26">
        <f ca="1">IFERROR(__xludf.DUMMYFUNCTION("""COMPUTED_VALUE"""),63)</f>
        <v>63</v>
      </c>
      <c r="B69" s="27" t="str">
        <f ca="1">IFERROR(__xludf.DUMMYFUNCTION("""COMPUTED_VALUE"""),"🟩 Inbound")</f>
        <v>🟩 Inbound</v>
      </c>
      <c r="C69" s="28" t="s">
        <v>238</v>
      </c>
      <c r="D69" s="28" t="s">
        <v>21</v>
      </c>
      <c r="E69" s="28" t="s">
        <v>239</v>
      </c>
      <c r="F69" s="28" t="s">
        <v>23</v>
      </c>
      <c r="G69" s="28">
        <v>0</v>
      </c>
      <c r="H69" s="28">
        <v>0</v>
      </c>
      <c r="I69" s="29">
        <v>20500</v>
      </c>
      <c r="J69" s="29">
        <v>6000</v>
      </c>
      <c r="K69" s="29">
        <v>26500</v>
      </c>
      <c r="L69" s="29">
        <v>0</v>
      </c>
      <c r="M69" s="29">
        <v>6000</v>
      </c>
      <c r="N69" s="30">
        <v>0</v>
      </c>
      <c r="O69" s="29" t="s">
        <v>7</v>
      </c>
      <c r="P69" s="29">
        <v>26500</v>
      </c>
      <c r="Q69" s="31"/>
      <c r="R69" s="31"/>
      <c r="S69" s="31"/>
    </row>
    <row r="70" spans="1:19" ht="20.5">
      <c r="A70" s="26">
        <f ca="1">IFERROR(__xludf.DUMMYFUNCTION("""COMPUTED_VALUE"""),64)</f>
        <v>64</v>
      </c>
      <c r="B70" s="27" t="str">
        <f ca="1">IFERROR(__xludf.DUMMYFUNCTION("""COMPUTED_VALUE"""),"🟩 Inbound")</f>
        <v>🟩 Inbound</v>
      </c>
      <c r="C70" s="28" t="s">
        <v>240</v>
      </c>
      <c r="D70" s="28" t="s">
        <v>241</v>
      </c>
      <c r="E70" s="28" t="s">
        <v>242</v>
      </c>
      <c r="F70" s="28" t="s">
        <v>243</v>
      </c>
      <c r="G70" s="28" t="s">
        <v>244</v>
      </c>
      <c r="H70" s="28" t="s">
        <v>245</v>
      </c>
      <c r="I70" s="29">
        <v>577200</v>
      </c>
      <c r="J70" s="29">
        <v>5000</v>
      </c>
      <c r="K70" s="29">
        <v>582200</v>
      </c>
      <c r="L70" s="29" t="s">
        <v>7</v>
      </c>
      <c r="M70" s="29">
        <v>5000</v>
      </c>
      <c r="N70" s="30">
        <v>11</v>
      </c>
      <c r="O70" s="29">
        <v>4000</v>
      </c>
      <c r="P70" s="29">
        <v>586200</v>
      </c>
      <c r="Q70" s="31"/>
      <c r="R70" s="31"/>
      <c r="S70" s="31"/>
    </row>
    <row r="71" spans="1:19" ht="20.5">
      <c r="A71" s="26">
        <f ca="1">IFERROR(__xludf.DUMMYFUNCTION("""COMPUTED_VALUE"""),65)</f>
        <v>65</v>
      </c>
      <c r="B71" s="27" t="str">
        <f ca="1">IFERROR(__xludf.DUMMYFUNCTION("""COMPUTED_VALUE"""),"🟩 Inbound")</f>
        <v>🟩 Inbound</v>
      </c>
      <c r="C71" s="28" t="s">
        <v>246</v>
      </c>
      <c r="D71" s="28" t="s">
        <v>21</v>
      </c>
      <c r="E71" s="28" t="s">
        <v>247</v>
      </c>
      <c r="F71" s="28" t="s">
        <v>23</v>
      </c>
      <c r="G71" s="28" t="s">
        <v>244</v>
      </c>
      <c r="H71" s="28" t="s">
        <v>248</v>
      </c>
      <c r="I71" s="29">
        <v>38500</v>
      </c>
      <c r="J71" s="29">
        <v>5000</v>
      </c>
      <c r="K71" s="29">
        <v>43500</v>
      </c>
      <c r="L71" s="29">
        <v>0</v>
      </c>
      <c r="M71" s="29">
        <v>5000</v>
      </c>
      <c r="N71" s="30">
        <v>0</v>
      </c>
      <c r="O71" s="29" t="s">
        <v>7</v>
      </c>
      <c r="P71" s="29">
        <v>43500</v>
      </c>
      <c r="Q71" s="31"/>
      <c r="R71" s="31"/>
      <c r="S71" s="31"/>
    </row>
    <row r="72" spans="1:19" ht="20.5">
      <c r="A72" s="26">
        <f ca="1">IFERROR(__xludf.DUMMYFUNCTION("""COMPUTED_VALUE"""),66)</f>
        <v>66</v>
      </c>
      <c r="B72" s="27" t="str">
        <f ca="1">IFERROR(__xludf.DUMMYFUNCTION("""COMPUTED_VALUE"""),"🟩 Inbound")</f>
        <v>🟩 Inbound</v>
      </c>
      <c r="C72" s="28" t="s">
        <v>249</v>
      </c>
      <c r="D72" s="28" t="s">
        <v>250</v>
      </c>
      <c r="E72" s="28" t="s">
        <v>251</v>
      </c>
      <c r="F72" s="28" t="s">
        <v>252</v>
      </c>
      <c r="G72" s="28" t="s">
        <v>253</v>
      </c>
      <c r="H72" s="28" t="s">
        <v>254</v>
      </c>
      <c r="I72" s="29">
        <v>109200</v>
      </c>
      <c r="J72" s="29">
        <v>4000</v>
      </c>
      <c r="K72" s="29">
        <v>113200</v>
      </c>
      <c r="L72" s="29">
        <v>4000</v>
      </c>
      <c r="M72" s="29">
        <v>4000</v>
      </c>
      <c r="N72" s="30">
        <v>0</v>
      </c>
      <c r="O72" s="29" t="s">
        <v>7</v>
      </c>
      <c r="P72" s="29">
        <v>113200</v>
      </c>
      <c r="Q72" s="31"/>
      <c r="R72" s="31"/>
      <c r="S72" s="31"/>
    </row>
    <row r="73" spans="1:19" ht="20.5">
      <c r="A73" s="26">
        <f ca="1">IFERROR(__xludf.DUMMYFUNCTION("""COMPUTED_VALUE"""),67)</f>
        <v>67</v>
      </c>
      <c r="B73" s="27" t="str">
        <f ca="1">IFERROR(__xludf.DUMMYFUNCTION("""COMPUTED_VALUE"""),"🟩 Inbound")</f>
        <v>🟩 Inbound</v>
      </c>
      <c r="C73" s="28" t="s">
        <v>255</v>
      </c>
      <c r="D73" s="28" t="s">
        <v>26</v>
      </c>
      <c r="E73" s="28" t="s">
        <v>256</v>
      </c>
      <c r="F73" s="28" t="s">
        <v>28</v>
      </c>
      <c r="G73" s="28" t="s">
        <v>196</v>
      </c>
      <c r="H73" s="28" t="s">
        <v>257</v>
      </c>
      <c r="I73" s="29">
        <v>14500</v>
      </c>
      <c r="J73" s="29">
        <v>4500</v>
      </c>
      <c r="K73" s="29">
        <v>19000</v>
      </c>
      <c r="L73" s="29">
        <v>4500</v>
      </c>
      <c r="M73" s="29">
        <v>4500</v>
      </c>
      <c r="N73" s="30">
        <v>0</v>
      </c>
      <c r="O73" s="29" t="s">
        <v>7</v>
      </c>
      <c r="P73" s="29">
        <v>19000</v>
      </c>
      <c r="Q73" s="31"/>
      <c r="R73" s="31"/>
      <c r="S73" s="31"/>
    </row>
    <row r="74" spans="1:19" ht="20.5">
      <c r="A74" s="26">
        <f ca="1">IFERROR(__xludf.DUMMYFUNCTION("""COMPUTED_VALUE"""),68)</f>
        <v>68</v>
      </c>
      <c r="B74" s="27" t="str">
        <f ca="1">IFERROR(__xludf.DUMMYFUNCTION("""COMPUTED_VALUE"""),"🟩 Inbound")</f>
        <v>🟩 Inbound</v>
      </c>
      <c r="C74" s="28" t="s">
        <v>258</v>
      </c>
      <c r="D74" s="28" t="s">
        <v>259</v>
      </c>
      <c r="E74" s="28" t="s">
        <v>260</v>
      </c>
      <c r="F74" s="28" t="s">
        <v>261</v>
      </c>
      <c r="G74" s="28" t="s">
        <v>60</v>
      </c>
      <c r="H74" s="28" t="s">
        <v>262</v>
      </c>
      <c r="I74" s="29">
        <v>40000</v>
      </c>
      <c r="J74" s="29">
        <v>4000</v>
      </c>
      <c r="K74" s="29">
        <v>44000</v>
      </c>
      <c r="L74" s="29">
        <v>4000</v>
      </c>
      <c r="M74" s="29">
        <v>4000</v>
      </c>
      <c r="N74" s="30">
        <v>0</v>
      </c>
      <c r="O74" s="29" t="s">
        <v>7</v>
      </c>
      <c r="P74" s="29">
        <v>44000</v>
      </c>
      <c r="Q74" s="31"/>
      <c r="R74" s="31"/>
      <c r="S74" s="31"/>
    </row>
    <row r="75" spans="1:19" ht="20.5">
      <c r="A75" s="26">
        <f ca="1">IFERROR(__xludf.DUMMYFUNCTION("""COMPUTED_VALUE"""),69)</f>
        <v>69</v>
      </c>
      <c r="B75" s="27" t="str">
        <f ca="1">IFERROR(__xludf.DUMMYFUNCTION("""COMPUTED_VALUE"""),"🟩 Inbound")</f>
        <v>🟩 Inbound</v>
      </c>
      <c r="C75" s="28" t="s">
        <v>263</v>
      </c>
      <c r="D75" s="28" t="s">
        <v>78</v>
      </c>
      <c r="E75" s="28" t="s">
        <v>264</v>
      </c>
      <c r="F75" s="28" t="s">
        <v>80</v>
      </c>
      <c r="G75" s="28" t="s">
        <v>196</v>
      </c>
      <c r="H75" s="28" t="s">
        <v>265</v>
      </c>
      <c r="I75" s="29">
        <v>121500</v>
      </c>
      <c r="J75" s="29">
        <v>4500</v>
      </c>
      <c r="K75" s="29">
        <v>126000</v>
      </c>
      <c r="L75" s="29">
        <v>4500</v>
      </c>
      <c r="M75" s="29">
        <v>4500</v>
      </c>
      <c r="N75" s="30">
        <v>0</v>
      </c>
      <c r="O75" s="29" t="s">
        <v>7</v>
      </c>
      <c r="P75" s="29">
        <v>126000</v>
      </c>
      <c r="Q75" s="31"/>
      <c r="R75" s="31"/>
      <c r="S75" s="31"/>
    </row>
    <row r="76" spans="1:19" ht="20.5">
      <c r="A76" s="26">
        <f ca="1">IFERROR(__xludf.DUMMYFUNCTION("""COMPUTED_VALUE"""),70)</f>
        <v>70</v>
      </c>
      <c r="B76" s="27" t="str">
        <f ca="1">IFERROR(__xludf.DUMMYFUNCTION("""COMPUTED_VALUE"""),"🟩 Inbound")</f>
        <v>🟩 Inbound</v>
      </c>
      <c r="C76" s="28" t="s">
        <v>266</v>
      </c>
      <c r="D76" s="28" t="s">
        <v>78</v>
      </c>
      <c r="E76" s="28" t="s">
        <v>267</v>
      </c>
      <c r="F76" s="28" t="s">
        <v>80</v>
      </c>
      <c r="G76" s="28" t="s">
        <v>196</v>
      </c>
      <c r="H76" s="28" t="s">
        <v>268</v>
      </c>
      <c r="I76" s="29">
        <v>42000</v>
      </c>
      <c r="J76" s="29">
        <v>4500</v>
      </c>
      <c r="K76" s="29">
        <v>46500</v>
      </c>
      <c r="L76" s="29">
        <v>4500</v>
      </c>
      <c r="M76" s="29">
        <v>4500</v>
      </c>
      <c r="N76" s="30">
        <v>0</v>
      </c>
      <c r="O76" s="29" t="s">
        <v>7</v>
      </c>
      <c r="P76" s="29">
        <v>46500</v>
      </c>
      <c r="Q76" s="31"/>
      <c r="R76" s="31"/>
      <c r="S76" s="31"/>
    </row>
    <row r="77" spans="1:19" ht="20.5">
      <c r="A77" s="26">
        <f ca="1">IFERROR(__xludf.DUMMYFUNCTION("""COMPUTED_VALUE"""),71)</f>
        <v>71</v>
      </c>
      <c r="B77" s="27" t="str">
        <f ca="1">IFERROR(__xludf.DUMMYFUNCTION("""COMPUTED_VALUE"""),"🟩 Inbound")</f>
        <v>🟩 Inbound</v>
      </c>
      <c r="C77" s="28" t="s">
        <v>269</v>
      </c>
      <c r="D77" s="28" t="s">
        <v>78</v>
      </c>
      <c r="E77" s="28" t="s">
        <v>270</v>
      </c>
      <c r="F77" s="28" t="s">
        <v>80</v>
      </c>
      <c r="G77" s="28" t="s">
        <v>271</v>
      </c>
      <c r="H77" s="28" t="s">
        <v>272</v>
      </c>
      <c r="I77" s="29">
        <v>22500</v>
      </c>
      <c r="J77" s="29">
        <v>4500</v>
      </c>
      <c r="K77" s="29">
        <v>27000</v>
      </c>
      <c r="L77" s="29">
        <v>4500</v>
      </c>
      <c r="M77" s="29">
        <v>4500</v>
      </c>
      <c r="N77" s="30">
        <v>0</v>
      </c>
      <c r="O77" s="29" t="s">
        <v>7</v>
      </c>
      <c r="P77" s="29">
        <v>27000</v>
      </c>
      <c r="Q77" s="31"/>
      <c r="R77" s="31"/>
      <c r="S77" s="31"/>
    </row>
    <row r="78" spans="1:19" ht="20.5">
      <c r="A78" s="26">
        <f ca="1">IFERROR(__xludf.DUMMYFUNCTION("""COMPUTED_VALUE"""),72)</f>
        <v>72</v>
      </c>
      <c r="B78" s="27" t="str">
        <f ca="1">IFERROR(__xludf.DUMMYFUNCTION("""COMPUTED_VALUE"""),"🟩 Inbound")</f>
        <v>🟩 Inbound</v>
      </c>
      <c r="C78" s="28" t="s">
        <v>273</v>
      </c>
      <c r="D78" s="28" t="s">
        <v>78</v>
      </c>
      <c r="E78" s="28" t="s">
        <v>274</v>
      </c>
      <c r="F78" s="28" t="s">
        <v>80</v>
      </c>
      <c r="G78" s="28" t="s">
        <v>196</v>
      </c>
      <c r="H78" s="28" t="s">
        <v>275</v>
      </c>
      <c r="I78" s="29">
        <v>150000</v>
      </c>
      <c r="J78" s="29">
        <v>4500</v>
      </c>
      <c r="K78" s="29">
        <v>154500</v>
      </c>
      <c r="L78" s="29">
        <v>4500</v>
      </c>
      <c r="M78" s="29">
        <v>4500</v>
      </c>
      <c r="N78" s="30">
        <v>0</v>
      </c>
      <c r="O78" s="29" t="s">
        <v>7</v>
      </c>
      <c r="P78" s="29">
        <v>154500</v>
      </c>
      <c r="Q78" s="31"/>
      <c r="R78" s="31"/>
      <c r="S78" s="31"/>
    </row>
    <row r="79" spans="1:19" ht="20.5">
      <c r="A79" s="26">
        <f ca="1">IFERROR(__xludf.DUMMYFUNCTION("""COMPUTED_VALUE"""),73)</f>
        <v>73</v>
      </c>
      <c r="B79" s="27" t="str">
        <f ca="1">IFERROR(__xludf.DUMMYFUNCTION("""COMPUTED_VALUE"""),"🟩 Inbound")</f>
        <v>🟩 Inbound</v>
      </c>
      <c r="C79" s="28" t="s">
        <v>276</v>
      </c>
      <c r="D79" s="28" t="s">
        <v>193</v>
      </c>
      <c r="E79" s="28" t="s">
        <v>277</v>
      </c>
      <c r="F79" s="28" t="s">
        <v>195</v>
      </c>
      <c r="G79" s="28" t="s">
        <v>185</v>
      </c>
      <c r="H79" s="28" t="s">
        <v>278</v>
      </c>
      <c r="I79" s="29">
        <v>34000</v>
      </c>
      <c r="J79" s="29">
        <v>4500</v>
      </c>
      <c r="K79" s="29">
        <v>38500</v>
      </c>
      <c r="L79" s="29">
        <v>4500</v>
      </c>
      <c r="M79" s="29">
        <v>4500</v>
      </c>
      <c r="N79" s="30">
        <v>0</v>
      </c>
      <c r="O79" s="29" t="s">
        <v>7</v>
      </c>
      <c r="P79" s="29">
        <v>38500</v>
      </c>
      <c r="Q79" s="31"/>
      <c r="R79" s="31"/>
      <c r="S79" s="31"/>
    </row>
    <row r="80" spans="1:19" ht="20.5">
      <c r="A80" s="26">
        <f ca="1">IFERROR(__xludf.DUMMYFUNCTION("""COMPUTED_VALUE"""),74)</f>
        <v>74</v>
      </c>
      <c r="B80" s="27" t="str">
        <f ca="1">IFERROR(__xludf.DUMMYFUNCTION("""COMPUTED_VALUE"""),"🟩 Inbound")</f>
        <v>🟩 Inbound</v>
      </c>
      <c r="C80" s="28" t="s">
        <v>279</v>
      </c>
      <c r="D80" s="28" t="s">
        <v>193</v>
      </c>
      <c r="E80" s="28" t="s">
        <v>280</v>
      </c>
      <c r="F80" s="28" t="s">
        <v>195</v>
      </c>
      <c r="G80" s="28" t="s">
        <v>196</v>
      </c>
      <c r="H80" s="28" t="s">
        <v>281</v>
      </c>
      <c r="I80" s="29">
        <v>0</v>
      </c>
      <c r="J80" s="29">
        <v>4500</v>
      </c>
      <c r="K80" s="29">
        <v>4500</v>
      </c>
      <c r="L80" s="29">
        <v>4500</v>
      </c>
      <c r="M80" s="29">
        <v>4500</v>
      </c>
      <c r="N80" s="30">
        <v>0</v>
      </c>
      <c r="O80" s="29" t="s">
        <v>7</v>
      </c>
      <c r="P80" s="29">
        <v>4500</v>
      </c>
      <c r="Q80" s="31"/>
      <c r="R80" s="31"/>
      <c r="S80" s="31"/>
    </row>
    <row r="81" spans="1:19" ht="20.5">
      <c r="A81" s="26">
        <f ca="1">IFERROR(__xludf.DUMMYFUNCTION("""COMPUTED_VALUE"""),75)</f>
        <v>75</v>
      </c>
      <c r="B81" s="27" t="str">
        <f ca="1">IFERROR(__xludf.DUMMYFUNCTION("""COMPUTED_VALUE"""),"🟩 Inbound")</f>
        <v>🟩 Inbound</v>
      </c>
      <c r="C81" s="28" t="s">
        <v>282</v>
      </c>
      <c r="D81" s="28" t="s">
        <v>193</v>
      </c>
      <c r="E81" s="28" t="s">
        <v>283</v>
      </c>
      <c r="F81" s="28" t="s">
        <v>195</v>
      </c>
      <c r="G81" s="28" t="s">
        <v>196</v>
      </c>
      <c r="H81" s="28" t="s">
        <v>284</v>
      </c>
      <c r="I81" s="29">
        <v>34000</v>
      </c>
      <c r="J81" s="29">
        <v>4500</v>
      </c>
      <c r="K81" s="29">
        <v>38500</v>
      </c>
      <c r="L81" s="29">
        <v>4500</v>
      </c>
      <c r="M81" s="29">
        <v>4500</v>
      </c>
      <c r="N81" s="30">
        <v>0</v>
      </c>
      <c r="O81" s="29" t="s">
        <v>7</v>
      </c>
      <c r="P81" s="29">
        <v>38500</v>
      </c>
      <c r="Q81" s="31"/>
      <c r="R81" s="31"/>
      <c r="S81" s="31"/>
    </row>
    <row r="82" spans="1:19" ht="20.5">
      <c r="A82" s="26">
        <f ca="1">IFERROR(__xludf.DUMMYFUNCTION("""COMPUTED_VALUE"""),76)</f>
        <v>76</v>
      </c>
      <c r="B82" s="27" t="str">
        <f ca="1">IFERROR(__xludf.DUMMYFUNCTION("""COMPUTED_VALUE"""),"🟩 Inbound")</f>
        <v>🟩 Inbound</v>
      </c>
      <c r="C82" s="28" t="s">
        <v>285</v>
      </c>
      <c r="D82" s="28" t="s">
        <v>286</v>
      </c>
      <c r="E82" s="28" t="s">
        <v>287</v>
      </c>
      <c r="F82" s="28" t="s">
        <v>288</v>
      </c>
      <c r="G82" s="28" t="s">
        <v>172</v>
      </c>
      <c r="H82" s="28" t="s">
        <v>289</v>
      </c>
      <c r="I82" s="29">
        <v>0</v>
      </c>
      <c r="J82" s="29">
        <v>4000</v>
      </c>
      <c r="K82" s="29">
        <v>4000</v>
      </c>
      <c r="L82" s="29">
        <v>4000</v>
      </c>
      <c r="M82" s="29">
        <v>4000</v>
      </c>
      <c r="N82" s="30">
        <v>0</v>
      </c>
      <c r="O82" s="29" t="s">
        <v>7</v>
      </c>
      <c r="P82" s="29">
        <v>4000</v>
      </c>
      <c r="Q82" s="31"/>
      <c r="R82" s="31"/>
      <c r="S82" s="31"/>
    </row>
    <row r="83" spans="1:19" ht="20.5">
      <c r="A83" s="26">
        <f ca="1">IFERROR(__xludf.DUMMYFUNCTION("""COMPUTED_VALUE"""),77)</f>
        <v>77</v>
      </c>
      <c r="B83" s="27" t="str">
        <f ca="1">IFERROR(__xludf.DUMMYFUNCTION("""COMPUTED_VALUE"""),"🟩 Inbound")</f>
        <v>🟩 Inbound</v>
      </c>
      <c r="C83" s="28" t="s">
        <v>290</v>
      </c>
      <c r="D83" s="28" t="s">
        <v>286</v>
      </c>
      <c r="E83" s="28" t="s">
        <v>291</v>
      </c>
      <c r="F83" s="28" t="s">
        <v>288</v>
      </c>
      <c r="G83" s="28" t="s">
        <v>196</v>
      </c>
      <c r="H83" s="28" t="s">
        <v>292</v>
      </c>
      <c r="I83" s="29">
        <v>0</v>
      </c>
      <c r="J83" s="29">
        <v>4500</v>
      </c>
      <c r="K83" s="29">
        <v>4500</v>
      </c>
      <c r="L83" s="29">
        <v>4500</v>
      </c>
      <c r="M83" s="29">
        <v>4500</v>
      </c>
      <c r="N83" s="30">
        <v>0</v>
      </c>
      <c r="O83" s="29" t="s">
        <v>7</v>
      </c>
      <c r="P83" s="29">
        <v>4500</v>
      </c>
      <c r="Q83" s="31"/>
      <c r="R83" s="31"/>
      <c r="S83" s="31"/>
    </row>
    <row r="84" spans="1:19" ht="20.5">
      <c r="A84" s="26">
        <f ca="1">IFERROR(__xludf.DUMMYFUNCTION("""COMPUTED_VALUE"""),78)</f>
        <v>78</v>
      </c>
      <c r="B84" s="27" t="str">
        <f ca="1">IFERROR(__xludf.DUMMYFUNCTION("""COMPUTED_VALUE"""),"🟩 Inbound")</f>
        <v>🟩 Inbound</v>
      </c>
      <c r="C84" s="28" t="s">
        <v>293</v>
      </c>
      <c r="D84" s="28" t="s">
        <v>26</v>
      </c>
      <c r="E84" s="28" t="s">
        <v>294</v>
      </c>
      <c r="F84" s="28" t="s">
        <v>28</v>
      </c>
      <c r="G84" s="28" t="s">
        <v>196</v>
      </c>
      <c r="H84" s="28" t="s">
        <v>295</v>
      </c>
      <c r="I84" s="29">
        <v>24500</v>
      </c>
      <c r="J84" s="29">
        <v>4500</v>
      </c>
      <c r="K84" s="29">
        <v>29000</v>
      </c>
      <c r="L84" s="29">
        <v>4500</v>
      </c>
      <c r="M84" s="29">
        <v>4500</v>
      </c>
      <c r="N84" s="30">
        <v>0</v>
      </c>
      <c r="O84" s="29" t="s">
        <v>7</v>
      </c>
      <c r="P84" s="29">
        <v>29000</v>
      </c>
      <c r="Q84" s="31"/>
      <c r="R84" s="31"/>
      <c r="S84" s="31"/>
    </row>
    <row r="85" spans="1:19" ht="20.5">
      <c r="A85" s="26">
        <f ca="1">IFERROR(__xludf.DUMMYFUNCTION("""COMPUTED_VALUE"""),79)</f>
        <v>79</v>
      </c>
      <c r="B85" s="27" t="str">
        <f ca="1">IFERROR(__xludf.DUMMYFUNCTION("""COMPUTED_VALUE"""),"🟩 Inbound")</f>
        <v>🟩 Inbound</v>
      </c>
      <c r="C85" s="28" t="s">
        <v>296</v>
      </c>
      <c r="D85" s="28" t="s">
        <v>297</v>
      </c>
      <c r="E85" s="28" t="s">
        <v>298</v>
      </c>
      <c r="F85" s="28" t="s">
        <v>299</v>
      </c>
      <c r="G85" s="28" t="s">
        <v>172</v>
      </c>
      <c r="H85" s="28" t="s">
        <v>300</v>
      </c>
      <c r="I85" s="29">
        <v>34000</v>
      </c>
      <c r="J85" s="29">
        <v>0</v>
      </c>
      <c r="K85" s="29">
        <v>34000</v>
      </c>
      <c r="L85" s="29">
        <v>4000</v>
      </c>
      <c r="M85" s="29" t="s">
        <v>7</v>
      </c>
      <c r="N85" s="30">
        <v>0</v>
      </c>
      <c r="O85" s="29" t="s">
        <v>7</v>
      </c>
      <c r="P85" s="29">
        <v>34000</v>
      </c>
      <c r="Q85" s="31"/>
      <c r="R85" s="31"/>
      <c r="S85" s="31"/>
    </row>
    <row r="86" spans="1:19" ht="20.5">
      <c r="A86" s="26">
        <f ca="1">IFERROR(__xludf.DUMMYFUNCTION("""COMPUTED_VALUE"""),80)</f>
        <v>80</v>
      </c>
      <c r="B86" s="27" t="str">
        <f ca="1">IFERROR(__xludf.DUMMYFUNCTION("""COMPUTED_VALUE"""),"🟩 Inbound")</f>
        <v>🟩 Inbound</v>
      </c>
      <c r="C86" s="28" t="s">
        <v>301</v>
      </c>
      <c r="D86" s="28" t="s">
        <v>297</v>
      </c>
      <c r="E86" s="28" t="s">
        <v>302</v>
      </c>
      <c r="F86" s="28" t="s">
        <v>299</v>
      </c>
      <c r="G86" s="28" t="s">
        <v>200</v>
      </c>
      <c r="H86" s="28" t="s">
        <v>303</v>
      </c>
      <c r="I86" s="29">
        <v>28000</v>
      </c>
      <c r="J86" s="29">
        <v>4000</v>
      </c>
      <c r="K86" s="29">
        <v>32000</v>
      </c>
      <c r="L86" s="29">
        <v>4000</v>
      </c>
      <c r="M86" s="29">
        <v>4000</v>
      </c>
      <c r="N86" s="30">
        <v>0</v>
      </c>
      <c r="O86" s="29" t="s">
        <v>7</v>
      </c>
      <c r="P86" s="29">
        <v>32000</v>
      </c>
      <c r="Q86" s="31"/>
      <c r="R86" s="31"/>
      <c r="S86" s="31"/>
    </row>
    <row r="87" spans="1:19" ht="20.5">
      <c r="A87" s="26">
        <f ca="1">IFERROR(__xludf.DUMMYFUNCTION("""COMPUTED_VALUE"""),81)</f>
        <v>81</v>
      </c>
      <c r="B87" s="27" t="str">
        <f ca="1">IFERROR(__xludf.DUMMYFUNCTION("""COMPUTED_VALUE"""),"🟩 Inbound")</f>
        <v>🟩 Inbound</v>
      </c>
      <c r="C87" s="28" t="s">
        <v>304</v>
      </c>
      <c r="D87" s="28" t="s">
        <v>142</v>
      </c>
      <c r="E87" s="28" t="s">
        <v>305</v>
      </c>
      <c r="F87" s="28" t="s">
        <v>144</v>
      </c>
      <c r="G87" s="28" t="s">
        <v>154</v>
      </c>
      <c r="H87" s="28" t="s">
        <v>306</v>
      </c>
      <c r="I87" s="29">
        <v>21000</v>
      </c>
      <c r="J87" s="29">
        <v>4000</v>
      </c>
      <c r="K87" s="29">
        <v>25000</v>
      </c>
      <c r="L87" s="29">
        <v>4000</v>
      </c>
      <c r="M87" s="29">
        <v>4000</v>
      </c>
      <c r="N87" s="30">
        <v>0</v>
      </c>
      <c r="O87" s="29" t="s">
        <v>7</v>
      </c>
      <c r="P87" s="29">
        <v>25000</v>
      </c>
      <c r="Q87" s="31"/>
      <c r="R87" s="31"/>
      <c r="S87" s="31"/>
    </row>
    <row r="88" spans="1:19" ht="20.5">
      <c r="A88" s="26">
        <f ca="1">IFERROR(__xludf.DUMMYFUNCTION("""COMPUTED_VALUE"""),82)</f>
        <v>82</v>
      </c>
      <c r="B88" s="27" t="str">
        <f ca="1">IFERROR(__xludf.DUMMYFUNCTION("""COMPUTED_VALUE"""),"🟩 Inbound")</f>
        <v>🟩 Inbound</v>
      </c>
      <c r="C88" s="28" t="s">
        <v>307</v>
      </c>
      <c r="D88" s="28" t="s">
        <v>21</v>
      </c>
      <c r="E88" s="28" t="s">
        <v>308</v>
      </c>
      <c r="F88" s="28" t="s">
        <v>23</v>
      </c>
      <c r="G88" s="28" t="s">
        <v>14</v>
      </c>
      <c r="H88" s="28" t="s">
        <v>309</v>
      </c>
      <c r="I88" s="29">
        <v>0</v>
      </c>
      <c r="J88" s="29">
        <v>4000</v>
      </c>
      <c r="K88" s="29">
        <v>4000</v>
      </c>
      <c r="L88" s="29">
        <v>4000</v>
      </c>
      <c r="M88" s="29">
        <v>4000</v>
      </c>
      <c r="N88" s="30">
        <v>0</v>
      </c>
      <c r="O88" s="29" t="s">
        <v>7</v>
      </c>
      <c r="P88" s="29">
        <v>4000</v>
      </c>
      <c r="Q88" s="31"/>
      <c r="R88" s="31"/>
      <c r="S88" s="31"/>
    </row>
    <row r="89" spans="1:19" ht="20.5">
      <c r="A89" s="26">
        <f ca="1">IFERROR(__xludf.DUMMYFUNCTION("""COMPUTED_VALUE"""),83)</f>
        <v>83</v>
      </c>
      <c r="B89" s="27" t="str">
        <f ca="1">IFERROR(__xludf.DUMMYFUNCTION("""COMPUTED_VALUE"""),"🟩 Inbound")</f>
        <v>🟩 Inbound</v>
      </c>
      <c r="C89" s="28" t="s">
        <v>310</v>
      </c>
      <c r="D89" s="28" t="s">
        <v>21</v>
      </c>
      <c r="E89" s="28" t="s">
        <v>311</v>
      </c>
      <c r="F89" s="28" t="s">
        <v>23</v>
      </c>
      <c r="G89" s="28" t="s">
        <v>312</v>
      </c>
      <c r="H89" s="28" t="s">
        <v>313</v>
      </c>
      <c r="I89" s="29">
        <v>0</v>
      </c>
      <c r="J89" s="29">
        <v>4000</v>
      </c>
      <c r="K89" s="29">
        <v>4000</v>
      </c>
      <c r="L89" s="29">
        <v>4000</v>
      </c>
      <c r="M89" s="29">
        <v>4000</v>
      </c>
      <c r="N89" s="30">
        <v>0</v>
      </c>
      <c r="O89" s="29" t="s">
        <v>7</v>
      </c>
      <c r="P89" s="29">
        <v>4000</v>
      </c>
      <c r="Q89" s="31"/>
      <c r="R89" s="31"/>
      <c r="S89" s="31"/>
    </row>
    <row r="90" spans="1:19" ht="20.5">
      <c r="A90" s="26">
        <f ca="1">IFERROR(__xludf.DUMMYFUNCTION("""COMPUTED_VALUE"""),84)</f>
        <v>84</v>
      </c>
      <c r="B90" s="27" t="str">
        <f ca="1">IFERROR(__xludf.DUMMYFUNCTION("""COMPUTED_VALUE"""),"🟩 Inbound")</f>
        <v>🟩 Inbound</v>
      </c>
      <c r="C90" s="28" t="s">
        <v>314</v>
      </c>
      <c r="D90" s="28" t="s">
        <v>2</v>
      </c>
      <c r="E90" s="28" t="s">
        <v>315</v>
      </c>
      <c r="F90" s="28" t="s">
        <v>4</v>
      </c>
      <c r="G90" s="28" t="s">
        <v>316</v>
      </c>
      <c r="H90" s="28" t="s">
        <v>317</v>
      </c>
      <c r="I90" s="29">
        <v>79000</v>
      </c>
      <c r="J90" s="29">
        <v>4500</v>
      </c>
      <c r="K90" s="29">
        <v>83500</v>
      </c>
      <c r="L90" s="29">
        <v>4500</v>
      </c>
      <c r="M90" s="29">
        <v>4500</v>
      </c>
      <c r="N90" s="30">
        <v>0</v>
      </c>
      <c r="O90" s="29" t="s">
        <v>7</v>
      </c>
      <c r="P90" s="29">
        <v>83500</v>
      </c>
      <c r="Q90" s="31"/>
      <c r="R90" s="31"/>
      <c r="S90" s="31"/>
    </row>
    <row r="91" spans="1:19" ht="20.5">
      <c r="A91" s="26">
        <f ca="1">IFERROR(__xludf.DUMMYFUNCTION("""COMPUTED_VALUE"""),85)</f>
        <v>85</v>
      </c>
      <c r="B91" s="27" t="str">
        <f ca="1">IFERROR(__xludf.DUMMYFUNCTION("""COMPUTED_VALUE"""),"🟩 Inbound")</f>
        <v>🟩 Inbound</v>
      </c>
      <c r="C91" s="28" t="s">
        <v>318</v>
      </c>
      <c r="D91" s="28" t="s">
        <v>26</v>
      </c>
      <c r="E91" s="28" t="s">
        <v>319</v>
      </c>
      <c r="F91" s="28" t="s">
        <v>28</v>
      </c>
      <c r="G91" s="28" t="s">
        <v>212</v>
      </c>
      <c r="H91" s="28" t="s">
        <v>320</v>
      </c>
      <c r="I91" s="29">
        <v>50000</v>
      </c>
      <c r="J91" s="29">
        <v>4000</v>
      </c>
      <c r="K91" s="29">
        <v>54000</v>
      </c>
      <c r="L91" s="29">
        <v>4000</v>
      </c>
      <c r="M91" s="29">
        <v>4000</v>
      </c>
      <c r="N91" s="30">
        <v>0</v>
      </c>
      <c r="O91" s="29" t="s">
        <v>7</v>
      </c>
      <c r="P91" s="29">
        <v>54000</v>
      </c>
      <c r="Q91" s="31"/>
      <c r="R91" s="31"/>
      <c r="S91" s="31"/>
    </row>
    <row r="92" spans="1:19" ht="20.5">
      <c r="A92" s="26">
        <f ca="1">IFERROR(__xludf.DUMMYFUNCTION("""COMPUTED_VALUE"""),86)</f>
        <v>86</v>
      </c>
      <c r="B92" s="27" t="str">
        <f ca="1">IFERROR(__xludf.DUMMYFUNCTION("""COMPUTED_VALUE"""),"🟩 Inbound")</f>
        <v>🟩 Inbound</v>
      </c>
      <c r="C92" s="28" t="s">
        <v>321</v>
      </c>
      <c r="D92" s="28" t="s">
        <v>322</v>
      </c>
      <c r="E92" s="28" t="s">
        <v>323</v>
      </c>
      <c r="F92" s="28" t="s">
        <v>324</v>
      </c>
      <c r="G92" s="28" t="s">
        <v>325</v>
      </c>
      <c r="H92" s="28" t="s">
        <v>326</v>
      </c>
      <c r="I92" s="29">
        <v>240000</v>
      </c>
      <c r="J92" s="29">
        <v>4000</v>
      </c>
      <c r="K92" s="29">
        <v>244000</v>
      </c>
      <c r="L92" s="29">
        <v>4000</v>
      </c>
      <c r="M92" s="29">
        <v>4000</v>
      </c>
      <c r="N92" s="30">
        <v>7</v>
      </c>
      <c r="O92" s="29">
        <v>2000</v>
      </c>
      <c r="P92" s="29">
        <v>246000</v>
      </c>
      <c r="Q92" s="31"/>
      <c r="R92" s="31"/>
      <c r="S92" s="31"/>
    </row>
    <row r="93" spans="1:19" ht="20.5">
      <c r="A93" s="26">
        <f ca="1">IFERROR(__xludf.DUMMYFUNCTION("""COMPUTED_VALUE"""),87)</f>
        <v>87</v>
      </c>
      <c r="B93" s="27" t="str">
        <f ca="1">IFERROR(__xludf.DUMMYFUNCTION("""COMPUTED_VALUE"""),"🟩 Inbound")</f>
        <v>🟩 Inbound</v>
      </c>
      <c r="C93" s="28" t="s">
        <v>327</v>
      </c>
      <c r="D93" s="28" t="s">
        <v>21</v>
      </c>
      <c r="E93" s="28" t="s">
        <v>328</v>
      </c>
      <c r="F93" s="28" t="s">
        <v>23</v>
      </c>
      <c r="G93" s="28" t="s">
        <v>185</v>
      </c>
      <c r="H93" s="28" t="s">
        <v>329</v>
      </c>
      <c r="I93" s="29">
        <v>15000</v>
      </c>
      <c r="J93" s="29">
        <v>4500</v>
      </c>
      <c r="K93" s="29">
        <v>19500</v>
      </c>
      <c r="L93" s="29">
        <v>4500</v>
      </c>
      <c r="M93" s="29">
        <v>4500</v>
      </c>
      <c r="N93" s="30">
        <v>0</v>
      </c>
      <c r="O93" s="29" t="s">
        <v>7</v>
      </c>
      <c r="P93" s="29">
        <v>19500</v>
      </c>
      <c r="Q93" s="31"/>
      <c r="R93" s="31"/>
      <c r="S93" s="31"/>
    </row>
    <row r="94" spans="1:19" ht="20.5">
      <c r="A94" s="26">
        <f ca="1">IFERROR(__xludf.DUMMYFUNCTION("""COMPUTED_VALUE"""),88)</f>
        <v>88</v>
      </c>
      <c r="B94" s="27" t="str">
        <f ca="1">IFERROR(__xludf.DUMMYFUNCTION("""COMPUTED_VALUE"""),"🟩 Inbound")</f>
        <v>🟩 Inbound</v>
      </c>
      <c r="C94" s="28" t="s">
        <v>330</v>
      </c>
      <c r="D94" s="28" t="s">
        <v>78</v>
      </c>
      <c r="E94" s="28" t="s">
        <v>331</v>
      </c>
      <c r="F94" s="28" t="s">
        <v>80</v>
      </c>
      <c r="G94" s="28" t="s">
        <v>154</v>
      </c>
      <c r="H94" s="28" t="s">
        <v>332</v>
      </c>
      <c r="I94" s="29">
        <v>100000</v>
      </c>
      <c r="J94" s="29">
        <v>4000</v>
      </c>
      <c r="K94" s="29">
        <v>104000</v>
      </c>
      <c r="L94" s="29">
        <v>4000</v>
      </c>
      <c r="M94" s="29">
        <v>4000</v>
      </c>
      <c r="N94" s="30">
        <v>0</v>
      </c>
      <c r="O94" s="29" t="s">
        <v>7</v>
      </c>
      <c r="P94" s="29">
        <v>104000</v>
      </c>
      <c r="Q94" s="31"/>
      <c r="R94" s="31"/>
      <c r="S94" s="31"/>
    </row>
    <row r="95" spans="1:19" ht="20.5">
      <c r="A95" s="26">
        <f ca="1">IFERROR(__xludf.DUMMYFUNCTION("""COMPUTED_VALUE"""),89)</f>
        <v>89</v>
      </c>
      <c r="B95" s="27" t="str">
        <f ca="1">IFERROR(__xludf.DUMMYFUNCTION("""COMPUTED_VALUE"""),"🟩 Inbound")</f>
        <v>🟩 Inbound</v>
      </c>
      <c r="C95" s="28" t="s">
        <v>333</v>
      </c>
      <c r="D95" s="28" t="s">
        <v>78</v>
      </c>
      <c r="E95" s="28" t="s">
        <v>334</v>
      </c>
      <c r="F95" s="28" t="s">
        <v>80</v>
      </c>
      <c r="G95" s="28" t="s">
        <v>196</v>
      </c>
      <c r="H95" s="28" t="s">
        <v>335</v>
      </c>
      <c r="I95" s="29">
        <v>294000</v>
      </c>
      <c r="J95" s="29">
        <v>4500</v>
      </c>
      <c r="K95" s="29">
        <v>298500</v>
      </c>
      <c r="L95" s="29">
        <v>4500</v>
      </c>
      <c r="M95" s="29">
        <v>4500</v>
      </c>
      <c r="N95" s="30">
        <v>0</v>
      </c>
      <c r="O95" s="29" t="s">
        <v>7</v>
      </c>
      <c r="P95" s="29">
        <v>298500</v>
      </c>
      <c r="Q95" s="31"/>
      <c r="R95" s="31"/>
      <c r="S95" s="31"/>
    </row>
    <row r="96" spans="1:19" ht="20.5">
      <c r="A96" s="26">
        <f ca="1">IFERROR(__xludf.DUMMYFUNCTION("""COMPUTED_VALUE"""),90)</f>
        <v>90</v>
      </c>
      <c r="B96" s="27" t="str">
        <f ca="1">IFERROR(__xludf.DUMMYFUNCTION("""COMPUTED_VALUE"""),"🟩 Inbound")</f>
        <v>🟩 Inbound</v>
      </c>
      <c r="C96" s="28" t="s">
        <v>336</v>
      </c>
      <c r="D96" s="28" t="s">
        <v>78</v>
      </c>
      <c r="E96" s="28" t="s">
        <v>337</v>
      </c>
      <c r="F96" s="28" t="s">
        <v>80</v>
      </c>
      <c r="G96" s="28" t="s">
        <v>271</v>
      </c>
      <c r="H96" s="28" t="s">
        <v>338</v>
      </c>
      <c r="I96" s="29">
        <v>357600</v>
      </c>
      <c r="J96" s="29">
        <v>4500</v>
      </c>
      <c r="K96" s="29">
        <v>362100</v>
      </c>
      <c r="L96" s="29">
        <v>4500</v>
      </c>
      <c r="M96" s="29">
        <v>4500</v>
      </c>
      <c r="N96" s="30">
        <v>4</v>
      </c>
      <c r="O96" s="29">
        <v>500</v>
      </c>
      <c r="P96" s="29">
        <v>362600</v>
      </c>
      <c r="Q96" s="31"/>
      <c r="R96" s="31"/>
      <c r="S96" s="31"/>
    </row>
    <row r="97" spans="1:19" ht="20.5">
      <c r="A97" s="26">
        <f ca="1">IFERROR(__xludf.DUMMYFUNCTION("""COMPUTED_VALUE"""),91)</f>
        <v>91</v>
      </c>
      <c r="B97" s="27" t="str">
        <f ca="1">IFERROR(__xludf.DUMMYFUNCTION("""COMPUTED_VALUE"""),"🟩 Inbound")</f>
        <v>🟩 Inbound</v>
      </c>
      <c r="C97" s="28" t="s">
        <v>339</v>
      </c>
      <c r="D97" s="28" t="s">
        <v>78</v>
      </c>
      <c r="E97" s="28" t="s">
        <v>340</v>
      </c>
      <c r="F97" s="28" t="s">
        <v>80</v>
      </c>
      <c r="G97" s="28" t="s">
        <v>35</v>
      </c>
      <c r="H97" s="28" t="s">
        <v>341</v>
      </c>
      <c r="I97" s="29">
        <v>0</v>
      </c>
      <c r="J97" s="29">
        <v>5000</v>
      </c>
      <c r="K97" s="29">
        <v>5000</v>
      </c>
      <c r="L97" s="29">
        <v>5000</v>
      </c>
      <c r="M97" s="29">
        <v>5000</v>
      </c>
      <c r="N97" s="30">
        <v>10</v>
      </c>
      <c r="O97" s="29">
        <v>3500</v>
      </c>
      <c r="P97" s="29">
        <v>8500</v>
      </c>
      <c r="Q97" s="31"/>
      <c r="R97" s="31"/>
      <c r="S97" s="31"/>
    </row>
    <row r="98" spans="1:19" ht="20.5">
      <c r="A98" s="26">
        <f ca="1">IFERROR(__xludf.DUMMYFUNCTION("""COMPUTED_VALUE"""),92)</f>
        <v>92</v>
      </c>
      <c r="B98" s="27" t="str">
        <f ca="1">IFERROR(__xludf.DUMMYFUNCTION("""COMPUTED_VALUE"""),"🟩 Inbound")</f>
        <v>🟩 Inbound</v>
      </c>
      <c r="C98" s="28" t="s">
        <v>342</v>
      </c>
      <c r="D98" s="28" t="s">
        <v>78</v>
      </c>
      <c r="E98" s="28" t="s">
        <v>343</v>
      </c>
      <c r="F98" s="28" t="s">
        <v>80</v>
      </c>
      <c r="G98" s="28" t="s">
        <v>271</v>
      </c>
      <c r="H98" s="28" t="s">
        <v>344</v>
      </c>
      <c r="I98" s="29">
        <v>120000</v>
      </c>
      <c r="J98" s="29">
        <v>4500</v>
      </c>
      <c r="K98" s="29">
        <v>124500</v>
      </c>
      <c r="L98" s="29">
        <v>4500</v>
      </c>
      <c r="M98" s="29">
        <v>4500</v>
      </c>
      <c r="N98" s="30">
        <v>0</v>
      </c>
      <c r="O98" s="29" t="s">
        <v>7</v>
      </c>
      <c r="P98" s="29">
        <v>124500</v>
      </c>
      <c r="Q98" s="31"/>
      <c r="R98" s="31"/>
      <c r="S98" s="31"/>
    </row>
    <row r="99" spans="1:19" ht="20.5">
      <c r="A99" s="26">
        <f ca="1">IFERROR(__xludf.DUMMYFUNCTION("""COMPUTED_VALUE"""),93)</f>
        <v>93</v>
      </c>
      <c r="B99" s="27" t="str">
        <f ca="1">IFERROR(__xludf.DUMMYFUNCTION("""COMPUTED_VALUE"""),"🟩 Inbound")</f>
        <v>🟩 Inbound</v>
      </c>
      <c r="C99" s="28" t="s">
        <v>345</v>
      </c>
      <c r="D99" s="28" t="s">
        <v>78</v>
      </c>
      <c r="E99" s="28" t="s">
        <v>346</v>
      </c>
      <c r="F99" s="28" t="s">
        <v>80</v>
      </c>
      <c r="G99" s="28" t="s">
        <v>154</v>
      </c>
      <c r="H99" s="28" t="s">
        <v>347</v>
      </c>
      <c r="I99" s="29">
        <v>100000</v>
      </c>
      <c r="J99" s="29">
        <v>4000</v>
      </c>
      <c r="K99" s="29">
        <v>104000</v>
      </c>
      <c r="L99" s="29">
        <v>4000</v>
      </c>
      <c r="M99" s="29">
        <v>4000</v>
      </c>
      <c r="N99" s="30">
        <v>0</v>
      </c>
      <c r="O99" s="29" t="s">
        <v>7</v>
      </c>
      <c r="P99" s="29">
        <v>104000</v>
      </c>
      <c r="Q99" s="31"/>
      <c r="R99" s="31"/>
      <c r="S99" s="31"/>
    </row>
    <row r="100" spans="1:19" ht="20.5">
      <c r="A100" s="26">
        <f ca="1">IFERROR(__xludf.DUMMYFUNCTION("""COMPUTED_VALUE"""),94)</f>
        <v>94</v>
      </c>
      <c r="B100" s="27" t="str">
        <f ca="1">IFERROR(__xludf.DUMMYFUNCTION("""COMPUTED_VALUE"""),"🟩 Inbound")</f>
        <v>🟩 Inbound</v>
      </c>
      <c r="C100" s="28" t="s">
        <v>348</v>
      </c>
      <c r="D100" s="28" t="s">
        <v>78</v>
      </c>
      <c r="E100" s="28" t="s">
        <v>349</v>
      </c>
      <c r="F100" s="28" t="s">
        <v>80</v>
      </c>
      <c r="G100" s="28" t="s">
        <v>35</v>
      </c>
      <c r="H100" s="28" t="s">
        <v>350</v>
      </c>
      <c r="I100" s="29">
        <v>0</v>
      </c>
      <c r="J100" s="29">
        <v>3000</v>
      </c>
      <c r="K100" s="29">
        <v>3000</v>
      </c>
      <c r="L100" s="29">
        <v>3000</v>
      </c>
      <c r="M100" s="29">
        <v>3000</v>
      </c>
      <c r="N100" s="30">
        <v>0</v>
      </c>
      <c r="O100" s="29" t="s">
        <v>7</v>
      </c>
      <c r="P100" s="29">
        <v>3000</v>
      </c>
      <c r="Q100" s="31"/>
      <c r="R100" s="31"/>
      <c r="S100" s="31"/>
    </row>
    <row r="101" spans="1:19" ht="20.5">
      <c r="A101" s="26">
        <f ca="1">IFERROR(__xludf.DUMMYFUNCTION("""COMPUTED_VALUE"""),95)</f>
        <v>95</v>
      </c>
      <c r="B101" s="27" t="str">
        <f ca="1">IFERROR(__xludf.DUMMYFUNCTION("""COMPUTED_VALUE"""),"🟩 Inbound")</f>
        <v>🟩 Inbound</v>
      </c>
      <c r="C101" s="28" t="s">
        <v>351</v>
      </c>
      <c r="D101" s="28" t="s">
        <v>78</v>
      </c>
      <c r="E101" s="28" t="s">
        <v>352</v>
      </c>
      <c r="F101" s="28" t="s">
        <v>80</v>
      </c>
      <c r="G101" s="28" t="s">
        <v>196</v>
      </c>
      <c r="H101" s="28" t="s">
        <v>353</v>
      </c>
      <c r="I101" s="29">
        <v>90000</v>
      </c>
      <c r="J101" s="29">
        <v>4500</v>
      </c>
      <c r="K101" s="29">
        <v>94500</v>
      </c>
      <c r="L101" s="29">
        <v>4500</v>
      </c>
      <c r="M101" s="29">
        <v>4500</v>
      </c>
      <c r="N101" s="30">
        <v>0</v>
      </c>
      <c r="O101" s="29" t="s">
        <v>7</v>
      </c>
      <c r="P101" s="29">
        <v>94500</v>
      </c>
      <c r="Q101" s="31"/>
      <c r="R101" s="31"/>
      <c r="S101" s="31"/>
    </row>
    <row r="102" spans="1:19" ht="20.5">
      <c r="A102" s="26">
        <f ca="1">IFERROR(__xludf.DUMMYFUNCTION("""COMPUTED_VALUE"""),96)</f>
        <v>96</v>
      </c>
      <c r="B102" s="27" t="str">
        <f ca="1">IFERROR(__xludf.DUMMYFUNCTION("""COMPUTED_VALUE"""),"🟩 Inbound")</f>
        <v>🟩 Inbound</v>
      </c>
      <c r="C102" s="28" t="s">
        <v>354</v>
      </c>
      <c r="D102" s="28" t="s">
        <v>78</v>
      </c>
      <c r="E102" s="28" t="s">
        <v>355</v>
      </c>
      <c r="F102" s="28" t="s">
        <v>80</v>
      </c>
      <c r="G102" s="28" t="s">
        <v>356</v>
      </c>
      <c r="H102" s="28" t="s">
        <v>357</v>
      </c>
      <c r="I102" s="29">
        <v>67500</v>
      </c>
      <c r="J102" s="29">
        <v>4000</v>
      </c>
      <c r="K102" s="29">
        <v>71500</v>
      </c>
      <c r="L102" s="29">
        <v>4000</v>
      </c>
      <c r="M102" s="29">
        <v>4000</v>
      </c>
      <c r="N102" s="30">
        <v>0</v>
      </c>
      <c r="O102" s="29" t="s">
        <v>7</v>
      </c>
      <c r="P102" s="29">
        <v>71500</v>
      </c>
      <c r="Q102" s="31"/>
      <c r="R102" s="31"/>
      <c r="S102" s="31"/>
    </row>
    <row r="103" spans="1:19" ht="20.5">
      <c r="A103" s="26">
        <f ca="1">IFERROR(__xludf.DUMMYFUNCTION("""COMPUTED_VALUE"""),97)</f>
        <v>97</v>
      </c>
      <c r="B103" s="27" t="str">
        <f ca="1">IFERROR(__xludf.DUMMYFUNCTION("""COMPUTED_VALUE"""),"🟩 Inbound")</f>
        <v>🟩 Inbound</v>
      </c>
      <c r="C103" s="28" t="s">
        <v>358</v>
      </c>
      <c r="D103" s="28" t="s">
        <v>78</v>
      </c>
      <c r="E103" s="28" t="s">
        <v>359</v>
      </c>
      <c r="F103" s="28" t="s">
        <v>80</v>
      </c>
      <c r="G103" s="28" t="s">
        <v>5</v>
      </c>
      <c r="H103" s="28" t="s">
        <v>360</v>
      </c>
      <c r="I103" s="29">
        <v>82500</v>
      </c>
      <c r="J103" s="29">
        <v>4000</v>
      </c>
      <c r="K103" s="29">
        <v>86500</v>
      </c>
      <c r="L103" s="29">
        <v>4000</v>
      </c>
      <c r="M103" s="29">
        <v>4000</v>
      </c>
      <c r="N103" s="30">
        <v>0</v>
      </c>
      <c r="O103" s="29" t="s">
        <v>7</v>
      </c>
      <c r="P103" s="29">
        <v>86500</v>
      </c>
      <c r="Q103" s="31"/>
      <c r="R103" s="31"/>
      <c r="S103" s="31"/>
    </row>
    <row r="104" spans="1:19" ht="20.5">
      <c r="A104" s="26">
        <f ca="1">IFERROR(__xludf.DUMMYFUNCTION("""COMPUTED_VALUE"""),98)</f>
        <v>98</v>
      </c>
      <c r="B104" s="27" t="str">
        <f ca="1">IFERROR(__xludf.DUMMYFUNCTION("""COMPUTED_VALUE"""),"🟩 Inbound")</f>
        <v>🟩 Inbound</v>
      </c>
      <c r="C104" s="28" t="s">
        <v>361</v>
      </c>
      <c r="D104" s="28" t="s">
        <v>78</v>
      </c>
      <c r="E104" s="28" t="s">
        <v>362</v>
      </c>
      <c r="F104" s="28" t="s">
        <v>80</v>
      </c>
      <c r="G104" s="28" t="s">
        <v>172</v>
      </c>
      <c r="H104" s="28" t="s">
        <v>363</v>
      </c>
      <c r="I104" s="29">
        <v>0</v>
      </c>
      <c r="J104" s="29">
        <v>4000</v>
      </c>
      <c r="K104" s="29">
        <v>4000</v>
      </c>
      <c r="L104" s="29">
        <v>4000</v>
      </c>
      <c r="M104" s="29">
        <v>4000</v>
      </c>
      <c r="N104" s="30">
        <v>0</v>
      </c>
      <c r="O104" s="29" t="s">
        <v>7</v>
      </c>
      <c r="P104" s="29">
        <v>4000</v>
      </c>
      <c r="Q104" s="31"/>
      <c r="R104" s="31"/>
      <c r="S104" s="31"/>
    </row>
    <row r="105" spans="1:19" ht="20.5">
      <c r="A105" s="26">
        <f ca="1">IFERROR(__xludf.DUMMYFUNCTION("""COMPUTED_VALUE"""),99)</f>
        <v>99</v>
      </c>
      <c r="B105" s="27" t="str">
        <f ca="1">IFERROR(__xludf.DUMMYFUNCTION("""COMPUTED_VALUE"""),"🟩 Inbound")</f>
        <v>🟩 Inbound</v>
      </c>
      <c r="C105" s="28" t="s">
        <v>364</v>
      </c>
      <c r="D105" s="28" t="s">
        <v>78</v>
      </c>
      <c r="E105" s="28" t="s">
        <v>365</v>
      </c>
      <c r="F105" s="28" t="s">
        <v>80</v>
      </c>
      <c r="G105" s="28" t="s">
        <v>325</v>
      </c>
      <c r="H105" s="28" t="s">
        <v>366</v>
      </c>
      <c r="I105" s="29">
        <v>96000</v>
      </c>
      <c r="J105" s="29">
        <v>4000</v>
      </c>
      <c r="K105" s="29">
        <v>100000</v>
      </c>
      <c r="L105" s="29">
        <v>4000</v>
      </c>
      <c r="M105" s="29">
        <v>4000</v>
      </c>
      <c r="N105" s="30">
        <v>0</v>
      </c>
      <c r="O105" s="29" t="s">
        <v>7</v>
      </c>
      <c r="P105" s="29">
        <v>100000</v>
      </c>
      <c r="Q105" s="31"/>
      <c r="R105" s="31"/>
      <c r="S105" s="31"/>
    </row>
    <row r="106" spans="1:19" ht="20.5">
      <c r="A106" s="26">
        <f ca="1">IFERROR(__xludf.DUMMYFUNCTION("""COMPUTED_VALUE"""),100)</f>
        <v>100</v>
      </c>
      <c r="B106" s="27" t="str">
        <f ca="1">IFERROR(__xludf.DUMMYFUNCTION("""COMPUTED_VALUE"""),"🟩 Inbound")</f>
        <v>🟩 Inbound</v>
      </c>
      <c r="C106" s="28" t="s">
        <v>367</v>
      </c>
      <c r="D106" s="28" t="s">
        <v>78</v>
      </c>
      <c r="E106" s="28" t="s">
        <v>368</v>
      </c>
      <c r="F106" s="28" t="s">
        <v>80</v>
      </c>
      <c r="G106" s="28" t="s">
        <v>271</v>
      </c>
      <c r="H106" s="28" t="s">
        <v>369</v>
      </c>
      <c r="I106" s="29">
        <v>15000</v>
      </c>
      <c r="J106" s="29">
        <v>4500</v>
      </c>
      <c r="K106" s="29">
        <v>19500</v>
      </c>
      <c r="L106" s="29">
        <v>4500</v>
      </c>
      <c r="M106" s="29">
        <v>4500</v>
      </c>
      <c r="N106" s="30">
        <v>0</v>
      </c>
      <c r="O106" s="29" t="s">
        <v>7</v>
      </c>
      <c r="P106" s="29">
        <v>19500</v>
      </c>
      <c r="Q106" s="31"/>
      <c r="R106" s="31"/>
      <c r="S106" s="31"/>
    </row>
    <row r="107" spans="1:19" ht="20.5">
      <c r="A107" s="26">
        <f ca="1">IFERROR(__xludf.DUMMYFUNCTION("""COMPUTED_VALUE"""),101)</f>
        <v>101</v>
      </c>
      <c r="B107" s="27" t="str">
        <f ca="1">IFERROR(__xludf.DUMMYFUNCTION("""COMPUTED_VALUE"""),"🟩 Inbound")</f>
        <v>🟩 Inbound</v>
      </c>
      <c r="C107" s="28" t="s">
        <v>370</v>
      </c>
      <c r="D107" s="28" t="s">
        <v>78</v>
      </c>
      <c r="E107" s="28" t="s">
        <v>371</v>
      </c>
      <c r="F107" s="28" t="s">
        <v>80</v>
      </c>
      <c r="G107" s="28" t="s">
        <v>372</v>
      </c>
      <c r="H107" s="28" t="s">
        <v>373</v>
      </c>
      <c r="I107" s="29">
        <v>33000</v>
      </c>
      <c r="J107" s="29">
        <v>4000</v>
      </c>
      <c r="K107" s="29">
        <v>37000</v>
      </c>
      <c r="L107" s="29">
        <v>4000</v>
      </c>
      <c r="M107" s="29">
        <v>4000</v>
      </c>
      <c r="N107" s="30">
        <v>0</v>
      </c>
      <c r="O107" s="29" t="s">
        <v>7</v>
      </c>
      <c r="P107" s="29">
        <v>37000</v>
      </c>
      <c r="Q107" s="31"/>
      <c r="R107" s="31"/>
      <c r="S107" s="31"/>
    </row>
    <row r="108" spans="1:19" ht="20.5">
      <c r="A108" s="26">
        <f ca="1">IFERROR(__xludf.DUMMYFUNCTION("""COMPUTED_VALUE"""),102)</f>
        <v>102</v>
      </c>
      <c r="B108" s="27" t="str">
        <f ca="1">IFERROR(__xludf.DUMMYFUNCTION("""COMPUTED_VALUE"""),"🟩 Inbound")</f>
        <v>🟩 Inbound</v>
      </c>
      <c r="C108" s="28" t="s">
        <v>374</v>
      </c>
      <c r="D108" s="28" t="s">
        <v>78</v>
      </c>
      <c r="E108" s="28" t="s">
        <v>375</v>
      </c>
      <c r="F108" s="28" t="s">
        <v>80</v>
      </c>
      <c r="G108" s="28" t="s">
        <v>376</v>
      </c>
      <c r="H108" s="28" t="s">
        <v>377</v>
      </c>
      <c r="I108" s="29">
        <v>121000</v>
      </c>
      <c r="J108" s="29">
        <v>4000</v>
      </c>
      <c r="K108" s="29">
        <v>125000</v>
      </c>
      <c r="L108" s="29">
        <v>4000</v>
      </c>
      <c r="M108" s="29">
        <v>4000</v>
      </c>
      <c r="N108" s="30">
        <v>0</v>
      </c>
      <c r="O108" s="29" t="s">
        <v>7</v>
      </c>
      <c r="P108" s="29">
        <v>125000</v>
      </c>
      <c r="Q108" s="31"/>
      <c r="R108" s="31"/>
      <c r="S108" s="31"/>
    </row>
    <row r="109" spans="1:19" ht="20.5">
      <c r="A109" s="26">
        <f ca="1">IFERROR(__xludf.DUMMYFUNCTION("""COMPUTED_VALUE"""),103)</f>
        <v>103</v>
      </c>
      <c r="B109" s="27" t="str">
        <f ca="1">IFERROR(__xludf.DUMMYFUNCTION("""COMPUTED_VALUE"""),"🟩 Inbound")</f>
        <v>🟩 Inbound</v>
      </c>
      <c r="C109" s="28" t="s">
        <v>378</v>
      </c>
      <c r="D109" s="28" t="s">
        <v>78</v>
      </c>
      <c r="E109" s="28" t="s">
        <v>379</v>
      </c>
      <c r="F109" s="28" t="s">
        <v>80</v>
      </c>
      <c r="G109" s="28" t="s">
        <v>185</v>
      </c>
      <c r="H109" s="28" t="s">
        <v>380</v>
      </c>
      <c r="I109" s="29">
        <v>42000</v>
      </c>
      <c r="J109" s="29">
        <v>4500</v>
      </c>
      <c r="K109" s="29">
        <v>46500</v>
      </c>
      <c r="L109" s="29">
        <v>4500</v>
      </c>
      <c r="M109" s="29">
        <v>4500</v>
      </c>
      <c r="N109" s="30">
        <v>0</v>
      </c>
      <c r="O109" s="29" t="s">
        <v>7</v>
      </c>
      <c r="P109" s="29">
        <v>46500</v>
      </c>
      <c r="Q109" s="31"/>
      <c r="R109" s="31"/>
      <c r="S109" s="31"/>
    </row>
    <row r="110" spans="1:19" ht="20.5">
      <c r="A110" s="26">
        <f ca="1">IFERROR(__xludf.DUMMYFUNCTION("""COMPUTED_VALUE"""),104)</f>
        <v>104</v>
      </c>
      <c r="B110" s="27" t="str">
        <f ca="1">IFERROR(__xludf.DUMMYFUNCTION("""COMPUTED_VALUE"""),"🟩 Inbound")</f>
        <v>🟩 Inbound</v>
      </c>
      <c r="C110" s="28" t="s">
        <v>381</v>
      </c>
      <c r="D110" s="28" t="s">
        <v>21</v>
      </c>
      <c r="E110" s="28" t="s">
        <v>382</v>
      </c>
      <c r="F110" s="28" t="s">
        <v>23</v>
      </c>
      <c r="G110" s="28" t="s">
        <v>5</v>
      </c>
      <c r="H110" s="28" t="s">
        <v>383</v>
      </c>
      <c r="I110" s="29">
        <v>0</v>
      </c>
      <c r="J110" s="29">
        <v>4000</v>
      </c>
      <c r="K110" s="29">
        <v>4000</v>
      </c>
      <c r="L110" s="29">
        <v>4000</v>
      </c>
      <c r="M110" s="29">
        <v>4000</v>
      </c>
      <c r="N110" s="30">
        <v>0</v>
      </c>
      <c r="O110" s="29" t="s">
        <v>7</v>
      </c>
      <c r="P110" s="29">
        <v>4000</v>
      </c>
      <c r="Q110" s="31"/>
      <c r="R110" s="31"/>
      <c r="S110" s="31"/>
    </row>
    <row r="111" spans="1:19" ht="20.5">
      <c r="A111" s="26">
        <f ca="1">IFERROR(__xludf.DUMMYFUNCTION("""COMPUTED_VALUE"""),105)</f>
        <v>105</v>
      </c>
      <c r="B111" s="27" t="str">
        <f ca="1">IFERROR(__xludf.DUMMYFUNCTION("""COMPUTED_VALUE"""),"🟩 Inbound")</f>
        <v>🟩 Inbound</v>
      </c>
      <c r="C111" s="28" t="s">
        <v>384</v>
      </c>
      <c r="D111" s="28" t="s">
        <v>21</v>
      </c>
      <c r="E111" s="28" t="s">
        <v>385</v>
      </c>
      <c r="F111" s="28" t="s">
        <v>23</v>
      </c>
      <c r="G111" s="28" t="s">
        <v>185</v>
      </c>
      <c r="H111" s="28" t="s">
        <v>386</v>
      </c>
      <c r="I111" s="29">
        <v>0</v>
      </c>
      <c r="J111" s="29">
        <v>4500</v>
      </c>
      <c r="K111" s="29">
        <v>4500</v>
      </c>
      <c r="L111" s="29">
        <v>4500</v>
      </c>
      <c r="M111" s="29">
        <v>4500</v>
      </c>
      <c r="N111" s="30">
        <v>0</v>
      </c>
      <c r="O111" s="29" t="s">
        <v>7</v>
      </c>
      <c r="P111" s="29">
        <v>4500</v>
      </c>
      <c r="Q111" s="31"/>
      <c r="R111" s="31"/>
      <c r="S111" s="31"/>
    </row>
    <row r="112" spans="1:19" ht="20.5">
      <c r="A112" s="26">
        <f ca="1">IFERROR(__xludf.DUMMYFUNCTION("""COMPUTED_VALUE"""),106)</f>
        <v>106</v>
      </c>
      <c r="B112" s="27" t="str">
        <f ca="1">IFERROR(__xludf.DUMMYFUNCTION("""COMPUTED_VALUE"""),"🟩 Inbound")</f>
        <v>🟩 Inbound</v>
      </c>
      <c r="C112" s="28" t="s">
        <v>387</v>
      </c>
      <c r="D112" s="28" t="s">
        <v>21</v>
      </c>
      <c r="E112" s="28" t="s">
        <v>388</v>
      </c>
      <c r="F112" s="28" t="s">
        <v>23</v>
      </c>
      <c r="G112" s="28" t="s">
        <v>376</v>
      </c>
      <c r="H112" s="28" t="s">
        <v>389</v>
      </c>
      <c r="I112" s="29">
        <v>20800</v>
      </c>
      <c r="J112" s="29">
        <v>4000</v>
      </c>
      <c r="K112" s="29">
        <v>24800</v>
      </c>
      <c r="L112" s="29">
        <v>4000</v>
      </c>
      <c r="M112" s="29">
        <v>4000</v>
      </c>
      <c r="N112" s="30">
        <v>0</v>
      </c>
      <c r="O112" s="29" t="s">
        <v>7</v>
      </c>
      <c r="P112" s="29">
        <v>24800</v>
      </c>
      <c r="Q112" s="31"/>
      <c r="R112" s="31"/>
      <c r="S112" s="31"/>
    </row>
    <row r="113" spans="1:19" ht="20.5">
      <c r="A113" s="26">
        <f ca="1">IFERROR(__xludf.DUMMYFUNCTION("""COMPUTED_VALUE"""),107)</f>
        <v>107</v>
      </c>
      <c r="B113" s="27" t="str">
        <f ca="1">IFERROR(__xludf.DUMMYFUNCTION("""COMPUTED_VALUE"""),"🟩 Inbound")</f>
        <v>🟩 Inbound</v>
      </c>
      <c r="C113" s="28" t="s">
        <v>390</v>
      </c>
      <c r="D113" s="28" t="s">
        <v>21</v>
      </c>
      <c r="E113" s="28" t="s">
        <v>391</v>
      </c>
      <c r="F113" s="28" t="s">
        <v>23</v>
      </c>
      <c r="G113" s="28" t="s">
        <v>392</v>
      </c>
      <c r="H113" s="28" t="s">
        <v>393</v>
      </c>
      <c r="I113" s="29">
        <v>22000</v>
      </c>
      <c r="J113" s="29">
        <v>4000</v>
      </c>
      <c r="K113" s="29">
        <v>26000</v>
      </c>
      <c r="L113" s="29">
        <v>4000</v>
      </c>
      <c r="M113" s="29">
        <v>4000</v>
      </c>
      <c r="N113" s="30">
        <v>0</v>
      </c>
      <c r="O113" s="29" t="s">
        <v>7</v>
      </c>
      <c r="P113" s="29">
        <v>26000</v>
      </c>
      <c r="Q113" s="31"/>
      <c r="R113" s="31"/>
      <c r="S113" s="31"/>
    </row>
    <row r="114" spans="1:19" ht="20.5">
      <c r="A114" s="26">
        <f ca="1">IFERROR(__xludf.DUMMYFUNCTION("""COMPUTED_VALUE"""),108)</f>
        <v>108</v>
      </c>
      <c r="B114" s="27" t="str">
        <f ca="1">IFERROR(__xludf.DUMMYFUNCTION("""COMPUTED_VALUE"""),"🟩 Inbound")</f>
        <v>🟩 Inbound</v>
      </c>
      <c r="C114" s="28" t="s">
        <v>394</v>
      </c>
      <c r="D114" s="28" t="s">
        <v>21</v>
      </c>
      <c r="E114" s="28" t="s">
        <v>395</v>
      </c>
      <c r="F114" s="28" t="s">
        <v>23</v>
      </c>
      <c r="G114" s="28" t="s">
        <v>312</v>
      </c>
      <c r="H114" s="28" t="s">
        <v>396</v>
      </c>
      <c r="I114" s="29">
        <v>22000</v>
      </c>
      <c r="J114" s="29">
        <v>4000</v>
      </c>
      <c r="K114" s="29">
        <v>26000</v>
      </c>
      <c r="L114" s="29">
        <v>4000</v>
      </c>
      <c r="M114" s="29">
        <v>4000</v>
      </c>
      <c r="N114" s="30">
        <v>0</v>
      </c>
      <c r="O114" s="29" t="s">
        <v>7</v>
      </c>
      <c r="P114" s="29">
        <v>26000</v>
      </c>
      <c r="Q114" s="31"/>
      <c r="R114" s="31"/>
      <c r="S114" s="31"/>
    </row>
    <row r="115" spans="1:19" ht="20.5">
      <c r="A115" s="26">
        <f ca="1">IFERROR(__xludf.DUMMYFUNCTION("""COMPUTED_VALUE"""),109)</f>
        <v>109</v>
      </c>
      <c r="B115" s="27" t="str">
        <f ca="1">IFERROR(__xludf.DUMMYFUNCTION("""COMPUTED_VALUE"""),"🟩 Inbound")</f>
        <v>🟩 Inbound</v>
      </c>
      <c r="C115" s="28" t="s">
        <v>397</v>
      </c>
      <c r="D115" s="28" t="s">
        <v>21</v>
      </c>
      <c r="E115" s="28" t="s">
        <v>398</v>
      </c>
      <c r="F115" s="28" t="s">
        <v>23</v>
      </c>
      <c r="G115" s="28" t="s">
        <v>5</v>
      </c>
      <c r="H115" s="28" t="s">
        <v>399</v>
      </c>
      <c r="I115" s="29">
        <v>22000</v>
      </c>
      <c r="J115" s="29">
        <v>4000</v>
      </c>
      <c r="K115" s="29">
        <v>26000</v>
      </c>
      <c r="L115" s="29">
        <v>4000</v>
      </c>
      <c r="M115" s="29">
        <v>4000</v>
      </c>
      <c r="N115" s="30">
        <v>0</v>
      </c>
      <c r="O115" s="29" t="s">
        <v>7</v>
      </c>
      <c r="P115" s="29">
        <v>26000</v>
      </c>
      <c r="Q115" s="31"/>
      <c r="R115" s="31"/>
      <c r="S115" s="31"/>
    </row>
    <row r="116" spans="1:19" ht="20.5">
      <c r="A116" s="26">
        <f ca="1">IFERROR(__xludf.DUMMYFUNCTION("""COMPUTED_VALUE"""),110)</f>
        <v>110</v>
      </c>
      <c r="B116" s="27" t="str">
        <f ca="1">IFERROR(__xludf.DUMMYFUNCTION("""COMPUTED_VALUE"""),"🟩 Inbound")</f>
        <v>🟩 Inbound</v>
      </c>
      <c r="C116" s="28" t="s">
        <v>400</v>
      </c>
      <c r="D116" s="28" t="s">
        <v>21</v>
      </c>
      <c r="E116" s="28" t="s">
        <v>401</v>
      </c>
      <c r="F116" s="28" t="s">
        <v>23</v>
      </c>
      <c r="G116" s="28" t="s">
        <v>376</v>
      </c>
      <c r="H116" s="28" t="s">
        <v>402</v>
      </c>
      <c r="I116" s="29">
        <v>23800</v>
      </c>
      <c r="J116" s="29">
        <v>4000</v>
      </c>
      <c r="K116" s="29">
        <v>27800</v>
      </c>
      <c r="L116" s="29">
        <v>4000</v>
      </c>
      <c r="M116" s="29">
        <v>4000</v>
      </c>
      <c r="N116" s="30">
        <v>0</v>
      </c>
      <c r="O116" s="29" t="s">
        <v>7</v>
      </c>
      <c r="P116" s="29">
        <v>27800</v>
      </c>
      <c r="Q116" s="31"/>
      <c r="R116" s="31"/>
      <c r="S116" s="31"/>
    </row>
    <row r="117" spans="1:19" ht="20.5">
      <c r="A117" s="26">
        <f ca="1">IFERROR(__xludf.DUMMYFUNCTION("""COMPUTED_VALUE"""),111)</f>
        <v>111</v>
      </c>
      <c r="B117" s="27" t="str">
        <f ca="1">IFERROR(__xludf.DUMMYFUNCTION("""COMPUTED_VALUE"""),"🟩 Inbound")</f>
        <v>🟩 Inbound</v>
      </c>
      <c r="C117" s="28" t="s">
        <v>403</v>
      </c>
      <c r="D117" s="28" t="s">
        <v>21</v>
      </c>
      <c r="E117" s="28" t="s">
        <v>404</v>
      </c>
      <c r="F117" s="28" t="s">
        <v>23</v>
      </c>
      <c r="G117" s="28" t="s">
        <v>392</v>
      </c>
      <c r="H117" s="28" t="s">
        <v>405</v>
      </c>
      <c r="I117" s="29">
        <v>19800</v>
      </c>
      <c r="J117" s="29">
        <v>4000</v>
      </c>
      <c r="K117" s="29">
        <v>23800</v>
      </c>
      <c r="L117" s="29">
        <v>4000</v>
      </c>
      <c r="M117" s="29">
        <v>4000</v>
      </c>
      <c r="N117" s="30">
        <v>0</v>
      </c>
      <c r="O117" s="29" t="s">
        <v>7</v>
      </c>
      <c r="P117" s="29">
        <v>23800</v>
      </c>
      <c r="Q117" s="31"/>
      <c r="R117" s="31"/>
      <c r="S117" s="31"/>
    </row>
    <row r="118" spans="1:19" ht="20.5">
      <c r="A118" s="26">
        <f ca="1">IFERROR(__xludf.DUMMYFUNCTION("""COMPUTED_VALUE"""),112)</f>
        <v>112</v>
      </c>
      <c r="B118" s="27" t="str">
        <f ca="1">IFERROR(__xludf.DUMMYFUNCTION("""COMPUTED_VALUE"""),"🟩 Inbound")</f>
        <v>🟩 Inbound</v>
      </c>
      <c r="C118" s="28" t="s">
        <v>406</v>
      </c>
      <c r="D118" s="28" t="s">
        <v>21</v>
      </c>
      <c r="E118" s="28" t="s">
        <v>407</v>
      </c>
      <c r="F118" s="28" t="s">
        <v>23</v>
      </c>
      <c r="G118" s="28" t="s">
        <v>316</v>
      </c>
      <c r="H118" s="28" t="s">
        <v>408</v>
      </c>
      <c r="I118" s="29">
        <v>0</v>
      </c>
      <c r="J118" s="29">
        <v>4500</v>
      </c>
      <c r="K118" s="29">
        <v>4500</v>
      </c>
      <c r="L118" s="29">
        <v>4500</v>
      </c>
      <c r="M118" s="29">
        <v>4500</v>
      </c>
      <c r="N118" s="30">
        <v>0</v>
      </c>
      <c r="O118" s="29" t="s">
        <v>7</v>
      </c>
      <c r="P118" s="29">
        <v>4500</v>
      </c>
      <c r="Q118" s="31"/>
      <c r="R118" s="31"/>
      <c r="S118" s="31"/>
    </row>
    <row r="119" spans="1:19" ht="20.5">
      <c r="A119" s="26">
        <f ca="1">IFERROR(__xludf.DUMMYFUNCTION("""COMPUTED_VALUE"""),113)</f>
        <v>113</v>
      </c>
      <c r="B119" s="27" t="str">
        <f ca="1">IFERROR(__xludf.DUMMYFUNCTION("""COMPUTED_VALUE"""),"🟩 Inbound")</f>
        <v>🟩 Inbound</v>
      </c>
      <c r="C119" s="28" t="s">
        <v>409</v>
      </c>
      <c r="D119" s="28" t="s">
        <v>21</v>
      </c>
      <c r="E119" s="28" t="s">
        <v>410</v>
      </c>
      <c r="F119" s="28" t="s">
        <v>23</v>
      </c>
      <c r="G119" s="28" t="s">
        <v>271</v>
      </c>
      <c r="H119" s="28" t="s">
        <v>411</v>
      </c>
      <c r="I119" s="29">
        <v>0</v>
      </c>
      <c r="J119" s="29">
        <v>4500</v>
      </c>
      <c r="K119" s="29">
        <v>4500</v>
      </c>
      <c r="L119" s="29">
        <v>4500</v>
      </c>
      <c r="M119" s="29">
        <v>4500</v>
      </c>
      <c r="N119" s="30">
        <v>0</v>
      </c>
      <c r="O119" s="29" t="s">
        <v>7</v>
      </c>
      <c r="P119" s="29">
        <v>4500</v>
      </c>
      <c r="Q119" s="31"/>
      <c r="R119" s="31"/>
      <c r="S119" s="31"/>
    </row>
    <row r="120" spans="1:19" ht="20.5">
      <c r="A120" s="26">
        <f ca="1">IFERROR(__xludf.DUMMYFUNCTION("""COMPUTED_VALUE"""),114)</f>
        <v>114</v>
      </c>
      <c r="B120" s="27" t="str">
        <f ca="1">IFERROR(__xludf.DUMMYFUNCTION("""COMPUTED_VALUE"""),"🟩 Inbound")</f>
        <v>🟩 Inbound</v>
      </c>
      <c r="C120" s="28" t="s">
        <v>412</v>
      </c>
      <c r="D120" s="28" t="s">
        <v>21</v>
      </c>
      <c r="E120" s="28" t="s">
        <v>413</v>
      </c>
      <c r="F120" s="28" t="s">
        <v>23</v>
      </c>
      <c r="G120" s="28" t="s">
        <v>178</v>
      </c>
      <c r="H120" s="28" t="s">
        <v>414</v>
      </c>
      <c r="I120" s="29">
        <v>0</v>
      </c>
      <c r="J120" s="29">
        <v>4000</v>
      </c>
      <c r="K120" s="29">
        <v>4000</v>
      </c>
      <c r="L120" s="29">
        <v>4000</v>
      </c>
      <c r="M120" s="29">
        <v>4000</v>
      </c>
      <c r="N120" s="30">
        <v>0</v>
      </c>
      <c r="O120" s="29" t="s">
        <v>7</v>
      </c>
      <c r="P120" s="29">
        <v>4000</v>
      </c>
      <c r="Q120" s="31"/>
      <c r="R120" s="31"/>
      <c r="S120" s="31"/>
    </row>
    <row r="121" spans="1:19" ht="20.5">
      <c r="A121" s="26">
        <f ca="1">IFERROR(__xludf.DUMMYFUNCTION("""COMPUTED_VALUE"""),115)</f>
        <v>115</v>
      </c>
      <c r="B121" s="27" t="str">
        <f ca="1">IFERROR(__xludf.DUMMYFUNCTION("""COMPUTED_VALUE"""),"🟩 Inbound")</f>
        <v>🟩 Inbound</v>
      </c>
      <c r="C121" s="28" t="s">
        <v>415</v>
      </c>
      <c r="D121" s="28" t="s">
        <v>21</v>
      </c>
      <c r="E121" s="28" t="s">
        <v>416</v>
      </c>
      <c r="F121" s="28" t="s">
        <v>23</v>
      </c>
      <c r="G121" s="28" t="s">
        <v>172</v>
      </c>
      <c r="H121" s="28" t="s">
        <v>417</v>
      </c>
      <c r="I121" s="29">
        <v>0</v>
      </c>
      <c r="J121" s="29">
        <v>0</v>
      </c>
      <c r="K121" s="29">
        <v>0</v>
      </c>
      <c r="L121" s="29">
        <v>4000</v>
      </c>
      <c r="M121" s="29" t="s">
        <v>7</v>
      </c>
      <c r="N121" s="30">
        <v>0</v>
      </c>
      <c r="O121" s="29" t="s">
        <v>7</v>
      </c>
      <c r="P121" s="29" t="s">
        <v>7</v>
      </c>
      <c r="Q121" s="31"/>
      <c r="R121" s="31"/>
      <c r="S121" s="31"/>
    </row>
    <row r="122" spans="1:19" ht="20.5">
      <c r="A122" s="26">
        <f ca="1">IFERROR(__xludf.DUMMYFUNCTION("""COMPUTED_VALUE"""),116)</f>
        <v>116</v>
      </c>
      <c r="B122" s="27" t="str">
        <f ca="1">IFERROR(__xludf.DUMMYFUNCTION("""COMPUTED_VALUE"""),"🟩 Inbound")</f>
        <v>🟩 Inbound</v>
      </c>
      <c r="C122" s="28" t="s">
        <v>418</v>
      </c>
      <c r="D122" s="28" t="s">
        <v>21</v>
      </c>
      <c r="E122" s="28" t="s">
        <v>419</v>
      </c>
      <c r="F122" s="28" t="s">
        <v>23</v>
      </c>
      <c r="G122" s="28" t="s">
        <v>392</v>
      </c>
      <c r="H122" s="28" t="s">
        <v>420</v>
      </c>
      <c r="I122" s="29">
        <v>0</v>
      </c>
      <c r="J122" s="29">
        <v>0</v>
      </c>
      <c r="K122" s="29">
        <v>0</v>
      </c>
      <c r="L122" s="29">
        <v>4000</v>
      </c>
      <c r="M122" s="29" t="s">
        <v>7</v>
      </c>
      <c r="N122" s="30">
        <v>0</v>
      </c>
      <c r="O122" s="29" t="s">
        <v>7</v>
      </c>
      <c r="P122" s="29" t="s">
        <v>7</v>
      </c>
      <c r="Q122" s="31"/>
      <c r="R122" s="31"/>
      <c r="S122" s="31"/>
    </row>
    <row r="123" spans="1:19" ht="20.5">
      <c r="A123" s="26">
        <f ca="1">IFERROR(__xludf.DUMMYFUNCTION("""COMPUTED_VALUE"""),117)</f>
        <v>117</v>
      </c>
      <c r="B123" s="27" t="str">
        <f ca="1">IFERROR(__xludf.DUMMYFUNCTION("""COMPUTED_VALUE"""),"🟩 Inbound")</f>
        <v>🟩 Inbound</v>
      </c>
      <c r="C123" s="28" t="s">
        <v>421</v>
      </c>
      <c r="D123" s="28" t="s">
        <v>21</v>
      </c>
      <c r="E123" s="28" t="s">
        <v>422</v>
      </c>
      <c r="F123" s="28" t="s">
        <v>23</v>
      </c>
      <c r="G123" s="28" t="s">
        <v>185</v>
      </c>
      <c r="H123" s="28" t="s">
        <v>423</v>
      </c>
      <c r="I123" s="29">
        <v>45000</v>
      </c>
      <c r="J123" s="29">
        <v>4500</v>
      </c>
      <c r="K123" s="29">
        <v>49500</v>
      </c>
      <c r="L123" s="29">
        <v>4500</v>
      </c>
      <c r="M123" s="29">
        <v>4500</v>
      </c>
      <c r="N123" s="30">
        <v>0</v>
      </c>
      <c r="O123" s="29" t="s">
        <v>7</v>
      </c>
      <c r="P123" s="29">
        <v>49500</v>
      </c>
      <c r="Q123" s="31"/>
      <c r="R123" s="31"/>
      <c r="S123" s="31"/>
    </row>
    <row r="124" spans="1:19" ht="20.5">
      <c r="A124" s="26">
        <f ca="1">IFERROR(__xludf.DUMMYFUNCTION("""COMPUTED_VALUE"""),118)</f>
        <v>118</v>
      </c>
      <c r="B124" s="27" t="str">
        <f ca="1">IFERROR(__xludf.DUMMYFUNCTION("""COMPUTED_VALUE"""),"🟩 Inbound")</f>
        <v>🟩 Inbound</v>
      </c>
      <c r="C124" s="28" t="s">
        <v>424</v>
      </c>
      <c r="D124" s="28" t="s">
        <v>21</v>
      </c>
      <c r="E124" s="28" t="s">
        <v>425</v>
      </c>
      <c r="F124" s="28" t="s">
        <v>23</v>
      </c>
      <c r="G124" s="28" t="s">
        <v>325</v>
      </c>
      <c r="H124" s="28" t="s">
        <v>426</v>
      </c>
      <c r="I124" s="29">
        <v>26500</v>
      </c>
      <c r="J124" s="29">
        <v>4000</v>
      </c>
      <c r="K124" s="29">
        <v>30500</v>
      </c>
      <c r="L124" s="29">
        <v>4000</v>
      </c>
      <c r="M124" s="29">
        <v>4000</v>
      </c>
      <c r="N124" s="30">
        <v>0</v>
      </c>
      <c r="O124" s="29" t="s">
        <v>7</v>
      </c>
      <c r="P124" s="29">
        <v>30500</v>
      </c>
      <c r="Q124" s="31"/>
      <c r="R124" s="31"/>
      <c r="S124" s="31"/>
    </row>
    <row r="125" spans="1:19" ht="20.5">
      <c r="A125" s="26">
        <f ca="1">IFERROR(__xludf.DUMMYFUNCTION("""COMPUTED_VALUE"""),119)</f>
        <v>119</v>
      </c>
      <c r="B125" s="27" t="str">
        <f ca="1">IFERROR(__xludf.DUMMYFUNCTION("""COMPUTED_VALUE"""),"🟩 Inbound")</f>
        <v>🟩 Inbound</v>
      </c>
      <c r="C125" s="28" t="s">
        <v>427</v>
      </c>
      <c r="D125" s="28" t="s">
        <v>21</v>
      </c>
      <c r="E125" s="28" t="s">
        <v>428</v>
      </c>
      <c r="F125" s="28" t="s">
        <v>23</v>
      </c>
      <c r="G125" s="28" t="s">
        <v>41</v>
      </c>
      <c r="H125" s="28" t="s">
        <v>429</v>
      </c>
      <c r="I125" s="29">
        <v>22000</v>
      </c>
      <c r="J125" s="29">
        <v>4000</v>
      </c>
      <c r="K125" s="29">
        <v>26000</v>
      </c>
      <c r="L125" s="29">
        <v>4000</v>
      </c>
      <c r="M125" s="29">
        <v>4000</v>
      </c>
      <c r="N125" s="30">
        <v>0</v>
      </c>
      <c r="O125" s="29" t="s">
        <v>7</v>
      </c>
      <c r="P125" s="29">
        <v>26000</v>
      </c>
      <c r="Q125" s="31"/>
      <c r="R125" s="31"/>
      <c r="S125" s="31"/>
    </row>
    <row r="126" spans="1:19" ht="20.5">
      <c r="A126" s="26">
        <f ca="1">IFERROR(__xludf.DUMMYFUNCTION("""COMPUTED_VALUE"""),120)</f>
        <v>120</v>
      </c>
      <c r="B126" s="27" t="str">
        <f ca="1">IFERROR(__xludf.DUMMYFUNCTION("""COMPUTED_VALUE"""),"🟩 Inbound")</f>
        <v>🟩 Inbound</v>
      </c>
      <c r="C126" s="28" t="s">
        <v>430</v>
      </c>
      <c r="D126" s="28" t="s">
        <v>21</v>
      </c>
      <c r="E126" s="28" t="s">
        <v>431</v>
      </c>
      <c r="F126" s="28" t="s">
        <v>23</v>
      </c>
      <c r="G126" s="28" t="s">
        <v>432</v>
      </c>
      <c r="H126" s="28" t="s">
        <v>433</v>
      </c>
      <c r="I126" s="29">
        <v>0</v>
      </c>
      <c r="J126" s="29">
        <v>0</v>
      </c>
      <c r="K126" s="29">
        <v>0</v>
      </c>
      <c r="L126" s="29">
        <v>0</v>
      </c>
      <c r="M126" s="29" t="s">
        <v>7</v>
      </c>
      <c r="N126" s="30">
        <v>0</v>
      </c>
      <c r="O126" s="29" t="s">
        <v>7</v>
      </c>
      <c r="P126" s="29" t="s">
        <v>7</v>
      </c>
      <c r="Q126" s="31"/>
      <c r="R126" s="31"/>
      <c r="S126" s="31"/>
    </row>
    <row r="127" spans="1:19" ht="20.5">
      <c r="A127" s="26">
        <f ca="1">IFERROR(__xludf.DUMMYFUNCTION("""COMPUTED_VALUE"""),121)</f>
        <v>121</v>
      </c>
      <c r="B127" s="27" t="str">
        <f ca="1">IFERROR(__xludf.DUMMYFUNCTION("""COMPUTED_VALUE"""),"🟩 Inbound")</f>
        <v>🟩 Inbound</v>
      </c>
      <c r="C127" s="28" t="s">
        <v>434</v>
      </c>
      <c r="D127" s="28" t="s">
        <v>21</v>
      </c>
      <c r="E127" s="28" t="s">
        <v>435</v>
      </c>
      <c r="F127" s="28" t="s">
        <v>23</v>
      </c>
      <c r="G127" s="28" t="s">
        <v>312</v>
      </c>
      <c r="H127" s="28" t="s">
        <v>436</v>
      </c>
      <c r="I127" s="29">
        <v>22000</v>
      </c>
      <c r="J127" s="29">
        <v>4000</v>
      </c>
      <c r="K127" s="29">
        <v>26000</v>
      </c>
      <c r="L127" s="29">
        <v>4000</v>
      </c>
      <c r="M127" s="29">
        <v>4000</v>
      </c>
      <c r="N127" s="30">
        <v>0</v>
      </c>
      <c r="O127" s="29" t="s">
        <v>7</v>
      </c>
      <c r="P127" s="29">
        <v>26000</v>
      </c>
      <c r="Q127" s="31"/>
      <c r="R127" s="31"/>
      <c r="S127" s="31"/>
    </row>
    <row r="128" spans="1:19" ht="20.5">
      <c r="A128" s="26">
        <f ca="1">IFERROR(__xludf.DUMMYFUNCTION("""COMPUTED_VALUE"""),122)</f>
        <v>122</v>
      </c>
      <c r="B128" s="27" t="str">
        <f ca="1">IFERROR(__xludf.DUMMYFUNCTION("""COMPUTED_VALUE"""),"🟩 Inbound")</f>
        <v>🟩 Inbound</v>
      </c>
      <c r="C128" s="28" t="s">
        <v>437</v>
      </c>
      <c r="D128" s="28" t="s">
        <v>21</v>
      </c>
      <c r="E128" s="28" t="s">
        <v>438</v>
      </c>
      <c r="F128" s="28" t="s">
        <v>23</v>
      </c>
      <c r="G128" s="28" t="s">
        <v>372</v>
      </c>
      <c r="H128" s="28" t="s">
        <v>439</v>
      </c>
      <c r="I128" s="29">
        <v>0</v>
      </c>
      <c r="J128" s="29">
        <v>4000</v>
      </c>
      <c r="K128" s="29">
        <v>4000</v>
      </c>
      <c r="L128" s="29">
        <v>4000</v>
      </c>
      <c r="M128" s="29">
        <v>4000</v>
      </c>
      <c r="N128" s="30">
        <v>0</v>
      </c>
      <c r="O128" s="29" t="s">
        <v>7</v>
      </c>
      <c r="P128" s="29">
        <v>4000</v>
      </c>
      <c r="Q128" s="31"/>
      <c r="R128" s="31"/>
      <c r="S128" s="31"/>
    </row>
    <row r="129" spans="1:19" ht="20.5">
      <c r="A129" s="26">
        <f ca="1">IFERROR(__xludf.DUMMYFUNCTION("""COMPUTED_VALUE"""),123)</f>
        <v>123</v>
      </c>
      <c r="B129" s="27" t="str">
        <f ca="1">IFERROR(__xludf.DUMMYFUNCTION("""COMPUTED_VALUE"""),"🟩 Inbound")</f>
        <v>🟩 Inbound</v>
      </c>
      <c r="C129" s="28" t="s">
        <v>440</v>
      </c>
      <c r="D129" s="28" t="s">
        <v>21</v>
      </c>
      <c r="E129" s="28" t="s">
        <v>441</v>
      </c>
      <c r="F129" s="28" t="s">
        <v>23</v>
      </c>
      <c r="G129" s="28" t="s">
        <v>253</v>
      </c>
      <c r="H129" s="28" t="s">
        <v>442</v>
      </c>
      <c r="I129" s="29">
        <v>20800</v>
      </c>
      <c r="J129" s="29">
        <v>4000</v>
      </c>
      <c r="K129" s="29">
        <v>24800</v>
      </c>
      <c r="L129" s="29">
        <v>4000</v>
      </c>
      <c r="M129" s="29">
        <v>4000</v>
      </c>
      <c r="N129" s="30">
        <v>0</v>
      </c>
      <c r="O129" s="29" t="s">
        <v>7</v>
      </c>
      <c r="P129" s="29">
        <v>24800</v>
      </c>
      <c r="Q129" s="31"/>
      <c r="R129" s="31"/>
      <c r="S129" s="31"/>
    </row>
    <row r="130" spans="1:19" ht="20.5">
      <c r="A130" s="26">
        <f ca="1">IFERROR(__xludf.DUMMYFUNCTION("""COMPUTED_VALUE"""),124)</f>
        <v>124</v>
      </c>
      <c r="B130" s="27" t="str">
        <f ca="1">IFERROR(__xludf.DUMMYFUNCTION("""COMPUTED_VALUE"""),"🟩 Inbound")</f>
        <v>🟩 Inbound</v>
      </c>
      <c r="C130" s="28" t="s">
        <v>443</v>
      </c>
      <c r="D130" s="28" t="s">
        <v>21</v>
      </c>
      <c r="E130" s="28" t="s">
        <v>444</v>
      </c>
      <c r="F130" s="28" t="s">
        <v>23</v>
      </c>
      <c r="G130" s="28" t="s">
        <v>14</v>
      </c>
      <c r="H130" s="28" t="s">
        <v>445</v>
      </c>
      <c r="I130" s="29">
        <v>57000</v>
      </c>
      <c r="J130" s="29">
        <v>4000</v>
      </c>
      <c r="K130" s="29">
        <v>61000</v>
      </c>
      <c r="L130" s="29">
        <v>4000</v>
      </c>
      <c r="M130" s="29">
        <v>4000</v>
      </c>
      <c r="N130" s="30">
        <v>0</v>
      </c>
      <c r="O130" s="29" t="s">
        <v>7</v>
      </c>
      <c r="P130" s="29">
        <v>61000</v>
      </c>
      <c r="Q130" s="31"/>
      <c r="R130" s="31"/>
      <c r="S130" s="31"/>
    </row>
    <row r="131" spans="1:19" ht="20.5">
      <c r="A131" s="26">
        <f ca="1">IFERROR(__xludf.DUMMYFUNCTION("""COMPUTED_VALUE"""),125)</f>
        <v>125</v>
      </c>
      <c r="B131" s="27" t="str">
        <f ca="1">IFERROR(__xludf.DUMMYFUNCTION("""COMPUTED_VALUE"""),"🟩 Inbound")</f>
        <v>🟩 Inbound</v>
      </c>
      <c r="C131" s="28" t="s">
        <v>446</v>
      </c>
      <c r="D131" s="28" t="s">
        <v>21</v>
      </c>
      <c r="E131" s="28" t="s">
        <v>447</v>
      </c>
      <c r="F131" s="28" t="s">
        <v>23</v>
      </c>
      <c r="G131" s="28" t="s">
        <v>376</v>
      </c>
      <c r="H131" s="28" t="s">
        <v>448</v>
      </c>
      <c r="I131" s="29">
        <v>22000</v>
      </c>
      <c r="J131" s="29">
        <v>4000</v>
      </c>
      <c r="K131" s="29">
        <v>26000</v>
      </c>
      <c r="L131" s="29">
        <v>4000</v>
      </c>
      <c r="M131" s="29">
        <v>4000</v>
      </c>
      <c r="N131" s="30">
        <v>0</v>
      </c>
      <c r="O131" s="29" t="s">
        <v>7</v>
      </c>
      <c r="P131" s="29">
        <v>26000</v>
      </c>
      <c r="Q131" s="31"/>
      <c r="R131" s="31"/>
      <c r="S131" s="31"/>
    </row>
    <row r="132" spans="1:19" ht="20.5">
      <c r="A132" s="26">
        <f ca="1">IFERROR(__xludf.DUMMYFUNCTION("""COMPUTED_VALUE"""),126)</f>
        <v>126</v>
      </c>
      <c r="B132" s="27" t="str">
        <f ca="1">IFERROR(__xludf.DUMMYFUNCTION("""COMPUTED_VALUE"""),"🟩 Inbound")</f>
        <v>🟩 Inbound</v>
      </c>
      <c r="C132" s="28" t="s">
        <v>449</v>
      </c>
      <c r="D132" s="28" t="s">
        <v>21</v>
      </c>
      <c r="E132" s="28" t="s">
        <v>450</v>
      </c>
      <c r="F132" s="28" t="s">
        <v>23</v>
      </c>
      <c r="G132" s="28" t="s">
        <v>271</v>
      </c>
      <c r="H132" s="28" t="s">
        <v>451</v>
      </c>
      <c r="I132" s="29">
        <v>22800</v>
      </c>
      <c r="J132" s="29">
        <v>4500</v>
      </c>
      <c r="K132" s="29">
        <v>27300</v>
      </c>
      <c r="L132" s="29">
        <v>4500</v>
      </c>
      <c r="M132" s="29">
        <v>4500</v>
      </c>
      <c r="N132" s="30">
        <v>0</v>
      </c>
      <c r="O132" s="29" t="s">
        <v>7</v>
      </c>
      <c r="P132" s="29">
        <v>27300</v>
      </c>
      <c r="Q132" s="31"/>
      <c r="R132" s="31"/>
      <c r="S132" s="31"/>
    </row>
    <row r="133" spans="1:19" ht="20.5">
      <c r="A133" s="26">
        <f ca="1">IFERROR(__xludf.DUMMYFUNCTION("""COMPUTED_VALUE"""),127)</f>
        <v>127</v>
      </c>
      <c r="B133" s="27" t="str">
        <f ca="1">IFERROR(__xludf.DUMMYFUNCTION("""COMPUTED_VALUE"""),"🟩 Inbound")</f>
        <v>🟩 Inbound</v>
      </c>
      <c r="C133" s="28" t="s">
        <v>452</v>
      </c>
      <c r="D133" s="28" t="s">
        <v>21</v>
      </c>
      <c r="E133" s="28" t="s">
        <v>453</v>
      </c>
      <c r="F133" s="28" t="s">
        <v>23</v>
      </c>
      <c r="G133" s="28" t="s">
        <v>376</v>
      </c>
      <c r="H133" s="28" t="s">
        <v>454</v>
      </c>
      <c r="I133" s="29">
        <v>19500</v>
      </c>
      <c r="J133" s="29">
        <v>4000</v>
      </c>
      <c r="K133" s="29">
        <v>23500</v>
      </c>
      <c r="L133" s="29">
        <v>4000</v>
      </c>
      <c r="M133" s="29">
        <v>4000</v>
      </c>
      <c r="N133" s="30">
        <v>0</v>
      </c>
      <c r="O133" s="29" t="s">
        <v>7</v>
      </c>
      <c r="P133" s="29">
        <v>23500</v>
      </c>
      <c r="Q133" s="31"/>
      <c r="R133" s="31"/>
      <c r="S133" s="31"/>
    </row>
    <row r="134" spans="1:19" ht="20.5">
      <c r="A134" s="26">
        <f ca="1">IFERROR(__xludf.DUMMYFUNCTION("""COMPUTED_VALUE"""),128)</f>
        <v>128</v>
      </c>
      <c r="B134" s="27" t="str">
        <f ca="1">IFERROR(__xludf.DUMMYFUNCTION("""COMPUTED_VALUE"""),"🟩 Inbound")</f>
        <v>🟩 Inbound</v>
      </c>
      <c r="C134" s="28" t="s">
        <v>455</v>
      </c>
      <c r="D134" s="28" t="s">
        <v>21</v>
      </c>
      <c r="E134" s="28" t="s">
        <v>456</v>
      </c>
      <c r="F134" s="28" t="s">
        <v>23</v>
      </c>
      <c r="G134" s="28" t="s">
        <v>41</v>
      </c>
      <c r="H134" s="28" t="s">
        <v>457</v>
      </c>
      <c r="I134" s="29">
        <v>20500</v>
      </c>
      <c r="J134" s="29">
        <v>4000</v>
      </c>
      <c r="K134" s="29">
        <v>24500</v>
      </c>
      <c r="L134" s="29">
        <v>4000</v>
      </c>
      <c r="M134" s="29">
        <v>4000</v>
      </c>
      <c r="N134" s="30">
        <v>0</v>
      </c>
      <c r="O134" s="29" t="s">
        <v>7</v>
      </c>
      <c r="P134" s="29">
        <v>24500</v>
      </c>
      <c r="Q134" s="31"/>
      <c r="R134" s="31"/>
      <c r="S134" s="31"/>
    </row>
    <row r="135" spans="1:19" ht="20.5">
      <c r="A135" s="26">
        <f ca="1">IFERROR(__xludf.DUMMYFUNCTION("""COMPUTED_VALUE"""),129)</f>
        <v>129</v>
      </c>
      <c r="B135" s="27" t="str">
        <f ca="1">IFERROR(__xludf.DUMMYFUNCTION("""COMPUTED_VALUE"""),"🟩 Inbound")</f>
        <v>🟩 Inbound</v>
      </c>
      <c r="C135" s="28" t="s">
        <v>458</v>
      </c>
      <c r="D135" s="28" t="s">
        <v>21</v>
      </c>
      <c r="E135" s="28" t="s">
        <v>459</v>
      </c>
      <c r="F135" s="28" t="s">
        <v>23</v>
      </c>
      <c r="G135" s="28" t="s">
        <v>60</v>
      </c>
      <c r="H135" s="28" t="s">
        <v>460</v>
      </c>
      <c r="I135" s="29">
        <v>0</v>
      </c>
      <c r="J135" s="29">
        <v>4000</v>
      </c>
      <c r="K135" s="29">
        <v>4000</v>
      </c>
      <c r="L135" s="29">
        <v>4000</v>
      </c>
      <c r="M135" s="29">
        <v>4000</v>
      </c>
      <c r="N135" s="30">
        <v>0</v>
      </c>
      <c r="O135" s="29" t="s">
        <v>7</v>
      </c>
      <c r="P135" s="29">
        <v>4000</v>
      </c>
      <c r="Q135" s="31"/>
      <c r="R135" s="31"/>
      <c r="S135" s="31"/>
    </row>
    <row r="136" spans="1:19" ht="20.5">
      <c r="A136" s="26">
        <f ca="1">IFERROR(__xludf.DUMMYFUNCTION("""COMPUTED_VALUE"""),130)</f>
        <v>130</v>
      </c>
      <c r="B136" s="27" t="str">
        <f ca="1">IFERROR(__xludf.DUMMYFUNCTION("""COMPUTED_VALUE"""),"🟩 Inbound")</f>
        <v>🟩 Inbound</v>
      </c>
      <c r="C136" s="28" t="s">
        <v>461</v>
      </c>
      <c r="D136" s="28" t="s">
        <v>21</v>
      </c>
      <c r="E136" s="28" t="s">
        <v>462</v>
      </c>
      <c r="F136" s="28" t="s">
        <v>23</v>
      </c>
      <c r="G136" s="28" t="s">
        <v>316</v>
      </c>
      <c r="H136" s="28" t="s">
        <v>463</v>
      </c>
      <c r="I136" s="29">
        <v>0</v>
      </c>
      <c r="J136" s="29">
        <v>4500</v>
      </c>
      <c r="K136" s="29">
        <v>4500</v>
      </c>
      <c r="L136" s="29">
        <v>4500</v>
      </c>
      <c r="M136" s="29">
        <v>4500</v>
      </c>
      <c r="N136" s="30">
        <v>0</v>
      </c>
      <c r="O136" s="29" t="s">
        <v>7</v>
      </c>
      <c r="P136" s="29">
        <v>4500</v>
      </c>
      <c r="Q136" s="31"/>
      <c r="R136" s="31"/>
      <c r="S136" s="31"/>
    </row>
    <row r="137" spans="1:19" ht="20.5">
      <c r="A137" s="26">
        <f ca="1">IFERROR(__xludf.DUMMYFUNCTION("""COMPUTED_VALUE"""),131)</f>
        <v>131</v>
      </c>
      <c r="B137" s="27" t="str">
        <f ca="1">IFERROR(__xludf.DUMMYFUNCTION("""COMPUTED_VALUE"""),"🟩 Inbound")</f>
        <v>🟩 Inbound</v>
      </c>
      <c r="C137" s="28" t="s">
        <v>464</v>
      </c>
      <c r="D137" s="28" t="s">
        <v>21</v>
      </c>
      <c r="E137" s="28" t="s">
        <v>465</v>
      </c>
      <c r="F137" s="28" t="s">
        <v>23</v>
      </c>
      <c r="G137" s="28" t="s">
        <v>316</v>
      </c>
      <c r="H137" s="28" t="s">
        <v>466</v>
      </c>
      <c r="I137" s="29">
        <v>19800</v>
      </c>
      <c r="J137" s="29">
        <v>4500</v>
      </c>
      <c r="K137" s="29">
        <v>24300</v>
      </c>
      <c r="L137" s="29">
        <v>4500</v>
      </c>
      <c r="M137" s="29">
        <v>4500</v>
      </c>
      <c r="N137" s="30">
        <v>0</v>
      </c>
      <c r="O137" s="29" t="s">
        <v>7</v>
      </c>
      <c r="P137" s="29">
        <v>24300</v>
      </c>
      <c r="Q137" s="31"/>
      <c r="R137" s="31"/>
      <c r="S137" s="31"/>
    </row>
    <row r="138" spans="1:19" ht="20.5">
      <c r="A138" s="26">
        <f ca="1">IFERROR(__xludf.DUMMYFUNCTION("""COMPUTED_VALUE"""),132)</f>
        <v>132</v>
      </c>
      <c r="B138" s="27" t="str">
        <f ca="1">IFERROR(__xludf.DUMMYFUNCTION("""COMPUTED_VALUE"""),"🟩 Inbound")</f>
        <v>🟩 Inbound</v>
      </c>
      <c r="C138" s="28" t="s">
        <v>467</v>
      </c>
      <c r="D138" s="28" t="s">
        <v>21</v>
      </c>
      <c r="E138" s="28" t="s">
        <v>468</v>
      </c>
      <c r="F138" s="28" t="s">
        <v>23</v>
      </c>
      <c r="G138" s="28" t="s">
        <v>271</v>
      </c>
      <c r="H138" s="28" t="s">
        <v>469</v>
      </c>
      <c r="I138" s="29">
        <v>30000</v>
      </c>
      <c r="J138" s="29">
        <v>4500</v>
      </c>
      <c r="K138" s="29">
        <v>34500</v>
      </c>
      <c r="L138" s="29">
        <v>4500</v>
      </c>
      <c r="M138" s="29">
        <v>4500</v>
      </c>
      <c r="N138" s="30">
        <v>0</v>
      </c>
      <c r="O138" s="29" t="s">
        <v>7</v>
      </c>
      <c r="P138" s="29">
        <v>34500</v>
      </c>
      <c r="Q138" s="31"/>
      <c r="R138" s="31"/>
      <c r="S138" s="31"/>
    </row>
    <row r="139" spans="1:19" ht="20.5">
      <c r="A139" s="26">
        <f ca="1">IFERROR(__xludf.DUMMYFUNCTION("""COMPUTED_VALUE"""),133)</f>
        <v>133</v>
      </c>
      <c r="B139" s="27" t="str">
        <f ca="1">IFERROR(__xludf.DUMMYFUNCTION("""COMPUTED_VALUE"""),"🟩 Inbound")</f>
        <v>🟩 Inbound</v>
      </c>
      <c r="C139" s="28" t="s">
        <v>470</v>
      </c>
      <c r="D139" s="28" t="s">
        <v>21</v>
      </c>
      <c r="E139" s="28" t="s">
        <v>471</v>
      </c>
      <c r="F139" s="28" t="s">
        <v>23</v>
      </c>
      <c r="G139" s="28" t="s">
        <v>41</v>
      </c>
      <c r="H139" s="28" t="s">
        <v>472</v>
      </c>
      <c r="I139" s="29">
        <v>22000</v>
      </c>
      <c r="J139" s="29">
        <v>4000</v>
      </c>
      <c r="K139" s="29">
        <v>26000</v>
      </c>
      <c r="L139" s="29">
        <v>4000</v>
      </c>
      <c r="M139" s="29">
        <v>4000</v>
      </c>
      <c r="N139" s="30">
        <v>0</v>
      </c>
      <c r="O139" s="29" t="s">
        <v>7</v>
      </c>
      <c r="P139" s="29">
        <v>26000</v>
      </c>
      <c r="Q139" s="31"/>
      <c r="R139" s="31"/>
      <c r="S139" s="31"/>
    </row>
    <row r="140" spans="1:19" ht="20.5">
      <c r="A140" s="26">
        <f ca="1">IFERROR(__xludf.DUMMYFUNCTION("""COMPUTED_VALUE"""),134)</f>
        <v>134</v>
      </c>
      <c r="B140" s="27" t="str">
        <f ca="1">IFERROR(__xludf.DUMMYFUNCTION("""COMPUTED_VALUE"""),"🟩 Inbound")</f>
        <v>🟩 Inbound</v>
      </c>
      <c r="C140" s="28" t="s">
        <v>473</v>
      </c>
      <c r="D140" s="28" t="s">
        <v>21</v>
      </c>
      <c r="E140" s="28" t="s">
        <v>474</v>
      </c>
      <c r="F140" s="28" t="s">
        <v>23</v>
      </c>
      <c r="G140" s="28" t="s">
        <v>376</v>
      </c>
      <c r="H140" s="28" t="s">
        <v>475</v>
      </c>
      <c r="I140" s="29">
        <v>22000</v>
      </c>
      <c r="J140" s="29">
        <v>4000</v>
      </c>
      <c r="K140" s="29">
        <v>26000</v>
      </c>
      <c r="L140" s="29">
        <v>4000</v>
      </c>
      <c r="M140" s="29">
        <v>4000</v>
      </c>
      <c r="N140" s="30">
        <v>0</v>
      </c>
      <c r="O140" s="29" t="s">
        <v>7</v>
      </c>
      <c r="P140" s="29">
        <v>26000</v>
      </c>
      <c r="Q140" s="31"/>
      <c r="R140" s="31"/>
      <c r="S140" s="31"/>
    </row>
    <row r="141" spans="1:19" ht="20.5">
      <c r="A141" s="26">
        <f ca="1">IFERROR(__xludf.DUMMYFUNCTION("""COMPUTED_VALUE"""),135)</f>
        <v>135</v>
      </c>
      <c r="B141" s="27" t="str">
        <f ca="1">IFERROR(__xludf.DUMMYFUNCTION("""COMPUTED_VALUE"""),"🟩 Inbound")</f>
        <v>🟩 Inbound</v>
      </c>
      <c r="C141" s="28" t="s">
        <v>476</v>
      </c>
      <c r="D141" s="28" t="s">
        <v>21</v>
      </c>
      <c r="E141" s="28" t="s">
        <v>477</v>
      </c>
      <c r="F141" s="28" t="s">
        <v>23</v>
      </c>
      <c r="G141" s="28" t="s">
        <v>5</v>
      </c>
      <c r="H141" s="28" t="s">
        <v>478</v>
      </c>
      <c r="I141" s="29">
        <v>20800</v>
      </c>
      <c r="J141" s="29">
        <v>4000</v>
      </c>
      <c r="K141" s="29">
        <v>24800</v>
      </c>
      <c r="L141" s="29">
        <v>4000</v>
      </c>
      <c r="M141" s="29">
        <v>4000</v>
      </c>
      <c r="N141" s="30">
        <v>0</v>
      </c>
      <c r="O141" s="29" t="s">
        <v>7</v>
      </c>
      <c r="P141" s="29">
        <v>24800</v>
      </c>
      <c r="Q141" s="31"/>
      <c r="R141" s="31"/>
      <c r="S141" s="31"/>
    </row>
    <row r="142" spans="1:19" ht="20.5">
      <c r="A142" s="26">
        <f ca="1">IFERROR(__xludf.DUMMYFUNCTION("""COMPUTED_VALUE"""),136)</f>
        <v>136</v>
      </c>
      <c r="B142" s="27" t="str">
        <f ca="1">IFERROR(__xludf.DUMMYFUNCTION("""COMPUTED_VALUE"""),"🟩 Inbound")</f>
        <v>🟩 Inbound</v>
      </c>
      <c r="C142" s="28" t="s">
        <v>479</v>
      </c>
      <c r="D142" s="28" t="s">
        <v>21</v>
      </c>
      <c r="E142" s="28" t="s">
        <v>480</v>
      </c>
      <c r="F142" s="28" t="s">
        <v>23</v>
      </c>
      <c r="G142" s="28" t="s">
        <v>481</v>
      </c>
      <c r="H142" s="28" t="s">
        <v>482</v>
      </c>
      <c r="I142" s="29">
        <v>76400</v>
      </c>
      <c r="J142" s="29">
        <v>4000</v>
      </c>
      <c r="K142" s="29">
        <v>80400</v>
      </c>
      <c r="L142" s="29">
        <v>4000</v>
      </c>
      <c r="M142" s="29">
        <v>4000</v>
      </c>
      <c r="N142" s="30">
        <v>0</v>
      </c>
      <c r="O142" s="29" t="s">
        <v>7</v>
      </c>
      <c r="P142" s="29">
        <v>80400</v>
      </c>
      <c r="Q142" s="31"/>
      <c r="R142" s="31"/>
      <c r="S142" s="31"/>
    </row>
    <row r="143" spans="1:19" ht="20.5">
      <c r="A143" s="26">
        <f ca="1">IFERROR(__xludf.DUMMYFUNCTION("""COMPUTED_VALUE"""),137)</f>
        <v>137</v>
      </c>
      <c r="B143" s="27" t="str">
        <f ca="1">IFERROR(__xludf.DUMMYFUNCTION("""COMPUTED_VALUE"""),"🟩 Inbound")</f>
        <v>🟩 Inbound</v>
      </c>
      <c r="C143" s="28" t="s">
        <v>483</v>
      </c>
      <c r="D143" s="28" t="s">
        <v>21</v>
      </c>
      <c r="E143" s="28" t="s">
        <v>484</v>
      </c>
      <c r="F143" s="28" t="s">
        <v>23</v>
      </c>
      <c r="G143" s="28" t="s">
        <v>185</v>
      </c>
      <c r="H143" s="28" t="s">
        <v>485</v>
      </c>
      <c r="I143" s="29">
        <v>126700</v>
      </c>
      <c r="J143" s="29">
        <v>4500</v>
      </c>
      <c r="K143" s="29">
        <v>131200</v>
      </c>
      <c r="L143" s="29">
        <v>4500</v>
      </c>
      <c r="M143" s="29">
        <v>4500</v>
      </c>
      <c r="N143" s="30">
        <v>0</v>
      </c>
      <c r="O143" s="29" t="s">
        <v>7</v>
      </c>
      <c r="P143" s="29">
        <v>131200</v>
      </c>
      <c r="Q143" s="31"/>
      <c r="R143" s="31"/>
      <c r="S143" s="31"/>
    </row>
    <row r="144" spans="1:19" ht="20.5">
      <c r="A144" s="26">
        <f ca="1">IFERROR(__xludf.DUMMYFUNCTION("""COMPUTED_VALUE"""),138)</f>
        <v>138</v>
      </c>
      <c r="B144" s="27" t="str">
        <f ca="1">IFERROR(__xludf.DUMMYFUNCTION("""COMPUTED_VALUE"""),"🟩 Inbound")</f>
        <v>🟩 Inbound</v>
      </c>
      <c r="C144" s="28" t="s">
        <v>486</v>
      </c>
      <c r="D144" s="28" t="s">
        <v>487</v>
      </c>
      <c r="E144" s="28" t="s">
        <v>488</v>
      </c>
      <c r="F144" s="28" t="s">
        <v>489</v>
      </c>
      <c r="G144" s="28" t="s">
        <v>271</v>
      </c>
      <c r="H144" s="28" t="s">
        <v>490</v>
      </c>
      <c r="I144" s="29">
        <v>13000</v>
      </c>
      <c r="J144" s="29">
        <v>4500</v>
      </c>
      <c r="K144" s="29">
        <v>17500</v>
      </c>
      <c r="L144" s="29">
        <v>4500</v>
      </c>
      <c r="M144" s="29">
        <v>4500</v>
      </c>
      <c r="N144" s="30">
        <v>0</v>
      </c>
      <c r="O144" s="29" t="s">
        <v>7</v>
      </c>
      <c r="P144" s="29">
        <v>17500</v>
      </c>
      <c r="Q144" s="31"/>
      <c r="R144" s="31"/>
      <c r="S144" s="31"/>
    </row>
    <row r="145" spans="1:19" ht="20.5">
      <c r="A145" s="26">
        <f ca="1">IFERROR(__xludf.DUMMYFUNCTION("""COMPUTED_VALUE"""),139)</f>
        <v>139</v>
      </c>
      <c r="B145" s="27" t="str">
        <f ca="1">IFERROR(__xludf.DUMMYFUNCTION("""COMPUTED_VALUE"""),"🟩 Inbound")</f>
        <v>🟩 Inbound</v>
      </c>
      <c r="C145" s="28" t="s">
        <v>491</v>
      </c>
      <c r="D145" s="28" t="s">
        <v>487</v>
      </c>
      <c r="E145" s="28" t="s">
        <v>492</v>
      </c>
      <c r="F145" s="28" t="s">
        <v>489</v>
      </c>
      <c r="G145" s="28" t="s">
        <v>271</v>
      </c>
      <c r="H145" s="28" t="s">
        <v>493</v>
      </c>
      <c r="I145" s="29">
        <v>40000</v>
      </c>
      <c r="J145" s="29">
        <v>4500</v>
      </c>
      <c r="K145" s="29">
        <v>44500</v>
      </c>
      <c r="L145" s="29">
        <v>4500</v>
      </c>
      <c r="M145" s="29">
        <v>4500</v>
      </c>
      <c r="N145" s="30">
        <v>0</v>
      </c>
      <c r="O145" s="29" t="s">
        <v>7</v>
      </c>
      <c r="P145" s="29">
        <v>44500</v>
      </c>
      <c r="Q145" s="31"/>
      <c r="R145" s="31"/>
      <c r="S145" s="31"/>
    </row>
    <row r="146" spans="1:19" ht="20.5">
      <c r="A146" s="26">
        <f ca="1">IFERROR(__xludf.DUMMYFUNCTION("""COMPUTED_VALUE"""),140)</f>
        <v>140</v>
      </c>
      <c r="B146" s="27" t="str">
        <f ca="1">IFERROR(__xludf.DUMMYFUNCTION("""COMPUTED_VALUE"""),"🟩 Inbound")</f>
        <v>🟩 Inbound</v>
      </c>
      <c r="C146" s="28" t="s">
        <v>494</v>
      </c>
      <c r="D146" s="28" t="s">
        <v>487</v>
      </c>
      <c r="E146" s="28" t="s">
        <v>495</v>
      </c>
      <c r="F146" s="28" t="s">
        <v>489</v>
      </c>
      <c r="G146" s="28" t="s">
        <v>316</v>
      </c>
      <c r="H146" s="28" t="s">
        <v>496</v>
      </c>
      <c r="I146" s="29">
        <v>17000</v>
      </c>
      <c r="J146" s="29">
        <v>4500</v>
      </c>
      <c r="K146" s="29">
        <v>21500</v>
      </c>
      <c r="L146" s="29">
        <v>4500</v>
      </c>
      <c r="M146" s="29">
        <v>4500</v>
      </c>
      <c r="N146" s="30">
        <v>0</v>
      </c>
      <c r="O146" s="29" t="s">
        <v>7</v>
      </c>
      <c r="P146" s="29">
        <v>21500</v>
      </c>
      <c r="Q146" s="31"/>
      <c r="R146" s="31"/>
      <c r="S146" s="31"/>
    </row>
    <row r="147" spans="1:19" ht="20.5">
      <c r="A147" s="26">
        <f ca="1">IFERROR(__xludf.DUMMYFUNCTION("""COMPUTED_VALUE"""),141)</f>
        <v>141</v>
      </c>
      <c r="B147" s="27" t="str">
        <f ca="1">IFERROR(__xludf.DUMMYFUNCTION("""COMPUTED_VALUE"""),"🟩 Inbound")</f>
        <v>🟩 Inbound</v>
      </c>
      <c r="C147" s="28" t="s">
        <v>497</v>
      </c>
      <c r="D147" s="28" t="s">
        <v>32</v>
      </c>
      <c r="E147" s="28" t="s">
        <v>498</v>
      </c>
      <c r="F147" s="28" t="s">
        <v>34</v>
      </c>
      <c r="G147" s="28" t="s">
        <v>178</v>
      </c>
      <c r="H147" s="28" t="s">
        <v>499</v>
      </c>
      <c r="I147" s="29">
        <v>0</v>
      </c>
      <c r="J147" s="29">
        <v>4000</v>
      </c>
      <c r="K147" s="29">
        <v>4000</v>
      </c>
      <c r="L147" s="29">
        <v>4000</v>
      </c>
      <c r="M147" s="29">
        <v>4000</v>
      </c>
      <c r="N147" s="30">
        <v>6</v>
      </c>
      <c r="O147" s="29">
        <v>1500</v>
      </c>
      <c r="P147" s="29">
        <v>5500</v>
      </c>
      <c r="Q147" s="31"/>
      <c r="R147" s="31"/>
      <c r="S147" s="31"/>
    </row>
    <row r="148" spans="1:19" ht="20.5">
      <c r="A148" s="26">
        <f ca="1">IFERROR(__xludf.DUMMYFUNCTION("""COMPUTED_VALUE"""),142)</f>
        <v>142</v>
      </c>
      <c r="B148" s="27" t="str">
        <f ca="1">IFERROR(__xludf.DUMMYFUNCTION("""COMPUTED_VALUE"""),"🟩 Inbound")</f>
        <v>🟩 Inbound</v>
      </c>
      <c r="C148" s="28" t="s">
        <v>500</v>
      </c>
      <c r="D148" s="28" t="s">
        <v>164</v>
      </c>
      <c r="E148" s="28" t="s">
        <v>501</v>
      </c>
      <c r="F148" s="28" t="s">
        <v>166</v>
      </c>
      <c r="G148" s="28" t="s">
        <v>376</v>
      </c>
      <c r="H148" s="28" t="s">
        <v>502</v>
      </c>
      <c r="I148" s="29">
        <v>25000</v>
      </c>
      <c r="J148" s="29">
        <v>4000</v>
      </c>
      <c r="K148" s="29">
        <v>29000</v>
      </c>
      <c r="L148" s="29">
        <v>4000</v>
      </c>
      <c r="M148" s="29">
        <v>4000</v>
      </c>
      <c r="N148" s="30">
        <v>0</v>
      </c>
      <c r="O148" s="29" t="s">
        <v>7</v>
      </c>
      <c r="P148" s="29">
        <v>29000</v>
      </c>
      <c r="Q148" s="31"/>
      <c r="R148" s="31"/>
      <c r="S148" s="31"/>
    </row>
    <row r="149" spans="1:19" ht="20.5">
      <c r="A149" s="26">
        <f ca="1">IFERROR(__xludf.DUMMYFUNCTION("""COMPUTED_VALUE"""),143)</f>
        <v>143</v>
      </c>
      <c r="B149" s="27" t="str">
        <f ca="1">IFERROR(__xludf.DUMMYFUNCTION("""COMPUTED_VALUE"""),"🟩 Inbound")</f>
        <v>🟩 Inbound</v>
      </c>
      <c r="C149" s="28" t="s">
        <v>503</v>
      </c>
      <c r="D149" s="28" t="s">
        <v>164</v>
      </c>
      <c r="E149" s="28" t="s">
        <v>504</v>
      </c>
      <c r="F149" s="28" t="s">
        <v>166</v>
      </c>
      <c r="G149" s="28" t="s">
        <v>196</v>
      </c>
      <c r="H149" s="28" t="s">
        <v>505</v>
      </c>
      <c r="I149" s="29" t="s">
        <v>506</v>
      </c>
      <c r="J149" s="29">
        <v>0</v>
      </c>
      <c r="K149" s="29" t="e">
        <v>#VALUE!</v>
      </c>
      <c r="L149" s="29">
        <v>4500</v>
      </c>
      <c r="M149" s="29" t="s">
        <v>7</v>
      </c>
      <c r="N149" s="40">
        <v>16</v>
      </c>
      <c r="O149" s="41">
        <v>15000</v>
      </c>
      <c r="P149" s="29" t="s">
        <v>506</v>
      </c>
      <c r="Q149" s="31"/>
      <c r="R149" s="31"/>
      <c r="S149" s="31"/>
    </row>
    <row r="150" spans="1:19" ht="20.5">
      <c r="A150" s="26">
        <f ca="1">IFERROR(__xludf.DUMMYFUNCTION("""COMPUTED_VALUE"""),144)</f>
        <v>144</v>
      </c>
      <c r="B150" s="27" t="str">
        <f ca="1">IFERROR(__xludf.DUMMYFUNCTION("""COMPUTED_VALUE"""),"🟩 Inbound")</f>
        <v>🟩 Inbound</v>
      </c>
      <c r="C150" s="28" t="s">
        <v>507</v>
      </c>
      <c r="D150" s="28" t="s">
        <v>38</v>
      </c>
      <c r="E150" s="28" t="s">
        <v>508</v>
      </c>
      <c r="F150" s="28" t="s">
        <v>40</v>
      </c>
      <c r="G150" s="28" t="s">
        <v>35</v>
      </c>
      <c r="H150" s="28" t="s">
        <v>509</v>
      </c>
      <c r="I150" s="29">
        <v>0</v>
      </c>
      <c r="J150" s="29">
        <v>0</v>
      </c>
      <c r="K150" s="29">
        <v>0</v>
      </c>
      <c r="L150" s="29">
        <v>3000</v>
      </c>
      <c r="M150" s="29" t="s">
        <v>7</v>
      </c>
      <c r="N150" s="30">
        <v>8</v>
      </c>
      <c r="O150" s="29">
        <v>2500</v>
      </c>
      <c r="P150" s="29">
        <v>2500</v>
      </c>
      <c r="Q150" s="31"/>
      <c r="R150" s="31"/>
      <c r="S150" s="31"/>
    </row>
    <row r="151" spans="1:19" ht="20.5">
      <c r="A151" s="26">
        <f ca="1">IFERROR(__xludf.DUMMYFUNCTION("""COMPUTED_VALUE"""),145)</f>
        <v>145</v>
      </c>
      <c r="B151" s="27" t="str">
        <f ca="1">IFERROR(__xludf.DUMMYFUNCTION("""COMPUTED_VALUE"""),"🟩 Inbound")</f>
        <v>🟩 Inbound</v>
      </c>
      <c r="C151" s="28" t="s">
        <v>510</v>
      </c>
      <c r="D151" s="28" t="s">
        <v>38</v>
      </c>
      <c r="E151" s="28" t="s">
        <v>511</v>
      </c>
      <c r="F151" s="28" t="s">
        <v>40</v>
      </c>
      <c r="G151" s="28" t="s">
        <v>271</v>
      </c>
      <c r="H151" s="28" t="s">
        <v>512</v>
      </c>
      <c r="I151" s="29">
        <v>274000</v>
      </c>
      <c r="J151" s="29">
        <v>4500</v>
      </c>
      <c r="K151" s="29">
        <v>278500</v>
      </c>
      <c r="L151" s="29">
        <v>4500</v>
      </c>
      <c r="M151" s="29">
        <v>4500</v>
      </c>
      <c r="N151" s="30">
        <v>0</v>
      </c>
      <c r="O151" s="29" t="s">
        <v>7</v>
      </c>
      <c r="P151" s="29">
        <v>278500</v>
      </c>
      <c r="Q151" s="31"/>
      <c r="R151" s="31"/>
      <c r="S151" s="31"/>
    </row>
    <row r="152" spans="1:19" ht="20.5">
      <c r="A152" s="26">
        <f ca="1">IFERROR(__xludf.DUMMYFUNCTION("""COMPUTED_VALUE"""),146)</f>
        <v>146</v>
      </c>
      <c r="B152" s="27" t="str">
        <f ca="1">IFERROR(__xludf.DUMMYFUNCTION("""COMPUTED_VALUE"""),"🟩 Inbound")</f>
        <v>🟩 Inbound</v>
      </c>
      <c r="C152" s="28" t="s">
        <v>513</v>
      </c>
      <c r="D152" s="28" t="s">
        <v>38</v>
      </c>
      <c r="E152" s="28" t="s">
        <v>514</v>
      </c>
      <c r="F152" s="28" t="s">
        <v>40</v>
      </c>
      <c r="G152" s="28" t="s">
        <v>312</v>
      </c>
      <c r="H152" s="28" t="s">
        <v>515</v>
      </c>
      <c r="I152" s="29">
        <v>133200</v>
      </c>
      <c r="J152" s="29">
        <v>4000</v>
      </c>
      <c r="K152" s="29">
        <v>137200</v>
      </c>
      <c r="L152" s="29">
        <v>4000</v>
      </c>
      <c r="M152" s="29">
        <v>4000</v>
      </c>
      <c r="N152" s="30">
        <v>0</v>
      </c>
      <c r="O152" s="29" t="s">
        <v>7</v>
      </c>
      <c r="P152" s="29">
        <v>137200</v>
      </c>
      <c r="Q152" s="31"/>
      <c r="R152" s="31"/>
      <c r="S152" s="31"/>
    </row>
    <row r="153" spans="1:19" ht="20.5">
      <c r="A153" s="26">
        <f ca="1">IFERROR(__xludf.DUMMYFUNCTION("""COMPUTED_VALUE"""),147)</f>
        <v>147</v>
      </c>
      <c r="B153" s="27" t="str">
        <f ca="1">IFERROR(__xludf.DUMMYFUNCTION("""COMPUTED_VALUE"""),"🟩 Inbound")</f>
        <v>🟩 Inbound</v>
      </c>
      <c r="C153" s="28" t="s">
        <v>516</v>
      </c>
      <c r="D153" s="28" t="s">
        <v>38</v>
      </c>
      <c r="E153" s="28" t="s">
        <v>517</v>
      </c>
      <c r="F153" s="28" t="s">
        <v>40</v>
      </c>
      <c r="G153" s="28" t="s">
        <v>185</v>
      </c>
      <c r="H153" s="28" t="s">
        <v>518</v>
      </c>
      <c r="I153" s="29">
        <v>83100</v>
      </c>
      <c r="J153" s="29">
        <v>4500</v>
      </c>
      <c r="K153" s="29">
        <v>87600</v>
      </c>
      <c r="L153" s="29">
        <v>4500</v>
      </c>
      <c r="M153" s="29">
        <v>4500</v>
      </c>
      <c r="N153" s="30">
        <v>0</v>
      </c>
      <c r="O153" s="29" t="s">
        <v>7</v>
      </c>
      <c r="P153" s="29">
        <v>87600</v>
      </c>
      <c r="Q153" s="31"/>
      <c r="R153" s="31"/>
      <c r="S153" s="31"/>
    </row>
    <row r="154" spans="1:19" ht="20.5">
      <c r="A154" s="26">
        <f ca="1">IFERROR(__xludf.DUMMYFUNCTION("""COMPUTED_VALUE"""),148)</f>
        <v>148</v>
      </c>
      <c r="B154" s="27" t="str">
        <f ca="1">IFERROR(__xludf.DUMMYFUNCTION("""COMPUTED_VALUE"""),"🟩 Inbound")</f>
        <v>🟩 Inbound</v>
      </c>
      <c r="C154" s="28" t="s">
        <v>519</v>
      </c>
      <c r="D154" s="28" t="s">
        <v>38</v>
      </c>
      <c r="E154" s="28" t="s">
        <v>520</v>
      </c>
      <c r="F154" s="28" t="s">
        <v>40</v>
      </c>
      <c r="G154" s="28" t="s">
        <v>481</v>
      </c>
      <c r="H154" s="28" t="s">
        <v>521</v>
      </c>
      <c r="I154" s="29">
        <v>101300</v>
      </c>
      <c r="J154" s="29">
        <v>4000</v>
      </c>
      <c r="K154" s="29">
        <v>105300</v>
      </c>
      <c r="L154" s="29">
        <v>4000</v>
      </c>
      <c r="M154" s="29">
        <v>4000</v>
      </c>
      <c r="N154" s="30">
        <v>0</v>
      </c>
      <c r="O154" s="29" t="s">
        <v>7</v>
      </c>
      <c r="P154" s="29">
        <v>105300</v>
      </c>
      <c r="Q154" s="31"/>
      <c r="R154" s="31"/>
      <c r="S154" s="31"/>
    </row>
    <row r="155" spans="1:19" ht="20.5">
      <c r="A155" s="26">
        <f ca="1">IFERROR(__xludf.DUMMYFUNCTION("""COMPUTED_VALUE"""),149)</f>
        <v>149</v>
      </c>
      <c r="B155" s="27" t="str">
        <f ca="1">IFERROR(__xludf.DUMMYFUNCTION("""COMPUTED_VALUE"""),"🟩 Inbound")</f>
        <v>🟩 Inbound</v>
      </c>
      <c r="C155" s="28" t="s">
        <v>522</v>
      </c>
      <c r="D155" s="28" t="s">
        <v>38</v>
      </c>
      <c r="E155" s="28" t="s">
        <v>523</v>
      </c>
      <c r="F155" s="28" t="s">
        <v>40</v>
      </c>
      <c r="G155" s="28" t="s">
        <v>172</v>
      </c>
      <c r="H155" s="28" t="s">
        <v>524</v>
      </c>
      <c r="I155" s="29">
        <v>190500</v>
      </c>
      <c r="J155" s="29">
        <v>4000</v>
      </c>
      <c r="K155" s="29">
        <v>194500</v>
      </c>
      <c r="L155" s="29">
        <v>4000</v>
      </c>
      <c r="M155" s="29">
        <v>4000</v>
      </c>
      <c r="N155" s="30">
        <v>4</v>
      </c>
      <c r="O155" s="29">
        <v>500</v>
      </c>
      <c r="P155" s="29">
        <v>195000</v>
      </c>
      <c r="Q155" s="31"/>
      <c r="R155" s="31"/>
      <c r="S155" s="31"/>
    </row>
    <row r="156" spans="1:19" ht="20.5">
      <c r="A156" s="26">
        <f ca="1">IFERROR(__xludf.DUMMYFUNCTION("""COMPUTED_VALUE"""),150)</f>
        <v>150</v>
      </c>
      <c r="B156" s="27" t="str">
        <f ca="1">IFERROR(__xludf.DUMMYFUNCTION("""COMPUTED_VALUE"""),"🟩 Inbound")</f>
        <v>🟩 Inbound</v>
      </c>
      <c r="C156" s="28" t="s">
        <v>525</v>
      </c>
      <c r="D156" s="28" t="s">
        <v>38</v>
      </c>
      <c r="E156" s="28" t="s">
        <v>526</v>
      </c>
      <c r="F156" s="28" t="s">
        <v>40</v>
      </c>
      <c r="G156" s="28" t="s">
        <v>316</v>
      </c>
      <c r="H156" s="28" t="s">
        <v>527</v>
      </c>
      <c r="I156" s="29">
        <v>96000</v>
      </c>
      <c r="J156" s="29">
        <v>4500</v>
      </c>
      <c r="K156" s="29">
        <v>100500</v>
      </c>
      <c r="L156" s="29">
        <v>4500</v>
      </c>
      <c r="M156" s="29">
        <v>4500</v>
      </c>
      <c r="N156" s="30">
        <v>0</v>
      </c>
      <c r="O156" s="29" t="s">
        <v>7</v>
      </c>
      <c r="P156" s="29">
        <v>100500</v>
      </c>
      <c r="Q156" s="31"/>
      <c r="R156" s="31"/>
      <c r="S156" s="31"/>
    </row>
    <row r="157" spans="1:19" ht="20.5">
      <c r="A157" s="26">
        <f ca="1">IFERROR(__xludf.DUMMYFUNCTION("""COMPUTED_VALUE"""),151)</f>
        <v>151</v>
      </c>
      <c r="B157" s="27" t="str">
        <f ca="1">IFERROR(__xludf.DUMMYFUNCTION("""COMPUTED_VALUE"""),"🟩 Inbound")</f>
        <v>🟩 Inbound</v>
      </c>
      <c r="C157" s="28" t="s">
        <v>528</v>
      </c>
      <c r="D157" s="28" t="s">
        <v>38</v>
      </c>
      <c r="E157" s="28" t="s">
        <v>529</v>
      </c>
      <c r="F157" s="28" t="s">
        <v>40</v>
      </c>
      <c r="G157" s="28" t="s">
        <v>154</v>
      </c>
      <c r="H157" s="28" t="s">
        <v>530</v>
      </c>
      <c r="I157" s="29">
        <v>64500</v>
      </c>
      <c r="J157" s="29">
        <v>4000</v>
      </c>
      <c r="K157" s="29">
        <v>68500</v>
      </c>
      <c r="L157" s="29">
        <v>4000</v>
      </c>
      <c r="M157" s="29">
        <v>4000</v>
      </c>
      <c r="N157" s="30">
        <v>0</v>
      </c>
      <c r="O157" s="29" t="s">
        <v>7</v>
      </c>
      <c r="P157" s="29">
        <v>68500</v>
      </c>
      <c r="Q157" s="31"/>
      <c r="R157" s="31"/>
      <c r="S157" s="31"/>
    </row>
    <row r="158" spans="1:19" ht="20.5">
      <c r="A158" s="26">
        <f ca="1">IFERROR(__xludf.DUMMYFUNCTION("""COMPUTED_VALUE"""),152)</f>
        <v>152</v>
      </c>
      <c r="B158" s="27" t="str">
        <f ca="1">IFERROR(__xludf.DUMMYFUNCTION("""COMPUTED_VALUE"""),"🟩 Inbound")</f>
        <v>🟩 Inbound</v>
      </c>
      <c r="C158" s="28" t="s">
        <v>531</v>
      </c>
      <c r="D158" s="28" t="s">
        <v>38</v>
      </c>
      <c r="E158" s="28" t="s">
        <v>532</v>
      </c>
      <c r="F158" s="28" t="s">
        <v>40</v>
      </c>
      <c r="G158" s="28" t="s">
        <v>196</v>
      </c>
      <c r="H158" s="28" t="s">
        <v>533</v>
      </c>
      <c r="I158" s="29">
        <v>64500</v>
      </c>
      <c r="J158" s="29">
        <v>4500</v>
      </c>
      <c r="K158" s="29">
        <v>69000</v>
      </c>
      <c r="L158" s="29">
        <v>4500</v>
      </c>
      <c r="M158" s="29">
        <v>4500</v>
      </c>
      <c r="N158" s="30">
        <v>0</v>
      </c>
      <c r="O158" s="29" t="s">
        <v>7</v>
      </c>
      <c r="P158" s="29">
        <v>69000</v>
      </c>
      <c r="Q158" s="31"/>
      <c r="R158" s="31"/>
      <c r="S158" s="31"/>
    </row>
    <row r="159" spans="1:19" ht="20.5">
      <c r="A159" s="26">
        <f ca="1">IFERROR(__xludf.DUMMYFUNCTION("""COMPUTED_VALUE"""),153)</f>
        <v>153</v>
      </c>
      <c r="B159" s="27" t="str">
        <f ca="1">IFERROR(__xludf.DUMMYFUNCTION("""COMPUTED_VALUE"""),"🟩 Inbound")</f>
        <v>🟩 Inbound</v>
      </c>
      <c r="C159" s="28" t="s">
        <v>534</v>
      </c>
      <c r="D159" s="28" t="s">
        <v>38</v>
      </c>
      <c r="E159" s="28" t="s">
        <v>535</v>
      </c>
      <c r="F159" s="28" t="s">
        <v>40</v>
      </c>
      <c r="G159" s="28" t="s">
        <v>196</v>
      </c>
      <c r="H159" s="28" t="s">
        <v>536</v>
      </c>
      <c r="I159" s="29">
        <v>244400</v>
      </c>
      <c r="J159" s="29">
        <v>4500</v>
      </c>
      <c r="K159" s="29">
        <v>248900</v>
      </c>
      <c r="L159" s="29">
        <v>4500</v>
      </c>
      <c r="M159" s="29">
        <v>4500</v>
      </c>
      <c r="N159" s="30">
        <v>0</v>
      </c>
      <c r="O159" s="29" t="s">
        <v>7</v>
      </c>
      <c r="P159" s="29">
        <v>248900</v>
      </c>
      <c r="Q159" s="31"/>
      <c r="R159" s="31"/>
      <c r="S159" s="31"/>
    </row>
    <row r="160" spans="1:19" ht="20.5">
      <c r="A160" s="26">
        <f ca="1">IFERROR(__xludf.DUMMYFUNCTION("""COMPUTED_VALUE"""),154)</f>
        <v>154</v>
      </c>
      <c r="B160" s="27" t="str">
        <f ca="1">IFERROR(__xludf.DUMMYFUNCTION("""COMPUTED_VALUE"""),"🟩 Inbound")</f>
        <v>🟩 Inbound</v>
      </c>
      <c r="C160" s="28" t="s">
        <v>537</v>
      </c>
      <c r="D160" s="28" t="s">
        <v>47</v>
      </c>
      <c r="E160" s="28" t="s">
        <v>538</v>
      </c>
      <c r="F160" s="28" t="s">
        <v>49</v>
      </c>
      <c r="G160" s="28" t="s">
        <v>196</v>
      </c>
      <c r="H160" s="28" t="s">
        <v>539</v>
      </c>
      <c r="I160" s="29">
        <v>27000</v>
      </c>
      <c r="J160" s="29">
        <v>4500</v>
      </c>
      <c r="K160" s="29">
        <v>31500</v>
      </c>
      <c r="L160" s="29">
        <v>4500</v>
      </c>
      <c r="M160" s="29">
        <v>4500</v>
      </c>
      <c r="N160" s="30">
        <v>0</v>
      </c>
      <c r="O160" s="29" t="s">
        <v>7</v>
      </c>
      <c r="P160" s="29">
        <v>31500</v>
      </c>
      <c r="Q160" s="31"/>
      <c r="R160" s="31"/>
      <c r="S160" s="31"/>
    </row>
    <row r="161" spans="1:19" ht="20.5">
      <c r="A161" s="26">
        <f ca="1">IFERROR(__xludf.DUMMYFUNCTION("""COMPUTED_VALUE"""),155)</f>
        <v>155</v>
      </c>
      <c r="B161" s="27" t="str">
        <f ca="1">IFERROR(__xludf.DUMMYFUNCTION("""COMPUTED_VALUE"""),"🟩 Inbound")</f>
        <v>🟩 Inbound</v>
      </c>
      <c r="C161" s="28" t="s">
        <v>540</v>
      </c>
      <c r="D161" s="28" t="s">
        <v>47</v>
      </c>
      <c r="E161" s="28" t="s">
        <v>541</v>
      </c>
      <c r="F161" s="28" t="s">
        <v>49</v>
      </c>
      <c r="G161" s="28" t="s">
        <v>35</v>
      </c>
      <c r="H161" s="28" t="s">
        <v>542</v>
      </c>
      <c r="I161" s="29">
        <v>32000</v>
      </c>
      <c r="J161" s="29">
        <v>3000</v>
      </c>
      <c r="K161" s="29">
        <v>35000</v>
      </c>
      <c r="L161" s="29">
        <v>3000</v>
      </c>
      <c r="M161" s="29">
        <v>3000</v>
      </c>
      <c r="N161" s="30">
        <v>0</v>
      </c>
      <c r="O161" s="29" t="s">
        <v>7</v>
      </c>
      <c r="P161" s="29">
        <v>35000</v>
      </c>
      <c r="Q161" s="31"/>
      <c r="R161" s="31"/>
      <c r="S161" s="31"/>
    </row>
    <row r="162" spans="1:19" ht="20.5">
      <c r="A162" s="26">
        <f ca="1">IFERROR(__xludf.DUMMYFUNCTION("""COMPUTED_VALUE"""),156)</f>
        <v>156</v>
      </c>
      <c r="B162" s="27" t="str">
        <f ca="1">IFERROR(__xludf.DUMMYFUNCTION("""COMPUTED_VALUE"""),"🟩 Inbound")</f>
        <v>🟩 Inbound</v>
      </c>
      <c r="C162" s="28" t="s">
        <v>543</v>
      </c>
      <c r="D162" s="28" t="s">
        <v>47</v>
      </c>
      <c r="E162" s="28" t="s">
        <v>544</v>
      </c>
      <c r="F162" s="28" t="s">
        <v>49</v>
      </c>
      <c r="G162" s="28" t="s">
        <v>60</v>
      </c>
      <c r="H162" s="28" t="s">
        <v>545</v>
      </c>
      <c r="I162" s="29">
        <v>23500</v>
      </c>
      <c r="J162" s="29">
        <v>4000</v>
      </c>
      <c r="K162" s="29">
        <v>27500</v>
      </c>
      <c r="L162" s="29">
        <v>4000</v>
      </c>
      <c r="M162" s="29">
        <v>4000</v>
      </c>
      <c r="N162" s="30">
        <v>0</v>
      </c>
      <c r="O162" s="29" t="s">
        <v>7</v>
      </c>
      <c r="P162" s="29">
        <v>27500</v>
      </c>
      <c r="Q162" s="31"/>
      <c r="R162" s="31"/>
      <c r="S162" s="31"/>
    </row>
    <row r="163" spans="1:19" ht="20.5">
      <c r="A163" s="26">
        <f ca="1">IFERROR(__xludf.DUMMYFUNCTION("""COMPUTED_VALUE"""),157)</f>
        <v>157</v>
      </c>
      <c r="B163" s="27" t="str">
        <f ca="1">IFERROR(__xludf.DUMMYFUNCTION("""COMPUTED_VALUE"""),"🟩 Inbound")</f>
        <v>🟩 Inbound</v>
      </c>
      <c r="C163" s="28" t="s">
        <v>546</v>
      </c>
      <c r="D163" s="28" t="s">
        <v>47</v>
      </c>
      <c r="E163" s="28" t="s">
        <v>169</v>
      </c>
      <c r="F163" s="28" t="s">
        <v>49</v>
      </c>
      <c r="G163" s="28" t="s">
        <v>316</v>
      </c>
      <c r="H163" s="28" t="s">
        <v>547</v>
      </c>
      <c r="I163" s="29">
        <v>23000</v>
      </c>
      <c r="J163" s="29">
        <v>4500</v>
      </c>
      <c r="K163" s="29">
        <v>27500</v>
      </c>
      <c r="L163" s="29">
        <v>4500</v>
      </c>
      <c r="M163" s="29">
        <v>4500</v>
      </c>
      <c r="N163" s="30">
        <v>0</v>
      </c>
      <c r="O163" s="29" t="s">
        <v>7</v>
      </c>
      <c r="P163" s="29">
        <v>27500</v>
      </c>
      <c r="Q163" s="31"/>
      <c r="R163" s="31"/>
      <c r="S163" s="31"/>
    </row>
    <row r="164" spans="1:19" ht="20.5">
      <c r="A164" s="26">
        <f ca="1">IFERROR(__xludf.DUMMYFUNCTION("""COMPUTED_VALUE"""),158)</f>
        <v>158</v>
      </c>
      <c r="B164" s="27" t="str">
        <f ca="1">IFERROR(__xludf.DUMMYFUNCTION("""COMPUTED_VALUE"""),"🟩 Inbound")</f>
        <v>🟩 Inbound</v>
      </c>
      <c r="C164" s="28" t="s">
        <v>548</v>
      </c>
      <c r="D164" s="28" t="s">
        <v>47</v>
      </c>
      <c r="E164" s="28" t="s">
        <v>225</v>
      </c>
      <c r="F164" s="28" t="s">
        <v>49</v>
      </c>
      <c r="G164" s="28" t="s">
        <v>212</v>
      </c>
      <c r="H164" s="28" t="s">
        <v>549</v>
      </c>
      <c r="I164" s="29">
        <v>113500</v>
      </c>
      <c r="J164" s="29">
        <v>4000</v>
      </c>
      <c r="K164" s="29">
        <v>117500</v>
      </c>
      <c r="L164" s="29">
        <v>4000</v>
      </c>
      <c r="M164" s="29">
        <v>4000</v>
      </c>
      <c r="N164" s="30">
        <v>6</v>
      </c>
      <c r="O164" s="29">
        <v>1500</v>
      </c>
      <c r="P164" s="29">
        <v>119000</v>
      </c>
      <c r="Q164" s="31"/>
      <c r="R164" s="31"/>
      <c r="S164" s="31"/>
    </row>
    <row r="165" spans="1:19" ht="20.5">
      <c r="A165" s="26">
        <f ca="1">IFERROR(__xludf.DUMMYFUNCTION("""COMPUTED_VALUE"""),159)</f>
        <v>159</v>
      </c>
      <c r="B165" s="27" t="str">
        <f ca="1">IFERROR(__xludf.DUMMYFUNCTION("""COMPUTED_VALUE"""),"🟩 Inbound")</f>
        <v>🟩 Inbound</v>
      </c>
      <c r="C165" s="28" t="s">
        <v>550</v>
      </c>
      <c r="D165" s="28" t="s">
        <v>241</v>
      </c>
      <c r="E165" s="28" t="s">
        <v>551</v>
      </c>
      <c r="F165" s="28" t="s">
        <v>243</v>
      </c>
      <c r="G165" s="28" t="s">
        <v>196</v>
      </c>
      <c r="H165" s="28" t="s">
        <v>552</v>
      </c>
      <c r="I165" s="29">
        <v>232500</v>
      </c>
      <c r="J165" s="29">
        <v>4500</v>
      </c>
      <c r="K165" s="29">
        <v>237000</v>
      </c>
      <c r="L165" s="29">
        <v>4500</v>
      </c>
      <c r="M165" s="29">
        <v>4500</v>
      </c>
      <c r="N165" s="30">
        <v>5</v>
      </c>
      <c r="O165" s="29">
        <v>1000</v>
      </c>
      <c r="P165" s="29">
        <v>238000</v>
      </c>
      <c r="Q165" s="31"/>
      <c r="R165" s="31"/>
      <c r="S165" s="31"/>
    </row>
    <row r="166" spans="1:19" ht="20.5">
      <c r="A166" s="26">
        <f ca="1">IFERROR(__xludf.DUMMYFUNCTION("""COMPUTED_VALUE"""),160)</f>
        <v>160</v>
      </c>
      <c r="B166" s="27" t="str">
        <f ca="1">IFERROR(__xludf.DUMMYFUNCTION("""COMPUTED_VALUE"""),"🟩 Inbound")</f>
        <v>🟩 Inbound</v>
      </c>
      <c r="C166" s="28" t="s">
        <v>553</v>
      </c>
      <c r="D166" s="28" t="s">
        <v>209</v>
      </c>
      <c r="E166" s="28" t="s">
        <v>554</v>
      </c>
      <c r="F166" s="28" t="s">
        <v>211</v>
      </c>
      <c r="G166" s="28" t="s">
        <v>312</v>
      </c>
      <c r="H166" s="28" t="s">
        <v>555</v>
      </c>
      <c r="I166" s="29">
        <v>162500</v>
      </c>
      <c r="J166" s="29">
        <v>0</v>
      </c>
      <c r="K166" s="29">
        <v>162500</v>
      </c>
      <c r="L166" s="29">
        <v>4000</v>
      </c>
      <c r="M166" s="29" t="s">
        <v>7</v>
      </c>
      <c r="N166" s="30">
        <v>4</v>
      </c>
      <c r="O166" s="29">
        <v>500</v>
      </c>
      <c r="P166" s="29">
        <v>163000</v>
      </c>
      <c r="Q166" s="31"/>
      <c r="R166" s="31"/>
      <c r="S166" s="31"/>
    </row>
    <row r="167" spans="1:19" ht="20.5">
      <c r="A167" s="26">
        <f ca="1">IFERROR(__xludf.DUMMYFUNCTION("""COMPUTED_VALUE"""),161)</f>
        <v>161</v>
      </c>
      <c r="B167" s="27" t="str">
        <f ca="1">IFERROR(__xludf.DUMMYFUNCTION("""COMPUTED_VALUE"""),"🟩 Inbound")</f>
        <v>🟩 Inbound</v>
      </c>
      <c r="C167" s="28" t="s">
        <v>556</v>
      </c>
      <c r="D167" s="28" t="s">
        <v>209</v>
      </c>
      <c r="E167" s="28" t="s">
        <v>557</v>
      </c>
      <c r="F167" s="28" t="s">
        <v>211</v>
      </c>
      <c r="G167" s="28" t="s">
        <v>558</v>
      </c>
      <c r="H167" s="28" t="s">
        <v>559</v>
      </c>
      <c r="I167" s="29">
        <v>83500</v>
      </c>
      <c r="J167" s="29">
        <v>0</v>
      </c>
      <c r="K167" s="29">
        <v>83500</v>
      </c>
      <c r="L167" s="29">
        <v>4000</v>
      </c>
      <c r="M167" s="29" t="s">
        <v>7</v>
      </c>
      <c r="N167" s="30">
        <v>0</v>
      </c>
      <c r="O167" s="29" t="s">
        <v>7</v>
      </c>
      <c r="P167" s="29">
        <v>83500</v>
      </c>
      <c r="Q167" s="31"/>
      <c r="R167" s="31"/>
      <c r="S167" s="31"/>
    </row>
    <row r="168" spans="1:19" ht="20.5">
      <c r="A168" s="26">
        <f ca="1">IFERROR(__xludf.DUMMYFUNCTION("""COMPUTED_VALUE"""),162)</f>
        <v>162</v>
      </c>
      <c r="B168" s="27" t="str">
        <f ca="1">IFERROR(__xludf.DUMMYFUNCTION("""COMPUTED_VALUE"""),"🟩 Inbound")</f>
        <v>🟩 Inbound</v>
      </c>
      <c r="C168" s="28" t="s">
        <v>560</v>
      </c>
      <c r="D168" s="28" t="s">
        <v>209</v>
      </c>
      <c r="E168" s="28" t="s">
        <v>561</v>
      </c>
      <c r="F168" s="28" t="s">
        <v>211</v>
      </c>
      <c r="G168" s="28" t="s">
        <v>41</v>
      </c>
      <c r="H168" s="28" t="s">
        <v>562</v>
      </c>
      <c r="I168" s="29">
        <v>22500</v>
      </c>
      <c r="J168" s="29">
        <v>0</v>
      </c>
      <c r="K168" s="29">
        <v>22500</v>
      </c>
      <c r="L168" s="29">
        <v>4000</v>
      </c>
      <c r="M168" s="29" t="s">
        <v>7</v>
      </c>
      <c r="N168" s="30">
        <v>0</v>
      </c>
      <c r="O168" s="29" t="s">
        <v>7</v>
      </c>
      <c r="P168" s="29">
        <v>22500</v>
      </c>
      <c r="Q168" s="31"/>
      <c r="R168" s="31"/>
      <c r="S168" s="31"/>
    </row>
    <row r="169" spans="1:19" ht="20.5">
      <c r="A169" s="26">
        <f ca="1">IFERROR(__xludf.DUMMYFUNCTION("""COMPUTED_VALUE"""),163)</f>
        <v>163</v>
      </c>
      <c r="B169" s="27" t="str">
        <f ca="1">IFERROR(__xludf.DUMMYFUNCTION("""COMPUTED_VALUE"""),"🟩 Inbound")</f>
        <v>🟩 Inbound</v>
      </c>
      <c r="C169" s="28" t="s">
        <v>563</v>
      </c>
      <c r="D169" s="28" t="s">
        <v>26</v>
      </c>
      <c r="E169" s="28" t="s">
        <v>564</v>
      </c>
      <c r="F169" s="28" t="s">
        <v>28</v>
      </c>
      <c r="G169" s="28" t="s">
        <v>356</v>
      </c>
      <c r="H169" s="28" t="s">
        <v>565</v>
      </c>
      <c r="I169" s="29">
        <v>72500</v>
      </c>
      <c r="J169" s="29">
        <v>4000</v>
      </c>
      <c r="K169" s="29">
        <v>76500</v>
      </c>
      <c r="L169" s="29">
        <v>4000</v>
      </c>
      <c r="M169" s="29">
        <v>4000</v>
      </c>
      <c r="N169" s="30">
        <v>0</v>
      </c>
      <c r="O169" s="29" t="s">
        <v>7</v>
      </c>
      <c r="P169" s="29">
        <v>76500</v>
      </c>
      <c r="Q169" s="31"/>
      <c r="R169" s="31"/>
      <c r="S169" s="31"/>
    </row>
    <row r="170" spans="1:19" ht="20.5">
      <c r="A170" s="26">
        <f ca="1">IFERROR(__xludf.DUMMYFUNCTION("""COMPUTED_VALUE"""),164)</f>
        <v>164</v>
      </c>
      <c r="B170" s="27" t="str">
        <f ca="1">IFERROR(__xludf.DUMMYFUNCTION("""COMPUTED_VALUE"""),"🟩 Inbound")</f>
        <v>🟩 Inbound</v>
      </c>
      <c r="C170" s="28" t="s">
        <v>566</v>
      </c>
      <c r="D170" s="28" t="s">
        <v>26</v>
      </c>
      <c r="E170" s="28" t="s">
        <v>567</v>
      </c>
      <c r="F170" s="28" t="s">
        <v>28</v>
      </c>
      <c r="G170" s="28" t="s">
        <v>271</v>
      </c>
      <c r="H170" s="28" t="s">
        <v>568</v>
      </c>
      <c r="I170" s="29">
        <v>54000</v>
      </c>
      <c r="J170" s="29">
        <v>4500</v>
      </c>
      <c r="K170" s="29">
        <v>58500</v>
      </c>
      <c r="L170" s="29">
        <v>4500</v>
      </c>
      <c r="M170" s="29">
        <v>4500</v>
      </c>
      <c r="N170" s="30">
        <v>0</v>
      </c>
      <c r="O170" s="29" t="s">
        <v>7</v>
      </c>
      <c r="P170" s="29">
        <v>58500</v>
      </c>
      <c r="Q170" s="31"/>
      <c r="R170" s="31"/>
      <c r="S170" s="31"/>
    </row>
    <row r="171" spans="1:19" ht="20.5">
      <c r="A171" s="26">
        <f ca="1">IFERROR(__xludf.DUMMYFUNCTION("""COMPUTED_VALUE"""),165)</f>
        <v>165</v>
      </c>
      <c r="B171" s="27" t="str">
        <f ca="1">IFERROR(__xludf.DUMMYFUNCTION("""COMPUTED_VALUE"""),"🟩 Inbound")</f>
        <v>🟩 Inbound</v>
      </c>
      <c r="C171" s="28" t="s">
        <v>569</v>
      </c>
      <c r="D171" s="28" t="s">
        <v>52</v>
      </c>
      <c r="E171" s="28" t="s">
        <v>570</v>
      </c>
      <c r="F171" s="28" t="s">
        <v>53</v>
      </c>
      <c r="G171" s="28" t="s">
        <v>376</v>
      </c>
      <c r="H171" s="28" t="s">
        <v>571</v>
      </c>
      <c r="I171" s="29">
        <v>64500</v>
      </c>
      <c r="J171" s="29">
        <v>4000</v>
      </c>
      <c r="K171" s="29">
        <v>68500</v>
      </c>
      <c r="L171" s="29">
        <v>4000</v>
      </c>
      <c r="M171" s="29">
        <v>4000</v>
      </c>
      <c r="N171" s="30">
        <v>0</v>
      </c>
      <c r="O171" s="29" t="s">
        <v>7</v>
      </c>
      <c r="P171" s="29">
        <v>68500</v>
      </c>
      <c r="Q171" s="31"/>
      <c r="R171" s="31"/>
      <c r="S171" s="31"/>
    </row>
    <row r="172" spans="1:19" ht="20.5">
      <c r="A172" s="26">
        <f ca="1">IFERROR(__xludf.DUMMYFUNCTION("""COMPUTED_VALUE"""),166)</f>
        <v>166</v>
      </c>
      <c r="B172" s="27" t="str">
        <f ca="1">IFERROR(__xludf.DUMMYFUNCTION("""COMPUTED_VALUE"""),"🟩 Inbound")</f>
        <v>🟩 Inbound</v>
      </c>
      <c r="C172" s="28" t="s">
        <v>572</v>
      </c>
      <c r="D172" s="28" t="s">
        <v>142</v>
      </c>
      <c r="E172" s="28" t="s">
        <v>573</v>
      </c>
      <c r="F172" s="28" t="s">
        <v>144</v>
      </c>
      <c r="G172" s="28" t="s">
        <v>185</v>
      </c>
      <c r="H172" s="28" t="s">
        <v>574</v>
      </c>
      <c r="I172" s="29">
        <v>8000</v>
      </c>
      <c r="J172" s="29">
        <v>4500</v>
      </c>
      <c r="K172" s="29">
        <v>12500</v>
      </c>
      <c r="L172" s="29">
        <v>4500</v>
      </c>
      <c r="M172" s="29">
        <v>4500</v>
      </c>
      <c r="N172" s="30">
        <v>0</v>
      </c>
      <c r="O172" s="29" t="s">
        <v>7</v>
      </c>
      <c r="P172" s="29">
        <v>12500</v>
      </c>
      <c r="Q172" s="31"/>
      <c r="R172" s="31"/>
      <c r="S172" s="31"/>
    </row>
    <row r="173" spans="1:19" ht="20.5">
      <c r="A173" s="26">
        <f ca="1">IFERROR(__xludf.DUMMYFUNCTION("""COMPUTED_VALUE"""),167)</f>
        <v>167</v>
      </c>
      <c r="B173" s="27" t="str">
        <f ca="1">IFERROR(__xludf.DUMMYFUNCTION("""COMPUTED_VALUE"""),"🟩 Inbound")</f>
        <v>🟩 Inbound</v>
      </c>
      <c r="C173" s="28" t="s">
        <v>575</v>
      </c>
      <c r="D173" s="28" t="s">
        <v>142</v>
      </c>
      <c r="E173" s="28" t="s">
        <v>576</v>
      </c>
      <c r="F173" s="28" t="s">
        <v>144</v>
      </c>
      <c r="G173" s="28" t="s">
        <v>185</v>
      </c>
      <c r="H173" s="28" t="s">
        <v>577</v>
      </c>
      <c r="I173" s="29">
        <v>13000</v>
      </c>
      <c r="J173" s="29">
        <v>4500</v>
      </c>
      <c r="K173" s="29">
        <v>17500</v>
      </c>
      <c r="L173" s="29">
        <v>4500</v>
      </c>
      <c r="M173" s="29">
        <v>4500</v>
      </c>
      <c r="N173" s="30">
        <v>0</v>
      </c>
      <c r="O173" s="29" t="s">
        <v>7</v>
      </c>
      <c r="P173" s="29">
        <v>17500</v>
      </c>
      <c r="Q173" s="31"/>
      <c r="R173" s="31"/>
      <c r="S173" s="31"/>
    </row>
    <row r="174" spans="1:19" ht="20.5">
      <c r="A174" s="26">
        <f ca="1">IFERROR(__xludf.DUMMYFUNCTION("""COMPUTED_VALUE"""),168)</f>
        <v>168</v>
      </c>
      <c r="B174" s="27" t="str">
        <f ca="1">IFERROR(__xludf.DUMMYFUNCTION("""COMPUTED_VALUE"""),"🟩 Inbound")</f>
        <v>🟩 Inbound</v>
      </c>
      <c r="C174" s="28" t="s">
        <v>578</v>
      </c>
      <c r="D174" s="28" t="s">
        <v>579</v>
      </c>
      <c r="E174" s="28" t="s">
        <v>580</v>
      </c>
      <c r="F174" s="28" t="s">
        <v>581</v>
      </c>
      <c r="G174" s="28" t="s">
        <v>185</v>
      </c>
      <c r="H174" s="28" t="s">
        <v>582</v>
      </c>
      <c r="I174" s="29">
        <v>15500</v>
      </c>
      <c r="J174" s="29">
        <v>4500</v>
      </c>
      <c r="K174" s="29">
        <v>20000</v>
      </c>
      <c r="L174" s="29">
        <v>4500</v>
      </c>
      <c r="M174" s="29">
        <v>4500</v>
      </c>
      <c r="N174" s="30">
        <v>0</v>
      </c>
      <c r="O174" s="29" t="s">
        <v>7</v>
      </c>
      <c r="P174" s="29">
        <v>20000</v>
      </c>
      <c r="Q174" s="31"/>
      <c r="R174" s="31"/>
      <c r="S174" s="31"/>
    </row>
    <row r="175" spans="1:19" ht="20.5">
      <c r="A175" s="26">
        <f ca="1">IFERROR(__xludf.DUMMYFUNCTION("""COMPUTED_VALUE"""),169)</f>
        <v>169</v>
      </c>
      <c r="B175" s="27" t="str">
        <f ca="1">IFERROR(__xludf.DUMMYFUNCTION("""COMPUTED_VALUE"""),"🟩 Inbound")</f>
        <v>🟩 Inbound</v>
      </c>
      <c r="C175" s="28" t="s">
        <v>583</v>
      </c>
      <c r="D175" s="28" t="s">
        <v>584</v>
      </c>
      <c r="E175" s="28" t="s">
        <v>585</v>
      </c>
      <c r="F175" s="28" t="s">
        <v>586</v>
      </c>
      <c r="G175" s="28" t="s">
        <v>172</v>
      </c>
      <c r="H175" s="28" t="s">
        <v>587</v>
      </c>
      <c r="I175" s="29">
        <v>36000</v>
      </c>
      <c r="J175" s="29">
        <v>4000</v>
      </c>
      <c r="K175" s="29">
        <v>40000</v>
      </c>
      <c r="L175" s="29">
        <v>4000</v>
      </c>
      <c r="M175" s="29">
        <v>4000</v>
      </c>
      <c r="N175" s="30">
        <v>0</v>
      </c>
      <c r="O175" s="29" t="s">
        <v>7</v>
      </c>
      <c r="P175" s="29">
        <v>40000</v>
      </c>
      <c r="Q175" s="31"/>
      <c r="R175" s="31"/>
      <c r="S175" s="31"/>
    </row>
    <row r="176" spans="1:19" ht="20.5">
      <c r="A176" s="26">
        <f ca="1">IFERROR(__xludf.DUMMYFUNCTION("""COMPUTED_VALUE"""),170)</f>
        <v>170</v>
      </c>
      <c r="B176" s="27" t="str">
        <f ca="1">IFERROR(__xludf.DUMMYFUNCTION("""COMPUTED_VALUE"""),"🟩 Inbound")</f>
        <v>🟩 Inbound</v>
      </c>
      <c r="C176" s="28" t="s">
        <v>588</v>
      </c>
      <c r="D176" s="28" t="s">
        <v>589</v>
      </c>
      <c r="E176" s="28" t="s">
        <v>590</v>
      </c>
      <c r="F176" s="28" t="s">
        <v>591</v>
      </c>
      <c r="G176" s="28" t="s">
        <v>14</v>
      </c>
      <c r="H176" s="28" t="s">
        <v>592</v>
      </c>
      <c r="I176" s="29">
        <v>0</v>
      </c>
      <c r="J176" s="29">
        <v>0</v>
      </c>
      <c r="K176" s="29">
        <v>0</v>
      </c>
      <c r="L176" s="29">
        <v>4000</v>
      </c>
      <c r="M176" s="29" t="s">
        <v>7</v>
      </c>
      <c r="N176" s="30">
        <v>0</v>
      </c>
      <c r="O176" s="29" t="s">
        <v>7</v>
      </c>
      <c r="P176" s="29" t="s">
        <v>7</v>
      </c>
      <c r="Q176" s="31"/>
      <c r="R176" s="31"/>
      <c r="S176" s="31"/>
    </row>
    <row r="177" spans="1:19" ht="20.5">
      <c r="A177" s="26">
        <f ca="1">IFERROR(__xludf.DUMMYFUNCTION("""COMPUTED_VALUE"""),171)</f>
        <v>171</v>
      </c>
      <c r="B177" s="27" t="str">
        <f ca="1">IFERROR(__xludf.DUMMYFUNCTION("""COMPUTED_VALUE"""),"🟩 Inbound")</f>
        <v>🟩 Inbound</v>
      </c>
      <c r="C177" s="28" t="s">
        <v>593</v>
      </c>
      <c r="D177" s="28" t="s">
        <v>21</v>
      </c>
      <c r="E177" s="28" t="s">
        <v>594</v>
      </c>
      <c r="F177" s="28" t="s">
        <v>23</v>
      </c>
      <c r="G177" s="28" t="s">
        <v>29</v>
      </c>
      <c r="H177" s="28" t="s">
        <v>595</v>
      </c>
      <c r="I177" s="29">
        <v>29800</v>
      </c>
      <c r="J177" s="29">
        <v>4000</v>
      </c>
      <c r="K177" s="29">
        <v>33800</v>
      </c>
      <c r="L177" s="29">
        <v>4000</v>
      </c>
      <c r="M177" s="29">
        <v>4000</v>
      </c>
      <c r="N177" s="30">
        <v>0</v>
      </c>
      <c r="O177" s="29" t="s">
        <v>7</v>
      </c>
      <c r="P177" s="29">
        <v>33800</v>
      </c>
      <c r="Q177" s="31"/>
      <c r="R177" s="31"/>
      <c r="S177" s="31"/>
    </row>
    <row r="178" spans="1:19" ht="20.5">
      <c r="A178" s="26">
        <f ca="1">IFERROR(__xludf.DUMMYFUNCTION("""COMPUTED_VALUE"""),172)</f>
        <v>172</v>
      </c>
      <c r="B178" s="27" t="str">
        <f ca="1">IFERROR(__xludf.DUMMYFUNCTION("""COMPUTED_VALUE"""),"🟩 Inbound")</f>
        <v>🟩 Inbound</v>
      </c>
      <c r="C178" s="28" t="s">
        <v>596</v>
      </c>
      <c r="D178" s="28" t="s">
        <v>78</v>
      </c>
      <c r="E178" s="28" t="s">
        <v>379</v>
      </c>
      <c r="F178" s="28" t="s">
        <v>80</v>
      </c>
      <c r="G178" s="28" t="s">
        <v>5</v>
      </c>
      <c r="H178" s="28" t="s">
        <v>597</v>
      </c>
      <c r="I178" s="29">
        <v>138000</v>
      </c>
      <c r="J178" s="29">
        <v>4000</v>
      </c>
      <c r="K178" s="29">
        <v>142000</v>
      </c>
      <c r="L178" s="29">
        <v>4000</v>
      </c>
      <c r="M178" s="29">
        <v>4000</v>
      </c>
      <c r="N178" s="30">
        <v>0</v>
      </c>
      <c r="O178" s="29" t="s">
        <v>7</v>
      </c>
      <c r="P178" s="29">
        <v>160000</v>
      </c>
      <c r="Q178" s="31"/>
      <c r="R178" s="31"/>
      <c r="S178" s="31"/>
    </row>
    <row r="179" spans="1:19" ht="20.5">
      <c r="A179" s="26">
        <f ca="1">IFERROR(__xludf.DUMMYFUNCTION("""COMPUTED_VALUE"""),173)</f>
        <v>173</v>
      </c>
      <c r="B179" s="27" t="str">
        <f ca="1">IFERROR(__xludf.DUMMYFUNCTION("""COMPUTED_VALUE"""),"🟩 Inbound")</f>
        <v>🟩 Inbound</v>
      </c>
      <c r="C179" s="28" t="s">
        <v>598</v>
      </c>
      <c r="D179" s="28" t="s">
        <v>78</v>
      </c>
      <c r="E179" s="28" t="s">
        <v>599</v>
      </c>
      <c r="F179" s="28" t="s">
        <v>80</v>
      </c>
      <c r="G179" s="28" t="s">
        <v>5</v>
      </c>
      <c r="H179" s="28" t="s">
        <v>600</v>
      </c>
      <c r="I179" s="29">
        <v>84000</v>
      </c>
      <c r="J179" s="29">
        <v>4000</v>
      </c>
      <c r="K179" s="29">
        <v>88000</v>
      </c>
      <c r="L179" s="29">
        <v>4000</v>
      </c>
      <c r="M179" s="29">
        <v>4000</v>
      </c>
      <c r="N179" s="30">
        <v>0</v>
      </c>
      <c r="O179" s="29" t="s">
        <v>7</v>
      </c>
      <c r="P179" s="29">
        <v>88000</v>
      </c>
      <c r="Q179" s="31"/>
      <c r="R179" s="31"/>
      <c r="S179" s="31"/>
    </row>
    <row r="180" spans="1:19" ht="20.5">
      <c r="A180" s="26">
        <f ca="1">IFERROR(__xludf.DUMMYFUNCTION("""COMPUTED_VALUE"""),174)</f>
        <v>174</v>
      </c>
      <c r="B180" s="27" t="str">
        <f ca="1">IFERROR(__xludf.DUMMYFUNCTION("""COMPUTED_VALUE"""),"🟩 Inbound")</f>
        <v>🟩 Inbound</v>
      </c>
      <c r="C180" s="28" t="s">
        <v>601</v>
      </c>
      <c r="D180" s="28" t="s">
        <v>26</v>
      </c>
      <c r="E180" s="28" t="s">
        <v>602</v>
      </c>
      <c r="F180" s="28" t="s">
        <v>28</v>
      </c>
      <c r="G180" s="28" t="s">
        <v>5</v>
      </c>
      <c r="H180" s="28" t="s">
        <v>603</v>
      </c>
      <c r="I180" s="29">
        <v>108000</v>
      </c>
      <c r="J180" s="29">
        <v>4000</v>
      </c>
      <c r="K180" s="29">
        <v>112000</v>
      </c>
      <c r="L180" s="29">
        <v>4000</v>
      </c>
      <c r="M180" s="29">
        <v>4000</v>
      </c>
      <c r="N180" s="30">
        <v>6</v>
      </c>
      <c r="O180" s="29">
        <v>1500</v>
      </c>
      <c r="P180" s="29">
        <v>113500</v>
      </c>
      <c r="Q180" s="31"/>
      <c r="R180" s="31"/>
      <c r="S180" s="31"/>
    </row>
    <row r="181" spans="1:19" ht="20.5">
      <c r="A181" s="26">
        <f ca="1">IFERROR(__xludf.DUMMYFUNCTION("""COMPUTED_VALUE"""),175)</f>
        <v>175</v>
      </c>
      <c r="B181" s="27" t="str">
        <f ca="1">IFERROR(__xludf.DUMMYFUNCTION("""COMPUTED_VALUE"""),"🟩 Inbound")</f>
        <v>🟩 Inbound</v>
      </c>
      <c r="C181" s="28" t="s">
        <v>604</v>
      </c>
      <c r="D181" s="28" t="s">
        <v>26</v>
      </c>
      <c r="E181" s="28" t="s">
        <v>605</v>
      </c>
      <c r="F181" s="28" t="s">
        <v>28</v>
      </c>
      <c r="G181" s="28" t="s">
        <v>312</v>
      </c>
      <c r="H181" s="28" t="s">
        <v>606</v>
      </c>
      <c r="I181" s="29">
        <v>29000</v>
      </c>
      <c r="J181" s="29">
        <v>4000</v>
      </c>
      <c r="K181" s="29">
        <v>33000</v>
      </c>
      <c r="L181" s="29">
        <v>4000</v>
      </c>
      <c r="M181" s="29">
        <v>4000</v>
      </c>
      <c r="N181" s="30">
        <v>0</v>
      </c>
      <c r="O181" s="29" t="s">
        <v>7</v>
      </c>
      <c r="P181" s="29">
        <v>33000</v>
      </c>
      <c r="Q181" s="31" t="s">
        <v>607</v>
      </c>
      <c r="R181" s="31"/>
      <c r="S181" s="31"/>
    </row>
    <row r="182" spans="1:19" ht="20.5">
      <c r="A182" s="26">
        <f ca="1">IFERROR(__xludf.DUMMYFUNCTION("""COMPUTED_VALUE"""),176)</f>
        <v>176</v>
      </c>
      <c r="B182" s="27" t="str">
        <f ca="1">IFERROR(__xludf.DUMMYFUNCTION("""COMPUTED_VALUE"""),"🟩 Inbound")</f>
        <v>🟩 Inbound</v>
      </c>
      <c r="C182" s="28" t="s">
        <v>608</v>
      </c>
      <c r="D182" s="28" t="s">
        <v>73</v>
      </c>
      <c r="E182" s="28" t="s">
        <v>609</v>
      </c>
      <c r="F182" s="28" t="s">
        <v>75</v>
      </c>
      <c r="G182" s="28" t="s">
        <v>196</v>
      </c>
      <c r="H182" s="28" t="s">
        <v>610</v>
      </c>
      <c r="I182" s="29">
        <v>30000</v>
      </c>
      <c r="J182" s="29">
        <v>4500</v>
      </c>
      <c r="K182" s="29">
        <v>34500</v>
      </c>
      <c r="L182" s="29">
        <v>4500</v>
      </c>
      <c r="M182" s="29">
        <v>4500</v>
      </c>
      <c r="N182" s="30">
        <v>6</v>
      </c>
      <c r="O182" s="29">
        <v>1500</v>
      </c>
      <c r="P182" s="29">
        <v>36000</v>
      </c>
      <c r="Q182" s="31"/>
      <c r="R182" s="31"/>
      <c r="S182" s="31"/>
    </row>
    <row r="183" spans="1:19" ht="20.5">
      <c r="A183" s="26">
        <f ca="1">IFERROR(__xludf.DUMMYFUNCTION("""COMPUTED_VALUE"""),177)</f>
        <v>177</v>
      </c>
      <c r="B183" s="27" t="str">
        <f ca="1">IFERROR(__xludf.DUMMYFUNCTION("""COMPUTED_VALUE"""),"🟩 Inbound")</f>
        <v>🟩 Inbound</v>
      </c>
      <c r="C183" s="28" t="s">
        <v>611</v>
      </c>
      <c r="D183" s="28" t="s">
        <v>175</v>
      </c>
      <c r="E183" s="28" t="s">
        <v>612</v>
      </c>
      <c r="F183" s="28" t="s">
        <v>177</v>
      </c>
      <c r="G183" s="28" t="s">
        <v>196</v>
      </c>
      <c r="H183" s="28" t="s">
        <v>613</v>
      </c>
      <c r="I183" s="29">
        <v>232000</v>
      </c>
      <c r="J183" s="29">
        <v>4500</v>
      </c>
      <c r="K183" s="29">
        <v>236500</v>
      </c>
      <c r="L183" s="29">
        <v>4500</v>
      </c>
      <c r="M183" s="29">
        <v>4500</v>
      </c>
      <c r="N183" s="30">
        <v>0</v>
      </c>
      <c r="O183" s="29" t="s">
        <v>7</v>
      </c>
      <c r="P183" s="29">
        <v>236500</v>
      </c>
      <c r="Q183" s="31"/>
      <c r="R183" s="31"/>
      <c r="S183" s="31"/>
    </row>
    <row r="184" spans="1:19" ht="20.5">
      <c r="A184" s="26">
        <f ca="1">IFERROR(__xludf.DUMMYFUNCTION("""COMPUTED_VALUE"""),178)</f>
        <v>178</v>
      </c>
      <c r="B184" s="27" t="str">
        <f ca="1">IFERROR(__xludf.DUMMYFUNCTION("""COMPUTED_VALUE"""),"🟩 Inbound")</f>
        <v>🟩 Inbound</v>
      </c>
      <c r="C184" s="28" t="s">
        <v>614</v>
      </c>
      <c r="D184" s="28" t="s">
        <v>78</v>
      </c>
      <c r="E184" s="28" t="s">
        <v>615</v>
      </c>
      <c r="F184" s="28" t="s">
        <v>80</v>
      </c>
      <c r="G184" s="28" t="s">
        <v>196</v>
      </c>
      <c r="H184" s="28" t="s">
        <v>616</v>
      </c>
      <c r="I184" s="29">
        <v>22500</v>
      </c>
      <c r="J184" s="29">
        <v>4500</v>
      </c>
      <c r="K184" s="29">
        <v>27000</v>
      </c>
      <c r="L184" s="29">
        <v>4500</v>
      </c>
      <c r="M184" s="29">
        <v>4500</v>
      </c>
      <c r="N184" s="30">
        <v>0</v>
      </c>
      <c r="O184" s="29" t="s">
        <v>7</v>
      </c>
      <c r="P184" s="29">
        <v>27000</v>
      </c>
      <c r="Q184" s="31"/>
      <c r="R184" s="31"/>
      <c r="S184" s="31"/>
    </row>
    <row r="185" spans="1:19" ht="20.5">
      <c r="A185" s="26">
        <f ca="1">IFERROR(__xludf.DUMMYFUNCTION("""COMPUTED_VALUE"""),179)</f>
        <v>179</v>
      </c>
      <c r="B185" s="27" t="str">
        <f ca="1">IFERROR(__xludf.DUMMYFUNCTION("""COMPUTED_VALUE"""),"🟩 Inbound")</f>
        <v>🟩 Inbound</v>
      </c>
      <c r="C185" s="28" t="s">
        <v>617</v>
      </c>
      <c r="D185" s="28" t="s">
        <v>38</v>
      </c>
      <c r="E185" s="28" t="s">
        <v>618</v>
      </c>
      <c r="F185" s="28" t="s">
        <v>40</v>
      </c>
      <c r="G185" s="28" t="s">
        <v>14</v>
      </c>
      <c r="H185" s="28" t="s">
        <v>619</v>
      </c>
      <c r="I185" s="29">
        <v>42900</v>
      </c>
      <c r="J185" s="29">
        <v>4000</v>
      </c>
      <c r="K185" s="29">
        <v>46900</v>
      </c>
      <c r="L185" s="29">
        <v>4000</v>
      </c>
      <c r="M185" s="29">
        <v>4000</v>
      </c>
      <c r="N185" s="30">
        <v>0</v>
      </c>
      <c r="O185" s="29" t="s">
        <v>7</v>
      </c>
      <c r="P185" s="29">
        <v>46900</v>
      </c>
      <c r="Q185" s="31"/>
      <c r="R185" s="31"/>
      <c r="S185" s="31"/>
    </row>
    <row r="186" spans="1:19" ht="20.5">
      <c r="A186" s="26">
        <f ca="1">IFERROR(__xludf.DUMMYFUNCTION("""COMPUTED_VALUE"""),180)</f>
        <v>180</v>
      </c>
      <c r="B186" s="27" t="str">
        <f ca="1">IFERROR(__xludf.DUMMYFUNCTION("""COMPUTED_VALUE"""),"🟩 Inbound")</f>
        <v>🟩 Inbound</v>
      </c>
      <c r="C186" s="28" t="s">
        <v>620</v>
      </c>
      <c r="D186" s="28" t="s">
        <v>38</v>
      </c>
      <c r="E186" s="28" t="s">
        <v>70</v>
      </c>
      <c r="F186" s="28" t="s">
        <v>40</v>
      </c>
      <c r="G186" s="28" t="s">
        <v>196</v>
      </c>
      <c r="H186" s="28" t="s">
        <v>621</v>
      </c>
      <c r="I186" s="29">
        <v>68200</v>
      </c>
      <c r="J186" s="29">
        <v>4500</v>
      </c>
      <c r="K186" s="29">
        <v>72700</v>
      </c>
      <c r="L186" s="29">
        <v>4500</v>
      </c>
      <c r="M186" s="29">
        <v>4500</v>
      </c>
      <c r="N186" s="30">
        <v>0</v>
      </c>
      <c r="O186" s="29" t="s">
        <v>7</v>
      </c>
      <c r="P186" s="29">
        <v>72700</v>
      </c>
      <c r="Q186" s="31"/>
      <c r="R186" s="31"/>
      <c r="S186" s="31"/>
    </row>
    <row r="187" spans="1:19" ht="20.5">
      <c r="A187" s="26">
        <f ca="1">IFERROR(__xludf.DUMMYFUNCTION("""COMPUTED_VALUE"""),181)</f>
        <v>181</v>
      </c>
      <c r="B187" s="27" t="str">
        <f ca="1">IFERROR(__xludf.DUMMYFUNCTION("""COMPUTED_VALUE"""),"🟩 Inbound")</f>
        <v>🟩 Inbound</v>
      </c>
      <c r="C187" s="28" t="s">
        <v>622</v>
      </c>
      <c r="D187" s="28" t="s">
        <v>38</v>
      </c>
      <c r="E187" s="28" t="s">
        <v>623</v>
      </c>
      <c r="F187" s="28" t="s">
        <v>40</v>
      </c>
      <c r="G187" s="28" t="s">
        <v>196</v>
      </c>
      <c r="H187" s="28" t="s">
        <v>624</v>
      </c>
      <c r="I187" s="29">
        <v>29000</v>
      </c>
      <c r="J187" s="29">
        <v>4500</v>
      </c>
      <c r="K187" s="29">
        <v>33500</v>
      </c>
      <c r="L187" s="29">
        <v>4500</v>
      </c>
      <c r="M187" s="29">
        <v>4500</v>
      </c>
      <c r="N187" s="30">
        <v>0</v>
      </c>
      <c r="O187" s="29" t="s">
        <v>7</v>
      </c>
      <c r="P187" s="29">
        <v>33500</v>
      </c>
      <c r="Q187" s="31"/>
      <c r="R187" s="31"/>
      <c r="S187" s="31"/>
    </row>
    <row r="188" spans="1:19" ht="20.5">
      <c r="A188" s="26">
        <f ca="1">IFERROR(__xludf.DUMMYFUNCTION("""COMPUTED_VALUE"""),182)</f>
        <v>182</v>
      </c>
      <c r="B188" s="27" t="str">
        <f ca="1">IFERROR(__xludf.DUMMYFUNCTION("""COMPUTED_VALUE"""),"🟩 Inbound")</f>
        <v>🟩 Inbound</v>
      </c>
      <c r="C188" s="28" t="s">
        <v>625</v>
      </c>
      <c r="D188" s="28" t="s">
        <v>38</v>
      </c>
      <c r="E188" s="28" t="s">
        <v>626</v>
      </c>
      <c r="F188" s="28" t="s">
        <v>40</v>
      </c>
      <c r="G188" s="28" t="s">
        <v>196</v>
      </c>
      <c r="H188" s="28" t="s">
        <v>627</v>
      </c>
      <c r="I188" s="29">
        <v>47500</v>
      </c>
      <c r="J188" s="29">
        <v>4500</v>
      </c>
      <c r="K188" s="29">
        <v>52000</v>
      </c>
      <c r="L188" s="29">
        <v>4500</v>
      </c>
      <c r="M188" s="29">
        <v>4500</v>
      </c>
      <c r="N188" s="30">
        <v>0</v>
      </c>
      <c r="O188" s="29" t="s">
        <v>7</v>
      </c>
      <c r="P188" s="29">
        <v>52000</v>
      </c>
      <c r="Q188" s="31"/>
      <c r="R188" s="31"/>
      <c r="S188" s="31"/>
    </row>
    <row r="189" spans="1:19" ht="20.5">
      <c r="A189" s="26">
        <f ca="1">IFERROR(__xludf.DUMMYFUNCTION("""COMPUTED_VALUE"""),183)</f>
        <v>183</v>
      </c>
      <c r="B189" s="27" t="str">
        <f ca="1">IFERROR(__xludf.DUMMYFUNCTION("""COMPUTED_VALUE"""),"🟩 Inbound")</f>
        <v>🟩 Inbound</v>
      </c>
      <c r="C189" s="28" t="s">
        <v>628</v>
      </c>
      <c r="D189" s="28" t="s">
        <v>38</v>
      </c>
      <c r="E189" s="28" t="s">
        <v>629</v>
      </c>
      <c r="F189" s="28" t="s">
        <v>40</v>
      </c>
      <c r="G189" s="28" t="s">
        <v>196</v>
      </c>
      <c r="H189" s="28" t="s">
        <v>630</v>
      </c>
      <c r="I189" s="29">
        <v>102000</v>
      </c>
      <c r="J189" s="29">
        <v>4500</v>
      </c>
      <c r="K189" s="29">
        <v>106500</v>
      </c>
      <c r="L189" s="29">
        <v>4500</v>
      </c>
      <c r="M189" s="29">
        <v>4500</v>
      </c>
      <c r="N189" s="30">
        <v>0</v>
      </c>
      <c r="O189" s="29" t="s">
        <v>7</v>
      </c>
      <c r="P189" s="29">
        <v>106500</v>
      </c>
      <c r="Q189" s="31"/>
      <c r="R189" s="31"/>
      <c r="S189" s="31"/>
    </row>
    <row r="190" spans="1:19" ht="20.5">
      <c r="A190" s="26">
        <f ca="1">IFERROR(__xludf.DUMMYFUNCTION("""COMPUTED_VALUE"""),184)</f>
        <v>184</v>
      </c>
      <c r="B190" s="27" t="str">
        <f ca="1">IFERROR(__xludf.DUMMYFUNCTION("""COMPUTED_VALUE"""),"🟩 Inbound")</f>
        <v>🟩 Inbound</v>
      </c>
      <c r="C190" s="28" t="s">
        <v>631</v>
      </c>
      <c r="D190" s="28" t="s">
        <v>193</v>
      </c>
      <c r="E190" s="28" t="s">
        <v>277</v>
      </c>
      <c r="F190" s="28" t="s">
        <v>195</v>
      </c>
      <c r="G190" s="28" t="s">
        <v>185</v>
      </c>
      <c r="H190" s="28" t="s">
        <v>632</v>
      </c>
      <c r="I190" s="29">
        <v>39000</v>
      </c>
      <c r="J190" s="29">
        <v>4500</v>
      </c>
      <c r="K190" s="29">
        <v>43500</v>
      </c>
      <c r="L190" s="29">
        <v>4500</v>
      </c>
      <c r="M190" s="29">
        <v>4500</v>
      </c>
      <c r="N190" s="30">
        <v>0</v>
      </c>
      <c r="O190" s="29" t="s">
        <v>7</v>
      </c>
      <c r="P190" s="29">
        <v>43500</v>
      </c>
      <c r="Q190" s="31"/>
      <c r="R190" s="31"/>
      <c r="S190" s="31"/>
    </row>
    <row r="191" spans="1:19" ht="20.5">
      <c r="A191" s="26">
        <f ca="1">IFERROR(__xludf.DUMMYFUNCTION("""COMPUTED_VALUE"""),185)</f>
        <v>185</v>
      </c>
      <c r="B191" s="27" t="str">
        <f ca="1">IFERROR(__xludf.DUMMYFUNCTION("""COMPUTED_VALUE"""),"🟩 Inbound")</f>
        <v>🟩 Inbound</v>
      </c>
      <c r="C191" s="28" t="s">
        <v>633</v>
      </c>
      <c r="D191" s="28" t="s">
        <v>21</v>
      </c>
      <c r="E191" s="28" t="s">
        <v>407</v>
      </c>
      <c r="F191" s="28" t="s">
        <v>23</v>
      </c>
      <c r="G191" s="28" t="s">
        <v>316</v>
      </c>
      <c r="H191" s="28" t="s">
        <v>634</v>
      </c>
      <c r="I191" s="29">
        <v>29800</v>
      </c>
      <c r="J191" s="29">
        <v>4500</v>
      </c>
      <c r="K191" s="29">
        <v>34300</v>
      </c>
      <c r="L191" s="29">
        <v>4500</v>
      </c>
      <c r="M191" s="29">
        <v>4500</v>
      </c>
      <c r="N191" s="30">
        <v>0</v>
      </c>
      <c r="O191" s="29">
        <v>0</v>
      </c>
      <c r="P191" s="29">
        <v>34300</v>
      </c>
      <c r="Q191" s="31" t="s">
        <v>635</v>
      </c>
      <c r="R191" s="31"/>
      <c r="S191" s="31"/>
    </row>
    <row r="192" spans="1:19" ht="20.5">
      <c r="A192" s="26">
        <f ca="1">IFERROR(__xludf.DUMMYFUNCTION("""COMPUTED_VALUE"""),186)</f>
        <v>186</v>
      </c>
      <c r="B192" s="27" t="str">
        <f ca="1">IFERROR(__xludf.DUMMYFUNCTION("""COMPUTED_VALUE"""),"🟩 Inbound")</f>
        <v>🟩 Inbound</v>
      </c>
      <c r="C192" s="28" t="s">
        <v>636</v>
      </c>
      <c r="D192" s="28" t="s">
        <v>637</v>
      </c>
      <c r="E192" s="28" t="s">
        <v>638</v>
      </c>
      <c r="F192" s="28" t="s">
        <v>639</v>
      </c>
      <c r="G192" s="28" t="s">
        <v>316</v>
      </c>
      <c r="H192" s="28" t="s">
        <v>640</v>
      </c>
      <c r="I192" s="29">
        <v>226000</v>
      </c>
      <c r="J192" s="29">
        <v>4500</v>
      </c>
      <c r="K192" s="29">
        <v>230500</v>
      </c>
      <c r="L192" s="29">
        <v>4500</v>
      </c>
      <c r="M192" s="29">
        <v>4500</v>
      </c>
      <c r="N192" s="30">
        <v>0</v>
      </c>
      <c r="O192" s="29" t="s">
        <v>7</v>
      </c>
      <c r="P192" s="29">
        <v>230500</v>
      </c>
      <c r="Q192" s="31"/>
      <c r="R192" s="31"/>
      <c r="S192" s="31"/>
    </row>
    <row r="193" spans="1:19" ht="20.5">
      <c r="A193" s="26">
        <f ca="1">IFERROR(__xludf.DUMMYFUNCTION("""COMPUTED_VALUE"""),187)</f>
        <v>187</v>
      </c>
      <c r="B193" s="27" t="str">
        <f ca="1">IFERROR(__xludf.DUMMYFUNCTION("""COMPUTED_VALUE"""),"🟩 Inbound")</f>
        <v>🟩 Inbound</v>
      </c>
      <c r="C193" s="28" t="s">
        <v>641</v>
      </c>
      <c r="D193" s="28" t="s">
        <v>73</v>
      </c>
      <c r="E193" s="28" t="s">
        <v>642</v>
      </c>
      <c r="F193" s="28" t="s">
        <v>75</v>
      </c>
      <c r="G193" s="28" t="s">
        <v>185</v>
      </c>
      <c r="H193" s="28" t="s">
        <v>643</v>
      </c>
      <c r="I193" s="29">
        <v>20000</v>
      </c>
      <c r="J193" s="29">
        <v>5000</v>
      </c>
      <c r="K193" s="29">
        <v>25000</v>
      </c>
      <c r="L193" s="29">
        <v>4500</v>
      </c>
      <c r="M193" s="29">
        <v>5000</v>
      </c>
      <c r="N193" s="30">
        <v>4</v>
      </c>
      <c r="O193" s="29">
        <v>500</v>
      </c>
      <c r="P193" s="29">
        <v>25500</v>
      </c>
      <c r="Q193" s="31" t="s">
        <v>644</v>
      </c>
      <c r="R193" s="31"/>
      <c r="S193" s="31"/>
    </row>
    <row r="194" spans="1:19" ht="20.5">
      <c r="A194" s="26">
        <f ca="1">IFERROR(__xludf.DUMMYFUNCTION("""COMPUTED_VALUE"""),188)</f>
        <v>188</v>
      </c>
      <c r="B194" s="27" t="str">
        <f ca="1">IFERROR(__xludf.DUMMYFUNCTION("""COMPUTED_VALUE"""),"🟩 Inbound")</f>
        <v>🟩 Inbound</v>
      </c>
      <c r="C194" s="28" t="s">
        <v>645</v>
      </c>
      <c r="D194" s="28" t="s">
        <v>209</v>
      </c>
      <c r="E194" s="28" t="s">
        <v>646</v>
      </c>
      <c r="F194" s="28" t="s">
        <v>211</v>
      </c>
      <c r="G194" s="28" t="s">
        <v>647</v>
      </c>
      <c r="H194" s="28" t="s">
        <v>648</v>
      </c>
      <c r="I194" s="29">
        <v>174000</v>
      </c>
      <c r="J194" s="29">
        <v>0</v>
      </c>
      <c r="K194" s="29">
        <v>174000</v>
      </c>
      <c r="L194" s="29">
        <v>0</v>
      </c>
      <c r="M194" s="29">
        <v>0</v>
      </c>
      <c r="N194" s="30">
        <v>0</v>
      </c>
      <c r="O194" s="29">
        <v>0</v>
      </c>
      <c r="P194" s="29">
        <v>174000</v>
      </c>
      <c r="Q194" s="31"/>
      <c r="R194" s="31"/>
      <c r="S194" s="31"/>
    </row>
    <row r="195" spans="1:19" ht="20.5">
      <c r="A195" s="26">
        <f ca="1">IFERROR(__xludf.DUMMYFUNCTION("""COMPUTED_VALUE"""),189)</f>
        <v>189</v>
      </c>
      <c r="B195" s="27" t="str">
        <f ca="1">IFERROR(__xludf.DUMMYFUNCTION("""COMPUTED_VALUE"""),"🟩 Inbound")</f>
        <v>🟩 Inbound</v>
      </c>
      <c r="C195" s="28" t="s">
        <v>649</v>
      </c>
      <c r="D195" s="28" t="s">
        <v>209</v>
      </c>
      <c r="E195" s="28" t="s">
        <v>650</v>
      </c>
      <c r="F195" s="28" t="s">
        <v>211</v>
      </c>
      <c r="G195" s="28" t="s">
        <v>154</v>
      </c>
      <c r="H195" s="28" t="s">
        <v>651</v>
      </c>
      <c r="I195" s="29">
        <v>152900</v>
      </c>
      <c r="J195" s="29">
        <v>0</v>
      </c>
      <c r="K195" s="29">
        <v>152900</v>
      </c>
      <c r="L195" s="29">
        <v>0</v>
      </c>
      <c r="M195" s="29">
        <v>0</v>
      </c>
      <c r="N195" s="30">
        <v>0</v>
      </c>
      <c r="O195" s="29">
        <v>0</v>
      </c>
      <c r="P195" s="29">
        <v>152900</v>
      </c>
      <c r="Q195" s="31"/>
      <c r="R195" s="31"/>
      <c r="S195" s="31"/>
    </row>
    <row r="196" spans="1:19" ht="20.5">
      <c r="A196" s="26">
        <f ca="1">IFERROR(__xludf.DUMMYFUNCTION("""COMPUTED_VALUE"""),190)</f>
        <v>190</v>
      </c>
      <c r="B196" s="27" t="str">
        <f ca="1">IFERROR(__xludf.DUMMYFUNCTION("""COMPUTED_VALUE"""),"🟩 Inbound")</f>
        <v>🟩 Inbound</v>
      </c>
      <c r="C196" s="28" t="s">
        <v>652</v>
      </c>
      <c r="D196" s="28" t="s">
        <v>78</v>
      </c>
      <c r="E196" s="28" t="s">
        <v>653</v>
      </c>
      <c r="F196" s="28" t="s">
        <v>80</v>
      </c>
      <c r="G196" s="28" t="s">
        <v>312</v>
      </c>
      <c r="H196" s="28" t="s">
        <v>654</v>
      </c>
      <c r="I196" s="29">
        <v>46500</v>
      </c>
      <c r="J196" s="29">
        <v>4000</v>
      </c>
      <c r="K196" s="29">
        <v>50500</v>
      </c>
      <c r="L196" s="29">
        <v>4000</v>
      </c>
      <c r="M196" s="29">
        <v>4000</v>
      </c>
      <c r="N196" s="30">
        <v>0</v>
      </c>
      <c r="O196" s="29" t="s">
        <v>7</v>
      </c>
      <c r="P196" s="29">
        <v>50500</v>
      </c>
      <c r="Q196" s="31"/>
      <c r="R196" s="31"/>
      <c r="S196" s="31"/>
    </row>
    <row r="197" spans="1:19" ht="20.5">
      <c r="A197" s="26">
        <f ca="1">IFERROR(__xludf.DUMMYFUNCTION("""COMPUTED_VALUE"""),191)</f>
        <v>191</v>
      </c>
      <c r="B197" s="27" t="str">
        <f ca="1">IFERROR(__xludf.DUMMYFUNCTION("""COMPUTED_VALUE"""),"🟩 Inbound")</f>
        <v>🟩 Inbound</v>
      </c>
      <c r="C197" s="28" t="s">
        <v>655</v>
      </c>
      <c r="D197" s="28" t="s">
        <v>175</v>
      </c>
      <c r="E197" s="28" t="s">
        <v>656</v>
      </c>
      <c r="F197" s="28" t="s">
        <v>177</v>
      </c>
      <c r="G197" s="28" t="s">
        <v>376</v>
      </c>
      <c r="H197" s="28" t="s">
        <v>657</v>
      </c>
      <c r="I197" s="29">
        <v>36000</v>
      </c>
      <c r="J197" s="29">
        <v>4000</v>
      </c>
      <c r="K197" s="29">
        <v>40000</v>
      </c>
      <c r="L197" s="29">
        <v>4000</v>
      </c>
      <c r="M197" s="29">
        <v>4000</v>
      </c>
      <c r="N197" s="30">
        <v>0</v>
      </c>
      <c r="O197" s="29" t="s">
        <v>7</v>
      </c>
      <c r="P197" s="29">
        <v>40000</v>
      </c>
      <c r="Q197" s="31"/>
      <c r="R197" s="31"/>
      <c r="S197" s="31"/>
    </row>
    <row r="198" spans="1:19" ht="20.5">
      <c r="A198" s="26">
        <f ca="1">IFERROR(__xludf.DUMMYFUNCTION("""COMPUTED_VALUE"""),192)</f>
        <v>192</v>
      </c>
      <c r="B198" s="27" t="str">
        <f ca="1">IFERROR(__xludf.DUMMYFUNCTION("""COMPUTED_VALUE"""),"🟩 Inbound")</f>
        <v>🟩 Inbound</v>
      </c>
      <c r="C198" s="28" t="s">
        <v>658</v>
      </c>
      <c r="D198" s="28" t="s">
        <v>2</v>
      </c>
      <c r="E198" s="28" t="s">
        <v>659</v>
      </c>
      <c r="F198" s="28" t="s">
        <v>4</v>
      </c>
      <c r="G198" s="28" t="s">
        <v>10</v>
      </c>
      <c r="H198" s="28" t="s">
        <v>660</v>
      </c>
      <c r="I198" s="29">
        <v>41000</v>
      </c>
      <c r="J198" s="29">
        <v>6000</v>
      </c>
      <c r="K198" s="29">
        <v>47000</v>
      </c>
      <c r="L198" s="29">
        <v>6000</v>
      </c>
      <c r="M198" s="29">
        <v>6000</v>
      </c>
      <c r="N198" s="30">
        <v>0</v>
      </c>
      <c r="O198" s="29" t="s">
        <v>7</v>
      </c>
      <c r="P198" s="29">
        <v>47000</v>
      </c>
      <c r="Q198" s="31"/>
      <c r="R198" s="31"/>
      <c r="S198" s="31"/>
    </row>
    <row r="199" spans="1:19" ht="20.5">
      <c r="A199" s="26">
        <f ca="1">IFERROR(__xludf.DUMMYFUNCTION("""COMPUTED_VALUE"""),193)</f>
        <v>193</v>
      </c>
      <c r="B199" s="27" t="str">
        <f ca="1">IFERROR(__xludf.DUMMYFUNCTION("""COMPUTED_VALUE"""),"🟩 Inbound")</f>
        <v>🟩 Inbound</v>
      </c>
      <c r="C199" s="28" t="s">
        <v>661</v>
      </c>
      <c r="D199" s="28" t="s">
        <v>175</v>
      </c>
      <c r="E199" s="28" t="s">
        <v>662</v>
      </c>
      <c r="F199" s="28" t="s">
        <v>177</v>
      </c>
      <c r="G199" s="28" t="s">
        <v>392</v>
      </c>
      <c r="H199" s="28" t="s">
        <v>663</v>
      </c>
      <c r="I199" s="29">
        <v>105000</v>
      </c>
      <c r="J199" s="29">
        <v>4000</v>
      </c>
      <c r="K199" s="29">
        <v>109000</v>
      </c>
      <c r="L199" s="29">
        <v>4000</v>
      </c>
      <c r="M199" s="29">
        <v>4000</v>
      </c>
      <c r="N199" s="30">
        <v>0</v>
      </c>
      <c r="O199" s="29" t="s">
        <v>7</v>
      </c>
      <c r="P199" s="29">
        <v>109000</v>
      </c>
      <c r="Q199" s="31"/>
      <c r="R199" s="31"/>
      <c r="S199" s="31"/>
    </row>
    <row r="200" spans="1:19" ht="20.5">
      <c r="A200" s="26">
        <f ca="1">IFERROR(__xludf.DUMMYFUNCTION("""COMPUTED_VALUE"""),194)</f>
        <v>194</v>
      </c>
      <c r="B200" s="27" t="str">
        <f ca="1">IFERROR(__xludf.DUMMYFUNCTION("""COMPUTED_VALUE"""),"🟩 Inbound")</f>
        <v>🟩 Inbound</v>
      </c>
      <c r="C200" s="28" t="s">
        <v>664</v>
      </c>
      <c r="D200" s="28" t="s">
        <v>193</v>
      </c>
      <c r="E200" s="28" t="s">
        <v>665</v>
      </c>
      <c r="F200" s="28" t="s">
        <v>195</v>
      </c>
      <c r="G200" s="28" t="s">
        <v>244</v>
      </c>
      <c r="H200" s="28" t="s">
        <v>666</v>
      </c>
      <c r="I200" s="29">
        <v>78000</v>
      </c>
      <c r="J200" s="29">
        <v>5000</v>
      </c>
      <c r="K200" s="29">
        <v>83000</v>
      </c>
      <c r="L200" s="29">
        <v>0</v>
      </c>
      <c r="M200" s="29">
        <v>5000</v>
      </c>
      <c r="N200" s="30">
        <v>0</v>
      </c>
      <c r="O200" s="29">
        <v>0</v>
      </c>
      <c r="P200" s="29">
        <v>83000</v>
      </c>
      <c r="Q200" s="31"/>
      <c r="R200" s="31"/>
      <c r="S200" s="31"/>
    </row>
    <row r="201" spans="1:19" ht="20.5">
      <c r="A201" s="26">
        <f ca="1">IFERROR(__xludf.DUMMYFUNCTION("""COMPUTED_VALUE"""),195)</f>
        <v>195</v>
      </c>
      <c r="B201" s="27" t="str">
        <f ca="1">IFERROR(__xludf.DUMMYFUNCTION("""COMPUTED_VALUE"""),"🟩 Inbound")</f>
        <v>🟩 Inbound</v>
      </c>
      <c r="C201" s="28" t="s">
        <v>667</v>
      </c>
      <c r="D201" s="28" t="s">
        <v>38</v>
      </c>
      <c r="E201" s="28" t="s">
        <v>668</v>
      </c>
      <c r="F201" s="28" t="s">
        <v>40</v>
      </c>
      <c r="G201" s="28" t="s">
        <v>669</v>
      </c>
      <c r="H201" s="28" t="s">
        <v>670</v>
      </c>
      <c r="I201" s="29">
        <v>28000</v>
      </c>
      <c r="J201" s="29">
        <v>6000</v>
      </c>
      <c r="K201" s="29">
        <v>34000</v>
      </c>
      <c r="L201" s="29">
        <v>3000</v>
      </c>
      <c r="M201" s="29">
        <v>6000</v>
      </c>
      <c r="N201" s="30">
        <v>0</v>
      </c>
      <c r="O201" s="29" t="s">
        <v>7</v>
      </c>
      <c r="P201" s="29">
        <v>34000</v>
      </c>
      <c r="Q201" s="31"/>
      <c r="R201" s="31"/>
      <c r="S201" s="31"/>
    </row>
    <row r="202" spans="1:19" ht="20.5">
      <c r="A202" s="26">
        <f ca="1">IFERROR(__xludf.DUMMYFUNCTION("""COMPUTED_VALUE"""),196)</f>
        <v>196</v>
      </c>
      <c r="B202" s="27" t="str">
        <f ca="1">IFERROR(__xludf.DUMMYFUNCTION("""COMPUTED_VALUE"""),"🟩 Inbound")</f>
        <v>🟩 Inbound</v>
      </c>
      <c r="C202" s="28" t="s">
        <v>671</v>
      </c>
      <c r="D202" s="28" t="s">
        <v>78</v>
      </c>
      <c r="E202" s="28" t="s">
        <v>672</v>
      </c>
      <c r="F202" s="28" t="s">
        <v>80</v>
      </c>
      <c r="G202" s="28" t="s">
        <v>312</v>
      </c>
      <c r="H202" s="28" t="s">
        <v>673</v>
      </c>
      <c r="I202" s="29">
        <v>54000</v>
      </c>
      <c r="J202" s="29">
        <v>4000</v>
      </c>
      <c r="K202" s="29">
        <v>58000</v>
      </c>
      <c r="L202" s="29">
        <v>0</v>
      </c>
      <c r="M202" s="29">
        <v>4000</v>
      </c>
      <c r="N202" s="30">
        <v>0</v>
      </c>
      <c r="O202" s="29">
        <v>0</v>
      </c>
      <c r="P202" s="29">
        <v>58000</v>
      </c>
      <c r="Q202" s="31"/>
      <c r="R202" s="31"/>
      <c r="S202" s="31"/>
    </row>
    <row r="203" spans="1:19" ht="20.5">
      <c r="A203" s="26">
        <f ca="1">IFERROR(__xludf.DUMMYFUNCTION("""COMPUTED_VALUE"""),197)</f>
        <v>197</v>
      </c>
      <c r="B203" s="27" t="str">
        <f ca="1">IFERROR(__xludf.DUMMYFUNCTION("""COMPUTED_VALUE"""),"🟩 Inbound")</f>
        <v>🟩 Inbound</v>
      </c>
      <c r="C203" s="28" t="s">
        <v>674</v>
      </c>
      <c r="D203" s="28" t="s">
        <v>675</v>
      </c>
      <c r="E203" s="28" t="s">
        <v>676</v>
      </c>
      <c r="F203" s="28" t="s">
        <v>677</v>
      </c>
      <c r="G203" s="28" t="s">
        <v>178</v>
      </c>
      <c r="H203" s="28" t="s">
        <v>678</v>
      </c>
      <c r="I203" s="29">
        <v>28500</v>
      </c>
      <c r="J203" s="29">
        <v>4000</v>
      </c>
      <c r="K203" s="29">
        <v>32500</v>
      </c>
      <c r="L203" s="29">
        <v>4000</v>
      </c>
      <c r="M203" s="29">
        <v>4000</v>
      </c>
      <c r="N203" s="30">
        <v>0</v>
      </c>
      <c r="O203" s="29" t="s">
        <v>7</v>
      </c>
      <c r="P203" s="29">
        <v>32500</v>
      </c>
      <c r="Q203" s="31"/>
      <c r="R203" s="31"/>
      <c r="S203" s="31"/>
    </row>
    <row r="204" spans="1:19" ht="20.5">
      <c r="A204" s="26">
        <f ca="1">IFERROR(__xludf.DUMMYFUNCTION("""COMPUTED_VALUE"""),198)</f>
        <v>198</v>
      </c>
      <c r="B204" s="27" t="str">
        <f ca="1">IFERROR(__xludf.DUMMYFUNCTION("""COMPUTED_VALUE"""),"🟩 Inbound")</f>
        <v>🟩 Inbound</v>
      </c>
      <c r="C204" s="28" t="s">
        <v>679</v>
      </c>
      <c r="D204" s="28" t="s">
        <v>52</v>
      </c>
      <c r="E204" s="28" t="s">
        <v>680</v>
      </c>
      <c r="F204" s="28" t="s">
        <v>53</v>
      </c>
      <c r="G204" s="28" t="s">
        <v>271</v>
      </c>
      <c r="H204" s="28" t="s">
        <v>681</v>
      </c>
      <c r="I204" s="29">
        <v>26000</v>
      </c>
      <c r="J204" s="29">
        <v>4500</v>
      </c>
      <c r="K204" s="29">
        <v>30500</v>
      </c>
      <c r="L204" s="29">
        <v>4500</v>
      </c>
      <c r="M204" s="29">
        <v>4500</v>
      </c>
      <c r="N204" s="30">
        <v>0</v>
      </c>
      <c r="O204" s="29" t="s">
        <v>7</v>
      </c>
      <c r="P204" s="29">
        <v>30500</v>
      </c>
      <c r="Q204" s="31"/>
      <c r="R204" s="31"/>
      <c r="S204" s="31"/>
    </row>
    <row r="205" spans="1:19" ht="20.5">
      <c r="A205" s="26">
        <f ca="1">IFERROR(__xludf.DUMMYFUNCTION("""COMPUTED_VALUE"""),199)</f>
        <v>199</v>
      </c>
      <c r="B205" s="27" t="str">
        <f ca="1">IFERROR(__xludf.DUMMYFUNCTION("""COMPUTED_VALUE"""),"🟩 Inbound")</f>
        <v>🟩 Inbound</v>
      </c>
      <c r="C205" s="28" t="s">
        <v>682</v>
      </c>
      <c r="D205" s="28" t="s">
        <v>21</v>
      </c>
      <c r="E205" s="28" t="s">
        <v>683</v>
      </c>
      <c r="F205" s="28" t="s">
        <v>23</v>
      </c>
      <c r="G205" s="28" t="s">
        <v>271</v>
      </c>
      <c r="H205" s="28" t="s">
        <v>684</v>
      </c>
      <c r="I205" s="29">
        <v>59000</v>
      </c>
      <c r="J205" s="29">
        <v>4500</v>
      </c>
      <c r="K205" s="29">
        <v>63500</v>
      </c>
      <c r="L205" s="29">
        <v>4500</v>
      </c>
      <c r="M205" s="29">
        <v>4500</v>
      </c>
      <c r="N205" s="30">
        <v>0</v>
      </c>
      <c r="O205" s="29" t="s">
        <v>7</v>
      </c>
      <c r="P205" s="29">
        <v>63500</v>
      </c>
      <c r="Q205" s="31"/>
      <c r="R205" s="31"/>
      <c r="S205" s="31"/>
    </row>
    <row r="206" spans="1:19" ht="20.5">
      <c r="A206" s="26">
        <f ca="1">IFERROR(__xludf.DUMMYFUNCTION("""COMPUTED_VALUE"""),200)</f>
        <v>200</v>
      </c>
      <c r="B206" s="27" t="str">
        <f ca="1">IFERROR(__xludf.DUMMYFUNCTION("""COMPUTED_VALUE"""),"🟩 Inbound")</f>
        <v>🟩 Inbound</v>
      </c>
      <c r="C206" s="28" t="s">
        <v>685</v>
      </c>
      <c r="D206" s="28" t="s">
        <v>21</v>
      </c>
      <c r="E206" s="28" t="s">
        <v>686</v>
      </c>
      <c r="F206" s="28" t="s">
        <v>23</v>
      </c>
      <c r="G206" s="28" t="s">
        <v>172</v>
      </c>
      <c r="H206" s="28" t="s">
        <v>687</v>
      </c>
      <c r="I206" s="29">
        <v>29800</v>
      </c>
      <c r="J206" s="29">
        <v>4000</v>
      </c>
      <c r="K206" s="29">
        <v>33800</v>
      </c>
      <c r="L206" s="29">
        <v>4000</v>
      </c>
      <c r="M206" s="29">
        <v>4000</v>
      </c>
      <c r="N206" s="30">
        <v>0</v>
      </c>
      <c r="O206" s="29">
        <v>0</v>
      </c>
      <c r="P206" s="29">
        <v>33800</v>
      </c>
      <c r="Q206" s="31"/>
      <c r="R206" s="31"/>
      <c r="S206" s="31"/>
    </row>
    <row r="207" spans="1:19" ht="20.5">
      <c r="A207" s="26">
        <f ca="1">IFERROR(__xludf.DUMMYFUNCTION("""COMPUTED_VALUE"""),201)</f>
        <v>201</v>
      </c>
      <c r="B207" s="27" t="str">
        <f ca="1">IFERROR(__xludf.DUMMYFUNCTION("""COMPUTED_VALUE"""),"🟩 Inbound")</f>
        <v>🟩 Inbound</v>
      </c>
      <c r="C207" s="28" t="s">
        <v>688</v>
      </c>
      <c r="D207" s="28" t="s">
        <v>689</v>
      </c>
      <c r="E207" s="28" t="s">
        <v>690</v>
      </c>
      <c r="F207" s="28" t="s">
        <v>691</v>
      </c>
      <c r="G207" s="28" t="s">
        <v>10</v>
      </c>
      <c r="H207" s="28" t="s">
        <v>692</v>
      </c>
      <c r="I207" s="29">
        <v>75000</v>
      </c>
      <c r="J207" s="29">
        <v>0</v>
      </c>
      <c r="K207" s="29">
        <v>75000</v>
      </c>
      <c r="L207" s="29">
        <v>6000</v>
      </c>
      <c r="M207" s="29" t="s">
        <v>7</v>
      </c>
      <c r="N207" s="30">
        <v>9</v>
      </c>
      <c r="O207" s="29">
        <v>12000</v>
      </c>
      <c r="P207" s="29">
        <v>87000</v>
      </c>
      <c r="Q207" s="31"/>
      <c r="R207" s="31"/>
      <c r="S207" s="31"/>
    </row>
    <row r="208" spans="1:19" ht="20.5">
      <c r="A208" s="26">
        <f ca="1">IFERROR(__xludf.DUMMYFUNCTION("""COMPUTED_VALUE"""),202)</f>
        <v>202</v>
      </c>
      <c r="B208" s="27" t="str">
        <f ca="1">IFERROR(__xludf.DUMMYFUNCTION("""COMPUTED_VALUE"""),"🟩 Inbound")</f>
        <v>🟩 Inbound</v>
      </c>
      <c r="C208" s="28" t="s">
        <v>693</v>
      </c>
      <c r="D208" s="28" t="s">
        <v>73</v>
      </c>
      <c r="E208" s="28" t="s">
        <v>694</v>
      </c>
      <c r="F208" s="28" t="s">
        <v>75</v>
      </c>
      <c r="G208" s="28" t="s">
        <v>10</v>
      </c>
      <c r="H208" s="28" t="s">
        <v>695</v>
      </c>
      <c r="I208" s="29">
        <v>30000</v>
      </c>
      <c r="J208" s="29">
        <v>0</v>
      </c>
      <c r="K208" s="29">
        <v>30000</v>
      </c>
      <c r="L208" s="29">
        <v>6000</v>
      </c>
      <c r="M208" s="29" t="s">
        <v>7</v>
      </c>
      <c r="N208" s="30">
        <v>6</v>
      </c>
      <c r="O208" s="29">
        <v>8000</v>
      </c>
      <c r="P208" s="29">
        <v>38000</v>
      </c>
      <c r="Q208" s="31"/>
      <c r="R208" s="31"/>
      <c r="S208" s="31"/>
    </row>
    <row r="209" spans="1:19" ht="20.5">
      <c r="A209" s="26">
        <f ca="1">IFERROR(__xludf.DUMMYFUNCTION("""COMPUTED_VALUE"""),203)</f>
        <v>203</v>
      </c>
      <c r="B209" s="27" t="str">
        <f ca="1">IFERROR(__xludf.DUMMYFUNCTION("""COMPUTED_VALUE"""),"🟩 Inbound")</f>
        <v>🟩 Inbound</v>
      </c>
      <c r="C209" s="28" t="s">
        <v>696</v>
      </c>
      <c r="D209" s="28" t="s">
        <v>73</v>
      </c>
      <c r="E209" s="28" t="s">
        <v>697</v>
      </c>
      <c r="F209" s="28" t="s">
        <v>75</v>
      </c>
      <c r="G209" s="28" t="s">
        <v>10</v>
      </c>
      <c r="H209" s="28" t="s">
        <v>698</v>
      </c>
      <c r="I209" s="29">
        <v>30000</v>
      </c>
      <c r="J209" s="29">
        <v>0</v>
      </c>
      <c r="K209" s="29">
        <v>30000</v>
      </c>
      <c r="L209" s="29">
        <v>6000</v>
      </c>
      <c r="M209" s="29">
        <v>0</v>
      </c>
      <c r="N209" s="30">
        <v>6</v>
      </c>
      <c r="O209" s="29">
        <v>1500</v>
      </c>
      <c r="P209" s="29">
        <v>31500</v>
      </c>
      <c r="Q209" s="31"/>
      <c r="R209" s="31"/>
      <c r="S209" s="31"/>
    </row>
    <row r="210" spans="1:19" ht="20.5">
      <c r="A210" s="26">
        <f ca="1">IFERROR(__xludf.DUMMYFUNCTION("""COMPUTED_VALUE"""),204)</f>
        <v>204</v>
      </c>
      <c r="B210" s="27" t="str">
        <f ca="1">IFERROR(__xludf.DUMMYFUNCTION("""COMPUTED_VALUE"""),"🟩 Inbound")</f>
        <v>🟩 Inbound</v>
      </c>
      <c r="C210" s="28" t="s">
        <v>699</v>
      </c>
      <c r="D210" s="28" t="s">
        <v>73</v>
      </c>
      <c r="E210" s="28" t="s">
        <v>700</v>
      </c>
      <c r="F210" s="28" t="s">
        <v>75</v>
      </c>
      <c r="G210" s="28" t="s">
        <v>172</v>
      </c>
      <c r="H210" s="28" t="s">
        <v>701</v>
      </c>
      <c r="I210" s="29">
        <v>14100</v>
      </c>
      <c r="J210" s="29">
        <v>4000</v>
      </c>
      <c r="K210" s="29">
        <v>18100</v>
      </c>
      <c r="L210" s="29">
        <v>4000</v>
      </c>
      <c r="M210" s="29">
        <v>4000</v>
      </c>
      <c r="N210" s="30">
        <v>0</v>
      </c>
      <c r="O210" s="29" t="s">
        <v>7</v>
      </c>
      <c r="P210" s="29">
        <v>18100</v>
      </c>
      <c r="Q210" s="31"/>
      <c r="R210" s="31"/>
      <c r="S210" s="31"/>
    </row>
    <row r="211" spans="1:19" ht="20.5">
      <c r="A211" s="26">
        <f ca="1">IFERROR(__xludf.DUMMYFUNCTION("""COMPUTED_VALUE"""),205)</f>
        <v>205</v>
      </c>
      <c r="B211" s="27" t="str">
        <f ca="1">IFERROR(__xludf.DUMMYFUNCTION("""COMPUTED_VALUE"""),"🟩 Inbound")</f>
        <v>🟩 Inbound</v>
      </c>
      <c r="C211" s="28" t="s">
        <v>702</v>
      </c>
      <c r="D211" s="28" t="s">
        <v>73</v>
      </c>
      <c r="E211" s="28" t="s">
        <v>703</v>
      </c>
      <c r="F211" s="28" t="s">
        <v>75</v>
      </c>
      <c r="G211" s="28" t="s">
        <v>10</v>
      </c>
      <c r="H211" s="28" t="s">
        <v>704</v>
      </c>
      <c r="I211" s="29">
        <v>20000</v>
      </c>
      <c r="J211" s="29">
        <v>0</v>
      </c>
      <c r="K211" s="29">
        <v>20000</v>
      </c>
      <c r="L211" s="29">
        <v>6000</v>
      </c>
      <c r="M211" s="29" t="s">
        <v>7</v>
      </c>
      <c r="N211" s="30">
        <v>5</v>
      </c>
      <c r="O211" s="29">
        <v>8000</v>
      </c>
      <c r="P211" s="29">
        <v>28000</v>
      </c>
      <c r="Q211" s="31"/>
      <c r="R211" s="31"/>
      <c r="S211" s="31"/>
    </row>
    <row r="212" spans="1:19" ht="20.5">
      <c r="A212" s="26">
        <f ca="1">IFERROR(__xludf.DUMMYFUNCTION("""COMPUTED_VALUE"""),206)</f>
        <v>206</v>
      </c>
      <c r="B212" s="27" t="str">
        <f ca="1">IFERROR(__xludf.DUMMYFUNCTION("""COMPUTED_VALUE"""),"🟩 Inbound")</f>
        <v>🟩 Inbound</v>
      </c>
      <c r="C212" s="28" t="s">
        <v>705</v>
      </c>
      <c r="D212" s="28" t="s">
        <v>250</v>
      </c>
      <c r="E212" s="28" t="s">
        <v>706</v>
      </c>
      <c r="F212" s="28" t="s">
        <v>252</v>
      </c>
      <c r="G212" s="28" t="s">
        <v>64</v>
      </c>
      <c r="H212" s="28" t="s">
        <v>707</v>
      </c>
      <c r="I212" s="29">
        <v>28000</v>
      </c>
      <c r="J212" s="29">
        <v>4000</v>
      </c>
      <c r="K212" s="29">
        <v>32000</v>
      </c>
      <c r="L212" s="29">
        <v>4000</v>
      </c>
      <c r="M212" s="29">
        <v>4000</v>
      </c>
      <c r="N212" s="30">
        <v>0</v>
      </c>
      <c r="O212" s="29" t="s">
        <v>7</v>
      </c>
      <c r="P212" s="29">
        <v>32000</v>
      </c>
      <c r="Q212" s="31"/>
      <c r="R212" s="31"/>
      <c r="S212" s="31"/>
    </row>
    <row r="213" spans="1:19" ht="20.5">
      <c r="A213" s="26">
        <f ca="1">IFERROR(__xludf.DUMMYFUNCTION("""COMPUTED_VALUE"""),207)</f>
        <v>207</v>
      </c>
      <c r="B213" s="27" t="str">
        <f ca="1">IFERROR(__xludf.DUMMYFUNCTION("""COMPUTED_VALUE"""),"🟩 Inbound")</f>
        <v>🟩 Inbound</v>
      </c>
      <c r="C213" s="28" t="s">
        <v>708</v>
      </c>
      <c r="D213" s="28" t="s">
        <v>32</v>
      </c>
      <c r="E213" s="28" t="s">
        <v>709</v>
      </c>
      <c r="F213" s="28" t="s">
        <v>34</v>
      </c>
      <c r="G213" s="28" t="s">
        <v>481</v>
      </c>
      <c r="H213" s="28" t="s">
        <v>710</v>
      </c>
      <c r="I213" s="29">
        <v>121200</v>
      </c>
      <c r="J213" s="29">
        <v>4000</v>
      </c>
      <c r="K213" s="29">
        <v>125200</v>
      </c>
      <c r="L213" s="29">
        <v>0</v>
      </c>
      <c r="M213" s="29">
        <v>4000</v>
      </c>
      <c r="N213" s="30">
        <v>0</v>
      </c>
      <c r="O213" s="29" t="s">
        <v>7</v>
      </c>
      <c r="P213" s="29">
        <v>125200</v>
      </c>
      <c r="Q213" s="31"/>
      <c r="R213" s="31"/>
      <c r="S213" s="31"/>
    </row>
    <row r="214" spans="1:19" ht="20.5">
      <c r="A214" s="26">
        <f ca="1">IFERROR(__xludf.DUMMYFUNCTION("""COMPUTED_VALUE"""),208)</f>
        <v>208</v>
      </c>
      <c r="B214" s="27" t="str">
        <f ca="1">IFERROR(__xludf.DUMMYFUNCTION("""COMPUTED_VALUE"""),"🟩 Inbound")</f>
        <v>🟩 Inbound</v>
      </c>
      <c r="C214" s="28" t="s">
        <v>711</v>
      </c>
      <c r="D214" s="28" t="s">
        <v>297</v>
      </c>
      <c r="E214" s="28" t="s">
        <v>712</v>
      </c>
      <c r="F214" s="28" t="s">
        <v>299</v>
      </c>
      <c r="G214" s="28" t="s">
        <v>376</v>
      </c>
      <c r="H214" s="28" t="s">
        <v>713</v>
      </c>
      <c r="I214" s="29">
        <v>35700</v>
      </c>
      <c r="J214" s="29">
        <v>0</v>
      </c>
      <c r="K214" s="29">
        <v>35700</v>
      </c>
      <c r="L214" s="29">
        <v>4000</v>
      </c>
      <c r="M214" s="29" t="s">
        <v>7</v>
      </c>
      <c r="N214" s="30">
        <v>0</v>
      </c>
      <c r="O214" s="29" t="s">
        <v>7</v>
      </c>
      <c r="P214" s="29">
        <v>35700</v>
      </c>
      <c r="Q214" s="31"/>
      <c r="R214" s="31"/>
      <c r="S214" s="31"/>
    </row>
    <row r="215" spans="1:19" ht="20.5">
      <c r="A215" s="26">
        <f ca="1">IFERROR(__xludf.DUMMYFUNCTION("""COMPUTED_VALUE"""),209)</f>
        <v>209</v>
      </c>
      <c r="B215" s="27" t="str">
        <f ca="1">IFERROR(__xludf.DUMMYFUNCTION("""COMPUTED_VALUE"""),"🟩 Inbound")</f>
        <v>🟩 Inbound</v>
      </c>
      <c r="C215" s="28" t="s">
        <v>714</v>
      </c>
      <c r="D215" s="28" t="s">
        <v>21</v>
      </c>
      <c r="E215" s="28" t="s">
        <v>686</v>
      </c>
      <c r="F215" s="28" t="s">
        <v>23</v>
      </c>
      <c r="G215" s="28" t="s">
        <v>172</v>
      </c>
      <c r="H215" s="28" t="s">
        <v>715</v>
      </c>
      <c r="I215" s="29">
        <v>0</v>
      </c>
      <c r="J215" s="29">
        <v>4000</v>
      </c>
      <c r="K215" s="29">
        <v>4000</v>
      </c>
      <c r="L215" s="29">
        <v>4000</v>
      </c>
      <c r="M215" s="29">
        <v>4000</v>
      </c>
      <c r="N215" s="30">
        <v>0</v>
      </c>
      <c r="O215" s="29" t="s">
        <v>7</v>
      </c>
      <c r="P215" s="29">
        <v>4000</v>
      </c>
      <c r="Q215" s="31"/>
      <c r="R215" s="31"/>
      <c r="S215" s="31"/>
    </row>
    <row r="216" spans="1:19" ht="20.5">
      <c r="A216" s="26">
        <f ca="1">IFERROR(__xludf.DUMMYFUNCTION("""COMPUTED_VALUE"""),210)</f>
        <v>210</v>
      </c>
      <c r="B216" s="27" t="str">
        <f ca="1">IFERROR(__xludf.DUMMYFUNCTION("""COMPUTED_VALUE"""),"🟩 Inbound")</f>
        <v>🟩 Inbound</v>
      </c>
      <c r="C216" s="28" t="s">
        <v>716</v>
      </c>
      <c r="D216" s="28" t="s">
        <v>579</v>
      </c>
      <c r="E216" s="28" t="s">
        <v>717</v>
      </c>
      <c r="F216" s="28" t="s">
        <v>581</v>
      </c>
      <c r="G216" s="28" t="s">
        <v>244</v>
      </c>
      <c r="H216" s="28" t="s">
        <v>718</v>
      </c>
      <c r="I216" s="29">
        <v>12000</v>
      </c>
      <c r="J216" s="29">
        <v>5000</v>
      </c>
      <c r="K216" s="29">
        <v>17000</v>
      </c>
      <c r="L216" s="29" t="s">
        <v>7</v>
      </c>
      <c r="M216" s="29">
        <v>5000</v>
      </c>
      <c r="N216" s="30">
        <v>0</v>
      </c>
      <c r="O216" s="29" t="s">
        <v>7</v>
      </c>
      <c r="P216" s="29">
        <v>17000</v>
      </c>
      <c r="Q216" s="31"/>
      <c r="R216" s="31"/>
      <c r="S216" s="31"/>
    </row>
    <row r="217" spans="1:19" ht="20.5">
      <c r="A217" s="26">
        <f ca="1">IFERROR(__xludf.DUMMYFUNCTION("""COMPUTED_VALUE"""),211)</f>
        <v>211</v>
      </c>
      <c r="B217" s="27" t="str">
        <f ca="1">IFERROR(__xludf.DUMMYFUNCTION("""COMPUTED_VALUE"""),"🟩 Inbound")</f>
        <v>🟩 Inbound</v>
      </c>
      <c r="C217" s="28" t="s">
        <v>719</v>
      </c>
      <c r="D217" s="28" t="s">
        <v>38</v>
      </c>
      <c r="E217" s="28" t="s">
        <v>720</v>
      </c>
      <c r="F217" s="28" t="s">
        <v>40</v>
      </c>
      <c r="G217" s="28" t="s">
        <v>392</v>
      </c>
      <c r="H217" s="28" t="s">
        <v>721</v>
      </c>
      <c r="I217" s="29">
        <v>68800</v>
      </c>
      <c r="J217" s="29">
        <v>4000</v>
      </c>
      <c r="K217" s="29">
        <v>72800</v>
      </c>
      <c r="L217" s="29">
        <v>4000</v>
      </c>
      <c r="M217" s="29">
        <v>4000</v>
      </c>
      <c r="N217" s="30">
        <v>0</v>
      </c>
      <c r="O217" s="29">
        <v>2000</v>
      </c>
      <c r="P217" s="29">
        <v>424300</v>
      </c>
      <c r="Q217" s="31"/>
      <c r="R217" s="31"/>
      <c r="S217" s="31"/>
    </row>
    <row r="218" spans="1:19" ht="20.5">
      <c r="A218" s="26">
        <f ca="1">IFERROR(__xludf.DUMMYFUNCTION("""COMPUTED_VALUE"""),212)</f>
        <v>212</v>
      </c>
      <c r="B218" s="27" t="str">
        <f ca="1">IFERROR(__xludf.DUMMYFUNCTION("""COMPUTED_VALUE"""),"🟩 Inbound")</f>
        <v>🟩 Inbound</v>
      </c>
      <c r="C218" s="28" t="str">
        <f ca="1">IFERROR(__xludf.DUMMYFUNCTION("""COMPUTED_VALUE"""),"D0905-KSC-155")</f>
        <v>D0905-KSC-155</v>
      </c>
      <c r="D218" s="28" t="str">
        <f ca="1">IFERROR(__xludf.DUMMYFUNCTION("""COMPUTED_VALUE"""),"KS Cosmetic")</f>
        <v>KS Cosmetic</v>
      </c>
      <c r="E218" s="28" t="str">
        <f ca="1">IFERROR(__xludf.DUMMYFUNCTION("""COMPUTED_VALUE"""),"မရွှေဇင်လှိုင်")</f>
        <v>မရွှေဇင်လှိုင်</v>
      </c>
      <c r="F218" s="28" t="str">
        <f ca="1">IFERROR(__xludf.DUMMYFUNCTION("""COMPUTED_VALUE"""),"09-668945241
09-2017173")</f>
        <v>09-668945241
09-2017173</v>
      </c>
      <c r="G218" s="28" t="str">
        <f ca="1">IFERROR(__xludf.DUMMYFUNCTION("""COMPUTED_VALUE"""),"မန္တလေး")</f>
        <v>မန္တလေး</v>
      </c>
      <c r="H218" s="28" t="str">
        <f ca="1">IFERROR(__xludf.DUMMYFUNCTION("""COMPUTED_VALUE"""),"မြခွာညို ဧည့်ရိပ်မွန် (အဆင့်မြင့်)၊ (62B) လမ်း၊ ၁၄ x ၁၅ လမ်းကြား၊ နန်းရှေ့၊ အောင်မြေသာစံမြို့နယ်၊ မန္တလေး")</f>
        <v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v>
      </c>
      <c r="I218" s="29">
        <f ca="1">IFERROR(__xludf.DUMMYFUNCTION("""COMPUTED_VALUE"""),39500)</f>
        <v>39500</v>
      </c>
      <c r="J218" s="29">
        <f ca="1">IFERROR(__xludf.DUMMYFUNCTION("""COMPUTED_VALUE"""),6000)</f>
        <v>6000</v>
      </c>
      <c r="K218" s="29">
        <f ca="1">IFERROR(__xludf.DUMMYFUNCTION("""COMPUTED_VALUE"""),45500)</f>
        <v>45500</v>
      </c>
      <c r="L218" s="29">
        <f ca="1">IFERROR(__xludf.DUMMYFUNCTION("""COMPUTED_VALUE"""),6000)</f>
        <v>6000</v>
      </c>
      <c r="M218" s="29">
        <f ca="1">IFERROR(__xludf.DUMMYFUNCTION("""COMPUTED_VALUE"""),6000)</f>
        <v>6000</v>
      </c>
      <c r="N218" s="30"/>
      <c r="O218" s="29" t="str">
        <f ca="1">IFERROR(__xludf.DUMMYFUNCTION("""COMPUTED_VALUE"""),"-")</f>
        <v>-</v>
      </c>
      <c r="P218" s="29">
        <f ca="1">IFERROR(__xludf.DUMMYFUNCTION("""COMPUTED_VALUE"""),45500)</f>
        <v>45500</v>
      </c>
      <c r="Q218" s="31"/>
      <c r="R218" s="31"/>
      <c r="S218" s="31"/>
    </row>
    <row r="219" spans="1:19" ht="20.5">
      <c r="A219" s="26">
        <f ca="1">IFERROR(__xludf.DUMMYFUNCTION("""COMPUTED_VALUE"""),213)</f>
        <v>213</v>
      </c>
      <c r="B219" s="27" t="str">
        <f ca="1">IFERROR(__xludf.DUMMYFUNCTION("""COMPUTED_VALUE"""),"🟩 Inbound")</f>
        <v>🟩 Inbound</v>
      </c>
      <c r="C219" s="28" t="str">
        <f ca="1">IFERROR(__xludf.DUMMYFUNCTION("""COMPUTED_VALUE"""),"D0905-KSC-156")</f>
        <v>D0905-KSC-156</v>
      </c>
      <c r="D219" s="28" t="str">
        <f ca="1">IFERROR(__xludf.DUMMYFUNCTION("""COMPUTED_VALUE"""),"KS Cosmetic")</f>
        <v>KS Cosmetic</v>
      </c>
      <c r="E219" s="28" t="str">
        <f ca="1">IFERROR(__xludf.DUMMYFUNCTION("""COMPUTED_VALUE"""),"Shine Lady Fashion")</f>
        <v>Shine Lady Fashion</v>
      </c>
      <c r="F219" s="28" t="str">
        <f ca="1">IFERROR(__xludf.DUMMYFUNCTION("""COMPUTED_VALUE"""),"09-686054652")</f>
        <v>09-686054652</v>
      </c>
      <c r="G219" s="28" t="str">
        <f ca="1">IFERROR(__xludf.DUMMYFUNCTION("""COMPUTED_VALUE"""),"မြောက်ဥက္ကလာပ")</f>
        <v>မြောက်ဥက္ကလာပ</v>
      </c>
      <c r="H219" s="28" t="str">
        <f ca="1">IFERROR(__xludf.DUMMYFUNCTION("""COMPUTED_VALUE"""),"(၂၀) ရပ်ကွက်၊ ရွှေပေါက်ကံ၊ (မင်းထူးကျော်မှတ်တိုင်)၊ မြောက်ဥက္ကလာပမြို့နယ်")</f>
        <v>(၂၀) ရပ်ကွက်၊ ရွှေပေါက်ကံ၊ (မင်းထူးကျော်မှတ်တိုင်)၊ မြောက်ဥက္ကလာပမြို့နယ်</v>
      </c>
      <c r="I219" s="29">
        <f ca="1">IFERROR(__xludf.DUMMYFUNCTION("""COMPUTED_VALUE"""),39500)</f>
        <v>39500</v>
      </c>
      <c r="J219" s="29">
        <f ca="1">IFERROR(__xludf.DUMMYFUNCTION("""COMPUTED_VALUE"""),4500)</f>
        <v>4500</v>
      </c>
      <c r="K219" s="29">
        <f ca="1">IFERROR(__xludf.DUMMYFUNCTION("""COMPUTED_VALUE"""),44000)</f>
        <v>44000</v>
      </c>
      <c r="L219" s="29">
        <f ca="1">IFERROR(__xludf.DUMMYFUNCTION("""COMPUTED_VALUE"""),4500)</f>
        <v>4500</v>
      </c>
      <c r="M219" s="29">
        <f ca="1">IFERROR(__xludf.DUMMYFUNCTION("""COMPUTED_VALUE"""),4500)</f>
        <v>4500</v>
      </c>
      <c r="N219" s="30"/>
      <c r="O219" s="29" t="str">
        <f ca="1">IFERROR(__xludf.DUMMYFUNCTION("""COMPUTED_VALUE"""),"-")</f>
        <v>-</v>
      </c>
      <c r="P219" s="29">
        <f ca="1">IFERROR(__xludf.DUMMYFUNCTION("""COMPUTED_VALUE"""),44000)</f>
        <v>44000</v>
      </c>
      <c r="Q219" s="31"/>
      <c r="R219" s="31"/>
      <c r="S219" s="31"/>
    </row>
    <row r="220" spans="1:19" ht="20.5">
      <c r="A220" s="26">
        <f ca="1">IFERROR(__xludf.DUMMYFUNCTION("""COMPUTED_VALUE"""),214)</f>
        <v>214</v>
      </c>
      <c r="B220" s="27" t="str">
        <f ca="1">IFERROR(__xludf.DUMMYFUNCTION("""COMPUTED_VALUE"""),"🟩 Inbound")</f>
        <v>🟩 Inbound</v>
      </c>
      <c r="C220" s="28" t="str">
        <f ca="1">IFERROR(__xludf.DUMMYFUNCTION("""COMPUTED_VALUE"""),"D0905-KSC-157")</f>
        <v>D0905-KSC-157</v>
      </c>
      <c r="D220" s="28" t="str">
        <f ca="1">IFERROR(__xludf.DUMMYFUNCTION("""COMPUTED_VALUE"""),"KS Cosmetic")</f>
        <v>KS Cosmetic</v>
      </c>
      <c r="E220" s="28" t="str">
        <f ca="1">IFERROR(__xludf.DUMMYFUNCTION("""COMPUTED_VALUE"""),"ကြူကြူစန်း")</f>
        <v>ကြူကြူစန်း</v>
      </c>
      <c r="F220" s="28" t="str">
        <f ca="1">IFERROR(__xludf.DUMMYFUNCTION("""COMPUTED_VALUE"""),"09-770694034")</f>
        <v>09-770694034</v>
      </c>
      <c r="G220" s="28" t="str">
        <f ca="1">IFERROR(__xludf.DUMMYFUNCTION("""COMPUTED_VALUE"""),"အရှေ့ဒဂုံ")</f>
        <v>အရှေ့ဒဂုံ</v>
      </c>
      <c r="H220" s="28" t="str">
        <f ca="1">IFERROR(__xludf.DUMMYFUNCTION("""COMPUTED_VALUE"""),"ခြံအမှတ် (၄)၊ ကနောင်မင်းသားကြီးလမ်း၊ အရှေ့ဒဂုံစက်မှုဇုန်၊ အရှေ့ဒဂုံမြို့နယ်")</f>
        <v>ခြံအမှတ် (၄)၊ ကနောင်မင်းသားကြီးလမ်း၊ အရှေ့ဒဂုံစက်မှုဇုန်၊ အရှေ့ဒဂုံမြို့နယ်</v>
      </c>
      <c r="I220" s="29">
        <f ca="1">IFERROR(__xludf.DUMMYFUNCTION("""COMPUTED_VALUE"""),39500)</f>
        <v>39500</v>
      </c>
      <c r="J220" s="29">
        <f ca="1">IFERROR(__xludf.DUMMYFUNCTION("""COMPUTED_VALUE"""),4000)</f>
        <v>4000</v>
      </c>
      <c r="K220" s="29">
        <f ca="1">IFERROR(__xludf.DUMMYFUNCTION("""COMPUTED_VALUE"""),43500)</f>
        <v>43500</v>
      </c>
      <c r="L220" s="29">
        <f ca="1">IFERROR(__xludf.DUMMYFUNCTION("""COMPUTED_VALUE"""),4000)</f>
        <v>4000</v>
      </c>
      <c r="M220" s="29">
        <f ca="1">IFERROR(__xludf.DUMMYFUNCTION("""COMPUTED_VALUE"""),4000)</f>
        <v>4000</v>
      </c>
      <c r="N220" s="30"/>
      <c r="O220" s="29" t="str">
        <f ca="1">IFERROR(__xludf.DUMMYFUNCTION("""COMPUTED_VALUE"""),"-")</f>
        <v>-</v>
      </c>
      <c r="P220" s="29">
        <f ca="1">IFERROR(__xludf.DUMMYFUNCTION("""COMPUTED_VALUE"""),43500)</f>
        <v>43500</v>
      </c>
      <c r="Q220" s="31"/>
      <c r="R220" s="31"/>
      <c r="S220" s="31"/>
    </row>
    <row r="221" spans="1:19" ht="20.5">
      <c r="A221" s="26">
        <f ca="1">IFERROR(__xludf.DUMMYFUNCTION("""COMPUTED_VALUE"""),215)</f>
        <v>215</v>
      </c>
      <c r="B221" s="27" t="str">
        <f ca="1">IFERROR(__xludf.DUMMYFUNCTION("""COMPUTED_VALUE"""),"🟩 Inbound")</f>
        <v>🟩 Inbound</v>
      </c>
      <c r="C221" s="28" t="str">
        <f ca="1">IFERROR(__xludf.DUMMYFUNCTION("""COMPUTED_VALUE"""),"D0905-KSC-158")</f>
        <v>D0905-KSC-158</v>
      </c>
      <c r="D221" s="28" t="str">
        <f ca="1">IFERROR(__xludf.DUMMYFUNCTION("""COMPUTED_VALUE"""),"KS Cosmetic")</f>
        <v>KS Cosmetic</v>
      </c>
      <c r="E221" s="28" t="str">
        <f ca="1">IFERROR(__xludf.DUMMYFUNCTION("""COMPUTED_VALUE"""),"Hsu")</f>
        <v>Hsu</v>
      </c>
      <c r="F221" s="28" t="str">
        <f ca="1">IFERROR(__xludf.DUMMYFUNCTION("""COMPUTED_VALUE"""),"09-988243560")</f>
        <v>09-988243560</v>
      </c>
      <c r="G221" s="28" t="str">
        <f ca="1">IFERROR(__xludf.DUMMYFUNCTION("""COMPUTED_VALUE"""),"မန္တလေး")</f>
        <v>မန္တလေး</v>
      </c>
      <c r="H221" s="28" t="str">
        <f ca="1">IFERROR(__xludf.DUMMYFUNCTION("""COMPUTED_VALUE"""),"(37B) လမ်း၊ ၇၆ x ၇၇ လမ်းကြား၊ မဟာအောင်မြေမြို့နယ်၊ မန္တလေး")</f>
        <v>(37B) လမ်း၊ ၇၆ x ၇၇ လမ်းကြား၊ မဟာအောင်မြေမြို့နယ်၊ မန္တလေး</v>
      </c>
      <c r="I221" s="29">
        <f ca="1">IFERROR(__xludf.DUMMYFUNCTION("""COMPUTED_VALUE"""),158000)</f>
        <v>158000</v>
      </c>
      <c r="J221" s="29">
        <f ca="1">IFERROR(__xludf.DUMMYFUNCTION("""COMPUTED_VALUE"""),6000)</f>
        <v>6000</v>
      </c>
      <c r="K221" s="29">
        <f ca="1">IFERROR(__xludf.DUMMYFUNCTION("""COMPUTED_VALUE"""),164000)</f>
        <v>164000</v>
      </c>
      <c r="L221" s="29">
        <f ca="1">IFERROR(__xludf.DUMMYFUNCTION("""COMPUTED_VALUE"""),6000)</f>
        <v>6000</v>
      </c>
      <c r="M221" s="29">
        <f ca="1">IFERROR(__xludf.DUMMYFUNCTION("""COMPUTED_VALUE"""),6000)</f>
        <v>6000</v>
      </c>
      <c r="N221" s="30"/>
      <c r="O221" s="29" t="str">
        <f ca="1">IFERROR(__xludf.DUMMYFUNCTION("""COMPUTED_VALUE"""),"-")</f>
        <v>-</v>
      </c>
      <c r="P221" s="29">
        <f ca="1">IFERROR(__xludf.DUMMYFUNCTION("""COMPUTED_VALUE"""),164000)</f>
        <v>164000</v>
      </c>
      <c r="Q221" s="31"/>
      <c r="R221" s="31"/>
      <c r="S221" s="31"/>
    </row>
    <row r="222" spans="1:19" ht="20.5">
      <c r="A222" s="26">
        <f ca="1">IFERROR(__xludf.DUMMYFUNCTION("""COMPUTED_VALUE"""),216)</f>
        <v>216</v>
      </c>
      <c r="B222" s="27" t="str">
        <f ca="1">IFERROR(__xludf.DUMMYFUNCTION("""COMPUTED_VALUE"""),"🟩 Inbound")</f>
        <v>🟩 Inbound</v>
      </c>
      <c r="C222" s="28" t="str">
        <f ca="1">IFERROR(__xludf.DUMMYFUNCTION("""COMPUTED_VALUE"""),"D0905-KSC-159")</f>
        <v>D0905-KSC-159</v>
      </c>
      <c r="D222" s="28" t="str">
        <f ca="1">IFERROR(__xludf.DUMMYFUNCTION("""COMPUTED_VALUE"""),"KS Cosmetic")</f>
        <v>KS Cosmetic</v>
      </c>
      <c r="E222" s="28" t="str">
        <f ca="1">IFERROR(__xludf.DUMMYFUNCTION("""COMPUTED_VALUE"""),"ဒေါ်ထွေးထွေး")</f>
        <v>ဒေါ်ထွေးထွေး</v>
      </c>
      <c r="F222" s="28" t="str">
        <f ca="1">IFERROR(__xludf.DUMMYFUNCTION("""COMPUTED_VALUE"""),"09-897859116")</f>
        <v>09-897859116</v>
      </c>
      <c r="G222" s="28" t="str">
        <f ca="1">IFERROR(__xludf.DUMMYFUNCTION("""COMPUTED_VALUE"""),"နေပြည်တော်")</f>
        <v>နေပြည်တော်</v>
      </c>
      <c r="H222" s="28" t="str">
        <f ca="1">IFERROR(__xludf.DUMMYFUNCTION("""COMPUTED_VALUE"""),"သဇင်လမ်း၊ ရွှေကြာပင်ရပ်ကွက်၊ ဇမ္ဗူသီရိမြို့နယ်၊ နေပြည်တော်")</f>
        <v>သဇင်လမ်း၊ ရွှေကြာပင်ရပ်ကွက်၊ ဇမ္ဗူသီရိမြို့နယ်၊ နေပြည်တော်</v>
      </c>
      <c r="I222" s="29">
        <f ca="1">IFERROR(__xludf.DUMMYFUNCTION("""COMPUTED_VALUE"""),39500)</f>
        <v>39500</v>
      </c>
      <c r="J222" s="29">
        <f ca="1">IFERROR(__xludf.DUMMYFUNCTION("""COMPUTED_VALUE"""),6000)</f>
        <v>6000</v>
      </c>
      <c r="K222" s="29">
        <f ca="1">IFERROR(__xludf.DUMMYFUNCTION("""COMPUTED_VALUE"""),45500)</f>
        <v>45500</v>
      </c>
      <c r="L222" s="29">
        <f ca="1">IFERROR(__xludf.DUMMYFUNCTION("""COMPUTED_VALUE"""),6000)</f>
        <v>6000</v>
      </c>
      <c r="M222" s="29">
        <f ca="1">IFERROR(__xludf.DUMMYFUNCTION("""COMPUTED_VALUE"""),6000)</f>
        <v>6000</v>
      </c>
      <c r="N222" s="30"/>
      <c r="O222" s="29" t="str">
        <f ca="1">IFERROR(__xludf.DUMMYFUNCTION("""COMPUTED_VALUE"""),"-")</f>
        <v>-</v>
      </c>
      <c r="P222" s="29">
        <f ca="1">IFERROR(__xludf.DUMMYFUNCTION("""COMPUTED_VALUE"""),45500)</f>
        <v>45500</v>
      </c>
      <c r="Q222" s="31"/>
      <c r="R222" s="31"/>
      <c r="S222" s="31"/>
    </row>
    <row r="223" spans="1:19" ht="20.5">
      <c r="A223" s="26">
        <f ca="1">IFERROR(__xludf.DUMMYFUNCTION("""COMPUTED_VALUE"""),217)</f>
        <v>217</v>
      </c>
      <c r="B223" s="27" t="str">
        <f ca="1">IFERROR(__xludf.DUMMYFUNCTION("""COMPUTED_VALUE"""),"🟩 Inbound")</f>
        <v>🟩 Inbound</v>
      </c>
      <c r="C223" s="28" t="str">
        <f ca="1">IFERROR(__xludf.DUMMYFUNCTION("""COMPUTED_VALUE"""),"D0905-KSC-160")</f>
        <v>D0905-KSC-160</v>
      </c>
      <c r="D223" s="28" t="str">
        <f ca="1">IFERROR(__xludf.DUMMYFUNCTION("""COMPUTED_VALUE"""),"KS Cosmetic")</f>
        <v>KS Cosmetic</v>
      </c>
      <c r="E223" s="28" t="str">
        <f ca="1">IFERROR(__xludf.DUMMYFUNCTION("""COMPUTED_VALUE"""),"မိုးမိုး")</f>
        <v>မိုးမိုး</v>
      </c>
      <c r="F223" s="28" t="str">
        <f ca="1">IFERROR(__xludf.DUMMYFUNCTION("""COMPUTED_VALUE"""),"09-755960431")</f>
        <v>09-755960431</v>
      </c>
      <c r="G223" s="28" t="str">
        <f ca="1">IFERROR(__xludf.DUMMYFUNCTION("""COMPUTED_VALUE"""),"သင်္ဃန်းကျွန်း")</f>
        <v>သင်္ဃန်းကျွန်း</v>
      </c>
      <c r="H223" s="28" t="str">
        <f ca="1">IFERROR(__xludf.DUMMYFUNCTION("""COMPUTED_VALUE"""),"အမှတ် (၄၀)၊ သဇင်ပန်းလမ်း၊ (ဈေးလေးထိပ်)၊ သင်္ဃန်းကျွန်းမြို့နယ်")</f>
        <v>အမှတ် (၄၀)၊ သဇင်ပန်းလမ်း၊ (ဈေးလေးထိပ်)၊ သင်္ဃန်းကျွန်းမြို့နယ်</v>
      </c>
      <c r="I223" s="29">
        <f ca="1">IFERROR(__xludf.DUMMYFUNCTION("""COMPUTED_VALUE"""),79000)</f>
        <v>79000</v>
      </c>
      <c r="J223" s="29">
        <f ca="1">IFERROR(__xludf.DUMMYFUNCTION("""COMPUTED_VALUE"""),4000)</f>
        <v>4000</v>
      </c>
      <c r="K223" s="29">
        <f ca="1">IFERROR(__xludf.DUMMYFUNCTION("""COMPUTED_VALUE"""),83000)</f>
        <v>83000</v>
      </c>
      <c r="L223" s="29">
        <f ca="1">IFERROR(__xludf.DUMMYFUNCTION("""COMPUTED_VALUE"""),4000)</f>
        <v>4000</v>
      </c>
      <c r="M223" s="29">
        <f ca="1">IFERROR(__xludf.DUMMYFUNCTION("""COMPUTED_VALUE"""),4000)</f>
        <v>4000</v>
      </c>
      <c r="N223" s="30"/>
      <c r="O223" s="29" t="str">
        <f ca="1">IFERROR(__xludf.DUMMYFUNCTION("""COMPUTED_VALUE"""),"-")</f>
        <v>-</v>
      </c>
      <c r="P223" s="29">
        <f ca="1">IFERROR(__xludf.DUMMYFUNCTION("""COMPUTED_VALUE"""),83000)</f>
        <v>83000</v>
      </c>
      <c r="Q223" s="31"/>
      <c r="R223" s="31"/>
      <c r="S223" s="31"/>
    </row>
    <row r="224" spans="1:19" ht="20.5">
      <c r="A224" s="26">
        <f ca="1">IFERROR(__xludf.DUMMYFUNCTION("""COMPUTED_VALUE"""),218)</f>
        <v>218</v>
      </c>
      <c r="B224" s="27" t="str">
        <f ca="1">IFERROR(__xludf.DUMMYFUNCTION("""COMPUTED_VALUE"""),"🟩 Inbound")</f>
        <v>🟩 Inbound</v>
      </c>
      <c r="C224" s="28" t="str">
        <f ca="1">IFERROR(__xludf.DUMMYFUNCTION("""COMPUTED_VALUE"""),"D0905-MSE-161")</f>
        <v>D0905-MSE-161</v>
      </c>
      <c r="D224" s="28" t="str">
        <f ca="1">IFERROR(__xludf.DUMMYFUNCTION("""COMPUTED_VALUE"""),"မရွှေအိ")</f>
        <v>မရွှေအိ</v>
      </c>
      <c r="E224" s="28" t="str">
        <f ca="1">IFERROR(__xludf.DUMMYFUNCTION("""COMPUTED_VALUE"""),"May")</f>
        <v>May</v>
      </c>
      <c r="F224" s="28" t="str">
        <f ca="1">IFERROR(__xludf.DUMMYFUNCTION("""COMPUTED_VALUE"""),"09-684451314")</f>
        <v>09-684451314</v>
      </c>
      <c r="G224" s="28" t="str">
        <f ca="1">IFERROR(__xludf.DUMMYFUNCTION("""COMPUTED_VALUE"""),"ဒေါပုံ")</f>
        <v>ဒေါပုံ</v>
      </c>
      <c r="H224" s="28" t="str">
        <f ca="1">IFERROR(__xludf.DUMMYFUNCTION("""COMPUTED_VALUE"""),"(ဒိုဓနုဘေးလမ်းကြား ဂိတ်ဆုံး)၊ (ရန်အောင်မှတ်တိုင်)၊ ဒေါပုံမြို့နယ်")</f>
        <v>(ဒိုဓနုဘေးလမ်းကြား ဂိတ်ဆုံး)၊ (ရန်အောင်မှတ်တိုင်)၊ ဒေါပုံမြို့နယ်</v>
      </c>
      <c r="I224" s="29">
        <f ca="1">IFERROR(__xludf.DUMMYFUNCTION("""COMPUTED_VALUE"""),108000)</f>
        <v>108000</v>
      </c>
      <c r="J224" s="29">
        <f ca="1">IFERROR(__xludf.DUMMYFUNCTION("""COMPUTED_VALUE"""),4000)</f>
        <v>4000</v>
      </c>
      <c r="K224" s="29">
        <f ca="1">IFERROR(__xludf.DUMMYFUNCTION("""COMPUTED_VALUE"""),112000)</f>
        <v>112000</v>
      </c>
      <c r="L224" s="29">
        <f ca="1">IFERROR(__xludf.DUMMYFUNCTION("""COMPUTED_VALUE"""),4000)</f>
        <v>4000</v>
      </c>
      <c r="M224" s="29">
        <f ca="1">IFERROR(__xludf.DUMMYFUNCTION("""COMPUTED_VALUE"""),4000)</f>
        <v>4000</v>
      </c>
      <c r="N224" s="30"/>
      <c r="O224" s="29" t="str">
        <f ca="1">IFERROR(__xludf.DUMMYFUNCTION("""COMPUTED_VALUE"""),"-")</f>
        <v>-</v>
      </c>
      <c r="P224" s="29">
        <f ca="1">IFERROR(__xludf.DUMMYFUNCTION("""COMPUTED_VALUE"""),112000)</f>
        <v>112000</v>
      </c>
      <c r="Q224" s="31"/>
      <c r="R224" s="31"/>
      <c r="S224" s="31"/>
    </row>
    <row r="225" spans="1:19" ht="20.5">
      <c r="A225" s="26">
        <f ca="1">IFERROR(__xludf.DUMMYFUNCTION("""COMPUTED_VALUE"""),219)</f>
        <v>219</v>
      </c>
      <c r="B225" s="27" t="str">
        <f ca="1">IFERROR(__xludf.DUMMYFUNCTION("""COMPUTED_VALUE"""),"🟩 Inbound")</f>
        <v>🟩 Inbound</v>
      </c>
      <c r="C225" s="28" t="str">
        <f ca="1">IFERROR(__xludf.DUMMYFUNCTION("""COMPUTED_VALUE"""),"D0905-MSE-162")</f>
        <v>D0905-MSE-162</v>
      </c>
      <c r="D225" s="28" t="str">
        <f ca="1">IFERROR(__xludf.DUMMYFUNCTION("""COMPUTED_VALUE"""),"မရွှေအိ")</f>
        <v>မရွှေအိ</v>
      </c>
      <c r="E225" s="28" t="str">
        <f ca="1">IFERROR(__xludf.DUMMYFUNCTION("""COMPUTED_VALUE"""),"မဖြိုးဝေသော်")</f>
        <v>မဖြိုးဝေသော်</v>
      </c>
      <c r="F225" s="28" t="str">
        <f ca="1">IFERROR(__xludf.DUMMYFUNCTION("""COMPUTED_VALUE"""),"09-784808745")</f>
        <v>09-784808745</v>
      </c>
      <c r="G225" s="28" t="str">
        <f ca="1">IFERROR(__xludf.DUMMYFUNCTION("""COMPUTED_VALUE"""),"မန္တလေး")</f>
        <v>မန္တလေး</v>
      </c>
      <c r="H225" s="28" t="str">
        <f ca="1">IFERROR(__xludf.DUMMYFUNCTION("""COMPUTED_VALUE"""),"(၅၁) လမ်း၊ ၁၀၅ x ၁၀၆ လမ်းကြား၊ အောင်ပင်လယ်၊ ချမ်းမြသာစည်မြို့နယ်၊ မန္တလေး")</f>
        <v>(၅၁) လမ်း၊ ၁၀၅ x ၁၀၆ လမ်းကြား၊ အောင်ပင်လယ်၊ ချမ်းမြသာစည်မြို့နယ်၊ မန္တလေး</v>
      </c>
      <c r="I225" s="29">
        <f ca="1">IFERROR(__xludf.DUMMYFUNCTION("""COMPUTED_VALUE"""),29000)</f>
        <v>29000</v>
      </c>
      <c r="J225" s="29">
        <f ca="1">IFERROR(__xludf.DUMMYFUNCTION("""COMPUTED_VALUE"""),6000)</f>
        <v>6000</v>
      </c>
      <c r="K225" s="29">
        <f ca="1">IFERROR(__xludf.DUMMYFUNCTION("""COMPUTED_VALUE"""),35000)</f>
        <v>35000</v>
      </c>
      <c r="L225" s="29">
        <f ca="1">IFERROR(__xludf.DUMMYFUNCTION("""COMPUTED_VALUE"""),6000)</f>
        <v>6000</v>
      </c>
      <c r="M225" s="29">
        <f ca="1">IFERROR(__xludf.DUMMYFUNCTION("""COMPUTED_VALUE"""),6000)</f>
        <v>6000</v>
      </c>
      <c r="N225" s="30"/>
      <c r="O225" s="29" t="str">
        <f ca="1">IFERROR(__xludf.DUMMYFUNCTION("""COMPUTED_VALUE"""),"-")</f>
        <v>-</v>
      </c>
      <c r="P225" s="29">
        <f ca="1">IFERROR(__xludf.DUMMYFUNCTION("""COMPUTED_VALUE"""),35000)</f>
        <v>35000</v>
      </c>
      <c r="Q225" s="31"/>
      <c r="R225" s="31"/>
      <c r="S225" s="31"/>
    </row>
    <row r="226" spans="1:19" ht="20.5">
      <c r="A226" s="26">
        <f ca="1">IFERROR(__xludf.DUMMYFUNCTION("""COMPUTED_VALUE"""),220)</f>
        <v>220</v>
      </c>
      <c r="B226" s="27" t="str">
        <f ca="1">IFERROR(__xludf.DUMMYFUNCTION("""COMPUTED_VALUE"""),"🟩 Inbound")</f>
        <v>🟩 Inbound</v>
      </c>
      <c r="C226" s="28" t="str">
        <f ca="1">IFERROR(__xludf.DUMMYFUNCTION("""COMPUTED_VALUE"""),"D0905-MSE-163")</f>
        <v>D0905-MSE-163</v>
      </c>
      <c r="D226" s="28" t="str">
        <f ca="1">IFERROR(__xludf.DUMMYFUNCTION("""COMPUTED_VALUE"""),"မရွှေအိ")</f>
        <v>မရွှေအိ</v>
      </c>
      <c r="E226" s="28" t="str">
        <f ca="1">IFERROR(__xludf.DUMMYFUNCTION("""COMPUTED_VALUE"""),"May Zin")</f>
        <v>May Zin</v>
      </c>
      <c r="F226" s="28" t="str">
        <f ca="1">IFERROR(__xludf.DUMMYFUNCTION("""COMPUTED_VALUE"""),"09-695884820")</f>
        <v>09-695884820</v>
      </c>
      <c r="G226" s="28" t="str">
        <f ca="1">IFERROR(__xludf.DUMMYFUNCTION("""COMPUTED_VALUE"""),"လှိုင်")</f>
        <v>လှိုင်</v>
      </c>
      <c r="H226" s="28" t="str">
        <f ca="1">IFERROR(__xludf.DUMMYFUNCTION("""COMPUTED_VALUE"""),"အရှေ့ပေ (၅၀)၊ မာလာမြိုင် (၁) လမ်းသွယ်ထိပ်၊ လှိုင်မြို့နယ်")</f>
        <v>အရှေ့ပေ (၅၀)၊ မာလာမြိုင် (၁) လမ်းသွယ်ထိပ်၊ လှိုင်မြို့နယ်</v>
      </c>
      <c r="I226" s="29">
        <f ca="1">IFERROR(__xludf.DUMMYFUNCTION("""COMPUTED_VALUE"""),39000)</f>
        <v>39000</v>
      </c>
      <c r="J226" s="29">
        <f ca="1">IFERROR(__xludf.DUMMYFUNCTION("""COMPUTED_VALUE"""),4000)</f>
        <v>4000</v>
      </c>
      <c r="K226" s="29">
        <f ca="1">IFERROR(__xludf.DUMMYFUNCTION("""COMPUTED_VALUE"""),43000)</f>
        <v>43000</v>
      </c>
      <c r="L226" s="29">
        <f ca="1">IFERROR(__xludf.DUMMYFUNCTION("""COMPUTED_VALUE"""),4000)</f>
        <v>4000</v>
      </c>
      <c r="M226" s="29">
        <f ca="1">IFERROR(__xludf.DUMMYFUNCTION("""COMPUTED_VALUE"""),4000)</f>
        <v>4000</v>
      </c>
      <c r="N226" s="30"/>
      <c r="O226" s="29" t="str">
        <f ca="1">IFERROR(__xludf.DUMMYFUNCTION("""COMPUTED_VALUE"""),"-")</f>
        <v>-</v>
      </c>
      <c r="P226" s="29">
        <f ca="1">IFERROR(__xludf.DUMMYFUNCTION("""COMPUTED_VALUE"""),43000)</f>
        <v>43000</v>
      </c>
      <c r="Q226" s="31"/>
      <c r="R226" s="31"/>
      <c r="S226" s="31"/>
    </row>
    <row r="227" spans="1:19" ht="20.5">
      <c r="A227" s="26">
        <f ca="1">IFERROR(__xludf.DUMMYFUNCTION("""COMPUTED_VALUE"""),221)</f>
        <v>221</v>
      </c>
      <c r="B227" s="27" t="str">
        <f ca="1">IFERROR(__xludf.DUMMYFUNCTION("""COMPUTED_VALUE"""),"🟩 Inbound")</f>
        <v>🟩 Inbound</v>
      </c>
      <c r="C227" s="28" t="str">
        <f ca="1">IFERROR(__xludf.DUMMYFUNCTION("""COMPUTED_VALUE"""),"D0905-MSE-164")</f>
        <v>D0905-MSE-164</v>
      </c>
      <c r="D227" s="28" t="str">
        <f ca="1">IFERROR(__xludf.DUMMYFUNCTION("""COMPUTED_VALUE"""),"မရွှေအိ")</f>
        <v>မရွှေအိ</v>
      </c>
      <c r="E227" s="28" t="str">
        <f ca="1">IFERROR(__xludf.DUMMYFUNCTION("""COMPUTED_VALUE"""),"Mee Nge")</f>
        <v>Mee Nge</v>
      </c>
      <c r="F227" s="28" t="str">
        <f ca="1">IFERROR(__xludf.DUMMYFUNCTION("""COMPUTED_VALUE"""),"09-409311371")</f>
        <v>09-409311371</v>
      </c>
      <c r="G227" s="28" t="str">
        <f ca="1">IFERROR(__xludf.DUMMYFUNCTION("""COMPUTED_VALUE"""),"တောင်ဒဂုံ")</f>
        <v>တောင်ဒဂုံ</v>
      </c>
      <c r="H227" s="28" t="str">
        <f ca="1">IFERROR(__xludf.DUMMYFUNCTION("""COMPUTED_VALUE"""),"အမှတ် (၁၁)၊ မြယမုံဝန်အမှတ်၊ (၂၆) ရပ်ကွက်၊ တောင်ဒဂုံမြို့နယ်")</f>
        <v>အမှတ် (၁၁)၊ မြယမုံဝန်အမှတ်၊ (၂၆) ရပ်ကွက်၊ တောင်ဒဂုံမြို့နယ်</v>
      </c>
      <c r="I227" s="29">
        <f ca="1">IFERROR(__xludf.DUMMYFUNCTION("""COMPUTED_VALUE"""),41000)</f>
        <v>41000</v>
      </c>
      <c r="J227" s="29">
        <f ca="1">IFERROR(__xludf.DUMMYFUNCTION("""COMPUTED_VALUE"""),4000)</f>
        <v>4000</v>
      </c>
      <c r="K227" s="29">
        <f ca="1">IFERROR(__xludf.DUMMYFUNCTION("""COMPUTED_VALUE"""),45000)</f>
        <v>45000</v>
      </c>
      <c r="L227" s="29">
        <f ca="1">IFERROR(__xludf.DUMMYFUNCTION("""COMPUTED_VALUE"""),4000)</f>
        <v>4000</v>
      </c>
      <c r="M227" s="29">
        <f ca="1">IFERROR(__xludf.DUMMYFUNCTION("""COMPUTED_VALUE"""),4000)</f>
        <v>4000</v>
      </c>
      <c r="N227" s="30"/>
      <c r="O227" s="29" t="str">
        <f ca="1">IFERROR(__xludf.DUMMYFUNCTION("""COMPUTED_VALUE"""),"-")</f>
        <v>-</v>
      </c>
      <c r="P227" s="29">
        <f ca="1">IFERROR(__xludf.DUMMYFUNCTION("""COMPUTED_VALUE"""),45000)</f>
        <v>45000</v>
      </c>
      <c r="Q227" s="31">
        <f ca="1">VLOOKUP(C227,[1]Inventory!C:R,16,FALSE)</f>
        <v>0</v>
      </c>
      <c r="R227" s="31"/>
      <c r="S227" s="31"/>
    </row>
    <row r="228" spans="1:19" ht="20.5">
      <c r="A228" s="26"/>
      <c r="B228" s="27"/>
      <c r="C228" s="28"/>
      <c r="D228" s="28"/>
      <c r="E228" s="28"/>
      <c r="F228" s="28"/>
      <c r="G228" s="28"/>
      <c r="H228" s="28"/>
      <c r="I228" s="29"/>
      <c r="J228" s="29"/>
      <c r="K228" s="29"/>
      <c r="L228" s="29"/>
      <c r="M228" s="29"/>
      <c r="N228" s="30"/>
      <c r="O228" s="29"/>
      <c r="P228" s="29"/>
      <c r="Q228" s="31"/>
      <c r="R228" s="31"/>
      <c r="S228" s="31"/>
    </row>
    <row r="229" spans="1:19" ht="20.5">
      <c r="A229" s="26"/>
      <c r="B229" s="27"/>
      <c r="C229" s="28"/>
      <c r="D229" s="28"/>
      <c r="E229" s="28"/>
      <c r="F229" s="28"/>
      <c r="G229" s="28"/>
      <c r="H229" s="28"/>
      <c r="I229" s="29"/>
      <c r="J229" s="29"/>
      <c r="K229" s="29"/>
      <c r="L229" s="29"/>
      <c r="M229" s="29"/>
      <c r="N229" s="30"/>
      <c r="O229" s="29"/>
      <c r="P229" s="29"/>
      <c r="Q229" s="31"/>
      <c r="R229" s="31"/>
      <c r="S229" s="31"/>
    </row>
    <row r="230" spans="1:19" ht="20.5">
      <c r="A230" s="26"/>
      <c r="B230" s="27"/>
      <c r="C230" s="28"/>
      <c r="D230" s="28"/>
      <c r="E230" s="28"/>
      <c r="F230" s="28"/>
      <c r="G230" s="28"/>
      <c r="H230" s="28"/>
      <c r="I230" s="29"/>
      <c r="J230" s="29"/>
      <c r="K230" s="29"/>
      <c r="L230" s="29"/>
      <c r="M230" s="29"/>
      <c r="N230" s="30"/>
      <c r="O230" s="29"/>
      <c r="P230" s="29"/>
      <c r="Q230" s="31"/>
      <c r="R230" s="31"/>
      <c r="S230" s="31"/>
    </row>
    <row r="231" spans="1:19" ht="20.5">
      <c r="A231" s="26"/>
      <c r="B231" s="27"/>
      <c r="C231" s="28"/>
      <c r="D231" s="28"/>
      <c r="E231" s="28"/>
      <c r="F231" s="28"/>
      <c r="G231" s="28"/>
      <c r="H231" s="28"/>
      <c r="I231" s="29"/>
      <c r="J231" s="29"/>
      <c r="K231" s="29"/>
      <c r="L231" s="29"/>
      <c r="M231" s="29"/>
      <c r="N231" s="30"/>
      <c r="O231" s="29"/>
      <c r="P231" s="29"/>
      <c r="Q231" s="31"/>
      <c r="R231" s="31"/>
      <c r="S231" s="31"/>
    </row>
    <row r="232" spans="1:19" ht="20.5">
      <c r="A232" s="26"/>
      <c r="B232" s="27"/>
      <c r="C232" s="28"/>
      <c r="D232" s="28"/>
      <c r="E232" s="28"/>
      <c r="F232" s="28"/>
      <c r="G232" s="28"/>
      <c r="H232" s="28"/>
      <c r="I232" s="29"/>
      <c r="J232" s="29"/>
      <c r="K232" s="29"/>
      <c r="L232" s="29"/>
      <c r="M232" s="29"/>
      <c r="N232" s="30"/>
      <c r="O232" s="29"/>
      <c r="P232" s="29"/>
      <c r="Q232" s="31"/>
      <c r="R232" s="31"/>
      <c r="S232" s="31"/>
    </row>
    <row r="233" spans="1:19" ht="20.5">
      <c r="A233" s="26"/>
      <c r="B233" s="27"/>
      <c r="C233" s="28"/>
      <c r="D233" s="28"/>
      <c r="E233" s="28"/>
      <c r="F233" s="28"/>
      <c r="G233" s="28"/>
      <c r="H233" s="28"/>
      <c r="I233" s="29"/>
      <c r="J233" s="29"/>
      <c r="K233" s="29"/>
      <c r="L233" s="29"/>
      <c r="M233" s="29"/>
      <c r="N233" s="30"/>
      <c r="O233" s="29"/>
      <c r="P233" s="29"/>
      <c r="Q233" s="31"/>
      <c r="R233" s="31"/>
      <c r="S233" s="31"/>
    </row>
    <row r="234" spans="1:19" ht="20.5">
      <c r="A234" s="26"/>
      <c r="B234" s="27"/>
      <c r="C234" s="28"/>
      <c r="D234" s="28"/>
      <c r="E234" s="28"/>
      <c r="F234" s="28"/>
      <c r="G234" s="28"/>
      <c r="H234" s="28"/>
      <c r="I234" s="29"/>
      <c r="J234" s="29"/>
      <c r="K234" s="29"/>
      <c r="L234" s="29"/>
      <c r="M234" s="29"/>
      <c r="N234" s="30"/>
      <c r="O234" s="29"/>
      <c r="P234" s="29"/>
      <c r="Q234" s="31"/>
      <c r="R234" s="31"/>
      <c r="S234" s="31"/>
    </row>
    <row r="235" spans="1:19" ht="20.5">
      <c r="A235" s="26"/>
      <c r="B235" s="27"/>
      <c r="C235" s="28"/>
      <c r="D235" s="28"/>
      <c r="E235" s="28"/>
      <c r="F235" s="28"/>
      <c r="G235" s="28"/>
      <c r="H235" s="28"/>
      <c r="I235" s="29"/>
      <c r="J235" s="29"/>
      <c r="K235" s="29"/>
      <c r="L235" s="29"/>
      <c r="M235" s="29"/>
      <c r="N235" s="30"/>
      <c r="O235" s="29"/>
      <c r="P235" s="29"/>
      <c r="Q235" s="31"/>
      <c r="R235" s="31"/>
      <c r="S235" s="31"/>
    </row>
    <row r="236" spans="1:19" ht="20.5">
      <c r="A236" s="26"/>
      <c r="B236" s="27"/>
      <c r="C236" s="28"/>
      <c r="D236" s="28"/>
      <c r="E236" s="28"/>
      <c r="F236" s="28"/>
      <c r="G236" s="28"/>
      <c r="H236" s="28"/>
      <c r="I236" s="29"/>
      <c r="J236" s="29"/>
      <c r="K236" s="29"/>
      <c r="L236" s="29"/>
      <c r="M236" s="29"/>
      <c r="N236" s="30"/>
      <c r="O236" s="29"/>
      <c r="P236" s="29"/>
      <c r="Q236" s="31"/>
      <c r="R236" s="31"/>
      <c r="S236" s="31"/>
    </row>
    <row r="237" spans="1:19" ht="20.5">
      <c r="A237" s="26"/>
      <c r="B237" s="27"/>
      <c r="C237" s="28"/>
      <c r="D237" s="28"/>
      <c r="E237" s="28"/>
      <c r="F237" s="28"/>
      <c r="G237" s="28"/>
      <c r="H237" s="28"/>
      <c r="I237" s="29"/>
      <c r="J237" s="29"/>
      <c r="K237" s="29"/>
      <c r="L237" s="29"/>
      <c r="M237" s="29"/>
      <c r="N237" s="30"/>
      <c r="O237" s="29"/>
      <c r="P237" s="29"/>
      <c r="Q237" s="31"/>
      <c r="R237" s="31"/>
      <c r="S237" s="31"/>
    </row>
    <row r="238" spans="1:19" ht="20.5">
      <c r="A238" s="26"/>
      <c r="B238" s="27"/>
      <c r="C238" s="28"/>
      <c r="D238" s="28"/>
      <c r="E238" s="28"/>
      <c r="F238" s="28"/>
      <c r="G238" s="28"/>
      <c r="H238" s="28"/>
      <c r="I238" s="29"/>
      <c r="J238" s="29"/>
      <c r="K238" s="29"/>
      <c r="L238" s="29"/>
      <c r="M238" s="29"/>
      <c r="N238" s="30"/>
      <c r="O238" s="29"/>
      <c r="P238" s="29"/>
      <c r="Q238" s="31"/>
      <c r="R238" s="31"/>
      <c r="S238" s="31"/>
    </row>
    <row r="239" spans="1:19" ht="20.5">
      <c r="A239" s="26"/>
      <c r="B239" s="27"/>
      <c r="C239" s="28"/>
      <c r="D239" s="28"/>
      <c r="E239" s="28"/>
      <c r="F239" s="28"/>
      <c r="G239" s="28"/>
      <c r="H239" s="28"/>
      <c r="I239" s="29"/>
      <c r="J239" s="29"/>
      <c r="K239" s="29"/>
      <c r="L239" s="29"/>
      <c r="M239" s="29"/>
      <c r="N239" s="30"/>
      <c r="O239" s="29"/>
      <c r="P239" s="29"/>
      <c r="Q239" s="31"/>
      <c r="R239" s="31"/>
      <c r="S239" s="31"/>
    </row>
    <row r="240" spans="1:19" ht="20.5">
      <c r="A240" s="26"/>
      <c r="B240" s="27"/>
      <c r="C240" s="28"/>
      <c r="D240" s="28"/>
      <c r="E240" s="28"/>
      <c r="F240" s="28"/>
      <c r="G240" s="28"/>
      <c r="H240" s="28"/>
      <c r="I240" s="29"/>
      <c r="J240" s="29"/>
      <c r="K240" s="29"/>
      <c r="L240" s="29"/>
      <c r="M240" s="29"/>
      <c r="N240" s="30"/>
      <c r="O240" s="29"/>
      <c r="P240" s="29"/>
      <c r="Q240" s="31"/>
      <c r="R240" s="31"/>
      <c r="S240" s="31"/>
    </row>
    <row r="241" spans="1:19" ht="20.5">
      <c r="A241" s="26"/>
      <c r="B241" s="27"/>
      <c r="C241" s="28"/>
      <c r="D241" s="28"/>
      <c r="E241" s="28"/>
      <c r="F241" s="28"/>
      <c r="G241" s="28"/>
      <c r="H241" s="28"/>
      <c r="I241" s="29"/>
      <c r="J241" s="29"/>
      <c r="K241" s="29"/>
      <c r="L241" s="29"/>
      <c r="M241" s="29"/>
      <c r="N241" s="30"/>
      <c r="O241" s="29"/>
      <c r="P241" s="29"/>
      <c r="Q241" s="31"/>
      <c r="R241" s="31"/>
      <c r="S241" s="31"/>
    </row>
    <row r="242" spans="1:19" ht="20.5">
      <c r="A242" s="26"/>
      <c r="B242" s="27"/>
      <c r="C242" s="28"/>
      <c r="D242" s="28"/>
      <c r="E242" s="28"/>
      <c r="F242" s="28"/>
      <c r="G242" s="28"/>
      <c r="H242" s="28"/>
      <c r="I242" s="29"/>
      <c r="J242" s="29"/>
      <c r="K242" s="29"/>
      <c r="L242" s="29"/>
      <c r="M242" s="29"/>
      <c r="N242" s="30"/>
      <c r="O242" s="29"/>
      <c r="P242" s="29"/>
      <c r="Q242" s="31"/>
      <c r="R242" s="31"/>
      <c r="S242" s="31"/>
    </row>
    <row r="243" spans="1:19" ht="20.5">
      <c r="A243" s="26"/>
      <c r="B243" s="27"/>
      <c r="C243" s="28"/>
      <c r="D243" s="28"/>
      <c r="E243" s="28"/>
      <c r="F243" s="28"/>
      <c r="G243" s="28"/>
      <c r="H243" s="28"/>
      <c r="I243" s="29"/>
      <c r="J243" s="29"/>
      <c r="K243" s="29"/>
      <c r="L243" s="29"/>
      <c r="M243" s="29"/>
      <c r="N243" s="30"/>
      <c r="O243" s="29"/>
      <c r="P243" s="29"/>
      <c r="Q243" s="31"/>
      <c r="R243" s="31"/>
      <c r="S243" s="31"/>
    </row>
    <row r="244" spans="1:19" ht="20.5">
      <c r="A244" s="26"/>
      <c r="B244" s="27"/>
      <c r="C244" s="28"/>
      <c r="D244" s="28"/>
      <c r="E244" s="28"/>
      <c r="F244" s="28"/>
      <c r="G244" s="28"/>
      <c r="H244" s="28"/>
      <c r="I244" s="29"/>
      <c r="J244" s="29"/>
      <c r="K244" s="29"/>
      <c r="L244" s="29"/>
      <c r="M244" s="29"/>
      <c r="N244" s="30"/>
      <c r="O244" s="29"/>
      <c r="P244" s="29"/>
      <c r="Q244" s="31"/>
      <c r="R244" s="31"/>
      <c r="S244" s="31"/>
    </row>
    <row r="245" spans="1:19" ht="20.5">
      <c r="A245" s="26"/>
      <c r="B245" s="27"/>
      <c r="C245" s="28"/>
      <c r="D245" s="28"/>
      <c r="E245" s="28"/>
      <c r="F245" s="28"/>
      <c r="G245" s="28"/>
      <c r="H245" s="28"/>
      <c r="I245" s="29"/>
      <c r="J245" s="29"/>
      <c r="K245" s="29"/>
      <c r="L245" s="29"/>
      <c r="M245" s="29"/>
      <c r="N245" s="30"/>
      <c r="O245" s="29"/>
      <c r="P245" s="29"/>
      <c r="Q245" s="31"/>
      <c r="R245" s="31"/>
      <c r="S245" s="31"/>
    </row>
    <row r="246" spans="1:19" ht="20.5">
      <c r="A246" s="26"/>
      <c r="B246" s="27"/>
      <c r="C246" s="28"/>
      <c r="D246" s="28"/>
      <c r="E246" s="28"/>
      <c r="F246" s="28"/>
      <c r="G246" s="28"/>
      <c r="H246" s="28"/>
      <c r="I246" s="29"/>
      <c r="J246" s="29"/>
      <c r="K246" s="29"/>
      <c r="L246" s="29"/>
      <c r="M246" s="29"/>
      <c r="N246" s="30"/>
      <c r="O246" s="29"/>
      <c r="P246" s="29"/>
      <c r="Q246" s="31"/>
      <c r="R246" s="31"/>
      <c r="S246" s="31"/>
    </row>
    <row r="247" spans="1:19" ht="20.5">
      <c r="A247" s="26"/>
      <c r="B247" s="27"/>
      <c r="C247" s="28"/>
      <c r="D247" s="28"/>
      <c r="E247" s="28"/>
      <c r="F247" s="28"/>
      <c r="G247" s="28"/>
      <c r="H247" s="28"/>
      <c r="I247" s="29"/>
      <c r="J247" s="29"/>
      <c r="K247" s="29"/>
      <c r="L247" s="29"/>
      <c r="M247" s="29"/>
      <c r="N247" s="30"/>
      <c r="O247" s="29"/>
      <c r="P247" s="29"/>
      <c r="Q247" s="31"/>
      <c r="R247" s="31"/>
      <c r="S247" s="31"/>
    </row>
    <row r="248" spans="1:19" ht="20.5">
      <c r="A248" s="26"/>
      <c r="B248" s="27"/>
      <c r="C248" s="28"/>
      <c r="D248" s="28"/>
      <c r="E248" s="28"/>
      <c r="F248" s="28"/>
      <c r="G248" s="28"/>
      <c r="H248" s="28"/>
      <c r="I248" s="29"/>
      <c r="J248" s="29"/>
      <c r="K248" s="29"/>
      <c r="L248" s="29"/>
      <c r="M248" s="29"/>
      <c r="N248" s="30"/>
      <c r="O248" s="29"/>
      <c r="P248" s="29"/>
      <c r="Q248" s="31"/>
      <c r="R248" s="31"/>
      <c r="S248" s="31"/>
    </row>
    <row r="249" spans="1:19" ht="20.5">
      <c r="A249" s="26"/>
      <c r="B249" s="27"/>
      <c r="C249" s="28"/>
      <c r="D249" s="28"/>
      <c r="E249" s="28"/>
      <c r="F249" s="28"/>
      <c r="G249" s="28"/>
      <c r="H249" s="28"/>
      <c r="I249" s="29"/>
      <c r="J249" s="29"/>
      <c r="K249" s="29"/>
      <c r="L249" s="29"/>
      <c r="M249" s="29"/>
      <c r="N249" s="30"/>
      <c r="O249" s="29"/>
      <c r="P249" s="29"/>
      <c r="Q249" s="31"/>
      <c r="R249" s="31"/>
      <c r="S249" s="31"/>
    </row>
    <row r="250" spans="1:19" ht="20.5">
      <c r="A250" s="26"/>
      <c r="B250" s="27"/>
      <c r="C250" s="28"/>
      <c r="D250" s="28"/>
      <c r="E250" s="28"/>
      <c r="F250" s="28"/>
      <c r="G250" s="28"/>
      <c r="H250" s="28"/>
      <c r="I250" s="29"/>
      <c r="J250" s="29"/>
      <c r="K250" s="29"/>
      <c r="L250" s="29"/>
      <c r="M250" s="29"/>
      <c r="N250" s="30"/>
      <c r="O250" s="29"/>
      <c r="P250" s="29"/>
      <c r="Q250" s="31"/>
      <c r="R250" s="31"/>
      <c r="S250" s="31"/>
    </row>
    <row r="251" spans="1:19" ht="20.5">
      <c r="A251" s="26"/>
      <c r="B251" s="27"/>
      <c r="C251" s="28"/>
      <c r="D251" s="28"/>
      <c r="E251" s="28"/>
      <c r="F251" s="28"/>
      <c r="G251" s="28"/>
      <c r="H251" s="28"/>
      <c r="I251" s="29"/>
      <c r="J251" s="29"/>
      <c r="K251" s="29"/>
      <c r="L251" s="29"/>
      <c r="M251" s="29"/>
      <c r="N251" s="30"/>
      <c r="O251" s="29"/>
      <c r="P251" s="29"/>
      <c r="Q251" s="31"/>
      <c r="R251" s="31"/>
      <c r="S251" s="31"/>
    </row>
    <row r="252" spans="1:19" ht="20.5">
      <c r="A252" s="26"/>
      <c r="B252" s="27"/>
      <c r="C252" s="28"/>
      <c r="D252" s="28"/>
      <c r="E252" s="28"/>
      <c r="F252" s="28"/>
      <c r="G252" s="28"/>
      <c r="H252" s="28"/>
      <c r="I252" s="29"/>
      <c r="J252" s="29"/>
      <c r="K252" s="29"/>
      <c r="L252" s="29"/>
      <c r="M252" s="29"/>
      <c r="N252" s="30"/>
      <c r="O252" s="29"/>
      <c r="P252" s="29"/>
      <c r="Q252" s="31"/>
      <c r="R252" s="31"/>
      <c r="S252" s="31"/>
    </row>
    <row r="253" spans="1:19" ht="20.5">
      <c r="A253" s="26"/>
      <c r="B253" s="27"/>
      <c r="C253" s="28"/>
      <c r="D253" s="28"/>
      <c r="E253" s="28"/>
      <c r="F253" s="28"/>
      <c r="G253" s="28"/>
      <c r="H253" s="28"/>
      <c r="I253" s="29"/>
      <c r="J253" s="29"/>
      <c r="K253" s="29"/>
      <c r="L253" s="29"/>
      <c r="M253" s="29"/>
      <c r="N253" s="30"/>
      <c r="O253" s="29"/>
      <c r="P253" s="29"/>
      <c r="Q253" s="31"/>
      <c r="R253" s="31"/>
      <c r="S253" s="31"/>
    </row>
    <row r="254" spans="1:19" ht="20.5">
      <c r="A254" s="26"/>
      <c r="B254" s="27"/>
      <c r="C254" s="28"/>
      <c r="D254" s="28"/>
      <c r="E254" s="28"/>
      <c r="F254" s="28"/>
      <c r="G254" s="28"/>
      <c r="H254" s="28"/>
      <c r="I254" s="29"/>
      <c r="J254" s="29"/>
      <c r="K254" s="29"/>
      <c r="L254" s="29"/>
      <c r="M254" s="29"/>
      <c r="N254" s="30"/>
      <c r="O254" s="29"/>
      <c r="P254" s="29"/>
      <c r="Q254" s="31"/>
      <c r="R254" s="31"/>
      <c r="S254" s="31"/>
    </row>
    <row r="255" spans="1:19" ht="20.5">
      <c r="A255" s="26"/>
      <c r="B255" s="27"/>
      <c r="C255" s="28"/>
      <c r="D255" s="28"/>
      <c r="E255" s="28"/>
      <c r="F255" s="28"/>
      <c r="G255" s="28"/>
      <c r="H255" s="28"/>
      <c r="I255" s="29"/>
      <c r="J255" s="29"/>
      <c r="K255" s="29"/>
      <c r="L255" s="29"/>
      <c r="M255" s="29"/>
      <c r="N255" s="30"/>
      <c r="O255" s="29"/>
      <c r="P255" s="29"/>
      <c r="Q255" s="31"/>
      <c r="R255" s="31"/>
      <c r="S255" s="31"/>
    </row>
    <row r="256" spans="1:19" ht="20.5">
      <c r="A256" s="26"/>
      <c r="B256" s="27"/>
      <c r="C256" s="28"/>
      <c r="D256" s="28"/>
      <c r="E256" s="28"/>
      <c r="F256" s="28"/>
      <c r="G256" s="28"/>
      <c r="H256" s="28"/>
      <c r="I256" s="29"/>
      <c r="J256" s="29"/>
      <c r="K256" s="29"/>
      <c r="L256" s="29"/>
      <c r="M256" s="29"/>
      <c r="N256" s="30"/>
      <c r="O256" s="29"/>
      <c r="P256" s="29"/>
      <c r="Q256" s="31"/>
      <c r="R256" s="31"/>
      <c r="S256" s="31"/>
    </row>
    <row r="257" spans="1:19" ht="20.5">
      <c r="A257" s="26"/>
      <c r="B257" s="27"/>
      <c r="C257" s="28"/>
      <c r="D257" s="28"/>
      <c r="E257" s="28"/>
      <c r="F257" s="28"/>
      <c r="G257" s="28"/>
      <c r="H257" s="28"/>
      <c r="I257" s="29"/>
      <c r="J257" s="29"/>
      <c r="K257" s="29"/>
      <c r="L257" s="29"/>
      <c r="M257" s="29"/>
      <c r="N257" s="30"/>
      <c r="O257" s="29"/>
      <c r="P257" s="29"/>
      <c r="Q257" s="31"/>
      <c r="R257" s="31"/>
      <c r="S257" s="31"/>
    </row>
    <row r="258" spans="1:19" ht="20.5">
      <c r="A258" s="26"/>
      <c r="B258" s="27"/>
      <c r="C258" s="28"/>
      <c r="D258" s="28"/>
      <c r="E258" s="28"/>
      <c r="F258" s="28"/>
      <c r="G258" s="28"/>
      <c r="H258" s="28"/>
      <c r="I258" s="29"/>
      <c r="J258" s="29"/>
      <c r="K258" s="29"/>
      <c r="L258" s="29"/>
      <c r="M258" s="29"/>
      <c r="N258" s="30"/>
      <c r="O258" s="29"/>
      <c r="P258" s="29"/>
      <c r="Q258" s="31"/>
      <c r="R258" s="31"/>
      <c r="S258" s="31"/>
    </row>
    <row r="259" spans="1:19" ht="20.5">
      <c r="A259" s="26"/>
      <c r="B259" s="27"/>
      <c r="C259" s="28"/>
      <c r="D259" s="28"/>
      <c r="E259" s="28"/>
      <c r="F259" s="28"/>
      <c r="G259" s="28"/>
      <c r="H259" s="28"/>
      <c r="I259" s="29"/>
      <c r="J259" s="29"/>
      <c r="K259" s="29"/>
      <c r="L259" s="29"/>
      <c r="M259" s="29"/>
      <c r="N259" s="30"/>
      <c r="O259" s="29"/>
      <c r="P259" s="29"/>
      <c r="Q259" s="31"/>
      <c r="R259" s="31"/>
      <c r="S259" s="31"/>
    </row>
    <row r="260" spans="1:19" ht="20.5">
      <c r="A260" s="26"/>
      <c r="B260" s="27"/>
      <c r="C260" s="28"/>
      <c r="D260" s="28"/>
      <c r="E260" s="28"/>
      <c r="F260" s="28"/>
      <c r="G260" s="28"/>
      <c r="H260" s="28"/>
      <c r="I260" s="29"/>
      <c r="J260" s="29"/>
      <c r="K260" s="29"/>
      <c r="L260" s="29"/>
      <c r="M260" s="29"/>
      <c r="N260" s="30"/>
      <c r="O260" s="29"/>
      <c r="P260" s="29"/>
      <c r="Q260" s="31"/>
      <c r="R260" s="31"/>
      <c r="S260" s="31"/>
    </row>
    <row r="261" spans="1:19" ht="20.5">
      <c r="A261" s="26"/>
      <c r="B261" s="27"/>
      <c r="C261" s="28"/>
      <c r="D261" s="28"/>
      <c r="E261" s="28"/>
      <c r="F261" s="28"/>
      <c r="G261" s="28"/>
      <c r="H261" s="28"/>
      <c r="I261" s="29"/>
      <c r="J261" s="29"/>
      <c r="K261" s="29"/>
      <c r="L261" s="29"/>
      <c r="M261" s="29"/>
      <c r="N261" s="30"/>
      <c r="O261" s="29"/>
      <c r="P261" s="29"/>
      <c r="Q261" s="31"/>
      <c r="R261" s="31"/>
      <c r="S261" s="31"/>
    </row>
    <row r="262" spans="1:19" ht="20.5">
      <c r="A262" s="26"/>
      <c r="B262" s="27"/>
      <c r="C262" s="28"/>
      <c r="D262" s="28"/>
      <c r="E262" s="28"/>
      <c r="F262" s="28"/>
      <c r="G262" s="28"/>
      <c r="H262" s="28"/>
      <c r="I262" s="29"/>
      <c r="J262" s="29"/>
      <c r="K262" s="29"/>
      <c r="L262" s="29"/>
      <c r="M262" s="29"/>
      <c r="N262" s="30"/>
      <c r="O262" s="29"/>
      <c r="P262" s="29"/>
      <c r="Q262" s="31"/>
      <c r="R262" s="31"/>
      <c r="S262" s="31"/>
    </row>
    <row r="263" spans="1:19" ht="20.5">
      <c r="A263" s="26"/>
      <c r="B263" s="27"/>
      <c r="C263" s="28"/>
      <c r="D263" s="28"/>
      <c r="E263" s="28"/>
      <c r="F263" s="28"/>
      <c r="G263" s="28"/>
      <c r="H263" s="28"/>
      <c r="I263" s="29"/>
      <c r="J263" s="29"/>
      <c r="K263" s="29"/>
      <c r="L263" s="29"/>
      <c r="M263" s="29"/>
      <c r="N263" s="30"/>
      <c r="O263" s="29"/>
      <c r="P263" s="29"/>
      <c r="Q263" s="31"/>
      <c r="R263" s="31"/>
      <c r="S263" s="31"/>
    </row>
    <row r="264" spans="1:19" ht="20.5">
      <c r="A264" s="26"/>
      <c r="B264" s="27"/>
      <c r="C264" s="28"/>
      <c r="D264" s="28"/>
      <c r="E264" s="28"/>
      <c r="F264" s="28"/>
      <c r="G264" s="28"/>
      <c r="H264" s="28"/>
      <c r="I264" s="29"/>
      <c r="J264" s="29"/>
      <c r="K264" s="29"/>
      <c r="L264" s="29"/>
      <c r="M264" s="29"/>
      <c r="N264" s="30"/>
      <c r="O264" s="29"/>
      <c r="P264" s="29"/>
      <c r="Q264" s="31"/>
      <c r="R264" s="31"/>
      <c r="S264" s="31"/>
    </row>
    <row r="265" spans="1:19" ht="20.5">
      <c r="A265" s="26"/>
      <c r="B265" s="27"/>
      <c r="C265" s="28"/>
      <c r="D265" s="28"/>
      <c r="E265" s="28"/>
      <c r="F265" s="28"/>
      <c r="G265" s="28"/>
      <c r="H265" s="28"/>
      <c r="I265" s="29"/>
      <c r="J265" s="29"/>
      <c r="K265" s="29"/>
      <c r="L265" s="29"/>
      <c r="M265" s="29"/>
      <c r="N265" s="30"/>
      <c r="O265" s="29"/>
      <c r="P265" s="29"/>
      <c r="Q265" s="31"/>
      <c r="R265" s="31"/>
      <c r="S265" s="31"/>
    </row>
    <row r="266" spans="1:19" ht="20.5">
      <c r="A266" s="26"/>
      <c r="B266" s="27"/>
      <c r="C266" s="28"/>
      <c r="D266" s="28"/>
      <c r="E266" s="28"/>
      <c r="F266" s="28"/>
      <c r="G266" s="28"/>
      <c r="H266" s="28"/>
      <c r="I266" s="29"/>
      <c r="J266" s="29"/>
      <c r="K266" s="29"/>
      <c r="L266" s="29"/>
      <c r="M266" s="29"/>
      <c r="N266" s="30"/>
      <c r="O266" s="29"/>
      <c r="P266" s="29"/>
      <c r="Q266" s="31"/>
      <c r="R266" s="31"/>
      <c r="S266" s="31"/>
    </row>
    <row r="267" spans="1:19" ht="20.5">
      <c r="A267" s="26"/>
      <c r="B267" s="27"/>
      <c r="C267" s="28"/>
      <c r="D267" s="28"/>
      <c r="E267" s="28"/>
      <c r="F267" s="28"/>
      <c r="G267" s="28"/>
      <c r="H267" s="28"/>
      <c r="I267" s="29"/>
      <c r="J267" s="29"/>
      <c r="K267" s="29"/>
      <c r="L267" s="29"/>
      <c r="M267" s="29"/>
      <c r="N267" s="30"/>
      <c r="O267" s="29"/>
      <c r="P267" s="29"/>
      <c r="Q267" s="31"/>
      <c r="R267" s="31"/>
      <c r="S267" s="31"/>
    </row>
    <row r="268" spans="1:19" ht="20.5">
      <c r="A268" s="26"/>
      <c r="B268" s="27"/>
      <c r="C268" s="28"/>
      <c r="D268" s="28"/>
      <c r="E268" s="28"/>
      <c r="F268" s="28"/>
      <c r="G268" s="28"/>
      <c r="H268" s="28"/>
      <c r="I268" s="29"/>
      <c r="J268" s="29"/>
      <c r="K268" s="29"/>
      <c r="L268" s="29"/>
      <c r="M268" s="29"/>
      <c r="N268" s="30"/>
      <c r="O268" s="29"/>
      <c r="P268" s="29"/>
      <c r="Q268" s="31"/>
      <c r="R268" s="31"/>
      <c r="S268" s="31"/>
    </row>
    <row r="269" spans="1:19" ht="20.5">
      <c r="A269" s="26"/>
      <c r="B269" s="27"/>
      <c r="C269" s="28"/>
      <c r="D269" s="28"/>
      <c r="E269" s="28"/>
      <c r="F269" s="28"/>
      <c r="G269" s="28"/>
      <c r="H269" s="28"/>
      <c r="I269" s="29"/>
      <c r="J269" s="29"/>
      <c r="K269" s="29"/>
      <c r="L269" s="29"/>
      <c r="M269" s="29"/>
      <c r="N269" s="30"/>
      <c r="O269" s="29"/>
      <c r="P269" s="29"/>
      <c r="Q269" s="31"/>
      <c r="R269" s="31"/>
      <c r="S269" s="31"/>
    </row>
    <row r="270" spans="1:19" ht="20.5">
      <c r="A270" s="26"/>
      <c r="B270" s="27"/>
      <c r="C270" s="28"/>
      <c r="D270" s="28"/>
      <c r="E270" s="28"/>
      <c r="F270" s="28"/>
      <c r="G270" s="28"/>
      <c r="H270" s="28"/>
      <c r="I270" s="29"/>
      <c r="J270" s="29"/>
      <c r="K270" s="29"/>
      <c r="L270" s="29"/>
      <c r="M270" s="29"/>
      <c r="N270" s="30"/>
      <c r="O270" s="29"/>
      <c r="P270" s="29"/>
      <c r="Q270" s="31"/>
      <c r="R270" s="31"/>
      <c r="S270" s="31"/>
    </row>
    <row r="271" spans="1:19" ht="20.5">
      <c r="A271" s="26"/>
      <c r="B271" s="27"/>
      <c r="C271" s="28"/>
      <c r="D271" s="28"/>
      <c r="E271" s="28"/>
      <c r="F271" s="28"/>
      <c r="G271" s="28"/>
      <c r="H271" s="28"/>
      <c r="I271" s="29"/>
      <c r="J271" s="29"/>
      <c r="K271" s="29"/>
      <c r="L271" s="29"/>
      <c r="M271" s="29"/>
      <c r="N271" s="30"/>
      <c r="O271" s="29"/>
      <c r="P271" s="29"/>
      <c r="Q271" s="31"/>
      <c r="R271" s="31"/>
      <c r="S271" s="31"/>
    </row>
    <row r="272" spans="1:19" ht="20.5">
      <c r="A272" s="26"/>
      <c r="B272" s="27"/>
      <c r="C272" s="28"/>
      <c r="D272" s="28"/>
      <c r="E272" s="28"/>
      <c r="F272" s="28"/>
      <c r="G272" s="28"/>
      <c r="H272" s="28"/>
      <c r="I272" s="29"/>
      <c r="J272" s="29"/>
      <c r="K272" s="29"/>
      <c r="L272" s="29"/>
      <c r="M272" s="29"/>
      <c r="N272" s="30"/>
      <c r="O272" s="29"/>
      <c r="P272" s="29"/>
      <c r="Q272" s="31"/>
      <c r="R272" s="31"/>
      <c r="S272" s="31"/>
    </row>
    <row r="273" spans="1:19" ht="20.5">
      <c r="A273" s="26"/>
      <c r="B273" s="27"/>
      <c r="C273" s="28"/>
      <c r="D273" s="28"/>
      <c r="E273" s="28"/>
      <c r="F273" s="28"/>
      <c r="G273" s="28"/>
      <c r="H273" s="28"/>
      <c r="I273" s="29"/>
      <c r="J273" s="29"/>
      <c r="K273" s="29"/>
      <c r="L273" s="29"/>
      <c r="M273" s="29"/>
      <c r="N273" s="30"/>
      <c r="O273" s="29"/>
      <c r="P273" s="29"/>
      <c r="Q273" s="31"/>
      <c r="R273" s="31"/>
      <c r="S273" s="31"/>
    </row>
    <row r="274" spans="1:19" ht="20.5">
      <c r="A274" s="26"/>
      <c r="B274" s="27"/>
      <c r="C274" s="28"/>
      <c r="D274" s="28"/>
      <c r="E274" s="28"/>
      <c r="F274" s="28"/>
      <c r="G274" s="28"/>
      <c r="H274" s="28"/>
      <c r="I274" s="29"/>
      <c r="J274" s="29"/>
      <c r="K274" s="29"/>
      <c r="L274" s="29"/>
      <c r="M274" s="29"/>
      <c r="N274" s="30"/>
      <c r="O274" s="29"/>
      <c r="P274" s="29"/>
      <c r="Q274" s="31"/>
      <c r="R274" s="31"/>
      <c r="S274" s="31"/>
    </row>
    <row r="275" spans="1:19" ht="20.5">
      <c r="A275" s="26"/>
      <c r="B275" s="27"/>
      <c r="C275" s="28"/>
      <c r="D275" s="28"/>
      <c r="E275" s="28"/>
      <c r="F275" s="28"/>
      <c r="G275" s="28"/>
      <c r="H275" s="28"/>
      <c r="I275" s="29"/>
      <c r="J275" s="29"/>
      <c r="K275" s="29"/>
      <c r="L275" s="29"/>
      <c r="M275" s="29"/>
      <c r="N275" s="30"/>
      <c r="O275" s="29"/>
      <c r="P275" s="29"/>
      <c r="Q275" s="31"/>
      <c r="R275" s="31"/>
      <c r="S275" s="31"/>
    </row>
    <row r="276" spans="1:19" ht="20.5">
      <c r="A276" s="26"/>
      <c r="B276" s="27"/>
      <c r="C276" s="28"/>
      <c r="D276" s="28"/>
      <c r="E276" s="28"/>
      <c r="F276" s="28"/>
      <c r="G276" s="28"/>
      <c r="H276" s="28"/>
      <c r="I276" s="29"/>
      <c r="J276" s="29"/>
      <c r="K276" s="29"/>
      <c r="L276" s="29"/>
      <c r="M276" s="29"/>
      <c r="N276" s="30"/>
      <c r="O276" s="29"/>
      <c r="P276" s="29"/>
      <c r="Q276" s="31"/>
      <c r="R276" s="31"/>
      <c r="S276" s="31"/>
    </row>
    <row r="277" spans="1:19" ht="20.5">
      <c r="A277" s="26"/>
      <c r="B277" s="27"/>
      <c r="C277" s="28"/>
      <c r="D277" s="28"/>
      <c r="E277" s="28"/>
      <c r="F277" s="28"/>
      <c r="G277" s="28"/>
      <c r="H277" s="28"/>
      <c r="I277" s="29"/>
      <c r="J277" s="29"/>
      <c r="K277" s="29"/>
      <c r="L277" s="29"/>
      <c r="M277" s="29"/>
      <c r="N277" s="30"/>
      <c r="O277" s="29"/>
      <c r="P277" s="29"/>
      <c r="Q277" s="31"/>
      <c r="R277" s="31"/>
      <c r="S277" s="31"/>
    </row>
    <row r="278" spans="1:19" ht="20.5">
      <c r="A278" s="26"/>
      <c r="B278" s="27"/>
      <c r="C278" s="28"/>
      <c r="D278" s="28"/>
      <c r="E278" s="28"/>
      <c r="F278" s="28"/>
      <c r="G278" s="28"/>
      <c r="H278" s="28"/>
      <c r="I278" s="29"/>
      <c r="J278" s="29"/>
      <c r="K278" s="29"/>
      <c r="L278" s="29"/>
      <c r="M278" s="29"/>
      <c r="N278" s="30"/>
      <c r="O278" s="29"/>
      <c r="P278" s="29"/>
      <c r="Q278" s="31"/>
      <c r="R278" s="31"/>
      <c r="S278" s="31"/>
    </row>
    <row r="279" spans="1:19" ht="20.5">
      <c r="A279" s="26"/>
      <c r="B279" s="27"/>
      <c r="C279" s="28"/>
      <c r="D279" s="28"/>
      <c r="E279" s="28"/>
      <c r="F279" s="28"/>
      <c r="G279" s="28"/>
      <c r="H279" s="28"/>
      <c r="I279" s="29"/>
      <c r="J279" s="29"/>
      <c r="K279" s="29"/>
      <c r="L279" s="29"/>
      <c r="M279" s="29"/>
      <c r="N279" s="30"/>
      <c r="O279" s="29"/>
      <c r="P279" s="29"/>
      <c r="Q279" s="31"/>
      <c r="R279" s="31"/>
      <c r="S279" s="31"/>
    </row>
    <row r="280" spans="1:19" ht="20.5">
      <c r="A280" s="26"/>
      <c r="B280" s="27"/>
      <c r="C280" s="28"/>
      <c r="D280" s="28"/>
      <c r="E280" s="28"/>
      <c r="F280" s="28"/>
      <c r="G280" s="28"/>
      <c r="H280" s="28"/>
      <c r="I280" s="29"/>
      <c r="J280" s="29"/>
      <c r="K280" s="29"/>
      <c r="L280" s="29"/>
      <c r="M280" s="29"/>
      <c r="N280" s="30"/>
      <c r="O280" s="29"/>
      <c r="P280" s="29"/>
      <c r="Q280" s="31"/>
      <c r="R280" s="31"/>
      <c r="S280" s="31"/>
    </row>
    <row r="281" spans="1:19" ht="20.5">
      <c r="A281" s="26"/>
      <c r="B281" s="27"/>
      <c r="C281" s="28"/>
      <c r="D281" s="28"/>
      <c r="E281" s="28"/>
      <c r="F281" s="28"/>
      <c r="G281" s="28"/>
      <c r="H281" s="28"/>
      <c r="I281" s="29"/>
      <c r="J281" s="29"/>
      <c r="K281" s="29"/>
      <c r="L281" s="29"/>
      <c r="M281" s="29"/>
      <c r="N281" s="30"/>
      <c r="O281" s="29"/>
      <c r="P281" s="29"/>
      <c r="Q281" s="31"/>
      <c r="R281" s="31"/>
      <c r="S281" s="31"/>
    </row>
    <row r="282" spans="1:19" ht="20.5">
      <c r="A282" s="26"/>
      <c r="B282" s="27"/>
      <c r="C282" s="28"/>
      <c r="D282" s="28"/>
      <c r="E282" s="28"/>
      <c r="F282" s="28"/>
      <c r="G282" s="28"/>
      <c r="H282" s="28"/>
      <c r="I282" s="29"/>
      <c r="J282" s="29"/>
      <c r="K282" s="29"/>
      <c r="L282" s="29"/>
      <c r="M282" s="29"/>
      <c r="N282" s="30"/>
      <c r="O282" s="29"/>
      <c r="P282" s="29"/>
      <c r="Q282" s="31"/>
      <c r="R282" s="31"/>
      <c r="S282" s="31"/>
    </row>
    <row r="283" spans="1:19" ht="20.5">
      <c r="A283" s="26"/>
      <c r="B283" s="27"/>
      <c r="C283" s="28"/>
      <c r="D283" s="28"/>
      <c r="E283" s="28"/>
      <c r="F283" s="28"/>
      <c r="G283" s="28"/>
      <c r="H283" s="28"/>
      <c r="I283" s="29"/>
      <c r="J283" s="29"/>
      <c r="K283" s="29"/>
      <c r="L283" s="29"/>
      <c r="M283" s="29"/>
      <c r="N283" s="30"/>
      <c r="O283" s="29"/>
      <c r="P283" s="29"/>
      <c r="Q283" s="31"/>
      <c r="R283" s="31"/>
      <c r="S283" s="31"/>
    </row>
    <row r="284" spans="1:19" ht="20.5">
      <c r="A284" s="26"/>
      <c r="B284" s="27"/>
      <c r="C284" s="28"/>
      <c r="D284" s="28"/>
      <c r="E284" s="28"/>
      <c r="F284" s="28"/>
      <c r="G284" s="28"/>
      <c r="H284" s="28"/>
      <c r="I284" s="29"/>
      <c r="J284" s="29"/>
      <c r="K284" s="29"/>
      <c r="L284" s="29"/>
      <c r="M284" s="29"/>
      <c r="N284" s="30"/>
      <c r="O284" s="29"/>
      <c r="P284" s="29"/>
      <c r="Q284" s="31"/>
      <c r="R284" s="31"/>
      <c r="S284" s="31"/>
    </row>
    <row r="285" spans="1:19" ht="20.5">
      <c r="A285" s="26"/>
      <c r="B285" s="27"/>
      <c r="C285" s="28"/>
      <c r="D285" s="28"/>
      <c r="E285" s="28"/>
      <c r="F285" s="28"/>
      <c r="G285" s="28"/>
      <c r="H285" s="28"/>
      <c r="I285" s="29"/>
      <c r="J285" s="29"/>
      <c r="K285" s="29"/>
      <c r="L285" s="29"/>
      <c r="M285" s="29"/>
      <c r="N285" s="30"/>
      <c r="O285" s="29"/>
      <c r="P285" s="29"/>
      <c r="Q285" s="31"/>
      <c r="R285" s="31"/>
      <c r="S285" s="31"/>
    </row>
    <row r="286" spans="1:19" ht="20.5">
      <c r="A286" s="26"/>
      <c r="B286" s="27"/>
      <c r="C286" s="28"/>
      <c r="D286" s="28"/>
      <c r="E286" s="28"/>
      <c r="F286" s="28"/>
      <c r="G286" s="28"/>
      <c r="H286" s="28"/>
      <c r="I286" s="29"/>
      <c r="J286" s="29"/>
      <c r="K286" s="29"/>
      <c r="L286" s="29"/>
      <c r="M286" s="29"/>
      <c r="N286" s="30"/>
      <c r="O286" s="29"/>
      <c r="P286" s="29"/>
      <c r="Q286" s="31"/>
      <c r="R286" s="31"/>
      <c r="S286" s="31"/>
    </row>
    <row r="287" spans="1:19" ht="20.5">
      <c r="A287" s="26"/>
      <c r="B287" s="27"/>
      <c r="C287" s="28"/>
      <c r="D287" s="28"/>
      <c r="E287" s="28"/>
      <c r="F287" s="28"/>
      <c r="G287" s="28"/>
      <c r="H287" s="28"/>
      <c r="I287" s="29"/>
      <c r="J287" s="29"/>
      <c r="K287" s="29"/>
      <c r="L287" s="29"/>
      <c r="M287" s="29"/>
      <c r="N287" s="30"/>
      <c r="O287" s="29"/>
      <c r="P287" s="29"/>
      <c r="Q287" s="31"/>
      <c r="R287" s="31"/>
      <c r="S287" s="31"/>
    </row>
    <row r="288" spans="1:19" ht="20.5">
      <c r="A288" s="26"/>
      <c r="B288" s="27"/>
      <c r="C288" s="28"/>
      <c r="D288" s="28"/>
      <c r="E288" s="28"/>
      <c r="F288" s="28"/>
      <c r="G288" s="28"/>
      <c r="H288" s="28"/>
      <c r="I288" s="29"/>
      <c r="J288" s="29"/>
      <c r="K288" s="29"/>
      <c r="L288" s="29"/>
      <c r="M288" s="29"/>
      <c r="N288" s="30"/>
      <c r="O288" s="29"/>
      <c r="P288" s="29"/>
      <c r="Q288" s="31"/>
      <c r="R288" s="31"/>
      <c r="S288" s="31"/>
    </row>
    <row r="289" spans="1:19" ht="20.5">
      <c r="A289" s="26"/>
      <c r="B289" s="27"/>
      <c r="C289" s="28"/>
      <c r="D289" s="28"/>
      <c r="E289" s="28"/>
      <c r="F289" s="28"/>
      <c r="G289" s="28"/>
      <c r="H289" s="28"/>
      <c r="I289" s="29"/>
      <c r="J289" s="29"/>
      <c r="K289" s="29"/>
      <c r="L289" s="29"/>
      <c r="M289" s="29"/>
      <c r="N289" s="30"/>
      <c r="O289" s="29"/>
      <c r="P289" s="29"/>
      <c r="Q289" s="31"/>
      <c r="R289" s="31"/>
      <c r="S289" s="31"/>
    </row>
    <row r="290" spans="1:19" ht="20.5">
      <c r="A290" s="26"/>
      <c r="B290" s="27"/>
      <c r="C290" s="28"/>
      <c r="D290" s="28"/>
      <c r="E290" s="28"/>
      <c r="F290" s="28"/>
      <c r="G290" s="28"/>
      <c r="H290" s="28"/>
      <c r="I290" s="29"/>
      <c r="J290" s="29"/>
      <c r="K290" s="29"/>
      <c r="L290" s="29"/>
      <c r="M290" s="29"/>
      <c r="N290" s="30"/>
      <c r="O290" s="29"/>
      <c r="P290" s="29"/>
      <c r="Q290" s="31"/>
      <c r="R290" s="31"/>
      <c r="S290" s="31"/>
    </row>
    <row r="291" spans="1:19" ht="20.5">
      <c r="A291" s="26"/>
      <c r="B291" s="27"/>
      <c r="C291" s="28"/>
      <c r="D291" s="28"/>
      <c r="E291" s="28"/>
      <c r="F291" s="28"/>
      <c r="G291" s="28"/>
      <c r="H291" s="28"/>
      <c r="I291" s="29"/>
      <c r="J291" s="29"/>
      <c r="K291" s="29"/>
      <c r="L291" s="29"/>
      <c r="M291" s="29"/>
      <c r="N291" s="30"/>
      <c r="O291" s="29"/>
      <c r="P291" s="29"/>
      <c r="Q291" s="31"/>
      <c r="R291" s="31"/>
      <c r="S291" s="31"/>
    </row>
    <row r="292" spans="1:19" ht="20.5">
      <c r="A292" s="26"/>
      <c r="B292" s="27"/>
      <c r="C292" s="28"/>
      <c r="D292" s="28"/>
      <c r="E292" s="28"/>
      <c r="F292" s="28"/>
      <c r="G292" s="28"/>
      <c r="H292" s="28"/>
      <c r="I292" s="29"/>
      <c r="J292" s="29"/>
      <c r="K292" s="29"/>
      <c r="L292" s="29"/>
      <c r="M292" s="29"/>
      <c r="N292" s="30"/>
      <c r="O292" s="29"/>
      <c r="P292" s="29"/>
      <c r="Q292" s="31"/>
      <c r="R292" s="31"/>
      <c r="S292" s="31"/>
    </row>
    <row r="293" spans="1:19" ht="20.5">
      <c r="A293" s="26"/>
      <c r="B293" s="27"/>
      <c r="C293" s="28"/>
      <c r="D293" s="28"/>
      <c r="E293" s="28"/>
      <c r="F293" s="28"/>
      <c r="G293" s="28"/>
      <c r="H293" s="28"/>
      <c r="I293" s="29"/>
      <c r="J293" s="29"/>
      <c r="K293" s="29"/>
      <c r="L293" s="29"/>
      <c r="M293" s="29"/>
      <c r="N293" s="30"/>
      <c r="O293" s="29"/>
      <c r="P293" s="29"/>
      <c r="Q293" s="31"/>
      <c r="R293" s="31"/>
      <c r="S293" s="31"/>
    </row>
    <row r="294" spans="1:19" ht="20.5">
      <c r="A294" s="26"/>
      <c r="B294" s="27"/>
      <c r="C294" s="28"/>
      <c r="D294" s="28"/>
      <c r="E294" s="28"/>
      <c r="F294" s="28"/>
      <c r="G294" s="28"/>
      <c r="H294" s="28"/>
      <c r="I294" s="29"/>
      <c r="J294" s="29"/>
      <c r="K294" s="29"/>
      <c r="L294" s="29"/>
      <c r="M294" s="29"/>
      <c r="N294" s="30"/>
      <c r="O294" s="29"/>
      <c r="P294" s="29"/>
      <c r="Q294" s="31"/>
      <c r="R294" s="31"/>
      <c r="S294" s="31"/>
    </row>
    <row r="295" spans="1:19" ht="20.5">
      <c r="A295" s="26"/>
      <c r="B295" s="27"/>
      <c r="C295" s="28"/>
      <c r="D295" s="28"/>
      <c r="E295" s="28"/>
      <c r="F295" s="28"/>
      <c r="G295" s="28"/>
      <c r="H295" s="28"/>
      <c r="I295" s="29"/>
      <c r="J295" s="29"/>
      <c r="K295" s="29"/>
      <c r="L295" s="29"/>
      <c r="M295" s="29"/>
      <c r="N295" s="30"/>
      <c r="O295" s="29"/>
      <c r="P295" s="29"/>
      <c r="Q295" s="31"/>
      <c r="R295" s="31"/>
      <c r="S295" s="31"/>
    </row>
    <row r="296" spans="1:19" ht="20.5">
      <c r="A296" s="26"/>
      <c r="B296" s="27"/>
      <c r="C296" s="28"/>
      <c r="D296" s="28"/>
      <c r="E296" s="28"/>
      <c r="F296" s="28"/>
      <c r="G296" s="28"/>
      <c r="H296" s="28"/>
      <c r="I296" s="29"/>
      <c r="J296" s="29"/>
      <c r="K296" s="29"/>
      <c r="L296" s="29"/>
      <c r="M296" s="29"/>
      <c r="N296" s="30"/>
      <c r="O296" s="29"/>
      <c r="P296" s="29"/>
      <c r="Q296" s="31"/>
      <c r="R296" s="31"/>
      <c r="S296" s="31"/>
    </row>
    <row r="297" spans="1:19" ht="20.5">
      <c r="A297" s="26"/>
      <c r="B297" s="27"/>
      <c r="C297" s="28"/>
      <c r="D297" s="28"/>
      <c r="E297" s="28"/>
      <c r="F297" s="28"/>
      <c r="G297" s="28"/>
      <c r="H297" s="28"/>
      <c r="I297" s="29"/>
      <c r="J297" s="29"/>
      <c r="K297" s="29"/>
      <c r="L297" s="29"/>
      <c r="M297" s="29"/>
      <c r="N297" s="30"/>
      <c r="O297" s="29"/>
      <c r="P297" s="29"/>
      <c r="Q297" s="31"/>
      <c r="R297" s="31"/>
      <c r="S297" s="31"/>
    </row>
    <row r="298" spans="1:19" ht="20.5">
      <c r="A298" s="26"/>
      <c r="B298" s="27"/>
      <c r="C298" s="28"/>
      <c r="D298" s="28"/>
      <c r="E298" s="28"/>
      <c r="F298" s="28"/>
      <c r="G298" s="28"/>
      <c r="H298" s="28"/>
      <c r="I298" s="29"/>
      <c r="J298" s="29"/>
      <c r="K298" s="29"/>
      <c r="L298" s="29"/>
      <c r="M298" s="29"/>
      <c r="N298" s="30"/>
      <c r="O298" s="29"/>
      <c r="P298" s="29"/>
      <c r="Q298" s="31"/>
      <c r="R298" s="31"/>
      <c r="S298" s="31"/>
    </row>
    <row r="299" spans="1:19" ht="20.5">
      <c r="A299" s="26"/>
      <c r="B299" s="27"/>
      <c r="C299" s="28"/>
      <c r="D299" s="28"/>
      <c r="E299" s="28"/>
      <c r="F299" s="28"/>
      <c r="G299" s="28"/>
      <c r="H299" s="28"/>
      <c r="I299" s="29"/>
      <c r="J299" s="29"/>
      <c r="K299" s="29"/>
      <c r="L299" s="29"/>
      <c r="M299" s="29"/>
      <c r="N299" s="30"/>
      <c r="O299" s="29"/>
      <c r="P299" s="29"/>
      <c r="Q299" s="31"/>
      <c r="R299" s="31"/>
      <c r="S299" s="31"/>
    </row>
    <row r="300" spans="1:19" ht="20.5">
      <c r="A300" s="26"/>
      <c r="B300" s="27"/>
      <c r="C300" s="28"/>
      <c r="D300" s="28"/>
      <c r="E300" s="28"/>
      <c r="F300" s="28"/>
      <c r="G300" s="28"/>
      <c r="H300" s="28"/>
      <c r="I300" s="29"/>
      <c r="J300" s="29"/>
      <c r="K300" s="29"/>
      <c r="L300" s="29"/>
      <c r="M300" s="29"/>
      <c r="N300" s="30"/>
      <c r="O300" s="29"/>
      <c r="P300" s="29"/>
      <c r="Q300" s="31"/>
      <c r="R300" s="31"/>
      <c r="S300" s="31"/>
    </row>
    <row r="301" spans="1:19" ht="20.5">
      <c r="A301" s="26"/>
      <c r="B301" s="27"/>
      <c r="C301" s="28"/>
      <c r="D301" s="28"/>
      <c r="E301" s="28"/>
      <c r="F301" s="28"/>
      <c r="G301" s="28"/>
      <c r="H301" s="28"/>
      <c r="I301" s="29"/>
      <c r="J301" s="29"/>
      <c r="K301" s="29"/>
      <c r="L301" s="29"/>
      <c r="M301" s="29"/>
      <c r="N301" s="30"/>
      <c r="O301" s="29"/>
      <c r="P301" s="29"/>
      <c r="Q301" s="31"/>
      <c r="R301" s="31"/>
      <c r="S301" s="31"/>
    </row>
    <row r="302" spans="1:19" ht="20.5">
      <c r="A302" s="26"/>
      <c r="B302" s="27"/>
      <c r="C302" s="28"/>
      <c r="D302" s="28"/>
      <c r="E302" s="28"/>
      <c r="F302" s="28"/>
      <c r="G302" s="28"/>
      <c r="H302" s="28"/>
      <c r="I302" s="29"/>
      <c r="J302" s="29"/>
      <c r="K302" s="29"/>
      <c r="L302" s="29"/>
      <c r="M302" s="29"/>
      <c r="N302" s="30"/>
      <c r="O302" s="29"/>
      <c r="P302" s="29"/>
      <c r="Q302" s="31"/>
      <c r="R302" s="31"/>
      <c r="S302" s="31"/>
    </row>
    <row r="303" spans="1:19" ht="20.5">
      <c r="A303" s="26"/>
      <c r="B303" s="27"/>
      <c r="C303" s="28"/>
      <c r="D303" s="28"/>
      <c r="E303" s="28"/>
      <c r="F303" s="28"/>
      <c r="G303" s="28"/>
      <c r="H303" s="28"/>
      <c r="I303" s="29"/>
      <c r="J303" s="29"/>
      <c r="K303" s="29"/>
      <c r="L303" s="29"/>
      <c r="M303" s="29"/>
      <c r="N303" s="30"/>
      <c r="O303" s="29"/>
      <c r="P303" s="29"/>
      <c r="Q303" s="31"/>
      <c r="R303" s="31"/>
      <c r="S303" s="31"/>
    </row>
    <row r="304" spans="1:19" ht="20.5">
      <c r="A304" s="26"/>
      <c r="B304" s="27"/>
      <c r="C304" s="28"/>
      <c r="D304" s="28"/>
      <c r="E304" s="28"/>
      <c r="F304" s="28"/>
      <c r="G304" s="28"/>
      <c r="H304" s="28"/>
      <c r="I304" s="29"/>
      <c r="J304" s="29"/>
      <c r="K304" s="29"/>
      <c r="L304" s="29"/>
      <c r="M304" s="29"/>
      <c r="N304" s="30"/>
      <c r="O304" s="29"/>
      <c r="P304" s="29"/>
      <c r="Q304" s="31"/>
      <c r="R304" s="31"/>
      <c r="S304" s="31"/>
    </row>
    <row r="305" spans="1:19" ht="20.5">
      <c r="A305" s="26"/>
      <c r="B305" s="27"/>
      <c r="C305" s="28"/>
      <c r="D305" s="28"/>
      <c r="E305" s="28"/>
      <c r="F305" s="28"/>
      <c r="G305" s="28"/>
      <c r="H305" s="28"/>
      <c r="I305" s="29"/>
      <c r="J305" s="29"/>
      <c r="K305" s="29"/>
      <c r="L305" s="29"/>
      <c r="M305" s="29"/>
      <c r="N305" s="30"/>
      <c r="O305" s="29"/>
      <c r="P305" s="29"/>
      <c r="Q305" s="31"/>
      <c r="R305" s="31"/>
      <c r="S305" s="31"/>
    </row>
    <row r="306" spans="1:19" ht="20.5">
      <c r="A306" s="26"/>
      <c r="B306" s="27"/>
      <c r="C306" s="28"/>
      <c r="D306" s="28"/>
      <c r="E306" s="28"/>
      <c r="F306" s="28"/>
      <c r="G306" s="28"/>
      <c r="H306" s="28"/>
      <c r="I306" s="29"/>
      <c r="J306" s="29"/>
      <c r="K306" s="29"/>
      <c r="L306" s="29"/>
      <c r="M306" s="29"/>
      <c r="N306" s="30"/>
      <c r="O306" s="29"/>
      <c r="P306" s="29"/>
      <c r="Q306" s="31"/>
      <c r="R306" s="31"/>
      <c r="S306" s="31"/>
    </row>
    <row r="307" spans="1:19" ht="20.5">
      <c r="A307" s="26"/>
      <c r="B307" s="27"/>
      <c r="C307" s="28"/>
      <c r="D307" s="28"/>
      <c r="E307" s="28"/>
      <c r="F307" s="28"/>
      <c r="G307" s="28"/>
      <c r="H307" s="28"/>
      <c r="I307" s="29"/>
      <c r="J307" s="29"/>
      <c r="K307" s="29"/>
      <c r="L307" s="29"/>
      <c r="M307" s="29"/>
      <c r="N307" s="30"/>
      <c r="O307" s="29"/>
      <c r="P307" s="29"/>
      <c r="Q307" s="31"/>
      <c r="R307" s="31"/>
      <c r="S307" s="31"/>
    </row>
    <row r="308" spans="1:19" ht="20.5">
      <c r="A308" s="26"/>
      <c r="B308" s="27"/>
      <c r="C308" s="28"/>
      <c r="D308" s="28"/>
      <c r="E308" s="28"/>
      <c r="F308" s="28"/>
      <c r="G308" s="28"/>
      <c r="H308" s="28"/>
      <c r="I308" s="29"/>
      <c r="J308" s="29"/>
      <c r="K308" s="29"/>
      <c r="L308" s="29"/>
      <c r="M308" s="29"/>
      <c r="N308" s="30"/>
      <c r="O308" s="29"/>
      <c r="P308" s="29"/>
      <c r="Q308" s="31"/>
      <c r="R308" s="31"/>
      <c r="S308" s="31"/>
    </row>
    <row r="309" spans="1:19" ht="20.5">
      <c r="A309" s="26"/>
      <c r="B309" s="27"/>
      <c r="C309" s="28"/>
      <c r="D309" s="28"/>
      <c r="E309" s="28"/>
      <c r="F309" s="28"/>
      <c r="G309" s="28"/>
      <c r="H309" s="28"/>
      <c r="I309" s="29"/>
      <c r="J309" s="29"/>
      <c r="K309" s="29"/>
      <c r="L309" s="29"/>
      <c r="M309" s="29"/>
      <c r="N309" s="30"/>
      <c r="O309" s="29"/>
      <c r="P309" s="29"/>
      <c r="Q309" s="31"/>
      <c r="R309" s="31"/>
      <c r="S309" s="31"/>
    </row>
    <row r="310" spans="1:19" ht="20.5">
      <c r="A310" s="26"/>
      <c r="B310" s="27"/>
      <c r="C310" s="28"/>
      <c r="D310" s="28"/>
      <c r="E310" s="28"/>
      <c r="F310" s="28"/>
      <c r="G310" s="28"/>
      <c r="H310" s="28"/>
      <c r="I310" s="29"/>
      <c r="J310" s="29"/>
      <c r="K310" s="29"/>
      <c r="L310" s="29"/>
      <c r="M310" s="29"/>
      <c r="N310" s="30"/>
      <c r="O310" s="29"/>
      <c r="P310" s="29"/>
      <c r="Q310" s="31"/>
      <c r="R310" s="31"/>
      <c r="S310" s="31"/>
    </row>
    <row r="311" spans="1:19" ht="20.5">
      <c r="A311" s="26"/>
      <c r="B311" s="27"/>
      <c r="C311" s="28"/>
      <c r="D311" s="28"/>
      <c r="E311" s="28"/>
      <c r="F311" s="28"/>
      <c r="G311" s="28"/>
      <c r="H311" s="28"/>
      <c r="I311" s="29"/>
      <c r="J311" s="29"/>
      <c r="K311" s="29"/>
      <c r="L311" s="29"/>
      <c r="M311" s="29"/>
      <c r="N311" s="30"/>
      <c r="O311" s="29"/>
      <c r="P311" s="29"/>
      <c r="Q311" s="31"/>
      <c r="R311" s="31"/>
      <c r="S311" s="31"/>
    </row>
    <row r="312" spans="1:19" ht="20.5">
      <c r="A312" s="26"/>
      <c r="B312" s="27"/>
      <c r="C312" s="28"/>
      <c r="D312" s="28"/>
      <c r="E312" s="28"/>
      <c r="F312" s="28"/>
      <c r="G312" s="28"/>
      <c r="H312" s="28"/>
      <c r="I312" s="29"/>
      <c r="J312" s="29"/>
      <c r="K312" s="29"/>
      <c r="L312" s="29"/>
      <c r="M312" s="29"/>
      <c r="N312" s="30"/>
      <c r="O312" s="29"/>
      <c r="P312" s="29"/>
      <c r="Q312" s="31"/>
      <c r="R312" s="31"/>
      <c r="S312" s="31"/>
    </row>
    <row r="313" spans="1:19" ht="20.5">
      <c r="A313" s="26"/>
      <c r="B313" s="27"/>
      <c r="C313" s="28"/>
      <c r="D313" s="28"/>
      <c r="E313" s="28"/>
      <c r="F313" s="28"/>
      <c r="G313" s="28"/>
      <c r="H313" s="28"/>
      <c r="I313" s="29"/>
      <c r="J313" s="29"/>
      <c r="K313" s="29"/>
      <c r="L313" s="29"/>
      <c r="M313" s="29"/>
      <c r="N313" s="30"/>
      <c r="O313" s="29"/>
      <c r="P313" s="29"/>
      <c r="Q313" s="31"/>
      <c r="R313" s="31"/>
      <c r="S313" s="31"/>
    </row>
    <row r="314" spans="1:19" ht="20.5">
      <c r="A314" s="26"/>
      <c r="B314" s="27"/>
      <c r="C314" s="28"/>
      <c r="D314" s="28"/>
      <c r="E314" s="28"/>
      <c r="F314" s="28"/>
      <c r="G314" s="28"/>
      <c r="H314" s="28"/>
      <c r="I314" s="29"/>
      <c r="J314" s="29"/>
      <c r="K314" s="29"/>
      <c r="L314" s="29"/>
      <c r="M314" s="29"/>
      <c r="N314" s="30"/>
      <c r="O314" s="29"/>
      <c r="P314" s="29"/>
      <c r="Q314" s="31"/>
      <c r="R314" s="31"/>
      <c r="S314" s="31"/>
    </row>
    <row r="315" spans="1:19" ht="20.5">
      <c r="A315" s="26"/>
      <c r="B315" s="27"/>
      <c r="C315" s="28"/>
      <c r="D315" s="28"/>
      <c r="E315" s="28"/>
      <c r="F315" s="28"/>
      <c r="G315" s="28"/>
      <c r="H315" s="28"/>
      <c r="I315" s="29"/>
      <c r="J315" s="29"/>
      <c r="K315" s="29"/>
      <c r="L315" s="29"/>
      <c r="M315" s="29"/>
      <c r="N315" s="30"/>
      <c r="O315" s="29"/>
      <c r="P315" s="29"/>
      <c r="Q315" s="31"/>
      <c r="R315" s="31"/>
      <c r="S315" s="31"/>
    </row>
    <row r="316" spans="1:19" ht="20.5">
      <c r="A316" s="26"/>
      <c r="B316" s="27"/>
      <c r="C316" s="28"/>
      <c r="D316" s="28"/>
      <c r="E316" s="28"/>
      <c r="F316" s="28"/>
      <c r="G316" s="28"/>
      <c r="H316" s="28"/>
      <c r="I316" s="29"/>
      <c r="J316" s="29"/>
      <c r="K316" s="29"/>
      <c r="L316" s="29"/>
      <c r="M316" s="29"/>
      <c r="N316" s="30"/>
      <c r="O316" s="29"/>
      <c r="P316" s="29"/>
      <c r="Q316" s="31"/>
      <c r="R316" s="31"/>
      <c r="S316" s="31"/>
    </row>
    <row r="317" spans="1:19" ht="20.5">
      <c r="A317" s="26"/>
      <c r="B317" s="27"/>
      <c r="C317" s="28"/>
      <c r="D317" s="28"/>
      <c r="E317" s="28"/>
      <c r="F317" s="28"/>
      <c r="G317" s="28"/>
      <c r="H317" s="28"/>
      <c r="I317" s="29"/>
      <c r="J317" s="29"/>
      <c r="K317" s="29"/>
      <c r="L317" s="29"/>
      <c r="M317" s="29"/>
      <c r="N317" s="30"/>
      <c r="O317" s="29"/>
      <c r="P317" s="29"/>
      <c r="Q317" s="31"/>
      <c r="R317" s="31"/>
      <c r="S317" s="31"/>
    </row>
    <row r="318" spans="1:19" ht="20.5">
      <c r="A318" s="26"/>
      <c r="B318" s="27"/>
      <c r="C318" s="28"/>
      <c r="D318" s="28"/>
      <c r="E318" s="28"/>
      <c r="F318" s="28"/>
      <c r="G318" s="28"/>
      <c r="H318" s="28"/>
      <c r="I318" s="29"/>
      <c r="J318" s="29"/>
      <c r="K318" s="29"/>
      <c r="L318" s="29"/>
      <c r="M318" s="29"/>
      <c r="N318" s="30"/>
      <c r="O318" s="29"/>
      <c r="P318" s="29"/>
      <c r="Q318" s="31"/>
      <c r="R318" s="31"/>
      <c r="S318" s="31"/>
    </row>
    <row r="319" spans="1:19" ht="20.5">
      <c r="A319" s="26"/>
      <c r="B319" s="27"/>
      <c r="C319" s="28"/>
      <c r="D319" s="28"/>
      <c r="E319" s="28"/>
      <c r="F319" s="28"/>
      <c r="G319" s="28"/>
      <c r="H319" s="28"/>
      <c r="I319" s="29"/>
      <c r="J319" s="29"/>
      <c r="K319" s="29"/>
      <c r="L319" s="29"/>
      <c r="M319" s="29"/>
      <c r="N319" s="30"/>
      <c r="O319" s="29"/>
      <c r="P319" s="29"/>
      <c r="Q319" s="31"/>
      <c r="R319" s="31"/>
      <c r="S319" s="31"/>
    </row>
    <row r="320" spans="1:19" ht="20.5">
      <c r="A320" s="26"/>
      <c r="B320" s="27"/>
      <c r="C320" s="28"/>
      <c r="D320" s="28"/>
      <c r="E320" s="28"/>
      <c r="F320" s="28"/>
      <c r="G320" s="28"/>
      <c r="H320" s="28"/>
      <c r="I320" s="29"/>
      <c r="J320" s="29"/>
      <c r="K320" s="29"/>
      <c r="L320" s="29"/>
      <c r="M320" s="29"/>
      <c r="N320" s="30"/>
      <c r="O320" s="29"/>
      <c r="P320" s="29"/>
      <c r="Q320" s="31"/>
      <c r="R320" s="31"/>
      <c r="S320" s="31"/>
    </row>
    <row r="321" spans="1:19" ht="20.5">
      <c r="A321" s="26"/>
      <c r="B321" s="27"/>
      <c r="C321" s="28"/>
      <c r="D321" s="28"/>
      <c r="E321" s="28"/>
      <c r="F321" s="28"/>
      <c r="G321" s="28"/>
      <c r="H321" s="28"/>
      <c r="I321" s="29"/>
      <c r="J321" s="29"/>
      <c r="K321" s="29"/>
      <c r="L321" s="29"/>
      <c r="M321" s="29"/>
      <c r="N321" s="30"/>
      <c r="O321" s="29"/>
      <c r="P321" s="29"/>
      <c r="Q321" s="31"/>
      <c r="R321" s="31"/>
      <c r="S321" s="31"/>
    </row>
    <row r="322" spans="1:19" ht="20.5">
      <c r="A322" s="26"/>
      <c r="B322" s="27"/>
      <c r="C322" s="28"/>
      <c r="D322" s="28"/>
      <c r="E322" s="28"/>
      <c r="F322" s="28"/>
      <c r="G322" s="28"/>
      <c r="H322" s="28"/>
      <c r="I322" s="29"/>
      <c r="J322" s="29"/>
      <c r="K322" s="29"/>
      <c r="L322" s="29"/>
      <c r="M322" s="29"/>
      <c r="N322" s="30"/>
      <c r="O322" s="29"/>
      <c r="P322" s="29"/>
      <c r="Q322" s="31"/>
      <c r="R322" s="31"/>
      <c r="S322" s="31"/>
    </row>
    <row r="323" spans="1:19" ht="20.5">
      <c r="A323" s="26"/>
      <c r="B323" s="27"/>
      <c r="C323" s="28"/>
      <c r="D323" s="28"/>
      <c r="E323" s="28"/>
      <c r="F323" s="28"/>
      <c r="G323" s="28"/>
      <c r="H323" s="28"/>
      <c r="I323" s="29"/>
      <c r="J323" s="29"/>
      <c r="K323" s="29"/>
      <c r="L323" s="29"/>
      <c r="M323" s="29"/>
      <c r="N323" s="30"/>
      <c r="O323" s="29"/>
      <c r="P323" s="29"/>
      <c r="Q323" s="31"/>
      <c r="R323" s="31"/>
      <c r="S323" s="31"/>
    </row>
    <row r="324" spans="1:19" ht="20.5">
      <c r="A324" s="26"/>
      <c r="B324" s="27"/>
      <c r="C324" s="28"/>
      <c r="D324" s="28"/>
      <c r="E324" s="28"/>
      <c r="F324" s="28"/>
      <c r="G324" s="28"/>
      <c r="H324" s="28"/>
      <c r="I324" s="29"/>
      <c r="J324" s="29"/>
      <c r="K324" s="29"/>
      <c r="L324" s="29"/>
      <c r="M324" s="29"/>
      <c r="N324" s="30"/>
      <c r="O324" s="29"/>
      <c r="P324" s="29"/>
      <c r="Q324" s="31"/>
      <c r="R324" s="31"/>
      <c r="S324" s="31"/>
    </row>
    <row r="325" spans="1:19" ht="20.5">
      <c r="A325" s="26"/>
      <c r="B325" s="27"/>
      <c r="C325" s="28"/>
      <c r="D325" s="28"/>
      <c r="E325" s="28"/>
      <c r="F325" s="28"/>
      <c r="G325" s="28"/>
      <c r="H325" s="28"/>
      <c r="I325" s="29"/>
      <c r="J325" s="29"/>
      <c r="K325" s="29"/>
      <c r="L325" s="29"/>
      <c r="M325" s="29"/>
      <c r="N325" s="30"/>
      <c r="O325" s="29"/>
      <c r="P325" s="29"/>
      <c r="Q325" s="31"/>
      <c r="R325" s="31"/>
      <c r="S325" s="31"/>
    </row>
    <row r="326" spans="1:19" ht="20.5">
      <c r="A326" s="26"/>
      <c r="B326" s="27"/>
      <c r="C326" s="28"/>
      <c r="D326" s="28"/>
      <c r="E326" s="28"/>
      <c r="F326" s="28"/>
      <c r="G326" s="28"/>
      <c r="H326" s="28"/>
      <c r="I326" s="29"/>
      <c r="J326" s="29"/>
      <c r="K326" s="29"/>
      <c r="L326" s="29"/>
      <c r="M326" s="29"/>
      <c r="N326" s="30"/>
      <c r="O326" s="29"/>
      <c r="P326" s="29"/>
      <c r="Q326" s="31"/>
      <c r="R326" s="31"/>
      <c r="S326" s="31"/>
    </row>
    <row r="327" spans="1:19" ht="20.5">
      <c r="A327" s="26"/>
      <c r="B327" s="27"/>
      <c r="C327" s="28"/>
      <c r="D327" s="28"/>
      <c r="E327" s="28"/>
      <c r="F327" s="28"/>
      <c r="G327" s="28"/>
      <c r="H327" s="28"/>
      <c r="I327" s="29"/>
      <c r="J327" s="29"/>
      <c r="K327" s="29"/>
      <c r="L327" s="29"/>
      <c r="M327" s="29"/>
      <c r="N327" s="30"/>
      <c r="O327" s="29"/>
      <c r="P327" s="29"/>
      <c r="Q327" s="31"/>
      <c r="R327" s="31"/>
      <c r="S327" s="31"/>
    </row>
    <row r="328" spans="1:19" ht="20.5">
      <c r="A328" s="26"/>
      <c r="B328" s="27"/>
      <c r="C328" s="28"/>
      <c r="D328" s="28"/>
      <c r="E328" s="28"/>
      <c r="F328" s="28"/>
      <c r="G328" s="28"/>
      <c r="H328" s="28"/>
      <c r="I328" s="29"/>
      <c r="J328" s="29"/>
      <c r="K328" s="29"/>
      <c r="L328" s="29"/>
      <c r="M328" s="29"/>
      <c r="N328" s="30"/>
      <c r="O328" s="29"/>
      <c r="P328" s="29"/>
      <c r="Q328" s="31"/>
      <c r="R328" s="31"/>
      <c r="S328" s="31"/>
    </row>
    <row r="329" spans="1:19" ht="20.5">
      <c r="A329" s="26"/>
      <c r="B329" s="27"/>
      <c r="C329" s="28"/>
      <c r="D329" s="28"/>
      <c r="E329" s="28"/>
      <c r="F329" s="28"/>
      <c r="G329" s="28"/>
      <c r="H329" s="28"/>
      <c r="I329" s="29"/>
      <c r="J329" s="29"/>
      <c r="K329" s="29"/>
      <c r="L329" s="29"/>
      <c r="M329" s="29"/>
      <c r="N329" s="30"/>
      <c r="O329" s="29"/>
      <c r="P329" s="29"/>
      <c r="Q329" s="31"/>
      <c r="R329" s="31"/>
      <c r="S329" s="31"/>
    </row>
    <row r="330" spans="1:19" ht="20.5">
      <c r="A330" s="26"/>
      <c r="B330" s="27"/>
      <c r="C330" s="28"/>
      <c r="D330" s="28"/>
      <c r="E330" s="28"/>
      <c r="F330" s="28"/>
      <c r="G330" s="28"/>
      <c r="H330" s="28"/>
      <c r="I330" s="29"/>
      <c r="J330" s="29"/>
      <c r="K330" s="29"/>
      <c r="L330" s="29"/>
      <c r="M330" s="29"/>
      <c r="N330" s="30"/>
      <c r="O330" s="29"/>
      <c r="P330" s="29"/>
      <c r="Q330" s="31"/>
      <c r="R330" s="31"/>
      <c r="S330" s="31"/>
    </row>
    <row r="331" spans="1:19" ht="20.5">
      <c r="A331" s="26"/>
      <c r="B331" s="27"/>
      <c r="C331" s="28"/>
      <c r="D331" s="28"/>
      <c r="E331" s="28"/>
      <c r="F331" s="28"/>
      <c r="G331" s="28"/>
      <c r="H331" s="28"/>
      <c r="I331" s="29"/>
      <c r="J331" s="29"/>
      <c r="K331" s="29"/>
      <c r="L331" s="29"/>
      <c r="M331" s="29"/>
      <c r="N331" s="30"/>
      <c r="O331" s="29"/>
      <c r="P331" s="29"/>
      <c r="Q331" s="31"/>
      <c r="R331" s="31"/>
      <c r="S331" s="31"/>
    </row>
    <row r="332" spans="1:19" ht="20.5">
      <c r="A332" s="26"/>
      <c r="B332" s="27"/>
      <c r="C332" s="28"/>
      <c r="D332" s="28"/>
      <c r="E332" s="28"/>
      <c r="F332" s="28"/>
      <c r="G332" s="28"/>
      <c r="H332" s="28"/>
      <c r="I332" s="29"/>
      <c r="J332" s="29"/>
      <c r="K332" s="29"/>
      <c r="L332" s="29"/>
      <c r="M332" s="29"/>
      <c r="N332" s="30"/>
      <c r="O332" s="29"/>
      <c r="P332" s="29"/>
      <c r="Q332" s="31"/>
      <c r="R332" s="31"/>
      <c r="S332" s="31"/>
    </row>
    <row r="333" spans="1:19" ht="20.5">
      <c r="A333" s="26"/>
      <c r="B333" s="27"/>
      <c r="C333" s="28"/>
      <c r="D333" s="28"/>
      <c r="E333" s="28"/>
      <c r="F333" s="28"/>
      <c r="G333" s="28"/>
      <c r="H333" s="28"/>
      <c r="I333" s="29"/>
      <c r="J333" s="29"/>
      <c r="K333" s="29"/>
      <c r="L333" s="29"/>
      <c r="M333" s="29"/>
      <c r="N333" s="30"/>
      <c r="O333" s="29"/>
      <c r="P333" s="29"/>
      <c r="Q333" s="31"/>
      <c r="R333" s="31"/>
      <c r="S333" s="31"/>
    </row>
    <row r="334" spans="1:19" ht="20.5">
      <c r="A334" s="26"/>
      <c r="B334" s="27"/>
      <c r="C334" s="28"/>
      <c r="D334" s="28"/>
      <c r="E334" s="28"/>
      <c r="F334" s="28"/>
      <c r="G334" s="28"/>
      <c r="H334" s="28"/>
      <c r="I334" s="29"/>
      <c r="J334" s="29"/>
      <c r="K334" s="29"/>
      <c r="L334" s="29"/>
      <c r="M334" s="29"/>
      <c r="N334" s="30"/>
      <c r="O334" s="29"/>
      <c r="P334" s="29"/>
      <c r="Q334" s="31"/>
      <c r="R334" s="31"/>
      <c r="S334" s="31"/>
    </row>
    <row r="335" spans="1:19" ht="20.5">
      <c r="A335" s="26"/>
      <c r="B335" s="27"/>
      <c r="C335" s="28"/>
      <c r="D335" s="28"/>
      <c r="E335" s="28"/>
      <c r="F335" s="28"/>
      <c r="G335" s="28"/>
      <c r="H335" s="28"/>
      <c r="I335" s="29"/>
      <c r="J335" s="29"/>
      <c r="K335" s="29"/>
      <c r="L335" s="29"/>
      <c r="M335" s="29"/>
      <c r="N335" s="30"/>
      <c r="O335" s="29"/>
      <c r="P335" s="29"/>
      <c r="Q335" s="31"/>
      <c r="R335" s="31"/>
      <c r="S335" s="31"/>
    </row>
    <row r="336" spans="1:19" ht="20.5">
      <c r="A336" s="26"/>
      <c r="B336" s="27"/>
      <c r="C336" s="28"/>
      <c r="D336" s="28"/>
      <c r="E336" s="28"/>
      <c r="F336" s="28"/>
      <c r="G336" s="28"/>
      <c r="H336" s="28"/>
      <c r="I336" s="29"/>
      <c r="J336" s="29"/>
      <c r="K336" s="29"/>
      <c r="L336" s="29"/>
      <c r="M336" s="29"/>
      <c r="N336" s="30"/>
      <c r="O336" s="29"/>
      <c r="P336" s="29"/>
      <c r="Q336" s="31"/>
      <c r="R336" s="31"/>
      <c r="S336" s="31"/>
    </row>
    <row r="337" spans="1:19" ht="20.5">
      <c r="A337" s="26"/>
      <c r="B337" s="27"/>
      <c r="C337" s="28"/>
      <c r="D337" s="28"/>
      <c r="E337" s="28"/>
      <c r="F337" s="28"/>
      <c r="G337" s="28"/>
      <c r="H337" s="28"/>
      <c r="I337" s="29"/>
      <c r="J337" s="29"/>
      <c r="K337" s="29"/>
      <c r="L337" s="29"/>
      <c r="M337" s="29"/>
      <c r="N337" s="30"/>
      <c r="O337" s="29"/>
      <c r="P337" s="29"/>
      <c r="Q337" s="31"/>
      <c r="R337" s="31"/>
      <c r="S337" s="31"/>
    </row>
    <row r="338" spans="1:19" ht="20.5">
      <c r="A338" s="26"/>
      <c r="B338" s="27"/>
      <c r="C338" s="28"/>
      <c r="D338" s="28"/>
      <c r="E338" s="28"/>
      <c r="F338" s="28"/>
      <c r="G338" s="28"/>
      <c r="H338" s="28"/>
      <c r="I338" s="29"/>
      <c r="J338" s="29"/>
      <c r="K338" s="29"/>
      <c r="L338" s="29"/>
      <c r="M338" s="29"/>
      <c r="N338" s="30"/>
      <c r="O338" s="29"/>
      <c r="P338" s="29"/>
      <c r="Q338" s="31"/>
      <c r="R338" s="31"/>
      <c r="S338" s="31"/>
    </row>
    <row r="339" spans="1:19" ht="20.5">
      <c r="A339" s="26"/>
      <c r="B339" s="27"/>
      <c r="C339" s="28"/>
      <c r="D339" s="28"/>
      <c r="E339" s="28"/>
      <c r="F339" s="28"/>
      <c r="G339" s="28"/>
      <c r="H339" s="28"/>
      <c r="I339" s="29"/>
      <c r="J339" s="29"/>
      <c r="K339" s="29"/>
      <c r="L339" s="29"/>
      <c r="M339" s="29"/>
      <c r="N339" s="30"/>
      <c r="O339" s="29"/>
      <c r="P339" s="29"/>
      <c r="Q339" s="31"/>
      <c r="R339" s="31"/>
      <c r="S339" s="31"/>
    </row>
    <row r="340" spans="1:19" ht="20.5">
      <c r="A340" s="26"/>
      <c r="B340" s="27"/>
      <c r="C340" s="28"/>
      <c r="D340" s="28"/>
      <c r="E340" s="28"/>
      <c r="F340" s="28"/>
      <c r="G340" s="28"/>
      <c r="H340" s="28"/>
      <c r="I340" s="29"/>
      <c r="J340" s="29"/>
      <c r="K340" s="29"/>
      <c r="L340" s="29"/>
      <c r="M340" s="29"/>
      <c r="N340" s="30"/>
      <c r="O340" s="29"/>
      <c r="P340" s="29"/>
      <c r="Q340" s="31"/>
      <c r="R340" s="31"/>
      <c r="S340" s="31"/>
    </row>
    <row r="341" spans="1:19" ht="20.5">
      <c r="A341" s="26"/>
      <c r="B341" s="27"/>
      <c r="C341" s="28"/>
      <c r="D341" s="28"/>
      <c r="E341" s="28"/>
      <c r="F341" s="28"/>
      <c r="G341" s="28"/>
      <c r="H341" s="28"/>
      <c r="I341" s="29"/>
      <c r="J341" s="29"/>
      <c r="K341" s="29"/>
      <c r="L341" s="29"/>
      <c r="M341" s="29"/>
      <c r="N341" s="30"/>
      <c r="O341" s="29"/>
      <c r="P341" s="29"/>
      <c r="Q341" s="31"/>
      <c r="R341" s="31"/>
      <c r="S341" s="31"/>
    </row>
    <row r="342" spans="1:19" ht="20.5">
      <c r="A342" s="26"/>
      <c r="B342" s="27"/>
      <c r="C342" s="28"/>
      <c r="D342" s="28"/>
      <c r="E342" s="28"/>
      <c r="F342" s="28"/>
      <c r="G342" s="28"/>
      <c r="H342" s="28"/>
      <c r="I342" s="29"/>
      <c r="J342" s="29"/>
      <c r="K342" s="29"/>
      <c r="L342" s="29"/>
      <c r="M342" s="29"/>
      <c r="N342" s="30"/>
      <c r="O342" s="29"/>
      <c r="P342" s="29"/>
      <c r="Q342" s="31"/>
      <c r="R342" s="31"/>
      <c r="S342" s="31"/>
    </row>
    <row r="343" spans="1:19" ht="20.5">
      <c r="A343" s="26"/>
      <c r="B343" s="27"/>
      <c r="C343" s="28"/>
      <c r="D343" s="28"/>
      <c r="E343" s="28"/>
      <c r="F343" s="28"/>
      <c r="G343" s="28"/>
      <c r="H343" s="28"/>
      <c r="I343" s="29"/>
      <c r="J343" s="29"/>
      <c r="K343" s="29"/>
      <c r="L343" s="29"/>
      <c r="M343" s="29"/>
      <c r="N343" s="30"/>
      <c r="O343" s="29"/>
      <c r="P343" s="29"/>
      <c r="Q343" s="31"/>
      <c r="R343" s="31"/>
      <c r="S343" s="31"/>
    </row>
    <row r="344" spans="1:19" ht="20.5">
      <c r="A344" s="26"/>
      <c r="B344" s="27"/>
      <c r="C344" s="28"/>
      <c r="D344" s="28"/>
      <c r="E344" s="28"/>
      <c r="F344" s="28"/>
      <c r="G344" s="28"/>
      <c r="H344" s="28"/>
      <c r="I344" s="29"/>
      <c r="J344" s="29"/>
      <c r="K344" s="29"/>
      <c r="L344" s="29"/>
      <c r="M344" s="29"/>
      <c r="N344" s="30"/>
      <c r="O344" s="29"/>
      <c r="P344" s="29"/>
      <c r="Q344" s="31"/>
      <c r="R344" s="31"/>
      <c r="S344" s="31"/>
    </row>
    <row r="345" spans="1:19" ht="20.5">
      <c r="A345" s="26"/>
      <c r="B345" s="27"/>
      <c r="C345" s="28"/>
      <c r="D345" s="28"/>
      <c r="E345" s="28"/>
      <c r="F345" s="28"/>
      <c r="G345" s="28"/>
      <c r="H345" s="28"/>
      <c r="I345" s="29"/>
      <c r="J345" s="29"/>
      <c r="K345" s="29"/>
      <c r="L345" s="29"/>
      <c r="M345" s="29"/>
      <c r="N345" s="30"/>
      <c r="O345" s="29"/>
      <c r="P345" s="29"/>
      <c r="Q345" s="31"/>
      <c r="R345" s="31"/>
      <c r="S345" s="31"/>
    </row>
    <row r="346" spans="1:19" ht="20.5">
      <c r="A346" s="26"/>
      <c r="B346" s="27"/>
      <c r="C346" s="28"/>
      <c r="D346" s="28"/>
      <c r="E346" s="28"/>
      <c r="F346" s="28"/>
      <c r="G346" s="28"/>
      <c r="H346" s="28"/>
      <c r="I346" s="29"/>
      <c r="J346" s="29"/>
      <c r="K346" s="29"/>
      <c r="L346" s="29"/>
      <c r="M346" s="29"/>
      <c r="N346" s="30"/>
      <c r="O346" s="29"/>
      <c r="P346" s="29"/>
      <c r="Q346" s="31"/>
      <c r="R346" s="31"/>
      <c r="S346" s="31"/>
    </row>
    <row r="347" spans="1:19" ht="20.5">
      <c r="A347" s="26"/>
      <c r="B347" s="27"/>
      <c r="C347" s="28"/>
      <c r="D347" s="28"/>
      <c r="E347" s="28"/>
      <c r="F347" s="28"/>
      <c r="G347" s="28"/>
      <c r="H347" s="28"/>
      <c r="I347" s="29"/>
      <c r="J347" s="29"/>
      <c r="K347" s="29"/>
      <c r="L347" s="29"/>
      <c r="M347" s="29"/>
      <c r="N347" s="30"/>
      <c r="O347" s="29"/>
      <c r="P347" s="29"/>
      <c r="Q347" s="31"/>
      <c r="R347" s="31"/>
      <c r="S347" s="31"/>
    </row>
    <row r="348" spans="1:19" ht="20.5">
      <c r="A348" s="26"/>
      <c r="B348" s="27"/>
      <c r="C348" s="28"/>
      <c r="D348" s="28"/>
      <c r="E348" s="28"/>
      <c r="F348" s="28"/>
      <c r="G348" s="28"/>
      <c r="H348" s="28"/>
      <c r="I348" s="29"/>
      <c r="J348" s="29"/>
      <c r="K348" s="29"/>
      <c r="L348" s="29"/>
      <c r="M348" s="29"/>
      <c r="N348" s="30"/>
      <c r="O348" s="29"/>
      <c r="P348" s="29"/>
      <c r="Q348" s="31"/>
      <c r="R348" s="31"/>
      <c r="S348" s="31"/>
    </row>
    <row r="349" spans="1:19" ht="20.5">
      <c r="A349" s="26"/>
      <c r="B349" s="27"/>
      <c r="C349" s="28"/>
      <c r="D349" s="28"/>
      <c r="E349" s="28"/>
      <c r="F349" s="28"/>
      <c r="G349" s="28"/>
      <c r="H349" s="28"/>
      <c r="I349" s="29"/>
      <c r="J349" s="29"/>
      <c r="K349" s="29"/>
      <c r="L349" s="29"/>
      <c r="M349" s="29"/>
      <c r="N349" s="30"/>
      <c r="O349" s="29"/>
      <c r="P349" s="29"/>
      <c r="Q349" s="31"/>
      <c r="R349" s="31"/>
      <c r="S349" s="31"/>
    </row>
    <row r="350" spans="1:19" ht="20.5">
      <c r="A350" s="26"/>
      <c r="B350" s="27"/>
      <c r="C350" s="28"/>
      <c r="D350" s="28"/>
      <c r="E350" s="28"/>
      <c r="F350" s="28"/>
      <c r="G350" s="28"/>
      <c r="H350" s="28"/>
      <c r="I350" s="29"/>
      <c r="J350" s="29"/>
      <c r="K350" s="29"/>
      <c r="L350" s="29"/>
      <c r="M350" s="29"/>
      <c r="N350" s="30"/>
      <c r="O350" s="29"/>
      <c r="P350" s="29"/>
      <c r="Q350" s="31"/>
      <c r="R350" s="31"/>
      <c r="S350" s="31"/>
    </row>
    <row r="351" spans="1:19" ht="20.5">
      <c r="A351" s="26"/>
      <c r="B351" s="27"/>
      <c r="C351" s="28"/>
      <c r="D351" s="28"/>
      <c r="E351" s="28"/>
      <c r="F351" s="28"/>
      <c r="G351" s="28"/>
      <c r="H351" s="28"/>
      <c r="I351" s="29"/>
      <c r="J351" s="29"/>
      <c r="K351" s="29"/>
      <c r="L351" s="29"/>
      <c r="M351" s="29"/>
      <c r="N351" s="30"/>
      <c r="O351" s="29"/>
      <c r="P351" s="29"/>
      <c r="Q351" s="31"/>
      <c r="R351" s="31"/>
      <c r="S351" s="31"/>
    </row>
    <row r="352" spans="1:19" ht="20.5">
      <c r="A352" s="26"/>
      <c r="B352" s="27"/>
      <c r="C352" s="28"/>
      <c r="D352" s="28"/>
      <c r="E352" s="28"/>
      <c r="F352" s="28"/>
      <c r="G352" s="28"/>
      <c r="H352" s="28"/>
      <c r="I352" s="29"/>
      <c r="J352" s="29"/>
      <c r="K352" s="29"/>
      <c r="L352" s="29"/>
      <c r="M352" s="29"/>
      <c r="N352" s="30"/>
      <c r="O352" s="29"/>
      <c r="P352" s="29"/>
      <c r="Q352" s="31"/>
      <c r="R352" s="31"/>
      <c r="S352" s="31"/>
    </row>
    <row r="353" spans="1:19" ht="20.5">
      <c r="A353" s="26"/>
      <c r="B353" s="27"/>
      <c r="C353" s="28"/>
      <c r="D353" s="28"/>
      <c r="E353" s="28"/>
      <c r="F353" s="28"/>
      <c r="G353" s="28"/>
      <c r="H353" s="28"/>
      <c r="I353" s="29"/>
      <c r="J353" s="29"/>
      <c r="K353" s="29"/>
      <c r="L353" s="29"/>
      <c r="M353" s="29"/>
      <c r="N353" s="30"/>
      <c r="O353" s="29"/>
      <c r="P353" s="29"/>
      <c r="Q353" s="31"/>
      <c r="R353" s="31"/>
      <c r="S353" s="31"/>
    </row>
    <row r="354" spans="1:19" ht="20.5">
      <c r="A354" s="26"/>
      <c r="B354" s="27"/>
      <c r="C354" s="28"/>
      <c r="D354" s="28"/>
      <c r="E354" s="28"/>
      <c r="F354" s="28"/>
      <c r="G354" s="28"/>
      <c r="H354" s="28"/>
      <c r="I354" s="29"/>
      <c r="J354" s="29"/>
      <c r="K354" s="29"/>
      <c r="L354" s="29"/>
      <c r="M354" s="29"/>
      <c r="N354" s="30"/>
      <c r="O354" s="29"/>
      <c r="P354" s="29"/>
      <c r="Q354" s="31"/>
      <c r="R354" s="31"/>
      <c r="S354" s="31"/>
    </row>
    <row r="355" spans="1:19" ht="20.5">
      <c r="A355" s="26"/>
      <c r="B355" s="27"/>
      <c r="C355" s="28"/>
      <c r="D355" s="28"/>
      <c r="E355" s="28"/>
      <c r="F355" s="28"/>
      <c r="G355" s="28"/>
      <c r="H355" s="28"/>
      <c r="I355" s="29"/>
      <c r="J355" s="29"/>
      <c r="K355" s="29"/>
      <c r="L355" s="29"/>
      <c r="M355" s="29"/>
      <c r="N355" s="30"/>
      <c r="O355" s="29"/>
      <c r="P355" s="29"/>
      <c r="Q355" s="31"/>
      <c r="R355" s="31"/>
      <c r="S355" s="31"/>
    </row>
    <row r="356" spans="1:19" ht="20.5">
      <c r="A356" s="26"/>
      <c r="B356" s="27"/>
      <c r="C356" s="28"/>
      <c r="D356" s="28"/>
      <c r="E356" s="28"/>
      <c r="F356" s="28"/>
      <c r="G356" s="28"/>
      <c r="H356" s="28"/>
      <c r="I356" s="29"/>
      <c r="J356" s="29"/>
      <c r="K356" s="29"/>
      <c r="L356" s="29"/>
      <c r="M356" s="29"/>
      <c r="N356" s="30"/>
      <c r="O356" s="29"/>
      <c r="P356" s="29"/>
      <c r="Q356" s="31"/>
      <c r="R356" s="31"/>
      <c r="S356" s="31"/>
    </row>
    <row r="357" spans="1:19" ht="20.5">
      <c r="A357" s="26"/>
      <c r="B357" s="27"/>
      <c r="C357" s="28"/>
      <c r="D357" s="28"/>
      <c r="E357" s="28"/>
      <c r="F357" s="28"/>
      <c r="G357" s="28"/>
      <c r="H357" s="28"/>
      <c r="I357" s="29"/>
      <c r="J357" s="29"/>
      <c r="K357" s="29"/>
      <c r="L357" s="29"/>
      <c r="M357" s="29"/>
      <c r="N357" s="30"/>
      <c r="O357" s="29"/>
      <c r="P357" s="29"/>
      <c r="Q357" s="31"/>
      <c r="R357" s="31"/>
      <c r="S357" s="31"/>
    </row>
    <row r="358" spans="1:19" ht="20.5">
      <c r="A358" s="26"/>
      <c r="B358" s="27"/>
      <c r="C358" s="28"/>
      <c r="D358" s="28"/>
      <c r="E358" s="28"/>
      <c r="F358" s="28"/>
      <c r="G358" s="28"/>
      <c r="H358" s="28"/>
      <c r="I358" s="29"/>
      <c r="J358" s="29"/>
      <c r="K358" s="29"/>
      <c r="L358" s="29"/>
      <c r="M358" s="29"/>
      <c r="N358" s="30"/>
      <c r="O358" s="29"/>
      <c r="P358" s="29"/>
      <c r="Q358" s="31"/>
      <c r="R358" s="31"/>
      <c r="S358" s="31"/>
    </row>
    <row r="359" spans="1:19" ht="20.5">
      <c r="A359" s="26"/>
      <c r="B359" s="27"/>
      <c r="C359" s="28"/>
      <c r="D359" s="28"/>
      <c r="E359" s="28"/>
      <c r="F359" s="28"/>
      <c r="G359" s="28"/>
      <c r="H359" s="28"/>
      <c r="I359" s="29"/>
      <c r="J359" s="29"/>
      <c r="K359" s="29"/>
      <c r="L359" s="29"/>
      <c r="M359" s="29"/>
      <c r="N359" s="30"/>
      <c r="O359" s="29"/>
      <c r="P359" s="29"/>
      <c r="Q359" s="31"/>
      <c r="R359" s="31"/>
      <c r="S359" s="31"/>
    </row>
    <row r="360" spans="1:19" ht="20.5">
      <c r="A360" s="26"/>
      <c r="B360" s="27"/>
      <c r="C360" s="28"/>
      <c r="D360" s="28"/>
      <c r="E360" s="28"/>
      <c r="F360" s="28"/>
      <c r="G360" s="28"/>
      <c r="H360" s="28"/>
      <c r="I360" s="29"/>
      <c r="J360" s="29"/>
      <c r="K360" s="29"/>
      <c r="L360" s="29"/>
      <c r="M360" s="29"/>
      <c r="N360" s="30"/>
      <c r="O360" s="29"/>
      <c r="P360" s="29"/>
      <c r="Q360" s="31"/>
      <c r="R360" s="31"/>
      <c r="S360" s="31"/>
    </row>
    <row r="361" spans="1:19" ht="20.5">
      <c r="A361" s="26"/>
      <c r="B361" s="27"/>
      <c r="C361" s="28"/>
      <c r="D361" s="28"/>
      <c r="E361" s="28"/>
      <c r="F361" s="28"/>
      <c r="G361" s="28"/>
      <c r="H361" s="28"/>
      <c r="I361" s="29"/>
      <c r="J361" s="29"/>
      <c r="K361" s="29"/>
      <c r="L361" s="29"/>
      <c r="M361" s="29"/>
      <c r="N361" s="30"/>
      <c r="O361" s="29"/>
      <c r="P361" s="29"/>
      <c r="Q361" s="31"/>
      <c r="R361" s="31"/>
      <c r="S361" s="31"/>
    </row>
    <row r="362" spans="1:19" ht="20.5">
      <c r="A362" s="26"/>
      <c r="B362" s="27"/>
      <c r="C362" s="28"/>
      <c r="D362" s="28"/>
      <c r="E362" s="28"/>
      <c r="F362" s="28"/>
      <c r="G362" s="28"/>
      <c r="H362" s="28"/>
      <c r="I362" s="29"/>
      <c r="J362" s="29"/>
      <c r="K362" s="29"/>
      <c r="L362" s="29"/>
      <c r="M362" s="29"/>
      <c r="N362" s="30"/>
      <c r="O362" s="29"/>
      <c r="P362" s="29"/>
      <c r="Q362" s="31"/>
      <c r="R362" s="31"/>
      <c r="S362" s="31"/>
    </row>
    <row r="363" spans="1:19" ht="20.5">
      <c r="A363" s="26"/>
      <c r="B363" s="27"/>
      <c r="C363" s="28"/>
      <c r="D363" s="28"/>
      <c r="E363" s="28"/>
      <c r="F363" s="28"/>
      <c r="G363" s="28"/>
      <c r="H363" s="28"/>
      <c r="I363" s="29"/>
      <c r="J363" s="29"/>
      <c r="K363" s="29"/>
      <c r="L363" s="29"/>
      <c r="M363" s="29"/>
      <c r="N363" s="30"/>
      <c r="O363" s="29"/>
      <c r="P363" s="29"/>
      <c r="Q363" s="31"/>
      <c r="R363" s="31"/>
      <c r="S363" s="31"/>
    </row>
    <row r="364" spans="1:19" ht="20.5">
      <c r="A364" s="26"/>
      <c r="B364" s="27"/>
      <c r="C364" s="28"/>
      <c r="D364" s="28"/>
      <c r="E364" s="28"/>
      <c r="F364" s="28"/>
      <c r="G364" s="28"/>
      <c r="H364" s="28"/>
      <c r="I364" s="29"/>
      <c r="J364" s="29"/>
      <c r="K364" s="29"/>
      <c r="L364" s="29"/>
      <c r="M364" s="29"/>
      <c r="N364" s="30"/>
      <c r="O364" s="29"/>
      <c r="P364" s="29"/>
      <c r="Q364" s="31"/>
      <c r="R364" s="31"/>
      <c r="S364" s="31"/>
    </row>
    <row r="365" spans="1:19" ht="20.5">
      <c r="A365" s="26"/>
      <c r="B365" s="27"/>
      <c r="C365" s="28"/>
      <c r="D365" s="28"/>
      <c r="E365" s="28"/>
      <c r="F365" s="28"/>
      <c r="G365" s="28"/>
      <c r="H365" s="28"/>
      <c r="I365" s="29"/>
      <c r="J365" s="29"/>
      <c r="K365" s="29"/>
      <c r="L365" s="29"/>
      <c r="M365" s="29"/>
      <c r="N365" s="30"/>
      <c r="O365" s="29"/>
      <c r="P365" s="29"/>
      <c r="Q365" s="31"/>
      <c r="R365" s="31"/>
      <c r="S365" s="31"/>
    </row>
    <row r="366" spans="1:19" ht="20.5">
      <c r="A366" s="26"/>
      <c r="B366" s="27"/>
      <c r="C366" s="28"/>
      <c r="D366" s="28"/>
      <c r="E366" s="28"/>
      <c r="F366" s="28"/>
      <c r="G366" s="28"/>
      <c r="H366" s="28"/>
      <c r="I366" s="29"/>
      <c r="J366" s="29"/>
      <c r="K366" s="29"/>
      <c r="L366" s="29"/>
      <c r="M366" s="29"/>
      <c r="N366" s="30"/>
      <c r="O366" s="29"/>
      <c r="P366" s="29"/>
      <c r="Q366" s="31"/>
      <c r="R366" s="31"/>
      <c r="S366" s="31"/>
    </row>
    <row r="367" spans="1:19" ht="20.5">
      <c r="A367" s="26"/>
      <c r="B367" s="27"/>
      <c r="C367" s="28"/>
      <c r="D367" s="28"/>
      <c r="E367" s="28"/>
      <c r="F367" s="28"/>
      <c r="G367" s="28"/>
      <c r="H367" s="28"/>
      <c r="I367" s="29"/>
      <c r="J367" s="29"/>
      <c r="K367" s="29"/>
      <c r="L367" s="29"/>
      <c r="M367" s="29"/>
      <c r="N367" s="30"/>
      <c r="O367" s="29"/>
      <c r="P367" s="29"/>
      <c r="Q367" s="31"/>
      <c r="R367" s="31"/>
      <c r="S367" s="31"/>
    </row>
    <row r="368" spans="1:19" ht="20.5">
      <c r="A368" s="26"/>
      <c r="B368" s="27"/>
      <c r="C368" s="28"/>
      <c r="D368" s="28"/>
      <c r="E368" s="28"/>
      <c r="F368" s="28"/>
      <c r="G368" s="28"/>
      <c r="H368" s="28"/>
      <c r="I368" s="29"/>
      <c r="J368" s="29"/>
      <c r="K368" s="29"/>
      <c r="L368" s="29"/>
      <c r="M368" s="29"/>
      <c r="N368" s="30"/>
      <c r="O368" s="29"/>
      <c r="P368" s="29"/>
      <c r="Q368" s="31"/>
      <c r="R368" s="31"/>
      <c r="S368" s="31"/>
    </row>
    <row r="369" spans="1:19" ht="20.5">
      <c r="A369" s="26"/>
      <c r="B369" s="27"/>
      <c r="C369" s="28"/>
      <c r="D369" s="28"/>
      <c r="E369" s="28"/>
      <c r="F369" s="28"/>
      <c r="G369" s="28"/>
      <c r="H369" s="28"/>
      <c r="I369" s="29"/>
      <c r="J369" s="29"/>
      <c r="K369" s="29"/>
      <c r="L369" s="29"/>
      <c r="M369" s="29"/>
      <c r="N369" s="30"/>
      <c r="O369" s="29"/>
      <c r="P369" s="29"/>
      <c r="Q369" s="31"/>
      <c r="R369" s="31"/>
      <c r="S369" s="31"/>
    </row>
    <row r="370" spans="1:19" ht="20.5">
      <c r="A370" s="26"/>
      <c r="B370" s="27"/>
      <c r="C370" s="28"/>
      <c r="D370" s="28"/>
      <c r="E370" s="28"/>
      <c r="F370" s="28"/>
      <c r="G370" s="28"/>
      <c r="H370" s="28"/>
      <c r="I370" s="29"/>
      <c r="J370" s="29"/>
      <c r="K370" s="29"/>
      <c r="L370" s="29"/>
      <c r="M370" s="29"/>
      <c r="N370" s="30"/>
      <c r="O370" s="29"/>
      <c r="P370" s="29"/>
      <c r="Q370" s="31"/>
      <c r="R370" s="31"/>
      <c r="S370" s="31"/>
    </row>
    <row r="371" spans="1:19" ht="20.5">
      <c r="A371" s="26"/>
      <c r="B371" s="27"/>
      <c r="C371" s="28"/>
      <c r="D371" s="28"/>
      <c r="E371" s="28"/>
      <c r="F371" s="28"/>
      <c r="G371" s="28"/>
      <c r="H371" s="28"/>
      <c r="I371" s="29"/>
      <c r="J371" s="29"/>
      <c r="K371" s="29"/>
      <c r="L371" s="29"/>
      <c r="M371" s="29"/>
      <c r="N371" s="30"/>
      <c r="O371" s="29"/>
      <c r="P371" s="29"/>
      <c r="Q371" s="31"/>
      <c r="R371" s="31"/>
      <c r="S371" s="31"/>
    </row>
    <row r="372" spans="1:19" ht="20.5">
      <c r="A372" s="26"/>
      <c r="B372" s="27"/>
      <c r="C372" s="28"/>
      <c r="D372" s="28"/>
      <c r="E372" s="28"/>
      <c r="F372" s="28"/>
      <c r="G372" s="28"/>
      <c r="H372" s="28"/>
      <c r="I372" s="29"/>
      <c r="J372" s="29"/>
      <c r="K372" s="29"/>
      <c r="L372" s="29"/>
      <c r="M372" s="29"/>
      <c r="N372" s="30"/>
      <c r="O372" s="29"/>
      <c r="P372" s="29"/>
      <c r="Q372" s="31"/>
      <c r="R372" s="31"/>
      <c r="S372" s="31"/>
    </row>
    <row r="373" spans="1:19" ht="20.5">
      <c r="A373" s="26"/>
      <c r="B373" s="27"/>
      <c r="C373" s="28"/>
      <c r="D373" s="28"/>
      <c r="E373" s="28"/>
      <c r="F373" s="28"/>
      <c r="G373" s="28"/>
      <c r="H373" s="28"/>
      <c r="I373" s="29"/>
      <c r="J373" s="29"/>
      <c r="K373" s="29"/>
      <c r="L373" s="29"/>
      <c r="M373" s="29"/>
      <c r="N373" s="30"/>
      <c r="O373" s="29"/>
      <c r="P373" s="29"/>
      <c r="Q373" s="31"/>
      <c r="R373" s="31"/>
      <c r="S373" s="31"/>
    </row>
    <row r="374" spans="1:19" ht="20.5">
      <c r="A374" s="26"/>
      <c r="B374" s="27"/>
      <c r="C374" s="28"/>
      <c r="D374" s="28"/>
      <c r="E374" s="28"/>
      <c r="F374" s="28"/>
      <c r="G374" s="28"/>
      <c r="H374" s="28"/>
      <c r="I374" s="29"/>
      <c r="J374" s="29"/>
      <c r="K374" s="29"/>
      <c r="L374" s="29"/>
      <c r="M374" s="29"/>
      <c r="N374" s="30"/>
      <c r="O374" s="29"/>
      <c r="P374" s="29"/>
      <c r="Q374" s="31"/>
      <c r="R374" s="31"/>
      <c r="S374" s="31"/>
    </row>
    <row r="375" spans="1:19" ht="20.5">
      <c r="A375" s="26"/>
      <c r="B375" s="27"/>
      <c r="C375" s="28"/>
      <c r="D375" s="28"/>
      <c r="E375" s="28"/>
      <c r="F375" s="28"/>
      <c r="G375" s="28"/>
      <c r="H375" s="28"/>
      <c r="I375" s="29"/>
      <c r="J375" s="29"/>
      <c r="K375" s="29"/>
      <c r="L375" s="29"/>
      <c r="M375" s="29"/>
      <c r="N375" s="30"/>
      <c r="O375" s="29"/>
      <c r="P375" s="29"/>
      <c r="Q375" s="31"/>
      <c r="R375" s="31"/>
      <c r="S375" s="31"/>
    </row>
    <row r="376" spans="1:19" ht="20.5">
      <c r="A376" s="26"/>
      <c r="B376" s="27"/>
      <c r="C376" s="28"/>
      <c r="D376" s="28"/>
      <c r="E376" s="28"/>
      <c r="F376" s="28"/>
      <c r="G376" s="28"/>
      <c r="H376" s="28"/>
      <c r="I376" s="29"/>
      <c r="J376" s="29"/>
      <c r="K376" s="29"/>
      <c r="L376" s="29"/>
      <c r="M376" s="29"/>
      <c r="N376" s="30"/>
      <c r="O376" s="29"/>
      <c r="P376" s="29"/>
      <c r="Q376" s="31"/>
      <c r="R376" s="31"/>
      <c r="S376" s="31"/>
    </row>
    <row r="377" spans="1:19" ht="20.5">
      <c r="A377" s="26"/>
      <c r="B377" s="27"/>
      <c r="C377" s="28"/>
      <c r="D377" s="28"/>
      <c r="E377" s="28"/>
      <c r="F377" s="28"/>
      <c r="G377" s="28"/>
      <c r="H377" s="28"/>
      <c r="I377" s="29"/>
      <c r="J377" s="29"/>
      <c r="K377" s="29"/>
      <c r="L377" s="29"/>
      <c r="M377" s="29"/>
      <c r="N377" s="30"/>
      <c r="O377" s="29"/>
      <c r="P377" s="29"/>
      <c r="Q377" s="31"/>
      <c r="R377" s="31"/>
      <c r="S377" s="31"/>
    </row>
    <row r="378" spans="1:19" ht="20.5">
      <c r="A378" s="26"/>
      <c r="B378" s="27"/>
      <c r="C378" s="28"/>
      <c r="D378" s="28"/>
      <c r="E378" s="28"/>
      <c r="F378" s="28"/>
      <c r="G378" s="28"/>
      <c r="H378" s="28"/>
      <c r="I378" s="29"/>
      <c r="J378" s="29"/>
      <c r="K378" s="29"/>
      <c r="L378" s="29"/>
      <c r="M378" s="29"/>
      <c r="N378" s="30"/>
      <c r="O378" s="29"/>
      <c r="P378" s="29"/>
      <c r="Q378" s="31"/>
      <c r="R378" s="31"/>
      <c r="S378" s="31"/>
    </row>
    <row r="379" spans="1:19" ht="20.5">
      <c r="A379" s="26"/>
      <c r="B379" s="27"/>
      <c r="C379" s="28"/>
      <c r="D379" s="28"/>
      <c r="E379" s="28"/>
      <c r="F379" s="28"/>
      <c r="G379" s="28"/>
      <c r="H379" s="28"/>
      <c r="I379" s="29"/>
      <c r="J379" s="29"/>
      <c r="K379" s="29"/>
      <c r="L379" s="29"/>
      <c r="M379" s="29"/>
      <c r="N379" s="30"/>
      <c r="O379" s="29"/>
      <c r="P379" s="29"/>
      <c r="Q379" s="31"/>
      <c r="R379" s="31"/>
      <c r="S379" s="31"/>
    </row>
    <row r="380" spans="1:19" ht="20.5">
      <c r="A380" s="26"/>
      <c r="B380" s="27"/>
      <c r="C380" s="28"/>
      <c r="D380" s="28"/>
      <c r="E380" s="28"/>
      <c r="F380" s="28"/>
      <c r="G380" s="28"/>
      <c r="H380" s="28"/>
      <c r="I380" s="29"/>
      <c r="J380" s="29"/>
      <c r="K380" s="29"/>
      <c r="L380" s="29"/>
      <c r="M380" s="29"/>
      <c r="N380" s="30"/>
      <c r="O380" s="29"/>
      <c r="P380" s="29"/>
      <c r="Q380" s="31"/>
      <c r="R380" s="31"/>
      <c r="S380" s="31"/>
    </row>
    <row r="381" spans="1:19" ht="20.5">
      <c r="A381" s="26"/>
      <c r="B381" s="27"/>
      <c r="C381" s="28"/>
      <c r="D381" s="28"/>
      <c r="E381" s="28"/>
      <c r="F381" s="28"/>
      <c r="G381" s="28"/>
      <c r="H381" s="28"/>
      <c r="I381" s="29"/>
      <c r="J381" s="29"/>
      <c r="K381" s="29"/>
      <c r="L381" s="29"/>
      <c r="M381" s="29"/>
      <c r="N381" s="30"/>
      <c r="O381" s="29"/>
      <c r="P381" s="29"/>
      <c r="Q381" s="31"/>
      <c r="R381" s="31"/>
      <c r="S381" s="31"/>
    </row>
    <row r="382" spans="1:19" ht="20.5">
      <c r="A382" s="26"/>
      <c r="B382" s="27"/>
      <c r="C382" s="28"/>
      <c r="D382" s="28"/>
      <c r="E382" s="28"/>
      <c r="F382" s="28"/>
      <c r="G382" s="28"/>
      <c r="H382" s="28"/>
      <c r="I382" s="29"/>
      <c r="J382" s="29"/>
      <c r="K382" s="29"/>
      <c r="L382" s="29"/>
      <c r="M382" s="29"/>
      <c r="N382" s="30"/>
      <c r="O382" s="29"/>
      <c r="P382" s="29"/>
      <c r="Q382" s="31"/>
      <c r="R382" s="31"/>
      <c r="S382" s="31"/>
    </row>
    <row r="383" spans="1:19" ht="20.5">
      <c r="A383" s="26"/>
      <c r="B383" s="27"/>
      <c r="C383" s="28"/>
      <c r="D383" s="28"/>
      <c r="E383" s="28"/>
      <c r="F383" s="28"/>
      <c r="G383" s="28"/>
      <c r="H383" s="28"/>
      <c r="I383" s="29"/>
      <c r="J383" s="29"/>
      <c r="K383" s="29"/>
      <c r="L383" s="29"/>
      <c r="M383" s="29"/>
      <c r="N383" s="30"/>
      <c r="O383" s="29"/>
      <c r="P383" s="29"/>
      <c r="Q383" s="31"/>
      <c r="R383" s="31"/>
      <c r="S383" s="31"/>
    </row>
    <row r="384" spans="1:19" ht="20.5">
      <c r="A384" s="26"/>
      <c r="B384" s="27"/>
      <c r="C384" s="28"/>
      <c r="D384" s="28"/>
      <c r="E384" s="28"/>
      <c r="F384" s="28"/>
      <c r="G384" s="28"/>
      <c r="H384" s="28"/>
      <c r="I384" s="29"/>
      <c r="J384" s="29"/>
      <c r="K384" s="29"/>
      <c r="L384" s="29"/>
      <c r="M384" s="29"/>
      <c r="N384" s="30"/>
      <c r="O384" s="29"/>
      <c r="P384" s="29"/>
      <c r="Q384" s="31"/>
      <c r="R384" s="31"/>
      <c r="S384" s="31"/>
    </row>
    <row r="385" spans="1:19" ht="20.5">
      <c r="A385" s="26"/>
      <c r="B385" s="27"/>
      <c r="C385" s="28"/>
      <c r="D385" s="28"/>
      <c r="E385" s="28"/>
      <c r="F385" s="28"/>
      <c r="G385" s="28"/>
      <c r="H385" s="28"/>
      <c r="I385" s="29"/>
      <c r="J385" s="29"/>
      <c r="K385" s="29"/>
      <c r="L385" s="29"/>
      <c r="M385" s="29"/>
      <c r="N385" s="30"/>
      <c r="O385" s="29"/>
      <c r="P385" s="29"/>
      <c r="Q385" s="31"/>
      <c r="R385" s="31"/>
      <c r="S385" s="31"/>
    </row>
    <row r="386" spans="1:19" ht="20.5">
      <c r="A386" s="26"/>
      <c r="B386" s="27"/>
      <c r="C386" s="28"/>
      <c r="D386" s="28"/>
      <c r="E386" s="28"/>
      <c r="F386" s="28"/>
      <c r="G386" s="28"/>
      <c r="H386" s="28"/>
      <c r="I386" s="29"/>
      <c r="J386" s="29"/>
      <c r="K386" s="29"/>
      <c r="L386" s="29"/>
      <c r="M386" s="29"/>
      <c r="N386" s="30"/>
      <c r="O386" s="29"/>
      <c r="P386" s="29"/>
      <c r="Q386" s="31"/>
      <c r="R386" s="31"/>
      <c r="S386" s="31"/>
    </row>
    <row r="387" spans="1:19" ht="20.5">
      <c r="A387" s="26"/>
      <c r="B387" s="27"/>
      <c r="C387" s="28"/>
      <c r="D387" s="28"/>
      <c r="E387" s="28"/>
      <c r="F387" s="28"/>
      <c r="G387" s="28"/>
      <c r="H387" s="28"/>
      <c r="I387" s="29"/>
      <c r="J387" s="29"/>
      <c r="K387" s="29"/>
      <c r="L387" s="29"/>
      <c r="M387" s="29"/>
      <c r="N387" s="30"/>
      <c r="O387" s="29"/>
      <c r="P387" s="29"/>
      <c r="Q387" s="31"/>
      <c r="R387" s="31"/>
      <c r="S387" s="31"/>
    </row>
    <row r="388" spans="1:19" ht="20.5">
      <c r="A388" s="26"/>
      <c r="B388" s="27"/>
      <c r="C388" s="28"/>
      <c r="D388" s="28"/>
      <c r="E388" s="28"/>
      <c r="F388" s="28"/>
      <c r="G388" s="28"/>
      <c r="H388" s="28"/>
      <c r="I388" s="29"/>
      <c r="J388" s="29"/>
      <c r="K388" s="29"/>
      <c r="L388" s="29"/>
      <c r="M388" s="29"/>
      <c r="N388" s="30"/>
      <c r="O388" s="29"/>
      <c r="P388" s="29"/>
      <c r="Q388" s="31"/>
      <c r="R388" s="31"/>
      <c r="S388" s="31"/>
    </row>
    <row r="389" spans="1:19" ht="20.5">
      <c r="A389" s="26"/>
      <c r="B389" s="27"/>
      <c r="C389" s="28"/>
      <c r="D389" s="28"/>
      <c r="E389" s="28"/>
      <c r="F389" s="28"/>
      <c r="G389" s="28"/>
      <c r="H389" s="28"/>
      <c r="I389" s="29"/>
      <c r="J389" s="29"/>
      <c r="K389" s="29"/>
      <c r="L389" s="29"/>
      <c r="M389" s="29"/>
      <c r="N389" s="30"/>
      <c r="O389" s="29"/>
      <c r="P389" s="29"/>
      <c r="Q389" s="31"/>
      <c r="R389" s="31"/>
      <c r="S389" s="31"/>
    </row>
    <row r="390" spans="1:19" ht="20.5">
      <c r="A390" s="26"/>
      <c r="B390" s="27"/>
      <c r="C390" s="28"/>
      <c r="D390" s="28"/>
      <c r="E390" s="28"/>
      <c r="F390" s="28"/>
      <c r="G390" s="28"/>
      <c r="H390" s="28"/>
      <c r="I390" s="29"/>
      <c r="J390" s="29"/>
      <c r="K390" s="29"/>
      <c r="L390" s="29"/>
      <c r="M390" s="29"/>
      <c r="N390" s="30"/>
      <c r="O390" s="29"/>
      <c r="P390" s="29"/>
      <c r="Q390" s="31"/>
      <c r="R390" s="31"/>
      <c r="S390" s="31"/>
    </row>
    <row r="391" spans="1:19" ht="20.5">
      <c r="A391" s="26"/>
      <c r="B391" s="27"/>
      <c r="C391" s="28"/>
      <c r="D391" s="28"/>
      <c r="E391" s="28"/>
      <c r="F391" s="28"/>
      <c r="G391" s="28"/>
      <c r="H391" s="28"/>
      <c r="I391" s="29"/>
      <c r="J391" s="29"/>
      <c r="K391" s="29"/>
      <c r="L391" s="29"/>
      <c r="M391" s="29"/>
      <c r="N391" s="30"/>
      <c r="O391" s="29"/>
      <c r="P391" s="29"/>
      <c r="Q391" s="31"/>
      <c r="R391" s="31"/>
      <c r="S391" s="31"/>
    </row>
    <row r="392" spans="1:19" ht="20.5">
      <c r="A392" s="26"/>
      <c r="B392" s="27"/>
      <c r="C392" s="28"/>
      <c r="D392" s="28"/>
      <c r="E392" s="28"/>
      <c r="F392" s="28"/>
      <c r="G392" s="28"/>
      <c r="H392" s="28"/>
      <c r="I392" s="29"/>
      <c r="J392" s="29"/>
      <c r="K392" s="29"/>
      <c r="L392" s="29"/>
      <c r="M392" s="29"/>
      <c r="N392" s="30"/>
      <c r="O392" s="29"/>
      <c r="P392" s="29"/>
      <c r="Q392" s="31"/>
      <c r="R392" s="31"/>
      <c r="S392" s="31"/>
    </row>
    <row r="393" spans="1:19" ht="20.5">
      <c r="A393" s="26"/>
      <c r="B393" s="27"/>
      <c r="C393" s="28"/>
      <c r="D393" s="28"/>
      <c r="E393" s="28"/>
      <c r="F393" s="28"/>
      <c r="G393" s="28"/>
      <c r="H393" s="28"/>
      <c r="I393" s="29"/>
      <c r="J393" s="29"/>
      <c r="K393" s="29"/>
      <c r="L393" s="29"/>
      <c r="M393" s="29"/>
      <c r="N393" s="30"/>
      <c r="O393" s="29"/>
      <c r="P393" s="29"/>
      <c r="Q393" s="31"/>
      <c r="R393" s="31"/>
      <c r="S393" s="31"/>
    </row>
    <row r="394" spans="1:19" ht="20.5">
      <c r="A394" s="26"/>
      <c r="B394" s="27"/>
      <c r="C394" s="28"/>
      <c r="D394" s="28"/>
      <c r="E394" s="28"/>
      <c r="F394" s="28"/>
      <c r="G394" s="28"/>
      <c r="H394" s="28"/>
      <c r="I394" s="29"/>
      <c r="J394" s="29"/>
      <c r="K394" s="29"/>
      <c r="L394" s="29"/>
      <c r="M394" s="29"/>
      <c r="N394" s="30"/>
      <c r="O394" s="29"/>
      <c r="P394" s="29"/>
      <c r="Q394" s="31"/>
      <c r="R394" s="31"/>
      <c r="S394" s="31"/>
    </row>
    <row r="395" spans="1:19" ht="20.5">
      <c r="A395" s="26"/>
      <c r="B395" s="27"/>
      <c r="C395" s="28"/>
      <c r="D395" s="28"/>
      <c r="E395" s="28"/>
      <c r="F395" s="28"/>
      <c r="G395" s="28"/>
      <c r="H395" s="28"/>
      <c r="I395" s="29"/>
      <c r="J395" s="29"/>
      <c r="K395" s="29"/>
      <c r="L395" s="29"/>
      <c r="M395" s="29"/>
      <c r="N395" s="30"/>
      <c r="O395" s="29"/>
      <c r="P395" s="29"/>
      <c r="Q395" s="31"/>
      <c r="R395" s="31"/>
      <c r="S395" s="31"/>
    </row>
    <row r="396" spans="1:19" ht="20.5">
      <c r="A396" s="26"/>
      <c r="B396" s="27"/>
      <c r="C396" s="28"/>
      <c r="D396" s="28"/>
      <c r="E396" s="28"/>
      <c r="F396" s="28"/>
      <c r="G396" s="28"/>
      <c r="H396" s="28"/>
      <c r="I396" s="29"/>
      <c r="J396" s="29"/>
      <c r="K396" s="29"/>
      <c r="L396" s="29"/>
      <c r="M396" s="29"/>
      <c r="N396" s="30"/>
      <c r="O396" s="29"/>
      <c r="P396" s="29"/>
      <c r="Q396" s="31"/>
      <c r="R396" s="31"/>
      <c r="S396" s="31"/>
    </row>
    <row r="397" spans="1:19" ht="20.5">
      <c r="A397" s="26"/>
      <c r="B397" s="27"/>
      <c r="C397" s="28"/>
      <c r="D397" s="28"/>
      <c r="E397" s="28"/>
      <c r="F397" s="28"/>
      <c r="G397" s="28"/>
      <c r="H397" s="28"/>
      <c r="I397" s="29"/>
      <c r="J397" s="29"/>
      <c r="K397" s="29"/>
      <c r="L397" s="29"/>
      <c r="M397" s="29"/>
      <c r="N397" s="30"/>
      <c r="O397" s="29"/>
      <c r="P397" s="29"/>
      <c r="Q397" s="31"/>
      <c r="R397" s="31"/>
      <c r="S397" s="31"/>
    </row>
    <row r="398" spans="1:19" ht="20.5">
      <c r="A398" s="26"/>
      <c r="B398" s="27"/>
      <c r="C398" s="28"/>
      <c r="D398" s="28"/>
      <c r="E398" s="28"/>
      <c r="F398" s="28"/>
      <c r="G398" s="28"/>
      <c r="H398" s="28"/>
      <c r="I398" s="29"/>
      <c r="J398" s="29"/>
      <c r="K398" s="29"/>
      <c r="L398" s="29"/>
      <c r="M398" s="29"/>
      <c r="N398" s="30"/>
      <c r="O398" s="29"/>
      <c r="P398" s="29"/>
      <c r="Q398" s="31"/>
      <c r="R398" s="31"/>
      <c r="S398" s="31"/>
    </row>
    <row r="399" spans="1:19" ht="20.5">
      <c r="A399" s="26"/>
      <c r="B399" s="27"/>
      <c r="C399" s="28"/>
      <c r="D399" s="28"/>
      <c r="E399" s="28"/>
      <c r="F399" s="28"/>
      <c r="G399" s="28"/>
      <c r="H399" s="28"/>
      <c r="I399" s="29"/>
      <c r="J399" s="29"/>
      <c r="K399" s="29"/>
      <c r="L399" s="29"/>
      <c r="M399" s="29"/>
      <c r="N399" s="30"/>
      <c r="O399" s="29"/>
      <c r="P399" s="29"/>
      <c r="Q399" s="31"/>
      <c r="R399" s="31"/>
      <c r="S399" s="31"/>
    </row>
    <row r="400" spans="1:19" ht="20.5">
      <c r="A400" s="26"/>
      <c r="B400" s="27"/>
      <c r="C400" s="28"/>
      <c r="D400" s="28"/>
      <c r="E400" s="28"/>
      <c r="F400" s="28"/>
      <c r="G400" s="28"/>
      <c r="H400" s="28"/>
      <c r="I400" s="29"/>
      <c r="J400" s="29"/>
      <c r="K400" s="29"/>
      <c r="L400" s="29"/>
      <c r="M400" s="29"/>
      <c r="N400" s="30"/>
      <c r="O400" s="29"/>
      <c r="P400" s="29"/>
      <c r="Q400" s="31"/>
      <c r="R400" s="31"/>
      <c r="S400" s="31"/>
    </row>
    <row r="401" spans="1:19" ht="20.5">
      <c r="A401" s="26"/>
      <c r="B401" s="27"/>
      <c r="C401" s="28"/>
      <c r="D401" s="28"/>
      <c r="E401" s="28"/>
      <c r="F401" s="28"/>
      <c r="G401" s="28"/>
      <c r="H401" s="28"/>
      <c r="I401" s="29"/>
      <c r="J401" s="29"/>
      <c r="K401" s="29"/>
      <c r="L401" s="29"/>
      <c r="M401" s="29"/>
      <c r="N401" s="30"/>
      <c r="O401" s="29"/>
      <c r="P401" s="29"/>
      <c r="Q401" s="31"/>
      <c r="R401" s="31"/>
      <c r="S401" s="31"/>
    </row>
    <row r="402" spans="1:19" ht="20.5">
      <c r="A402" s="26"/>
      <c r="B402" s="27"/>
      <c r="C402" s="28"/>
      <c r="D402" s="28"/>
      <c r="E402" s="28"/>
      <c r="F402" s="28"/>
      <c r="G402" s="28"/>
      <c r="H402" s="28"/>
      <c r="I402" s="29"/>
      <c r="J402" s="29"/>
      <c r="K402" s="29"/>
      <c r="L402" s="29"/>
      <c r="M402" s="29"/>
      <c r="N402" s="30"/>
      <c r="O402" s="29"/>
      <c r="P402" s="29"/>
      <c r="Q402" s="31"/>
      <c r="R402" s="31"/>
      <c r="S402" s="31"/>
    </row>
    <row r="403" spans="1:19" ht="20.5">
      <c r="A403" s="26"/>
      <c r="B403" s="27"/>
      <c r="C403" s="28"/>
      <c r="D403" s="28"/>
      <c r="E403" s="28"/>
      <c r="F403" s="28"/>
      <c r="G403" s="28"/>
      <c r="H403" s="28"/>
      <c r="I403" s="29"/>
      <c r="J403" s="29"/>
      <c r="K403" s="29"/>
      <c r="L403" s="29"/>
      <c r="M403" s="29"/>
      <c r="N403" s="30"/>
      <c r="O403" s="29"/>
      <c r="P403" s="29"/>
      <c r="Q403" s="31"/>
      <c r="R403" s="31"/>
      <c r="S403" s="31"/>
    </row>
    <row r="404" spans="1:19" ht="20.5">
      <c r="A404" s="26"/>
      <c r="B404" s="27"/>
      <c r="C404" s="28"/>
      <c r="D404" s="28"/>
      <c r="E404" s="28"/>
      <c r="F404" s="28"/>
      <c r="G404" s="28"/>
      <c r="H404" s="28"/>
      <c r="I404" s="29"/>
      <c r="J404" s="29"/>
      <c r="K404" s="29"/>
      <c r="L404" s="29"/>
      <c r="M404" s="29"/>
      <c r="N404" s="30"/>
      <c r="O404" s="29"/>
      <c r="P404" s="29"/>
      <c r="Q404" s="31"/>
      <c r="R404" s="31"/>
      <c r="S404" s="31"/>
    </row>
    <row r="405" spans="1:19" ht="20.5">
      <c r="A405" s="26"/>
      <c r="B405" s="27"/>
      <c r="C405" s="28"/>
      <c r="D405" s="28"/>
      <c r="E405" s="28"/>
      <c r="F405" s="28"/>
      <c r="G405" s="28"/>
      <c r="H405" s="28"/>
      <c r="I405" s="29"/>
      <c r="J405" s="29"/>
      <c r="K405" s="29"/>
      <c r="L405" s="29"/>
      <c r="M405" s="29"/>
      <c r="N405" s="30"/>
      <c r="O405" s="29"/>
      <c r="P405" s="29"/>
      <c r="Q405" s="31"/>
      <c r="R405" s="31"/>
      <c r="S405" s="31"/>
    </row>
    <row r="406" spans="1:19" ht="20.5">
      <c r="A406" s="26"/>
      <c r="B406" s="27"/>
      <c r="C406" s="28"/>
      <c r="D406" s="28"/>
      <c r="E406" s="28"/>
      <c r="F406" s="28"/>
      <c r="G406" s="28"/>
      <c r="H406" s="28"/>
      <c r="I406" s="29"/>
      <c r="J406" s="29"/>
      <c r="K406" s="29"/>
      <c r="L406" s="29"/>
      <c r="M406" s="29"/>
      <c r="N406" s="30"/>
      <c r="O406" s="29"/>
      <c r="P406" s="29"/>
      <c r="Q406" s="31"/>
      <c r="R406" s="31"/>
      <c r="S406" s="31"/>
    </row>
    <row r="407" spans="1:19" ht="20.5">
      <c r="A407" s="26"/>
      <c r="B407" s="27"/>
      <c r="C407" s="28"/>
      <c r="D407" s="28"/>
      <c r="E407" s="28"/>
      <c r="F407" s="28"/>
      <c r="G407" s="28"/>
      <c r="H407" s="28"/>
      <c r="I407" s="29"/>
      <c r="J407" s="29"/>
      <c r="K407" s="29"/>
      <c r="L407" s="29"/>
      <c r="M407" s="29"/>
      <c r="N407" s="30"/>
      <c r="O407" s="29"/>
      <c r="P407" s="29"/>
      <c r="Q407" s="31"/>
      <c r="R407" s="31"/>
      <c r="S407" s="31"/>
    </row>
    <row r="408" spans="1:19" ht="20.5">
      <c r="A408" s="26"/>
      <c r="B408" s="27"/>
      <c r="C408" s="28"/>
      <c r="D408" s="28"/>
      <c r="E408" s="28"/>
      <c r="F408" s="28"/>
      <c r="G408" s="28"/>
      <c r="H408" s="28"/>
      <c r="I408" s="29"/>
      <c r="J408" s="29"/>
      <c r="K408" s="29"/>
      <c r="L408" s="29"/>
      <c r="M408" s="29"/>
      <c r="N408" s="30"/>
      <c r="O408" s="29"/>
      <c r="P408" s="29"/>
      <c r="Q408" s="31"/>
      <c r="R408" s="31"/>
      <c r="S408" s="31"/>
    </row>
    <row r="409" spans="1:19" ht="20.5">
      <c r="A409" s="26"/>
      <c r="B409" s="27"/>
      <c r="C409" s="28"/>
      <c r="D409" s="28"/>
      <c r="E409" s="28"/>
      <c r="F409" s="28"/>
      <c r="G409" s="28"/>
      <c r="H409" s="28"/>
      <c r="I409" s="29"/>
      <c r="J409" s="29"/>
      <c r="K409" s="29"/>
      <c r="L409" s="29"/>
      <c r="M409" s="29"/>
      <c r="N409" s="30"/>
      <c r="O409" s="29"/>
      <c r="P409" s="29"/>
      <c r="Q409" s="31"/>
      <c r="R409" s="31"/>
      <c r="S409" s="31"/>
    </row>
    <row r="410" spans="1:19" ht="20.5">
      <c r="A410" s="26"/>
      <c r="B410" s="27"/>
      <c r="C410" s="28"/>
      <c r="D410" s="28"/>
      <c r="E410" s="28"/>
      <c r="F410" s="28"/>
      <c r="G410" s="28"/>
      <c r="H410" s="28"/>
      <c r="I410" s="29"/>
      <c r="J410" s="29"/>
      <c r="K410" s="29"/>
      <c r="L410" s="29"/>
      <c r="M410" s="29"/>
      <c r="N410" s="30"/>
      <c r="O410" s="29"/>
      <c r="P410" s="29"/>
      <c r="Q410" s="31"/>
      <c r="R410" s="31"/>
      <c r="S410" s="31"/>
    </row>
    <row r="411" spans="1:19" ht="20.5">
      <c r="A411" s="26"/>
      <c r="B411" s="27"/>
      <c r="C411" s="28"/>
      <c r="D411" s="28"/>
      <c r="E411" s="28"/>
      <c r="F411" s="28"/>
      <c r="G411" s="28"/>
      <c r="H411" s="28"/>
      <c r="I411" s="29"/>
      <c r="J411" s="29"/>
      <c r="K411" s="29"/>
      <c r="L411" s="29"/>
      <c r="M411" s="29"/>
      <c r="N411" s="30"/>
      <c r="O411" s="29"/>
      <c r="P411" s="29"/>
      <c r="Q411" s="31"/>
      <c r="R411" s="31"/>
      <c r="S411" s="31"/>
    </row>
    <row r="412" spans="1:19" ht="20.5">
      <c r="A412" s="26"/>
      <c r="B412" s="27"/>
      <c r="C412" s="28"/>
      <c r="D412" s="28"/>
      <c r="E412" s="28"/>
      <c r="F412" s="28"/>
      <c r="G412" s="28"/>
      <c r="H412" s="28"/>
      <c r="I412" s="29"/>
      <c r="J412" s="29"/>
      <c r="K412" s="29"/>
      <c r="L412" s="29"/>
      <c r="M412" s="29"/>
      <c r="N412" s="30"/>
      <c r="O412" s="29"/>
      <c r="P412" s="29"/>
      <c r="Q412" s="31"/>
      <c r="R412" s="31"/>
      <c r="S412" s="31"/>
    </row>
    <row r="413" spans="1:19" ht="20.5">
      <c r="A413" s="26"/>
      <c r="B413" s="27"/>
      <c r="C413" s="28"/>
      <c r="D413" s="28"/>
      <c r="E413" s="28"/>
      <c r="F413" s="28"/>
      <c r="G413" s="28"/>
      <c r="H413" s="28"/>
      <c r="I413" s="29"/>
      <c r="J413" s="29"/>
      <c r="K413" s="29"/>
      <c r="L413" s="29"/>
      <c r="M413" s="29"/>
      <c r="N413" s="30"/>
      <c r="O413" s="29"/>
      <c r="P413" s="29"/>
      <c r="Q413" s="31"/>
      <c r="R413" s="31"/>
      <c r="S413" s="31"/>
    </row>
    <row r="414" spans="1:19" ht="20.5">
      <c r="A414" s="26"/>
      <c r="B414" s="27"/>
      <c r="C414" s="28"/>
      <c r="D414" s="28"/>
      <c r="E414" s="28"/>
      <c r="F414" s="28"/>
      <c r="G414" s="28"/>
      <c r="H414" s="28"/>
      <c r="I414" s="29"/>
      <c r="J414" s="29"/>
      <c r="K414" s="29"/>
      <c r="L414" s="29"/>
      <c r="M414" s="29"/>
      <c r="N414" s="30"/>
      <c r="O414" s="29"/>
      <c r="P414" s="29"/>
      <c r="Q414" s="31"/>
      <c r="R414" s="31"/>
      <c r="S414" s="31"/>
    </row>
    <row r="415" spans="1:19" ht="20.5">
      <c r="A415" s="26"/>
      <c r="B415" s="27"/>
      <c r="C415" s="28"/>
      <c r="D415" s="28"/>
      <c r="E415" s="28"/>
      <c r="F415" s="28"/>
      <c r="G415" s="28"/>
      <c r="H415" s="28"/>
      <c r="I415" s="29"/>
      <c r="J415" s="29"/>
      <c r="K415" s="29"/>
      <c r="L415" s="29"/>
      <c r="M415" s="29"/>
      <c r="N415" s="30"/>
      <c r="O415" s="29"/>
      <c r="P415" s="29"/>
      <c r="Q415" s="31"/>
      <c r="R415" s="31"/>
      <c r="S415" s="31"/>
    </row>
    <row r="416" spans="1:19" ht="20.5">
      <c r="A416" s="26"/>
      <c r="B416" s="27"/>
      <c r="C416" s="28"/>
      <c r="D416" s="28"/>
      <c r="E416" s="28"/>
      <c r="F416" s="28"/>
      <c r="G416" s="28"/>
      <c r="H416" s="28"/>
      <c r="I416" s="29"/>
      <c r="J416" s="29"/>
      <c r="K416" s="29"/>
      <c r="L416" s="29"/>
      <c r="M416" s="29"/>
      <c r="N416" s="30"/>
      <c r="O416" s="29"/>
      <c r="P416" s="29"/>
      <c r="Q416" s="31"/>
      <c r="R416" s="31"/>
      <c r="S416" s="31"/>
    </row>
    <row r="417" spans="1:19" ht="20.5">
      <c r="A417" s="26"/>
      <c r="B417" s="27"/>
      <c r="C417" s="28"/>
      <c r="D417" s="28"/>
      <c r="E417" s="28"/>
      <c r="F417" s="28"/>
      <c r="G417" s="28"/>
      <c r="H417" s="28"/>
      <c r="I417" s="29"/>
      <c r="J417" s="29"/>
      <c r="K417" s="29"/>
      <c r="L417" s="29"/>
      <c r="M417" s="29"/>
      <c r="N417" s="30"/>
      <c r="O417" s="29"/>
      <c r="P417" s="29"/>
      <c r="Q417" s="31"/>
      <c r="R417" s="31"/>
      <c r="S417" s="31"/>
    </row>
    <row r="418" spans="1:19" ht="20.5">
      <c r="A418" s="26"/>
      <c r="B418" s="27"/>
      <c r="C418" s="28"/>
      <c r="D418" s="28"/>
      <c r="E418" s="28"/>
      <c r="F418" s="28"/>
      <c r="G418" s="28"/>
      <c r="H418" s="28"/>
      <c r="I418" s="29"/>
      <c r="J418" s="29"/>
      <c r="K418" s="29"/>
      <c r="L418" s="29"/>
      <c r="M418" s="29"/>
      <c r="N418" s="30"/>
      <c r="O418" s="29"/>
      <c r="P418" s="29"/>
      <c r="Q418" s="31"/>
      <c r="R418" s="31"/>
      <c r="S418" s="31"/>
    </row>
    <row r="419" spans="1:19" ht="20.5">
      <c r="A419" s="26"/>
      <c r="B419" s="27"/>
      <c r="C419" s="28"/>
      <c r="D419" s="28"/>
      <c r="E419" s="28"/>
      <c r="F419" s="28"/>
      <c r="G419" s="28"/>
      <c r="H419" s="28"/>
      <c r="I419" s="29"/>
      <c r="J419" s="29"/>
      <c r="K419" s="29"/>
      <c r="L419" s="29"/>
      <c r="M419" s="29"/>
      <c r="N419" s="30"/>
      <c r="O419" s="29"/>
      <c r="P419" s="29"/>
      <c r="Q419" s="31"/>
      <c r="R419" s="31"/>
      <c r="S419" s="31"/>
    </row>
    <row r="420" spans="1:19" ht="20.5">
      <c r="A420" s="26"/>
      <c r="B420" s="27"/>
      <c r="C420" s="28"/>
      <c r="D420" s="28"/>
      <c r="E420" s="28"/>
      <c r="F420" s="28"/>
      <c r="G420" s="28"/>
      <c r="H420" s="28"/>
      <c r="I420" s="29"/>
      <c r="J420" s="29"/>
      <c r="K420" s="29"/>
      <c r="L420" s="29"/>
      <c r="M420" s="29"/>
      <c r="N420" s="30"/>
      <c r="O420" s="29"/>
      <c r="P420" s="29"/>
      <c r="Q420" s="31"/>
      <c r="R420" s="31"/>
      <c r="S420" s="31"/>
    </row>
    <row r="421" spans="1:19" ht="20.5">
      <c r="A421" s="26"/>
      <c r="B421" s="27"/>
      <c r="C421" s="28"/>
      <c r="D421" s="28"/>
      <c r="E421" s="28"/>
      <c r="F421" s="28"/>
      <c r="G421" s="28"/>
      <c r="H421" s="28"/>
      <c r="I421" s="29"/>
      <c r="J421" s="29"/>
      <c r="K421" s="29"/>
      <c r="L421" s="29"/>
      <c r="M421" s="29"/>
      <c r="N421" s="30"/>
      <c r="O421" s="29"/>
      <c r="P421" s="29"/>
      <c r="Q421" s="31"/>
      <c r="R421" s="31"/>
      <c r="S421" s="31"/>
    </row>
    <row r="422" spans="1:19" ht="20.5">
      <c r="A422" s="26"/>
      <c r="B422" s="27"/>
      <c r="C422" s="28"/>
      <c r="D422" s="28"/>
      <c r="E422" s="28"/>
      <c r="F422" s="28"/>
      <c r="G422" s="28"/>
      <c r="H422" s="28"/>
      <c r="I422" s="29"/>
      <c r="J422" s="29"/>
      <c r="K422" s="29"/>
      <c r="L422" s="29"/>
      <c r="M422" s="29"/>
      <c r="N422" s="30"/>
      <c r="O422" s="29"/>
      <c r="P422" s="29"/>
      <c r="Q422" s="31"/>
      <c r="R422" s="31"/>
      <c r="S422" s="31"/>
    </row>
    <row r="423" spans="1:19" ht="20.5">
      <c r="A423" s="26"/>
      <c r="B423" s="27"/>
      <c r="C423" s="28"/>
      <c r="D423" s="28"/>
      <c r="E423" s="28"/>
      <c r="F423" s="28"/>
      <c r="G423" s="28"/>
      <c r="H423" s="28"/>
      <c r="I423" s="29"/>
      <c r="J423" s="29"/>
      <c r="K423" s="29"/>
      <c r="L423" s="29"/>
      <c r="M423" s="29"/>
      <c r="N423" s="30"/>
      <c r="O423" s="29"/>
      <c r="P423" s="29"/>
      <c r="Q423" s="31"/>
      <c r="R423" s="31"/>
      <c r="S423" s="31"/>
    </row>
    <row r="424" spans="1:19" ht="20.5">
      <c r="A424" s="26"/>
      <c r="B424" s="27"/>
      <c r="C424" s="28"/>
      <c r="D424" s="28"/>
      <c r="E424" s="28"/>
      <c r="F424" s="28"/>
      <c r="G424" s="28"/>
      <c r="H424" s="28"/>
      <c r="I424" s="29"/>
      <c r="J424" s="29"/>
      <c r="K424" s="29"/>
      <c r="L424" s="29"/>
      <c r="M424" s="29"/>
      <c r="N424" s="30"/>
      <c r="O424" s="29"/>
      <c r="P424" s="29"/>
      <c r="Q424" s="31"/>
      <c r="R424" s="31"/>
      <c r="S424" s="31"/>
    </row>
    <row r="425" spans="1:19" ht="20.5">
      <c r="A425" s="26"/>
      <c r="B425" s="27"/>
      <c r="C425" s="28"/>
      <c r="D425" s="28"/>
      <c r="E425" s="28"/>
      <c r="F425" s="28"/>
      <c r="G425" s="28"/>
      <c r="H425" s="28"/>
      <c r="I425" s="29"/>
      <c r="J425" s="29"/>
      <c r="K425" s="29"/>
      <c r="L425" s="29"/>
      <c r="M425" s="29"/>
      <c r="N425" s="30"/>
      <c r="O425" s="29"/>
      <c r="P425" s="29"/>
      <c r="Q425" s="31"/>
      <c r="R425" s="31"/>
      <c r="S425" s="31"/>
    </row>
    <row r="426" spans="1:19" ht="20.5">
      <c r="A426" s="26"/>
      <c r="B426" s="27"/>
      <c r="C426" s="28"/>
      <c r="D426" s="28"/>
      <c r="E426" s="28"/>
      <c r="F426" s="28"/>
      <c r="G426" s="28"/>
      <c r="H426" s="28"/>
      <c r="I426" s="29"/>
      <c r="J426" s="29"/>
      <c r="K426" s="29"/>
      <c r="L426" s="29"/>
      <c r="M426" s="29"/>
      <c r="N426" s="30"/>
      <c r="O426" s="29"/>
      <c r="P426" s="29"/>
      <c r="Q426" s="31"/>
      <c r="R426" s="31"/>
      <c r="S426" s="31"/>
    </row>
    <row r="427" spans="1:19" ht="20.5">
      <c r="A427" s="26"/>
      <c r="B427" s="27"/>
      <c r="C427" s="28"/>
      <c r="D427" s="28"/>
      <c r="E427" s="28"/>
      <c r="F427" s="28"/>
      <c r="G427" s="28"/>
      <c r="H427" s="28"/>
      <c r="I427" s="29"/>
      <c r="J427" s="29"/>
      <c r="K427" s="29"/>
      <c r="L427" s="29"/>
      <c r="M427" s="29"/>
      <c r="N427" s="30"/>
      <c r="O427" s="29"/>
      <c r="P427" s="29"/>
      <c r="Q427" s="31"/>
      <c r="R427" s="31"/>
      <c r="S427" s="31"/>
    </row>
    <row r="428" spans="1:19" ht="20.5">
      <c r="A428" s="26"/>
      <c r="B428" s="27"/>
      <c r="C428" s="28"/>
      <c r="D428" s="28"/>
      <c r="E428" s="28"/>
      <c r="F428" s="28"/>
      <c r="G428" s="28"/>
      <c r="H428" s="28"/>
      <c r="I428" s="29"/>
      <c r="J428" s="29"/>
      <c r="K428" s="29"/>
      <c r="L428" s="29"/>
      <c r="M428" s="29"/>
      <c r="N428" s="30"/>
      <c r="O428" s="29"/>
      <c r="P428" s="29"/>
      <c r="Q428" s="31"/>
      <c r="R428" s="31"/>
      <c r="S428" s="31"/>
    </row>
    <row r="429" spans="1:19" ht="20.5">
      <c r="A429" s="26"/>
      <c r="B429" s="27"/>
      <c r="C429" s="28"/>
      <c r="D429" s="28"/>
      <c r="E429" s="28"/>
      <c r="F429" s="28"/>
      <c r="G429" s="28"/>
      <c r="H429" s="28"/>
      <c r="I429" s="29"/>
      <c r="J429" s="29"/>
      <c r="K429" s="29"/>
      <c r="L429" s="29"/>
      <c r="M429" s="29"/>
      <c r="N429" s="30"/>
      <c r="O429" s="29"/>
      <c r="P429" s="29"/>
      <c r="Q429" s="31"/>
      <c r="R429" s="31"/>
      <c r="S429" s="31"/>
    </row>
    <row r="430" spans="1:19" ht="20.5">
      <c r="A430" s="26"/>
      <c r="B430" s="27"/>
      <c r="C430" s="28"/>
      <c r="D430" s="28"/>
      <c r="E430" s="28"/>
      <c r="F430" s="28"/>
      <c r="G430" s="28"/>
      <c r="H430" s="28"/>
      <c r="I430" s="29"/>
      <c r="J430" s="29"/>
      <c r="K430" s="29"/>
      <c r="L430" s="29"/>
      <c r="M430" s="29"/>
      <c r="N430" s="30"/>
      <c r="O430" s="29"/>
      <c r="P430" s="29"/>
      <c r="Q430" s="31"/>
      <c r="R430" s="31"/>
      <c r="S430" s="31"/>
    </row>
    <row r="431" spans="1:19" ht="20.5">
      <c r="A431" s="26"/>
      <c r="B431" s="27"/>
      <c r="C431" s="28"/>
      <c r="D431" s="28"/>
      <c r="E431" s="28"/>
      <c r="F431" s="28"/>
      <c r="G431" s="28"/>
      <c r="H431" s="28"/>
      <c r="I431" s="29"/>
      <c r="J431" s="29"/>
      <c r="K431" s="29"/>
      <c r="L431" s="29"/>
      <c r="M431" s="29"/>
      <c r="N431" s="30"/>
      <c r="O431" s="29"/>
      <c r="P431" s="29"/>
      <c r="Q431" s="31"/>
      <c r="R431" s="31"/>
      <c r="S431" s="31"/>
    </row>
    <row r="432" spans="1:19" ht="20.5">
      <c r="A432" s="26"/>
      <c r="B432" s="27"/>
      <c r="C432" s="28"/>
      <c r="D432" s="28"/>
      <c r="E432" s="28"/>
      <c r="F432" s="28"/>
      <c r="G432" s="28"/>
      <c r="H432" s="28"/>
      <c r="I432" s="29"/>
      <c r="J432" s="29"/>
      <c r="K432" s="29"/>
      <c r="L432" s="29"/>
      <c r="M432" s="29"/>
      <c r="N432" s="30"/>
      <c r="O432" s="29"/>
      <c r="P432" s="29"/>
      <c r="Q432" s="31"/>
      <c r="R432" s="31"/>
      <c r="S432" s="31"/>
    </row>
    <row r="433" spans="1:19" ht="20.5">
      <c r="A433" s="26"/>
      <c r="B433" s="27"/>
      <c r="C433" s="28"/>
      <c r="D433" s="28"/>
      <c r="E433" s="28"/>
      <c r="F433" s="28"/>
      <c r="G433" s="28"/>
      <c r="H433" s="28"/>
      <c r="I433" s="29"/>
      <c r="J433" s="29"/>
      <c r="K433" s="29"/>
      <c r="L433" s="29"/>
      <c r="M433" s="29"/>
      <c r="N433" s="30"/>
      <c r="O433" s="29"/>
      <c r="P433" s="29"/>
      <c r="Q433" s="31"/>
      <c r="R433" s="31"/>
      <c r="S433" s="31"/>
    </row>
    <row r="434" spans="1:19" ht="20.5">
      <c r="A434" s="26"/>
      <c r="B434" s="27"/>
      <c r="C434" s="28"/>
      <c r="D434" s="28"/>
      <c r="E434" s="28"/>
      <c r="F434" s="28"/>
      <c r="G434" s="28"/>
      <c r="H434" s="28"/>
      <c r="I434" s="29"/>
      <c r="J434" s="29"/>
      <c r="K434" s="29"/>
      <c r="L434" s="29"/>
      <c r="M434" s="29"/>
      <c r="N434" s="30"/>
      <c r="O434" s="29"/>
      <c r="P434" s="29"/>
      <c r="Q434" s="31"/>
      <c r="R434" s="31"/>
      <c r="S434" s="31"/>
    </row>
    <row r="435" spans="1:19" ht="20.5">
      <c r="A435" s="26"/>
      <c r="B435" s="27"/>
      <c r="C435" s="28"/>
      <c r="D435" s="28"/>
      <c r="E435" s="28"/>
      <c r="F435" s="28"/>
      <c r="G435" s="28"/>
      <c r="H435" s="28"/>
      <c r="I435" s="29"/>
      <c r="J435" s="29"/>
      <c r="K435" s="29"/>
      <c r="L435" s="29"/>
      <c r="M435" s="29"/>
      <c r="N435" s="30"/>
      <c r="O435" s="29"/>
      <c r="P435" s="29"/>
      <c r="Q435" s="31"/>
      <c r="R435" s="31"/>
      <c r="S435" s="31"/>
    </row>
    <row r="436" spans="1:19" ht="20.5">
      <c r="A436" s="26"/>
      <c r="B436" s="27"/>
      <c r="C436" s="28"/>
      <c r="D436" s="28"/>
      <c r="E436" s="28"/>
      <c r="F436" s="28"/>
      <c r="G436" s="28"/>
      <c r="H436" s="28"/>
      <c r="I436" s="29"/>
      <c r="J436" s="29"/>
      <c r="K436" s="29"/>
      <c r="L436" s="29"/>
      <c r="M436" s="29"/>
      <c r="N436" s="30"/>
      <c r="O436" s="29"/>
      <c r="P436" s="29"/>
      <c r="Q436" s="31"/>
      <c r="R436" s="31"/>
      <c r="S436" s="31"/>
    </row>
    <row r="437" spans="1:19" ht="20.5">
      <c r="A437" s="26"/>
      <c r="B437" s="27"/>
      <c r="C437" s="28"/>
      <c r="D437" s="28"/>
      <c r="E437" s="28"/>
      <c r="F437" s="28"/>
      <c r="G437" s="28"/>
      <c r="H437" s="28"/>
      <c r="I437" s="29"/>
      <c r="J437" s="29"/>
      <c r="K437" s="29"/>
      <c r="L437" s="29"/>
      <c r="M437" s="29"/>
      <c r="N437" s="30"/>
      <c r="O437" s="29"/>
      <c r="P437" s="29"/>
      <c r="Q437" s="31"/>
      <c r="R437" s="31"/>
      <c r="S437" s="31"/>
    </row>
    <row r="438" spans="1:19" ht="20.5">
      <c r="A438" s="26"/>
      <c r="B438" s="27"/>
      <c r="C438" s="28"/>
      <c r="D438" s="28"/>
      <c r="E438" s="28"/>
      <c r="F438" s="28"/>
      <c r="G438" s="28"/>
      <c r="H438" s="28"/>
      <c r="I438" s="29"/>
      <c r="J438" s="29"/>
      <c r="K438" s="29"/>
      <c r="L438" s="29"/>
      <c r="M438" s="29"/>
      <c r="N438" s="30"/>
      <c r="O438" s="29"/>
      <c r="P438" s="29"/>
      <c r="Q438" s="31"/>
      <c r="R438" s="31"/>
      <c r="S438" s="31"/>
    </row>
    <row r="439" spans="1:19" ht="20.5">
      <c r="A439" s="26"/>
      <c r="B439" s="27"/>
      <c r="C439" s="28"/>
      <c r="D439" s="28"/>
      <c r="E439" s="28"/>
      <c r="F439" s="28"/>
      <c r="G439" s="28"/>
      <c r="H439" s="28"/>
      <c r="I439" s="29"/>
      <c r="J439" s="29"/>
      <c r="K439" s="29"/>
      <c r="L439" s="29"/>
      <c r="M439" s="29"/>
      <c r="N439" s="30"/>
      <c r="O439" s="29"/>
      <c r="P439" s="29"/>
      <c r="Q439" s="31"/>
      <c r="R439" s="31"/>
      <c r="S439" s="31"/>
    </row>
    <row r="440" spans="1:19" ht="20.5">
      <c r="A440" s="26"/>
      <c r="B440" s="27"/>
      <c r="C440" s="28"/>
      <c r="D440" s="28"/>
      <c r="E440" s="28"/>
      <c r="F440" s="28"/>
      <c r="G440" s="28"/>
      <c r="H440" s="28"/>
      <c r="I440" s="29"/>
      <c r="J440" s="29"/>
      <c r="K440" s="29"/>
      <c r="L440" s="29"/>
      <c r="M440" s="29"/>
      <c r="N440" s="30"/>
      <c r="O440" s="29"/>
      <c r="P440" s="29"/>
      <c r="Q440" s="31"/>
      <c r="R440" s="31"/>
      <c r="S440" s="31"/>
    </row>
    <row r="441" spans="1:19" ht="20.5">
      <c r="A441" s="26"/>
      <c r="B441" s="27"/>
      <c r="C441" s="28"/>
      <c r="D441" s="28"/>
      <c r="E441" s="28"/>
      <c r="F441" s="28"/>
      <c r="G441" s="28"/>
      <c r="H441" s="28"/>
      <c r="I441" s="29"/>
      <c r="J441" s="29"/>
      <c r="K441" s="29"/>
      <c r="L441" s="29"/>
      <c r="M441" s="29"/>
      <c r="N441" s="30"/>
      <c r="O441" s="29"/>
      <c r="P441" s="29"/>
      <c r="Q441" s="31"/>
      <c r="R441" s="31"/>
      <c r="S441" s="31"/>
    </row>
    <row r="442" spans="1:19" ht="20.5">
      <c r="A442" s="26"/>
      <c r="B442" s="27"/>
      <c r="C442" s="28"/>
      <c r="D442" s="28"/>
      <c r="E442" s="28"/>
      <c r="F442" s="28"/>
      <c r="G442" s="28"/>
      <c r="H442" s="28"/>
      <c r="I442" s="29"/>
      <c r="J442" s="29"/>
      <c r="K442" s="29"/>
      <c r="L442" s="29"/>
      <c r="M442" s="29"/>
      <c r="N442" s="30"/>
      <c r="O442" s="29"/>
      <c r="P442" s="29"/>
      <c r="Q442" s="31"/>
      <c r="R442" s="31"/>
      <c r="S442" s="31"/>
    </row>
    <row r="443" spans="1:19" ht="20.5">
      <c r="A443" s="26"/>
      <c r="B443" s="27"/>
      <c r="C443" s="28"/>
      <c r="D443" s="28"/>
      <c r="E443" s="28"/>
      <c r="F443" s="28"/>
      <c r="G443" s="28"/>
      <c r="H443" s="28"/>
      <c r="I443" s="29"/>
      <c r="J443" s="29"/>
      <c r="K443" s="29"/>
      <c r="L443" s="29"/>
      <c r="M443" s="29"/>
      <c r="N443" s="30"/>
      <c r="O443" s="29"/>
      <c r="P443" s="29"/>
      <c r="Q443" s="31"/>
      <c r="R443" s="31"/>
      <c r="S443" s="31"/>
    </row>
    <row r="444" spans="1:19" ht="20.5">
      <c r="A444" s="26"/>
      <c r="B444" s="27"/>
      <c r="C444" s="28"/>
      <c r="D444" s="28"/>
      <c r="E444" s="28"/>
      <c r="F444" s="28"/>
      <c r="G444" s="28"/>
      <c r="H444" s="28"/>
      <c r="I444" s="29"/>
      <c r="J444" s="29"/>
      <c r="K444" s="29"/>
      <c r="L444" s="29"/>
      <c r="M444" s="29"/>
      <c r="N444" s="30"/>
      <c r="O444" s="29"/>
      <c r="P444" s="29"/>
      <c r="Q444" s="31"/>
      <c r="R444" s="31"/>
      <c r="S444" s="31"/>
    </row>
    <row r="445" spans="1:19" ht="20.5">
      <c r="A445" s="26"/>
      <c r="B445" s="27"/>
      <c r="C445" s="28"/>
      <c r="D445" s="28"/>
      <c r="E445" s="28"/>
      <c r="F445" s="28"/>
      <c r="G445" s="28"/>
      <c r="H445" s="28"/>
      <c r="I445" s="29"/>
      <c r="J445" s="29"/>
      <c r="K445" s="29"/>
      <c r="L445" s="29"/>
      <c r="M445" s="29"/>
      <c r="N445" s="30"/>
      <c r="O445" s="29"/>
      <c r="P445" s="29"/>
      <c r="Q445" s="31"/>
      <c r="R445" s="31"/>
      <c r="S445" s="31"/>
    </row>
    <row r="446" spans="1:19" ht="20.5">
      <c r="A446" s="26"/>
      <c r="B446" s="27"/>
      <c r="C446" s="28"/>
      <c r="D446" s="28"/>
      <c r="E446" s="28"/>
      <c r="F446" s="28"/>
      <c r="G446" s="28"/>
      <c r="H446" s="28"/>
      <c r="I446" s="29"/>
      <c r="J446" s="29"/>
      <c r="K446" s="29"/>
      <c r="L446" s="29"/>
      <c r="M446" s="29"/>
      <c r="N446" s="30"/>
      <c r="O446" s="29"/>
      <c r="P446" s="29"/>
      <c r="Q446" s="31"/>
      <c r="R446" s="31"/>
      <c r="S446" s="31"/>
    </row>
    <row r="447" spans="1:19" ht="20.5">
      <c r="A447" s="26"/>
      <c r="B447" s="27"/>
      <c r="C447" s="28"/>
      <c r="D447" s="28"/>
      <c r="E447" s="28"/>
      <c r="F447" s="28"/>
      <c r="G447" s="28"/>
      <c r="H447" s="28"/>
      <c r="I447" s="29"/>
      <c r="J447" s="29"/>
      <c r="K447" s="29"/>
      <c r="L447" s="29"/>
      <c r="M447" s="29"/>
      <c r="N447" s="30"/>
      <c r="O447" s="29"/>
      <c r="P447" s="29"/>
      <c r="Q447" s="31"/>
      <c r="R447" s="31"/>
      <c r="S447" s="31"/>
    </row>
    <row r="448" spans="1:19" ht="20.5">
      <c r="A448" s="26"/>
      <c r="B448" s="27"/>
      <c r="C448" s="28"/>
      <c r="D448" s="28"/>
      <c r="E448" s="28"/>
      <c r="F448" s="28"/>
      <c r="G448" s="28"/>
      <c r="H448" s="28"/>
      <c r="I448" s="29"/>
      <c r="J448" s="29"/>
      <c r="K448" s="29"/>
      <c r="L448" s="29"/>
      <c r="M448" s="29"/>
      <c r="N448" s="30"/>
      <c r="O448" s="29"/>
      <c r="P448" s="29"/>
      <c r="Q448" s="31"/>
      <c r="R448" s="31"/>
      <c r="S448" s="31"/>
    </row>
    <row r="449" spans="1:19" ht="20.5">
      <c r="A449" s="26"/>
      <c r="B449" s="27"/>
      <c r="C449" s="28"/>
      <c r="D449" s="28"/>
      <c r="E449" s="28"/>
      <c r="F449" s="28"/>
      <c r="G449" s="28"/>
      <c r="H449" s="28"/>
      <c r="I449" s="29"/>
      <c r="J449" s="29"/>
      <c r="K449" s="29"/>
      <c r="L449" s="29"/>
      <c r="M449" s="29"/>
      <c r="N449" s="30"/>
      <c r="O449" s="29"/>
      <c r="P449" s="29"/>
      <c r="Q449" s="31"/>
      <c r="R449" s="31"/>
      <c r="S449" s="31"/>
    </row>
    <row r="450" spans="1:19" ht="20.5">
      <c r="A450" s="26"/>
      <c r="B450" s="27"/>
      <c r="C450" s="28"/>
      <c r="D450" s="28"/>
      <c r="E450" s="28"/>
      <c r="F450" s="28"/>
      <c r="G450" s="28"/>
      <c r="H450" s="28"/>
      <c r="I450" s="29"/>
      <c r="J450" s="29"/>
      <c r="K450" s="29"/>
      <c r="L450" s="29"/>
      <c r="M450" s="29"/>
      <c r="N450" s="30"/>
      <c r="O450" s="29"/>
      <c r="P450" s="29"/>
      <c r="Q450" s="31"/>
      <c r="R450" s="31"/>
      <c r="S450" s="31"/>
    </row>
    <row r="451" spans="1:19" ht="20.5">
      <c r="A451" s="26"/>
      <c r="B451" s="27"/>
      <c r="C451" s="28"/>
      <c r="D451" s="28"/>
      <c r="E451" s="28"/>
      <c r="F451" s="28"/>
      <c r="G451" s="28"/>
      <c r="H451" s="28"/>
      <c r="I451" s="29"/>
      <c r="J451" s="29"/>
      <c r="K451" s="29"/>
      <c r="L451" s="29"/>
      <c r="M451" s="29"/>
      <c r="N451" s="30"/>
      <c r="O451" s="29"/>
      <c r="P451" s="29"/>
      <c r="Q451" s="31"/>
      <c r="R451" s="31"/>
      <c r="S451" s="31"/>
    </row>
    <row r="452" spans="1:19" ht="20.5">
      <c r="A452" s="26"/>
      <c r="B452" s="27"/>
      <c r="C452" s="28"/>
      <c r="D452" s="28"/>
      <c r="E452" s="28"/>
      <c r="F452" s="28"/>
      <c r="G452" s="28"/>
      <c r="H452" s="28"/>
      <c r="I452" s="29"/>
      <c r="J452" s="29"/>
      <c r="K452" s="29"/>
      <c r="L452" s="29"/>
      <c r="M452" s="29"/>
      <c r="N452" s="30"/>
      <c r="O452" s="29"/>
      <c r="P452" s="29"/>
      <c r="Q452" s="31"/>
      <c r="R452" s="31"/>
      <c r="S452" s="31"/>
    </row>
    <row r="453" spans="1:19" ht="20.5">
      <c r="A453" s="26"/>
      <c r="B453" s="27"/>
      <c r="C453" s="28"/>
      <c r="D453" s="28"/>
      <c r="E453" s="28"/>
      <c r="F453" s="28"/>
      <c r="G453" s="28"/>
      <c r="H453" s="28"/>
      <c r="I453" s="29"/>
      <c r="J453" s="29"/>
      <c r="K453" s="29"/>
      <c r="L453" s="29"/>
      <c r="M453" s="29"/>
      <c r="N453" s="30"/>
      <c r="O453" s="29"/>
      <c r="P453" s="29"/>
      <c r="Q453" s="31"/>
      <c r="R453" s="31"/>
      <c r="S453" s="31"/>
    </row>
    <row r="454" spans="1:19" ht="20.5">
      <c r="A454" s="26"/>
      <c r="B454" s="27"/>
      <c r="C454" s="28"/>
      <c r="D454" s="28"/>
      <c r="E454" s="28"/>
      <c r="F454" s="28"/>
      <c r="G454" s="28"/>
      <c r="H454" s="28"/>
      <c r="I454" s="29"/>
      <c r="J454" s="29"/>
      <c r="K454" s="29"/>
      <c r="L454" s="29"/>
      <c r="M454" s="29"/>
      <c r="N454" s="30"/>
      <c r="O454" s="29"/>
      <c r="P454" s="29"/>
      <c r="Q454" s="31"/>
      <c r="R454" s="31"/>
      <c r="S454" s="31"/>
    </row>
    <row r="455" spans="1:19" ht="20.5">
      <c r="A455" s="26"/>
      <c r="B455" s="27"/>
      <c r="C455" s="28"/>
      <c r="D455" s="28"/>
      <c r="E455" s="28"/>
      <c r="F455" s="28"/>
      <c r="G455" s="28"/>
      <c r="H455" s="28"/>
      <c r="I455" s="29"/>
      <c r="J455" s="29"/>
      <c r="K455" s="29"/>
      <c r="L455" s="29"/>
      <c r="M455" s="29"/>
      <c r="N455" s="30"/>
      <c r="O455" s="29"/>
      <c r="P455" s="29"/>
      <c r="Q455" s="31"/>
      <c r="R455" s="31"/>
      <c r="S455" s="31"/>
    </row>
    <row r="456" spans="1:19" ht="20.5">
      <c r="A456" s="26"/>
      <c r="B456" s="27"/>
      <c r="C456" s="28"/>
      <c r="D456" s="28"/>
      <c r="E456" s="28"/>
      <c r="F456" s="28"/>
      <c r="G456" s="28"/>
      <c r="H456" s="28"/>
      <c r="I456" s="29"/>
      <c r="J456" s="29"/>
      <c r="K456" s="29"/>
      <c r="L456" s="29"/>
      <c r="M456" s="29"/>
      <c r="N456" s="30"/>
      <c r="O456" s="29"/>
      <c r="P456" s="29"/>
      <c r="Q456" s="31"/>
      <c r="R456" s="31"/>
      <c r="S456" s="31"/>
    </row>
    <row r="457" spans="1:19" ht="20.5">
      <c r="A457" s="26"/>
      <c r="B457" s="27"/>
      <c r="C457" s="28"/>
      <c r="D457" s="28"/>
      <c r="E457" s="28"/>
      <c r="F457" s="28"/>
      <c r="G457" s="28"/>
      <c r="H457" s="28"/>
      <c r="I457" s="29"/>
      <c r="J457" s="29"/>
      <c r="K457" s="29"/>
      <c r="L457" s="29"/>
      <c r="M457" s="29"/>
      <c r="N457" s="30"/>
      <c r="O457" s="29"/>
      <c r="P457" s="29"/>
      <c r="Q457" s="31"/>
      <c r="R457" s="31"/>
      <c r="S457" s="31"/>
    </row>
    <row r="458" spans="1:19" ht="20.5">
      <c r="A458" s="26"/>
      <c r="B458" s="27"/>
      <c r="C458" s="28"/>
      <c r="D458" s="28"/>
      <c r="E458" s="28"/>
      <c r="F458" s="28"/>
      <c r="G458" s="28"/>
      <c r="H458" s="28"/>
      <c r="I458" s="29"/>
      <c r="J458" s="29"/>
      <c r="K458" s="29"/>
      <c r="L458" s="29"/>
      <c r="M458" s="29"/>
      <c r="N458" s="30"/>
      <c r="O458" s="29"/>
      <c r="P458" s="29"/>
      <c r="Q458" s="31"/>
      <c r="R458" s="31"/>
      <c r="S458" s="31"/>
    </row>
    <row r="459" spans="1:19" ht="20.5">
      <c r="A459" s="26"/>
      <c r="B459" s="27"/>
      <c r="C459" s="28"/>
      <c r="D459" s="28"/>
      <c r="E459" s="28"/>
      <c r="F459" s="28"/>
      <c r="G459" s="28"/>
      <c r="H459" s="28"/>
      <c r="I459" s="29"/>
      <c r="J459" s="29"/>
      <c r="K459" s="29"/>
      <c r="L459" s="29"/>
      <c r="M459" s="29"/>
      <c r="N459" s="30"/>
      <c r="O459" s="29"/>
      <c r="P459" s="29"/>
      <c r="Q459" s="31"/>
      <c r="R459" s="31"/>
      <c r="S459" s="31"/>
    </row>
    <row r="460" spans="1:19" ht="20.5">
      <c r="A460" s="26"/>
      <c r="B460" s="27"/>
      <c r="C460" s="28"/>
      <c r="D460" s="28"/>
      <c r="E460" s="28"/>
      <c r="F460" s="28"/>
      <c r="G460" s="28"/>
      <c r="H460" s="28"/>
      <c r="I460" s="29"/>
      <c r="J460" s="29"/>
      <c r="K460" s="29"/>
      <c r="L460" s="29"/>
      <c r="M460" s="29"/>
      <c r="N460" s="30"/>
      <c r="O460" s="29"/>
      <c r="P460" s="29"/>
      <c r="Q460" s="31"/>
      <c r="R460" s="31"/>
      <c r="S460" s="31"/>
    </row>
    <row r="461" spans="1:19" ht="20.5">
      <c r="A461" s="26"/>
      <c r="B461" s="27"/>
      <c r="C461" s="28"/>
      <c r="D461" s="28"/>
      <c r="E461" s="28"/>
      <c r="F461" s="28"/>
      <c r="G461" s="28"/>
      <c r="H461" s="28"/>
      <c r="I461" s="29"/>
      <c r="J461" s="29"/>
      <c r="K461" s="29"/>
      <c r="L461" s="29"/>
      <c r="M461" s="29"/>
      <c r="N461" s="30"/>
      <c r="O461" s="29"/>
      <c r="P461" s="29"/>
      <c r="Q461" s="31"/>
      <c r="R461" s="31"/>
      <c r="S461" s="31"/>
    </row>
    <row r="462" spans="1:19" ht="20.5">
      <c r="A462" s="26"/>
      <c r="B462" s="27"/>
      <c r="C462" s="28"/>
      <c r="D462" s="28"/>
      <c r="E462" s="28"/>
      <c r="F462" s="28"/>
      <c r="G462" s="28"/>
      <c r="H462" s="28"/>
      <c r="I462" s="29"/>
      <c r="J462" s="29"/>
      <c r="K462" s="29"/>
      <c r="L462" s="29"/>
      <c r="M462" s="29"/>
      <c r="N462" s="30"/>
      <c r="O462" s="29"/>
      <c r="P462" s="29"/>
      <c r="Q462" s="31"/>
      <c r="R462" s="31"/>
      <c r="S462" s="31"/>
    </row>
    <row r="463" spans="1:19" ht="20.5">
      <c r="A463" s="26"/>
      <c r="B463" s="27"/>
      <c r="C463" s="28"/>
      <c r="D463" s="28"/>
      <c r="E463" s="28"/>
      <c r="F463" s="28"/>
      <c r="G463" s="28"/>
      <c r="H463" s="28"/>
      <c r="I463" s="29"/>
      <c r="J463" s="29"/>
      <c r="K463" s="29"/>
      <c r="L463" s="29"/>
      <c r="M463" s="29"/>
      <c r="N463" s="30"/>
      <c r="O463" s="29"/>
      <c r="P463" s="29"/>
      <c r="Q463" s="31"/>
      <c r="R463" s="31"/>
      <c r="S463" s="31"/>
    </row>
    <row r="464" spans="1:19" ht="20.5">
      <c r="A464" s="26"/>
      <c r="B464" s="27"/>
      <c r="C464" s="28"/>
      <c r="D464" s="28"/>
      <c r="E464" s="28"/>
      <c r="F464" s="28"/>
      <c r="G464" s="28"/>
      <c r="H464" s="28"/>
      <c r="I464" s="29"/>
      <c r="J464" s="29"/>
      <c r="K464" s="29"/>
      <c r="L464" s="29"/>
      <c r="M464" s="29"/>
      <c r="N464" s="30"/>
      <c r="O464" s="29"/>
      <c r="P464" s="29"/>
      <c r="Q464" s="31"/>
      <c r="R464" s="31"/>
      <c r="S464" s="31"/>
    </row>
    <row r="465" spans="1:19" ht="20.5">
      <c r="A465" s="26"/>
      <c r="B465" s="27"/>
      <c r="C465" s="28"/>
      <c r="D465" s="28"/>
      <c r="E465" s="28"/>
      <c r="F465" s="28"/>
      <c r="G465" s="28"/>
      <c r="H465" s="28"/>
      <c r="I465" s="29"/>
      <c r="J465" s="29"/>
      <c r="K465" s="29"/>
      <c r="L465" s="29"/>
      <c r="M465" s="29"/>
      <c r="N465" s="30"/>
      <c r="O465" s="29"/>
      <c r="P465" s="29"/>
      <c r="Q465" s="31"/>
      <c r="R465" s="31"/>
      <c r="S465" s="31"/>
    </row>
    <row r="466" spans="1:19" ht="20.5">
      <c r="A466" s="26"/>
      <c r="B466" s="27"/>
      <c r="C466" s="28"/>
      <c r="D466" s="28"/>
      <c r="E466" s="28"/>
      <c r="F466" s="28"/>
      <c r="G466" s="28"/>
      <c r="H466" s="28"/>
      <c r="I466" s="29"/>
      <c r="J466" s="29"/>
      <c r="K466" s="29"/>
      <c r="L466" s="29"/>
      <c r="M466" s="29"/>
      <c r="N466" s="30"/>
      <c r="O466" s="29"/>
      <c r="P466" s="29"/>
      <c r="Q466" s="31"/>
      <c r="R466" s="31"/>
      <c r="S466" s="31"/>
    </row>
    <row r="467" spans="1:19" ht="20.5">
      <c r="A467" s="26"/>
      <c r="B467" s="27"/>
      <c r="C467" s="28"/>
      <c r="D467" s="28"/>
      <c r="E467" s="28"/>
      <c r="F467" s="28"/>
      <c r="G467" s="28"/>
      <c r="H467" s="28"/>
      <c r="I467" s="29"/>
      <c r="J467" s="29"/>
      <c r="K467" s="29"/>
      <c r="L467" s="29"/>
      <c r="M467" s="29"/>
      <c r="N467" s="30"/>
      <c r="O467" s="29"/>
      <c r="P467" s="29"/>
      <c r="Q467" s="31"/>
      <c r="R467" s="31"/>
      <c r="S467" s="31"/>
    </row>
    <row r="468" spans="1:19" ht="20.5">
      <c r="A468" s="26"/>
      <c r="B468" s="27"/>
      <c r="C468" s="28"/>
      <c r="D468" s="28"/>
      <c r="E468" s="28"/>
      <c r="F468" s="28"/>
      <c r="G468" s="28"/>
      <c r="H468" s="28"/>
      <c r="I468" s="29"/>
      <c r="J468" s="29"/>
      <c r="K468" s="29"/>
      <c r="L468" s="29"/>
      <c r="M468" s="29"/>
      <c r="N468" s="30"/>
      <c r="O468" s="29"/>
      <c r="P468" s="29"/>
      <c r="Q468" s="31"/>
      <c r="R468" s="31"/>
      <c r="S468" s="31"/>
    </row>
    <row r="469" spans="1:19" ht="20.5">
      <c r="A469" s="26"/>
      <c r="B469" s="27"/>
      <c r="C469" s="28"/>
      <c r="D469" s="28"/>
      <c r="E469" s="28"/>
      <c r="F469" s="28"/>
      <c r="G469" s="28"/>
      <c r="H469" s="28"/>
      <c r="I469" s="29"/>
      <c r="J469" s="29"/>
      <c r="K469" s="29"/>
      <c r="L469" s="29"/>
      <c r="M469" s="29"/>
      <c r="N469" s="30"/>
      <c r="O469" s="29"/>
      <c r="P469" s="29"/>
      <c r="Q469" s="31"/>
      <c r="R469" s="31"/>
      <c r="S469" s="31"/>
    </row>
    <row r="470" spans="1:19" ht="20.5">
      <c r="A470" s="26"/>
      <c r="B470" s="27"/>
      <c r="C470" s="28"/>
      <c r="D470" s="28"/>
      <c r="E470" s="28"/>
      <c r="F470" s="28"/>
      <c r="G470" s="28"/>
      <c r="H470" s="28"/>
      <c r="I470" s="29"/>
      <c r="J470" s="29"/>
      <c r="K470" s="29"/>
      <c r="L470" s="29"/>
      <c r="M470" s="29"/>
      <c r="N470" s="30"/>
      <c r="O470" s="29"/>
      <c r="P470" s="29"/>
      <c r="Q470" s="31"/>
      <c r="R470" s="31"/>
      <c r="S470" s="31"/>
    </row>
    <row r="471" spans="1:19" ht="20.5">
      <c r="A471" s="26"/>
      <c r="B471" s="27"/>
      <c r="C471" s="28"/>
      <c r="D471" s="28"/>
      <c r="E471" s="28"/>
      <c r="F471" s="28"/>
      <c r="G471" s="28"/>
      <c r="H471" s="28"/>
      <c r="I471" s="29"/>
      <c r="J471" s="29"/>
      <c r="K471" s="29"/>
      <c r="L471" s="29"/>
      <c r="M471" s="29"/>
      <c r="N471" s="30"/>
      <c r="O471" s="29"/>
      <c r="P471" s="29"/>
      <c r="Q471" s="31"/>
      <c r="R471" s="31"/>
      <c r="S471" s="31"/>
    </row>
    <row r="472" spans="1:19" ht="20.5">
      <c r="A472" s="26"/>
      <c r="B472" s="27"/>
      <c r="C472" s="28"/>
      <c r="D472" s="28"/>
      <c r="E472" s="28"/>
      <c r="F472" s="28"/>
      <c r="G472" s="28"/>
      <c r="H472" s="28"/>
      <c r="I472" s="29"/>
      <c r="J472" s="29"/>
      <c r="K472" s="29"/>
      <c r="L472" s="29"/>
      <c r="M472" s="29"/>
      <c r="N472" s="30"/>
      <c r="O472" s="29"/>
      <c r="P472" s="29"/>
      <c r="Q472" s="31"/>
      <c r="R472" s="31"/>
      <c r="S472" s="31"/>
    </row>
    <row r="473" spans="1:19" ht="20.5">
      <c r="A473" s="26"/>
      <c r="B473" s="27"/>
      <c r="C473" s="28"/>
      <c r="D473" s="28"/>
      <c r="E473" s="28"/>
      <c r="F473" s="28"/>
      <c r="G473" s="28"/>
      <c r="H473" s="28"/>
      <c r="I473" s="29"/>
      <c r="J473" s="29"/>
      <c r="K473" s="29"/>
      <c r="L473" s="29"/>
      <c r="M473" s="29"/>
      <c r="N473" s="30"/>
      <c r="O473" s="29"/>
      <c r="P473" s="29"/>
      <c r="Q473" s="31"/>
      <c r="R473" s="31"/>
      <c r="S473" s="31"/>
    </row>
    <row r="474" spans="1:19" ht="20.5">
      <c r="A474" s="26"/>
      <c r="B474" s="27"/>
      <c r="C474" s="28"/>
      <c r="D474" s="28"/>
      <c r="E474" s="28"/>
      <c r="F474" s="28"/>
      <c r="G474" s="28"/>
      <c r="H474" s="28"/>
      <c r="I474" s="29"/>
      <c r="J474" s="29"/>
      <c r="K474" s="29"/>
      <c r="L474" s="29"/>
      <c r="M474" s="29"/>
      <c r="N474" s="30"/>
      <c r="O474" s="29"/>
      <c r="P474" s="29"/>
      <c r="Q474" s="31"/>
      <c r="R474" s="31"/>
      <c r="S474" s="31"/>
    </row>
    <row r="475" spans="1:19" ht="20.5">
      <c r="A475" s="26"/>
      <c r="B475" s="27"/>
      <c r="C475" s="28"/>
      <c r="D475" s="28"/>
      <c r="E475" s="28"/>
      <c r="F475" s="28"/>
      <c r="G475" s="28"/>
      <c r="H475" s="28"/>
      <c r="I475" s="29"/>
      <c r="J475" s="29"/>
      <c r="K475" s="29"/>
      <c r="L475" s="29"/>
      <c r="M475" s="29"/>
      <c r="N475" s="30"/>
      <c r="O475" s="29"/>
      <c r="P475" s="29"/>
      <c r="Q475" s="31"/>
      <c r="R475" s="31"/>
      <c r="S475" s="31"/>
    </row>
    <row r="476" spans="1:19" ht="20.5">
      <c r="A476" s="26"/>
      <c r="B476" s="27"/>
      <c r="C476" s="28"/>
      <c r="D476" s="28"/>
      <c r="E476" s="28"/>
      <c r="F476" s="28"/>
      <c r="G476" s="28"/>
      <c r="H476" s="28"/>
      <c r="I476" s="29"/>
      <c r="J476" s="29"/>
      <c r="K476" s="29"/>
      <c r="L476" s="29"/>
      <c r="M476" s="29"/>
      <c r="N476" s="30"/>
      <c r="O476" s="29"/>
      <c r="P476" s="29"/>
      <c r="Q476" s="31"/>
      <c r="R476" s="31"/>
      <c r="S476" s="31"/>
    </row>
    <row r="477" spans="1:19" ht="20.5">
      <c r="A477" s="26"/>
      <c r="B477" s="27"/>
      <c r="C477" s="28"/>
      <c r="D477" s="28"/>
      <c r="E477" s="28"/>
      <c r="F477" s="28"/>
      <c r="G477" s="28"/>
      <c r="H477" s="28"/>
      <c r="I477" s="29"/>
      <c r="J477" s="29"/>
      <c r="K477" s="29"/>
      <c r="L477" s="29"/>
      <c r="M477" s="29"/>
      <c r="N477" s="30"/>
      <c r="O477" s="29"/>
      <c r="P477" s="29"/>
      <c r="Q477" s="31"/>
      <c r="R477" s="31"/>
      <c r="S477" s="31"/>
    </row>
    <row r="478" spans="1:19" ht="20.5">
      <c r="A478" s="26"/>
      <c r="B478" s="27"/>
      <c r="C478" s="28"/>
      <c r="D478" s="28"/>
      <c r="E478" s="28"/>
      <c r="F478" s="28"/>
      <c r="G478" s="28"/>
      <c r="H478" s="28"/>
      <c r="I478" s="29"/>
      <c r="J478" s="29"/>
      <c r="K478" s="29"/>
      <c r="L478" s="29"/>
      <c r="M478" s="29"/>
      <c r="N478" s="30"/>
      <c r="O478" s="29"/>
      <c r="P478" s="29"/>
      <c r="Q478" s="31"/>
      <c r="R478" s="31"/>
      <c r="S478" s="31"/>
    </row>
    <row r="479" spans="1:19" ht="20.5">
      <c r="A479" s="26"/>
      <c r="B479" s="27"/>
      <c r="C479" s="28"/>
      <c r="D479" s="28"/>
      <c r="E479" s="28"/>
      <c r="F479" s="28"/>
      <c r="G479" s="28"/>
      <c r="H479" s="28"/>
      <c r="I479" s="29"/>
      <c r="J479" s="29"/>
      <c r="K479" s="29"/>
      <c r="L479" s="29"/>
      <c r="M479" s="29"/>
      <c r="N479" s="30"/>
      <c r="O479" s="29"/>
      <c r="P479" s="29"/>
      <c r="Q479" s="31"/>
      <c r="R479" s="31"/>
      <c r="S479" s="31"/>
    </row>
    <row r="480" spans="1:19" ht="20.5">
      <c r="A480" s="26"/>
      <c r="B480" s="27"/>
      <c r="C480" s="28"/>
      <c r="D480" s="28"/>
      <c r="E480" s="28"/>
      <c r="F480" s="28"/>
      <c r="G480" s="28"/>
      <c r="H480" s="28"/>
      <c r="I480" s="29"/>
      <c r="J480" s="29"/>
      <c r="K480" s="29"/>
      <c r="L480" s="29"/>
      <c r="M480" s="29"/>
      <c r="N480" s="30"/>
      <c r="O480" s="29"/>
      <c r="P480" s="29"/>
      <c r="Q480" s="31"/>
      <c r="R480" s="31"/>
      <c r="S480" s="31"/>
    </row>
    <row r="481" spans="1:19" ht="20.5">
      <c r="A481" s="26"/>
      <c r="B481" s="27"/>
      <c r="C481" s="28"/>
      <c r="D481" s="28"/>
      <c r="E481" s="28"/>
      <c r="F481" s="28"/>
      <c r="G481" s="28"/>
      <c r="H481" s="28"/>
      <c r="I481" s="29"/>
      <c r="J481" s="29"/>
      <c r="K481" s="29"/>
      <c r="L481" s="29"/>
      <c r="M481" s="29"/>
      <c r="N481" s="30"/>
      <c r="O481" s="29"/>
      <c r="P481" s="29"/>
      <c r="Q481" s="31"/>
      <c r="R481" s="31"/>
      <c r="S481" s="31"/>
    </row>
    <row r="482" spans="1:19" ht="20.5">
      <c r="A482" s="26"/>
      <c r="B482" s="27"/>
      <c r="C482" s="28"/>
      <c r="D482" s="28"/>
      <c r="E482" s="28"/>
      <c r="F482" s="28"/>
      <c r="G482" s="28"/>
      <c r="H482" s="28"/>
      <c r="I482" s="29"/>
      <c r="J482" s="29"/>
      <c r="K482" s="29"/>
      <c r="L482" s="29"/>
      <c r="M482" s="29"/>
      <c r="N482" s="30"/>
      <c r="O482" s="29"/>
      <c r="P482" s="29"/>
      <c r="Q482" s="31"/>
      <c r="R482" s="31"/>
      <c r="S482" s="31"/>
    </row>
    <row r="483" spans="1:19" ht="20.5">
      <c r="A483" s="26"/>
      <c r="B483" s="27"/>
      <c r="C483" s="28"/>
      <c r="D483" s="28"/>
      <c r="E483" s="28"/>
      <c r="F483" s="28"/>
      <c r="G483" s="28"/>
      <c r="H483" s="28"/>
      <c r="I483" s="29"/>
      <c r="J483" s="29"/>
      <c r="K483" s="29"/>
      <c r="L483" s="29"/>
      <c r="M483" s="29"/>
      <c r="N483" s="30"/>
      <c r="O483" s="29"/>
      <c r="P483" s="29"/>
      <c r="Q483" s="31"/>
      <c r="R483" s="31"/>
      <c r="S483" s="31"/>
    </row>
    <row r="484" spans="1:19" ht="20.5">
      <c r="A484" s="26"/>
      <c r="B484" s="27"/>
      <c r="C484" s="28"/>
      <c r="D484" s="28"/>
      <c r="E484" s="28"/>
      <c r="F484" s="28"/>
      <c r="G484" s="28"/>
      <c r="H484" s="28"/>
      <c r="I484" s="29"/>
      <c r="J484" s="29"/>
      <c r="K484" s="29"/>
      <c r="L484" s="29"/>
      <c r="M484" s="29"/>
      <c r="N484" s="30"/>
      <c r="O484" s="29"/>
      <c r="P484" s="29"/>
      <c r="Q484" s="31"/>
      <c r="R484" s="31"/>
      <c r="S484" s="31"/>
    </row>
    <row r="485" spans="1:19" ht="20.5">
      <c r="A485" s="26"/>
      <c r="B485" s="27"/>
      <c r="C485" s="28"/>
      <c r="D485" s="28"/>
      <c r="E485" s="28"/>
      <c r="F485" s="28"/>
      <c r="G485" s="28"/>
      <c r="H485" s="28"/>
      <c r="I485" s="29"/>
      <c r="J485" s="29"/>
      <c r="K485" s="29"/>
      <c r="L485" s="29"/>
      <c r="M485" s="29"/>
      <c r="N485" s="30"/>
      <c r="O485" s="29"/>
      <c r="P485" s="29"/>
      <c r="Q485" s="31"/>
      <c r="R485" s="31"/>
      <c r="S485" s="31"/>
    </row>
    <row r="486" spans="1:19" ht="20.5">
      <c r="A486" s="26"/>
      <c r="B486" s="27"/>
      <c r="C486" s="28"/>
      <c r="D486" s="28"/>
      <c r="E486" s="28"/>
      <c r="F486" s="28"/>
      <c r="G486" s="28"/>
      <c r="H486" s="28"/>
      <c r="I486" s="29"/>
      <c r="J486" s="29"/>
      <c r="K486" s="29"/>
      <c r="L486" s="29"/>
      <c r="M486" s="29"/>
      <c r="N486" s="30"/>
      <c r="O486" s="29"/>
      <c r="P486" s="29"/>
      <c r="Q486" s="31"/>
      <c r="R486" s="31"/>
      <c r="S486" s="31"/>
    </row>
    <row r="487" spans="1:19" ht="20.5">
      <c r="A487" s="26"/>
      <c r="B487" s="27"/>
      <c r="C487" s="28"/>
      <c r="D487" s="28"/>
      <c r="E487" s="28"/>
      <c r="F487" s="28"/>
      <c r="G487" s="28"/>
      <c r="H487" s="28"/>
      <c r="I487" s="29"/>
      <c r="J487" s="29"/>
      <c r="K487" s="29"/>
      <c r="L487" s="29"/>
      <c r="M487" s="29"/>
      <c r="N487" s="30"/>
      <c r="O487" s="29"/>
      <c r="P487" s="29"/>
      <c r="Q487" s="31"/>
      <c r="R487" s="31"/>
      <c r="S487" s="31"/>
    </row>
    <row r="488" spans="1:19" ht="20.5">
      <c r="A488" s="26"/>
      <c r="B488" s="27"/>
      <c r="C488" s="28"/>
      <c r="D488" s="28"/>
      <c r="E488" s="28"/>
      <c r="F488" s="28"/>
      <c r="G488" s="28"/>
      <c r="H488" s="28"/>
      <c r="I488" s="29"/>
      <c r="J488" s="29"/>
      <c r="K488" s="29"/>
      <c r="L488" s="29"/>
      <c r="M488" s="29"/>
      <c r="N488" s="30"/>
      <c r="O488" s="29"/>
      <c r="P488" s="29"/>
      <c r="Q488" s="31"/>
      <c r="R488" s="31"/>
      <c r="S488" s="31"/>
    </row>
    <row r="489" spans="1:19" ht="20.5">
      <c r="A489" s="26"/>
      <c r="B489" s="27"/>
      <c r="C489" s="28"/>
      <c r="D489" s="28"/>
      <c r="E489" s="28"/>
      <c r="F489" s="28"/>
      <c r="G489" s="28"/>
      <c r="H489" s="28"/>
      <c r="I489" s="29"/>
      <c r="J489" s="29"/>
      <c r="K489" s="29"/>
      <c r="L489" s="29"/>
      <c r="M489" s="29"/>
      <c r="N489" s="30"/>
      <c r="O489" s="29"/>
      <c r="P489" s="29"/>
      <c r="Q489" s="31"/>
      <c r="R489" s="31"/>
      <c r="S489" s="31"/>
    </row>
    <row r="490" spans="1:19" ht="20.5">
      <c r="A490" s="26"/>
      <c r="B490" s="27"/>
      <c r="C490" s="28"/>
      <c r="D490" s="28"/>
      <c r="E490" s="28"/>
      <c r="F490" s="28"/>
      <c r="G490" s="28"/>
      <c r="H490" s="28"/>
      <c r="I490" s="29"/>
      <c r="J490" s="29"/>
      <c r="K490" s="29"/>
      <c r="L490" s="29"/>
      <c r="M490" s="29"/>
      <c r="N490" s="30"/>
      <c r="O490" s="29"/>
      <c r="P490" s="29"/>
      <c r="Q490" s="31"/>
      <c r="R490" s="31"/>
      <c r="S490" s="31"/>
    </row>
    <row r="491" spans="1:19" ht="20.5">
      <c r="A491" s="26"/>
      <c r="B491" s="27"/>
      <c r="C491" s="28"/>
      <c r="D491" s="28"/>
      <c r="E491" s="28"/>
      <c r="F491" s="28"/>
      <c r="G491" s="28"/>
      <c r="H491" s="28"/>
      <c r="I491" s="29"/>
      <c r="J491" s="29"/>
      <c r="K491" s="29"/>
      <c r="L491" s="29"/>
      <c r="M491" s="29"/>
      <c r="N491" s="30"/>
      <c r="O491" s="29"/>
      <c r="P491" s="29"/>
      <c r="Q491" s="31"/>
      <c r="R491" s="31"/>
      <c r="S491" s="31"/>
    </row>
    <row r="492" spans="1:19" ht="20.5">
      <c r="A492" s="26"/>
      <c r="B492" s="27"/>
      <c r="C492" s="28"/>
      <c r="D492" s="28"/>
      <c r="E492" s="28"/>
      <c r="F492" s="28"/>
      <c r="G492" s="28"/>
      <c r="H492" s="28"/>
      <c r="I492" s="29"/>
      <c r="J492" s="29"/>
      <c r="K492" s="29"/>
      <c r="L492" s="29"/>
      <c r="M492" s="29"/>
      <c r="N492" s="30"/>
      <c r="O492" s="29"/>
      <c r="P492" s="29"/>
      <c r="Q492" s="31"/>
      <c r="R492" s="31"/>
      <c r="S492" s="31"/>
    </row>
    <row r="493" spans="1:19" ht="20.5">
      <c r="A493" s="26"/>
      <c r="B493" s="27"/>
      <c r="C493" s="28"/>
      <c r="D493" s="28"/>
      <c r="E493" s="28"/>
      <c r="F493" s="28"/>
      <c r="G493" s="28"/>
      <c r="H493" s="28"/>
      <c r="I493" s="29"/>
      <c r="J493" s="29"/>
      <c r="K493" s="29"/>
      <c r="L493" s="29"/>
      <c r="M493" s="29"/>
      <c r="N493" s="30"/>
      <c r="O493" s="29"/>
      <c r="P493" s="29"/>
      <c r="Q493" s="31"/>
      <c r="R493" s="31"/>
      <c r="S493" s="31"/>
    </row>
    <row r="494" spans="1:19" ht="20.5">
      <c r="A494" s="26"/>
      <c r="B494" s="27"/>
      <c r="C494" s="28"/>
      <c r="D494" s="28"/>
      <c r="E494" s="28"/>
      <c r="F494" s="28"/>
      <c r="G494" s="28"/>
      <c r="H494" s="28"/>
      <c r="I494" s="29"/>
      <c r="J494" s="29"/>
      <c r="K494" s="29"/>
      <c r="L494" s="29"/>
      <c r="M494" s="29"/>
      <c r="N494" s="30"/>
      <c r="O494" s="29"/>
      <c r="P494" s="29"/>
      <c r="Q494" s="31"/>
      <c r="R494" s="31"/>
      <c r="S494" s="31"/>
    </row>
    <row r="495" spans="1:19" ht="20.5">
      <c r="A495" s="26"/>
      <c r="B495" s="27"/>
      <c r="C495" s="28"/>
      <c r="D495" s="28"/>
      <c r="E495" s="28"/>
      <c r="F495" s="28"/>
      <c r="G495" s="28"/>
      <c r="H495" s="28"/>
      <c r="I495" s="29"/>
      <c r="J495" s="29"/>
      <c r="K495" s="29"/>
      <c r="L495" s="29"/>
      <c r="M495" s="29"/>
      <c r="N495" s="30"/>
      <c r="O495" s="29"/>
      <c r="P495" s="29"/>
      <c r="Q495" s="31"/>
      <c r="R495" s="31"/>
      <c r="S495" s="31"/>
    </row>
    <row r="496" spans="1:19" ht="20.5">
      <c r="A496" s="26"/>
      <c r="B496" s="27"/>
      <c r="C496" s="28"/>
      <c r="D496" s="28"/>
      <c r="E496" s="28"/>
      <c r="F496" s="28"/>
      <c r="G496" s="28"/>
      <c r="H496" s="28"/>
      <c r="I496" s="29"/>
      <c r="J496" s="29"/>
      <c r="K496" s="29"/>
      <c r="L496" s="29"/>
      <c r="M496" s="29"/>
      <c r="N496" s="30"/>
      <c r="O496" s="29"/>
      <c r="P496" s="29"/>
      <c r="Q496" s="31"/>
      <c r="R496" s="31"/>
      <c r="S496" s="31"/>
    </row>
    <row r="497" spans="1:19" ht="20.5">
      <c r="A497" s="26"/>
      <c r="B497" s="27"/>
      <c r="C497" s="28"/>
      <c r="D497" s="28"/>
      <c r="E497" s="28"/>
      <c r="F497" s="28"/>
      <c r="G497" s="28"/>
      <c r="H497" s="28"/>
      <c r="I497" s="29"/>
      <c r="J497" s="29"/>
      <c r="K497" s="29"/>
      <c r="L497" s="29"/>
      <c r="M497" s="29"/>
      <c r="N497" s="30"/>
      <c r="O497" s="29"/>
      <c r="P497" s="29"/>
      <c r="Q497" s="31"/>
      <c r="R497" s="31"/>
      <c r="S497" s="31"/>
    </row>
    <row r="498" spans="1:19" ht="20.5">
      <c r="A498" s="26"/>
      <c r="B498" s="27"/>
      <c r="C498" s="28"/>
      <c r="D498" s="28"/>
      <c r="E498" s="28"/>
      <c r="F498" s="28"/>
      <c r="G498" s="28"/>
      <c r="H498" s="28"/>
      <c r="I498" s="29"/>
      <c r="J498" s="29"/>
      <c r="K498" s="29"/>
      <c r="L498" s="29"/>
      <c r="M498" s="29"/>
      <c r="N498" s="30"/>
      <c r="O498" s="29"/>
      <c r="P498" s="29"/>
      <c r="Q498" s="31"/>
      <c r="R498" s="31"/>
      <c r="S498" s="31"/>
    </row>
    <row r="499" spans="1:19" ht="20.5">
      <c r="A499" s="26"/>
      <c r="B499" s="27"/>
      <c r="C499" s="28"/>
      <c r="D499" s="28"/>
      <c r="E499" s="28"/>
      <c r="F499" s="28"/>
      <c r="G499" s="28"/>
      <c r="H499" s="28"/>
      <c r="I499" s="29"/>
      <c r="J499" s="29"/>
      <c r="K499" s="29"/>
      <c r="L499" s="29"/>
      <c r="M499" s="29"/>
      <c r="N499" s="30"/>
      <c r="O499" s="29"/>
      <c r="P499" s="29"/>
      <c r="Q499" s="31"/>
      <c r="R499" s="31"/>
      <c r="S499" s="31"/>
    </row>
    <row r="500" spans="1:19" ht="20.5">
      <c r="A500" s="26"/>
      <c r="B500" s="27"/>
      <c r="C500" s="28"/>
      <c r="D500" s="28"/>
      <c r="E500" s="28"/>
      <c r="F500" s="28"/>
      <c r="G500" s="28"/>
      <c r="H500" s="28"/>
      <c r="I500" s="29"/>
      <c r="J500" s="29"/>
      <c r="K500" s="29"/>
      <c r="L500" s="29"/>
      <c r="M500" s="29"/>
      <c r="N500" s="30"/>
      <c r="O500" s="29"/>
      <c r="P500" s="29"/>
      <c r="Q500" s="31"/>
      <c r="R500" s="31"/>
      <c r="S500" s="31"/>
    </row>
    <row r="501" spans="1:19" ht="20.5">
      <c r="A501" s="26"/>
      <c r="B501" s="27"/>
      <c r="C501" s="28"/>
      <c r="D501" s="28"/>
      <c r="E501" s="28"/>
      <c r="F501" s="28"/>
      <c r="G501" s="28"/>
      <c r="H501" s="28"/>
      <c r="I501" s="29"/>
      <c r="J501" s="29"/>
      <c r="K501" s="29"/>
      <c r="L501" s="29"/>
      <c r="M501" s="29"/>
      <c r="N501" s="30"/>
      <c r="O501" s="29"/>
      <c r="P501" s="29"/>
      <c r="Q501" s="31"/>
      <c r="R501" s="31"/>
      <c r="S501" s="31"/>
    </row>
    <row r="502" spans="1:19" ht="20.5">
      <c r="A502" s="26"/>
      <c r="B502" s="27"/>
      <c r="C502" s="28"/>
      <c r="D502" s="28"/>
      <c r="E502" s="28"/>
      <c r="F502" s="28"/>
      <c r="G502" s="28"/>
      <c r="H502" s="28"/>
      <c r="I502" s="29"/>
      <c r="J502" s="29"/>
      <c r="K502" s="29"/>
      <c r="L502" s="29"/>
      <c r="M502" s="29"/>
      <c r="N502" s="30"/>
      <c r="O502" s="29"/>
      <c r="P502" s="29"/>
      <c r="Q502" s="31"/>
      <c r="R502" s="31"/>
      <c r="S502" s="31"/>
    </row>
    <row r="503" spans="1:19" ht="20.5">
      <c r="A503" s="26"/>
      <c r="B503" s="27"/>
      <c r="C503" s="28"/>
      <c r="D503" s="28"/>
      <c r="E503" s="28"/>
      <c r="F503" s="28"/>
      <c r="G503" s="28"/>
      <c r="H503" s="28"/>
      <c r="I503" s="29"/>
      <c r="J503" s="29"/>
      <c r="K503" s="29"/>
      <c r="L503" s="29"/>
      <c r="M503" s="29"/>
      <c r="N503" s="30"/>
      <c r="O503" s="29"/>
      <c r="P503" s="29"/>
      <c r="Q503" s="31"/>
      <c r="R503" s="31"/>
      <c r="S503" s="31"/>
    </row>
    <row r="504" spans="1:19" ht="20.5">
      <c r="A504" s="26"/>
      <c r="B504" s="27"/>
      <c r="C504" s="28"/>
      <c r="D504" s="28"/>
      <c r="E504" s="28"/>
      <c r="F504" s="28"/>
      <c r="G504" s="28"/>
      <c r="H504" s="28"/>
      <c r="I504" s="29"/>
      <c r="J504" s="29"/>
      <c r="K504" s="29"/>
      <c r="L504" s="29"/>
      <c r="M504" s="29"/>
      <c r="N504" s="30"/>
      <c r="O504" s="29"/>
      <c r="P504" s="29"/>
      <c r="Q504" s="31"/>
      <c r="R504" s="31"/>
      <c r="S504" s="31"/>
    </row>
    <row r="505" spans="1:19" ht="20.5">
      <c r="A505" s="26"/>
      <c r="B505" s="27"/>
      <c r="C505" s="28"/>
      <c r="D505" s="28"/>
      <c r="E505" s="28"/>
      <c r="F505" s="28"/>
      <c r="G505" s="28"/>
      <c r="H505" s="28"/>
      <c r="I505" s="29"/>
      <c r="J505" s="29"/>
      <c r="K505" s="29"/>
      <c r="L505" s="29"/>
      <c r="M505" s="29"/>
      <c r="N505" s="30"/>
      <c r="O505" s="29"/>
      <c r="P505" s="29"/>
      <c r="Q505" s="31"/>
      <c r="R505" s="31"/>
      <c r="S505" s="31"/>
    </row>
    <row r="506" spans="1:19" ht="20.5">
      <c r="A506" s="26"/>
      <c r="B506" s="27"/>
      <c r="C506" s="28"/>
      <c r="D506" s="28"/>
      <c r="E506" s="28"/>
      <c r="F506" s="28"/>
      <c r="G506" s="28"/>
      <c r="H506" s="28"/>
      <c r="I506" s="29"/>
      <c r="J506" s="29"/>
      <c r="K506" s="29"/>
      <c r="L506" s="29"/>
      <c r="M506" s="29"/>
      <c r="N506" s="30"/>
      <c r="O506" s="29"/>
      <c r="P506" s="29"/>
      <c r="Q506" s="31"/>
      <c r="R506" s="31"/>
      <c r="S506" s="31"/>
    </row>
    <row r="507" spans="1:19" ht="20.5">
      <c r="A507" s="26"/>
      <c r="B507" s="27"/>
      <c r="C507" s="28"/>
      <c r="D507" s="28"/>
      <c r="E507" s="28"/>
      <c r="F507" s="28"/>
      <c r="G507" s="28"/>
      <c r="H507" s="28"/>
      <c r="I507" s="29"/>
      <c r="J507" s="29"/>
      <c r="K507" s="29"/>
      <c r="L507" s="29"/>
      <c r="M507" s="29"/>
      <c r="N507" s="30"/>
      <c r="O507" s="29"/>
      <c r="P507" s="29"/>
      <c r="Q507" s="31"/>
      <c r="R507" s="31"/>
      <c r="S507" s="31"/>
    </row>
    <row r="508" spans="1:19" ht="20.5">
      <c r="A508" s="26"/>
      <c r="B508" s="27"/>
      <c r="C508" s="28"/>
      <c r="D508" s="28"/>
      <c r="E508" s="28"/>
      <c r="F508" s="28"/>
      <c r="G508" s="28"/>
      <c r="H508" s="28"/>
      <c r="I508" s="29"/>
      <c r="J508" s="29"/>
      <c r="K508" s="29"/>
      <c r="L508" s="29"/>
      <c r="M508" s="29"/>
      <c r="N508" s="30"/>
      <c r="O508" s="29"/>
      <c r="P508" s="29"/>
      <c r="Q508" s="31"/>
      <c r="R508" s="31"/>
      <c r="S508" s="31"/>
    </row>
    <row r="509" spans="1:19" ht="20.5">
      <c r="A509" s="26"/>
      <c r="B509" s="27"/>
      <c r="C509" s="28"/>
      <c r="D509" s="28"/>
      <c r="E509" s="28"/>
      <c r="F509" s="28"/>
      <c r="G509" s="28"/>
      <c r="H509" s="28"/>
      <c r="I509" s="29"/>
      <c r="J509" s="29"/>
      <c r="K509" s="29"/>
      <c r="L509" s="29"/>
      <c r="M509" s="29"/>
      <c r="N509" s="30"/>
      <c r="O509" s="29"/>
      <c r="P509" s="29"/>
      <c r="Q509" s="31"/>
      <c r="R509" s="31"/>
      <c r="S509" s="31"/>
    </row>
    <row r="510" spans="1:19" ht="20.5">
      <c r="A510" s="26"/>
      <c r="B510" s="27"/>
      <c r="C510" s="28"/>
      <c r="D510" s="28"/>
      <c r="E510" s="28"/>
      <c r="F510" s="28"/>
      <c r="G510" s="28"/>
      <c r="H510" s="28"/>
      <c r="I510" s="29"/>
      <c r="J510" s="29"/>
      <c r="K510" s="29"/>
      <c r="L510" s="29"/>
      <c r="M510" s="29"/>
      <c r="N510" s="30"/>
      <c r="O510" s="29"/>
      <c r="P510" s="29"/>
      <c r="Q510" s="31"/>
      <c r="R510" s="31"/>
      <c r="S510" s="31"/>
    </row>
    <row r="511" spans="1:19" ht="20.5">
      <c r="A511" s="26"/>
      <c r="B511" s="27"/>
      <c r="C511" s="28"/>
      <c r="D511" s="28"/>
      <c r="E511" s="28"/>
      <c r="F511" s="28"/>
      <c r="G511" s="28"/>
      <c r="H511" s="28"/>
      <c r="I511" s="29"/>
      <c r="J511" s="29"/>
      <c r="K511" s="29"/>
      <c r="L511" s="29"/>
      <c r="M511" s="29"/>
      <c r="N511" s="30"/>
      <c r="O511" s="29"/>
      <c r="P511" s="29"/>
      <c r="Q511" s="31"/>
      <c r="R511" s="31"/>
      <c r="S511" s="31"/>
    </row>
    <row r="512" spans="1:19" ht="20.5">
      <c r="A512" s="26"/>
      <c r="B512" s="27"/>
      <c r="C512" s="28"/>
      <c r="D512" s="28"/>
      <c r="E512" s="28"/>
      <c r="F512" s="28"/>
      <c r="G512" s="28"/>
      <c r="H512" s="28"/>
      <c r="I512" s="29"/>
      <c r="J512" s="29"/>
      <c r="K512" s="29"/>
      <c r="L512" s="29"/>
      <c r="M512" s="29"/>
      <c r="N512" s="30"/>
      <c r="O512" s="29"/>
      <c r="P512" s="29"/>
      <c r="Q512" s="31"/>
      <c r="R512" s="31"/>
      <c r="S512" s="31"/>
    </row>
    <row r="513" spans="1:19" ht="20.5">
      <c r="A513" s="26"/>
      <c r="B513" s="27"/>
      <c r="C513" s="28"/>
      <c r="D513" s="28"/>
      <c r="E513" s="28"/>
      <c r="F513" s="28"/>
      <c r="G513" s="28"/>
      <c r="H513" s="28"/>
      <c r="I513" s="29"/>
      <c r="J513" s="29"/>
      <c r="K513" s="29"/>
      <c r="L513" s="29"/>
      <c r="M513" s="29"/>
      <c r="N513" s="30"/>
      <c r="O513" s="29"/>
      <c r="P513" s="29"/>
      <c r="Q513" s="31"/>
      <c r="R513" s="31"/>
      <c r="S513" s="31"/>
    </row>
    <row r="514" spans="1:19" ht="20.5">
      <c r="A514" s="26"/>
      <c r="B514" s="27"/>
      <c r="C514" s="28"/>
      <c r="D514" s="28"/>
      <c r="E514" s="28"/>
      <c r="F514" s="28"/>
      <c r="G514" s="28"/>
      <c r="H514" s="28"/>
      <c r="I514" s="29"/>
      <c r="J514" s="29"/>
      <c r="K514" s="29"/>
      <c r="L514" s="29"/>
      <c r="M514" s="29"/>
      <c r="N514" s="30"/>
      <c r="O514" s="29"/>
      <c r="P514" s="29"/>
      <c r="Q514" s="31"/>
      <c r="R514" s="31"/>
      <c r="S514" s="31"/>
    </row>
    <row r="515" spans="1:19" ht="20.5">
      <c r="A515" s="26"/>
      <c r="B515" s="27"/>
      <c r="C515" s="28"/>
      <c r="D515" s="28"/>
      <c r="E515" s="28"/>
      <c r="F515" s="28"/>
      <c r="G515" s="28"/>
      <c r="H515" s="28"/>
      <c r="I515" s="29"/>
      <c r="J515" s="29"/>
      <c r="K515" s="29"/>
      <c r="L515" s="29"/>
      <c r="M515" s="29"/>
      <c r="N515" s="30"/>
      <c r="O515" s="29"/>
      <c r="P515" s="29"/>
      <c r="Q515" s="31"/>
      <c r="R515" s="31"/>
      <c r="S515" s="31"/>
    </row>
    <row r="516" spans="1:19" ht="20.5">
      <c r="A516" s="26"/>
      <c r="B516" s="27"/>
      <c r="C516" s="28"/>
      <c r="D516" s="28"/>
      <c r="E516" s="28"/>
      <c r="F516" s="28"/>
      <c r="G516" s="28"/>
      <c r="H516" s="28"/>
      <c r="I516" s="29"/>
      <c r="J516" s="29"/>
      <c r="K516" s="29"/>
      <c r="L516" s="29"/>
      <c r="M516" s="29"/>
      <c r="N516" s="30"/>
      <c r="O516" s="29"/>
      <c r="P516" s="29"/>
      <c r="Q516" s="31"/>
      <c r="R516" s="31"/>
      <c r="S516" s="31"/>
    </row>
    <row r="517" spans="1:19" ht="20.5">
      <c r="A517" s="26"/>
      <c r="B517" s="27"/>
      <c r="C517" s="28"/>
      <c r="D517" s="28"/>
      <c r="E517" s="28"/>
      <c r="F517" s="28"/>
      <c r="G517" s="28"/>
      <c r="H517" s="28"/>
      <c r="I517" s="29"/>
      <c r="J517" s="29"/>
      <c r="K517" s="29"/>
      <c r="L517" s="29"/>
      <c r="M517" s="29"/>
      <c r="N517" s="30"/>
      <c r="O517" s="29"/>
      <c r="P517" s="29"/>
      <c r="Q517" s="31"/>
      <c r="R517" s="31"/>
      <c r="S517" s="31"/>
    </row>
    <row r="518" spans="1:19" ht="20.5">
      <c r="A518" s="26"/>
      <c r="B518" s="27"/>
      <c r="C518" s="28"/>
      <c r="D518" s="28"/>
      <c r="E518" s="28"/>
      <c r="F518" s="28"/>
      <c r="G518" s="28"/>
      <c r="H518" s="28"/>
      <c r="I518" s="29"/>
      <c r="J518" s="29"/>
      <c r="K518" s="29"/>
      <c r="L518" s="29"/>
      <c r="M518" s="29"/>
      <c r="N518" s="30"/>
      <c r="O518" s="29"/>
      <c r="P518" s="29"/>
      <c r="Q518" s="31"/>
      <c r="R518" s="31"/>
      <c r="S518" s="31"/>
    </row>
    <row r="519" spans="1:19" ht="20.5">
      <c r="A519" s="26"/>
      <c r="B519" s="27"/>
      <c r="C519" s="28"/>
      <c r="D519" s="28"/>
      <c r="E519" s="28"/>
      <c r="F519" s="28"/>
      <c r="G519" s="28"/>
      <c r="H519" s="28"/>
      <c r="I519" s="29"/>
      <c r="J519" s="29"/>
      <c r="K519" s="29"/>
      <c r="L519" s="29"/>
      <c r="M519" s="29"/>
      <c r="N519" s="30"/>
      <c r="O519" s="29"/>
      <c r="P519" s="29"/>
      <c r="Q519" s="31"/>
      <c r="R519" s="31"/>
      <c r="S519" s="31"/>
    </row>
    <row r="520" spans="1:19" ht="20.5">
      <c r="A520" s="26"/>
      <c r="B520" s="27"/>
      <c r="C520" s="28"/>
      <c r="D520" s="28"/>
      <c r="E520" s="28"/>
      <c r="F520" s="28"/>
      <c r="G520" s="28"/>
      <c r="H520" s="28"/>
      <c r="I520" s="29"/>
      <c r="J520" s="29"/>
      <c r="K520" s="29"/>
      <c r="L520" s="29"/>
      <c r="M520" s="29"/>
      <c r="N520" s="30"/>
      <c r="O520" s="29"/>
      <c r="P520" s="29"/>
      <c r="Q520" s="31"/>
      <c r="R520" s="31"/>
      <c r="S520" s="31"/>
    </row>
    <row r="521" spans="1:19" ht="20.5">
      <c r="A521" s="26"/>
      <c r="B521" s="27"/>
      <c r="C521" s="28"/>
      <c r="D521" s="28"/>
      <c r="E521" s="28"/>
      <c r="F521" s="28"/>
      <c r="G521" s="28"/>
      <c r="H521" s="28"/>
      <c r="I521" s="29"/>
      <c r="J521" s="29"/>
      <c r="K521" s="29"/>
      <c r="L521" s="29"/>
      <c r="M521" s="29"/>
      <c r="N521" s="30"/>
      <c r="O521" s="29"/>
      <c r="P521" s="29"/>
      <c r="Q521" s="31"/>
      <c r="R521" s="31"/>
      <c r="S521" s="31"/>
    </row>
    <row r="522" spans="1:19" ht="20.5">
      <c r="A522" s="26"/>
      <c r="B522" s="27"/>
      <c r="C522" s="28"/>
      <c r="D522" s="28"/>
      <c r="E522" s="28"/>
      <c r="F522" s="28"/>
      <c r="G522" s="28"/>
      <c r="H522" s="28"/>
      <c r="I522" s="29"/>
      <c r="J522" s="29"/>
      <c r="K522" s="29"/>
      <c r="L522" s="29"/>
      <c r="M522" s="29"/>
      <c r="N522" s="30"/>
      <c r="O522" s="29"/>
      <c r="P522" s="29"/>
      <c r="Q522" s="31"/>
      <c r="R522" s="31"/>
      <c r="S522" s="31"/>
    </row>
    <row r="523" spans="1:19" ht="20.5">
      <c r="A523" s="26"/>
      <c r="B523" s="27"/>
      <c r="C523" s="28"/>
      <c r="D523" s="28"/>
      <c r="E523" s="28"/>
      <c r="F523" s="28"/>
      <c r="G523" s="28"/>
      <c r="H523" s="28"/>
      <c r="I523" s="29"/>
      <c r="J523" s="29"/>
      <c r="K523" s="29"/>
      <c r="L523" s="29"/>
      <c r="M523" s="29"/>
      <c r="N523" s="30"/>
      <c r="O523" s="29"/>
      <c r="P523" s="29"/>
      <c r="Q523" s="31"/>
      <c r="R523" s="31"/>
      <c r="S523" s="31"/>
    </row>
    <row r="524" spans="1:19" ht="20.5">
      <c r="A524" s="26"/>
      <c r="B524" s="27"/>
      <c r="C524" s="28"/>
      <c r="D524" s="28"/>
      <c r="E524" s="28"/>
      <c r="F524" s="28"/>
      <c r="G524" s="28"/>
      <c r="H524" s="28"/>
      <c r="I524" s="29"/>
      <c r="J524" s="29"/>
      <c r="K524" s="29"/>
      <c r="L524" s="29"/>
      <c r="M524" s="29"/>
      <c r="N524" s="30"/>
      <c r="O524" s="29"/>
      <c r="P524" s="29"/>
      <c r="Q524" s="31"/>
      <c r="R524" s="31"/>
      <c r="S524" s="31"/>
    </row>
    <row r="525" spans="1:19" ht="20.5">
      <c r="A525" s="26"/>
      <c r="B525" s="27"/>
      <c r="C525" s="28"/>
      <c r="D525" s="28"/>
      <c r="E525" s="28"/>
      <c r="F525" s="28"/>
      <c r="G525" s="28"/>
      <c r="H525" s="28"/>
      <c r="I525" s="29"/>
      <c r="J525" s="29"/>
      <c r="K525" s="29"/>
      <c r="L525" s="29"/>
      <c r="M525" s="29"/>
      <c r="N525" s="30"/>
      <c r="O525" s="29"/>
      <c r="P525" s="29"/>
      <c r="Q525" s="31"/>
      <c r="R525" s="31"/>
      <c r="S525" s="31"/>
    </row>
    <row r="526" spans="1:19" ht="20.5">
      <c r="A526" s="26"/>
      <c r="B526" s="27"/>
      <c r="C526" s="28"/>
      <c r="D526" s="28"/>
      <c r="E526" s="28"/>
      <c r="F526" s="28"/>
      <c r="G526" s="28"/>
      <c r="H526" s="28"/>
      <c r="I526" s="29"/>
      <c r="J526" s="29"/>
      <c r="K526" s="29"/>
      <c r="L526" s="29"/>
      <c r="M526" s="29"/>
      <c r="N526" s="30"/>
      <c r="O526" s="29"/>
      <c r="P526" s="29"/>
      <c r="Q526" s="31"/>
      <c r="R526" s="31"/>
      <c r="S526" s="31"/>
    </row>
    <row r="527" spans="1:19" ht="20.5">
      <c r="A527" s="26"/>
      <c r="B527" s="27"/>
      <c r="C527" s="28"/>
      <c r="D527" s="28"/>
      <c r="E527" s="28"/>
      <c r="F527" s="28"/>
      <c r="G527" s="28"/>
      <c r="H527" s="28"/>
      <c r="I527" s="29"/>
      <c r="J527" s="29"/>
      <c r="K527" s="29"/>
      <c r="L527" s="29"/>
      <c r="M527" s="29"/>
      <c r="N527" s="30"/>
      <c r="O527" s="29"/>
      <c r="P527" s="29"/>
      <c r="Q527" s="31"/>
      <c r="R527" s="31"/>
      <c r="S527" s="31"/>
    </row>
    <row r="528" spans="1:19" ht="20.5">
      <c r="A528" s="26"/>
      <c r="B528" s="27"/>
      <c r="C528" s="28"/>
      <c r="D528" s="28"/>
      <c r="E528" s="28"/>
      <c r="F528" s="28"/>
      <c r="G528" s="28"/>
      <c r="H528" s="28"/>
      <c r="I528" s="29"/>
      <c r="J528" s="29"/>
      <c r="K528" s="29"/>
      <c r="L528" s="29"/>
      <c r="M528" s="29"/>
      <c r="N528" s="30"/>
      <c r="O528" s="29"/>
      <c r="P528" s="29"/>
      <c r="Q528" s="31"/>
      <c r="R528" s="31"/>
      <c r="S528" s="31"/>
    </row>
    <row r="529" spans="1:19" ht="20.5">
      <c r="A529" s="26"/>
      <c r="B529" s="27"/>
      <c r="C529" s="28"/>
      <c r="D529" s="28"/>
      <c r="E529" s="28"/>
      <c r="F529" s="28"/>
      <c r="G529" s="28"/>
      <c r="H529" s="28"/>
      <c r="I529" s="29"/>
      <c r="J529" s="29"/>
      <c r="K529" s="29"/>
      <c r="L529" s="29"/>
      <c r="M529" s="29"/>
      <c r="N529" s="30"/>
      <c r="O529" s="29"/>
      <c r="P529" s="29"/>
      <c r="Q529" s="31"/>
      <c r="R529" s="31"/>
      <c r="S529" s="31"/>
    </row>
    <row r="530" spans="1:19" ht="20.5">
      <c r="A530" s="26"/>
      <c r="B530" s="27"/>
      <c r="C530" s="28"/>
      <c r="D530" s="28"/>
      <c r="E530" s="28"/>
      <c r="F530" s="28"/>
      <c r="G530" s="28"/>
      <c r="H530" s="28"/>
      <c r="I530" s="29"/>
      <c r="J530" s="29"/>
      <c r="K530" s="29"/>
      <c r="L530" s="29"/>
      <c r="M530" s="29"/>
      <c r="N530" s="30"/>
      <c r="O530" s="29"/>
      <c r="P530" s="29"/>
      <c r="Q530" s="31"/>
      <c r="R530" s="31"/>
      <c r="S530" s="31"/>
    </row>
    <row r="531" spans="1:19" ht="20.5">
      <c r="A531" s="26"/>
      <c r="B531" s="27"/>
      <c r="C531" s="28"/>
      <c r="D531" s="28"/>
      <c r="E531" s="28"/>
      <c r="F531" s="28"/>
      <c r="G531" s="28"/>
      <c r="H531" s="28"/>
      <c r="I531" s="29"/>
      <c r="J531" s="29"/>
      <c r="K531" s="29"/>
      <c r="L531" s="29"/>
      <c r="M531" s="29"/>
      <c r="N531" s="30"/>
      <c r="O531" s="29"/>
      <c r="P531" s="29"/>
      <c r="Q531" s="31"/>
      <c r="R531" s="31"/>
      <c r="S531" s="31"/>
    </row>
    <row r="532" spans="1:19" ht="20.5">
      <c r="A532" s="26"/>
      <c r="B532" s="27"/>
      <c r="C532" s="28"/>
      <c r="D532" s="28"/>
      <c r="E532" s="28"/>
      <c r="F532" s="28"/>
      <c r="G532" s="28"/>
      <c r="H532" s="28"/>
      <c r="I532" s="29"/>
      <c r="J532" s="29"/>
      <c r="K532" s="29"/>
      <c r="L532" s="29"/>
      <c r="M532" s="29"/>
      <c r="N532" s="30"/>
      <c r="O532" s="29"/>
      <c r="P532" s="29"/>
      <c r="Q532" s="31"/>
      <c r="R532" s="31"/>
      <c r="S532" s="31"/>
    </row>
    <row r="533" spans="1:19" ht="20.5">
      <c r="A533" s="26"/>
      <c r="B533" s="27"/>
      <c r="C533" s="28"/>
      <c r="D533" s="28"/>
      <c r="E533" s="28"/>
      <c r="F533" s="28"/>
      <c r="G533" s="28"/>
      <c r="H533" s="28"/>
      <c r="I533" s="29"/>
      <c r="J533" s="29"/>
      <c r="K533" s="29"/>
      <c r="L533" s="29"/>
      <c r="M533" s="29"/>
      <c r="N533" s="30"/>
      <c r="O533" s="29"/>
      <c r="P533" s="29"/>
      <c r="Q533" s="31"/>
      <c r="R533" s="31"/>
      <c r="S533" s="31"/>
    </row>
    <row r="534" spans="1:19" ht="20.5">
      <c r="A534" s="26"/>
      <c r="B534" s="27"/>
      <c r="C534" s="28"/>
      <c r="D534" s="28"/>
      <c r="E534" s="28"/>
      <c r="F534" s="28"/>
      <c r="G534" s="28"/>
      <c r="H534" s="28"/>
      <c r="I534" s="29"/>
      <c r="J534" s="29"/>
      <c r="K534" s="29"/>
      <c r="L534" s="29"/>
      <c r="M534" s="29"/>
      <c r="N534" s="30"/>
      <c r="O534" s="29"/>
      <c r="P534" s="29"/>
      <c r="Q534" s="31"/>
      <c r="R534" s="31"/>
      <c r="S534" s="31"/>
    </row>
    <row r="535" spans="1:19" ht="20.5">
      <c r="A535" s="26"/>
      <c r="B535" s="27"/>
      <c r="C535" s="28"/>
      <c r="D535" s="28"/>
      <c r="E535" s="28"/>
      <c r="F535" s="28"/>
      <c r="G535" s="28"/>
      <c r="H535" s="28"/>
      <c r="I535" s="29"/>
      <c r="J535" s="29"/>
      <c r="K535" s="29"/>
      <c r="L535" s="29"/>
      <c r="M535" s="29"/>
      <c r="N535" s="30"/>
      <c r="O535" s="29"/>
      <c r="P535" s="29"/>
      <c r="Q535" s="31"/>
      <c r="R535" s="31"/>
      <c r="S535" s="31"/>
    </row>
    <row r="536" spans="1:19" ht="20.5">
      <c r="A536" s="26"/>
      <c r="B536" s="27"/>
      <c r="C536" s="28"/>
      <c r="D536" s="28"/>
      <c r="E536" s="28"/>
      <c r="F536" s="28"/>
      <c r="G536" s="28"/>
      <c r="H536" s="28"/>
      <c r="I536" s="29"/>
      <c r="J536" s="29"/>
      <c r="K536" s="29"/>
      <c r="L536" s="29"/>
      <c r="M536" s="29"/>
      <c r="N536" s="30"/>
      <c r="O536" s="29"/>
      <c r="P536" s="29"/>
      <c r="Q536" s="31"/>
      <c r="R536" s="31"/>
      <c r="S536" s="31"/>
    </row>
    <row r="537" spans="1:19" ht="20.5">
      <c r="A537" s="26"/>
      <c r="B537" s="27"/>
      <c r="C537" s="28"/>
      <c r="D537" s="28"/>
      <c r="E537" s="28"/>
      <c r="F537" s="28"/>
      <c r="G537" s="28"/>
      <c r="H537" s="28"/>
      <c r="I537" s="29"/>
      <c r="J537" s="29"/>
      <c r="K537" s="29"/>
      <c r="L537" s="29"/>
      <c r="M537" s="29"/>
      <c r="N537" s="30"/>
      <c r="O537" s="29"/>
      <c r="P537" s="29"/>
      <c r="Q537" s="31"/>
      <c r="R537" s="31"/>
      <c r="S537" s="31"/>
    </row>
    <row r="538" spans="1:19" ht="20.5">
      <c r="A538" s="26"/>
      <c r="B538" s="27"/>
      <c r="C538" s="28"/>
      <c r="D538" s="28"/>
      <c r="E538" s="28"/>
      <c r="F538" s="28"/>
      <c r="G538" s="28"/>
      <c r="H538" s="28"/>
      <c r="I538" s="29"/>
      <c r="J538" s="29"/>
      <c r="K538" s="29"/>
      <c r="L538" s="29"/>
      <c r="M538" s="29"/>
      <c r="N538" s="30"/>
      <c r="O538" s="29"/>
      <c r="P538" s="29"/>
      <c r="Q538" s="31"/>
      <c r="R538" s="31"/>
      <c r="S538" s="31"/>
    </row>
    <row r="539" spans="1:19" ht="20.5">
      <c r="A539" s="26"/>
      <c r="B539" s="27"/>
      <c r="C539" s="28"/>
      <c r="D539" s="28"/>
      <c r="E539" s="28"/>
      <c r="F539" s="28"/>
      <c r="G539" s="28"/>
      <c r="H539" s="28"/>
      <c r="I539" s="29"/>
      <c r="J539" s="29"/>
      <c r="K539" s="29"/>
      <c r="L539" s="29"/>
      <c r="M539" s="29"/>
      <c r="N539" s="30"/>
      <c r="O539" s="29"/>
      <c r="P539" s="29"/>
      <c r="Q539" s="31"/>
      <c r="R539" s="31"/>
      <c r="S539" s="31"/>
    </row>
    <row r="540" spans="1:19" ht="20.5">
      <c r="A540" s="26"/>
      <c r="B540" s="27"/>
      <c r="C540" s="28"/>
      <c r="D540" s="28"/>
      <c r="E540" s="28"/>
      <c r="F540" s="28"/>
      <c r="G540" s="28"/>
      <c r="H540" s="28"/>
      <c r="I540" s="29"/>
      <c r="J540" s="29"/>
      <c r="K540" s="29"/>
      <c r="L540" s="29"/>
      <c r="M540" s="29"/>
      <c r="N540" s="30"/>
      <c r="O540" s="29"/>
      <c r="P540" s="29"/>
      <c r="Q540" s="31"/>
      <c r="R540" s="31"/>
      <c r="S540" s="31"/>
    </row>
    <row r="541" spans="1:19" ht="20.5">
      <c r="A541" s="26"/>
      <c r="B541" s="27"/>
      <c r="C541" s="28"/>
      <c r="D541" s="28"/>
      <c r="E541" s="28"/>
      <c r="F541" s="28"/>
      <c r="G541" s="28"/>
      <c r="H541" s="28"/>
      <c r="I541" s="29"/>
      <c r="J541" s="29"/>
      <c r="K541" s="29"/>
      <c r="L541" s="29"/>
      <c r="M541" s="29"/>
      <c r="N541" s="30"/>
      <c r="O541" s="29"/>
      <c r="P541" s="29"/>
      <c r="Q541" s="31"/>
      <c r="R541" s="31"/>
      <c r="S541" s="31"/>
    </row>
    <row r="542" spans="1:19" ht="20.5">
      <c r="A542" s="26"/>
      <c r="B542" s="27"/>
      <c r="C542" s="28"/>
      <c r="D542" s="28"/>
      <c r="E542" s="28"/>
      <c r="F542" s="28"/>
      <c r="G542" s="28"/>
      <c r="H542" s="28"/>
      <c r="I542" s="29"/>
      <c r="J542" s="29"/>
      <c r="K542" s="29"/>
      <c r="L542" s="29"/>
      <c r="M542" s="29"/>
      <c r="N542" s="30"/>
      <c r="O542" s="29"/>
      <c r="P542" s="29"/>
      <c r="Q542" s="31"/>
      <c r="R542" s="31"/>
      <c r="S542" s="31"/>
    </row>
    <row r="543" spans="1:19" ht="20.5">
      <c r="A543" s="26"/>
      <c r="B543" s="27"/>
      <c r="C543" s="28"/>
      <c r="D543" s="28"/>
      <c r="E543" s="28"/>
      <c r="F543" s="28"/>
      <c r="G543" s="28"/>
      <c r="H543" s="28"/>
      <c r="I543" s="29"/>
      <c r="J543" s="29"/>
      <c r="K543" s="29"/>
      <c r="L543" s="29"/>
      <c r="M543" s="29"/>
      <c r="N543" s="30"/>
      <c r="O543" s="29"/>
      <c r="P543" s="29"/>
      <c r="Q543" s="31"/>
      <c r="R543" s="31"/>
      <c r="S543" s="31"/>
    </row>
    <row r="544" spans="1:19" ht="20.5">
      <c r="A544" s="26"/>
      <c r="B544" s="27"/>
      <c r="C544" s="28"/>
      <c r="D544" s="28"/>
      <c r="E544" s="28"/>
      <c r="F544" s="28"/>
      <c r="G544" s="28"/>
      <c r="H544" s="28"/>
      <c r="I544" s="29"/>
      <c r="J544" s="29"/>
      <c r="K544" s="29"/>
      <c r="L544" s="29"/>
      <c r="M544" s="29"/>
      <c r="N544" s="30"/>
      <c r="O544" s="29"/>
      <c r="P544" s="29"/>
      <c r="Q544" s="31"/>
      <c r="R544" s="31"/>
      <c r="S544" s="31"/>
    </row>
    <row r="545" spans="1:19" ht="20.5">
      <c r="A545" s="26"/>
      <c r="B545" s="27"/>
      <c r="C545" s="28"/>
      <c r="D545" s="28"/>
      <c r="E545" s="28"/>
      <c r="F545" s="28"/>
      <c r="G545" s="28"/>
      <c r="H545" s="28"/>
      <c r="I545" s="29"/>
      <c r="J545" s="29"/>
      <c r="K545" s="29"/>
      <c r="L545" s="29"/>
      <c r="M545" s="29"/>
      <c r="N545" s="30"/>
      <c r="O545" s="29"/>
      <c r="P545" s="29"/>
      <c r="Q545" s="31"/>
      <c r="R545" s="31"/>
      <c r="S545" s="31"/>
    </row>
    <row r="546" spans="1:19" ht="20.5">
      <c r="A546" s="26"/>
      <c r="B546" s="27"/>
      <c r="C546" s="28"/>
      <c r="D546" s="28"/>
      <c r="E546" s="28"/>
      <c r="F546" s="28"/>
      <c r="G546" s="28"/>
      <c r="H546" s="28"/>
      <c r="I546" s="29"/>
      <c r="J546" s="29"/>
      <c r="K546" s="29"/>
      <c r="L546" s="29"/>
      <c r="M546" s="29"/>
      <c r="N546" s="30"/>
      <c r="O546" s="29"/>
      <c r="P546" s="29"/>
      <c r="Q546" s="31"/>
      <c r="R546" s="31"/>
      <c r="S546" s="31"/>
    </row>
    <row r="547" spans="1:19" ht="20.5">
      <c r="A547" s="26"/>
      <c r="B547" s="27"/>
      <c r="C547" s="28"/>
      <c r="D547" s="28"/>
      <c r="E547" s="28"/>
      <c r="F547" s="28"/>
      <c r="G547" s="28"/>
      <c r="H547" s="28"/>
      <c r="I547" s="29"/>
      <c r="J547" s="29"/>
      <c r="K547" s="29"/>
      <c r="L547" s="29"/>
      <c r="M547" s="29"/>
      <c r="N547" s="30"/>
      <c r="O547" s="29"/>
      <c r="P547" s="29"/>
      <c r="Q547" s="31"/>
      <c r="R547" s="31"/>
      <c r="S547" s="31"/>
    </row>
    <row r="548" spans="1:19" ht="20.5">
      <c r="A548" s="26"/>
      <c r="B548" s="27"/>
      <c r="C548" s="28"/>
      <c r="D548" s="28"/>
      <c r="E548" s="28"/>
      <c r="F548" s="28"/>
      <c r="G548" s="28"/>
      <c r="H548" s="28"/>
      <c r="I548" s="29"/>
      <c r="J548" s="29"/>
      <c r="K548" s="29"/>
      <c r="L548" s="29"/>
      <c r="M548" s="29"/>
      <c r="N548" s="30"/>
      <c r="O548" s="29"/>
      <c r="P548" s="29"/>
      <c r="Q548" s="31"/>
      <c r="R548" s="31"/>
      <c r="S548" s="31"/>
    </row>
    <row r="549" spans="1:19" ht="20.5">
      <c r="A549" s="26"/>
      <c r="B549" s="27"/>
      <c r="C549" s="28"/>
      <c r="D549" s="28"/>
      <c r="E549" s="28"/>
      <c r="F549" s="28"/>
      <c r="G549" s="28"/>
      <c r="H549" s="28"/>
      <c r="I549" s="29"/>
      <c r="J549" s="29"/>
      <c r="K549" s="29"/>
      <c r="L549" s="29"/>
      <c r="M549" s="29"/>
      <c r="N549" s="30"/>
      <c r="O549" s="29"/>
      <c r="P549" s="29"/>
      <c r="Q549" s="31"/>
      <c r="R549" s="31"/>
      <c r="S549" s="31"/>
    </row>
    <row r="550" spans="1:19" ht="20.5">
      <c r="A550" s="26"/>
      <c r="B550" s="27"/>
      <c r="C550" s="28"/>
      <c r="D550" s="28"/>
      <c r="E550" s="28"/>
      <c r="F550" s="28"/>
      <c r="G550" s="28"/>
      <c r="H550" s="28"/>
      <c r="I550" s="29"/>
      <c r="J550" s="29"/>
      <c r="K550" s="29"/>
      <c r="L550" s="29"/>
      <c r="M550" s="29"/>
      <c r="N550" s="30"/>
      <c r="O550" s="29"/>
      <c r="P550" s="29"/>
      <c r="Q550" s="31"/>
      <c r="R550" s="31"/>
      <c r="S550" s="31"/>
    </row>
    <row r="551" spans="1:19" ht="20.5">
      <c r="A551" s="26"/>
      <c r="B551" s="27"/>
      <c r="C551" s="28"/>
      <c r="D551" s="28"/>
      <c r="E551" s="28"/>
      <c r="F551" s="28"/>
      <c r="G551" s="28"/>
      <c r="H551" s="28"/>
      <c r="I551" s="29"/>
      <c r="J551" s="29"/>
      <c r="K551" s="29"/>
      <c r="L551" s="29"/>
      <c r="M551" s="29"/>
      <c r="N551" s="30"/>
      <c r="O551" s="29"/>
      <c r="P551" s="29"/>
      <c r="Q551" s="31"/>
      <c r="R551" s="31"/>
      <c r="S551" s="31"/>
    </row>
    <row r="552" spans="1:19" ht="20.5">
      <c r="A552" s="26"/>
      <c r="B552" s="27"/>
      <c r="C552" s="28"/>
      <c r="D552" s="28"/>
      <c r="E552" s="28"/>
      <c r="F552" s="28"/>
      <c r="G552" s="28"/>
      <c r="H552" s="28"/>
      <c r="I552" s="29"/>
      <c r="J552" s="29"/>
      <c r="K552" s="29"/>
      <c r="L552" s="29"/>
      <c r="M552" s="29"/>
      <c r="N552" s="30"/>
      <c r="O552" s="29"/>
      <c r="P552" s="29"/>
      <c r="Q552" s="31"/>
      <c r="R552" s="31"/>
      <c r="S552" s="31"/>
    </row>
    <row r="553" spans="1:19" ht="20.5">
      <c r="A553" s="26"/>
      <c r="B553" s="27"/>
      <c r="C553" s="28"/>
      <c r="D553" s="28"/>
      <c r="E553" s="28"/>
      <c r="F553" s="28"/>
      <c r="G553" s="28"/>
      <c r="H553" s="28"/>
      <c r="I553" s="29"/>
      <c r="J553" s="29"/>
      <c r="K553" s="29"/>
      <c r="L553" s="29"/>
      <c r="M553" s="29"/>
      <c r="N553" s="30"/>
      <c r="O553" s="29"/>
      <c r="P553" s="29"/>
      <c r="Q553" s="31"/>
      <c r="R553" s="31"/>
      <c r="S553" s="31"/>
    </row>
    <row r="554" spans="1:19" ht="20.5">
      <c r="A554" s="26"/>
      <c r="B554" s="27"/>
      <c r="C554" s="28"/>
      <c r="D554" s="28"/>
      <c r="E554" s="28"/>
      <c r="F554" s="28"/>
      <c r="G554" s="28"/>
      <c r="H554" s="28"/>
      <c r="I554" s="29"/>
      <c r="J554" s="29"/>
      <c r="K554" s="29"/>
      <c r="L554" s="29"/>
      <c r="M554" s="29"/>
      <c r="N554" s="30"/>
      <c r="O554" s="29"/>
      <c r="P554" s="29"/>
      <c r="Q554" s="31"/>
      <c r="R554" s="31"/>
      <c r="S554" s="31"/>
    </row>
    <row r="555" spans="1:19" ht="20.5">
      <c r="A555" s="26"/>
      <c r="B555" s="27"/>
      <c r="C555" s="28"/>
      <c r="D555" s="28"/>
      <c r="E555" s="28"/>
      <c r="F555" s="28"/>
      <c r="G555" s="28"/>
      <c r="H555" s="28"/>
      <c r="I555" s="29"/>
      <c r="J555" s="29"/>
      <c r="K555" s="29"/>
      <c r="L555" s="29"/>
      <c r="M555" s="29"/>
      <c r="N555" s="30"/>
      <c r="O555" s="29"/>
      <c r="P555" s="29"/>
      <c r="Q555" s="31"/>
      <c r="R555" s="31"/>
      <c r="S555" s="31"/>
    </row>
    <row r="556" spans="1:19" ht="20.5">
      <c r="A556" s="26"/>
      <c r="B556" s="27"/>
      <c r="C556" s="28"/>
      <c r="D556" s="28"/>
      <c r="E556" s="28"/>
      <c r="F556" s="28"/>
      <c r="G556" s="28"/>
      <c r="H556" s="28"/>
      <c r="I556" s="29"/>
      <c r="J556" s="29"/>
      <c r="K556" s="29"/>
      <c r="L556" s="29"/>
      <c r="M556" s="29"/>
      <c r="N556" s="30"/>
      <c r="O556" s="29"/>
      <c r="P556" s="29"/>
      <c r="Q556" s="31"/>
      <c r="R556" s="31"/>
      <c r="S556" s="31"/>
    </row>
    <row r="557" spans="1:19" ht="20.5">
      <c r="A557" s="26"/>
      <c r="B557" s="27"/>
      <c r="C557" s="28"/>
      <c r="D557" s="28"/>
      <c r="E557" s="28"/>
      <c r="F557" s="28"/>
      <c r="G557" s="28"/>
      <c r="H557" s="28"/>
      <c r="I557" s="29"/>
      <c r="J557" s="29"/>
      <c r="K557" s="29"/>
      <c r="L557" s="29"/>
      <c r="M557" s="29"/>
      <c r="N557" s="30"/>
      <c r="O557" s="29"/>
      <c r="P557" s="29"/>
      <c r="Q557" s="31"/>
      <c r="R557" s="31"/>
      <c r="S557" s="31"/>
    </row>
    <row r="558" spans="1:19" ht="20.5">
      <c r="A558" s="26"/>
      <c r="B558" s="27"/>
      <c r="C558" s="28"/>
      <c r="D558" s="28"/>
      <c r="E558" s="28"/>
      <c r="F558" s="28"/>
      <c r="G558" s="28"/>
      <c r="H558" s="28"/>
      <c r="I558" s="29"/>
      <c r="J558" s="29"/>
      <c r="K558" s="29"/>
      <c r="L558" s="29"/>
      <c r="M558" s="29"/>
      <c r="N558" s="30"/>
      <c r="O558" s="29"/>
      <c r="P558" s="29"/>
      <c r="Q558" s="31"/>
      <c r="R558" s="31"/>
      <c r="S558" s="31"/>
    </row>
    <row r="559" spans="1:19" ht="20.5">
      <c r="A559" s="26"/>
      <c r="B559" s="27"/>
      <c r="C559" s="28"/>
      <c r="D559" s="28"/>
      <c r="E559" s="28"/>
      <c r="F559" s="28"/>
      <c r="G559" s="28"/>
      <c r="H559" s="28"/>
      <c r="I559" s="29"/>
      <c r="J559" s="29"/>
      <c r="K559" s="29"/>
      <c r="L559" s="29"/>
      <c r="M559" s="29"/>
      <c r="N559" s="30"/>
      <c r="O559" s="29"/>
      <c r="P559" s="29"/>
      <c r="Q559" s="31"/>
      <c r="R559" s="31"/>
      <c r="S559" s="31"/>
    </row>
    <row r="560" spans="1:19" ht="20.5">
      <c r="A560" s="26"/>
      <c r="B560" s="27"/>
      <c r="C560" s="28"/>
      <c r="D560" s="28"/>
      <c r="E560" s="28"/>
      <c r="F560" s="28"/>
      <c r="G560" s="28"/>
      <c r="H560" s="28"/>
      <c r="I560" s="29"/>
      <c r="J560" s="29"/>
      <c r="K560" s="29"/>
      <c r="L560" s="29"/>
      <c r="M560" s="29"/>
      <c r="N560" s="30"/>
      <c r="O560" s="29"/>
      <c r="P560" s="29"/>
      <c r="Q560" s="31"/>
      <c r="R560" s="31"/>
      <c r="S560" s="31"/>
    </row>
    <row r="561" spans="1:19" ht="20.5">
      <c r="A561" s="26"/>
      <c r="B561" s="27"/>
      <c r="C561" s="28"/>
      <c r="D561" s="28"/>
      <c r="E561" s="28"/>
      <c r="F561" s="28"/>
      <c r="G561" s="28"/>
      <c r="H561" s="28"/>
      <c r="I561" s="29"/>
      <c r="J561" s="29"/>
      <c r="K561" s="29"/>
      <c r="L561" s="29"/>
      <c r="M561" s="29"/>
      <c r="N561" s="30"/>
      <c r="O561" s="29"/>
      <c r="P561" s="29"/>
      <c r="Q561" s="31"/>
      <c r="R561" s="31"/>
      <c r="S561" s="31"/>
    </row>
    <row r="562" spans="1:19" ht="20.5">
      <c r="A562" s="26"/>
      <c r="B562" s="27"/>
      <c r="C562" s="28"/>
      <c r="D562" s="28"/>
      <c r="E562" s="28"/>
      <c r="F562" s="28"/>
      <c r="G562" s="28"/>
      <c r="H562" s="28"/>
      <c r="I562" s="29"/>
      <c r="J562" s="29"/>
      <c r="K562" s="29"/>
      <c r="L562" s="29"/>
      <c r="M562" s="29"/>
      <c r="N562" s="30"/>
      <c r="O562" s="29"/>
      <c r="P562" s="29"/>
      <c r="Q562" s="31"/>
      <c r="R562" s="31"/>
      <c r="S562" s="31"/>
    </row>
    <row r="563" spans="1:19" ht="20.5">
      <c r="A563" s="26"/>
      <c r="B563" s="27"/>
      <c r="C563" s="28"/>
      <c r="D563" s="28"/>
      <c r="E563" s="28"/>
      <c r="F563" s="28"/>
      <c r="G563" s="28"/>
      <c r="H563" s="28"/>
      <c r="I563" s="29"/>
      <c r="J563" s="29"/>
      <c r="K563" s="29"/>
      <c r="L563" s="29"/>
      <c r="M563" s="29"/>
      <c r="N563" s="30"/>
      <c r="O563" s="29"/>
      <c r="P563" s="29"/>
      <c r="Q563" s="31"/>
      <c r="R563" s="31"/>
      <c r="S563" s="31"/>
    </row>
    <row r="564" spans="1:19" ht="20.5">
      <c r="A564" s="26"/>
      <c r="B564" s="27"/>
      <c r="C564" s="28"/>
      <c r="D564" s="28"/>
      <c r="E564" s="28"/>
      <c r="F564" s="28"/>
      <c r="G564" s="28"/>
      <c r="H564" s="28"/>
      <c r="I564" s="29"/>
      <c r="J564" s="29"/>
      <c r="K564" s="29"/>
      <c r="L564" s="29"/>
      <c r="M564" s="29"/>
      <c r="N564" s="30"/>
      <c r="O564" s="29"/>
      <c r="P564" s="29"/>
      <c r="Q564" s="31"/>
      <c r="R564" s="31"/>
      <c r="S564" s="31"/>
    </row>
    <row r="565" spans="1:19" ht="20.5">
      <c r="A565" s="26"/>
      <c r="B565" s="27"/>
      <c r="C565" s="28"/>
      <c r="D565" s="28"/>
      <c r="E565" s="28"/>
      <c r="F565" s="28"/>
      <c r="G565" s="28"/>
      <c r="H565" s="28"/>
      <c r="I565" s="29"/>
      <c r="J565" s="29"/>
      <c r="K565" s="29"/>
      <c r="L565" s="29"/>
      <c r="M565" s="29"/>
      <c r="N565" s="30"/>
      <c r="O565" s="29"/>
      <c r="P565" s="29"/>
      <c r="Q565" s="31"/>
      <c r="R565" s="31"/>
      <c r="S565" s="31"/>
    </row>
    <row r="566" spans="1:19" ht="20.5">
      <c r="A566" s="26"/>
      <c r="B566" s="27"/>
      <c r="C566" s="28"/>
      <c r="D566" s="28"/>
      <c r="E566" s="28"/>
      <c r="F566" s="28"/>
      <c r="G566" s="28"/>
      <c r="H566" s="28"/>
      <c r="I566" s="29"/>
      <c r="J566" s="29"/>
      <c r="K566" s="29"/>
      <c r="L566" s="29"/>
      <c r="M566" s="29"/>
      <c r="N566" s="30"/>
      <c r="O566" s="29"/>
      <c r="P566" s="29"/>
      <c r="Q566" s="31"/>
      <c r="R566" s="31"/>
      <c r="S566" s="31"/>
    </row>
    <row r="567" spans="1:19" ht="20.5">
      <c r="A567" s="26"/>
      <c r="B567" s="27"/>
      <c r="C567" s="28"/>
      <c r="D567" s="28"/>
      <c r="E567" s="28"/>
      <c r="F567" s="28"/>
      <c r="G567" s="28"/>
      <c r="H567" s="28"/>
      <c r="I567" s="29"/>
      <c r="J567" s="29"/>
      <c r="K567" s="29"/>
      <c r="L567" s="29"/>
      <c r="M567" s="29"/>
      <c r="N567" s="30"/>
      <c r="O567" s="29"/>
      <c r="P567" s="29"/>
      <c r="Q567" s="31"/>
      <c r="R567" s="31"/>
      <c r="S567" s="31"/>
    </row>
    <row r="568" spans="1:19" ht="20.5">
      <c r="A568" s="26"/>
      <c r="B568" s="27"/>
      <c r="C568" s="28"/>
      <c r="D568" s="28"/>
      <c r="E568" s="28"/>
      <c r="F568" s="28"/>
      <c r="G568" s="28"/>
      <c r="H568" s="28"/>
      <c r="I568" s="29"/>
      <c r="J568" s="29"/>
      <c r="K568" s="29"/>
      <c r="L568" s="29"/>
      <c r="M568" s="29"/>
      <c r="N568" s="30"/>
      <c r="O568" s="29"/>
      <c r="P568" s="29"/>
      <c r="Q568" s="31"/>
      <c r="R568" s="31"/>
      <c r="S568" s="31"/>
    </row>
    <row r="569" spans="1:19" ht="20.5">
      <c r="A569" s="26"/>
      <c r="B569" s="27"/>
      <c r="C569" s="28"/>
      <c r="D569" s="28"/>
      <c r="E569" s="28"/>
      <c r="F569" s="28"/>
      <c r="G569" s="28"/>
      <c r="H569" s="28"/>
      <c r="I569" s="29"/>
      <c r="J569" s="29"/>
      <c r="K569" s="29"/>
      <c r="L569" s="29"/>
      <c r="M569" s="29"/>
      <c r="N569" s="30"/>
      <c r="O569" s="29"/>
      <c r="P569" s="29"/>
      <c r="Q569" s="31"/>
      <c r="R569" s="31"/>
      <c r="S569" s="31"/>
    </row>
    <row r="570" spans="1:19" ht="20.5">
      <c r="A570" s="26"/>
      <c r="B570" s="27"/>
      <c r="C570" s="28"/>
      <c r="D570" s="28"/>
      <c r="E570" s="28"/>
      <c r="F570" s="28"/>
      <c r="G570" s="28"/>
      <c r="H570" s="28"/>
      <c r="I570" s="29"/>
      <c r="J570" s="29"/>
      <c r="K570" s="29"/>
      <c r="L570" s="29"/>
      <c r="M570" s="29"/>
      <c r="N570" s="30"/>
      <c r="O570" s="29"/>
      <c r="P570" s="29"/>
      <c r="Q570" s="31"/>
      <c r="R570" s="31"/>
      <c r="S570" s="31"/>
    </row>
    <row r="571" spans="1:19" ht="20.5">
      <c r="A571" s="26"/>
      <c r="B571" s="27"/>
      <c r="C571" s="28"/>
      <c r="D571" s="28"/>
      <c r="E571" s="28"/>
      <c r="F571" s="28"/>
      <c r="G571" s="28"/>
      <c r="H571" s="28"/>
      <c r="I571" s="29"/>
      <c r="J571" s="29"/>
      <c r="K571" s="29"/>
      <c r="L571" s="29"/>
      <c r="M571" s="29"/>
      <c r="N571" s="30"/>
      <c r="O571" s="29"/>
      <c r="P571" s="29"/>
      <c r="Q571" s="31"/>
      <c r="R571" s="31"/>
      <c r="S571" s="31"/>
    </row>
    <row r="572" spans="1:19" ht="20.5">
      <c r="A572" s="26"/>
      <c r="B572" s="27"/>
      <c r="C572" s="28"/>
      <c r="D572" s="28"/>
      <c r="E572" s="28"/>
      <c r="F572" s="28"/>
      <c r="G572" s="28"/>
      <c r="H572" s="28"/>
      <c r="I572" s="29"/>
      <c r="J572" s="29"/>
      <c r="K572" s="29"/>
      <c r="L572" s="29"/>
      <c r="M572" s="29"/>
      <c r="N572" s="30"/>
      <c r="O572" s="29"/>
      <c r="P572" s="29"/>
      <c r="Q572" s="31"/>
      <c r="R572" s="31"/>
      <c r="S572" s="31"/>
    </row>
    <row r="573" spans="1:19" ht="20.5">
      <c r="A573" s="26"/>
      <c r="B573" s="27"/>
      <c r="C573" s="28"/>
      <c r="D573" s="28"/>
      <c r="E573" s="28"/>
      <c r="F573" s="28"/>
      <c r="G573" s="28"/>
      <c r="H573" s="28"/>
      <c r="I573" s="29"/>
      <c r="J573" s="29"/>
      <c r="K573" s="29"/>
      <c r="L573" s="29"/>
      <c r="M573" s="29"/>
      <c r="N573" s="30"/>
      <c r="O573" s="29"/>
      <c r="P573" s="29"/>
      <c r="Q573" s="31"/>
      <c r="R573" s="31"/>
      <c r="S573" s="31"/>
    </row>
    <row r="574" spans="1:19" ht="20.5">
      <c r="A574" s="26"/>
      <c r="B574" s="27"/>
      <c r="C574" s="28"/>
      <c r="D574" s="28"/>
      <c r="E574" s="28"/>
      <c r="F574" s="28"/>
      <c r="G574" s="28"/>
      <c r="H574" s="28"/>
      <c r="I574" s="29"/>
      <c r="J574" s="29"/>
      <c r="K574" s="29"/>
      <c r="L574" s="29"/>
      <c r="M574" s="29"/>
      <c r="N574" s="30"/>
      <c r="O574" s="29"/>
      <c r="P574" s="29"/>
      <c r="Q574" s="31"/>
      <c r="R574" s="31"/>
      <c r="S574" s="31"/>
    </row>
    <row r="575" spans="1:19" ht="20.5">
      <c r="A575" s="26"/>
      <c r="B575" s="27"/>
      <c r="C575" s="28"/>
      <c r="D575" s="28"/>
      <c r="E575" s="28"/>
      <c r="F575" s="28"/>
      <c r="G575" s="28"/>
      <c r="H575" s="28"/>
      <c r="I575" s="29"/>
      <c r="J575" s="29"/>
      <c r="K575" s="29"/>
      <c r="L575" s="29"/>
      <c r="M575" s="29"/>
      <c r="N575" s="30"/>
      <c r="O575" s="29"/>
      <c r="P575" s="29"/>
      <c r="Q575" s="31"/>
      <c r="R575" s="31"/>
      <c r="S575" s="31"/>
    </row>
    <row r="576" spans="1:19" ht="20.5">
      <c r="A576" s="26"/>
      <c r="B576" s="27"/>
      <c r="C576" s="28"/>
      <c r="D576" s="28"/>
      <c r="E576" s="28"/>
      <c r="F576" s="28"/>
      <c r="G576" s="28"/>
      <c r="H576" s="28"/>
      <c r="I576" s="29"/>
      <c r="J576" s="29"/>
      <c r="K576" s="29"/>
      <c r="L576" s="29"/>
      <c r="M576" s="29"/>
      <c r="N576" s="30"/>
      <c r="O576" s="29"/>
      <c r="P576" s="29"/>
      <c r="Q576" s="31"/>
      <c r="R576" s="31"/>
      <c r="S576" s="31"/>
    </row>
    <row r="577" spans="1:19" ht="20.5">
      <c r="A577" s="26"/>
      <c r="B577" s="27"/>
      <c r="C577" s="28"/>
      <c r="D577" s="28"/>
      <c r="E577" s="28"/>
      <c r="F577" s="28"/>
      <c r="G577" s="28"/>
      <c r="H577" s="28"/>
      <c r="I577" s="29"/>
      <c r="J577" s="29"/>
      <c r="K577" s="29"/>
      <c r="L577" s="29"/>
      <c r="M577" s="29"/>
      <c r="N577" s="30"/>
      <c r="O577" s="29"/>
      <c r="P577" s="29"/>
      <c r="Q577" s="31"/>
      <c r="R577" s="31"/>
      <c r="S577" s="31"/>
    </row>
    <row r="578" spans="1:19" ht="20.5">
      <c r="A578" s="26"/>
      <c r="B578" s="27"/>
      <c r="C578" s="28"/>
      <c r="D578" s="28"/>
      <c r="E578" s="28"/>
      <c r="F578" s="28"/>
      <c r="G578" s="28"/>
      <c r="H578" s="28"/>
      <c r="I578" s="29"/>
      <c r="J578" s="29"/>
      <c r="K578" s="29"/>
      <c r="L578" s="29"/>
      <c r="M578" s="29"/>
      <c r="N578" s="30"/>
      <c r="O578" s="29"/>
      <c r="P578" s="29"/>
      <c r="Q578" s="31"/>
      <c r="R578" s="31"/>
      <c r="S578" s="31"/>
    </row>
    <row r="579" spans="1:19" ht="20.5">
      <c r="A579" s="26"/>
      <c r="B579" s="27"/>
      <c r="C579" s="28"/>
      <c r="D579" s="28"/>
      <c r="E579" s="28"/>
      <c r="F579" s="28"/>
      <c r="G579" s="28"/>
      <c r="H579" s="28"/>
      <c r="I579" s="29"/>
      <c r="J579" s="29"/>
      <c r="K579" s="29"/>
      <c r="L579" s="29"/>
      <c r="M579" s="29"/>
      <c r="N579" s="30"/>
      <c r="O579" s="29"/>
      <c r="P579" s="29"/>
      <c r="Q579" s="31"/>
      <c r="R579" s="31"/>
      <c r="S579" s="31"/>
    </row>
    <row r="580" spans="1:19" ht="20.5">
      <c r="A580" s="26"/>
      <c r="B580" s="27"/>
      <c r="C580" s="28"/>
      <c r="D580" s="28"/>
      <c r="E580" s="28"/>
      <c r="F580" s="28"/>
      <c r="G580" s="28"/>
      <c r="H580" s="28"/>
      <c r="I580" s="29"/>
      <c r="J580" s="29"/>
      <c r="K580" s="29"/>
      <c r="L580" s="29"/>
      <c r="M580" s="29"/>
      <c r="N580" s="30"/>
      <c r="O580" s="29"/>
      <c r="P580" s="29"/>
      <c r="Q580" s="31"/>
      <c r="R580" s="31"/>
      <c r="S580" s="31"/>
    </row>
    <row r="581" spans="1:19" ht="20.5">
      <c r="A581" s="26"/>
      <c r="B581" s="27"/>
      <c r="C581" s="28"/>
      <c r="D581" s="28"/>
      <c r="E581" s="28"/>
      <c r="F581" s="28"/>
      <c r="G581" s="28"/>
      <c r="H581" s="28"/>
      <c r="I581" s="29"/>
      <c r="J581" s="29"/>
      <c r="K581" s="29"/>
      <c r="L581" s="29"/>
      <c r="M581" s="29"/>
      <c r="N581" s="30"/>
      <c r="O581" s="29"/>
      <c r="P581" s="29"/>
      <c r="Q581" s="31"/>
      <c r="R581" s="31"/>
      <c r="S581" s="31"/>
    </row>
    <row r="582" spans="1:19" ht="20.5">
      <c r="A582" s="26"/>
      <c r="B582" s="27"/>
      <c r="C582" s="28"/>
      <c r="D582" s="28"/>
      <c r="E582" s="28"/>
      <c r="F582" s="28"/>
      <c r="G582" s="28"/>
      <c r="H582" s="28"/>
      <c r="I582" s="29"/>
      <c r="J582" s="29"/>
      <c r="K582" s="29"/>
      <c r="L582" s="29"/>
      <c r="M582" s="29"/>
      <c r="N582" s="30"/>
      <c r="O582" s="29"/>
      <c r="P582" s="29"/>
      <c r="Q582" s="31"/>
      <c r="R582" s="31"/>
      <c r="S582" s="31"/>
    </row>
    <row r="583" spans="1:19" ht="20.5">
      <c r="A583" s="26"/>
      <c r="B583" s="27"/>
      <c r="C583" s="28"/>
      <c r="D583" s="28"/>
      <c r="E583" s="28"/>
      <c r="F583" s="28"/>
      <c r="G583" s="28"/>
      <c r="H583" s="28"/>
      <c r="I583" s="29"/>
      <c r="J583" s="29"/>
      <c r="K583" s="29"/>
      <c r="L583" s="29"/>
      <c r="M583" s="29"/>
      <c r="N583" s="30"/>
      <c r="O583" s="29"/>
      <c r="P583" s="29"/>
      <c r="Q583" s="31"/>
      <c r="R583" s="31"/>
      <c r="S583" s="31"/>
    </row>
    <row r="584" spans="1:19" ht="20.5">
      <c r="A584" s="26"/>
      <c r="B584" s="27"/>
      <c r="C584" s="28"/>
      <c r="D584" s="28"/>
      <c r="E584" s="28"/>
      <c r="F584" s="28"/>
      <c r="G584" s="28"/>
      <c r="H584" s="28"/>
      <c r="I584" s="29"/>
      <c r="J584" s="29"/>
      <c r="K584" s="29"/>
      <c r="L584" s="29"/>
      <c r="M584" s="29"/>
      <c r="N584" s="30"/>
      <c r="O584" s="29"/>
      <c r="P584" s="29"/>
      <c r="Q584" s="31"/>
      <c r="R584" s="31"/>
      <c r="S584" s="31"/>
    </row>
    <row r="585" spans="1:19" ht="20.5">
      <c r="A585" s="26"/>
      <c r="B585" s="27"/>
      <c r="C585" s="28"/>
      <c r="D585" s="28"/>
      <c r="E585" s="28"/>
      <c r="F585" s="28"/>
      <c r="G585" s="28"/>
      <c r="H585" s="28"/>
      <c r="I585" s="29"/>
      <c r="J585" s="29"/>
      <c r="K585" s="29"/>
      <c r="L585" s="29"/>
      <c r="M585" s="29"/>
      <c r="N585" s="30"/>
      <c r="O585" s="29"/>
      <c r="P585" s="29"/>
      <c r="Q585" s="31"/>
      <c r="R585" s="31"/>
      <c r="S585" s="31"/>
    </row>
    <row r="586" spans="1:19" ht="20.5">
      <c r="A586" s="26"/>
      <c r="B586" s="27"/>
      <c r="C586" s="28"/>
      <c r="D586" s="28"/>
      <c r="E586" s="28"/>
      <c r="F586" s="28"/>
      <c r="G586" s="28"/>
      <c r="H586" s="28"/>
      <c r="I586" s="29"/>
      <c r="J586" s="29"/>
      <c r="K586" s="29"/>
      <c r="L586" s="29"/>
      <c r="M586" s="29"/>
      <c r="N586" s="30"/>
      <c r="O586" s="29"/>
      <c r="P586" s="29"/>
      <c r="Q586" s="31"/>
      <c r="R586" s="31"/>
      <c r="S586" s="31"/>
    </row>
    <row r="587" spans="1:19" ht="20.5">
      <c r="A587" s="26"/>
      <c r="B587" s="27"/>
      <c r="C587" s="28"/>
      <c r="D587" s="28"/>
      <c r="E587" s="28"/>
      <c r="F587" s="28"/>
      <c r="G587" s="28"/>
      <c r="H587" s="28"/>
      <c r="I587" s="29"/>
      <c r="J587" s="29"/>
      <c r="K587" s="29"/>
      <c r="L587" s="29"/>
      <c r="M587" s="29"/>
      <c r="N587" s="30"/>
      <c r="O587" s="29"/>
      <c r="P587" s="29"/>
      <c r="Q587" s="31"/>
      <c r="R587" s="31"/>
      <c r="S587" s="31"/>
    </row>
    <row r="588" spans="1:19" ht="20.5">
      <c r="A588" s="26"/>
      <c r="B588" s="27"/>
      <c r="C588" s="28"/>
      <c r="D588" s="28"/>
      <c r="E588" s="28"/>
      <c r="F588" s="28"/>
      <c r="G588" s="28"/>
      <c r="H588" s="28"/>
      <c r="I588" s="29"/>
      <c r="J588" s="29"/>
      <c r="K588" s="29"/>
      <c r="L588" s="29"/>
      <c r="M588" s="29"/>
      <c r="N588" s="30"/>
      <c r="O588" s="29"/>
      <c r="P588" s="29"/>
      <c r="Q588" s="31"/>
      <c r="R588" s="31"/>
      <c r="S588" s="31"/>
    </row>
    <row r="589" spans="1:19" ht="20.5">
      <c r="A589" s="26"/>
      <c r="B589" s="27"/>
      <c r="C589" s="28"/>
      <c r="D589" s="28"/>
      <c r="E589" s="28"/>
      <c r="F589" s="28"/>
      <c r="G589" s="28"/>
      <c r="H589" s="28"/>
      <c r="I589" s="29"/>
      <c r="J589" s="29"/>
      <c r="K589" s="29"/>
      <c r="L589" s="29"/>
      <c r="M589" s="29"/>
      <c r="N589" s="30"/>
      <c r="O589" s="29"/>
      <c r="P589" s="29"/>
      <c r="Q589" s="31"/>
      <c r="R589" s="31"/>
      <c r="S589" s="31"/>
    </row>
    <row r="590" spans="1:19" ht="20.5">
      <c r="A590" s="26"/>
      <c r="B590" s="27"/>
      <c r="C590" s="28"/>
      <c r="D590" s="28"/>
      <c r="E590" s="28"/>
      <c r="F590" s="28"/>
      <c r="G590" s="28"/>
      <c r="H590" s="28"/>
      <c r="I590" s="29"/>
      <c r="J590" s="29"/>
      <c r="K590" s="29"/>
      <c r="L590" s="29"/>
      <c r="M590" s="29"/>
      <c r="N590" s="30"/>
      <c r="O590" s="29"/>
      <c r="P590" s="29"/>
      <c r="Q590" s="31"/>
      <c r="R590" s="31"/>
      <c r="S590" s="31"/>
    </row>
    <row r="591" spans="1:19" ht="20.5">
      <c r="A591" s="26"/>
      <c r="B591" s="27"/>
      <c r="C591" s="28"/>
      <c r="D591" s="28"/>
      <c r="E591" s="28"/>
      <c r="F591" s="28"/>
      <c r="G591" s="28"/>
      <c r="H591" s="28"/>
      <c r="I591" s="29"/>
      <c r="J591" s="29"/>
      <c r="K591" s="29"/>
      <c r="L591" s="29"/>
      <c r="M591" s="29"/>
      <c r="N591" s="30"/>
      <c r="O591" s="29"/>
      <c r="P591" s="29"/>
      <c r="Q591" s="31"/>
      <c r="R591" s="31"/>
      <c r="S591" s="31"/>
    </row>
    <row r="592" spans="1:19" ht="20.5">
      <c r="A592" s="26"/>
      <c r="B592" s="27"/>
      <c r="C592" s="28"/>
      <c r="D592" s="28"/>
      <c r="E592" s="28"/>
      <c r="F592" s="28"/>
      <c r="G592" s="28"/>
      <c r="H592" s="28"/>
      <c r="I592" s="29"/>
      <c r="J592" s="29"/>
      <c r="K592" s="29"/>
      <c r="L592" s="29"/>
      <c r="M592" s="29"/>
      <c r="N592" s="30"/>
      <c r="O592" s="29"/>
      <c r="P592" s="29"/>
      <c r="Q592" s="31"/>
      <c r="R592" s="31"/>
      <c r="S592" s="31"/>
    </row>
    <row r="593" spans="1:19" ht="20.5">
      <c r="A593" s="26"/>
      <c r="B593" s="27"/>
      <c r="C593" s="28"/>
      <c r="D593" s="28"/>
      <c r="E593" s="28"/>
      <c r="F593" s="28"/>
      <c r="G593" s="28"/>
      <c r="H593" s="28"/>
      <c r="I593" s="29"/>
      <c r="J593" s="29"/>
      <c r="K593" s="29"/>
      <c r="L593" s="29"/>
      <c r="M593" s="29"/>
      <c r="N593" s="30"/>
      <c r="O593" s="29"/>
      <c r="P593" s="29"/>
      <c r="Q593" s="31"/>
      <c r="R593" s="31"/>
      <c r="S593" s="31"/>
    </row>
    <row r="594" spans="1:19" ht="20.5">
      <c r="A594" s="26"/>
      <c r="B594" s="27"/>
      <c r="C594" s="28"/>
      <c r="D594" s="28"/>
      <c r="E594" s="28"/>
      <c r="F594" s="28"/>
      <c r="G594" s="28"/>
      <c r="H594" s="28"/>
      <c r="I594" s="29"/>
      <c r="J594" s="29"/>
      <c r="K594" s="29"/>
      <c r="L594" s="29"/>
      <c r="M594" s="29"/>
      <c r="N594" s="30"/>
      <c r="O594" s="29"/>
      <c r="P594" s="29"/>
      <c r="Q594" s="31"/>
      <c r="R594" s="31"/>
      <c r="S594" s="31"/>
    </row>
    <row r="595" spans="1:19" ht="20.5">
      <c r="A595" s="26"/>
      <c r="B595" s="27"/>
      <c r="C595" s="28"/>
      <c r="D595" s="28"/>
      <c r="E595" s="28"/>
      <c r="F595" s="28"/>
      <c r="G595" s="28"/>
      <c r="H595" s="28"/>
      <c r="I595" s="29"/>
      <c r="J595" s="29"/>
      <c r="K595" s="29"/>
      <c r="L595" s="29"/>
      <c r="M595" s="29"/>
      <c r="N595" s="30"/>
      <c r="O595" s="29"/>
      <c r="P595" s="29"/>
      <c r="Q595" s="31"/>
      <c r="R595" s="31"/>
      <c r="S595" s="31"/>
    </row>
    <row r="596" spans="1:19" ht="20.5">
      <c r="A596" s="26"/>
      <c r="B596" s="27"/>
      <c r="C596" s="28"/>
      <c r="D596" s="28"/>
      <c r="E596" s="28"/>
      <c r="F596" s="28"/>
      <c r="G596" s="28"/>
      <c r="H596" s="28"/>
      <c r="I596" s="29"/>
      <c r="J596" s="29"/>
      <c r="K596" s="29"/>
      <c r="L596" s="29"/>
      <c r="M596" s="29"/>
      <c r="N596" s="30"/>
      <c r="O596" s="29"/>
      <c r="P596" s="29"/>
      <c r="Q596" s="31"/>
      <c r="R596" s="31"/>
      <c r="S596" s="31"/>
    </row>
    <row r="597" spans="1:19" ht="20.5">
      <c r="A597" s="26"/>
      <c r="B597" s="27"/>
      <c r="C597" s="28"/>
      <c r="D597" s="28"/>
      <c r="E597" s="28"/>
      <c r="F597" s="28"/>
      <c r="G597" s="28"/>
      <c r="H597" s="28"/>
      <c r="I597" s="29"/>
      <c r="J597" s="29"/>
      <c r="K597" s="29"/>
      <c r="L597" s="29"/>
      <c r="M597" s="29"/>
      <c r="N597" s="30"/>
      <c r="O597" s="29"/>
      <c r="P597" s="29"/>
      <c r="Q597" s="31"/>
      <c r="R597" s="31"/>
      <c r="S597" s="31"/>
    </row>
    <row r="598" spans="1:19" ht="20.5">
      <c r="A598" s="26"/>
      <c r="B598" s="27"/>
      <c r="C598" s="28"/>
      <c r="D598" s="28"/>
      <c r="E598" s="28"/>
      <c r="F598" s="28"/>
      <c r="G598" s="28"/>
      <c r="H598" s="28"/>
      <c r="I598" s="29"/>
      <c r="J598" s="29"/>
      <c r="K598" s="29"/>
      <c r="L598" s="29"/>
      <c r="M598" s="29"/>
      <c r="N598" s="30"/>
      <c r="O598" s="29"/>
      <c r="P598" s="29"/>
      <c r="Q598" s="31"/>
      <c r="R598" s="31"/>
      <c r="S598" s="31"/>
    </row>
    <row r="599" spans="1:19" ht="20.5">
      <c r="A599" s="26"/>
      <c r="B599" s="27"/>
      <c r="C599" s="28"/>
      <c r="D599" s="28"/>
      <c r="E599" s="28"/>
      <c r="F599" s="28"/>
      <c r="G599" s="28"/>
      <c r="H599" s="28"/>
      <c r="I599" s="29"/>
      <c r="J599" s="29"/>
      <c r="K599" s="29"/>
      <c r="L599" s="29"/>
      <c r="M599" s="29"/>
      <c r="N599" s="30"/>
      <c r="O599" s="29"/>
      <c r="P599" s="29"/>
      <c r="Q599" s="31"/>
      <c r="R599" s="31"/>
      <c r="S599" s="31"/>
    </row>
    <row r="600" spans="1:19" ht="20.5">
      <c r="A600" s="26"/>
      <c r="B600" s="27"/>
      <c r="C600" s="28"/>
      <c r="D600" s="28"/>
      <c r="E600" s="28"/>
      <c r="F600" s="28"/>
      <c r="G600" s="28"/>
      <c r="H600" s="28"/>
      <c r="I600" s="29"/>
      <c r="J600" s="29"/>
      <c r="K600" s="29"/>
      <c r="L600" s="29"/>
      <c r="M600" s="29"/>
      <c r="N600" s="30"/>
      <c r="O600" s="29"/>
      <c r="P600" s="29"/>
      <c r="Q600" s="31"/>
      <c r="R600" s="31"/>
      <c r="S600" s="31"/>
    </row>
    <row r="601" spans="1:19" ht="20.5">
      <c r="A601" s="26"/>
      <c r="B601" s="27"/>
      <c r="C601" s="28"/>
      <c r="D601" s="28"/>
      <c r="E601" s="28"/>
      <c r="F601" s="28"/>
      <c r="G601" s="28"/>
      <c r="H601" s="28"/>
      <c r="I601" s="29"/>
      <c r="J601" s="29"/>
      <c r="K601" s="29"/>
      <c r="L601" s="29"/>
      <c r="M601" s="29"/>
      <c r="N601" s="30"/>
      <c r="O601" s="29"/>
      <c r="P601" s="29"/>
      <c r="Q601" s="31"/>
      <c r="R601" s="31"/>
      <c r="S601" s="31"/>
    </row>
    <row r="602" spans="1:19" ht="20.5">
      <c r="A602" s="26"/>
      <c r="B602" s="27"/>
      <c r="C602" s="28"/>
      <c r="D602" s="28"/>
      <c r="E602" s="28"/>
      <c r="F602" s="28"/>
      <c r="G602" s="28"/>
      <c r="H602" s="28"/>
      <c r="I602" s="29"/>
      <c r="J602" s="29"/>
      <c r="K602" s="29"/>
      <c r="L602" s="29"/>
      <c r="M602" s="29"/>
      <c r="N602" s="30"/>
      <c r="O602" s="29"/>
      <c r="P602" s="29"/>
      <c r="Q602" s="31"/>
      <c r="R602" s="31"/>
      <c r="S602" s="31"/>
    </row>
    <row r="603" spans="1:19" ht="20.5">
      <c r="A603" s="26"/>
      <c r="B603" s="27"/>
      <c r="C603" s="28"/>
      <c r="D603" s="28"/>
      <c r="E603" s="28"/>
      <c r="F603" s="28"/>
      <c r="G603" s="28"/>
      <c r="H603" s="28"/>
      <c r="I603" s="29"/>
      <c r="J603" s="29"/>
      <c r="K603" s="29"/>
      <c r="L603" s="29"/>
      <c r="M603" s="29"/>
      <c r="N603" s="30"/>
      <c r="O603" s="29"/>
      <c r="P603" s="29"/>
      <c r="Q603" s="31"/>
      <c r="R603" s="31"/>
      <c r="S603" s="31"/>
    </row>
    <row r="604" spans="1:19" ht="20.5">
      <c r="A604" s="26"/>
      <c r="B604" s="27"/>
      <c r="C604" s="28"/>
      <c r="D604" s="28"/>
      <c r="E604" s="28"/>
      <c r="F604" s="28"/>
      <c r="G604" s="28"/>
      <c r="H604" s="28"/>
      <c r="I604" s="29"/>
      <c r="J604" s="29"/>
      <c r="K604" s="29"/>
      <c r="L604" s="29"/>
      <c r="M604" s="29"/>
      <c r="N604" s="30"/>
      <c r="O604" s="29"/>
      <c r="P604" s="29"/>
      <c r="Q604" s="31"/>
      <c r="R604" s="31"/>
      <c r="S604" s="31"/>
    </row>
    <row r="605" spans="1:19" ht="20.5">
      <c r="A605" s="26"/>
      <c r="B605" s="27"/>
      <c r="C605" s="28"/>
      <c r="D605" s="28"/>
      <c r="E605" s="28"/>
      <c r="F605" s="28"/>
      <c r="G605" s="28"/>
      <c r="H605" s="28"/>
      <c r="I605" s="29"/>
      <c r="J605" s="29"/>
      <c r="K605" s="29"/>
      <c r="L605" s="29"/>
      <c r="M605" s="29"/>
      <c r="N605" s="30"/>
      <c r="O605" s="29"/>
      <c r="P605" s="29"/>
      <c r="Q605" s="31"/>
      <c r="R605" s="31"/>
      <c r="S605" s="31"/>
    </row>
    <row r="606" spans="1:19" ht="20.5">
      <c r="A606" s="26"/>
      <c r="B606" s="27"/>
      <c r="C606" s="28"/>
      <c r="D606" s="28"/>
      <c r="E606" s="28"/>
      <c r="F606" s="28"/>
      <c r="G606" s="28"/>
      <c r="H606" s="28"/>
      <c r="I606" s="29"/>
      <c r="J606" s="29"/>
      <c r="K606" s="29"/>
      <c r="L606" s="29"/>
      <c r="M606" s="29"/>
      <c r="N606" s="30"/>
      <c r="O606" s="29"/>
      <c r="P606" s="29"/>
      <c r="Q606" s="31"/>
      <c r="R606" s="31"/>
      <c r="S606" s="31"/>
    </row>
    <row r="607" spans="1:19" ht="20.5">
      <c r="A607" s="26"/>
      <c r="B607" s="27"/>
      <c r="C607" s="28"/>
      <c r="D607" s="28"/>
      <c r="E607" s="28"/>
      <c r="F607" s="28"/>
      <c r="G607" s="28"/>
      <c r="H607" s="28"/>
      <c r="I607" s="29"/>
      <c r="J607" s="29"/>
      <c r="K607" s="29"/>
      <c r="L607" s="29"/>
      <c r="M607" s="29"/>
      <c r="N607" s="30"/>
      <c r="O607" s="29"/>
      <c r="P607" s="29"/>
      <c r="Q607" s="31"/>
      <c r="R607" s="31"/>
      <c r="S607" s="31"/>
    </row>
    <row r="608" spans="1:19" ht="20.5">
      <c r="A608" s="26"/>
      <c r="B608" s="27"/>
      <c r="C608" s="28"/>
      <c r="D608" s="28"/>
      <c r="E608" s="28"/>
      <c r="F608" s="28"/>
      <c r="G608" s="28"/>
      <c r="H608" s="28"/>
      <c r="I608" s="29"/>
      <c r="J608" s="29"/>
      <c r="K608" s="29"/>
      <c r="L608" s="29"/>
      <c r="M608" s="29"/>
      <c r="N608" s="30"/>
      <c r="O608" s="29"/>
      <c r="P608" s="29"/>
      <c r="Q608" s="31"/>
      <c r="R608" s="31"/>
      <c r="S608" s="31"/>
    </row>
    <row r="609" spans="1:19" ht="20.5">
      <c r="A609" s="26"/>
      <c r="B609" s="27"/>
      <c r="C609" s="28"/>
      <c r="D609" s="28"/>
      <c r="E609" s="28"/>
      <c r="F609" s="28"/>
      <c r="G609" s="28"/>
      <c r="H609" s="28"/>
      <c r="I609" s="29"/>
      <c r="J609" s="29"/>
      <c r="K609" s="29"/>
      <c r="L609" s="29"/>
      <c r="M609" s="29"/>
      <c r="N609" s="30"/>
      <c r="O609" s="29"/>
      <c r="P609" s="29"/>
      <c r="Q609" s="31"/>
      <c r="R609" s="31"/>
      <c r="S609" s="31"/>
    </row>
    <row r="610" spans="1:19" ht="20.5">
      <c r="A610" s="26"/>
      <c r="B610" s="27"/>
      <c r="C610" s="28"/>
      <c r="D610" s="28"/>
      <c r="E610" s="28"/>
      <c r="F610" s="28"/>
      <c r="G610" s="28"/>
      <c r="H610" s="28"/>
      <c r="I610" s="29"/>
      <c r="J610" s="29"/>
      <c r="K610" s="29"/>
      <c r="L610" s="29"/>
      <c r="M610" s="29"/>
      <c r="N610" s="30"/>
      <c r="O610" s="29"/>
      <c r="P610" s="29"/>
      <c r="Q610" s="31"/>
      <c r="R610" s="31"/>
      <c r="S610" s="31"/>
    </row>
    <row r="611" spans="1:19" ht="20.5">
      <c r="A611" s="26"/>
      <c r="B611" s="27"/>
      <c r="C611" s="28"/>
      <c r="D611" s="28"/>
      <c r="E611" s="28"/>
      <c r="F611" s="28"/>
      <c r="G611" s="28"/>
      <c r="H611" s="28"/>
      <c r="I611" s="29"/>
      <c r="J611" s="29"/>
      <c r="K611" s="29"/>
      <c r="L611" s="29"/>
      <c r="M611" s="29"/>
      <c r="N611" s="30"/>
      <c r="O611" s="29"/>
      <c r="P611" s="29"/>
      <c r="Q611" s="31"/>
      <c r="R611" s="31"/>
      <c r="S611" s="31"/>
    </row>
    <row r="612" spans="1:19" ht="20.5">
      <c r="A612" s="26"/>
      <c r="B612" s="27"/>
      <c r="C612" s="28"/>
      <c r="D612" s="28"/>
      <c r="E612" s="28"/>
      <c r="F612" s="28"/>
      <c r="G612" s="28"/>
      <c r="H612" s="28"/>
      <c r="I612" s="29"/>
      <c r="J612" s="29"/>
      <c r="K612" s="29"/>
      <c r="L612" s="29"/>
      <c r="M612" s="29"/>
      <c r="N612" s="30"/>
      <c r="O612" s="29"/>
      <c r="P612" s="29"/>
      <c r="Q612" s="31"/>
      <c r="R612" s="31"/>
      <c r="S612" s="31"/>
    </row>
    <row r="613" spans="1:19" ht="20.5">
      <c r="A613" s="26"/>
      <c r="B613" s="27"/>
      <c r="C613" s="28"/>
      <c r="D613" s="28"/>
      <c r="E613" s="28"/>
      <c r="F613" s="28"/>
      <c r="G613" s="28"/>
      <c r="H613" s="28"/>
      <c r="I613" s="29"/>
      <c r="J613" s="29"/>
      <c r="K613" s="29"/>
      <c r="L613" s="29"/>
      <c r="M613" s="29"/>
      <c r="N613" s="30"/>
      <c r="O613" s="29"/>
      <c r="P613" s="29"/>
      <c r="Q613" s="31"/>
      <c r="R613" s="31"/>
      <c r="S613" s="31"/>
    </row>
    <row r="614" spans="1:19" ht="20.5">
      <c r="A614" s="26"/>
      <c r="B614" s="27"/>
      <c r="C614" s="28"/>
      <c r="D614" s="28"/>
      <c r="E614" s="28"/>
      <c r="F614" s="28"/>
      <c r="G614" s="28"/>
      <c r="H614" s="28"/>
      <c r="I614" s="29"/>
      <c r="J614" s="29"/>
      <c r="K614" s="29"/>
      <c r="L614" s="29"/>
      <c r="M614" s="29"/>
      <c r="N614" s="30"/>
      <c r="O614" s="29"/>
      <c r="P614" s="29"/>
      <c r="Q614" s="31"/>
      <c r="R614" s="31"/>
      <c r="S614" s="31"/>
    </row>
    <row r="615" spans="1:19" ht="20.5">
      <c r="A615" s="26"/>
      <c r="B615" s="27"/>
      <c r="C615" s="28"/>
      <c r="D615" s="28"/>
      <c r="E615" s="28"/>
      <c r="F615" s="28"/>
      <c r="G615" s="28"/>
      <c r="H615" s="28"/>
      <c r="I615" s="29"/>
      <c r="J615" s="29"/>
      <c r="K615" s="29"/>
      <c r="L615" s="29"/>
      <c r="M615" s="29"/>
      <c r="N615" s="30"/>
      <c r="O615" s="29"/>
      <c r="P615" s="29"/>
      <c r="Q615" s="31"/>
      <c r="R615" s="31"/>
      <c r="S615" s="31"/>
    </row>
    <row r="616" spans="1:19" ht="20.5">
      <c r="A616" s="26"/>
      <c r="B616" s="27"/>
      <c r="C616" s="28"/>
      <c r="D616" s="28"/>
      <c r="E616" s="28"/>
      <c r="F616" s="28"/>
      <c r="G616" s="28"/>
      <c r="H616" s="28"/>
      <c r="I616" s="29"/>
      <c r="J616" s="29"/>
      <c r="K616" s="29"/>
      <c r="L616" s="29"/>
      <c r="M616" s="29"/>
      <c r="N616" s="30"/>
      <c r="O616" s="29"/>
      <c r="P616" s="29"/>
      <c r="Q616" s="31"/>
      <c r="R616" s="31"/>
      <c r="S616" s="31"/>
    </row>
    <row r="617" spans="1:19" ht="20.5">
      <c r="A617" s="26"/>
      <c r="B617" s="27"/>
      <c r="C617" s="28"/>
      <c r="D617" s="28"/>
      <c r="E617" s="28"/>
      <c r="F617" s="28"/>
      <c r="G617" s="28"/>
      <c r="H617" s="28"/>
      <c r="I617" s="29"/>
      <c r="J617" s="29"/>
      <c r="K617" s="29"/>
      <c r="L617" s="29"/>
      <c r="M617" s="29"/>
      <c r="N617" s="30"/>
      <c r="O617" s="29"/>
      <c r="P617" s="29"/>
      <c r="Q617" s="31"/>
      <c r="R617" s="31"/>
      <c r="S617" s="31"/>
    </row>
    <row r="618" spans="1:19" ht="20.5">
      <c r="A618" s="26"/>
      <c r="B618" s="27"/>
      <c r="C618" s="28"/>
      <c r="D618" s="28"/>
      <c r="E618" s="28"/>
      <c r="F618" s="28"/>
      <c r="G618" s="28"/>
      <c r="H618" s="28"/>
      <c r="I618" s="29"/>
      <c r="J618" s="29"/>
      <c r="K618" s="29"/>
      <c r="L618" s="29"/>
      <c r="M618" s="29"/>
      <c r="N618" s="30"/>
      <c r="O618" s="29"/>
      <c r="P618" s="29"/>
      <c r="Q618" s="31"/>
      <c r="R618" s="31"/>
      <c r="S618" s="31"/>
    </row>
    <row r="619" spans="1:19" ht="20.5">
      <c r="A619" s="26"/>
      <c r="B619" s="27"/>
      <c r="C619" s="28"/>
      <c r="D619" s="28"/>
      <c r="E619" s="28"/>
      <c r="F619" s="28"/>
      <c r="G619" s="28"/>
      <c r="H619" s="28"/>
      <c r="I619" s="29"/>
      <c r="J619" s="29"/>
      <c r="K619" s="29"/>
      <c r="L619" s="29"/>
      <c r="M619" s="29"/>
      <c r="N619" s="30"/>
      <c r="O619" s="29"/>
      <c r="P619" s="29"/>
      <c r="Q619" s="31"/>
      <c r="R619" s="31"/>
      <c r="S619" s="31"/>
    </row>
    <row r="620" spans="1:19" ht="20.5">
      <c r="A620" s="26"/>
      <c r="B620" s="27"/>
      <c r="C620" s="28"/>
      <c r="D620" s="28"/>
      <c r="E620" s="28"/>
      <c r="F620" s="28"/>
      <c r="G620" s="28"/>
      <c r="H620" s="28"/>
      <c r="I620" s="29"/>
      <c r="J620" s="29"/>
      <c r="K620" s="29"/>
      <c r="L620" s="29"/>
      <c r="M620" s="29"/>
      <c r="N620" s="30"/>
      <c r="O620" s="29"/>
      <c r="P620" s="29"/>
      <c r="Q620" s="31"/>
      <c r="R620" s="31"/>
      <c r="S620" s="31"/>
    </row>
    <row r="621" spans="1:19" ht="20.5">
      <c r="A621" s="26"/>
      <c r="B621" s="27"/>
      <c r="C621" s="28"/>
      <c r="D621" s="28"/>
      <c r="E621" s="28"/>
      <c r="F621" s="28"/>
      <c r="G621" s="28"/>
      <c r="H621" s="28"/>
      <c r="I621" s="29"/>
      <c r="J621" s="29"/>
      <c r="K621" s="29"/>
      <c r="L621" s="29"/>
      <c r="M621" s="29"/>
      <c r="N621" s="30"/>
      <c r="O621" s="29"/>
      <c r="P621" s="29"/>
      <c r="Q621" s="31"/>
      <c r="R621" s="31"/>
      <c r="S621" s="31"/>
    </row>
    <row r="622" spans="1:19" ht="20.5">
      <c r="A622" s="26"/>
      <c r="B622" s="27"/>
      <c r="C622" s="28"/>
      <c r="D622" s="28"/>
      <c r="E622" s="28"/>
      <c r="F622" s="28"/>
      <c r="G622" s="28"/>
      <c r="H622" s="28"/>
      <c r="I622" s="29"/>
      <c r="J622" s="29"/>
      <c r="K622" s="29"/>
      <c r="L622" s="29"/>
      <c r="M622" s="29"/>
      <c r="N622" s="30"/>
      <c r="O622" s="29"/>
      <c r="P622" s="29"/>
      <c r="Q622" s="31"/>
      <c r="R622" s="31"/>
      <c r="S622" s="31"/>
    </row>
    <row r="623" spans="1:19" ht="20.5">
      <c r="A623" s="26"/>
      <c r="B623" s="27"/>
      <c r="C623" s="28"/>
      <c r="D623" s="28"/>
      <c r="E623" s="28"/>
      <c r="F623" s="28"/>
      <c r="G623" s="28"/>
      <c r="H623" s="28"/>
      <c r="I623" s="29"/>
      <c r="J623" s="29"/>
      <c r="K623" s="29"/>
      <c r="L623" s="29"/>
      <c r="M623" s="29"/>
      <c r="N623" s="30"/>
      <c r="O623" s="29"/>
      <c r="P623" s="29"/>
      <c r="Q623" s="31"/>
      <c r="R623" s="31"/>
      <c r="S623" s="31"/>
    </row>
    <row r="624" spans="1:19" ht="20.5">
      <c r="A624" s="26"/>
      <c r="B624" s="27"/>
      <c r="C624" s="28"/>
      <c r="D624" s="28"/>
      <c r="E624" s="28"/>
      <c r="F624" s="28"/>
      <c r="G624" s="28"/>
      <c r="H624" s="28"/>
      <c r="I624" s="29"/>
      <c r="J624" s="29"/>
      <c r="K624" s="29"/>
      <c r="L624" s="29"/>
      <c r="M624" s="29"/>
      <c r="N624" s="30"/>
      <c r="O624" s="29"/>
      <c r="P624" s="29"/>
      <c r="Q624" s="31"/>
      <c r="R624" s="31"/>
      <c r="S624" s="31"/>
    </row>
    <row r="625" spans="1:19" ht="20.5">
      <c r="A625" s="26"/>
      <c r="B625" s="27"/>
      <c r="C625" s="28"/>
      <c r="D625" s="28"/>
      <c r="E625" s="28"/>
      <c r="F625" s="28"/>
      <c r="G625" s="28"/>
      <c r="H625" s="28"/>
      <c r="I625" s="29"/>
      <c r="J625" s="29"/>
      <c r="K625" s="29"/>
      <c r="L625" s="29"/>
      <c r="M625" s="29"/>
      <c r="N625" s="30"/>
      <c r="O625" s="29"/>
      <c r="P625" s="29"/>
      <c r="Q625" s="31"/>
      <c r="R625" s="31"/>
      <c r="S625" s="31"/>
    </row>
    <row r="626" spans="1:19" ht="20.5">
      <c r="A626" s="26"/>
      <c r="B626" s="27"/>
      <c r="C626" s="28"/>
      <c r="D626" s="28"/>
      <c r="E626" s="28"/>
      <c r="F626" s="28"/>
      <c r="G626" s="28"/>
      <c r="H626" s="28"/>
      <c r="I626" s="29"/>
      <c r="J626" s="29"/>
      <c r="K626" s="29"/>
      <c r="L626" s="29"/>
      <c r="M626" s="29"/>
      <c r="N626" s="30"/>
      <c r="O626" s="29"/>
      <c r="P626" s="29"/>
      <c r="Q626" s="31"/>
      <c r="R626" s="31"/>
      <c r="S626" s="31"/>
    </row>
    <row r="627" spans="1:19" ht="20.5">
      <c r="A627" s="26"/>
      <c r="B627" s="27"/>
      <c r="C627" s="28"/>
      <c r="D627" s="28"/>
      <c r="E627" s="28"/>
      <c r="F627" s="28"/>
      <c r="G627" s="28"/>
      <c r="H627" s="28"/>
      <c r="I627" s="29"/>
      <c r="J627" s="29"/>
      <c r="K627" s="29"/>
      <c r="L627" s="29"/>
      <c r="M627" s="29"/>
      <c r="N627" s="30"/>
      <c r="O627" s="29"/>
      <c r="P627" s="29"/>
      <c r="Q627" s="31"/>
      <c r="R627" s="31"/>
      <c r="S627" s="31"/>
    </row>
    <row r="628" spans="1:19" ht="20.5">
      <c r="A628" s="26"/>
      <c r="B628" s="27"/>
      <c r="C628" s="28"/>
      <c r="D628" s="28"/>
      <c r="E628" s="28"/>
      <c r="F628" s="28"/>
      <c r="G628" s="28"/>
      <c r="H628" s="28"/>
      <c r="I628" s="29"/>
      <c r="J628" s="29"/>
      <c r="K628" s="29"/>
      <c r="L628" s="29"/>
      <c r="M628" s="29"/>
      <c r="N628" s="30"/>
      <c r="O628" s="29"/>
      <c r="P628" s="29"/>
      <c r="Q628" s="31"/>
      <c r="R628" s="31"/>
      <c r="S628" s="31"/>
    </row>
    <row r="629" spans="1:19" ht="20.5">
      <c r="A629" s="26"/>
      <c r="B629" s="27"/>
      <c r="C629" s="28"/>
      <c r="D629" s="28"/>
      <c r="E629" s="28"/>
      <c r="F629" s="28"/>
      <c r="G629" s="28"/>
      <c r="H629" s="28"/>
      <c r="I629" s="29"/>
      <c r="J629" s="29"/>
      <c r="K629" s="29"/>
      <c r="L629" s="29"/>
      <c r="M629" s="29"/>
      <c r="N629" s="30"/>
      <c r="O629" s="29"/>
      <c r="P629" s="29"/>
      <c r="Q629" s="31"/>
      <c r="R629" s="31"/>
      <c r="S629" s="31"/>
    </row>
    <row r="630" spans="1:19" ht="20.5">
      <c r="A630" s="26"/>
      <c r="B630" s="27"/>
      <c r="C630" s="28"/>
      <c r="D630" s="28"/>
      <c r="E630" s="28"/>
      <c r="F630" s="28"/>
      <c r="G630" s="28"/>
      <c r="H630" s="28"/>
      <c r="I630" s="29"/>
      <c r="J630" s="29"/>
      <c r="K630" s="29"/>
      <c r="L630" s="29"/>
      <c r="M630" s="29"/>
      <c r="N630" s="30"/>
      <c r="O630" s="29"/>
      <c r="P630" s="29"/>
      <c r="Q630" s="31"/>
      <c r="R630" s="31"/>
      <c r="S630" s="31"/>
    </row>
    <row r="631" spans="1:19" ht="20.5">
      <c r="A631" s="26"/>
      <c r="B631" s="27"/>
      <c r="C631" s="28"/>
      <c r="D631" s="28"/>
      <c r="E631" s="28"/>
      <c r="F631" s="28"/>
      <c r="G631" s="28"/>
      <c r="H631" s="28"/>
      <c r="I631" s="29"/>
      <c r="J631" s="29"/>
      <c r="K631" s="29"/>
      <c r="L631" s="29"/>
      <c r="M631" s="29"/>
      <c r="N631" s="30"/>
      <c r="O631" s="29"/>
      <c r="P631" s="29"/>
      <c r="Q631" s="31"/>
      <c r="R631" s="31"/>
      <c r="S631" s="31"/>
    </row>
    <row r="632" spans="1:19" ht="20.5">
      <c r="A632" s="26"/>
      <c r="B632" s="27"/>
      <c r="C632" s="28"/>
      <c r="D632" s="28"/>
      <c r="E632" s="28"/>
      <c r="F632" s="28"/>
      <c r="G632" s="28"/>
      <c r="H632" s="28"/>
      <c r="I632" s="29"/>
      <c r="J632" s="29"/>
      <c r="K632" s="29"/>
      <c r="L632" s="29"/>
      <c r="M632" s="29"/>
      <c r="N632" s="30"/>
      <c r="O632" s="29"/>
      <c r="P632" s="29"/>
      <c r="Q632" s="31"/>
      <c r="R632" s="31"/>
      <c r="S632" s="31"/>
    </row>
    <row r="633" spans="1:19" ht="20.5">
      <c r="A633" s="26"/>
      <c r="B633" s="27"/>
      <c r="C633" s="28"/>
      <c r="D633" s="28"/>
      <c r="E633" s="28"/>
      <c r="F633" s="28"/>
      <c r="G633" s="28"/>
      <c r="H633" s="28"/>
      <c r="I633" s="29"/>
      <c r="J633" s="29"/>
      <c r="K633" s="29"/>
      <c r="L633" s="29"/>
      <c r="M633" s="29"/>
      <c r="N633" s="30"/>
      <c r="O633" s="29"/>
      <c r="P633" s="29"/>
      <c r="Q633" s="31"/>
      <c r="R633" s="31"/>
      <c r="S633" s="31"/>
    </row>
    <row r="634" spans="1:19" ht="20.5">
      <c r="A634" s="26"/>
      <c r="B634" s="27"/>
      <c r="C634" s="28"/>
      <c r="D634" s="28"/>
      <c r="E634" s="28"/>
      <c r="F634" s="28"/>
      <c r="G634" s="28"/>
      <c r="H634" s="28"/>
      <c r="I634" s="29"/>
      <c r="J634" s="29"/>
      <c r="K634" s="29"/>
      <c r="L634" s="29"/>
      <c r="M634" s="29"/>
      <c r="N634" s="30"/>
      <c r="O634" s="29"/>
      <c r="P634" s="29"/>
      <c r="Q634" s="31"/>
      <c r="R634" s="31"/>
      <c r="S634" s="31"/>
    </row>
    <row r="635" spans="1:19" ht="20.5">
      <c r="A635" s="26"/>
      <c r="B635" s="27"/>
      <c r="C635" s="28"/>
      <c r="D635" s="28"/>
      <c r="E635" s="28"/>
      <c r="F635" s="28"/>
      <c r="G635" s="28"/>
      <c r="H635" s="28"/>
      <c r="I635" s="29"/>
      <c r="J635" s="29"/>
      <c r="K635" s="29"/>
      <c r="L635" s="29"/>
      <c r="M635" s="29"/>
      <c r="N635" s="30"/>
      <c r="O635" s="29"/>
      <c r="P635" s="29"/>
      <c r="Q635" s="31"/>
      <c r="R635" s="31"/>
      <c r="S635" s="31"/>
    </row>
    <row r="636" spans="1:19" ht="20.5">
      <c r="A636" s="26"/>
      <c r="B636" s="27"/>
      <c r="C636" s="28"/>
      <c r="D636" s="28"/>
      <c r="E636" s="28"/>
      <c r="F636" s="28"/>
      <c r="G636" s="28"/>
      <c r="H636" s="28"/>
      <c r="I636" s="29"/>
      <c r="J636" s="29"/>
      <c r="K636" s="29"/>
      <c r="L636" s="29"/>
      <c r="M636" s="29"/>
      <c r="N636" s="30"/>
      <c r="O636" s="29"/>
      <c r="P636" s="29"/>
      <c r="Q636" s="31"/>
      <c r="R636" s="31"/>
      <c r="S636" s="31"/>
    </row>
    <row r="637" spans="1:19" ht="20.5">
      <c r="A637" s="26"/>
      <c r="B637" s="27"/>
      <c r="C637" s="28"/>
      <c r="D637" s="28"/>
      <c r="E637" s="28"/>
      <c r="F637" s="28"/>
      <c r="G637" s="28"/>
      <c r="H637" s="28"/>
      <c r="I637" s="29"/>
      <c r="J637" s="29"/>
      <c r="K637" s="29"/>
      <c r="L637" s="29"/>
      <c r="M637" s="29"/>
      <c r="N637" s="30"/>
      <c r="O637" s="29"/>
      <c r="P637" s="29"/>
      <c r="Q637" s="31"/>
      <c r="R637" s="31"/>
      <c r="S637" s="31"/>
    </row>
    <row r="638" spans="1:19" ht="20.5">
      <c r="A638" s="26"/>
      <c r="B638" s="27"/>
      <c r="C638" s="28"/>
      <c r="D638" s="28"/>
      <c r="E638" s="28"/>
      <c r="F638" s="28"/>
      <c r="G638" s="28"/>
      <c r="H638" s="28"/>
      <c r="I638" s="29"/>
      <c r="J638" s="29"/>
      <c r="K638" s="29"/>
      <c r="L638" s="29"/>
      <c r="M638" s="29"/>
      <c r="N638" s="30"/>
      <c r="O638" s="29"/>
      <c r="P638" s="29"/>
      <c r="Q638" s="31"/>
      <c r="R638" s="31"/>
      <c r="S638" s="31"/>
    </row>
    <row r="639" spans="1:19" ht="20.5">
      <c r="A639" s="26"/>
      <c r="B639" s="27"/>
      <c r="C639" s="28"/>
      <c r="D639" s="28"/>
      <c r="E639" s="28"/>
      <c r="F639" s="28"/>
      <c r="G639" s="28"/>
      <c r="H639" s="28"/>
      <c r="I639" s="29"/>
      <c r="J639" s="29"/>
      <c r="K639" s="29"/>
      <c r="L639" s="29"/>
      <c r="M639" s="29"/>
      <c r="N639" s="30"/>
      <c r="O639" s="29"/>
      <c r="P639" s="29"/>
      <c r="Q639" s="31"/>
      <c r="R639" s="31"/>
      <c r="S639" s="31"/>
    </row>
    <row r="640" spans="1:19" ht="20.5">
      <c r="A640" s="26"/>
      <c r="B640" s="27"/>
      <c r="C640" s="28"/>
      <c r="D640" s="28"/>
      <c r="E640" s="28"/>
      <c r="F640" s="28"/>
      <c r="G640" s="28"/>
      <c r="H640" s="28"/>
      <c r="I640" s="29"/>
      <c r="J640" s="29"/>
      <c r="K640" s="29"/>
      <c r="L640" s="29"/>
      <c r="M640" s="29"/>
      <c r="N640" s="30"/>
      <c r="O640" s="29"/>
      <c r="P640" s="29"/>
      <c r="Q640" s="31"/>
      <c r="R640" s="31"/>
      <c r="S640" s="31"/>
    </row>
    <row r="641" spans="1:19" ht="20.5">
      <c r="A641" s="26"/>
      <c r="B641" s="27"/>
      <c r="C641" s="28"/>
      <c r="D641" s="28"/>
      <c r="E641" s="28"/>
      <c r="F641" s="28"/>
      <c r="G641" s="28"/>
      <c r="H641" s="28"/>
      <c r="I641" s="29"/>
      <c r="J641" s="29"/>
      <c r="K641" s="29"/>
      <c r="L641" s="29"/>
      <c r="M641" s="29"/>
      <c r="N641" s="30"/>
      <c r="O641" s="29"/>
      <c r="P641" s="29"/>
      <c r="Q641" s="31"/>
      <c r="R641" s="31"/>
      <c r="S641" s="31"/>
    </row>
    <row r="642" spans="1:19" ht="20.5">
      <c r="A642" s="26"/>
      <c r="B642" s="27"/>
      <c r="C642" s="28"/>
      <c r="D642" s="28"/>
      <c r="E642" s="28"/>
      <c r="F642" s="28"/>
      <c r="G642" s="28"/>
      <c r="H642" s="28"/>
      <c r="I642" s="29"/>
      <c r="J642" s="29"/>
      <c r="K642" s="29"/>
      <c r="L642" s="29"/>
      <c r="M642" s="29"/>
      <c r="N642" s="30"/>
      <c r="O642" s="29"/>
      <c r="P642" s="29"/>
      <c r="Q642" s="31"/>
      <c r="R642" s="31"/>
      <c r="S642" s="31"/>
    </row>
    <row r="643" spans="1:19" ht="20.5">
      <c r="A643" s="26"/>
      <c r="B643" s="27"/>
      <c r="C643" s="28"/>
      <c r="D643" s="28"/>
      <c r="E643" s="28"/>
      <c r="F643" s="28"/>
      <c r="G643" s="28"/>
      <c r="H643" s="28"/>
      <c r="I643" s="29"/>
      <c r="J643" s="29"/>
      <c r="K643" s="29"/>
      <c r="L643" s="29"/>
      <c r="M643" s="29"/>
      <c r="N643" s="30"/>
      <c r="O643" s="29"/>
      <c r="P643" s="29"/>
      <c r="Q643" s="31"/>
      <c r="R643" s="31"/>
      <c r="S643" s="31"/>
    </row>
    <row r="644" spans="1:19" ht="20.5">
      <c r="A644" s="26"/>
      <c r="B644" s="27"/>
      <c r="C644" s="28"/>
      <c r="D644" s="28"/>
      <c r="E644" s="28"/>
      <c r="F644" s="28"/>
      <c r="G644" s="28"/>
      <c r="H644" s="28"/>
      <c r="I644" s="29"/>
      <c r="J644" s="29"/>
      <c r="K644" s="29"/>
      <c r="L644" s="29"/>
      <c r="M644" s="29"/>
      <c r="N644" s="30"/>
      <c r="O644" s="29"/>
      <c r="P644" s="29"/>
      <c r="Q644" s="31"/>
      <c r="R644" s="31"/>
      <c r="S644" s="31"/>
    </row>
    <row r="645" spans="1:19" ht="20.5">
      <c r="A645" s="26"/>
      <c r="B645" s="27"/>
      <c r="C645" s="28"/>
      <c r="D645" s="28"/>
      <c r="E645" s="28"/>
      <c r="F645" s="28"/>
      <c r="G645" s="28"/>
      <c r="H645" s="28"/>
      <c r="I645" s="29"/>
      <c r="J645" s="29"/>
      <c r="K645" s="29"/>
      <c r="L645" s="29"/>
      <c r="M645" s="29"/>
      <c r="N645" s="30"/>
      <c r="O645" s="29"/>
      <c r="P645" s="29"/>
      <c r="Q645" s="31"/>
      <c r="R645" s="31"/>
      <c r="S645" s="31"/>
    </row>
    <row r="646" spans="1:19" ht="20.5">
      <c r="A646" s="26"/>
      <c r="B646" s="27"/>
      <c r="C646" s="28"/>
      <c r="D646" s="28"/>
      <c r="E646" s="28"/>
      <c r="F646" s="28"/>
      <c r="G646" s="28"/>
      <c r="H646" s="28"/>
      <c r="I646" s="29"/>
      <c r="J646" s="29"/>
      <c r="K646" s="29"/>
      <c r="L646" s="29"/>
      <c r="M646" s="29"/>
      <c r="N646" s="30"/>
      <c r="O646" s="29"/>
      <c r="P646" s="29"/>
      <c r="Q646" s="31"/>
      <c r="R646" s="31"/>
      <c r="S646" s="31"/>
    </row>
    <row r="647" spans="1:19" ht="20.5">
      <c r="A647" s="26"/>
      <c r="B647" s="27"/>
      <c r="C647" s="28"/>
      <c r="D647" s="28"/>
      <c r="E647" s="28"/>
      <c r="F647" s="28"/>
      <c r="G647" s="28"/>
      <c r="H647" s="28"/>
      <c r="I647" s="29"/>
      <c r="J647" s="29"/>
      <c r="K647" s="29"/>
      <c r="L647" s="29"/>
      <c r="M647" s="29"/>
      <c r="N647" s="30"/>
      <c r="O647" s="29"/>
      <c r="P647" s="29"/>
      <c r="Q647" s="31"/>
      <c r="R647" s="31"/>
      <c r="S647" s="31"/>
    </row>
    <row r="648" spans="1:19" ht="20.5">
      <c r="A648" s="26"/>
      <c r="B648" s="27"/>
      <c r="C648" s="28"/>
      <c r="D648" s="28"/>
      <c r="E648" s="28"/>
      <c r="F648" s="28"/>
      <c r="G648" s="28"/>
      <c r="H648" s="28"/>
      <c r="I648" s="29"/>
      <c r="J648" s="29"/>
      <c r="K648" s="29"/>
      <c r="L648" s="29"/>
      <c r="M648" s="29"/>
      <c r="N648" s="30"/>
      <c r="O648" s="29"/>
      <c r="P648" s="29"/>
      <c r="Q648" s="31"/>
      <c r="R648" s="31"/>
      <c r="S648" s="31"/>
    </row>
    <row r="649" spans="1:19" ht="20.5">
      <c r="A649" s="26"/>
      <c r="B649" s="27"/>
      <c r="C649" s="28"/>
      <c r="D649" s="28"/>
      <c r="E649" s="28"/>
      <c r="F649" s="28"/>
      <c r="G649" s="28"/>
      <c r="H649" s="28"/>
      <c r="I649" s="29"/>
      <c r="J649" s="29"/>
      <c r="K649" s="29"/>
      <c r="L649" s="29"/>
      <c r="M649" s="29"/>
      <c r="N649" s="30"/>
      <c r="O649" s="29"/>
      <c r="P649" s="29"/>
      <c r="Q649" s="31"/>
      <c r="R649" s="31"/>
      <c r="S649" s="31"/>
    </row>
    <row r="650" spans="1:19" ht="20.5">
      <c r="A650" s="26"/>
      <c r="B650" s="27"/>
      <c r="C650" s="28"/>
      <c r="D650" s="28"/>
      <c r="E650" s="28"/>
      <c r="F650" s="28"/>
      <c r="G650" s="28"/>
      <c r="H650" s="28"/>
      <c r="I650" s="29"/>
      <c r="J650" s="29"/>
      <c r="K650" s="29"/>
      <c r="L650" s="29"/>
      <c r="M650" s="29"/>
      <c r="N650" s="30"/>
      <c r="O650" s="29"/>
      <c r="P650" s="29"/>
      <c r="Q650" s="31"/>
      <c r="R650" s="31"/>
      <c r="S650" s="31"/>
    </row>
    <row r="651" spans="1:19" ht="20.5">
      <c r="A651" s="26"/>
      <c r="B651" s="27"/>
      <c r="C651" s="28"/>
      <c r="D651" s="28"/>
      <c r="E651" s="28"/>
      <c r="F651" s="28"/>
      <c r="G651" s="28"/>
      <c r="H651" s="28"/>
      <c r="I651" s="29"/>
      <c r="J651" s="29"/>
      <c r="K651" s="29"/>
      <c r="L651" s="29"/>
      <c r="M651" s="29"/>
      <c r="N651" s="30"/>
      <c r="O651" s="29"/>
      <c r="P651" s="29"/>
      <c r="Q651" s="31"/>
      <c r="R651" s="31"/>
      <c r="S651" s="31"/>
    </row>
    <row r="652" spans="1:19" ht="20.5">
      <c r="A652" s="26"/>
      <c r="B652" s="27"/>
      <c r="C652" s="28"/>
      <c r="D652" s="28"/>
      <c r="E652" s="28"/>
      <c r="F652" s="28"/>
      <c r="G652" s="28"/>
      <c r="H652" s="28"/>
      <c r="I652" s="29"/>
      <c r="J652" s="29"/>
      <c r="K652" s="29"/>
      <c r="L652" s="29"/>
      <c r="M652" s="29"/>
      <c r="N652" s="30"/>
      <c r="O652" s="29"/>
      <c r="P652" s="29"/>
      <c r="Q652" s="31"/>
      <c r="R652" s="31"/>
      <c r="S652" s="31"/>
    </row>
    <row r="653" spans="1:19" ht="20.5">
      <c r="A653" s="26"/>
      <c r="B653" s="27"/>
      <c r="C653" s="28"/>
      <c r="D653" s="28"/>
      <c r="E653" s="28"/>
      <c r="F653" s="28"/>
      <c r="G653" s="28"/>
      <c r="H653" s="28"/>
      <c r="I653" s="29"/>
      <c r="J653" s="29"/>
      <c r="K653" s="29"/>
      <c r="L653" s="29"/>
      <c r="M653" s="29"/>
      <c r="N653" s="30"/>
      <c r="O653" s="29"/>
      <c r="P653" s="29"/>
      <c r="Q653" s="31"/>
      <c r="R653" s="31"/>
      <c r="S653" s="31"/>
    </row>
    <row r="654" spans="1:19" ht="20.5">
      <c r="A654" s="26"/>
      <c r="B654" s="27"/>
      <c r="C654" s="28"/>
      <c r="D654" s="28"/>
      <c r="E654" s="28"/>
      <c r="F654" s="28"/>
      <c r="G654" s="28"/>
      <c r="H654" s="28"/>
      <c r="I654" s="29"/>
      <c r="J654" s="29"/>
      <c r="K654" s="29"/>
      <c r="L654" s="29"/>
      <c r="M654" s="29"/>
      <c r="N654" s="30"/>
      <c r="O654" s="29"/>
      <c r="P654" s="29"/>
      <c r="Q654" s="31"/>
      <c r="R654" s="31"/>
      <c r="S654" s="31"/>
    </row>
    <row r="655" spans="1:19" ht="20.5">
      <c r="A655" s="26"/>
      <c r="B655" s="27"/>
      <c r="C655" s="28"/>
      <c r="D655" s="28"/>
      <c r="E655" s="28"/>
      <c r="F655" s="28"/>
      <c r="G655" s="28"/>
      <c r="H655" s="28"/>
      <c r="I655" s="29"/>
      <c r="J655" s="29"/>
      <c r="K655" s="29"/>
      <c r="L655" s="29"/>
      <c r="M655" s="29"/>
      <c r="N655" s="30"/>
      <c r="O655" s="29"/>
      <c r="P655" s="29"/>
      <c r="Q655" s="31"/>
      <c r="R655" s="31"/>
      <c r="S655" s="31"/>
    </row>
    <row r="656" spans="1:19" ht="20.5">
      <c r="A656" s="26"/>
      <c r="B656" s="27"/>
      <c r="C656" s="28"/>
      <c r="D656" s="28"/>
      <c r="E656" s="28"/>
      <c r="F656" s="28"/>
      <c r="G656" s="28"/>
      <c r="H656" s="28"/>
      <c r="I656" s="29"/>
      <c r="J656" s="29"/>
      <c r="K656" s="29"/>
      <c r="L656" s="29"/>
      <c r="M656" s="29"/>
      <c r="N656" s="30"/>
      <c r="O656" s="29"/>
      <c r="P656" s="29"/>
      <c r="Q656" s="31"/>
      <c r="R656" s="31"/>
      <c r="S656" s="31"/>
    </row>
    <row r="657" spans="1:19" ht="20.5">
      <c r="A657" s="26"/>
      <c r="B657" s="27"/>
      <c r="C657" s="28"/>
      <c r="D657" s="28"/>
      <c r="E657" s="28"/>
      <c r="F657" s="28"/>
      <c r="G657" s="28"/>
      <c r="H657" s="28"/>
      <c r="I657" s="29"/>
      <c r="J657" s="29"/>
      <c r="K657" s="29"/>
      <c r="L657" s="29"/>
      <c r="M657" s="29"/>
      <c r="N657" s="30"/>
      <c r="O657" s="29"/>
      <c r="P657" s="29"/>
      <c r="Q657" s="31"/>
      <c r="R657" s="31"/>
      <c r="S657" s="31"/>
    </row>
    <row r="658" spans="1:19" ht="20.5">
      <c r="A658" s="26"/>
      <c r="B658" s="27"/>
      <c r="C658" s="28"/>
      <c r="D658" s="28"/>
      <c r="E658" s="28"/>
      <c r="F658" s="28"/>
      <c r="G658" s="28"/>
      <c r="H658" s="28"/>
      <c r="I658" s="29"/>
      <c r="J658" s="29"/>
      <c r="K658" s="29"/>
      <c r="L658" s="29"/>
      <c r="M658" s="29"/>
      <c r="N658" s="30"/>
      <c r="O658" s="29"/>
      <c r="P658" s="29"/>
      <c r="Q658" s="31"/>
      <c r="R658" s="31"/>
      <c r="S658" s="31"/>
    </row>
    <row r="659" spans="1:19" ht="20.5">
      <c r="A659" s="26"/>
      <c r="B659" s="27"/>
      <c r="C659" s="28"/>
      <c r="D659" s="28"/>
      <c r="E659" s="28"/>
      <c r="F659" s="28"/>
      <c r="G659" s="28"/>
      <c r="H659" s="28"/>
      <c r="I659" s="29"/>
      <c r="J659" s="29"/>
      <c r="K659" s="29"/>
      <c r="L659" s="29"/>
      <c r="M659" s="29"/>
      <c r="N659" s="30"/>
      <c r="O659" s="29"/>
      <c r="P659" s="29"/>
      <c r="Q659" s="31"/>
      <c r="R659" s="31"/>
      <c r="S659" s="31"/>
    </row>
    <row r="660" spans="1:19" ht="20.5">
      <c r="A660" s="26"/>
      <c r="B660" s="27"/>
      <c r="C660" s="28"/>
      <c r="D660" s="28"/>
      <c r="E660" s="28"/>
      <c r="F660" s="28"/>
      <c r="G660" s="28"/>
      <c r="H660" s="28"/>
      <c r="I660" s="29"/>
      <c r="J660" s="29"/>
      <c r="K660" s="29"/>
      <c r="L660" s="29"/>
      <c r="M660" s="29"/>
      <c r="N660" s="30"/>
      <c r="O660" s="29"/>
      <c r="P660" s="29"/>
      <c r="Q660" s="31"/>
      <c r="R660" s="31"/>
      <c r="S660" s="31"/>
    </row>
    <row r="661" spans="1:19" ht="20.5">
      <c r="A661" s="26"/>
      <c r="B661" s="27"/>
      <c r="C661" s="28"/>
      <c r="D661" s="28"/>
      <c r="E661" s="28"/>
      <c r="F661" s="28"/>
      <c r="G661" s="28"/>
      <c r="H661" s="28"/>
      <c r="I661" s="29"/>
      <c r="J661" s="29"/>
      <c r="K661" s="29"/>
      <c r="L661" s="29"/>
      <c r="M661" s="29"/>
      <c r="N661" s="30"/>
      <c r="O661" s="29"/>
      <c r="P661" s="29"/>
      <c r="Q661" s="31"/>
      <c r="R661" s="31"/>
      <c r="S661" s="31"/>
    </row>
    <row r="662" spans="1:19" ht="20.5">
      <c r="A662" s="26"/>
      <c r="B662" s="27"/>
      <c r="C662" s="28"/>
      <c r="D662" s="28"/>
      <c r="E662" s="28"/>
      <c r="F662" s="28"/>
      <c r="G662" s="28"/>
      <c r="H662" s="28"/>
      <c r="I662" s="29"/>
      <c r="J662" s="29"/>
      <c r="K662" s="29"/>
      <c r="L662" s="29"/>
      <c r="M662" s="29"/>
      <c r="N662" s="30"/>
      <c r="O662" s="29"/>
      <c r="P662" s="29"/>
      <c r="Q662" s="31"/>
      <c r="R662" s="31"/>
      <c r="S662" s="31"/>
    </row>
    <row r="663" spans="1:19" ht="20.5">
      <c r="A663" s="26"/>
      <c r="B663" s="27"/>
      <c r="C663" s="28"/>
      <c r="D663" s="28"/>
      <c r="E663" s="28"/>
      <c r="F663" s="28"/>
      <c r="G663" s="28"/>
      <c r="H663" s="28"/>
      <c r="I663" s="29"/>
      <c r="J663" s="29"/>
      <c r="K663" s="29"/>
      <c r="L663" s="29"/>
      <c r="M663" s="29"/>
      <c r="N663" s="30"/>
      <c r="O663" s="29"/>
      <c r="P663" s="29"/>
      <c r="Q663" s="31"/>
      <c r="R663" s="31"/>
      <c r="S663" s="31"/>
    </row>
    <row r="664" spans="1:19" ht="20.5">
      <c r="A664" s="26"/>
      <c r="B664" s="27"/>
      <c r="C664" s="28"/>
      <c r="D664" s="28"/>
      <c r="E664" s="28"/>
      <c r="F664" s="28"/>
      <c r="G664" s="28"/>
      <c r="H664" s="28"/>
      <c r="I664" s="29"/>
      <c r="J664" s="29"/>
      <c r="K664" s="29"/>
      <c r="L664" s="29"/>
      <c r="M664" s="29"/>
      <c r="N664" s="30"/>
      <c r="O664" s="29"/>
      <c r="P664" s="29"/>
      <c r="Q664" s="31"/>
      <c r="R664" s="31"/>
      <c r="S664" s="31"/>
    </row>
    <row r="665" spans="1:19" ht="20.5">
      <c r="A665" s="26"/>
      <c r="B665" s="27"/>
      <c r="C665" s="28"/>
      <c r="D665" s="28"/>
      <c r="E665" s="28"/>
      <c r="F665" s="28"/>
      <c r="G665" s="28"/>
      <c r="H665" s="28"/>
      <c r="I665" s="29"/>
      <c r="J665" s="29"/>
      <c r="K665" s="29"/>
      <c r="L665" s="29"/>
      <c r="M665" s="29"/>
      <c r="N665" s="30"/>
      <c r="O665" s="29"/>
      <c r="P665" s="29"/>
      <c r="Q665" s="31"/>
      <c r="R665" s="31"/>
      <c r="S665" s="31"/>
    </row>
    <row r="666" spans="1:19" ht="20.5">
      <c r="A666" s="26"/>
      <c r="B666" s="27"/>
      <c r="C666" s="28"/>
      <c r="D666" s="28"/>
      <c r="E666" s="28"/>
      <c r="F666" s="28"/>
      <c r="G666" s="28"/>
      <c r="H666" s="28"/>
      <c r="I666" s="29"/>
      <c r="J666" s="29"/>
      <c r="K666" s="29"/>
      <c r="L666" s="29"/>
      <c r="M666" s="29"/>
      <c r="N666" s="30"/>
      <c r="O666" s="29"/>
      <c r="P666" s="29"/>
      <c r="Q666" s="31"/>
      <c r="R666" s="31"/>
      <c r="S666" s="31"/>
    </row>
    <row r="667" spans="1:19" ht="20.5">
      <c r="A667" s="26"/>
      <c r="B667" s="27"/>
      <c r="C667" s="28"/>
      <c r="D667" s="28"/>
      <c r="E667" s="28"/>
      <c r="F667" s="28"/>
      <c r="G667" s="28"/>
      <c r="H667" s="28"/>
      <c r="I667" s="29"/>
      <c r="J667" s="29"/>
      <c r="K667" s="29"/>
      <c r="L667" s="29"/>
      <c r="M667" s="29"/>
      <c r="N667" s="30"/>
      <c r="O667" s="29"/>
      <c r="P667" s="29"/>
      <c r="Q667" s="31"/>
      <c r="R667" s="31"/>
      <c r="S667" s="31"/>
    </row>
    <row r="668" spans="1:19" ht="20.5">
      <c r="A668" s="26"/>
      <c r="B668" s="27"/>
      <c r="C668" s="28"/>
      <c r="D668" s="28"/>
      <c r="E668" s="28"/>
      <c r="F668" s="28"/>
      <c r="G668" s="28"/>
      <c r="H668" s="28"/>
      <c r="I668" s="29"/>
      <c r="J668" s="29"/>
      <c r="K668" s="29"/>
      <c r="L668" s="29"/>
      <c r="M668" s="29"/>
      <c r="N668" s="30"/>
      <c r="O668" s="29"/>
      <c r="P668" s="29"/>
      <c r="Q668" s="31"/>
      <c r="R668" s="31"/>
      <c r="S668" s="31"/>
    </row>
    <row r="669" spans="1:19" ht="20.5">
      <c r="A669" s="26"/>
      <c r="B669" s="27"/>
      <c r="C669" s="28"/>
      <c r="D669" s="28"/>
      <c r="E669" s="28"/>
      <c r="F669" s="28"/>
      <c r="G669" s="28"/>
      <c r="H669" s="28"/>
      <c r="I669" s="29"/>
      <c r="J669" s="29"/>
      <c r="K669" s="29"/>
      <c r="L669" s="29"/>
      <c r="M669" s="29"/>
      <c r="N669" s="30"/>
      <c r="O669" s="29"/>
      <c r="P669" s="29"/>
      <c r="Q669" s="31"/>
      <c r="R669" s="31"/>
      <c r="S669" s="31"/>
    </row>
    <row r="670" spans="1:19" ht="20.5">
      <c r="A670" s="26"/>
      <c r="B670" s="27"/>
      <c r="C670" s="28"/>
      <c r="D670" s="28"/>
      <c r="E670" s="28"/>
      <c r="F670" s="28"/>
      <c r="G670" s="28"/>
      <c r="H670" s="28"/>
      <c r="I670" s="29"/>
      <c r="J670" s="29"/>
      <c r="K670" s="29"/>
      <c r="L670" s="29"/>
      <c r="M670" s="29"/>
      <c r="N670" s="30"/>
      <c r="O670" s="29"/>
      <c r="P670" s="29"/>
      <c r="Q670" s="31"/>
      <c r="R670" s="31"/>
      <c r="S670" s="31"/>
    </row>
  </sheetData>
  <mergeCells count="2">
    <mergeCell ref="H2:I2"/>
    <mergeCell ref="G3:J4"/>
  </mergeCells>
  <conditionalFormatting sqref="B3:B4">
    <cfRule type="expression" dxfId="3" priority="3" stopIfTrue="1">
      <formula>AND(#REF!&lt;&gt;"", OR($C2=#REF!, _xludf.REGEXREPLACE($C2, "[^0-9]", "")=TO_TEXT(#REF!)))</formula>
    </cfRule>
  </conditionalFormatting>
  <conditionalFormatting sqref="B4">
    <cfRule type="expression" dxfId="2" priority="4" stopIfTrue="1">
      <formula>AND(#REF!&lt;&gt;"", OR($F4=#REF!, _xludf.REGEXREPLACE($F4, "[^0-9]", "")=TO_TEXT(#REF!)))</formula>
    </cfRule>
  </conditionalFormatting>
  <conditionalFormatting sqref="C7:C670">
    <cfRule type="expression" dxfId="1" priority="1" stopIfTrue="1">
      <formula>AND(C7&lt;&gt;"", COUNTIF(C:C, C7)&gt;1)</formula>
    </cfRule>
    <cfRule type="expression" dxfId="0" priority="2" stopIfTrue="1">
      <formula>AND(NOT(ISBLANK(C7)), COUNTIF($C$7:$C$166, C7)&gt;1)</formula>
    </cfRule>
  </conditionalFormatting>
  <dataValidations count="2">
    <dataValidation type="list" allowBlank="1" sqref="B7:B670" xr:uid="{AB57743D-1E01-4892-BA4C-1686FEED2059}">
      <formula1>"🟩 Inbound,🔵 Failed,🟡 Pending,🔴 RTO,🟣 TBC"</formula1>
    </dataValidation>
    <dataValidation type="custom" allowBlank="1" showDropDown="1" showInputMessage="1" showErrorMessage="1" prompt="❌ Error:  Duplicate Entry. This Parcel ID has already been scanned onto today's Way Schedule!" sqref="C76" xr:uid="{FEBA9268-6C47-4EDB-8A77-A044F4A1054E}">
      <formula1>COUNTIF($E$7:$E$166, C76)&lt;=1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06092026_PENDINGRTO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 wanna</dc:creator>
  <cp:lastModifiedBy>kyaw wanna</cp:lastModifiedBy>
  <dcterms:created xsi:type="dcterms:W3CDTF">2026-09-06T19:50:38Z</dcterms:created>
  <dcterms:modified xsi:type="dcterms:W3CDTF">2026-09-06T23:53:30Z</dcterms:modified>
</cp:coreProperties>
</file>