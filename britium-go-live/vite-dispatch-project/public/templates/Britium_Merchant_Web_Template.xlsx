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b677b0242a49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rchant Upload" sheetId="1" r:id="R82b0992375a44e10"/>
    <x:sheet xmlns:r="http://schemas.openxmlformats.org/officeDocument/2006/relationships" name="Merchant_Rates" sheetId="2" r:id="Rea8a8d152c2b4cad"/>
    <x:sheet xmlns:r="http://schemas.openxmlformats.org/officeDocument/2006/relationships" name="Rules" sheetId="3" r:id="R92a61207c1bf47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0"/>
  </x:numFmts>
  <x:fonts count="6">
    <x:font>
      <x:sz val="11"/>
      <x:name val="Carlito"/>
    </x:font>
    <x:font>
      <x:b/>
      <x:sz val="16"/>
      <x:color rgb="FFF6B84B"/>
      <x:name val="Carlito"/>
    </x:font>
    <x:font>
      <x:sz val="10"/>
      <x:color rgb="FFC8DFF0"/>
      <x:name val="Carlito"/>
    </x:font>
    <x:font>
      <x:b/>
      <x:sz val="11"/>
      <x:color rgb="FFFFFFFF"/>
      <x:name val="Carlito"/>
    </x:font>
    <x:font>
      <x:b/>
      <x:sz val="11"/>
      <x:color rgb="FFF6B84B"/>
      <x:name val="Carlito"/>
    </x:font>
    <x:font>
      <x:sz val="11"/>
      <x:color rgb="FFF6B84B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236"/>
      </x:patternFill>
    </x:fill>
    <x:fill>
      <x:patternFill patternType="solid">
        <x:fgColor rgb="FF061524"/>
      </x:patternFill>
    </x:fill>
    <x:fill>
      <x:patternFill patternType="solid">
        <x:fgColor rgb="FF1A3A5C"/>
      </x:patternFill>
    </x:fill>
    <x:fill>
      <x:patternFill patternType="solid">
        <x:fgColor rgb="FF081B2E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/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5" fillId="5" borderId="0" xfId="0" applyNumberFormat="1" applyFont="1" applyFill="1" applyBorder="1" applyAlignment="1">
      <x:alignment wrapText="1"/>
    </x:xf>
    <x:xf numFmtId="200" fontId="5" fillId="5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4e511247f45b6" /><Relationship Type="http://schemas.openxmlformats.org/officeDocument/2006/relationships/theme" Target="/xl/theme/theme1.xml" Id="R3c3be2a930104baf" /><Relationship Type="http://schemas.openxmlformats.org/officeDocument/2006/relationships/sharedStrings" Target="/xl/sharedStrings.xml" Id="R8d83053b79f34bd4" /><Relationship Type="http://schemas.openxmlformats.org/officeDocument/2006/relationships/worksheet" Target="/xl/worksheets/sheet1.xml" Id="R82b0992375a44e10" /><Relationship Type="http://schemas.openxmlformats.org/officeDocument/2006/relationships/worksheet" Target="/xl/worksheets/sheet2.xml" Id="Rea8a8d152c2b4cad" /><Relationship Type="http://schemas.openxmlformats.org/officeDocument/2006/relationships/worksheet" Target="/xl/worksheets/sheet3.xml" Id="R92a61207c1bf473f" /></Relationships>
</file>

<file path=xl/tables/table1.xml><?xml version="1.0" encoding="utf-8"?>
<x:table xmlns:x="http://schemas.openxmlformats.org/spreadsheetml/2006/main" id="1" name="MerchantUploadTable" displayName="MerchantUploadTable" ref="A4:K504" headerRowCount="1">
  <x:tableColumns count="11">
    <x:tableColumn id="1" name="Sr."/>
    <x:tableColumn id="2" name="Merchant Name"/>
    <x:tableColumn id="3" name="Merchant Address"/>
    <x:tableColumn id="4" name="Merchant Township"/>
    <x:tableColumn id="5" name="Merchant City"/>
    <x:tableColumn id="6" name="Phone Number"/>
    <x:tableColumn id="7" name="COD Amount"/>
    <x:tableColumn id="8" name="Total KG"/>
    <x:tableColumn id="9" name="Delivery Charges"/>
    <x:tableColumn id="10" name="Extra-KG Charges"/>
    <x:tableColumn id="11" name="Total Collected Amount"/>
  </x:tableColumns>
  <x:tableStyleInfo name="TableStyleMedium2" showRowStripes="1"/>
</x:table>
</file>

<file path=xl/tables/table2.xml><?xml version="1.0" encoding="utf-8"?>
<x:table xmlns:x="http://schemas.openxmlformats.org/spreadsheetml/2006/main" id="2" name="MerchantRatesTable" displayName="MerchantRatesTable" ref="A1:D100" headerRowCount="1">
  <x:tableColumns count="4">
    <x:tableColumn id="1" name="Merchant Name"/>
    <x:tableColumn id="2" name="Tier"/>
    <x:tableColumn id="3" name="Delivery Charge"/>
    <x:tableColumn id="4" name="KG Allowance"/>
  </x:tableColumns>
  <x:tableStyleInfo name="TableStyleMedium2" showRowStripes="1"/>
</x:table>
</file>

<file path=xl/tables/table3.xml><?xml version="1.0" encoding="utf-8"?>
<x:table xmlns:x="http://schemas.openxmlformats.org/spreadsheetml/2006/main" id="3" name="MerchantRulesTable" displayName="MerchantRulesTable" ref="A1:B6" headerRowCount="1">
  <x:tableColumns count="2">
    <x:tableColumn id="1" name="Rule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5e0bf95d9246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055346a4e0541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c2f28f010c34916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36" hidden="0" customWidth="1"/>
    <x:col min="4" max="4" width="20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8" hidden="0" customWidth="1"/>
    <x:col min="10" max="10" width="18" hidden="0" customWidth="1"/>
    <x:col min="11" max="11" width="22" hidden="0" customWidth="1"/>
  </x:cols>
  <x:sheetData>
    <x:row r="1" ht="28" customHeight="1">
      <x:c r="A1" s="5" t="str">
        <x:v>Britium Merchant Upload Template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2" customHeight="1">
      <x:c r="A2" s="14" t="str">
        <x:v>Fill only the editable columns. Delivery Charges, Extra-KG Charges, and Total Collected Amount are calculated automatically from Merchant_Rates.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4" ht="24" customHeight="1">
      <x:c r="A4" s="24" t="str">
        <x:v>Sr.</x:v>
      </x:c>
      <x:c r="B4" s="24" t="str">
        <x:v>Merchant Name</x:v>
      </x:c>
      <x:c r="C4" s="24" t="str">
        <x:v>Merchant Address</x:v>
      </x:c>
      <x:c r="D4" s="24" t="str">
        <x:v>Merchant Township</x:v>
      </x:c>
      <x:c r="E4" s="24" t="str">
        <x:v>Merchant City</x:v>
      </x:c>
      <x:c r="F4" s="24" t="str">
        <x:v>Phone Number</x:v>
      </x:c>
      <x:c r="G4" s="24" t="str">
        <x:v>COD Amount</x:v>
      </x:c>
      <x:c r="H4" s="24" t="str">
        <x:v>Total KG</x:v>
      </x:c>
      <x:c r="I4" s="34" t="str">
        <x:v>Delivery Charges</x:v>
      </x:c>
      <x:c r="J4" s="34" t="str">
        <x:v>Extra-KG Charges</x:v>
      </x:c>
      <x:c r="K4" s="34" t="str">
        <x:v>Total Collected Amount</x:v>
      </x:c>
    </x:row>
    <x:row r="5">
      <x:c r="A5" s="40" t="n">
        <x:v>1</x:v>
      </x:c>
      <x:c r="B5" s="40" t="str">
        <x:v>ABC Online Shop</x:v>
      </x:c>
      <x:c r="C5" s="40" t="str">
        <x:v>No. 12, Main Road</x:v>
      </x:c>
      <x:c r="D5" s="40" t="str">
        <x:v>North Dagon</x:v>
      </x:c>
      <x:c r="E5" s="40" t="str">
        <x:v>Yangon</x:v>
      </x:c>
      <x:c r="F5" s="40" t="str">
        <x:v>09123456789</x:v>
      </x:c>
      <x:c r="G5" s="44" t="n">
        <x:v>50000</x:v>
      </x:c>
      <x:c r="H5" s="46" t="n">
        <x:v>2.5</x:v>
      </x:c>
      <x:c r="I5" s="48" t="n">
        <x:f>IF(B5="","",IFERROR(VLOOKUP(B5,Merchant_Rates!$A:$D,3,FALSE),4000))</x:f>
        <x:v>4000</x:v>
      </x:c>
      <x:c r="J5" s="48" t="n">
        <x:f>IF(B5="","",MAX(0,CEILING(H5,1)-IFERROR(VLOOKUP(B5,Merchant_Rates!$A:$D,4,FALSE),3))*Rules!$B$4)</x:f>
        <x:v>0</x:v>
      </x:c>
      <x:c r="K5" s="48" t="n">
        <x:f>IF(B5="","",G5+I5+J5)</x:f>
        <x:v>54000</x:v>
      </x:c>
    </x:row>
    <x:row r="6">
      <x:c r="A6" s="40" t="n">
        <x:v>2</x:v>
      </x:c>
      <x:c r="B6" s="40" t="str">
        <x:v>Royal Store</x:v>
      </x:c>
      <x:c r="C6" s="40" t="str">
        <x:v>78 Merchant Street</x:v>
      </x:c>
      <x:c r="D6" s="40" t="str">
        <x:v>Bahan</x:v>
      </x:c>
      <x:c r="E6" s="40" t="str">
        <x:v>Yangon</x:v>
      </x:c>
      <x:c r="F6" s="40" t="str">
        <x:v>09987654321</x:v>
      </x:c>
      <x:c r="G6" s="44" t="n">
        <x:v>120000</x:v>
      </x:c>
      <x:c r="H6" s="46" t="n">
        <x:v>6.2</x:v>
      </x:c>
      <x:c r="I6" s="48" t="n">
        <x:f>IF(B6="","",IFERROR(VLOOKUP(B6,Merchant_Rates!$A:$D,3,FALSE),4000))</x:f>
        <x:v>4000</x:v>
      </x:c>
      <x:c r="J6" s="48" t="n">
        <x:f>IF(B6="","",MAX(0,CEILING(H6,1)-IFERROR(VLOOKUP(B6,Merchant_Rates!$A:$D,4,FALSE),3))*Rules!$B$4)</x:f>
        <x:v>1000</x:v>
      </x:c>
      <x:c r="K6" s="48" t="n">
        <x:f>IF(B6="","",G6+I6+J6)</x:f>
        <x:v>125000</x:v>
      </x:c>
    </x:row>
    <x:row r="7">
      <x:c r="A7" s="40" t="n">
        <x:v>3</x:v>
      </x:c>
      <x:c r="B7" s="40" t="str">
        <x:v>Mandalay Branch Merchant</x:v>
      </x:c>
      <x:c r="C7" s="40" t="str">
        <x:v>35 78th Street</x:v>
      </x:c>
      <x:c r="D7" s="40" t="str">
        <x:v>Chan Aye Tharzan</x:v>
      </x:c>
      <x:c r="E7" s="40" t="str">
        <x:v>Mandalay</x:v>
      </x:c>
      <x:c r="F7" s="40" t="str">
        <x:v>09777111222</x:v>
      </x:c>
      <x:c r="G7" s="44" t="n">
        <x:v>80000</x:v>
      </x:c>
      <x:c r="H7" s="46" t="n">
        <x:v>4</x:v>
      </x:c>
      <x:c r="I7" s="48" t="n">
        <x:f>IF(B7="","",IFERROR(VLOOKUP(B7,Merchant_Rates!$A:$D,3,FALSE),4000))</x:f>
        <x:v>4000</x:v>
      </x:c>
      <x:c r="J7" s="48" t="n">
        <x:f>IF(B7="","",MAX(0,CEILING(H7,1)-IFERROR(VLOOKUP(B7,Merchant_Rates!$A:$D,4,FALSE),3))*Rules!$B$4)</x:f>
        <x:v>500</x:v>
      </x:c>
      <x:c r="K7" s="48" t="n">
        <x:f>IF(B7="","",G7+I7+J7)</x:f>
        <x:v>84500</x:v>
      </x:c>
    </x:row>
    <x:row r="8">
      <x:c r="A8" s="40" t="str">
        <x:f>IF(B8="","",ROW()-4)</x:f>
      </x:c>
      <x:c r="B8" s="40"/>
      <x:c r="C8" s="40"/>
      <x:c r="D8" s="40"/>
      <x:c r="E8" s="40"/>
      <x:c r="F8" s="40"/>
      <x:c r="G8" s="44"/>
      <x:c r="H8" s="46"/>
      <x:c r="I8" s="48" t="str">
        <x:f>IF(B8="","",IFERROR(VLOOKUP(B8,Merchant_Rates!$A:$D,3,FALSE),4000))</x:f>
      </x:c>
      <x:c r="J8" s="48" t="str">
        <x:f>IF(B8="","",MAX(0,CEILING(H8,1)-IFERROR(VLOOKUP(B8,Merchant_Rates!$A:$D,4,FALSE),3))*Rules!$B$4)</x:f>
      </x:c>
      <x:c r="K8" s="48" t="str">
        <x:f>IF(B8="","",G8+I8+J8)</x:f>
      </x:c>
    </x:row>
    <x:row r="9">
      <x:c r="A9" s="40" t="str">
        <x:f>IF(B9="","",ROW()-4)</x:f>
      </x:c>
      <x:c r="B9" s="40"/>
      <x:c r="C9" s="40"/>
      <x:c r="D9" s="40"/>
      <x:c r="E9" s="40"/>
      <x:c r="F9" s="40"/>
      <x:c r="G9" s="44"/>
      <x:c r="H9" s="46"/>
      <x:c r="I9" s="48" t="str">
        <x:f>IF(B9="","",IFERROR(VLOOKUP(B9,Merchant_Rates!$A:$D,3,FALSE),4000))</x:f>
      </x:c>
      <x:c r="J9" s="48" t="str">
        <x:f>IF(B9="","",MAX(0,CEILING(H9,1)-IFERROR(VLOOKUP(B9,Merchant_Rates!$A:$D,4,FALSE),3))*Rules!$B$4)</x:f>
      </x:c>
      <x:c r="K9" s="48" t="str">
        <x:f>IF(B9="","",G9+I9+J9)</x:f>
      </x:c>
    </x:row>
    <x:row r="10">
      <x:c r="A10" s="40" t="str">
        <x:f>IF(B10="","",ROW()-4)</x:f>
      </x:c>
      <x:c r="B10" s="40"/>
      <x:c r="C10" s="40"/>
      <x:c r="D10" s="40"/>
      <x:c r="E10" s="40"/>
      <x:c r="F10" s="40"/>
      <x:c r="G10" s="44"/>
      <x:c r="H10" s="46"/>
      <x:c r="I10" s="48" t="str">
        <x:f>IF(B10="","",IFERROR(VLOOKUP(B10,Merchant_Rates!$A:$D,3,FALSE),4000))</x:f>
      </x:c>
      <x:c r="J10" s="48" t="str">
        <x:f>IF(B10="","",MAX(0,CEILING(H10,1)-IFERROR(VLOOKUP(B10,Merchant_Rates!$A:$D,4,FALSE),3))*Rules!$B$4)</x:f>
      </x:c>
      <x:c r="K10" s="48" t="str">
        <x:f>IF(B10="","",G10+I10+J10)</x:f>
      </x:c>
    </x:row>
    <x:row r="11">
      <x:c r="A11" s="40" t="str">
        <x:f>IF(B11="","",ROW()-4)</x:f>
      </x:c>
      <x:c r="B11" s="40"/>
      <x:c r="C11" s="40"/>
      <x:c r="D11" s="40"/>
      <x:c r="E11" s="40"/>
      <x:c r="F11" s="40"/>
      <x:c r="G11" s="44"/>
      <x:c r="H11" s="46"/>
      <x:c r="I11" s="48" t="str">
        <x:f>IF(B11="","",IFERROR(VLOOKUP(B11,Merchant_Rates!$A:$D,3,FALSE),4000))</x:f>
      </x:c>
      <x:c r="J11" s="48" t="str">
        <x:f>IF(B11="","",MAX(0,CEILING(H11,1)-IFERROR(VLOOKUP(B11,Merchant_Rates!$A:$D,4,FALSE),3))*Rules!$B$4)</x:f>
      </x:c>
      <x:c r="K11" s="48" t="str">
        <x:f>IF(B11="","",G11+I11+J11)</x:f>
      </x:c>
    </x:row>
    <x:row r="12">
      <x:c r="A12" s="40" t="str">
        <x:f>IF(B12="","",ROW()-4)</x:f>
      </x:c>
      <x:c r="B12" s="40"/>
      <x:c r="C12" s="40"/>
      <x:c r="D12" s="40"/>
      <x:c r="E12" s="40"/>
      <x:c r="F12" s="40"/>
      <x:c r="G12" s="44"/>
      <x:c r="H12" s="46"/>
      <x:c r="I12" s="48" t="str">
        <x:f>IF(B12="","",IFERROR(VLOOKUP(B12,Merchant_Rates!$A:$D,3,FALSE),4000))</x:f>
      </x:c>
      <x:c r="J12" s="48" t="str">
        <x:f>IF(B12="","",MAX(0,CEILING(H12,1)-IFERROR(VLOOKUP(B12,Merchant_Rates!$A:$D,4,FALSE),3))*Rules!$B$4)</x:f>
      </x:c>
      <x:c r="K12" s="48" t="str">
        <x:f>IF(B12="","",G12+I12+J12)</x:f>
      </x:c>
    </x:row>
    <x:row r="13">
      <x:c r="A13" s="40" t="str">
        <x:f>IF(B13="","",ROW()-4)</x:f>
      </x:c>
      <x:c r="B13" s="40"/>
      <x:c r="C13" s="40"/>
      <x:c r="D13" s="40"/>
      <x:c r="E13" s="40"/>
      <x:c r="F13" s="40"/>
      <x:c r="G13" s="44"/>
      <x:c r="H13" s="46"/>
      <x:c r="I13" s="48" t="str">
        <x:f>IF(B13="","",IFERROR(VLOOKUP(B13,Merchant_Rates!$A:$D,3,FALSE),4000))</x:f>
      </x:c>
      <x:c r="J13" s="48" t="str">
        <x:f>IF(B13="","",MAX(0,CEILING(H13,1)-IFERROR(VLOOKUP(B13,Merchant_Rates!$A:$D,4,FALSE),3))*Rules!$B$4)</x:f>
      </x:c>
      <x:c r="K13" s="48" t="str">
        <x:f>IF(B13="","",G13+I13+J13)</x:f>
      </x:c>
    </x:row>
    <x:row r="14">
      <x:c r="A14" s="40" t="str">
        <x:f>IF(B14="","",ROW()-4)</x:f>
      </x:c>
      <x:c r="B14" s="40"/>
      <x:c r="C14" s="40"/>
      <x:c r="D14" s="40"/>
      <x:c r="E14" s="40"/>
      <x:c r="F14" s="40"/>
      <x:c r="G14" s="44"/>
      <x:c r="H14" s="46"/>
      <x:c r="I14" s="48" t="str">
        <x:f>IF(B14="","",IFERROR(VLOOKUP(B14,Merchant_Rates!$A:$D,3,FALSE),4000))</x:f>
      </x:c>
      <x:c r="J14" s="48" t="str">
        <x:f>IF(B14="","",MAX(0,CEILING(H14,1)-IFERROR(VLOOKUP(B14,Merchant_Rates!$A:$D,4,FALSE),3))*Rules!$B$4)</x:f>
      </x:c>
      <x:c r="K14" s="48" t="str">
        <x:f>IF(B14="","",G14+I14+J14)</x:f>
      </x:c>
    </x:row>
    <x:row r="15">
      <x:c r="A15" s="40" t="str">
        <x:f>IF(B15="","",ROW()-4)</x:f>
      </x:c>
      <x:c r="B15" s="40"/>
      <x:c r="C15" s="40"/>
      <x:c r="D15" s="40"/>
      <x:c r="E15" s="40"/>
      <x:c r="F15" s="40"/>
      <x:c r="G15" s="44"/>
      <x:c r="H15" s="46"/>
      <x:c r="I15" s="48" t="str">
        <x:f>IF(B15="","",IFERROR(VLOOKUP(B15,Merchant_Rates!$A:$D,3,FALSE),4000))</x:f>
      </x:c>
      <x:c r="J15" s="48" t="str">
        <x:f>IF(B15="","",MAX(0,CEILING(H15,1)-IFERROR(VLOOKUP(B15,Merchant_Rates!$A:$D,4,FALSE),3))*Rules!$B$4)</x:f>
      </x:c>
      <x:c r="K15" s="48" t="str">
        <x:f>IF(B15="","",G15+I15+J15)</x:f>
      </x:c>
    </x:row>
    <x:row r="16">
      <x:c r="A16" s="40" t="str">
        <x:f>IF(B16="","",ROW()-4)</x:f>
      </x:c>
      <x:c r="B16" s="40"/>
      <x:c r="C16" s="40"/>
      <x:c r="D16" s="40"/>
      <x:c r="E16" s="40"/>
      <x:c r="F16" s="40"/>
      <x:c r="G16" s="44"/>
      <x:c r="H16" s="46"/>
      <x:c r="I16" s="48" t="str">
        <x:f>IF(B16="","",IFERROR(VLOOKUP(B16,Merchant_Rates!$A:$D,3,FALSE),4000))</x:f>
      </x:c>
      <x:c r="J16" s="48" t="str">
        <x:f>IF(B16="","",MAX(0,CEILING(H16,1)-IFERROR(VLOOKUP(B16,Merchant_Rates!$A:$D,4,FALSE),3))*Rules!$B$4)</x:f>
      </x:c>
      <x:c r="K16" s="48" t="str">
        <x:f>IF(B16="","",G16+I16+J16)</x:f>
      </x:c>
    </x:row>
    <x:row r="17">
      <x:c r="A17" s="40" t="str">
        <x:f>IF(B17="","",ROW()-4)</x:f>
      </x:c>
      <x:c r="B17" s="40"/>
      <x:c r="C17" s="40"/>
      <x:c r="D17" s="40"/>
      <x:c r="E17" s="40"/>
      <x:c r="F17" s="40"/>
      <x:c r="G17" s="44"/>
      <x:c r="H17" s="46"/>
      <x:c r="I17" s="48" t="str">
        <x:f>IF(B17="","",IFERROR(VLOOKUP(B17,Merchant_Rates!$A:$D,3,FALSE),4000))</x:f>
      </x:c>
      <x:c r="J17" s="48" t="str">
        <x:f>IF(B17="","",MAX(0,CEILING(H17,1)-IFERROR(VLOOKUP(B17,Merchant_Rates!$A:$D,4,FALSE),3))*Rules!$B$4)</x:f>
      </x:c>
      <x:c r="K17" s="48" t="str">
        <x:f>IF(B17="","",G17+I17+J17)</x:f>
      </x:c>
    </x:row>
    <x:row r="18">
      <x:c r="A18" s="40" t="str">
        <x:f>IF(B18="","",ROW()-4)</x:f>
      </x:c>
      <x:c r="B18" s="40"/>
      <x:c r="C18" s="40"/>
      <x:c r="D18" s="40"/>
      <x:c r="E18" s="40"/>
      <x:c r="F18" s="40"/>
      <x:c r="G18" s="44"/>
      <x:c r="H18" s="46"/>
      <x:c r="I18" s="48" t="str">
        <x:f>IF(B18="","",IFERROR(VLOOKUP(B18,Merchant_Rates!$A:$D,3,FALSE),4000))</x:f>
      </x:c>
      <x:c r="J18" s="48" t="str">
        <x:f>IF(B18="","",MAX(0,CEILING(H18,1)-IFERROR(VLOOKUP(B18,Merchant_Rates!$A:$D,4,FALSE),3))*Rules!$B$4)</x:f>
      </x:c>
      <x:c r="K18" s="48" t="str">
        <x:f>IF(B18="","",G18+I18+J18)</x:f>
      </x:c>
    </x:row>
    <x:row r="19">
      <x:c r="A19" s="40" t="str">
        <x:f>IF(B19="","",ROW()-4)</x:f>
      </x:c>
      <x:c r="B19" s="40"/>
      <x:c r="C19" s="40"/>
      <x:c r="D19" s="40"/>
      <x:c r="E19" s="40"/>
      <x:c r="F19" s="40"/>
      <x:c r="G19" s="44"/>
      <x:c r="H19" s="46"/>
      <x:c r="I19" s="48" t="str">
        <x:f>IF(B19="","",IFERROR(VLOOKUP(B19,Merchant_Rates!$A:$D,3,FALSE),4000))</x:f>
      </x:c>
      <x:c r="J19" s="48" t="str">
        <x:f>IF(B19="","",MAX(0,CEILING(H19,1)-IFERROR(VLOOKUP(B19,Merchant_Rates!$A:$D,4,FALSE),3))*Rules!$B$4)</x:f>
      </x:c>
      <x:c r="K19" s="48" t="str">
        <x:f>IF(B19="","",G19+I19+J19)</x:f>
      </x:c>
    </x:row>
    <x:row r="20">
      <x:c r="A20" s="40" t="str">
        <x:f>IF(B20="","",ROW()-4)</x:f>
      </x:c>
      <x:c r="B20" s="40"/>
      <x:c r="C20" s="40"/>
      <x:c r="D20" s="40"/>
      <x:c r="E20" s="40"/>
      <x:c r="F20" s="40"/>
      <x:c r="G20" s="44"/>
      <x:c r="H20" s="46"/>
      <x:c r="I20" s="48" t="str">
        <x:f>IF(B20="","",IFERROR(VLOOKUP(B20,Merchant_Rates!$A:$D,3,FALSE),4000))</x:f>
      </x:c>
      <x:c r="J20" s="48" t="str">
        <x:f>IF(B20="","",MAX(0,CEILING(H20,1)-IFERROR(VLOOKUP(B20,Merchant_Rates!$A:$D,4,FALSE),3))*Rules!$B$4)</x:f>
      </x:c>
      <x:c r="K20" s="48" t="str">
        <x:f>IF(B20="","",G20+I20+J20)</x:f>
      </x:c>
    </x:row>
    <x:row r="21">
      <x:c r="A21" s="40" t="str">
        <x:f>IF(B21="","",ROW()-4)</x:f>
      </x:c>
      <x:c r="B21" s="40"/>
      <x:c r="C21" s="40"/>
      <x:c r="D21" s="40"/>
      <x:c r="E21" s="40"/>
      <x:c r="F21" s="40"/>
      <x:c r="G21" s="44"/>
      <x:c r="H21" s="46"/>
      <x:c r="I21" s="48" t="str">
        <x:f>IF(B21="","",IFERROR(VLOOKUP(B21,Merchant_Rates!$A:$D,3,FALSE),4000))</x:f>
      </x:c>
      <x:c r="J21" s="48" t="str">
        <x:f>IF(B21="","",MAX(0,CEILING(H21,1)-IFERROR(VLOOKUP(B21,Merchant_Rates!$A:$D,4,FALSE),3))*Rules!$B$4)</x:f>
      </x:c>
      <x:c r="K21" s="48" t="str">
        <x:f>IF(B21="","",G21+I21+J21)</x:f>
      </x:c>
    </x:row>
    <x:row r="22">
      <x:c r="A22" s="40" t="str">
        <x:f>IF(B22="","",ROW()-4)</x:f>
      </x:c>
      <x:c r="B22" s="40"/>
      <x:c r="C22" s="40"/>
      <x:c r="D22" s="40"/>
      <x:c r="E22" s="40"/>
      <x:c r="F22" s="40"/>
      <x:c r="G22" s="44"/>
      <x:c r="H22" s="46"/>
      <x:c r="I22" s="48" t="str">
        <x:f>IF(B22="","",IFERROR(VLOOKUP(B22,Merchant_Rates!$A:$D,3,FALSE),4000))</x:f>
      </x:c>
      <x:c r="J22" s="48" t="str">
        <x:f>IF(B22="","",MAX(0,CEILING(H22,1)-IFERROR(VLOOKUP(B22,Merchant_Rates!$A:$D,4,FALSE),3))*Rules!$B$4)</x:f>
      </x:c>
      <x:c r="K22" s="48" t="str">
        <x:f>IF(B22="","",G22+I22+J22)</x:f>
      </x:c>
    </x:row>
    <x:row r="23">
      <x:c r="A23" s="40" t="str">
        <x:f>IF(B23="","",ROW()-4)</x:f>
      </x:c>
      <x:c r="B23" s="40"/>
      <x:c r="C23" s="40"/>
      <x:c r="D23" s="40"/>
      <x:c r="E23" s="40"/>
      <x:c r="F23" s="40"/>
      <x:c r="G23" s="44"/>
      <x:c r="H23" s="46"/>
      <x:c r="I23" s="48" t="str">
        <x:f>IF(B23="","",IFERROR(VLOOKUP(B23,Merchant_Rates!$A:$D,3,FALSE),4000))</x:f>
      </x:c>
      <x:c r="J23" s="48" t="str">
        <x:f>IF(B23="","",MAX(0,CEILING(H23,1)-IFERROR(VLOOKUP(B23,Merchant_Rates!$A:$D,4,FALSE),3))*Rules!$B$4)</x:f>
      </x:c>
      <x:c r="K23" s="48" t="str">
        <x:f>IF(B23="","",G23+I23+J23)</x:f>
      </x:c>
    </x:row>
    <x:row r="24">
      <x:c r="A24" s="40" t="str">
        <x:f>IF(B24="","",ROW()-4)</x:f>
      </x:c>
      <x:c r="B24" s="40"/>
      <x:c r="C24" s="40"/>
      <x:c r="D24" s="40"/>
      <x:c r="E24" s="40"/>
      <x:c r="F24" s="40"/>
      <x:c r="G24" s="44"/>
      <x:c r="H24" s="46"/>
      <x:c r="I24" s="48" t="str">
        <x:f>IF(B24="","",IFERROR(VLOOKUP(B24,Merchant_Rates!$A:$D,3,FALSE),4000))</x:f>
      </x:c>
      <x:c r="J24" s="48" t="str">
        <x:f>IF(B24="","",MAX(0,CEILING(H24,1)-IFERROR(VLOOKUP(B24,Merchant_Rates!$A:$D,4,FALSE),3))*Rules!$B$4)</x:f>
      </x:c>
      <x:c r="K24" s="48" t="str">
        <x:f>IF(B24="","",G24+I24+J24)</x:f>
      </x:c>
    </x:row>
    <x:row r="25">
      <x:c r="A25" s="40" t="str">
        <x:f>IF(B25="","",ROW()-4)</x:f>
      </x:c>
      <x:c r="B25" s="40"/>
      <x:c r="C25" s="40"/>
      <x:c r="D25" s="40"/>
      <x:c r="E25" s="40"/>
      <x:c r="F25" s="40"/>
      <x:c r="G25" s="44"/>
      <x:c r="H25" s="46"/>
      <x:c r="I25" s="48" t="str">
        <x:f>IF(B25="","",IFERROR(VLOOKUP(B25,Merchant_Rates!$A:$D,3,FALSE),4000))</x:f>
      </x:c>
      <x:c r="J25" s="48" t="str">
        <x:f>IF(B25="","",MAX(0,CEILING(H25,1)-IFERROR(VLOOKUP(B25,Merchant_Rates!$A:$D,4,FALSE),3))*Rules!$B$4)</x:f>
      </x:c>
      <x:c r="K25" s="48" t="str">
        <x:f>IF(B25="","",G25+I25+J25)</x:f>
      </x:c>
    </x:row>
    <x:row r="26">
      <x:c r="A26" s="40" t="str">
        <x:f>IF(B26="","",ROW()-4)</x:f>
      </x:c>
      <x:c r="B26" s="40"/>
      <x:c r="C26" s="40"/>
      <x:c r="D26" s="40"/>
      <x:c r="E26" s="40"/>
      <x:c r="F26" s="40"/>
      <x:c r="G26" s="44"/>
      <x:c r="H26" s="46"/>
      <x:c r="I26" s="48" t="str">
        <x:f>IF(B26="","",IFERROR(VLOOKUP(B26,Merchant_Rates!$A:$D,3,FALSE),4000))</x:f>
      </x:c>
      <x:c r="J26" s="48" t="str">
        <x:f>IF(B26="","",MAX(0,CEILING(H26,1)-IFERROR(VLOOKUP(B26,Merchant_Rates!$A:$D,4,FALSE),3))*Rules!$B$4)</x:f>
      </x:c>
      <x:c r="K26" s="48" t="str">
        <x:f>IF(B26="","",G26+I26+J26)</x:f>
      </x:c>
    </x:row>
    <x:row r="27">
      <x:c r="A27" s="40" t="str">
        <x:f>IF(B27="","",ROW()-4)</x:f>
      </x:c>
      <x:c r="B27" s="40"/>
      <x:c r="C27" s="40"/>
      <x:c r="D27" s="40"/>
      <x:c r="E27" s="40"/>
      <x:c r="F27" s="40"/>
      <x:c r="G27" s="44"/>
      <x:c r="H27" s="46"/>
      <x:c r="I27" s="48" t="str">
        <x:f>IF(B27="","",IFERROR(VLOOKUP(B27,Merchant_Rates!$A:$D,3,FALSE),4000))</x:f>
      </x:c>
      <x:c r="J27" s="48" t="str">
        <x:f>IF(B27="","",MAX(0,CEILING(H27,1)-IFERROR(VLOOKUP(B27,Merchant_Rates!$A:$D,4,FALSE),3))*Rules!$B$4)</x:f>
      </x:c>
      <x:c r="K27" s="48" t="str">
        <x:f>IF(B27="","",G27+I27+J27)</x:f>
      </x:c>
    </x:row>
    <x:row r="28">
      <x:c r="A28" s="40" t="str">
        <x:f>IF(B28="","",ROW()-4)</x:f>
      </x:c>
      <x:c r="B28" s="40"/>
      <x:c r="C28" s="40"/>
      <x:c r="D28" s="40"/>
      <x:c r="E28" s="40"/>
      <x:c r="F28" s="40"/>
      <x:c r="G28" s="44"/>
      <x:c r="H28" s="46"/>
      <x:c r="I28" s="48" t="str">
        <x:f>IF(B28="","",IFERROR(VLOOKUP(B28,Merchant_Rates!$A:$D,3,FALSE),4000))</x:f>
      </x:c>
      <x:c r="J28" s="48" t="str">
        <x:f>IF(B28="","",MAX(0,CEILING(H28,1)-IFERROR(VLOOKUP(B28,Merchant_Rates!$A:$D,4,FALSE),3))*Rules!$B$4)</x:f>
      </x:c>
      <x:c r="K28" s="48" t="str">
        <x:f>IF(B28="","",G28+I28+J28)</x:f>
      </x:c>
    </x:row>
    <x:row r="29">
      <x:c r="A29" s="40" t="str">
        <x:f>IF(B29="","",ROW()-4)</x:f>
      </x:c>
      <x:c r="B29" s="40"/>
      <x:c r="C29" s="40"/>
      <x:c r="D29" s="40"/>
      <x:c r="E29" s="40"/>
      <x:c r="F29" s="40"/>
      <x:c r="G29" s="44"/>
      <x:c r="H29" s="46"/>
      <x:c r="I29" s="48" t="str">
        <x:f>IF(B29="","",IFERROR(VLOOKUP(B29,Merchant_Rates!$A:$D,3,FALSE),4000))</x:f>
      </x:c>
      <x:c r="J29" s="48" t="str">
        <x:f>IF(B29="","",MAX(0,CEILING(H29,1)-IFERROR(VLOOKUP(B29,Merchant_Rates!$A:$D,4,FALSE),3))*Rules!$B$4)</x:f>
      </x:c>
      <x:c r="K29" s="48" t="str">
        <x:f>IF(B29="","",G29+I29+J29)</x:f>
      </x:c>
    </x:row>
    <x:row r="30">
      <x:c r="A30" s="40" t="str">
        <x:f>IF(B30="","",ROW()-4)</x:f>
      </x:c>
      <x:c r="B30" s="40"/>
      <x:c r="C30" s="40"/>
      <x:c r="D30" s="40"/>
      <x:c r="E30" s="40"/>
      <x:c r="F30" s="40"/>
      <x:c r="G30" s="44"/>
      <x:c r="H30" s="46"/>
      <x:c r="I30" s="48" t="str">
        <x:f>IF(B30="","",IFERROR(VLOOKUP(B30,Merchant_Rates!$A:$D,3,FALSE),4000))</x:f>
      </x:c>
      <x:c r="J30" s="48" t="str">
        <x:f>IF(B30="","",MAX(0,CEILING(H30,1)-IFERROR(VLOOKUP(B30,Merchant_Rates!$A:$D,4,FALSE),3))*Rules!$B$4)</x:f>
      </x:c>
      <x:c r="K30" s="48" t="str">
        <x:f>IF(B30="","",G30+I30+J30)</x:f>
      </x:c>
    </x:row>
    <x:row r="31">
      <x:c r="A31" s="40" t="str">
        <x:f>IF(B31="","",ROW()-4)</x:f>
      </x:c>
      <x:c r="B31" s="40"/>
      <x:c r="C31" s="40"/>
      <x:c r="D31" s="40"/>
      <x:c r="E31" s="40"/>
      <x:c r="F31" s="40"/>
      <x:c r="G31" s="44"/>
      <x:c r="H31" s="46"/>
      <x:c r="I31" s="48" t="str">
        <x:f>IF(B31="","",IFERROR(VLOOKUP(B31,Merchant_Rates!$A:$D,3,FALSE),4000))</x:f>
      </x:c>
      <x:c r="J31" s="48" t="str">
        <x:f>IF(B31="","",MAX(0,CEILING(H31,1)-IFERROR(VLOOKUP(B31,Merchant_Rates!$A:$D,4,FALSE),3))*Rules!$B$4)</x:f>
      </x:c>
      <x:c r="K31" s="48" t="str">
        <x:f>IF(B31="","",G31+I31+J31)</x:f>
      </x:c>
    </x:row>
    <x:row r="32">
      <x:c r="A32" s="40" t="str">
        <x:f>IF(B32="","",ROW()-4)</x:f>
      </x:c>
      <x:c r="B32" s="40"/>
      <x:c r="C32" s="40"/>
      <x:c r="D32" s="40"/>
      <x:c r="E32" s="40"/>
      <x:c r="F32" s="40"/>
      <x:c r="G32" s="44"/>
      <x:c r="H32" s="46"/>
      <x:c r="I32" s="48" t="str">
        <x:f>IF(B32="","",IFERROR(VLOOKUP(B32,Merchant_Rates!$A:$D,3,FALSE),4000))</x:f>
      </x:c>
      <x:c r="J32" s="48" t="str">
        <x:f>IF(B32="","",MAX(0,CEILING(H32,1)-IFERROR(VLOOKUP(B32,Merchant_Rates!$A:$D,4,FALSE),3))*Rules!$B$4)</x:f>
      </x:c>
      <x:c r="K32" s="48" t="str">
        <x:f>IF(B32="","",G32+I32+J32)</x:f>
      </x:c>
    </x:row>
    <x:row r="33">
      <x:c r="A33" s="40" t="str">
        <x:f>IF(B33="","",ROW()-4)</x:f>
      </x:c>
      <x:c r="B33" s="40"/>
      <x:c r="C33" s="40"/>
      <x:c r="D33" s="40"/>
      <x:c r="E33" s="40"/>
      <x:c r="F33" s="40"/>
      <x:c r="G33" s="44"/>
      <x:c r="H33" s="46"/>
      <x:c r="I33" s="48" t="str">
        <x:f>IF(B33="","",IFERROR(VLOOKUP(B33,Merchant_Rates!$A:$D,3,FALSE),4000))</x:f>
      </x:c>
      <x:c r="J33" s="48" t="str">
        <x:f>IF(B33="","",MAX(0,CEILING(H33,1)-IFERROR(VLOOKUP(B33,Merchant_Rates!$A:$D,4,FALSE),3))*Rules!$B$4)</x:f>
      </x:c>
      <x:c r="K33" s="48" t="str">
        <x:f>IF(B33="","",G33+I33+J33)</x:f>
      </x:c>
    </x:row>
    <x:row r="34">
      <x:c r="A34" s="40" t="str">
        <x:f>IF(B34="","",ROW()-4)</x:f>
      </x:c>
      <x:c r="B34" s="40"/>
      <x:c r="C34" s="40"/>
      <x:c r="D34" s="40"/>
      <x:c r="E34" s="40"/>
      <x:c r="F34" s="40"/>
      <x:c r="G34" s="44"/>
      <x:c r="H34" s="46"/>
      <x:c r="I34" s="48" t="str">
        <x:f>IF(B34="","",IFERROR(VLOOKUP(B34,Merchant_Rates!$A:$D,3,FALSE),4000))</x:f>
      </x:c>
      <x:c r="J34" s="48" t="str">
        <x:f>IF(B34="","",MAX(0,CEILING(H34,1)-IFERROR(VLOOKUP(B34,Merchant_Rates!$A:$D,4,FALSE),3))*Rules!$B$4)</x:f>
      </x:c>
      <x:c r="K34" s="48" t="str">
        <x:f>IF(B34="","",G34+I34+J34)</x:f>
      </x:c>
    </x:row>
    <x:row r="35">
      <x:c r="A35" s="40" t="str">
        <x:f>IF(B35="","",ROW()-4)</x:f>
      </x:c>
      <x:c r="B35" s="40"/>
      <x:c r="C35" s="40"/>
      <x:c r="D35" s="40"/>
      <x:c r="E35" s="40"/>
      <x:c r="F35" s="40"/>
      <x:c r="G35" s="44"/>
      <x:c r="H35" s="46"/>
      <x:c r="I35" s="48" t="str">
        <x:f>IF(B35="","",IFERROR(VLOOKUP(B35,Merchant_Rates!$A:$D,3,FALSE),4000))</x:f>
      </x:c>
      <x:c r="J35" s="48" t="str">
        <x:f>IF(B35="","",MAX(0,CEILING(H35,1)-IFERROR(VLOOKUP(B35,Merchant_Rates!$A:$D,4,FALSE),3))*Rules!$B$4)</x:f>
      </x:c>
      <x:c r="K35" s="48" t="str">
        <x:f>IF(B35="","",G35+I35+J35)</x:f>
      </x:c>
    </x:row>
    <x:row r="36">
      <x:c r="A36" s="40" t="str">
        <x:f>IF(B36="","",ROW()-4)</x:f>
      </x:c>
      <x:c r="B36" s="40"/>
      <x:c r="C36" s="40"/>
      <x:c r="D36" s="40"/>
      <x:c r="E36" s="40"/>
      <x:c r="F36" s="40"/>
      <x:c r="G36" s="44"/>
      <x:c r="H36" s="46"/>
      <x:c r="I36" s="48" t="str">
        <x:f>IF(B36="","",IFERROR(VLOOKUP(B36,Merchant_Rates!$A:$D,3,FALSE),4000))</x:f>
      </x:c>
      <x:c r="J36" s="48" t="str">
        <x:f>IF(B36="","",MAX(0,CEILING(H36,1)-IFERROR(VLOOKUP(B36,Merchant_Rates!$A:$D,4,FALSE),3))*Rules!$B$4)</x:f>
      </x:c>
      <x:c r="K36" s="48" t="str">
        <x:f>IF(B36="","",G36+I36+J36)</x:f>
      </x:c>
    </x:row>
    <x:row r="37">
      <x:c r="A37" s="40" t="str">
        <x:f>IF(B37="","",ROW()-4)</x:f>
      </x:c>
      <x:c r="B37" s="40"/>
      <x:c r="C37" s="40"/>
      <x:c r="D37" s="40"/>
      <x:c r="E37" s="40"/>
      <x:c r="F37" s="40"/>
      <x:c r="G37" s="44"/>
      <x:c r="H37" s="46"/>
      <x:c r="I37" s="48" t="str">
        <x:f>IF(B37="","",IFERROR(VLOOKUP(B37,Merchant_Rates!$A:$D,3,FALSE),4000))</x:f>
      </x:c>
      <x:c r="J37" s="48" t="str">
        <x:f>IF(B37="","",MAX(0,CEILING(H37,1)-IFERROR(VLOOKUP(B37,Merchant_Rates!$A:$D,4,FALSE),3))*Rules!$B$4)</x:f>
      </x:c>
      <x:c r="K37" s="48" t="str">
        <x:f>IF(B37="","",G37+I37+J37)</x:f>
      </x:c>
    </x:row>
    <x:row r="38">
      <x:c r="A38" s="40" t="str">
        <x:f>IF(B38="","",ROW()-4)</x:f>
      </x:c>
      <x:c r="B38" s="40"/>
      <x:c r="C38" s="40"/>
      <x:c r="D38" s="40"/>
      <x:c r="E38" s="40"/>
      <x:c r="F38" s="40"/>
      <x:c r="G38" s="44"/>
      <x:c r="H38" s="46"/>
      <x:c r="I38" s="48" t="str">
        <x:f>IF(B38="","",IFERROR(VLOOKUP(B38,Merchant_Rates!$A:$D,3,FALSE),4000))</x:f>
      </x:c>
      <x:c r="J38" s="48" t="str">
        <x:f>IF(B38="","",MAX(0,CEILING(H38,1)-IFERROR(VLOOKUP(B38,Merchant_Rates!$A:$D,4,FALSE),3))*Rules!$B$4)</x:f>
      </x:c>
      <x:c r="K38" s="48" t="str">
        <x:f>IF(B38="","",G38+I38+J38)</x:f>
      </x:c>
    </x:row>
    <x:row r="39">
      <x:c r="A39" s="40" t="str">
        <x:f>IF(B39="","",ROW()-4)</x:f>
      </x:c>
      <x:c r="B39" s="40"/>
      <x:c r="C39" s="40"/>
      <x:c r="D39" s="40"/>
      <x:c r="E39" s="40"/>
      <x:c r="F39" s="40"/>
      <x:c r="G39" s="44"/>
      <x:c r="H39" s="46"/>
      <x:c r="I39" s="48" t="str">
        <x:f>IF(B39="","",IFERROR(VLOOKUP(B39,Merchant_Rates!$A:$D,3,FALSE),4000))</x:f>
      </x:c>
      <x:c r="J39" s="48" t="str">
        <x:f>IF(B39="","",MAX(0,CEILING(H39,1)-IFERROR(VLOOKUP(B39,Merchant_Rates!$A:$D,4,FALSE),3))*Rules!$B$4)</x:f>
      </x:c>
      <x:c r="K39" s="48" t="str">
        <x:f>IF(B39="","",G39+I39+J39)</x:f>
      </x:c>
    </x:row>
    <x:row r="40">
      <x:c r="A40" s="40" t="str">
        <x:f>IF(B40="","",ROW()-4)</x:f>
      </x:c>
      <x:c r="B40" s="40"/>
      <x:c r="C40" s="40"/>
      <x:c r="D40" s="40"/>
      <x:c r="E40" s="40"/>
      <x:c r="F40" s="40"/>
      <x:c r="G40" s="44"/>
      <x:c r="H40" s="46"/>
      <x:c r="I40" s="48" t="str">
        <x:f>IF(B40="","",IFERROR(VLOOKUP(B40,Merchant_Rates!$A:$D,3,FALSE),4000))</x:f>
      </x:c>
      <x:c r="J40" s="48" t="str">
        <x:f>IF(B40="","",MAX(0,CEILING(H40,1)-IFERROR(VLOOKUP(B40,Merchant_Rates!$A:$D,4,FALSE),3))*Rules!$B$4)</x:f>
      </x:c>
      <x:c r="K40" s="48" t="str">
        <x:f>IF(B40="","",G40+I40+J40)</x:f>
      </x:c>
    </x:row>
    <x:row r="41">
      <x:c r="A41" s="40" t="str">
        <x:f>IF(B41="","",ROW()-4)</x:f>
      </x:c>
      <x:c r="B41" s="40"/>
      <x:c r="C41" s="40"/>
      <x:c r="D41" s="40"/>
      <x:c r="E41" s="40"/>
      <x:c r="F41" s="40"/>
      <x:c r="G41" s="44"/>
      <x:c r="H41" s="46"/>
      <x:c r="I41" s="48" t="str">
        <x:f>IF(B41="","",IFERROR(VLOOKUP(B41,Merchant_Rates!$A:$D,3,FALSE),4000))</x:f>
      </x:c>
      <x:c r="J41" s="48" t="str">
        <x:f>IF(B41="","",MAX(0,CEILING(H41,1)-IFERROR(VLOOKUP(B41,Merchant_Rates!$A:$D,4,FALSE),3))*Rules!$B$4)</x:f>
      </x:c>
      <x:c r="K41" s="48" t="str">
        <x:f>IF(B41="","",G41+I41+J41)</x:f>
      </x:c>
    </x:row>
    <x:row r="42">
      <x:c r="A42" s="40" t="str">
        <x:f>IF(B42="","",ROW()-4)</x:f>
      </x:c>
      <x:c r="B42" s="40"/>
      <x:c r="C42" s="40"/>
      <x:c r="D42" s="40"/>
      <x:c r="E42" s="40"/>
      <x:c r="F42" s="40"/>
      <x:c r="G42" s="44"/>
      <x:c r="H42" s="46"/>
      <x:c r="I42" s="48" t="str">
        <x:f>IF(B42="","",IFERROR(VLOOKUP(B42,Merchant_Rates!$A:$D,3,FALSE),4000))</x:f>
      </x:c>
      <x:c r="J42" s="48" t="str">
        <x:f>IF(B42="","",MAX(0,CEILING(H42,1)-IFERROR(VLOOKUP(B42,Merchant_Rates!$A:$D,4,FALSE),3))*Rules!$B$4)</x:f>
      </x:c>
      <x:c r="K42" s="48" t="str">
        <x:f>IF(B42="","",G42+I42+J42)</x:f>
      </x:c>
    </x:row>
    <x:row r="43">
      <x:c r="A43" s="40" t="str">
        <x:f>IF(B43="","",ROW()-4)</x:f>
      </x:c>
      <x:c r="B43" s="40"/>
      <x:c r="C43" s="40"/>
      <x:c r="D43" s="40"/>
      <x:c r="E43" s="40"/>
      <x:c r="F43" s="40"/>
      <x:c r="G43" s="44"/>
      <x:c r="H43" s="46"/>
      <x:c r="I43" s="48" t="str">
        <x:f>IF(B43="","",IFERROR(VLOOKUP(B43,Merchant_Rates!$A:$D,3,FALSE),4000))</x:f>
      </x:c>
      <x:c r="J43" s="48" t="str">
        <x:f>IF(B43="","",MAX(0,CEILING(H43,1)-IFERROR(VLOOKUP(B43,Merchant_Rates!$A:$D,4,FALSE),3))*Rules!$B$4)</x:f>
      </x:c>
      <x:c r="K43" s="48" t="str">
        <x:f>IF(B43="","",G43+I43+J43)</x:f>
      </x:c>
    </x:row>
    <x:row r="44">
      <x:c r="A44" s="40" t="str">
        <x:f>IF(B44="","",ROW()-4)</x:f>
      </x:c>
      <x:c r="B44" s="40"/>
      <x:c r="C44" s="40"/>
      <x:c r="D44" s="40"/>
      <x:c r="E44" s="40"/>
      <x:c r="F44" s="40"/>
      <x:c r="G44" s="44"/>
      <x:c r="H44" s="46"/>
      <x:c r="I44" s="48" t="str">
        <x:f>IF(B44="","",IFERROR(VLOOKUP(B44,Merchant_Rates!$A:$D,3,FALSE),4000))</x:f>
      </x:c>
      <x:c r="J44" s="48" t="str">
        <x:f>IF(B44="","",MAX(0,CEILING(H44,1)-IFERROR(VLOOKUP(B44,Merchant_Rates!$A:$D,4,FALSE),3))*Rules!$B$4)</x:f>
      </x:c>
      <x:c r="K44" s="48" t="str">
        <x:f>IF(B44="","",G44+I44+J44)</x:f>
      </x:c>
    </x:row>
    <x:row r="45">
      <x:c r="A45" s="40" t="str">
        <x:f>IF(B45="","",ROW()-4)</x:f>
      </x:c>
      <x:c r="B45" s="40"/>
      <x:c r="C45" s="40"/>
      <x:c r="D45" s="40"/>
      <x:c r="E45" s="40"/>
      <x:c r="F45" s="40"/>
      <x:c r="G45" s="44"/>
      <x:c r="H45" s="46"/>
      <x:c r="I45" s="48" t="str">
        <x:f>IF(B45="","",IFERROR(VLOOKUP(B45,Merchant_Rates!$A:$D,3,FALSE),4000))</x:f>
      </x:c>
      <x:c r="J45" s="48" t="str">
        <x:f>IF(B45="","",MAX(0,CEILING(H45,1)-IFERROR(VLOOKUP(B45,Merchant_Rates!$A:$D,4,FALSE),3))*Rules!$B$4)</x:f>
      </x:c>
      <x:c r="K45" s="48" t="str">
        <x:f>IF(B45="","",G45+I45+J45)</x:f>
      </x:c>
    </x:row>
    <x:row r="46">
      <x:c r="A46" s="40" t="str">
        <x:f>IF(B46="","",ROW()-4)</x:f>
      </x:c>
      <x:c r="B46" s="40"/>
      <x:c r="C46" s="40"/>
      <x:c r="D46" s="40"/>
      <x:c r="E46" s="40"/>
      <x:c r="F46" s="40"/>
      <x:c r="G46" s="44"/>
      <x:c r="H46" s="46"/>
      <x:c r="I46" s="48" t="str">
        <x:f>IF(B46="","",IFERROR(VLOOKUP(B46,Merchant_Rates!$A:$D,3,FALSE),4000))</x:f>
      </x:c>
      <x:c r="J46" s="48" t="str">
        <x:f>IF(B46="","",MAX(0,CEILING(H46,1)-IFERROR(VLOOKUP(B46,Merchant_Rates!$A:$D,4,FALSE),3))*Rules!$B$4)</x:f>
      </x:c>
      <x:c r="K46" s="48" t="str">
        <x:f>IF(B46="","",G46+I46+J46)</x:f>
      </x:c>
    </x:row>
    <x:row r="47">
      <x:c r="A47" s="40" t="str">
        <x:f>IF(B47="","",ROW()-4)</x:f>
      </x:c>
      <x:c r="B47" s="40"/>
      <x:c r="C47" s="40"/>
      <x:c r="D47" s="40"/>
      <x:c r="E47" s="40"/>
      <x:c r="F47" s="40"/>
      <x:c r="G47" s="44"/>
      <x:c r="H47" s="46"/>
      <x:c r="I47" s="48" t="str">
        <x:f>IF(B47="","",IFERROR(VLOOKUP(B47,Merchant_Rates!$A:$D,3,FALSE),4000))</x:f>
      </x:c>
      <x:c r="J47" s="48" t="str">
        <x:f>IF(B47="","",MAX(0,CEILING(H47,1)-IFERROR(VLOOKUP(B47,Merchant_Rates!$A:$D,4,FALSE),3))*Rules!$B$4)</x:f>
      </x:c>
      <x:c r="K47" s="48" t="str">
        <x:f>IF(B47="","",G47+I47+J47)</x:f>
      </x:c>
    </x:row>
    <x:row r="48">
      <x:c r="A48" s="40" t="str">
        <x:f>IF(B48="","",ROW()-4)</x:f>
      </x:c>
      <x:c r="B48" s="40"/>
      <x:c r="C48" s="40"/>
      <x:c r="D48" s="40"/>
      <x:c r="E48" s="40"/>
      <x:c r="F48" s="40"/>
      <x:c r="G48" s="44"/>
      <x:c r="H48" s="46"/>
      <x:c r="I48" s="48" t="str">
        <x:f>IF(B48="","",IFERROR(VLOOKUP(B48,Merchant_Rates!$A:$D,3,FALSE),4000))</x:f>
      </x:c>
      <x:c r="J48" s="48" t="str">
        <x:f>IF(B48="","",MAX(0,CEILING(H48,1)-IFERROR(VLOOKUP(B48,Merchant_Rates!$A:$D,4,FALSE),3))*Rules!$B$4)</x:f>
      </x:c>
      <x:c r="K48" s="48" t="str">
        <x:f>IF(B48="","",G48+I48+J48)</x:f>
      </x:c>
    </x:row>
    <x:row r="49">
      <x:c r="A49" s="40" t="str">
        <x:f>IF(B49="","",ROW()-4)</x:f>
      </x:c>
      <x:c r="B49" s="40"/>
      <x:c r="C49" s="40"/>
      <x:c r="D49" s="40"/>
      <x:c r="E49" s="40"/>
      <x:c r="F49" s="40"/>
      <x:c r="G49" s="44"/>
      <x:c r="H49" s="46"/>
      <x:c r="I49" s="48" t="str">
        <x:f>IF(B49="","",IFERROR(VLOOKUP(B49,Merchant_Rates!$A:$D,3,FALSE),4000))</x:f>
      </x:c>
      <x:c r="J49" s="48" t="str">
        <x:f>IF(B49="","",MAX(0,CEILING(H49,1)-IFERROR(VLOOKUP(B49,Merchant_Rates!$A:$D,4,FALSE),3))*Rules!$B$4)</x:f>
      </x:c>
      <x:c r="K49" s="48" t="str">
        <x:f>IF(B49="","",G49+I49+J49)</x:f>
      </x:c>
    </x:row>
    <x:row r="50">
      <x:c r="A50" s="40" t="str">
        <x:f>IF(B50="","",ROW()-4)</x:f>
      </x:c>
      <x:c r="B50" s="40"/>
      <x:c r="C50" s="40"/>
      <x:c r="D50" s="40"/>
      <x:c r="E50" s="40"/>
      <x:c r="F50" s="40"/>
      <x:c r="G50" s="44"/>
      <x:c r="H50" s="46"/>
      <x:c r="I50" s="48" t="str">
        <x:f>IF(B50="","",IFERROR(VLOOKUP(B50,Merchant_Rates!$A:$D,3,FALSE),4000))</x:f>
      </x:c>
      <x:c r="J50" s="48" t="str">
        <x:f>IF(B50="","",MAX(0,CEILING(H50,1)-IFERROR(VLOOKUP(B50,Merchant_Rates!$A:$D,4,FALSE),3))*Rules!$B$4)</x:f>
      </x:c>
      <x:c r="K50" s="48" t="str">
        <x:f>IF(B50="","",G50+I50+J50)</x:f>
      </x:c>
    </x:row>
    <x:row r="51">
      <x:c r="A51" s="40" t="str">
        <x:f>IF(B51="","",ROW()-4)</x:f>
      </x:c>
      <x:c r="B51" s="40"/>
      <x:c r="C51" s="40"/>
      <x:c r="D51" s="40"/>
      <x:c r="E51" s="40"/>
      <x:c r="F51" s="40"/>
      <x:c r="G51" s="44"/>
      <x:c r="H51" s="46"/>
      <x:c r="I51" s="48" t="str">
        <x:f>IF(B51="","",IFERROR(VLOOKUP(B51,Merchant_Rates!$A:$D,3,FALSE),4000))</x:f>
      </x:c>
      <x:c r="J51" s="48" t="str">
        <x:f>IF(B51="","",MAX(0,CEILING(H51,1)-IFERROR(VLOOKUP(B51,Merchant_Rates!$A:$D,4,FALSE),3))*Rules!$B$4)</x:f>
      </x:c>
      <x:c r="K51" s="48" t="str">
        <x:f>IF(B51="","",G51+I51+J51)</x:f>
      </x:c>
    </x:row>
    <x:row r="52">
      <x:c r="A52" s="40" t="str">
        <x:f>IF(B52="","",ROW()-4)</x:f>
      </x:c>
      <x:c r="B52" s="40"/>
      <x:c r="C52" s="40"/>
      <x:c r="D52" s="40"/>
      <x:c r="E52" s="40"/>
      <x:c r="F52" s="40"/>
      <x:c r="G52" s="44"/>
      <x:c r="H52" s="46"/>
      <x:c r="I52" s="48" t="str">
        <x:f>IF(B52="","",IFERROR(VLOOKUP(B52,Merchant_Rates!$A:$D,3,FALSE),4000))</x:f>
      </x:c>
      <x:c r="J52" s="48" t="str">
        <x:f>IF(B52="","",MAX(0,CEILING(H52,1)-IFERROR(VLOOKUP(B52,Merchant_Rates!$A:$D,4,FALSE),3))*Rules!$B$4)</x:f>
      </x:c>
      <x:c r="K52" s="48" t="str">
        <x:f>IF(B52="","",G52+I52+J52)</x:f>
      </x:c>
    </x:row>
    <x:row r="53">
      <x:c r="A53" s="40" t="str">
        <x:f>IF(B53="","",ROW()-4)</x:f>
      </x:c>
      <x:c r="B53" s="40"/>
      <x:c r="C53" s="40"/>
      <x:c r="D53" s="40"/>
      <x:c r="E53" s="40"/>
      <x:c r="F53" s="40"/>
      <x:c r="G53" s="44"/>
      <x:c r="H53" s="46"/>
      <x:c r="I53" s="48" t="str">
        <x:f>IF(B53="","",IFERROR(VLOOKUP(B53,Merchant_Rates!$A:$D,3,FALSE),4000))</x:f>
      </x:c>
      <x:c r="J53" s="48" t="str">
        <x:f>IF(B53="","",MAX(0,CEILING(H53,1)-IFERROR(VLOOKUP(B53,Merchant_Rates!$A:$D,4,FALSE),3))*Rules!$B$4)</x:f>
      </x:c>
      <x:c r="K53" s="48" t="str">
        <x:f>IF(B53="","",G53+I53+J53)</x:f>
      </x:c>
    </x:row>
    <x:row r="54">
      <x:c r="A54" s="40" t="str">
        <x:f>IF(B54="","",ROW()-4)</x:f>
      </x:c>
      <x:c r="B54" s="40"/>
      <x:c r="C54" s="40"/>
      <x:c r="D54" s="40"/>
      <x:c r="E54" s="40"/>
      <x:c r="F54" s="40"/>
      <x:c r="G54" s="44"/>
      <x:c r="H54" s="46"/>
      <x:c r="I54" s="48" t="str">
        <x:f>IF(B54="","",IFERROR(VLOOKUP(B54,Merchant_Rates!$A:$D,3,FALSE),4000))</x:f>
      </x:c>
      <x:c r="J54" s="48" t="str">
        <x:f>IF(B54="","",MAX(0,CEILING(H54,1)-IFERROR(VLOOKUP(B54,Merchant_Rates!$A:$D,4,FALSE),3))*Rules!$B$4)</x:f>
      </x:c>
      <x:c r="K54" s="48" t="str">
        <x:f>IF(B54="","",G54+I54+J54)</x:f>
      </x:c>
    </x:row>
    <x:row r="55">
      <x:c r="A55" s="40" t="str">
        <x:f>IF(B55="","",ROW()-4)</x:f>
      </x:c>
      <x:c r="B55" s="40"/>
      <x:c r="C55" s="40"/>
      <x:c r="D55" s="40"/>
      <x:c r="E55" s="40"/>
      <x:c r="F55" s="40"/>
      <x:c r="G55" s="44"/>
      <x:c r="H55" s="46"/>
      <x:c r="I55" s="48" t="str">
        <x:f>IF(B55="","",IFERROR(VLOOKUP(B55,Merchant_Rates!$A:$D,3,FALSE),4000))</x:f>
      </x:c>
      <x:c r="J55" s="48" t="str">
        <x:f>IF(B55="","",MAX(0,CEILING(H55,1)-IFERROR(VLOOKUP(B55,Merchant_Rates!$A:$D,4,FALSE),3))*Rules!$B$4)</x:f>
      </x:c>
      <x:c r="K55" s="48" t="str">
        <x:f>IF(B55="","",G55+I55+J55)</x:f>
      </x:c>
    </x:row>
    <x:row r="56">
      <x:c r="A56" s="40" t="str">
        <x:f>IF(B56="","",ROW()-4)</x:f>
      </x:c>
      <x:c r="B56" s="40"/>
      <x:c r="C56" s="40"/>
      <x:c r="D56" s="40"/>
      <x:c r="E56" s="40"/>
      <x:c r="F56" s="40"/>
      <x:c r="G56" s="44"/>
      <x:c r="H56" s="46"/>
      <x:c r="I56" s="48" t="str">
        <x:f>IF(B56="","",IFERROR(VLOOKUP(B56,Merchant_Rates!$A:$D,3,FALSE),4000))</x:f>
      </x:c>
      <x:c r="J56" s="48" t="str">
        <x:f>IF(B56="","",MAX(0,CEILING(H56,1)-IFERROR(VLOOKUP(B56,Merchant_Rates!$A:$D,4,FALSE),3))*Rules!$B$4)</x:f>
      </x:c>
      <x:c r="K56" s="48" t="str">
        <x:f>IF(B56="","",G56+I56+J56)</x:f>
      </x:c>
    </x:row>
    <x:row r="57">
      <x:c r="A57" s="40" t="str">
        <x:f>IF(B57="","",ROW()-4)</x:f>
      </x:c>
      <x:c r="B57" s="40"/>
      <x:c r="C57" s="40"/>
      <x:c r="D57" s="40"/>
      <x:c r="E57" s="40"/>
      <x:c r="F57" s="40"/>
      <x:c r="G57" s="44"/>
      <x:c r="H57" s="46"/>
      <x:c r="I57" s="48" t="str">
        <x:f>IF(B57="","",IFERROR(VLOOKUP(B57,Merchant_Rates!$A:$D,3,FALSE),4000))</x:f>
      </x:c>
      <x:c r="J57" s="48" t="str">
        <x:f>IF(B57="","",MAX(0,CEILING(H57,1)-IFERROR(VLOOKUP(B57,Merchant_Rates!$A:$D,4,FALSE),3))*Rules!$B$4)</x:f>
      </x:c>
      <x:c r="K57" s="48" t="str">
        <x:f>IF(B57="","",G57+I57+J57)</x:f>
      </x:c>
    </x:row>
    <x:row r="58">
      <x:c r="A58" s="40" t="str">
        <x:f>IF(B58="","",ROW()-4)</x:f>
      </x:c>
      <x:c r="B58" s="40"/>
      <x:c r="C58" s="40"/>
      <x:c r="D58" s="40"/>
      <x:c r="E58" s="40"/>
      <x:c r="F58" s="40"/>
      <x:c r="G58" s="44"/>
      <x:c r="H58" s="46"/>
      <x:c r="I58" s="48" t="str">
        <x:f>IF(B58="","",IFERROR(VLOOKUP(B58,Merchant_Rates!$A:$D,3,FALSE),4000))</x:f>
      </x:c>
      <x:c r="J58" s="48" t="str">
        <x:f>IF(B58="","",MAX(0,CEILING(H58,1)-IFERROR(VLOOKUP(B58,Merchant_Rates!$A:$D,4,FALSE),3))*Rules!$B$4)</x:f>
      </x:c>
      <x:c r="K58" s="48" t="str">
        <x:f>IF(B58="","",G58+I58+J58)</x:f>
      </x:c>
    </x:row>
    <x:row r="59">
      <x:c r="A59" s="40" t="str">
        <x:f>IF(B59="","",ROW()-4)</x:f>
      </x:c>
      <x:c r="B59" s="40"/>
      <x:c r="C59" s="40"/>
      <x:c r="D59" s="40"/>
      <x:c r="E59" s="40"/>
      <x:c r="F59" s="40"/>
      <x:c r="G59" s="44"/>
      <x:c r="H59" s="46"/>
      <x:c r="I59" s="48" t="str">
        <x:f>IF(B59="","",IFERROR(VLOOKUP(B59,Merchant_Rates!$A:$D,3,FALSE),4000))</x:f>
      </x:c>
      <x:c r="J59" s="48" t="str">
        <x:f>IF(B59="","",MAX(0,CEILING(H59,1)-IFERROR(VLOOKUP(B59,Merchant_Rates!$A:$D,4,FALSE),3))*Rules!$B$4)</x:f>
      </x:c>
      <x:c r="K59" s="48" t="str">
        <x:f>IF(B59="","",G59+I59+J59)</x:f>
      </x:c>
    </x:row>
    <x:row r="60">
      <x:c r="A60" s="40" t="str">
        <x:f>IF(B60="","",ROW()-4)</x:f>
      </x:c>
      <x:c r="B60" s="40"/>
      <x:c r="C60" s="40"/>
      <x:c r="D60" s="40"/>
      <x:c r="E60" s="40"/>
      <x:c r="F60" s="40"/>
      <x:c r="G60" s="44"/>
      <x:c r="H60" s="46"/>
      <x:c r="I60" s="48" t="str">
        <x:f>IF(B60="","",IFERROR(VLOOKUP(B60,Merchant_Rates!$A:$D,3,FALSE),4000))</x:f>
      </x:c>
      <x:c r="J60" s="48" t="str">
        <x:f>IF(B60="","",MAX(0,CEILING(H60,1)-IFERROR(VLOOKUP(B60,Merchant_Rates!$A:$D,4,FALSE),3))*Rules!$B$4)</x:f>
      </x:c>
      <x:c r="K60" s="48" t="str">
        <x:f>IF(B60="","",G60+I60+J60)</x:f>
      </x:c>
    </x:row>
    <x:row r="61">
      <x:c r="A61" s="40" t="str">
        <x:f>IF(B61="","",ROW()-4)</x:f>
      </x:c>
      <x:c r="B61" s="40"/>
      <x:c r="C61" s="40"/>
      <x:c r="D61" s="40"/>
      <x:c r="E61" s="40"/>
      <x:c r="F61" s="40"/>
      <x:c r="G61" s="44"/>
      <x:c r="H61" s="46"/>
      <x:c r="I61" s="48" t="str">
        <x:f>IF(B61="","",IFERROR(VLOOKUP(B61,Merchant_Rates!$A:$D,3,FALSE),4000))</x:f>
      </x:c>
      <x:c r="J61" s="48" t="str">
        <x:f>IF(B61="","",MAX(0,CEILING(H61,1)-IFERROR(VLOOKUP(B61,Merchant_Rates!$A:$D,4,FALSE),3))*Rules!$B$4)</x:f>
      </x:c>
      <x:c r="K61" s="48" t="str">
        <x:f>IF(B61="","",G61+I61+J61)</x:f>
      </x:c>
    </x:row>
    <x:row r="62">
      <x:c r="A62" s="40" t="str">
        <x:f>IF(B62="","",ROW()-4)</x:f>
      </x:c>
      <x:c r="B62" s="40"/>
      <x:c r="C62" s="40"/>
      <x:c r="D62" s="40"/>
      <x:c r="E62" s="40"/>
      <x:c r="F62" s="40"/>
      <x:c r="G62" s="44"/>
      <x:c r="H62" s="46"/>
      <x:c r="I62" s="48" t="str">
        <x:f>IF(B62="","",IFERROR(VLOOKUP(B62,Merchant_Rates!$A:$D,3,FALSE),4000))</x:f>
      </x:c>
      <x:c r="J62" s="48" t="str">
        <x:f>IF(B62="","",MAX(0,CEILING(H62,1)-IFERROR(VLOOKUP(B62,Merchant_Rates!$A:$D,4,FALSE),3))*Rules!$B$4)</x:f>
      </x:c>
      <x:c r="K62" s="48" t="str">
        <x:f>IF(B62="","",G62+I62+J62)</x:f>
      </x:c>
    </x:row>
    <x:row r="63">
      <x:c r="A63" s="40" t="str">
        <x:f>IF(B63="","",ROW()-4)</x:f>
      </x:c>
      <x:c r="B63" s="40"/>
      <x:c r="C63" s="40"/>
      <x:c r="D63" s="40"/>
      <x:c r="E63" s="40"/>
      <x:c r="F63" s="40"/>
      <x:c r="G63" s="44"/>
      <x:c r="H63" s="46"/>
      <x:c r="I63" s="48" t="str">
        <x:f>IF(B63="","",IFERROR(VLOOKUP(B63,Merchant_Rates!$A:$D,3,FALSE),4000))</x:f>
      </x:c>
      <x:c r="J63" s="48" t="str">
        <x:f>IF(B63="","",MAX(0,CEILING(H63,1)-IFERROR(VLOOKUP(B63,Merchant_Rates!$A:$D,4,FALSE),3))*Rules!$B$4)</x:f>
      </x:c>
      <x:c r="K63" s="48" t="str">
        <x:f>IF(B63="","",G63+I63+J63)</x:f>
      </x:c>
    </x:row>
    <x:row r="64">
      <x:c r="A64" s="40" t="str">
        <x:f>IF(B64="","",ROW()-4)</x:f>
      </x:c>
      <x:c r="B64" s="40"/>
      <x:c r="C64" s="40"/>
      <x:c r="D64" s="40"/>
      <x:c r="E64" s="40"/>
      <x:c r="F64" s="40"/>
      <x:c r="G64" s="44"/>
      <x:c r="H64" s="46"/>
      <x:c r="I64" s="48" t="str">
        <x:f>IF(B64="","",IFERROR(VLOOKUP(B64,Merchant_Rates!$A:$D,3,FALSE),4000))</x:f>
      </x:c>
      <x:c r="J64" s="48" t="str">
        <x:f>IF(B64="","",MAX(0,CEILING(H64,1)-IFERROR(VLOOKUP(B64,Merchant_Rates!$A:$D,4,FALSE),3))*Rules!$B$4)</x:f>
      </x:c>
      <x:c r="K64" s="48" t="str">
        <x:f>IF(B64="","",G64+I64+J64)</x:f>
      </x:c>
    </x:row>
    <x:row r="65">
      <x:c r="A65" s="40" t="str">
        <x:f>IF(B65="","",ROW()-4)</x:f>
      </x:c>
      <x:c r="B65" s="40"/>
      <x:c r="C65" s="40"/>
      <x:c r="D65" s="40"/>
      <x:c r="E65" s="40"/>
      <x:c r="F65" s="40"/>
      <x:c r="G65" s="44"/>
      <x:c r="H65" s="46"/>
      <x:c r="I65" s="48" t="str">
        <x:f>IF(B65="","",IFERROR(VLOOKUP(B65,Merchant_Rates!$A:$D,3,FALSE),4000))</x:f>
      </x:c>
      <x:c r="J65" s="48" t="str">
        <x:f>IF(B65="","",MAX(0,CEILING(H65,1)-IFERROR(VLOOKUP(B65,Merchant_Rates!$A:$D,4,FALSE),3))*Rules!$B$4)</x:f>
      </x:c>
      <x:c r="K65" s="48" t="str">
        <x:f>IF(B65="","",G65+I65+J65)</x:f>
      </x:c>
    </x:row>
    <x:row r="66">
      <x:c r="A66" s="40" t="str">
        <x:f>IF(B66="","",ROW()-4)</x:f>
      </x:c>
      <x:c r="B66" s="40"/>
      <x:c r="C66" s="40"/>
      <x:c r="D66" s="40"/>
      <x:c r="E66" s="40"/>
      <x:c r="F66" s="40"/>
      <x:c r="G66" s="44"/>
      <x:c r="H66" s="46"/>
      <x:c r="I66" s="48" t="str">
        <x:f>IF(B66="","",IFERROR(VLOOKUP(B66,Merchant_Rates!$A:$D,3,FALSE),4000))</x:f>
      </x:c>
      <x:c r="J66" s="48" t="str">
        <x:f>IF(B66="","",MAX(0,CEILING(H66,1)-IFERROR(VLOOKUP(B66,Merchant_Rates!$A:$D,4,FALSE),3))*Rules!$B$4)</x:f>
      </x:c>
      <x:c r="K66" s="48" t="str">
        <x:f>IF(B66="","",G66+I66+J66)</x:f>
      </x:c>
    </x:row>
    <x:row r="67">
      <x:c r="A67" s="40" t="str">
        <x:f>IF(B67="","",ROW()-4)</x:f>
      </x:c>
      <x:c r="B67" s="40"/>
      <x:c r="C67" s="40"/>
      <x:c r="D67" s="40"/>
      <x:c r="E67" s="40"/>
      <x:c r="F67" s="40"/>
      <x:c r="G67" s="44"/>
      <x:c r="H67" s="46"/>
      <x:c r="I67" s="48" t="str">
        <x:f>IF(B67="","",IFERROR(VLOOKUP(B67,Merchant_Rates!$A:$D,3,FALSE),4000))</x:f>
      </x:c>
      <x:c r="J67" s="48" t="str">
        <x:f>IF(B67="","",MAX(0,CEILING(H67,1)-IFERROR(VLOOKUP(B67,Merchant_Rates!$A:$D,4,FALSE),3))*Rules!$B$4)</x:f>
      </x:c>
      <x:c r="K67" s="48" t="str">
        <x:f>IF(B67="","",G67+I67+J67)</x:f>
      </x:c>
    </x:row>
    <x:row r="68">
      <x:c r="A68" s="40" t="str">
        <x:f>IF(B68="","",ROW()-4)</x:f>
      </x:c>
      <x:c r="B68" s="40"/>
      <x:c r="C68" s="40"/>
      <x:c r="D68" s="40"/>
      <x:c r="E68" s="40"/>
      <x:c r="F68" s="40"/>
      <x:c r="G68" s="44"/>
      <x:c r="H68" s="46"/>
      <x:c r="I68" s="48" t="str">
        <x:f>IF(B68="","",IFERROR(VLOOKUP(B68,Merchant_Rates!$A:$D,3,FALSE),4000))</x:f>
      </x:c>
      <x:c r="J68" s="48" t="str">
        <x:f>IF(B68="","",MAX(0,CEILING(H68,1)-IFERROR(VLOOKUP(B68,Merchant_Rates!$A:$D,4,FALSE),3))*Rules!$B$4)</x:f>
      </x:c>
      <x:c r="K68" s="48" t="str">
        <x:f>IF(B68="","",G68+I68+J68)</x:f>
      </x:c>
    </x:row>
    <x:row r="69">
      <x:c r="A69" s="40" t="str">
        <x:f>IF(B69="","",ROW()-4)</x:f>
      </x:c>
      <x:c r="B69" s="40"/>
      <x:c r="C69" s="40"/>
      <x:c r="D69" s="40"/>
      <x:c r="E69" s="40"/>
      <x:c r="F69" s="40"/>
      <x:c r="G69" s="44"/>
      <x:c r="H69" s="46"/>
      <x:c r="I69" s="48" t="str">
        <x:f>IF(B69="","",IFERROR(VLOOKUP(B69,Merchant_Rates!$A:$D,3,FALSE),4000))</x:f>
      </x:c>
      <x:c r="J69" s="48" t="str">
        <x:f>IF(B69="","",MAX(0,CEILING(H69,1)-IFERROR(VLOOKUP(B69,Merchant_Rates!$A:$D,4,FALSE),3))*Rules!$B$4)</x:f>
      </x:c>
      <x:c r="K69" s="48" t="str">
        <x:f>IF(B69="","",G69+I69+J69)</x:f>
      </x:c>
    </x:row>
    <x:row r="70">
      <x:c r="A70" s="40" t="str">
        <x:f>IF(B70="","",ROW()-4)</x:f>
      </x:c>
      <x:c r="B70" s="40"/>
      <x:c r="C70" s="40"/>
      <x:c r="D70" s="40"/>
      <x:c r="E70" s="40"/>
      <x:c r="F70" s="40"/>
      <x:c r="G70" s="44"/>
      <x:c r="H70" s="46"/>
      <x:c r="I70" s="48" t="str">
        <x:f>IF(B70="","",IFERROR(VLOOKUP(B70,Merchant_Rates!$A:$D,3,FALSE),4000))</x:f>
      </x:c>
      <x:c r="J70" s="48" t="str">
        <x:f>IF(B70="","",MAX(0,CEILING(H70,1)-IFERROR(VLOOKUP(B70,Merchant_Rates!$A:$D,4,FALSE),3))*Rules!$B$4)</x:f>
      </x:c>
      <x:c r="K70" s="48" t="str">
        <x:f>IF(B70="","",G70+I70+J70)</x:f>
      </x:c>
    </x:row>
    <x:row r="71">
      <x:c r="A71" s="40" t="str">
        <x:f>IF(B71="","",ROW()-4)</x:f>
      </x:c>
      <x:c r="B71" s="40"/>
      <x:c r="C71" s="40"/>
      <x:c r="D71" s="40"/>
      <x:c r="E71" s="40"/>
      <x:c r="F71" s="40"/>
      <x:c r="G71" s="44"/>
      <x:c r="H71" s="46"/>
      <x:c r="I71" s="48" t="str">
        <x:f>IF(B71="","",IFERROR(VLOOKUP(B71,Merchant_Rates!$A:$D,3,FALSE),4000))</x:f>
      </x:c>
      <x:c r="J71" s="48" t="str">
        <x:f>IF(B71="","",MAX(0,CEILING(H71,1)-IFERROR(VLOOKUP(B71,Merchant_Rates!$A:$D,4,FALSE),3))*Rules!$B$4)</x:f>
      </x:c>
      <x:c r="K71" s="48" t="str">
        <x:f>IF(B71="","",G71+I71+J71)</x:f>
      </x:c>
    </x:row>
    <x:row r="72">
      <x:c r="A72" s="40" t="str">
        <x:f>IF(B72="","",ROW()-4)</x:f>
      </x:c>
      <x:c r="B72" s="40"/>
      <x:c r="C72" s="40"/>
      <x:c r="D72" s="40"/>
      <x:c r="E72" s="40"/>
      <x:c r="F72" s="40"/>
      <x:c r="G72" s="44"/>
      <x:c r="H72" s="46"/>
      <x:c r="I72" s="48" t="str">
        <x:f>IF(B72="","",IFERROR(VLOOKUP(B72,Merchant_Rates!$A:$D,3,FALSE),4000))</x:f>
      </x:c>
      <x:c r="J72" s="48" t="str">
        <x:f>IF(B72="","",MAX(0,CEILING(H72,1)-IFERROR(VLOOKUP(B72,Merchant_Rates!$A:$D,4,FALSE),3))*Rules!$B$4)</x:f>
      </x:c>
      <x:c r="K72" s="48" t="str">
        <x:f>IF(B72="","",G72+I72+J72)</x:f>
      </x:c>
    </x:row>
    <x:row r="73">
      <x:c r="A73" s="40" t="str">
        <x:f>IF(B73="","",ROW()-4)</x:f>
      </x:c>
      <x:c r="B73" s="40"/>
      <x:c r="C73" s="40"/>
      <x:c r="D73" s="40"/>
      <x:c r="E73" s="40"/>
      <x:c r="F73" s="40"/>
      <x:c r="G73" s="44"/>
      <x:c r="H73" s="46"/>
      <x:c r="I73" s="48" t="str">
        <x:f>IF(B73="","",IFERROR(VLOOKUP(B73,Merchant_Rates!$A:$D,3,FALSE),4000))</x:f>
      </x:c>
      <x:c r="J73" s="48" t="str">
        <x:f>IF(B73="","",MAX(0,CEILING(H73,1)-IFERROR(VLOOKUP(B73,Merchant_Rates!$A:$D,4,FALSE),3))*Rules!$B$4)</x:f>
      </x:c>
      <x:c r="K73" s="48" t="str">
        <x:f>IF(B73="","",G73+I73+J73)</x:f>
      </x:c>
    </x:row>
    <x:row r="74">
      <x:c r="A74" s="40" t="str">
        <x:f>IF(B74="","",ROW()-4)</x:f>
      </x:c>
      <x:c r="B74" s="40"/>
      <x:c r="C74" s="40"/>
      <x:c r="D74" s="40"/>
      <x:c r="E74" s="40"/>
      <x:c r="F74" s="40"/>
      <x:c r="G74" s="44"/>
      <x:c r="H74" s="46"/>
      <x:c r="I74" s="48" t="str">
        <x:f>IF(B74="","",IFERROR(VLOOKUP(B74,Merchant_Rates!$A:$D,3,FALSE),4000))</x:f>
      </x:c>
      <x:c r="J74" s="48" t="str">
        <x:f>IF(B74="","",MAX(0,CEILING(H74,1)-IFERROR(VLOOKUP(B74,Merchant_Rates!$A:$D,4,FALSE),3))*Rules!$B$4)</x:f>
      </x:c>
      <x:c r="K74" s="48" t="str">
        <x:f>IF(B74="","",G74+I74+J74)</x:f>
      </x:c>
    </x:row>
    <x:row r="75">
      <x:c r="A75" s="40" t="str">
        <x:f>IF(B75="","",ROW()-4)</x:f>
      </x:c>
      <x:c r="B75" s="40"/>
      <x:c r="C75" s="40"/>
      <x:c r="D75" s="40"/>
      <x:c r="E75" s="40"/>
      <x:c r="F75" s="40"/>
      <x:c r="G75" s="44"/>
      <x:c r="H75" s="46"/>
      <x:c r="I75" s="48" t="str">
        <x:f>IF(B75="","",IFERROR(VLOOKUP(B75,Merchant_Rates!$A:$D,3,FALSE),4000))</x:f>
      </x:c>
      <x:c r="J75" s="48" t="str">
        <x:f>IF(B75="","",MAX(0,CEILING(H75,1)-IFERROR(VLOOKUP(B75,Merchant_Rates!$A:$D,4,FALSE),3))*Rules!$B$4)</x:f>
      </x:c>
      <x:c r="K75" s="48" t="str">
        <x:f>IF(B75="","",G75+I75+J75)</x:f>
      </x:c>
    </x:row>
    <x:row r="76">
      <x:c r="A76" s="40" t="str">
        <x:f>IF(B76="","",ROW()-4)</x:f>
      </x:c>
      <x:c r="B76" s="40"/>
      <x:c r="C76" s="40"/>
      <x:c r="D76" s="40"/>
      <x:c r="E76" s="40"/>
      <x:c r="F76" s="40"/>
      <x:c r="G76" s="44"/>
      <x:c r="H76" s="46"/>
      <x:c r="I76" s="48" t="str">
        <x:f>IF(B76="","",IFERROR(VLOOKUP(B76,Merchant_Rates!$A:$D,3,FALSE),4000))</x:f>
      </x:c>
      <x:c r="J76" s="48" t="str">
        <x:f>IF(B76="","",MAX(0,CEILING(H76,1)-IFERROR(VLOOKUP(B76,Merchant_Rates!$A:$D,4,FALSE),3))*Rules!$B$4)</x:f>
      </x:c>
      <x:c r="K76" s="48" t="str">
        <x:f>IF(B76="","",G76+I76+J76)</x:f>
      </x:c>
    </x:row>
    <x:row r="77">
      <x:c r="A77" s="40" t="str">
        <x:f>IF(B77="","",ROW()-4)</x:f>
      </x:c>
      <x:c r="B77" s="40"/>
      <x:c r="C77" s="40"/>
      <x:c r="D77" s="40"/>
      <x:c r="E77" s="40"/>
      <x:c r="F77" s="40"/>
      <x:c r="G77" s="44"/>
      <x:c r="H77" s="46"/>
      <x:c r="I77" s="48" t="str">
        <x:f>IF(B77="","",IFERROR(VLOOKUP(B77,Merchant_Rates!$A:$D,3,FALSE),4000))</x:f>
      </x:c>
      <x:c r="J77" s="48" t="str">
        <x:f>IF(B77="","",MAX(0,CEILING(H77,1)-IFERROR(VLOOKUP(B77,Merchant_Rates!$A:$D,4,FALSE),3))*Rules!$B$4)</x:f>
      </x:c>
      <x:c r="K77" s="48" t="str">
        <x:f>IF(B77="","",G77+I77+J77)</x:f>
      </x:c>
    </x:row>
    <x:row r="78">
      <x:c r="A78" s="40" t="str">
        <x:f>IF(B78="","",ROW()-4)</x:f>
      </x:c>
      <x:c r="B78" s="40"/>
      <x:c r="C78" s="40"/>
      <x:c r="D78" s="40"/>
      <x:c r="E78" s="40"/>
      <x:c r="F78" s="40"/>
      <x:c r="G78" s="44"/>
      <x:c r="H78" s="46"/>
      <x:c r="I78" s="48" t="str">
        <x:f>IF(B78="","",IFERROR(VLOOKUP(B78,Merchant_Rates!$A:$D,3,FALSE),4000))</x:f>
      </x:c>
      <x:c r="J78" s="48" t="str">
        <x:f>IF(B78="","",MAX(0,CEILING(H78,1)-IFERROR(VLOOKUP(B78,Merchant_Rates!$A:$D,4,FALSE),3))*Rules!$B$4)</x:f>
      </x:c>
      <x:c r="K78" s="48" t="str">
        <x:f>IF(B78="","",G78+I78+J78)</x:f>
      </x:c>
    </x:row>
    <x:row r="79">
      <x:c r="A79" s="40" t="str">
        <x:f>IF(B79="","",ROW()-4)</x:f>
      </x:c>
      <x:c r="B79" s="40"/>
      <x:c r="C79" s="40"/>
      <x:c r="D79" s="40"/>
      <x:c r="E79" s="40"/>
      <x:c r="F79" s="40"/>
      <x:c r="G79" s="44"/>
      <x:c r="H79" s="46"/>
      <x:c r="I79" s="48" t="str">
        <x:f>IF(B79="","",IFERROR(VLOOKUP(B79,Merchant_Rates!$A:$D,3,FALSE),4000))</x:f>
      </x:c>
      <x:c r="J79" s="48" t="str">
        <x:f>IF(B79="","",MAX(0,CEILING(H79,1)-IFERROR(VLOOKUP(B79,Merchant_Rates!$A:$D,4,FALSE),3))*Rules!$B$4)</x:f>
      </x:c>
      <x:c r="K79" s="48" t="str">
        <x:f>IF(B79="","",G79+I79+J79)</x:f>
      </x:c>
    </x:row>
    <x:row r="80">
      <x:c r="A80" s="40" t="str">
        <x:f>IF(B80="","",ROW()-4)</x:f>
      </x:c>
      <x:c r="B80" s="40"/>
      <x:c r="C80" s="40"/>
      <x:c r="D80" s="40"/>
      <x:c r="E80" s="40"/>
      <x:c r="F80" s="40"/>
      <x:c r="G80" s="44"/>
      <x:c r="H80" s="46"/>
      <x:c r="I80" s="48" t="str">
        <x:f>IF(B80="","",IFERROR(VLOOKUP(B80,Merchant_Rates!$A:$D,3,FALSE),4000))</x:f>
      </x:c>
      <x:c r="J80" s="48" t="str">
        <x:f>IF(B80="","",MAX(0,CEILING(H80,1)-IFERROR(VLOOKUP(B80,Merchant_Rates!$A:$D,4,FALSE),3))*Rules!$B$4)</x:f>
      </x:c>
      <x:c r="K80" s="48" t="str">
        <x:f>IF(B80="","",G80+I80+J80)</x:f>
      </x:c>
    </x:row>
    <x:row r="81">
      <x:c r="A81" s="40" t="str">
        <x:f>IF(B81="","",ROW()-4)</x:f>
      </x:c>
      <x:c r="B81" s="40"/>
      <x:c r="C81" s="40"/>
      <x:c r="D81" s="40"/>
      <x:c r="E81" s="40"/>
      <x:c r="F81" s="40"/>
      <x:c r="G81" s="44"/>
      <x:c r="H81" s="46"/>
      <x:c r="I81" s="48" t="str">
        <x:f>IF(B81="","",IFERROR(VLOOKUP(B81,Merchant_Rates!$A:$D,3,FALSE),4000))</x:f>
      </x:c>
      <x:c r="J81" s="48" t="str">
        <x:f>IF(B81="","",MAX(0,CEILING(H81,1)-IFERROR(VLOOKUP(B81,Merchant_Rates!$A:$D,4,FALSE),3))*Rules!$B$4)</x:f>
      </x:c>
      <x:c r="K81" s="48" t="str">
        <x:f>IF(B81="","",G81+I81+J81)</x:f>
      </x:c>
    </x:row>
    <x:row r="82">
      <x:c r="A82" s="40" t="str">
        <x:f>IF(B82="","",ROW()-4)</x:f>
      </x:c>
      <x:c r="B82" s="40"/>
      <x:c r="C82" s="40"/>
      <x:c r="D82" s="40"/>
      <x:c r="E82" s="40"/>
      <x:c r="F82" s="40"/>
      <x:c r="G82" s="44"/>
      <x:c r="H82" s="46"/>
      <x:c r="I82" s="48" t="str">
        <x:f>IF(B82="","",IFERROR(VLOOKUP(B82,Merchant_Rates!$A:$D,3,FALSE),4000))</x:f>
      </x:c>
      <x:c r="J82" s="48" t="str">
        <x:f>IF(B82="","",MAX(0,CEILING(H82,1)-IFERROR(VLOOKUP(B82,Merchant_Rates!$A:$D,4,FALSE),3))*Rules!$B$4)</x:f>
      </x:c>
      <x:c r="K82" s="48" t="str">
        <x:f>IF(B82="","",G82+I82+J82)</x:f>
      </x:c>
    </x:row>
    <x:row r="83">
      <x:c r="A83" s="40" t="str">
        <x:f>IF(B83="","",ROW()-4)</x:f>
      </x:c>
      <x:c r="B83" s="40"/>
      <x:c r="C83" s="40"/>
      <x:c r="D83" s="40"/>
      <x:c r="E83" s="40"/>
      <x:c r="F83" s="40"/>
      <x:c r="G83" s="44"/>
      <x:c r="H83" s="46"/>
      <x:c r="I83" s="48" t="str">
        <x:f>IF(B83="","",IFERROR(VLOOKUP(B83,Merchant_Rates!$A:$D,3,FALSE),4000))</x:f>
      </x:c>
      <x:c r="J83" s="48" t="str">
        <x:f>IF(B83="","",MAX(0,CEILING(H83,1)-IFERROR(VLOOKUP(B83,Merchant_Rates!$A:$D,4,FALSE),3))*Rules!$B$4)</x:f>
      </x:c>
      <x:c r="K83" s="48" t="str">
        <x:f>IF(B83="","",G83+I83+J83)</x:f>
      </x:c>
    </x:row>
    <x:row r="84">
      <x:c r="A84" s="40" t="str">
        <x:f>IF(B84="","",ROW()-4)</x:f>
      </x:c>
      <x:c r="B84" s="40"/>
      <x:c r="C84" s="40"/>
      <x:c r="D84" s="40"/>
      <x:c r="E84" s="40"/>
      <x:c r="F84" s="40"/>
      <x:c r="G84" s="44"/>
      <x:c r="H84" s="46"/>
      <x:c r="I84" s="48" t="str">
        <x:f>IF(B84="","",IFERROR(VLOOKUP(B84,Merchant_Rates!$A:$D,3,FALSE),4000))</x:f>
      </x:c>
      <x:c r="J84" s="48" t="str">
        <x:f>IF(B84="","",MAX(0,CEILING(H84,1)-IFERROR(VLOOKUP(B84,Merchant_Rates!$A:$D,4,FALSE),3))*Rules!$B$4)</x:f>
      </x:c>
      <x:c r="K84" s="48" t="str">
        <x:f>IF(B84="","",G84+I84+J84)</x:f>
      </x:c>
    </x:row>
    <x:row r="85">
      <x:c r="A85" s="40" t="str">
        <x:f>IF(B85="","",ROW()-4)</x:f>
      </x:c>
      <x:c r="B85" s="40"/>
      <x:c r="C85" s="40"/>
      <x:c r="D85" s="40"/>
      <x:c r="E85" s="40"/>
      <x:c r="F85" s="40"/>
      <x:c r="G85" s="44"/>
      <x:c r="H85" s="46"/>
      <x:c r="I85" s="48" t="str">
        <x:f>IF(B85="","",IFERROR(VLOOKUP(B85,Merchant_Rates!$A:$D,3,FALSE),4000))</x:f>
      </x:c>
      <x:c r="J85" s="48" t="str">
        <x:f>IF(B85="","",MAX(0,CEILING(H85,1)-IFERROR(VLOOKUP(B85,Merchant_Rates!$A:$D,4,FALSE),3))*Rules!$B$4)</x:f>
      </x:c>
      <x:c r="K85" s="48" t="str">
        <x:f>IF(B85="","",G85+I85+J85)</x:f>
      </x:c>
    </x:row>
    <x:row r="86">
      <x:c r="A86" s="40" t="str">
        <x:f>IF(B86="","",ROW()-4)</x:f>
      </x:c>
      <x:c r="B86" s="40"/>
      <x:c r="C86" s="40"/>
      <x:c r="D86" s="40"/>
      <x:c r="E86" s="40"/>
      <x:c r="F86" s="40"/>
      <x:c r="G86" s="44"/>
      <x:c r="H86" s="46"/>
      <x:c r="I86" s="48" t="str">
        <x:f>IF(B86="","",IFERROR(VLOOKUP(B86,Merchant_Rates!$A:$D,3,FALSE),4000))</x:f>
      </x:c>
      <x:c r="J86" s="48" t="str">
        <x:f>IF(B86="","",MAX(0,CEILING(H86,1)-IFERROR(VLOOKUP(B86,Merchant_Rates!$A:$D,4,FALSE),3))*Rules!$B$4)</x:f>
      </x:c>
      <x:c r="K86" s="48" t="str">
        <x:f>IF(B86="","",G86+I86+J86)</x:f>
      </x:c>
    </x:row>
    <x:row r="87">
      <x:c r="A87" s="40" t="str">
        <x:f>IF(B87="","",ROW()-4)</x:f>
      </x:c>
      <x:c r="B87" s="40"/>
      <x:c r="C87" s="40"/>
      <x:c r="D87" s="40"/>
      <x:c r="E87" s="40"/>
      <x:c r="F87" s="40"/>
      <x:c r="G87" s="44"/>
      <x:c r="H87" s="46"/>
      <x:c r="I87" s="48" t="str">
        <x:f>IF(B87="","",IFERROR(VLOOKUP(B87,Merchant_Rates!$A:$D,3,FALSE),4000))</x:f>
      </x:c>
      <x:c r="J87" s="48" t="str">
        <x:f>IF(B87="","",MAX(0,CEILING(H87,1)-IFERROR(VLOOKUP(B87,Merchant_Rates!$A:$D,4,FALSE),3))*Rules!$B$4)</x:f>
      </x:c>
      <x:c r="K87" s="48" t="str">
        <x:f>IF(B87="","",G87+I87+J87)</x:f>
      </x:c>
    </x:row>
    <x:row r="88">
      <x:c r="A88" s="40" t="str">
        <x:f>IF(B88="","",ROW()-4)</x:f>
      </x:c>
      <x:c r="B88" s="40"/>
      <x:c r="C88" s="40"/>
      <x:c r="D88" s="40"/>
      <x:c r="E88" s="40"/>
      <x:c r="F88" s="40"/>
      <x:c r="G88" s="44"/>
      <x:c r="H88" s="46"/>
      <x:c r="I88" s="48" t="str">
        <x:f>IF(B88="","",IFERROR(VLOOKUP(B88,Merchant_Rates!$A:$D,3,FALSE),4000))</x:f>
      </x:c>
      <x:c r="J88" s="48" t="str">
        <x:f>IF(B88="","",MAX(0,CEILING(H88,1)-IFERROR(VLOOKUP(B88,Merchant_Rates!$A:$D,4,FALSE),3))*Rules!$B$4)</x:f>
      </x:c>
      <x:c r="K88" s="48" t="str">
        <x:f>IF(B88="","",G88+I88+J88)</x:f>
      </x:c>
    </x:row>
    <x:row r="89">
      <x:c r="A89" s="40" t="str">
        <x:f>IF(B89="","",ROW()-4)</x:f>
      </x:c>
      <x:c r="B89" s="40"/>
      <x:c r="C89" s="40"/>
      <x:c r="D89" s="40"/>
      <x:c r="E89" s="40"/>
      <x:c r="F89" s="40"/>
      <x:c r="G89" s="44"/>
      <x:c r="H89" s="46"/>
      <x:c r="I89" s="48" t="str">
        <x:f>IF(B89="","",IFERROR(VLOOKUP(B89,Merchant_Rates!$A:$D,3,FALSE),4000))</x:f>
      </x:c>
      <x:c r="J89" s="48" t="str">
        <x:f>IF(B89="","",MAX(0,CEILING(H89,1)-IFERROR(VLOOKUP(B89,Merchant_Rates!$A:$D,4,FALSE),3))*Rules!$B$4)</x:f>
      </x:c>
      <x:c r="K89" s="48" t="str">
        <x:f>IF(B89="","",G89+I89+J89)</x:f>
      </x:c>
    </x:row>
    <x:row r="90">
      <x:c r="A90" s="40" t="str">
        <x:f>IF(B90="","",ROW()-4)</x:f>
      </x:c>
      <x:c r="B90" s="40"/>
      <x:c r="C90" s="40"/>
      <x:c r="D90" s="40"/>
      <x:c r="E90" s="40"/>
      <x:c r="F90" s="40"/>
      <x:c r="G90" s="44"/>
      <x:c r="H90" s="46"/>
      <x:c r="I90" s="48" t="str">
        <x:f>IF(B90="","",IFERROR(VLOOKUP(B90,Merchant_Rates!$A:$D,3,FALSE),4000))</x:f>
      </x:c>
      <x:c r="J90" s="48" t="str">
        <x:f>IF(B90="","",MAX(0,CEILING(H90,1)-IFERROR(VLOOKUP(B90,Merchant_Rates!$A:$D,4,FALSE),3))*Rules!$B$4)</x:f>
      </x:c>
      <x:c r="K90" s="48" t="str">
        <x:f>IF(B90="","",G90+I90+J90)</x:f>
      </x:c>
    </x:row>
    <x:row r="91">
      <x:c r="A91" s="40" t="str">
        <x:f>IF(B91="","",ROW()-4)</x:f>
      </x:c>
      <x:c r="B91" s="40"/>
      <x:c r="C91" s="40"/>
      <x:c r="D91" s="40"/>
      <x:c r="E91" s="40"/>
      <x:c r="F91" s="40"/>
      <x:c r="G91" s="44"/>
      <x:c r="H91" s="46"/>
      <x:c r="I91" s="48" t="str">
        <x:f>IF(B91="","",IFERROR(VLOOKUP(B91,Merchant_Rates!$A:$D,3,FALSE),4000))</x:f>
      </x:c>
      <x:c r="J91" s="48" t="str">
        <x:f>IF(B91="","",MAX(0,CEILING(H91,1)-IFERROR(VLOOKUP(B91,Merchant_Rates!$A:$D,4,FALSE),3))*Rules!$B$4)</x:f>
      </x:c>
      <x:c r="K91" s="48" t="str">
        <x:f>IF(B91="","",G91+I91+J91)</x:f>
      </x:c>
    </x:row>
    <x:row r="92">
      <x:c r="A92" s="40" t="str">
        <x:f>IF(B92="","",ROW()-4)</x:f>
      </x:c>
      <x:c r="B92" s="40"/>
      <x:c r="C92" s="40"/>
      <x:c r="D92" s="40"/>
      <x:c r="E92" s="40"/>
      <x:c r="F92" s="40"/>
      <x:c r="G92" s="44"/>
      <x:c r="H92" s="46"/>
      <x:c r="I92" s="48" t="str">
        <x:f>IF(B92="","",IFERROR(VLOOKUP(B92,Merchant_Rates!$A:$D,3,FALSE),4000))</x:f>
      </x:c>
      <x:c r="J92" s="48" t="str">
        <x:f>IF(B92="","",MAX(0,CEILING(H92,1)-IFERROR(VLOOKUP(B92,Merchant_Rates!$A:$D,4,FALSE),3))*Rules!$B$4)</x:f>
      </x:c>
      <x:c r="K92" s="48" t="str">
        <x:f>IF(B92="","",G92+I92+J92)</x:f>
      </x:c>
    </x:row>
    <x:row r="93">
      <x:c r="A93" s="40" t="str">
        <x:f>IF(B93="","",ROW()-4)</x:f>
      </x:c>
      <x:c r="B93" s="40"/>
      <x:c r="C93" s="40"/>
      <x:c r="D93" s="40"/>
      <x:c r="E93" s="40"/>
      <x:c r="F93" s="40"/>
      <x:c r="G93" s="44"/>
      <x:c r="H93" s="46"/>
      <x:c r="I93" s="48" t="str">
        <x:f>IF(B93="","",IFERROR(VLOOKUP(B93,Merchant_Rates!$A:$D,3,FALSE),4000))</x:f>
      </x:c>
      <x:c r="J93" s="48" t="str">
        <x:f>IF(B93="","",MAX(0,CEILING(H93,1)-IFERROR(VLOOKUP(B93,Merchant_Rates!$A:$D,4,FALSE),3))*Rules!$B$4)</x:f>
      </x:c>
      <x:c r="K93" s="48" t="str">
        <x:f>IF(B93="","",G93+I93+J93)</x:f>
      </x:c>
    </x:row>
    <x:row r="94">
      <x:c r="A94" s="40" t="str">
        <x:f>IF(B94="","",ROW()-4)</x:f>
      </x:c>
      <x:c r="B94" s="40"/>
      <x:c r="C94" s="40"/>
      <x:c r="D94" s="40"/>
      <x:c r="E94" s="40"/>
      <x:c r="F94" s="40"/>
      <x:c r="G94" s="44"/>
      <x:c r="H94" s="46"/>
      <x:c r="I94" s="48" t="str">
        <x:f>IF(B94="","",IFERROR(VLOOKUP(B94,Merchant_Rates!$A:$D,3,FALSE),4000))</x:f>
      </x:c>
      <x:c r="J94" s="48" t="str">
        <x:f>IF(B94="","",MAX(0,CEILING(H94,1)-IFERROR(VLOOKUP(B94,Merchant_Rates!$A:$D,4,FALSE),3))*Rules!$B$4)</x:f>
      </x:c>
      <x:c r="K94" s="48" t="str">
        <x:f>IF(B94="","",G94+I94+J94)</x:f>
      </x:c>
    </x:row>
    <x:row r="95">
      <x:c r="A95" s="40" t="str">
        <x:f>IF(B95="","",ROW()-4)</x:f>
      </x:c>
      <x:c r="B95" s="40"/>
      <x:c r="C95" s="40"/>
      <x:c r="D95" s="40"/>
      <x:c r="E95" s="40"/>
      <x:c r="F95" s="40"/>
      <x:c r="G95" s="44"/>
      <x:c r="H95" s="46"/>
      <x:c r="I95" s="48" t="str">
        <x:f>IF(B95="","",IFERROR(VLOOKUP(B95,Merchant_Rates!$A:$D,3,FALSE),4000))</x:f>
      </x:c>
      <x:c r="J95" s="48" t="str">
        <x:f>IF(B95="","",MAX(0,CEILING(H95,1)-IFERROR(VLOOKUP(B95,Merchant_Rates!$A:$D,4,FALSE),3))*Rules!$B$4)</x:f>
      </x:c>
      <x:c r="K95" s="48" t="str">
        <x:f>IF(B95="","",G95+I95+J95)</x:f>
      </x:c>
    </x:row>
    <x:row r="96">
      <x:c r="A96" s="40" t="str">
        <x:f>IF(B96="","",ROW()-4)</x:f>
      </x:c>
      <x:c r="B96" s="40"/>
      <x:c r="C96" s="40"/>
      <x:c r="D96" s="40"/>
      <x:c r="E96" s="40"/>
      <x:c r="F96" s="40"/>
      <x:c r="G96" s="44"/>
      <x:c r="H96" s="46"/>
      <x:c r="I96" s="48" t="str">
        <x:f>IF(B96="","",IFERROR(VLOOKUP(B96,Merchant_Rates!$A:$D,3,FALSE),4000))</x:f>
      </x:c>
      <x:c r="J96" s="48" t="str">
        <x:f>IF(B96="","",MAX(0,CEILING(H96,1)-IFERROR(VLOOKUP(B96,Merchant_Rates!$A:$D,4,FALSE),3))*Rules!$B$4)</x:f>
      </x:c>
      <x:c r="K96" s="48" t="str">
        <x:f>IF(B96="","",G96+I96+J96)</x:f>
      </x:c>
    </x:row>
    <x:row r="97">
      <x:c r="A97" s="40" t="str">
        <x:f>IF(B97="","",ROW()-4)</x:f>
      </x:c>
      <x:c r="B97" s="40"/>
      <x:c r="C97" s="40"/>
      <x:c r="D97" s="40"/>
      <x:c r="E97" s="40"/>
      <x:c r="F97" s="40"/>
      <x:c r="G97" s="44"/>
      <x:c r="H97" s="46"/>
      <x:c r="I97" s="48" t="str">
        <x:f>IF(B97="","",IFERROR(VLOOKUP(B97,Merchant_Rates!$A:$D,3,FALSE),4000))</x:f>
      </x:c>
      <x:c r="J97" s="48" t="str">
        <x:f>IF(B97="","",MAX(0,CEILING(H97,1)-IFERROR(VLOOKUP(B97,Merchant_Rates!$A:$D,4,FALSE),3))*Rules!$B$4)</x:f>
      </x:c>
      <x:c r="K97" s="48" t="str">
        <x:f>IF(B97="","",G97+I97+J97)</x:f>
      </x:c>
    </x:row>
    <x:row r="98">
      <x:c r="A98" s="40" t="str">
        <x:f>IF(B98="","",ROW()-4)</x:f>
      </x:c>
      <x:c r="B98" s="40"/>
      <x:c r="C98" s="40"/>
      <x:c r="D98" s="40"/>
      <x:c r="E98" s="40"/>
      <x:c r="F98" s="40"/>
      <x:c r="G98" s="44"/>
      <x:c r="H98" s="46"/>
      <x:c r="I98" s="48" t="str">
        <x:f>IF(B98="","",IFERROR(VLOOKUP(B98,Merchant_Rates!$A:$D,3,FALSE),4000))</x:f>
      </x:c>
      <x:c r="J98" s="48" t="str">
        <x:f>IF(B98="","",MAX(0,CEILING(H98,1)-IFERROR(VLOOKUP(B98,Merchant_Rates!$A:$D,4,FALSE),3))*Rules!$B$4)</x:f>
      </x:c>
      <x:c r="K98" s="48" t="str">
        <x:f>IF(B98="","",G98+I98+J98)</x:f>
      </x:c>
    </x:row>
    <x:row r="99">
      <x:c r="A99" s="40" t="str">
        <x:f>IF(B99="","",ROW()-4)</x:f>
      </x:c>
      <x:c r="B99" s="40"/>
      <x:c r="C99" s="40"/>
      <x:c r="D99" s="40"/>
      <x:c r="E99" s="40"/>
      <x:c r="F99" s="40"/>
      <x:c r="G99" s="44"/>
      <x:c r="H99" s="46"/>
      <x:c r="I99" s="48" t="str">
        <x:f>IF(B99="","",IFERROR(VLOOKUP(B99,Merchant_Rates!$A:$D,3,FALSE),4000))</x:f>
      </x:c>
      <x:c r="J99" s="48" t="str">
        <x:f>IF(B99="","",MAX(0,CEILING(H99,1)-IFERROR(VLOOKUP(B99,Merchant_Rates!$A:$D,4,FALSE),3))*Rules!$B$4)</x:f>
      </x:c>
      <x:c r="K99" s="48" t="str">
        <x:f>IF(B99="","",G99+I99+J99)</x:f>
      </x:c>
    </x:row>
    <x:row r="100">
      <x:c r="A100" s="40" t="str">
        <x:f>IF(B100="","",ROW()-4)</x:f>
      </x:c>
      <x:c r="B100" s="40"/>
      <x:c r="C100" s="40"/>
      <x:c r="D100" s="40"/>
      <x:c r="E100" s="40"/>
      <x:c r="F100" s="40"/>
      <x:c r="G100" s="44"/>
      <x:c r="H100" s="46"/>
      <x:c r="I100" s="48" t="str">
        <x:f>IF(B100="","",IFERROR(VLOOKUP(B100,Merchant_Rates!$A:$D,3,FALSE),4000))</x:f>
      </x:c>
      <x:c r="J100" s="48" t="str">
        <x:f>IF(B100="","",MAX(0,CEILING(H100,1)-IFERROR(VLOOKUP(B100,Merchant_Rates!$A:$D,4,FALSE),3))*Rules!$B$4)</x:f>
      </x:c>
      <x:c r="K100" s="48" t="str">
        <x:f>IF(B100="","",G100+I100+J100)</x:f>
      </x:c>
    </x:row>
    <x:row r="101">
      <x:c r="A101" s="40" t="str">
        <x:f>IF(B101="","",ROW()-4)</x:f>
      </x:c>
      <x:c r="B101" s="40"/>
      <x:c r="C101" s="40"/>
      <x:c r="D101" s="40"/>
      <x:c r="E101" s="40"/>
      <x:c r="F101" s="40"/>
      <x:c r="G101" s="44"/>
      <x:c r="H101" s="46"/>
      <x:c r="I101" s="48" t="str">
        <x:f>IF(B101="","",IFERROR(VLOOKUP(B101,Merchant_Rates!$A:$D,3,FALSE),4000))</x:f>
      </x:c>
      <x:c r="J101" s="48" t="str">
        <x:f>IF(B101="","",MAX(0,CEILING(H101,1)-IFERROR(VLOOKUP(B101,Merchant_Rates!$A:$D,4,FALSE),3))*Rules!$B$4)</x:f>
      </x:c>
      <x:c r="K101" s="48" t="str">
        <x:f>IF(B101="","",G101+I101+J101)</x:f>
      </x:c>
    </x:row>
    <x:row r="102">
      <x:c r="A102" s="40" t="str">
        <x:f>IF(B102="","",ROW()-4)</x:f>
      </x:c>
      <x:c r="B102" s="40"/>
      <x:c r="C102" s="40"/>
      <x:c r="D102" s="40"/>
      <x:c r="E102" s="40"/>
      <x:c r="F102" s="40"/>
      <x:c r="G102" s="44"/>
      <x:c r="H102" s="46"/>
      <x:c r="I102" s="48" t="str">
        <x:f>IF(B102="","",IFERROR(VLOOKUP(B102,Merchant_Rates!$A:$D,3,FALSE),4000))</x:f>
      </x:c>
      <x:c r="J102" s="48" t="str">
        <x:f>IF(B102="","",MAX(0,CEILING(H102,1)-IFERROR(VLOOKUP(B102,Merchant_Rates!$A:$D,4,FALSE),3))*Rules!$B$4)</x:f>
      </x:c>
      <x:c r="K102" s="48" t="str">
        <x:f>IF(B102="","",G102+I102+J102)</x:f>
      </x:c>
    </x:row>
    <x:row r="103">
      <x:c r="A103" s="40" t="str">
        <x:f>IF(B103="","",ROW()-4)</x:f>
      </x:c>
      <x:c r="B103" s="40"/>
      <x:c r="C103" s="40"/>
      <x:c r="D103" s="40"/>
      <x:c r="E103" s="40"/>
      <x:c r="F103" s="40"/>
      <x:c r="G103" s="44"/>
      <x:c r="H103" s="46"/>
      <x:c r="I103" s="48" t="str">
        <x:f>IF(B103="","",IFERROR(VLOOKUP(B103,Merchant_Rates!$A:$D,3,FALSE),4000))</x:f>
      </x:c>
      <x:c r="J103" s="48" t="str">
        <x:f>IF(B103="","",MAX(0,CEILING(H103,1)-IFERROR(VLOOKUP(B103,Merchant_Rates!$A:$D,4,FALSE),3))*Rules!$B$4)</x:f>
      </x:c>
      <x:c r="K103" s="48" t="str">
        <x:f>IF(B103="","",G103+I103+J103)</x:f>
      </x:c>
    </x:row>
    <x:row r="104">
      <x:c r="A104" s="40" t="str">
        <x:f>IF(B104="","",ROW()-4)</x:f>
      </x:c>
      <x:c r="B104" s="40"/>
      <x:c r="C104" s="40"/>
      <x:c r="D104" s="40"/>
      <x:c r="E104" s="40"/>
      <x:c r="F104" s="40"/>
      <x:c r="G104" s="44"/>
      <x:c r="H104" s="46"/>
      <x:c r="I104" s="48" t="str">
        <x:f>IF(B104="","",IFERROR(VLOOKUP(B104,Merchant_Rates!$A:$D,3,FALSE),4000))</x:f>
      </x:c>
      <x:c r="J104" s="48" t="str">
        <x:f>IF(B104="","",MAX(0,CEILING(H104,1)-IFERROR(VLOOKUP(B104,Merchant_Rates!$A:$D,4,FALSE),3))*Rules!$B$4)</x:f>
      </x:c>
      <x:c r="K104" s="48" t="str">
        <x:f>IF(B104="","",G104+I104+J104)</x:f>
      </x:c>
    </x:row>
    <x:row r="105">
      <x:c r="A105" s="40" t="str">
        <x:f>IF(B105="","",ROW()-4)</x:f>
      </x:c>
      <x:c r="B105" s="40"/>
      <x:c r="C105" s="40"/>
      <x:c r="D105" s="40"/>
      <x:c r="E105" s="40"/>
      <x:c r="F105" s="40"/>
      <x:c r="G105" s="44"/>
      <x:c r="H105" s="46"/>
      <x:c r="I105" s="48" t="str">
        <x:f>IF(B105="","",IFERROR(VLOOKUP(B105,Merchant_Rates!$A:$D,3,FALSE),4000))</x:f>
      </x:c>
      <x:c r="J105" s="48" t="str">
        <x:f>IF(B105="","",MAX(0,CEILING(H105,1)-IFERROR(VLOOKUP(B105,Merchant_Rates!$A:$D,4,FALSE),3))*Rules!$B$4)</x:f>
      </x:c>
      <x:c r="K105" s="48" t="str">
        <x:f>IF(B105="","",G105+I105+J105)</x:f>
      </x:c>
    </x:row>
    <x:row r="106">
      <x:c r="A106" s="40" t="str">
        <x:f>IF(B106="","",ROW()-4)</x:f>
      </x:c>
      <x:c r="B106" s="40"/>
      <x:c r="C106" s="40"/>
      <x:c r="D106" s="40"/>
      <x:c r="E106" s="40"/>
      <x:c r="F106" s="40"/>
      <x:c r="G106" s="44"/>
      <x:c r="H106" s="46"/>
      <x:c r="I106" s="48" t="str">
        <x:f>IF(B106="","",IFERROR(VLOOKUP(B106,Merchant_Rates!$A:$D,3,FALSE),4000))</x:f>
      </x:c>
      <x:c r="J106" s="48" t="str">
        <x:f>IF(B106="","",MAX(0,CEILING(H106,1)-IFERROR(VLOOKUP(B106,Merchant_Rates!$A:$D,4,FALSE),3))*Rules!$B$4)</x:f>
      </x:c>
      <x:c r="K106" s="48" t="str">
        <x:f>IF(B106="","",G106+I106+J106)</x:f>
      </x:c>
    </x:row>
    <x:row r="107">
      <x:c r="A107" s="40" t="str">
        <x:f>IF(B107="","",ROW()-4)</x:f>
      </x:c>
      <x:c r="B107" s="40"/>
      <x:c r="C107" s="40"/>
      <x:c r="D107" s="40"/>
      <x:c r="E107" s="40"/>
      <x:c r="F107" s="40"/>
      <x:c r="G107" s="44"/>
      <x:c r="H107" s="46"/>
      <x:c r="I107" s="48" t="str">
        <x:f>IF(B107="","",IFERROR(VLOOKUP(B107,Merchant_Rates!$A:$D,3,FALSE),4000))</x:f>
      </x:c>
      <x:c r="J107" s="48" t="str">
        <x:f>IF(B107="","",MAX(0,CEILING(H107,1)-IFERROR(VLOOKUP(B107,Merchant_Rates!$A:$D,4,FALSE),3))*Rules!$B$4)</x:f>
      </x:c>
      <x:c r="K107" s="48" t="str">
        <x:f>IF(B107="","",G107+I107+J107)</x:f>
      </x:c>
    </x:row>
    <x:row r="108">
      <x:c r="A108" s="40" t="str">
        <x:f>IF(B108="","",ROW()-4)</x:f>
      </x:c>
      <x:c r="B108" s="40"/>
      <x:c r="C108" s="40"/>
      <x:c r="D108" s="40"/>
      <x:c r="E108" s="40"/>
      <x:c r="F108" s="40"/>
      <x:c r="G108" s="44"/>
      <x:c r="H108" s="46"/>
      <x:c r="I108" s="48" t="str">
        <x:f>IF(B108="","",IFERROR(VLOOKUP(B108,Merchant_Rates!$A:$D,3,FALSE),4000))</x:f>
      </x:c>
      <x:c r="J108" s="48" t="str">
        <x:f>IF(B108="","",MAX(0,CEILING(H108,1)-IFERROR(VLOOKUP(B108,Merchant_Rates!$A:$D,4,FALSE),3))*Rules!$B$4)</x:f>
      </x:c>
      <x:c r="K108" s="48" t="str">
        <x:f>IF(B108="","",G108+I108+J108)</x:f>
      </x:c>
    </x:row>
    <x:row r="109">
      <x:c r="A109" s="40" t="str">
        <x:f>IF(B109="","",ROW()-4)</x:f>
      </x:c>
      <x:c r="B109" s="40"/>
      <x:c r="C109" s="40"/>
      <x:c r="D109" s="40"/>
      <x:c r="E109" s="40"/>
      <x:c r="F109" s="40"/>
      <x:c r="G109" s="44"/>
      <x:c r="H109" s="46"/>
      <x:c r="I109" s="48" t="str">
        <x:f>IF(B109="","",IFERROR(VLOOKUP(B109,Merchant_Rates!$A:$D,3,FALSE),4000))</x:f>
      </x:c>
      <x:c r="J109" s="48" t="str">
        <x:f>IF(B109="","",MAX(0,CEILING(H109,1)-IFERROR(VLOOKUP(B109,Merchant_Rates!$A:$D,4,FALSE),3))*Rules!$B$4)</x:f>
      </x:c>
      <x:c r="K109" s="48" t="str">
        <x:f>IF(B109="","",G109+I109+J109)</x:f>
      </x:c>
    </x:row>
    <x:row r="110">
      <x:c r="A110" s="40" t="str">
        <x:f>IF(B110="","",ROW()-4)</x:f>
      </x:c>
      <x:c r="B110" s="40"/>
      <x:c r="C110" s="40"/>
      <x:c r="D110" s="40"/>
      <x:c r="E110" s="40"/>
      <x:c r="F110" s="40"/>
      <x:c r="G110" s="44"/>
      <x:c r="H110" s="46"/>
      <x:c r="I110" s="48" t="str">
        <x:f>IF(B110="","",IFERROR(VLOOKUP(B110,Merchant_Rates!$A:$D,3,FALSE),4000))</x:f>
      </x:c>
      <x:c r="J110" s="48" t="str">
        <x:f>IF(B110="","",MAX(0,CEILING(H110,1)-IFERROR(VLOOKUP(B110,Merchant_Rates!$A:$D,4,FALSE),3))*Rules!$B$4)</x:f>
      </x:c>
      <x:c r="K110" s="48" t="str">
        <x:f>IF(B110="","",G110+I110+J110)</x:f>
      </x:c>
    </x:row>
    <x:row r="111">
      <x:c r="A111" s="40" t="str">
        <x:f>IF(B111="","",ROW()-4)</x:f>
      </x:c>
      <x:c r="B111" s="40"/>
      <x:c r="C111" s="40"/>
      <x:c r="D111" s="40"/>
      <x:c r="E111" s="40"/>
      <x:c r="F111" s="40"/>
      <x:c r="G111" s="44"/>
      <x:c r="H111" s="46"/>
      <x:c r="I111" s="48" t="str">
        <x:f>IF(B111="","",IFERROR(VLOOKUP(B111,Merchant_Rates!$A:$D,3,FALSE),4000))</x:f>
      </x:c>
      <x:c r="J111" s="48" t="str">
        <x:f>IF(B111="","",MAX(0,CEILING(H111,1)-IFERROR(VLOOKUP(B111,Merchant_Rates!$A:$D,4,FALSE),3))*Rules!$B$4)</x:f>
      </x:c>
      <x:c r="K111" s="48" t="str">
        <x:f>IF(B111="","",G111+I111+J111)</x:f>
      </x:c>
    </x:row>
    <x:row r="112">
      <x:c r="A112" s="40" t="str">
        <x:f>IF(B112="","",ROW()-4)</x:f>
      </x:c>
      <x:c r="B112" s="40"/>
      <x:c r="C112" s="40"/>
      <x:c r="D112" s="40"/>
      <x:c r="E112" s="40"/>
      <x:c r="F112" s="40"/>
      <x:c r="G112" s="44"/>
      <x:c r="H112" s="46"/>
      <x:c r="I112" s="48" t="str">
        <x:f>IF(B112="","",IFERROR(VLOOKUP(B112,Merchant_Rates!$A:$D,3,FALSE),4000))</x:f>
      </x:c>
      <x:c r="J112" s="48" t="str">
        <x:f>IF(B112="","",MAX(0,CEILING(H112,1)-IFERROR(VLOOKUP(B112,Merchant_Rates!$A:$D,4,FALSE),3))*Rules!$B$4)</x:f>
      </x:c>
      <x:c r="K112" s="48" t="str">
        <x:f>IF(B112="","",G112+I112+J112)</x:f>
      </x:c>
    </x:row>
    <x:row r="113">
      <x:c r="A113" s="40" t="str">
        <x:f>IF(B113="","",ROW()-4)</x:f>
      </x:c>
      <x:c r="B113" s="40"/>
      <x:c r="C113" s="40"/>
      <x:c r="D113" s="40"/>
      <x:c r="E113" s="40"/>
      <x:c r="F113" s="40"/>
      <x:c r="G113" s="44"/>
      <x:c r="H113" s="46"/>
      <x:c r="I113" s="48" t="str">
        <x:f>IF(B113="","",IFERROR(VLOOKUP(B113,Merchant_Rates!$A:$D,3,FALSE),4000))</x:f>
      </x:c>
      <x:c r="J113" s="48" t="str">
        <x:f>IF(B113="","",MAX(0,CEILING(H113,1)-IFERROR(VLOOKUP(B113,Merchant_Rates!$A:$D,4,FALSE),3))*Rules!$B$4)</x:f>
      </x:c>
      <x:c r="K113" s="48" t="str">
        <x:f>IF(B113="","",G113+I113+J113)</x:f>
      </x:c>
    </x:row>
    <x:row r="114">
      <x:c r="A114" s="40" t="str">
        <x:f>IF(B114="","",ROW()-4)</x:f>
      </x:c>
      <x:c r="B114" s="40"/>
      <x:c r="C114" s="40"/>
      <x:c r="D114" s="40"/>
      <x:c r="E114" s="40"/>
      <x:c r="F114" s="40"/>
      <x:c r="G114" s="44"/>
      <x:c r="H114" s="46"/>
      <x:c r="I114" s="48" t="str">
        <x:f>IF(B114="","",IFERROR(VLOOKUP(B114,Merchant_Rates!$A:$D,3,FALSE),4000))</x:f>
      </x:c>
      <x:c r="J114" s="48" t="str">
        <x:f>IF(B114="","",MAX(0,CEILING(H114,1)-IFERROR(VLOOKUP(B114,Merchant_Rates!$A:$D,4,FALSE),3))*Rules!$B$4)</x:f>
      </x:c>
      <x:c r="K114" s="48" t="str">
        <x:f>IF(B114="","",G114+I114+J114)</x:f>
      </x:c>
    </x:row>
    <x:row r="115">
      <x:c r="A115" s="40" t="str">
        <x:f>IF(B115="","",ROW()-4)</x:f>
      </x:c>
      <x:c r="B115" s="40"/>
      <x:c r="C115" s="40"/>
      <x:c r="D115" s="40"/>
      <x:c r="E115" s="40"/>
      <x:c r="F115" s="40"/>
      <x:c r="G115" s="44"/>
      <x:c r="H115" s="46"/>
      <x:c r="I115" s="48" t="str">
        <x:f>IF(B115="","",IFERROR(VLOOKUP(B115,Merchant_Rates!$A:$D,3,FALSE),4000))</x:f>
      </x:c>
      <x:c r="J115" s="48" t="str">
        <x:f>IF(B115="","",MAX(0,CEILING(H115,1)-IFERROR(VLOOKUP(B115,Merchant_Rates!$A:$D,4,FALSE),3))*Rules!$B$4)</x:f>
      </x:c>
      <x:c r="K115" s="48" t="str">
        <x:f>IF(B115="","",G115+I115+J115)</x:f>
      </x:c>
    </x:row>
    <x:row r="116">
      <x:c r="A116" s="40" t="str">
        <x:f>IF(B116="","",ROW()-4)</x:f>
      </x:c>
      <x:c r="B116" s="40"/>
      <x:c r="C116" s="40"/>
      <x:c r="D116" s="40"/>
      <x:c r="E116" s="40"/>
      <x:c r="F116" s="40"/>
      <x:c r="G116" s="44"/>
      <x:c r="H116" s="46"/>
      <x:c r="I116" s="48" t="str">
        <x:f>IF(B116="","",IFERROR(VLOOKUP(B116,Merchant_Rates!$A:$D,3,FALSE),4000))</x:f>
      </x:c>
      <x:c r="J116" s="48" t="str">
        <x:f>IF(B116="","",MAX(0,CEILING(H116,1)-IFERROR(VLOOKUP(B116,Merchant_Rates!$A:$D,4,FALSE),3))*Rules!$B$4)</x:f>
      </x:c>
      <x:c r="K116" s="48" t="str">
        <x:f>IF(B116="","",G116+I116+J116)</x:f>
      </x:c>
    </x:row>
    <x:row r="117">
      <x:c r="A117" s="40" t="str">
        <x:f>IF(B117="","",ROW()-4)</x:f>
      </x:c>
      <x:c r="B117" s="40"/>
      <x:c r="C117" s="40"/>
      <x:c r="D117" s="40"/>
      <x:c r="E117" s="40"/>
      <x:c r="F117" s="40"/>
      <x:c r="G117" s="44"/>
      <x:c r="H117" s="46"/>
      <x:c r="I117" s="48" t="str">
        <x:f>IF(B117="","",IFERROR(VLOOKUP(B117,Merchant_Rates!$A:$D,3,FALSE),4000))</x:f>
      </x:c>
      <x:c r="J117" s="48" t="str">
        <x:f>IF(B117="","",MAX(0,CEILING(H117,1)-IFERROR(VLOOKUP(B117,Merchant_Rates!$A:$D,4,FALSE),3))*Rules!$B$4)</x:f>
      </x:c>
      <x:c r="K117" s="48" t="str">
        <x:f>IF(B117="","",G117+I117+J117)</x:f>
      </x:c>
    </x:row>
    <x:row r="118">
      <x:c r="A118" s="40" t="str">
        <x:f>IF(B118="","",ROW()-4)</x:f>
      </x:c>
      <x:c r="B118" s="40"/>
      <x:c r="C118" s="40"/>
      <x:c r="D118" s="40"/>
      <x:c r="E118" s="40"/>
      <x:c r="F118" s="40"/>
      <x:c r="G118" s="44"/>
      <x:c r="H118" s="46"/>
      <x:c r="I118" s="48" t="str">
        <x:f>IF(B118="","",IFERROR(VLOOKUP(B118,Merchant_Rates!$A:$D,3,FALSE),4000))</x:f>
      </x:c>
      <x:c r="J118" s="48" t="str">
        <x:f>IF(B118="","",MAX(0,CEILING(H118,1)-IFERROR(VLOOKUP(B118,Merchant_Rates!$A:$D,4,FALSE),3))*Rules!$B$4)</x:f>
      </x:c>
      <x:c r="K118" s="48" t="str">
        <x:f>IF(B118="","",G118+I118+J118)</x:f>
      </x:c>
    </x:row>
    <x:row r="119">
      <x:c r="A119" s="40" t="str">
        <x:f>IF(B119="","",ROW()-4)</x:f>
      </x:c>
      <x:c r="B119" s="40"/>
      <x:c r="C119" s="40"/>
      <x:c r="D119" s="40"/>
      <x:c r="E119" s="40"/>
      <x:c r="F119" s="40"/>
      <x:c r="G119" s="44"/>
      <x:c r="H119" s="46"/>
      <x:c r="I119" s="48" t="str">
        <x:f>IF(B119="","",IFERROR(VLOOKUP(B119,Merchant_Rates!$A:$D,3,FALSE),4000))</x:f>
      </x:c>
      <x:c r="J119" s="48" t="str">
        <x:f>IF(B119="","",MAX(0,CEILING(H119,1)-IFERROR(VLOOKUP(B119,Merchant_Rates!$A:$D,4,FALSE),3))*Rules!$B$4)</x:f>
      </x:c>
      <x:c r="K119" s="48" t="str">
        <x:f>IF(B119="","",G119+I119+J119)</x:f>
      </x:c>
    </x:row>
    <x:row r="120">
      <x:c r="A120" s="40" t="str">
        <x:f>IF(B120="","",ROW()-4)</x:f>
      </x:c>
      <x:c r="B120" s="40"/>
      <x:c r="C120" s="40"/>
      <x:c r="D120" s="40"/>
      <x:c r="E120" s="40"/>
      <x:c r="F120" s="40"/>
      <x:c r="G120" s="44"/>
      <x:c r="H120" s="46"/>
      <x:c r="I120" s="48" t="str">
        <x:f>IF(B120="","",IFERROR(VLOOKUP(B120,Merchant_Rates!$A:$D,3,FALSE),4000))</x:f>
      </x:c>
      <x:c r="J120" s="48" t="str">
        <x:f>IF(B120="","",MAX(0,CEILING(H120,1)-IFERROR(VLOOKUP(B120,Merchant_Rates!$A:$D,4,FALSE),3))*Rules!$B$4)</x:f>
      </x:c>
      <x:c r="K120" s="48" t="str">
        <x:f>IF(B120="","",G120+I120+J120)</x:f>
      </x:c>
    </x:row>
    <x:row r="121">
      <x:c r="A121" s="40" t="str">
        <x:f>IF(B121="","",ROW()-4)</x:f>
      </x:c>
      <x:c r="B121" s="40"/>
      <x:c r="C121" s="40"/>
      <x:c r="D121" s="40"/>
      <x:c r="E121" s="40"/>
      <x:c r="F121" s="40"/>
      <x:c r="G121" s="44"/>
      <x:c r="H121" s="46"/>
      <x:c r="I121" s="48" t="str">
        <x:f>IF(B121="","",IFERROR(VLOOKUP(B121,Merchant_Rates!$A:$D,3,FALSE),4000))</x:f>
      </x:c>
      <x:c r="J121" s="48" t="str">
        <x:f>IF(B121="","",MAX(0,CEILING(H121,1)-IFERROR(VLOOKUP(B121,Merchant_Rates!$A:$D,4,FALSE),3))*Rules!$B$4)</x:f>
      </x:c>
      <x:c r="K121" s="48" t="str">
        <x:f>IF(B121="","",G121+I121+J121)</x:f>
      </x:c>
    </x:row>
    <x:row r="122">
      <x:c r="A122" s="40" t="str">
        <x:f>IF(B122="","",ROW()-4)</x:f>
      </x:c>
      <x:c r="B122" s="40"/>
      <x:c r="C122" s="40"/>
      <x:c r="D122" s="40"/>
      <x:c r="E122" s="40"/>
      <x:c r="F122" s="40"/>
      <x:c r="G122" s="44"/>
      <x:c r="H122" s="46"/>
      <x:c r="I122" s="48" t="str">
        <x:f>IF(B122="","",IFERROR(VLOOKUP(B122,Merchant_Rates!$A:$D,3,FALSE),4000))</x:f>
      </x:c>
      <x:c r="J122" s="48" t="str">
        <x:f>IF(B122="","",MAX(0,CEILING(H122,1)-IFERROR(VLOOKUP(B122,Merchant_Rates!$A:$D,4,FALSE),3))*Rules!$B$4)</x:f>
      </x:c>
      <x:c r="K122" s="48" t="str">
        <x:f>IF(B122="","",G122+I122+J122)</x:f>
      </x:c>
    </x:row>
    <x:row r="123">
      <x:c r="A123" s="40" t="str">
        <x:f>IF(B123="","",ROW()-4)</x:f>
      </x:c>
      <x:c r="B123" s="40"/>
      <x:c r="C123" s="40"/>
      <x:c r="D123" s="40"/>
      <x:c r="E123" s="40"/>
      <x:c r="F123" s="40"/>
      <x:c r="G123" s="44"/>
      <x:c r="H123" s="46"/>
      <x:c r="I123" s="48" t="str">
        <x:f>IF(B123="","",IFERROR(VLOOKUP(B123,Merchant_Rates!$A:$D,3,FALSE),4000))</x:f>
      </x:c>
      <x:c r="J123" s="48" t="str">
        <x:f>IF(B123="","",MAX(0,CEILING(H123,1)-IFERROR(VLOOKUP(B123,Merchant_Rates!$A:$D,4,FALSE),3))*Rules!$B$4)</x:f>
      </x:c>
      <x:c r="K123" s="48" t="str">
        <x:f>IF(B123="","",G123+I123+J123)</x:f>
      </x:c>
    </x:row>
    <x:row r="124">
      <x:c r="A124" s="40" t="str">
        <x:f>IF(B124="","",ROW()-4)</x:f>
      </x:c>
      <x:c r="B124" s="40"/>
      <x:c r="C124" s="40"/>
      <x:c r="D124" s="40"/>
      <x:c r="E124" s="40"/>
      <x:c r="F124" s="40"/>
      <x:c r="G124" s="44"/>
      <x:c r="H124" s="46"/>
      <x:c r="I124" s="48" t="str">
        <x:f>IF(B124="","",IFERROR(VLOOKUP(B124,Merchant_Rates!$A:$D,3,FALSE),4000))</x:f>
      </x:c>
      <x:c r="J124" s="48" t="str">
        <x:f>IF(B124="","",MAX(0,CEILING(H124,1)-IFERROR(VLOOKUP(B124,Merchant_Rates!$A:$D,4,FALSE),3))*Rules!$B$4)</x:f>
      </x:c>
      <x:c r="K124" s="48" t="str">
        <x:f>IF(B124="","",G124+I124+J124)</x:f>
      </x:c>
    </x:row>
    <x:row r="125">
      <x:c r="A125" s="40" t="str">
        <x:f>IF(B125="","",ROW()-4)</x:f>
      </x:c>
      <x:c r="B125" s="40"/>
      <x:c r="C125" s="40"/>
      <x:c r="D125" s="40"/>
      <x:c r="E125" s="40"/>
      <x:c r="F125" s="40"/>
      <x:c r="G125" s="44"/>
      <x:c r="H125" s="46"/>
      <x:c r="I125" s="48" t="str">
        <x:f>IF(B125="","",IFERROR(VLOOKUP(B125,Merchant_Rates!$A:$D,3,FALSE),4000))</x:f>
      </x:c>
      <x:c r="J125" s="48" t="str">
        <x:f>IF(B125="","",MAX(0,CEILING(H125,1)-IFERROR(VLOOKUP(B125,Merchant_Rates!$A:$D,4,FALSE),3))*Rules!$B$4)</x:f>
      </x:c>
      <x:c r="K125" s="48" t="str">
        <x:f>IF(B125="","",G125+I125+J125)</x:f>
      </x:c>
    </x:row>
    <x:row r="126">
      <x:c r="A126" s="40" t="str">
        <x:f>IF(B126="","",ROW()-4)</x:f>
      </x:c>
      <x:c r="B126" s="40"/>
      <x:c r="C126" s="40"/>
      <x:c r="D126" s="40"/>
      <x:c r="E126" s="40"/>
      <x:c r="F126" s="40"/>
      <x:c r="G126" s="44"/>
      <x:c r="H126" s="46"/>
      <x:c r="I126" s="48" t="str">
        <x:f>IF(B126="","",IFERROR(VLOOKUP(B126,Merchant_Rates!$A:$D,3,FALSE),4000))</x:f>
      </x:c>
      <x:c r="J126" s="48" t="str">
        <x:f>IF(B126="","",MAX(0,CEILING(H126,1)-IFERROR(VLOOKUP(B126,Merchant_Rates!$A:$D,4,FALSE),3))*Rules!$B$4)</x:f>
      </x:c>
      <x:c r="K126" s="48" t="str">
        <x:f>IF(B126="","",G126+I126+J126)</x:f>
      </x:c>
    </x:row>
    <x:row r="127">
      <x:c r="A127" s="40" t="str">
        <x:f>IF(B127="","",ROW()-4)</x:f>
      </x:c>
      <x:c r="B127" s="40"/>
      <x:c r="C127" s="40"/>
      <x:c r="D127" s="40"/>
      <x:c r="E127" s="40"/>
      <x:c r="F127" s="40"/>
      <x:c r="G127" s="44"/>
      <x:c r="H127" s="46"/>
      <x:c r="I127" s="48" t="str">
        <x:f>IF(B127="","",IFERROR(VLOOKUP(B127,Merchant_Rates!$A:$D,3,FALSE),4000))</x:f>
      </x:c>
      <x:c r="J127" s="48" t="str">
        <x:f>IF(B127="","",MAX(0,CEILING(H127,1)-IFERROR(VLOOKUP(B127,Merchant_Rates!$A:$D,4,FALSE),3))*Rules!$B$4)</x:f>
      </x:c>
      <x:c r="K127" s="48" t="str">
        <x:f>IF(B127="","",G127+I127+J127)</x:f>
      </x:c>
    </x:row>
    <x:row r="128">
      <x:c r="A128" s="40" t="str">
        <x:f>IF(B128="","",ROW()-4)</x:f>
      </x:c>
      <x:c r="B128" s="40"/>
      <x:c r="C128" s="40"/>
      <x:c r="D128" s="40"/>
      <x:c r="E128" s="40"/>
      <x:c r="F128" s="40"/>
      <x:c r="G128" s="44"/>
      <x:c r="H128" s="46"/>
      <x:c r="I128" s="48" t="str">
        <x:f>IF(B128="","",IFERROR(VLOOKUP(B128,Merchant_Rates!$A:$D,3,FALSE),4000))</x:f>
      </x:c>
      <x:c r="J128" s="48" t="str">
        <x:f>IF(B128="","",MAX(0,CEILING(H128,1)-IFERROR(VLOOKUP(B128,Merchant_Rates!$A:$D,4,FALSE),3))*Rules!$B$4)</x:f>
      </x:c>
      <x:c r="K128" s="48" t="str">
        <x:f>IF(B128="","",G128+I128+J128)</x:f>
      </x:c>
    </x:row>
    <x:row r="129">
      <x:c r="A129" s="40" t="str">
        <x:f>IF(B129="","",ROW()-4)</x:f>
      </x:c>
      <x:c r="B129" s="40"/>
      <x:c r="C129" s="40"/>
      <x:c r="D129" s="40"/>
      <x:c r="E129" s="40"/>
      <x:c r="F129" s="40"/>
      <x:c r="G129" s="44"/>
      <x:c r="H129" s="46"/>
      <x:c r="I129" s="48" t="str">
        <x:f>IF(B129="","",IFERROR(VLOOKUP(B129,Merchant_Rates!$A:$D,3,FALSE),4000))</x:f>
      </x:c>
      <x:c r="J129" s="48" t="str">
        <x:f>IF(B129="","",MAX(0,CEILING(H129,1)-IFERROR(VLOOKUP(B129,Merchant_Rates!$A:$D,4,FALSE),3))*Rules!$B$4)</x:f>
      </x:c>
      <x:c r="K129" s="48" t="str">
        <x:f>IF(B129="","",G129+I129+J129)</x:f>
      </x:c>
    </x:row>
    <x:row r="130">
      <x:c r="A130" s="40" t="str">
        <x:f>IF(B130="","",ROW()-4)</x:f>
      </x:c>
      <x:c r="B130" s="40"/>
      <x:c r="C130" s="40"/>
      <x:c r="D130" s="40"/>
      <x:c r="E130" s="40"/>
      <x:c r="F130" s="40"/>
      <x:c r="G130" s="44"/>
      <x:c r="H130" s="46"/>
      <x:c r="I130" s="48" t="str">
        <x:f>IF(B130="","",IFERROR(VLOOKUP(B130,Merchant_Rates!$A:$D,3,FALSE),4000))</x:f>
      </x:c>
      <x:c r="J130" s="48" t="str">
        <x:f>IF(B130="","",MAX(0,CEILING(H130,1)-IFERROR(VLOOKUP(B130,Merchant_Rates!$A:$D,4,FALSE),3))*Rules!$B$4)</x:f>
      </x:c>
      <x:c r="K130" s="48" t="str">
        <x:f>IF(B130="","",G130+I130+J130)</x:f>
      </x:c>
    </x:row>
    <x:row r="131">
      <x:c r="A131" s="40" t="str">
        <x:f>IF(B131="","",ROW()-4)</x:f>
      </x:c>
      <x:c r="B131" s="40"/>
      <x:c r="C131" s="40"/>
      <x:c r="D131" s="40"/>
      <x:c r="E131" s="40"/>
      <x:c r="F131" s="40"/>
      <x:c r="G131" s="44"/>
      <x:c r="H131" s="46"/>
      <x:c r="I131" s="48" t="str">
        <x:f>IF(B131="","",IFERROR(VLOOKUP(B131,Merchant_Rates!$A:$D,3,FALSE),4000))</x:f>
      </x:c>
      <x:c r="J131" s="48" t="str">
        <x:f>IF(B131="","",MAX(0,CEILING(H131,1)-IFERROR(VLOOKUP(B131,Merchant_Rates!$A:$D,4,FALSE),3))*Rules!$B$4)</x:f>
      </x:c>
      <x:c r="K131" s="48" t="str">
        <x:f>IF(B131="","",G131+I131+J131)</x:f>
      </x:c>
    </x:row>
    <x:row r="132">
      <x:c r="A132" s="40" t="str">
        <x:f>IF(B132="","",ROW()-4)</x:f>
      </x:c>
      <x:c r="B132" s="40"/>
      <x:c r="C132" s="40"/>
      <x:c r="D132" s="40"/>
      <x:c r="E132" s="40"/>
      <x:c r="F132" s="40"/>
      <x:c r="G132" s="44"/>
      <x:c r="H132" s="46"/>
      <x:c r="I132" s="48" t="str">
        <x:f>IF(B132="","",IFERROR(VLOOKUP(B132,Merchant_Rates!$A:$D,3,FALSE),4000))</x:f>
      </x:c>
      <x:c r="J132" s="48" t="str">
        <x:f>IF(B132="","",MAX(0,CEILING(H132,1)-IFERROR(VLOOKUP(B132,Merchant_Rates!$A:$D,4,FALSE),3))*Rules!$B$4)</x:f>
      </x:c>
      <x:c r="K132" s="48" t="str">
        <x:f>IF(B132="","",G132+I132+J132)</x:f>
      </x:c>
    </x:row>
    <x:row r="133">
      <x:c r="A133" s="40" t="str">
        <x:f>IF(B133="","",ROW()-4)</x:f>
      </x:c>
      <x:c r="B133" s="40"/>
      <x:c r="C133" s="40"/>
      <x:c r="D133" s="40"/>
      <x:c r="E133" s="40"/>
      <x:c r="F133" s="40"/>
      <x:c r="G133" s="44"/>
      <x:c r="H133" s="46"/>
      <x:c r="I133" s="48" t="str">
        <x:f>IF(B133="","",IFERROR(VLOOKUP(B133,Merchant_Rates!$A:$D,3,FALSE),4000))</x:f>
      </x:c>
      <x:c r="J133" s="48" t="str">
        <x:f>IF(B133="","",MAX(0,CEILING(H133,1)-IFERROR(VLOOKUP(B133,Merchant_Rates!$A:$D,4,FALSE),3))*Rules!$B$4)</x:f>
      </x:c>
      <x:c r="K133" s="48" t="str">
        <x:f>IF(B133="","",G133+I133+J133)</x:f>
      </x:c>
    </x:row>
    <x:row r="134">
      <x:c r="A134" s="40" t="str">
        <x:f>IF(B134="","",ROW()-4)</x:f>
      </x:c>
      <x:c r="B134" s="40"/>
      <x:c r="C134" s="40"/>
      <x:c r="D134" s="40"/>
      <x:c r="E134" s="40"/>
      <x:c r="F134" s="40"/>
      <x:c r="G134" s="44"/>
      <x:c r="H134" s="46"/>
      <x:c r="I134" s="48" t="str">
        <x:f>IF(B134="","",IFERROR(VLOOKUP(B134,Merchant_Rates!$A:$D,3,FALSE),4000))</x:f>
      </x:c>
      <x:c r="J134" s="48" t="str">
        <x:f>IF(B134="","",MAX(0,CEILING(H134,1)-IFERROR(VLOOKUP(B134,Merchant_Rates!$A:$D,4,FALSE),3))*Rules!$B$4)</x:f>
      </x:c>
      <x:c r="K134" s="48" t="str">
        <x:f>IF(B134="","",G134+I134+J134)</x:f>
      </x:c>
    </x:row>
    <x:row r="135">
      <x:c r="A135" s="40" t="str">
        <x:f>IF(B135="","",ROW()-4)</x:f>
      </x:c>
      <x:c r="B135" s="40"/>
      <x:c r="C135" s="40"/>
      <x:c r="D135" s="40"/>
      <x:c r="E135" s="40"/>
      <x:c r="F135" s="40"/>
      <x:c r="G135" s="44"/>
      <x:c r="H135" s="46"/>
      <x:c r="I135" s="48" t="str">
        <x:f>IF(B135="","",IFERROR(VLOOKUP(B135,Merchant_Rates!$A:$D,3,FALSE),4000))</x:f>
      </x:c>
      <x:c r="J135" s="48" t="str">
        <x:f>IF(B135="","",MAX(0,CEILING(H135,1)-IFERROR(VLOOKUP(B135,Merchant_Rates!$A:$D,4,FALSE),3))*Rules!$B$4)</x:f>
      </x:c>
      <x:c r="K135" s="48" t="str">
        <x:f>IF(B135="","",G135+I135+J135)</x:f>
      </x:c>
    </x:row>
    <x:row r="136">
      <x:c r="A136" s="40" t="str">
        <x:f>IF(B136="","",ROW()-4)</x:f>
      </x:c>
      <x:c r="B136" s="40"/>
      <x:c r="C136" s="40"/>
      <x:c r="D136" s="40"/>
      <x:c r="E136" s="40"/>
      <x:c r="F136" s="40"/>
      <x:c r="G136" s="44"/>
      <x:c r="H136" s="46"/>
      <x:c r="I136" s="48" t="str">
        <x:f>IF(B136="","",IFERROR(VLOOKUP(B136,Merchant_Rates!$A:$D,3,FALSE),4000))</x:f>
      </x:c>
      <x:c r="J136" s="48" t="str">
        <x:f>IF(B136="","",MAX(0,CEILING(H136,1)-IFERROR(VLOOKUP(B136,Merchant_Rates!$A:$D,4,FALSE),3))*Rules!$B$4)</x:f>
      </x:c>
      <x:c r="K136" s="48" t="str">
        <x:f>IF(B136="","",G136+I136+J136)</x:f>
      </x:c>
    </x:row>
    <x:row r="137">
      <x:c r="A137" s="40" t="str">
        <x:f>IF(B137="","",ROW()-4)</x:f>
      </x:c>
      <x:c r="B137" s="40"/>
      <x:c r="C137" s="40"/>
      <x:c r="D137" s="40"/>
      <x:c r="E137" s="40"/>
      <x:c r="F137" s="40"/>
      <x:c r="G137" s="44"/>
      <x:c r="H137" s="46"/>
      <x:c r="I137" s="48" t="str">
        <x:f>IF(B137="","",IFERROR(VLOOKUP(B137,Merchant_Rates!$A:$D,3,FALSE),4000))</x:f>
      </x:c>
      <x:c r="J137" s="48" t="str">
        <x:f>IF(B137="","",MAX(0,CEILING(H137,1)-IFERROR(VLOOKUP(B137,Merchant_Rates!$A:$D,4,FALSE),3))*Rules!$B$4)</x:f>
      </x:c>
      <x:c r="K137" s="48" t="str">
        <x:f>IF(B137="","",G137+I137+J137)</x:f>
      </x:c>
    </x:row>
    <x:row r="138">
      <x:c r="A138" s="40" t="str">
        <x:f>IF(B138="","",ROW()-4)</x:f>
      </x:c>
      <x:c r="B138" s="40"/>
      <x:c r="C138" s="40"/>
      <x:c r="D138" s="40"/>
      <x:c r="E138" s="40"/>
      <x:c r="F138" s="40"/>
      <x:c r="G138" s="44"/>
      <x:c r="H138" s="46"/>
      <x:c r="I138" s="48" t="str">
        <x:f>IF(B138="","",IFERROR(VLOOKUP(B138,Merchant_Rates!$A:$D,3,FALSE),4000))</x:f>
      </x:c>
      <x:c r="J138" s="48" t="str">
        <x:f>IF(B138="","",MAX(0,CEILING(H138,1)-IFERROR(VLOOKUP(B138,Merchant_Rates!$A:$D,4,FALSE),3))*Rules!$B$4)</x:f>
      </x:c>
      <x:c r="K138" s="48" t="str">
        <x:f>IF(B138="","",G138+I138+J138)</x:f>
      </x:c>
    </x:row>
    <x:row r="139">
      <x:c r="A139" s="40" t="str">
        <x:f>IF(B139="","",ROW()-4)</x:f>
      </x:c>
      <x:c r="B139" s="40"/>
      <x:c r="C139" s="40"/>
      <x:c r="D139" s="40"/>
      <x:c r="E139" s="40"/>
      <x:c r="F139" s="40"/>
      <x:c r="G139" s="44"/>
      <x:c r="H139" s="46"/>
      <x:c r="I139" s="48" t="str">
        <x:f>IF(B139="","",IFERROR(VLOOKUP(B139,Merchant_Rates!$A:$D,3,FALSE),4000))</x:f>
      </x:c>
      <x:c r="J139" s="48" t="str">
        <x:f>IF(B139="","",MAX(0,CEILING(H139,1)-IFERROR(VLOOKUP(B139,Merchant_Rates!$A:$D,4,FALSE),3))*Rules!$B$4)</x:f>
      </x:c>
      <x:c r="K139" s="48" t="str">
        <x:f>IF(B139="","",G139+I139+J139)</x:f>
      </x:c>
    </x:row>
    <x:row r="140">
      <x:c r="A140" s="40" t="str">
        <x:f>IF(B140="","",ROW()-4)</x:f>
      </x:c>
      <x:c r="B140" s="40"/>
      <x:c r="C140" s="40"/>
      <x:c r="D140" s="40"/>
      <x:c r="E140" s="40"/>
      <x:c r="F140" s="40"/>
      <x:c r="G140" s="44"/>
      <x:c r="H140" s="46"/>
      <x:c r="I140" s="48" t="str">
        <x:f>IF(B140="","",IFERROR(VLOOKUP(B140,Merchant_Rates!$A:$D,3,FALSE),4000))</x:f>
      </x:c>
      <x:c r="J140" s="48" t="str">
        <x:f>IF(B140="","",MAX(0,CEILING(H140,1)-IFERROR(VLOOKUP(B140,Merchant_Rates!$A:$D,4,FALSE),3))*Rules!$B$4)</x:f>
      </x:c>
      <x:c r="K140" s="48" t="str">
        <x:f>IF(B140="","",G140+I140+J140)</x:f>
      </x:c>
    </x:row>
    <x:row r="141">
      <x:c r="A141" s="40" t="str">
        <x:f>IF(B141="","",ROW()-4)</x:f>
      </x:c>
      <x:c r="B141" s="40"/>
      <x:c r="C141" s="40"/>
      <x:c r="D141" s="40"/>
      <x:c r="E141" s="40"/>
      <x:c r="F141" s="40"/>
      <x:c r="G141" s="44"/>
      <x:c r="H141" s="46"/>
      <x:c r="I141" s="48" t="str">
        <x:f>IF(B141="","",IFERROR(VLOOKUP(B141,Merchant_Rates!$A:$D,3,FALSE),4000))</x:f>
      </x:c>
      <x:c r="J141" s="48" t="str">
        <x:f>IF(B141="","",MAX(0,CEILING(H141,1)-IFERROR(VLOOKUP(B141,Merchant_Rates!$A:$D,4,FALSE),3))*Rules!$B$4)</x:f>
      </x:c>
      <x:c r="K141" s="48" t="str">
        <x:f>IF(B141="","",G141+I141+J141)</x:f>
      </x:c>
    </x:row>
    <x:row r="142">
      <x:c r="A142" s="40" t="str">
        <x:f>IF(B142="","",ROW()-4)</x:f>
      </x:c>
      <x:c r="B142" s="40"/>
      <x:c r="C142" s="40"/>
      <x:c r="D142" s="40"/>
      <x:c r="E142" s="40"/>
      <x:c r="F142" s="40"/>
      <x:c r="G142" s="44"/>
      <x:c r="H142" s="46"/>
      <x:c r="I142" s="48" t="str">
        <x:f>IF(B142="","",IFERROR(VLOOKUP(B142,Merchant_Rates!$A:$D,3,FALSE),4000))</x:f>
      </x:c>
      <x:c r="J142" s="48" t="str">
        <x:f>IF(B142="","",MAX(0,CEILING(H142,1)-IFERROR(VLOOKUP(B142,Merchant_Rates!$A:$D,4,FALSE),3))*Rules!$B$4)</x:f>
      </x:c>
      <x:c r="K142" s="48" t="str">
        <x:f>IF(B142="","",G142+I142+J142)</x:f>
      </x:c>
    </x:row>
    <x:row r="143">
      <x:c r="A143" s="40" t="str">
        <x:f>IF(B143="","",ROW()-4)</x:f>
      </x:c>
      <x:c r="B143" s="40"/>
      <x:c r="C143" s="40"/>
      <x:c r="D143" s="40"/>
      <x:c r="E143" s="40"/>
      <x:c r="F143" s="40"/>
      <x:c r="G143" s="44"/>
      <x:c r="H143" s="46"/>
      <x:c r="I143" s="48" t="str">
        <x:f>IF(B143="","",IFERROR(VLOOKUP(B143,Merchant_Rates!$A:$D,3,FALSE),4000))</x:f>
      </x:c>
      <x:c r="J143" s="48" t="str">
        <x:f>IF(B143="","",MAX(0,CEILING(H143,1)-IFERROR(VLOOKUP(B143,Merchant_Rates!$A:$D,4,FALSE),3))*Rules!$B$4)</x:f>
      </x:c>
      <x:c r="K143" s="48" t="str">
        <x:f>IF(B143="","",G143+I143+J143)</x:f>
      </x:c>
    </x:row>
    <x:row r="144">
      <x:c r="A144" s="40" t="str">
        <x:f>IF(B144="","",ROW()-4)</x:f>
      </x:c>
      <x:c r="B144" s="40"/>
      <x:c r="C144" s="40"/>
      <x:c r="D144" s="40"/>
      <x:c r="E144" s="40"/>
      <x:c r="F144" s="40"/>
      <x:c r="G144" s="44"/>
      <x:c r="H144" s="46"/>
      <x:c r="I144" s="48" t="str">
        <x:f>IF(B144="","",IFERROR(VLOOKUP(B144,Merchant_Rates!$A:$D,3,FALSE),4000))</x:f>
      </x:c>
      <x:c r="J144" s="48" t="str">
        <x:f>IF(B144="","",MAX(0,CEILING(H144,1)-IFERROR(VLOOKUP(B144,Merchant_Rates!$A:$D,4,FALSE),3))*Rules!$B$4)</x:f>
      </x:c>
      <x:c r="K144" s="48" t="str">
        <x:f>IF(B144="","",G144+I144+J144)</x:f>
      </x:c>
    </x:row>
    <x:row r="145">
      <x:c r="A145" s="40" t="str">
        <x:f>IF(B145="","",ROW()-4)</x:f>
      </x:c>
      <x:c r="B145" s="40"/>
      <x:c r="C145" s="40"/>
      <x:c r="D145" s="40"/>
      <x:c r="E145" s="40"/>
      <x:c r="F145" s="40"/>
      <x:c r="G145" s="44"/>
      <x:c r="H145" s="46"/>
      <x:c r="I145" s="48" t="str">
        <x:f>IF(B145="","",IFERROR(VLOOKUP(B145,Merchant_Rates!$A:$D,3,FALSE),4000))</x:f>
      </x:c>
      <x:c r="J145" s="48" t="str">
        <x:f>IF(B145="","",MAX(0,CEILING(H145,1)-IFERROR(VLOOKUP(B145,Merchant_Rates!$A:$D,4,FALSE),3))*Rules!$B$4)</x:f>
      </x:c>
      <x:c r="K145" s="48" t="str">
        <x:f>IF(B145="","",G145+I145+J145)</x:f>
      </x:c>
    </x:row>
    <x:row r="146">
      <x:c r="A146" s="40" t="str">
        <x:f>IF(B146="","",ROW()-4)</x:f>
      </x:c>
      <x:c r="B146" s="40"/>
      <x:c r="C146" s="40"/>
      <x:c r="D146" s="40"/>
      <x:c r="E146" s="40"/>
      <x:c r="F146" s="40"/>
      <x:c r="G146" s="44"/>
      <x:c r="H146" s="46"/>
      <x:c r="I146" s="48" t="str">
        <x:f>IF(B146="","",IFERROR(VLOOKUP(B146,Merchant_Rates!$A:$D,3,FALSE),4000))</x:f>
      </x:c>
      <x:c r="J146" s="48" t="str">
        <x:f>IF(B146="","",MAX(0,CEILING(H146,1)-IFERROR(VLOOKUP(B146,Merchant_Rates!$A:$D,4,FALSE),3))*Rules!$B$4)</x:f>
      </x:c>
      <x:c r="K146" s="48" t="str">
        <x:f>IF(B146="","",G146+I146+J146)</x:f>
      </x:c>
    </x:row>
    <x:row r="147">
      <x:c r="A147" s="40" t="str">
        <x:f>IF(B147="","",ROW()-4)</x:f>
      </x:c>
      <x:c r="B147" s="40"/>
      <x:c r="C147" s="40"/>
      <x:c r="D147" s="40"/>
      <x:c r="E147" s="40"/>
      <x:c r="F147" s="40"/>
      <x:c r="G147" s="44"/>
      <x:c r="H147" s="46"/>
      <x:c r="I147" s="48" t="str">
        <x:f>IF(B147="","",IFERROR(VLOOKUP(B147,Merchant_Rates!$A:$D,3,FALSE),4000))</x:f>
      </x:c>
      <x:c r="J147" s="48" t="str">
        <x:f>IF(B147="","",MAX(0,CEILING(H147,1)-IFERROR(VLOOKUP(B147,Merchant_Rates!$A:$D,4,FALSE),3))*Rules!$B$4)</x:f>
      </x:c>
      <x:c r="K147" s="48" t="str">
        <x:f>IF(B147="","",G147+I147+J147)</x:f>
      </x:c>
    </x:row>
    <x:row r="148">
      <x:c r="A148" s="40" t="str">
        <x:f>IF(B148="","",ROW()-4)</x:f>
      </x:c>
      <x:c r="B148" s="40"/>
      <x:c r="C148" s="40"/>
      <x:c r="D148" s="40"/>
      <x:c r="E148" s="40"/>
      <x:c r="F148" s="40"/>
      <x:c r="G148" s="44"/>
      <x:c r="H148" s="46"/>
      <x:c r="I148" s="48" t="str">
        <x:f>IF(B148="","",IFERROR(VLOOKUP(B148,Merchant_Rates!$A:$D,3,FALSE),4000))</x:f>
      </x:c>
      <x:c r="J148" s="48" t="str">
        <x:f>IF(B148="","",MAX(0,CEILING(H148,1)-IFERROR(VLOOKUP(B148,Merchant_Rates!$A:$D,4,FALSE),3))*Rules!$B$4)</x:f>
      </x:c>
      <x:c r="K148" s="48" t="str">
        <x:f>IF(B148="","",G148+I148+J148)</x:f>
      </x:c>
    </x:row>
    <x:row r="149">
      <x:c r="A149" s="40" t="str">
        <x:f>IF(B149="","",ROW()-4)</x:f>
      </x:c>
      <x:c r="B149" s="40"/>
      <x:c r="C149" s="40"/>
      <x:c r="D149" s="40"/>
      <x:c r="E149" s="40"/>
      <x:c r="F149" s="40"/>
      <x:c r="G149" s="44"/>
      <x:c r="H149" s="46"/>
      <x:c r="I149" s="48" t="str">
        <x:f>IF(B149="","",IFERROR(VLOOKUP(B149,Merchant_Rates!$A:$D,3,FALSE),4000))</x:f>
      </x:c>
      <x:c r="J149" s="48" t="str">
        <x:f>IF(B149="","",MAX(0,CEILING(H149,1)-IFERROR(VLOOKUP(B149,Merchant_Rates!$A:$D,4,FALSE),3))*Rules!$B$4)</x:f>
      </x:c>
      <x:c r="K149" s="48" t="str">
        <x:f>IF(B149="","",G149+I149+J149)</x:f>
      </x:c>
    </x:row>
    <x:row r="150">
      <x:c r="A150" s="40" t="str">
        <x:f>IF(B150="","",ROW()-4)</x:f>
      </x:c>
      <x:c r="B150" s="40"/>
      <x:c r="C150" s="40"/>
      <x:c r="D150" s="40"/>
      <x:c r="E150" s="40"/>
      <x:c r="F150" s="40"/>
      <x:c r="G150" s="44"/>
      <x:c r="H150" s="46"/>
      <x:c r="I150" s="48" t="str">
        <x:f>IF(B150="","",IFERROR(VLOOKUP(B150,Merchant_Rates!$A:$D,3,FALSE),4000))</x:f>
      </x:c>
      <x:c r="J150" s="48" t="str">
        <x:f>IF(B150="","",MAX(0,CEILING(H150,1)-IFERROR(VLOOKUP(B150,Merchant_Rates!$A:$D,4,FALSE),3))*Rules!$B$4)</x:f>
      </x:c>
      <x:c r="K150" s="48" t="str">
        <x:f>IF(B150="","",G150+I150+J150)</x:f>
      </x:c>
    </x:row>
    <x:row r="151">
      <x:c r="A151" s="40" t="str">
        <x:f>IF(B151="","",ROW()-4)</x:f>
      </x:c>
      <x:c r="B151" s="40"/>
      <x:c r="C151" s="40"/>
      <x:c r="D151" s="40"/>
      <x:c r="E151" s="40"/>
      <x:c r="F151" s="40"/>
      <x:c r="G151" s="44"/>
      <x:c r="H151" s="46"/>
      <x:c r="I151" s="48" t="str">
        <x:f>IF(B151="","",IFERROR(VLOOKUP(B151,Merchant_Rates!$A:$D,3,FALSE),4000))</x:f>
      </x:c>
      <x:c r="J151" s="48" t="str">
        <x:f>IF(B151="","",MAX(0,CEILING(H151,1)-IFERROR(VLOOKUP(B151,Merchant_Rates!$A:$D,4,FALSE),3))*Rules!$B$4)</x:f>
      </x:c>
      <x:c r="K151" s="48" t="str">
        <x:f>IF(B151="","",G151+I151+J151)</x:f>
      </x:c>
    </x:row>
    <x:row r="152">
      <x:c r="A152" s="40" t="str">
        <x:f>IF(B152="","",ROW()-4)</x:f>
      </x:c>
      <x:c r="B152" s="40"/>
      <x:c r="C152" s="40"/>
      <x:c r="D152" s="40"/>
      <x:c r="E152" s="40"/>
      <x:c r="F152" s="40"/>
      <x:c r="G152" s="44"/>
      <x:c r="H152" s="46"/>
      <x:c r="I152" s="48" t="str">
        <x:f>IF(B152="","",IFERROR(VLOOKUP(B152,Merchant_Rates!$A:$D,3,FALSE),4000))</x:f>
      </x:c>
      <x:c r="J152" s="48" t="str">
        <x:f>IF(B152="","",MAX(0,CEILING(H152,1)-IFERROR(VLOOKUP(B152,Merchant_Rates!$A:$D,4,FALSE),3))*Rules!$B$4)</x:f>
      </x:c>
      <x:c r="K152" s="48" t="str">
        <x:f>IF(B152="","",G152+I152+J152)</x:f>
      </x:c>
    </x:row>
    <x:row r="153">
      <x:c r="A153" s="40" t="str">
        <x:f>IF(B153="","",ROW()-4)</x:f>
      </x:c>
      <x:c r="B153" s="40"/>
      <x:c r="C153" s="40"/>
      <x:c r="D153" s="40"/>
      <x:c r="E153" s="40"/>
      <x:c r="F153" s="40"/>
      <x:c r="G153" s="44"/>
      <x:c r="H153" s="46"/>
      <x:c r="I153" s="48" t="str">
        <x:f>IF(B153="","",IFERROR(VLOOKUP(B153,Merchant_Rates!$A:$D,3,FALSE),4000))</x:f>
      </x:c>
      <x:c r="J153" s="48" t="str">
        <x:f>IF(B153="","",MAX(0,CEILING(H153,1)-IFERROR(VLOOKUP(B153,Merchant_Rates!$A:$D,4,FALSE),3))*Rules!$B$4)</x:f>
      </x:c>
      <x:c r="K153" s="48" t="str">
        <x:f>IF(B153="","",G153+I153+J153)</x:f>
      </x:c>
    </x:row>
    <x:row r="154">
      <x:c r="A154" s="40" t="str">
        <x:f>IF(B154="","",ROW()-4)</x:f>
      </x:c>
      <x:c r="B154" s="40"/>
      <x:c r="C154" s="40"/>
      <x:c r="D154" s="40"/>
      <x:c r="E154" s="40"/>
      <x:c r="F154" s="40"/>
      <x:c r="G154" s="44"/>
      <x:c r="H154" s="46"/>
      <x:c r="I154" s="48" t="str">
        <x:f>IF(B154="","",IFERROR(VLOOKUP(B154,Merchant_Rates!$A:$D,3,FALSE),4000))</x:f>
      </x:c>
      <x:c r="J154" s="48" t="str">
        <x:f>IF(B154="","",MAX(0,CEILING(H154,1)-IFERROR(VLOOKUP(B154,Merchant_Rates!$A:$D,4,FALSE),3))*Rules!$B$4)</x:f>
      </x:c>
      <x:c r="K154" s="48" t="str">
        <x:f>IF(B154="","",G154+I154+J154)</x:f>
      </x:c>
    </x:row>
    <x:row r="155">
      <x:c r="A155" s="40" t="str">
        <x:f>IF(B155="","",ROW()-4)</x:f>
      </x:c>
      <x:c r="B155" s="40"/>
      <x:c r="C155" s="40"/>
      <x:c r="D155" s="40"/>
      <x:c r="E155" s="40"/>
      <x:c r="F155" s="40"/>
      <x:c r="G155" s="44"/>
      <x:c r="H155" s="46"/>
      <x:c r="I155" s="48" t="str">
        <x:f>IF(B155="","",IFERROR(VLOOKUP(B155,Merchant_Rates!$A:$D,3,FALSE),4000))</x:f>
      </x:c>
      <x:c r="J155" s="48" t="str">
        <x:f>IF(B155="","",MAX(0,CEILING(H155,1)-IFERROR(VLOOKUP(B155,Merchant_Rates!$A:$D,4,FALSE),3))*Rules!$B$4)</x:f>
      </x:c>
      <x:c r="K155" s="48" t="str">
        <x:f>IF(B155="","",G155+I155+J155)</x:f>
      </x:c>
    </x:row>
    <x:row r="156">
      <x:c r="A156" s="40" t="str">
        <x:f>IF(B156="","",ROW()-4)</x:f>
      </x:c>
      <x:c r="B156" s="40"/>
      <x:c r="C156" s="40"/>
      <x:c r="D156" s="40"/>
      <x:c r="E156" s="40"/>
      <x:c r="F156" s="40"/>
      <x:c r="G156" s="44"/>
      <x:c r="H156" s="46"/>
      <x:c r="I156" s="48" t="str">
        <x:f>IF(B156="","",IFERROR(VLOOKUP(B156,Merchant_Rates!$A:$D,3,FALSE),4000))</x:f>
      </x:c>
      <x:c r="J156" s="48" t="str">
        <x:f>IF(B156="","",MAX(0,CEILING(H156,1)-IFERROR(VLOOKUP(B156,Merchant_Rates!$A:$D,4,FALSE),3))*Rules!$B$4)</x:f>
      </x:c>
      <x:c r="K156" s="48" t="str">
        <x:f>IF(B156="","",G156+I156+J156)</x:f>
      </x:c>
    </x:row>
    <x:row r="157">
      <x:c r="A157" s="40" t="str">
        <x:f>IF(B157="","",ROW()-4)</x:f>
      </x:c>
      <x:c r="B157" s="40"/>
      <x:c r="C157" s="40"/>
      <x:c r="D157" s="40"/>
      <x:c r="E157" s="40"/>
      <x:c r="F157" s="40"/>
      <x:c r="G157" s="44"/>
      <x:c r="H157" s="46"/>
      <x:c r="I157" s="48" t="str">
        <x:f>IF(B157="","",IFERROR(VLOOKUP(B157,Merchant_Rates!$A:$D,3,FALSE),4000))</x:f>
      </x:c>
      <x:c r="J157" s="48" t="str">
        <x:f>IF(B157="","",MAX(0,CEILING(H157,1)-IFERROR(VLOOKUP(B157,Merchant_Rates!$A:$D,4,FALSE),3))*Rules!$B$4)</x:f>
      </x:c>
      <x:c r="K157" s="48" t="str">
        <x:f>IF(B157="","",G157+I157+J157)</x:f>
      </x:c>
    </x:row>
    <x:row r="158">
      <x:c r="A158" s="40" t="str">
        <x:f>IF(B158="","",ROW()-4)</x:f>
      </x:c>
      <x:c r="B158" s="40"/>
      <x:c r="C158" s="40"/>
      <x:c r="D158" s="40"/>
      <x:c r="E158" s="40"/>
      <x:c r="F158" s="40"/>
      <x:c r="G158" s="44"/>
      <x:c r="H158" s="46"/>
      <x:c r="I158" s="48" t="str">
        <x:f>IF(B158="","",IFERROR(VLOOKUP(B158,Merchant_Rates!$A:$D,3,FALSE),4000))</x:f>
      </x:c>
      <x:c r="J158" s="48" t="str">
        <x:f>IF(B158="","",MAX(0,CEILING(H158,1)-IFERROR(VLOOKUP(B158,Merchant_Rates!$A:$D,4,FALSE),3))*Rules!$B$4)</x:f>
      </x:c>
      <x:c r="K158" s="48" t="str">
        <x:f>IF(B158="","",G158+I158+J158)</x:f>
      </x:c>
    </x:row>
    <x:row r="159">
      <x:c r="A159" s="40" t="str">
        <x:f>IF(B159="","",ROW()-4)</x:f>
      </x:c>
      <x:c r="B159" s="40"/>
      <x:c r="C159" s="40"/>
      <x:c r="D159" s="40"/>
      <x:c r="E159" s="40"/>
      <x:c r="F159" s="40"/>
      <x:c r="G159" s="44"/>
      <x:c r="H159" s="46"/>
      <x:c r="I159" s="48" t="str">
        <x:f>IF(B159="","",IFERROR(VLOOKUP(B159,Merchant_Rates!$A:$D,3,FALSE),4000))</x:f>
      </x:c>
      <x:c r="J159" s="48" t="str">
        <x:f>IF(B159="","",MAX(0,CEILING(H159,1)-IFERROR(VLOOKUP(B159,Merchant_Rates!$A:$D,4,FALSE),3))*Rules!$B$4)</x:f>
      </x:c>
      <x:c r="K159" s="48" t="str">
        <x:f>IF(B159="","",G159+I159+J159)</x:f>
      </x:c>
    </x:row>
    <x:row r="160">
      <x:c r="A160" s="40" t="str">
        <x:f>IF(B160="","",ROW()-4)</x:f>
      </x:c>
      <x:c r="B160" s="40"/>
      <x:c r="C160" s="40"/>
      <x:c r="D160" s="40"/>
      <x:c r="E160" s="40"/>
      <x:c r="F160" s="40"/>
      <x:c r="G160" s="44"/>
      <x:c r="H160" s="46"/>
      <x:c r="I160" s="48" t="str">
        <x:f>IF(B160="","",IFERROR(VLOOKUP(B160,Merchant_Rates!$A:$D,3,FALSE),4000))</x:f>
      </x:c>
      <x:c r="J160" s="48" t="str">
        <x:f>IF(B160="","",MAX(0,CEILING(H160,1)-IFERROR(VLOOKUP(B160,Merchant_Rates!$A:$D,4,FALSE),3))*Rules!$B$4)</x:f>
      </x:c>
      <x:c r="K160" s="48" t="str">
        <x:f>IF(B160="","",G160+I160+J160)</x:f>
      </x:c>
    </x:row>
    <x:row r="161">
      <x:c r="A161" s="40" t="str">
        <x:f>IF(B161="","",ROW()-4)</x:f>
      </x:c>
      <x:c r="B161" s="40"/>
      <x:c r="C161" s="40"/>
      <x:c r="D161" s="40"/>
      <x:c r="E161" s="40"/>
      <x:c r="F161" s="40"/>
      <x:c r="G161" s="44"/>
      <x:c r="H161" s="46"/>
      <x:c r="I161" s="48" t="str">
        <x:f>IF(B161="","",IFERROR(VLOOKUP(B161,Merchant_Rates!$A:$D,3,FALSE),4000))</x:f>
      </x:c>
      <x:c r="J161" s="48" t="str">
        <x:f>IF(B161="","",MAX(0,CEILING(H161,1)-IFERROR(VLOOKUP(B161,Merchant_Rates!$A:$D,4,FALSE),3))*Rules!$B$4)</x:f>
      </x:c>
      <x:c r="K161" s="48" t="str">
        <x:f>IF(B161="","",G161+I161+J161)</x:f>
      </x:c>
    </x:row>
    <x:row r="162">
      <x:c r="A162" s="40" t="str">
        <x:f>IF(B162="","",ROW()-4)</x:f>
      </x:c>
      <x:c r="B162" s="40"/>
      <x:c r="C162" s="40"/>
      <x:c r="D162" s="40"/>
      <x:c r="E162" s="40"/>
      <x:c r="F162" s="40"/>
      <x:c r="G162" s="44"/>
      <x:c r="H162" s="46"/>
      <x:c r="I162" s="48" t="str">
        <x:f>IF(B162="","",IFERROR(VLOOKUP(B162,Merchant_Rates!$A:$D,3,FALSE),4000))</x:f>
      </x:c>
      <x:c r="J162" s="48" t="str">
        <x:f>IF(B162="","",MAX(0,CEILING(H162,1)-IFERROR(VLOOKUP(B162,Merchant_Rates!$A:$D,4,FALSE),3))*Rules!$B$4)</x:f>
      </x:c>
      <x:c r="K162" s="48" t="str">
        <x:f>IF(B162="","",G162+I162+J162)</x:f>
      </x:c>
    </x:row>
    <x:row r="163">
      <x:c r="A163" s="40" t="str">
        <x:f>IF(B163="","",ROW()-4)</x:f>
      </x:c>
      <x:c r="B163" s="40"/>
      <x:c r="C163" s="40"/>
      <x:c r="D163" s="40"/>
      <x:c r="E163" s="40"/>
      <x:c r="F163" s="40"/>
      <x:c r="G163" s="44"/>
      <x:c r="H163" s="46"/>
      <x:c r="I163" s="48" t="str">
        <x:f>IF(B163="","",IFERROR(VLOOKUP(B163,Merchant_Rates!$A:$D,3,FALSE),4000))</x:f>
      </x:c>
      <x:c r="J163" s="48" t="str">
        <x:f>IF(B163="","",MAX(0,CEILING(H163,1)-IFERROR(VLOOKUP(B163,Merchant_Rates!$A:$D,4,FALSE),3))*Rules!$B$4)</x:f>
      </x:c>
      <x:c r="K163" s="48" t="str">
        <x:f>IF(B163="","",G163+I163+J163)</x:f>
      </x:c>
    </x:row>
    <x:row r="164">
      <x:c r="A164" s="40" t="str">
        <x:f>IF(B164="","",ROW()-4)</x:f>
      </x:c>
      <x:c r="B164" s="40"/>
      <x:c r="C164" s="40"/>
      <x:c r="D164" s="40"/>
      <x:c r="E164" s="40"/>
      <x:c r="F164" s="40"/>
      <x:c r="G164" s="44"/>
      <x:c r="H164" s="46"/>
      <x:c r="I164" s="48" t="str">
        <x:f>IF(B164="","",IFERROR(VLOOKUP(B164,Merchant_Rates!$A:$D,3,FALSE),4000))</x:f>
      </x:c>
      <x:c r="J164" s="48" t="str">
        <x:f>IF(B164="","",MAX(0,CEILING(H164,1)-IFERROR(VLOOKUP(B164,Merchant_Rates!$A:$D,4,FALSE),3))*Rules!$B$4)</x:f>
      </x:c>
      <x:c r="K164" s="48" t="str">
        <x:f>IF(B164="","",G164+I164+J164)</x:f>
      </x:c>
    </x:row>
    <x:row r="165">
      <x:c r="A165" s="40" t="str">
        <x:f>IF(B165="","",ROW()-4)</x:f>
      </x:c>
      <x:c r="B165" s="40"/>
      <x:c r="C165" s="40"/>
      <x:c r="D165" s="40"/>
      <x:c r="E165" s="40"/>
      <x:c r="F165" s="40"/>
      <x:c r="G165" s="44"/>
      <x:c r="H165" s="46"/>
      <x:c r="I165" s="48" t="str">
        <x:f>IF(B165="","",IFERROR(VLOOKUP(B165,Merchant_Rates!$A:$D,3,FALSE),4000))</x:f>
      </x:c>
      <x:c r="J165" s="48" t="str">
        <x:f>IF(B165="","",MAX(0,CEILING(H165,1)-IFERROR(VLOOKUP(B165,Merchant_Rates!$A:$D,4,FALSE),3))*Rules!$B$4)</x:f>
      </x:c>
      <x:c r="K165" s="48" t="str">
        <x:f>IF(B165="","",G165+I165+J165)</x:f>
      </x:c>
    </x:row>
    <x:row r="166">
      <x:c r="A166" s="40" t="str">
        <x:f>IF(B166="","",ROW()-4)</x:f>
      </x:c>
      <x:c r="B166" s="40"/>
      <x:c r="C166" s="40"/>
      <x:c r="D166" s="40"/>
      <x:c r="E166" s="40"/>
      <x:c r="F166" s="40"/>
      <x:c r="G166" s="44"/>
      <x:c r="H166" s="46"/>
      <x:c r="I166" s="48" t="str">
        <x:f>IF(B166="","",IFERROR(VLOOKUP(B166,Merchant_Rates!$A:$D,3,FALSE),4000))</x:f>
      </x:c>
      <x:c r="J166" s="48" t="str">
        <x:f>IF(B166="","",MAX(0,CEILING(H166,1)-IFERROR(VLOOKUP(B166,Merchant_Rates!$A:$D,4,FALSE),3))*Rules!$B$4)</x:f>
      </x:c>
      <x:c r="K166" s="48" t="str">
        <x:f>IF(B166="","",G166+I166+J166)</x:f>
      </x:c>
    </x:row>
    <x:row r="167">
      <x:c r="A167" s="40" t="str">
        <x:f>IF(B167="","",ROW()-4)</x:f>
      </x:c>
      <x:c r="B167" s="40"/>
      <x:c r="C167" s="40"/>
      <x:c r="D167" s="40"/>
      <x:c r="E167" s="40"/>
      <x:c r="F167" s="40"/>
      <x:c r="G167" s="44"/>
      <x:c r="H167" s="46"/>
      <x:c r="I167" s="48" t="str">
        <x:f>IF(B167="","",IFERROR(VLOOKUP(B167,Merchant_Rates!$A:$D,3,FALSE),4000))</x:f>
      </x:c>
      <x:c r="J167" s="48" t="str">
        <x:f>IF(B167="","",MAX(0,CEILING(H167,1)-IFERROR(VLOOKUP(B167,Merchant_Rates!$A:$D,4,FALSE),3))*Rules!$B$4)</x:f>
      </x:c>
      <x:c r="K167" s="48" t="str">
        <x:f>IF(B167="","",G167+I167+J167)</x:f>
      </x:c>
    </x:row>
    <x:row r="168">
      <x:c r="A168" s="40" t="str">
        <x:f>IF(B168="","",ROW()-4)</x:f>
      </x:c>
      <x:c r="B168" s="40"/>
      <x:c r="C168" s="40"/>
      <x:c r="D168" s="40"/>
      <x:c r="E168" s="40"/>
      <x:c r="F168" s="40"/>
      <x:c r="G168" s="44"/>
      <x:c r="H168" s="46"/>
      <x:c r="I168" s="48" t="str">
        <x:f>IF(B168="","",IFERROR(VLOOKUP(B168,Merchant_Rates!$A:$D,3,FALSE),4000))</x:f>
      </x:c>
      <x:c r="J168" s="48" t="str">
        <x:f>IF(B168="","",MAX(0,CEILING(H168,1)-IFERROR(VLOOKUP(B168,Merchant_Rates!$A:$D,4,FALSE),3))*Rules!$B$4)</x:f>
      </x:c>
      <x:c r="K168" s="48" t="str">
        <x:f>IF(B168="","",G168+I168+J168)</x:f>
      </x:c>
    </x:row>
    <x:row r="169">
      <x:c r="A169" s="40" t="str">
        <x:f>IF(B169="","",ROW()-4)</x:f>
      </x:c>
      <x:c r="B169" s="40"/>
      <x:c r="C169" s="40"/>
      <x:c r="D169" s="40"/>
      <x:c r="E169" s="40"/>
      <x:c r="F169" s="40"/>
      <x:c r="G169" s="44"/>
      <x:c r="H169" s="46"/>
      <x:c r="I169" s="48" t="str">
        <x:f>IF(B169="","",IFERROR(VLOOKUP(B169,Merchant_Rates!$A:$D,3,FALSE),4000))</x:f>
      </x:c>
      <x:c r="J169" s="48" t="str">
        <x:f>IF(B169="","",MAX(0,CEILING(H169,1)-IFERROR(VLOOKUP(B169,Merchant_Rates!$A:$D,4,FALSE),3))*Rules!$B$4)</x:f>
      </x:c>
      <x:c r="K169" s="48" t="str">
        <x:f>IF(B169="","",G169+I169+J169)</x:f>
      </x:c>
    </x:row>
    <x:row r="170">
      <x:c r="A170" s="40" t="str">
        <x:f>IF(B170="","",ROW()-4)</x:f>
      </x:c>
      <x:c r="B170" s="40"/>
      <x:c r="C170" s="40"/>
      <x:c r="D170" s="40"/>
      <x:c r="E170" s="40"/>
      <x:c r="F170" s="40"/>
      <x:c r="G170" s="44"/>
      <x:c r="H170" s="46"/>
      <x:c r="I170" s="48" t="str">
        <x:f>IF(B170="","",IFERROR(VLOOKUP(B170,Merchant_Rates!$A:$D,3,FALSE),4000))</x:f>
      </x:c>
      <x:c r="J170" s="48" t="str">
        <x:f>IF(B170="","",MAX(0,CEILING(H170,1)-IFERROR(VLOOKUP(B170,Merchant_Rates!$A:$D,4,FALSE),3))*Rules!$B$4)</x:f>
      </x:c>
      <x:c r="K170" s="48" t="str">
        <x:f>IF(B170="","",G170+I170+J170)</x:f>
      </x:c>
    </x:row>
    <x:row r="171">
      <x:c r="A171" s="40" t="str">
        <x:f>IF(B171="","",ROW()-4)</x:f>
      </x:c>
      <x:c r="B171" s="40"/>
      <x:c r="C171" s="40"/>
      <x:c r="D171" s="40"/>
      <x:c r="E171" s="40"/>
      <x:c r="F171" s="40"/>
      <x:c r="G171" s="44"/>
      <x:c r="H171" s="46"/>
      <x:c r="I171" s="48" t="str">
        <x:f>IF(B171="","",IFERROR(VLOOKUP(B171,Merchant_Rates!$A:$D,3,FALSE),4000))</x:f>
      </x:c>
      <x:c r="J171" s="48" t="str">
        <x:f>IF(B171="","",MAX(0,CEILING(H171,1)-IFERROR(VLOOKUP(B171,Merchant_Rates!$A:$D,4,FALSE),3))*Rules!$B$4)</x:f>
      </x:c>
      <x:c r="K171" s="48" t="str">
        <x:f>IF(B171="","",G171+I171+J171)</x:f>
      </x:c>
    </x:row>
    <x:row r="172">
      <x:c r="A172" s="40" t="str">
        <x:f>IF(B172="","",ROW()-4)</x:f>
      </x:c>
      <x:c r="B172" s="40"/>
      <x:c r="C172" s="40"/>
      <x:c r="D172" s="40"/>
      <x:c r="E172" s="40"/>
      <x:c r="F172" s="40"/>
      <x:c r="G172" s="44"/>
      <x:c r="H172" s="46"/>
      <x:c r="I172" s="48" t="str">
        <x:f>IF(B172="","",IFERROR(VLOOKUP(B172,Merchant_Rates!$A:$D,3,FALSE),4000))</x:f>
      </x:c>
      <x:c r="J172" s="48" t="str">
        <x:f>IF(B172="","",MAX(0,CEILING(H172,1)-IFERROR(VLOOKUP(B172,Merchant_Rates!$A:$D,4,FALSE),3))*Rules!$B$4)</x:f>
      </x:c>
      <x:c r="K172" s="48" t="str">
        <x:f>IF(B172="","",G172+I172+J172)</x:f>
      </x:c>
    </x:row>
    <x:row r="173">
      <x:c r="A173" s="40" t="str">
        <x:f>IF(B173="","",ROW()-4)</x:f>
      </x:c>
      <x:c r="B173" s="40"/>
      <x:c r="C173" s="40"/>
      <x:c r="D173" s="40"/>
      <x:c r="E173" s="40"/>
      <x:c r="F173" s="40"/>
      <x:c r="G173" s="44"/>
      <x:c r="H173" s="46"/>
      <x:c r="I173" s="48" t="str">
        <x:f>IF(B173="","",IFERROR(VLOOKUP(B173,Merchant_Rates!$A:$D,3,FALSE),4000))</x:f>
      </x:c>
      <x:c r="J173" s="48" t="str">
        <x:f>IF(B173="","",MAX(0,CEILING(H173,1)-IFERROR(VLOOKUP(B173,Merchant_Rates!$A:$D,4,FALSE),3))*Rules!$B$4)</x:f>
      </x:c>
      <x:c r="K173" s="48" t="str">
        <x:f>IF(B173="","",G173+I173+J173)</x:f>
      </x:c>
    </x:row>
    <x:row r="174">
      <x:c r="A174" s="40" t="str">
        <x:f>IF(B174="","",ROW()-4)</x:f>
      </x:c>
      <x:c r="B174" s="40"/>
      <x:c r="C174" s="40"/>
      <x:c r="D174" s="40"/>
      <x:c r="E174" s="40"/>
      <x:c r="F174" s="40"/>
      <x:c r="G174" s="44"/>
      <x:c r="H174" s="46"/>
      <x:c r="I174" s="48" t="str">
        <x:f>IF(B174="","",IFERROR(VLOOKUP(B174,Merchant_Rates!$A:$D,3,FALSE),4000))</x:f>
      </x:c>
      <x:c r="J174" s="48" t="str">
        <x:f>IF(B174="","",MAX(0,CEILING(H174,1)-IFERROR(VLOOKUP(B174,Merchant_Rates!$A:$D,4,FALSE),3))*Rules!$B$4)</x:f>
      </x:c>
      <x:c r="K174" s="48" t="str">
        <x:f>IF(B174="","",G174+I174+J174)</x:f>
      </x:c>
    </x:row>
    <x:row r="175">
      <x:c r="A175" s="40" t="str">
        <x:f>IF(B175="","",ROW()-4)</x:f>
      </x:c>
      <x:c r="B175" s="40"/>
      <x:c r="C175" s="40"/>
      <x:c r="D175" s="40"/>
      <x:c r="E175" s="40"/>
      <x:c r="F175" s="40"/>
      <x:c r="G175" s="44"/>
      <x:c r="H175" s="46"/>
      <x:c r="I175" s="48" t="str">
        <x:f>IF(B175="","",IFERROR(VLOOKUP(B175,Merchant_Rates!$A:$D,3,FALSE),4000))</x:f>
      </x:c>
      <x:c r="J175" s="48" t="str">
        <x:f>IF(B175="","",MAX(0,CEILING(H175,1)-IFERROR(VLOOKUP(B175,Merchant_Rates!$A:$D,4,FALSE),3))*Rules!$B$4)</x:f>
      </x:c>
      <x:c r="K175" s="48" t="str">
        <x:f>IF(B175="","",G175+I175+J175)</x:f>
      </x:c>
    </x:row>
    <x:row r="176">
      <x:c r="A176" s="40" t="str">
        <x:f>IF(B176="","",ROW()-4)</x:f>
      </x:c>
      <x:c r="B176" s="40"/>
      <x:c r="C176" s="40"/>
      <x:c r="D176" s="40"/>
      <x:c r="E176" s="40"/>
      <x:c r="F176" s="40"/>
      <x:c r="G176" s="44"/>
      <x:c r="H176" s="46"/>
      <x:c r="I176" s="48" t="str">
        <x:f>IF(B176="","",IFERROR(VLOOKUP(B176,Merchant_Rates!$A:$D,3,FALSE),4000))</x:f>
      </x:c>
      <x:c r="J176" s="48" t="str">
        <x:f>IF(B176="","",MAX(0,CEILING(H176,1)-IFERROR(VLOOKUP(B176,Merchant_Rates!$A:$D,4,FALSE),3))*Rules!$B$4)</x:f>
      </x:c>
      <x:c r="K176" s="48" t="str">
        <x:f>IF(B176="","",G176+I176+J176)</x:f>
      </x:c>
    </x:row>
    <x:row r="177">
      <x:c r="A177" s="40" t="str">
        <x:f>IF(B177="","",ROW()-4)</x:f>
      </x:c>
      <x:c r="B177" s="40"/>
      <x:c r="C177" s="40"/>
      <x:c r="D177" s="40"/>
      <x:c r="E177" s="40"/>
      <x:c r="F177" s="40"/>
      <x:c r="G177" s="44"/>
      <x:c r="H177" s="46"/>
      <x:c r="I177" s="48" t="str">
        <x:f>IF(B177="","",IFERROR(VLOOKUP(B177,Merchant_Rates!$A:$D,3,FALSE),4000))</x:f>
      </x:c>
      <x:c r="J177" s="48" t="str">
        <x:f>IF(B177="","",MAX(0,CEILING(H177,1)-IFERROR(VLOOKUP(B177,Merchant_Rates!$A:$D,4,FALSE),3))*Rules!$B$4)</x:f>
      </x:c>
      <x:c r="K177" s="48" t="str">
        <x:f>IF(B177="","",G177+I177+J177)</x:f>
      </x:c>
    </x:row>
    <x:row r="178">
      <x:c r="A178" s="40" t="str">
        <x:f>IF(B178="","",ROW()-4)</x:f>
      </x:c>
      <x:c r="B178" s="40"/>
      <x:c r="C178" s="40"/>
      <x:c r="D178" s="40"/>
      <x:c r="E178" s="40"/>
      <x:c r="F178" s="40"/>
      <x:c r="G178" s="44"/>
      <x:c r="H178" s="46"/>
      <x:c r="I178" s="48" t="str">
        <x:f>IF(B178="","",IFERROR(VLOOKUP(B178,Merchant_Rates!$A:$D,3,FALSE),4000))</x:f>
      </x:c>
      <x:c r="J178" s="48" t="str">
        <x:f>IF(B178="","",MAX(0,CEILING(H178,1)-IFERROR(VLOOKUP(B178,Merchant_Rates!$A:$D,4,FALSE),3))*Rules!$B$4)</x:f>
      </x:c>
      <x:c r="K178" s="48" t="str">
        <x:f>IF(B178="","",G178+I178+J178)</x:f>
      </x:c>
    </x:row>
    <x:row r="179">
      <x:c r="A179" s="40" t="str">
        <x:f>IF(B179="","",ROW()-4)</x:f>
      </x:c>
      <x:c r="B179" s="40"/>
      <x:c r="C179" s="40"/>
      <x:c r="D179" s="40"/>
      <x:c r="E179" s="40"/>
      <x:c r="F179" s="40"/>
      <x:c r="G179" s="44"/>
      <x:c r="H179" s="46"/>
      <x:c r="I179" s="48" t="str">
        <x:f>IF(B179="","",IFERROR(VLOOKUP(B179,Merchant_Rates!$A:$D,3,FALSE),4000))</x:f>
      </x:c>
      <x:c r="J179" s="48" t="str">
        <x:f>IF(B179="","",MAX(0,CEILING(H179,1)-IFERROR(VLOOKUP(B179,Merchant_Rates!$A:$D,4,FALSE),3))*Rules!$B$4)</x:f>
      </x:c>
      <x:c r="K179" s="48" t="str">
        <x:f>IF(B179="","",G179+I179+J179)</x:f>
      </x:c>
    </x:row>
    <x:row r="180">
      <x:c r="A180" s="40" t="str">
        <x:f>IF(B180="","",ROW()-4)</x:f>
      </x:c>
      <x:c r="B180" s="40"/>
      <x:c r="C180" s="40"/>
      <x:c r="D180" s="40"/>
      <x:c r="E180" s="40"/>
      <x:c r="F180" s="40"/>
      <x:c r="G180" s="44"/>
      <x:c r="H180" s="46"/>
      <x:c r="I180" s="48" t="str">
        <x:f>IF(B180="","",IFERROR(VLOOKUP(B180,Merchant_Rates!$A:$D,3,FALSE),4000))</x:f>
      </x:c>
      <x:c r="J180" s="48" t="str">
        <x:f>IF(B180="","",MAX(0,CEILING(H180,1)-IFERROR(VLOOKUP(B180,Merchant_Rates!$A:$D,4,FALSE),3))*Rules!$B$4)</x:f>
      </x:c>
      <x:c r="K180" s="48" t="str">
        <x:f>IF(B180="","",G180+I180+J180)</x:f>
      </x:c>
    </x:row>
    <x:row r="181">
      <x:c r="A181" s="40" t="str">
        <x:f>IF(B181="","",ROW()-4)</x:f>
      </x:c>
      <x:c r="B181" s="40"/>
      <x:c r="C181" s="40"/>
      <x:c r="D181" s="40"/>
      <x:c r="E181" s="40"/>
      <x:c r="F181" s="40"/>
      <x:c r="G181" s="44"/>
      <x:c r="H181" s="46"/>
      <x:c r="I181" s="48" t="str">
        <x:f>IF(B181="","",IFERROR(VLOOKUP(B181,Merchant_Rates!$A:$D,3,FALSE),4000))</x:f>
      </x:c>
      <x:c r="J181" s="48" t="str">
        <x:f>IF(B181="","",MAX(0,CEILING(H181,1)-IFERROR(VLOOKUP(B181,Merchant_Rates!$A:$D,4,FALSE),3))*Rules!$B$4)</x:f>
      </x:c>
      <x:c r="K181" s="48" t="str">
        <x:f>IF(B181="","",G181+I181+J181)</x:f>
      </x:c>
    </x:row>
    <x:row r="182">
      <x:c r="A182" s="40" t="str">
        <x:f>IF(B182="","",ROW()-4)</x:f>
      </x:c>
      <x:c r="B182" s="40"/>
      <x:c r="C182" s="40"/>
      <x:c r="D182" s="40"/>
      <x:c r="E182" s="40"/>
      <x:c r="F182" s="40"/>
      <x:c r="G182" s="44"/>
      <x:c r="H182" s="46"/>
      <x:c r="I182" s="48" t="str">
        <x:f>IF(B182="","",IFERROR(VLOOKUP(B182,Merchant_Rates!$A:$D,3,FALSE),4000))</x:f>
      </x:c>
      <x:c r="J182" s="48" t="str">
        <x:f>IF(B182="","",MAX(0,CEILING(H182,1)-IFERROR(VLOOKUP(B182,Merchant_Rates!$A:$D,4,FALSE),3))*Rules!$B$4)</x:f>
      </x:c>
      <x:c r="K182" s="48" t="str">
        <x:f>IF(B182="","",G182+I182+J182)</x:f>
      </x:c>
    </x:row>
    <x:row r="183">
      <x:c r="A183" s="40" t="str">
        <x:f>IF(B183="","",ROW()-4)</x:f>
      </x:c>
      <x:c r="B183" s="40"/>
      <x:c r="C183" s="40"/>
      <x:c r="D183" s="40"/>
      <x:c r="E183" s="40"/>
      <x:c r="F183" s="40"/>
      <x:c r="G183" s="44"/>
      <x:c r="H183" s="46"/>
      <x:c r="I183" s="48" t="str">
        <x:f>IF(B183="","",IFERROR(VLOOKUP(B183,Merchant_Rates!$A:$D,3,FALSE),4000))</x:f>
      </x:c>
      <x:c r="J183" s="48" t="str">
        <x:f>IF(B183="","",MAX(0,CEILING(H183,1)-IFERROR(VLOOKUP(B183,Merchant_Rates!$A:$D,4,FALSE),3))*Rules!$B$4)</x:f>
      </x:c>
      <x:c r="K183" s="48" t="str">
        <x:f>IF(B183="","",G183+I183+J183)</x:f>
      </x:c>
    </x:row>
    <x:row r="184">
      <x:c r="A184" s="40" t="str">
        <x:f>IF(B184="","",ROW()-4)</x:f>
      </x:c>
      <x:c r="B184" s="40"/>
      <x:c r="C184" s="40"/>
      <x:c r="D184" s="40"/>
      <x:c r="E184" s="40"/>
      <x:c r="F184" s="40"/>
      <x:c r="G184" s="44"/>
      <x:c r="H184" s="46"/>
      <x:c r="I184" s="48" t="str">
        <x:f>IF(B184="","",IFERROR(VLOOKUP(B184,Merchant_Rates!$A:$D,3,FALSE),4000))</x:f>
      </x:c>
      <x:c r="J184" s="48" t="str">
        <x:f>IF(B184="","",MAX(0,CEILING(H184,1)-IFERROR(VLOOKUP(B184,Merchant_Rates!$A:$D,4,FALSE),3))*Rules!$B$4)</x:f>
      </x:c>
      <x:c r="K184" s="48" t="str">
        <x:f>IF(B184="","",G184+I184+J184)</x:f>
      </x:c>
    </x:row>
    <x:row r="185">
      <x:c r="A185" s="40" t="str">
        <x:f>IF(B185="","",ROW()-4)</x:f>
      </x:c>
      <x:c r="B185" s="40"/>
      <x:c r="C185" s="40"/>
      <x:c r="D185" s="40"/>
      <x:c r="E185" s="40"/>
      <x:c r="F185" s="40"/>
      <x:c r="G185" s="44"/>
      <x:c r="H185" s="46"/>
      <x:c r="I185" s="48" t="str">
        <x:f>IF(B185="","",IFERROR(VLOOKUP(B185,Merchant_Rates!$A:$D,3,FALSE),4000))</x:f>
      </x:c>
      <x:c r="J185" s="48" t="str">
        <x:f>IF(B185="","",MAX(0,CEILING(H185,1)-IFERROR(VLOOKUP(B185,Merchant_Rates!$A:$D,4,FALSE),3))*Rules!$B$4)</x:f>
      </x:c>
      <x:c r="K185" s="48" t="str">
        <x:f>IF(B185="","",G185+I185+J185)</x:f>
      </x:c>
    </x:row>
    <x:row r="186">
      <x:c r="A186" s="40" t="str">
        <x:f>IF(B186="","",ROW()-4)</x:f>
      </x:c>
      <x:c r="B186" s="40"/>
      <x:c r="C186" s="40"/>
      <x:c r="D186" s="40"/>
      <x:c r="E186" s="40"/>
      <x:c r="F186" s="40"/>
      <x:c r="G186" s="44"/>
      <x:c r="H186" s="46"/>
      <x:c r="I186" s="48" t="str">
        <x:f>IF(B186="","",IFERROR(VLOOKUP(B186,Merchant_Rates!$A:$D,3,FALSE),4000))</x:f>
      </x:c>
      <x:c r="J186" s="48" t="str">
        <x:f>IF(B186="","",MAX(0,CEILING(H186,1)-IFERROR(VLOOKUP(B186,Merchant_Rates!$A:$D,4,FALSE),3))*Rules!$B$4)</x:f>
      </x:c>
      <x:c r="K186" s="48" t="str">
        <x:f>IF(B186="","",G186+I186+J186)</x:f>
      </x:c>
    </x:row>
    <x:row r="187">
      <x:c r="A187" s="40" t="str">
        <x:f>IF(B187="","",ROW()-4)</x:f>
      </x:c>
      <x:c r="B187" s="40"/>
      <x:c r="C187" s="40"/>
      <x:c r="D187" s="40"/>
      <x:c r="E187" s="40"/>
      <x:c r="F187" s="40"/>
      <x:c r="G187" s="44"/>
      <x:c r="H187" s="46"/>
      <x:c r="I187" s="48" t="str">
        <x:f>IF(B187="","",IFERROR(VLOOKUP(B187,Merchant_Rates!$A:$D,3,FALSE),4000))</x:f>
      </x:c>
      <x:c r="J187" s="48" t="str">
        <x:f>IF(B187="","",MAX(0,CEILING(H187,1)-IFERROR(VLOOKUP(B187,Merchant_Rates!$A:$D,4,FALSE),3))*Rules!$B$4)</x:f>
      </x:c>
      <x:c r="K187" s="48" t="str">
        <x:f>IF(B187="","",G187+I187+J187)</x:f>
      </x:c>
    </x:row>
    <x:row r="188">
      <x:c r="A188" s="40" t="str">
        <x:f>IF(B188="","",ROW()-4)</x:f>
      </x:c>
      <x:c r="B188" s="40"/>
      <x:c r="C188" s="40"/>
      <x:c r="D188" s="40"/>
      <x:c r="E188" s="40"/>
      <x:c r="F188" s="40"/>
      <x:c r="G188" s="44"/>
      <x:c r="H188" s="46"/>
      <x:c r="I188" s="48" t="str">
        <x:f>IF(B188="","",IFERROR(VLOOKUP(B188,Merchant_Rates!$A:$D,3,FALSE),4000))</x:f>
      </x:c>
      <x:c r="J188" s="48" t="str">
        <x:f>IF(B188="","",MAX(0,CEILING(H188,1)-IFERROR(VLOOKUP(B188,Merchant_Rates!$A:$D,4,FALSE),3))*Rules!$B$4)</x:f>
      </x:c>
      <x:c r="K188" s="48" t="str">
        <x:f>IF(B188="","",G188+I188+J188)</x:f>
      </x:c>
    </x:row>
    <x:row r="189">
      <x:c r="A189" s="40" t="str">
        <x:f>IF(B189="","",ROW()-4)</x:f>
      </x:c>
      <x:c r="B189" s="40"/>
      <x:c r="C189" s="40"/>
      <x:c r="D189" s="40"/>
      <x:c r="E189" s="40"/>
      <x:c r="F189" s="40"/>
      <x:c r="G189" s="44"/>
      <x:c r="H189" s="46"/>
      <x:c r="I189" s="48" t="str">
        <x:f>IF(B189="","",IFERROR(VLOOKUP(B189,Merchant_Rates!$A:$D,3,FALSE),4000))</x:f>
      </x:c>
      <x:c r="J189" s="48" t="str">
        <x:f>IF(B189="","",MAX(0,CEILING(H189,1)-IFERROR(VLOOKUP(B189,Merchant_Rates!$A:$D,4,FALSE),3))*Rules!$B$4)</x:f>
      </x:c>
      <x:c r="K189" s="48" t="str">
        <x:f>IF(B189="","",G189+I189+J189)</x:f>
      </x:c>
    </x:row>
    <x:row r="190">
      <x:c r="A190" s="40" t="str">
        <x:f>IF(B190="","",ROW()-4)</x:f>
      </x:c>
      <x:c r="B190" s="40"/>
      <x:c r="C190" s="40"/>
      <x:c r="D190" s="40"/>
      <x:c r="E190" s="40"/>
      <x:c r="F190" s="40"/>
      <x:c r="G190" s="44"/>
      <x:c r="H190" s="46"/>
      <x:c r="I190" s="48" t="str">
        <x:f>IF(B190="","",IFERROR(VLOOKUP(B190,Merchant_Rates!$A:$D,3,FALSE),4000))</x:f>
      </x:c>
      <x:c r="J190" s="48" t="str">
        <x:f>IF(B190="","",MAX(0,CEILING(H190,1)-IFERROR(VLOOKUP(B190,Merchant_Rates!$A:$D,4,FALSE),3))*Rules!$B$4)</x:f>
      </x:c>
      <x:c r="K190" s="48" t="str">
        <x:f>IF(B190="","",G190+I190+J190)</x:f>
      </x:c>
    </x:row>
    <x:row r="191">
      <x:c r="A191" s="40" t="str">
        <x:f>IF(B191="","",ROW()-4)</x:f>
      </x:c>
      <x:c r="B191" s="40"/>
      <x:c r="C191" s="40"/>
      <x:c r="D191" s="40"/>
      <x:c r="E191" s="40"/>
      <x:c r="F191" s="40"/>
      <x:c r="G191" s="44"/>
      <x:c r="H191" s="46"/>
      <x:c r="I191" s="48" t="str">
        <x:f>IF(B191="","",IFERROR(VLOOKUP(B191,Merchant_Rates!$A:$D,3,FALSE),4000))</x:f>
      </x:c>
      <x:c r="J191" s="48" t="str">
        <x:f>IF(B191="","",MAX(0,CEILING(H191,1)-IFERROR(VLOOKUP(B191,Merchant_Rates!$A:$D,4,FALSE),3))*Rules!$B$4)</x:f>
      </x:c>
      <x:c r="K191" s="48" t="str">
        <x:f>IF(B191="","",G191+I191+J191)</x:f>
      </x:c>
    </x:row>
    <x:row r="192">
      <x:c r="A192" s="40" t="str">
        <x:f>IF(B192="","",ROW()-4)</x:f>
      </x:c>
      <x:c r="B192" s="40"/>
      <x:c r="C192" s="40"/>
      <x:c r="D192" s="40"/>
      <x:c r="E192" s="40"/>
      <x:c r="F192" s="40"/>
      <x:c r="G192" s="44"/>
      <x:c r="H192" s="46"/>
      <x:c r="I192" s="48" t="str">
        <x:f>IF(B192="","",IFERROR(VLOOKUP(B192,Merchant_Rates!$A:$D,3,FALSE),4000))</x:f>
      </x:c>
      <x:c r="J192" s="48" t="str">
        <x:f>IF(B192="","",MAX(0,CEILING(H192,1)-IFERROR(VLOOKUP(B192,Merchant_Rates!$A:$D,4,FALSE),3))*Rules!$B$4)</x:f>
      </x:c>
      <x:c r="K192" s="48" t="str">
        <x:f>IF(B192="","",G192+I192+J192)</x:f>
      </x:c>
    </x:row>
    <x:row r="193">
      <x:c r="A193" s="40" t="str">
        <x:f>IF(B193="","",ROW()-4)</x:f>
      </x:c>
      <x:c r="B193" s="40"/>
      <x:c r="C193" s="40"/>
      <x:c r="D193" s="40"/>
      <x:c r="E193" s="40"/>
      <x:c r="F193" s="40"/>
      <x:c r="G193" s="44"/>
      <x:c r="H193" s="46"/>
      <x:c r="I193" s="48" t="str">
        <x:f>IF(B193="","",IFERROR(VLOOKUP(B193,Merchant_Rates!$A:$D,3,FALSE),4000))</x:f>
      </x:c>
      <x:c r="J193" s="48" t="str">
        <x:f>IF(B193="","",MAX(0,CEILING(H193,1)-IFERROR(VLOOKUP(B193,Merchant_Rates!$A:$D,4,FALSE),3))*Rules!$B$4)</x:f>
      </x:c>
      <x:c r="K193" s="48" t="str">
        <x:f>IF(B193="","",G193+I193+J193)</x:f>
      </x:c>
    </x:row>
    <x:row r="194">
      <x:c r="A194" s="40" t="str">
        <x:f>IF(B194="","",ROW()-4)</x:f>
      </x:c>
      <x:c r="B194" s="40"/>
      <x:c r="C194" s="40"/>
      <x:c r="D194" s="40"/>
      <x:c r="E194" s="40"/>
      <x:c r="F194" s="40"/>
      <x:c r="G194" s="44"/>
      <x:c r="H194" s="46"/>
      <x:c r="I194" s="48" t="str">
        <x:f>IF(B194="","",IFERROR(VLOOKUP(B194,Merchant_Rates!$A:$D,3,FALSE),4000))</x:f>
      </x:c>
      <x:c r="J194" s="48" t="str">
        <x:f>IF(B194="","",MAX(0,CEILING(H194,1)-IFERROR(VLOOKUP(B194,Merchant_Rates!$A:$D,4,FALSE),3))*Rules!$B$4)</x:f>
      </x:c>
      <x:c r="K194" s="48" t="str">
        <x:f>IF(B194="","",G194+I194+J194)</x:f>
      </x:c>
    </x:row>
    <x:row r="195">
      <x:c r="A195" s="40" t="str">
        <x:f>IF(B195="","",ROW()-4)</x:f>
      </x:c>
      <x:c r="B195" s="40"/>
      <x:c r="C195" s="40"/>
      <x:c r="D195" s="40"/>
      <x:c r="E195" s="40"/>
      <x:c r="F195" s="40"/>
      <x:c r="G195" s="44"/>
      <x:c r="H195" s="46"/>
      <x:c r="I195" s="48" t="str">
        <x:f>IF(B195="","",IFERROR(VLOOKUP(B195,Merchant_Rates!$A:$D,3,FALSE),4000))</x:f>
      </x:c>
      <x:c r="J195" s="48" t="str">
        <x:f>IF(B195="","",MAX(0,CEILING(H195,1)-IFERROR(VLOOKUP(B195,Merchant_Rates!$A:$D,4,FALSE),3))*Rules!$B$4)</x:f>
      </x:c>
      <x:c r="K195" s="48" t="str">
        <x:f>IF(B195="","",G195+I195+J195)</x:f>
      </x:c>
    </x:row>
    <x:row r="196">
      <x:c r="A196" s="40" t="str">
        <x:f>IF(B196="","",ROW()-4)</x:f>
      </x:c>
      <x:c r="B196" s="40"/>
      <x:c r="C196" s="40"/>
      <x:c r="D196" s="40"/>
      <x:c r="E196" s="40"/>
      <x:c r="F196" s="40"/>
      <x:c r="G196" s="44"/>
      <x:c r="H196" s="46"/>
      <x:c r="I196" s="48" t="str">
        <x:f>IF(B196="","",IFERROR(VLOOKUP(B196,Merchant_Rates!$A:$D,3,FALSE),4000))</x:f>
      </x:c>
      <x:c r="J196" s="48" t="str">
        <x:f>IF(B196="","",MAX(0,CEILING(H196,1)-IFERROR(VLOOKUP(B196,Merchant_Rates!$A:$D,4,FALSE),3))*Rules!$B$4)</x:f>
      </x:c>
      <x:c r="K196" s="48" t="str">
        <x:f>IF(B196="","",G196+I196+J196)</x:f>
      </x:c>
    </x:row>
    <x:row r="197">
      <x:c r="A197" s="40" t="str">
        <x:f>IF(B197="","",ROW()-4)</x:f>
      </x:c>
      <x:c r="B197" s="40"/>
      <x:c r="C197" s="40"/>
      <x:c r="D197" s="40"/>
      <x:c r="E197" s="40"/>
      <x:c r="F197" s="40"/>
      <x:c r="G197" s="44"/>
      <x:c r="H197" s="46"/>
      <x:c r="I197" s="48" t="str">
        <x:f>IF(B197="","",IFERROR(VLOOKUP(B197,Merchant_Rates!$A:$D,3,FALSE),4000))</x:f>
      </x:c>
      <x:c r="J197" s="48" t="str">
        <x:f>IF(B197="","",MAX(0,CEILING(H197,1)-IFERROR(VLOOKUP(B197,Merchant_Rates!$A:$D,4,FALSE),3))*Rules!$B$4)</x:f>
      </x:c>
      <x:c r="K197" s="48" t="str">
        <x:f>IF(B197="","",G197+I197+J197)</x:f>
      </x:c>
    </x:row>
    <x:row r="198">
      <x:c r="A198" s="40" t="str">
        <x:f>IF(B198="","",ROW()-4)</x:f>
      </x:c>
      <x:c r="B198" s="40"/>
      <x:c r="C198" s="40"/>
      <x:c r="D198" s="40"/>
      <x:c r="E198" s="40"/>
      <x:c r="F198" s="40"/>
      <x:c r="G198" s="44"/>
      <x:c r="H198" s="46"/>
      <x:c r="I198" s="48" t="str">
        <x:f>IF(B198="","",IFERROR(VLOOKUP(B198,Merchant_Rates!$A:$D,3,FALSE),4000))</x:f>
      </x:c>
      <x:c r="J198" s="48" t="str">
        <x:f>IF(B198="","",MAX(0,CEILING(H198,1)-IFERROR(VLOOKUP(B198,Merchant_Rates!$A:$D,4,FALSE),3))*Rules!$B$4)</x:f>
      </x:c>
      <x:c r="K198" s="48" t="str">
        <x:f>IF(B198="","",G198+I198+J198)</x:f>
      </x:c>
    </x:row>
    <x:row r="199">
      <x:c r="A199" s="40" t="str">
        <x:f>IF(B199="","",ROW()-4)</x:f>
      </x:c>
      <x:c r="B199" s="40"/>
      <x:c r="C199" s="40"/>
      <x:c r="D199" s="40"/>
      <x:c r="E199" s="40"/>
      <x:c r="F199" s="40"/>
      <x:c r="G199" s="44"/>
      <x:c r="H199" s="46"/>
      <x:c r="I199" s="48" t="str">
        <x:f>IF(B199="","",IFERROR(VLOOKUP(B199,Merchant_Rates!$A:$D,3,FALSE),4000))</x:f>
      </x:c>
      <x:c r="J199" s="48" t="str">
        <x:f>IF(B199="","",MAX(0,CEILING(H199,1)-IFERROR(VLOOKUP(B199,Merchant_Rates!$A:$D,4,FALSE),3))*Rules!$B$4)</x:f>
      </x:c>
      <x:c r="K199" s="48" t="str">
        <x:f>IF(B199="","",G199+I199+J199)</x:f>
      </x:c>
    </x:row>
    <x:row r="200">
      <x:c r="A200" s="40" t="str">
        <x:f>IF(B200="","",ROW()-4)</x:f>
      </x:c>
      <x:c r="B200" s="40"/>
      <x:c r="C200" s="40"/>
      <x:c r="D200" s="40"/>
      <x:c r="E200" s="40"/>
      <x:c r="F200" s="40"/>
      <x:c r="G200" s="44"/>
      <x:c r="H200" s="46"/>
      <x:c r="I200" s="48" t="str">
        <x:f>IF(B200="","",IFERROR(VLOOKUP(B200,Merchant_Rates!$A:$D,3,FALSE),4000))</x:f>
      </x:c>
      <x:c r="J200" s="48" t="str">
        <x:f>IF(B200="","",MAX(0,CEILING(H200,1)-IFERROR(VLOOKUP(B200,Merchant_Rates!$A:$D,4,FALSE),3))*Rules!$B$4)</x:f>
      </x:c>
      <x:c r="K200" s="48" t="str">
        <x:f>IF(B200="","",G200+I200+J200)</x:f>
      </x:c>
    </x:row>
    <x:row r="201">
      <x:c r="A201" s="40" t="str">
        <x:f>IF(B201="","",ROW()-4)</x:f>
      </x:c>
      <x:c r="B201" s="40"/>
      <x:c r="C201" s="40"/>
      <x:c r="D201" s="40"/>
      <x:c r="E201" s="40"/>
      <x:c r="F201" s="40"/>
      <x:c r="G201" s="44"/>
      <x:c r="H201" s="46"/>
      <x:c r="I201" s="48" t="str">
        <x:f>IF(B201="","",IFERROR(VLOOKUP(B201,Merchant_Rates!$A:$D,3,FALSE),4000))</x:f>
      </x:c>
      <x:c r="J201" s="48" t="str">
        <x:f>IF(B201="","",MAX(0,CEILING(H201,1)-IFERROR(VLOOKUP(B201,Merchant_Rates!$A:$D,4,FALSE),3))*Rules!$B$4)</x:f>
      </x:c>
      <x:c r="K201" s="48" t="str">
        <x:f>IF(B201="","",G201+I201+J201)</x:f>
      </x:c>
    </x:row>
    <x:row r="202">
      <x:c r="A202" s="40" t="str">
        <x:f>IF(B202="","",ROW()-4)</x:f>
      </x:c>
      <x:c r="B202" s="40"/>
      <x:c r="C202" s="40"/>
      <x:c r="D202" s="40"/>
      <x:c r="E202" s="40"/>
      <x:c r="F202" s="40"/>
      <x:c r="G202" s="44"/>
      <x:c r="H202" s="46"/>
      <x:c r="I202" s="48" t="str">
        <x:f>IF(B202="","",IFERROR(VLOOKUP(B202,Merchant_Rates!$A:$D,3,FALSE),4000))</x:f>
      </x:c>
      <x:c r="J202" s="48" t="str">
        <x:f>IF(B202="","",MAX(0,CEILING(H202,1)-IFERROR(VLOOKUP(B202,Merchant_Rates!$A:$D,4,FALSE),3))*Rules!$B$4)</x:f>
      </x:c>
      <x:c r="K202" s="48" t="str">
        <x:f>IF(B202="","",G202+I202+J202)</x:f>
      </x:c>
    </x:row>
    <x:row r="203">
      <x:c r="A203" s="40" t="str">
        <x:f>IF(B203="","",ROW()-4)</x:f>
      </x:c>
      <x:c r="B203" s="40"/>
      <x:c r="C203" s="40"/>
      <x:c r="D203" s="40"/>
      <x:c r="E203" s="40"/>
      <x:c r="F203" s="40"/>
      <x:c r="G203" s="44"/>
      <x:c r="H203" s="46"/>
      <x:c r="I203" s="48" t="str">
        <x:f>IF(B203="","",IFERROR(VLOOKUP(B203,Merchant_Rates!$A:$D,3,FALSE),4000))</x:f>
      </x:c>
      <x:c r="J203" s="48" t="str">
        <x:f>IF(B203="","",MAX(0,CEILING(H203,1)-IFERROR(VLOOKUP(B203,Merchant_Rates!$A:$D,4,FALSE),3))*Rules!$B$4)</x:f>
      </x:c>
      <x:c r="K203" s="48" t="str">
        <x:f>IF(B203="","",G203+I203+J203)</x:f>
      </x:c>
    </x:row>
    <x:row r="204">
      <x:c r="A204" s="40" t="str">
        <x:f>IF(B204="","",ROW()-4)</x:f>
      </x:c>
      <x:c r="B204" s="40"/>
      <x:c r="C204" s="40"/>
      <x:c r="D204" s="40"/>
      <x:c r="E204" s="40"/>
      <x:c r="F204" s="40"/>
      <x:c r="G204" s="44"/>
      <x:c r="H204" s="46"/>
      <x:c r="I204" s="48" t="str">
        <x:f>IF(B204="","",IFERROR(VLOOKUP(B204,Merchant_Rates!$A:$D,3,FALSE),4000))</x:f>
      </x:c>
      <x:c r="J204" s="48" t="str">
        <x:f>IF(B204="","",MAX(0,CEILING(H204,1)-IFERROR(VLOOKUP(B204,Merchant_Rates!$A:$D,4,FALSE),3))*Rules!$B$4)</x:f>
      </x:c>
      <x:c r="K204" s="48" t="str">
        <x:f>IF(B204="","",G204+I204+J204)</x:f>
      </x:c>
    </x:row>
    <x:row r="205">
      <x:c r="A205" s="40" t="str">
        <x:f>IF(B205="","",ROW()-4)</x:f>
      </x:c>
      <x:c r="B205" s="40"/>
      <x:c r="C205" s="40"/>
      <x:c r="D205" s="40"/>
      <x:c r="E205" s="40"/>
      <x:c r="F205" s="40"/>
      <x:c r="G205" s="44"/>
      <x:c r="H205" s="46"/>
      <x:c r="I205" s="48" t="str">
        <x:f>IF(B205="","",IFERROR(VLOOKUP(B205,Merchant_Rates!$A:$D,3,FALSE),4000))</x:f>
      </x:c>
      <x:c r="J205" s="48" t="str">
        <x:f>IF(B205="","",MAX(0,CEILING(H205,1)-IFERROR(VLOOKUP(B205,Merchant_Rates!$A:$D,4,FALSE),3))*Rules!$B$4)</x:f>
      </x:c>
      <x:c r="K205" s="48" t="str">
        <x:f>IF(B205="","",G205+I205+J205)</x:f>
      </x:c>
    </x:row>
    <x:row r="206">
      <x:c r="A206" s="40" t="str">
        <x:f>IF(B206="","",ROW()-4)</x:f>
      </x:c>
      <x:c r="B206" s="40"/>
      <x:c r="C206" s="40"/>
      <x:c r="D206" s="40"/>
      <x:c r="E206" s="40"/>
      <x:c r="F206" s="40"/>
      <x:c r="G206" s="44"/>
      <x:c r="H206" s="46"/>
      <x:c r="I206" s="48" t="str">
        <x:f>IF(B206="","",IFERROR(VLOOKUP(B206,Merchant_Rates!$A:$D,3,FALSE),4000))</x:f>
      </x:c>
      <x:c r="J206" s="48" t="str">
        <x:f>IF(B206="","",MAX(0,CEILING(H206,1)-IFERROR(VLOOKUP(B206,Merchant_Rates!$A:$D,4,FALSE),3))*Rules!$B$4)</x:f>
      </x:c>
      <x:c r="K206" s="48" t="str">
        <x:f>IF(B206="","",G206+I206+J206)</x:f>
      </x:c>
    </x:row>
    <x:row r="207">
      <x:c r="A207" s="40" t="str">
        <x:f>IF(B207="","",ROW()-4)</x:f>
      </x:c>
      <x:c r="B207" s="40"/>
      <x:c r="C207" s="40"/>
      <x:c r="D207" s="40"/>
      <x:c r="E207" s="40"/>
      <x:c r="F207" s="40"/>
      <x:c r="G207" s="44"/>
      <x:c r="H207" s="46"/>
      <x:c r="I207" s="48" t="str">
        <x:f>IF(B207="","",IFERROR(VLOOKUP(B207,Merchant_Rates!$A:$D,3,FALSE),4000))</x:f>
      </x:c>
      <x:c r="J207" s="48" t="str">
        <x:f>IF(B207="","",MAX(0,CEILING(H207,1)-IFERROR(VLOOKUP(B207,Merchant_Rates!$A:$D,4,FALSE),3))*Rules!$B$4)</x:f>
      </x:c>
      <x:c r="K207" s="48" t="str">
        <x:f>IF(B207="","",G207+I207+J207)</x:f>
      </x:c>
    </x:row>
    <x:row r="208">
      <x:c r="A208" s="40" t="str">
        <x:f>IF(B208="","",ROW()-4)</x:f>
      </x:c>
      <x:c r="B208" s="40"/>
      <x:c r="C208" s="40"/>
      <x:c r="D208" s="40"/>
      <x:c r="E208" s="40"/>
      <x:c r="F208" s="40"/>
      <x:c r="G208" s="44"/>
      <x:c r="H208" s="46"/>
      <x:c r="I208" s="48" t="str">
        <x:f>IF(B208="","",IFERROR(VLOOKUP(B208,Merchant_Rates!$A:$D,3,FALSE),4000))</x:f>
      </x:c>
      <x:c r="J208" s="48" t="str">
        <x:f>IF(B208="","",MAX(0,CEILING(H208,1)-IFERROR(VLOOKUP(B208,Merchant_Rates!$A:$D,4,FALSE),3))*Rules!$B$4)</x:f>
      </x:c>
      <x:c r="K208" s="48" t="str">
        <x:f>IF(B208="","",G208+I208+J208)</x:f>
      </x:c>
    </x:row>
    <x:row r="209">
      <x:c r="A209" s="40" t="str">
        <x:f>IF(B209="","",ROW()-4)</x:f>
      </x:c>
      <x:c r="B209" s="40"/>
      <x:c r="C209" s="40"/>
      <x:c r="D209" s="40"/>
      <x:c r="E209" s="40"/>
      <x:c r="F209" s="40"/>
      <x:c r="G209" s="44"/>
      <x:c r="H209" s="46"/>
      <x:c r="I209" s="48" t="str">
        <x:f>IF(B209="","",IFERROR(VLOOKUP(B209,Merchant_Rates!$A:$D,3,FALSE),4000))</x:f>
      </x:c>
      <x:c r="J209" s="48" t="str">
        <x:f>IF(B209="","",MAX(0,CEILING(H209,1)-IFERROR(VLOOKUP(B209,Merchant_Rates!$A:$D,4,FALSE),3))*Rules!$B$4)</x:f>
      </x:c>
      <x:c r="K209" s="48" t="str">
        <x:f>IF(B209="","",G209+I209+J209)</x:f>
      </x:c>
    </x:row>
    <x:row r="210">
      <x:c r="A210" s="40" t="str">
        <x:f>IF(B210="","",ROW()-4)</x:f>
      </x:c>
      <x:c r="B210" s="40"/>
      <x:c r="C210" s="40"/>
      <x:c r="D210" s="40"/>
      <x:c r="E210" s="40"/>
      <x:c r="F210" s="40"/>
      <x:c r="G210" s="44"/>
      <x:c r="H210" s="46"/>
      <x:c r="I210" s="48" t="str">
        <x:f>IF(B210="","",IFERROR(VLOOKUP(B210,Merchant_Rates!$A:$D,3,FALSE),4000))</x:f>
      </x:c>
      <x:c r="J210" s="48" t="str">
        <x:f>IF(B210="","",MAX(0,CEILING(H210,1)-IFERROR(VLOOKUP(B210,Merchant_Rates!$A:$D,4,FALSE),3))*Rules!$B$4)</x:f>
      </x:c>
      <x:c r="K210" s="48" t="str">
        <x:f>IF(B210="","",G210+I210+J210)</x:f>
      </x:c>
    </x:row>
    <x:row r="211">
      <x:c r="A211" s="40" t="str">
        <x:f>IF(B211="","",ROW()-4)</x:f>
      </x:c>
      <x:c r="B211" s="40"/>
      <x:c r="C211" s="40"/>
      <x:c r="D211" s="40"/>
      <x:c r="E211" s="40"/>
      <x:c r="F211" s="40"/>
      <x:c r="G211" s="44"/>
      <x:c r="H211" s="46"/>
      <x:c r="I211" s="48" t="str">
        <x:f>IF(B211="","",IFERROR(VLOOKUP(B211,Merchant_Rates!$A:$D,3,FALSE),4000))</x:f>
      </x:c>
      <x:c r="J211" s="48" t="str">
        <x:f>IF(B211="","",MAX(0,CEILING(H211,1)-IFERROR(VLOOKUP(B211,Merchant_Rates!$A:$D,4,FALSE),3))*Rules!$B$4)</x:f>
      </x:c>
      <x:c r="K211" s="48" t="str">
        <x:f>IF(B211="","",G211+I211+J211)</x:f>
      </x:c>
    </x:row>
    <x:row r="212">
      <x:c r="A212" s="40" t="str">
        <x:f>IF(B212="","",ROW()-4)</x:f>
      </x:c>
      <x:c r="B212" s="40"/>
      <x:c r="C212" s="40"/>
      <x:c r="D212" s="40"/>
      <x:c r="E212" s="40"/>
      <x:c r="F212" s="40"/>
      <x:c r="G212" s="44"/>
      <x:c r="H212" s="46"/>
      <x:c r="I212" s="48" t="str">
        <x:f>IF(B212="","",IFERROR(VLOOKUP(B212,Merchant_Rates!$A:$D,3,FALSE),4000))</x:f>
      </x:c>
      <x:c r="J212" s="48" t="str">
        <x:f>IF(B212="","",MAX(0,CEILING(H212,1)-IFERROR(VLOOKUP(B212,Merchant_Rates!$A:$D,4,FALSE),3))*Rules!$B$4)</x:f>
      </x:c>
      <x:c r="K212" s="48" t="str">
        <x:f>IF(B212="","",G212+I212+J212)</x:f>
      </x:c>
    </x:row>
    <x:row r="213">
      <x:c r="A213" s="40" t="str">
        <x:f>IF(B213="","",ROW()-4)</x:f>
      </x:c>
      <x:c r="B213" s="40"/>
      <x:c r="C213" s="40"/>
      <x:c r="D213" s="40"/>
      <x:c r="E213" s="40"/>
      <x:c r="F213" s="40"/>
      <x:c r="G213" s="44"/>
      <x:c r="H213" s="46"/>
      <x:c r="I213" s="48" t="str">
        <x:f>IF(B213="","",IFERROR(VLOOKUP(B213,Merchant_Rates!$A:$D,3,FALSE),4000))</x:f>
      </x:c>
      <x:c r="J213" s="48" t="str">
        <x:f>IF(B213="","",MAX(0,CEILING(H213,1)-IFERROR(VLOOKUP(B213,Merchant_Rates!$A:$D,4,FALSE),3))*Rules!$B$4)</x:f>
      </x:c>
      <x:c r="K213" s="48" t="str">
        <x:f>IF(B213="","",G213+I213+J213)</x:f>
      </x:c>
    </x:row>
    <x:row r="214">
      <x:c r="A214" s="40" t="str">
        <x:f>IF(B214="","",ROW()-4)</x:f>
      </x:c>
      <x:c r="B214" s="40"/>
      <x:c r="C214" s="40"/>
      <x:c r="D214" s="40"/>
      <x:c r="E214" s="40"/>
      <x:c r="F214" s="40"/>
      <x:c r="G214" s="44"/>
      <x:c r="H214" s="46"/>
      <x:c r="I214" s="48" t="str">
        <x:f>IF(B214="","",IFERROR(VLOOKUP(B214,Merchant_Rates!$A:$D,3,FALSE),4000))</x:f>
      </x:c>
      <x:c r="J214" s="48" t="str">
        <x:f>IF(B214="","",MAX(0,CEILING(H214,1)-IFERROR(VLOOKUP(B214,Merchant_Rates!$A:$D,4,FALSE),3))*Rules!$B$4)</x:f>
      </x:c>
      <x:c r="K214" s="48" t="str">
        <x:f>IF(B214="","",G214+I214+J214)</x:f>
      </x:c>
    </x:row>
    <x:row r="215">
      <x:c r="A215" s="40" t="str">
        <x:f>IF(B215="","",ROW()-4)</x:f>
      </x:c>
      <x:c r="B215" s="40"/>
      <x:c r="C215" s="40"/>
      <x:c r="D215" s="40"/>
      <x:c r="E215" s="40"/>
      <x:c r="F215" s="40"/>
      <x:c r="G215" s="44"/>
      <x:c r="H215" s="46"/>
      <x:c r="I215" s="48" t="str">
        <x:f>IF(B215="","",IFERROR(VLOOKUP(B215,Merchant_Rates!$A:$D,3,FALSE),4000))</x:f>
      </x:c>
      <x:c r="J215" s="48" t="str">
        <x:f>IF(B215="","",MAX(0,CEILING(H215,1)-IFERROR(VLOOKUP(B215,Merchant_Rates!$A:$D,4,FALSE),3))*Rules!$B$4)</x:f>
      </x:c>
      <x:c r="K215" s="48" t="str">
        <x:f>IF(B215="","",G215+I215+J215)</x:f>
      </x:c>
    </x:row>
    <x:row r="216">
      <x:c r="A216" s="40" t="str">
        <x:f>IF(B216="","",ROW()-4)</x:f>
      </x:c>
      <x:c r="B216" s="40"/>
      <x:c r="C216" s="40"/>
      <x:c r="D216" s="40"/>
      <x:c r="E216" s="40"/>
      <x:c r="F216" s="40"/>
      <x:c r="G216" s="44"/>
      <x:c r="H216" s="46"/>
      <x:c r="I216" s="48" t="str">
        <x:f>IF(B216="","",IFERROR(VLOOKUP(B216,Merchant_Rates!$A:$D,3,FALSE),4000))</x:f>
      </x:c>
      <x:c r="J216" s="48" t="str">
        <x:f>IF(B216="","",MAX(0,CEILING(H216,1)-IFERROR(VLOOKUP(B216,Merchant_Rates!$A:$D,4,FALSE),3))*Rules!$B$4)</x:f>
      </x:c>
      <x:c r="K216" s="48" t="str">
        <x:f>IF(B216="","",G216+I216+J216)</x:f>
      </x:c>
    </x:row>
    <x:row r="217">
      <x:c r="A217" s="40" t="str">
        <x:f>IF(B217="","",ROW()-4)</x:f>
      </x:c>
      <x:c r="B217" s="40"/>
      <x:c r="C217" s="40"/>
      <x:c r="D217" s="40"/>
      <x:c r="E217" s="40"/>
      <x:c r="F217" s="40"/>
      <x:c r="G217" s="44"/>
      <x:c r="H217" s="46"/>
      <x:c r="I217" s="48" t="str">
        <x:f>IF(B217="","",IFERROR(VLOOKUP(B217,Merchant_Rates!$A:$D,3,FALSE),4000))</x:f>
      </x:c>
      <x:c r="J217" s="48" t="str">
        <x:f>IF(B217="","",MAX(0,CEILING(H217,1)-IFERROR(VLOOKUP(B217,Merchant_Rates!$A:$D,4,FALSE),3))*Rules!$B$4)</x:f>
      </x:c>
      <x:c r="K217" s="48" t="str">
        <x:f>IF(B217="","",G217+I217+J217)</x:f>
      </x:c>
    </x:row>
    <x:row r="218">
      <x:c r="A218" s="40" t="str">
        <x:f>IF(B218="","",ROW()-4)</x:f>
      </x:c>
      <x:c r="B218" s="40"/>
      <x:c r="C218" s="40"/>
      <x:c r="D218" s="40"/>
      <x:c r="E218" s="40"/>
      <x:c r="F218" s="40"/>
      <x:c r="G218" s="44"/>
      <x:c r="H218" s="46"/>
      <x:c r="I218" s="48" t="str">
        <x:f>IF(B218="","",IFERROR(VLOOKUP(B218,Merchant_Rates!$A:$D,3,FALSE),4000))</x:f>
      </x:c>
      <x:c r="J218" s="48" t="str">
        <x:f>IF(B218="","",MAX(0,CEILING(H218,1)-IFERROR(VLOOKUP(B218,Merchant_Rates!$A:$D,4,FALSE),3))*Rules!$B$4)</x:f>
      </x:c>
      <x:c r="K218" s="48" t="str">
        <x:f>IF(B218="","",G218+I218+J218)</x:f>
      </x:c>
    </x:row>
    <x:row r="219">
      <x:c r="A219" s="40" t="str">
        <x:f>IF(B219="","",ROW()-4)</x:f>
      </x:c>
      <x:c r="B219" s="40"/>
      <x:c r="C219" s="40"/>
      <x:c r="D219" s="40"/>
      <x:c r="E219" s="40"/>
      <x:c r="F219" s="40"/>
      <x:c r="G219" s="44"/>
      <x:c r="H219" s="46"/>
      <x:c r="I219" s="48" t="str">
        <x:f>IF(B219="","",IFERROR(VLOOKUP(B219,Merchant_Rates!$A:$D,3,FALSE),4000))</x:f>
      </x:c>
      <x:c r="J219" s="48" t="str">
        <x:f>IF(B219="","",MAX(0,CEILING(H219,1)-IFERROR(VLOOKUP(B219,Merchant_Rates!$A:$D,4,FALSE),3))*Rules!$B$4)</x:f>
      </x:c>
      <x:c r="K219" s="48" t="str">
        <x:f>IF(B219="","",G219+I219+J219)</x:f>
      </x:c>
    </x:row>
    <x:row r="220">
      <x:c r="A220" s="40" t="str">
        <x:f>IF(B220="","",ROW()-4)</x:f>
      </x:c>
      <x:c r="B220" s="40"/>
      <x:c r="C220" s="40"/>
      <x:c r="D220" s="40"/>
      <x:c r="E220" s="40"/>
      <x:c r="F220" s="40"/>
      <x:c r="G220" s="44"/>
      <x:c r="H220" s="46"/>
      <x:c r="I220" s="48" t="str">
        <x:f>IF(B220="","",IFERROR(VLOOKUP(B220,Merchant_Rates!$A:$D,3,FALSE),4000))</x:f>
      </x:c>
      <x:c r="J220" s="48" t="str">
        <x:f>IF(B220="","",MAX(0,CEILING(H220,1)-IFERROR(VLOOKUP(B220,Merchant_Rates!$A:$D,4,FALSE),3))*Rules!$B$4)</x:f>
      </x:c>
      <x:c r="K220" s="48" t="str">
        <x:f>IF(B220="","",G220+I220+J220)</x:f>
      </x:c>
    </x:row>
    <x:row r="221">
      <x:c r="A221" s="40" t="str">
        <x:f>IF(B221="","",ROW()-4)</x:f>
      </x:c>
      <x:c r="B221" s="40"/>
      <x:c r="C221" s="40"/>
      <x:c r="D221" s="40"/>
      <x:c r="E221" s="40"/>
      <x:c r="F221" s="40"/>
      <x:c r="G221" s="44"/>
      <x:c r="H221" s="46"/>
      <x:c r="I221" s="48" t="str">
        <x:f>IF(B221="","",IFERROR(VLOOKUP(B221,Merchant_Rates!$A:$D,3,FALSE),4000))</x:f>
      </x:c>
      <x:c r="J221" s="48" t="str">
        <x:f>IF(B221="","",MAX(0,CEILING(H221,1)-IFERROR(VLOOKUP(B221,Merchant_Rates!$A:$D,4,FALSE),3))*Rules!$B$4)</x:f>
      </x:c>
      <x:c r="K221" s="48" t="str">
        <x:f>IF(B221="","",G221+I221+J221)</x:f>
      </x:c>
    </x:row>
    <x:row r="222">
      <x:c r="A222" s="40" t="str">
        <x:f>IF(B222="","",ROW()-4)</x:f>
      </x:c>
      <x:c r="B222" s="40"/>
      <x:c r="C222" s="40"/>
      <x:c r="D222" s="40"/>
      <x:c r="E222" s="40"/>
      <x:c r="F222" s="40"/>
      <x:c r="G222" s="44"/>
      <x:c r="H222" s="46"/>
      <x:c r="I222" s="48" t="str">
        <x:f>IF(B222="","",IFERROR(VLOOKUP(B222,Merchant_Rates!$A:$D,3,FALSE),4000))</x:f>
      </x:c>
      <x:c r="J222" s="48" t="str">
        <x:f>IF(B222="","",MAX(0,CEILING(H222,1)-IFERROR(VLOOKUP(B222,Merchant_Rates!$A:$D,4,FALSE),3))*Rules!$B$4)</x:f>
      </x:c>
      <x:c r="K222" s="48" t="str">
        <x:f>IF(B222="","",G222+I222+J222)</x:f>
      </x:c>
    </x:row>
    <x:row r="223">
      <x:c r="A223" s="40" t="str">
        <x:f>IF(B223="","",ROW()-4)</x:f>
      </x:c>
      <x:c r="B223" s="40"/>
      <x:c r="C223" s="40"/>
      <x:c r="D223" s="40"/>
      <x:c r="E223" s="40"/>
      <x:c r="F223" s="40"/>
      <x:c r="G223" s="44"/>
      <x:c r="H223" s="46"/>
      <x:c r="I223" s="48" t="str">
        <x:f>IF(B223="","",IFERROR(VLOOKUP(B223,Merchant_Rates!$A:$D,3,FALSE),4000))</x:f>
      </x:c>
      <x:c r="J223" s="48" t="str">
        <x:f>IF(B223="","",MAX(0,CEILING(H223,1)-IFERROR(VLOOKUP(B223,Merchant_Rates!$A:$D,4,FALSE),3))*Rules!$B$4)</x:f>
      </x:c>
      <x:c r="K223" s="48" t="str">
        <x:f>IF(B223="","",G223+I223+J223)</x:f>
      </x:c>
    </x:row>
    <x:row r="224">
      <x:c r="A224" s="40" t="str">
        <x:f>IF(B224="","",ROW()-4)</x:f>
      </x:c>
      <x:c r="B224" s="40"/>
      <x:c r="C224" s="40"/>
      <x:c r="D224" s="40"/>
      <x:c r="E224" s="40"/>
      <x:c r="F224" s="40"/>
      <x:c r="G224" s="44"/>
      <x:c r="H224" s="46"/>
      <x:c r="I224" s="48" t="str">
        <x:f>IF(B224="","",IFERROR(VLOOKUP(B224,Merchant_Rates!$A:$D,3,FALSE),4000))</x:f>
      </x:c>
      <x:c r="J224" s="48" t="str">
        <x:f>IF(B224="","",MAX(0,CEILING(H224,1)-IFERROR(VLOOKUP(B224,Merchant_Rates!$A:$D,4,FALSE),3))*Rules!$B$4)</x:f>
      </x:c>
      <x:c r="K224" s="48" t="str">
        <x:f>IF(B224="","",G224+I224+J224)</x:f>
      </x:c>
    </x:row>
    <x:row r="225">
      <x:c r="A225" s="40" t="str">
        <x:f>IF(B225="","",ROW()-4)</x:f>
      </x:c>
      <x:c r="B225" s="40"/>
      <x:c r="C225" s="40"/>
      <x:c r="D225" s="40"/>
      <x:c r="E225" s="40"/>
      <x:c r="F225" s="40"/>
      <x:c r="G225" s="44"/>
      <x:c r="H225" s="46"/>
      <x:c r="I225" s="48" t="str">
        <x:f>IF(B225="","",IFERROR(VLOOKUP(B225,Merchant_Rates!$A:$D,3,FALSE),4000))</x:f>
      </x:c>
      <x:c r="J225" s="48" t="str">
        <x:f>IF(B225="","",MAX(0,CEILING(H225,1)-IFERROR(VLOOKUP(B225,Merchant_Rates!$A:$D,4,FALSE),3))*Rules!$B$4)</x:f>
      </x:c>
      <x:c r="K225" s="48" t="str">
        <x:f>IF(B225="","",G225+I225+J225)</x:f>
      </x:c>
    </x:row>
    <x:row r="226">
      <x:c r="A226" s="40" t="str">
        <x:f>IF(B226="","",ROW()-4)</x:f>
      </x:c>
      <x:c r="B226" s="40"/>
      <x:c r="C226" s="40"/>
      <x:c r="D226" s="40"/>
      <x:c r="E226" s="40"/>
      <x:c r="F226" s="40"/>
      <x:c r="G226" s="44"/>
      <x:c r="H226" s="46"/>
      <x:c r="I226" s="48" t="str">
        <x:f>IF(B226="","",IFERROR(VLOOKUP(B226,Merchant_Rates!$A:$D,3,FALSE),4000))</x:f>
      </x:c>
      <x:c r="J226" s="48" t="str">
        <x:f>IF(B226="","",MAX(0,CEILING(H226,1)-IFERROR(VLOOKUP(B226,Merchant_Rates!$A:$D,4,FALSE),3))*Rules!$B$4)</x:f>
      </x:c>
      <x:c r="K226" s="48" t="str">
        <x:f>IF(B226="","",G226+I226+J226)</x:f>
      </x:c>
    </x:row>
    <x:row r="227">
      <x:c r="A227" s="40" t="str">
        <x:f>IF(B227="","",ROW()-4)</x:f>
      </x:c>
      <x:c r="B227" s="40"/>
      <x:c r="C227" s="40"/>
      <x:c r="D227" s="40"/>
      <x:c r="E227" s="40"/>
      <x:c r="F227" s="40"/>
      <x:c r="G227" s="44"/>
      <x:c r="H227" s="46"/>
      <x:c r="I227" s="48" t="str">
        <x:f>IF(B227="","",IFERROR(VLOOKUP(B227,Merchant_Rates!$A:$D,3,FALSE),4000))</x:f>
      </x:c>
      <x:c r="J227" s="48" t="str">
        <x:f>IF(B227="","",MAX(0,CEILING(H227,1)-IFERROR(VLOOKUP(B227,Merchant_Rates!$A:$D,4,FALSE),3))*Rules!$B$4)</x:f>
      </x:c>
      <x:c r="K227" s="48" t="str">
        <x:f>IF(B227="","",G227+I227+J227)</x:f>
      </x:c>
    </x:row>
    <x:row r="228">
      <x:c r="A228" s="40" t="str">
        <x:f>IF(B228="","",ROW()-4)</x:f>
      </x:c>
      <x:c r="B228" s="40"/>
      <x:c r="C228" s="40"/>
      <x:c r="D228" s="40"/>
      <x:c r="E228" s="40"/>
      <x:c r="F228" s="40"/>
      <x:c r="G228" s="44"/>
      <x:c r="H228" s="46"/>
      <x:c r="I228" s="48" t="str">
        <x:f>IF(B228="","",IFERROR(VLOOKUP(B228,Merchant_Rates!$A:$D,3,FALSE),4000))</x:f>
      </x:c>
      <x:c r="J228" s="48" t="str">
        <x:f>IF(B228="","",MAX(0,CEILING(H228,1)-IFERROR(VLOOKUP(B228,Merchant_Rates!$A:$D,4,FALSE),3))*Rules!$B$4)</x:f>
      </x:c>
      <x:c r="K228" s="48" t="str">
        <x:f>IF(B228="","",G228+I228+J228)</x:f>
      </x:c>
    </x:row>
    <x:row r="229">
      <x:c r="A229" s="40" t="str">
        <x:f>IF(B229="","",ROW()-4)</x:f>
      </x:c>
      <x:c r="B229" s="40"/>
      <x:c r="C229" s="40"/>
      <x:c r="D229" s="40"/>
      <x:c r="E229" s="40"/>
      <x:c r="F229" s="40"/>
      <x:c r="G229" s="44"/>
      <x:c r="H229" s="46"/>
      <x:c r="I229" s="48" t="str">
        <x:f>IF(B229="","",IFERROR(VLOOKUP(B229,Merchant_Rates!$A:$D,3,FALSE),4000))</x:f>
      </x:c>
      <x:c r="J229" s="48" t="str">
        <x:f>IF(B229="","",MAX(0,CEILING(H229,1)-IFERROR(VLOOKUP(B229,Merchant_Rates!$A:$D,4,FALSE),3))*Rules!$B$4)</x:f>
      </x:c>
      <x:c r="K229" s="48" t="str">
        <x:f>IF(B229="","",G229+I229+J229)</x:f>
      </x:c>
    </x:row>
    <x:row r="230">
      <x:c r="A230" s="40" t="str">
        <x:f>IF(B230="","",ROW()-4)</x:f>
      </x:c>
      <x:c r="B230" s="40"/>
      <x:c r="C230" s="40"/>
      <x:c r="D230" s="40"/>
      <x:c r="E230" s="40"/>
      <x:c r="F230" s="40"/>
      <x:c r="G230" s="44"/>
      <x:c r="H230" s="46"/>
      <x:c r="I230" s="48" t="str">
        <x:f>IF(B230="","",IFERROR(VLOOKUP(B230,Merchant_Rates!$A:$D,3,FALSE),4000))</x:f>
      </x:c>
      <x:c r="J230" s="48" t="str">
        <x:f>IF(B230="","",MAX(0,CEILING(H230,1)-IFERROR(VLOOKUP(B230,Merchant_Rates!$A:$D,4,FALSE),3))*Rules!$B$4)</x:f>
      </x:c>
      <x:c r="K230" s="48" t="str">
        <x:f>IF(B230="","",G230+I230+J230)</x:f>
      </x:c>
    </x:row>
    <x:row r="231">
      <x:c r="A231" s="40" t="str">
        <x:f>IF(B231="","",ROW()-4)</x:f>
      </x:c>
      <x:c r="B231" s="40"/>
      <x:c r="C231" s="40"/>
      <x:c r="D231" s="40"/>
      <x:c r="E231" s="40"/>
      <x:c r="F231" s="40"/>
      <x:c r="G231" s="44"/>
      <x:c r="H231" s="46"/>
      <x:c r="I231" s="48" t="str">
        <x:f>IF(B231="","",IFERROR(VLOOKUP(B231,Merchant_Rates!$A:$D,3,FALSE),4000))</x:f>
      </x:c>
      <x:c r="J231" s="48" t="str">
        <x:f>IF(B231="","",MAX(0,CEILING(H231,1)-IFERROR(VLOOKUP(B231,Merchant_Rates!$A:$D,4,FALSE),3))*Rules!$B$4)</x:f>
      </x:c>
      <x:c r="K231" s="48" t="str">
        <x:f>IF(B231="","",G231+I231+J231)</x:f>
      </x:c>
    </x:row>
    <x:row r="232">
      <x:c r="A232" s="40" t="str">
        <x:f>IF(B232="","",ROW()-4)</x:f>
      </x:c>
      <x:c r="B232" s="40"/>
      <x:c r="C232" s="40"/>
      <x:c r="D232" s="40"/>
      <x:c r="E232" s="40"/>
      <x:c r="F232" s="40"/>
      <x:c r="G232" s="44"/>
      <x:c r="H232" s="46"/>
      <x:c r="I232" s="48" t="str">
        <x:f>IF(B232="","",IFERROR(VLOOKUP(B232,Merchant_Rates!$A:$D,3,FALSE),4000))</x:f>
      </x:c>
      <x:c r="J232" s="48" t="str">
        <x:f>IF(B232="","",MAX(0,CEILING(H232,1)-IFERROR(VLOOKUP(B232,Merchant_Rates!$A:$D,4,FALSE),3))*Rules!$B$4)</x:f>
      </x:c>
      <x:c r="K232" s="48" t="str">
        <x:f>IF(B232="","",G232+I232+J232)</x:f>
      </x:c>
    </x:row>
    <x:row r="233">
      <x:c r="A233" s="40" t="str">
        <x:f>IF(B233="","",ROW()-4)</x:f>
      </x:c>
      <x:c r="B233" s="40"/>
      <x:c r="C233" s="40"/>
      <x:c r="D233" s="40"/>
      <x:c r="E233" s="40"/>
      <x:c r="F233" s="40"/>
      <x:c r="G233" s="44"/>
      <x:c r="H233" s="46"/>
      <x:c r="I233" s="48" t="str">
        <x:f>IF(B233="","",IFERROR(VLOOKUP(B233,Merchant_Rates!$A:$D,3,FALSE),4000))</x:f>
      </x:c>
      <x:c r="J233" s="48" t="str">
        <x:f>IF(B233="","",MAX(0,CEILING(H233,1)-IFERROR(VLOOKUP(B233,Merchant_Rates!$A:$D,4,FALSE),3))*Rules!$B$4)</x:f>
      </x:c>
      <x:c r="K233" s="48" t="str">
        <x:f>IF(B233="","",G233+I233+J233)</x:f>
      </x:c>
    </x:row>
    <x:row r="234">
      <x:c r="A234" s="40" t="str">
        <x:f>IF(B234="","",ROW()-4)</x:f>
      </x:c>
      <x:c r="B234" s="40"/>
      <x:c r="C234" s="40"/>
      <x:c r="D234" s="40"/>
      <x:c r="E234" s="40"/>
      <x:c r="F234" s="40"/>
      <x:c r="G234" s="44"/>
      <x:c r="H234" s="46"/>
      <x:c r="I234" s="48" t="str">
        <x:f>IF(B234="","",IFERROR(VLOOKUP(B234,Merchant_Rates!$A:$D,3,FALSE),4000))</x:f>
      </x:c>
      <x:c r="J234" s="48" t="str">
        <x:f>IF(B234="","",MAX(0,CEILING(H234,1)-IFERROR(VLOOKUP(B234,Merchant_Rates!$A:$D,4,FALSE),3))*Rules!$B$4)</x:f>
      </x:c>
      <x:c r="K234" s="48" t="str">
        <x:f>IF(B234="","",G234+I234+J234)</x:f>
      </x:c>
    </x:row>
    <x:row r="235">
      <x:c r="A235" s="40" t="str">
        <x:f>IF(B235="","",ROW()-4)</x:f>
      </x:c>
      <x:c r="B235" s="40"/>
      <x:c r="C235" s="40"/>
      <x:c r="D235" s="40"/>
      <x:c r="E235" s="40"/>
      <x:c r="F235" s="40"/>
      <x:c r="G235" s="44"/>
      <x:c r="H235" s="46"/>
      <x:c r="I235" s="48" t="str">
        <x:f>IF(B235="","",IFERROR(VLOOKUP(B235,Merchant_Rates!$A:$D,3,FALSE),4000))</x:f>
      </x:c>
      <x:c r="J235" s="48" t="str">
        <x:f>IF(B235="","",MAX(0,CEILING(H235,1)-IFERROR(VLOOKUP(B235,Merchant_Rates!$A:$D,4,FALSE),3))*Rules!$B$4)</x:f>
      </x:c>
      <x:c r="K235" s="48" t="str">
        <x:f>IF(B235="","",G235+I235+J235)</x:f>
      </x:c>
    </x:row>
    <x:row r="236">
      <x:c r="A236" s="40" t="str">
        <x:f>IF(B236="","",ROW()-4)</x:f>
      </x:c>
      <x:c r="B236" s="40"/>
      <x:c r="C236" s="40"/>
      <x:c r="D236" s="40"/>
      <x:c r="E236" s="40"/>
      <x:c r="F236" s="40"/>
      <x:c r="G236" s="44"/>
      <x:c r="H236" s="46"/>
      <x:c r="I236" s="48" t="str">
        <x:f>IF(B236="","",IFERROR(VLOOKUP(B236,Merchant_Rates!$A:$D,3,FALSE),4000))</x:f>
      </x:c>
      <x:c r="J236" s="48" t="str">
        <x:f>IF(B236="","",MAX(0,CEILING(H236,1)-IFERROR(VLOOKUP(B236,Merchant_Rates!$A:$D,4,FALSE),3))*Rules!$B$4)</x:f>
      </x:c>
      <x:c r="K236" s="48" t="str">
        <x:f>IF(B236="","",G236+I236+J236)</x:f>
      </x:c>
    </x:row>
    <x:row r="237">
      <x:c r="A237" s="40" t="str">
        <x:f>IF(B237="","",ROW()-4)</x:f>
      </x:c>
      <x:c r="B237" s="40"/>
      <x:c r="C237" s="40"/>
      <x:c r="D237" s="40"/>
      <x:c r="E237" s="40"/>
      <x:c r="F237" s="40"/>
      <x:c r="G237" s="44"/>
      <x:c r="H237" s="46"/>
      <x:c r="I237" s="48" t="str">
        <x:f>IF(B237="","",IFERROR(VLOOKUP(B237,Merchant_Rates!$A:$D,3,FALSE),4000))</x:f>
      </x:c>
      <x:c r="J237" s="48" t="str">
        <x:f>IF(B237="","",MAX(0,CEILING(H237,1)-IFERROR(VLOOKUP(B237,Merchant_Rates!$A:$D,4,FALSE),3))*Rules!$B$4)</x:f>
      </x:c>
      <x:c r="K237" s="48" t="str">
        <x:f>IF(B237="","",G237+I237+J237)</x:f>
      </x:c>
    </x:row>
    <x:row r="238">
      <x:c r="A238" s="40" t="str">
        <x:f>IF(B238="","",ROW()-4)</x:f>
      </x:c>
      <x:c r="B238" s="40"/>
      <x:c r="C238" s="40"/>
      <x:c r="D238" s="40"/>
      <x:c r="E238" s="40"/>
      <x:c r="F238" s="40"/>
      <x:c r="G238" s="44"/>
      <x:c r="H238" s="46"/>
      <x:c r="I238" s="48" t="str">
        <x:f>IF(B238="","",IFERROR(VLOOKUP(B238,Merchant_Rates!$A:$D,3,FALSE),4000))</x:f>
      </x:c>
      <x:c r="J238" s="48" t="str">
        <x:f>IF(B238="","",MAX(0,CEILING(H238,1)-IFERROR(VLOOKUP(B238,Merchant_Rates!$A:$D,4,FALSE),3))*Rules!$B$4)</x:f>
      </x:c>
      <x:c r="K238" s="48" t="str">
        <x:f>IF(B238="","",G238+I238+J238)</x:f>
      </x:c>
    </x:row>
    <x:row r="239">
      <x:c r="A239" s="40" t="str">
        <x:f>IF(B239="","",ROW()-4)</x:f>
      </x:c>
      <x:c r="B239" s="40"/>
      <x:c r="C239" s="40"/>
      <x:c r="D239" s="40"/>
      <x:c r="E239" s="40"/>
      <x:c r="F239" s="40"/>
      <x:c r="G239" s="44"/>
      <x:c r="H239" s="46"/>
      <x:c r="I239" s="48" t="str">
        <x:f>IF(B239="","",IFERROR(VLOOKUP(B239,Merchant_Rates!$A:$D,3,FALSE),4000))</x:f>
      </x:c>
      <x:c r="J239" s="48" t="str">
        <x:f>IF(B239="","",MAX(0,CEILING(H239,1)-IFERROR(VLOOKUP(B239,Merchant_Rates!$A:$D,4,FALSE),3))*Rules!$B$4)</x:f>
      </x:c>
      <x:c r="K239" s="48" t="str">
        <x:f>IF(B239="","",G239+I239+J239)</x:f>
      </x:c>
    </x:row>
    <x:row r="240">
      <x:c r="A240" s="40" t="str">
        <x:f>IF(B240="","",ROW()-4)</x:f>
      </x:c>
      <x:c r="B240" s="40"/>
      <x:c r="C240" s="40"/>
      <x:c r="D240" s="40"/>
      <x:c r="E240" s="40"/>
      <x:c r="F240" s="40"/>
      <x:c r="G240" s="44"/>
      <x:c r="H240" s="46"/>
      <x:c r="I240" s="48" t="str">
        <x:f>IF(B240="","",IFERROR(VLOOKUP(B240,Merchant_Rates!$A:$D,3,FALSE),4000))</x:f>
      </x:c>
      <x:c r="J240" s="48" t="str">
        <x:f>IF(B240="","",MAX(0,CEILING(H240,1)-IFERROR(VLOOKUP(B240,Merchant_Rates!$A:$D,4,FALSE),3))*Rules!$B$4)</x:f>
      </x:c>
      <x:c r="K240" s="48" t="str">
        <x:f>IF(B240="","",G240+I240+J240)</x:f>
      </x:c>
    </x:row>
    <x:row r="241">
      <x:c r="A241" s="40" t="str">
        <x:f>IF(B241="","",ROW()-4)</x:f>
      </x:c>
      <x:c r="B241" s="40"/>
      <x:c r="C241" s="40"/>
      <x:c r="D241" s="40"/>
      <x:c r="E241" s="40"/>
      <x:c r="F241" s="40"/>
      <x:c r="G241" s="44"/>
      <x:c r="H241" s="46"/>
      <x:c r="I241" s="48" t="str">
        <x:f>IF(B241="","",IFERROR(VLOOKUP(B241,Merchant_Rates!$A:$D,3,FALSE),4000))</x:f>
      </x:c>
      <x:c r="J241" s="48" t="str">
        <x:f>IF(B241="","",MAX(0,CEILING(H241,1)-IFERROR(VLOOKUP(B241,Merchant_Rates!$A:$D,4,FALSE),3))*Rules!$B$4)</x:f>
      </x:c>
      <x:c r="K241" s="48" t="str">
        <x:f>IF(B241="","",G241+I241+J241)</x:f>
      </x:c>
    </x:row>
    <x:row r="242">
      <x:c r="A242" s="40" t="str">
        <x:f>IF(B242="","",ROW()-4)</x:f>
      </x:c>
      <x:c r="B242" s="40"/>
      <x:c r="C242" s="40"/>
      <x:c r="D242" s="40"/>
      <x:c r="E242" s="40"/>
      <x:c r="F242" s="40"/>
      <x:c r="G242" s="44"/>
      <x:c r="H242" s="46"/>
      <x:c r="I242" s="48" t="str">
        <x:f>IF(B242="","",IFERROR(VLOOKUP(B242,Merchant_Rates!$A:$D,3,FALSE),4000))</x:f>
      </x:c>
      <x:c r="J242" s="48" t="str">
        <x:f>IF(B242="","",MAX(0,CEILING(H242,1)-IFERROR(VLOOKUP(B242,Merchant_Rates!$A:$D,4,FALSE),3))*Rules!$B$4)</x:f>
      </x:c>
      <x:c r="K242" s="48" t="str">
        <x:f>IF(B242="","",G242+I242+J242)</x:f>
      </x:c>
    </x:row>
    <x:row r="243">
      <x:c r="A243" s="40" t="str">
        <x:f>IF(B243="","",ROW()-4)</x:f>
      </x:c>
      <x:c r="B243" s="40"/>
      <x:c r="C243" s="40"/>
      <x:c r="D243" s="40"/>
      <x:c r="E243" s="40"/>
      <x:c r="F243" s="40"/>
      <x:c r="G243" s="44"/>
      <x:c r="H243" s="46"/>
      <x:c r="I243" s="48" t="str">
        <x:f>IF(B243="","",IFERROR(VLOOKUP(B243,Merchant_Rates!$A:$D,3,FALSE),4000))</x:f>
      </x:c>
      <x:c r="J243" s="48" t="str">
        <x:f>IF(B243="","",MAX(0,CEILING(H243,1)-IFERROR(VLOOKUP(B243,Merchant_Rates!$A:$D,4,FALSE),3))*Rules!$B$4)</x:f>
      </x:c>
      <x:c r="K243" s="48" t="str">
        <x:f>IF(B243="","",G243+I243+J243)</x:f>
      </x:c>
    </x:row>
    <x:row r="244">
      <x:c r="A244" s="40" t="str">
        <x:f>IF(B244="","",ROW()-4)</x:f>
      </x:c>
      <x:c r="B244" s="40"/>
      <x:c r="C244" s="40"/>
      <x:c r="D244" s="40"/>
      <x:c r="E244" s="40"/>
      <x:c r="F244" s="40"/>
      <x:c r="G244" s="44"/>
      <x:c r="H244" s="46"/>
      <x:c r="I244" s="48" t="str">
        <x:f>IF(B244="","",IFERROR(VLOOKUP(B244,Merchant_Rates!$A:$D,3,FALSE),4000))</x:f>
      </x:c>
      <x:c r="J244" s="48" t="str">
        <x:f>IF(B244="","",MAX(0,CEILING(H244,1)-IFERROR(VLOOKUP(B244,Merchant_Rates!$A:$D,4,FALSE),3))*Rules!$B$4)</x:f>
      </x:c>
      <x:c r="K244" s="48" t="str">
        <x:f>IF(B244="","",G244+I244+J244)</x:f>
      </x:c>
    </x:row>
    <x:row r="245">
      <x:c r="A245" s="40" t="str">
        <x:f>IF(B245="","",ROW()-4)</x:f>
      </x:c>
      <x:c r="B245" s="40"/>
      <x:c r="C245" s="40"/>
      <x:c r="D245" s="40"/>
      <x:c r="E245" s="40"/>
      <x:c r="F245" s="40"/>
      <x:c r="G245" s="44"/>
      <x:c r="H245" s="46"/>
      <x:c r="I245" s="48" t="str">
        <x:f>IF(B245="","",IFERROR(VLOOKUP(B245,Merchant_Rates!$A:$D,3,FALSE),4000))</x:f>
      </x:c>
      <x:c r="J245" s="48" t="str">
        <x:f>IF(B245="","",MAX(0,CEILING(H245,1)-IFERROR(VLOOKUP(B245,Merchant_Rates!$A:$D,4,FALSE),3))*Rules!$B$4)</x:f>
      </x:c>
      <x:c r="K245" s="48" t="str">
        <x:f>IF(B245="","",G245+I245+J245)</x:f>
      </x:c>
    </x:row>
    <x:row r="246">
      <x:c r="A246" s="40" t="str">
        <x:f>IF(B246="","",ROW()-4)</x:f>
      </x:c>
      <x:c r="B246" s="40"/>
      <x:c r="C246" s="40"/>
      <x:c r="D246" s="40"/>
      <x:c r="E246" s="40"/>
      <x:c r="F246" s="40"/>
      <x:c r="G246" s="44"/>
      <x:c r="H246" s="46"/>
      <x:c r="I246" s="48" t="str">
        <x:f>IF(B246="","",IFERROR(VLOOKUP(B246,Merchant_Rates!$A:$D,3,FALSE),4000))</x:f>
      </x:c>
      <x:c r="J246" s="48" t="str">
        <x:f>IF(B246="","",MAX(0,CEILING(H246,1)-IFERROR(VLOOKUP(B246,Merchant_Rates!$A:$D,4,FALSE),3))*Rules!$B$4)</x:f>
      </x:c>
      <x:c r="K246" s="48" t="str">
        <x:f>IF(B246="","",G246+I246+J246)</x:f>
      </x:c>
    </x:row>
    <x:row r="247">
      <x:c r="A247" s="40" t="str">
        <x:f>IF(B247="","",ROW()-4)</x:f>
      </x:c>
      <x:c r="B247" s="40"/>
      <x:c r="C247" s="40"/>
      <x:c r="D247" s="40"/>
      <x:c r="E247" s="40"/>
      <x:c r="F247" s="40"/>
      <x:c r="G247" s="44"/>
      <x:c r="H247" s="46"/>
      <x:c r="I247" s="48" t="str">
        <x:f>IF(B247="","",IFERROR(VLOOKUP(B247,Merchant_Rates!$A:$D,3,FALSE),4000))</x:f>
      </x:c>
      <x:c r="J247" s="48" t="str">
        <x:f>IF(B247="","",MAX(0,CEILING(H247,1)-IFERROR(VLOOKUP(B247,Merchant_Rates!$A:$D,4,FALSE),3))*Rules!$B$4)</x:f>
      </x:c>
      <x:c r="K247" s="48" t="str">
        <x:f>IF(B247="","",G247+I247+J247)</x:f>
      </x:c>
    </x:row>
    <x:row r="248">
      <x:c r="A248" s="40" t="str">
        <x:f>IF(B248="","",ROW()-4)</x:f>
      </x:c>
      <x:c r="B248" s="40"/>
      <x:c r="C248" s="40"/>
      <x:c r="D248" s="40"/>
      <x:c r="E248" s="40"/>
      <x:c r="F248" s="40"/>
      <x:c r="G248" s="44"/>
      <x:c r="H248" s="46"/>
      <x:c r="I248" s="48" t="str">
        <x:f>IF(B248="","",IFERROR(VLOOKUP(B248,Merchant_Rates!$A:$D,3,FALSE),4000))</x:f>
      </x:c>
      <x:c r="J248" s="48" t="str">
        <x:f>IF(B248="","",MAX(0,CEILING(H248,1)-IFERROR(VLOOKUP(B248,Merchant_Rates!$A:$D,4,FALSE),3))*Rules!$B$4)</x:f>
      </x:c>
      <x:c r="K248" s="48" t="str">
        <x:f>IF(B248="","",G248+I248+J248)</x:f>
      </x:c>
    </x:row>
    <x:row r="249">
      <x:c r="A249" s="40" t="str">
        <x:f>IF(B249="","",ROW()-4)</x:f>
      </x:c>
      <x:c r="B249" s="40"/>
      <x:c r="C249" s="40"/>
      <x:c r="D249" s="40"/>
      <x:c r="E249" s="40"/>
      <x:c r="F249" s="40"/>
      <x:c r="G249" s="44"/>
      <x:c r="H249" s="46"/>
      <x:c r="I249" s="48" t="str">
        <x:f>IF(B249="","",IFERROR(VLOOKUP(B249,Merchant_Rates!$A:$D,3,FALSE),4000))</x:f>
      </x:c>
      <x:c r="J249" s="48" t="str">
        <x:f>IF(B249="","",MAX(0,CEILING(H249,1)-IFERROR(VLOOKUP(B249,Merchant_Rates!$A:$D,4,FALSE),3))*Rules!$B$4)</x:f>
      </x:c>
      <x:c r="K249" s="48" t="str">
        <x:f>IF(B249="","",G249+I249+J249)</x:f>
      </x:c>
    </x:row>
    <x:row r="250">
      <x:c r="A250" s="40" t="str">
        <x:f>IF(B250="","",ROW()-4)</x:f>
      </x:c>
      <x:c r="B250" s="40"/>
      <x:c r="C250" s="40"/>
      <x:c r="D250" s="40"/>
      <x:c r="E250" s="40"/>
      <x:c r="F250" s="40"/>
      <x:c r="G250" s="44"/>
      <x:c r="H250" s="46"/>
      <x:c r="I250" s="48" t="str">
        <x:f>IF(B250="","",IFERROR(VLOOKUP(B250,Merchant_Rates!$A:$D,3,FALSE),4000))</x:f>
      </x:c>
      <x:c r="J250" s="48" t="str">
        <x:f>IF(B250="","",MAX(0,CEILING(H250,1)-IFERROR(VLOOKUP(B250,Merchant_Rates!$A:$D,4,FALSE),3))*Rules!$B$4)</x:f>
      </x:c>
      <x:c r="K250" s="48" t="str">
        <x:f>IF(B250="","",G250+I250+J250)</x:f>
      </x:c>
    </x:row>
    <x:row r="251">
      <x:c r="A251" s="40" t="str">
        <x:f>IF(B251="","",ROW()-4)</x:f>
      </x:c>
      <x:c r="B251" s="40"/>
      <x:c r="C251" s="40"/>
      <x:c r="D251" s="40"/>
      <x:c r="E251" s="40"/>
      <x:c r="F251" s="40"/>
      <x:c r="G251" s="44"/>
      <x:c r="H251" s="46"/>
      <x:c r="I251" s="48" t="str">
        <x:f>IF(B251="","",IFERROR(VLOOKUP(B251,Merchant_Rates!$A:$D,3,FALSE),4000))</x:f>
      </x:c>
      <x:c r="J251" s="48" t="str">
        <x:f>IF(B251="","",MAX(0,CEILING(H251,1)-IFERROR(VLOOKUP(B251,Merchant_Rates!$A:$D,4,FALSE),3))*Rules!$B$4)</x:f>
      </x:c>
      <x:c r="K251" s="48" t="str">
        <x:f>IF(B251="","",G251+I251+J251)</x:f>
      </x:c>
    </x:row>
    <x:row r="252">
      <x:c r="A252" s="40" t="str">
        <x:f>IF(B252="","",ROW()-4)</x:f>
      </x:c>
      <x:c r="B252" s="40"/>
      <x:c r="C252" s="40"/>
      <x:c r="D252" s="40"/>
      <x:c r="E252" s="40"/>
      <x:c r="F252" s="40"/>
      <x:c r="G252" s="44"/>
      <x:c r="H252" s="46"/>
      <x:c r="I252" s="48" t="str">
        <x:f>IF(B252="","",IFERROR(VLOOKUP(B252,Merchant_Rates!$A:$D,3,FALSE),4000))</x:f>
      </x:c>
      <x:c r="J252" s="48" t="str">
        <x:f>IF(B252="","",MAX(0,CEILING(H252,1)-IFERROR(VLOOKUP(B252,Merchant_Rates!$A:$D,4,FALSE),3))*Rules!$B$4)</x:f>
      </x:c>
      <x:c r="K252" s="48" t="str">
        <x:f>IF(B252="","",G252+I252+J252)</x:f>
      </x:c>
    </x:row>
    <x:row r="253">
      <x:c r="A253" s="40" t="str">
        <x:f>IF(B253="","",ROW()-4)</x:f>
      </x:c>
      <x:c r="B253" s="40"/>
      <x:c r="C253" s="40"/>
      <x:c r="D253" s="40"/>
      <x:c r="E253" s="40"/>
      <x:c r="F253" s="40"/>
      <x:c r="G253" s="44"/>
      <x:c r="H253" s="46"/>
      <x:c r="I253" s="48" t="str">
        <x:f>IF(B253="","",IFERROR(VLOOKUP(B253,Merchant_Rates!$A:$D,3,FALSE),4000))</x:f>
      </x:c>
      <x:c r="J253" s="48" t="str">
        <x:f>IF(B253="","",MAX(0,CEILING(H253,1)-IFERROR(VLOOKUP(B253,Merchant_Rates!$A:$D,4,FALSE),3))*Rules!$B$4)</x:f>
      </x:c>
      <x:c r="K253" s="48" t="str">
        <x:f>IF(B253="","",G253+I253+J253)</x:f>
      </x:c>
    </x:row>
    <x:row r="254">
      <x:c r="A254" s="40" t="str">
        <x:f>IF(B254="","",ROW()-4)</x:f>
      </x:c>
      <x:c r="B254" s="40"/>
      <x:c r="C254" s="40"/>
      <x:c r="D254" s="40"/>
      <x:c r="E254" s="40"/>
      <x:c r="F254" s="40"/>
      <x:c r="G254" s="44"/>
      <x:c r="H254" s="46"/>
      <x:c r="I254" s="48" t="str">
        <x:f>IF(B254="","",IFERROR(VLOOKUP(B254,Merchant_Rates!$A:$D,3,FALSE),4000))</x:f>
      </x:c>
      <x:c r="J254" s="48" t="str">
        <x:f>IF(B254="","",MAX(0,CEILING(H254,1)-IFERROR(VLOOKUP(B254,Merchant_Rates!$A:$D,4,FALSE),3))*Rules!$B$4)</x:f>
      </x:c>
      <x:c r="K254" s="48" t="str">
        <x:f>IF(B254="","",G254+I254+J254)</x:f>
      </x:c>
    </x:row>
    <x:row r="255">
      <x:c r="A255" s="40" t="str">
        <x:f>IF(B255="","",ROW()-4)</x:f>
      </x:c>
      <x:c r="B255" s="40"/>
      <x:c r="C255" s="40"/>
      <x:c r="D255" s="40"/>
      <x:c r="E255" s="40"/>
      <x:c r="F255" s="40"/>
      <x:c r="G255" s="44"/>
      <x:c r="H255" s="46"/>
      <x:c r="I255" s="48" t="str">
        <x:f>IF(B255="","",IFERROR(VLOOKUP(B255,Merchant_Rates!$A:$D,3,FALSE),4000))</x:f>
      </x:c>
      <x:c r="J255" s="48" t="str">
        <x:f>IF(B255="","",MAX(0,CEILING(H255,1)-IFERROR(VLOOKUP(B255,Merchant_Rates!$A:$D,4,FALSE),3))*Rules!$B$4)</x:f>
      </x:c>
      <x:c r="K255" s="48" t="str">
        <x:f>IF(B255="","",G255+I255+J255)</x:f>
      </x:c>
    </x:row>
    <x:row r="256">
      <x:c r="A256" s="40" t="str">
        <x:f>IF(B256="","",ROW()-4)</x:f>
      </x:c>
      <x:c r="B256" s="40"/>
      <x:c r="C256" s="40"/>
      <x:c r="D256" s="40"/>
      <x:c r="E256" s="40"/>
      <x:c r="F256" s="40"/>
      <x:c r="G256" s="44"/>
      <x:c r="H256" s="46"/>
      <x:c r="I256" s="48" t="str">
        <x:f>IF(B256="","",IFERROR(VLOOKUP(B256,Merchant_Rates!$A:$D,3,FALSE),4000))</x:f>
      </x:c>
      <x:c r="J256" s="48" t="str">
        <x:f>IF(B256="","",MAX(0,CEILING(H256,1)-IFERROR(VLOOKUP(B256,Merchant_Rates!$A:$D,4,FALSE),3))*Rules!$B$4)</x:f>
      </x:c>
      <x:c r="K256" s="48" t="str">
        <x:f>IF(B256="","",G256+I256+J256)</x:f>
      </x:c>
    </x:row>
    <x:row r="257">
      <x:c r="A257" s="40" t="str">
        <x:f>IF(B257="","",ROW()-4)</x:f>
      </x:c>
      <x:c r="B257" s="40"/>
      <x:c r="C257" s="40"/>
      <x:c r="D257" s="40"/>
      <x:c r="E257" s="40"/>
      <x:c r="F257" s="40"/>
      <x:c r="G257" s="44"/>
      <x:c r="H257" s="46"/>
      <x:c r="I257" s="48" t="str">
        <x:f>IF(B257="","",IFERROR(VLOOKUP(B257,Merchant_Rates!$A:$D,3,FALSE),4000))</x:f>
      </x:c>
      <x:c r="J257" s="48" t="str">
        <x:f>IF(B257="","",MAX(0,CEILING(H257,1)-IFERROR(VLOOKUP(B257,Merchant_Rates!$A:$D,4,FALSE),3))*Rules!$B$4)</x:f>
      </x:c>
      <x:c r="K257" s="48" t="str">
        <x:f>IF(B257="","",G257+I257+J257)</x:f>
      </x:c>
    </x:row>
    <x:row r="258">
      <x:c r="A258" s="40" t="str">
        <x:f>IF(B258="","",ROW()-4)</x:f>
      </x:c>
      <x:c r="B258" s="40"/>
      <x:c r="C258" s="40"/>
      <x:c r="D258" s="40"/>
      <x:c r="E258" s="40"/>
      <x:c r="F258" s="40"/>
      <x:c r="G258" s="44"/>
      <x:c r="H258" s="46"/>
      <x:c r="I258" s="48" t="str">
        <x:f>IF(B258="","",IFERROR(VLOOKUP(B258,Merchant_Rates!$A:$D,3,FALSE),4000))</x:f>
      </x:c>
      <x:c r="J258" s="48" t="str">
        <x:f>IF(B258="","",MAX(0,CEILING(H258,1)-IFERROR(VLOOKUP(B258,Merchant_Rates!$A:$D,4,FALSE),3))*Rules!$B$4)</x:f>
      </x:c>
      <x:c r="K258" s="48" t="str">
        <x:f>IF(B258="","",G258+I258+J258)</x:f>
      </x:c>
    </x:row>
    <x:row r="259">
      <x:c r="A259" s="40" t="str">
        <x:f>IF(B259="","",ROW()-4)</x:f>
      </x:c>
      <x:c r="B259" s="40"/>
      <x:c r="C259" s="40"/>
      <x:c r="D259" s="40"/>
      <x:c r="E259" s="40"/>
      <x:c r="F259" s="40"/>
      <x:c r="G259" s="44"/>
      <x:c r="H259" s="46"/>
      <x:c r="I259" s="48" t="str">
        <x:f>IF(B259="","",IFERROR(VLOOKUP(B259,Merchant_Rates!$A:$D,3,FALSE),4000))</x:f>
      </x:c>
      <x:c r="J259" s="48" t="str">
        <x:f>IF(B259="","",MAX(0,CEILING(H259,1)-IFERROR(VLOOKUP(B259,Merchant_Rates!$A:$D,4,FALSE),3))*Rules!$B$4)</x:f>
      </x:c>
      <x:c r="K259" s="48" t="str">
        <x:f>IF(B259="","",G259+I259+J259)</x:f>
      </x:c>
    </x:row>
    <x:row r="260">
      <x:c r="A260" s="40" t="str">
        <x:f>IF(B260="","",ROW()-4)</x:f>
      </x:c>
      <x:c r="B260" s="40"/>
      <x:c r="C260" s="40"/>
      <x:c r="D260" s="40"/>
      <x:c r="E260" s="40"/>
      <x:c r="F260" s="40"/>
      <x:c r="G260" s="44"/>
      <x:c r="H260" s="46"/>
      <x:c r="I260" s="48" t="str">
        <x:f>IF(B260="","",IFERROR(VLOOKUP(B260,Merchant_Rates!$A:$D,3,FALSE),4000))</x:f>
      </x:c>
      <x:c r="J260" s="48" t="str">
        <x:f>IF(B260="","",MAX(0,CEILING(H260,1)-IFERROR(VLOOKUP(B260,Merchant_Rates!$A:$D,4,FALSE),3))*Rules!$B$4)</x:f>
      </x:c>
      <x:c r="K260" s="48" t="str">
        <x:f>IF(B260="","",G260+I260+J260)</x:f>
      </x:c>
    </x:row>
    <x:row r="261">
      <x:c r="A261" s="40" t="str">
        <x:f>IF(B261="","",ROW()-4)</x:f>
      </x:c>
      <x:c r="B261" s="40"/>
      <x:c r="C261" s="40"/>
      <x:c r="D261" s="40"/>
      <x:c r="E261" s="40"/>
      <x:c r="F261" s="40"/>
      <x:c r="G261" s="44"/>
      <x:c r="H261" s="46"/>
      <x:c r="I261" s="48" t="str">
        <x:f>IF(B261="","",IFERROR(VLOOKUP(B261,Merchant_Rates!$A:$D,3,FALSE),4000))</x:f>
      </x:c>
      <x:c r="J261" s="48" t="str">
        <x:f>IF(B261="","",MAX(0,CEILING(H261,1)-IFERROR(VLOOKUP(B261,Merchant_Rates!$A:$D,4,FALSE),3))*Rules!$B$4)</x:f>
      </x:c>
      <x:c r="K261" s="48" t="str">
        <x:f>IF(B261="","",G261+I261+J261)</x:f>
      </x:c>
    </x:row>
    <x:row r="262">
      <x:c r="A262" s="40" t="str">
        <x:f>IF(B262="","",ROW()-4)</x:f>
      </x:c>
      <x:c r="B262" s="40"/>
      <x:c r="C262" s="40"/>
      <x:c r="D262" s="40"/>
      <x:c r="E262" s="40"/>
      <x:c r="F262" s="40"/>
      <x:c r="G262" s="44"/>
      <x:c r="H262" s="46"/>
      <x:c r="I262" s="48" t="str">
        <x:f>IF(B262="","",IFERROR(VLOOKUP(B262,Merchant_Rates!$A:$D,3,FALSE),4000))</x:f>
      </x:c>
      <x:c r="J262" s="48" t="str">
        <x:f>IF(B262="","",MAX(0,CEILING(H262,1)-IFERROR(VLOOKUP(B262,Merchant_Rates!$A:$D,4,FALSE),3))*Rules!$B$4)</x:f>
      </x:c>
      <x:c r="K262" s="48" t="str">
        <x:f>IF(B262="","",G262+I262+J262)</x:f>
      </x:c>
    </x:row>
    <x:row r="263">
      <x:c r="A263" s="40" t="str">
        <x:f>IF(B263="","",ROW()-4)</x:f>
      </x:c>
      <x:c r="B263" s="40"/>
      <x:c r="C263" s="40"/>
      <x:c r="D263" s="40"/>
      <x:c r="E263" s="40"/>
      <x:c r="F263" s="40"/>
      <x:c r="G263" s="44"/>
      <x:c r="H263" s="46"/>
      <x:c r="I263" s="48" t="str">
        <x:f>IF(B263="","",IFERROR(VLOOKUP(B263,Merchant_Rates!$A:$D,3,FALSE),4000))</x:f>
      </x:c>
      <x:c r="J263" s="48" t="str">
        <x:f>IF(B263="","",MAX(0,CEILING(H263,1)-IFERROR(VLOOKUP(B263,Merchant_Rates!$A:$D,4,FALSE),3))*Rules!$B$4)</x:f>
      </x:c>
      <x:c r="K263" s="48" t="str">
        <x:f>IF(B263="","",G263+I263+J263)</x:f>
      </x:c>
    </x:row>
    <x:row r="264">
      <x:c r="A264" s="40" t="str">
        <x:f>IF(B264="","",ROW()-4)</x:f>
      </x:c>
      <x:c r="B264" s="40"/>
      <x:c r="C264" s="40"/>
      <x:c r="D264" s="40"/>
      <x:c r="E264" s="40"/>
      <x:c r="F264" s="40"/>
      <x:c r="G264" s="44"/>
      <x:c r="H264" s="46"/>
      <x:c r="I264" s="48" t="str">
        <x:f>IF(B264="","",IFERROR(VLOOKUP(B264,Merchant_Rates!$A:$D,3,FALSE),4000))</x:f>
      </x:c>
      <x:c r="J264" s="48" t="str">
        <x:f>IF(B264="","",MAX(0,CEILING(H264,1)-IFERROR(VLOOKUP(B264,Merchant_Rates!$A:$D,4,FALSE),3))*Rules!$B$4)</x:f>
      </x:c>
      <x:c r="K264" s="48" t="str">
        <x:f>IF(B264="","",G264+I264+J264)</x:f>
      </x:c>
    </x:row>
    <x:row r="265">
      <x:c r="A265" s="40" t="str">
        <x:f>IF(B265="","",ROW()-4)</x:f>
      </x:c>
      <x:c r="B265" s="40"/>
      <x:c r="C265" s="40"/>
      <x:c r="D265" s="40"/>
      <x:c r="E265" s="40"/>
      <x:c r="F265" s="40"/>
      <x:c r="G265" s="44"/>
      <x:c r="H265" s="46"/>
      <x:c r="I265" s="48" t="str">
        <x:f>IF(B265="","",IFERROR(VLOOKUP(B265,Merchant_Rates!$A:$D,3,FALSE),4000))</x:f>
      </x:c>
      <x:c r="J265" s="48" t="str">
        <x:f>IF(B265="","",MAX(0,CEILING(H265,1)-IFERROR(VLOOKUP(B265,Merchant_Rates!$A:$D,4,FALSE),3))*Rules!$B$4)</x:f>
      </x:c>
      <x:c r="K265" s="48" t="str">
        <x:f>IF(B265="","",G265+I265+J265)</x:f>
      </x:c>
    </x:row>
    <x:row r="266">
      <x:c r="A266" s="40" t="str">
        <x:f>IF(B266="","",ROW()-4)</x:f>
      </x:c>
      <x:c r="B266" s="40"/>
      <x:c r="C266" s="40"/>
      <x:c r="D266" s="40"/>
      <x:c r="E266" s="40"/>
      <x:c r="F266" s="40"/>
      <x:c r="G266" s="44"/>
      <x:c r="H266" s="46"/>
      <x:c r="I266" s="48" t="str">
        <x:f>IF(B266="","",IFERROR(VLOOKUP(B266,Merchant_Rates!$A:$D,3,FALSE),4000))</x:f>
      </x:c>
      <x:c r="J266" s="48" t="str">
        <x:f>IF(B266="","",MAX(0,CEILING(H266,1)-IFERROR(VLOOKUP(B266,Merchant_Rates!$A:$D,4,FALSE),3))*Rules!$B$4)</x:f>
      </x:c>
      <x:c r="K266" s="48" t="str">
        <x:f>IF(B266="","",G266+I266+J266)</x:f>
      </x:c>
    </x:row>
    <x:row r="267">
      <x:c r="A267" s="40" t="str">
        <x:f>IF(B267="","",ROW()-4)</x:f>
      </x:c>
      <x:c r="B267" s="40"/>
      <x:c r="C267" s="40"/>
      <x:c r="D267" s="40"/>
      <x:c r="E267" s="40"/>
      <x:c r="F267" s="40"/>
      <x:c r="G267" s="44"/>
      <x:c r="H267" s="46"/>
      <x:c r="I267" s="48" t="str">
        <x:f>IF(B267="","",IFERROR(VLOOKUP(B267,Merchant_Rates!$A:$D,3,FALSE),4000))</x:f>
      </x:c>
      <x:c r="J267" s="48" t="str">
        <x:f>IF(B267="","",MAX(0,CEILING(H267,1)-IFERROR(VLOOKUP(B267,Merchant_Rates!$A:$D,4,FALSE),3))*Rules!$B$4)</x:f>
      </x:c>
      <x:c r="K267" s="48" t="str">
        <x:f>IF(B267="","",G267+I267+J267)</x:f>
      </x:c>
    </x:row>
    <x:row r="268">
      <x:c r="A268" s="40" t="str">
        <x:f>IF(B268="","",ROW()-4)</x:f>
      </x:c>
      <x:c r="B268" s="40"/>
      <x:c r="C268" s="40"/>
      <x:c r="D268" s="40"/>
      <x:c r="E268" s="40"/>
      <x:c r="F268" s="40"/>
      <x:c r="G268" s="44"/>
      <x:c r="H268" s="46"/>
      <x:c r="I268" s="48" t="str">
        <x:f>IF(B268="","",IFERROR(VLOOKUP(B268,Merchant_Rates!$A:$D,3,FALSE),4000))</x:f>
      </x:c>
      <x:c r="J268" s="48" t="str">
        <x:f>IF(B268="","",MAX(0,CEILING(H268,1)-IFERROR(VLOOKUP(B268,Merchant_Rates!$A:$D,4,FALSE),3))*Rules!$B$4)</x:f>
      </x:c>
      <x:c r="K268" s="48" t="str">
        <x:f>IF(B268="","",G268+I268+J268)</x:f>
      </x:c>
    </x:row>
    <x:row r="269">
      <x:c r="A269" s="40" t="str">
        <x:f>IF(B269="","",ROW()-4)</x:f>
      </x:c>
      <x:c r="B269" s="40"/>
      <x:c r="C269" s="40"/>
      <x:c r="D269" s="40"/>
      <x:c r="E269" s="40"/>
      <x:c r="F269" s="40"/>
      <x:c r="G269" s="44"/>
      <x:c r="H269" s="46"/>
      <x:c r="I269" s="48" t="str">
        <x:f>IF(B269="","",IFERROR(VLOOKUP(B269,Merchant_Rates!$A:$D,3,FALSE),4000))</x:f>
      </x:c>
      <x:c r="J269" s="48" t="str">
        <x:f>IF(B269="","",MAX(0,CEILING(H269,1)-IFERROR(VLOOKUP(B269,Merchant_Rates!$A:$D,4,FALSE),3))*Rules!$B$4)</x:f>
      </x:c>
      <x:c r="K269" s="48" t="str">
        <x:f>IF(B269="","",G269+I269+J269)</x:f>
      </x:c>
    </x:row>
    <x:row r="270">
      <x:c r="A270" s="40" t="str">
        <x:f>IF(B270="","",ROW()-4)</x:f>
      </x:c>
      <x:c r="B270" s="40"/>
      <x:c r="C270" s="40"/>
      <x:c r="D270" s="40"/>
      <x:c r="E270" s="40"/>
      <x:c r="F270" s="40"/>
      <x:c r="G270" s="44"/>
      <x:c r="H270" s="46"/>
      <x:c r="I270" s="48" t="str">
        <x:f>IF(B270="","",IFERROR(VLOOKUP(B270,Merchant_Rates!$A:$D,3,FALSE),4000))</x:f>
      </x:c>
      <x:c r="J270" s="48" t="str">
        <x:f>IF(B270="","",MAX(0,CEILING(H270,1)-IFERROR(VLOOKUP(B270,Merchant_Rates!$A:$D,4,FALSE),3))*Rules!$B$4)</x:f>
      </x:c>
      <x:c r="K270" s="48" t="str">
        <x:f>IF(B270="","",G270+I270+J270)</x:f>
      </x:c>
    </x:row>
    <x:row r="271">
      <x:c r="A271" s="40" t="str">
        <x:f>IF(B271="","",ROW()-4)</x:f>
      </x:c>
      <x:c r="B271" s="40"/>
      <x:c r="C271" s="40"/>
      <x:c r="D271" s="40"/>
      <x:c r="E271" s="40"/>
      <x:c r="F271" s="40"/>
      <x:c r="G271" s="44"/>
      <x:c r="H271" s="46"/>
      <x:c r="I271" s="48" t="str">
        <x:f>IF(B271="","",IFERROR(VLOOKUP(B271,Merchant_Rates!$A:$D,3,FALSE),4000))</x:f>
      </x:c>
      <x:c r="J271" s="48" t="str">
        <x:f>IF(B271="","",MAX(0,CEILING(H271,1)-IFERROR(VLOOKUP(B271,Merchant_Rates!$A:$D,4,FALSE),3))*Rules!$B$4)</x:f>
      </x:c>
      <x:c r="K271" s="48" t="str">
        <x:f>IF(B271="","",G271+I271+J271)</x:f>
      </x:c>
    </x:row>
    <x:row r="272">
      <x:c r="A272" s="40" t="str">
        <x:f>IF(B272="","",ROW()-4)</x:f>
      </x:c>
      <x:c r="B272" s="40"/>
      <x:c r="C272" s="40"/>
      <x:c r="D272" s="40"/>
      <x:c r="E272" s="40"/>
      <x:c r="F272" s="40"/>
      <x:c r="G272" s="44"/>
      <x:c r="H272" s="46"/>
      <x:c r="I272" s="48" t="str">
        <x:f>IF(B272="","",IFERROR(VLOOKUP(B272,Merchant_Rates!$A:$D,3,FALSE),4000))</x:f>
      </x:c>
      <x:c r="J272" s="48" t="str">
        <x:f>IF(B272="","",MAX(0,CEILING(H272,1)-IFERROR(VLOOKUP(B272,Merchant_Rates!$A:$D,4,FALSE),3))*Rules!$B$4)</x:f>
      </x:c>
      <x:c r="K272" s="48" t="str">
        <x:f>IF(B272="","",G272+I272+J272)</x:f>
      </x:c>
    </x:row>
    <x:row r="273">
      <x:c r="A273" s="40" t="str">
        <x:f>IF(B273="","",ROW()-4)</x:f>
      </x:c>
      <x:c r="B273" s="40"/>
      <x:c r="C273" s="40"/>
      <x:c r="D273" s="40"/>
      <x:c r="E273" s="40"/>
      <x:c r="F273" s="40"/>
      <x:c r="G273" s="44"/>
      <x:c r="H273" s="46"/>
      <x:c r="I273" s="48" t="str">
        <x:f>IF(B273="","",IFERROR(VLOOKUP(B273,Merchant_Rates!$A:$D,3,FALSE),4000))</x:f>
      </x:c>
      <x:c r="J273" s="48" t="str">
        <x:f>IF(B273="","",MAX(0,CEILING(H273,1)-IFERROR(VLOOKUP(B273,Merchant_Rates!$A:$D,4,FALSE),3))*Rules!$B$4)</x:f>
      </x:c>
      <x:c r="K273" s="48" t="str">
        <x:f>IF(B273="","",G273+I273+J273)</x:f>
      </x:c>
    </x:row>
    <x:row r="274">
      <x:c r="A274" s="40" t="str">
        <x:f>IF(B274="","",ROW()-4)</x:f>
      </x:c>
      <x:c r="B274" s="40"/>
      <x:c r="C274" s="40"/>
      <x:c r="D274" s="40"/>
      <x:c r="E274" s="40"/>
      <x:c r="F274" s="40"/>
      <x:c r="G274" s="44"/>
      <x:c r="H274" s="46"/>
      <x:c r="I274" s="48" t="str">
        <x:f>IF(B274="","",IFERROR(VLOOKUP(B274,Merchant_Rates!$A:$D,3,FALSE),4000))</x:f>
      </x:c>
      <x:c r="J274" s="48" t="str">
        <x:f>IF(B274="","",MAX(0,CEILING(H274,1)-IFERROR(VLOOKUP(B274,Merchant_Rates!$A:$D,4,FALSE),3))*Rules!$B$4)</x:f>
      </x:c>
      <x:c r="K274" s="48" t="str">
        <x:f>IF(B274="","",G274+I274+J274)</x:f>
      </x:c>
    </x:row>
    <x:row r="275">
      <x:c r="A275" s="40" t="str">
        <x:f>IF(B275="","",ROW()-4)</x:f>
      </x:c>
      <x:c r="B275" s="40"/>
      <x:c r="C275" s="40"/>
      <x:c r="D275" s="40"/>
      <x:c r="E275" s="40"/>
      <x:c r="F275" s="40"/>
      <x:c r="G275" s="44"/>
      <x:c r="H275" s="46"/>
      <x:c r="I275" s="48" t="str">
        <x:f>IF(B275="","",IFERROR(VLOOKUP(B275,Merchant_Rates!$A:$D,3,FALSE),4000))</x:f>
      </x:c>
      <x:c r="J275" s="48" t="str">
        <x:f>IF(B275="","",MAX(0,CEILING(H275,1)-IFERROR(VLOOKUP(B275,Merchant_Rates!$A:$D,4,FALSE),3))*Rules!$B$4)</x:f>
      </x:c>
      <x:c r="K275" s="48" t="str">
        <x:f>IF(B275="","",G275+I275+J275)</x:f>
      </x:c>
    </x:row>
    <x:row r="276">
      <x:c r="A276" s="40" t="str">
        <x:f>IF(B276="","",ROW()-4)</x:f>
      </x:c>
      <x:c r="B276" s="40"/>
      <x:c r="C276" s="40"/>
      <x:c r="D276" s="40"/>
      <x:c r="E276" s="40"/>
      <x:c r="F276" s="40"/>
      <x:c r="G276" s="44"/>
      <x:c r="H276" s="46"/>
      <x:c r="I276" s="48" t="str">
        <x:f>IF(B276="","",IFERROR(VLOOKUP(B276,Merchant_Rates!$A:$D,3,FALSE),4000))</x:f>
      </x:c>
      <x:c r="J276" s="48" t="str">
        <x:f>IF(B276="","",MAX(0,CEILING(H276,1)-IFERROR(VLOOKUP(B276,Merchant_Rates!$A:$D,4,FALSE),3))*Rules!$B$4)</x:f>
      </x:c>
      <x:c r="K276" s="48" t="str">
        <x:f>IF(B276="","",G276+I276+J276)</x:f>
      </x:c>
    </x:row>
    <x:row r="277">
      <x:c r="A277" s="40" t="str">
        <x:f>IF(B277="","",ROW()-4)</x:f>
      </x:c>
      <x:c r="B277" s="40"/>
      <x:c r="C277" s="40"/>
      <x:c r="D277" s="40"/>
      <x:c r="E277" s="40"/>
      <x:c r="F277" s="40"/>
      <x:c r="G277" s="44"/>
      <x:c r="H277" s="46"/>
      <x:c r="I277" s="48" t="str">
        <x:f>IF(B277="","",IFERROR(VLOOKUP(B277,Merchant_Rates!$A:$D,3,FALSE),4000))</x:f>
      </x:c>
      <x:c r="J277" s="48" t="str">
        <x:f>IF(B277="","",MAX(0,CEILING(H277,1)-IFERROR(VLOOKUP(B277,Merchant_Rates!$A:$D,4,FALSE),3))*Rules!$B$4)</x:f>
      </x:c>
      <x:c r="K277" s="48" t="str">
        <x:f>IF(B277="","",G277+I277+J277)</x:f>
      </x:c>
    </x:row>
    <x:row r="278">
      <x:c r="A278" s="40" t="str">
        <x:f>IF(B278="","",ROW()-4)</x:f>
      </x:c>
      <x:c r="B278" s="40"/>
      <x:c r="C278" s="40"/>
      <x:c r="D278" s="40"/>
      <x:c r="E278" s="40"/>
      <x:c r="F278" s="40"/>
      <x:c r="G278" s="44"/>
      <x:c r="H278" s="46"/>
      <x:c r="I278" s="48" t="str">
        <x:f>IF(B278="","",IFERROR(VLOOKUP(B278,Merchant_Rates!$A:$D,3,FALSE),4000))</x:f>
      </x:c>
      <x:c r="J278" s="48" t="str">
        <x:f>IF(B278="","",MAX(0,CEILING(H278,1)-IFERROR(VLOOKUP(B278,Merchant_Rates!$A:$D,4,FALSE),3))*Rules!$B$4)</x:f>
      </x:c>
      <x:c r="K278" s="48" t="str">
        <x:f>IF(B278="","",G278+I278+J278)</x:f>
      </x:c>
    </x:row>
    <x:row r="279">
      <x:c r="A279" s="40" t="str">
        <x:f>IF(B279="","",ROW()-4)</x:f>
      </x:c>
      <x:c r="B279" s="40"/>
      <x:c r="C279" s="40"/>
      <x:c r="D279" s="40"/>
      <x:c r="E279" s="40"/>
      <x:c r="F279" s="40"/>
      <x:c r="G279" s="44"/>
      <x:c r="H279" s="46"/>
      <x:c r="I279" s="48" t="str">
        <x:f>IF(B279="","",IFERROR(VLOOKUP(B279,Merchant_Rates!$A:$D,3,FALSE),4000))</x:f>
      </x:c>
      <x:c r="J279" s="48" t="str">
        <x:f>IF(B279="","",MAX(0,CEILING(H279,1)-IFERROR(VLOOKUP(B279,Merchant_Rates!$A:$D,4,FALSE),3))*Rules!$B$4)</x:f>
      </x:c>
      <x:c r="K279" s="48" t="str">
        <x:f>IF(B279="","",G279+I279+J279)</x:f>
      </x:c>
    </x:row>
    <x:row r="280">
      <x:c r="A280" s="40" t="str">
        <x:f>IF(B280="","",ROW()-4)</x:f>
      </x:c>
      <x:c r="B280" s="40"/>
      <x:c r="C280" s="40"/>
      <x:c r="D280" s="40"/>
      <x:c r="E280" s="40"/>
      <x:c r="F280" s="40"/>
      <x:c r="G280" s="44"/>
      <x:c r="H280" s="46"/>
      <x:c r="I280" s="48" t="str">
        <x:f>IF(B280="","",IFERROR(VLOOKUP(B280,Merchant_Rates!$A:$D,3,FALSE),4000))</x:f>
      </x:c>
      <x:c r="J280" s="48" t="str">
        <x:f>IF(B280="","",MAX(0,CEILING(H280,1)-IFERROR(VLOOKUP(B280,Merchant_Rates!$A:$D,4,FALSE),3))*Rules!$B$4)</x:f>
      </x:c>
      <x:c r="K280" s="48" t="str">
        <x:f>IF(B280="","",G280+I280+J280)</x:f>
      </x:c>
    </x:row>
    <x:row r="281">
      <x:c r="A281" s="40" t="str">
        <x:f>IF(B281="","",ROW()-4)</x:f>
      </x:c>
      <x:c r="B281" s="40"/>
      <x:c r="C281" s="40"/>
      <x:c r="D281" s="40"/>
      <x:c r="E281" s="40"/>
      <x:c r="F281" s="40"/>
      <x:c r="G281" s="44"/>
      <x:c r="H281" s="46"/>
      <x:c r="I281" s="48" t="str">
        <x:f>IF(B281="","",IFERROR(VLOOKUP(B281,Merchant_Rates!$A:$D,3,FALSE),4000))</x:f>
      </x:c>
      <x:c r="J281" s="48" t="str">
        <x:f>IF(B281="","",MAX(0,CEILING(H281,1)-IFERROR(VLOOKUP(B281,Merchant_Rates!$A:$D,4,FALSE),3))*Rules!$B$4)</x:f>
      </x:c>
      <x:c r="K281" s="48" t="str">
        <x:f>IF(B281="","",G281+I281+J281)</x:f>
      </x:c>
    </x:row>
    <x:row r="282">
      <x:c r="A282" s="40" t="str">
        <x:f>IF(B282="","",ROW()-4)</x:f>
      </x:c>
      <x:c r="B282" s="40"/>
      <x:c r="C282" s="40"/>
      <x:c r="D282" s="40"/>
      <x:c r="E282" s="40"/>
      <x:c r="F282" s="40"/>
      <x:c r="G282" s="44"/>
      <x:c r="H282" s="46"/>
      <x:c r="I282" s="48" t="str">
        <x:f>IF(B282="","",IFERROR(VLOOKUP(B282,Merchant_Rates!$A:$D,3,FALSE),4000))</x:f>
      </x:c>
      <x:c r="J282" s="48" t="str">
        <x:f>IF(B282="","",MAX(0,CEILING(H282,1)-IFERROR(VLOOKUP(B282,Merchant_Rates!$A:$D,4,FALSE),3))*Rules!$B$4)</x:f>
      </x:c>
      <x:c r="K282" s="48" t="str">
        <x:f>IF(B282="","",G282+I282+J282)</x:f>
      </x:c>
    </x:row>
    <x:row r="283">
      <x:c r="A283" s="40" t="str">
        <x:f>IF(B283="","",ROW()-4)</x:f>
      </x:c>
      <x:c r="B283" s="40"/>
      <x:c r="C283" s="40"/>
      <x:c r="D283" s="40"/>
      <x:c r="E283" s="40"/>
      <x:c r="F283" s="40"/>
      <x:c r="G283" s="44"/>
      <x:c r="H283" s="46"/>
      <x:c r="I283" s="48" t="str">
        <x:f>IF(B283="","",IFERROR(VLOOKUP(B283,Merchant_Rates!$A:$D,3,FALSE),4000))</x:f>
      </x:c>
      <x:c r="J283" s="48" t="str">
        <x:f>IF(B283="","",MAX(0,CEILING(H283,1)-IFERROR(VLOOKUP(B283,Merchant_Rates!$A:$D,4,FALSE),3))*Rules!$B$4)</x:f>
      </x:c>
      <x:c r="K283" s="48" t="str">
        <x:f>IF(B283="","",G283+I283+J283)</x:f>
      </x:c>
    </x:row>
    <x:row r="284">
      <x:c r="A284" s="40" t="str">
        <x:f>IF(B284="","",ROW()-4)</x:f>
      </x:c>
      <x:c r="B284" s="40"/>
      <x:c r="C284" s="40"/>
      <x:c r="D284" s="40"/>
      <x:c r="E284" s="40"/>
      <x:c r="F284" s="40"/>
      <x:c r="G284" s="44"/>
      <x:c r="H284" s="46"/>
      <x:c r="I284" s="48" t="str">
        <x:f>IF(B284="","",IFERROR(VLOOKUP(B284,Merchant_Rates!$A:$D,3,FALSE),4000))</x:f>
      </x:c>
      <x:c r="J284" s="48" t="str">
        <x:f>IF(B284="","",MAX(0,CEILING(H284,1)-IFERROR(VLOOKUP(B284,Merchant_Rates!$A:$D,4,FALSE),3))*Rules!$B$4)</x:f>
      </x:c>
      <x:c r="K284" s="48" t="str">
        <x:f>IF(B284="","",G284+I284+J284)</x:f>
      </x:c>
    </x:row>
    <x:row r="285">
      <x:c r="A285" s="40" t="str">
        <x:f>IF(B285="","",ROW()-4)</x:f>
      </x:c>
      <x:c r="B285" s="40"/>
      <x:c r="C285" s="40"/>
      <x:c r="D285" s="40"/>
      <x:c r="E285" s="40"/>
      <x:c r="F285" s="40"/>
      <x:c r="G285" s="44"/>
      <x:c r="H285" s="46"/>
      <x:c r="I285" s="48" t="str">
        <x:f>IF(B285="","",IFERROR(VLOOKUP(B285,Merchant_Rates!$A:$D,3,FALSE),4000))</x:f>
      </x:c>
      <x:c r="J285" s="48" t="str">
        <x:f>IF(B285="","",MAX(0,CEILING(H285,1)-IFERROR(VLOOKUP(B285,Merchant_Rates!$A:$D,4,FALSE),3))*Rules!$B$4)</x:f>
      </x:c>
      <x:c r="K285" s="48" t="str">
        <x:f>IF(B285="","",G285+I285+J285)</x:f>
      </x:c>
    </x:row>
    <x:row r="286">
      <x:c r="A286" s="40" t="str">
        <x:f>IF(B286="","",ROW()-4)</x:f>
      </x:c>
      <x:c r="B286" s="40"/>
      <x:c r="C286" s="40"/>
      <x:c r="D286" s="40"/>
      <x:c r="E286" s="40"/>
      <x:c r="F286" s="40"/>
      <x:c r="G286" s="44"/>
      <x:c r="H286" s="46"/>
      <x:c r="I286" s="48" t="str">
        <x:f>IF(B286="","",IFERROR(VLOOKUP(B286,Merchant_Rates!$A:$D,3,FALSE),4000))</x:f>
      </x:c>
      <x:c r="J286" s="48" t="str">
        <x:f>IF(B286="","",MAX(0,CEILING(H286,1)-IFERROR(VLOOKUP(B286,Merchant_Rates!$A:$D,4,FALSE),3))*Rules!$B$4)</x:f>
      </x:c>
      <x:c r="K286" s="48" t="str">
        <x:f>IF(B286="","",G286+I286+J286)</x:f>
      </x:c>
    </x:row>
    <x:row r="287">
      <x:c r="A287" s="40" t="str">
        <x:f>IF(B287="","",ROW()-4)</x:f>
      </x:c>
      <x:c r="B287" s="40"/>
      <x:c r="C287" s="40"/>
      <x:c r="D287" s="40"/>
      <x:c r="E287" s="40"/>
      <x:c r="F287" s="40"/>
      <x:c r="G287" s="44"/>
      <x:c r="H287" s="46"/>
      <x:c r="I287" s="48" t="str">
        <x:f>IF(B287="","",IFERROR(VLOOKUP(B287,Merchant_Rates!$A:$D,3,FALSE),4000))</x:f>
      </x:c>
      <x:c r="J287" s="48" t="str">
        <x:f>IF(B287="","",MAX(0,CEILING(H287,1)-IFERROR(VLOOKUP(B287,Merchant_Rates!$A:$D,4,FALSE),3))*Rules!$B$4)</x:f>
      </x:c>
      <x:c r="K287" s="48" t="str">
        <x:f>IF(B287="","",G287+I287+J287)</x:f>
      </x:c>
    </x:row>
    <x:row r="288">
      <x:c r="A288" s="40" t="str">
        <x:f>IF(B288="","",ROW()-4)</x:f>
      </x:c>
      <x:c r="B288" s="40"/>
      <x:c r="C288" s="40"/>
      <x:c r="D288" s="40"/>
      <x:c r="E288" s="40"/>
      <x:c r="F288" s="40"/>
      <x:c r="G288" s="44"/>
      <x:c r="H288" s="46"/>
      <x:c r="I288" s="48" t="str">
        <x:f>IF(B288="","",IFERROR(VLOOKUP(B288,Merchant_Rates!$A:$D,3,FALSE),4000))</x:f>
      </x:c>
      <x:c r="J288" s="48" t="str">
        <x:f>IF(B288="","",MAX(0,CEILING(H288,1)-IFERROR(VLOOKUP(B288,Merchant_Rates!$A:$D,4,FALSE),3))*Rules!$B$4)</x:f>
      </x:c>
      <x:c r="K288" s="48" t="str">
        <x:f>IF(B288="","",G288+I288+J288)</x:f>
      </x:c>
    </x:row>
    <x:row r="289">
      <x:c r="A289" s="40" t="str">
        <x:f>IF(B289="","",ROW()-4)</x:f>
      </x:c>
      <x:c r="B289" s="40"/>
      <x:c r="C289" s="40"/>
      <x:c r="D289" s="40"/>
      <x:c r="E289" s="40"/>
      <x:c r="F289" s="40"/>
      <x:c r="G289" s="44"/>
      <x:c r="H289" s="46"/>
      <x:c r="I289" s="48" t="str">
        <x:f>IF(B289="","",IFERROR(VLOOKUP(B289,Merchant_Rates!$A:$D,3,FALSE),4000))</x:f>
      </x:c>
      <x:c r="J289" s="48" t="str">
        <x:f>IF(B289="","",MAX(0,CEILING(H289,1)-IFERROR(VLOOKUP(B289,Merchant_Rates!$A:$D,4,FALSE),3))*Rules!$B$4)</x:f>
      </x:c>
      <x:c r="K289" s="48" t="str">
        <x:f>IF(B289="","",G289+I289+J289)</x:f>
      </x:c>
    </x:row>
    <x:row r="290">
      <x:c r="A290" s="40" t="str">
        <x:f>IF(B290="","",ROW()-4)</x:f>
      </x:c>
      <x:c r="B290" s="40"/>
      <x:c r="C290" s="40"/>
      <x:c r="D290" s="40"/>
      <x:c r="E290" s="40"/>
      <x:c r="F290" s="40"/>
      <x:c r="G290" s="44"/>
      <x:c r="H290" s="46"/>
      <x:c r="I290" s="48" t="str">
        <x:f>IF(B290="","",IFERROR(VLOOKUP(B290,Merchant_Rates!$A:$D,3,FALSE),4000))</x:f>
      </x:c>
      <x:c r="J290" s="48" t="str">
        <x:f>IF(B290="","",MAX(0,CEILING(H290,1)-IFERROR(VLOOKUP(B290,Merchant_Rates!$A:$D,4,FALSE),3))*Rules!$B$4)</x:f>
      </x:c>
      <x:c r="K290" s="48" t="str">
        <x:f>IF(B290="","",G290+I290+J290)</x:f>
      </x:c>
    </x:row>
    <x:row r="291">
      <x:c r="A291" s="40" t="str">
        <x:f>IF(B291="","",ROW()-4)</x:f>
      </x:c>
      <x:c r="B291" s="40"/>
      <x:c r="C291" s="40"/>
      <x:c r="D291" s="40"/>
      <x:c r="E291" s="40"/>
      <x:c r="F291" s="40"/>
      <x:c r="G291" s="44"/>
      <x:c r="H291" s="46"/>
      <x:c r="I291" s="48" t="str">
        <x:f>IF(B291="","",IFERROR(VLOOKUP(B291,Merchant_Rates!$A:$D,3,FALSE),4000))</x:f>
      </x:c>
      <x:c r="J291" s="48" t="str">
        <x:f>IF(B291="","",MAX(0,CEILING(H291,1)-IFERROR(VLOOKUP(B291,Merchant_Rates!$A:$D,4,FALSE),3))*Rules!$B$4)</x:f>
      </x:c>
      <x:c r="K291" s="48" t="str">
        <x:f>IF(B291="","",G291+I291+J291)</x:f>
      </x:c>
    </x:row>
    <x:row r="292">
      <x:c r="A292" s="40" t="str">
        <x:f>IF(B292="","",ROW()-4)</x:f>
      </x:c>
      <x:c r="B292" s="40"/>
      <x:c r="C292" s="40"/>
      <x:c r="D292" s="40"/>
      <x:c r="E292" s="40"/>
      <x:c r="F292" s="40"/>
      <x:c r="G292" s="44"/>
      <x:c r="H292" s="46"/>
      <x:c r="I292" s="48" t="str">
        <x:f>IF(B292="","",IFERROR(VLOOKUP(B292,Merchant_Rates!$A:$D,3,FALSE),4000))</x:f>
      </x:c>
      <x:c r="J292" s="48" t="str">
        <x:f>IF(B292="","",MAX(0,CEILING(H292,1)-IFERROR(VLOOKUP(B292,Merchant_Rates!$A:$D,4,FALSE),3))*Rules!$B$4)</x:f>
      </x:c>
      <x:c r="K292" s="48" t="str">
        <x:f>IF(B292="","",G292+I292+J292)</x:f>
      </x:c>
    </x:row>
    <x:row r="293">
      <x:c r="A293" s="40" t="str">
        <x:f>IF(B293="","",ROW()-4)</x:f>
      </x:c>
      <x:c r="B293" s="40"/>
      <x:c r="C293" s="40"/>
      <x:c r="D293" s="40"/>
      <x:c r="E293" s="40"/>
      <x:c r="F293" s="40"/>
      <x:c r="G293" s="44"/>
      <x:c r="H293" s="46"/>
      <x:c r="I293" s="48" t="str">
        <x:f>IF(B293="","",IFERROR(VLOOKUP(B293,Merchant_Rates!$A:$D,3,FALSE),4000))</x:f>
      </x:c>
      <x:c r="J293" s="48" t="str">
        <x:f>IF(B293="","",MAX(0,CEILING(H293,1)-IFERROR(VLOOKUP(B293,Merchant_Rates!$A:$D,4,FALSE),3))*Rules!$B$4)</x:f>
      </x:c>
      <x:c r="K293" s="48" t="str">
        <x:f>IF(B293="","",G293+I293+J293)</x:f>
      </x:c>
    </x:row>
    <x:row r="294">
      <x:c r="A294" s="40" t="str">
        <x:f>IF(B294="","",ROW()-4)</x:f>
      </x:c>
      <x:c r="B294" s="40"/>
      <x:c r="C294" s="40"/>
      <x:c r="D294" s="40"/>
      <x:c r="E294" s="40"/>
      <x:c r="F294" s="40"/>
      <x:c r="G294" s="44"/>
      <x:c r="H294" s="46"/>
      <x:c r="I294" s="48" t="str">
        <x:f>IF(B294="","",IFERROR(VLOOKUP(B294,Merchant_Rates!$A:$D,3,FALSE),4000))</x:f>
      </x:c>
      <x:c r="J294" s="48" t="str">
        <x:f>IF(B294="","",MAX(0,CEILING(H294,1)-IFERROR(VLOOKUP(B294,Merchant_Rates!$A:$D,4,FALSE),3))*Rules!$B$4)</x:f>
      </x:c>
      <x:c r="K294" s="48" t="str">
        <x:f>IF(B294="","",G294+I294+J294)</x:f>
      </x:c>
    </x:row>
    <x:row r="295">
      <x:c r="A295" s="40" t="str">
        <x:f>IF(B295="","",ROW()-4)</x:f>
      </x:c>
      <x:c r="B295" s="40"/>
      <x:c r="C295" s="40"/>
      <x:c r="D295" s="40"/>
      <x:c r="E295" s="40"/>
      <x:c r="F295" s="40"/>
      <x:c r="G295" s="44"/>
      <x:c r="H295" s="46"/>
      <x:c r="I295" s="48" t="str">
        <x:f>IF(B295="","",IFERROR(VLOOKUP(B295,Merchant_Rates!$A:$D,3,FALSE),4000))</x:f>
      </x:c>
      <x:c r="J295" s="48" t="str">
        <x:f>IF(B295="","",MAX(0,CEILING(H295,1)-IFERROR(VLOOKUP(B295,Merchant_Rates!$A:$D,4,FALSE),3))*Rules!$B$4)</x:f>
      </x:c>
      <x:c r="K295" s="48" t="str">
        <x:f>IF(B295="","",G295+I295+J295)</x:f>
      </x:c>
    </x:row>
    <x:row r="296">
      <x:c r="A296" s="40" t="str">
        <x:f>IF(B296="","",ROW()-4)</x:f>
      </x:c>
      <x:c r="B296" s="40"/>
      <x:c r="C296" s="40"/>
      <x:c r="D296" s="40"/>
      <x:c r="E296" s="40"/>
      <x:c r="F296" s="40"/>
      <x:c r="G296" s="44"/>
      <x:c r="H296" s="46"/>
      <x:c r="I296" s="48" t="str">
        <x:f>IF(B296="","",IFERROR(VLOOKUP(B296,Merchant_Rates!$A:$D,3,FALSE),4000))</x:f>
      </x:c>
      <x:c r="J296" s="48" t="str">
        <x:f>IF(B296="","",MAX(0,CEILING(H296,1)-IFERROR(VLOOKUP(B296,Merchant_Rates!$A:$D,4,FALSE),3))*Rules!$B$4)</x:f>
      </x:c>
      <x:c r="K296" s="48" t="str">
        <x:f>IF(B296="","",G296+I296+J296)</x:f>
      </x:c>
    </x:row>
    <x:row r="297">
      <x:c r="A297" s="40" t="str">
        <x:f>IF(B297="","",ROW()-4)</x:f>
      </x:c>
      <x:c r="B297" s="40"/>
      <x:c r="C297" s="40"/>
      <x:c r="D297" s="40"/>
      <x:c r="E297" s="40"/>
      <x:c r="F297" s="40"/>
      <x:c r="G297" s="44"/>
      <x:c r="H297" s="46"/>
      <x:c r="I297" s="48" t="str">
        <x:f>IF(B297="","",IFERROR(VLOOKUP(B297,Merchant_Rates!$A:$D,3,FALSE),4000))</x:f>
      </x:c>
      <x:c r="J297" s="48" t="str">
        <x:f>IF(B297="","",MAX(0,CEILING(H297,1)-IFERROR(VLOOKUP(B297,Merchant_Rates!$A:$D,4,FALSE),3))*Rules!$B$4)</x:f>
      </x:c>
      <x:c r="K297" s="48" t="str">
        <x:f>IF(B297="","",G297+I297+J297)</x:f>
      </x:c>
    </x:row>
    <x:row r="298">
      <x:c r="A298" s="40" t="str">
        <x:f>IF(B298="","",ROW()-4)</x:f>
      </x:c>
      <x:c r="B298" s="40"/>
      <x:c r="C298" s="40"/>
      <x:c r="D298" s="40"/>
      <x:c r="E298" s="40"/>
      <x:c r="F298" s="40"/>
      <x:c r="G298" s="44"/>
      <x:c r="H298" s="46"/>
      <x:c r="I298" s="48" t="str">
        <x:f>IF(B298="","",IFERROR(VLOOKUP(B298,Merchant_Rates!$A:$D,3,FALSE),4000))</x:f>
      </x:c>
      <x:c r="J298" s="48" t="str">
        <x:f>IF(B298="","",MAX(0,CEILING(H298,1)-IFERROR(VLOOKUP(B298,Merchant_Rates!$A:$D,4,FALSE),3))*Rules!$B$4)</x:f>
      </x:c>
      <x:c r="K298" s="48" t="str">
        <x:f>IF(B298="","",G298+I298+J298)</x:f>
      </x:c>
    </x:row>
    <x:row r="299">
      <x:c r="A299" s="40" t="str">
        <x:f>IF(B299="","",ROW()-4)</x:f>
      </x:c>
      <x:c r="B299" s="40"/>
      <x:c r="C299" s="40"/>
      <x:c r="D299" s="40"/>
      <x:c r="E299" s="40"/>
      <x:c r="F299" s="40"/>
      <x:c r="G299" s="44"/>
      <x:c r="H299" s="46"/>
      <x:c r="I299" s="48" t="str">
        <x:f>IF(B299="","",IFERROR(VLOOKUP(B299,Merchant_Rates!$A:$D,3,FALSE),4000))</x:f>
      </x:c>
      <x:c r="J299" s="48" t="str">
        <x:f>IF(B299="","",MAX(0,CEILING(H299,1)-IFERROR(VLOOKUP(B299,Merchant_Rates!$A:$D,4,FALSE),3))*Rules!$B$4)</x:f>
      </x:c>
      <x:c r="K299" s="48" t="str">
        <x:f>IF(B299="","",G299+I299+J299)</x:f>
      </x:c>
    </x:row>
    <x:row r="300">
      <x:c r="A300" s="40" t="str">
        <x:f>IF(B300="","",ROW()-4)</x:f>
      </x:c>
      <x:c r="B300" s="40"/>
      <x:c r="C300" s="40"/>
      <x:c r="D300" s="40"/>
      <x:c r="E300" s="40"/>
      <x:c r="F300" s="40"/>
      <x:c r="G300" s="44"/>
      <x:c r="H300" s="46"/>
      <x:c r="I300" s="48" t="str">
        <x:f>IF(B300="","",IFERROR(VLOOKUP(B300,Merchant_Rates!$A:$D,3,FALSE),4000))</x:f>
      </x:c>
      <x:c r="J300" s="48" t="str">
        <x:f>IF(B300="","",MAX(0,CEILING(H300,1)-IFERROR(VLOOKUP(B300,Merchant_Rates!$A:$D,4,FALSE),3))*Rules!$B$4)</x:f>
      </x:c>
      <x:c r="K300" s="48" t="str">
        <x:f>IF(B300="","",G300+I300+J300)</x:f>
      </x:c>
    </x:row>
    <x:row r="301">
      <x:c r="A301" s="40" t="str">
        <x:f>IF(B301="","",ROW()-4)</x:f>
      </x:c>
      <x:c r="B301" s="40"/>
      <x:c r="C301" s="40"/>
      <x:c r="D301" s="40"/>
      <x:c r="E301" s="40"/>
      <x:c r="F301" s="40"/>
      <x:c r="G301" s="44"/>
      <x:c r="H301" s="46"/>
      <x:c r="I301" s="48" t="str">
        <x:f>IF(B301="","",IFERROR(VLOOKUP(B301,Merchant_Rates!$A:$D,3,FALSE),4000))</x:f>
      </x:c>
      <x:c r="J301" s="48" t="str">
        <x:f>IF(B301="","",MAX(0,CEILING(H301,1)-IFERROR(VLOOKUP(B301,Merchant_Rates!$A:$D,4,FALSE),3))*Rules!$B$4)</x:f>
      </x:c>
      <x:c r="K301" s="48" t="str">
        <x:f>IF(B301="","",G301+I301+J301)</x:f>
      </x:c>
    </x:row>
    <x:row r="302">
      <x:c r="A302" s="40" t="str">
        <x:f>IF(B302="","",ROW()-4)</x:f>
      </x:c>
      <x:c r="B302" s="40"/>
      <x:c r="C302" s="40"/>
      <x:c r="D302" s="40"/>
      <x:c r="E302" s="40"/>
      <x:c r="F302" s="40"/>
      <x:c r="G302" s="44"/>
      <x:c r="H302" s="46"/>
      <x:c r="I302" s="48" t="str">
        <x:f>IF(B302="","",IFERROR(VLOOKUP(B302,Merchant_Rates!$A:$D,3,FALSE),4000))</x:f>
      </x:c>
      <x:c r="J302" s="48" t="str">
        <x:f>IF(B302="","",MAX(0,CEILING(H302,1)-IFERROR(VLOOKUP(B302,Merchant_Rates!$A:$D,4,FALSE),3))*Rules!$B$4)</x:f>
      </x:c>
      <x:c r="K302" s="48" t="str">
        <x:f>IF(B302="","",G302+I302+J302)</x:f>
      </x:c>
    </x:row>
    <x:row r="303">
      <x:c r="A303" s="40" t="str">
        <x:f>IF(B303="","",ROW()-4)</x:f>
      </x:c>
      <x:c r="B303" s="40"/>
      <x:c r="C303" s="40"/>
      <x:c r="D303" s="40"/>
      <x:c r="E303" s="40"/>
      <x:c r="F303" s="40"/>
      <x:c r="G303" s="44"/>
      <x:c r="H303" s="46"/>
      <x:c r="I303" s="48" t="str">
        <x:f>IF(B303="","",IFERROR(VLOOKUP(B303,Merchant_Rates!$A:$D,3,FALSE),4000))</x:f>
      </x:c>
      <x:c r="J303" s="48" t="str">
        <x:f>IF(B303="","",MAX(0,CEILING(H303,1)-IFERROR(VLOOKUP(B303,Merchant_Rates!$A:$D,4,FALSE),3))*Rules!$B$4)</x:f>
      </x:c>
      <x:c r="K303" s="48" t="str">
        <x:f>IF(B303="","",G303+I303+J303)</x:f>
      </x:c>
    </x:row>
    <x:row r="304">
      <x:c r="A304" s="40" t="str">
        <x:f>IF(B304="","",ROW()-4)</x:f>
      </x:c>
      <x:c r="B304" s="40"/>
      <x:c r="C304" s="40"/>
      <x:c r="D304" s="40"/>
      <x:c r="E304" s="40"/>
      <x:c r="F304" s="40"/>
      <x:c r="G304" s="44"/>
      <x:c r="H304" s="46"/>
      <x:c r="I304" s="48" t="str">
        <x:f>IF(B304="","",IFERROR(VLOOKUP(B304,Merchant_Rates!$A:$D,3,FALSE),4000))</x:f>
      </x:c>
      <x:c r="J304" s="48" t="str">
        <x:f>IF(B304="","",MAX(0,CEILING(H304,1)-IFERROR(VLOOKUP(B304,Merchant_Rates!$A:$D,4,FALSE),3))*Rules!$B$4)</x:f>
      </x:c>
      <x:c r="K304" s="48" t="str">
        <x:f>IF(B304="","",G304+I304+J304)</x:f>
      </x:c>
    </x:row>
    <x:row r="305">
      <x:c r="A305" s="40" t="str">
        <x:f>IF(B305="","",ROW()-4)</x:f>
      </x:c>
      <x:c r="B305" s="40"/>
      <x:c r="C305" s="40"/>
      <x:c r="D305" s="40"/>
      <x:c r="E305" s="40"/>
      <x:c r="F305" s="40"/>
      <x:c r="G305" s="44"/>
      <x:c r="H305" s="46"/>
      <x:c r="I305" s="48" t="str">
        <x:f>IF(B305="","",IFERROR(VLOOKUP(B305,Merchant_Rates!$A:$D,3,FALSE),4000))</x:f>
      </x:c>
      <x:c r="J305" s="48" t="str">
        <x:f>IF(B305="","",MAX(0,CEILING(H305,1)-IFERROR(VLOOKUP(B305,Merchant_Rates!$A:$D,4,FALSE),3))*Rules!$B$4)</x:f>
      </x:c>
      <x:c r="K305" s="48" t="str">
        <x:f>IF(B305="","",G305+I305+J305)</x:f>
      </x:c>
    </x:row>
    <x:row r="306">
      <x:c r="A306" s="40" t="str">
        <x:f>IF(B306="","",ROW()-4)</x:f>
      </x:c>
      <x:c r="B306" s="40"/>
      <x:c r="C306" s="40"/>
      <x:c r="D306" s="40"/>
      <x:c r="E306" s="40"/>
      <x:c r="F306" s="40"/>
      <x:c r="G306" s="44"/>
      <x:c r="H306" s="46"/>
      <x:c r="I306" s="48" t="str">
        <x:f>IF(B306="","",IFERROR(VLOOKUP(B306,Merchant_Rates!$A:$D,3,FALSE),4000))</x:f>
      </x:c>
      <x:c r="J306" s="48" t="str">
        <x:f>IF(B306="","",MAX(0,CEILING(H306,1)-IFERROR(VLOOKUP(B306,Merchant_Rates!$A:$D,4,FALSE),3))*Rules!$B$4)</x:f>
      </x:c>
      <x:c r="K306" s="48" t="str">
        <x:f>IF(B306="","",G306+I306+J306)</x:f>
      </x:c>
    </x:row>
    <x:row r="307">
      <x:c r="A307" s="40" t="str">
        <x:f>IF(B307="","",ROW()-4)</x:f>
      </x:c>
      <x:c r="B307" s="40"/>
      <x:c r="C307" s="40"/>
      <x:c r="D307" s="40"/>
      <x:c r="E307" s="40"/>
      <x:c r="F307" s="40"/>
      <x:c r="G307" s="44"/>
      <x:c r="H307" s="46"/>
      <x:c r="I307" s="48" t="str">
        <x:f>IF(B307="","",IFERROR(VLOOKUP(B307,Merchant_Rates!$A:$D,3,FALSE),4000))</x:f>
      </x:c>
      <x:c r="J307" s="48" t="str">
        <x:f>IF(B307="","",MAX(0,CEILING(H307,1)-IFERROR(VLOOKUP(B307,Merchant_Rates!$A:$D,4,FALSE),3))*Rules!$B$4)</x:f>
      </x:c>
      <x:c r="K307" s="48" t="str">
        <x:f>IF(B307="","",G307+I307+J307)</x:f>
      </x:c>
    </x:row>
    <x:row r="308">
      <x:c r="A308" s="40" t="str">
        <x:f>IF(B308="","",ROW()-4)</x:f>
      </x:c>
      <x:c r="B308" s="40"/>
      <x:c r="C308" s="40"/>
      <x:c r="D308" s="40"/>
      <x:c r="E308" s="40"/>
      <x:c r="F308" s="40"/>
      <x:c r="G308" s="44"/>
      <x:c r="H308" s="46"/>
      <x:c r="I308" s="48" t="str">
        <x:f>IF(B308="","",IFERROR(VLOOKUP(B308,Merchant_Rates!$A:$D,3,FALSE),4000))</x:f>
      </x:c>
      <x:c r="J308" s="48" t="str">
        <x:f>IF(B308="","",MAX(0,CEILING(H308,1)-IFERROR(VLOOKUP(B308,Merchant_Rates!$A:$D,4,FALSE),3))*Rules!$B$4)</x:f>
      </x:c>
      <x:c r="K308" s="48" t="str">
        <x:f>IF(B308="","",G308+I308+J308)</x:f>
      </x:c>
    </x:row>
    <x:row r="309">
      <x:c r="A309" s="40" t="str">
        <x:f>IF(B309="","",ROW()-4)</x:f>
      </x:c>
      <x:c r="B309" s="40"/>
      <x:c r="C309" s="40"/>
      <x:c r="D309" s="40"/>
      <x:c r="E309" s="40"/>
      <x:c r="F309" s="40"/>
      <x:c r="G309" s="44"/>
      <x:c r="H309" s="46"/>
      <x:c r="I309" s="48" t="str">
        <x:f>IF(B309="","",IFERROR(VLOOKUP(B309,Merchant_Rates!$A:$D,3,FALSE),4000))</x:f>
      </x:c>
      <x:c r="J309" s="48" t="str">
        <x:f>IF(B309="","",MAX(0,CEILING(H309,1)-IFERROR(VLOOKUP(B309,Merchant_Rates!$A:$D,4,FALSE),3))*Rules!$B$4)</x:f>
      </x:c>
      <x:c r="K309" s="48" t="str">
        <x:f>IF(B309="","",G309+I309+J309)</x:f>
      </x:c>
    </x:row>
    <x:row r="310">
      <x:c r="A310" s="40" t="str">
        <x:f>IF(B310="","",ROW()-4)</x:f>
      </x:c>
      <x:c r="B310" s="40"/>
      <x:c r="C310" s="40"/>
      <x:c r="D310" s="40"/>
      <x:c r="E310" s="40"/>
      <x:c r="F310" s="40"/>
      <x:c r="G310" s="44"/>
      <x:c r="H310" s="46"/>
      <x:c r="I310" s="48" t="str">
        <x:f>IF(B310="","",IFERROR(VLOOKUP(B310,Merchant_Rates!$A:$D,3,FALSE),4000))</x:f>
      </x:c>
      <x:c r="J310" s="48" t="str">
        <x:f>IF(B310="","",MAX(0,CEILING(H310,1)-IFERROR(VLOOKUP(B310,Merchant_Rates!$A:$D,4,FALSE),3))*Rules!$B$4)</x:f>
      </x:c>
      <x:c r="K310" s="48" t="str">
        <x:f>IF(B310="","",G310+I310+J310)</x:f>
      </x:c>
    </x:row>
    <x:row r="311">
      <x:c r="A311" s="40" t="str">
        <x:f>IF(B311="","",ROW()-4)</x:f>
      </x:c>
      <x:c r="B311" s="40"/>
      <x:c r="C311" s="40"/>
      <x:c r="D311" s="40"/>
      <x:c r="E311" s="40"/>
      <x:c r="F311" s="40"/>
      <x:c r="G311" s="44"/>
      <x:c r="H311" s="46"/>
      <x:c r="I311" s="48" t="str">
        <x:f>IF(B311="","",IFERROR(VLOOKUP(B311,Merchant_Rates!$A:$D,3,FALSE),4000))</x:f>
      </x:c>
      <x:c r="J311" s="48" t="str">
        <x:f>IF(B311="","",MAX(0,CEILING(H311,1)-IFERROR(VLOOKUP(B311,Merchant_Rates!$A:$D,4,FALSE),3))*Rules!$B$4)</x:f>
      </x:c>
      <x:c r="K311" s="48" t="str">
        <x:f>IF(B311="","",G311+I311+J311)</x:f>
      </x:c>
    </x:row>
    <x:row r="312">
      <x:c r="A312" s="40" t="str">
        <x:f>IF(B312="","",ROW()-4)</x:f>
      </x:c>
      <x:c r="B312" s="40"/>
      <x:c r="C312" s="40"/>
      <x:c r="D312" s="40"/>
      <x:c r="E312" s="40"/>
      <x:c r="F312" s="40"/>
      <x:c r="G312" s="44"/>
      <x:c r="H312" s="46"/>
      <x:c r="I312" s="48" t="str">
        <x:f>IF(B312="","",IFERROR(VLOOKUP(B312,Merchant_Rates!$A:$D,3,FALSE),4000))</x:f>
      </x:c>
      <x:c r="J312" s="48" t="str">
        <x:f>IF(B312="","",MAX(0,CEILING(H312,1)-IFERROR(VLOOKUP(B312,Merchant_Rates!$A:$D,4,FALSE),3))*Rules!$B$4)</x:f>
      </x:c>
      <x:c r="K312" s="48" t="str">
        <x:f>IF(B312="","",G312+I312+J312)</x:f>
      </x:c>
    </x:row>
    <x:row r="313">
      <x:c r="A313" s="40" t="str">
        <x:f>IF(B313="","",ROW()-4)</x:f>
      </x:c>
      <x:c r="B313" s="40"/>
      <x:c r="C313" s="40"/>
      <x:c r="D313" s="40"/>
      <x:c r="E313" s="40"/>
      <x:c r="F313" s="40"/>
      <x:c r="G313" s="44"/>
      <x:c r="H313" s="46"/>
      <x:c r="I313" s="48" t="str">
        <x:f>IF(B313="","",IFERROR(VLOOKUP(B313,Merchant_Rates!$A:$D,3,FALSE),4000))</x:f>
      </x:c>
      <x:c r="J313" s="48" t="str">
        <x:f>IF(B313="","",MAX(0,CEILING(H313,1)-IFERROR(VLOOKUP(B313,Merchant_Rates!$A:$D,4,FALSE),3))*Rules!$B$4)</x:f>
      </x:c>
      <x:c r="K313" s="48" t="str">
        <x:f>IF(B313="","",G313+I313+J313)</x:f>
      </x:c>
    </x:row>
    <x:row r="314">
      <x:c r="A314" s="40" t="str">
        <x:f>IF(B314="","",ROW()-4)</x:f>
      </x:c>
      <x:c r="B314" s="40"/>
      <x:c r="C314" s="40"/>
      <x:c r="D314" s="40"/>
      <x:c r="E314" s="40"/>
      <x:c r="F314" s="40"/>
      <x:c r="G314" s="44"/>
      <x:c r="H314" s="46"/>
      <x:c r="I314" s="48" t="str">
        <x:f>IF(B314="","",IFERROR(VLOOKUP(B314,Merchant_Rates!$A:$D,3,FALSE),4000))</x:f>
      </x:c>
      <x:c r="J314" s="48" t="str">
        <x:f>IF(B314="","",MAX(0,CEILING(H314,1)-IFERROR(VLOOKUP(B314,Merchant_Rates!$A:$D,4,FALSE),3))*Rules!$B$4)</x:f>
      </x:c>
      <x:c r="K314" s="48" t="str">
        <x:f>IF(B314="","",G314+I314+J314)</x:f>
      </x:c>
    </x:row>
    <x:row r="315">
      <x:c r="A315" s="40" t="str">
        <x:f>IF(B315="","",ROW()-4)</x:f>
      </x:c>
      <x:c r="B315" s="40"/>
      <x:c r="C315" s="40"/>
      <x:c r="D315" s="40"/>
      <x:c r="E315" s="40"/>
      <x:c r="F315" s="40"/>
      <x:c r="G315" s="44"/>
      <x:c r="H315" s="46"/>
      <x:c r="I315" s="48" t="str">
        <x:f>IF(B315="","",IFERROR(VLOOKUP(B315,Merchant_Rates!$A:$D,3,FALSE),4000))</x:f>
      </x:c>
      <x:c r="J315" s="48" t="str">
        <x:f>IF(B315="","",MAX(0,CEILING(H315,1)-IFERROR(VLOOKUP(B315,Merchant_Rates!$A:$D,4,FALSE),3))*Rules!$B$4)</x:f>
      </x:c>
      <x:c r="K315" s="48" t="str">
        <x:f>IF(B315="","",G315+I315+J315)</x:f>
      </x:c>
    </x:row>
    <x:row r="316">
      <x:c r="A316" s="40" t="str">
        <x:f>IF(B316="","",ROW()-4)</x:f>
      </x:c>
      <x:c r="B316" s="40"/>
      <x:c r="C316" s="40"/>
      <x:c r="D316" s="40"/>
      <x:c r="E316" s="40"/>
      <x:c r="F316" s="40"/>
      <x:c r="G316" s="44"/>
      <x:c r="H316" s="46"/>
      <x:c r="I316" s="48" t="str">
        <x:f>IF(B316="","",IFERROR(VLOOKUP(B316,Merchant_Rates!$A:$D,3,FALSE),4000))</x:f>
      </x:c>
      <x:c r="J316" s="48" t="str">
        <x:f>IF(B316="","",MAX(0,CEILING(H316,1)-IFERROR(VLOOKUP(B316,Merchant_Rates!$A:$D,4,FALSE),3))*Rules!$B$4)</x:f>
      </x:c>
      <x:c r="K316" s="48" t="str">
        <x:f>IF(B316="","",G316+I316+J316)</x:f>
      </x:c>
    </x:row>
    <x:row r="317">
      <x:c r="A317" s="40" t="str">
        <x:f>IF(B317="","",ROW()-4)</x:f>
      </x:c>
      <x:c r="B317" s="40"/>
      <x:c r="C317" s="40"/>
      <x:c r="D317" s="40"/>
      <x:c r="E317" s="40"/>
      <x:c r="F317" s="40"/>
      <x:c r="G317" s="44"/>
      <x:c r="H317" s="46"/>
      <x:c r="I317" s="48" t="str">
        <x:f>IF(B317="","",IFERROR(VLOOKUP(B317,Merchant_Rates!$A:$D,3,FALSE),4000))</x:f>
      </x:c>
      <x:c r="J317" s="48" t="str">
        <x:f>IF(B317="","",MAX(0,CEILING(H317,1)-IFERROR(VLOOKUP(B317,Merchant_Rates!$A:$D,4,FALSE),3))*Rules!$B$4)</x:f>
      </x:c>
      <x:c r="K317" s="48" t="str">
        <x:f>IF(B317="","",G317+I317+J317)</x:f>
      </x:c>
    </x:row>
    <x:row r="318">
      <x:c r="A318" s="40" t="str">
        <x:f>IF(B318="","",ROW()-4)</x:f>
      </x:c>
      <x:c r="B318" s="40"/>
      <x:c r="C318" s="40"/>
      <x:c r="D318" s="40"/>
      <x:c r="E318" s="40"/>
      <x:c r="F318" s="40"/>
      <x:c r="G318" s="44"/>
      <x:c r="H318" s="46"/>
      <x:c r="I318" s="48" t="str">
        <x:f>IF(B318="","",IFERROR(VLOOKUP(B318,Merchant_Rates!$A:$D,3,FALSE),4000))</x:f>
      </x:c>
      <x:c r="J318" s="48" t="str">
        <x:f>IF(B318="","",MAX(0,CEILING(H318,1)-IFERROR(VLOOKUP(B318,Merchant_Rates!$A:$D,4,FALSE),3))*Rules!$B$4)</x:f>
      </x:c>
      <x:c r="K318" s="48" t="str">
        <x:f>IF(B318="","",G318+I318+J318)</x:f>
      </x:c>
    </x:row>
    <x:row r="319">
      <x:c r="A319" s="40" t="str">
        <x:f>IF(B319="","",ROW()-4)</x:f>
      </x:c>
      <x:c r="B319" s="40"/>
      <x:c r="C319" s="40"/>
      <x:c r="D319" s="40"/>
      <x:c r="E319" s="40"/>
      <x:c r="F319" s="40"/>
      <x:c r="G319" s="44"/>
      <x:c r="H319" s="46"/>
      <x:c r="I319" s="48" t="str">
        <x:f>IF(B319="","",IFERROR(VLOOKUP(B319,Merchant_Rates!$A:$D,3,FALSE),4000))</x:f>
      </x:c>
      <x:c r="J319" s="48" t="str">
        <x:f>IF(B319="","",MAX(0,CEILING(H319,1)-IFERROR(VLOOKUP(B319,Merchant_Rates!$A:$D,4,FALSE),3))*Rules!$B$4)</x:f>
      </x:c>
      <x:c r="K319" s="48" t="str">
        <x:f>IF(B319="","",G319+I319+J319)</x:f>
      </x:c>
    </x:row>
    <x:row r="320">
      <x:c r="A320" s="40" t="str">
        <x:f>IF(B320="","",ROW()-4)</x:f>
      </x:c>
      <x:c r="B320" s="40"/>
      <x:c r="C320" s="40"/>
      <x:c r="D320" s="40"/>
      <x:c r="E320" s="40"/>
      <x:c r="F320" s="40"/>
      <x:c r="G320" s="44"/>
      <x:c r="H320" s="46"/>
      <x:c r="I320" s="48" t="str">
        <x:f>IF(B320="","",IFERROR(VLOOKUP(B320,Merchant_Rates!$A:$D,3,FALSE),4000))</x:f>
      </x:c>
      <x:c r="J320" s="48" t="str">
        <x:f>IF(B320="","",MAX(0,CEILING(H320,1)-IFERROR(VLOOKUP(B320,Merchant_Rates!$A:$D,4,FALSE),3))*Rules!$B$4)</x:f>
      </x:c>
      <x:c r="K320" s="48" t="str">
        <x:f>IF(B320="","",G320+I320+J320)</x:f>
      </x:c>
    </x:row>
    <x:row r="321">
      <x:c r="A321" s="40" t="str">
        <x:f>IF(B321="","",ROW()-4)</x:f>
      </x:c>
      <x:c r="B321" s="40"/>
      <x:c r="C321" s="40"/>
      <x:c r="D321" s="40"/>
      <x:c r="E321" s="40"/>
      <x:c r="F321" s="40"/>
      <x:c r="G321" s="44"/>
      <x:c r="H321" s="46"/>
      <x:c r="I321" s="48" t="str">
        <x:f>IF(B321="","",IFERROR(VLOOKUP(B321,Merchant_Rates!$A:$D,3,FALSE),4000))</x:f>
      </x:c>
      <x:c r="J321" s="48" t="str">
        <x:f>IF(B321="","",MAX(0,CEILING(H321,1)-IFERROR(VLOOKUP(B321,Merchant_Rates!$A:$D,4,FALSE),3))*Rules!$B$4)</x:f>
      </x:c>
      <x:c r="K321" s="48" t="str">
        <x:f>IF(B321="","",G321+I321+J321)</x:f>
      </x:c>
    </x:row>
    <x:row r="322">
      <x:c r="A322" s="40" t="str">
        <x:f>IF(B322="","",ROW()-4)</x:f>
      </x:c>
      <x:c r="B322" s="40"/>
      <x:c r="C322" s="40"/>
      <x:c r="D322" s="40"/>
      <x:c r="E322" s="40"/>
      <x:c r="F322" s="40"/>
      <x:c r="G322" s="44"/>
      <x:c r="H322" s="46"/>
      <x:c r="I322" s="48" t="str">
        <x:f>IF(B322="","",IFERROR(VLOOKUP(B322,Merchant_Rates!$A:$D,3,FALSE),4000))</x:f>
      </x:c>
      <x:c r="J322" s="48" t="str">
        <x:f>IF(B322="","",MAX(0,CEILING(H322,1)-IFERROR(VLOOKUP(B322,Merchant_Rates!$A:$D,4,FALSE),3))*Rules!$B$4)</x:f>
      </x:c>
      <x:c r="K322" s="48" t="str">
        <x:f>IF(B322="","",G322+I322+J322)</x:f>
      </x:c>
    </x:row>
    <x:row r="323">
      <x:c r="A323" s="40" t="str">
        <x:f>IF(B323="","",ROW()-4)</x:f>
      </x:c>
      <x:c r="B323" s="40"/>
      <x:c r="C323" s="40"/>
      <x:c r="D323" s="40"/>
      <x:c r="E323" s="40"/>
      <x:c r="F323" s="40"/>
      <x:c r="G323" s="44"/>
      <x:c r="H323" s="46"/>
      <x:c r="I323" s="48" t="str">
        <x:f>IF(B323="","",IFERROR(VLOOKUP(B323,Merchant_Rates!$A:$D,3,FALSE),4000))</x:f>
      </x:c>
      <x:c r="J323" s="48" t="str">
        <x:f>IF(B323="","",MAX(0,CEILING(H323,1)-IFERROR(VLOOKUP(B323,Merchant_Rates!$A:$D,4,FALSE),3))*Rules!$B$4)</x:f>
      </x:c>
      <x:c r="K323" s="48" t="str">
        <x:f>IF(B323="","",G323+I323+J323)</x:f>
      </x:c>
    </x:row>
    <x:row r="324">
      <x:c r="A324" s="40" t="str">
        <x:f>IF(B324="","",ROW()-4)</x:f>
      </x:c>
      <x:c r="B324" s="40"/>
      <x:c r="C324" s="40"/>
      <x:c r="D324" s="40"/>
      <x:c r="E324" s="40"/>
      <x:c r="F324" s="40"/>
      <x:c r="G324" s="44"/>
      <x:c r="H324" s="46"/>
      <x:c r="I324" s="48" t="str">
        <x:f>IF(B324="","",IFERROR(VLOOKUP(B324,Merchant_Rates!$A:$D,3,FALSE),4000))</x:f>
      </x:c>
      <x:c r="J324" s="48" t="str">
        <x:f>IF(B324="","",MAX(0,CEILING(H324,1)-IFERROR(VLOOKUP(B324,Merchant_Rates!$A:$D,4,FALSE),3))*Rules!$B$4)</x:f>
      </x:c>
      <x:c r="K324" s="48" t="str">
        <x:f>IF(B324="","",G324+I324+J324)</x:f>
      </x:c>
    </x:row>
    <x:row r="325">
      <x:c r="A325" s="40" t="str">
        <x:f>IF(B325="","",ROW()-4)</x:f>
      </x:c>
      <x:c r="B325" s="40"/>
      <x:c r="C325" s="40"/>
      <x:c r="D325" s="40"/>
      <x:c r="E325" s="40"/>
      <x:c r="F325" s="40"/>
      <x:c r="G325" s="44"/>
      <x:c r="H325" s="46"/>
      <x:c r="I325" s="48" t="str">
        <x:f>IF(B325="","",IFERROR(VLOOKUP(B325,Merchant_Rates!$A:$D,3,FALSE),4000))</x:f>
      </x:c>
      <x:c r="J325" s="48" t="str">
        <x:f>IF(B325="","",MAX(0,CEILING(H325,1)-IFERROR(VLOOKUP(B325,Merchant_Rates!$A:$D,4,FALSE),3))*Rules!$B$4)</x:f>
      </x:c>
      <x:c r="K325" s="48" t="str">
        <x:f>IF(B325="","",G325+I325+J325)</x:f>
      </x:c>
    </x:row>
    <x:row r="326">
      <x:c r="A326" s="40" t="str">
        <x:f>IF(B326="","",ROW()-4)</x:f>
      </x:c>
      <x:c r="B326" s="40"/>
      <x:c r="C326" s="40"/>
      <x:c r="D326" s="40"/>
      <x:c r="E326" s="40"/>
      <x:c r="F326" s="40"/>
      <x:c r="G326" s="44"/>
      <x:c r="H326" s="46"/>
      <x:c r="I326" s="48" t="str">
        <x:f>IF(B326="","",IFERROR(VLOOKUP(B326,Merchant_Rates!$A:$D,3,FALSE),4000))</x:f>
      </x:c>
      <x:c r="J326" s="48" t="str">
        <x:f>IF(B326="","",MAX(0,CEILING(H326,1)-IFERROR(VLOOKUP(B326,Merchant_Rates!$A:$D,4,FALSE),3))*Rules!$B$4)</x:f>
      </x:c>
      <x:c r="K326" s="48" t="str">
        <x:f>IF(B326="","",G326+I326+J326)</x:f>
      </x:c>
    </x:row>
    <x:row r="327">
      <x:c r="A327" s="40" t="str">
        <x:f>IF(B327="","",ROW()-4)</x:f>
      </x:c>
      <x:c r="B327" s="40"/>
      <x:c r="C327" s="40"/>
      <x:c r="D327" s="40"/>
      <x:c r="E327" s="40"/>
      <x:c r="F327" s="40"/>
      <x:c r="G327" s="44"/>
      <x:c r="H327" s="46"/>
      <x:c r="I327" s="48" t="str">
        <x:f>IF(B327="","",IFERROR(VLOOKUP(B327,Merchant_Rates!$A:$D,3,FALSE),4000))</x:f>
      </x:c>
      <x:c r="J327" s="48" t="str">
        <x:f>IF(B327="","",MAX(0,CEILING(H327,1)-IFERROR(VLOOKUP(B327,Merchant_Rates!$A:$D,4,FALSE),3))*Rules!$B$4)</x:f>
      </x:c>
      <x:c r="K327" s="48" t="str">
        <x:f>IF(B327="","",G327+I327+J327)</x:f>
      </x:c>
    </x:row>
    <x:row r="328">
      <x:c r="A328" s="40" t="str">
        <x:f>IF(B328="","",ROW()-4)</x:f>
      </x:c>
      <x:c r="B328" s="40"/>
      <x:c r="C328" s="40"/>
      <x:c r="D328" s="40"/>
      <x:c r="E328" s="40"/>
      <x:c r="F328" s="40"/>
      <x:c r="G328" s="44"/>
      <x:c r="H328" s="46"/>
      <x:c r="I328" s="48" t="str">
        <x:f>IF(B328="","",IFERROR(VLOOKUP(B328,Merchant_Rates!$A:$D,3,FALSE),4000))</x:f>
      </x:c>
      <x:c r="J328" s="48" t="str">
        <x:f>IF(B328="","",MAX(0,CEILING(H328,1)-IFERROR(VLOOKUP(B328,Merchant_Rates!$A:$D,4,FALSE),3))*Rules!$B$4)</x:f>
      </x:c>
      <x:c r="K328" s="48" t="str">
        <x:f>IF(B328="","",G328+I328+J328)</x:f>
      </x:c>
    </x:row>
    <x:row r="329">
      <x:c r="A329" s="40" t="str">
        <x:f>IF(B329="","",ROW()-4)</x:f>
      </x:c>
      <x:c r="B329" s="40"/>
      <x:c r="C329" s="40"/>
      <x:c r="D329" s="40"/>
      <x:c r="E329" s="40"/>
      <x:c r="F329" s="40"/>
      <x:c r="G329" s="44"/>
      <x:c r="H329" s="46"/>
      <x:c r="I329" s="48" t="str">
        <x:f>IF(B329="","",IFERROR(VLOOKUP(B329,Merchant_Rates!$A:$D,3,FALSE),4000))</x:f>
      </x:c>
      <x:c r="J329" s="48" t="str">
        <x:f>IF(B329="","",MAX(0,CEILING(H329,1)-IFERROR(VLOOKUP(B329,Merchant_Rates!$A:$D,4,FALSE),3))*Rules!$B$4)</x:f>
      </x:c>
      <x:c r="K329" s="48" t="str">
        <x:f>IF(B329="","",G329+I329+J329)</x:f>
      </x:c>
    </x:row>
    <x:row r="330">
      <x:c r="A330" s="40" t="str">
        <x:f>IF(B330="","",ROW()-4)</x:f>
      </x:c>
      <x:c r="B330" s="40"/>
      <x:c r="C330" s="40"/>
      <x:c r="D330" s="40"/>
      <x:c r="E330" s="40"/>
      <x:c r="F330" s="40"/>
      <x:c r="G330" s="44"/>
      <x:c r="H330" s="46"/>
      <x:c r="I330" s="48" t="str">
        <x:f>IF(B330="","",IFERROR(VLOOKUP(B330,Merchant_Rates!$A:$D,3,FALSE),4000))</x:f>
      </x:c>
      <x:c r="J330" s="48" t="str">
        <x:f>IF(B330="","",MAX(0,CEILING(H330,1)-IFERROR(VLOOKUP(B330,Merchant_Rates!$A:$D,4,FALSE),3))*Rules!$B$4)</x:f>
      </x:c>
      <x:c r="K330" s="48" t="str">
        <x:f>IF(B330="","",G330+I330+J330)</x:f>
      </x:c>
    </x:row>
    <x:row r="331">
      <x:c r="A331" s="40" t="str">
        <x:f>IF(B331="","",ROW()-4)</x:f>
      </x:c>
      <x:c r="B331" s="40"/>
      <x:c r="C331" s="40"/>
      <x:c r="D331" s="40"/>
      <x:c r="E331" s="40"/>
      <x:c r="F331" s="40"/>
      <x:c r="G331" s="44"/>
      <x:c r="H331" s="46"/>
      <x:c r="I331" s="48" t="str">
        <x:f>IF(B331="","",IFERROR(VLOOKUP(B331,Merchant_Rates!$A:$D,3,FALSE),4000))</x:f>
      </x:c>
      <x:c r="J331" s="48" t="str">
        <x:f>IF(B331="","",MAX(0,CEILING(H331,1)-IFERROR(VLOOKUP(B331,Merchant_Rates!$A:$D,4,FALSE),3))*Rules!$B$4)</x:f>
      </x:c>
      <x:c r="K331" s="48" t="str">
        <x:f>IF(B331="","",G331+I331+J331)</x:f>
      </x:c>
    </x:row>
    <x:row r="332">
      <x:c r="A332" s="40" t="str">
        <x:f>IF(B332="","",ROW()-4)</x:f>
      </x:c>
      <x:c r="B332" s="40"/>
      <x:c r="C332" s="40"/>
      <x:c r="D332" s="40"/>
      <x:c r="E332" s="40"/>
      <x:c r="F332" s="40"/>
      <x:c r="G332" s="44"/>
      <x:c r="H332" s="46"/>
      <x:c r="I332" s="48" t="str">
        <x:f>IF(B332="","",IFERROR(VLOOKUP(B332,Merchant_Rates!$A:$D,3,FALSE),4000))</x:f>
      </x:c>
      <x:c r="J332" s="48" t="str">
        <x:f>IF(B332="","",MAX(0,CEILING(H332,1)-IFERROR(VLOOKUP(B332,Merchant_Rates!$A:$D,4,FALSE),3))*Rules!$B$4)</x:f>
      </x:c>
      <x:c r="K332" s="48" t="str">
        <x:f>IF(B332="","",G332+I332+J332)</x:f>
      </x:c>
    </x:row>
    <x:row r="333">
      <x:c r="A333" s="40" t="str">
        <x:f>IF(B333="","",ROW()-4)</x:f>
      </x:c>
      <x:c r="B333" s="40"/>
      <x:c r="C333" s="40"/>
      <x:c r="D333" s="40"/>
      <x:c r="E333" s="40"/>
      <x:c r="F333" s="40"/>
      <x:c r="G333" s="44"/>
      <x:c r="H333" s="46"/>
      <x:c r="I333" s="48" t="str">
        <x:f>IF(B333="","",IFERROR(VLOOKUP(B333,Merchant_Rates!$A:$D,3,FALSE),4000))</x:f>
      </x:c>
      <x:c r="J333" s="48" t="str">
        <x:f>IF(B333="","",MAX(0,CEILING(H333,1)-IFERROR(VLOOKUP(B333,Merchant_Rates!$A:$D,4,FALSE),3))*Rules!$B$4)</x:f>
      </x:c>
      <x:c r="K333" s="48" t="str">
        <x:f>IF(B333="","",G333+I333+J333)</x:f>
      </x:c>
    </x:row>
    <x:row r="334">
      <x:c r="A334" s="40" t="str">
        <x:f>IF(B334="","",ROW()-4)</x:f>
      </x:c>
      <x:c r="B334" s="40"/>
      <x:c r="C334" s="40"/>
      <x:c r="D334" s="40"/>
      <x:c r="E334" s="40"/>
      <x:c r="F334" s="40"/>
      <x:c r="G334" s="44"/>
      <x:c r="H334" s="46"/>
      <x:c r="I334" s="48" t="str">
        <x:f>IF(B334="","",IFERROR(VLOOKUP(B334,Merchant_Rates!$A:$D,3,FALSE),4000))</x:f>
      </x:c>
      <x:c r="J334" s="48" t="str">
        <x:f>IF(B334="","",MAX(0,CEILING(H334,1)-IFERROR(VLOOKUP(B334,Merchant_Rates!$A:$D,4,FALSE),3))*Rules!$B$4)</x:f>
      </x:c>
      <x:c r="K334" s="48" t="str">
        <x:f>IF(B334="","",G334+I334+J334)</x:f>
      </x:c>
    </x:row>
    <x:row r="335">
      <x:c r="A335" s="40" t="str">
        <x:f>IF(B335="","",ROW()-4)</x:f>
      </x:c>
      <x:c r="B335" s="40"/>
      <x:c r="C335" s="40"/>
      <x:c r="D335" s="40"/>
      <x:c r="E335" s="40"/>
      <x:c r="F335" s="40"/>
      <x:c r="G335" s="44"/>
      <x:c r="H335" s="46"/>
      <x:c r="I335" s="48" t="str">
        <x:f>IF(B335="","",IFERROR(VLOOKUP(B335,Merchant_Rates!$A:$D,3,FALSE),4000))</x:f>
      </x:c>
      <x:c r="J335" s="48" t="str">
        <x:f>IF(B335="","",MAX(0,CEILING(H335,1)-IFERROR(VLOOKUP(B335,Merchant_Rates!$A:$D,4,FALSE),3))*Rules!$B$4)</x:f>
      </x:c>
      <x:c r="K335" s="48" t="str">
        <x:f>IF(B335="","",G335+I335+J335)</x:f>
      </x:c>
    </x:row>
    <x:row r="336">
      <x:c r="A336" s="40" t="str">
        <x:f>IF(B336="","",ROW()-4)</x:f>
      </x:c>
      <x:c r="B336" s="40"/>
      <x:c r="C336" s="40"/>
      <x:c r="D336" s="40"/>
      <x:c r="E336" s="40"/>
      <x:c r="F336" s="40"/>
      <x:c r="G336" s="44"/>
      <x:c r="H336" s="46"/>
      <x:c r="I336" s="48" t="str">
        <x:f>IF(B336="","",IFERROR(VLOOKUP(B336,Merchant_Rates!$A:$D,3,FALSE),4000))</x:f>
      </x:c>
      <x:c r="J336" s="48" t="str">
        <x:f>IF(B336="","",MAX(0,CEILING(H336,1)-IFERROR(VLOOKUP(B336,Merchant_Rates!$A:$D,4,FALSE),3))*Rules!$B$4)</x:f>
      </x:c>
      <x:c r="K336" s="48" t="str">
        <x:f>IF(B336="","",G336+I336+J336)</x:f>
      </x:c>
    </x:row>
    <x:row r="337">
      <x:c r="A337" s="40" t="str">
        <x:f>IF(B337="","",ROW()-4)</x:f>
      </x:c>
      <x:c r="B337" s="40"/>
      <x:c r="C337" s="40"/>
      <x:c r="D337" s="40"/>
      <x:c r="E337" s="40"/>
      <x:c r="F337" s="40"/>
      <x:c r="G337" s="44"/>
      <x:c r="H337" s="46"/>
      <x:c r="I337" s="48" t="str">
        <x:f>IF(B337="","",IFERROR(VLOOKUP(B337,Merchant_Rates!$A:$D,3,FALSE),4000))</x:f>
      </x:c>
      <x:c r="J337" s="48" t="str">
        <x:f>IF(B337="","",MAX(0,CEILING(H337,1)-IFERROR(VLOOKUP(B337,Merchant_Rates!$A:$D,4,FALSE),3))*Rules!$B$4)</x:f>
      </x:c>
      <x:c r="K337" s="48" t="str">
        <x:f>IF(B337="","",G337+I337+J337)</x:f>
      </x:c>
    </x:row>
    <x:row r="338">
      <x:c r="A338" s="40" t="str">
        <x:f>IF(B338="","",ROW()-4)</x:f>
      </x:c>
      <x:c r="B338" s="40"/>
      <x:c r="C338" s="40"/>
      <x:c r="D338" s="40"/>
      <x:c r="E338" s="40"/>
      <x:c r="F338" s="40"/>
      <x:c r="G338" s="44"/>
      <x:c r="H338" s="46"/>
      <x:c r="I338" s="48" t="str">
        <x:f>IF(B338="","",IFERROR(VLOOKUP(B338,Merchant_Rates!$A:$D,3,FALSE),4000))</x:f>
      </x:c>
      <x:c r="J338" s="48" t="str">
        <x:f>IF(B338="","",MAX(0,CEILING(H338,1)-IFERROR(VLOOKUP(B338,Merchant_Rates!$A:$D,4,FALSE),3))*Rules!$B$4)</x:f>
      </x:c>
      <x:c r="K338" s="48" t="str">
        <x:f>IF(B338="","",G338+I338+J338)</x:f>
      </x:c>
    </x:row>
    <x:row r="339">
      <x:c r="A339" s="40" t="str">
        <x:f>IF(B339="","",ROW()-4)</x:f>
      </x:c>
      <x:c r="B339" s="40"/>
      <x:c r="C339" s="40"/>
      <x:c r="D339" s="40"/>
      <x:c r="E339" s="40"/>
      <x:c r="F339" s="40"/>
      <x:c r="G339" s="44"/>
      <x:c r="H339" s="46"/>
      <x:c r="I339" s="48" t="str">
        <x:f>IF(B339="","",IFERROR(VLOOKUP(B339,Merchant_Rates!$A:$D,3,FALSE),4000))</x:f>
      </x:c>
      <x:c r="J339" s="48" t="str">
        <x:f>IF(B339="","",MAX(0,CEILING(H339,1)-IFERROR(VLOOKUP(B339,Merchant_Rates!$A:$D,4,FALSE),3))*Rules!$B$4)</x:f>
      </x:c>
      <x:c r="K339" s="48" t="str">
        <x:f>IF(B339="","",G339+I339+J339)</x:f>
      </x:c>
    </x:row>
    <x:row r="340">
      <x:c r="A340" s="40" t="str">
        <x:f>IF(B340="","",ROW()-4)</x:f>
      </x:c>
      <x:c r="B340" s="40"/>
      <x:c r="C340" s="40"/>
      <x:c r="D340" s="40"/>
      <x:c r="E340" s="40"/>
      <x:c r="F340" s="40"/>
      <x:c r="G340" s="44"/>
      <x:c r="H340" s="46"/>
      <x:c r="I340" s="48" t="str">
        <x:f>IF(B340="","",IFERROR(VLOOKUP(B340,Merchant_Rates!$A:$D,3,FALSE),4000))</x:f>
      </x:c>
      <x:c r="J340" s="48" t="str">
        <x:f>IF(B340="","",MAX(0,CEILING(H340,1)-IFERROR(VLOOKUP(B340,Merchant_Rates!$A:$D,4,FALSE),3))*Rules!$B$4)</x:f>
      </x:c>
      <x:c r="K340" s="48" t="str">
        <x:f>IF(B340="","",G340+I340+J340)</x:f>
      </x:c>
    </x:row>
    <x:row r="341">
      <x:c r="A341" s="40" t="str">
        <x:f>IF(B341="","",ROW()-4)</x:f>
      </x:c>
      <x:c r="B341" s="40"/>
      <x:c r="C341" s="40"/>
      <x:c r="D341" s="40"/>
      <x:c r="E341" s="40"/>
      <x:c r="F341" s="40"/>
      <x:c r="G341" s="44"/>
      <x:c r="H341" s="46"/>
      <x:c r="I341" s="48" t="str">
        <x:f>IF(B341="","",IFERROR(VLOOKUP(B341,Merchant_Rates!$A:$D,3,FALSE),4000))</x:f>
      </x:c>
      <x:c r="J341" s="48" t="str">
        <x:f>IF(B341="","",MAX(0,CEILING(H341,1)-IFERROR(VLOOKUP(B341,Merchant_Rates!$A:$D,4,FALSE),3))*Rules!$B$4)</x:f>
      </x:c>
      <x:c r="K341" s="48" t="str">
        <x:f>IF(B341="","",G341+I341+J341)</x:f>
      </x:c>
    </x:row>
    <x:row r="342">
      <x:c r="A342" s="40" t="str">
        <x:f>IF(B342="","",ROW()-4)</x:f>
      </x:c>
      <x:c r="B342" s="40"/>
      <x:c r="C342" s="40"/>
      <x:c r="D342" s="40"/>
      <x:c r="E342" s="40"/>
      <x:c r="F342" s="40"/>
      <x:c r="G342" s="44"/>
      <x:c r="H342" s="46"/>
      <x:c r="I342" s="48" t="str">
        <x:f>IF(B342="","",IFERROR(VLOOKUP(B342,Merchant_Rates!$A:$D,3,FALSE),4000))</x:f>
      </x:c>
      <x:c r="J342" s="48" t="str">
        <x:f>IF(B342="","",MAX(0,CEILING(H342,1)-IFERROR(VLOOKUP(B342,Merchant_Rates!$A:$D,4,FALSE),3))*Rules!$B$4)</x:f>
      </x:c>
      <x:c r="K342" s="48" t="str">
        <x:f>IF(B342="","",G342+I342+J342)</x:f>
      </x:c>
    </x:row>
    <x:row r="343">
      <x:c r="A343" s="40" t="str">
        <x:f>IF(B343="","",ROW()-4)</x:f>
      </x:c>
      <x:c r="B343" s="40"/>
      <x:c r="C343" s="40"/>
      <x:c r="D343" s="40"/>
      <x:c r="E343" s="40"/>
      <x:c r="F343" s="40"/>
      <x:c r="G343" s="44"/>
      <x:c r="H343" s="46"/>
      <x:c r="I343" s="48" t="str">
        <x:f>IF(B343="","",IFERROR(VLOOKUP(B343,Merchant_Rates!$A:$D,3,FALSE),4000))</x:f>
      </x:c>
      <x:c r="J343" s="48" t="str">
        <x:f>IF(B343="","",MAX(0,CEILING(H343,1)-IFERROR(VLOOKUP(B343,Merchant_Rates!$A:$D,4,FALSE),3))*Rules!$B$4)</x:f>
      </x:c>
      <x:c r="K343" s="48" t="str">
        <x:f>IF(B343="","",G343+I343+J343)</x:f>
      </x:c>
    </x:row>
    <x:row r="344">
      <x:c r="A344" s="40" t="str">
        <x:f>IF(B344="","",ROW()-4)</x:f>
      </x:c>
      <x:c r="B344" s="40"/>
      <x:c r="C344" s="40"/>
      <x:c r="D344" s="40"/>
      <x:c r="E344" s="40"/>
      <x:c r="F344" s="40"/>
      <x:c r="G344" s="44"/>
      <x:c r="H344" s="46"/>
      <x:c r="I344" s="48" t="str">
        <x:f>IF(B344="","",IFERROR(VLOOKUP(B344,Merchant_Rates!$A:$D,3,FALSE),4000))</x:f>
      </x:c>
      <x:c r="J344" s="48" t="str">
        <x:f>IF(B344="","",MAX(0,CEILING(H344,1)-IFERROR(VLOOKUP(B344,Merchant_Rates!$A:$D,4,FALSE),3))*Rules!$B$4)</x:f>
      </x:c>
      <x:c r="K344" s="48" t="str">
        <x:f>IF(B344="","",G344+I344+J344)</x:f>
      </x:c>
    </x:row>
    <x:row r="345">
      <x:c r="A345" s="40" t="str">
        <x:f>IF(B345="","",ROW()-4)</x:f>
      </x:c>
      <x:c r="B345" s="40"/>
      <x:c r="C345" s="40"/>
      <x:c r="D345" s="40"/>
      <x:c r="E345" s="40"/>
      <x:c r="F345" s="40"/>
      <x:c r="G345" s="44"/>
      <x:c r="H345" s="46"/>
      <x:c r="I345" s="48" t="str">
        <x:f>IF(B345="","",IFERROR(VLOOKUP(B345,Merchant_Rates!$A:$D,3,FALSE),4000))</x:f>
      </x:c>
      <x:c r="J345" s="48" t="str">
        <x:f>IF(B345="","",MAX(0,CEILING(H345,1)-IFERROR(VLOOKUP(B345,Merchant_Rates!$A:$D,4,FALSE),3))*Rules!$B$4)</x:f>
      </x:c>
      <x:c r="K345" s="48" t="str">
        <x:f>IF(B345="","",G345+I345+J345)</x:f>
      </x:c>
    </x:row>
    <x:row r="346">
      <x:c r="A346" s="40" t="str">
        <x:f>IF(B346="","",ROW()-4)</x:f>
      </x:c>
      <x:c r="B346" s="40"/>
      <x:c r="C346" s="40"/>
      <x:c r="D346" s="40"/>
      <x:c r="E346" s="40"/>
      <x:c r="F346" s="40"/>
      <x:c r="G346" s="44"/>
      <x:c r="H346" s="46"/>
      <x:c r="I346" s="48" t="str">
        <x:f>IF(B346="","",IFERROR(VLOOKUP(B346,Merchant_Rates!$A:$D,3,FALSE),4000))</x:f>
      </x:c>
      <x:c r="J346" s="48" t="str">
        <x:f>IF(B346="","",MAX(0,CEILING(H346,1)-IFERROR(VLOOKUP(B346,Merchant_Rates!$A:$D,4,FALSE),3))*Rules!$B$4)</x:f>
      </x:c>
      <x:c r="K346" s="48" t="str">
        <x:f>IF(B346="","",G346+I346+J346)</x:f>
      </x:c>
    </x:row>
    <x:row r="347">
      <x:c r="A347" s="40" t="str">
        <x:f>IF(B347="","",ROW()-4)</x:f>
      </x:c>
      <x:c r="B347" s="40"/>
      <x:c r="C347" s="40"/>
      <x:c r="D347" s="40"/>
      <x:c r="E347" s="40"/>
      <x:c r="F347" s="40"/>
      <x:c r="G347" s="44"/>
      <x:c r="H347" s="46"/>
      <x:c r="I347" s="48" t="str">
        <x:f>IF(B347="","",IFERROR(VLOOKUP(B347,Merchant_Rates!$A:$D,3,FALSE),4000))</x:f>
      </x:c>
      <x:c r="J347" s="48" t="str">
        <x:f>IF(B347="","",MAX(0,CEILING(H347,1)-IFERROR(VLOOKUP(B347,Merchant_Rates!$A:$D,4,FALSE),3))*Rules!$B$4)</x:f>
      </x:c>
      <x:c r="K347" s="48" t="str">
        <x:f>IF(B347="","",G347+I347+J347)</x:f>
      </x:c>
    </x:row>
    <x:row r="348">
      <x:c r="A348" s="40" t="str">
        <x:f>IF(B348="","",ROW()-4)</x:f>
      </x:c>
      <x:c r="B348" s="40"/>
      <x:c r="C348" s="40"/>
      <x:c r="D348" s="40"/>
      <x:c r="E348" s="40"/>
      <x:c r="F348" s="40"/>
      <x:c r="G348" s="44"/>
      <x:c r="H348" s="46"/>
      <x:c r="I348" s="48" t="str">
        <x:f>IF(B348="","",IFERROR(VLOOKUP(B348,Merchant_Rates!$A:$D,3,FALSE),4000))</x:f>
      </x:c>
      <x:c r="J348" s="48" t="str">
        <x:f>IF(B348="","",MAX(0,CEILING(H348,1)-IFERROR(VLOOKUP(B348,Merchant_Rates!$A:$D,4,FALSE),3))*Rules!$B$4)</x:f>
      </x:c>
      <x:c r="K348" s="48" t="str">
        <x:f>IF(B348="","",G348+I348+J348)</x:f>
      </x:c>
    </x:row>
    <x:row r="349">
      <x:c r="A349" s="40" t="str">
        <x:f>IF(B349="","",ROW()-4)</x:f>
      </x:c>
      <x:c r="B349" s="40"/>
      <x:c r="C349" s="40"/>
      <x:c r="D349" s="40"/>
      <x:c r="E349" s="40"/>
      <x:c r="F349" s="40"/>
      <x:c r="G349" s="44"/>
      <x:c r="H349" s="46"/>
      <x:c r="I349" s="48" t="str">
        <x:f>IF(B349="","",IFERROR(VLOOKUP(B349,Merchant_Rates!$A:$D,3,FALSE),4000))</x:f>
      </x:c>
      <x:c r="J349" s="48" t="str">
        <x:f>IF(B349="","",MAX(0,CEILING(H349,1)-IFERROR(VLOOKUP(B349,Merchant_Rates!$A:$D,4,FALSE),3))*Rules!$B$4)</x:f>
      </x:c>
      <x:c r="K349" s="48" t="str">
        <x:f>IF(B349="","",G349+I349+J349)</x:f>
      </x:c>
    </x:row>
    <x:row r="350">
      <x:c r="A350" s="40" t="str">
        <x:f>IF(B350="","",ROW()-4)</x:f>
      </x:c>
      <x:c r="B350" s="40"/>
      <x:c r="C350" s="40"/>
      <x:c r="D350" s="40"/>
      <x:c r="E350" s="40"/>
      <x:c r="F350" s="40"/>
      <x:c r="G350" s="44"/>
      <x:c r="H350" s="46"/>
      <x:c r="I350" s="48" t="str">
        <x:f>IF(B350="","",IFERROR(VLOOKUP(B350,Merchant_Rates!$A:$D,3,FALSE),4000))</x:f>
      </x:c>
      <x:c r="J350" s="48" t="str">
        <x:f>IF(B350="","",MAX(0,CEILING(H350,1)-IFERROR(VLOOKUP(B350,Merchant_Rates!$A:$D,4,FALSE),3))*Rules!$B$4)</x:f>
      </x:c>
      <x:c r="K350" s="48" t="str">
        <x:f>IF(B350="","",G350+I350+J350)</x:f>
      </x:c>
    </x:row>
    <x:row r="351">
      <x:c r="A351" s="40" t="str">
        <x:f>IF(B351="","",ROW()-4)</x:f>
      </x:c>
      <x:c r="B351" s="40"/>
      <x:c r="C351" s="40"/>
      <x:c r="D351" s="40"/>
      <x:c r="E351" s="40"/>
      <x:c r="F351" s="40"/>
      <x:c r="G351" s="44"/>
      <x:c r="H351" s="46"/>
      <x:c r="I351" s="48" t="str">
        <x:f>IF(B351="","",IFERROR(VLOOKUP(B351,Merchant_Rates!$A:$D,3,FALSE),4000))</x:f>
      </x:c>
      <x:c r="J351" s="48" t="str">
        <x:f>IF(B351="","",MAX(0,CEILING(H351,1)-IFERROR(VLOOKUP(B351,Merchant_Rates!$A:$D,4,FALSE),3))*Rules!$B$4)</x:f>
      </x:c>
      <x:c r="K351" s="48" t="str">
        <x:f>IF(B351="","",G351+I351+J351)</x:f>
      </x:c>
    </x:row>
    <x:row r="352">
      <x:c r="A352" s="40" t="str">
        <x:f>IF(B352="","",ROW()-4)</x:f>
      </x:c>
      <x:c r="B352" s="40"/>
      <x:c r="C352" s="40"/>
      <x:c r="D352" s="40"/>
      <x:c r="E352" s="40"/>
      <x:c r="F352" s="40"/>
      <x:c r="G352" s="44"/>
      <x:c r="H352" s="46"/>
      <x:c r="I352" s="48" t="str">
        <x:f>IF(B352="","",IFERROR(VLOOKUP(B352,Merchant_Rates!$A:$D,3,FALSE),4000))</x:f>
      </x:c>
      <x:c r="J352" s="48" t="str">
        <x:f>IF(B352="","",MAX(0,CEILING(H352,1)-IFERROR(VLOOKUP(B352,Merchant_Rates!$A:$D,4,FALSE),3))*Rules!$B$4)</x:f>
      </x:c>
      <x:c r="K352" s="48" t="str">
        <x:f>IF(B352="","",G352+I352+J352)</x:f>
      </x:c>
    </x:row>
    <x:row r="353">
      <x:c r="A353" s="40" t="str">
        <x:f>IF(B353="","",ROW()-4)</x:f>
      </x:c>
      <x:c r="B353" s="40"/>
      <x:c r="C353" s="40"/>
      <x:c r="D353" s="40"/>
      <x:c r="E353" s="40"/>
      <x:c r="F353" s="40"/>
      <x:c r="G353" s="44"/>
      <x:c r="H353" s="46"/>
      <x:c r="I353" s="48" t="str">
        <x:f>IF(B353="","",IFERROR(VLOOKUP(B353,Merchant_Rates!$A:$D,3,FALSE),4000))</x:f>
      </x:c>
      <x:c r="J353" s="48" t="str">
        <x:f>IF(B353="","",MAX(0,CEILING(H353,1)-IFERROR(VLOOKUP(B353,Merchant_Rates!$A:$D,4,FALSE),3))*Rules!$B$4)</x:f>
      </x:c>
      <x:c r="K353" s="48" t="str">
        <x:f>IF(B353="","",G353+I353+J353)</x:f>
      </x:c>
    </x:row>
    <x:row r="354">
      <x:c r="A354" s="40" t="str">
        <x:f>IF(B354="","",ROW()-4)</x:f>
      </x:c>
      <x:c r="B354" s="40"/>
      <x:c r="C354" s="40"/>
      <x:c r="D354" s="40"/>
      <x:c r="E354" s="40"/>
      <x:c r="F354" s="40"/>
      <x:c r="G354" s="44"/>
      <x:c r="H354" s="46"/>
      <x:c r="I354" s="48" t="str">
        <x:f>IF(B354="","",IFERROR(VLOOKUP(B354,Merchant_Rates!$A:$D,3,FALSE),4000))</x:f>
      </x:c>
      <x:c r="J354" s="48" t="str">
        <x:f>IF(B354="","",MAX(0,CEILING(H354,1)-IFERROR(VLOOKUP(B354,Merchant_Rates!$A:$D,4,FALSE),3))*Rules!$B$4)</x:f>
      </x:c>
      <x:c r="K354" s="48" t="str">
        <x:f>IF(B354="","",G354+I354+J354)</x:f>
      </x:c>
    </x:row>
    <x:row r="355">
      <x:c r="A355" s="40" t="str">
        <x:f>IF(B355="","",ROW()-4)</x:f>
      </x:c>
      <x:c r="B355" s="40"/>
      <x:c r="C355" s="40"/>
      <x:c r="D355" s="40"/>
      <x:c r="E355" s="40"/>
      <x:c r="F355" s="40"/>
      <x:c r="G355" s="44"/>
      <x:c r="H355" s="46"/>
      <x:c r="I355" s="48" t="str">
        <x:f>IF(B355="","",IFERROR(VLOOKUP(B355,Merchant_Rates!$A:$D,3,FALSE),4000))</x:f>
      </x:c>
      <x:c r="J355" s="48" t="str">
        <x:f>IF(B355="","",MAX(0,CEILING(H355,1)-IFERROR(VLOOKUP(B355,Merchant_Rates!$A:$D,4,FALSE),3))*Rules!$B$4)</x:f>
      </x:c>
      <x:c r="K355" s="48" t="str">
        <x:f>IF(B355="","",G355+I355+J355)</x:f>
      </x:c>
    </x:row>
    <x:row r="356">
      <x:c r="A356" s="40" t="str">
        <x:f>IF(B356="","",ROW()-4)</x:f>
      </x:c>
      <x:c r="B356" s="40"/>
      <x:c r="C356" s="40"/>
      <x:c r="D356" s="40"/>
      <x:c r="E356" s="40"/>
      <x:c r="F356" s="40"/>
      <x:c r="G356" s="44"/>
      <x:c r="H356" s="46"/>
      <x:c r="I356" s="48" t="str">
        <x:f>IF(B356="","",IFERROR(VLOOKUP(B356,Merchant_Rates!$A:$D,3,FALSE),4000))</x:f>
      </x:c>
      <x:c r="J356" s="48" t="str">
        <x:f>IF(B356="","",MAX(0,CEILING(H356,1)-IFERROR(VLOOKUP(B356,Merchant_Rates!$A:$D,4,FALSE),3))*Rules!$B$4)</x:f>
      </x:c>
      <x:c r="K356" s="48" t="str">
        <x:f>IF(B356="","",G356+I356+J356)</x:f>
      </x:c>
    </x:row>
    <x:row r="357">
      <x:c r="A357" s="40" t="str">
        <x:f>IF(B357="","",ROW()-4)</x:f>
      </x:c>
      <x:c r="B357" s="40"/>
      <x:c r="C357" s="40"/>
      <x:c r="D357" s="40"/>
      <x:c r="E357" s="40"/>
      <x:c r="F357" s="40"/>
      <x:c r="G357" s="44"/>
      <x:c r="H357" s="46"/>
      <x:c r="I357" s="48" t="str">
        <x:f>IF(B357="","",IFERROR(VLOOKUP(B357,Merchant_Rates!$A:$D,3,FALSE),4000))</x:f>
      </x:c>
      <x:c r="J357" s="48" t="str">
        <x:f>IF(B357="","",MAX(0,CEILING(H357,1)-IFERROR(VLOOKUP(B357,Merchant_Rates!$A:$D,4,FALSE),3))*Rules!$B$4)</x:f>
      </x:c>
      <x:c r="K357" s="48" t="str">
        <x:f>IF(B357="","",G357+I357+J357)</x:f>
      </x:c>
    </x:row>
    <x:row r="358">
      <x:c r="A358" s="40" t="str">
        <x:f>IF(B358="","",ROW()-4)</x:f>
      </x:c>
      <x:c r="B358" s="40"/>
      <x:c r="C358" s="40"/>
      <x:c r="D358" s="40"/>
      <x:c r="E358" s="40"/>
      <x:c r="F358" s="40"/>
      <x:c r="G358" s="44"/>
      <x:c r="H358" s="46"/>
      <x:c r="I358" s="48" t="str">
        <x:f>IF(B358="","",IFERROR(VLOOKUP(B358,Merchant_Rates!$A:$D,3,FALSE),4000))</x:f>
      </x:c>
      <x:c r="J358" s="48" t="str">
        <x:f>IF(B358="","",MAX(0,CEILING(H358,1)-IFERROR(VLOOKUP(B358,Merchant_Rates!$A:$D,4,FALSE),3))*Rules!$B$4)</x:f>
      </x:c>
      <x:c r="K358" s="48" t="str">
        <x:f>IF(B358="","",G358+I358+J358)</x:f>
      </x:c>
    </x:row>
    <x:row r="359">
      <x:c r="A359" s="40" t="str">
        <x:f>IF(B359="","",ROW()-4)</x:f>
      </x:c>
      <x:c r="B359" s="40"/>
      <x:c r="C359" s="40"/>
      <x:c r="D359" s="40"/>
      <x:c r="E359" s="40"/>
      <x:c r="F359" s="40"/>
      <x:c r="G359" s="44"/>
      <x:c r="H359" s="46"/>
      <x:c r="I359" s="48" t="str">
        <x:f>IF(B359="","",IFERROR(VLOOKUP(B359,Merchant_Rates!$A:$D,3,FALSE),4000))</x:f>
      </x:c>
      <x:c r="J359" s="48" t="str">
        <x:f>IF(B359="","",MAX(0,CEILING(H359,1)-IFERROR(VLOOKUP(B359,Merchant_Rates!$A:$D,4,FALSE),3))*Rules!$B$4)</x:f>
      </x:c>
      <x:c r="K359" s="48" t="str">
        <x:f>IF(B359="","",G359+I359+J359)</x:f>
      </x:c>
    </x:row>
    <x:row r="360">
      <x:c r="A360" s="40" t="str">
        <x:f>IF(B360="","",ROW()-4)</x:f>
      </x:c>
      <x:c r="B360" s="40"/>
      <x:c r="C360" s="40"/>
      <x:c r="D360" s="40"/>
      <x:c r="E360" s="40"/>
      <x:c r="F360" s="40"/>
      <x:c r="G360" s="44"/>
      <x:c r="H360" s="46"/>
      <x:c r="I360" s="48" t="str">
        <x:f>IF(B360="","",IFERROR(VLOOKUP(B360,Merchant_Rates!$A:$D,3,FALSE),4000))</x:f>
      </x:c>
      <x:c r="J360" s="48" t="str">
        <x:f>IF(B360="","",MAX(0,CEILING(H360,1)-IFERROR(VLOOKUP(B360,Merchant_Rates!$A:$D,4,FALSE),3))*Rules!$B$4)</x:f>
      </x:c>
      <x:c r="K360" s="48" t="str">
        <x:f>IF(B360="","",G360+I360+J360)</x:f>
      </x:c>
    </x:row>
    <x:row r="361">
      <x:c r="A361" s="40" t="str">
        <x:f>IF(B361="","",ROW()-4)</x:f>
      </x:c>
      <x:c r="B361" s="40"/>
      <x:c r="C361" s="40"/>
      <x:c r="D361" s="40"/>
      <x:c r="E361" s="40"/>
      <x:c r="F361" s="40"/>
      <x:c r="G361" s="44"/>
      <x:c r="H361" s="46"/>
      <x:c r="I361" s="48" t="str">
        <x:f>IF(B361="","",IFERROR(VLOOKUP(B361,Merchant_Rates!$A:$D,3,FALSE),4000))</x:f>
      </x:c>
      <x:c r="J361" s="48" t="str">
        <x:f>IF(B361="","",MAX(0,CEILING(H361,1)-IFERROR(VLOOKUP(B361,Merchant_Rates!$A:$D,4,FALSE),3))*Rules!$B$4)</x:f>
      </x:c>
      <x:c r="K361" s="48" t="str">
        <x:f>IF(B361="","",G361+I361+J361)</x:f>
      </x:c>
    </x:row>
    <x:row r="362">
      <x:c r="A362" s="40" t="str">
        <x:f>IF(B362="","",ROW()-4)</x:f>
      </x:c>
      <x:c r="B362" s="40"/>
      <x:c r="C362" s="40"/>
      <x:c r="D362" s="40"/>
      <x:c r="E362" s="40"/>
      <x:c r="F362" s="40"/>
      <x:c r="G362" s="44"/>
      <x:c r="H362" s="46"/>
      <x:c r="I362" s="48" t="str">
        <x:f>IF(B362="","",IFERROR(VLOOKUP(B362,Merchant_Rates!$A:$D,3,FALSE),4000))</x:f>
      </x:c>
      <x:c r="J362" s="48" t="str">
        <x:f>IF(B362="","",MAX(0,CEILING(H362,1)-IFERROR(VLOOKUP(B362,Merchant_Rates!$A:$D,4,FALSE),3))*Rules!$B$4)</x:f>
      </x:c>
      <x:c r="K362" s="48" t="str">
        <x:f>IF(B362="","",G362+I362+J362)</x:f>
      </x:c>
    </x:row>
    <x:row r="363">
      <x:c r="A363" s="40" t="str">
        <x:f>IF(B363="","",ROW()-4)</x:f>
      </x:c>
      <x:c r="B363" s="40"/>
      <x:c r="C363" s="40"/>
      <x:c r="D363" s="40"/>
      <x:c r="E363" s="40"/>
      <x:c r="F363" s="40"/>
      <x:c r="G363" s="44"/>
      <x:c r="H363" s="46"/>
      <x:c r="I363" s="48" t="str">
        <x:f>IF(B363="","",IFERROR(VLOOKUP(B363,Merchant_Rates!$A:$D,3,FALSE),4000))</x:f>
      </x:c>
      <x:c r="J363" s="48" t="str">
        <x:f>IF(B363="","",MAX(0,CEILING(H363,1)-IFERROR(VLOOKUP(B363,Merchant_Rates!$A:$D,4,FALSE),3))*Rules!$B$4)</x:f>
      </x:c>
      <x:c r="K363" s="48" t="str">
        <x:f>IF(B363="","",G363+I363+J363)</x:f>
      </x:c>
    </x:row>
    <x:row r="364">
      <x:c r="A364" s="40" t="str">
        <x:f>IF(B364="","",ROW()-4)</x:f>
      </x:c>
      <x:c r="B364" s="40"/>
      <x:c r="C364" s="40"/>
      <x:c r="D364" s="40"/>
      <x:c r="E364" s="40"/>
      <x:c r="F364" s="40"/>
      <x:c r="G364" s="44"/>
      <x:c r="H364" s="46"/>
      <x:c r="I364" s="48" t="str">
        <x:f>IF(B364="","",IFERROR(VLOOKUP(B364,Merchant_Rates!$A:$D,3,FALSE),4000))</x:f>
      </x:c>
      <x:c r="J364" s="48" t="str">
        <x:f>IF(B364="","",MAX(0,CEILING(H364,1)-IFERROR(VLOOKUP(B364,Merchant_Rates!$A:$D,4,FALSE),3))*Rules!$B$4)</x:f>
      </x:c>
      <x:c r="K364" s="48" t="str">
        <x:f>IF(B364="","",G364+I364+J364)</x:f>
      </x:c>
    </x:row>
    <x:row r="365">
      <x:c r="A365" s="40" t="str">
        <x:f>IF(B365="","",ROW()-4)</x:f>
      </x:c>
      <x:c r="B365" s="40"/>
      <x:c r="C365" s="40"/>
      <x:c r="D365" s="40"/>
      <x:c r="E365" s="40"/>
      <x:c r="F365" s="40"/>
      <x:c r="G365" s="44"/>
      <x:c r="H365" s="46"/>
      <x:c r="I365" s="48" t="str">
        <x:f>IF(B365="","",IFERROR(VLOOKUP(B365,Merchant_Rates!$A:$D,3,FALSE),4000))</x:f>
      </x:c>
      <x:c r="J365" s="48" t="str">
        <x:f>IF(B365="","",MAX(0,CEILING(H365,1)-IFERROR(VLOOKUP(B365,Merchant_Rates!$A:$D,4,FALSE),3))*Rules!$B$4)</x:f>
      </x:c>
      <x:c r="K365" s="48" t="str">
        <x:f>IF(B365="","",G365+I365+J365)</x:f>
      </x:c>
    </x:row>
    <x:row r="366">
      <x:c r="A366" s="40" t="str">
        <x:f>IF(B366="","",ROW()-4)</x:f>
      </x:c>
      <x:c r="B366" s="40"/>
      <x:c r="C366" s="40"/>
      <x:c r="D366" s="40"/>
      <x:c r="E366" s="40"/>
      <x:c r="F366" s="40"/>
      <x:c r="G366" s="44"/>
      <x:c r="H366" s="46"/>
      <x:c r="I366" s="48" t="str">
        <x:f>IF(B366="","",IFERROR(VLOOKUP(B366,Merchant_Rates!$A:$D,3,FALSE),4000))</x:f>
      </x:c>
      <x:c r="J366" s="48" t="str">
        <x:f>IF(B366="","",MAX(0,CEILING(H366,1)-IFERROR(VLOOKUP(B366,Merchant_Rates!$A:$D,4,FALSE),3))*Rules!$B$4)</x:f>
      </x:c>
      <x:c r="K366" s="48" t="str">
        <x:f>IF(B366="","",G366+I366+J366)</x:f>
      </x:c>
    </x:row>
    <x:row r="367">
      <x:c r="A367" s="40" t="str">
        <x:f>IF(B367="","",ROW()-4)</x:f>
      </x:c>
      <x:c r="B367" s="40"/>
      <x:c r="C367" s="40"/>
      <x:c r="D367" s="40"/>
      <x:c r="E367" s="40"/>
      <x:c r="F367" s="40"/>
      <x:c r="G367" s="44"/>
      <x:c r="H367" s="46"/>
      <x:c r="I367" s="48" t="str">
        <x:f>IF(B367="","",IFERROR(VLOOKUP(B367,Merchant_Rates!$A:$D,3,FALSE),4000))</x:f>
      </x:c>
      <x:c r="J367" s="48" t="str">
        <x:f>IF(B367="","",MAX(0,CEILING(H367,1)-IFERROR(VLOOKUP(B367,Merchant_Rates!$A:$D,4,FALSE),3))*Rules!$B$4)</x:f>
      </x:c>
      <x:c r="K367" s="48" t="str">
        <x:f>IF(B367="","",G367+I367+J367)</x:f>
      </x:c>
    </x:row>
    <x:row r="368">
      <x:c r="A368" s="40" t="str">
        <x:f>IF(B368="","",ROW()-4)</x:f>
      </x:c>
      <x:c r="B368" s="40"/>
      <x:c r="C368" s="40"/>
      <x:c r="D368" s="40"/>
      <x:c r="E368" s="40"/>
      <x:c r="F368" s="40"/>
      <x:c r="G368" s="44"/>
      <x:c r="H368" s="46"/>
      <x:c r="I368" s="48" t="str">
        <x:f>IF(B368="","",IFERROR(VLOOKUP(B368,Merchant_Rates!$A:$D,3,FALSE),4000))</x:f>
      </x:c>
      <x:c r="J368" s="48" t="str">
        <x:f>IF(B368="","",MAX(0,CEILING(H368,1)-IFERROR(VLOOKUP(B368,Merchant_Rates!$A:$D,4,FALSE),3))*Rules!$B$4)</x:f>
      </x:c>
      <x:c r="K368" s="48" t="str">
        <x:f>IF(B368="","",G368+I368+J368)</x:f>
      </x:c>
    </x:row>
    <x:row r="369">
      <x:c r="A369" s="40" t="str">
        <x:f>IF(B369="","",ROW()-4)</x:f>
      </x:c>
      <x:c r="B369" s="40"/>
      <x:c r="C369" s="40"/>
      <x:c r="D369" s="40"/>
      <x:c r="E369" s="40"/>
      <x:c r="F369" s="40"/>
      <x:c r="G369" s="44"/>
      <x:c r="H369" s="46"/>
      <x:c r="I369" s="48" t="str">
        <x:f>IF(B369="","",IFERROR(VLOOKUP(B369,Merchant_Rates!$A:$D,3,FALSE),4000))</x:f>
      </x:c>
      <x:c r="J369" s="48" t="str">
        <x:f>IF(B369="","",MAX(0,CEILING(H369,1)-IFERROR(VLOOKUP(B369,Merchant_Rates!$A:$D,4,FALSE),3))*Rules!$B$4)</x:f>
      </x:c>
      <x:c r="K369" s="48" t="str">
        <x:f>IF(B369="","",G369+I369+J369)</x:f>
      </x:c>
    </x:row>
    <x:row r="370">
      <x:c r="A370" s="40" t="str">
        <x:f>IF(B370="","",ROW()-4)</x:f>
      </x:c>
      <x:c r="B370" s="40"/>
      <x:c r="C370" s="40"/>
      <x:c r="D370" s="40"/>
      <x:c r="E370" s="40"/>
      <x:c r="F370" s="40"/>
      <x:c r="G370" s="44"/>
      <x:c r="H370" s="46"/>
      <x:c r="I370" s="48" t="str">
        <x:f>IF(B370="","",IFERROR(VLOOKUP(B370,Merchant_Rates!$A:$D,3,FALSE),4000))</x:f>
      </x:c>
      <x:c r="J370" s="48" t="str">
        <x:f>IF(B370="","",MAX(0,CEILING(H370,1)-IFERROR(VLOOKUP(B370,Merchant_Rates!$A:$D,4,FALSE),3))*Rules!$B$4)</x:f>
      </x:c>
      <x:c r="K370" s="48" t="str">
        <x:f>IF(B370="","",G370+I370+J370)</x:f>
      </x:c>
    </x:row>
    <x:row r="371">
      <x:c r="A371" s="40" t="str">
        <x:f>IF(B371="","",ROW()-4)</x:f>
      </x:c>
      <x:c r="B371" s="40"/>
      <x:c r="C371" s="40"/>
      <x:c r="D371" s="40"/>
      <x:c r="E371" s="40"/>
      <x:c r="F371" s="40"/>
      <x:c r="G371" s="44"/>
      <x:c r="H371" s="46"/>
      <x:c r="I371" s="48" t="str">
        <x:f>IF(B371="","",IFERROR(VLOOKUP(B371,Merchant_Rates!$A:$D,3,FALSE),4000))</x:f>
      </x:c>
      <x:c r="J371" s="48" t="str">
        <x:f>IF(B371="","",MAX(0,CEILING(H371,1)-IFERROR(VLOOKUP(B371,Merchant_Rates!$A:$D,4,FALSE),3))*Rules!$B$4)</x:f>
      </x:c>
      <x:c r="K371" s="48" t="str">
        <x:f>IF(B371="","",G371+I371+J371)</x:f>
      </x:c>
    </x:row>
    <x:row r="372">
      <x:c r="A372" s="40" t="str">
        <x:f>IF(B372="","",ROW()-4)</x:f>
      </x:c>
      <x:c r="B372" s="40"/>
      <x:c r="C372" s="40"/>
      <x:c r="D372" s="40"/>
      <x:c r="E372" s="40"/>
      <x:c r="F372" s="40"/>
      <x:c r="G372" s="44"/>
      <x:c r="H372" s="46"/>
      <x:c r="I372" s="48" t="str">
        <x:f>IF(B372="","",IFERROR(VLOOKUP(B372,Merchant_Rates!$A:$D,3,FALSE),4000))</x:f>
      </x:c>
      <x:c r="J372" s="48" t="str">
        <x:f>IF(B372="","",MAX(0,CEILING(H372,1)-IFERROR(VLOOKUP(B372,Merchant_Rates!$A:$D,4,FALSE),3))*Rules!$B$4)</x:f>
      </x:c>
      <x:c r="K372" s="48" t="str">
        <x:f>IF(B372="","",G372+I372+J372)</x:f>
      </x:c>
    </x:row>
    <x:row r="373">
      <x:c r="A373" s="40" t="str">
        <x:f>IF(B373="","",ROW()-4)</x:f>
      </x:c>
      <x:c r="B373" s="40"/>
      <x:c r="C373" s="40"/>
      <x:c r="D373" s="40"/>
      <x:c r="E373" s="40"/>
      <x:c r="F373" s="40"/>
      <x:c r="G373" s="44"/>
      <x:c r="H373" s="46"/>
      <x:c r="I373" s="48" t="str">
        <x:f>IF(B373="","",IFERROR(VLOOKUP(B373,Merchant_Rates!$A:$D,3,FALSE),4000))</x:f>
      </x:c>
      <x:c r="J373" s="48" t="str">
        <x:f>IF(B373="","",MAX(0,CEILING(H373,1)-IFERROR(VLOOKUP(B373,Merchant_Rates!$A:$D,4,FALSE),3))*Rules!$B$4)</x:f>
      </x:c>
      <x:c r="K373" s="48" t="str">
        <x:f>IF(B373="","",G373+I373+J373)</x:f>
      </x:c>
    </x:row>
    <x:row r="374">
      <x:c r="A374" s="40" t="str">
        <x:f>IF(B374="","",ROW()-4)</x:f>
      </x:c>
      <x:c r="B374" s="40"/>
      <x:c r="C374" s="40"/>
      <x:c r="D374" s="40"/>
      <x:c r="E374" s="40"/>
      <x:c r="F374" s="40"/>
      <x:c r="G374" s="44"/>
      <x:c r="H374" s="46"/>
      <x:c r="I374" s="48" t="str">
        <x:f>IF(B374="","",IFERROR(VLOOKUP(B374,Merchant_Rates!$A:$D,3,FALSE),4000))</x:f>
      </x:c>
      <x:c r="J374" s="48" t="str">
        <x:f>IF(B374="","",MAX(0,CEILING(H374,1)-IFERROR(VLOOKUP(B374,Merchant_Rates!$A:$D,4,FALSE),3))*Rules!$B$4)</x:f>
      </x:c>
      <x:c r="K374" s="48" t="str">
        <x:f>IF(B374="","",G374+I374+J374)</x:f>
      </x:c>
    </x:row>
    <x:row r="375">
      <x:c r="A375" s="40" t="str">
        <x:f>IF(B375="","",ROW()-4)</x:f>
      </x:c>
      <x:c r="B375" s="40"/>
      <x:c r="C375" s="40"/>
      <x:c r="D375" s="40"/>
      <x:c r="E375" s="40"/>
      <x:c r="F375" s="40"/>
      <x:c r="G375" s="44"/>
      <x:c r="H375" s="46"/>
      <x:c r="I375" s="48" t="str">
        <x:f>IF(B375="","",IFERROR(VLOOKUP(B375,Merchant_Rates!$A:$D,3,FALSE),4000))</x:f>
      </x:c>
      <x:c r="J375" s="48" t="str">
        <x:f>IF(B375="","",MAX(0,CEILING(H375,1)-IFERROR(VLOOKUP(B375,Merchant_Rates!$A:$D,4,FALSE),3))*Rules!$B$4)</x:f>
      </x:c>
      <x:c r="K375" s="48" t="str">
        <x:f>IF(B375="","",G375+I375+J375)</x:f>
      </x:c>
    </x:row>
    <x:row r="376">
      <x:c r="A376" s="40" t="str">
        <x:f>IF(B376="","",ROW()-4)</x:f>
      </x:c>
      <x:c r="B376" s="40"/>
      <x:c r="C376" s="40"/>
      <x:c r="D376" s="40"/>
      <x:c r="E376" s="40"/>
      <x:c r="F376" s="40"/>
      <x:c r="G376" s="44"/>
      <x:c r="H376" s="46"/>
      <x:c r="I376" s="48" t="str">
        <x:f>IF(B376="","",IFERROR(VLOOKUP(B376,Merchant_Rates!$A:$D,3,FALSE),4000))</x:f>
      </x:c>
      <x:c r="J376" s="48" t="str">
        <x:f>IF(B376="","",MAX(0,CEILING(H376,1)-IFERROR(VLOOKUP(B376,Merchant_Rates!$A:$D,4,FALSE),3))*Rules!$B$4)</x:f>
      </x:c>
      <x:c r="K376" s="48" t="str">
        <x:f>IF(B376="","",G376+I376+J376)</x:f>
      </x:c>
    </x:row>
    <x:row r="377">
      <x:c r="A377" s="40" t="str">
        <x:f>IF(B377="","",ROW()-4)</x:f>
      </x:c>
      <x:c r="B377" s="40"/>
      <x:c r="C377" s="40"/>
      <x:c r="D377" s="40"/>
      <x:c r="E377" s="40"/>
      <x:c r="F377" s="40"/>
      <x:c r="G377" s="44"/>
      <x:c r="H377" s="46"/>
      <x:c r="I377" s="48" t="str">
        <x:f>IF(B377="","",IFERROR(VLOOKUP(B377,Merchant_Rates!$A:$D,3,FALSE),4000))</x:f>
      </x:c>
      <x:c r="J377" s="48" t="str">
        <x:f>IF(B377="","",MAX(0,CEILING(H377,1)-IFERROR(VLOOKUP(B377,Merchant_Rates!$A:$D,4,FALSE),3))*Rules!$B$4)</x:f>
      </x:c>
      <x:c r="K377" s="48" t="str">
        <x:f>IF(B377="","",G377+I377+J377)</x:f>
      </x:c>
    </x:row>
    <x:row r="378">
      <x:c r="A378" s="40" t="str">
        <x:f>IF(B378="","",ROW()-4)</x:f>
      </x:c>
      <x:c r="B378" s="40"/>
      <x:c r="C378" s="40"/>
      <x:c r="D378" s="40"/>
      <x:c r="E378" s="40"/>
      <x:c r="F378" s="40"/>
      <x:c r="G378" s="44"/>
      <x:c r="H378" s="46"/>
      <x:c r="I378" s="48" t="str">
        <x:f>IF(B378="","",IFERROR(VLOOKUP(B378,Merchant_Rates!$A:$D,3,FALSE),4000))</x:f>
      </x:c>
      <x:c r="J378" s="48" t="str">
        <x:f>IF(B378="","",MAX(0,CEILING(H378,1)-IFERROR(VLOOKUP(B378,Merchant_Rates!$A:$D,4,FALSE),3))*Rules!$B$4)</x:f>
      </x:c>
      <x:c r="K378" s="48" t="str">
        <x:f>IF(B378="","",G378+I378+J378)</x:f>
      </x:c>
    </x:row>
    <x:row r="379">
      <x:c r="A379" s="40" t="str">
        <x:f>IF(B379="","",ROW()-4)</x:f>
      </x:c>
      <x:c r="B379" s="40"/>
      <x:c r="C379" s="40"/>
      <x:c r="D379" s="40"/>
      <x:c r="E379" s="40"/>
      <x:c r="F379" s="40"/>
      <x:c r="G379" s="44"/>
      <x:c r="H379" s="46"/>
      <x:c r="I379" s="48" t="str">
        <x:f>IF(B379="","",IFERROR(VLOOKUP(B379,Merchant_Rates!$A:$D,3,FALSE),4000))</x:f>
      </x:c>
      <x:c r="J379" s="48" t="str">
        <x:f>IF(B379="","",MAX(0,CEILING(H379,1)-IFERROR(VLOOKUP(B379,Merchant_Rates!$A:$D,4,FALSE),3))*Rules!$B$4)</x:f>
      </x:c>
      <x:c r="K379" s="48" t="str">
        <x:f>IF(B379="","",G379+I379+J379)</x:f>
      </x:c>
    </x:row>
    <x:row r="380">
      <x:c r="A380" s="40" t="str">
        <x:f>IF(B380="","",ROW()-4)</x:f>
      </x:c>
      <x:c r="B380" s="40"/>
      <x:c r="C380" s="40"/>
      <x:c r="D380" s="40"/>
      <x:c r="E380" s="40"/>
      <x:c r="F380" s="40"/>
      <x:c r="G380" s="44"/>
      <x:c r="H380" s="46"/>
      <x:c r="I380" s="48" t="str">
        <x:f>IF(B380="","",IFERROR(VLOOKUP(B380,Merchant_Rates!$A:$D,3,FALSE),4000))</x:f>
      </x:c>
      <x:c r="J380" s="48" t="str">
        <x:f>IF(B380="","",MAX(0,CEILING(H380,1)-IFERROR(VLOOKUP(B380,Merchant_Rates!$A:$D,4,FALSE),3))*Rules!$B$4)</x:f>
      </x:c>
      <x:c r="K380" s="48" t="str">
        <x:f>IF(B380="","",G380+I380+J380)</x:f>
      </x:c>
    </x:row>
    <x:row r="381">
      <x:c r="A381" s="40" t="str">
        <x:f>IF(B381="","",ROW()-4)</x:f>
      </x:c>
      <x:c r="B381" s="40"/>
      <x:c r="C381" s="40"/>
      <x:c r="D381" s="40"/>
      <x:c r="E381" s="40"/>
      <x:c r="F381" s="40"/>
      <x:c r="G381" s="44"/>
      <x:c r="H381" s="46"/>
      <x:c r="I381" s="48" t="str">
        <x:f>IF(B381="","",IFERROR(VLOOKUP(B381,Merchant_Rates!$A:$D,3,FALSE),4000))</x:f>
      </x:c>
      <x:c r="J381" s="48" t="str">
        <x:f>IF(B381="","",MAX(0,CEILING(H381,1)-IFERROR(VLOOKUP(B381,Merchant_Rates!$A:$D,4,FALSE),3))*Rules!$B$4)</x:f>
      </x:c>
      <x:c r="K381" s="48" t="str">
        <x:f>IF(B381="","",G381+I381+J381)</x:f>
      </x:c>
    </x:row>
    <x:row r="382">
      <x:c r="A382" s="40" t="str">
        <x:f>IF(B382="","",ROW()-4)</x:f>
      </x:c>
      <x:c r="B382" s="40"/>
      <x:c r="C382" s="40"/>
      <x:c r="D382" s="40"/>
      <x:c r="E382" s="40"/>
      <x:c r="F382" s="40"/>
      <x:c r="G382" s="44"/>
      <x:c r="H382" s="46"/>
      <x:c r="I382" s="48" t="str">
        <x:f>IF(B382="","",IFERROR(VLOOKUP(B382,Merchant_Rates!$A:$D,3,FALSE),4000))</x:f>
      </x:c>
      <x:c r="J382" s="48" t="str">
        <x:f>IF(B382="","",MAX(0,CEILING(H382,1)-IFERROR(VLOOKUP(B382,Merchant_Rates!$A:$D,4,FALSE),3))*Rules!$B$4)</x:f>
      </x:c>
      <x:c r="K382" s="48" t="str">
        <x:f>IF(B382="","",G382+I382+J382)</x:f>
      </x:c>
    </x:row>
    <x:row r="383">
      <x:c r="A383" s="40" t="str">
        <x:f>IF(B383="","",ROW()-4)</x:f>
      </x:c>
      <x:c r="B383" s="40"/>
      <x:c r="C383" s="40"/>
      <x:c r="D383" s="40"/>
      <x:c r="E383" s="40"/>
      <x:c r="F383" s="40"/>
      <x:c r="G383" s="44"/>
      <x:c r="H383" s="46"/>
      <x:c r="I383" s="48" t="str">
        <x:f>IF(B383="","",IFERROR(VLOOKUP(B383,Merchant_Rates!$A:$D,3,FALSE),4000))</x:f>
      </x:c>
      <x:c r="J383" s="48" t="str">
        <x:f>IF(B383="","",MAX(0,CEILING(H383,1)-IFERROR(VLOOKUP(B383,Merchant_Rates!$A:$D,4,FALSE),3))*Rules!$B$4)</x:f>
      </x:c>
      <x:c r="K383" s="48" t="str">
        <x:f>IF(B383="","",G383+I383+J383)</x:f>
      </x:c>
    </x:row>
    <x:row r="384">
      <x:c r="A384" s="40" t="str">
        <x:f>IF(B384="","",ROW()-4)</x:f>
      </x:c>
      <x:c r="B384" s="40"/>
      <x:c r="C384" s="40"/>
      <x:c r="D384" s="40"/>
      <x:c r="E384" s="40"/>
      <x:c r="F384" s="40"/>
      <x:c r="G384" s="44"/>
      <x:c r="H384" s="46"/>
      <x:c r="I384" s="48" t="str">
        <x:f>IF(B384="","",IFERROR(VLOOKUP(B384,Merchant_Rates!$A:$D,3,FALSE),4000))</x:f>
      </x:c>
      <x:c r="J384" s="48" t="str">
        <x:f>IF(B384="","",MAX(0,CEILING(H384,1)-IFERROR(VLOOKUP(B384,Merchant_Rates!$A:$D,4,FALSE),3))*Rules!$B$4)</x:f>
      </x:c>
      <x:c r="K384" s="48" t="str">
        <x:f>IF(B384="","",G384+I384+J384)</x:f>
      </x:c>
    </x:row>
    <x:row r="385">
      <x:c r="A385" s="40" t="str">
        <x:f>IF(B385="","",ROW()-4)</x:f>
      </x:c>
      <x:c r="B385" s="40"/>
      <x:c r="C385" s="40"/>
      <x:c r="D385" s="40"/>
      <x:c r="E385" s="40"/>
      <x:c r="F385" s="40"/>
      <x:c r="G385" s="44"/>
      <x:c r="H385" s="46"/>
      <x:c r="I385" s="48" t="str">
        <x:f>IF(B385="","",IFERROR(VLOOKUP(B385,Merchant_Rates!$A:$D,3,FALSE),4000))</x:f>
      </x:c>
      <x:c r="J385" s="48" t="str">
        <x:f>IF(B385="","",MAX(0,CEILING(H385,1)-IFERROR(VLOOKUP(B385,Merchant_Rates!$A:$D,4,FALSE),3))*Rules!$B$4)</x:f>
      </x:c>
      <x:c r="K385" s="48" t="str">
        <x:f>IF(B385="","",G385+I385+J385)</x:f>
      </x:c>
    </x:row>
    <x:row r="386">
      <x:c r="A386" s="40" t="str">
        <x:f>IF(B386="","",ROW()-4)</x:f>
      </x:c>
      <x:c r="B386" s="40"/>
      <x:c r="C386" s="40"/>
      <x:c r="D386" s="40"/>
      <x:c r="E386" s="40"/>
      <x:c r="F386" s="40"/>
      <x:c r="G386" s="44"/>
      <x:c r="H386" s="46"/>
      <x:c r="I386" s="48" t="str">
        <x:f>IF(B386="","",IFERROR(VLOOKUP(B386,Merchant_Rates!$A:$D,3,FALSE),4000))</x:f>
      </x:c>
      <x:c r="J386" s="48" t="str">
        <x:f>IF(B386="","",MAX(0,CEILING(H386,1)-IFERROR(VLOOKUP(B386,Merchant_Rates!$A:$D,4,FALSE),3))*Rules!$B$4)</x:f>
      </x:c>
      <x:c r="K386" s="48" t="str">
        <x:f>IF(B386="","",G386+I386+J386)</x:f>
      </x:c>
    </x:row>
    <x:row r="387">
      <x:c r="A387" s="40" t="str">
        <x:f>IF(B387="","",ROW()-4)</x:f>
      </x:c>
      <x:c r="B387" s="40"/>
      <x:c r="C387" s="40"/>
      <x:c r="D387" s="40"/>
      <x:c r="E387" s="40"/>
      <x:c r="F387" s="40"/>
      <x:c r="G387" s="44"/>
      <x:c r="H387" s="46"/>
      <x:c r="I387" s="48" t="str">
        <x:f>IF(B387="","",IFERROR(VLOOKUP(B387,Merchant_Rates!$A:$D,3,FALSE),4000))</x:f>
      </x:c>
      <x:c r="J387" s="48" t="str">
        <x:f>IF(B387="","",MAX(0,CEILING(H387,1)-IFERROR(VLOOKUP(B387,Merchant_Rates!$A:$D,4,FALSE),3))*Rules!$B$4)</x:f>
      </x:c>
      <x:c r="K387" s="48" t="str">
        <x:f>IF(B387="","",G387+I387+J387)</x:f>
      </x:c>
    </x:row>
    <x:row r="388">
      <x:c r="A388" s="40" t="str">
        <x:f>IF(B388="","",ROW()-4)</x:f>
      </x:c>
      <x:c r="B388" s="40"/>
      <x:c r="C388" s="40"/>
      <x:c r="D388" s="40"/>
      <x:c r="E388" s="40"/>
      <x:c r="F388" s="40"/>
      <x:c r="G388" s="44"/>
      <x:c r="H388" s="46"/>
      <x:c r="I388" s="48" t="str">
        <x:f>IF(B388="","",IFERROR(VLOOKUP(B388,Merchant_Rates!$A:$D,3,FALSE),4000))</x:f>
      </x:c>
      <x:c r="J388" s="48" t="str">
        <x:f>IF(B388="","",MAX(0,CEILING(H388,1)-IFERROR(VLOOKUP(B388,Merchant_Rates!$A:$D,4,FALSE),3))*Rules!$B$4)</x:f>
      </x:c>
      <x:c r="K388" s="48" t="str">
        <x:f>IF(B388="","",G388+I388+J388)</x:f>
      </x:c>
    </x:row>
    <x:row r="389">
      <x:c r="A389" s="40" t="str">
        <x:f>IF(B389="","",ROW()-4)</x:f>
      </x:c>
      <x:c r="B389" s="40"/>
      <x:c r="C389" s="40"/>
      <x:c r="D389" s="40"/>
      <x:c r="E389" s="40"/>
      <x:c r="F389" s="40"/>
      <x:c r="G389" s="44"/>
      <x:c r="H389" s="46"/>
      <x:c r="I389" s="48" t="str">
        <x:f>IF(B389="","",IFERROR(VLOOKUP(B389,Merchant_Rates!$A:$D,3,FALSE),4000))</x:f>
      </x:c>
      <x:c r="J389" s="48" t="str">
        <x:f>IF(B389="","",MAX(0,CEILING(H389,1)-IFERROR(VLOOKUP(B389,Merchant_Rates!$A:$D,4,FALSE),3))*Rules!$B$4)</x:f>
      </x:c>
      <x:c r="K389" s="48" t="str">
        <x:f>IF(B389="","",G389+I389+J389)</x:f>
      </x:c>
    </x:row>
    <x:row r="390">
      <x:c r="A390" s="40" t="str">
        <x:f>IF(B390="","",ROW()-4)</x:f>
      </x:c>
      <x:c r="B390" s="40"/>
      <x:c r="C390" s="40"/>
      <x:c r="D390" s="40"/>
      <x:c r="E390" s="40"/>
      <x:c r="F390" s="40"/>
      <x:c r="G390" s="44"/>
      <x:c r="H390" s="46"/>
      <x:c r="I390" s="48" t="str">
        <x:f>IF(B390="","",IFERROR(VLOOKUP(B390,Merchant_Rates!$A:$D,3,FALSE),4000))</x:f>
      </x:c>
      <x:c r="J390" s="48" t="str">
        <x:f>IF(B390="","",MAX(0,CEILING(H390,1)-IFERROR(VLOOKUP(B390,Merchant_Rates!$A:$D,4,FALSE),3))*Rules!$B$4)</x:f>
      </x:c>
      <x:c r="K390" s="48" t="str">
        <x:f>IF(B390="","",G390+I390+J390)</x:f>
      </x:c>
    </x:row>
    <x:row r="391">
      <x:c r="A391" s="40" t="str">
        <x:f>IF(B391="","",ROW()-4)</x:f>
      </x:c>
      <x:c r="B391" s="40"/>
      <x:c r="C391" s="40"/>
      <x:c r="D391" s="40"/>
      <x:c r="E391" s="40"/>
      <x:c r="F391" s="40"/>
      <x:c r="G391" s="44"/>
      <x:c r="H391" s="46"/>
      <x:c r="I391" s="48" t="str">
        <x:f>IF(B391="","",IFERROR(VLOOKUP(B391,Merchant_Rates!$A:$D,3,FALSE),4000))</x:f>
      </x:c>
      <x:c r="J391" s="48" t="str">
        <x:f>IF(B391="","",MAX(0,CEILING(H391,1)-IFERROR(VLOOKUP(B391,Merchant_Rates!$A:$D,4,FALSE),3))*Rules!$B$4)</x:f>
      </x:c>
      <x:c r="K391" s="48" t="str">
        <x:f>IF(B391="","",G391+I391+J391)</x:f>
      </x:c>
    </x:row>
    <x:row r="392">
      <x:c r="A392" s="40" t="str">
        <x:f>IF(B392="","",ROW()-4)</x:f>
      </x:c>
      <x:c r="B392" s="40"/>
      <x:c r="C392" s="40"/>
      <x:c r="D392" s="40"/>
      <x:c r="E392" s="40"/>
      <x:c r="F392" s="40"/>
      <x:c r="G392" s="44"/>
      <x:c r="H392" s="46"/>
      <x:c r="I392" s="48" t="str">
        <x:f>IF(B392="","",IFERROR(VLOOKUP(B392,Merchant_Rates!$A:$D,3,FALSE),4000))</x:f>
      </x:c>
      <x:c r="J392" s="48" t="str">
        <x:f>IF(B392="","",MAX(0,CEILING(H392,1)-IFERROR(VLOOKUP(B392,Merchant_Rates!$A:$D,4,FALSE),3))*Rules!$B$4)</x:f>
      </x:c>
      <x:c r="K392" s="48" t="str">
        <x:f>IF(B392="","",G392+I392+J392)</x:f>
      </x:c>
    </x:row>
    <x:row r="393">
      <x:c r="A393" s="40" t="str">
        <x:f>IF(B393="","",ROW()-4)</x:f>
      </x:c>
      <x:c r="B393" s="40"/>
      <x:c r="C393" s="40"/>
      <x:c r="D393" s="40"/>
      <x:c r="E393" s="40"/>
      <x:c r="F393" s="40"/>
      <x:c r="G393" s="44"/>
      <x:c r="H393" s="46"/>
      <x:c r="I393" s="48" t="str">
        <x:f>IF(B393="","",IFERROR(VLOOKUP(B393,Merchant_Rates!$A:$D,3,FALSE),4000))</x:f>
      </x:c>
      <x:c r="J393" s="48" t="str">
        <x:f>IF(B393="","",MAX(0,CEILING(H393,1)-IFERROR(VLOOKUP(B393,Merchant_Rates!$A:$D,4,FALSE),3))*Rules!$B$4)</x:f>
      </x:c>
      <x:c r="K393" s="48" t="str">
        <x:f>IF(B393="","",G393+I393+J393)</x:f>
      </x:c>
    </x:row>
    <x:row r="394">
      <x:c r="A394" s="40" t="str">
        <x:f>IF(B394="","",ROW()-4)</x:f>
      </x:c>
      <x:c r="B394" s="40"/>
      <x:c r="C394" s="40"/>
      <x:c r="D394" s="40"/>
      <x:c r="E394" s="40"/>
      <x:c r="F394" s="40"/>
      <x:c r="G394" s="44"/>
      <x:c r="H394" s="46"/>
      <x:c r="I394" s="48" t="str">
        <x:f>IF(B394="","",IFERROR(VLOOKUP(B394,Merchant_Rates!$A:$D,3,FALSE),4000))</x:f>
      </x:c>
      <x:c r="J394" s="48" t="str">
        <x:f>IF(B394="","",MAX(0,CEILING(H394,1)-IFERROR(VLOOKUP(B394,Merchant_Rates!$A:$D,4,FALSE),3))*Rules!$B$4)</x:f>
      </x:c>
      <x:c r="K394" s="48" t="str">
        <x:f>IF(B394="","",G394+I394+J394)</x:f>
      </x:c>
    </x:row>
    <x:row r="395">
      <x:c r="A395" s="40" t="str">
        <x:f>IF(B395="","",ROW()-4)</x:f>
      </x:c>
      <x:c r="B395" s="40"/>
      <x:c r="C395" s="40"/>
      <x:c r="D395" s="40"/>
      <x:c r="E395" s="40"/>
      <x:c r="F395" s="40"/>
      <x:c r="G395" s="44"/>
      <x:c r="H395" s="46"/>
      <x:c r="I395" s="48" t="str">
        <x:f>IF(B395="","",IFERROR(VLOOKUP(B395,Merchant_Rates!$A:$D,3,FALSE),4000))</x:f>
      </x:c>
      <x:c r="J395" s="48" t="str">
        <x:f>IF(B395="","",MAX(0,CEILING(H395,1)-IFERROR(VLOOKUP(B395,Merchant_Rates!$A:$D,4,FALSE),3))*Rules!$B$4)</x:f>
      </x:c>
      <x:c r="K395" s="48" t="str">
        <x:f>IF(B395="","",G395+I395+J395)</x:f>
      </x:c>
    </x:row>
    <x:row r="396">
      <x:c r="A396" s="40" t="str">
        <x:f>IF(B396="","",ROW()-4)</x:f>
      </x:c>
      <x:c r="B396" s="40"/>
      <x:c r="C396" s="40"/>
      <x:c r="D396" s="40"/>
      <x:c r="E396" s="40"/>
      <x:c r="F396" s="40"/>
      <x:c r="G396" s="44"/>
      <x:c r="H396" s="46"/>
      <x:c r="I396" s="48" t="str">
        <x:f>IF(B396="","",IFERROR(VLOOKUP(B396,Merchant_Rates!$A:$D,3,FALSE),4000))</x:f>
      </x:c>
      <x:c r="J396" s="48" t="str">
        <x:f>IF(B396="","",MAX(0,CEILING(H396,1)-IFERROR(VLOOKUP(B396,Merchant_Rates!$A:$D,4,FALSE),3))*Rules!$B$4)</x:f>
      </x:c>
      <x:c r="K396" s="48" t="str">
        <x:f>IF(B396="","",G396+I396+J396)</x:f>
      </x:c>
    </x:row>
    <x:row r="397">
      <x:c r="A397" s="40" t="str">
        <x:f>IF(B397="","",ROW()-4)</x:f>
      </x:c>
      <x:c r="B397" s="40"/>
      <x:c r="C397" s="40"/>
      <x:c r="D397" s="40"/>
      <x:c r="E397" s="40"/>
      <x:c r="F397" s="40"/>
      <x:c r="G397" s="44"/>
      <x:c r="H397" s="46"/>
      <x:c r="I397" s="48" t="str">
        <x:f>IF(B397="","",IFERROR(VLOOKUP(B397,Merchant_Rates!$A:$D,3,FALSE),4000))</x:f>
      </x:c>
      <x:c r="J397" s="48" t="str">
        <x:f>IF(B397="","",MAX(0,CEILING(H397,1)-IFERROR(VLOOKUP(B397,Merchant_Rates!$A:$D,4,FALSE),3))*Rules!$B$4)</x:f>
      </x:c>
      <x:c r="K397" s="48" t="str">
        <x:f>IF(B397="","",G397+I397+J397)</x:f>
      </x:c>
    </x:row>
    <x:row r="398">
      <x:c r="A398" s="40" t="str">
        <x:f>IF(B398="","",ROW()-4)</x:f>
      </x:c>
      <x:c r="B398" s="40"/>
      <x:c r="C398" s="40"/>
      <x:c r="D398" s="40"/>
      <x:c r="E398" s="40"/>
      <x:c r="F398" s="40"/>
      <x:c r="G398" s="44"/>
      <x:c r="H398" s="46"/>
      <x:c r="I398" s="48" t="str">
        <x:f>IF(B398="","",IFERROR(VLOOKUP(B398,Merchant_Rates!$A:$D,3,FALSE),4000))</x:f>
      </x:c>
      <x:c r="J398" s="48" t="str">
        <x:f>IF(B398="","",MAX(0,CEILING(H398,1)-IFERROR(VLOOKUP(B398,Merchant_Rates!$A:$D,4,FALSE),3))*Rules!$B$4)</x:f>
      </x:c>
      <x:c r="K398" s="48" t="str">
        <x:f>IF(B398="","",G398+I398+J398)</x:f>
      </x:c>
    </x:row>
    <x:row r="399">
      <x:c r="A399" s="40" t="str">
        <x:f>IF(B399="","",ROW()-4)</x:f>
      </x:c>
      <x:c r="B399" s="40"/>
      <x:c r="C399" s="40"/>
      <x:c r="D399" s="40"/>
      <x:c r="E399" s="40"/>
      <x:c r="F399" s="40"/>
      <x:c r="G399" s="44"/>
      <x:c r="H399" s="46"/>
      <x:c r="I399" s="48" t="str">
        <x:f>IF(B399="","",IFERROR(VLOOKUP(B399,Merchant_Rates!$A:$D,3,FALSE),4000))</x:f>
      </x:c>
      <x:c r="J399" s="48" t="str">
        <x:f>IF(B399="","",MAX(0,CEILING(H399,1)-IFERROR(VLOOKUP(B399,Merchant_Rates!$A:$D,4,FALSE),3))*Rules!$B$4)</x:f>
      </x:c>
      <x:c r="K399" s="48" t="str">
        <x:f>IF(B399="","",G399+I399+J399)</x:f>
      </x:c>
    </x:row>
    <x:row r="400">
      <x:c r="A400" s="40" t="str">
        <x:f>IF(B400="","",ROW()-4)</x:f>
      </x:c>
      <x:c r="B400" s="40"/>
      <x:c r="C400" s="40"/>
      <x:c r="D400" s="40"/>
      <x:c r="E400" s="40"/>
      <x:c r="F400" s="40"/>
      <x:c r="G400" s="44"/>
      <x:c r="H400" s="46"/>
      <x:c r="I400" s="48" t="str">
        <x:f>IF(B400="","",IFERROR(VLOOKUP(B400,Merchant_Rates!$A:$D,3,FALSE),4000))</x:f>
      </x:c>
      <x:c r="J400" s="48" t="str">
        <x:f>IF(B400="","",MAX(0,CEILING(H400,1)-IFERROR(VLOOKUP(B400,Merchant_Rates!$A:$D,4,FALSE),3))*Rules!$B$4)</x:f>
      </x:c>
      <x:c r="K400" s="48" t="str">
        <x:f>IF(B400="","",G400+I400+J400)</x:f>
      </x:c>
    </x:row>
    <x:row r="401">
      <x:c r="A401" s="40" t="str">
        <x:f>IF(B401="","",ROW()-4)</x:f>
      </x:c>
      <x:c r="B401" s="40"/>
      <x:c r="C401" s="40"/>
      <x:c r="D401" s="40"/>
      <x:c r="E401" s="40"/>
      <x:c r="F401" s="40"/>
      <x:c r="G401" s="44"/>
      <x:c r="H401" s="46"/>
      <x:c r="I401" s="48" t="str">
        <x:f>IF(B401="","",IFERROR(VLOOKUP(B401,Merchant_Rates!$A:$D,3,FALSE),4000))</x:f>
      </x:c>
      <x:c r="J401" s="48" t="str">
        <x:f>IF(B401="","",MAX(0,CEILING(H401,1)-IFERROR(VLOOKUP(B401,Merchant_Rates!$A:$D,4,FALSE),3))*Rules!$B$4)</x:f>
      </x:c>
      <x:c r="K401" s="48" t="str">
        <x:f>IF(B401="","",G401+I401+J401)</x:f>
      </x:c>
    </x:row>
    <x:row r="402">
      <x:c r="A402" s="40" t="str">
        <x:f>IF(B402="","",ROW()-4)</x:f>
      </x:c>
      <x:c r="B402" s="40"/>
      <x:c r="C402" s="40"/>
      <x:c r="D402" s="40"/>
      <x:c r="E402" s="40"/>
      <x:c r="F402" s="40"/>
      <x:c r="G402" s="44"/>
      <x:c r="H402" s="46"/>
      <x:c r="I402" s="48" t="str">
        <x:f>IF(B402="","",IFERROR(VLOOKUP(B402,Merchant_Rates!$A:$D,3,FALSE),4000))</x:f>
      </x:c>
      <x:c r="J402" s="48" t="str">
        <x:f>IF(B402="","",MAX(0,CEILING(H402,1)-IFERROR(VLOOKUP(B402,Merchant_Rates!$A:$D,4,FALSE),3))*Rules!$B$4)</x:f>
      </x:c>
      <x:c r="K402" s="48" t="str">
        <x:f>IF(B402="","",G402+I402+J402)</x:f>
      </x:c>
    </x:row>
    <x:row r="403">
      <x:c r="A403" s="40" t="str">
        <x:f>IF(B403="","",ROW()-4)</x:f>
      </x:c>
      <x:c r="B403" s="40"/>
      <x:c r="C403" s="40"/>
      <x:c r="D403" s="40"/>
      <x:c r="E403" s="40"/>
      <x:c r="F403" s="40"/>
      <x:c r="G403" s="44"/>
      <x:c r="H403" s="46"/>
      <x:c r="I403" s="48" t="str">
        <x:f>IF(B403="","",IFERROR(VLOOKUP(B403,Merchant_Rates!$A:$D,3,FALSE),4000))</x:f>
      </x:c>
      <x:c r="J403" s="48" t="str">
        <x:f>IF(B403="","",MAX(0,CEILING(H403,1)-IFERROR(VLOOKUP(B403,Merchant_Rates!$A:$D,4,FALSE),3))*Rules!$B$4)</x:f>
      </x:c>
      <x:c r="K403" s="48" t="str">
        <x:f>IF(B403="","",G403+I403+J403)</x:f>
      </x:c>
    </x:row>
    <x:row r="404">
      <x:c r="A404" s="40" t="str">
        <x:f>IF(B404="","",ROW()-4)</x:f>
      </x:c>
      <x:c r="B404" s="40"/>
      <x:c r="C404" s="40"/>
      <x:c r="D404" s="40"/>
      <x:c r="E404" s="40"/>
      <x:c r="F404" s="40"/>
      <x:c r="G404" s="44"/>
      <x:c r="H404" s="46"/>
      <x:c r="I404" s="48" t="str">
        <x:f>IF(B404="","",IFERROR(VLOOKUP(B404,Merchant_Rates!$A:$D,3,FALSE),4000))</x:f>
      </x:c>
      <x:c r="J404" s="48" t="str">
        <x:f>IF(B404="","",MAX(0,CEILING(H404,1)-IFERROR(VLOOKUP(B404,Merchant_Rates!$A:$D,4,FALSE),3))*Rules!$B$4)</x:f>
      </x:c>
      <x:c r="K404" s="48" t="str">
        <x:f>IF(B404="","",G404+I404+J404)</x:f>
      </x:c>
    </x:row>
    <x:row r="405">
      <x:c r="A405" s="40" t="str">
        <x:f>IF(B405="","",ROW()-4)</x:f>
      </x:c>
      <x:c r="B405" s="40"/>
      <x:c r="C405" s="40"/>
      <x:c r="D405" s="40"/>
      <x:c r="E405" s="40"/>
      <x:c r="F405" s="40"/>
      <x:c r="G405" s="44"/>
      <x:c r="H405" s="46"/>
      <x:c r="I405" s="48" t="str">
        <x:f>IF(B405="","",IFERROR(VLOOKUP(B405,Merchant_Rates!$A:$D,3,FALSE),4000))</x:f>
      </x:c>
      <x:c r="J405" s="48" t="str">
        <x:f>IF(B405="","",MAX(0,CEILING(H405,1)-IFERROR(VLOOKUP(B405,Merchant_Rates!$A:$D,4,FALSE),3))*Rules!$B$4)</x:f>
      </x:c>
      <x:c r="K405" s="48" t="str">
        <x:f>IF(B405="","",G405+I405+J405)</x:f>
      </x:c>
    </x:row>
    <x:row r="406">
      <x:c r="A406" s="40" t="str">
        <x:f>IF(B406="","",ROW()-4)</x:f>
      </x:c>
      <x:c r="B406" s="40"/>
      <x:c r="C406" s="40"/>
      <x:c r="D406" s="40"/>
      <x:c r="E406" s="40"/>
      <x:c r="F406" s="40"/>
      <x:c r="G406" s="44"/>
      <x:c r="H406" s="46"/>
      <x:c r="I406" s="48" t="str">
        <x:f>IF(B406="","",IFERROR(VLOOKUP(B406,Merchant_Rates!$A:$D,3,FALSE),4000))</x:f>
      </x:c>
      <x:c r="J406" s="48" t="str">
        <x:f>IF(B406="","",MAX(0,CEILING(H406,1)-IFERROR(VLOOKUP(B406,Merchant_Rates!$A:$D,4,FALSE),3))*Rules!$B$4)</x:f>
      </x:c>
      <x:c r="K406" s="48" t="str">
        <x:f>IF(B406="","",G406+I406+J406)</x:f>
      </x:c>
    </x:row>
    <x:row r="407">
      <x:c r="A407" s="40" t="str">
        <x:f>IF(B407="","",ROW()-4)</x:f>
      </x:c>
      <x:c r="B407" s="40"/>
      <x:c r="C407" s="40"/>
      <x:c r="D407" s="40"/>
      <x:c r="E407" s="40"/>
      <x:c r="F407" s="40"/>
      <x:c r="G407" s="44"/>
      <x:c r="H407" s="46"/>
      <x:c r="I407" s="48" t="str">
        <x:f>IF(B407="","",IFERROR(VLOOKUP(B407,Merchant_Rates!$A:$D,3,FALSE),4000))</x:f>
      </x:c>
      <x:c r="J407" s="48" t="str">
        <x:f>IF(B407="","",MAX(0,CEILING(H407,1)-IFERROR(VLOOKUP(B407,Merchant_Rates!$A:$D,4,FALSE),3))*Rules!$B$4)</x:f>
      </x:c>
      <x:c r="K407" s="48" t="str">
        <x:f>IF(B407="","",G407+I407+J407)</x:f>
      </x:c>
    </x:row>
    <x:row r="408">
      <x:c r="A408" s="40" t="str">
        <x:f>IF(B408="","",ROW()-4)</x:f>
      </x:c>
      <x:c r="B408" s="40"/>
      <x:c r="C408" s="40"/>
      <x:c r="D408" s="40"/>
      <x:c r="E408" s="40"/>
      <x:c r="F408" s="40"/>
      <x:c r="G408" s="44"/>
      <x:c r="H408" s="46"/>
      <x:c r="I408" s="48" t="str">
        <x:f>IF(B408="","",IFERROR(VLOOKUP(B408,Merchant_Rates!$A:$D,3,FALSE),4000))</x:f>
      </x:c>
      <x:c r="J408" s="48" t="str">
        <x:f>IF(B408="","",MAX(0,CEILING(H408,1)-IFERROR(VLOOKUP(B408,Merchant_Rates!$A:$D,4,FALSE),3))*Rules!$B$4)</x:f>
      </x:c>
      <x:c r="K408" s="48" t="str">
        <x:f>IF(B408="","",G408+I408+J408)</x:f>
      </x:c>
    </x:row>
    <x:row r="409">
      <x:c r="A409" s="40" t="str">
        <x:f>IF(B409="","",ROW()-4)</x:f>
      </x:c>
      <x:c r="B409" s="40"/>
      <x:c r="C409" s="40"/>
      <x:c r="D409" s="40"/>
      <x:c r="E409" s="40"/>
      <x:c r="F409" s="40"/>
      <x:c r="G409" s="44"/>
      <x:c r="H409" s="46"/>
      <x:c r="I409" s="48" t="str">
        <x:f>IF(B409="","",IFERROR(VLOOKUP(B409,Merchant_Rates!$A:$D,3,FALSE),4000))</x:f>
      </x:c>
      <x:c r="J409" s="48" t="str">
        <x:f>IF(B409="","",MAX(0,CEILING(H409,1)-IFERROR(VLOOKUP(B409,Merchant_Rates!$A:$D,4,FALSE),3))*Rules!$B$4)</x:f>
      </x:c>
      <x:c r="K409" s="48" t="str">
        <x:f>IF(B409="","",G409+I409+J409)</x:f>
      </x:c>
    </x:row>
    <x:row r="410">
      <x:c r="A410" s="40" t="str">
        <x:f>IF(B410="","",ROW()-4)</x:f>
      </x:c>
      <x:c r="B410" s="40"/>
      <x:c r="C410" s="40"/>
      <x:c r="D410" s="40"/>
      <x:c r="E410" s="40"/>
      <x:c r="F410" s="40"/>
      <x:c r="G410" s="44"/>
      <x:c r="H410" s="46"/>
      <x:c r="I410" s="48" t="str">
        <x:f>IF(B410="","",IFERROR(VLOOKUP(B410,Merchant_Rates!$A:$D,3,FALSE),4000))</x:f>
      </x:c>
      <x:c r="J410" s="48" t="str">
        <x:f>IF(B410="","",MAX(0,CEILING(H410,1)-IFERROR(VLOOKUP(B410,Merchant_Rates!$A:$D,4,FALSE),3))*Rules!$B$4)</x:f>
      </x:c>
      <x:c r="K410" s="48" t="str">
        <x:f>IF(B410="","",G410+I410+J410)</x:f>
      </x:c>
    </x:row>
    <x:row r="411">
      <x:c r="A411" s="40" t="str">
        <x:f>IF(B411="","",ROW()-4)</x:f>
      </x:c>
      <x:c r="B411" s="40"/>
      <x:c r="C411" s="40"/>
      <x:c r="D411" s="40"/>
      <x:c r="E411" s="40"/>
      <x:c r="F411" s="40"/>
      <x:c r="G411" s="44"/>
      <x:c r="H411" s="46"/>
      <x:c r="I411" s="48" t="str">
        <x:f>IF(B411="","",IFERROR(VLOOKUP(B411,Merchant_Rates!$A:$D,3,FALSE),4000))</x:f>
      </x:c>
      <x:c r="J411" s="48" t="str">
        <x:f>IF(B411="","",MAX(0,CEILING(H411,1)-IFERROR(VLOOKUP(B411,Merchant_Rates!$A:$D,4,FALSE),3))*Rules!$B$4)</x:f>
      </x:c>
      <x:c r="K411" s="48" t="str">
        <x:f>IF(B411="","",G411+I411+J411)</x:f>
      </x:c>
    </x:row>
    <x:row r="412">
      <x:c r="A412" s="40" t="str">
        <x:f>IF(B412="","",ROW()-4)</x:f>
      </x:c>
      <x:c r="B412" s="40"/>
      <x:c r="C412" s="40"/>
      <x:c r="D412" s="40"/>
      <x:c r="E412" s="40"/>
      <x:c r="F412" s="40"/>
      <x:c r="G412" s="44"/>
      <x:c r="H412" s="46"/>
      <x:c r="I412" s="48" t="str">
        <x:f>IF(B412="","",IFERROR(VLOOKUP(B412,Merchant_Rates!$A:$D,3,FALSE),4000))</x:f>
      </x:c>
      <x:c r="J412" s="48" t="str">
        <x:f>IF(B412="","",MAX(0,CEILING(H412,1)-IFERROR(VLOOKUP(B412,Merchant_Rates!$A:$D,4,FALSE),3))*Rules!$B$4)</x:f>
      </x:c>
      <x:c r="K412" s="48" t="str">
        <x:f>IF(B412="","",G412+I412+J412)</x:f>
      </x:c>
    </x:row>
    <x:row r="413">
      <x:c r="A413" s="40" t="str">
        <x:f>IF(B413="","",ROW()-4)</x:f>
      </x:c>
      <x:c r="B413" s="40"/>
      <x:c r="C413" s="40"/>
      <x:c r="D413" s="40"/>
      <x:c r="E413" s="40"/>
      <x:c r="F413" s="40"/>
      <x:c r="G413" s="44"/>
      <x:c r="H413" s="46"/>
      <x:c r="I413" s="48" t="str">
        <x:f>IF(B413="","",IFERROR(VLOOKUP(B413,Merchant_Rates!$A:$D,3,FALSE),4000))</x:f>
      </x:c>
      <x:c r="J413" s="48" t="str">
        <x:f>IF(B413="","",MAX(0,CEILING(H413,1)-IFERROR(VLOOKUP(B413,Merchant_Rates!$A:$D,4,FALSE),3))*Rules!$B$4)</x:f>
      </x:c>
      <x:c r="K413" s="48" t="str">
        <x:f>IF(B413="","",G413+I413+J413)</x:f>
      </x:c>
    </x:row>
    <x:row r="414">
      <x:c r="A414" s="40" t="str">
        <x:f>IF(B414="","",ROW()-4)</x:f>
      </x:c>
      <x:c r="B414" s="40"/>
      <x:c r="C414" s="40"/>
      <x:c r="D414" s="40"/>
      <x:c r="E414" s="40"/>
      <x:c r="F414" s="40"/>
      <x:c r="G414" s="44"/>
      <x:c r="H414" s="46"/>
      <x:c r="I414" s="48" t="str">
        <x:f>IF(B414="","",IFERROR(VLOOKUP(B414,Merchant_Rates!$A:$D,3,FALSE),4000))</x:f>
      </x:c>
      <x:c r="J414" s="48" t="str">
        <x:f>IF(B414="","",MAX(0,CEILING(H414,1)-IFERROR(VLOOKUP(B414,Merchant_Rates!$A:$D,4,FALSE),3))*Rules!$B$4)</x:f>
      </x:c>
      <x:c r="K414" s="48" t="str">
        <x:f>IF(B414="","",G414+I414+J414)</x:f>
      </x:c>
    </x:row>
    <x:row r="415">
      <x:c r="A415" s="40" t="str">
        <x:f>IF(B415="","",ROW()-4)</x:f>
      </x:c>
      <x:c r="B415" s="40"/>
      <x:c r="C415" s="40"/>
      <x:c r="D415" s="40"/>
      <x:c r="E415" s="40"/>
      <x:c r="F415" s="40"/>
      <x:c r="G415" s="44"/>
      <x:c r="H415" s="46"/>
      <x:c r="I415" s="48" t="str">
        <x:f>IF(B415="","",IFERROR(VLOOKUP(B415,Merchant_Rates!$A:$D,3,FALSE),4000))</x:f>
      </x:c>
      <x:c r="J415" s="48" t="str">
        <x:f>IF(B415="","",MAX(0,CEILING(H415,1)-IFERROR(VLOOKUP(B415,Merchant_Rates!$A:$D,4,FALSE),3))*Rules!$B$4)</x:f>
      </x:c>
      <x:c r="K415" s="48" t="str">
        <x:f>IF(B415="","",G415+I415+J415)</x:f>
      </x:c>
    </x:row>
    <x:row r="416">
      <x:c r="A416" s="40" t="str">
        <x:f>IF(B416="","",ROW()-4)</x:f>
      </x:c>
      <x:c r="B416" s="40"/>
      <x:c r="C416" s="40"/>
      <x:c r="D416" s="40"/>
      <x:c r="E416" s="40"/>
      <x:c r="F416" s="40"/>
      <x:c r="G416" s="44"/>
      <x:c r="H416" s="46"/>
      <x:c r="I416" s="48" t="str">
        <x:f>IF(B416="","",IFERROR(VLOOKUP(B416,Merchant_Rates!$A:$D,3,FALSE),4000))</x:f>
      </x:c>
      <x:c r="J416" s="48" t="str">
        <x:f>IF(B416="","",MAX(0,CEILING(H416,1)-IFERROR(VLOOKUP(B416,Merchant_Rates!$A:$D,4,FALSE),3))*Rules!$B$4)</x:f>
      </x:c>
      <x:c r="K416" s="48" t="str">
        <x:f>IF(B416="","",G416+I416+J416)</x:f>
      </x:c>
    </x:row>
    <x:row r="417">
      <x:c r="A417" s="40" t="str">
        <x:f>IF(B417="","",ROW()-4)</x:f>
      </x:c>
      <x:c r="B417" s="40"/>
      <x:c r="C417" s="40"/>
      <x:c r="D417" s="40"/>
      <x:c r="E417" s="40"/>
      <x:c r="F417" s="40"/>
      <x:c r="G417" s="44"/>
      <x:c r="H417" s="46"/>
      <x:c r="I417" s="48" t="str">
        <x:f>IF(B417="","",IFERROR(VLOOKUP(B417,Merchant_Rates!$A:$D,3,FALSE),4000))</x:f>
      </x:c>
      <x:c r="J417" s="48" t="str">
        <x:f>IF(B417="","",MAX(0,CEILING(H417,1)-IFERROR(VLOOKUP(B417,Merchant_Rates!$A:$D,4,FALSE),3))*Rules!$B$4)</x:f>
      </x:c>
      <x:c r="K417" s="48" t="str">
        <x:f>IF(B417="","",G417+I417+J417)</x:f>
      </x:c>
    </x:row>
    <x:row r="418">
      <x:c r="A418" s="40" t="str">
        <x:f>IF(B418="","",ROW()-4)</x:f>
      </x:c>
      <x:c r="B418" s="40"/>
      <x:c r="C418" s="40"/>
      <x:c r="D418" s="40"/>
      <x:c r="E418" s="40"/>
      <x:c r="F418" s="40"/>
      <x:c r="G418" s="44"/>
      <x:c r="H418" s="46"/>
      <x:c r="I418" s="48" t="str">
        <x:f>IF(B418="","",IFERROR(VLOOKUP(B418,Merchant_Rates!$A:$D,3,FALSE),4000))</x:f>
      </x:c>
      <x:c r="J418" s="48" t="str">
        <x:f>IF(B418="","",MAX(0,CEILING(H418,1)-IFERROR(VLOOKUP(B418,Merchant_Rates!$A:$D,4,FALSE),3))*Rules!$B$4)</x:f>
      </x:c>
      <x:c r="K418" s="48" t="str">
        <x:f>IF(B418="","",G418+I418+J418)</x:f>
      </x:c>
    </x:row>
    <x:row r="419">
      <x:c r="A419" s="40" t="str">
        <x:f>IF(B419="","",ROW()-4)</x:f>
      </x:c>
      <x:c r="B419" s="40"/>
      <x:c r="C419" s="40"/>
      <x:c r="D419" s="40"/>
      <x:c r="E419" s="40"/>
      <x:c r="F419" s="40"/>
      <x:c r="G419" s="44"/>
      <x:c r="H419" s="46"/>
      <x:c r="I419" s="48" t="str">
        <x:f>IF(B419="","",IFERROR(VLOOKUP(B419,Merchant_Rates!$A:$D,3,FALSE),4000))</x:f>
      </x:c>
      <x:c r="J419" s="48" t="str">
        <x:f>IF(B419="","",MAX(0,CEILING(H419,1)-IFERROR(VLOOKUP(B419,Merchant_Rates!$A:$D,4,FALSE),3))*Rules!$B$4)</x:f>
      </x:c>
      <x:c r="K419" s="48" t="str">
        <x:f>IF(B419="","",G419+I419+J419)</x:f>
      </x:c>
    </x:row>
    <x:row r="420">
      <x:c r="A420" s="40" t="str">
        <x:f>IF(B420="","",ROW()-4)</x:f>
      </x:c>
      <x:c r="B420" s="40"/>
      <x:c r="C420" s="40"/>
      <x:c r="D420" s="40"/>
      <x:c r="E420" s="40"/>
      <x:c r="F420" s="40"/>
      <x:c r="G420" s="44"/>
      <x:c r="H420" s="46"/>
      <x:c r="I420" s="48" t="str">
        <x:f>IF(B420="","",IFERROR(VLOOKUP(B420,Merchant_Rates!$A:$D,3,FALSE),4000))</x:f>
      </x:c>
      <x:c r="J420" s="48" t="str">
        <x:f>IF(B420="","",MAX(0,CEILING(H420,1)-IFERROR(VLOOKUP(B420,Merchant_Rates!$A:$D,4,FALSE),3))*Rules!$B$4)</x:f>
      </x:c>
      <x:c r="K420" s="48" t="str">
        <x:f>IF(B420="","",G420+I420+J420)</x:f>
      </x:c>
    </x:row>
    <x:row r="421">
      <x:c r="A421" s="40" t="str">
        <x:f>IF(B421="","",ROW()-4)</x:f>
      </x:c>
      <x:c r="B421" s="40"/>
      <x:c r="C421" s="40"/>
      <x:c r="D421" s="40"/>
      <x:c r="E421" s="40"/>
      <x:c r="F421" s="40"/>
      <x:c r="G421" s="44"/>
      <x:c r="H421" s="46"/>
      <x:c r="I421" s="48" t="str">
        <x:f>IF(B421="","",IFERROR(VLOOKUP(B421,Merchant_Rates!$A:$D,3,FALSE),4000))</x:f>
      </x:c>
      <x:c r="J421" s="48" t="str">
        <x:f>IF(B421="","",MAX(0,CEILING(H421,1)-IFERROR(VLOOKUP(B421,Merchant_Rates!$A:$D,4,FALSE),3))*Rules!$B$4)</x:f>
      </x:c>
      <x:c r="K421" s="48" t="str">
        <x:f>IF(B421="","",G421+I421+J421)</x:f>
      </x:c>
    </x:row>
    <x:row r="422">
      <x:c r="A422" s="40" t="str">
        <x:f>IF(B422="","",ROW()-4)</x:f>
      </x:c>
      <x:c r="B422" s="40"/>
      <x:c r="C422" s="40"/>
      <x:c r="D422" s="40"/>
      <x:c r="E422" s="40"/>
      <x:c r="F422" s="40"/>
      <x:c r="G422" s="44"/>
      <x:c r="H422" s="46"/>
      <x:c r="I422" s="48" t="str">
        <x:f>IF(B422="","",IFERROR(VLOOKUP(B422,Merchant_Rates!$A:$D,3,FALSE),4000))</x:f>
      </x:c>
      <x:c r="J422" s="48" t="str">
        <x:f>IF(B422="","",MAX(0,CEILING(H422,1)-IFERROR(VLOOKUP(B422,Merchant_Rates!$A:$D,4,FALSE),3))*Rules!$B$4)</x:f>
      </x:c>
      <x:c r="K422" s="48" t="str">
        <x:f>IF(B422="","",G422+I422+J422)</x:f>
      </x:c>
    </x:row>
    <x:row r="423">
      <x:c r="A423" s="40" t="str">
        <x:f>IF(B423="","",ROW()-4)</x:f>
      </x:c>
      <x:c r="B423" s="40"/>
      <x:c r="C423" s="40"/>
      <x:c r="D423" s="40"/>
      <x:c r="E423" s="40"/>
      <x:c r="F423" s="40"/>
      <x:c r="G423" s="44"/>
      <x:c r="H423" s="46"/>
      <x:c r="I423" s="48" t="str">
        <x:f>IF(B423="","",IFERROR(VLOOKUP(B423,Merchant_Rates!$A:$D,3,FALSE),4000))</x:f>
      </x:c>
      <x:c r="J423" s="48" t="str">
        <x:f>IF(B423="","",MAX(0,CEILING(H423,1)-IFERROR(VLOOKUP(B423,Merchant_Rates!$A:$D,4,FALSE),3))*Rules!$B$4)</x:f>
      </x:c>
      <x:c r="K423" s="48" t="str">
        <x:f>IF(B423="","",G423+I423+J423)</x:f>
      </x:c>
    </x:row>
    <x:row r="424">
      <x:c r="A424" s="40" t="str">
        <x:f>IF(B424="","",ROW()-4)</x:f>
      </x:c>
      <x:c r="B424" s="40"/>
      <x:c r="C424" s="40"/>
      <x:c r="D424" s="40"/>
      <x:c r="E424" s="40"/>
      <x:c r="F424" s="40"/>
      <x:c r="G424" s="44"/>
      <x:c r="H424" s="46"/>
      <x:c r="I424" s="48" t="str">
        <x:f>IF(B424="","",IFERROR(VLOOKUP(B424,Merchant_Rates!$A:$D,3,FALSE),4000))</x:f>
      </x:c>
      <x:c r="J424" s="48" t="str">
        <x:f>IF(B424="","",MAX(0,CEILING(H424,1)-IFERROR(VLOOKUP(B424,Merchant_Rates!$A:$D,4,FALSE),3))*Rules!$B$4)</x:f>
      </x:c>
      <x:c r="K424" s="48" t="str">
        <x:f>IF(B424="","",G424+I424+J424)</x:f>
      </x:c>
    </x:row>
    <x:row r="425">
      <x:c r="A425" s="40" t="str">
        <x:f>IF(B425="","",ROW()-4)</x:f>
      </x:c>
      <x:c r="B425" s="40"/>
      <x:c r="C425" s="40"/>
      <x:c r="D425" s="40"/>
      <x:c r="E425" s="40"/>
      <x:c r="F425" s="40"/>
      <x:c r="G425" s="44"/>
      <x:c r="H425" s="46"/>
      <x:c r="I425" s="48" t="str">
        <x:f>IF(B425="","",IFERROR(VLOOKUP(B425,Merchant_Rates!$A:$D,3,FALSE),4000))</x:f>
      </x:c>
      <x:c r="J425" s="48" t="str">
        <x:f>IF(B425="","",MAX(0,CEILING(H425,1)-IFERROR(VLOOKUP(B425,Merchant_Rates!$A:$D,4,FALSE),3))*Rules!$B$4)</x:f>
      </x:c>
      <x:c r="K425" s="48" t="str">
        <x:f>IF(B425="","",G425+I425+J425)</x:f>
      </x:c>
    </x:row>
    <x:row r="426">
      <x:c r="A426" s="40" t="str">
        <x:f>IF(B426="","",ROW()-4)</x:f>
      </x:c>
      <x:c r="B426" s="40"/>
      <x:c r="C426" s="40"/>
      <x:c r="D426" s="40"/>
      <x:c r="E426" s="40"/>
      <x:c r="F426" s="40"/>
      <x:c r="G426" s="44"/>
      <x:c r="H426" s="46"/>
      <x:c r="I426" s="48" t="str">
        <x:f>IF(B426="","",IFERROR(VLOOKUP(B426,Merchant_Rates!$A:$D,3,FALSE),4000))</x:f>
      </x:c>
      <x:c r="J426" s="48" t="str">
        <x:f>IF(B426="","",MAX(0,CEILING(H426,1)-IFERROR(VLOOKUP(B426,Merchant_Rates!$A:$D,4,FALSE),3))*Rules!$B$4)</x:f>
      </x:c>
      <x:c r="K426" s="48" t="str">
        <x:f>IF(B426="","",G426+I426+J426)</x:f>
      </x:c>
    </x:row>
    <x:row r="427">
      <x:c r="A427" s="40" t="str">
        <x:f>IF(B427="","",ROW()-4)</x:f>
      </x:c>
      <x:c r="B427" s="40"/>
      <x:c r="C427" s="40"/>
      <x:c r="D427" s="40"/>
      <x:c r="E427" s="40"/>
      <x:c r="F427" s="40"/>
      <x:c r="G427" s="44"/>
      <x:c r="H427" s="46"/>
      <x:c r="I427" s="48" t="str">
        <x:f>IF(B427="","",IFERROR(VLOOKUP(B427,Merchant_Rates!$A:$D,3,FALSE),4000))</x:f>
      </x:c>
      <x:c r="J427" s="48" t="str">
        <x:f>IF(B427="","",MAX(0,CEILING(H427,1)-IFERROR(VLOOKUP(B427,Merchant_Rates!$A:$D,4,FALSE),3))*Rules!$B$4)</x:f>
      </x:c>
      <x:c r="K427" s="48" t="str">
        <x:f>IF(B427="","",G427+I427+J427)</x:f>
      </x:c>
    </x:row>
    <x:row r="428">
      <x:c r="A428" s="40" t="str">
        <x:f>IF(B428="","",ROW()-4)</x:f>
      </x:c>
      <x:c r="B428" s="40"/>
      <x:c r="C428" s="40"/>
      <x:c r="D428" s="40"/>
      <x:c r="E428" s="40"/>
      <x:c r="F428" s="40"/>
      <x:c r="G428" s="44"/>
      <x:c r="H428" s="46"/>
      <x:c r="I428" s="48" t="str">
        <x:f>IF(B428="","",IFERROR(VLOOKUP(B428,Merchant_Rates!$A:$D,3,FALSE),4000))</x:f>
      </x:c>
      <x:c r="J428" s="48" t="str">
        <x:f>IF(B428="","",MAX(0,CEILING(H428,1)-IFERROR(VLOOKUP(B428,Merchant_Rates!$A:$D,4,FALSE),3))*Rules!$B$4)</x:f>
      </x:c>
      <x:c r="K428" s="48" t="str">
        <x:f>IF(B428="","",G428+I428+J428)</x:f>
      </x:c>
    </x:row>
    <x:row r="429">
      <x:c r="A429" s="40" t="str">
        <x:f>IF(B429="","",ROW()-4)</x:f>
      </x:c>
      <x:c r="B429" s="40"/>
      <x:c r="C429" s="40"/>
      <x:c r="D429" s="40"/>
      <x:c r="E429" s="40"/>
      <x:c r="F429" s="40"/>
      <x:c r="G429" s="44"/>
      <x:c r="H429" s="46"/>
      <x:c r="I429" s="48" t="str">
        <x:f>IF(B429="","",IFERROR(VLOOKUP(B429,Merchant_Rates!$A:$D,3,FALSE),4000))</x:f>
      </x:c>
      <x:c r="J429" s="48" t="str">
        <x:f>IF(B429="","",MAX(0,CEILING(H429,1)-IFERROR(VLOOKUP(B429,Merchant_Rates!$A:$D,4,FALSE),3))*Rules!$B$4)</x:f>
      </x:c>
      <x:c r="K429" s="48" t="str">
        <x:f>IF(B429="","",G429+I429+J429)</x:f>
      </x:c>
    </x:row>
    <x:row r="430">
      <x:c r="A430" s="40" t="str">
        <x:f>IF(B430="","",ROW()-4)</x:f>
      </x:c>
      <x:c r="B430" s="40"/>
      <x:c r="C430" s="40"/>
      <x:c r="D430" s="40"/>
      <x:c r="E430" s="40"/>
      <x:c r="F430" s="40"/>
      <x:c r="G430" s="44"/>
      <x:c r="H430" s="46"/>
      <x:c r="I430" s="48" t="str">
        <x:f>IF(B430="","",IFERROR(VLOOKUP(B430,Merchant_Rates!$A:$D,3,FALSE),4000))</x:f>
      </x:c>
      <x:c r="J430" s="48" t="str">
        <x:f>IF(B430="","",MAX(0,CEILING(H430,1)-IFERROR(VLOOKUP(B430,Merchant_Rates!$A:$D,4,FALSE),3))*Rules!$B$4)</x:f>
      </x:c>
      <x:c r="K430" s="48" t="str">
        <x:f>IF(B430="","",G430+I430+J430)</x:f>
      </x:c>
    </x:row>
    <x:row r="431">
      <x:c r="A431" s="40" t="str">
        <x:f>IF(B431="","",ROW()-4)</x:f>
      </x:c>
      <x:c r="B431" s="40"/>
      <x:c r="C431" s="40"/>
      <x:c r="D431" s="40"/>
      <x:c r="E431" s="40"/>
      <x:c r="F431" s="40"/>
      <x:c r="G431" s="44"/>
      <x:c r="H431" s="46"/>
      <x:c r="I431" s="48" t="str">
        <x:f>IF(B431="","",IFERROR(VLOOKUP(B431,Merchant_Rates!$A:$D,3,FALSE),4000))</x:f>
      </x:c>
      <x:c r="J431" s="48" t="str">
        <x:f>IF(B431="","",MAX(0,CEILING(H431,1)-IFERROR(VLOOKUP(B431,Merchant_Rates!$A:$D,4,FALSE),3))*Rules!$B$4)</x:f>
      </x:c>
      <x:c r="K431" s="48" t="str">
        <x:f>IF(B431="","",G431+I431+J431)</x:f>
      </x:c>
    </x:row>
    <x:row r="432">
      <x:c r="A432" s="40" t="str">
        <x:f>IF(B432="","",ROW()-4)</x:f>
      </x:c>
      <x:c r="B432" s="40"/>
      <x:c r="C432" s="40"/>
      <x:c r="D432" s="40"/>
      <x:c r="E432" s="40"/>
      <x:c r="F432" s="40"/>
      <x:c r="G432" s="44"/>
      <x:c r="H432" s="46"/>
      <x:c r="I432" s="48" t="str">
        <x:f>IF(B432="","",IFERROR(VLOOKUP(B432,Merchant_Rates!$A:$D,3,FALSE),4000))</x:f>
      </x:c>
      <x:c r="J432" s="48" t="str">
        <x:f>IF(B432="","",MAX(0,CEILING(H432,1)-IFERROR(VLOOKUP(B432,Merchant_Rates!$A:$D,4,FALSE),3))*Rules!$B$4)</x:f>
      </x:c>
      <x:c r="K432" s="48" t="str">
        <x:f>IF(B432="","",G432+I432+J432)</x:f>
      </x:c>
    </x:row>
    <x:row r="433">
      <x:c r="A433" s="40" t="str">
        <x:f>IF(B433="","",ROW()-4)</x:f>
      </x:c>
      <x:c r="B433" s="40"/>
      <x:c r="C433" s="40"/>
      <x:c r="D433" s="40"/>
      <x:c r="E433" s="40"/>
      <x:c r="F433" s="40"/>
      <x:c r="G433" s="44"/>
      <x:c r="H433" s="46"/>
      <x:c r="I433" s="48" t="str">
        <x:f>IF(B433="","",IFERROR(VLOOKUP(B433,Merchant_Rates!$A:$D,3,FALSE),4000))</x:f>
      </x:c>
      <x:c r="J433" s="48" t="str">
        <x:f>IF(B433="","",MAX(0,CEILING(H433,1)-IFERROR(VLOOKUP(B433,Merchant_Rates!$A:$D,4,FALSE),3))*Rules!$B$4)</x:f>
      </x:c>
      <x:c r="K433" s="48" t="str">
        <x:f>IF(B433="","",G433+I433+J433)</x:f>
      </x:c>
    </x:row>
    <x:row r="434">
      <x:c r="A434" s="40" t="str">
        <x:f>IF(B434="","",ROW()-4)</x:f>
      </x:c>
      <x:c r="B434" s="40"/>
      <x:c r="C434" s="40"/>
      <x:c r="D434" s="40"/>
      <x:c r="E434" s="40"/>
      <x:c r="F434" s="40"/>
      <x:c r="G434" s="44"/>
      <x:c r="H434" s="46"/>
      <x:c r="I434" s="48" t="str">
        <x:f>IF(B434="","",IFERROR(VLOOKUP(B434,Merchant_Rates!$A:$D,3,FALSE),4000))</x:f>
      </x:c>
      <x:c r="J434" s="48" t="str">
        <x:f>IF(B434="","",MAX(0,CEILING(H434,1)-IFERROR(VLOOKUP(B434,Merchant_Rates!$A:$D,4,FALSE),3))*Rules!$B$4)</x:f>
      </x:c>
      <x:c r="K434" s="48" t="str">
        <x:f>IF(B434="","",G434+I434+J434)</x:f>
      </x:c>
    </x:row>
    <x:row r="435">
      <x:c r="A435" s="40" t="str">
        <x:f>IF(B435="","",ROW()-4)</x:f>
      </x:c>
      <x:c r="B435" s="40"/>
      <x:c r="C435" s="40"/>
      <x:c r="D435" s="40"/>
      <x:c r="E435" s="40"/>
      <x:c r="F435" s="40"/>
      <x:c r="G435" s="44"/>
      <x:c r="H435" s="46"/>
      <x:c r="I435" s="48" t="str">
        <x:f>IF(B435="","",IFERROR(VLOOKUP(B435,Merchant_Rates!$A:$D,3,FALSE),4000))</x:f>
      </x:c>
      <x:c r="J435" s="48" t="str">
        <x:f>IF(B435="","",MAX(0,CEILING(H435,1)-IFERROR(VLOOKUP(B435,Merchant_Rates!$A:$D,4,FALSE),3))*Rules!$B$4)</x:f>
      </x:c>
      <x:c r="K435" s="48" t="str">
        <x:f>IF(B435="","",G435+I435+J435)</x:f>
      </x:c>
    </x:row>
    <x:row r="436">
      <x:c r="A436" s="40" t="str">
        <x:f>IF(B436="","",ROW()-4)</x:f>
      </x:c>
      <x:c r="B436" s="40"/>
      <x:c r="C436" s="40"/>
      <x:c r="D436" s="40"/>
      <x:c r="E436" s="40"/>
      <x:c r="F436" s="40"/>
      <x:c r="G436" s="44"/>
      <x:c r="H436" s="46"/>
      <x:c r="I436" s="48" t="str">
        <x:f>IF(B436="","",IFERROR(VLOOKUP(B436,Merchant_Rates!$A:$D,3,FALSE),4000))</x:f>
      </x:c>
      <x:c r="J436" s="48" t="str">
        <x:f>IF(B436="","",MAX(0,CEILING(H436,1)-IFERROR(VLOOKUP(B436,Merchant_Rates!$A:$D,4,FALSE),3))*Rules!$B$4)</x:f>
      </x:c>
      <x:c r="K436" s="48" t="str">
        <x:f>IF(B436="","",G436+I436+J436)</x:f>
      </x:c>
    </x:row>
    <x:row r="437">
      <x:c r="A437" s="40" t="str">
        <x:f>IF(B437="","",ROW()-4)</x:f>
      </x:c>
      <x:c r="B437" s="40"/>
      <x:c r="C437" s="40"/>
      <x:c r="D437" s="40"/>
      <x:c r="E437" s="40"/>
      <x:c r="F437" s="40"/>
      <x:c r="G437" s="44"/>
      <x:c r="H437" s="46"/>
      <x:c r="I437" s="48" t="str">
        <x:f>IF(B437="","",IFERROR(VLOOKUP(B437,Merchant_Rates!$A:$D,3,FALSE),4000))</x:f>
      </x:c>
      <x:c r="J437" s="48" t="str">
        <x:f>IF(B437="","",MAX(0,CEILING(H437,1)-IFERROR(VLOOKUP(B437,Merchant_Rates!$A:$D,4,FALSE),3))*Rules!$B$4)</x:f>
      </x:c>
      <x:c r="K437" s="48" t="str">
        <x:f>IF(B437="","",G437+I437+J437)</x:f>
      </x:c>
    </x:row>
    <x:row r="438">
      <x:c r="A438" s="40" t="str">
        <x:f>IF(B438="","",ROW()-4)</x:f>
      </x:c>
      <x:c r="B438" s="40"/>
      <x:c r="C438" s="40"/>
      <x:c r="D438" s="40"/>
      <x:c r="E438" s="40"/>
      <x:c r="F438" s="40"/>
      <x:c r="G438" s="44"/>
      <x:c r="H438" s="46"/>
      <x:c r="I438" s="48" t="str">
        <x:f>IF(B438="","",IFERROR(VLOOKUP(B438,Merchant_Rates!$A:$D,3,FALSE),4000))</x:f>
      </x:c>
      <x:c r="J438" s="48" t="str">
        <x:f>IF(B438="","",MAX(0,CEILING(H438,1)-IFERROR(VLOOKUP(B438,Merchant_Rates!$A:$D,4,FALSE),3))*Rules!$B$4)</x:f>
      </x:c>
      <x:c r="K438" s="48" t="str">
        <x:f>IF(B438="","",G438+I438+J438)</x:f>
      </x:c>
    </x:row>
    <x:row r="439">
      <x:c r="A439" s="40" t="str">
        <x:f>IF(B439="","",ROW()-4)</x:f>
      </x:c>
      <x:c r="B439" s="40"/>
      <x:c r="C439" s="40"/>
      <x:c r="D439" s="40"/>
      <x:c r="E439" s="40"/>
      <x:c r="F439" s="40"/>
      <x:c r="G439" s="44"/>
      <x:c r="H439" s="46"/>
      <x:c r="I439" s="48" t="str">
        <x:f>IF(B439="","",IFERROR(VLOOKUP(B439,Merchant_Rates!$A:$D,3,FALSE),4000))</x:f>
      </x:c>
      <x:c r="J439" s="48" t="str">
        <x:f>IF(B439="","",MAX(0,CEILING(H439,1)-IFERROR(VLOOKUP(B439,Merchant_Rates!$A:$D,4,FALSE),3))*Rules!$B$4)</x:f>
      </x:c>
      <x:c r="K439" s="48" t="str">
        <x:f>IF(B439="","",G439+I439+J439)</x:f>
      </x:c>
    </x:row>
    <x:row r="440">
      <x:c r="A440" s="40" t="str">
        <x:f>IF(B440="","",ROW()-4)</x:f>
      </x:c>
      <x:c r="B440" s="40"/>
      <x:c r="C440" s="40"/>
      <x:c r="D440" s="40"/>
      <x:c r="E440" s="40"/>
      <x:c r="F440" s="40"/>
      <x:c r="G440" s="44"/>
      <x:c r="H440" s="46"/>
      <x:c r="I440" s="48" t="str">
        <x:f>IF(B440="","",IFERROR(VLOOKUP(B440,Merchant_Rates!$A:$D,3,FALSE),4000))</x:f>
      </x:c>
      <x:c r="J440" s="48" t="str">
        <x:f>IF(B440="","",MAX(0,CEILING(H440,1)-IFERROR(VLOOKUP(B440,Merchant_Rates!$A:$D,4,FALSE),3))*Rules!$B$4)</x:f>
      </x:c>
      <x:c r="K440" s="48" t="str">
        <x:f>IF(B440="","",G440+I440+J440)</x:f>
      </x:c>
    </x:row>
    <x:row r="441">
      <x:c r="A441" s="40" t="str">
        <x:f>IF(B441="","",ROW()-4)</x:f>
      </x:c>
      <x:c r="B441" s="40"/>
      <x:c r="C441" s="40"/>
      <x:c r="D441" s="40"/>
      <x:c r="E441" s="40"/>
      <x:c r="F441" s="40"/>
      <x:c r="G441" s="44"/>
      <x:c r="H441" s="46"/>
      <x:c r="I441" s="48" t="str">
        <x:f>IF(B441="","",IFERROR(VLOOKUP(B441,Merchant_Rates!$A:$D,3,FALSE),4000))</x:f>
      </x:c>
      <x:c r="J441" s="48" t="str">
        <x:f>IF(B441="","",MAX(0,CEILING(H441,1)-IFERROR(VLOOKUP(B441,Merchant_Rates!$A:$D,4,FALSE),3))*Rules!$B$4)</x:f>
      </x:c>
      <x:c r="K441" s="48" t="str">
        <x:f>IF(B441="","",G441+I441+J441)</x:f>
      </x:c>
    </x:row>
    <x:row r="442">
      <x:c r="A442" s="40" t="str">
        <x:f>IF(B442="","",ROW()-4)</x:f>
      </x:c>
      <x:c r="B442" s="40"/>
      <x:c r="C442" s="40"/>
      <x:c r="D442" s="40"/>
      <x:c r="E442" s="40"/>
      <x:c r="F442" s="40"/>
      <x:c r="G442" s="44"/>
      <x:c r="H442" s="46"/>
      <x:c r="I442" s="48" t="str">
        <x:f>IF(B442="","",IFERROR(VLOOKUP(B442,Merchant_Rates!$A:$D,3,FALSE),4000))</x:f>
      </x:c>
      <x:c r="J442" s="48" t="str">
        <x:f>IF(B442="","",MAX(0,CEILING(H442,1)-IFERROR(VLOOKUP(B442,Merchant_Rates!$A:$D,4,FALSE),3))*Rules!$B$4)</x:f>
      </x:c>
      <x:c r="K442" s="48" t="str">
        <x:f>IF(B442="","",G442+I442+J442)</x:f>
      </x:c>
    </x:row>
    <x:row r="443">
      <x:c r="A443" s="40" t="str">
        <x:f>IF(B443="","",ROW()-4)</x:f>
      </x:c>
      <x:c r="B443" s="40"/>
      <x:c r="C443" s="40"/>
      <x:c r="D443" s="40"/>
      <x:c r="E443" s="40"/>
      <x:c r="F443" s="40"/>
      <x:c r="G443" s="44"/>
      <x:c r="H443" s="46"/>
      <x:c r="I443" s="48" t="str">
        <x:f>IF(B443="","",IFERROR(VLOOKUP(B443,Merchant_Rates!$A:$D,3,FALSE),4000))</x:f>
      </x:c>
      <x:c r="J443" s="48" t="str">
        <x:f>IF(B443="","",MAX(0,CEILING(H443,1)-IFERROR(VLOOKUP(B443,Merchant_Rates!$A:$D,4,FALSE),3))*Rules!$B$4)</x:f>
      </x:c>
      <x:c r="K443" s="48" t="str">
        <x:f>IF(B443="","",G443+I443+J443)</x:f>
      </x:c>
    </x:row>
    <x:row r="444">
      <x:c r="A444" s="40" t="str">
        <x:f>IF(B444="","",ROW()-4)</x:f>
      </x:c>
      <x:c r="B444" s="40"/>
      <x:c r="C444" s="40"/>
      <x:c r="D444" s="40"/>
      <x:c r="E444" s="40"/>
      <x:c r="F444" s="40"/>
      <x:c r="G444" s="44"/>
      <x:c r="H444" s="46"/>
      <x:c r="I444" s="48" t="str">
        <x:f>IF(B444="","",IFERROR(VLOOKUP(B444,Merchant_Rates!$A:$D,3,FALSE),4000))</x:f>
      </x:c>
      <x:c r="J444" s="48" t="str">
        <x:f>IF(B444="","",MAX(0,CEILING(H444,1)-IFERROR(VLOOKUP(B444,Merchant_Rates!$A:$D,4,FALSE),3))*Rules!$B$4)</x:f>
      </x:c>
      <x:c r="K444" s="48" t="str">
        <x:f>IF(B444="","",G444+I444+J444)</x:f>
      </x:c>
    </x:row>
    <x:row r="445">
      <x:c r="A445" s="40" t="str">
        <x:f>IF(B445="","",ROW()-4)</x:f>
      </x:c>
      <x:c r="B445" s="40"/>
      <x:c r="C445" s="40"/>
      <x:c r="D445" s="40"/>
      <x:c r="E445" s="40"/>
      <x:c r="F445" s="40"/>
      <x:c r="G445" s="44"/>
      <x:c r="H445" s="46"/>
      <x:c r="I445" s="48" t="str">
        <x:f>IF(B445="","",IFERROR(VLOOKUP(B445,Merchant_Rates!$A:$D,3,FALSE),4000))</x:f>
      </x:c>
      <x:c r="J445" s="48" t="str">
        <x:f>IF(B445="","",MAX(0,CEILING(H445,1)-IFERROR(VLOOKUP(B445,Merchant_Rates!$A:$D,4,FALSE),3))*Rules!$B$4)</x:f>
      </x:c>
      <x:c r="K445" s="48" t="str">
        <x:f>IF(B445="","",G445+I445+J445)</x:f>
      </x:c>
    </x:row>
    <x:row r="446">
      <x:c r="A446" s="40" t="str">
        <x:f>IF(B446="","",ROW()-4)</x:f>
      </x:c>
      <x:c r="B446" s="40"/>
      <x:c r="C446" s="40"/>
      <x:c r="D446" s="40"/>
      <x:c r="E446" s="40"/>
      <x:c r="F446" s="40"/>
      <x:c r="G446" s="44"/>
      <x:c r="H446" s="46"/>
      <x:c r="I446" s="48" t="str">
        <x:f>IF(B446="","",IFERROR(VLOOKUP(B446,Merchant_Rates!$A:$D,3,FALSE),4000))</x:f>
      </x:c>
      <x:c r="J446" s="48" t="str">
        <x:f>IF(B446="","",MAX(0,CEILING(H446,1)-IFERROR(VLOOKUP(B446,Merchant_Rates!$A:$D,4,FALSE),3))*Rules!$B$4)</x:f>
      </x:c>
      <x:c r="K446" s="48" t="str">
        <x:f>IF(B446="","",G446+I446+J446)</x:f>
      </x:c>
    </x:row>
    <x:row r="447">
      <x:c r="A447" s="40" t="str">
        <x:f>IF(B447="","",ROW()-4)</x:f>
      </x:c>
      <x:c r="B447" s="40"/>
      <x:c r="C447" s="40"/>
      <x:c r="D447" s="40"/>
      <x:c r="E447" s="40"/>
      <x:c r="F447" s="40"/>
      <x:c r="G447" s="44"/>
      <x:c r="H447" s="46"/>
      <x:c r="I447" s="48" t="str">
        <x:f>IF(B447="","",IFERROR(VLOOKUP(B447,Merchant_Rates!$A:$D,3,FALSE),4000))</x:f>
      </x:c>
      <x:c r="J447" s="48" t="str">
        <x:f>IF(B447="","",MAX(0,CEILING(H447,1)-IFERROR(VLOOKUP(B447,Merchant_Rates!$A:$D,4,FALSE),3))*Rules!$B$4)</x:f>
      </x:c>
      <x:c r="K447" s="48" t="str">
        <x:f>IF(B447="","",G447+I447+J447)</x:f>
      </x:c>
    </x:row>
    <x:row r="448">
      <x:c r="A448" s="40" t="str">
        <x:f>IF(B448="","",ROW()-4)</x:f>
      </x:c>
      <x:c r="B448" s="40"/>
      <x:c r="C448" s="40"/>
      <x:c r="D448" s="40"/>
      <x:c r="E448" s="40"/>
      <x:c r="F448" s="40"/>
      <x:c r="G448" s="44"/>
      <x:c r="H448" s="46"/>
      <x:c r="I448" s="48" t="str">
        <x:f>IF(B448="","",IFERROR(VLOOKUP(B448,Merchant_Rates!$A:$D,3,FALSE),4000))</x:f>
      </x:c>
      <x:c r="J448" s="48" t="str">
        <x:f>IF(B448="","",MAX(0,CEILING(H448,1)-IFERROR(VLOOKUP(B448,Merchant_Rates!$A:$D,4,FALSE),3))*Rules!$B$4)</x:f>
      </x:c>
      <x:c r="K448" s="48" t="str">
        <x:f>IF(B448="","",G448+I448+J448)</x:f>
      </x:c>
    </x:row>
    <x:row r="449">
      <x:c r="A449" s="40" t="str">
        <x:f>IF(B449="","",ROW()-4)</x:f>
      </x:c>
      <x:c r="B449" s="40"/>
      <x:c r="C449" s="40"/>
      <x:c r="D449" s="40"/>
      <x:c r="E449" s="40"/>
      <x:c r="F449" s="40"/>
      <x:c r="G449" s="44"/>
      <x:c r="H449" s="46"/>
      <x:c r="I449" s="48" t="str">
        <x:f>IF(B449="","",IFERROR(VLOOKUP(B449,Merchant_Rates!$A:$D,3,FALSE),4000))</x:f>
      </x:c>
      <x:c r="J449" s="48" t="str">
        <x:f>IF(B449="","",MAX(0,CEILING(H449,1)-IFERROR(VLOOKUP(B449,Merchant_Rates!$A:$D,4,FALSE),3))*Rules!$B$4)</x:f>
      </x:c>
      <x:c r="K449" s="48" t="str">
        <x:f>IF(B449="","",G449+I449+J449)</x:f>
      </x:c>
    </x:row>
    <x:row r="450">
      <x:c r="A450" s="40" t="str">
        <x:f>IF(B450="","",ROW()-4)</x:f>
      </x:c>
      <x:c r="B450" s="40"/>
      <x:c r="C450" s="40"/>
      <x:c r="D450" s="40"/>
      <x:c r="E450" s="40"/>
      <x:c r="F450" s="40"/>
      <x:c r="G450" s="44"/>
      <x:c r="H450" s="46"/>
      <x:c r="I450" s="48" t="str">
        <x:f>IF(B450="","",IFERROR(VLOOKUP(B450,Merchant_Rates!$A:$D,3,FALSE),4000))</x:f>
      </x:c>
      <x:c r="J450" s="48" t="str">
        <x:f>IF(B450="","",MAX(0,CEILING(H450,1)-IFERROR(VLOOKUP(B450,Merchant_Rates!$A:$D,4,FALSE),3))*Rules!$B$4)</x:f>
      </x:c>
      <x:c r="K450" s="48" t="str">
        <x:f>IF(B450="","",G450+I450+J450)</x:f>
      </x:c>
    </x:row>
    <x:row r="451">
      <x:c r="A451" s="40" t="str">
        <x:f>IF(B451="","",ROW()-4)</x:f>
      </x:c>
      <x:c r="B451" s="40"/>
      <x:c r="C451" s="40"/>
      <x:c r="D451" s="40"/>
      <x:c r="E451" s="40"/>
      <x:c r="F451" s="40"/>
      <x:c r="G451" s="44"/>
      <x:c r="H451" s="46"/>
      <x:c r="I451" s="48" t="str">
        <x:f>IF(B451="","",IFERROR(VLOOKUP(B451,Merchant_Rates!$A:$D,3,FALSE),4000))</x:f>
      </x:c>
      <x:c r="J451" s="48" t="str">
        <x:f>IF(B451="","",MAX(0,CEILING(H451,1)-IFERROR(VLOOKUP(B451,Merchant_Rates!$A:$D,4,FALSE),3))*Rules!$B$4)</x:f>
      </x:c>
      <x:c r="K451" s="48" t="str">
        <x:f>IF(B451="","",G451+I451+J451)</x:f>
      </x:c>
    </x:row>
    <x:row r="452">
      <x:c r="A452" s="40" t="str">
        <x:f>IF(B452="","",ROW()-4)</x:f>
      </x:c>
      <x:c r="B452" s="40"/>
      <x:c r="C452" s="40"/>
      <x:c r="D452" s="40"/>
      <x:c r="E452" s="40"/>
      <x:c r="F452" s="40"/>
      <x:c r="G452" s="44"/>
      <x:c r="H452" s="46"/>
      <x:c r="I452" s="48" t="str">
        <x:f>IF(B452="","",IFERROR(VLOOKUP(B452,Merchant_Rates!$A:$D,3,FALSE),4000))</x:f>
      </x:c>
      <x:c r="J452" s="48" t="str">
        <x:f>IF(B452="","",MAX(0,CEILING(H452,1)-IFERROR(VLOOKUP(B452,Merchant_Rates!$A:$D,4,FALSE),3))*Rules!$B$4)</x:f>
      </x:c>
      <x:c r="K452" s="48" t="str">
        <x:f>IF(B452="","",G452+I452+J452)</x:f>
      </x:c>
    </x:row>
    <x:row r="453">
      <x:c r="A453" s="40" t="str">
        <x:f>IF(B453="","",ROW()-4)</x:f>
      </x:c>
      <x:c r="B453" s="40"/>
      <x:c r="C453" s="40"/>
      <x:c r="D453" s="40"/>
      <x:c r="E453" s="40"/>
      <x:c r="F453" s="40"/>
      <x:c r="G453" s="44"/>
      <x:c r="H453" s="46"/>
      <x:c r="I453" s="48" t="str">
        <x:f>IF(B453="","",IFERROR(VLOOKUP(B453,Merchant_Rates!$A:$D,3,FALSE),4000))</x:f>
      </x:c>
      <x:c r="J453" s="48" t="str">
        <x:f>IF(B453="","",MAX(0,CEILING(H453,1)-IFERROR(VLOOKUP(B453,Merchant_Rates!$A:$D,4,FALSE),3))*Rules!$B$4)</x:f>
      </x:c>
      <x:c r="K453" s="48" t="str">
        <x:f>IF(B453="","",G453+I453+J453)</x:f>
      </x:c>
    </x:row>
    <x:row r="454">
      <x:c r="A454" s="40" t="str">
        <x:f>IF(B454="","",ROW()-4)</x:f>
      </x:c>
      <x:c r="B454" s="40"/>
      <x:c r="C454" s="40"/>
      <x:c r="D454" s="40"/>
      <x:c r="E454" s="40"/>
      <x:c r="F454" s="40"/>
      <x:c r="G454" s="44"/>
      <x:c r="H454" s="46"/>
      <x:c r="I454" s="48" t="str">
        <x:f>IF(B454="","",IFERROR(VLOOKUP(B454,Merchant_Rates!$A:$D,3,FALSE),4000))</x:f>
      </x:c>
      <x:c r="J454" s="48" t="str">
        <x:f>IF(B454="","",MAX(0,CEILING(H454,1)-IFERROR(VLOOKUP(B454,Merchant_Rates!$A:$D,4,FALSE),3))*Rules!$B$4)</x:f>
      </x:c>
      <x:c r="K454" s="48" t="str">
        <x:f>IF(B454="","",G454+I454+J454)</x:f>
      </x:c>
    </x:row>
    <x:row r="455">
      <x:c r="A455" s="40" t="str">
        <x:f>IF(B455="","",ROW()-4)</x:f>
      </x:c>
      <x:c r="B455" s="40"/>
      <x:c r="C455" s="40"/>
      <x:c r="D455" s="40"/>
      <x:c r="E455" s="40"/>
      <x:c r="F455" s="40"/>
      <x:c r="G455" s="44"/>
      <x:c r="H455" s="46"/>
      <x:c r="I455" s="48" t="str">
        <x:f>IF(B455="","",IFERROR(VLOOKUP(B455,Merchant_Rates!$A:$D,3,FALSE),4000))</x:f>
      </x:c>
      <x:c r="J455" s="48" t="str">
        <x:f>IF(B455="","",MAX(0,CEILING(H455,1)-IFERROR(VLOOKUP(B455,Merchant_Rates!$A:$D,4,FALSE),3))*Rules!$B$4)</x:f>
      </x:c>
      <x:c r="K455" s="48" t="str">
        <x:f>IF(B455="","",G455+I455+J455)</x:f>
      </x:c>
    </x:row>
    <x:row r="456">
      <x:c r="A456" s="40" t="str">
        <x:f>IF(B456="","",ROW()-4)</x:f>
      </x:c>
      <x:c r="B456" s="40"/>
      <x:c r="C456" s="40"/>
      <x:c r="D456" s="40"/>
      <x:c r="E456" s="40"/>
      <x:c r="F456" s="40"/>
      <x:c r="G456" s="44"/>
      <x:c r="H456" s="46"/>
      <x:c r="I456" s="48" t="str">
        <x:f>IF(B456="","",IFERROR(VLOOKUP(B456,Merchant_Rates!$A:$D,3,FALSE),4000))</x:f>
      </x:c>
      <x:c r="J456" s="48" t="str">
        <x:f>IF(B456="","",MAX(0,CEILING(H456,1)-IFERROR(VLOOKUP(B456,Merchant_Rates!$A:$D,4,FALSE),3))*Rules!$B$4)</x:f>
      </x:c>
      <x:c r="K456" s="48" t="str">
        <x:f>IF(B456="","",G456+I456+J456)</x:f>
      </x:c>
    </x:row>
    <x:row r="457">
      <x:c r="A457" s="40" t="str">
        <x:f>IF(B457="","",ROW()-4)</x:f>
      </x:c>
      <x:c r="B457" s="40"/>
      <x:c r="C457" s="40"/>
      <x:c r="D457" s="40"/>
      <x:c r="E457" s="40"/>
      <x:c r="F457" s="40"/>
      <x:c r="G457" s="44"/>
      <x:c r="H457" s="46"/>
      <x:c r="I457" s="48" t="str">
        <x:f>IF(B457="","",IFERROR(VLOOKUP(B457,Merchant_Rates!$A:$D,3,FALSE),4000))</x:f>
      </x:c>
      <x:c r="J457" s="48" t="str">
        <x:f>IF(B457="","",MAX(0,CEILING(H457,1)-IFERROR(VLOOKUP(B457,Merchant_Rates!$A:$D,4,FALSE),3))*Rules!$B$4)</x:f>
      </x:c>
      <x:c r="K457" s="48" t="str">
        <x:f>IF(B457="","",G457+I457+J457)</x:f>
      </x:c>
    </x:row>
    <x:row r="458">
      <x:c r="A458" s="40" t="str">
        <x:f>IF(B458="","",ROW()-4)</x:f>
      </x:c>
      <x:c r="B458" s="40"/>
      <x:c r="C458" s="40"/>
      <x:c r="D458" s="40"/>
      <x:c r="E458" s="40"/>
      <x:c r="F458" s="40"/>
      <x:c r="G458" s="44"/>
      <x:c r="H458" s="46"/>
      <x:c r="I458" s="48" t="str">
        <x:f>IF(B458="","",IFERROR(VLOOKUP(B458,Merchant_Rates!$A:$D,3,FALSE),4000))</x:f>
      </x:c>
      <x:c r="J458" s="48" t="str">
        <x:f>IF(B458="","",MAX(0,CEILING(H458,1)-IFERROR(VLOOKUP(B458,Merchant_Rates!$A:$D,4,FALSE),3))*Rules!$B$4)</x:f>
      </x:c>
      <x:c r="K458" s="48" t="str">
        <x:f>IF(B458="","",G458+I458+J458)</x:f>
      </x:c>
    </x:row>
    <x:row r="459">
      <x:c r="A459" s="40" t="str">
        <x:f>IF(B459="","",ROW()-4)</x:f>
      </x:c>
      <x:c r="B459" s="40"/>
      <x:c r="C459" s="40"/>
      <x:c r="D459" s="40"/>
      <x:c r="E459" s="40"/>
      <x:c r="F459" s="40"/>
      <x:c r="G459" s="44"/>
      <x:c r="H459" s="46"/>
      <x:c r="I459" s="48" t="str">
        <x:f>IF(B459="","",IFERROR(VLOOKUP(B459,Merchant_Rates!$A:$D,3,FALSE),4000))</x:f>
      </x:c>
      <x:c r="J459" s="48" t="str">
        <x:f>IF(B459="","",MAX(0,CEILING(H459,1)-IFERROR(VLOOKUP(B459,Merchant_Rates!$A:$D,4,FALSE),3))*Rules!$B$4)</x:f>
      </x:c>
      <x:c r="K459" s="48" t="str">
        <x:f>IF(B459="","",G459+I459+J459)</x:f>
      </x:c>
    </x:row>
    <x:row r="460">
      <x:c r="A460" s="40" t="str">
        <x:f>IF(B460="","",ROW()-4)</x:f>
      </x:c>
      <x:c r="B460" s="40"/>
      <x:c r="C460" s="40"/>
      <x:c r="D460" s="40"/>
      <x:c r="E460" s="40"/>
      <x:c r="F460" s="40"/>
      <x:c r="G460" s="44"/>
      <x:c r="H460" s="46"/>
      <x:c r="I460" s="48" t="str">
        <x:f>IF(B460="","",IFERROR(VLOOKUP(B460,Merchant_Rates!$A:$D,3,FALSE),4000))</x:f>
      </x:c>
      <x:c r="J460" s="48" t="str">
        <x:f>IF(B460="","",MAX(0,CEILING(H460,1)-IFERROR(VLOOKUP(B460,Merchant_Rates!$A:$D,4,FALSE),3))*Rules!$B$4)</x:f>
      </x:c>
      <x:c r="K460" s="48" t="str">
        <x:f>IF(B460="","",G460+I460+J460)</x:f>
      </x:c>
    </x:row>
    <x:row r="461">
      <x:c r="A461" s="40" t="str">
        <x:f>IF(B461="","",ROW()-4)</x:f>
      </x:c>
      <x:c r="B461" s="40"/>
      <x:c r="C461" s="40"/>
      <x:c r="D461" s="40"/>
      <x:c r="E461" s="40"/>
      <x:c r="F461" s="40"/>
      <x:c r="G461" s="44"/>
      <x:c r="H461" s="46"/>
      <x:c r="I461" s="48" t="str">
        <x:f>IF(B461="","",IFERROR(VLOOKUP(B461,Merchant_Rates!$A:$D,3,FALSE),4000))</x:f>
      </x:c>
      <x:c r="J461" s="48" t="str">
        <x:f>IF(B461="","",MAX(0,CEILING(H461,1)-IFERROR(VLOOKUP(B461,Merchant_Rates!$A:$D,4,FALSE),3))*Rules!$B$4)</x:f>
      </x:c>
      <x:c r="K461" s="48" t="str">
        <x:f>IF(B461="","",G461+I461+J461)</x:f>
      </x:c>
    </x:row>
    <x:row r="462">
      <x:c r="A462" s="40" t="str">
        <x:f>IF(B462="","",ROW()-4)</x:f>
      </x:c>
      <x:c r="B462" s="40"/>
      <x:c r="C462" s="40"/>
      <x:c r="D462" s="40"/>
      <x:c r="E462" s="40"/>
      <x:c r="F462" s="40"/>
      <x:c r="G462" s="44"/>
      <x:c r="H462" s="46"/>
      <x:c r="I462" s="48" t="str">
        <x:f>IF(B462="","",IFERROR(VLOOKUP(B462,Merchant_Rates!$A:$D,3,FALSE),4000))</x:f>
      </x:c>
      <x:c r="J462" s="48" t="str">
        <x:f>IF(B462="","",MAX(0,CEILING(H462,1)-IFERROR(VLOOKUP(B462,Merchant_Rates!$A:$D,4,FALSE),3))*Rules!$B$4)</x:f>
      </x:c>
      <x:c r="K462" s="48" t="str">
        <x:f>IF(B462="","",G462+I462+J462)</x:f>
      </x:c>
    </x:row>
    <x:row r="463">
      <x:c r="A463" s="40" t="str">
        <x:f>IF(B463="","",ROW()-4)</x:f>
      </x:c>
      <x:c r="B463" s="40"/>
      <x:c r="C463" s="40"/>
      <x:c r="D463" s="40"/>
      <x:c r="E463" s="40"/>
      <x:c r="F463" s="40"/>
      <x:c r="G463" s="44"/>
      <x:c r="H463" s="46"/>
      <x:c r="I463" s="48" t="str">
        <x:f>IF(B463="","",IFERROR(VLOOKUP(B463,Merchant_Rates!$A:$D,3,FALSE),4000))</x:f>
      </x:c>
      <x:c r="J463" s="48" t="str">
        <x:f>IF(B463="","",MAX(0,CEILING(H463,1)-IFERROR(VLOOKUP(B463,Merchant_Rates!$A:$D,4,FALSE),3))*Rules!$B$4)</x:f>
      </x:c>
      <x:c r="K463" s="48" t="str">
        <x:f>IF(B463="","",G463+I463+J463)</x:f>
      </x:c>
    </x:row>
    <x:row r="464">
      <x:c r="A464" s="40" t="str">
        <x:f>IF(B464="","",ROW()-4)</x:f>
      </x:c>
      <x:c r="B464" s="40"/>
      <x:c r="C464" s="40"/>
      <x:c r="D464" s="40"/>
      <x:c r="E464" s="40"/>
      <x:c r="F464" s="40"/>
      <x:c r="G464" s="44"/>
      <x:c r="H464" s="46"/>
      <x:c r="I464" s="48" t="str">
        <x:f>IF(B464="","",IFERROR(VLOOKUP(B464,Merchant_Rates!$A:$D,3,FALSE),4000))</x:f>
      </x:c>
      <x:c r="J464" s="48" t="str">
        <x:f>IF(B464="","",MAX(0,CEILING(H464,1)-IFERROR(VLOOKUP(B464,Merchant_Rates!$A:$D,4,FALSE),3))*Rules!$B$4)</x:f>
      </x:c>
      <x:c r="K464" s="48" t="str">
        <x:f>IF(B464="","",G464+I464+J464)</x:f>
      </x:c>
    </x:row>
    <x:row r="465">
      <x:c r="A465" s="40" t="str">
        <x:f>IF(B465="","",ROW()-4)</x:f>
      </x:c>
      <x:c r="B465" s="40"/>
      <x:c r="C465" s="40"/>
      <x:c r="D465" s="40"/>
      <x:c r="E465" s="40"/>
      <x:c r="F465" s="40"/>
      <x:c r="G465" s="44"/>
      <x:c r="H465" s="46"/>
      <x:c r="I465" s="48" t="str">
        <x:f>IF(B465="","",IFERROR(VLOOKUP(B465,Merchant_Rates!$A:$D,3,FALSE),4000))</x:f>
      </x:c>
      <x:c r="J465" s="48" t="str">
        <x:f>IF(B465="","",MAX(0,CEILING(H465,1)-IFERROR(VLOOKUP(B465,Merchant_Rates!$A:$D,4,FALSE),3))*Rules!$B$4)</x:f>
      </x:c>
      <x:c r="K465" s="48" t="str">
        <x:f>IF(B465="","",G465+I465+J465)</x:f>
      </x:c>
    </x:row>
    <x:row r="466">
      <x:c r="A466" s="40" t="str">
        <x:f>IF(B466="","",ROW()-4)</x:f>
      </x:c>
      <x:c r="B466" s="40"/>
      <x:c r="C466" s="40"/>
      <x:c r="D466" s="40"/>
      <x:c r="E466" s="40"/>
      <x:c r="F466" s="40"/>
      <x:c r="G466" s="44"/>
      <x:c r="H466" s="46"/>
      <x:c r="I466" s="48" t="str">
        <x:f>IF(B466="","",IFERROR(VLOOKUP(B466,Merchant_Rates!$A:$D,3,FALSE),4000))</x:f>
      </x:c>
      <x:c r="J466" s="48" t="str">
        <x:f>IF(B466="","",MAX(0,CEILING(H466,1)-IFERROR(VLOOKUP(B466,Merchant_Rates!$A:$D,4,FALSE),3))*Rules!$B$4)</x:f>
      </x:c>
      <x:c r="K466" s="48" t="str">
        <x:f>IF(B466="","",G466+I466+J466)</x:f>
      </x:c>
    </x:row>
    <x:row r="467">
      <x:c r="A467" s="40" t="str">
        <x:f>IF(B467="","",ROW()-4)</x:f>
      </x:c>
      <x:c r="B467" s="40"/>
      <x:c r="C467" s="40"/>
      <x:c r="D467" s="40"/>
      <x:c r="E467" s="40"/>
      <x:c r="F467" s="40"/>
      <x:c r="G467" s="44"/>
      <x:c r="H467" s="46"/>
      <x:c r="I467" s="48" t="str">
        <x:f>IF(B467="","",IFERROR(VLOOKUP(B467,Merchant_Rates!$A:$D,3,FALSE),4000))</x:f>
      </x:c>
      <x:c r="J467" s="48" t="str">
        <x:f>IF(B467="","",MAX(0,CEILING(H467,1)-IFERROR(VLOOKUP(B467,Merchant_Rates!$A:$D,4,FALSE),3))*Rules!$B$4)</x:f>
      </x:c>
      <x:c r="K467" s="48" t="str">
        <x:f>IF(B467="","",G467+I467+J467)</x:f>
      </x:c>
    </x:row>
    <x:row r="468">
      <x:c r="A468" s="40" t="str">
        <x:f>IF(B468="","",ROW()-4)</x:f>
      </x:c>
      <x:c r="B468" s="40"/>
      <x:c r="C468" s="40"/>
      <x:c r="D468" s="40"/>
      <x:c r="E468" s="40"/>
      <x:c r="F468" s="40"/>
      <x:c r="G468" s="44"/>
      <x:c r="H468" s="46"/>
      <x:c r="I468" s="48" t="str">
        <x:f>IF(B468="","",IFERROR(VLOOKUP(B468,Merchant_Rates!$A:$D,3,FALSE),4000))</x:f>
      </x:c>
      <x:c r="J468" s="48" t="str">
        <x:f>IF(B468="","",MAX(0,CEILING(H468,1)-IFERROR(VLOOKUP(B468,Merchant_Rates!$A:$D,4,FALSE),3))*Rules!$B$4)</x:f>
      </x:c>
      <x:c r="K468" s="48" t="str">
        <x:f>IF(B468="","",G468+I468+J468)</x:f>
      </x:c>
    </x:row>
    <x:row r="469">
      <x:c r="A469" s="40" t="str">
        <x:f>IF(B469="","",ROW()-4)</x:f>
      </x:c>
      <x:c r="B469" s="40"/>
      <x:c r="C469" s="40"/>
      <x:c r="D469" s="40"/>
      <x:c r="E469" s="40"/>
      <x:c r="F469" s="40"/>
      <x:c r="G469" s="44"/>
      <x:c r="H469" s="46"/>
      <x:c r="I469" s="48" t="str">
        <x:f>IF(B469="","",IFERROR(VLOOKUP(B469,Merchant_Rates!$A:$D,3,FALSE),4000))</x:f>
      </x:c>
      <x:c r="J469" s="48" t="str">
        <x:f>IF(B469="","",MAX(0,CEILING(H469,1)-IFERROR(VLOOKUP(B469,Merchant_Rates!$A:$D,4,FALSE),3))*Rules!$B$4)</x:f>
      </x:c>
      <x:c r="K469" s="48" t="str">
        <x:f>IF(B469="","",G469+I469+J469)</x:f>
      </x:c>
    </x:row>
    <x:row r="470">
      <x:c r="A470" s="40" t="str">
        <x:f>IF(B470="","",ROW()-4)</x:f>
      </x:c>
      <x:c r="B470" s="40"/>
      <x:c r="C470" s="40"/>
      <x:c r="D470" s="40"/>
      <x:c r="E470" s="40"/>
      <x:c r="F470" s="40"/>
      <x:c r="G470" s="44"/>
      <x:c r="H470" s="46"/>
      <x:c r="I470" s="48" t="str">
        <x:f>IF(B470="","",IFERROR(VLOOKUP(B470,Merchant_Rates!$A:$D,3,FALSE),4000))</x:f>
      </x:c>
      <x:c r="J470" s="48" t="str">
        <x:f>IF(B470="","",MAX(0,CEILING(H470,1)-IFERROR(VLOOKUP(B470,Merchant_Rates!$A:$D,4,FALSE),3))*Rules!$B$4)</x:f>
      </x:c>
      <x:c r="K470" s="48" t="str">
        <x:f>IF(B470="","",G470+I470+J470)</x:f>
      </x:c>
    </x:row>
    <x:row r="471">
      <x:c r="A471" s="40" t="str">
        <x:f>IF(B471="","",ROW()-4)</x:f>
      </x:c>
      <x:c r="B471" s="40"/>
      <x:c r="C471" s="40"/>
      <x:c r="D471" s="40"/>
      <x:c r="E471" s="40"/>
      <x:c r="F471" s="40"/>
      <x:c r="G471" s="44"/>
      <x:c r="H471" s="46"/>
      <x:c r="I471" s="48" t="str">
        <x:f>IF(B471="","",IFERROR(VLOOKUP(B471,Merchant_Rates!$A:$D,3,FALSE),4000))</x:f>
      </x:c>
      <x:c r="J471" s="48" t="str">
        <x:f>IF(B471="","",MAX(0,CEILING(H471,1)-IFERROR(VLOOKUP(B471,Merchant_Rates!$A:$D,4,FALSE),3))*Rules!$B$4)</x:f>
      </x:c>
      <x:c r="K471" s="48" t="str">
        <x:f>IF(B471="","",G471+I471+J471)</x:f>
      </x:c>
    </x:row>
    <x:row r="472">
      <x:c r="A472" s="40" t="str">
        <x:f>IF(B472="","",ROW()-4)</x:f>
      </x:c>
      <x:c r="B472" s="40"/>
      <x:c r="C472" s="40"/>
      <x:c r="D472" s="40"/>
      <x:c r="E472" s="40"/>
      <x:c r="F472" s="40"/>
      <x:c r="G472" s="44"/>
      <x:c r="H472" s="46"/>
      <x:c r="I472" s="48" t="str">
        <x:f>IF(B472="","",IFERROR(VLOOKUP(B472,Merchant_Rates!$A:$D,3,FALSE),4000))</x:f>
      </x:c>
      <x:c r="J472" s="48" t="str">
        <x:f>IF(B472="","",MAX(0,CEILING(H472,1)-IFERROR(VLOOKUP(B472,Merchant_Rates!$A:$D,4,FALSE),3))*Rules!$B$4)</x:f>
      </x:c>
      <x:c r="K472" s="48" t="str">
        <x:f>IF(B472="","",G472+I472+J472)</x:f>
      </x:c>
    </x:row>
    <x:row r="473">
      <x:c r="A473" s="40" t="str">
        <x:f>IF(B473="","",ROW()-4)</x:f>
      </x:c>
      <x:c r="B473" s="40"/>
      <x:c r="C473" s="40"/>
      <x:c r="D473" s="40"/>
      <x:c r="E473" s="40"/>
      <x:c r="F473" s="40"/>
      <x:c r="G473" s="44"/>
      <x:c r="H473" s="46"/>
      <x:c r="I473" s="48" t="str">
        <x:f>IF(B473="","",IFERROR(VLOOKUP(B473,Merchant_Rates!$A:$D,3,FALSE),4000))</x:f>
      </x:c>
      <x:c r="J473" s="48" t="str">
        <x:f>IF(B473="","",MAX(0,CEILING(H473,1)-IFERROR(VLOOKUP(B473,Merchant_Rates!$A:$D,4,FALSE),3))*Rules!$B$4)</x:f>
      </x:c>
      <x:c r="K473" s="48" t="str">
        <x:f>IF(B473="","",G473+I473+J473)</x:f>
      </x:c>
    </x:row>
    <x:row r="474">
      <x:c r="A474" s="40" t="str">
        <x:f>IF(B474="","",ROW()-4)</x:f>
      </x:c>
      <x:c r="B474" s="40"/>
      <x:c r="C474" s="40"/>
      <x:c r="D474" s="40"/>
      <x:c r="E474" s="40"/>
      <x:c r="F474" s="40"/>
      <x:c r="G474" s="44"/>
      <x:c r="H474" s="46"/>
      <x:c r="I474" s="48" t="str">
        <x:f>IF(B474="","",IFERROR(VLOOKUP(B474,Merchant_Rates!$A:$D,3,FALSE),4000))</x:f>
      </x:c>
      <x:c r="J474" s="48" t="str">
        <x:f>IF(B474="","",MAX(0,CEILING(H474,1)-IFERROR(VLOOKUP(B474,Merchant_Rates!$A:$D,4,FALSE),3))*Rules!$B$4)</x:f>
      </x:c>
      <x:c r="K474" s="48" t="str">
        <x:f>IF(B474="","",G474+I474+J474)</x:f>
      </x:c>
    </x:row>
    <x:row r="475">
      <x:c r="A475" s="40" t="str">
        <x:f>IF(B475="","",ROW()-4)</x:f>
      </x:c>
      <x:c r="B475" s="40"/>
      <x:c r="C475" s="40"/>
      <x:c r="D475" s="40"/>
      <x:c r="E475" s="40"/>
      <x:c r="F475" s="40"/>
      <x:c r="G475" s="44"/>
      <x:c r="H475" s="46"/>
      <x:c r="I475" s="48" t="str">
        <x:f>IF(B475="","",IFERROR(VLOOKUP(B475,Merchant_Rates!$A:$D,3,FALSE),4000))</x:f>
      </x:c>
      <x:c r="J475" s="48" t="str">
        <x:f>IF(B475="","",MAX(0,CEILING(H475,1)-IFERROR(VLOOKUP(B475,Merchant_Rates!$A:$D,4,FALSE),3))*Rules!$B$4)</x:f>
      </x:c>
      <x:c r="K475" s="48" t="str">
        <x:f>IF(B475="","",G475+I475+J475)</x:f>
      </x:c>
    </x:row>
    <x:row r="476">
      <x:c r="A476" s="40" t="str">
        <x:f>IF(B476="","",ROW()-4)</x:f>
      </x:c>
      <x:c r="B476" s="40"/>
      <x:c r="C476" s="40"/>
      <x:c r="D476" s="40"/>
      <x:c r="E476" s="40"/>
      <x:c r="F476" s="40"/>
      <x:c r="G476" s="44"/>
      <x:c r="H476" s="46"/>
      <x:c r="I476" s="48" t="str">
        <x:f>IF(B476="","",IFERROR(VLOOKUP(B476,Merchant_Rates!$A:$D,3,FALSE),4000))</x:f>
      </x:c>
      <x:c r="J476" s="48" t="str">
        <x:f>IF(B476="","",MAX(0,CEILING(H476,1)-IFERROR(VLOOKUP(B476,Merchant_Rates!$A:$D,4,FALSE),3))*Rules!$B$4)</x:f>
      </x:c>
      <x:c r="K476" s="48" t="str">
        <x:f>IF(B476="","",G476+I476+J476)</x:f>
      </x:c>
    </x:row>
    <x:row r="477">
      <x:c r="A477" s="40" t="str">
        <x:f>IF(B477="","",ROW()-4)</x:f>
      </x:c>
      <x:c r="B477" s="40"/>
      <x:c r="C477" s="40"/>
      <x:c r="D477" s="40"/>
      <x:c r="E477" s="40"/>
      <x:c r="F477" s="40"/>
      <x:c r="G477" s="44"/>
      <x:c r="H477" s="46"/>
      <x:c r="I477" s="48" t="str">
        <x:f>IF(B477="","",IFERROR(VLOOKUP(B477,Merchant_Rates!$A:$D,3,FALSE),4000))</x:f>
      </x:c>
      <x:c r="J477" s="48" t="str">
        <x:f>IF(B477="","",MAX(0,CEILING(H477,1)-IFERROR(VLOOKUP(B477,Merchant_Rates!$A:$D,4,FALSE),3))*Rules!$B$4)</x:f>
      </x:c>
      <x:c r="K477" s="48" t="str">
        <x:f>IF(B477="","",G477+I477+J477)</x:f>
      </x:c>
    </x:row>
    <x:row r="478">
      <x:c r="A478" s="40" t="str">
        <x:f>IF(B478="","",ROW()-4)</x:f>
      </x:c>
      <x:c r="B478" s="40"/>
      <x:c r="C478" s="40"/>
      <x:c r="D478" s="40"/>
      <x:c r="E478" s="40"/>
      <x:c r="F478" s="40"/>
      <x:c r="G478" s="44"/>
      <x:c r="H478" s="46"/>
      <x:c r="I478" s="48" t="str">
        <x:f>IF(B478="","",IFERROR(VLOOKUP(B478,Merchant_Rates!$A:$D,3,FALSE),4000))</x:f>
      </x:c>
      <x:c r="J478" s="48" t="str">
        <x:f>IF(B478="","",MAX(0,CEILING(H478,1)-IFERROR(VLOOKUP(B478,Merchant_Rates!$A:$D,4,FALSE),3))*Rules!$B$4)</x:f>
      </x:c>
      <x:c r="K478" s="48" t="str">
        <x:f>IF(B478="","",G478+I478+J478)</x:f>
      </x:c>
    </x:row>
    <x:row r="479">
      <x:c r="A479" s="40" t="str">
        <x:f>IF(B479="","",ROW()-4)</x:f>
      </x:c>
      <x:c r="B479" s="40"/>
      <x:c r="C479" s="40"/>
      <x:c r="D479" s="40"/>
      <x:c r="E479" s="40"/>
      <x:c r="F479" s="40"/>
      <x:c r="G479" s="44"/>
      <x:c r="H479" s="46"/>
      <x:c r="I479" s="48" t="str">
        <x:f>IF(B479="","",IFERROR(VLOOKUP(B479,Merchant_Rates!$A:$D,3,FALSE),4000))</x:f>
      </x:c>
      <x:c r="J479" s="48" t="str">
        <x:f>IF(B479="","",MAX(0,CEILING(H479,1)-IFERROR(VLOOKUP(B479,Merchant_Rates!$A:$D,4,FALSE),3))*Rules!$B$4)</x:f>
      </x:c>
      <x:c r="K479" s="48" t="str">
        <x:f>IF(B479="","",G479+I479+J479)</x:f>
      </x:c>
    </x:row>
    <x:row r="480">
      <x:c r="A480" s="40" t="str">
        <x:f>IF(B480="","",ROW()-4)</x:f>
      </x:c>
      <x:c r="B480" s="40"/>
      <x:c r="C480" s="40"/>
      <x:c r="D480" s="40"/>
      <x:c r="E480" s="40"/>
      <x:c r="F480" s="40"/>
      <x:c r="G480" s="44"/>
      <x:c r="H480" s="46"/>
      <x:c r="I480" s="48" t="str">
        <x:f>IF(B480="","",IFERROR(VLOOKUP(B480,Merchant_Rates!$A:$D,3,FALSE),4000))</x:f>
      </x:c>
      <x:c r="J480" s="48" t="str">
        <x:f>IF(B480="","",MAX(0,CEILING(H480,1)-IFERROR(VLOOKUP(B480,Merchant_Rates!$A:$D,4,FALSE),3))*Rules!$B$4)</x:f>
      </x:c>
      <x:c r="K480" s="48" t="str">
        <x:f>IF(B480="","",G480+I480+J480)</x:f>
      </x:c>
    </x:row>
    <x:row r="481">
      <x:c r="A481" s="40" t="str">
        <x:f>IF(B481="","",ROW()-4)</x:f>
      </x:c>
      <x:c r="B481" s="40"/>
      <x:c r="C481" s="40"/>
      <x:c r="D481" s="40"/>
      <x:c r="E481" s="40"/>
      <x:c r="F481" s="40"/>
      <x:c r="G481" s="44"/>
      <x:c r="H481" s="46"/>
      <x:c r="I481" s="48" t="str">
        <x:f>IF(B481="","",IFERROR(VLOOKUP(B481,Merchant_Rates!$A:$D,3,FALSE),4000))</x:f>
      </x:c>
      <x:c r="J481" s="48" t="str">
        <x:f>IF(B481="","",MAX(0,CEILING(H481,1)-IFERROR(VLOOKUP(B481,Merchant_Rates!$A:$D,4,FALSE),3))*Rules!$B$4)</x:f>
      </x:c>
      <x:c r="K481" s="48" t="str">
        <x:f>IF(B481="","",G481+I481+J481)</x:f>
      </x:c>
    </x:row>
    <x:row r="482">
      <x:c r="A482" s="40" t="str">
        <x:f>IF(B482="","",ROW()-4)</x:f>
      </x:c>
      <x:c r="B482" s="40"/>
      <x:c r="C482" s="40"/>
      <x:c r="D482" s="40"/>
      <x:c r="E482" s="40"/>
      <x:c r="F482" s="40"/>
      <x:c r="G482" s="44"/>
      <x:c r="H482" s="46"/>
      <x:c r="I482" s="48" t="str">
        <x:f>IF(B482="","",IFERROR(VLOOKUP(B482,Merchant_Rates!$A:$D,3,FALSE),4000))</x:f>
      </x:c>
      <x:c r="J482" s="48" t="str">
        <x:f>IF(B482="","",MAX(0,CEILING(H482,1)-IFERROR(VLOOKUP(B482,Merchant_Rates!$A:$D,4,FALSE),3))*Rules!$B$4)</x:f>
      </x:c>
      <x:c r="K482" s="48" t="str">
        <x:f>IF(B482="","",G482+I482+J482)</x:f>
      </x:c>
    </x:row>
    <x:row r="483">
      <x:c r="A483" s="40" t="str">
        <x:f>IF(B483="","",ROW()-4)</x:f>
      </x:c>
      <x:c r="B483" s="40"/>
      <x:c r="C483" s="40"/>
      <x:c r="D483" s="40"/>
      <x:c r="E483" s="40"/>
      <x:c r="F483" s="40"/>
      <x:c r="G483" s="44"/>
      <x:c r="H483" s="46"/>
      <x:c r="I483" s="48" t="str">
        <x:f>IF(B483="","",IFERROR(VLOOKUP(B483,Merchant_Rates!$A:$D,3,FALSE),4000))</x:f>
      </x:c>
      <x:c r="J483" s="48" t="str">
        <x:f>IF(B483="","",MAX(0,CEILING(H483,1)-IFERROR(VLOOKUP(B483,Merchant_Rates!$A:$D,4,FALSE),3))*Rules!$B$4)</x:f>
      </x:c>
      <x:c r="K483" s="48" t="str">
        <x:f>IF(B483="","",G483+I483+J483)</x:f>
      </x:c>
    </x:row>
    <x:row r="484">
      <x:c r="A484" s="40" t="str">
        <x:f>IF(B484="","",ROW()-4)</x:f>
      </x:c>
      <x:c r="B484" s="40"/>
      <x:c r="C484" s="40"/>
      <x:c r="D484" s="40"/>
      <x:c r="E484" s="40"/>
      <x:c r="F484" s="40"/>
      <x:c r="G484" s="44"/>
      <x:c r="H484" s="46"/>
      <x:c r="I484" s="48" t="str">
        <x:f>IF(B484="","",IFERROR(VLOOKUP(B484,Merchant_Rates!$A:$D,3,FALSE),4000))</x:f>
      </x:c>
      <x:c r="J484" s="48" t="str">
        <x:f>IF(B484="","",MAX(0,CEILING(H484,1)-IFERROR(VLOOKUP(B484,Merchant_Rates!$A:$D,4,FALSE),3))*Rules!$B$4)</x:f>
      </x:c>
      <x:c r="K484" s="48" t="str">
        <x:f>IF(B484="","",G484+I484+J484)</x:f>
      </x:c>
    </x:row>
    <x:row r="485">
      <x:c r="A485" s="40" t="str">
        <x:f>IF(B485="","",ROW()-4)</x:f>
      </x:c>
      <x:c r="B485" s="40"/>
      <x:c r="C485" s="40"/>
      <x:c r="D485" s="40"/>
      <x:c r="E485" s="40"/>
      <x:c r="F485" s="40"/>
      <x:c r="G485" s="44"/>
      <x:c r="H485" s="46"/>
      <x:c r="I485" s="48" t="str">
        <x:f>IF(B485="","",IFERROR(VLOOKUP(B485,Merchant_Rates!$A:$D,3,FALSE),4000))</x:f>
      </x:c>
      <x:c r="J485" s="48" t="str">
        <x:f>IF(B485="","",MAX(0,CEILING(H485,1)-IFERROR(VLOOKUP(B485,Merchant_Rates!$A:$D,4,FALSE),3))*Rules!$B$4)</x:f>
      </x:c>
      <x:c r="K485" s="48" t="str">
        <x:f>IF(B485="","",G485+I485+J485)</x:f>
      </x:c>
    </x:row>
    <x:row r="486">
      <x:c r="A486" s="40" t="str">
        <x:f>IF(B486="","",ROW()-4)</x:f>
      </x:c>
      <x:c r="B486" s="40"/>
      <x:c r="C486" s="40"/>
      <x:c r="D486" s="40"/>
      <x:c r="E486" s="40"/>
      <x:c r="F486" s="40"/>
      <x:c r="G486" s="44"/>
      <x:c r="H486" s="46"/>
      <x:c r="I486" s="48" t="str">
        <x:f>IF(B486="","",IFERROR(VLOOKUP(B486,Merchant_Rates!$A:$D,3,FALSE),4000))</x:f>
      </x:c>
      <x:c r="J486" s="48" t="str">
        <x:f>IF(B486="","",MAX(0,CEILING(H486,1)-IFERROR(VLOOKUP(B486,Merchant_Rates!$A:$D,4,FALSE),3))*Rules!$B$4)</x:f>
      </x:c>
      <x:c r="K486" s="48" t="str">
        <x:f>IF(B486="","",G486+I486+J486)</x:f>
      </x:c>
    </x:row>
    <x:row r="487">
      <x:c r="A487" s="40" t="str">
        <x:f>IF(B487="","",ROW()-4)</x:f>
      </x:c>
      <x:c r="B487" s="40"/>
      <x:c r="C487" s="40"/>
      <x:c r="D487" s="40"/>
      <x:c r="E487" s="40"/>
      <x:c r="F487" s="40"/>
      <x:c r="G487" s="44"/>
      <x:c r="H487" s="46"/>
      <x:c r="I487" s="48" t="str">
        <x:f>IF(B487="","",IFERROR(VLOOKUP(B487,Merchant_Rates!$A:$D,3,FALSE),4000))</x:f>
      </x:c>
      <x:c r="J487" s="48" t="str">
        <x:f>IF(B487="","",MAX(0,CEILING(H487,1)-IFERROR(VLOOKUP(B487,Merchant_Rates!$A:$D,4,FALSE),3))*Rules!$B$4)</x:f>
      </x:c>
      <x:c r="K487" s="48" t="str">
        <x:f>IF(B487="","",G487+I487+J487)</x:f>
      </x:c>
    </x:row>
    <x:row r="488">
      <x:c r="A488" s="40" t="str">
        <x:f>IF(B488="","",ROW()-4)</x:f>
      </x:c>
      <x:c r="B488" s="40"/>
      <x:c r="C488" s="40"/>
      <x:c r="D488" s="40"/>
      <x:c r="E488" s="40"/>
      <x:c r="F488" s="40"/>
      <x:c r="G488" s="44"/>
      <x:c r="H488" s="46"/>
      <x:c r="I488" s="48" t="str">
        <x:f>IF(B488="","",IFERROR(VLOOKUP(B488,Merchant_Rates!$A:$D,3,FALSE),4000))</x:f>
      </x:c>
      <x:c r="J488" s="48" t="str">
        <x:f>IF(B488="","",MAX(0,CEILING(H488,1)-IFERROR(VLOOKUP(B488,Merchant_Rates!$A:$D,4,FALSE),3))*Rules!$B$4)</x:f>
      </x:c>
      <x:c r="K488" s="48" t="str">
        <x:f>IF(B488="","",G488+I488+J488)</x:f>
      </x:c>
    </x:row>
    <x:row r="489">
      <x:c r="A489" s="40" t="str">
        <x:f>IF(B489="","",ROW()-4)</x:f>
      </x:c>
      <x:c r="B489" s="40"/>
      <x:c r="C489" s="40"/>
      <x:c r="D489" s="40"/>
      <x:c r="E489" s="40"/>
      <x:c r="F489" s="40"/>
      <x:c r="G489" s="44"/>
      <x:c r="H489" s="46"/>
      <x:c r="I489" s="48" t="str">
        <x:f>IF(B489="","",IFERROR(VLOOKUP(B489,Merchant_Rates!$A:$D,3,FALSE),4000))</x:f>
      </x:c>
      <x:c r="J489" s="48" t="str">
        <x:f>IF(B489="","",MAX(0,CEILING(H489,1)-IFERROR(VLOOKUP(B489,Merchant_Rates!$A:$D,4,FALSE),3))*Rules!$B$4)</x:f>
      </x:c>
      <x:c r="K489" s="48" t="str">
        <x:f>IF(B489="","",G489+I489+J489)</x:f>
      </x:c>
    </x:row>
    <x:row r="490">
      <x:c r="A490" s="40" t="str">
        <x:f>IF(B490="","",ROW()-4)</x:f>
      </x:c>
      <x:c r="B490" s="40"/>
      <x:c r="C490" s="40"/>
      <x:c r="D490" s="40"/>
      <x:c r="E490" s="40"/>
      <x:c r="F490" s="40"/>
      <x:c r="G490" s="44"/>
      <x:c r="H490" s="46"/>
      <x:c r="I490" s="48" t="str">
        <x:f>IF(B490="","",IFERROR(VLOOKUP(B490,Merchant_Rates!$A:$D,3,FALSE),4000))</x:f>
      </x:c>
      <x:c r="J490" s="48" t="str">
        <x:f>IF(B490="","",MAX(0,CEILING(H490,1)-IFERROR(VLOOKUP(B490,Merchant_Rates!$A:$D,4,FALSE),3))*Rules!$B$4)</x:f>
      </x:c>
      <x:c r="K490" s="48" t="str">
        <x:f>IF(B490="","",G490+I490+J490)</x:f>
      </x:c>
    </x:row>
    <x:row r="491">
      <x:c r="A491" s="40" t="str">
        <x:f>IF(B491="","",ROW()-4)</x:f>
      </x:c>
      <x:c r="B491" s="40"/>
      <x:c r="C491" s="40"/>
      <x:c r="D491" s="40"/>
      <x:c r="E491" s="40"/>
      <x:c r="F491" s="40"/>
      <x:c r="G491" s="44"/>
      <x:c r="H491" s="46"/>
      <x:c r="I491" s="48" t="str">
        <x:f>IF(B491="","",IFERROR(VLOOKUP(B491,Merchant_Rates!$A:$D,3,FALSE),4000))</x:f>
      </x:c>
      <x:c r="J491" s="48" t="str">
        <x:f>IF(B491="","",MAX(0,CEILING(H491,1)-IFERROR(VLOOKUP(B491,Merchant_Rates!$A:$D,4,FALSE),3))*Rules!$B$4)</x:f>
      </x:c>
      <x:c r="K491" s="48" t="str">
        <x:f>IF(B491="","",G491+I491+J491)</x:f>
      </x:c>
    </x:row>
    <x:row r="492">
      <x:c r="A492" s="40" t="str">
        <x:f>IF(B492="","",ROW()-4)</x:f>
      </x:c>
      <x:c r="B492" s="40"/>
      <x:c r="C492" s="40"/>
      <x:c r="D492" s="40"/>
      <x:c r="E492" s="40"/>
      <x:c r="F492" s="40"/>
      <x:c r="G492" s="44"/>
      <x:c r="H492" s="46"/>
      <x:c r="I492" s="48" t="str">
        <x:f>IF(B492="","",IFERROR(VLOOKUP(B492,Merchant_Rates!$A:$D,3,FALSE),4000))</x:f>
      </x:c>
      <x:c r="J492" s="48" t="str">
        <x:f>IF(B492="","",MAX(0,CEILING(H492,1)-IFERROR(VLOOKUP(B492,Merchant_Rates!$A:$D,4,FALSE),3))*Rules!$B$4)</x:f>
      </x:c>
      <x:c r="K492" s="48" t="str">
        <x:f>IF(B492="","",G492+I492+J492)</x:f>
      </x:c>
    </x:row>
    <x:row r="493">
      <x:c r="A493" s="40" t="str">
        <x:f>IF(B493="","",ROW()-4)</x:f>
      </x:c>
      <x:c r="B493" s="40"/>
      <x:c r="C493" s="40"/>
      <x:c r="D493" s="40"/>
      <x:c r="E493" s="40"/>
      <x:c r="F493" s="40"/>
      <x:c r="G493" s="44"/>
      <x:c r="H493" s="46"/>
      <x:c r="I493" s="48" t="str">
        <x:f>IF(B493="","",IFERROR(VLOOKUP(B493,Merchant_Rates!$A:$D,3,FALSE),4000))</x:f>
      </x:c>
      <x:c r="J493" s="48" t="str">
        <x:f>IF(B493="","",MAX(0,CEILING(H493,1)-IFERROR(VLOOKUP(B493,Merchant_Rates!$A:$D,4,FALSE),3))*Rules!$B$4)</x:f>
      </x:c>
      <x:c r="K493" s="48" t="str">
        <x:f>IF(B493="","",G493+I493+J493)</x:f>
      </x:c>
    </x:row>
    <x:row r="494">
      <x:c r="A494" s="40" t="str">
        <x:f>IF(B494="","",ROW()-4)</x:f>
      </x:c>
      <x:c r="B494" s="40"/>
      <x:c r="C494" s="40"/>
      <x:c r="D494" s="40"/>
      <x:c r="E494" s="40"/>
      <x:c r="F494" s="40"/>
      <x:c r="G494" s="44"/>
      <x:c r="H494" s="46"/>
      <x:c r="I494" s="48" t="str">
        <x:f>IF(B494="","",IFERROR(VLOOKUP(B494,Merchant_Rates!$A:$D,3,FALSE),4000))</x:f>
      </x:c>
      <x:c r="J494" s="48" t="str">
        <x:f>IF(B494="","",MAX(0,CEILING(H494,1)-IFERROR(VLOOKUP(B494,Merchant_Rates!$A:$D,4,FALSE),3))*Rules!$B$4)</x:f>
      </x:c>
      <x:c r="K494" s="48" t="str">
        <x:f>IF(B494="","",G494+I494+J494)</x:f>
      </x:c>
    </x:row>
    <x:row r="495">
      <x:c r="A495" s="40" t="str">
        <x:f>IF(B495="","",ROW()-4)</x:f>
      </x:c>
      <x:c r="B495" s="40"/>
      <x:c r="C495" s="40"/>
      <x:c r="D495" s="40"/>
      <x:c r="E495" s="40"/>
      <x:c r="F495" s="40"/>
      <x:c r="G495" s="44"/>
      <x:c r="H495" s="46"/>
      <x:c r="I495" s="48" t="str">
        <x:f>IF(B495="","",IFERROR(VLOOKUP(B495,Merchant_Rates!$A:$D,3,FALSE),4000))</x:f>
      </x:c>
      <x:c r="J495" s="48" t="str">
        <x:f>IF(B495="","",MAX(0,CEILING(H495,1)-IFERROR(VLOOKUP(B495,Merchant_Rates!$A:$D,4,FALSE),3))*Rules!$B$4)</x:f>
      </x:c>
      <x:c r="K495" s="48" t="str">
        <x:f>IF(B495="","",G495+I495+J495)</x:f>
      </x:c>
    </x:row>
    <x:row r="496">
      <x:c r="A496" s="40" t="str">
        <x:f>IF(B496="","",ROW()-4)</x:f>
      </x:c>
      <x:c r="B496" s="40"/>
      <x:c r="C496" s="40"/>
      <x:c r="D496" s="40"/>
      <x:c r="E496" s="40"/>
      <x:c r="F496" s="40"/>
      <x:c r="G496" s="44"/>
      <x:c r="H496" s="46"/>
      <x:c r="I496" s="48" t="str">
        <x:f>IF(B496="","",IFERROR(VLOOKUP(B496,Merchant_Rates!$A:$D,3,FALSE),4000))</x:f>
      </x:c>
      <x:c r="J496" s="48" t="str">
        <x:f>IF(B496="","",MAX(0,CEILING(H496,1)-IFERROR(VLOOKUP(B496,Merchant_Rates!$A:$D,4,FALSE),3))*Rules!$B$4)</x:f>
      </x:c>
      <x:c r="K496" s="48" t="str">
        <x:f>IF(B496="","",G496+I496+J496)</x:f>
      </x:c>
    </x:row>
    <x:row r="497">
      <x:c r="A497" s="40" t="str">
        <x:f>IF(B497="","",ROW()-4)</x:f>
      </x:c>
      <x:c r="B497" s="40"/>
      <x:c r="C497" s="40"/>
      <x:c r="D497" s="40"/>
      <x:c r="E497" s="40"/>
      <x:c r="F497" s="40"/>
      <x:c r="G497" s="44"/>
      <x:c r="H497" s="46"/>
      <x:c r="I497" s="48" t="str">
        <x:f>IF(B497="","",IFERROR(VLOOKUP(B497,Merchant_Rates!$A:$D,3,FALSE),4000))</x:f>
      </x:c>
      <x:c r="J497" s="48" t="str">
        <x:f>IF(B497="","",MAX(0,CEILING(H497,1)-IFERROR(VLOOKUP(B497,Merchant_Rates!$A:$D,4,FALSE),3))*Rules!$B$4)</x:f>
      </x:c>
      <x:c r="K497" s="48" t="str">
        <x:f>IF(B497="","",G497+I497+J497)</x:f>
      </x:c>
    </x:row>
    <x:row r="498">
      <x:c r="A498" s="40" t="str">
        <x:f>IF(B498="","",ROW()-4)</x:f>
      </x:c>
      <x:c r="B498" s="40"/>
      <x:c r="C498" s="40"/>
      <x:c r="D498" s="40"/>
      <x:c r="E498" s="40"/>
      <x:c r="F498" s="40"/>
      <x:c r="G498" s="44"/>
      <x:c r="H498" s="46"/>
      <x:c r="I498" s="48" t="str">
        <x:f>IF(B498="","",IFERROR(VLOOKUP(B498,Merchant_Rates!$A:$D,3,FALSE),4000))</x:f>
      </x:c>
      <x:c r="J498" s="48" t="str">
        <x:f>IF(B498="","",MAX(0,CEILING(H498,1)-IFERROR(VLOOKUP(B498,Merchant_Rates!$A:$D,4,FALSE),3))*Rules!$B$4)</x:f>
      </x:c>
      <x:c r="K498" s="48" t="str">
        <x:f>IF(B498="","",G498+I498+J498)</x:f>
      </x:c>
    </x:row>
    <x:row r="499">
      <x:c r="A499" s="40" t="str">
        <x:f>IF(B499="","",ROW()-4)</x:f>
      </x:c>
      <x:c r="B499" s="40"/>
      <x:c r="C499" s="40"/>
      <x:c r="D499" s="40"/>
      <x:c r="E499" s="40"/>
      <x:c r="F499" s="40"/>
      <x:c r="G499" s="44"/>
      <x:c r="H499" s="46"/>
      <x:c r="I499" s="48" t="str">
        <x:f>IF(B499="","",IFERROR(VLOOKUP(B499,Merchant_Rates!$A:$D,3,FALSE),4000))</x:f>
      </x:c>
      <x:c r="J499" s="48" t="str">
        <x:f>IF(B499="","",MAX(0,CEILING(H499,1)-IFERROR(VLOOKUP(B499,Merchant_Rates!$A:$D,4,FALSE),3))*Rules!$B$4)</x:f>
      </x:c>
      <x:c r="K499" s="48" t="str">
        <x:f>IF(B499="","",G499+I499+J499)</x:f>
      </x:c>
    </x:row>
    <x:row r="500">
      <x:c r="A500" s="40" t="str">
        <x:f>IF(B500="","",ROW()-4)</x:f>
      </x:c>
      <x:c r="B500" s="40"/>
      <x:c r="C500" s="40"/>
      <x:c r="D500" s="40"/>
      <x:c r="E500" s="40"/>
      <x:c r="F500" s="40"/>
      <x:c r="G500" s="44"/>
      <x:c r="H500" s="46"/>
      <x:c r="I500" s="48" t="str">
        <x:f>IF(B500="","",IFERROR(VLOOKUP(B500,Merchant_Rates!$A:$D,3,FALSE),4000))</x:f>
      </x:c>
      <x:c r="J500" s="48" t="str">
        <x:f>IF(B500="","",MAX(0,CEILING(H500,1)-IFERROR(VLOOKUP(B500,Merchant_Rates!$A:$D,4,FALSE),3))*Rules!$B$4)</x:f>
      </x:c>
      <x:c r="K500" s="48" t="str">
        <x:f>IF(B500="","",G500+I500+J500)</x:f>
      </x:c>
    </x:row>
    <x:row r="501">
      <x:c r="A501" s="40" t="str">
        <x:f>IF(B501="","",ROW()-4)</x:f>
      </x:c>
      <x:c r="B501" s="40"/>
      <x:c r="C501" s="40"/>
      <x:c r="D501" s="40"/>
      <x:c r="E501" s="40"/>
      <x:c r="F501" s="40"/>
      <x:c r="G501" s="44"/>
      <x:c r="H501" s="46"/>
      <x:c r="I501" s="48" t="str">
        <x:f>IF(B501="","",IFERROR(VLOOKUP(B501,Merchant_Rates!$A:$D,3,FALSE),4000))</x:f>
      </x:c>
      <x:c r="J501" s="48" t="str">
        <x:f>IF(B501="","",MAX(0,CEILING(H501,1)-IFERROR(VLOOKUP(B501,Merchant_Rates!$A:$D,4,FALSE),3))*Rules!$B$4)</x:f>
      </x:c>
      <x:c r="K501" s="48" t="str">
        <x:f>IF(B501="","",G501+I501+J501)</x:f>
      </x:c>
    </x:row>
    <x:row r="502">
      <x:c r="A502" s="40" t="str">
        <x:f>IF(B502="","",ROW()-4)</x:f>
      </x:c>
      <x:c r="B502" s="40"/>
      <x:c r="C502" s="40"/>
      <x:c r="D502" s="40"/>
      <x:c r="E502" s="40"/>
      <x:c r="F502" s="40"/>
      <x:c r="G502" s="44"/>
      <x:c r="H502" s="46"/>
      <x:c r="I502" s="48" t="str">
        <x:f>IF(B502="","",IFERROR(VLOOKUP(B502,Merchant_Rates!$A:$D,3,FALSE),4000))</x:f>
      </x:c>
      <x:c r="J502" s="48" t="str">
        <x:f>IF(B502="","",MAX(0,CEILING(H502,1)-IFERROR(VLOOKUP(B502,Merchant_Rates!$A:$D,4,FALSE),3))*Rules!$B$4)</x:f>
      </x:c>
      <x:c r="K502" s="48" t="str">
        <x:f>IF(B502="","",G502+I502+J502)</x:f>
      </x:c>
    </x:row>
    <x:row r="503">
      <x:c r="A503" s="40" t="str">
        <x:f>IF(B503="","",ROW()-4)</x:f>
      </x:c>
      <x:c r="B503" s="40"/>
      <x:c r="C503" s="40"/>
      <x:c r="D503" s="40"/>
      <x:c r="E503" s="40"/>
      <x:c r="F503" s="40"/>
      <x:c r="G503" s="44"/>
      <x:c r="H503" s="46"/>
      <x:c r="I503" s="48" t="str">
        <x:f>IF(B503="","",IFERROR(VLOOKUP(B503,Merchant_Rates!$A:$D,3,FALSE),4000))</x:f>
      </x:c>
      <x:c r="J503" s="48" t="str">
        <x:f>IF(B503="","",MAX(0,CEILING(H503,1)-IFERROR(VLOOKUP(B503,Merchant_Rates!$A:$D,4,FALSE),3))*Rules!$B$4)</x:f>
      </x:c>
      <x:c r="K503" s="48" t="str">
        <x:f>IF(B503="","",G503+I503+J503)</x:f>
      </x:c>
    </x:row>
    <x:row r="504">
      <x:c r="A504" s="40" t="str">
        <x:f>IF(B504="","",ROW()-4)</x:f>
      </x:c>
      <x:c r="B504" s="40"/>
      <x:c r="C504" s="40"/>
      <x:c r="D504" s="40"/>
      <x:c r="E504" s="40"/>
      <x:c r="F504" s="40"/>
      <x:c r="G504" s="44"/>
      <x:c r="H504" s="46"/>
      <x:c r="I504" s="48" t="str">
        <x:f>IF(B504="","",IFERROR(VLOOKUP(B504,Merchant_Rates!$A:$D,3,FALSE),4000))</x:f>
      </x:c>
      <x:c r="J504" s="48" t="str">
        <x:f>IF(B504="","",MAX(0,CEILING(H504,1)-IFERROR(VLOOKUP(B504,Merchant_Rates!$A:$D,4,FALSE),3))*Rules!$B$4)</x:f>
      </x:c>
      <x:c r="K504" s="48" t="str">
        <x:f>IF(B504="","",G504+I504+J504)</x:f>
      </x:c>
    </x:row>
  </x:sheetData>
  <x:mergeCells>
    <x:mergeCell ref="A1:K1"/>
    <x:mergeCell ref="A2:K2"/>
  </x:mergeCells>
  <x:dataValidations count="2">
    <x:dataValidation type="list" sqref="E5:E504">
      <x:formula1>"Yangon,Mandalay,Naypyidaw"</x:formula1>
    </x:dataValidation>
    <x:dataValidation type="list" sqref="B5:B504">
      <x:formula1>Merchant_Rates!$A$2:$A$100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5e0bf95d9246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6" hidden="0" customWidth="1"/>
    <x:col min="3" max="3" width="18" hidden="0" customWidth="1"/>
    <x:col min="4" max="4" width="14" hidden="0" customWidth="1"/>
  </x:cols>
  <x:sheetData>
    <x:row r="1">
      <x:c r="A1" s="30" t="str">
        <x:v>Merchant Name</x:v>
      </x:c>
      <x:c r="B1" s="30" t="str">
        <x:v>Tier</x:v>
      </x:c>
      <x:c r="C1" s="30" t="str">
        <x:v>Delivery Charge</x:v>
      </x:c>
      <x:c r="D1" s="30" t="str">
        <x:v>KG Allowance</x:v>
      </x:c>
    </x:row>
    <x:row r="2">
      <x:c r="A2" t="str">
        <x:v>ABC Online Shop</x:v>
      </x:c>
      <x:c r="B2" t="str">
        <x:v>Standard</x:v>
      </x:c>
      <x:c r="C2" s="50" t="n">
        <x:v>4000</x:v>
      </x:c>
      <x:c r="D2" s="52" t="n">
        <x:v>3</x:v>
      </x:c>
    </x:row>
    <x:row r="3">
      <x:c r="A3" t="str">
        <x:v>Royal Store</x:v>
      </x:c>
      <x:c r="B3" t="str">
        <x:v>Royal</x:v>
      </x:c>
      <x:c r="C3" s="50" t="n">
        <x:v>5000</x:v>
      </x:c>
      <x:c r="D3" s="52" t="n">
        <x:v>5</x:v>
      </x:c>
    </x:row>
    <x:row r="4">
      <x:c r="A4" t="str">
        <x:v>Mandalay Branch Merchant</x:v>
      </x:c>
      <x:c r="B4" t="str">
        <x:v>Standard</x:v>
      </x:c>
      <x:c r="C4" s="50" t="n">
        <x:v>6000</x:v>
      </x:c>
      <x:c r="D4" s="52" t="n">
        <x:v>3</x:v>
      </x:c>
    </x:row>
    <x:row r="5">
      <x:c r="A5" t="str">
        <x:v>Default Merchant</x:v>
      </x:c>
      <x:c r="B5" t="str">
        <x:v>Standard</x:v>
      </x:c>
      <x:c r="C5" s="50" t="n">
        <x:v>4000</x:v>
      </x:c>
      <x:c r="D5" s="52" t="n">
        <x:v>3</x:v>
      </x:c>
    </x:row>
    <x:row r="6">
      <x:c r="A6" t="str">
        <x:v>Branch Office</x:v>
      </x:c>
      <x:c r="B6" t="str">
        <x:v>Royal</x:v>
      </x:c>
      <x:c r="C6" s="50" t="n">
        <x:v>5000</x:v>
      </x:c>
      <x:c r="D6" s="52" t="n">
        <x:v>5</x:v>
      </x:c>
    </x:row>
    <x:row r="7">
      <x:c r="C7" s="50"/>
      <x:c r="D7" s="52"/>
    </x:row>
    <x:row r="8">
      <x:c r="C8" s="50"/>
      <x:c r="D8" s="52"/>
    </x:row>
    <x:row r="9">
      <x:c r="C9" s="50"/>
      <x:c r="D9" s="52"/>
    </x:row>
    <x:row r="10">
      <x:c r="C10" s="50"/>
      <x:c r="D10" s="52"/>
    </x:row>
    <x:row r="11">
      <x:c r="C11" s="50"/>
      <x:c r="D11" s="52"/>
    </x:row>
    <x:row r="12">
      <x:c r="C12" s="50"/>
      <x:c r="D12" s="52"/>
    </x:row>
    <x:row r="13">
      <x:c r="C13" s="50"/>
      <x:c r="D13" s="52"/>
    </x:row>
    <x:row r="14">
      <x:c r="C14" s="50"/>
      <x:c r="D14" s="52"/>
    </x:row>
    <x:row r="15">
      <x:c r="C15" s="50"/>
      <x:c r="D15" s="52"/>
    </x:row>
    <x:row r="16">
      <x:c r="C16" s="50"/>
      <x:c r="D16" s="52"/>
    </x:row>
    <x:row r="17">
      <x:c r="C17" s="50"/>
      <x:c r="D17" s="52"/>
    </x:row>
    <x:row r="18">
      <x:c r="C18" s="50"/>
      <x:c r="D18" s="52"/>
    </x:row>
    <x:row r="19">
      <x:c r="C19" s="50"/>
      <x:c r="D19" s="52"/>
    </x:row>
    <x:row r="20">
      <x:c r="C20" s="50"/>
      <x:c r="D20" s="52"/>
    </x:row>
    <x:row r="21">
      <x:c r="C21" s="50"/>
      <x:c r="D21" s="52"/>
    </x:row>
    <x:row r="22">
      <x:c r="C22" s="50"/>
      <x:c r="D22" s="52"/>
    </x:row>
    <x:row r="23">
      <x:c r="C23" s="50"/>
      <x:c r="D23" s="52"/>
    </x:row>
    <x:row r="24">
      <x:c r="C24" s="50"/>
      <x:c r="D24" s="52"/>
    </x:row>
    <x:row r="25">
      <x:c r="C25" s="50"/>
      <x:c r="D25" s="52"/>
    </x:row>
    <x:row r="26">
      <x:c r="C26" s="50"/>
      <x:c r="D26" s="52"/>
    </x:row>
    <x:row r="27">
      <x:c r="C27" s="50"/>
      <x:c r="D27" s="52"/>
    </x:row>
    <x:row r="28">
      <x:c r="C28" s="50"/>
      <x:c r="D28" s="52"/>
    </x:row>
    <x:row r="29">
      <x:c r="C29" s="50"/>
      <x:c r="D29" s="52"/>
    </x:row>
    <x:row r="30">
      <x:c r="C30" s="50"/>
      <x:c r="D30" s="52"/>
    </x:row>
    <x:row r="31">
      <x:c r="C31" s="50"/>
      <x:c r="D31" s="52"/>
    </x:row>
    <x:row r="32">
      <x:c r="C32" s="50"/>
      <x:c r="D32" s="52"/>
    </x:row>
    <x:row r="33">
      <x:c r="C33" s="50"/>
      <x:c r="D33" s="52"/>
    </x:row>
    <x:row r="34">
      <x:c r="C34" s="50"/>
      <x:c r="D34" s="52"/>
    </x:row>
    <x:row r="35">
      <x:c r="C35" s="50"/>
      <x:c r="D35" s="52"/>
    </x:row>
    <x:row r="36">
      <x:c r="C36" s="50"/>
      <x:c r="D36" s="52"/>
    </x:row>
    <x:row r="37">
      <x:c r="C37" s="50"/>
      <x:c r="D37" s="52"/>
    </x:row>
    <x:row r="38">
      <x:c r="C38" s="50"/>
      <x:c r="D38" s="52"/>
    </x:row>
    <x:row r="39">
      <x:c r="C39" s="50"/>
      <x:c r="D39" s="52"/>
    </x:row>
    <x:row r="40">
      <x:c r="C40" s="50"/>
      <x:c r="D40" s="52"/>
    </x:row>
    <x:row r="41">
      <x:c r="C41" s="50"/>
      <x:c r="D41" s="52"/>
    </x:row>
    <x:row r="42">
      <x:c r="C42" s="50"/>
      <x:c r="D42" s="52"/>
    </x:row>
    <x:row r="43">
      <x:c r="C43" s="50"/>
      <x:c r="D43" s="52"/>
    </x:row>
    <x:row r="44">
      <x:c r="C44" s="50"/>
      <x:c r="D44" s="52"/>
    </x:row>
    <x:row r="45">
      <x:c r="C45" s="50"/>
      <x:c r="D45" s="52"/>
    </x:row>
    <x:row r="46">
      <x:c r="C46" s="50"/>
      <x:c r="D46" s="52"/>
    </x:row>
    <x:row r="47">
      <x:c r="C47" s="50"/>
      <x:c r="D47" s="52"/>
    </x:row>
    <x:row r="48">
      <x:c r="C48" s="50"/>
      <x:c r="D48" s="52"/>
    </x:row>
    <x:row r="49">
      <x:c r="C49" s="50"/>
      <x:c r="D49" s="52"/>
    </x:row>
    <x:row r="50">
      <x:c r="C50" s="50"/>
      <x:c r="D50" s="52"/>
    </x:row>
    <x:row r="51">
      <x:c r="C51" s="50"/>
      <x:c r="D51" s="52"/>
    </x:row>
    <x:row r="52">
      <x:c r="C52" s="50"/>
      <x:c r="D52" s="52"/>
    </x:row>
    <x:row r="53">
      <x:c r="C53" s="50"/>
      <x:c r="D53" s="52"/>
    </x:row>
    <x:row r="54">
      <x:c r="C54" s="50"/>
      <x:c r="D54" s="52"/>
    </x:row>
    <x:row r="55">
      <x:c r="C55" s="50"/>
      <x:c r="D55" s="52"/>
    </x:row>
    <x:row r="56">
      <x:c r="C56" s="50"/>
      <x:c r="D56" s="52"/>
    </x:row>
    <x:row r="57">
      <x:c r="C57" s="50"/>
      <x:c r="D57" s="52"/>
    </x:row>
    <x:row r="58">
      <x:c r="C58" s="50"/>
      <x:c r="D58" s="52"/>
    </x:row>
    <x:row r="59">
      <x:c r="C59" s="50"/>
      <x:c r="D59" s="52"/>
    </x:row>
    <x:row r="60">
      <x:c r="C60" s="50"/>
      <x:c r="D60" s="52"/>
    </x:row>
    <x:row r="61">
      <x:c r="C61" s="50"/>
      <x:c r="D61" s="52"/>
    </x:row>
    <x:row r="62">
      <x:c r="C62" s="50"/>
      <x:c r="D62" s="52"/>
    </x:row>
    <x:row r="63">
      <x:c r="C63" s="50"/>
      <x:c r="D63" s="52"/>
    </x:row>
    <x:row r="64">
      <x:c r="C64" s="50"/>
      <x:c r="D64" s="52"/>
    </x:row>
    <x:row r="65">
      <x:c r="C65" s="50"/>
      <x:c r="D65" s="52"/>
    </x:row>
    <x:row r="66">
      <x:c r="C66" s="50"/>
      <x:c r="D66" s="52"/>
    </x:row>
    <x:row r="67">
      <x:c r="C67" s="50"/>
      <x:c r="D67" s="52"/>
    </x:row>
    <x:row r="68">
      <x:c r="C68" s="50"/>
      <x:c r="D68" s="52"/>
    </x:row>
    <x:row r="69">
      <x:c r="C69" s="50"/>
      <x:c r="D69" s="52"/>
    </x:row>
    <x:row r="70">
      <x:c r="C70" s="50"/>
      <x:c r="D70" s="52"/>
    </x:row>
    <x:row r="71">
      <x:c r="C71" s="50"/>
      <x:c r="D71" s="52"/>
    </x:row>
    <x:row r="72">
      <x:c r="C72" s="50"/>
      <x:c r="D72" s="52"/>
    </x:row>
    <x:row r="73">
      <x:c r="C73" s="50"/>
      <x:c r="D73" s="52"/>
    </x:row>
    <x:row r="74">
      <x:c r="C74" s="50"/>
      <x:c r="D74" s="52"/>
    </x:row>
    <x:row r="75">
      <x:c r="C75" s="50"/>
      <x:c r="D75" s="52"/>
    </x:row>
    <x:row r="76">
      <x:c r="C76" s="50"/>
      <x:c r="D76" s="52"/>
    </x:row>
    <x:row r="77">
      <x:c r="C77" s="50"/>
      <x:c r="D77" s="52"/>
    </x:row>
    <x:row r="78">
      <x:c r="C78" s="50"/>
      <x:c r="D78" s="52"/>
    </x:row>
    <x:row r="79">
      <x:c r="C79" s="50"/>
      <x:c r="D79" s="52"/>
    </x:row>
    <x:row r="80">
      <x:c r="C80" s="50"/>
      <x:c r="D80" s="52"/>
    </x:row>
    <x:row r="81">
      <x:c r="C81" s="50"/>
      <x:c r="D81" s="52"/>
    </x:row>
    <x:row r="82">
      <x:c r="C82" s="50"/>
      <x:c r="D82" s="52"/>
    </x:row>
    <x:row r="83">
      <x:c r="C83" s="50"/>
      <x:c r="D83" s="52"/>
    </x:row>
    <x:row r="84">
      <x:c r="C84" s="50"/>
      <x:c r="D84" s="52"/>
    </x:row>
    <x:row r="85">
      <x:c r="C85" s="50"/>
      <x:c r="D85" s="52"/>
    </x:row>
    <x:row r="86">
      <x:c r="C86" s="50"/>
      <x:c r="D86" s="52"/>
    </x:row>
    <x:row r="87">
      <x:c r="C87" s="50"/>
      <x:c r="D87" s="52"/>
    </x:row>
    <x:row r="88">
      <x:c r="C88" s="50"/>
      <x:c r="D88" s="52"/>
    </x:row>
    <x:row r="89">
      <x:c r="C89" s="50"/>
      <x:c r="D89" s="52"/>
    </x:row>
    <x:row r="90">
      <x:c r="C90" s="50"/>
      <x:c r="D90" s="52"/>
    </x:row>
    <x:row r="91">
      <x:c r="C91" s="50"/>
      <x:c r="D91" s="52"/>
    </x:row>
    <x:row r="92">
      <x:c r="C92" s="50"/>
      <x:c r="D92" s="52"/>
    </x:row>
    <x:row r="93">
      <x:c r="C93" s="50"/>
      <x:c r="D93" s="52"/>
    </x:row>
    <x:row r="94">
      <x:c r="C94" s="50"/>
      <x:c r="D94" s="52"/>
    </x:row>
    <x:row r="95">
      <x:c r="C95" s="50"/>
      <x:c r="D95" s="52"/>
    </x:row>
    <x:row r="96">
      <x:c r="C96" s="50"/>
      <x:c r="D96" s="52"/>
    </x:row>
    <x:row r="97">
      <x:c r="C97" s="50"/>
      <x:c r="D97" s="52"/>
    </x:row>
    <x:row r="98">
      <x:c r="C98" s="50"/>
      <x:c r="D98" s="52"/>
    </x:row>
    <x:row r="99">
      <x:c r="C99" s="50"/>
      <x:c r="D99" s="52"/>
    </x:row>
    <x:row r="100">
      <x:c r="C100" s="50"/>
      <x:c r="D100" s="52"/>
    </x:row>
  </x:sheetData>
  <x:pageMargins left="0.7" right="0.7" top="0.75" bottom="0.75" header="0.3" footer="0.3"/>
  <x:tableParts count="1">
    <x:tablePart xmlns:r="http://schemas.openxmlformats.org/officeDocument/2006/relationships" r:id="Rb055346a4e05418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</x:cols>
  <x:sheetData>
    <x:row r="1">
      <x:c r="A1" s="30" t="str">
        <x:v>Rule</x:v>
      </x:c>
      <x:c r="B1" s="30" t="str">
        <x:v>Value</x:v>
      </x:c>
    </x:row>
    <x:row r="2">
      <x:c r="A2" t="str">
        <x:v>Standard KG Allowance</x:v>
      </x:c>
      <x:c r="B2" t="n">
        <x:v>3</x:v>
      </x:c>
    </x:row>
    <x:row r="3">
      <x:c r="A3" t="str">
        <x:v>Royal KG Allowance</x:v>
      </x:c>
      <x:c r="B3" t="n">
        <x:v>5</x:v>
      </x:c>
    </x:row>
    <x:row r="4">
      <x:c r="A4" t="str">
        <x:v>Extra KG Charge</x:v>
      </x:c>
      <x:c r="B4" t="n">
        <x:v>500</x:v>
      </x:c>
    </x:row>
    <x:row r="5">
      <x:c r="A5" t="str">
        <x:v>Default Delivery Charge</x:v>
      </x:c>
      <x:c r="B5" t="n">
        <x:v>4000</x:v>
      </x:c>
    </x:row>
    <x:row r="6">
      <x:c r="A6" t="str">
        <x:v>Template Version</x:v>
      </x:c>
      <x:c r="B6" t="str">
        <x:v>Go-Live v1</x:v>
      </x:c>
    </x:row>
  </x:sheetData>
  <x:pageMargins left="0.7" right="0.7" top="0.75" bottom="0.75" header="0.3" footer="0.3"/>
  <x:tableParts count="1">
    <x:tablePart xmlns:r="http://schemas.openxmlformats.org/officeDocument/2006/relationships" r:id="R2c2f28f010c34916"/>
  </x:tableParts>
</x:worksheet>
</file>