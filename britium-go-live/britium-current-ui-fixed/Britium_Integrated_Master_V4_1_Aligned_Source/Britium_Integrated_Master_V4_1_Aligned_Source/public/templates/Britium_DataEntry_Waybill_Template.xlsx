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3f4c769c8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 Waybills" sheetId="1" r:id="R2cb7e78cf07a4f55"/>
    <x:sheet xmlns:r="http://schemas.openxmlformats.org/officeDocument/2006/relationships" name="Rules" sheetId="2" r:id="Rb3e3d5acb7ee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6B84B"/>
      <x:name val="Carlito"/>
    </x:font>
    <x:font>
      <x:b/>
      <x:sz val="11"/>
      <x:color rgb="FFF6B84B"/>
      <x:name val="Carlito"/>
    </x:font>
    <x:font>
      <x:b/>
      <x:sz val="11"/>
      <x:color rgb="FFF6B84B"/>
      <x:name val="Arial"/>
    </x:font>
    <x:font>
      <x:sz val="11"/>
      <x:name val="Arial"/>
    </x:font>
    <x:font>
      <x:b/>
      <x:sz val="10"/>
      <x:color rgb="FFF6B84B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223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315200330418d" /><Relationship Type="http://schemas.openxmlformats.org/officeDocument/2006/relationships/theme" Target="/xl/theme/theme1.xml" Id="R76cabf9ce00e4569" /><Relationship Type="http://schemas.openxmlformats.org/officeDocument/2006/relationships/sharedStrings" Target="/xl/sharedStrings.xml" Id="Red66782400634a55" /><Relationship Type="http://schemas.openxmlformats.org/officeDocument/2006/relationships/worksheet" Target="/xl/worksheets/sheet1.xml" Id="R2cb7e78cf07a4f55" /><Relationship Type="http://schemas.openxmlformats.org/officeDocument/2006/relationships/worksheet" Target="/xl/worksheets/sheet2.xml" Id="Rb3e3d5acb7ee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.130000114440918" hidden="0" customWidth="1"/>
    <x:col min="3" max="3" width="13" hidden="0" customWidth="1"/>
    <x:col min="4" max="4" width="6" hidden="0" customWidth="1"/>
    <x:col min="5" max="5" width="13.630000114440918" hidden="0" customWidth="1"/>
    <x:col min="6" max="6" width="13" hidden="0" customWidth="1"/>
    <x:col min="7" max="7" width="13.630000114440918" hidden="0" customWidth="1"/>
    <x:col min="8" max="8" width="10" hidden="0" customWidth="1"/>
    <x:col min="9" max="9" width="15.25" hidden="0" customWidth="1"/>
    <x:col min="10" max="10" width="11.880000114440918" hidden="0" customWidth="1"/>
    <x:col min="11" max="11" width="8.5" hidden="0" customWidth="1"/>
    <x:col min="12" max="12" width="9" hidden="0" customWidth="1"/>
    <x:col min="13" max="13" width="7.880000114440918" hidden="0" customWidth="1"/>
    <x:col min="14" max="14" width="8.75" hidden="0" customWidth="1"/>
    <x:col min="15" max="15" width="11.25" hidden="0" customWidth="1"/>
    <x:col min="16" max="16" width="5.25" hidden="0" customWidth="1"/>
    <x:col min="17" max="17" width="11.630000114440918" hidden="0" customWidth="1"/>
    <x:col min="18" max="18" width="9.630000114440918" hidden="0" customWidth="1"/>
    <x:col min="19" max="19" width="8.630000114440918" hidden="0" customWidth="1"/>
    <x:col min="20" max="20" width="7.630000114440918" hidden="0" customWidth="1"/>
  </x:cols>
  <x:sheetData>
    <x:row r="1" ht="36" customHeight="1">
      <x:c r="A1" s="16" t="str">
        <x:v>Status</x:v>
      </x:c>
      <x:c r="B1" s="16" t="str">
        <x:v>Pickup Date</x:v>
      </x:c>
      <x:c r="C1" s="16" t="str">
        <x:v>Pickup ID</x:v>
      </x:c>
      <x:c r="D1" s="16" t="str">
        <x:v>Way ID</x:v>
      </x:c>
      <x:c r="E1" s="16" t="str">
        <x:v>Merchant</x:v>
      </x:c>
      <x:c r="F1" s="16" t="str">
        <x:v>Recipient Name</x:v>
      </x:c>
      <x:c r="G1" s="16" t="str">
        <x:v>Recipient Phone</x:v>
      </x:c>
      <x:c r="H1" s="16" t="str">
        <x:v>Town</x:v>
      </x:c>
      <x:c r="I1" s="16" t="str">
        <x:v>Recipient Address</x:v>
      </x:c>
      <x:c r="J1" s="16" t="str">
        <x:v>Customer Tier</x:v>
      </x:c>
      <x:c r="K1" s="16" t="str">
        <x:v>Item Price</x:v>
      </x:c>
      <x:c r="L1" s="16" t="str">
        <x:v>Weight KG</x:v>
      </x:c>
      <x:c r="M1" s="16" t="str">
        <x:v>Base Fee</x:v>
      </x:c>
      <x:c r="N1" s="16" t="str">
        <x:v>Surcharge</x:v>
      </x:c>
      <x:c r="O1" s="16" t="str">
        <x:v>Total Deli Fee</x:v>
      </x:c>
      <x:c r="P1" s="16" t="str">
        <x:v>COD</x:v>
      </x:c>
      <x:c r="Q1" s="16" t="str">
        <x:v>Actual Collect</x:v>
      </x:c>
      <x:c r="R1" s="16" t="str">
        <x:v>Destination</x:v>
      </x:c>
      <x:c r="S1" s="16" t="str">
        <x:v>Pickup By</x:v>
      </x:c>
      <x:c r="T1" s="16" t="str">
        <x:v>Remarks</x:v>
      </x:c>
    </x:row>
    <x:row r="2">
      <x:c r="A2" s="17" t="str">
        <x:v>PICKUP_COMPLETED</x:v>
      </x:c>
      <x:c r="B2" s="17" t="str">
        <x:v>2026-06-19</x:v>
      </x:c>
      <x:c r="C2" s="17" t="str">
        <x:v>P-20260619-001</x:v>
      </x:c>
      <x:c r="D2" s="17" t="str"/>
      <x:c r="E2" s="17" t="str">
        <x:v>ABC Online Shop</x:v>
      </x:c>
      <x:c r="F2" s="17" t="str">
        <x:v>Customer Name</x:v>
      </x:c>
      <x:c r="G2" s="17" t="str">
        <x:v>09123456789</x:v>
      </x:c>
      <x:c r="H2" s="17" t="str">
        <x:v>North Dagon</x:v>
      </x:c>
      <x:c r="I2" s="17" t="str">
        <x:v>No. 12 Main Road</x:v>
      </x:c>
      <x:c r="J2" s="17" t="str">
        <x:v>Standard</x:v>
      </x:c>
      <x:c r="K2" s="17" t="n">
        <x:v>50000</x:v>
      </x:c>
      <x:c r="L2" s="17" t="n">
        <x:v>2.5</x:v>
      </x:c>
      <x:c r="M2" s="17" t="n">
        <x:v>4000</x:v>
      </x:c>
      <x:c r="N2" s="17" t="n">
        <x:f>MAX(0,CEILING(L2,1)-IF(J2="Royal",5,3))*500</x:f>
        <x:v>0</x:v>
      </x:c>
      <x:c r="O2" s="17" t="n">
        <x:f>M2+N2</x:f>
        <x:v>4000</x:v>
      </x:c>
      <x:c r="P2" s="17" t="n">
        <x:f>K2</x:f>
        <x:v>50000</x:v>
      </x:c>
      <x:c r="Q2" s="17" t="n">
        <x:f>P2+O2</x:f>
        <x:v>54000</x:v>
      </x:c>
      <x:c r="R2" s="17" t="str">
        <x:v>Yangon</x:v>
      </x:c>
      <x:c r="S2" s="17" t="str">
        <x:v>RID001</x:v>
      </x:c>
      <x:c r="T2" s="17" t="str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 t="n">
        <x:f>MAX(0,CEILING(L3,1)-IF(J3="Royal",5,3))*500</x:f>
        <x:v>0</x:v>
      </x:c>
      <x:c r="O3" s="17" t="n">
        <x:f>M3+N3</x:f>
        <x:v>0</x:v>
      </x:c>
      <x:c r="P3" s="17" t="n">
        <x:f>K3</x:f>
        <x:v>0</x:v>
      </x:c>
      <x:c r="Q3" s="17" t="n">
        <x:f>P3+O3</x:f>
        <x:v>0</x:v>
      </x:c>
      <x:c r="R3" s="17"/>
      <x:c r="S3" s="17"/>
      <x:c r="T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 t="n">
        <x:f>MAX(0,CEILING(L4,1)-IF(J4="Royal",5,3))*500</x:f>
        <x:v>0</x:v>
      </x:c>
      <x:c r="O4" s="17" t="n">
        <x:f>M4+N4</x:f>
        <x:v>0</x:v>
      </x:c>
      <x:c r="P4" s="17" t="n">
        <x:f>K4</x:f>
        <x:v>0</x:v>
      </x:c>
      <x:c r="Q4" s="17" t="n">
        <x:f>P4+O4</x:f>
        <x:v>0</x:v>
      </x:c>
      <x:c r="R4" s="17"/>
      <x:c r="S4" s="17"/>
      <x:c r="T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 t="n">
        <x:f>MAX(0,CEILING(L5,1)-IF(J5="Royal",5,3))*500</x:f>
        <x:v>0</x:v>
      </x:c>
      <x:c r="O5" s="17" t="n">
        <x:f>M5+N5</x:f>
        <x:v>0</x:v>
      </x:c>
      <x:c r="P5" s="17" t="n">
        <x:f>K5</x:f>
        <x:v>0</x:v>
      </x:c>
      <x:c r="Q5" s="17" t="n">
        <x:f>P5+O5</x:f>
        <x:v>0</x:v>
      </x:c>
      <x:c r="R5" s="17"/>
      <x:c r="S5" s="17"/>
      <x:c r="T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 t="n">
        <x:f>MAX(0,CEILING(L6,1)-IF(J6="Royal",5,3))*500</x:f>
        <x:v>0</x:v>
      </x:c>
      <x:c r="O6" s="17" t="n">
        <x:f>M6+N6</x:f>
        <x:v>0</x:v>
      </x:c>
      <x:c r="P6" s="17" t="n">
        <x:f>K6</x:f>
        <x:v>0</x:v>
      </x:c>
      <x:c r="Q6" s="17" t="n">
        <x:f>P6+O6</x:f>
        <x:v>0</x:v>
      </x:c>
      <x:c r="R6" s="17"/>
      <x:c r="S6" s="17"/>
      <x:c r="T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 t="n">
        <x:f>MAX(0,CEILING(L7,1)-IF(J7="Royal",5,3))*500</x:f>
        <x:v>0</x:v>
      </x:c>
      <x:c r="O7" s="17" t="n">
        <x:f>M7+N7</x:f>
        <x:v>0</x:v>
      </x:c>
      <x:c r="P7" s="17" t="n">
        <x:f>K7</x:f>
        <x:v>0</x:v>
      </x:c>
      <x:c r="Q7" s="17" t="n">
        <x:f>P7+O7</x:f>
        <x:v>0</x:v>
      </x:c>
      <x:c r="R7" s="17"/>
      <x:c r="S7" s="17"/>
      <x:c r="T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 t="n">
        <x:f>MAX(0,CEILING(L8,1)-IF(J8="Royal",5,3))*500</x:f>
        <x:v>0</x:v>
      </x:c>
      <x:c r="O8" s="17" t="n">
        <x:f>M8+N8</x:f>
        <x:v>0</x:v>
      </x:c>
      <x:c r="P8" s="17" t="n">
        <x:f>K8</x:f>
        <x:v>0</x:v>
      </x:c>
      <x:c r="Q8" s="17" t="n">
        <x:f>P8+O8</x:f>
        <x:v>0</x:v>
      </x:c>
      <x:c r="R8" s="17"/>
      <x:c r="S8" s="17"/>
      <x:c r="T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 t="n">
        <x:f>MAX(0,CEILING(L9,1)-IF(J9="Royal",5,3))*500</x:f>
        <x:v>0</x:v>
      </x:c>
      <x:c r="O9" s="17" t="n">
        <x:f>M9+N9</x:f>
        <x:v>0</x:v>
      </x:c>
      <x:c r="P9" s="17" t="n">
        <x:f>K9</x:f>
        <x:v>0</x:v>
      </x:c>
      <x:c r="Q9" s="17" t="n">
        <x:f>P9+O9</x:f>
        <x:v>0</x:v>
      </x:c>
      <x:c r="R9" s="17"/>
      <x:c r="S9" s="17"/>
      <x:c r="T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 t="n">
        <x:f>MAX(0,CEILING(L10,1)-IF(J10="Royal",5,3))*500</x:f>
        <x:v>0</x:v>
      </x:c>
      <x:c r="O10" s="17" t="n">
        <x:f>M10+N10</x:f>
        <x:v>0</x:v>
      </x:c>
      <x:c r="P10" s="17" t="n">
        <x:f>K10</x:f>
        <x:v>0</x:v>
      </x:c>
      <x:c r="Q10" s="17" t="n">
        <x:f>P10+O10</x:f>
        <x:v>0</x:v>
      </x:c>
      <x:c r="R10" s="17"/>
      <x:c r="S10" s="17"/>
      <x:c r="T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 t="n">
        <x:f>MAX(0,CEILING(L11,1)-IF(J11="Royal",5,3))*500</x:f>
        <x:v>0</x:v>
      </x:c>
      <x:c r="O11" s="17" t="n">
        <x:f>M11+N11</x:f>
        <x:v>0</x:v>
      </x:c>
      <x:c r="P11" s="17" t="n">
        <x:f>K11</x:f>
        <x:v>0</x:v>
      </x:c>
      <x:c r="Q11" s="17" t="n">
        <x:f>P11+O11</x:f>
        <x:v>0</x:v>
      </x:c>
      <x:c r="R11" s="17"/>
      <x:c r="S11" s="17"/>
      <x:c r="T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 t="n">
        <x:f>MAX(0,CEILING(L12,1)-IF(J12="Royal",5,3))*500</x:f>
        <x:v>0</x:v>
      </x:c>
      <x:c r="O12" s="17" t="n">
        <x:f>M12+N12</x:f>
        <x:v>0</x:v>
      </x:c>
      <x:c r="P12" s="17" t="n">
        <x:f>K12</x:f>
        <x:v>0</x:v>
      </x:c>
      <x:c r="Q12" s="17" t="n">
        <x:f>P12+O12</x:f>
        <x:v>0</x:v>
      </x:c>
      <x:c r="R12" s="17"/>
      <x:c r="S12" s="17"/>
      <x:c r="T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 t="n">
        <x:f>MAX(0,CEILING(L13,1)-IF(J13="Royal",5,3))*500</x:f>
        <x:v>0</x:v>
      </x:c>
      <x:c r="O13" s="17" t="n">
        <x:f>M13+N13</x:f>
        <x:v>0</x:v>
      </x:c>
      <x:c r="P13" s="17" t="n">
        <x:f>K13</x:f>
        <x:v>0</x:v>
      </x:c>
      <x:c r="Q13" s="17" t="n">
        <x:f>P13+O13</x:f>
        <x:v>0</x:v>
      </x:c>
      <x:c r="R13" s="17"/>
      <x:c r="S13" s="17"/>
      <x:c r="T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 t="n">
        <x:f>MAX(0,CEILING(L14,1)-IF(J14="Royal",5,3))*500</x:f>
        <x:v>0</x:v>
      </x:c>
      <x:c r="O14" s="17" t="n">
        <x:f>M14+N14</x:f>
        <x:v>0</x:v>
      </x:c>
      <x:c r="P14" s="17" t="n">
        <x:f>K14</x:f>
        <x:v>0</x:v>
      </x:c>
      <x:c r="Q14" s="17" t="n">
        <x:f>P14+O14</x:f>
        <x:v>0</x:v>
      </x:c>
      <x:c r="R14" s="17"/>
      <x:c r="S14" s="17"/>
      <x:c r="T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 t="n">
        <x:f>MAX(0,CEILING(L15,1)-IF(J15="Royal",5,3))*500</x:f>
        <x:v>0</x:v>
      </x:c>
      <x:c r="O15" s="17" t="n">
        <x:f>M15+N15</x:f>
        <x:v>0</x:v>
      </x:c>
      <x:c r="P15" s="17" t="n">
        <x:f>K15</x:f>
        <x:v>0</x:v>
      </x:c>
      <x:c r="Q15" s="17" t="n">
        <x:f>P15+O15</x:f>
        <x:v>0</x:v>
      </x:c>
      <x:c r="R15" s="17"/>
      <x:c r="S15" s="17"/>
      <x:c r="T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 t="n">
        <x:f>MAX(0,CEILING(L16,1)-IF(J16="Royal",5,3))*500</x:f>
        <x:v>0</x:v>
      </x:c>
      <x:c r="O16" s="17" t="n">
        <x:f>M16+N16</x:f>
        <x:v>0</x:v>
      </x:c>
      <x:c r="P16" s="17" t="n">
        <x:f>K16</x:f>
        <x:v>0</x:v>
      </x:c>
      <x:c r="Q16" s="17" t="n">
        <x:f>P16+O16</x:f>
        <x:v>0</x:v>
      </x:c>
      <x:c r="R16" s="17"/>
      <x:c r="S16" s="17"/>
      <x:c r="T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 t="n">
        <x:f>MAX(0,CEILING(L17,1)-IF(J17="Royal",5,3))*500</x:f>
        <x:v>0</x:v>
      </x:c>
      <x:c r="O17" s="17" t="n">
        <x:f>M17+N17</x:f>
        <x:v>0</x:v>
      </x:c>
      <x:c r="P17" s="17" t="n">
        <x:f>K17</x:f>
        <x:v>0</x:v>
      </x:c>
      <x:c r="Q17" s="17" t="n">
        <x:f>P17+O17</x:f>
        <x:v>0</x:v>
      </x:c>
      <x:c r="R17" s="17"/>
      <x:c r="S17" s="17"/>
      <x:c r="T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 t="n">
        <x:f>MAX(0,CEILING(L18,1)-IF(J18="Royal",5,3))*500</x:f>
        <x:v>0</x:v>
      </x:c>
      <x:c r="O18" s="17" t="n">
        <x:f>M18+N18</x:f>
        <x:v>0</x:v>
      </x:c>
      <x:c r="P18" s="17" t="n">
        <x:f>K18</x:f>
        <x:v>0</x:v>
      </x:c>
      <x:c r="Q18" s="17" t="n">
        <x:f>P18+O18</x:f>
        <x:v>0</x:v>
      </x:c>
      <x:c r="R18" s="17"/>
      <x:c r="S18" s="17"/>
      <x:c r="T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 t="n">
        <x:f>MAX(0,CEILING(L19,1)-IF(J19="Royal",5,3))*500</x:f>
        <x:v>0</x:v>
      </x:c>
      <x:c r="O19" s="17" t="n">
        <x:f>M19+N19</x:f>
        <x:v>0</x:v>
      </x:c>
      <x:c r="P19" s="17" t="n">
        <x:f>K19</x:f>
        <x:v>0</x:v>
      </x:c>
      <x:c r="Q19" s="17" t="n">
        <x:f>P19+O19</x:f>
        <x:v>0</x:v>
      </x:c>
      <x:c r="R19" s="17"/>
      <x:c r="S19" s="17"/>
      <x:c r="T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 t="n">
        <x:f>MAX(0,CEILING(L20,1)-IF(J20="Royal",5,3))*500</x:f>
        <x:v>0</x:v>
      </x:c>
      <x:c r="O20" s="17" t="n">
        <x:f>M20+N20</x:f>
        <x:v>0</x:v>
      </x:c>
      <x:c r="P20" s="17" t="n">
        <x:f>K20</x:f>
        <x:v>0</x:v>
      </x:c>
      <x:c r="Q20" s="17" t="n">
        <x:f>P20+O20</x:f>
        <x:v>0</x:v>
      </x:c>
      <x:c r="R20" s="17"/>
      <x:c r="S20" s="17"/>
      <x:c r="T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 t="n">
        <x:f>MAX(0,CEILING(L21,1)-IF(J21="Royal",5,3))*500</x:f>
        <x:v>0</x:v>
      </x:c>
      <x:c r="O21" s="17" t="n">
        <x:f>M21+N21</x:f>
        <x:v>0</x:v>
      </x:c>
      <x:c r="P21" s="17" t="n">
        <x:f>K21</x:f>
        <x:v>0</x:v>
      </x:c>
      <x:c r="Q21" s="17" t="n">
        <x:f>P21+O21</x:f>
        <x:v>0</x:v>
      </x:c>
      <x:c r="R21" s="17"/>
      <x:c r="S21" s="17"/>
      <x:c r="T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 t="n">
        <x:f>MAX(0,CEILING(L22,1)-IF(J22="Royal",5,3))*500</x:f>
        <x:v>0</x:v>
      </x:c>
      <x:c r="O22" s="17" t="n">
        <x:f>M22+N22</x:f>
        <x:v>0</x:v>
      </x:c>
      <x:c r="P22" s="17" t="n">
        <x:f>K22</x:f>
        <x:v>0</x:v>
      </x:c>
      <x:c r="Q22" s="17" t="n">
        <x:f>P22+O22</x:f>
        <x:v>0</x:v>
      </x:c>
      <x:c r="R22" s="17"/>
      <x:c r="S22" s="17"/>
      <x:c r="T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 t="n">
        <x:f>MAX(0,CEILING(L23,1)-IF(J23="Royal",5,3))*500</x:f>
        <x:v>0</x:v>
      </x:c>
      <x:c r="O23" s="17" t="n">
        <x:f>M23+N23</x:f>
        <x:v>0</x:v>
      </x:c>
      <x:c r="P23" s="17" t="n">
        <x:f>K23</x:f>
        <x:v>0</x:v>
      </x:c>
      <x:c r="Q23" s="17" t="n">
        <x:f>P23+O23</x:f>
        <x:v>0</x:v>
      </x:c>
      <x:c r="R23" s="17"/>
      <x:c r="S23" s="17"/>
      <x:c r="T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 t="n">
        <x:f>MAX(0,CEILING(L24,1)-IF(J24="Royal",5,3))*500</x:f>
        <x:v>0</x:v>
      </x:c>
      <x:c r="O24" s="17" t="n">
        <x:f>M24+N24</x:f>
        <x:v>0</x:v>
      </x:c>
      <x:c r="P24" s="17" t="n">
        <x:f>K24</x:f>
        <x:v>0</x:v>
      </x:c>
      <x:c r="Q24" s="17" t="n">
        <x:f>P24+O24</x:f>
        <x:v>0</x:v>
      </x:c>
      <x:c r="R24" s="17"/>
      <x:c r="S24" s="17"/>
      <x:c r="T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 t="n">
        <x:f>MAX(0,CEILING(L25,1)-IF(J25="Royal",5,3))*500</x:f>
        <x:v>0</x:v>
      </x:c>
      <x:c r="O25" s="17" t="n">
        <x:f>M25+N25</x:f>
        <x:v>0</x:v>
      </x:c>
      <x:c r="P25" s="17" t="n">
        <x:f>K25</x:f>
        <x:v>0</x:v>
      </x:c>
      <x:c r="Q25" s="17" t="n">
        <x:f>P25+O25</x:f>
        <x:v>0</x:v>
      </x:c>
      <x:c r="R25" s="17"/>
      <x:c r="S25" s="17"/>
      <x:c r="T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 t="n">
        <x:f>MAX(0,CEILING(L26,1)-IF(J26="Royal",5,3))*500</x:f>
        <x:v>0</x:v>
      </x:c>
      <x:c r="O26" s="17" t="n">
        <x:f>M26+N26</x:f>
        <x:v>0</x:v>
      </x:c>
      <x:c r="P26" s="17" t="n">
        <x:f>K26</x:f>
        <x:v>0</x:v>
      </x:c>
      <x:c r="Q26" s="17" t="n">
        <x:f>P26+O26</x:f>
        <x:v>0</x:v>
      </x:c>
      <x:c r="R26" s="17"/>
      <x:c r="S26" s="17"/>
      <x:c r="T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 t="n">
        <x:f>MAX(0,CEILING(L27,1)-IF(J27="Royal",5,3))*500</x:f>
        <x:v>0</x:v>
      </x:c>
      <x:c r="O27" s="17" t="n">
        <x:f>M27+N27</x:f>
        <x:v>0</x:v>
      </x:c>
      <x:c r="P27" s="17" t="n">
        <x:f>K27</x:f>
        <x:v>0</x:v>
      </x:c>
      <x:c r="Q27" s="17" t="n">
        <x:f>P27+O27</x:f>
        <x:v>0</x:v>
      </x:c>
      <x:c r="R27" s="17"/>
      <x:c r="S27" s="17"/>
      <x:c r="T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 t="n">
        <x:f>MAX(0,CEILING(L28,1)-IF(J28="Royal",5,3))*500</x:f>
        <x:v>0</x:v>
      </x:c>
      <x:c r="O28" s="17" t="n">
        <x:f>M28+N28</x:f>
        <x:v>0</x:v>
      </x:c>
      <x:c r="P28" s="17" t="n">
        <x:f>K28</x:f>
        <x:v>0</x:v>
      </x:c>
      <x:c r="Q28" s="17" t="n">
        <x:f>P28+O28</x:f>
        <x:v>0</x:v>
      </x:c>
      <x:c r="R28" s="17"/>
      <x:c r="S28" s="17"/>
      <x:c r="T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 t="n">
        <x:f>MAX(0,CEILING(L29,1)-IF(J29="Royal",5,3))*500</x:f>
        <x:v>0</x:v>
      </x:c>
      <x:c r="O29" s="17" t="n">
        <x:f>M29+N29</x:f>
        <x:v>0</x:v>
      </x:c>
      <x:c r="P29" s="17" t="n">
        <x:f>K29</x:f>
        <x:v>0</x:v>
      </x:c>
      <x:c r="Q29" s="17" t="n">
        <x:f>P29+O29</x:f>
        <x:v>0</x:v>
      </x:c>
      <x:c r="R29" s="17"/>
      <x:c r="S29" s="17"/>
      <x:c r="T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 t="n">
        <x:f>MAX(0,CEILING(L30,1)-IF(J30="Royal",5,3))*500</x:f>
        <x:v>0</x:v>
      </x:c>
      <x:c r="O30" s="17" t="n">
        <x:f>M30+N30</x:f>
        <x:v>0</x:v>
      </x:c>
      <x:c r="P30" s="17" t="n">
        <x:f>K30</x:f>
        <x:v>0</x:v>
      </x:c>
      <x:c r="Q30" s="17" t="n">
        <x:f>P30+O30</x:f>
        <x:v>0</x:v>
      </x:c>
      <x:c r="R30" s="17"/>
      <x:c r="S30" s="17"/>
      <x:c r="T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 t="n">
        <x:f>MAX(0,CEILING(L31,1)-IF(J31="Royal",5,3))*500</x:f>
        <x:v>0</x:v>
      </x:c>
      <x:c r="O31" s="17" t="n">
        <x:f>M31+N31</x:f>
        <x:v>0</x:v>
      </x:c>
      <x:c r="P31" s="17" t="n">
        <x:f>K31</x:f>
        <x:v>0</x:v>
      </x:c>
      <x:c r="Q31" s="17" t="n">
        <x:f>P31+O31</x:f>
        <x:v>0</x:v>
      </x:c>
      <x:c r="R31" s="17"/>
      <x:c r="S31" s="17"/>
      <x:c r="T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 t="n">
        <x:f>MAX(0,CEILING(L32,1)-IF(J32="Royal",5,3))*500</x:f>
        <x:v>0</x:v>
      </x:c>
      <x:c r="O32" s="17" t="n">
        <x:f>M32+N32</x:f>
        <x:v>0</x:v>
      </x:c>
      <x:c r="P32" s="17" t="n">
        <x:f>K32</x:f>
        <x:v>0</x:v>
      </x:c>
      <x:c r="Q32" s="17" t="n">
        <x:f>P32+O32</x:f>
        <x:v>0</x:v>
      </x:c>
      <x:c r="R32" s="17"/>
      <x:c r="S32" s="17"/>
      <x:c r="T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 t="n">
        <x:f>MAX(0,CEILING(L33,1)-IF(J33="Royal",5,3))*500</x:f>
        <x:v>0</x:v>
      </x:c>
      <x:c r="O33" s="17" t="n">
        <x:f>M33+N33</x:f>
        <x:v>0</x:v>
      </x:c>
      <x:c r="P33" s="17" t="n">
        <x:f>K33</x:f>
        <x:v>0</x:v>
      </x:c>
      <x:c r="Q33" s="17" t="n">
        <x:f>P33+O33</x:f>
        <x:v>0</x:v>
      </x:c>
      <x:c r="R33" s="17"/>
      <x:c r="S33" s="17"/>
      <x:c r="T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 t="n">
        <x:f>MAX(0,CEILING(L34,1)-IF(J34="Royal",5,3))*500</x:f>
        <x:v>0</x:v>
      </x:c>
      <x:c r="O34" s="17" t="n">
        <x:f>M34+N34</x:f>
        <x:v>0</x:v>
      </x:c>
      <x:c r="P34" s="17" t="n">
        <x:f>K34</x:f>
        <x:v>0</x:v>
      </x:c>
      <x:c r="Q34" s="17" t="n">
        <x:f>P34+O34</x:f>
        <x:v>0</x:v>
      </x:c>
      <x:c r="R34" s="17"/>
      <x:c r="S34" s="17"/>
      <x:c r="T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 t="n">
        <x:f>MAX(0,CEILING(L35,1)-IF(J35="Royal",5,3))*500</x:f>
        <x:v>0</x:v>
      </x:c>
      <x:c r="O35" s="17" t="n">
        <x:f>M35+N35</x:f>
        <x:v>0</x:v>
      </x:c>
      <x:c r="P35" s="17" t="n">
        <x:f>K35</x:f>
        <x:v>0</x:v>
      </x:c>
      <x:c r="Q35" s="17" t="n">
        <x:f>P35+O35</x:f>
        <x:v>0</x:v>
      </x:c>
      <x:c r="R35" s="17"/>
      <x:c r="S35" s="17"/>
      <x:c r="T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 t="n">
        <x:f>MAX(0,CEILING(L36,1)-IF(J36="Royal",5,3))*500</x:f>
        <x:v>0</x:v>
      </x:c>
      <x:c r="O36" s="17" t="n">
        <x:f>M36+N36</x:f>
        <x:v>0</x:v>
      </x:c>
      <x:c r="P36" s="17" t="n">
        <x:f>K36</x:f>
        <x:v>0</x:v>
      </x:c>
      <x:c r="Q36" s="17" t="n">
        <x:f>P36+O36</x:f>
        <x:v>0</x:v>
      </x:c>
      <x:c r="R36" s="17"/>
      <x:c r="S36" s="17"/>
      <x:c r="T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 t="n">
        <x:f>MAX(0,CEILING(L37,1)-IF(J37="Royal",5,3))*500</x:f>
        <x:v>0</x:v>
      </x:c>
      <x:c r="O37" s="17" t="n">
        <x:f>M37+N37</x:f>
        <x:v>0</x:v>
      </x:c>
      <x:c r="P37" s="17" t="n">
        <x:f>K37</x:f>
        <x:v>0</x:v>
      </x:c>
      <x:c r="Q37" s="17" t="n">
        <x:f>P37+O37</x:f>
        <x:v>0</x:v>
      </x:c>
      <x:c r="R37" s="17"/>
      <x:c r="S37" s="17"/>
      <x:c r="T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 t="n">
        <x:f>MAX(0,CEILING(L38,1)-IF(J38="Royal",5,3))*500</x:f>
        <x:v>0</x:v>
      </x:c>
      <x:c r="O38" s="17" t="n">
        <x:f>M38+N38</x:f>
        <x:v>0</x:v>
      </x:c>
      <x:c r="P38" s="17" t="n">
        <x:f>K38</x:f>
        <x:v>0</x:v>
      </x:c>
      <x:c r="Q38" s="17" t="n">
        <x:f>P38+O38</x:f>
        <x:v>0</x:v>
      </x:c>
      <x:c r="R38" s="17"/>
      <x:c r="S38" s="17"/>
      <x:c r="T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 t="n">
        <x:f>MAX(0,CEILING(L39,1)-IF(J39="Royal",5,3))*500</x:f>
        <x:v>0</x:v>
      </x:c>
      <x:c r="O39" s="17" t="n">
        <x:f>M39+N39</x:f>
        <x:v>0</x:v>
      </x:c>
      <x:c r="P39" s="17" t="n">
        <x:f>K39</x:f>
        <x:v>0</x:v>
      </x:c>
      <x:c r="Q39" s="17" t="n">
        <x:f>P39+O39</x:f>
        <x:v>0</x:v>
      </x:c>
      <x:c r="R39" s="17"/>
      <x:c r="S39" s="17"/>
      <x:c r="T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 t="n">
        <x:f>MAX(0,CEILING(L40,1)-IF(J40="Royal",5,3))*500</x:f>
        <x:v>0</x:v>
      </x:c>
      <x:c r="O40" s="17" t="n">
        <x:f>M40+N40</x:f>
        <x:v>0</x:v>
      </x:c>
      <x:c r="P40" s="17" t="n">
        <x:f>K40</x:f>
        <x:v>0</x:v>
      </x:c>
      <x:c r="Q40" s="17" t="n">
        <x:f>P40+O40</x:f>
        <x:v>0</x:v>
      </x:c>
      <x:c r="R40" s="17"/>
      <x:c r="S40" s="17"/>
      <x:c r="T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 t="n">
        <x:f>MAX(0,CEILING(L41,1)-IF(J41="Royal",5,3))*500</x:f>
        <x:v>0</x:v>
      </x:c>
      <x:c r="O41" s="17" t="n">
        <x:f>M41+N41</x:f>
        <x:v>0</x:v>
      </x:c>
      <x:c r="P41" s="17" t="n">
        <x:f>K41</x:f>
        <x:v>0</x:v>
      </x:c>
      <x:c r="Q41" s="17" t="n">
        <x:f>P41+O41</x:f>
        <x:v>0</x:v>
      </x:c>
      <x:c r="R41" s="17"/>
      <x:c r="S41" s="17"/>
      <x:c r="T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 t="n">
        <x:f>MAX(0,CEILING(L42,1)-IF(J42="Royal",5,3))*500</x:f>
        <x:v>0</x:v>
      </x:c>
      <x:c r="O42" s="17" t="n">
        <x:f>M42+N42</x:f>
        <x:v>0</x:v>
      </x:c>
      <x:c r="P42" s="17" t="n">
        <x:f>K42</x:f>
        <x:v>0</x:v>
      </x:c>
      <x:c r="Q42" s="17" t="n">
        <x:f>P42+O42</x:f>
        <x:v>0</x:v>
      </x:c>
      <x:c r="R42" s="17"/>
      <x:c r="S42" s="17"/>
      <x:c r="T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 t="n">
        <x:f>MAX(0,CEILING(L43,1)-IF(J43="Royal",5,3))*500</x:f>
        <x:v>0</x:v>
      </x:c>
      <x:c r="O43" s="17" t="n">
        <x:f>M43+N43</x:f>
        <x:v>0</x:v>
      </x:c>
      <x:c r="P43" s="17" t="n">
        <x:f>K43</x:f>
        <x:v>0</x:v>
      </x:c>
      <x:c r="Q43" s="17" t="n">
        <x:f>P43+O43</x:f>
        <x:v>0</x:v>
      </x:c>
      <x:c r="R43" s="17"/>
      <x:c r="S43" s="17"/>
      <x:c r="T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 t="n">
        <x:f>MAX(0,CEILING(L44,1)-IF(J44="Royal",5,3))*500</x:f>
        <x:v>0</x:v>
      </x:c>
      <x:c r="O44" s="17" t="n">
        <x:f>M44+N44</x:f>
        <x:v>0</x:v>
      </x:c>
      <x:c r="P44" s="17" t="n">
        <x:f>K44</x:f>
        <x:v>0</x:v>
      </x:c>
      <x:c r="Q44" s="17" t="n">
        <x:f>P44+O44</x:f>
        <x:v>0</x:v>
      </x:c>
      <x:c r="R44" s="17"/>
      <x:c r="S44" s="17"/>
      <x:c r="T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 t="n">
        <x:f>MAX(0,CEILING(L45,1)-IF(J45="Royal",5,3))*500</x:f>
        <x:v>0</x:v>
      </x:c>
      <x:c r="O45" s="17" t="n">
        <x:f>M45+N45</x:f>
        <x:v>0</x:v>
      </x:c>
      <x:c r="P45" s="17" t="n">
        <x:f>K45</x:f>
        <x:v>0</x:v>
      </x:c>
      <x:c r="Q45" s="17" t="n">
        <x:f>P45+O45</x:f>
        <x:v>0</x:v>
      </x:c>
      <x:c r="R45" s="17"/>
      <x:c r="S45" s="17"/>
      <x:c r="T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 t="n">
        <x:f>MAX(0,CEILING(L46,1)-IF(J46="Royal",5,3))*500</x:f>
        <x:v>0</x:v>
      </x:c>
      <x:c r="O46" s="17" t="n">
        <x:f>M46+N46</x:f>
        <x:v>0</x:v>
      </x:c>
      <x:c r="P46" s="17" t="n">
        <x:f>K46</x:f>
        <x:v>0</x:v>
      </x:c>
      <x:c r="Q46" s="17" t="n">
        <x:f>P46+O46</x:f>
        <x:v>0</x:v>
      </x:c>
      <x:c r="R46" s="17"/>
      <x:c r="S46" s="17"/>
      <x:c r="T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 t="n">
        <x:f>MAX(0,CEILING(L47,1)-IF(J47="Royal",5,3))*500</x:f>
        <x:v>0</x:v>
      </x:c>
      <x:c r="O47" s="17" t="n">
        <x:f>M47+N47</x:f>
        <x:v>0</x:v>
      </x:c>
      <x:c r="P47" s="17" t="n">
        <x:f>K47</x:f>
        <x:v>0</x:v>
      </x:c>
      <x:c r="Q47" s="17" t="n">
        <x:f>P47+O47</x:f>
        <x:v>0</x:v>
      </x:c>
      <x:c r="R47" s="17"/>
      <x:c r="S47" s="17"/>
      <x:c r="T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 t="n">
        <x:f>MAX(0,CEILING(L48,1)-IF(J48="Royal",5,3))*500</x:f>
        <x:v>0</x:v>
      </x:c>
      <x:c r="O48" s="17" t="n">
        <x:f>M48+N48</x:f>
        <x:v>0</x:v>
      </x:c>
      <x:c r="P48" s="17" t="n">
        <x:f>K48</x:f>
        <x:v>0</x:v>
      </x:c>
      <x:c r="Q48" s="17" t="n">
        <x:f>P48+O48</x:f>
        <x:v>0</x:v>
      </x:c>
      <x:c r="R48" s="17"/>
      <x:c r="S48" s="17"/>
      <x:c r="T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 t="n">
        <x:f>MAX(0,CEILING(L49,1)-IF(J49="Royal",5,3))*500</x:f>
        <x:v>0</x:v>
      </x:c>
      <x:c r="O49" s="17" t="n">
        <x:f>M49+N49</x:f>
        <x:v>0</x:v>
      </x:c>
      <x:c r="P49" s="17" t="n">
        <x:f>K49</x:f>
        <x:v>0</x:v>
      </x:c>
      <x:c r="Q49" s="17" t="n">
        <x:f>P49+O49</x:f>
        <x:v>0</x:v>
      </x:c>
      <x:c r="R49" s="17"/>
      <x:c r="S49" s="17"/>
      <x:c r="T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 t="n">
        <x:f>MAX(0,CEILING(L50,1)-IF(J50="Royal",5,3))*500</x:f>
        <x:v>0</x:v>
      </x:c>
      <x:c r="O50" s="17" t="n">
        <x:f>M50+N50</x:f>
        <x:v>0</x:v>
      </x:c>
      <x:c r="P50" s="17" t="n">
        <x:f>K50</x:f>
        <x:v>0</x:v>
      </x:c>
      <x:c r="Q50" s="17" t="n">
        <x:f>P50+O50</x:f>
        <x:v>0</x:v>
      </x:c>
      <x:c r="R50" s="17"/>
      <x:c r="S50" s="17"/>
      <x:c r="T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 t="n">
        <x:f>MAX(0,CEILING(L51,1)-IF(J51="Royal",5,3))*500</x:f>
        <x:v>0</x:v>
      </x:c>
      <x:c r="O51" s="17" t="n">
        <x:f>M51+N51</x:f>
        <x:v>0</x:v>
      </x:c>
      <x:c r="P51" s="17" t="n">
        <x:f>K51</x:f>
        <x:v>0</x:v>
      </x:c>
      <x:c r="Q51" s="17" t="n">
        <x:f>P51+O51</x:f>
        <x:v>0</x:v>
      </x:c>
      <x:c r="R51" s="17"/>
      <x:c r="S51" s="17"/>
      <x:c r="T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 t="n">
        <x:f>MAX(0,CEILING(L52,1)-IF(J52="Royal",5,3))*500</x:f>
        <x:v>0</x:v>
      </x:c>
      <x:c r="O52" s="17" t="n">
        <x:f>M52+N52</x:f>
        <x:v>0</x:v>
      </x:c>
      <x:c r="P52" s="17" t="n">
        <x:f>K52</x:f>
        <x:v>0</x:v>
      </x:c>
      <x:c r="Q52" s="17" t="n">
        <x:f>P52+O52</x:f>
        <x:v>0</x:v>
      </x:c>
      <x:c r="R52" s="17"/>
      <x:c r="S52" s="17"/>
      <x:c r="T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 t="n">
        <x:f>MAX(0,CEILING(L53,1)-IF(J53="Royal",5,3))*500</x:f>
        <x:v>0</x:v>
      </x:c>
      <x:c r="O53" s="17" t="n">
        <x:f>M53+N53</x:f>
        <x:v>0</x:v>
      </x:c>
      <x:c r="P53" s="17" t="n">
        <x:f>K53</x:f>
        <x:v>0</x:v>
      </x:c>
      <x:c r="Q53" s="17" t="n">
        <x:f>P53+O53</x:f>
        <x:v>0</x:v>
      </x:c>
      <x:c r="R53" s="17"/>
      <x:c r="S53" s="17"/>
      <x:c r="T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 t="n">
        <x:f>MAX(0,CEILING(L54,1)-IF(J54="Royal",5,3))*500</x:f>
        <x:v>0</x:v>
      </x:c>
      <x:c r="O54" s="17" t="n">
        <x:f>M54+N54</x:f>
        <x:v>0</x:v>
      </x:c>
      <x:c r="P54" s="17" t="n">
        <x:f>K54</x:f>
        <x:v>0</x:v>
      </x:c>
      <x:c r="Q54" s="17" t="n">
        <x:f>P54+O54</x:f>
        <x:v>0</x:v>
      </x:c>
      <x:c r="R54" s="17"/>
      <x:c r="S54" s="17"/>
      <x:c r="T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 t="n">
        <x:f>MAX(0,CEILING(L55,1)-IF(J55="Royal",5,3))*500</x:f>
        <x:v>0</x:v>
      </x:c>
      <x:c r="O55" s="17" t="n">
        <x:f>M55+N55</x:f>
        <x:v>0</x:v>
      </x:c>
      <x:c r="P55" s="17" t="n">
        <x:f>K55</x:f>
        <x:v>0</x:v>
      </x:c>
      <x:c r="Q55" s="17" t="n">
        <x:f>P55+O55</x:f>
        <x:v>0</x:v>
      </x:c>
      <x:c r="R55" s="17"/>
      <x:c r="S55" s="17"/>
      <x:c r="T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 t="n">
        <x:f>MAX(0,CEILING(L56,1)-IF(J56="Royal",5,3))*500</x:f>
        <x:v>0</x:v>
      </x:c>
      <x:c r="O56" s="17" t="n">
        <x:f>M56+N56</x:f>
        <x:v>0</x:v>
      </x:c>
      <x:c r="P56" s="17" t="n">
        <x:f>K56</x:f>
        <x:v>0</x:v>
      </x:c>
      <x:c r="Q56" s="17" t="n">
        <x:f>P56+O56</x:f>
        <x:v>0</x:v>
      </x:c>
      <x:c r="R56" s="17"/>
      <x:c r="S56" s="17"/>
      <x:c r="T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 t="n">
        <x:f>MAX(0,CEILING(L57,1)-IF(J57="Royal",5,3))*500</x:f>
        <x:v>0</x:v>
      </x:c>
      <x:c r="O57" s="17" t="n">
        <x:f>M57+N57</x:f>
        <x:v>0</x:v>
      </x:c>
      <x:c r="P57" s="17" t="n">
        <x:f>K57</x:f>
        <x:v>0</x:v>
      </x:c>
      <x:c r="Q57" s="17" t="n">
        <x:f>P57+O57</x:f>
        <x:v>0</x:v>
      </x:c>
      <x:c r="R57" s="17"/>
      <x:c r="S57" s="17"/>
      <x:c r="T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 t="n">
        <x:f>MAX(0,CEILING(L58,1)-IF(J58="Royal",5,3))*500</x:f>
        <x:v>0</x:v>
      </x:c>
      <x:c r="O58" s="17" t="n">
        <x:f>M58+N58</x:f>
        <x:v>0</x:v>
      </x:c>
      <x:c r="P58" s="17" t="n">
        <x:f>K58</x:f>
        <x:v>0</x:v>
      </x:c>
      <x:c r="Q58" s="17" t="n">
        <x:f>P58+O58</x:f>
        <x:v>0</x:v>
      </x:c>
      <x:c r="R58" s="17"/>
      <x:c r="S58" s="17"/>
      <x:c r="T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 t="n">
        <x:f>MAX(0,CEILING(L59,1)-IF(J59="Royal",5,3))*500</x:f>
        <x:v>0</x:v>
      </x:c>
      <x:c r="O59" s="17" t="n">
        <x:f>M59+N59</x:f>
        <x:v>0</x:v>
      </x:c>
      <x:c r="P59" s="17" t="n">
        <x:f>K59</x:f>
        <x:v>0</x:v>
      </x:c>
      <x:c r="Q59" s="17" t="n">
        <x:f>P59+O59</x:f>
        <x:v>0</x:v>
      </x:c>
      <x:c r="R59" s="17"/>
      <x:c r="S59" s="17"/>
      <x:c r="T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 t="n">
        <x:f>MAX(0,CEILING(L60,1)-IF(J60="Royal",5,3))*500</x:f>
        <x:v>0</x:v>
      </x:c>
      <x:c r="O60" s="17" t="n">
        <x:f>M60+N60</x:f>
        <x:v>0</x:v>
      </x:c>
      <x:c r="P60" s="17" t="n">
        <x:f>K60</x:f>
        <x:v>0</x:v>
      </x:c>
      <x:c r="Q60" s="17" t="n">
        <x:f>P60+O60</x:f>
        <x:v>0</x:v>
      </x:c>
      <x:c r="R60" s="17"/>
      <x:c r="S60" s="17"/>
      <x:c r="T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 t="n">
        <x:f>MAX(0,CEILING(L61,1)-IF(J61="Royal",5,3))*500</x:f>
        <x:v>0</x:v>
      </x:c>
      <x:c r="O61" s="17" t="n">
        <x:f>M61+N61</x:f>
        <x:v>0</x:v>
      </x:c>
      <x:c r="P61" s="17" t="n">
        <x:f>K61</x:f>
        <x:v>0</x:v>
      </x:c>
      <x:c r="Q61" s="17" t="n">
        <x:f>P61+O61</x:f>
        <x:v>0</x:v>
      </x:c>
      <x:c r="R61" s="17"/>
      <x:c r="S61" s="17"/>
      <x:c r="T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 t="n">
        <x:f>MAX(0,CEILING(L62,1)-IF(J62="Royal",5,3))*500</x:f>
        <x:v>0</x:v>
      </x:c>
      <x:c r="O62" s="17" t="n">
        <x:f>M62+N62</x:f>
        <x:v>0</x:v>
      </x:c>
      <x:c r="P62" s="17" t="n">
        <x:f>K62</x:f>
        <x:v>0</x:v>
      </x:c>
      <x:c r="Q62" s="17" t="n">
        <x:f>P62+O62</x:f>
        <x:v>0</x:v>
      </x:c>
      <x:c r="R62" s="17"/>
      <x:c r="S62" s="17"/>
      <x:c r="T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 t="n">
        <x:f>MAX(0,CEILING(L63,1)-IF(J63="Royal",5,3))*500</x:f>
        <x:v>0</x:v>
      </x:c>
      <x:c r="O63" s="17" t="n">
        <x:f>M63+N63</x:f>
        <x:v>0</x:v>
      </x:c>
      <x:c r="P63" s="17" t="n">
        <x:f>K63</x:f>
        <x:v>0</x:v>
      </x:c>
      <x:c r="Q63" s="17" t="n">
        <x:f>P63+O63</x:f>
        <x:v>0</x:v>
      </x:c>
      <x:c r="R63" s="17"/>
      <x:c r="S63" s="17"/>
      <x:c r="T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 t="n">
        <x:f>MAX(0,CEILING(L64,1)-IF(J64="Royal",5,3))*500</x:f>
        <x:v>0</x:v>
      </x:c>
      <x:c r="O64" s="17" t="n">
        <x:f>M64+N64</x:f>
        <x:v>0</x:v>
      </x:c>
      <x:c r="P64" s="17" t="n">
        <x:f>K64</x:f>
        <x:v>0</x:v>
      </x:c>
      <x:c r="Q64" s="17" t="n">
        <x:f>P64+O64</x:f>
        <x:v>0</x:v>
      </x:c>
      <x:c r="R64" s="17"/>
      <x:c r="S64" s="17"/>
      <x:c r="T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 t="n">
        <x:f>MAX(0,CEILING(L65,1)-IF(J65="Royal",5,3))*500</x:f>
        <x:v>0</x:v>
      </x:c>
      <x:c r="O65" s="17" t="n">
        <x:f>M65+N65</x:f>
        <x:v>0</x:v>
      </x:c>
      <x:c r="P65" s="17" t="n">
        <x:f>K65</x:f>
        <x:v>0</x:v>
      </x:c>
      <x:c r="Q65" s="17" t="n">
        <x:f>P65+O65</x:f>
        <x:v>0</x:v>
      </x:c>
      <x:c r="R65" s="17"/>
      <x:c r="S65" s="17"/>
      <x:c r="T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 t="n">
        <x:f>MAX(0,CEILING(L66,1)-IF(J66="Royal",5,3))*500</x:f>
        <x:v>0</x:v>
      </x:c>
      <x:c r="O66" s="17" t="n">
        <x:f>M66+N66</x:f>
        <x:v>0</x:v>
      </x:c>
      <x:c r="P66" s="17" t="n">
        <x:f>K66</x:f>
        <x:v>0</x:v>
      </x:c>
      <x:c r="Q66" s="17" t="n">
        <x:f>P66+O66</x:f>
        <x:v>0</x:v>
      </x:c>
      <x:c r="R66" s="17"/>
      <x:c r="S66" s="17"/>
      <x:c r="T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 t="n">
        <x:f>MAX(0,CEILING(L67,1)-IF(J67="Royal",5,3))*500</x:f>
        <x:v>0</x:v>
      </x:c>
      <x:c r="O67" s="17" t="n">
        <x:f>M67+N67</x:f>
        <x:v>0</x:v>
      </x:c>
      <x:c r="P67" s="17" t="n">
        <x:f>K67</x:f>
        <x:v>0</x:v>
      </x:c>
      <x:c r="Q67" s="17" t="n">
        <x:f>P67+O67</x:f>
        <x:v>0</x:v>
      </x:c>
      <x:c r="R67" s="17"/>
      <x:c r="S67" s="17"/>
      <x:c r="T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 t="n">
        <x:f>MAX(0,CEILING(L68,1)-IF(J68="Royal",5,3))*500</x:f>
        <x:v>0</x:v>
      </x:c>
      <x:c r="O68" s="17" t="n">
        <x:f>M68+N68</x:f>
        <x:v>0</x:v>
      </x:c>
      <x:c r="P68" s="17" t="n">
        <x:f>K68</x:f>
        <x:v>0</x:v>
      </x:c>
      <x:c r="Q68" s="17" t="n">
        <x:f>P68+O68</x:f>
        <x:v>0</x:v>
      </x:c>
      <x:c r="R68" s="17"/>
      <x:c r="S68" s="17"/>
      <x:c r="T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 t="n">
        <x:f>MAX(0,CEILING(L69,1)-IF(J69="Royal",5,3))*500</x:f>
        <x:v>0</x:v>
      </x:c>
      <x:c r="O69" s="17" t="n">
        <x:f>M69+N69</x:f>
        <x:v>0</x:v>
      </x:c>
      <x:c r="P69" s="17" t="n">
        <x:f>K69</x:f>
        <x:v>0</x:v>
      </x:c>
      <x:c r="Q69" s="17" t="n">
        <x:f>P69+O69</x:f>
        <x:v>0</x:v>
      </x:c>
      <x:c r="R69" s="17"/>
      <x:c r="S69" s="17"/>
      <x:c r="T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 t="n">
        <x:f>MAX(0,CEILING(L70,1)-IF(J70="Royal",5,3))*500</x:f>
        <x:v>0</x:v>
      </x:c>
      <x:c r="O70" s="17" t="n">
        <x:f>M70+N70</x:f>
        <x:v>0</x:v>
      </x:c>
      <x:c r="P70" s="17" t="n">
        <x:f>K70</x:f>
        <x:v>0</x:v>
      </x:c>
      <x:c r="Q70" s="17" t="n">
        <x:f>P70+O70</x:f>
        <x:v>0</x:v>
      </x:c>
      <x:c r="R70" s="17"/>
      <x:c r="S70" s="17"/>
      <x:c r="T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 t="n">
        <x:f>MAX(0,CEILING(L71,1)-IF(J71="Royal",5,3))*500</x:f>
        <x:v>0</x:v>
      </x:c>
      <x:c r="O71" s="17" t="n">
        <x:f>M71+N71</x:f>
        <x:v>0</x:v>
      </x:c>
      <x:c r="P71" s="17" t="n">
        <x:f>K71</x:f>
        <x:v>0</x:v>
      </x:c>
      <x:c r="Q71" s="17" t="n">
        <x:f>P71+O71</x:f>
        <x:v>0</x:v>
      </x:c>
      <x:c r="R71" s="17"/>
      <x:c r="S71" s="17"/>
      <x:c r="T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 t="n">
        <x:f>MAX(0,CEILING(L72,1)-IF(J72="Royal",5,3))*500</x:f>
        <x:v>0</x:v>
      </x:c>
      <x:c r="O72" s="17" t="n">
        <x:f>M72+N72</x:f>
        <x:v>0</x:v>
      </x:c>
      <x:c r="P72" s="17" t="n">
        <x:f>K72</x:f>
        <x:v>0</x:v>
      </x:c>
      <x:c r="Q72" s="17" t="n">
        <x:f>P72+O72</x:f>
        <x:v>0</x:v>
      </x:c>
      <x:c r="R72" s="17"/>
      <x:c r="S72" s="17"/>
      <x:c r="T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 t="n">
        <x:f>MAX(0,CEILING(L73,1)-IF(J73="Royal",5,3))*500</x:f>
        <x:v>0</x:v>
      </x:c>
      <x:c r="O73" s="17" t="n">
        <x:f>M73+N73</x:f>
        <x:v>0</x:v>
      </x:c>
      <x:c r="P73" s="17" t="n">
        <x:f>K73</x:f>
        <x:v>0</x:v>
      </x:c>
      <x:c r="Q73" s="17" t="n">
        <x:f>P73+O73</x:f>
        <x:v>0</x:v>
      </x:c>
      <x:c r="R73" s="17"/>
      <x:c r="S73" s="17"/>
      <x:c r="T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 t="n">
        <x:f>MAX(0,CEILING(L74,1)-IF(J74="Royal",5,3))*500</x:f>
        <x:v>0</x:v>
      </x:c>
      <x:c r="O74" s="17" t="n">
        <x:f>M74+N74</x:f>
        <x:v>0</x:v>
      </x:c>
      <x:c r="P74" s="17" t="n">
        <x:f>K74</x:f>
        <x:v>0</x:v>
      </x:c>
      <x:c r="Q74" s="17" t="n">
        <x:f>P74+O74</x:f>
        <x:v>0</x:v>
      </x:c>
      <x:c r="R74" s="17"/>
      <x:c r="S74" s="17"/>
      <x:c r="T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 t="n">
        <x:f>MAX(0,CEILING(L75,1)-IF(J75="Royal",5,3))*500</x:f>
        <x:v>0</x:v>
      </x:c>
      <x:c r="O75" s="17" t="n">
        <x:f>M75+N75</x:f>
        <x:v>0</x:v>
      </x:c>
      <x:c r="P75" s="17" t="n">
        <x:f>K75</x:f>
        <x:v>0</x:v>
      </x:c>
      <x:c r="Q75" s="17" t="n">
        <x:f>P75+O75</x:f>
        <x:v>0</x:v>
      </x:c>
      <x:c r="R75" s="17"/>
      <x:c r="S75" s="17"/>
      <x:c r="T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 t="n">
        <x:f>MAX(0,CEILING(L76,1)-IF(J76="Royal",5,3))*500</x:f>
        <x:v>0</x:v>
      </x:c>
      <x:c r="O76" s="17" t="n">
        <x:f>M76+N76</x:f>
        <x:v>0</x:v>
      </x:c>
      <x:c r="P76" s="17" t="n">
        <x:f>K76</x:f>
        <x:v>0</x:v>
      </x:c>
      <x:c r="Q76" s="17" t="n">
        <x:f>P76+O76</x:f>
        <x:v>0</x:v>
      </x:c>
      <x:c r="R76" s="17"/>
      <x:c r="S76" s="17"/>
      <x:c r="T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 t="n">
        <x:f>MAX(0,CEILING(L77,1)-IF(J77="Royal",5,3))*500</x:f>
        <x:v>0</x:v>
      </x:c>
      <x:c r="O77" s="17" t="n">
        <x:f>M77+N77</x:f>
        <x:v>0</x:v>
      </x:c>
      <x:c r="P77" s="17" t="n">
        <x:f>K77</x:f>
        <x:v>0</x:v>
      </x:c>
      <x:c r="Q77" s="17" t="n">
        <x:f>P77+O77</x:f>
        <x:v>0</x:v>
      </x:c>
      <x:c r="R77" s="17"/>
      <x:c r="S77" s="17"/>
      <x:c r="T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 t="n">
        <x:f>MAX(0,CEILING(L78,1)-IF(J78="Royal",5,3))*500</x:f>
        <x:v>0</x:v>
      </x:c>
      <x:c r="O78" s="17" t="n">
        <x:f>M78+N78</x:f>
        <x:v>0</x:v>
      </x:c>
      <x:c r="P78" s="17" t="n">
        <x:f>K78</x:f>
        <x:v>0</x:v>
      </x:c>
      <x:c r="Q78" s="17" t="n">
        <x:f>P78+O78</x:f>
        <x:v>0</x:v>
      </x:c>
      <x:c r="R78" s="17"/>
      <x:c r="S78" s="17"/>
      <x:c r="T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 t="n">
        <x:f>MAX(0,CEILING(L79,1)-IF(J79="Royal",5,3))*500</x:f>
        <x:v>0</x:v>
      </x:c>
      <x:c r="O79" s="17" t="n">
        <x:f>M79+N79</x:f>
        <x:v>0</x:v>
      </x:c>
      <x:c r="P79" s="17" t="n">
        <x:f>K79</x:f>
        <x:v>0</x:v>
      </x:c>
      <x:c r="Q79" s="17" t="n">
        <x:f>P79+O79</x:f>
        <x:v>0</x:v>
      </x:c>
      <x:c r="R79" s="17"/>
      <x:c r="S79" s="17"/>
      <x:c r="T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 t="n">
        <x:f>MAX(0,CEILING(L80,1)-IF(J80="Royal",5,3))*500</x:f>
        <x:v>0</x:v>
      </x:c>
      <x:c r="O80" s="17" t="n">
        <x:f>M80+N80</x:f>
        <x:v>0</x:v>
      </x:c>
      <x:c r="P80" s="17" t="n">
        <x:f>K80</x:f>
        <x:v>0</x:v>
      </x:c>
      <x:c r="Q80" s="17" t="n">
        <x:f>P80+O80</x:f>
        <x:v>0</x:v>
      </x:c>
      <x:c r="R80" s="17"/>
      <x:c r="S80" s="17"/>
      <x:c r="T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 t="n">
        <x:f>MAX(0,CEILING(L81,1)-IF(J81="Royal",5,3))*500</x:f>
        <x:v>0</x:v>
      </x:c>
      <x:c r="O81" s="17" t="n">
        <x:f>M81+N81</x:f>
        <x:v>0</x:v>
      </x:c>
      <x:c r="P81" s="17" t="n">
        <x:f>K81</x:f>
        <x:v>0</x:v>
      </x:c>
      <x:c r="Q81" s="17" t="n">
        <x:f>P81+O81</x:f>
        <x:v>0</x:v>
      </x:c>
      <x:c r="R81" s="17"/>
      <x:c r="S81" s="17"/>
      <x:c r="T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 t="n">
        <x:f>MAX(0,CEILING(L82,1)-IF(J82="Royal",5,3))*500</x:f>
        <x:v>0</x:v>
      </x:c>
      <x:c r="O82" s="17" t="n">
        <x:f>M82+N82</x:f>
        <x:v>0</x:v>
      </x:c>
      <x:c r="P82" s="17" t="n">
        <x:f>K82</x:f>
        <x:v>0</x:v>
      </x:c>
      <x:c r="Q82" s="17" t="n">
        <x:f>P82+O82</x:f>
        <x:v>0</x:v>
      </x:c>
      <x:c r="R82" s="17"/>
      <x:c r="S82" s="17"/>
      <x:c r="T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 t="n">
        <x:f>MAX(0,CEILING(L83,1)-IF(J83="Royal",5,3))*500</x:f>
        <x:v>0</x:v>
      </x:c>
      <x:c r="O83" s="17" t="n">
        <x:f>M83+N83</x:f>
        <x:v>0</x:v>
      </x:c>
      <x:c r="P83" s="17" t="n">
        <x:f>K83</x:f>
        <x:v>0</x:v>
      </x:c>
      <x:c r="Q83" s="17" t="n">
        <x:f>P83+O83</x:f>
        <x:v>0</x:v>
      </x:c>
      <x:c r="R83" s="17"/>
      <x:c r="S83" s="17"/>
      <x:c r="T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 t="n">
        <x:f>MAX(0,CEILING(L84,1)-IF(J84="Royal",5,3))*500</x:f>
        <x:v>0</x:v>
      </x:c>
      <x:c r="O84" s="17" t="n">
        <x:f>M84+N84</x:f>
        <x:v>0</x:v>
      </x:c>
      <x:c r="P84" s="17" t="n">
        <x:f>K84</x:f>
        <x:v>0</x:v>
      </x:c>
      <x:c r="Q84" s="17" t="n">
        <x:f>P84+O84</x:f>
        <x:v>0</x:v>
      </x:c>
      <x:c r="R84" s="17"/>
      <x:c r="S84" s="17"/>
      <x:c r="T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 t="n">
        <x:f>MAX(0,CEILING(L85,1)-IF(J85="Royal",5,3))*500</x:f>
        <x:v>0</x:v>
      </x:c>
      <x:c r="O85" s="17" t="n">
        <x:f>M85+N85</x:f>
        <x:v>0</x:v>
      </x:c>
      <x:c r="P85" s="17" t="n">
        <x:f>K85</x:f>
        <x:v>0</x:v>
      </x:c>
      <x:c r="Q85" s="17" t="n">
        <x:f>P85+O85</x:f>
        <x:v>0</x:v>
      </x:c>
      <x:c r="R85" s="17"/>
      <x:c r="S85" s="17"/>
      <x:c r="T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 t="n">
        <x:f>MAX(0,CEILING(L86,1)-IF(J86="Royal",5,3))*500</x:f>
        <x:v>0</x:v>
      </x:c>
      <x:c r="O86" s="17" t="n">
        <x:f>M86+N86</x:f>
        <x:v>0</x:v>
      </x:c>
      <x:c r="P86" s="17" t="n">
        <x:f>K86</x:f>
        <x:v>0</x:v>
      </x:c>
      <x:c r="Q86" s="17" t="n">
        <x:f>P86+O86</x:f>
        <x:v>0</x:v>
      </x:c>
      <x:c r="R86" s="17"/>
      <x:c r="S86" s="17"/>
      <x:c r="T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 t="n">
        <x:f>MAX(0,CEILING(L87,1)-IF(J87="Royal",5,3))*500</x:f>
        <x:v>0</x:v>
      </x:c>
      <x:c r="O87" s="17" t="n">
        <x:f>M87+N87</x:f>
        <x:v>0</x:v>
      </x:c>
      <x:c r="P87" s="17" t="n">
        <x:f>K87</x:f>
        <x:v>0</x:v>
      </x:c>
      <x:c r="Q87" s="17" t="n">
        <x:f>P87+O87</x:f>
        <x:v>0</x:v>
      </x:c>
      <x:c r="R87" s="17"/>
      <x:c r="S87" s="17"/>
      <x:c r="T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 t="n">
        <x:f>MAX(0,CEILING(L88,1)-IF(J88="Royal",5,3))*500</x:f>
        <x:v>0</x:v>
      </x:c>
      <x:c r="O88" s="17" t="n">
        <x:f>M88+N88</x:f>
        <x:v>0</x:v>
      </x:c>
      <x:c r="P88" s="17" t="n">
        <x:f>K88</x:f>
        <x:v>0</x:v>
      </x:c>
      <x:c r="Q88" s="17" t="n">
        <x:f>P88+O88</x:f>
        <x:v>0</x:v>
      </x:c>
      <x:c r="R88" s="17"/>
      <x:c r="S88" s="17"/>
      <x:c r="T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 t="n">
        <x:f>MAX(0,CEILING(L89,1)-IF(J89="Royal",5,3))*500</x:f>
        <x:v>0</x:v>
      </x:c>
      <x:c r="O89" s="17" t="n">
        <x:f>M89+N89</x:f>
        <x:v>0</x:v>
      </x:c>
      <x:c r="P89" s="17" t="n">
        <x:f>K89</x:f>
        <x:v>0</x:v>
      </x:c>
      <x:c r="Q89" s="17" t="n">
        <x:f>P89+O89</x:f>
        <x:v>0</x:v>
      </x:c>
      <x:c r="R89" s="17"/>
      <x:c r="S89" s="17"/>
      <x:c r="T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 t="n">
        <x:f>MAX(0,CEILING(L90,1)-IF(J90="Royal",5,3))*500</x:f>
        <x:v>0</x:v>
      </x:c>
      <x:c r="O90" s="17" t="n">
        <x:f>M90+N90</x:f>
        <x:v>0</x:v>
      </x:c>
      <x:c r="P90" s="17" t="n">
        <x:f>K90</x:f>
        <x:v>0</x:v>
      </x:c>
      <x:c r="Q90" s="17" t="n">
        <x:f>P90+O90</x:f>
        <x:v>0</x:v>
      </x:c>
      <x:c r="R90" s="17"/>
      <x:c r="S90" s="17"/>
      <x:c r="T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 t="n">
        <x:f>MAX(0,CEILING(L91,1)-IF(J91="Royal",5,3))*500</x:f>
        <x:v>0</x:v>
      </x:c>
      <x:c r="O91" s="17" t="n">
        <x:f>M91+N91</x:f>
        <x:v>0</x:v>
      </x:c>
      <x:c r="P91" s="17" t="n">
        <x:f>K91</x:f>
        <x:v>0</x:v>
      </x:c>
      <x:c r="Q91" s="17" t="n">
        <x:f>P91+O91</x:f>
        <x:v>0</x:v>
      </x:c>
      <x:c r="R91" s="17"/>
      <x:c r="S91" s="17"/>
      <x:c r="T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 t="n">
        <x:f>MAX(0,CEILING(L92,1)-IF(J92="Royal",5,3))*500</x:f>
        <x:v>0</x:v>
      </x:c>
      <x:c r="O92" s="17" t="n">
        <x:f>M92+N92</x:f>
        <x:v>0</x:v>
      </x:c>
      <x:c r="P92" s="17" t="n">
        <x:f>K92</x:f>
        <x:v>0</x:v>
      </x:c>
      <x:c r="Q92" s="17" t="n">
        <x:f>P92+O92</x:f>
        <x:v>0</x:v>
      </x:c>
      <x:c r="R92" s="17"/>
      <x:c r="S92" s="17"/>
      <x:c r="T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 t="n">
        <x:f>MAX(0,CEILING(L93,1)-IF(J93="Royal",5,3))*500</x:f>
        <x:v>0</x:v>
      </x:c>
      <x:c r="O93" s="17" t="n">
        <x:f>M93+N93</x:f>
        <x:v>0</x:v>
      </x:c>
      <x:c r="P93" s="17" t="n">
        <x:f>K93</x:f>
        <x:v>0</x:v>
      </x:c>
      <x:c r="Q93" s="17" t="n">
        <x:f>P93+O93</x:f>
        <x:v>0</x:v>
      </x:c>
      <x:c r="R93" s="17"/>
      <x:c r="S93" s="17"/>
      <x:c r="T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 t="n">
        <x:f>MAX(0,CEILING(L94,1)-IF(J94="Royal",5,3))*500</x:f>
        <x:v>0</x:v>
      </x:c>
      <x:c r="O94" s="17" t="n">
        <x:f>M94+N94</x:f>
        <x:v>0</x:v>
      </x:c>
      <x:c r="P94" s="17" t="n">
        <x:f>K94</x:f>
        <x:v>0</x:v>
      </x:c>
      <x:c r="Q94" s="17" t="n">
        <x:f>P94+O94</x:f>
        <x:v>0</x:v>
      </x:c>
      <x:c r="R94" s="17"/>
      <x:c r="S94" s="17"/>
      <x:c r="T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 t="n">
        <x:f>MAX(0,CEILING(L95,1)-IF(J95="Royal",5,3))*500</x:f>
        <x:v>0</x:v>
      </x:c>
      <x:c r="O95" s="17" t="n">
        <x:f>M95+N95</x:f>
        <x:v>0</x:v>
      </x:c>
      <x:c r="P95" s="17" t="n">
        <x:f>K95</x:f>
        <x:v>0</x:v>
      </x:c>
      <x:c r="Q95" s="17" t="n">
        <x:f>P95+O95</x:f>
        <x:v>0</x:v>
      </x:c>
      <x:c r="R95" s="17"/>
      <x:c r="S95" s="17"/>
      <x:c r="T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 t="n">
        <x:f>MAX(0,CEILING(L96,1)-IF(J96="Royal",5,3))*500</x:f>
        <x:v>0</x:v>
      </x:c>
      <x:c r="O96" s="17" t="n">
        <x:f>M96+N96</x:f>
        <x:v>0</x:v>
      </x:c>
      <x:c r="P96" s="17" t="n">
        <x:f>K96</x:f>
        <x:v>0</x:v>
      </x:c>
      <x:c r="Q96" s="17" t="n">
        <x:f>P96+O96</x:f>
        <x:v>0</x:v>
      </x:c>
      <x:c r="R96" s="17"/>
      <x:c r="S96" s="17"/>
      <x:c r="T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 t="n">
        <x:f>MAX(0,CEILING(L97,1)-IF(J97="Royal",5,3))*500</x:f>
        <x:v>0</x:v>
      </x:c>
      <x:c r="O97" s="17" t="n">
        <x:f>M97+N97</x:f>
        <x:v>0</x:v>
      </x:c>
      <x:c r="P97" s="17" t="n">
        <x:f>K97</x:f>
        <x:v>0</x:v>
      </x:c>
      <x:c r="Q97" s="17" t="n">
        <x:f>P97+O97</x:f>
        <x:v>0</x:v>
      </x:c>
      <x:c r="R97" s="17"/>
      <x:c r="S97" s="17"/>
      <x:c r="T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 t="n">
        <x:f>MAX(0,CEILING(L98,1)-IF(J98="Royal",5,3))*500</x:f>
        <x:v>0</x:v>
      </x:c>
      <x:c r="O98" s="17" t="n">
        <x:f>M98+N98</x:f>
        <x:v>0</x:v>
      </x:c>
      <x:c r="P98" s="17" t="n">
        <x:f>K98</x:f>
        <x:v>0</x:v>
      </x:c>
      <x:c r="Q98" s="17" t="n">
        <x:f>P98+O98</x:f>
        <x:v>0</x:v>
      </x:c>
      <x:c r="R98" s="17"/>
      <x:c r="S98" s="17"/>
      <x:c r="T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 t="n">
        <x:f>MAX(0,CEILING(L99,1)-IF(J99="Royal",5,3))*500</x:f>
        <x:v>0</x:v>
      </x:c>
      <x:c r="O99" s="17" t="n">
        <x:f>M99+N99</x:f>
        <x:v>0</x:v>
      </x:c>
      <x:c r="P99" s="17" t="n">
        <x:f>K99</x:f>
        <x:v>0</x:v>
      </x:c>
      <x:c r="Q99" s="17" t="n">
        <x:f>P99+O99</x:f>
        <x:v>0</x:v>
      </x:c>
      <x:c r="R99" s="17"/>
      <x:c r="S99" s="17"/>
      <x:c r="T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 t="n">
        <x:f>MAX(0,CEILING(L100,1)-IF(J100="Royal",5,3))*500</x:f>
        <x:v>0</x:v>
      </x:c>
      <x:c r="O100" s="17" t="n">
        <x:f>M100+N100</x:f>
        <x:v>0</x:v>
      </x:c>
      <x:c r="P100" s="17" t="n">
        <x:f>K100</x:f>
        <x:v>0</x:v>
      </x:c>
      <x:c r="Q100" s="17" t="n">
        <x:f>P100+O100</x:f>
        <x:v>0</x:v>
      </x:c>
      <x:c r="R100" s="17"/>
      <x:c r="S100" s="17"/>
      <x:c r="T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 t="n">
        <x:f>MAX(0,CEILING(L101,1)-IF(J101="Royal",5,3))*500</x:f>
        <x:v>0</x:v>
      </x:c>
      <x:c r="O101" s="17" t="n">
        <x:f>M101+N101</x:f>
        <x:v>0</x:v>
      </x:c>
      <x:c r="P101" s="17" t="n">
        <x:f>K101</x:f>
        <x:v>0</x:v>
      </x:c>
      <x:c r="Q101" s="17" t="n">
        <x:f>P101+O101</x:f>
        <x:v>0</x:v>
      </x:c>
      <x:c r="R101" s="17"/>
      <x:c r="S101" s="17"/>
      <x:c r="T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 t="n">
        <x:f>MAX(0,CEILING(L102,1)-IF(J102="Royal",5,3))*500</x:f>
        <x:v>0</x:v>
      </x:c>
      <x:c r="O102" s="17" t="n">
        <x:f>M102+N102</x:f>
        <x:v>0</x:v>
      </x:c>
      <x:c r="P102" s="17" t="n">
        <x:f>K102</x:f>
        <x:v>0</x:v>
      </x:c>
      <x:c r="Q102" s="17" t="n">
        <x:f>P102+O102</x:f>
        <x:v>0</x:v>
      </x:c>
      <x:c r="R102" s="17"/>
      <x:c r="S102" s="17"/>
      <x:c r="T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 t="n">
        <x:f>MAX(0,CEILING(L103,1)-IF(J103="Royal",5,3))*500</x:f>
        <x:v>0</x:v>
      </x:c>
      <x:c r="O103" s="17" t="n">
        <x:f>M103+N103</x:f>
        <x:v>0</x:v>
      </x:c>
      <x:c r="P103" s="17" t="n">
        <x:f>K103</x:f>
        <x:v>0</x:v>
      </x:c>
      <x:c r="Q103" s="17" t="n">
        <x:f>P103+O103</x:f>
        <x:v>0</x:v>
      </x:c>
      <x:c r="R103" s="17"/>
      <x:c r="S103" s="17"/>
      <x:c r="T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 t="n">
        <x:f>MAX(0,CEILING(L104,1)-IF(J104="Royal",5,3))*500</x:f>
        <x:v>0</x:v>
      </x:c>
      <x:c r="O104" s="17" t="n">
        <x:f>M104+N104</x:f>
        <x:v>0</x:v>
      </x:c>
      <x:c r="P104" s="17" t="n">
        <x:f>K104</x:f>
        <x:v>0</x:v>
      </x:c>
      <x:c r="Q104" s="17" t="n">
        <x:f>P104+O104</x:f>
        <x:v>0</x:v>
      </x:c>
      <x:c r="R104" s="17"/>
      <x:c r="S104" s="17"/>
      <x:c r="T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 t="n">
        <x:f>MAX(0,CEILING(L105,1)-IF(J105="Royal",5,3))*500</x:f>
        <x:v>0</x:v>
      </x:c>
      <x:c r="O105" s="17" t="n">
        <x:f>M105+N105</x:f>
        <x:v>0</x:v>
      </x:c>
      <x:c r="P105" s="17" t="n">
        <x:f>K105</x:f>
        <x:v>0</x:v>
      </x:c>
      <x:c r="Q105" s="17" t="n">
        <x:f>P105+O105</x:f>
        <x:v>0</x:v>
      </x:c>
      <x:c r="R105" s="17"/>
      <x:c r="S105" s="17"/>
      <x:c r="T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 t="n">
        <x:f>MAX(0,CEILING(L106,1)-IF(J106="Royal",5,3))*500</x:f>
        <x:v>0</x:v>
      </x:c>
      <x:c r="O106" s="17" t="n">
        <x:f>M106+N106</x:f>
        <x:v>0</x:v>
      </x:c>
      <x:c r="P106" s="17" t="n">
        <x:f>K106</x:f>
        <x:v>0</x:v>
      </x:c>
      <x:c r="Q106" s="17" t="n">
        <x:f>P106+O106</x:f>
        <x:v>0</x:v>
      </x:c>
      <x:c r="R106" s="17"/>
      <x:c r="S106" s="17"/>
      <x:c r="T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 t="n">
        <x:f>MAX(0,CEILING(L107,1)-IF(J107="Royal",5,3))*500</x:f>
        <x:v>0</x:v>
      </x:c>
      <x:c r="O107" s="17" t="n">
        <x:f>M107+N107</x:f>
        <x:v>0</x:v>
      </x:c>
      <x:c r="P107" s="17" t="n">
        <x:f>K107</x:f>
        <x:v>0</x:v>
      </x:c>
      <x:c r="Q107" s="17" t="n">
        <x:f>P107+O107</x:f>
        <x:v>0</x:v>
      </x:c>
      <x:c r="R107" s="17"/>
      <x:c r="S107" s="17"/>
      <x:c r="T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 t="n">
        <x:f>MAX(0,CEILING(L108,1)-IF(J108="Royal",5,3))*500</x:f>
        <x:v>0</x:v>
      </x:c>
      <x:c r="O108" s="17" t="n">
        <x:f>M108+N108</x:f>
        <x:v>0</x:v>
      </x:c>
      <x:c r="P108" s="17" t="n">
        <x:f>K108</x:f>
        <x:v>0</x:v>
      </x:c>
      <x:c r="Q108" s="17" t="n">
        <x:f>P108+O108</x:f>
        <x:v>0</x:v>
      </x:c>
      <x:c r="R108" s="17"/>
      <x:c r="S108" s="17"/>
      <x:c r="T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 t="n">
        <x:f>MAX(0,CEILING(L109,1)-IF(J109="Royal",5,3))*500</x:f>
        <x:v>0</x:v>
      </x:c>
      <x:c r="O109" s="17" t="n">
        <x:f>M109+N109</x:f>
        <x:v>0</x:v>
      </x:c>
      <x:c r="P109" s="17" t="n">
        <x:f>K109</x:f>
        <x:v>0</x:v>
      </x:c>
      <x:c r="Q109" s="17" t="n">
        <x:f>P109+O109</x:f>
        <x:v>0</x:v>
      </x:c>
      <x:c r="R109" s="17"/>
      <x:c r="S109" s="17"/>
      <x:c r="T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 t="n">
        <x:f>MAX(0,CEILING(L110,1)-IF(J110="Royal",5,3))*500</x:f>
        <x:v>0</x:v>
      </x:c>
      <x:c r="O110" s="17" t="n">
        <x:f>M110+N110</x:f>
        <x:v>0</x:v>
      </x:c>
      <x:c r="P110" s="17" t="n">
        <x:f>K110</x:f>
        <x:v>0</x:v>
      </x:c>
      <x:c r="Q110" s="17" t="n">
        <x:f>P110+O110</x:f>
        <x:v>0</x:v>
      </x:c>
      <x:c r="R110" s="17"/>
      <x:c r="S110" s="17"/>
      <x:c r="T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 t="n">
        <x:f>MAX(0,CEILING(L111,1)-IF(J111="Royal",5,3))*500</x:f>
        <x:v>0</x:v>
      </x:c>
      <x:c r="O111" s="17" t="n">
        <x:f>M111+N111</x:f>
        <x:v>0</x:v>
      </x:c>
      <x:c r="P111" s="17" t="n">
        <x:f>K111</x:f>
        <x:v>0</x:v>
      </x:c>
      <x:c r="Q111" s="17" t="n">
        <x:f>P111+O111</x:f>
        <x:v>0</x:v>
      </x:c>
      <x:c r="R111" s="17"/>
      <x:c r="S111" s="17"/>
      <x:c r="T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 t="n">
        <x:f>MAX(0,CEILING(L112,1)-IF(J112="Royal",5,3))*500</x:f>
        <x:v>0</x:v>
      </x:c>
      <x:c r="O112" s="17" t="n">
        <x:f>M112+N112</x:f>
        <x:v>0</x:v>
      </x:c>
      <x:c r="P112" s="17" t="n">
        <x:f>K112</x:f>
        <x:v>0</x:v>
      </x:c>
      <x:c r="Q112" s="17" t="n">
        <x:f>P112+O112</x:f>
        <x:v>0</x:v>
      </x:c>
      <x:c r="R112" s="17"/>
      <x:c r="S112" s="17"/>
      <x:c r="T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 t="n">
        <x:f>MAX(0,CEILING(L113,1)-IF(J113="Royal",5,3))*500</x:f>
        <x:v>0</x:v>
      </x:c>
      <x:c r="O113" s="17" t="n">
        <x:f>M113+N113</x:f>
        <x:v>0</x:v>
      </x:c>
      <x:c r="P113" s="17" t="n">
        <x:f>K113</x:f>
        <x:v>0</x:v>
      </x:c>
      <x:c r="Q113" s="17" t="n">
        <x:f>P113+O113</x:f>
        <x:v>0</x:v>
      </x:c>
      <x:c r="R113" s="17"/>
      <x:c r="S113" s="17"/>
      <x:c r="T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 t="n">
        <x:f>MAX(0,CEILING(L114,1)-IF(J114="Royal",5,3))*500</x:f>
        <x:v>0</x:v>
      </x:c>
      <x:c r="O114" s="17" t="n">
        <x:f>M114+N114</x:f>
        <x:v>0</x:v>
      </x:c>
      <x:c r="P114" s="17" t="n">
        <x:f>K114</x:f>
        <x:v>0</x:v>
      </x:c>
      <x:c r="Q114" s="17" t="n">
        <x:f>P114+O114</x:f>
        <x:v>0</x:v>
      </x:c>
      <x:c r="R114" s="17"/>
      <x:c r="S114" s="17"/>
      <x:c r="T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 t="n">
        <x:f>MAX(0,CEILING(L115,1)-IF(J115="Royal",5,3))*500</x:f>
        <x:v>0</x:v>
      </x:c>
      <x:c r="O115" s="17" t="n">
        <x:f>M115+N115</x:f>
        <x:v>0</x:v>
      </x:c>
      <x:c r="P115" s="17" t="n">
        <x:f>K115</x:f>
        <x:v>0</x:v>
      </x:c>
      <x:c r="Q115" s="17" t="n">
        <x:f>P115+O115</x:f>
        <x:v>0</x:v>
      </x:c>
      <x:c r="R115" s="17"/>
      <x:c r="S115" s="17"/>
      <x:c r="T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 t="n">
        <x:f>MAX(0,CEILING(L116,1)-IF(J116="Royal",5,3))*500</x:f>
        <x:v>0</x:v>
      </x:c>
      <x:c r="O116" s="17" t="n">
        <x:f>M116+N116</x:f>
        <x:v>0</x:v>
      </x:c>
      <x:c r="P116" s="17" t="n">
        <x:f>K116</x:f>
        <x:v>0</x:v>
      </x:c>
      <x:c r="Q116" s="17" t="n">
        <x:f>P116+O116</x:f>
        <x:v>0</x:v>
      </x:c>
      <x:c r="R116" s="17"/>
      <x:c r="S116" s="17"/>
      <x:c r="T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 t="n">
        <x:f>MAX(0,CEILING(L117,1)-IF(J117="Royal",5,3))*500</x:f>
        <x:v>0</x:v>
      </x:c>
      <x:c r="O117" s="17" t="n">
        <x:f>M117+N117</x:f>
        <x:v>0</x:v>
      </x:c>
      <x:c r="P117" s="17" t="n">
        <x:f>K117</x:f>
        <x:v>0</x:v>
      </x:c>
      <x:c r="Q117" s="17" t="n">
        <x:f>P117+O117</x:f>
        <x:v>0</x:v>
      </x:c>
      <x:c r="R117" s="17"/>
      <x:c r="S117" s="17"/>
      <x:c r="T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 t="n">
        <x:f>MAX(0,CEILING(L118,1)-IF(J118="Royal",5,3))*500</x:f>
        <x:v>0</x:v>
      </x:c>
      <x:c r="O118" s="17" t="n">
        <x:f>M118+N118</x:f>
        <x:v>0</x:v>
      </x:c>
      <x:c r="P118" s="17" t="n">
        <x:f>K118</x:f>
        <x:v>0</x:v>
      </x:c>
      <x:c r="Q118" s="17" t="n">
        <x:f>P118+O118</x:f>
        <x:v>0</x:v>
      </x:c>
      <x:c r="R118" s="17"/>
      <x:c r="S118" s="17"/>
      <x:c r="T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 t="n">
        <x:f>MAX(0,CEILING(L119,1)-IF(J119="Royal",5,3))*500</x:f>
        <x:v>0</x:v>
      </x:c>
      <x:c r="O119" s="17" t="n">
        <x:f>M119+N119</x:f>
        <x:v>0</x:v>
      </x:c>
      <x:c r="P119" s="17" t="n">
        <x:f>K119</x:f>
        <x:v>0</x:v>
      </x:c>
      <x:c r="Q119" s="17" t="n">
        <x:f>P119+O119</x:f>
        <x:v>0</x:v>
      </x:c>
      <x:c r="R119" s="17"/>
      <x:c r="S119" s="17"/>
      <x:c r="T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 t="n">
        <x:f>MAX(0,CEILING(L120,1)-IF(J120="Royal",5,3))*500</x:f>
        <x:v>0</x:v>
      </x:c>
      <x:c r="O120" s="17" t="n">
        <x:f>M120+N120</x:f>
        <x:v>0</x:v>
      </x:c>
      <x:c r="P120" s="17" t="n">
        <x:f>K120</x:f>
        <x:v>0</x:v>
      </x:c>
      <x:c r="Q120" s="17" t="n">
        <x:f>P120+O120</x:f>
        <x:v>0</x:v>
      </x:c>
      <x:c r="R120" s="17"/>
      <x:c r="S120" s="17"/>
      <x:c r="T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 t="n">
        <x:f>MAX(0,CEILING(L121,1)-IF(J121="Royal",5,3))*500</x:f>
        <x:v>0</x:v>
      </x:c>
      <x:c r="O121" s="17" t="n">
        <x:f>M121+N121</x:f>
        <x:v>0</x:v>
      </x:c>
      <x:c r="P121" s="17" t="n">
        <x:f>K121</x:f>
        <x:v>0</x:v>
      </x:c>
      <x:c r="Q121" s="17" t="n">
        <x:f>P121+O121</x:f>
        <x:v>0</x:v>
      </x:c>
      <x:c r="R121" s="17"/>
      <x:c r="S121" s="17"/>
      <x:c r="T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 t="n">
        <x:f>MAX(0,CEILING(L122,1)-IF(J122="Royal",5,3))*500</x:f>
        <x:v>0</x:v>
      </x:c>
      <x:c r="O122" s="17" t="n">
        <x:f>M122+N122</x:f>
        <x:v>0</x:v>
      </x:c>
      <x:c r="P122" s="17" t="n">
        <x:f>K122</x:f>
        <x:v>0</x:v>
      </x:c>
      <x:c r="Q122" s="17" t="n">
        <x:f>P122+O122</x:f>
        <x:v>0</x:v>
      </x:c>
      <x:c r="R122" s="17"/>
      <x:c r="S122" s="17"/>
      <x:c r="T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 t="n">
        <x:f>MAX(0,CEILING(L123,1)-IF(J123="Royal",5,3))*500</x:f>
        <x:v>0</x:v>
      </x:c>
      <x:c r="O123" s="17" t="n">
        <x:f>M123+N123</x:f>
        <x:v>0</x:v>
      </x:c>
      <x:c r="P123" s="17" t="n">
        <x:f>K123</x:f>
        <x:v>0</x:v>
      </x:c>
      <x:c r="Q123" s="17" t="n">
        <x:f>P123+O123</x:f>
        <x:v>0</x:v>
      </x:c>
      <x:c r="R123" s="17"/>
      <x:c r="S123" s="17"/>
      <x:c r="T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 t="n">
        <x:f>MAX(0,CEILING(L124,1)-IF(J124="Royal",5,3))*500</x:f>
        <x:v>0</x:v>
      </x:c>
      <x:c r="O124" s="17" t="n">
        <x:f>M124+N124</x:f>
        <x:v>0</x:v>
      </x:c>
      <x:c r="P124" s="17" t="n">
        <x:f>K124</x:f>
        <x:v>0</x:v>
      </x:c>
      <x:c r="Q124" s="17" t="n">
        <x:f>P124+O124</x:f>
        <x:v>0</x:v>
      </x:c>
      <x:c r="R124" s="17"/>
      <x:c r="S124" s="17"/>
      <x:c r="T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 t="n">
        <x:f>MAX(0,CEILING(L125,1)-IF(J125="Royal",5,3))*500</x:f>
        <x:v>0</x:v>
      </x:c>
      <x:c r="O125" s="17" t="n">
        <x:f>M125+N125</x:f>
        <x:v>0</x:v>
      </x:c>
      <x:c r="P125" s="17" t="n">
        <x:f>K125</x:f>
        <x:v>0</x:v>
      </x:c>
      <x:c r="Q125" s="17" t="n">
        <x:f>P125+O125</x:f>
        <x:v>0</x:v>
      </x:c>
      <x:c r="R125" s="17"/>
      <x:c r="S125" s="17"/>
      <x:c r="T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 t="n">
        <x:f>MAX(0,CEILING(L126,1)-IF(J126="Royal",5,3))*500</x:f>
        <x:v>0</x:v>
      </x:c>
      <x:c r="O126" s="17" t="n">
        <x:f>M126+N126</x:f>
        <x:v>0</x:v>
      </x:c>
      <x:c r="P126" s="17" t="n">
        <x:f>K126</x:f>
        <x:v>0</x:v>
      </x:c>
      <x:c r="Q126" s="17" t="n">
        <x:f>P126+O126</x:f>
        <x:v>0</x:v>
      </x:c>
      <x:c r="R126" s="17"/>
      <x:c r="S126" s="17"/>
      <x:c r="T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 t="n">
        <x:f>MAX(0,CEILING(L127,1)-IF(J127="Royal",5,3))*500</x:f>
        <x:v>0</x:v>
      </x:c>
      <x:c r="O127" s="17" t="n">
        <x:f>M127+N127</x:f>
        <x:v>0</x:v>
      </x:c>
      <x:c r="P127" s="17" t="n">
        <x:f>K127</x:f>
        <x:v>0</x:v>
      </x:c>
      <x:c r="Q127" s="17" t="n">
        <x:f>P127+O127</x:f>
        <x:v>0</x:v>
      </x:c>
      <x:c r="R127" s="17"/>
      <x:c r="S127" s="17"/>
      <x:c r="T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 t="n">
        <x:f>MAX(0,CEILING(L128,1)-IF(J128="Royal",5,3))*500</x:f>
        <x:v>0</x:v>
      </x:c>
      <x:c r="O128" s="17" t="n">
        <x:f>M128+N128</x:f>
        <x:v>0</x:v>
      </x:c>
      <x:c r="P128" s="17" t="n">
        <x:f>K128</x:f>
        <x:v>0</x:v>
      </x:c>
      <x:c r="Q128" s="17" t="n">
        <x:f>P128+O128</x:f>
        <x:v>0</x:v>
      </x:c>
      <x:c r="R128" s="17"/>
      <x:c r="S128" s="17"/>
      <x:c r="T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 t="n">
        <x:f>MAX(0,CEILING(L129,1)-IF(J129="Royal",5,3))*500</x:f>
        <x:v>0</x:v>
      </x:c>
      <x:c r="O129" s="17" t="n">
        <x:f>M129+N129</x:f>
        <x:v>0</x:v>
      </x:c>
      <x:c r="P129" s="17" t="n">
        <x:f>K129</x:f>
        <x:v>0</x:v>
      </x:c>
      <x:c r="Q129" s="17" t="n">
        <x:f>P129+O129</x:f>
        <x:v>0</x:v>
      </x:c>
      <x:c r="R129" s="17"/>
      <x:c r="S129" s="17"/>
      <x:c r="T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 t="n">
        <x:f>MAX(0,CEILING(L130,1)-IF(J130="Royal",5,3))*500</x:f>
        <x:v>0</x:v>
      </x:c>
      <x:c r="O130" s="17" t="n">
        <x:f>M130+N130</x:f>
        <x:v>0</x:v>
      </x:c>
      <x:c r="P130" s="17" t="n">
        <x:f>K130</x:f>
        <x:v>0</x:v>
      </x:c>
      <x:c r="Q130" s="17" t="n">
        <x:f>P130+O130</x:f>
        <x:v>0</x:v>
      </x:c>
      <x:c r="R130" s="17"/>
      <x:c r="S130" s="17"/>
      <x:c r="T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 t="n">
        <x:f>MAX(0,CEILING(L131,1)-IF(J131="Royal",5,3))*500</x:f>
        <x:v>0</x:v>
      </x:c>
      <x:c r="O131" s="17" t="n">
        <x:f>M131+N131</x:f>
        <x:v>0</x:v>
      </x:c>
      <x:c r="P131" s="17" t="n">
        <x:f>K131</x:f>
        <x:v>0</x:v>
      </x:c>
      <x:c r="Q131" s="17" t="n">
        <x:f>P131+O131</x:f>
        <x:v>0</x:v>
      </x:c>
      <x:c r="R131" s="17"/>
      <x:c r="S131" s="17"/>
      <x:c r="T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 t="n">
        <x:f>MAX(0,CEILING(L132,1)-IF(J132="Royal",5,3))*500</x:f>
        <x:v>0</x:v>
      </x:c>
      <x:c r="O132" s="17" t="n">
        <x:f>M132+N132</x:f>
        <x:v>0</x:v>
      </x:c>
      <x:c r="P132" s="17" t="n">
        <x:f>K132</x:f>
        <x:v>0</x:v>
      </x:c>
      <x:c r="Q132" s="17" t="n">
        <x:f>P132+O132</x:f>
        <x:v>0</x:v>
      </x:c>
      <x:c r="R132" s="17"/>
      <x:c r="S132" s="17"/>
      <x:c r="T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 t="n">
        <x:f>MAX(0,CEILING(L133,1)-IF(J133="Royal",5,3))*500</x:f>
        <x:v>0</x:v>
      </x:c>
      <x:c r="O133" s="17" t="n">
        <x:f>M133+N133</x:f>
        <x:v>0</x:v>
      </x:c>
      <x:c r="P133" s="17" t="n">
        <x:f>K133</x:f>
        <x:v>0</x:v>
      </x:c>
      <x:c r="Q133" s="17" t="n">
        <x:f>P133+O133</x:f>
        <x:v>0</x:v>
      </x:c>
      <x:c r="R133" s="17"/>
      <x:c r="S133" s="17"/>
      <x:c r="T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 t="n">
        <x:f>MAX(0,CEILING(L134,1)-IF(J134="Royal",5,3))*500</x:f>
        <x:v>0</x:v>
      </x:c>
      <x:c r="O134" s="17" t="n">
        <x:f>M134+N134</x:f>
        <x:v>0</x:v>
      </x:c>
      <x:c r="P134" s="17" t="n">
        <x:f>K134</x:f>
        <x:v>0</x:v>
      </x:c>
      <x:c r="Q134" s="17" t="n">
        <x:f>P134+O134</x:f>
        <x:v>0</x:v>
      </x:c>
      <x:c r="R134" s="17"/>
      <x:c r="S134" s="17"/>
      <x:c r="T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 t="n">
        <x:f>MAX(0,CEILING(L135,1)-IF(J135="Royal",5,3))*500</x:f>
        <x:v>0</x:v>
      </x:c>
      <x:c r="O135" s="17" t="n">
        <x:f>M135+N135</x:f>
        <x:v>0</x:v>
      </x:c>
      <x:c r="P135" s="17" t="n">
        <x:f>K135</x:f>
        <x:v>0</x:v>
      </x:c>
      <x:c r="Q135" s="17" t="n">
        <x:f>P135+O135</x:f>
        <x:v>0</x:v>
      </x:c>
      <x:c r="R135" s="17"/>
      <x:c r="S135" s="17"/>
      <x:c r="T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 t="n">
        <x:f>MAX(0,CEILING(L136,1)-IF(J136="Royal",5,3))*500</x:f>
        <x:v>0</x:v>
      </x:c>
      <x:c r="O136" s="17" t="n">
        <x:f>M136+N136</x:f>
        <x:v>0</x:v>
      </x:c>
      <x:c r="P136" s="17" t="n">
        <x:f>K136</x:f>
        <x:v>0</x:v>
      </x:c>
      <x:c r="Q136" s="17" t="n">
        <x:f>P136+O136</x:f>
        <x:v>0</x:v>
      </x:c>
      <x:c r="R136" s="17"/>
      <x:c r="S136" s="17"/>
      <x:c r="T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 t="n">
        <x:f>MAX(0,CEILING(L137,1)-IF(J137="Royal",5,3))*500</x:f>
        <x:v>0</x:v>
      </x:c>
      <x:c r="O137" s="17" t="n">
        <x:f>M137+N137</x:f>
        <x:v>0</x:v>
      </x:c>
      <x:c r="P137" s="17" t="n">
        <x:f>K137</x:f>
        <x:v>0</x:v>
      </x:c>
      <x:c r="Q137" s="17" t="n">
        <x:f>P137+O137</x:f>
        <x:v>0</x:v>
      </x:c>
      <x:c r="R137" s="17"/>
      <x:c r="S137" s="17"/>
      <x:c r="T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 t="n">
        <x:f>MAX(0,CEILING(L138,1)-IF(J138="Royal",5,3))*500</x:f>
        <x:v>0</x:v>
      </x:c>
      <x:c r="O138" s="17" t="n">
        <x:f>M138+N138</x:f>
        <x:v>0</x:v>
      </x:c>
      <x:c r="P138" s="17" t="n">
        <x:f>K138</x:f>
        <x:v>0</x:v>
      </x:c>
      <x:c r="Q138" s="17" t="n">
        <x:f>P138+O138</x:f>
        <x:v>0</x:v>
      </x:c>
      <x:c r="R138" s="17"/>
      <x:c r="S138" s="17"/>
      <x:c r="T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 t="n">
        <x:f>MAX(0,CEILING(L139,1)-IF(J139="Royal",5,3))*500</x:f>
        <x:v>0</x:v>
      </x:c>
      <x:c r="O139" s="17" t="n">
        <x:f>M139+N139</x:f>
        <x:v>0</x:v>
      </x:c>
      <x:c r="P139" s="17" t="n">
        <x:f>K139</x:f>
        <x:v>0</x:v>
      </x:c>
      <x:c r="Q139" s="17" t="n">
        <x:f>P139+O139</x:f>
        <x:v>0</x:v>
      </x:c>
      <x:c r="R139" s="17"/>
      <x:c r="S139" s="17"/>
      <x:c r="T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 t="n">
        <x:f>MAX(0,CEILING(L140,1)-IF(J140="Royal",5,3))*500</x:f>
        <x:v>0</x:v>
      </x:c>
      <x:c r="O140" s="17" t="n">
        <x:f>M140+N140</x:f>
        <x:v>0</x:v>
      </x:c>
      <x:c r="P140" s="17" t="n">
        <x:f>K140</x:f>
        <x:v>0</x:v>
      </x:c>
      <x:c r="Q140" s="17" t="n">
        <x:f>P140+O140</x:f>
        <x:v>0</x:v>
      </x:c>
      <x:c r="R140" s="17"/>
      <x:c r="S140" s="17"/>
      <x:c r="T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 t="n">
        <x:f>MAX(0,CEILING(L141,1)-IF(J141="Royal",5,3))*500</x:f>
        <x:v>0</x:v>
      </x:c>
      <x:c r="O141" s="17" t="n">
        <x:f>M141+N141</x:f>
        <x:v>0</x:v>
      </x:c>
      <x:c r="P141" s="17" t="n">
        <x:f>K141</x:f>
        <x:v>0</x:v>
      </x:c>
      <x:c r="Q141" s="17" t="n">
        <x:f>P141+O141</x:f>
        <x:v>0</x:v>
      </x:c>
      <x:c r="R141" s="17"/>
      <x:c r="S141" s="17"/>
      <x:c r="T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 t="n">
        <x:f>MAX(0,CEILING(L142,1)-IF(J142="Royal",5,3))*500</x:f>
        <x:v>0</x:v>
      </x:c>
      <x:c r="O142" s="17" t="n">
        <x:f>M142+N142</x:f>
        <x:v>0</x:v>
      </x:c>
      <x:c r="P142" s="17" t="n">
        <x:f>K142</x:f>
        <x:v>0</x:v>
      </x:c>
      <x:c r="Q142" s="17" t="n">
        <x:f>P142+O142</x:f>
        <x:v>0</x:v>
      </x:c>
      <x:c r="R142" s="17"/>
      <x:c r="S142" s="17"/>
      <x:c r="T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 t="n">
        <x:f>MAX(0,CEILING(L143,1)-IF(J143="Royal",5,3))*500</x:f>
        <x:v>0</x:v>
      </x:c>
      <x:c r="O143" s="17" t="n">
        <x:f>M143+N143</x:f>
        <x:v>0</x:v>
      </x:c>
      <x:c r="P143" s="17" t="n">
        <x:f>K143</x:f>
        <x:v>0</x:v>
      </x:c>
      <x:c r="Q143" s="17" t="n">
        <x:f>P143+O143</x:f>
        <x:v>0</x:v>
      </x:c>
      <x:c r="R143" s="17"/>
      <x:c r="S143" s="17"/>
      <x:c r="T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 t="n">
        <x:f>MAX(0,CEILING(L144,1)-IF(J144="Royal",5,3))*500</x:f>
        <x:v>0</x:v>
      </x:c>
      <x:c r="O144" s="17" t="n">
        <x:f>M144+N144</x:f>
        <x:v>0</x:v>
      </x:c>
      <x:c r="P144" s="17" t="n">
        <x:f>K144</x:f>
        <x:v>0</x:v>
      </x:c>
      <x:c r="Q144" s="17" t="n">
        <x:f>P144+O144</x:f>
        <x:v>0</x:v>
      </x:c>
      <x:c r="R144" s="17"/>
      <x:c r="S144" s="17"/>
      <x:c r="T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 t="n">
        <x:f>MAX(0,CEILING(L145,1)-IF(J145="Royal",5,3))*500</x:f>
        <x:v>0</x:v>
      </x:c>
      <x:c r="O145" s="17" t="n">
        <x:f>M145+N145</x:f>
        <x:v>0</x:v>
      </x:c>
      <x:c r="P145" s="17" t="n">
        <x:f>K145</x:f>
        <x:v>0</x:v>
      </x:c>
      <x:c r="Q145" s="17" t="n">
        <x:f>P145+O145</x:f>
        <x:v>0</x:v>
      </x:c>
      <x:c r="R145" s="17"/>
      <x:c r="S145" s="17"/>
      <x:c r="T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 t="n">
        <x:f>MAX(0,CEILING(L146,1)-IF(J146="Royal",5,3))*500</x:f>
        <x:v>0</x:v>
      </x:c>
      <x:c r="O146" s="17" t="n">
        <x:f>M146+N146</x:f>
        <x:v>0</x:v>
      </x:c>
      <x:c r="P146" s="17" t="n">
        <x:f>K146</x:f>
        <x:v>0</x:v>
      </x:c>
      <x:c r="Q146" s="17" t="n">
        <x:f>P146+O146</x:f>
        <x:v>0</x:v>
      </x:c>
      <x:c r="R146" s="17"/>
      <x:c r="S146" s="17"/>
      <x:c r="T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 t="n">
        <x:f>MAX(0,CEILING(L147,1)-IF(J147="Royal",5,3))*500</x:f>
        <x:v>0</x:v>
      </x:c>
      <x:c r="O147" s="17" t="n">
        <x:f>M147+N147</x:f>
        <x:v>0</x:v>
      </x:c>
      <x:c r="P147" s="17" t="n">
        <x:f>K147</x:f>
        <x:v>0</x:v>
      </x:c>
      <x:c r="Q147" s="17" t="n">
        <x:f>P147+O147</x:f>
        <x:v>0</x:v>
      </x:c>
      <x:c r="R147" s="17"/>
      <x:c r="S147" s="17"/>
      <x:c r="T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 t="n">
        <x:f>MAX(0,CEILING(L148,1)-IF(J148="Royal",5,3))*500</x:f>
        <x:v>0</x:v>
      </x:c>
      <x:c r="O148" s="17" t="n">
        <x:f>M148+N148</x:f>
        <x:v>0</x:v>
      </x:c>
      <x:c r="P148" s="17" t="n">
        <x:f>K148</x:f>
        <x:v>0</x:v>
      </x:c>
      <x:c r="Q148" s="17" t="n">
        <x:f>P148+O148</x:f>
        <x:v>0</x:v>
      </x:c>
      <x:c r="R148" s="17"/>
      <x:c r="S148" s="17"/>
      <x:c r="T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 t="n">
        <x:f>MAX(0,CEILING(L149,1)-IF(J149="Royal",5,3))*500</x:f>
        <x:v>0</x:v>
      </x:c>
      <x:c r="O149" s="17" t="n">
        <x:f>M149+N149</x:f>
        <x:v>0</x:v>
      </x:c>
      <x:c r="P149" s="17" t="n">
        <x:f>K149</x:f>
        <x:v>0</x:v>
      </x:c>
      <x:c r="Q149" s="17" t="n">
        <x:f>P149+O149</x:f>
        <x:v>0</x:v>
      </x:c>
      <x:c r="R149" s="17"/>
      <x:c r="S149" s="17"/>
      <x:c r="T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 t="n">
        <x:f>MAX(0,CEILING(L150,1)-IF(J150="Royal",5,3))*500</x:f>
        <x:v>0</x:v>
      </x:c>
      <x:c r="O150" s="17" t="n">
        <x:f>M150+N150</x:f>
        <x:v>0</x:v>
      </x:c>
      <x:c r="P150" s="17" t="n">
        <x:f>K150</x:f>
        <x:v>0</x:v>
      </x:c>
      <x:c r="Q150" s="17" t="n">
        <x:f>P150+O150</x:f>
        <x:v>0</x:v>
      </x:c>
      <x:c r="R150" s="17"/>
      <x:c r="S150" s="17"/>
      <x:c r="T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 t="n">
        <x:f>MAX(0,CEILING(L151,1)-IF(J151="Royal",5,3))*500</x:f>
        <x:v>0</x:v>
      </x:c>
      <x:c r="O151" s="17" t="n">
        <x:f>M151+N151</x:f>
        <x:v>0</x:v>
      </x:c>
      <x:c r="P151" s="17" t="n">
        <x:f>K151</x:f>
        <x:v>0</x:v>
      </x:c>
      <x:c r="Q151" s="17" t="n">
        <x:f>P151+O151</x:f>
        <x:v>0</x:v>
      </x:c>
      <x:c r="R151" s="17"/>
      <x:c r="S151" s="17"/>
      <x:c r="T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 t="n">
        <x:f>MAX(0,CEILING(L152,1)-IF(J152="Royal",5,3))*500</x:f>
        <x:v>0</x:v>
      </x:c>
      <x:c r="O152" s="17" t="n">
        <x:f>M152+N152</x:f>
        <x:v>0</x:v>
      </x:c>
      <x:c r="P152" s="17" t="n">
        <x:f>K152</x:f>
        <x:v>0</x:v>
      </x:c>
      <x:c r="Q152" s="17" t="n">
        <x:f>P152+O152</x:f>
        <x:v>0</x:v>
      </x:c>
      <x:c r="R152" s="17"/>
      <x:c r="S152" s="17"/>
      <x:c r="T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 t="n">
        <x:f>MAX(0,CEILING(L153,1)-IF(J153="Royal",5,3))*500</x:f>
        <x:v>0</x:v>
      </x:c>
      <x:c r="O153" s="17" t="n">
        <x:f>M153+N153</x:f>
        <x:v>0</x:v>
      </x:c>
      <x:c r="P153" s="17" t="n">
        <x:f>K153</x:f>
        <x:v>0</x:v>
      </x:c>
      <x:c r="Q153" s="17" t="n">
        <x:f>P153+O153</x:f>
        <x:v>0</x:v>
      </x:c>
      <x:c r="R153" s="17"/>
      <x:c r="S153" s="17"/>
      <x:c r="T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 t="n">
        <x:f>MAX(0,CEILING(L154,1)-IF(J154="Royal",5,3))*500</x:f>
        <x:v>0</x:v>
      </x:c>
      <x:c r="O154" s="17" t="n">
        <x:f>M154+N154</x:f>
        <x:v>0</x:v>
      </x:c>
      <x:c r="P154" s="17" t="n">
        <x:f>K154</x:f>
        <x:v>0</x:v>
      </x:c>
      <x:c r="Q154" s="17" t="n">
        <x:f>P154+O154</x:f>
        <x:v>0</x:v>
      </x:c>
      <x:c r="R154" s="17"/>
      <x:c r="S154" s="17"/>
      <x:c r="T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 t="n">
        <x:f>MAX(0,CEILING(L155,1)-IF(J155="Royal",5,3))*500</x:f>
        <x:v>0</x:v>
      </x:c>
      <x:c r="O155" s="17" t="n">
        <x:f>M155+N155</x:f>
        <x:v>0</x:v>
      </x:c>
      <x:c r="P155" s="17" t="n">
        <x:f>K155</x:f>
        <x:v>0</x:v>
      </x:c>
      <x:c r="Q155" s="17" t="n">
        <x:f>P155+O155</x:f>
        <x:v>0</x:v>
      </x:c>
      <x:c r="R155" s="17"/>
      <x:c r="S155" s="17"/>
      <x:c r="T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 t="n">
        <x:f>MAX(0,CEILING(L156,1)-IF(J156="Royal",5,3))*500</x:f>
        <x:v>0</x:v>
      </x:c>
      <x:c r="O156" s="17" t="n">
        <x:f>M156+N156</x:f>
        <x:v>0</x:v>
      </x:c>
      <x:c r="P156" s="17" t="n">
        <x:f>K156</x:f>
        <x:v>0</x:v>
      </x:c>
      <x:c r="Q156" s="17" t="n">
        <x:f>P156+O156</x:f>
        <x:v>0</x:v>
      </x:c>
      <x:c r="R156" s="17"/>
      <x:c r="S156" s="17"/>
      <x:c r="T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 t="n">
        <x:f>MAX(0,CEILING(L157,1)-IF(J157="Royal",5,3))*500</x:f>
        <x:v>0</x:v>
      </x:c>
      <x:c r="O157" s="17" t="n">
        <x:f>M157+N157</x:f>
        <x:v>0</x:v>
      </x:c>
      <x:c r="P157" s="17" t="n">
        <x:f>K157</x:f>
        <x:v>0</x:v>
      </x:c>
      <x:c r="Q157" s="17" t="n">
        <x:f>P157+O157</x:f>
        <x:v>0</x:v>
      </x:c>
      <x:c r="R157" s="17"/>
      <x:c r="S157" s="17"/>
      <x:c r="T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 t="n">
        <x:f>MAX(0,CEILING(L158,1)-IF(J158="Royal",5,3))*500</x:f>
        <x:v>0</x:v>
      </x:c>
      <x:c r="O158" s="17" t="n">
        <x:f>M158+N158</x:f>
        <x:v>0</x:v>
      </x:c>
      <x:c r="P158" s="17" t="n">
        <x:f>K158</x:f>
        <x:v>0</x:v>
      </x:c>
      <x:c r="Q158" s="17" t="n">
        <x:f>P158+O158</x:f>
        <x:v>0</x:v>
      </x:c>
      <x:c r="R158" s="17"/>
      <x:c r="S158" s="17"/>
      <x:c r="T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 t="n">
        <x:f>MAX(0,CEILING(L159,1)-IF(J159="Royal",5,3))*500</x:f>
        <x:v>0</x:v>
      </x:c>
      <x:c r="O159" s="17" t="n">
        <x:f>M159+N159</x:f>
        <x:v>0</x:v>
      </x:c>
      <x:c r="P159" s="17" t="n">
        <x:f>K159</x:f>
        <x:v>0</x:v>
      </x:c>
      <x:c r="Q159" s="17" t="n">
        <x:f>P159+O159</x:f>
        <x:v>0</x:v>
      </x:c>
      <x:c r="R159" s="17"/>
      <x:c r="S159" s="17"/>
      <x:c r="T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 t="n">
        <x:f>MAX(0,CEILING(L160,1)-IF(J160="Royal",5,3))*500</x:f>
        <x:v>0</x:v>
      </x:c>
      <x:c r="O160" s="17" t="n">
        <x:f>M160+N160</x:f>
        <x:v>0</x:v>
      </x:c>
      <x:c r="P160" s="17" t="n">
        <x:f>K160</x:f>
        <x:v>0</x:v>
      </x:c>
      <x:c r="Q160" s="17" t="n">
        <x:f>P160+O160</x:f>
        <x:v>0</x:v>
      </x:c>
      <x:c r="R160" s="17"/>
      <x:c r="S160" s="17"/>
      <x:c r="T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 t="n">
        <x:f>MAX(0,CEILING(L161,1)-IF(J161="Royal",5,3))*500</x:f>
        <x:v>0</x:v>
      </x:c>
      <x:c r="O161" s="17" t="n">
        <x:f>M161+N161</x:f>
        <x:v>0</x:v>
      </x:c>
      <x:c r="P161" s="17" t="n">
        <x:f>K161</x:f>
        <x:v>0</x:v>
      </x:c>
      <x:c r="Q161" s="17" t="n">
        <x:f>P161+O161</x:f>
        <x:v>0</x:v>
      </x:c>
      <x:c r="R161" s="17"/>
      <x:c r="S161" s="17"/>
      <x:c r="T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 t="n">
        <x:f>MAX(0,CEILING(L162,1)-IF(J162="Royal",5,3))*500</x:f>
        <x:v>0</x:v>
      </x:c>
      <x:c r="O162" s="17" t="n">
        <x:f>M162+N162</x:f>
        <x:v>0</x:v>
      </x:c>
      <x:c r="P162" s="17" t="n">
        <x:f>K162</x:f>
        <x:v>0</x:v>
      </x:c>
      <x:c r="Q162" s="17" t="n">
        <x:f>P162+O162</x:f>
        <x:v>0</x:v>
      </x:c>
      <x:c r="R162" s="17"/>
      <x:c r="S162" s="17"/>
      <x:c r="T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 t="n">
        <x:f>MAX(0,CEILING(L163,1)-IF(J163="Royal",5,3))*500</x:f>
        <x:v>0</x:v>
      </x:c>
      <x:c r="O163" s="17" t="n">
        <x:f>M163+N163</x:f>
        <x:v>0</x:v>
      </x:c>
      <x:c r="P163" s="17" t="n">
        <x:f>K163</x:f>
        <x:v>0</x:v>
      </x:c>
      <x:c r="Q163" s="17" t="n">
        <x:f>P163+O163</x:f>
        <x:v>0</x:v>
      </x:c>
      <x:c r="R163" s="17"/>
      <x:c r="S163" s="17"/>
      <x:c r="T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 t="n">
        <x:f>MAX(0,CEILING(L164,1)-IF(J164="Royal",5,3))*500</x:f>
        <x:v>0</x:v>
      </x:c>
      <x:c r="O164" s="17" t="n">
        <x:f>M164+N164</x:f>
        <x:v>0</x:v>
      </x:c>
      <x:c r="P164" s="17" t="n">
        <x:f>K164</x:f>
        <x:v>0</x:v>
      </x:c>
      <x:c r="Q164" s="17" t="n">
        <x:f>P164+O164</x:f>
        <x:v>0</x:v>
      </x:c>
      <x:c r="R164" s="17"/>
      <x:c r="S164" s="17"/>
      <x:c r="T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 t="n">
        <x:f>MAX(0,CEILING(L165,1)-IF(J165="Royal",5,3))*500</x:f>
        <x:v>0</x:v>
      </x:c>
      <x:c r="O165" s="17" t="n">
        <x:f>M165+N165</x:f>
        <x:v>0</x:v>
      </x:c>
      <x:c r="P165" s="17" t="n">
        <x:f>K165</x:f>
        <x:v>0</x:v>
      </x:c>
      <x:c r="Q165" s="17" t="n">
        <x:f>P165+O165</x:f>
        <x:v>0</x:v>
      </x:c>
      <x:c r="R165" s="17"/>
      <x:c r="S165" s="17"/>
      <x:c r="T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 t="n">
        <x:f>MAX(0,CEILING(L166,1)-IF(J166="Royal",5,3))*500</x:f>
        <x:v>0</x:v>
      </x:c>
      <x:c r="O166" s="17" t="n">
        <x:f>M166+N166</x:f>
        <x:v>0</x:v>
      </x:c>
      <x:c r="P166" s="17" t="n">
        <x:f>K166</x:f>
        <x:v>0</x:v>
      </x:c>
      <x:c r="Q166" s="17" t="n">
        <x:f>P166+O166</x:f>
        <x:v>0</x:v>
      </x:c>
      <x:c r="R166" s="17"/>
      <x:c r="S166" s="17"/>
      <x:c r="T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 t="n">
        <x:f>MAX(0,CEILING(L167,1)-IF(J167="Royal",5,3))*500</x:f>
        <x:v>0</x:v>
      </x:c>
      <x:c r="O167" s="17" t="n">
        <x:f>M167+N167</x:f>
        <x:v>0</x:v>
      </x:c>
      <x:c r="P167" s="17" t="n">
        <x:f>K167</x:f>
        <x:v>0</x:v>
      </x:c>
      <x:c r="Q167" s="17" t="n">
        <x:f>P167+O167</x:f>
        <x:v>0</x:v>
      </x:c>
      <x:c r="R167" s="17"/>
      <x:c r="S167" s="17"/>
      <x:c r="T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 t="n">
        <x:f>MAX(0,CEILING(L168,1)-IF(J168="Royal",5,3))*500</x:f>
        <x:v>0</x:v>
      </x:c>
      <x:c r="O168" s="17" t="n">
        <x:f>M168+N168</x:f>
        <x:v>0</x:v>
      </x:c>
      <x:c r="P168" s="17" t="n">
        <x:f>K168</x:f>
        <x:v>0</x:v>
      </x:c>
      <x:c r="Q168" s="17" t="n">
        <x:f>P168+O168</x:f>
        <x:v>0</x:v>
      </x:c>
      <x:c r="R168" s="17"/>
      <x:c r="S168" s="17"/>
      <x:c r="T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 t="n">
        <x:f>MAX(0,CEILING(L169,1)-IF(J169="Royal",5,3))*500</x:f>
        <x:v>0</x:v>
      </x:c>
      <x:c r="O169" s="17" t="n">
        <x:f>M169+N169</x:f>
        <x:v>0</x:v>
      </x:c>
      <x:c r="P169" s="17" t="n">
        <x:f>K169</x:f>
        <x:v>0</x:v>
      </x:c>
      <x:c r="Q169" s="17" t="n">
        <x:f>P169+O169</x:f>
        <x:v>0</x:v>
      </x:c>
      <x:c r="R169" s="17"/>
      <x:c r="S169" s="17"/>
      <x:c r="T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 t="n">
        <x:f>MAX(0,CEILING(L170,1)-IF(J170="Royal",5,3))*500</x:f>
        <x:v>0</x:v>
      </x:c>
      <x:c r="O170" s="17" t="n">
        <x:f>M170+N170</x:f>
        <x:v>0</x:v>
      </x:c>
      <x:c r="P170" s="17" t="n">
        <x:f>K170</x:f>
        <x:v>0</x:v>
      </x:c>
      <x:c r="Q170" s="17" t="n">
        <x:f>P170+O170</x:f>
        <x:v>0</x:v>
      </x:c>
      <x:c r="R170" s="17"/>
      <x:c r="S170" s="17"/>
      <x:c r="T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 t="n">
        <x:f>MAX(0,CEILING(L171,1)-IF(J171="Royal",5,3))*500</x:f>
        <x:v>0</x:v>
      </x:c>
      <x:c r="O171" s="17" t="n">
        <x:f>M171+N171</x:f>
        <x:v>0</x:v>
      </x:c>
      <x:c r="P171" s="17" t="n">
        <x:f>K171</x:f>
        <x:v>0</x:v>
      </x:c>
      <x:c r="Q171" s="17" t="n">
        <x:f>P171+O171</x:f>
        <x:v>0</x:v>
      </x:c>
      <x:c r="R171" s="17"/>
      <x:c r="S171" s="17"/>
      <x:c r="T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 t="n">
        <x:f>MAX(0,CEILING(L172,1)-IF(J172="Royal",5,3))*500</x:f>
        <x:v>0</x:v>
      </x:c>
      <x:c r="O172" s="17" t="n">
        <x:f>M172+N172</x:f>
        <x:v>0</x:v>
      </x:c>
      <x:c r="P172" s="17" t="n">
        <x:f>K172</x:f>
        <x:v>0</x:v>
      </x:c>
      <x:c r="Q172" s="17" t="n">
        <x:f>P172+O172</x:f>
        <x:v>0</x:v>
      </x:c>
      <x:c r="R172" s="17"/>
      <x:c r="S172" s="17"/>
      <x:c r="T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 t="n">
        <x:f>MAX(0,CEILING(L173,1)-IF(J173="Royal",5,3))*500</x:f>
        <x:v>0</x:v>
      </x:c>
      <x:c r="O173" s="17" t="n">
        <x:f>M173+N173</x:f>
        <x:v>0</x:v>
      </x:c>
      <x:c r="P173" s="17" t="n">
        <x:f>K173</x:f>
        <x:v>0</x:v>
      </x:c>
      <x:c r="Q173" s="17" t="n">
        <x:f>P173+O173</x:f>
        <x:v>0</x:v>
      </x:c>
      <x:c r="R173" s="17"/>
      <x:c r="S173" s="17"/>
      <x:c r="T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 t="n">
        <x:f>MAX(0,CEILING(L174,1)-IF(J174="Royal",5,3))*500</x:f>
        <x:v>0</x:v>
      </x:c>
      <x:c r="O174" s="17" t="n">
        <x:f>M174+N174</x:f>
        <x:v>0</x:v>
      </x:c>
      <x:c r="P174" s="17" t="n">
        <x:f>K174</x:f>
        <x:v>0</x:v>
      </x:c>
      <x:c r="Q174" s="17" t="n">
        <x:f>P174+O174</x:f>
        <x:v>0</x:v>
      </x:c>
      <x:c r="R174" s="17"/>
      <x:c r="S174" s="17"/>
      <x:c r="T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 t="n">
        <x:f>MAX(0,CEILING(L175,1)-IF(J175="Royal",5,3))*500</x:f>
        <x:v>0</x:v>
      </x:c>
      <x:c r="O175" s="17" t="n">
        <x:f>M175+N175</x:f>
        <x:v>0</x:v>
      </x:c>
      <x:c r="P175" s="17" t="n">
        <x:f>K175</x:f>
        <x:v>0</x:v>
      </x:c>
      <x:c r="Q175" s="17" t="n">
        <x:f>P175+O175</x:f>
        <x:v>0</x:v>
      </x:c>
      <x:c r="R175" s="17"/>
      <x:c r="S175" s="17"/>
      <x:c r="T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 t="n">
        <x:f>MAX(0,CEILING(L176,1)-IF(J176="Royal",5,3))*500</x:f>
        <x:v>0</x:v>
      </x:c>
      <x:c r="O176" s="17" t="n">
        <x:f>M176+N176</x:f>
        <x:v>0</x:v>
      </x:c>
      <x:c r="P176" s="17" t="n">
        <x:f>K176</x:f>
        <x:v>0</x:v>
      </x:c>
      <x:c r="Q176" s="17" t="n">
        <x:f>P176+O176</x:f>
        <x:v>0</x:v>
      </x:c>
      <x:c r="R176" s="17"/>
      <x:c r="S176" s="17"/>
      <x:c r="T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 t="n">
        <x:f>MAX(0,CEILING(L177,1)-IF(J177="Royal",5,3))*500</x:f>
        <x:v>0</x:v>
      </x:c>
      <x:c r="O177" s="17" t="n">
        <x:f>M177+N177</x:f>
        <x:v>0</x:v>
      </x:c>
      <x:c r="P177" s="17" t="n">
        <x:f>K177</x:f>
        <x:v>0</x:v>
      </x:c>
      <x:c r="Q177" s="17" t="n">
        <x:f>P177+O177</x:f>
        <x:v>0</x:v>
      </x:c>
      <x:c r="R177" s="17"/>
      <x:c r="S177" s="17"/>
      <x:c r="T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 t="n">
        <x:f>MAX(0,CEILING(L178,1)-IF(J178="Royal",5,3))*500</x:f>
        <x:v>0</x:v>
      </x:c>
      <x:c r="O178" s="17" t="n">
        <x:f>M178+N178</x:f>
        <x:v>0</x:v>
      </x:c>
      <x:c r="P178" s="17" t="n">
        <x:f>K178</x:f>
        <x:v>0</x:v>
      </x:c>
      <x:c r="Q178" s="17" t="n">
        <x:f>P178+O178</x:f>
        <x:v>0</x:v>
      </x:c>
      <x:c r="R178" s="17"/>
      <x:c r="S178" s="17"/>
      <x:c r="T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 t="n">
        <x:f>MAX(0,CEILING(L179,1)-IF(J179="Royal",5,3))*500</x:f>
        <x:v>0</x:v>
      </x:c>
      <x:c r="O179" s="17" t="n">
        <x:f>M179+N179</x:f>
        <x:v>0</x:v>
      </x:c>
      <x:c r="P179" s="17" t="n">
        <x:f>K179</x:f>
        <x:v>0</x:v>
      </x:c>
      <x:c r="Q179" s="17" t="n">
        <x:f>P179+O179</x:f>
        <x:v>0</x:v>
      </x:c>
      <x:c r="R179" s="17"/>
      <x:c r="S179" s="17"/>
      <x:c r="T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 t="n">
        <x:f>MAX(0,CEILING(L180,1)-IF(J180="Royal",5,3))*500</x:f>
        <x:v>0</x:v>
      </x:c>
      <x:c r="O180" s="17" t="n">
        <x:f>M180+N180</x:f>
        <x:v>0</x:v>
      </x:c>
      <x:c r="P180" s="17" t="n">
        <x:f>K180</x:f>
        <x:v>0</x:v>
      </x:c>
      <x:c r="Q180" s="17" t="n">
        <x:f>P180+O180</x:f>
        <x:v>0</x:v>
      </x:c>
      <x:c r="R180" s="17"/>
      <x:c r="S180" s="17"/>
      <x:c r="T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 t="n">
        <x:f>MAX(0,CEILING(L181,1)-IF(J181="Royal",5,3))*500</x:f>
        <x:v>0</x:v>
      </x:c>
      <x:c r="O181" s="17" t="n">
        <x:f>M181+N181</x:f>
        <x:v>0</x:v>
      </x:c>
      <x:c r="P181" s="17" t="n">
        <x:f>K181</x:f>
        <x:v>0</x:v>
      </x:c>
      <x:c r="Q181" s="17" t="n">
        <x:f>P181+O181</x:f>
        <x:v>0</x:v>
      </x:c>
      <x:c r="R181" s="17"/>
      <x:c r="S181" s="17"/>
      <x:c r="T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 t="n">
        <x:f>MAX(0,CEILING(L182,1)-IF(J182="Royal",5,3))*500</x:f>
        <x:v>0</x:v>
      </x:c>
      <x:c r="O182" s="17" t="n">
        <x:f>M182+N182</x:f>
        <x:v>0</x:v>
      </x:c>
      <x:c r="P182" s="17" t="n">
        <x:f>K182</x:f>
        <x:v>0</x:v>
      </x:c>
      <x:c r="Q182" s="17" t="n">
        <x:f>P182+O182</x:f>
        <x:v>0</x:v>
      </x:c>
      <x:c r="R182" s="17"/>
      <x:c r="S182" s="17"/>
      <x:c r="T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 t="n">
        <x:f>MAX(0,CEILING(L183,1)-IF(J183="Royal",5,3))*500</x:f>
        <x:v>0</x:v>
      </x:c>
      <x:c r="O183" s="17" t="n">
        <x:f>M183+N183</x:f>
        <x:v>0</x:v>
      </x:c>
      <x:c r="P183" s="17" t="n">
        <x:f>K183</x:f>
        <x:v>0</x:v>
      </x:c>
      <x:c r="Q183" s="17" t="n">
        <x:f>P183+O183</x:f>
        <x:v>0</x:v>
      </x:c>
      <x:c r="R183" s="17"/>
      <x:c r="S183" s="17"/>
      <x:c r="T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 t="n">
        <x:f>MAX(0,CEILING(L184,1)-IF(J184="Royal",5,3))*500</x:f>
        <x:v>0</x:v>
      </x:c>
      <x:c r="O184" s="17" t="n">
        <x:f>M184+N184</x:f>
        <x:v>0</x:v>
      </x:c>
      <x:c r="P184" s="17" t="n">
        <x:f>K184</x:f>
        <x:v>0</x:v>
      </x:c>
      <x:c r="Q184" s="17" t="n">
        <x:f>P184+O184</x:f>
        <x:v>0</x:v>
      </x:c>
      <x:c r="R184" s="17"/>
      <x:c r="S184" s="17"/>
      <x:c r="T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 t="n">
        <x:f>MAX(0,CEILING(L185,1)-IF(J185="Royal",5,3))*500</x:f>
        <x:v>0</x:v>
      </x:c>
      <x:c r="O185" s="17" t="n">
        <x:f>M185+N185</x:f>
        <x:v>0</x:v>
      </x:c>
      <x:c r="P185" s="17" t="n">
        <x:f>K185</x:f>
        <x:v>0</x:v>
      </x:c>
      <x:c r="Q185" s="17" t="n">
        <x:f>P185+O185</x:f>
        <x:v>0</x:v>
      </x:c>
      <x:c r="R185" s="17"/>
      <x:c r="S185" s="17"/>
      <x:c r="T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 t="n">
        <x:f>MAX(0,CEILING(L186,1)-IF(J186="Royal",5,3))*500</x:f>
        <x:v>0</x:v>
      </x:c>
      <x:c r="O186" s="17" t="n">
        <x:f>M186+N186</x:f>
        <x:v>0</x:v>
      </x:c>
      <x:c r="P186" s="17" t="n">
        <x:f>K186</x:f>
        <x:v>0</x:v>
      </x:c>
      <x:c r="Q186" s="17" t="n">
        <x:f>P186+O186</x:f>
        <x:v>0</x:v>
      </x:c>
      <x:c r="R186" s="17"/>
      <x:c r="S186" s="17"/>
      <x:c r="T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 t="n">
        <x:f>MAX(0,CEILING(L187,1)-IF(J187="Royal",5,3))*500</x:f>
        <x:v>0</x:v>
      </x:c>
      <x:c r="O187" s="17" t="n">
        <x:f>M187+N187</x:f>
        <x:v>0</x:v>
      </x:c>
      <x:c r="P187" s="17" t="n">
        <x:f>K187</x:f>
        <x:v>0</x:v>
      </x:c>
      <x:c r="Q187" s="17" t="n">
        <x:f>P187+O187</x:f>
        <x:v>0</x:v>
      </x:c>
      <x:c r="R187" s="17"/>
      <x:c r="S187" s="17"/>
      <x:c r="T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 t="n">
        <x:f>MAX(0,CEILING(L188,1)-IF(J188="Royal",5,3))*500</x:f>
        <x:v>0</x:v>
      </x:c>
      <x:c r="O188" s="17" t="n">
        <x:f>M188+N188</x:f>
        <x:v>0</x:v>
      </x:c>
      <x:c r="P188" s="17" t="n">
        <x:f>K188</x:f>
        <x:v>0</x:v>
      </x:c>
      <x:c r="Q188" s="17" t="n">
        <x:f>P188+O188</x:f>
        <x:v>0</x:v>
      </x:c>
      <x:c r="R188" s="17"/>
      <x:c r="S188" s="17"/>
      <x:c r="T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 t="n">
        <x:f>MAX(0,CEILING(L189,1)-IF(J189="Royal",5,3))*500</x:f>
        <x:v>0</x:v>
      </x:c>
      <x:c r="O189" s="17" t="n">
        <x:f>M189+N189</x:f>
        <x:v>0</x:v>
      </x:c>
      <x:c r="P189" s="17" t="n">
        <x:f>K189</x:f>
        <x:v>0</x:v>
      </x:c>
      <x:c r="Q189" s="17" t="n">
        <x:f>P189+O189</x:f>
        <x:v>0</x:v>
      </x:c>
      <x:c r="R189" s="17"/>
      <x:c r="S189" s="17"/>
      <x:c r="T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 t="n">
        <x:f>MAX(0,CEILING(L190,1)-IF(J190="Royal",5,3))*500</x:f>
        <x:v>0</x:v>
      </x:c>
      <x:c r="O190" s="17" t="n">
        <x:f>M190+N190</x:f>
        <x:v>0</x:v>
      </x:c>
      <x:c r="P190" s="17" t="n">
        <x:f>K190</x:f>
        <x:v>0</x:v>
      </x:c>
      <x:c r="Q190" s="17" t="n">
        <x:f>P190+O190</x:f>
        <x:v>0</x:v>
      </x:c>
      <x:c r="R190" s="17"/>
      <x:c r="S190" s="17"/>
      <x:c r="T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 t="n">
        <x:f>MAX(0,CEILING(L191,1)-IF(J191="Royal",5,3))*500</x:f>
        <x:v>0</x:v>
      </x:c>
      <x:c r="O191" s="17" t="n">
        <x:f>M191+N191</x:f>
        <x:v>0</x:v>
      </x:c>
      <x:c r="P191" s="17" t="n">
        <x:f>K191</x:f>
        <x:v>0</x:v>
      </x:c>
      <x:c r="Q191" s="17" t="n">
        <x:f>P191+O191</x:f>
        <x:v>0</x:v>
      </x:c>
      <x:c r="R191" s="17"/>
      <x:c r="S191" s="17"/>
      <x:c r="T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 t="n">
        <x:f>MAX(0,CEILING(L192,1)-IF(J192="Royal",5,3))*500</x:f>
        <x:v>0</x:v>
      </x:c>
      <x:c r="O192" s="17" t="n">
        <x:f>M192+N192</x:f>
        <x:v>0</x:v>
      </x:c>
      <x:c r="P192" s="17" t="n">
        <x:f>K192</x:f>
        <x:v>0</x:v>
      </x:c>
      <x:c r="Q192" s="17" t="n">
        <x:f>P192+O192</x:f>
        <x:v>0</x:v>
      </x:c>
      <x:c r="R192" s="17"/>
      <x:c r="S192" s="17"/>
      <x:c r="T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 t="n">
        <x:f>MAX(0,CEILING(L193,1)-IF(J193="Royal",5,3))*500</x:f>
        <x:v>0</x:v>
      </x:c>
      <x:c r="O193" s="17" t="n">
        <x:f>M193+N193</x:f>
        <x:v>0</x:v>
      </x:c>
      <x:c r="P193" s="17" t="n">
        <x:f>K193</x:f>
        <x:v>0</x:v>
      </x:c>
      <x:c r="Q193" s="17" t="n">
        <x:f>P193+O193</x:f>
        <x:v>0</x:v>
      </x:c>
      <x:c r="R193" s="17"/>
      <x:c r="S193" s="17"/>
      <x:c r="T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 t="n">
        <x:f>MAX(0,CEILING(L194,1)-IF(J194="Royal",5,3))*500</x:f>
        <x:v>0</x:v>
      </x:c>
      <x:c r="O194" s="17" t="n">
        <x:f>M194+N194</x:f>
        <x:v>0</x:v>
      </x:c>
      <x:c r="P194" s="17" t="n">
        <x:f>K194</x:f>
        <x:v>0</x:v>
      </x:c>
      <x:c r="Q194" s="17" t="n">
        <x:f>P194+O194</x:f>
        <x:v>0</x:v>
      </x:c>
      <x:c r="R194" s="17"/>
      <x:c r="S194" s="17"/>
      <x:c r="T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 t="n">
        <x:f>MAX(0,CEILING(L195,1)-IF(J195="Royal",5,3))*500</x:f>
        <x:v>0</x:v>
      </x:c>
      <x:c r="O195" s="17" t="n">
        <x:f>M195+N195</x:f>
        <x:v>0</x:v>
      </x:c>
      <x:c r="P195" s="17" t="n">
        <x:f>K195</x:f>
        <x:v>0</x:v>
      </x:c>
      <x:c r="Q195" s="17" t="n">
        <x:f>P195+O195</x:f>
        <x:v>0</x:v>
      </x:c>
      <x:c r="R195" s="17"/>
      <x:c r="S195" s="17"/>
      <x:c r="T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 t="n">
        <x:f>MAX(0,CEILING(L196,1)-IF(J196="Royal",5,3))*500</x:f>
        <x:v>0</x:v>
      </x:c>
      <x:c r="O196" s="17" t="n">
        <x:f>M196+N196</x:f>
        <x:v>0</x:v>
      </x:c>
      <x:c r="P196" s="17" t="n">
        <x:f>K196</x:f>
        <x:v>0</x:v>
      </x:c>
      <x:c r="Q196" s="17" t="n">
        <x:f>P196+O196</x:f>
        <x:v>0</x:v>
      </x:c>
      <x:c r="R196" s="17"/>
      <x:c r="S196" s="17"/>
      <x:c r="T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 t="n">
        <x:f>MAX(0,CEILING(L197,1)-IF(J197="Royal",5,3))*500</x:f>
        <x:v>0</x:v>
      </x:c>
      <x:c r="O197" s="17" t="n">
        <x:f>M197+N197</x:f>
        <x:v>0</x:v>
      </x:c>
      <x:c r="P197" s="17" t="n">
        <x:f>K197</x:f>
        <x:v>0</x:v>
      </x:c>
      <x:c r="Q197" s="17" t="n">
        <x:f>P197+O197</x:f>
        <x:v>0</x:v>
      </x:c>
      <x:c r="R197" s="17"/>
      <x:c r="S197" s="17"/>
      <x:c r="T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 t="n">
        <x:f>MAX(0,CEILING(L198,1)-IF(J198="Royal",5,3))*500</x:f>
        <x:v>0</x:v>
      </x:c>
      <x:c r="O198" s="17" t="n">
        <x:f>M198+N198</x:f>
        <x:v>0</x:v>
      </x:c>
      <x:c r="P198" s="17" t="n">
        <x:f>K198</x:f>
        <x:v>0</x:v>
      </x:c>
      <x:c r="Q198" s="17" t="n">
        <x:f>P198+O198</x:f>
        <x:v>0</x:v>
      </x:c>
      <x:c r="R198" s="17"/>
      <x:c r="S198" s="17"/>
      <x:c r="T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 t="n">
        <x:f>MAX(0,CEILING(L199,1)-IF(J199="Royal",5,3))*500</x:f>
        <x:v>0</x:v>
      </x:c>
      <x:c r="O199" s="17" t="n">
        <x:f>M199+N199</x:f>
        <x:v>0</x:v>
      </x:c>
      <x:c r="P199" s="17" t="n">
        <x:f>K199</x:f>
        <x:v>0</x:v>
      </x:c>
      <x:c r="Q199" s="17" t="n">
        <x:f>P199+O199</x:f>
        <x:v>0</x:v>
      </x:c>
      <x:c r="R199" s="17"/>
      <x:c r="S199" s="17"/>
      <x:c r="T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 t="n">
        <x:f>MAX(0,CEILING(L200,1)-IF(J200="Royal",5,3))*500</x:f>
        <x:v>0</x:v>
      </x:c>
      <x:c r="O200" s="17" t="n">
        <x:f>M200+N200</x:f>
        <x:v>0</x:v>
      </x:c>
      <x:c r="P200" s="17" t="n">
        <x:f>K200</x:f>
        <x:v>0</x:v>
      </x:c>
      <x:c r="Q200" s="17" t="n">
        <x:f>P200+O200</x:f>
        <x:v>0</x:v>
      </x:c>
      <x:c r="R200" s="17"/>
      <x:c r="S200" s="17"/>
      <x:c r="T2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16.25" hidden="0" customWidth="1"/>
  </x:cols>
  <x:sheetData>
    <x:row r="1">
      <x:c r="A1" s="6" t="str">
        <x:v>Rule</x:v>
      </x:c>
      <x:c r="B1" s="6" t="str">
        <x:v>Value</x:v>
      </x:c>
    </x:row>
    <x:row r="2">
      <x:c r="A2" t="str">
        <x:v>Standard allowance</x:v>
      </x:c>
      <x:c r="B2" t="str">
        <x:v>3 kg</x:v>
      </x:c>
    </x:row>
    <x:row r="3">
      <x:c r="A3" t="str">
        <x:v>Royal allowance</x:v>
      </x:c>
      <x:c r="B3" t="str">
        <x:v>5 kg</x:v>
      </x:c>
    </x:row>
    <x:row r="4">
      <x:c r="A4" t="str">
        <x:v>Extra KG charge</x:v>
      </x:c>
      <x:c r="B4" t="str">
        <x:v>500 MMK per kg</x:v>
      </x:c>
    </x:row>
    <x:row r="5">
      <x:c r="A5" t="str">
        <x:v>Total Deli Fee</x:v>
      </x:c>
      <x:c r="B5" t="str">
        <x:v>Base Fee + Surcharge</x:v>
      </x:c>
    </x:row>
    <x:row r="6">
      <x:c r="A6" t="str">
        <x:v>Actual Collect</x:v>
      </x:c>
      <x:c r="B6" t="str">
        <x:v>COD + Total Deli Fee</x:v>
      </x:c>
    </x:row>
  </x:sheetData>
  <x:pageMargins left="0.7" right="0.7" top="0.75" bottom="0.75" header="0.3" footer="0.3"/>
</x:worksheet>
</file>