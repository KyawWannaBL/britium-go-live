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ariff_Master" sheetId="2" state="visible" r:id="rId2"/>
    <sheet xmlns:r="http://schemas.openxmlformats.org/officeDocument/2006/relationships" name="Backend_Import_Rules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Examples" sheetId="5" state="visible" r:id="rId5"/>
    <sheet xmlns:r="http://schemas.openxmlformats.org/officeDocument/2006/relationships" name="Lists" sheetId="6" state="hidden" r:id="rId6"/>
  </sheets>
  <definedNames>
    <definedName name="TownshipList">'Lists'!$A$2:$A$57</definedName>
    <definedName name="TierList">'Lists'!$B$2:$B$4</definedName>
    <definedName name="AmountEntryTypeList">'Lists'!$C$2:$C$6</definedName>
    <definedName name="StatusList">'Lists'!$D$2:$D$6</definedName>
    <definedName name="EnvironmentList">'Lists'!$E$2:$E$4</definedName>
    <definedName name="_xlnm._FilterDatabase" localSheetId="0" hidden="1">'Sheet1'!$A$1:$AX$1001</definedName>
    <definedName name="_xlnm.Print_Titles" localSheetId="0">'Sheet1'!$1:$1</definedName>
    <definedName name="_xlnm.Print_Area" localSheetId="0">'Sheet1'!$A$1:$AU$1001</definedName>
    <definedName name="_xlnm._FilterDatabase" localSheetId="1" hidden="1">'Tariff_Master'!$A$1:$L$169</definedName>
    <definedName name="_xlnm._FilterDatabase" localSheetId="2" hidden="1">'Backend_Import_Rules'!$A$1:$D$19</definedName>
    <definedName name="_xlnm._FilterDatabase" localSheetId="4" hidden="1">'Examples'!$A$1:$U$8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"/>
    <numFmt numFmtId="166" formatCode="yyyy-mm-dd hh:mm"/>
  </numFmts>
  <fonts count="16">
    <font>
      <name val="Tahoma"/>
      <family val="2"/>
      <color theme="1"/>
      <sz val="11"/>
      <scheme val="minor"/>
    </font>
    <font>
      <name val="DengXian"/>
      <charset val="134"/>
      <b val="1"/>
      <color theme="1"/>
      <sz val="11"/>
    </font>
    <font>
      <name val="DengXian"/>
      <charset val="134"/>
      <color theme="1"/>
      <sz val="11"/>
    </font>
    <font>
      <b val="1"/>
      <color rgb="00FFFFFF"/>
      <sz val="10"/>
    </font>
    <font>
      <color rgb="000000FF"/>
      <sz val="10"/>
    </font>
    <font>
      <color rgb="00000000"/>
      <sz val="10"/>
    </font>
    <font>
      <color rgb="00008000"/>
      <sz val="10"/>
    </font>
    <font>
      <b val="1"/>
      <color rgb="00000000"/>
    </font>
    <font>
      <b val="1"/>
      <color rgb="00FFFFFF"/>
    </font>
    <font>
      <color rgb="00666666"/>
      <sz val="10"/>
    </font>
    <font>
      <b val="1"/>
    </font>
    <font>
      <b val="1"/>
      <color rgb="00FFFFFF"/>
      <sz val="16"/>
    </font>
    <font>
      <b val="1"/>
      <color rgb="0017365D"/>
    </font>
    <font>
      <b val="1"/>
      <color rgb="000000FF"/>
    </font>
    <font>
      <b val="1"/>
      <color rgb="00008000"/>
    </font>
    <font>
      <b val="1"/>
      <color rgb="007030A0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C65911"/>
      </patternFill>
    </fill>
    <fill>
      <patternFill patternType="solid">
        <fgColor rgb="00F7F9F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medium">
        <color rgb="0017365D"/>
      </bottom>
    </border>
    <border>
      <bottom style="thin">
        <color rgb="00D9E1F2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4" fillId="7" borderId="3" applyAlignment="1" applyProtection="1" pivotButton="0" quotePrefix="0" xfId="0">
      <alignment vertical="top"/>
      <protection locked="0" hidden="0"/>
    </xf>
    <xf numFmtId="0" fontId="4" fillId="7" borderId="3" applyAlignment="1" applyProtection="1" pivotButton="0" quotePrefix="0" xfId="0">
      <alignment vertical="top"/>
      <protection locked="0" hidden="0"/>
    </xf>
    <xf numFmtId="164" fontId="4" fillId="7" borderId="3" applyAlignment="1" applyProtection="1" pivotButton="0" quotePrefix="0" xfId="0">
      <alignment vertical="top"/>
      <protection locked="0" hidden="0"/>
    </xf>
    <xf numFmtId="164" fontId="7" fillId="12" borderId="3" applyAlignment="1" pivotButton="0" quotePrefix="0" xfId="0">
      <alignment vertical="top"/>
    </xf>
    <xf numFmtId="165" fontId="4" fillId="7" borderId="3" applyAlignment="1" applyProtection="1" pivotButton="0" quotePrefix="0" xfId="0">
      <alignment vertical="top"/>
      <protection locked="0" hidden="0"/>
    </xf>
    <xf numFmtId="166" fontId="4" fillId="7" borderId="3" applyAlignment="1" applyProtection="1" pivotButton="0" quotePrefix="0" xfId="0">
      <alignment vertical="top"/>
      <protection locked="0" hidden="0"/>
    </xf>
    <xf numFmtId="0" fontId="4" fillId="9" borderId="3" applyAlignment="1" applyProtection="1" pivotButton="0" quotePrefix="0" xfId="0">
      <alignment vertical="top"/>
      <protection locked="0" hidden="0"/>
    </xf>
    <xf numFmtId="3" fontId="4" fillId="9" borderId="3" applyAlignment="1" applyProtection="1" pivotButton="0" quotePrefix="0" xfId="0">
      <alignment vertical="top"/>
      <protection locked="0" hidden="0"/>
    </xf>
    <xf numFmtId="164" fontId="4" fillId="9" borderId="3" applyAlignment="1" applyProtection="1" pivotButton="0" quotePrefix="0" xfId="0">
      <alignment vertical="top"/>
      <protection locked="0" hidden="0"/>
    </xf>
    <xf numFmtId="0" fontId="6" fillId="10" borderId="3" applyAlignment="1" pivotButton="0" quotePrefix="0" xfId="0">
      <alignment vertical="top"/>
    </xf>
    <xf numFmtId="164" fontId="6" fillId="10" borderId="3" applyAlignment="1" pivotButton="0" quotePrefix="0" xfId="0">
      <alignment vertical="top"/>
    </xf>
    <xf numFmtId="165" fontId="6" fillId="10" borderId="3" applyAlignment="1" pivotButton="0" quotePrefix="0" xfId="0">
      <alignment vertical="top"/>
    </xf>
    <xf numFmtId="3" fontId="6" fillId="10" borderId="3" applyAlignment="1" pivotButton="0" quotePrefix="0" xfId="0">
      <alignment vertical="top"/>
    </xf>
    <xf numFmtId="165" fontId="5" fillId="11" borderId="3" applyAlignment="1" pivotButton="0" quotePrefix="0" xfId="0">
      <alignment vertical="top"/>
    </xf>
    <xf numFmtId="164" fontId="5" fillId="11" borderId="3" applyAlignment="1" pivotButton="0" quotePrefix="0" xfId="0">
      <alignment vertical="top"/>
    </xf>
    <xf numFmtId="164" fontId="7" fillId="11" borderId="3" applyAlignment="1" pivotButton="0" quotePrefix="0" xfId="0">
      <alignment vertical="top"/>
    </xf>
    <xf numFmtId="0" fontId="5" fillId="11" borderId="3" applyAlignment="1" pivotButton="0" quotePrefix="0" xfId="0">
      <alignment vertical="top"/>
    </xf>
    <xf numFmtId="0" fontId="5" fillId="8" borderId="3" applyAlignment="1" pivotButton="0" quotePrefix="0" xfId="0">
      <alignment vertical="top"/>
    </xf>
    <xf numFmtId="0" fontId="8" fillId="4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/>
    </xf>
    <xf numFmtId="164" fontId="5" fillId="0" borderId="3" applyAlignment="1" pivotButton="0" quotePrefix="0" xfId="0">
      <alignment vertical="top"/>
    </xf>
    <xf numFmtId="0" fontId="9" fillId="0" borderId="3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/>
    </xf>
    <xf numFmtId="0" fontId="12" fillId="9" borderId="0" applyAlignment="1" pivotButton="0" quotePrefix="0" xfId="0">
      <alignment vertical="top"/>
    </xf>
    <xf numFmtId="0" fontId="0" fillId="9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 wrapText="1"/>
    </xf>
    <xf numFmtId="0" fontId="1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12" borderId="0" applyAlignment="1" pivotButton="0" quotePrefix="0" xfId="0">
      <alignment vertical="top" wrapText="1"/>
    </xf>
  </cellXfs>
  <cellStyles count="1">
    <cellStyle name="Normal" xfId="0" builtinId="0"/>
  </cellStyles>
  <dxfs count="6">
    <dxf>
      <font>
        <b val="1"/>
        <color rgb="00006100"/>
      </font>
      <fill>
        <patternFill patternType="solid">
          <fgColor rgb="00D9EAD3"/>
        </patternFill>
      </fill>
    </dxf>
    <dxf>
      <font>
        <b val="1"/>
        <color rgb="009C5700"/>
      </font>
      <fill>
        <patternFill patternType="solid">
          <fgColor rgb="00FFF2CC"/>
        </patternFill>
      </fill>
    </dxf>
    <dxf>
      <font>
        <b val="1"/>
        <color rgb="009C0006"/>
      </font>
      <fill>
        <patternFill patternType="solid">
          <fgColor rgb="00F4CCC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K1" authorId="0" shapeId="0">
      <text>
        <t>Merchant-declared customer-facing delivery charge. Never store the company tariff in this field.</t>
      </text>
    </comment>
    <comment ref="L1" authorId="0" shapeId="0">
      <text>
        <t>Preview formula only. The backend must recalculate and overwrite cod_amount during import/create/update.</t>
      </text>
    </comment>
    <comment ref="Q1" authorId="0" shapeId="0">
      <text>
        <t>Requested/display tier. The backend merchant profile is authoritative.</t>
      </text>
    </comment>
    <comment ref="R1" authorId="0" shapeId="0">
      <text>
        <t>Reference/preview only. The backend must resolve monthly ways from database records and ignore imported values.</t>
      </text>
    </comment>
    <comment ref="S1" authorId="0" shapeId="0">
      <text>
        <t>Select how the parcel amount was written: separate item/delivery, total including delivery, delivery only, exact total, or merchant-paid delivery.</t>
      </text>
    </comment>
    <comment ref="T1" authorId="0" shapeId="0">
      <text>
        <t>Enter the exact total written on the parcel when amount_entry_type is TOTAL_AMOUNT_INCLUDING_DELIVERY or EXACT_COLLECTION_AMOUNT.</t>
      </text>
    </comment>
    <comment ref="V1" authorId="0" shapeId="0">
      <text>
        <t>Enter a configured CBM surcharge. The provided tariff source does not contain a CBM formula.</t>
      </text>
    </comment>
    <comment ref="W1" authorId="0" shapeId="0">
      <text>
        <t>Other approved internal tariff surcharge, excluding the customer-facing declared delivery amount.</t>
      </text>
    </comment>
    <comment ref="X1" authorId="0" shapeId="0">
      <text>
        <t>Other charges to deduct from the merchant settlement.</t>
      </text>
    </comment>
    <comment ref="Y1" authorId="0" shapeId="0">
      <text>
        <t>Other credits to add to the merchant settlement.</t>
      </text>
    </comment>
    <comment ref="AC1" authorId="0" shapeId="0">
      <text>
        <t>Calculated preview. The backend stores the tariff snapshot and ignores imported calculated values.</t>
      </text>
    </comment>
    <comment ref="AE1" authorId="0" shapeId="0">
      <text>
        <t>Company base tariff from Tariff_Master, matched by township and customer tier.</t>
      </text>
    </comment>
    <comment ref="AO1" authorId="0" shapeId="0">
      <text>
        <t>Company net delivery tariff after commitment refund. Internal value; do not print on the waybill.</t>
      </text>
    </comment>
    <comment ref="AP1" authorId="0" shapeId="0">
      <text>
        <t>Customer-facing delivery component used for settlement comparison.</t>
      </text>
    </comment>
    <comment ref="AQ1" authorId="0" shapeId="0">
      <text>
        <t>Effective declared delivery minus net system delivery. Positive = credit merchant; negative = deduct merchant.</t>
      </text>
    </comment>
    <comment ref="AS1" authorId="0" shapeId="0">
      <text>
        <t>Backend-generated settlement adjustment. May be negative. Imported values must be ignored.</t>
      </text>
    </comment>
    <comment ref="AT1" authorId="0" shapeId="0">
      <text>
        <t>Backend-generated merchant settlement. May be negative and must not be clamped to zero.</t>
      </text>
    </comment>
    <comment ref="AU1" authorId="0" shapeId="0">
      <text>
        <t>OK, REVIEW, or ERROR. Do not finalize rows marked REVIEW or ERROR.</t>
      </text>
    </comment>
    <comment ref="AW1" authorId="0" shapeId="0">
      <text>
        <t>Backend calculation-rule version. Server overwrites imported values.</t>
      </text>
    </comment>
    <comment ref="AX1" authorId="0" shapeId="0">
      <text>
        <t>Backend calculation timestamp. Leave blank in the template; server populates it.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Helper lookup key: township|customer_tier.</t>
      </text>
    </comment>
    <comment ref="F1" authorId="0" shapeId="0">
      <text>
        <t>Base tariff from the user-provided current tariff source.</t>
      </text>
    </comment>
    <comment ref="H1" authorId="0" shapeId="0">
      <text>
        <t>Default extra-weight rate from the current rule: 500 MMK per extra kg.</t>
      </text>
    </comment>
  </commentList>
</comments>
</file>

<file path=xl/tables/table1.xml><?xml version="1.0" encoding="utf-8"?>
<table xmlns="http://schemas.openxmlformats.org/spreadsheetml/2006/main" id="1" name="TariffMasterTable" displayName="TariffMasterTable" ref="A1:L169" headerRowCount="1">
  <autoFilter ref="A1:L169"/>
  <tableColumns count="12">
    <tableColumn id="1" name="tariff_key"/>
    <tableColumn id="2" name="township"/>
    <tableColumn id="3" name="zone"/>
    <tableColumn id="4" name="zone_code"/>
    <tableColumn id="5" name="customer_tier"/>
    <tableColumn id="6" name="base_fee_mmk"/>
    <tableColumn id="7" name="included_kg"/>
    <tableColumn id="8" name="extra_per_kg_mmk"/>
    <tableColumn id="9" name="commitment_min_ways"/>
    <tableColumn id="10" name="commitment_refund_per_way"/>
    <tableColumn id="11" name="note"/>
    <tableColumn id="12" name="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BackendImportRules" displayName="BackendImportRules" ref="A1:D19" headerRowCount="1">
  <autoFilter ref="A1:D19"/>
  <tableColumns count="4">
    <tableColumn id="1" name="field"/>
    <tableColumn id="2" name="classification"/>
    <tableColumn id="3" name="backend behaviour"/>
    <tableColumn id="4" name="reas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ettlementExamples" displayName="SettlementExamples" ref="A1:U8" headerRowCount="1">
  <autoFilter ref="A1:S7"/>
  <tableColumns count="19">
    <tableColumn id="1" name="scenario"/>
    <tableColumn id="2" name="amount_entry_type"/>
    <tableColumn id="3" name="item_price"/>
    <tableColumn id="4" name="declared_delivery"/>
    <tableColumn id="5" name="stated_total"/>
    <tableColumn id="6" name="additional_customer_charge"/>
    <tableColumn id="7" name="base_tariff"/>
    <tableColumn id="8" name="actual_weight_kg"/>
    <tableColumn id="9" name="included_kg"/>
    <tableColumn id="10" name="extra_per_kg"/>
    <tableColumn id="11" name="cbm_surcharge"/>
    <tableColumn id="12" name="other_surcharge"/>
    <tableColumn id="13" name="commitment_refund"/>
    <tableColumn id="14" name="net_system_delivery"/>
    <tableColumn id="15" name="total_collect"/>
    <tableColumn id="16" name="delivery_difference"/>
    <tableColumn id="17" name="settlement_direction"/>
    <tableColumn id="18" name="merchant_settlement"/>
    <tableColumn id="19" name="explanatio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AX1001"/>
  <sheetViews>
    <sheetView showGridLines="0" tabSelected="1" topLeftCell="C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P1"/>
    </sheetView>
  </sheetViews>
  <sheetFormatPr baseColWidth="8" defaultColWidth="11.25" defaultRowHeight="14"/>
  <cols>
    <col width="14" customWidth="1" style="2" min="1" max="5"/>
    <col width="16" customWidth="1" min="2" max="2"/>
    <col width="15" customWidth="1" min="3" max="3"/>
    <col width="15" customWidth="1" min="4" max="4"/>
    <col width="14" customWidth="1" min="5" max="5"/>
    <col width="22" bestFit="1" customWidth="1" style="2" min="6" max="6"/>
    <col width="18" bestFit="1" customWidth="1" style="2" min="7" max="7"/>
    <col width="28" customWidth="1" style="2" min="8" max="8"/>
    <col width="42" bestFit="1" customWidth="1" style="2" min="9" max="9"/>
    <col width="15" customWidth="1" style="2" min="10" max="10"/>
    <col width="18" bestFit="1" customWidth="1" style="2" min="11" max="11"/>
    <col width="17" customWidth="1" style="2" min="12" max="16384"/>
    <col width="12" customWidth="1" min="13" max="13"/>
    <col width="20" customWidth="1" min="14" max="14"/>
    <col width="20" customWidth="1" min="15" max="15"/>
    <col width="14" customWidth="1" min="16" max="16"/>
    <col width="16" customWidth="1" min="17" max="17"/>
    <col width="14" customWidth="1" min="18" max="18"/>
    <col width="38" customWidth="1" min="19" max="19"/>
    <col width="22" customWidth="1" min="20" max="20"/>
    <col width="22" customWidth="1" min="21" max="21"/>
    <col width="16" customWidth="1" min="22" max="22"/>
    <col width="16" customWidth="1" min="23" max="23"/>
    <col width="21" customWidth="1" min="24" max="24"/>
    <col width="21" customWidth="1" min="25" max="25"/>
    <col width="32" customWidth="1" min="26" max="26"/>
    <col width="18" customWidth="1" min="27" max="27"/>
    <col width="18" customWidth="1" min="28" max="28"/>
    <col outlineLevel="1" width="18" customWidth="1" min="29" max="29"/>
    <col outlineLevel="1" width="16" customWidth="1" min="30" max="30"/>
    <col outlineLevel="1" width="15" customWidth="1" min="31" max="31"/>
    <col outlineLevel="1" width="13" customWidth="1" min="32" max="32"/>
    <col outlineLevel="1" width="14" customWidth="1" min="33" max="33"/>
    <col outlineLevel="1" width="20" customWidth="1" min="34" max="34"/>
    <col outlineLevel="1" width="24" customWidth="1" min="35" max="35"/>
    <col outlineLevel="1" width="21" customWidth="1" min="36" max="36"/>
    <col outlineLevel="1" width="12" customWidth="1" min="37" max="37"/>
    <col outlineLevel="1" width="17" customWidth="1" min="38" max="38"/>
    <col outlineLevel="1" width="26" customWidth="1" min="39" max="39"/>
    <col outlineLevel="1" width="20" customWidth="1" min="40" max="40"/>
    <col outlineLevel="1" width="23" customWidth="1" min="41" max="41"/>
    <col outlineLevel="1" width="29" customWidth="1" min="42" max="42"/>
    <col outlineLevel="1" width="18" customWidth="1" min="43" max="43"/>
    <col outlineLevel="1" width="26" customWidth="1" min="44" max="44"/>
    <col outlineLevel="1" width="30" customWidth="1" min="45" max="45"/>
    <col width="30" customWidth="1" min="46" max="46"/>
    <col width="20" customWidth="1" min="47" max="47"/>
    <col width="52" customWidth="1" min="48" max="48"/>
    <col width="24" customWidth="1" min="49" max="49"/>
    <col width="24" customWidth="1" min="50" max="50"/>
  </cols>
  <sheetData>
    <row r="1" ht="52" customHeight="1">
      <c r="A1" s="3" t="inlineStr">
        <is>
          <t>id</t>
        </is>
      </c>
      <c r="B1" s="3" t="inlineStr">
        <is>
          <t>way_id</t>
        </is>
      </c>
      <c r="C1" s="3" t="inlineStr">
        <is>
          <t>customer_id</t>
        </is>
      </c>
      <c r="D1" s="3" t="inlineStr">
        <is>
          <t>merchant_id</t>
        </is>
      </c>
      <c r="E1" s="3" t="inlineStr">
        <is>
          <t>status</t>
        </is>
      </c>
      <c r="F1" s="3" t="inlineStr">
        <is>
          <t>recipient_name</t>
        </is>
      </c>
      <c r="G1" s="3" t="inlineStr">
        <is>
          <t>recipient_phone</t>
        </is>
      </c>
      <c r="H1" s="3" t="inlineStr">
        <is>
          <t>township</t>
        </is>
      </c>
      <c r="I1" s="3" t="inlineStr">
        <is>
          <t>delivery_address</t>
        </is>
      </c>
      <c r="J1" s="3" t="inlineStr">
        <is>
          <t>item_price</t>
        </is>
      </c>
      <c r="K1" s="3" t="inlineStr">
        <is>
          <t>delivery_charges</t>
        </is>
      </c>
      <c r="L1" s="3" t="inlineStr">
        <is>
          <t>cod_amount</t>
        </is>
      </c>
      <c r="M1" s="3" t="inlineStr">
        <is>
          <t>weight_kg</t>
        </is>
      </c>
      <c r="N1" s="3" t="inlineStr">
        <is>
          <t>created_at</t>
        </is>
      </c>
      <c r="O1" s="3" t="inlineStr">
        <is>
          <t>updated_at</t>
        </is>
      </c>
      <c r="P1" s="3" t="inlineStr">
        <is>
          <t>environment</t>
        </is>
      </c>
      <c r="Q1" s="4" t="inlineStr">
        <is>
          <t>customer_tier</t>
        </is>
      </c>
      <c r="R1" s="4" t="inlineStr">
        <is>
          <t>monthly_ways</t>
        </is>
      </c>
      <c r="S1" s="4" t="inlineStr">
        <is>
          <t>amount_entry_type</t>
        </is>
      </c>
      <c r="T1" s="4" t="inlineStr">
        <is>
          <t>merchant_stated_total_amount</t>
        </is>
      </c>
      <c r="U1" s="4" t="inlineStr">
        <is>
          <t>additional_customer_charge</t>
        </is>
      </c>
      <c r="V1" s="4" t="inlineStr">
        <is>
          <t>cbm_surcharge</t>
        </is>
      </c>
      <c r="W1" s="4" t="inlineStr">
        <is>
          <t>other_surcharge</t>
        </is>
      </c>
      <c r="X1" s="4" t="inlineStr">
        <is>
          <t>merchant_payable_charges</t>
        </is>
      </c>
      <c r="Y1" s="4" t="inlineStr">
        <is>
          <t>other_merchant_credits</t>
        </is>
      </c>
      <c r="Z1" s="4" t="inlineStr">
        <is>
          <t>remarks</t>
        </is>
      </c>
      <c r="AA1" s="4" t="inlineStr">
        <is>
          <t>entered_by</t>
        </is>
      </c>
      <c r="AB1" s="4" t="inlineStr">
        <is>
          <t>authorized_by</t>
        </is>
      </c>
      <c r="AC1" s="5" t="inlineStr">
        <is>
          <t>tariff_zone</t>
        </is>
      </c>
      <c r="AD1" s="5" t="inlineStr">
        <is>
          <t>tariff_zone_code</t>
        </is>
      </c>
      <c r="AE1" s="5" t="inlineStr">
        <is>
          <t>base_tariff</t>
        </is>
      </c>
      <c r="AF1" s="5" t="inlineStr">
        <is>
          <t>included_kg</t>
        </is>
      </c>
      <c r="AG1" s="5" t="inlineStr">
        <is>
          <t>extra_per_kg</t>
        </is>
      </c>
      <c r="AH1" s="5" t="inlineStr">
        <is>
          <t>commitment_min_ways</t>
        </is>
      </c>
      <c r="AI1" s="5" t="inlineStr">
        <is>
          <t>commitment_refund_per_way</t>
        </is>
      </c>
      <c r="AJ1" s="6" t="inlineStr">
        <is>
          <t>chargeable_weight_kg</t>
        </is>
      </c>
      <c r="AK1" s="6" t="inlineStr">
        <is>
          <t>extra_kg</t>
        </is>
      </c>
      <c r="AL1" s="6" t="inlineStr">
        <is>
          <t>weight_surcharge</t>
        </is>
      </c>
      <c r="AM1" s="6" t="inlineStr">
        <is>
          <t>gross_system_delivery_charge</t>
        </is>
      </c>
      <c r="AN1" s="6" t="inlineStr">
        <is>
          <t>commitment_refund</t>
        </is>
      </c>
      <c r="AO1" s="6" t="inlineStr">
        <is>
          <t>net_system_delivery_charge</t>
        </is>
      </c>
      <c r="AP1" s="6" t="inlineStr">
        <is>
          <t>effective_declared_delivery_charge</t>
        </is>
      </c>
      <c r="AQ1" s="6" t="inlineStr">
        <is>
          <t>delivery_difference</t>
        </is>
      </c>
      <c r="AR1" s="6" t="inlineStr">
        <is>
          <t>settlement_direction</t>
        </is>
      </c>
      <c r="AS1" s="6" t="inlineStr">
        <is>
          <t>merchant_settlement_adjustment</t>
        </is>
      </c>
      <c r="AT1" s="6" t="inlineStr">
        <is>
          <t>merchant_final_settlement_amount</t>
        </is>
      </c>
      <c r="AU1" s="7" t="inlineStr">
        <is>
          <t>validation_status</t>
        </is>
      </c>
      <c r="AV1" s="7" t="inlineStr">
        <is>
          <t>validation_message</t>
        </is>
      </c>
      <c r="AW1" s="6" t="inlineStr">
        <is>
          <t>calculation_version</t>
        </is>
      </c>
      <c r="AX1" s="5" t="inlineStr">
        <is>
          <t>calculated_at</t>
        </is>
      </c>
    </row>
    <row r="2">
      <c r="A2" s="8" t="n"/>
      <c r="B2" s="8" t="n"/>
      <c r="C2" s="8" t="n"/>
      <c r="D2" s="8" t="n"/>
      <c r="E2" s="9" t="n"/>
      <c r="F2" s="9" t="n"/>
      <c r="G2" s="8" t="n"/>
      <c r="H2" s="9" t="n"/>
      <c r="I2" s="9" t="n"/>
      <c r="J2" s="10" t="n"/>
      <c r="K2" s="10" t="n"/>
      <c r="L2" s="11">
        <f>IF($S2="","",IF($S2="ITEM_PRICE_PLUS_DECLARED_DELIVERY",IF(OR($J2="",$K2=""),"",SUM($J2,$K2,$U2)),IF($S2="TOTAL_AMOUNT_INCLUDING_DELIVERY",IF($T2="","",$T2),IF($S2="DELIVERY_CHARGE_ONLY",IF($K2="","",SUM($K2,$U2)),IF($S2="EXACT_COLLECTION_AMOUNT",IF($T2="","",$T2),IF($S2="ITEM_PRICE_ONLY_DELIVERY_PAID_BY_MERCHANT",IF($J2="","",SUM($J2,$U2)),""))))))</f>
        <v/>
      </c>
      <c r="M2" s="12" t="n"/>
      <c r="N2" s="13" t="n"/>
      <c r="O2" s="13" t="n"/>
      <c r="P2" s="9" t="n"/>
      <c r="Q2" s="14" t="n"/>
      <c r="R2" s="15" t="n"/>
      <c r="S2" s="14" t="n"/>
      <c r="T2" s="16" t="n"/>
      <c r="U2" s="16" t="n"/>
      <c r="V2" s="16" t="n"/>
      <c r="W2" s="16" t="n"/>
      <c r="X2" s="16" t="n"/>
      <c r="Y2" s="16" t="n"/>
      <c r="Z2" s="14" t="n"/>
      <c r="AA2" s="14" t="n"/>
      <c r="AB2" s="14" t="n"/>
      <c r="AC2" s="17">
        <f>IFERROR(VLOOKUP($H2&amp;"|"&amp;$Q2,Tariff_Master!$A$2:$L$169,3,FALSE),"")</f>
        <v/>
      </c>
      <c r="AD2" s="17">
        <f>IFERROR(VLOOKUP($H2&amp;"|"&amp;$Q2,Tariff_Master!$A$2:$L$169,4,FALSE),"")</f>
        <v/>
      </c>
      <c r="AE2" s="18">
        <f>IFERROR(VLOOKUP($H2&amp;"|"&amp;$Q2,Tariff_Master!$A$2:$L$169,6,FALSE),"")</f>
        <v/>
      </c>
      <c r="AF2" s="19">
        <f>IFERROR(VLOOKUP($H2&amp;"|"&amp;$Q2,Tariff_Master!$A$2:$L$169,7,FALSE),"")</f>
        <v/>
      </c>
      <c r="AG2" s="18">
        <f>IFERROR(VLOOKUP($H2&amp;"|"&amp;$Q2,Tariff_Master!$A$2:$L$169,8,FALSE),"")</f>
        <v/>
      </c>
      <c r="AH2" s="20">
        <f>IFERROR(VLOOKUP($H2&amp;"|"&amp;$Q2,Tariff_Master!$A$2:$L$169,9,FALSE),"")</f>
        <v/>
      </c>
      <c r="AI2" s="18">
        <f>IFERROR(VLOOKUP($H2&amp;"|"&amp;$Q2,Tariff_Master!$A$2:$L$169,10,FALSE),"")</f>
        <v/>
      </c>
      <c r="AJ2" s="21">
        <f>IF($M2="","",ROUNDUP(MAX(0,$M2),0))</f>
        <v/>
      </c>
      <c r="AK2" s="21">
        <f>IF(OR($AJ2="",$AF2=""),"",MAX(0,$AJ2-$AF2))</f>
        <v/>
      </c>
      <c r="AL2" s="22">
        <f>IF(OR($AK2="",$AG2=""),"",MAX(0,$AK2*$AG2))</f>
        <v/>
      </c>
      <c r="AM2" s="22">
        <f>IF($AE2="","",MAX(0,SUM($AE2,$AL2,$V2,$W2)))</f>
        <v/>
      </c>
      <c r="AN2" s="22">
        <f>IF($AM2="","",IF(AND($Q2="COMMITMENT",$R2&gt;=$AH2),$AI2,0))</f>
        <v/>
      </c>
      <c r="AO2" s="23">
        <f>IF($AM2="","",MAX(0,$AM2-$AN2))</f>
        <v/>
      </c>
      <c r="AP2" s="22">
        <f>IF($S2="","",IF(OR($S2="ITEM_PRICE_PLUS_DECLARED_DELIVERY",$S2="DELIVERY_CHARGE_ONLY"),$K2,IF($S2="TOTAL_AMOUNT_INCLUDING_DELIVERY",IF(OR($T2="",$J2=""),"",MAX(0,$T2-$J2-$U2)),IF($S2="ITEM_PRICE_ONLY_DELIVERY_PAID_BY_MERCHANT",0,""))))</f>
        <v/>
      </c>
      <c r="AQ2" s="23">
        <f>IF(OR($AP2="",$AO2=""),"",$AP2-$AO2)</f>
        <v/>
      </c>
      <c r="AR2" s="24">
        <f>IF($S2="EXACT_COLLECTION_AMOUNT","BREAKDOWN_REQUIRED",IF($AQ2="","",IF($AQ2&gt;0,"CREDIT_TO_MERCHANT",IF($AQ2&lt;0,"DEDUCT_FROM_MERCHANT","NO_ADJUSTMENT"))))</f>
        <v/>
      </c>
      <c r="AS2" s="23">
        <f>IF(OR($AQ2="",$AR2="BREAKDOWN_REQUIRED"),"",$AQ2)</f>
        <v/>
      </c>
      <c r="AT2" s="23">
        <f>IF(OR($AR2="",$AR2="BREAKDOWN_REQUIRED"),"",SUM($J2,$AQ2,$Y2)-$X2)</f>
        <v/>
      </c>
      <c r="AU2" s="25">
        <f>IF(AND($A2="",$B2="",$F2="",$H2="",$J2="",$K2="",$M2="",$S2=""),"",IF(OR($H2="",$Q2="",$M2="",$S2=""),"ERROR",IF(OR($J2&lt;0,$K2&lt;0,$M2&lt;0,$T2&lt;0,$U2&lt;0,$V2&lt;0,$W2&lt;0,$X2&lt;0,$Y2&lt;0),"ERROR",IF($AE2="","ERROR",IF(AND(OR($S2="ITEM_PRICE_PLUS_DECLARED_DELIVERY",$S2="TOTAL_AMOUNT_INCLUDING_DELIVERY",$S2="ITEM_PRICE_ONLY_DELIVERY_PAID_BY_MERCHANT"),$J2=""),"ERROR",IF(AND(OR($S2="ITEM_PRICE_PLUS_DECLARED_DELIVERY",$S2="DELIVERY_CHARGE_ONLY"),$K2=""),"ERROR",IF(AND(OR($S2="TOTAL_AMOUNT_INCLUDING_DELIVERY",$S2="EXACT_COLLECTION_AMOUNT"),$T2=""),"ERROR",IF(AND($S2="TOTAL_AMOUNT_INCLUDING_DELIVERY",$T2&lt;SUM($J2,$U2)),"ERROR",IF($S2="EXACT_COLLECTION_AMOUNT","REVIEW","OK")))))))))</f>
        <v/>
      </c>
      <c r="AV2" s="25">
        <f>IF($AU2="","",IF($H2="","Township required",IF($Q2="","Customer tier required",IF($M2="","Weight required",IF($S2="","Amount entry type required",IF(OR($J2&lt;0,$K2&lt;0,$M2&lt;0,$T2&lt;0,$U2&lt;0,$V2&lt;0,$W2&lt;0,$X2&lt;0,$Y2&lt;0),"Negative amounts are not allowed",IF($AE2="","Tariff not found for township and tier",IF(AND(OR($S2="ITEM_PRICE_PLUS_DECLARED_DELIVERY",$S2="TOTAL_AMOUNT_INCLUDING_DELIVERY",$S2="ITEM_PRICE_ONLY_DELIVERY_PAID_BY_MERCHANT"),$J2=""),"Item price required for this amount type",IF(AND(OR($S2="ITEM_PRICE_PLUS_DECLARED_DELIVERY",$S2="DELIVERY_CHARGE_ONLY"),$K2=""),"Declared delivery charge required",IF(AND(OR($S2="TOTAL_AMOUNT_INCLUDING_DELIVERY",$S2="EXACT_COLLECTION_AMOUNT"),$T2=""),"Stated total amount required",IF(AND($S2="TOTAL_AMOUNT_INCLUDING_DELIVERY",$T2&lt;SUM($J2,$U2)),"Stated total is below item price plus additional charge",IF($S2="EXACT_COLLECTION_AMOUNT","Authorized amount breakdown required before settlement","Ready for collection and settlement"))))))))))))</f>
        <v/>
      </c>
      <c r="AW2" s="23">
        <f>IF($AU2="","","PARCEL_FINANCIAL_V2")</f>
        <v/>
      </c>
      <c r="AX2" s="17" t="n"/>
    </row>
    <row r="3">
      <c r="A3" s="8" t="n"/>
      <c r="B3" s="8" t="n"/>
      <c r="C3" s="8" t="n"/>
      <c r="D3" s="8" t="n"/>
      <c r="E3" s="9" t="n"/>
      <c r="F3" s="9" t="n"/>
      <c r="G3" s="8" t="n"/>
      <c r="H3" s="9" t="n"/>
      <c r="I3" s="9" t="n"/>
      <c r="J3" s="10" t="n"/>
      <c r="K3" s="10" t="n"/>
      <c r="L3" s="11">
        <f>IF($S3="","",IF($S3="ITEM_PRICE_PLUS_DECLARED_DELIVERY",IF(OR($J3="",$K3=""),"",SUM($J3,$K3,$U3)),IF($S3="TOTAL_AMOUNT_INCLUDING_DELIVERY",IF($T3="","",$T3),IF($S3="DELIVERY_CHARGE_ONLY",IF($K3="","",SUM($K3,$U3)),IF($S3="EXACT_COLLECTION_AMOUNT",IF($T3="","",$T3),IF($S3="ITEM_PRICE_ONLY_DELIVERY_PAID_BY_MERCHANT",IF($J3="","",SUM($J3,$U3)),""))))))</f>
        <v/>
      </c>
      <c r="M3" s="12" t="n"/>
      <c r="N3" s="13" t="n"/>
      <c r="O3" s="13" t="n"/>
      <c r="P3" s="9" t="n"/>
      <c r="Q3" s="14" t="n"/>
      <c r="R3" s="15" t="n"/>
      <c r="S3" s="14" t="n"/>
      <c r="T3" s="16" t="n"/>
      <c r="U3" s="16" t="n"/>
      <c r="V3" s="16" t="n"/>
      <c r="W3" s="16" t="n"/>
      <c r="X3" s="16" t="n"/>
      <c r="Y3" s="16" t="n"/>
      <c r="Z3" s="14" t="n"/>
      <c r="AA3" s="14" t="n"/>
      <c r="AB3" s="14" t="n"/>
      <c r="AC3" s="17">
        <f>IFERROR(VLOOKUP($H3&amp;"|"&amp;$Q3,Tariff_Master!$A$2:$L$169,3,FALSE),"")</f>
        <v/>
      </c>
      <c r="AD3" s="17">
        <f>IFERROR(VLOOKUP($H3&amp;"|"&amp;$Q3,Tariff_Master!$A$2:$L$169,4,FALSE),"")</f>
        <v/>
      </c>
      <c r="AE3" s="18">
        <f>IFERROR(VLOOKUP($H3&amp;"|"&amp;$Q3,Tariff_Master!$A$2:$L$169,6,FALSE),"")</f>
        <v/>
      </c>
      <c r="AF3" s="19">
        <f>IFERROR(VLOOKUP($H3&amp;"|"&amp;$Q3,Tariff_Master!$A$2:$L$169,7,FALSE),"")</f>
        <v/>
      </c>
      <c r="AG3" s="18">
        <f>IFERROR(VLOOKUP($H3&amp;"|"&amp;$Q3,Tariff_Master!$A$2:$L$169,8,FALSE),"")</f>
        <v/>
      </c>
      <c r="AH3" s="20">
        <f>IFERROR(VLOOKUP($H3&amp;"|"&amp;$Q3,Tariff_Master!$A$2:$L$169,9,FALSE),"")</f>
        <v/>
      </c>
      <c r="AI3" s="18">
        <f>IFERROR(VLOOKUP($H3&amp;"|"&amp;$Q3,Tariff_Master!$A$2:$L$169,10,FALSE),"")</f>
        <v/>
      </c>
      <c r="AJ3" s="21">
        <f>IF($M3="","",ROUNDUP(MAX(0,$M3),0))</f>
        <v/>
      </c>
      <c r="AK3" s="21">
        <f>IF(OR($AJ3="",$AF3=""),"",MAX(0,$AJ3-$AF3))</f>
        <v/>
      </c>
      <c r="AL3" s="22">
        <f>IF(OR($AK3="",$AG3=""),"",MAX(0,$AK3*$AG3))</f>
        <v/>
      </c>
      <c r="AM3" s="22">
        <f>IF($AE3="","",MAX(0,SUM($AE3,$AL3,$V3,$W3)))</f>
        <v/>
      </c>
      <c r="AN3" s="22">
        <f>IF($AM3="","",IF(AND($Q3="COMMITMENT",$R3&gt;=$AH3),$AI3,0))</f>
        <v/>
      </c>
      <c r="AO3" s="23">
        <f>IF($AM3="","",MAX(0,$AM3-$AN3))</f>
        <v/>
      </c>
      <c r="AP3" s="22">
        <f>IF($S3="","",IF(OR($S3="ITEM_PRICE_PLUS_DECLARED_DELIVERY",$S3="DELIVERY_CHARGE_ONLY"),$K3,IF($S3="TOTAL_AMOUNT_INCLUDING_DELIVERY",IF(OR($T3="",$J3=""),"",MAX(0,$T3-$J3-$U3)),IF($S3="ITEM_PRICE_ONLY_DELIVERY_PAID_BY_MERCHANT",0,""))))</f>
        <v/>
      </c>
      <c r="AQ3" s="23">
        <f>IF(OR($AP3="",$AO3=""),"",$AP3-$AO3)</f>
        <v/>
      </c>
      <c r="AR3" s="24">
        <f>IF($S3="EXACT_COLLECTION_AMOUNT","BREAKDOWN_REQUIRED",IF($AQ3="","",IF($AQ3&gt;0,"CREDIT_TO_MERCHANT",IF($AQ3&lt;0,"DEDUCT_FROM_MERCHANT","NO_ADJUSTMENT"))))</f>
        <v/>
      </c>
      <c r="AS3" s="23">
        <f>IF(OR($AQ3="",$AR3="BREAKDOWN_REQUIRED"),"",$AQ3)</f>
        <v/>
      </c>
      <c r="AT3" s="23">
        <f>IF(OR($AR3="",$AR3="BREAKDOWN_REQUIRED"),"",SUM($J3,$AQ3,$Y3)-$X3)</f>
        <v/>
      </c>
      <c r="AU3" s="25">
        <f>IF(AND($A3="",$B3="",$F3="",$H3="",$J3="",$K3="",$M3="",$S3=""),"",IF(OR($H3="",$Q3="",$M3="",$S3=""),"ERROR",IF(OR($J3&lt;0,$K3&lt;0,$M3&lt;0,$T3&lt;0,$U3&lt;0,$V3&lt;0,$W3&lt;0,$X3&lt;0,$Y3&lt;0),"ERROR",IF($AE3="","ERROR",IF(AND(OR($S3="ITEM_PRICE_PLUS_DECLARED_DELIVERY",$S3="TOTAL_AMOUNT_INCLUDING_DELIVERY",$S3="ITEM_PRICE_ONLY_DELIVERY_PAID_BY_MERCHANT"),$J3=""),"ERROR",IF(AND(OR($S3="ITEM_PRICE_PLUS_DECLARED_DELIVERY",$S3="DELIVERY_CHARGE_ONLY"),$K3=""),"ERROR",IF(AND(OR($S3="TOTAL_AMOUNT_INCLUDING_DELIVERY",$S3="EXACT_COLLECTION_AMOUNT"),$T3=""),"ERROR",IF(AND($S3="TOTAL_AMOUNT_INCLUDING_DELIVERY",$T3&lt;SUM($J3,$U3)),"ERROR",IF($S3="EXACT_COLLECTION_AMOUNT","REVIEW","OK")))))))))</f>
        <v/>
      </c>
      <c r="AV3" s="25">
        <f>IF($AU3="","",IF($H3="","Township required",IF($Q3="","Customer tier required",IF($M3="","Weight required",IF($S3="","Amount entry type required",IF(OR($J3&lt;0,$K3&lt;0,$M3&lt;0,$T3&lt;0,$U3&lt;0,$V3&lt;0,$W3&lt;0,$X3&lt;0,$Y3&lt;0),"Negative amounts are not allowed",IF($AE3="","Tariff not found for township and tier",IF(AND(OR($S3="ITEM_PRICE_PLUS_DECLARED_DELIVERY",$S3="TOTAL_AMOUNT_INCLUDING_DELIVERY",$S3="ITEM_PRICE_ONLY_DELIVERY_PAID_BY_MERCHANT"),$J3=""),"Item price required for this amount type",IF(AND(OR($S3="ITEM_PRICE_PLUS_DECLARED_DELIVERY",$S3="DELIVERY_CHARGE_ONLY"),$K3=""),"Declared delivery charge required",IF(AND(OR($S3="TOTAL_AMOUNT_INCLUDING_DELIVERY",$S3="EXACT_COLLECTION_AMOUNT"),$T3=""),"Stated total amount required",IF(AND($S3="TOTAL_AMOUNT_INCLUDING_DELIVERY",$T3&lt;SUM($J3,$U3)),"Stated total is below item price plus additional charge",IF($S3="EXACT_COLLECTION_AMOUNT","Authorized amount breakdown required before settlement","Ready for collection and settlement"))))))))))))</f>
        <v/>
      </c>
      <c r="AW3" s="23">
        <f>IF($AU3="","","PARCEL_FINANCIAL_V2")</f>
        <v/>
      </c>
      <c r="AX3" s="17" t="n"/>
    </row>
    <row r="4">
      <c r="A4" s="8" t="n"/>
      <c r="B4" s="8" t="n"/>
      <c r="C4" s="8" t="n"/>
      <c r="D4" s="8" t="n"/>
      <c r="E4" s="9" t="n"/>
      <c r="F4" s="9" t="n"/>
      <c r="G4" s="8" t="n"/>
      <c r="H4" s="9" t="n"/>
      <c r="I4" s="9" t="n"/>
      <c r="J4" s="10" t="n"/>
      <c r="K4" s="10" t="n"/>
      <c r="L4" s="11">
        <f>IF($S4="","",IF($S4="ITEM_PRICE_PLUS_DECLARED_DELIVERY",IF(OR($J4="",$K4=""),"",SUM($J4,$K4,$U4)),IF($S4="TOTAL_AMOUNT_INCLUDING_DELIVERY",IF($T4="","",$T4),IF($S4="DELIVERY_CHARGE_ONLY",IF($K4="","",SUM($K4,$U4)),IF($S4="EXACT_COLLECTION_AMOUNT",IF($T4="","",$T4),IF($S4="ITEM_PRICE_ONLY_DELIVERY_PAID_BY_MERCHANT",IF($J4="","",SUM($J4,$U4)),""))))))</f>
        <v/>
      </c>
      <c r="M4" s="12" t="n"/>
      <c r="N4" s="13" t="n"/>
      <c r="O4" s="13" t="n"/>
      <c r="P4" s="9" t="n"/>
      <c r="Q4" s="14" t="n"/>
      <c r="R4" s="15" t="n"/>
      <c r="S4" s="14" t="n"/>
      <c r="T4" s="16" t="n"/>
      <c r="U4" s="16" t="n"/>
      <c r="V4" s="16" t="n"/>
      <c r="W4" s="16" t="n"/>
      <c r="X4" s="16" t="n"/>
      <c r="Y4" s="16" t="n"/>
      <c r="Z4" s="14" t="n"/>
      <c r="AA4" s="14" t="n"/>
      <c r="AB4" s="14" t="n"/>
      <c r="AC4" s="17">
        <f>IFERROR(VLOOKUP($H4&amp;"|"&amp;$Q4,Tariff_Master!$A$2:$L$169,3,FALSE),"")</f>
        <v/>
      </c>
      <c r="AD4" s="17">
        <f>IFERROR(VLOOKUP($H4&amp;"|"&amp;$Q4,Tariff_Master!$A$2:$L$169,4,FALSE),"")</f>
        <v/>
      </c>
      <c r="AE4" s="18">
        <f>IFERROR(VLOOKUP($H4&amp;"|"&amp;$Q4,Tariff_Master!$A$2:$L$169,6,FALSE),"")</f>
        <v/>
      </c>
      <c r="AF4" s="19">
        <f>IFERROR(VLOOKUP($H4&amp;"|"&amp;$Q4,Tariff_Master!$A$2:$L$169,7,FALSE),"")</f>
        <v/>
      </c>
      <c r="AG4" s="18">
        <f>IFERROR(VLOOKUP($H4&amp;"|"&amp;$Q4,Tariff_Master!$A$2:$L$169,8,FALSE),"")</f>
        <v/>
      </c>
      <c r="AH4" s="20">
        <f>IFERROR(VLOOKUP($H4&amp;"|"&amp;$Q4,Tariff_Master!$A$2:$L$169,9,FALSE),"")</f>
        <v/>
      </c>
      <c r="AI4" s="18">
        <f>IFERROR(VLOOKUP($H4&amp;"|"&amp;$Q4,Tariff_Master!$A$2:$L$169,10,FALSE),"")</f>
        <v/>
      </c>
      <c r="AJ4" s="21">
        <f>IF($M4="","",ROUNDUP(MAX(0,$M4),0))</f>
        <v/>
      </c>
      <c r="AK4" s="21">
        <f>IF(OR($AJ4="",$AF4=""),"",MAX(0,$AJ4-$AF4))</f>
        <v/>
      </c>
      <c r="AL4" s="22">
        <f>IF(OR($AK4="",$AG4=""),"",MAX(0,$AK4*$AG4))</f>
        <v/>
      </c>
      <c r="AM4" s="22">
        <f>IF($AE4="","",MAX(0,SUM($AE4,$AL4,$V4,$W4)))</f>
        <v/>
      </c>
      <c r="AN4" s="22">
        <f>IF($AM4="","",IF(AND($Q4="COMMITMENT",$R4&gt;=$AH4),$AI4,0))</f>
        <v/>
      </c>
      <c r="AO4" s="23">
        <f>IF($AM4="","",MAX(0,$AM4-$AN4))</f>
        <v/>
      </c>
      <c r="AP4" s="22">
        <f>IF($S4="","",IF(OR($S4="ITEM_PRICE_PLUS_DECLARED_DELIVERY",$S4="DELIVERY_CHARGE_ONLY"),$K4,IF($S4="TOTAL_AMOUNT_INCLUDING_DELIVERY",IF(OR($T4="",$J4=""),"",MAX(0,$T4-$J4-$U4)),IF($S4="ITEM_PRICE_ONLY_DELIVERY_PAID_BY_MERCHANT",0,""))))</f>
        <v/>
      </c>
      <c r="AQ4" s="23">
        <f>IF(OR($AP4="",$AO4=""),"",$AP4-$AO4)</f>
        <v/>
      </c>
      <c r="AR4" s="24">
        <f>IF($S4="EXACT_COLLECTION_AMOUNT","BREAKDOWN_REQUIRED",IF($AQ4="","",IF($AQ4&gt;0,"CREDIT_TO_MERCHANT",IF($AQ4&lt;0,"DEDUCT_FROM_MERCHANT","NO_ADJUSTMENT"))))</f>
        <v/>
      </c>
      <c r="AS4" s="23">
        <f>IF(OR($AQ4="",$AR4="BREAKDOWN_REQUIRED"),"",$AQ4)</f>
        <v/>
      </c>
      <c r="AT4" s="23">
        <f>IF(OR($AR4="",$AR4="BREAKDOWN_REQUIRED"),"",SUM($J4,$AQ4,$Y4)-$X4)</f>
        <v/>
      </c>
      <c r="AU4" s="25">
        <f>IF(AND($A4="",$B4="",$F4="",$H4="",$J4="",$K4="",$M4="",$S4=""),"",IF(OR($H4="",$Q4="",$M4="",$S4=""),"ERROR",IF(OR($J4&lt;0,$K4&lt;0,$M4&lt;0,$T4&lt;0,$U4&lt;0,$V4&lt;0,$W4&lt;0,$X4&lt;0,$Y4&lt;0),"ERROR",IF($AE4="","ERROR",IF(AND(OR($S4="ITEM_PRICE_PLUS_DECLARED_DELIVERY",$S4="TOTAL_AMOUNT_INCLUDING_DELIVERY",$S4="ITEM_PRICE_ONLY_DELIVERY_PAID_BY_MERCHANT"),$J4=""),"ERROR",IF(AND(OR($S4="ITEM_PRICE_PLUS_DECLARED_DELIVERY",$S4="DELIVERY_CHARGE_ONLY"),$K4=""),"ERROR",IF(AND(OR($S4="TOTAL_AMOUNT_INCLUDING_DELIVERY",$S4="EXACT_COLLECTION_AMOUNT"),$T4=""),"ERROR",IF(AND($S4="TOTAL_AMOUNT_INCLUDING_DELIVERY",$T4&lt;SUM($J4,$U4)),"ERROR",IF($S4="EXACT_COLLECTION_AMOUNT","REVIEW","OK")))))))))</f>
        <v/>
      </c>
      <c r="AV4" s="25">
        <f>IF($AU4="","",IF($H4="","Township required",IF($Q4="","Customer tier required",IF($M4="","Weight required",IF($S4="","Amount entry type required",IF(OR($J4&lt;0,$K4&lt;0,$M4&lt;0,$T4&lt;0,$U4&lt;0,$V4&lt;0,$W4&lt;0,$X4&lt;0,$Y4&lt;0),"Negative amounts are not allowed",IF($AE4="","Tariff not found for township and tier",IF(AND(OR($S4="ITEM_PRICE_PLUS_DECLARED_DELIVERY",$S4="TOTAL_AMOUNT_INCLUDING_DELIVERY",$S4="ITEM_PRICE_ONLY_DELIVERY_PAID_BY_MERCHANT"),$J4=""),"Item price required for this amount type",IF(AND(OR($S4="ITEM_PRICE_PLUS_DECLARED_DELIVERY",$S4="DELIVERY_CHARGE_ONLY"),$K4=""),"Declared delivery charge required",IF(AND(OR($S4="TOTAL_AMOUNT_INCLUDING_DELIVERY",$S4="EXACT_COLLECTION_AMOUNT"),$T4=""),"Stated total amount required",IF(AND($S4="TOTAL_AMOUNT_INCLUDING_DELIVERY",$T4&lt;SUM($J4,$U4)),"Stated total is below item price plus additional charge",IF($S4="EXACT_COLLECTION_AMOUNT","Authorized amount breakdown required before settlement","Ready for collection and settlement"))))))))))))</f>
        <v/>
      </c>
      <c r="AW4" s="23">
        <f>IF($AU4="","","PARCEL_FINANCIAL_V2")</f>
        <v/>
      </c>
      <c r="AX4" s="17" t="n"/>
    </row>
    <row r="5">
      <c r="A5" s="8" t="n"/>
      <c r="B5" s="8" t="n"/>
      <c r="C5" s="8" t="n"/>
      <c r="D5" s="8" t="n"/>
      <c r="E5" s="9" t="n"/>
      <c r="F5" s="9" t="n"/>
      <c r="G5" s="8" t="n"/>
      <c r="H5" s="9" t="n"/>
      <c r="I5" s="9" t="n"/>
      <c r="J5" s="10" t="n"/>
      <c r="K5" s="10" t="n"/>
      <c r="L5" s="11">
        <f>IF($S5="","",IF($S5="ITEM_PRICE_PLUS_DECLARED_DELIVERY",IF(OR($J5="",$K5=""),"",SUM($J5,$K5,$U5)),IF($S5="TOTAL_AMOUNT_INCLUDING_DELIVERY",IF($T5="","",$T5),IF($S5="DELIVERY_CHARGE_ONLY",IF($K5="","",SUM($K5,$U5)),IF($S5="EXACT_COLLECTION_AMOUNT",IF($T5="","",$T5),IF($S5="ITEM_PRICE_ONLY_DELIVERY_PAID_BY_MERCHANT",IF($J5="","",SUM($J5,$U5)),""))))))</f>
        <v/>
      </c>
      <c r="M5" s="12" t="n"/>
      <c r="N5" s="13" t="n"/>
      <c r="O5" s="13" t="n"/>
      <c r="P5" s="9" t="n"/>
      <c r="Q5" s="14" t="n"/>
      <c r="R5" s="15" t="n"/>
      <c r="S5" s="14" t="n"/>
      <c r="T5" s="16" t="n"/>
      <c r="U5" s="16" t="n"/>
      <c r="V5" s="16" t="n"/>
      <c r="W5" s="16" t="n"/>
      <c r="X5" s="16" t="n"/>
      <c r="Y5" s="16" t="n"/>
      <c r="Z5" s="14" t="n"/>
      <c r="AA5" s="14" t="n"/>
      <c r="AB5" s="14" t="n"/>
      <c r="AC5" s="17">
        <f>IFERROR(VLOOKUP($H5&amp;"|"&amp;$Q5,Tariff_Master!$A$2:$L$169,3,FALSE),"")</f>
        <v/>
      </c>
      <c r="AD5" s="17">
        <f>IFERROR(VLOOKUP($H5&amp;"|"&amp;$Q5,Tariff_Master!$A$2:$L$169,4,FALSE),"")</f>
        <v/>
      </c>
      <c r="AE5" s="18">
        <f>IFERROR(VLOOKUP($H5&amp;"|"&amp;$Q5,Tariff_Master!$A$2:$L$169,6,FALSE),"")</f>
        <v/>
      </c>
      <c r="AF5" s="19">
        <f>IFERROR(VLOOKUP($H5&amp;"|"&amp;$Q5,Tariff_Master!$A$2:$L$169,7,FALSE),"")</f>
        <v/>
      </c>
      <c r="AG5" s="18">
        <f>IFERROR(VLOOKUP($H5&amp;"|"&amp;$Q5,Tariff_Master!$A$2:$L$169,8,FALSE),"")</f>
        <v/>
      </c>
      <c r="AH5" s="20">
        <f>IFERROR(VLOOKUP($H5&amp;"|"&amp;$Q5,Tariff_Master!$A$2:$L$169,9,FALSE),"")</f>
        <v/>
      </c>
      <c r="AI5" s="18">
        <f>IFERROR(VLOOKUP($H5&amp;"|"&amp;$Q5,Tariff_Master!$A$2:$L$169,10,FALSE),"")</f>
        <v/>
      </c>
      <c r="AJ5" s="21">
        <f>IF($M5="","",ROUNDUP(MAX(0,$M5),0))</f>
        <v/>
      </c>
      <c r="AK5" s="21">
        <f>IF(OR($AJ5="",$AF5=""),"",MAX(0,$AJ5-$AF5))</f>
        <v/>
      </c>
      <c r="AL5" s="22">
        <f>IF(OR($AK5="",$AG5=""),"",MAX(0,$AK5*$AG5))</f>
        <v/>
      </c>
      <c r="AM5" s="22">
        <f>IF($AE5="","",MAX(0,SUM($AE5,$AL5,$V5,$W5)))</f>
        <v/>
      </c>
      <c r="AN5" s="22">
        <f>IF($AM5="","",IF(AND($Q5="COMMITMENT",$R5&gt;=$AH5),$AI5,0))</f>
        <v/>
      </c>
      <c r="AO5" s="23">
        <f>IF($AM5="","",MAX(0,$AM5-$AN5))</f>
        <v/>
      </c>
      <c r="AP5" s="22">
        <f>IF($S5="","",IF(OR($S5="ITEM_PRICE_PLUS_DECLARED_DELIVERY",$S5="DELIVERY_CHARGE_ONLY"),$K5,IF($S5="TOTAL_AMOUNT_INCLUDING_DELIVERY",IF(OR($T5="",$J5=""),"",MAX(0,$T5-$J5-$U5)),IF($S5="ITEM_PRICE_ONLY_DELIVERY_PAID_BY_MERCHANT",0,""))))</f>
        <v/>
      </c>
      <c r="AQ5" s="23">
        <f>IF(OR($AP5="",$AO5=""),"",$AP5-$AO5)</f>
        <v/>
      </c>
      <c r="AR5" s="24">
        <f>IF($S5="EXACT_COLLECTION_AMOUNT","BREAKDOWN_REQUIRED",IF($AQ5="","",IF($AQ5&gt;0,"CREDIT_TO_MERCHANT",IF($AQ5&lt;0,"DEDUCT_FROM_MERCHANT","NO_ADJUSTMENT"))))</f>
        <v/>
      </c>
      <c r="AS5" s="23">
        <f>IF(OR($AQ5="",$AR5="BREAKDOWN_REQUIRED"),"",$AQ5)</f>
        <v/>
      </c>
      <c r="AT5" s="23">
        <f>IF(OR($AR5="",$AR5="BREAKDOWN_REQUIRED"),"",SUM($J5,$AQ5,$Y5)-$X5)</f>
        <v/>
      </c>
      <c r="AU5" s="25">
        <f>IF(AND($A5="",$B5="",$F5="",$H5="",$J5="",$K5="",$M5="",$S5=""),"",IF(OR($H5="",$Q5="",$M5="",$S5=""),"ERROR",IF(OR($J5&lt;0,$K5&lt;0,$M5&lt;0,$T5&lt;0,$U5&lt;0,$V5&lt;0,$W5&lt;0,$X5&lt;0,$Y5&lt;0),"ERROR",IF($AE5="","ERROR",IF(AND(OR($S5="ITEM_PRICE_PLUS_DECLARED_DELIVERY",$S5="TOTAL_AMOUNT_INCLUDING_DELIVERY",$S5="ITEM_PRICE_ONLY_DELIVERY_PAID_BY_MERCHANT"),$J5=""),"ERROR",IF(AND(OR($S5="ITEM_PRICE_PLUS_DECLARED_DELIVERY",$S5="DELIVERY_CHARGE_ONLY"),$K5=""),"ERROR",IF(AND(OR($S5="TOTAL_AMOUNT_INCLUDING_DELIVERY",$S5="EXACT_COLLECTION_AMOUNT"),$T5=""),"ERROR",IF(AND($S5="TOTAL_AMOUNT_INCLUDING_DELIVERY",$T5&lt;SUM($J5,$U5)),"ERROR",IF($S5="EXACT_COLLECTION_AMOUNT","REVIEW","OK")))))))))</f>
        <v/>
      </c>
      <c r="AV5" s="25">
        <f>IF($AU5="","",IF($H5="","Township required",IF($Q5="","Customer tier required",IF($M5="","Weight required",IF($S5="","Amount entry type required",IF(OR($J5&lt;0,$K5&lt;0,$M5&lt;0,$T5&lt;0,$U5&lt;0,$V5&lt;0,$W5&lt;0,$X5&lt;0,$Y5&lt;0),"Negative amounts are not allowed",IF($AE5="","Tariff not found for township and tier",IF(AND(OR($S5="ITEM_PRICE_PLUS_DECLARED_DELIVERY",$S5="TOTAL_AMOUNT_INCLUDING_DELIVERY",$S5="ITEM_PRICE_ONLY_DELIVERY_PAID_BY_MERCHANT"),$J5=""),"Item price required for this amount type",IF(AND(OR($S5="ITEM_PRICE_PLUS_DECLARED_DELIVERY",$S5="DELIVERY_CHARGE_ONLY"),$K5=""),"Declared delivery charge required",IF(AND(OR($S5="TOTAL_AMOUNT_INCLUDING_DELIVERY",$S5="EXACT_COLLECTION_AMOUNT"),$T5=""),"Stated total amount required",IF(AND($S5="TOTAL_AMOUNT_INCLUDING_DELIVERY",$T5&lt;SUM($J5,$U5)),"Stated total is below item price plus additional charge",IF($S5="EXACT_COLLECTION_AMOUNT","Authorized amount breakdown required before settlement","Ready for collection and settlement"))))))))))))</f>
        <v/>
      </c>
      <c r="AW5" s="23">
        <f>IF($AU5="","","PARCEL_FINANCIAL_V2")</f>
        <v/>
      </c>
      <c r="AX5" s="17" t="n"/>
    </row>
    <row r="6">
      <c r="A6" s="8" t="n"/>
      <c r="B6" s="8" t="n"/>
      <c r="C6" s="8" t="n"/>
      <c r="D6" s="8" t="n"/>
      <c r="E6" s="9" t="n"/>
      <c r="F6" s="9" t="n"/>
      <c r="G6" s="8" t="n"/>
      <c r="H6" s="9" t="n"/>
      <c r="I6" s="9" t="n"/>
      <c r="J6" s="10" t="n"/>
      <c r="K6" s="10" t="n"/>
      <c r="L6" s="11">
        <f>IF($S6="","",IF($S6="ITEM_PRICE_PLUS_DECLARED_DELIVERY",IF(OR($J6="",$K6=""),"",SUM($J6,$K6,$U6)),IF($S6="TOTAL_AMOUNT_INCLUDING_DELIVERY",IF($T6="","",$T6),IF($S6="DELIVERY_CHARGE_ONLY",IF($K6="","",SUM($K6,$U6)),IF($S6="EXACT_COLLECTION_AMOUNT",IF($T6="","",$T6),IF($S6="ITEM_PRICE_ONLY_DELIVERY_PAID_BY_MERCHANT",IF($J6="","",SUM($J6,$U6)),""))))))</f>
        <v/>
      </c>
      <c r="M6" s="12" t="n"/>
      <c r="N6" s="13" t="n"/>
      <c r="O6" s="13" t="n"/>
      <c r="P6" s="9" t="n"/>
      <c r="Q6" s="14" t="n"/>
      <c r="R6" s="15" t="n"/>
      <c r="S6" s="14" t="n"/>
      <c r="T6" s="16" t="n"/>
      <c r="U6" s="16" t="n"/>
      <c r="V6" s="16" t="n"/>
      <c r="W6" s="16" t="n"/>
      <c r="X6" s="16" t="n"/>
      <c r="Y6" s="16" t="n"/>
      <c r="Z6" s="14" t="n"/>
      <c r="AA6" s="14" t="n"/>
      <c r="AB6" s="14" t="n"/>
      <c r="AC6" s="17">
        <f>IFERROR(VLOOKUP($H6&amp;"|"&amp;$Q6,Tariff_Master!$A$2:$L$169,3,FALSE),"")</f>
        <v/>
      </c>
      <c r="AD6" s="17">
        <f>IFERROR(VLOOKUP($H6&amp;"|"&amp;$Q6,Tariff_Master!$A$2:$L$169,4,FALSE),"")</f>
        <v/>
      </c>
      <c r="AE6" s="18">
        <f>IFERROR(VLOOKUP($H6&amp;"|"&amp;$Q6,Tariff_Master!$A$2:$L$169,6,FALSE),"")</f>
        <v/>
      </c>
      <c r="AF6" s="19">
        <f>IFERROR(VLOOKUP($H6&amp;"|"&amp;$Q6,Tariff_Master!$A$2:$L$169,7,FALSE),"")</f>
        <v/>
      </c>
      <c r="AG6" s="18">
        <f>IFERROR(VLOOKUP($H6&amp;"|"&amp;$Q6,Tariff_Master!$A$2:$L$169,8,FALSE),"")</f>
        <v/>
      </c>
      <c r="AH6" s="20">
        <f>IFERROR(VLOOKUP($H6&amp;"|"&amp;$Q6,Tariff_Master!$A$2:$L$169,9,FALSE),"")</f>
        <v/>
      </c>
      <c r="AI6" s="18">
        <f>IFERROR(VLOOKUP($H6&amp;"|"&amp;$Q6,Tariff_Master!$A$2:$L$169,10,FALSE),"")</f>
        <v/>
      </c>
      <c r="AJ6" s="21">
        <f>IF($M6="","",ROUNDUP(MAX(0,$M6),0))</f>
        <v/>
      </c>
      <c r="AK6" s="21">
        <f>IF(OR($AJ6="",$AF6=""),"",MAX(0,$AJ6-$AF6))</f>
        <v/>
      </c>
      <c r="AL6" s="22">
        <f>IF(OR($AK6="",$AG6=""),"",MAX(0,$AK6*$AG6))</f>
        <v/>
      </c>
      <c r="AM6" s="22">
        <f>IF($AE6="","",MAX(0,SUM($AE6,$AL6,$V6,$W6)))</f>
        <v/>
      </c>
      <c r="AN6" s="22">
        <f>IF($AM6="","",IF(AND($Q6="COMMITMENT",$R6&gt;=$AH6),$AI6,0))</f>
        <v/>
      </c>
      <c r="AO6" s="23">
        <f>IF($AM6="","",MAX(0,$AM6-$AN6))</f>
        <v/>
      </c>
      <c r="AP6" s="22">
        <f>IF($S6="","",IF(OR($S6="ITEM_PRICE_PLUS_DECLARED_DELIVERY",$S6="DELIVERY_CHARGE_ONLY"),$K6,IF($S6="TOTAL_AMOUNT_INCLUDING_DELIVERY",IF(OR($T6="",$J6=""),"",MAX(0,$T6-$J6-$U6)),IF($S6="ITEM_PRICE_ONLY_DELIVERY_PAID_BY_MERCHANT",0,""))))</f>
        <v/>
      </c>
      <c r="AQ6" s="23">
        <f>IF(OR($AP6="",$AO6=""),"",$AP6-$AO6)</f>
        <v/>
      </c>
      <c r="AR6" s="24">
        <f>IF($S6="EXACT_COLLECTION_AMOUNT","BREAKDOWN_REQUIRED",IF($AQ6="","",IF($AQ6&gt;0,"CREDIT_TO_MERCHANT",IF($AQ6&lt;0,"DEDUCT_FROM_MERCHANT","NO_ADJUSTMENT"))))</f>
        <v/>
      </c>
      <c r="AS6" s="23">
        <f>IF(OR($AQ6="",$AR6="BREAKDOWN_REQUIRED"),"",$AQ6)</f>
        <v/>
      </c>
      <c r="AT6" s="23">
        <f>IF(OR($AR6="",$AR6="BREAKDOWN_REQUIRED"),"",SUM($J6,$AQ6,$Y6)-$X6)</f>
        <v/>
      </c>
      <c r="AU6" s="25">
        <f>IF(AND($A6="",$B6="",$F6="",$H6="",$J6="",$K6="",$M6="",$S6=""),"",IF(OR($H6="",$Q6="",$M6="",$S6=""),"ERROR",IF(OR($J6&lt;0,$K6&lt;0,$M6&lt;0,$T6&lt;0,$U6&lt;0,$V6&lt;0,$W6&lt;0,$X6&lt;0,$Y6&lt;0),"ERROR",IF($AE6="","ERROR",IF(AND(OR($S6="ITEM_PRICE_PLUS_DECLARED_DELIVERY",$S6="TOTAL_AMOUNT_INCLUDING_DELIVERY",$S6="ITEM_PRICE_ONLY_DELIVERY_PAID_BY_MERCHANT"),$J6=""),"ERROR",IF(AND(OR($S6="ITEM_PRICE_PLUS_DECLARED_DELIVERY",$S6="DELIVERY_CHARGE_ONLY"),$K6=""),"ERROR",IF(AND(OR($S6="TOTAL_AMOUNT_INCLUDING_DELIVERY",$S6="EXACT_COLLECTION_AMOUNT"),$T6=""),"ERROR",IF(AND($S6="TOTAL_AMOUNT_INCLUDING_DELIVERY",$T6&lt;SUM($J6,$U6)),"ERROR",IF($S6="EXACT_COLLECTION_AMOUNT","REVIEW","OK")))))))))</f>
        <v/>
      </c>
      <c r="AV6" s="25">
        <f>IF($AU6="","",IF($H6="","Township required",IF($Q6="","Customer tier required",IF($M6="","Weight required",IF($S6="","Amount entry type required",IF(OR($J6&lt;0,$K6&lt;0,$M6&lt;0,$T6&lt;0,$U6&lt;0,$V6&lt;0,$W6&lt;0,$X6&lt;0,$Y6&lt;0),"Negative amounts are not allowed",IF($AE6="","Tariff not found for township and tier",IF(AND(OR($S6="ITEM_PRICE_PLUS_DECLARED_DELIVERY",$S6="TOTAL_AMOUNT_INCLUDING_DELIVERY",$S6="ITEM_PRICE_ONLY_DELIVERY_PAID_BY_MERCHANT"),$J6=""),"Item price required for this amount type",IF(AND(OR($S6="ITEM_PRICE_PLUS_DECLARED_DELIVERY",$S6="DELIVERY_CHARGE_ONLY"),$K6=""),"Declared delivery charge required",IF(AND(OR($S6="TOTAL_AMOUNT_INCLUDING_DELIVERY",$S6="EXACT_COLLECTION_AMOUNT"),$T6=""),"Stated total amount required",IF(AND($S6="TOTAL_AMOUNT_INCLUDING_DELIVERY",$T6&lt;SUM($J6,$U6)),"Stated total is below item price plus additional charge",IF($S6="EXACT_COLLECTION_AMOUNT","Authorized amount breakdown required before settlement","Ready for collection and settlement"))))))))))))</f>
        <v/>
      </c>
      <c r="AW6" s="23">
        <f>IF($AU6="","","PARCEL_FINANCIAL_V2")</f>
        <v/>
      </c>
      <c r="AX6" s="17" t="n"/>
    </row>
    <row r="7">
      <c r="A7" s="8" t="n"/>
      <c r="B7" s="8" t="n"/>
      <c r="C7" s="8" t="n"/>
      <c r="D7" s="8" t="n"/>
      <c r="E7" s="9" t="n"/>
      <c r="F7" s="9" t="n"/>
      <c r="G7" s="8" t="n"/>
      <c r="H7" s="9" t="n"/>
      <c r="I7" s="9" t="n"/>
      <c r="J7" s="10" t="n"/>
      <c r="K7" s="10" t="n"/>
      <c r="L7" s="11">
        <f>IF($S7="","",IF($S7="ITEM_PRICE_PLUS_DECLARED_DELIVERY",IF(OR($J7="",$K7=""),"",SUM($J7,$K7,$U7)),IF($S7="TOTAL_AMOUNT_INCLUDING_DELIVERY",IF($T7="","",$T7),IF($S7="DELIVERY_CHARGE_ONLY",IF($K7="","",SUM($K7,$U7)),IF($S7="EXACT_COLLECTION_AMOUNT",IF($T7="","",$T7),IF($S7="ITEM_PRICE_ONLY_DELIVERY_PAID_BY_MERCHANT",IF($J7="","",SUM($J7,$U7)),""))))))</f>
        <v/>
      </c>
      <c r="M7" s="12" t="n"/>
      <c r="N7" s="13" t="n"/>
      <c r="O7" s="13" t="n"/>
      <c r="P7" s="9" t="n"/>
      <c r="Q7" s="14" t="n"/>
      <c r="R7" s="15" t="n"/>
      <c r="S7" s="14" t="n"/>
      <c r="T7" s="16" t="n"/>
      <c r="U7" s="16" t="n"/>
      <c r="V7" s="16" t="n"/>
      <c r="W7" s="16" t="n"/>
      <c r="X7" s="16" t="n"/>
      <c r="Y7" s="16" t="n"/>
      <c r="Z7" s="14" t="n"/>
      <c r="AA7" s="14" t="n"/>
      <c r="AB7" s="14" t="n"/>
      <c r="AC7" s="17">
        <f>IFERROR(VLOOKUP($H7&amp;"|"&amp;$Q7,Tariff_Master!$A$2:$L$169,3,FALSE),"")</f>
        <v/>
      </c>
      <c r="AD7" s="17">
        <f>IFERROR(VLOOKUP($H7&amp;"|"&amp;$Q7,Tariff_Master!$A$2:$L$169,4,FALSE),"")</f>
        <v/>
      </c>
      <c r="AE7" s="18">
        <f>IFERROR(VLOOKUP($H7&amp;"|"&amp;$Q7,Tariff_Master!$A$2:$L$169,6,FALSE),"")</f>
        <v/>
      </c>
      <c r="AF7" s="19">
        <f>IFERROR(VLOOKUP($H7&amp;"|"&amp;$Q7,Tariff_Master!$A$2:$L$169,7,FALSE),"")</f>
        <v/>
      </c>
      <c r="AG7" s="18">
        <f>IFERROR(VLOOKUP($H7&amp;"|"&amp;$Q7,Tariff_Master!$A$2:$L$169,8,FALSE),"")</f>
        <v/>
      </c>
      <c r="AH7" s="20">
        <f>IFERROR(VLOOKUP($H7&amp;"|"&amp;$Q7,Tariff_Master!$A$2:$L$169,9,FALSE),"")</f>
        <v/>
      </c>
      <c r="AI7" s="18">
        <f>IFERROR(VLOOKUP($H7&amp;"|"&amp;$Q7,Tariff_Master!$A$2:$L$169,10,FALSE),"")</f>
        <v/>
      </c>
      <c r="AJ7" s="21">
        <f>IF($M7="","",ROUNDUP(MAX(0,$M7),0))</f>
        <v/>
      </c>
      <c r="AK7" s="21">
        <f>IF(OR($AJ7="",$AF7=""),"",MAX(0,$AJ7-$AF7))</f>
        <v/>
      </c>
      <c r="AL7" s="22">
        <f>IF(OR($AK7="",$AG7=""),"",MAX(0,$AK7*$AG7))</f>
        <v/>
      </c>
      <c r="AM7" s="22">
        <f>IF($AE7="","",MAX(0,SUM($AE7,$AL7,$V7,$W7)))</f>
        <v/>
      </c>
      <c r="AN7" s="22">
        <f>IF($AM7="","",IF(AND($Q7="COMMITMENT",$R7&gt;=$AH7),$AI7,0))</f>
        <v/>
      </c>
      <c r="AO7" s="23">
        <f>IF($AM7="","",MAX(0,$AM7-$AN7))</f>
        <v/>
      </c>
      <c r="AP7" s="22">
        <f>IF($S7="","",IF(OR($S7="ITEM_PRICE_PLUS_DECLARED_DELIVERY",$S7="DELIVERY_CHARGE_ONLY"),$K7,IF($S7="TOTAL_AMOUNT_INCLUDING_DELIVERY",IF(OR($T7="",$J7=""),"",MAX(0,$T7-$J7-$U7)),IF($S7="ITEM_PRICE_ONLY_DELIVERY_PAID_BY_MERCHANT",0,""))))</f>
        <v/>
      </c>
      <c r="AQ7" s="23">
        <f>IF(OR($AP7="",$AO7=""),"",$AP7-$AO7)</f>
        <v/>
      </c>
      <c r="AR7" s="24">
        <f>IF($S7="EXACT_COLLECTION_AMOUNT","BREAKDOWN_REQUIRED",IF($AQ7="","",IF($AQ7&gt;0,"CREDIT_TO_MERCHANT",IF($AQ7&lt;0,"DEDUCT_FROM_MERCHANT","NO_ADJUSTMENT"))))</f>
        <v/>
      </c>
      <c r="AS7" s="23">
        <f>IF(OR($AQ7="",$AR7="BREAKDOWN_REQUIRED"),"",$AQ7)</f>
        <v/>
      </c>
      <c r="AT7" s="23">
        <f>IF(OR($AR7="",$AR7="BREAKDOWN_REQUIRED"),"",SUM($J7,$AQ7,$Y7)-$X7)</f>
        <v/>
      </c>
      <c r="AU7" s="25">
        <f>IF(AND($A7="",$B7="",$F7="",$H7="",$J7="",$K7="",$M7="",$S7=""),"",IF(OR($H7="",$Q7="",$M7="",$S7=""),"ERROR",IF(OR($J7&lt;0,$K7&lt;0,$M7&lt;0,$T7&lt;0,$U7&lt;0,$V7&lt;0,$W7&lt;0,$X7&lt;0,$Y7&lt;0),"ERROR",IF($AE7="","ERROR",IF(AND(OR($S7="ITEM_PRICE_PLUS_DECLARED_DELIVERY",$S7="TOTAL_AMOUNT_INCLUDING_DELIVERY",$S7="ITEM_PRICE_ONLY_DELIVERY_PAID_BY_MERCHANT"),$J7=""),"ERROR",IF(AND(OR($S7="ITEM_PRICE_PLUS_DECLARED_DELIVERY",$S7="DELIVERY_CHARGE_ONLY"),$K7=""),"ERROR",IF(AND(OR($S7="TOTAL_AMOUNT_INCLUDING_DELIVERY",$S7="EXACT_COLLECTION_AMOUNT"),$T7=""),"ERROR",IF(AND($S7="TOTAL_AMOUNT_INCLUDING_DELIVERY",$T7&lt;SUM($J7,$U7)),"ERROR",IF($S7="EXACT_COLLECTION_AMOUNT","REVIEW","OK")))))))))</f>
        <v/>
      </c>
      <c r="AV7" s="25">
        <f>IF($AU7="","",IF($H7="","Township required",IF($Q7="","Customer tier required",IF($M7="","Weight required",IF($S7="","Amount entry type required",IF(OR($J7&lt;0,$K7&lt;0,$M7&lt;0,$T7&lt;0,$U7&lt;0,$V7&lt;0,$W7&lt;0,$X7&lt;0,$Y7&lt;0),"Negative amounts are not allowed",IF($AE7="","Tariff not found for township and tier",IF(AND(OR($S7="ITEM_PRICE_PLUS_DECLARED_DELIVERY",$S7="TOTAL_AMOUNT_INCLUDING_DELIVERY",$S7="ITEM_PRICE_ONLY_DELIVERY_PAID_BY_MERCHANT"),$J7=""),"Item price required for this amount type",IF(AND(OR($S7="ITEM_PRICE_PLUS_DECLARED_DELIVERY",$S7="DELIVERY_CHARGE_ONLY"),$K7=""),"Declared delivery charge required",IF(AND(OR($S7="TOTAL_AMOUNT_INCLUDING_DELIVERY",$S7="EXACT_COLLECTION_AMOUNT"),$T7=""),"Stated total amount required",IF(AND($S7="TOTAL_AMOUNT_INCLUDING_DELIVERY",$T7&lt;SUM($J7,$U7)),"Stated total is below item price plus additional charge",IF($S7="EXACT_COLLECTION_AMOUNT","Authorized amount breakdown required before settlement","Ready for collection and settlement"))))))))))))</f>
        <v/>
      </c>
      <c r="AW7" s="23">
        <f>IF($AU7="","","PARCEL_FINANCIAL_V2")</f>
        <v/>
      </c>
      <c r="AX7" s="17" t="n"/>
    </row>
    <row r="8">
      <c r="A8" s="8" t="n"/>
      <c r="B8" s="8" t="n"/>
      <c r="C8" s="8" t="n"/>
      <c r="D8" s="8" t="n"/>
      <c r="E8" s="9" t="n"/>
      <c r="F8" s="9" t="n"/>
      <c r="G8" s="8" t="n"/>
      <c r="H8" s="9" t="n"/>
      <c r="I8" s="9" t="n"/>
      <c r="J8" s="10" t="n"/>
      <c r="K8" s="10" t="n"/>
      <c r="L8" s="11">
        <f>IF($S8="","",IF($S8="ITEM_PRICE_PLUS_DECLARED_DELIVERY",IF(OR($J8="",$K8=""),"",SUM($J8,$K8,$U8)),IF($S8="TOTAL_AMOUNT_INCLUDING_DELIVERY",IF($T8="","",$T8),IF($S8="DELIVERY_CHARGE_ONLY",IF($K8="","",SUM($K8,$U8)),IF($S8="EXACT_COLLECTION_AMOUNT",IF($T8="","",$T8),IF($S8="ITEM_PRICE_ONLY_DELIVERY_PAID_BY_MERCHANT",IF($J8="","",SUM($J8,$U8)),""))))))</f>
        <v/>
      </c>
      <c r="M8" s="12" t="n"/>
      <c r="N8" s="13" t="n"/>
      <c r="O8" s="13" t="n"/>
      <c r="P8" s="9" t="n"/>
      <c r="Q8" s="14" t="n"/>
      <c r="R8" s="15" t="n"/>
      <c r="S8" s="14" t="n"/>
      <c r="T8" s="16" t="n"/>
      <c r="U8" s="16" t="n"/>
      <c r="V8" s="16" t="n"/>
      <c r="W8" s="16" t="n"/>
      <c r="X8" s="16" t="n"/>
      <c r="Y8" s="16" t="n"/>
      <c r="Z8" s="14" t="n"/>
      <c r="AA8" s="14" t="n"/>
      <c r="AB8" s="14" t="n"/>
      <c r="AC8" s="17">
        <f>IFERROR(VLOOKUP($H8&amp;"|"&amp;$Q8,Tariff_Master!$A$2:$L$169,3,FALSE),"")</f>
        <v/>
      </c>
      <c r="AD8" s="17">
        <f>IFERROR(VLOOKUP($H8&amp;"|"&amp;$Q8,Tariff_Master!$A$2:$L$169,4,FALSE),"")</f>
        <v/>
      </c>
      <c r="AE8" s="18">
        <f>IFERROR(VLOOKUP($H8&amp;"|"&amp;$Q8,Tariff_Master!$A$2:$L$169,6,FALSE),"")</f>
        <v/>
      </c>
      <c r="AF8" s="19">
        <f>IFERROR(VLOOKUP($H8&amp;"|"&amp;$Q8,Tariff_Master!$A$2:$L$169,7,FALSE),"")</f>
        <v/>
      </c>
      <c r="AG8" s="18">
        <f>IFERROR(VLOOKUP($H8&amp;"|"&amp;$Q8,Tariff_Master!$A$2:$L$169,8,FALSE),"")</f>
        <v/>
      </c>
      <c r="AH8" s="20">
        <f>IFERROR(VLOOKUP($H8&amp;"|"&amp;$Q8,Tariff_Master!$A$2:$L$169,9,FALSE),"")</f>
        <v/>
      </c>
      <c r="AI8" s="18">
        <f>IFERROR(VLOOKUP($H8&amp;"|"&amp;$Q8,Tariff_Master!$A$2:$L$169,10,FALSE),"")</f>
        <v/>
      </c>
      <c r="AJ8" s="21">
        <f>IF($M8="","",ROUNDUP(MAX(0,$M8),0))</f>
        <v/>
      </c>
      <c r="AK8" s="21">
        <f>IF(OR($AJ8="",$AF8=""),"",MAX(0,$AJ8-$AF8))</f>
        <v/>
      </c>
      <c r="AL8" s="22">
        <f>IF(OR($AK8="",$AG8=""),"",MAX(0,$AK8*$AG8))</f>
        <v/>
      </c>
      <c r="AM8" s="22">
        <f>IF($AE8="","",MAX(0,SUM($AE8,$AL8,$V8,$W8)))</f>
        <v/>
      </c>
      <c r="AN8" s="22">
        <f>IF($AM8="","",IF(AND($Q8="COMMITMENT",$R8&gt;=$AH8),$AI8,0))</f>
        <v/>
      </c>
      <c r="AO8" s="23">
        <f>IF($AM8="","",MAX(0,$AM8-$AN8))</f>
        <v/>
      </c>
      <c r="AP8" s="22">
        <f>IF($S8="","",IF(OR($S8="ITEM_PRICE_PLUS_DECLARED_DELIVERY",$S8="DELIVERY_CHARGE_ONLY"),$K8,IF($S8="TOTAL_AMOUNT_INCLUDING_DELIVERY",IF(OR($T8="",$J8=""),"",MAX(0,$T8-$J8-$U8)),IF($S8="ITEM_PRICE_ONLY_DELIVERY_PAID_BY_MERCHANT",0,""))))</f>
        <v/>
      </c>
      <c r="AQ8" s="23">
        <f>IF(OR($AP8="",$AO8=""),"",$AP8-$AO8)</f>
        <v/>
      </c>
      <c r="AR8" s="24">
        <f>IF($S8="EXACT_COLLECTION_AMOUNT","BREAKDOWN_REQUIRED",IF($AQ8="","",IF($AQ8&gt;0,"CREDIT_TO_MERCHANT",IF($AQ8&lt;0,"DEDUCT_FROM_MERCHANT","NO_ADJUSTMENT"))))</f>
        <v/>
      </c>
      <c r="AS8" s="23">
        <f>IF(OR($AQ8="",$AR8="BREAKDOWN_REQUIRED"),"",$AQ8)</f>
        <v/>
      </c>
      <c r="AT8" s="23">
        <f>IF(OR($AR8="",$AR8="BREAKDOWN_REQUIRED"),"",SUM($J8,$AQ8,$Y8)-$X8)</f>
        <v/>
      </c>
      <c r="AU8" s="25">
        <f>IF(AND($A8="",$B8="",$F8="",$H8="",$J8="",$K8="",$M8="",$S8=""),"",IF(OR($H8="",$Q8="",$M8="",$S8=""),"ERROR",IF(OR($J8&lt;0,$K8&lt;0,$M8&lt;0,$T8&lt;0,$U8&lt;0,$V8&lt;0,$W8&lt;0,$X8&lt;0,$Y8&lt;0),"ERROR",IF($AE8="","ERROR",IF(AND(OR($S8="ITEM_PRICE_PLUS_DECLARED_DELIVERY",$S8="TOTAL_AMOUNT_INCLUDING_DELIVERY",$S8="ITEM_PRICE_ONLY_DELIVERY_PAID_BY_MERCHANT"),$J8=""),"ERROR",IF(AND(OR($S8="ITEM_PRICE_PLUS_DECLARED_DELIVERY",$S8="DELIVERY_CHARGE_ONLY"),$K8=""),"ERROR",IF(AND(OR($S8="TOTAL_AMOUNT_INCLUDING_DELIVERY",$S8="EXACT_COLLECTION_AMOUNT"),$T8=""),"ERROR",IF(AND($S8="TOTAL_AMOUNT_INCLUDING_DELIVERY",$T8&lt;SUM($J8,$U8)),"ERROR",IF($S8="EXACT_COLLECTION_AMOUNT","REVIEW","OK")))))))))</f>
        <v/>
      </c>
      <c r="AV8" s="25">
        <f>IF($AU8="","",IF($H8="","Township required",IF($Q8="","Customer tier required",IF($M8="","Weight required",IF($S8="","Amount entry type required",IF(OR($J8&lt;0,$K8&lt;0,$M8&lt;0,$T8&lt;0,$U8&lt;0,$V8&lt;0,$W8&lt;0,$X8&lt;0,$Y8&lt;0),"Negative amounts are not allowed",IF($AE8="","Tariff not found for township and tier",IF(AND(OR($S8="ITEM_PRICE_PLUS_DECLARED_DELIVERY",$S8="TOTAL_AMOUNT_INCLUDING_DELIVERY",$S8="ITEM_PRICE_ONLY_DELIVERY_PAID_BY_MERCHANT"),$J8=""),"Item price required for this amount type",IF(AND(OR($S8="ITEM_PRICE_PLUS_DECLARED_DELIVERY",$S8="DELIVERY_CHARGE_ONLY"),$K8=""),"Declared delivery charge required",IF(AND(OR($S8="TOTAL_AMOUNT_INCLUDING_DELIVERY",$S8="EXACT_COLLECTION_AMOUNT"),$T8=""),"Stated total amount required",IF(AND($S8="TOTAL_AMOUNT_INCLUDING_DELIVERY",$T8&lt;SUM($J8,$U8)),"Stated total is below item price plus additional charge",IF($S8="EXACT_COLLECTION_AMOUNT","Authorized amount breakdown required before settlement","Ready for collection and settlement"))))))))))))</f>
        <v/>
      </c>
      <c r="AW8" s="23">
        <f>IF($AU8="","","PARCEL_FINANCIAL_V2")</f>
        <v/>
      </c>
      <c r="AX8" s="17" t="n"/>
    </row>
    <row r="9">
      <c r="A9" s="8" t="n"/>
      <c r="B9" s="8" t="n"/>
      <c r="C9" s="8" t="n"/>
      <c r="D9" s="8" t="n"/>
      <c r="E9" s="9" t="n"/>
      <c r="F9" s="9" t="n"/>
      <c r="G9" s="8" t="n"/>
      <c r="H9" s="9" t="n"/>
      <c r="I9" s="9" t="n"/>
      <c r="J9" s="10" t="n"/>
      <c r="K9" s="10" t="n"/>
      <c r="L9" s="11">
        <f>IF($S9="","",IF($S9="ITEM_PRICE_PLUS_DECLARED_DELIVERY",IF(OR($J9="",$K9=""),"",SUM($J9,$K9,$U9)),IF($S9="TOTAL_AMOUNT_INCLUDING_DELIVERY",IF($T9="","",$T9),IF($S9="DELIVERY_CHARGE_ONLY",IF($K9="","",SUM($K9,$U9)),IF($S9="EXACT_COLLECTION_AMOUNT",IF($T9="","",$T9),IF($S9="ITEM_PRICE_ONLY_DELIVERY_PAID_BY_MERCHANT",IF($J9="","",SUM($J9,$U9)),""))))))</f>
        <v/>
      </c>
      <c r="M9" s="12" t="n"/>
      <c r="N9" s="13" t="n"/>
      <c r="O9" s="13" t="n"/>
      <c r="P9" s="9" t="n"/>
      <c r="Q9" s="14" t="n"/>
      <c r="R9" s="15" t="n"/>
      <c r="S9" s="14" t="n"/>
      <c r="T9" s="16" t="n"/>
      <c r="U9" s="16" t="n"/>
      <c r="V9" s="16" t="n"/>
      <c r="W9" s="16" t="n"/>
      <c r="X9" s="16" t="n"/>
      <c r="Y9" s="16" t="n"/>
      <c r="Z9" s="14" t="n"/>
      <c r="AA9" s="14" t="n"/>
      <c r="AB9" s="14" t="n"/>
      <c r="AC9" s="17">
        <f>IFERROR(VLOOKUP($H9&amp;"|"&amp;$Q9,Tariff_Master!$A$2:$L$169,3,FALSE),"")</f>
        <v/>
      </c>
      <c r="AD9" s="17">
        <f>IFERROR(VLOOKUP($H9&amp;"|"&amp;$Q9,Tariff_Master!$A$2:$L$169,4,FALSE),"")</f>
        <v/>
      </c>
      <c r="AE9" s="18">
        <f>IFERROR(VLOOKUP($H9&amp;"|"&amp;$Q9,Tariff_Master!$A$2:$L$169,6,FALSE),"")</f>
        <v/>
      </c>
      <c r="AF9" s="19">
        <f>IFERROR(VLOOKUP($H9&amp;"|"&amp;$Q9,Tariff_Master!$A$2:$L$169,7,FALSE),"")</f>
        <v/>
      </c>
      <c r="AG9" s="18">
        <f>IFERROR(VLOOKUP($H9&amp;"|"&amp;$Q9,Tariff_Master!$A$2:$L$169,8,FALSE),"")</f>
        <v/>
      </c>
      <c r="AH9" s="20">
        <f>IFERROR(VLOOKUP($H9&amp;"|"&amp;$Q9,Tariff_Master!$A$2:$L$169,9,FALSE),"")</f>
        <v/>
      </c>
      <c r="AI9" s="18">
        <f>IFERROR(VLOOKUP($H9&amp;"|"&amp;$Q9,Tariff_Master!$A$2:$L$169,10,FALSE),"")</f>
        <v/>
      </c>
      <c r="AJ9" s="21">
        <f>IF($M9="","",ROUNDUP(MAX(0,$M9),0))</f>
        <v/>
      </c>
      <c r="AK9" s="21">
        <f>IF(OR($AJ9="",$AF9=""),"",MAX(0,$AJ9-$AF9))</f>
        <v/>
      </c>
      <c r="AL9" s="22">
        <f>IF(OR($AK9="",$AG9=""),"",MAX(0,$AK9*$AG9))</f>
        <v/>
      </c>
      <c r="AM9" s="22">
        <f>IF($AE9="","",MAX(0,SUM($AE9,$AL9,$V9,$W9)))</f>
        <v/>
      </c>
      <c r="AN9" s="22">
        <f>IF($AM9="","",IF(AND($Q9="COMMITMENT",$R9&gt;=$AH9),$AI9,0))</f>
        <v/>
      </c>
      <c r="AO9" s="23">
        <f>IF($AM9="","",MAX(0,$AM9-$AN9))</f>
        <v/>
      </c>
      <c r="AP9" s="22">
        <f>IF($S9="","",IF(OR($S9="ITEM_PRICE_PLUS_DECLARED_DELIVERY",$S9="DELIVERY_CHARGE_ONLY"),$K9,IF($S9="TOTAL_AMOUNT_INCLUDING_DELIVERY",IF(OR($T9="",$J9=""),"",MAX(0,$T9-$J9-$U9)),IF($S9="ITEM_PRICE_ONLY_DELIVERY_PAID_BY_MERCHANT",0,""))))</f>
        <v/>
      </c>
      <c r="AQ9" s="23">
        <f>IF(OR($AP9="",$AO9=""),"",$AP9-$AO9)</f>
        <v/>
      </c>
      <c r="AR9" s="24">
        <f>IF($S9="EXACT_COLLECTION_AMOUNT","BREAKDOWN_REQUIRED",IF($AQ9="","",IF($AQ9&gt;0,"CREDIT_TO_MERCHANT",IF($AQ9&lt;0,"DEDUCT_FROM_MERCHANT","NO_ADJUSTMENT"))))</f>
        <v/>
      </c>
      <c r="AS9" s="23">
        <f>IF(OR($AQ9="",$AR9="BREAKDOWN_REQUIRED"),"",$AQ9)</f>
        <v/>
      </c>
      <c r="AT9" s="23">
        <f>IF(OR($AR9="",$AR9="BREAKDOWN_REQUIRED"),"",SUM($J9,$AQ9,$Y9)-$X9)</f>
        <v/>
      </c>
      <c r="AU9" s="25">
        <f>IF(AND($A9="",$B9="",$F9="",$H9="",$J9="",$K9="",$M9="",$S9=""),"",IF(OR($H9="",$Q9="",$M9="",$S9=""),"ERROR",IF(OR($J9&lt;0,$K9&lt;0,$M9&lt;0,$T9&lt;0,$U9&lt;0,$V9&lt;0,$W9&lt;0,$X9&lt;0,$Y9&lt;0),"ERROR",IF($AE9="","ERROR",IF(AND(OR($S9="ITEM_PRICE_PLUS_DECLARED_DELIVERY",$S9="TOTAL_AMOUNT_INCLUDING_DELIVERY",$S9="ITEM_PRICE_ONLY_DELIVERY_PAID_BY_MERCHANT"),$J9=""),"ERROR",IF(AND(OR($S9="ITEM_PRICE_PLUS_DECLARED_DELIVERY",$S9="DELIVERY_CHARGE_ONLY"),$K9=""),"ERROR",IF(AND(OR($S9="TOTAL_AMOUNT_INCLUDING_DELIVERY",$S9="EXACT_COLLECTION_AMOUNT"),$T9=""),"ERROR",IF(AND($S9="TOTAL_AMOUNT_INCLUDING_DELIVERY",$T9&lt;SUM($J9,$U9)),"ERROR",IF($S9="EXACT_COLLECTION_AMOUNT","REVIEW","OK")))))))))</f>
        <v/>
      </c>
      <c r="AV9" s="25">
        <f>IF($AU9="","",IF($H9="","Township required",IF($Q9="","Customer tier required",IF($M9="","Weight required",IF($S9="","Amount entry type required",IF(OR($J9&lt;0,$K9&lt;0,$M9&lt;0,$T9&lt;0,$U9&lt;0,$V9&lt;0,$W9&lt;0,$X9&lt;0,$Y9&lt;0),"Negative amounts are not allowed",IF($AE9="","Tariff not found for township and tier",IF(AND(OR($S9="ITEM_PRICE_PLUS_DECLARED_DELIVERY",$S9="TOTAL_AMOUNT_INCLUDING_DELIVERY",$S9="ITEM_PRICE_ONLY_DELIVERY_PAID_BY_MERCHANT"),$J9=""),"Item price required for this amount type",IF(AND(OR($S9="ITEM_PRICE_PLUS_DECLARED_DELIVERY",$S9="DELIVERY_CHARGE_ONLY"),$K9=""),"Declared delivery charge required",IF(AND(OR($S9="TOTAL_AMOUNT_INCLUDING_DELIVERY",$S9="EXACT_COLLECTION_AMOUNT"),$T9=""),"Stated total amount required",IF(AND($S9="TOTAL_AMOUNT_INCLUDING_DELIVERY",$T9&lt;SUM($J9,$U9)),"Stated total is below item price plus additional charge",IF($S9="EXACT_COLLECTION_AMOUNT","Authorized amount breakdown required before settlement","Ready for collection and settlement"))))))))))))</f>
        <v/>
      </c>
      <c r="AW9" s="23">
        <f>IF($AU9="","","PARCEL_FINANCIAL_V2")</f>
        <v/>
      </c>
      <c r="AX9" s="17" t="n"/>
    </row>
    <row r="10">
      <c r="A10" s="8" t="n"/>
      <c r="B10" s="8" t="n"/>
      <c r="C10" s="8" t="n"/>
      <c r="D10" s="8" t="n"/>
      <c r="E10" s="9" t="n"/>
      <c r="F10" s="9" t="n"/>
      <c r="G10" s="8" t="n"/>
      <c r="H10" s="9" t="n"/>
      <c r="I10" s="9" t="n"/>
      <c r="J10" s="10" t="n"/>
      <c r="K10" s="10" t="n"/>
      <c r="L10" s="11">
        <f>IF($S10="","",IF($S10="ITEM_PRICE_PLUS_DECLARED_DELIVERY",IF(OR($J10="",$K10=""),"",SUM($J10,$K10,$U10)),IF($S10="TOTAL_AMOUNT_INCLUDING_DELIVERY",IF($T10="","",$T10),IF($S10="DELIVERY_CHARGE_ONLY",IF($K10="","",SUM($K10,$U10)),IF($S10="EXACT_COLLECTION_AMOUNT",IF($T10="","",$T10),IF($S10="ITEM_PRICE_ONLY_DELIVERY_PAID_BY_MERCHANT",IF($J10="","",SUM($J10,$U10)),""))))))</f>
        <v/>
      </c>
      <c r="M10" s="12" t="n"/>
      <c r="N10" s="13" t="n"/>
      <c r="O10" s="13" t="n"/>
      <c r="P10" s="9" t="n"/>
      <c r="Q10" s="14" t="n"/>
      <c r="R10" s="15" t="n"/>
      <c r="S10" s="14" t="n"/>
      <c r="T10" s="16" t="n"/>
      <c r="U10" s="16" t="n"/>
      <c r="V10" s="16" t="n"/>
      <c r="W10" s="16" t="n"/>
      <c r="X10" s="16" t="n"/>
      <c r="Y10" s="16" t="n"/>
      <c r="Z10" s="14" t="n"/>
      <c r="AA10" s="14" t="n"/>
      <c r="AB10" s="14" t="n"/>
      <c r="AC10" s="17">
        <f>IFERROR(VLOOKUP($H10&amp;"|"&amp;$Q10,Tariff_Master!$A$2:$L$169,3,FALSE),"")</f>
        <v/>
      </c>
      <c r="AD10" s="17">
        <f>IFERROR(VLOOKUP($H10&amp;"|"&amp;$Q10,Tariff_Master!$A$2:$L$169,4,FALSE),"")</f>
        <v/>
      </c>
      <c r="AE10" s="18">
        <f>IFERROR(VLOOKUP($H10&amp;"|"&amp;$Q10,Tariff_Master!$A$2:$L$169,6,FALSE),"")</f>
        <v/>
      </c>
      <c r="AF10" s="19">
        <f>IFERROR(VLOOKUP($H10&amp;"|"&amp;$Q10,Tariff_Master!$A$2:$L$169,7,FALSE),"")</f>
        <v/>
      </c>
      <c r="AG10" s="18">
        <f>IFERROR(VLOOKUP($H10&amp;"|"&amp;$Q10,Tariff_Master!$A$2:$L$169,8,FALSE),"")</f>
        <v/>
      </c>
      <c r="AH10" s="20">
        <f>IFERROR(VLOOKUP($H10&amp;"|"&amp;$Q10,Tariff_Master!$A$2:$L$169,9,FALSE),"")</f>
        <v/>
      </c>
      <c r="AI10" s="18">
        <f>IFERROR(VLOOKUP($H10&amp;"|"&amp;$Q10,Tariff_Master!$A$2:$L$169,10,FALSE),"")</f>
        <v/>
      </c>
      <c r="AJ10" s="21">
        <f>IF($M10="","",ROUNDUP(MAX(0,$M10),0))</f>
        <v/>
      </c>
      <c r="AK10" s="21">
        <f>IF(OR($AJ10="",$AF10=""),"",MAX(0,$AJ10-$AF10))</f>
        <v/>
      </c>
      <c r="AL10" s="22">
        <f>IF(OR($AK10="",$AG10=""),"",MAX(0,$AK10*$AG10))</f>
        <v/>
      </c>
      <c r="AM10" s="22">
        <f>IF($AE10="","",MAX(0,SUM($AE10,$AL10,$V10,$W10)))</f>
        <v/>
      </c>
      <c r="AN10" s="22">
        <f>IF($AM10="","",IF(AND($Q10="COMMITMENT",$R10&gt;=$AH10),$AI10,0))</f>
        <v/>
      </c>
      <c r="AO10" s="23">
        <f>IF($AM10="","",MAX(0,$AM10-$AN10))</f>
        <v/>
      </c>
      <c r="AP10" s="22">
        <f>IF($S10="","",IF(OR($S10="ITEM_PRICE_PLUS_DECLARED_DELIVERY",$S10="DELIVERY_CHARGE_ONLY"),$K10,IF($S10="TOTAL_AMOUNT_INCLUDING_DELIVERY",IF(OR($T10="",$J10=""),"",MAX(0,$T10-$J10-$U10)),IF($S10="ITEM_PRICE_ONLY_DELIVERY_PAID_BY_MERCHANT",0,""))))</f>
        <v/>
      </c>
      <c r="AQ10" s="23">
        <f>IF(OR($AP10="",$AO10=""),"",$AP10-$AO10)</f>
        <v/>
      </c>
      <c r="AR10" s="24">
        <f>IF($S10="EXACT_COLLECTION_AMOUNT","BREAKDOWN_REQUIRED",IF($AQ10="","",IF($AQ10&gt;0,"CREDIT_TO_MERCHANT",IF($AQ10&lt;0,"DEDUCT_FROM_MERCHANT","NO_ADJUSTMENT"))))</f>
        <v/>
      </c>
      <c r="AS10" s="23">
        <f>IF(OR($AQ10="",$AR10="BREAKDOWN_REQUIRED"),"",$AQ10)</f>
        <v/>
      </c>
      <c r="AT10" s="23">
        <f>IF(OR($AR10="",$AR10="BREAKDOWN_REQUIRED"),"",SUM($J10,$AQ10,$Y10)-$X10)</f>
        <v/>
      </c>
      <c r="AU10" s="25">
        <f>IF(AND($A10="",$B10="",$F10="",$H10="",$J10="",$K10="",$M10="",$S10=""),"",IF(OR($H10="",$Q10="",$M10="",$S10=""),"ERROR",IF(OR($J10&lt;0,$K10&lt;0,$M10&lt;0,$T10&lt;0,$U10&lt;0,$V10&lt;0,$W10&lt;0,$X10&lt;0,$Y10&lt;0),"ERROR",IF($AE10="","ERROR",IF(AND(OR($S10="ITEM_PRICE_PLUS_DECLARED_DELIVERY",$S10="TOTAL_AMOUNT_INCLUDING_DELIVERY",$S10="ITEM_PRICE_ONLY_DELIVERY_PAID_BY_MERCHANT"),$J10=""),"ERROR",IF(AND(OR($S10="ITEM_PRICE_PLUS_DECLARED_DELIVERY",$S10="DELIVERY_CHARGE_ONLY"),$K10=""),"ERROR",IF(AND(OR($S10="TOTAL_AMOUNT_INCLUDING_DELIVERY",$S10="EXACT_COLLECTION_AMOUNT"),$T10=""),"ERROR",IF(AND($S10="TOTAL_AMOUNT_INCLUDING_DELIVERY",$T10&lt;SUM($J10,$U10)),"ERROR",IF($S10="EXACT_COLLECTION_AMOUNT","REVIEW","OK")))))))))</f>
        <v/>
      </c>
      <c r="AV10" s="25">
        <f>IF($AU10="","",IF($H10="","Township required",IF($Q10="","Customer tier required",IF($M10="","Weight required",IF($S10="","Amount entry type required",IF(OR($J10&lt;0,$K10&lt;0,$M10&lt;0,$T10&lt;0,$U10&lt;0,$V10&lt;0,$W10&lt;0,$X10&lt;0,$Y10&lt;0),"Negative amounts are not allowed",IF($AE10="","Tariff not found for township and tier",IF(AND(OR($S10="ITEM_PRICE_PLUS_DECLARED_DELIVERY",$S10="TOTAL_AMOUNT_INCLUDING_DELIVERY",$S10="ITEM_PRICE_ONLY_DELIVERY_PAID_BY_MERCHANT"),$J10=""),"Item price required for this amount type",IF(AND(OR($S10="ITEM_PRICE_PLUS_DECLARED_DELIVERY",$S10="DELIVERY_CHARGE_ONLY"),$K10=""),"Declared delivery charge required",IF(AND(OR($S10="TOTAL_AMOUNT_INCLUDING_DELIVERY",$S10="EXACT_COLLECTION_AMOUNT"),$T10=""),"Stated total amount required",IF(AND($S10="TOTAL_AMOUNT_INCLUDING_DELIVERY",$T10&lt;SUM($J10,$U10)),"Stated total is below item price plus additional charge",IF($S10="EXACT_COLLECTION_AMOUNT","Authorized amount breakdown required before settlement","Ready for collection and settlement"))))))))))))</f>
        <v/>
      </c>
      <c r="AW10" s="23">
        <f>IF($AU10="","","PARCEL_FINANCIAL_V2")</f>
        <v/>
      </c>
      <c r="AX10" s="17" t="n"/>
    </row>
    <row r="11">
      <c r="A11" s="8" t="n"/>
      <c r="B11" s="8" t="n"/>
      <c r="C11" s="8" t="n"/>
      <c r="D11" s="8" t="n"/>
      <c r="E11" s="9" t="n"/>
      <c r="F11" s="9" t="n"/>
      <c r="G11" s="8" t="n"/>
      <c r="H11" s="9" t="n"/>
      <c r="I11" s="9" t="n"/>
      <c r="J11" s="10" t="n"/>
      <c r="K11" s="10" t="n"/>
      <c r="L11" s="11">
        <f>IF($S11="","",IF($S11="ITEM_PRICE_PLUS_DECLARED_DELIVERY",IF(OR($J11="",$K11=""),"",SUM($J11,$K11,$U11)),IF($S11="TOTAL_AMOUNT_INCLUDING_DELIVERY",IF($T11="","",$T11),IF($S11="DELIVERY_CHARGE_ONLY",IF($K11="","",SUM($K11,$U11)),IF($S11="EXACT_COLLECTION_AMOUNT",IF($T11="","",$T11),IF($S11="ITEM_PRICE_ONLY_DELIVERY_PAID_BY_MERCHANT",IF($J11="","",SUM($J11,$U11)),""))))))</f>
        <v/>
      </c>
      <c r="M11" s="12" t="n"/>
      <c r="N11" s="13" t="n"/>
      <c r="O11" s="13" t="n"/>
      <c r="P11" s="9" t="n"/>
      <c r="Q11" s="14" t="n"/>
      <c r="R11" s="15" t="n"/>
      <c r="S11" s="14" t="n"/>
      <c r="T11" s="16" t="n"/>
      <c r="U11" s="16" t="n"/>
      <c r="V11" s="16" t="n"/>
      <c r="W11" s="16" t="n"/>
      <c r="X11" s="16" t="n"/>
      <c r="Y11" s="16" t="n"/>
      <c r="Z11" s="14" t="n"/>
      <c r="AA11" s="14" t="n"/>
      <c r="AB11" s="14" t="n"/>
      <c r="AC11" s="17">
        <f>IFERROR(VLOOKUP($H11&amp;"|"&amp;$Q11,Tariff_Master!$A$2:$L$169,3,FALSE),"")</f>
        <v/>
      </c>
      <c r="AD11" s="17">
        <f>IFERROR(VLOOKUP($H11&amp;"|"&amp;$Q11,Tariff_Master!$A$2:$L$169,4,FALSE),"")</f>
        <v/>
      </c>
      <c r="AE11" s="18">
        <f>IFERROR(VLOOKUP($H11&amp;"|"&amp;$Q11,Tariff_Master!$A$2:$L$169,6,FALSE),"")</f>
        <v/>
      </c>
      <c r="AF11" s="19">
        <f>IFERROR(VLOOKUP($H11&amp;"|"&amp;$Q11,Tariff_Master!$A$2:$L$169,7,FALSE),"")</f>
        <v/>
      </c>
      <c r="AG11" s="18">
        <f>IFERROR(VLOOKUP($H11&amp;"|"&amp;$Q11,Tariff_Master!$A$2:$L$169,8,FALSE),"")</f>
        <v/>
      </c>
      <c r="AH11" s="20">
        <f>IFERROR(VLOOKUP($H11&amp;"|"&amp;$Q11,Tariff_Master!$A$2:$L$169,9,FALSE),"")</f>
        <v/>
      </c>
      <c r="AI11" s="18">
        <f>IFERROR(VLOOKUP($H11&amp;"|"&amp;$Q11,Tariff_Master!$A$2:$L$169,10,FALSE),"")</f>
        <v/>
      </c>
      <c r="AJ11" s="21">
        <f>IF($M11="","",ROUNDUP(MAX(0,$M11),0))</f>
        <v/>
      </c>
      <c r="AK11" s="21">
        <f>IF(OR($AJ11="",$AF11=""),"",MAX(0,$AJ11-$AF11))</f>
        <v/>
      </c>
      <c r="AL11" s="22">
        <f>IF(OR($AK11="",$AG11=""),"",MAX(0,$AK11*$AG11))</f>
        <v/>
      </c>
      <c r="AM11" s="22">
        <f>IF($AE11="","",MAX(0,SUM($AE11,$AL11,$V11,$W11)))</f>
        <v/>
      </c>
      <c r="AN11" s="22">
        <f>IF($AM11="","",IF(AND($Q11="COMMITMENT",$R11&gt;=$AH11),$AI11,0))</f>
        <v/>
      </c>
      <c r="AO11" s="23">
        <f>IF($AM11="","",MAX(0,$AM11-$AN11))</f>
        <v/>
      </c>
      <c r="AP11" s="22">
        <f>IF($S11="","",IF(OR($S11="ITEM_PRICE_PLUS_DECLARED_DELIVERY",$S11="DELIVERY_CHARGE_ONLY"),$K11,IF($S11="TOTAL_AMOUNT_INCLUDING_DELIVERY",IF(OR($T11="",$J11=""),"",MAX(0,$T11-$J11-$U11)),IF($S11="ITEM_PRICE_ONLY_DELIVERY_PAID_BY_MERCHANT",0,""))))</f>
        <v/>
      </c>
      <c r="AQ11" s="23">
        <f>IF(OR($AP11="",$AO11=""),"",$AP11-$AO11)</f>
        <v/>
      </c>
      <c r="AR11" s="24">
        <f>IF($S11="EXACT_COLLECTION_AMOUNT","BREAKDOWN_REQUIRED",IF($AQ11="","",IF($AQ11&gt;0,"CREDIT_TO_MERCHANT",IF($AQ11&lt;0,"DEDUCT_FROM_MERCHANT","NO_ADJUSTMENT"))))</f>
        <v/>
      </c>
      <c r="AS11" s="23">
        <f>IF(OR($AQ11="",$AR11="BREAKDOWN_REQUIRED"),"",$AQ11)</f>
        <v/>
      </c>
      <c r="AT11" s="23">
        <f>IF(OR($AR11="",$AR11="BREAKDOWN_REQUIRED"),"",SUM($J11,$AQ11,$Y11)-$X11)</f>
        <v/>
      </c>
      <c r="AU11" s="25">
        <f>IF(AND($A11="",$B11="",$F11="",$H11="",$J11="",$K11="",$M11="",$S11=""),"",IF(OR($H11="",$Q11="",$M11="",$S11=""),"ERROR",IF(OR($J11&lt;0,$K11&lt;0,$M11&lt;0,$T11&lt;0,$U11&lt;0,$V11&lt;0,$W11&lt;0,$X11&lt;0,$Y11&lt;0),"ERROR",IF($AE11="","ERROR",IF(AND(OR($S11="ITEM_PRICE_PLUS_DECLARED_DELIVERY",$S11="TOTAL_AMOUNT_INCLUDING_DELIVERY",$S11="ITEM_PRICE_ONLY_DELIVERY_PAID_BY_MERCHANT"),$J11=""),"ERROR",IF(AND(OR($S11="ITEM_PRICE_PLUS_DECLARED_DELIVERY",$S11="DELIVERY_CHARGE_ONLY"),$K11=""),"ERROR",IF(AND(OR($S11="TOTAL_AMOUNT_INCLUDING_DELIVERY",$S11="EXACT_COLLECTION_AMOUNT"),$T11=""),"ERROR",IF(AND($S11="TOTAL_AMOUNT_INCLUDING_DELIVERY",$T11&lt;SUM($J11,$U11)),"ERROR",IF($S11="EXACT_COLLECTION_AMOUNT","REVIEW","OK")))))))))</f>
        <v/>
      </c>
      <c r="AV11" s="25">
        <f>IF($AU11="","",IF($H11="","Township required",IF($Q11="","Customer tier required",IF($M11="","Weight required",IF($S11="","Amount entry type required",IF(OR($J11&lt;0,$K11&lt;0,$M11&lt;0,$T11&lt;0,$U11&lt;0,$V11&lt;0,$W11&lt;0,$X11&lt;0,$Y11&lt;0),"Negative amounts are not allowed",IF($AE11="","Tariff not found for township and tier",IF(AND(OR($S11="ITEM_PRICE_PLUS_DECLARED_DELIVERY",$S11="TOTAL_AMOUNT_INCLUDING_DELIVERY",$S11="ITEM_PRICE_ONLY_DELIVERY_PAID_BY_MERCHANT"),$J11=""),"Item price required for this amount type",IF(AND(OR($S11="ITEM_PRICE_PLUS_DECLARED_DELIVERY",$S11="DELIVERY_CHARGE_ONLY"),$K11=""),"Declared delivery charge required",IF(AND(OR($S11="TOTAL_AMOUNT_INCLUDING_DELIVERY",$S11="EXACT_COLLECTION_AMOUNT"),$T11=""),"Stated total amount required",IF(AND($S11="TOTAL_AMOUNT_INCLUDING_DELIVERY",$T11&lt;SUM($J11,$U11)),"Stated total is below item price plus additional charge",IF($S11="EXACT_COLLECTION_AMOUNT","Authorized amount breakdown required before settlement","Ready for collection and settlement"))))))))))))</f>
        <v/>
      </c>
      <c r="AW11" s="23">
        <f>IF($AU11="","","PARCEL_FINANCIAL_V2")</f>
        <v/>
      </c>
      <c r="AX11" s="17" t="n"/>
    </row>
    <row r="12">
      <c r="A12" s="8" t="n"/>
      <c r="B12" s="8" t="n"/>
      <c r="C12" s="8" t="n"/>
      <c r="D12" s="8" t="n"/>
      <c r="E12" s="9" t="n"/>
      <c r="F12" s="9" t="n"/>
      <c r="G12" s="8" t="n"/>
      <c r="H12" s="9" t="n"/>
      <c r="I12" s="9" t="n"/>
      <c r="J12" s="10" t="n"/>
      <c r="K12" s="10" t="n"/>
      <c r="L12" s="11">
        <f>IF($S12="","",IF($S12="ITEM_PRICE_PLUS_DECLARED_DELIVERY",IF(OR($J12="",$K12=""),"",SUM($J12,$K12,$U12)),IF($S12="TOTAL_AMOUNT_INCLUDING_DELIVERY",IF($T12="","",$T12),IF($S12="DELIVERY_CHARGE_ONLY",IF($K12="","",SUM($K12,$U12)),IF($S12="EXACT_COLLECTION_AMOUNT",IF($T12="","",$T12),IF($S12="ITEM_PRICE_ONLY_DELIVERY_PAID_BY_MERCHANT",IF($J12="","",SUM($J12,$U12)),""))))))</f>
        <v/>
      </c>
      <c r="M12" s="12" t="n"/>
      <c r="N12" s="13" t="n"/>
      <c r="O12" s="13" t="n"/>
      <c r="P12" s="9" t="n"/>
      <c r="Q12" s="14" t="n"/>
      <c r="R12" s="15" t="n"/>
      <c r="S12" s="14" t="n"/>
      <c r="T12" s="16" t="n"/>
      <c r="U12" s="16" t="n"/>
      <c r="V12" s="16" t="n"/>
      <c r="W12" s="16" t="n"/>
      <c r="X12" s="16" t="n"/>
      <c r="Y12" s="16" t="n"/>
      <c r="Z12" s="14" t="n"/>
      <c r="AA12" s="14" t="n"/>
      <c r="AB12" s="14" t="n"/>
      <c r="AC12" s="17">
        <f>IFERROR(VLOOKUP($H12&amp;"|"&amp;$Q12,Tariff_Master!$A$2:$L$169,3,FALSE),"")</f>
        <v/>
      </c>
      <c r="AD12" s="17">
        <f>IFERROR(VLOOKUP($H12&amp;"|"&amp;$Q12,Tariff_Master!$A$2:$L$169,4,FALSE),"")</f>
        <v/>
      </c>
      <c r="AE12" s="18">
        <f>IFERROR(VLOOKUP($H12&amp;"|"&amp;$Q12,Tariff_Master!$A$2:$L$169,6,FALSE),"")</f>
        <v/>
      </c>
      <c r="AF12" s="19">
        <f>IFERROR(VLOOKUP($H12&amp;"|"&amp;$Q12,Tariff_Master!$A$2:$L$169,7,FALSE),"")</f>
        <v/>
      </c>
      <c r="AG12" s="18">
        <f>IFERROR(VLOOKUP($H12&amp;"|"&amp;$Q12,Tariff_Master!$A$2:$L$169,8,FALSE),"")</f>
        <v/>
      </c>
      <c r="AH12" s="20">
        <f>IFERROR(VLOOKUP($H12&amp;"|"&amp;$Q12,Tariff_Master!$A$2:$L$169,9,FALSE),"")</f>
        <v/>
      </c>
      <c r="AI12" s="18">
        <f>IFERROR(VLOOKUP($H12&amp;"|"&amp;$Q12,Tariff_Master!$A$2:$L$169,10,FALSE),"")</f>
        <v/>
      </c>
      <c r="AJ12" s="21">
        <f>IF($M12="","",ROUNDUP(MAX(0,$M12),0))</f>
        <v/>
      </c>
      <c r="AK12" s="21">
        <f>IF(OR($AJ12="",$AF12=""),"",MAX(0,$AJ12-$AF12))</f>
        <v/>
      </c>
      <c r="AL12" s="22">
        <f>IF(OR($AK12="",$AG12=""),"",MAX(0,$AK12*$AG12))</f>
        <v/>
      </c>
      <c r="AM12" s="22">
        <f>IF($AE12="","",MAX(0,SUM($AE12,$AL12,$V12,$W12)))</f>
        <v/>
      </c>
      <c r="AN12" s="22">
        <f>IF($AM12="","",IF(AND($Q12="COMMITMENT",$R12&gt;=$AH12),$AI12,0))</f>
        <v/>
      </c>
      <c r="AO12" s="23">
        <f>IF($AM12="","",MAX(0,$AM12-$AN12))</f>
        <v/>
      </c>
      <c r="AP12" s="22">
        <f>IF($S12="","",IF(OR($S12="ITEM_PRICE_PLUS_DECLARED_DELIVERY",$S12="DELIVERY_CHARGE_ONLY"),$K12,IF($S12="TOTAL_AMOUNT_INCLUDING_DELIVERY",IF(OR($T12="",$J12=""),"",MAX(0,$T12-$J12-$U12)),IF($S12="ITEM_PRICE_ONLY_DELIVERY_PAID_BY_MERCHANT",0,""))))</f>
        <v/>
      </c>
      <c r="AQ12" s="23">
        <f>IF(OR($AP12="",$AO12=""),"",$AP12-$AO12)</f>
        <v/>
      </c>
      <c r="AR12" s="24">
        <f>IF($S12="EXACT_COLLECTION_AMOUNT","BREAKDOWN_REQUIRED",IF($AQ12="","",IF($AQ12&gt;0,"CREDIT_TO_MERCHANT",IF($AQ12&lt;0,"DEDUCT_FROM_MERCHANT","NO_ADJUSTMENT"))))</f>
        <v/>
      </c>
      <c r="AS12" s="23">
        <f>IF(OR($AQ12="",$AR12="BREAKDOWN_REQUIRED"),"",$AQ12)</f>
        <v/>
      </c>
      <c r="AT12" s="23">
        <f>IF(OR($AR12="",$AR12="BREAKDOWN_REQUIRED"),"",SUM($J12,$AQ12,$Y12)-$X12)</f>
        <v/>
      </c>
      <c r="AU12" s="25">
        <f>IF(AND($A12="",$B12="",$F12="",$H12="",$J12="",$K12="",$M12="",$S12=""),"",IF(OR($H12="",$Q12="",$M12="",$S12=""),"ERROR",IF(OR($J12&lt;0,$K12&lt;0,$M12&lt;0,$T12&lt;0,$U12&lt;0,$V12&lt;0,$W12&lt;0,$X12&lt;0,$Y12&lt;0),"ERROR",IF($AE12="","ERROR",IF(AND(OR($S12="ITEM_PRICE_PLUS_DECLARED_DELIVERY",$S12="TOTAL_AMOUNT_INCLUDING_DELIVERY",$S12="ITEM_PRICE_ONLY_DELIVERY_PAID_BY_MERCHANT"),$J12=""),"ERROR",IF(AND(OR($S12="ITEM_PRICE_PLUS_DECLARED_DELIVERY",$S12="DELIVERY_CHARGE_ONLY"),$K12=""),"ERROR",IF(AND(OR($S12="TOTAL_AMOUNT_INCLUDING_DELIVERY",$S12="EXACT_COLLECTION_AMOUNT"),$T12=""),"ERROR",IF(AND($S12="TOTAL_AMOUNT_INCLUDING_DELIVERY",$T12&lt;SUM($J12,$U12)),"ERROR",IF($S12="EXACT_COLLECTION_AMOUNT","REVIEW","OK")))))))))</f>
        <v/>
      </c>
      <c r="AV12" s="25">
        <f>IF($AU12="","",IF($H12="","Township required",IF($Q12="","Customer tier required",IF($M12="","Weight required",IF($S12="","Amount entry type required",IF(OR($J12&lt;0,$K12&lt;0,$M12&lt;0,$T12&lt;0,$U12&lt;0,$V12&lt;0,$W12&lt;0,$X12&lt;0,$Y12&lt;0),"Negative amounts are not allowed",IF($AE12="","Tariff not found for township and tier",IF(AND(OR($S12="ITEM_PRICE_PLUS_DECLARED_DELIVERY",$S12="TOTAL_AMOUNT_INCLUDING_DELIVERY",$S12="ITEM_PRICE_ONLY_DELIVERY_PAID_BY_MERCHANT"),$J12=""),"Item price required for this amount type",IF(AND(OR($S12="ITEM_PRICE_PLUS_DECLARED_DELIVERY",$S12="DELIVERY_CHARGE_ONLY"),$K12=""),"Declared delivery charge required",IF(AND(OR($S12="TOTAL_AMOUNT_INCLUDING_DELIVERY",$S12="EXACT_COLLECTION_AMOUNT"),$T12=""),"Stated total amount required",IF(AND($S12="TOTAL_AMOUNT_INCLUDING_DELIVERY",$T12&lt;SUM($J12,$U12)),"Stated total is below item price plus additional charge",IF($S12="EXACT_COLLECTION_AMOUNT","Authorized amount breakdown required before settlement","Ready for collection and settlement"))))))))))))</f>
        <v/>
      </c>
      <c r="AW12" s="23">
        <f>IF($AU12="","","PARCEL_FINANCIAL_V2")</f>
        <v/>
      </c>
      <c r="AX12" s="17" t="n"/>
    </row>
    <row r="13">
      <c r="A13" s="8" t="n"/>
      <c r="B13" s="8" t="n"/>
      <c r="C13" s="8" t="n"/>
      <c r="D13" s="8" t="n"/>
      <c r="E13" s="9" t="n"/>
      <c r="F13" s="9" t="n"/>
      <c r="G13" s="8" t="n"/>
      <c r="H13" s="9" t="n"/>
      <c r="I13" s="9" t="n"/>
      <c r="J13" s="10" t="n"/>
      <c r="K13" s="10" t="n"/>
      <c r="L13" s="11">
        <f>IF($S13="","",IF($S13="ITEM_PRICE_PLUS_DECLARED_DELIVERY",IF(OR($J13="",$K13=""),"",SUM($J13,$K13,$U13)),IF($S13="TOTAL_AMOUNT_INCLUDING_DELIVERY",IF($T13="","",$T13),IF($S13="DELIVERY_CHARGE_ONLY",IF($K13="","",SUM($K13,$U13)),IF($S13="EXACT_COLLECTION_AMOUNT",IF($T13="","",$T13),IF($S13="ITEM_PRICE_ONLY_DELIVERY_PAID_BY_MERCHANT",IF($J13="","",SUM($J13,$U13)),""))))))</f>
        <v/>
      </c>
      <c r="M13" s="12" t="n"/>
      <c r="N13" s="13" t="n"/>
      <c r="O13" s="13" t="n"/>
      <c r="P13" s="9" t="n"/>
      <c r="Q13" s="14" t="n"/>
      <c r="R13" s="15" t="n"/>
      <c r="S13" s="14" t="n"/>
      <c r="T13" s="16" t="n"/>
      <c r="U13" s="16" t="n"/>
      <c r="V13" s="16" t="n"/>
      <c r="W13" s="16" t="n"/>
      <c r="X13" s="16" t="n"/>
      <c r="Y13" s="16" t="n"/>
      <c r="Z13" s="14" t="n"/>
      <c r="AA13" s="14" t="n"/>
      <c r="AB13" s="14" t="n"/>
      <c r="AC13" s="17">
        <f>IFERROR(VLOOKUP($H13&amp;"|"&amp;$Q13,Tariff_Master!$A$2:$L$169,3,FALSE),"")</f>
        <v/>
      </c>
      <c r="AD13" s="17">
        <f>IFERROR(VLOOKUP($H13&amp;"|"&amp;$Q13,Tariff_Master!$A$2:$L$169,4,FALSE),"")</f>
        <v/>
      </c>
      <c r="AE13" s="18">
        <f>IFERROR(VLOOKUP($H13&amp;"|"&amp;$Q13,Tariff_Master!$A$2:$L$169,6,FALSE),"")</f>
        <v/>
      </c>
      <c r="AF13" s="19">
        <f>IFERROR(VLOOKUP($H13&amp;"|"&amp;$Q13,Tariff_Master!$A$2:$L$169,7,FALSE),"")</f>
        <v/>
      </c>
      <c r="AG13" s="18">
        <f>IFERROR(VLOOKUP($H13&amp;"|"&amp;$Q13,Tariff_Master!$A$2:$L$169,8,FALSE),"")</f>
        <v/>
      </c>
      <c r="AH13" s="20">
        <f>IFERROR(VLOOKUP($H13&amp;"|"&amp;$Q13,Tariff_Master!$A$2:$L$169,9,FALSE),"")</f>
        <v/>
      </c>
      <c r="AI13" s="18">
        <f>IFERROR(VLOOKUP($H13&amp;"|"&amp;$Q13,Tariff_Master!$A$2:$L$169,10,FALSE),"")</f>
        <v/>
      </c>
      <c r="AJ13" s="21">
        <f>IF($M13="","",ROUNDUP(MAX(0,$M13),0))</f>
        <v/>
      </c>
      <c r="AK13" s="21">
        <f>IF(OR($AJ13="",$AF13=""),"",MAX(0,$AJ13-$AF13))</f>
        <v/>
      </c>
      <c r="AL13" s="22">
        <f>IF(OR($AK13="",$AG13=""),"",MAX(0,$AK13*$AG13))</f>
        <v/>
      </c>
      <c r="AM13" s="22">
        <f>IF($AE13="","",MAX(0,SUM($AE13,$AL13,$V13,$W13)))</f>
        <v/>
      </c>
      <c r="AN13" s="22">
        <f>IF($AM13="","",IF(AND($Q13="COMMITMENT",$R13&gt;=$AH13),$AI13,0))</f>
        <v/>
      </c>
      <c r="AO13" s="23">
        <f>IF($AM13="","",MAX(0,$AM13-$AN13))</f>
        <v/>
      </c>
      <c r="AP13" s="22">
        <f>IF($S13="","",IF(OR($S13="ITEM_PRICE_PLUS_DECLARED_DELIVERY",$S13="DELIVERY_CHARGE_ONLY"),$K13,IF($S13="TOTAL_AMOUNT_INCLUDING_DELIVERY",IF(OR($T13="",$J13=""),"",MAX(0,$T13-$J13-$U13)),IF($S13="ITEM_PRICE_ONLY_DELIVERY_PAID_BY_MERCHANT",0,""))))</f>
        <v/>
      </c>
      <c r="AQ13" s="23">
        <f>IF(OR($AP13="",$AO13=""),"",$AP13-$AO13)</f>
        <v/>
      </c>
      <c r="AR13" s="24">
        <f>IF($S13="EXACT_COLLECTION_AMOUNT","BREAKDOWN_REQUIRED",IF($AQ13="","",IF($AQ13&gt;0,"CREDIT_TO_MERCHANT",IF($AQ13&lt;0,"DEDUCT_FROM_MERCHANT","NO_ADJUSTMENT"))))</f>
        <v/>
      </c>
      <c r="AS13" s="23">
        <f>IF(OR($AQ13="",$AR13="BREAKDOWN_REQUIRED"),"",$AQ13)</f>
        <v/>
      </c>
      <c r="AT13" s="23">
        <f>IF(OR($AR13="",$AR13="BREAKDOWN_REQUIRED"),"",SUM($J13,$AQ13,$Y13)-$X13)</f>
        <v/>
      </c>
      <c r="AU13" s="25">
        <f>IF(AND($A13="",$B13="",$F13="",$H13="",$J13="",$K13="",$M13="",$S13=""),"",IF(OR($H13="",$Q13="",$M13="",$S13=""),"ERROR",IF(OR($J13&lt;0,$K13&lt;0,$M13&lt;0,$T13&lt;0,$U13&lt;0,$V13&lt;0,$W13&lt;0,$X13&lt;0,$Y13&lt;0),"ERROR",IF($AE13="","ERROR",IF(AND(OR($S13="ITEM_PRICE_PLUS_DECLARED_DELIVERY",$S13="TOTAL_AMOUNT_INCLUDING_DELIVERY",$S13="ITEM_PRICE_ONLY_DELIVERY_PAID_BY_MERCHANT"),$J13=""),"ERROR",IF(AND(OR($S13="ITEM_PRICE_PLUS_DECLARED_DELIVERY",$S13="DELIVERY_CHARGE_ONLY"),$K13=""),"ERROR",IF(AND(OR($S13="TOTAL_AMOUNT_INCLUDING_DELIVERY",$S13="EXACT_COLLECTION_AMOUNT"),$T13=""),"ERROR",IF(AND($S13="TOTAL_AMOUNT_INCLUDING_DELIVERY",$T13&lt;SUM($J13,$U13)),"ERROR",IF($S13="EXACT_COLLECTION_AMOUNT","REVIEW","OK")))))))))</f>
        <v/>
      </c>
      <c r="AV13" s="25">
        <f>IF($AU13="","",IF($H13="","Township required",IF($Q13="","Customer tier required",IF($M13="","Weight required",IF($S13="","Amount entry type required",IF(OR($J13&lt;0,$K13&lt;0,$M13&lt;0,$T13&lt;0,$U13&lt;0,$V13&lt;0,$W13&lt;0,$X13&lt;0,$Y13&lt;0),"Negative amounts are not allowed",IF($AE13="","Tariff not found for township and tier",IF(AND(OR($S13="ITEM_PRICE_PLUS_DECLARED_DELIVERY",$S13="TOTAL_AMOUNT_INCLUDING_DELIVERY",$S13="ITEM_PRICE_ONLY_DELIVERY_PAID_BY_MERCHANT"),$J13=""),"Item price required for this amount type",IF(AND(OR($S13="ITEM_PRICE_PLUS_DECLARED_DELIVERY",$S13="DELIVERY_CHARGE_ONLY"),$K13=""),"Declared delivery charge required",IF(AND(OR($S13="TOTAL_AMOUNT_INCLUDING_DELIVERY",$S13="EXACT_COLLECTION_AMOUNT"),$T13=""),"Stated total amount required",IF(AND($S13="TOTAL_AMOUNT_INCLUDING_DELIVERY",$T13&lt;SUM($J13,$U13)),"Stated total is below item price plus additional charge",IF($S13="EXACT_COLLECTION_AMOUNT","Authorized amount breakdown required before settlement","Ready for collection and settlement"))))))))))))</f>
        <v/>
      </c>
      <c r="AW13" s="23">
        <f>IF($AU13="","","PARCEL_FINANCIAL_V2")</f>
        <v/>
      </c>
      <c r="AX13" s="17" t="n"/>
    </row>
    <row r="14">
      <c r="A14" s="8" t="n"/>
      <c r="B14" s="8" t="n"/>
      <c r="C14" s="8" t="n"/>
      <c r="D14" s="8" t="n"/>
      <c r="E14" s="9" t="n"/>
      <c r="F14" s="9" t="n"/>
      <c r="G14" s="8" t="n"/>
      <c r="H14" s="9" t="n"/>
      <c r="I14" s="9" t="n"/>
      <c r="J14" s="10" t="n"/>
      <c r="K14" s="10" t="n"/>
      <c r="L14" s="11">
        <f>IF($S14="","",IF($S14="ITEM_PRICE_PLUS_DECLARED_DELIVERY",IF(OR($J14="",$K14=""),"",SUM($J14,$K14,$U14)),IF($S14="TOTAL_AMOUNT_INCLUDING_DELIVERY",IF($T14="","",$T14),IF($S14="DELIVERY_CHARGE_ONLY",IF($K14="","",SUM($K14,$U14)),IF($S14="EXACT_COLLECTION_AMOUNT",IF($T14="","",$T14),IF($S14="ITEM_PRICE_ONLY_DELIVERY_PAID_BY_MERCHANT",IF($J14="","",SUM($J14,$U14)),""))))))</f>
        <v/>
      </c>
      <c r="M14" s="12" t="n"/>
      <c r="N14" s="13" t="n"/>
      <c r="O14" s="13" t="n"/>
      <c r="P14" s="9" t="n"/>
      <c r="Q14" s="14" t="n"/>
      <c r="R14" s="15" t="n"/>
      <c r="S14" s="14" t="n"/>
      <c r="T14" s="16" t="n"/>
      <c r="U14" s="16" t="n"/>
      <c r="V14" s="16" t="n"/>
      <c r="W14" s="16" t="n"/>
      <c r="X14" s="16" t="n"/>
      <c r="Y14" s="16" t="n"/>
      <c r="Z14" s="14" t="n"/>
      <c r="AA14" s="14" t="n"/>
      <c r="AB14" s="14" t="n"/>
      <c r="AC14" s="17">
        <f>IFERROR(VLOOKUP($H14&amp;"|"&amp;$Q14,Tariff_Master!$A$2:$L$169,3,FALSE),"")</f>
        <v/>
      </c>
      <c r="AD14" s="17">
        <f>IFERROR(VLOOKUP($H14&amp;"|"&amp;$Q14,Tariff_Master!$A$2:$L$169,4,FALSE),"")</f>
        <v/>
      </c>
      <c r="AE14" s="18">
        <f>IFERROR(VLOOKUP($H14&amp;"|"&amp;$Q14,Tariff_Master!$A$2:$L$169,6,FALSE),"")</f>
        <v/>
      </c>
      <c r="AF14" s="19">
        <f>IFERROR(VLOOKUP($H14&amp;"|"&amp;$Q14,Tariff_Master!$A$2:$L$169,7,FALSE),"")</f>
        <v/>
      </c>
      <c r="AG14" s="18">
        <f>IFERROR(VLOOKUP($H14&amp;"|"&amp;$Q14,Tariff_Master!$A$2:$L$169,8,FALSE),"")</f>
        <v/>
      </c>
      <c r="AH14" s="20">
        <f>IFERROR(VLOOKUP($H14&amp;"|"&amp;$Q14,Tariff_Master!$A$2:$L$169,9,FALSE),"")</f>
        <v/>
      </c>
      <c r="AI14" s="18">
        <f>IFERROR(VLOOKUP($H14&amp;"|"&amp;$Q14,Tariff_Master!$A$2:$L$169,10,FALSE),"")</f>
        <v/>
      </c>
      <c r="AJ14" s="21">
        <f>IF($M14="","",ROUNDUP(MAX(0,$M14),0))</f>
        <v/>
      </c>
      <c r="AK14" s="21">
        <f>IF(OR($AJ14="",$AF14=""),"",MAX(0,$AJ14-$AF14))</f>
        <v/>
      </c>
      <c r="AL14" s="22">
        <f>IF(OR($AK14="",$AG14=""),"",MAX(0,$AK14*$AG14))</f>
        <v/>
      </c>
      <c r="AM14" s="22">
        <f>IF($AE14="","",MAX(0,SUM($AE14,$AL14,$V14,$W14)))</f>
        <v/>
      </c>
      <c r="AN14" s="22">
        <f>IF($AM14="","",IF(AND($Q14="COMMITMENT",$R14&gt;=$AH14),$AI14,0))</f>
        <v/>
      </c>
      <c r="AO14" s="23">
        <f>IF($AM14="","",MAX(0,$AM14-$AN14))</f>
        <v/>
      </c>
      <c r="AP14" s="22">
        <f>IF($S14="","",IF(OR($S14="ITEM_PRICE_PLUS_DECLARED_DELIVERY",$S14="DELIVERY_CHARGE_ONLY"),$K14,IF($S14="TOTAL_AMOUNT_INCLUDING_DELIVERY",IF(OR($T14="",$J14=""),"",MAX(0,$T14-$J14-$U14)),IF($S14="ITEM_PRICE_ONLY_DELIVERY_PAID_BY_MERCHANT",0,""))))</f>
        <v/>
      </c>
      <c r="AQ14" s="23">
        <f>IF(OR($AP14="",$AO14=""),"",$AP14-$AO14)</f>
        <v/>
      </c>
      <c r="AR14" s="24">
        <f>IF($S14="EXACT_COLLECTION_AMOUNT","BREAKDOWN_REQUIRED",IF($AQ14="","",IF($AQ14&gt;0,"CREDIT_TO_MERCHANT",IF($AQ14&lt;0,"DEDUCT_FROM_MERCHANT","NO_ADJUSTMENT"))))</f>
        <v/>
      </c>
      <c r="AS14" s="23">
        <f>IF(OR($AQ14="",$AR14="BREAKDOWN_REQUIRED"),"",$AQ14)</f>
        <v/>
      </c>
      <c r="AT14" s="23">
        <f>IF(OR($AR14="",$AR14="BREAKDOWN_REQUIRED"),"",SUM($J14,$AQ14,$Y14)-$X14)</f>
        <v/>
      </c>
      <c r="AU14" s="25">
        <f>IF(AND($A14="",$B14="",$F14="",$H14="",$J14="",$K14="",$M14="",$S14=""),"",IF(OR($H14="",$Q14="",$M14="",$S14=""),"ERROR",IF(OR($J14&lt;0,$K14&lt;0,$M14&lt;0,$T14&lt;0,$U14&lt;0,$V14&lt;0,$W14&lt;0,$X14&lt;0,$Y14&lt;0),"ERROR",IF($AE14="","ERROR",IF(AND(OR($S14="ITEM_PRICE_PLUS_DECLARED_DELIVERY",$S14="TOTAL_AMOUNT_INCLUDING_DELIVERY",$S14="ITEM_PRICE_ONLY_DELIVERY_PAID_BY_MERCHANT"),$J14=""),"ERROR",IF(AND(OR($S14="ITEM_PRICE_PLUS_DECLARED_DELIVERY",$S14="DELIVERY_CHARGE_ONLY"),$K14=""),"ERROR",IF(AND(OR($S14="TOTAL_AMOUNT_INCLUDING_DELIVERY",$S14="EXACT_COLLECTION_AMOUNT"),$T14=""),"ERROR",IF(AND($S14="TOTAL_AMOUNT_INCLUDING_DELIVERY",$T14&lt;SUM($J14,$U14)),"ERROR",IF($S14="EXACT_COLLECTION_AMOUNT","REVIEW","OK")))))))))</f>
        <v/>
      </c>
      <c r="AV14" s="25">
        <f>IF($AU14="","",IF($H14="","Township required",IF($Q14="","Customer tier required",IF($M14="","Weight required",IF($S14="","Amount entry type required",IF(OR($J14&lt;0,$K14&lt;0,$M14&lt;0,$T14&lt;0,$U14&lt;0,$V14&lt;0,$W14&lt;0,$X14&lt;0,$Y14&lt;0),"Negative amounts are not allowed",IF($AE14="","Tariff not found for township and tier",IF(AND(OR($S14="ITEM_PRICE_PLUS_DECLARED_DELIVERY",$S14="TOTAL_AMOUNT_INCLUDING_DELIVERY",$S14="ITEM_PRICE_ONLY_DELIVERY_PAID_BY_MERCHANT"),$J14=""),"Item price required for this amount type",IF(AND(OR($S14="ITEM_PRICE_PLUS_DECLARED_DELIVERY",$S14="DELIVERY_CHARGE_ONLY"),$K14=""),"Declared delivery charge required",IF(AND(OR($S14="TOTAL_AMOUNT_INCLUDING_DELIVERY",$S14="EXACT_COLLECTION_AMOUNT"),$T14=""),"Stated total amount required",IF(AND($S14="TOTAL_AMOUNT_INCLUDING_DELIVERY",$T14&lt;SUM($J14,$U14)),"Stated total is below item price plus additional charge",IF($S14="EXACT_COLLECTION_AMOUNT","Authorized amount breakdown required before settlement","Ready for collection and settlement"))))))))))))</f>
        <v/>
      </c>
      <c r="AW14" s="23">
        <f>IF($AU14="","","PARCEL_FINANCIAL_V2")</f>
        <v/>
      </c>
      <c r="AX14" s="17" t="n"/>
    </row>
    <row r="15">
      <c r="A15" s="8" t="n"/>
      <c r="B15" s="8" t="n"/>
      <c r="C15" s="8" t="n"/>
      <c r="D15" s="8" t="n"/>
      <c r="E15" s="9" t="n"/>
      <c r="F15" s="9" t="n"/>
      <c r="G15" s="8" t="n"/>
      <c r="H15" s="9" t="n"/>
      <c r="I15" s="9" t="n"/>
      <c r="J15" s="10" t="n"/>
      <c r="K15" s="10" t="n"/>
      <c r="L15" s="11">
        <f>IF($S15="","",IF($S15="ITEM_PRICE_PLUS_DECLARED_DELIVERY",IF(OR($J15="",$K15=""),"",SUM($J15,$K15,$U15)),IF($S15="TOTAL_AMOUNT_INCLUDING_DELIVERY",IF($T15="","",$T15),IF($S15="DELIVERY_CHARGE_ONLY",IF($K15="","",SUM($K15,$U15)),IF($S15="EXACT_COLLECTION_AMOUNT",IF($T15="","",$T15),IF($S15="ITEM_PRICE_ONLY_DELIVERY_PAID_BY_MERCHANT",IF($J15="","",SUM($J15,$U15)),""))))))</f>
        <v/>
      </c>
      <c r="M15" s="12" t="n"/>
      <c r="N15" s="13" t="n"/>
      <c r="O15" s="13" t="n"/>
      <c r="P15" s="9" t="n"/>
      <c r="Q15" s="14" t="n"/>
      <c r="R15" s="15" t="n"/>
      <c r="S15" s="14" t="n"/>
      <c r="T15" s="16" t="n"/>
      <c r="U15" s="16" t="n"/>
      <c r="V15" s="16" t="n"/>
      <c r="W15" s="16" t="n"/>
      <c r="X15" s="16" t="n"/>
      <c r="Y15" s="16" t="n"/>
      <c r="Z15" s="14" t="n"/>
      <c r="AA15" s="14" t="n"/>
      <c r="AB15" s="14" t="n"/>
      <c r="AC15" s="17">
        <f>IFERROR(VLOOKUP($H15&amp;"|"&amp;$Q15,Tariff_Master!$A$2:$L$169,3,FALSE),"")</f>
        <v/>
      </c>
      <c r="AD15" s="17">
        <f>IFERROR(VLOOKUP($H15&amp;"|"&amp;$Q15,Tariff_Master!$A$2:$L$169,4,FALSE),"")</f>
        <v/>
      </c>
      <c r="AE15" s="18">
        <f>IFERROR(VLOOKUP($H15&amp;"|"&amp;$Q15,Tariff_Master!$A$2:$L$169,6,FALSE),"")</f>
        <v/>
      </c>
      <c r="AF15" s="19">
        <f>IFERROR(VLOOKUP($H15&amp;"|"&amp;$Q15,Tariff_Master!$A$2:$L$169,7,FALSE),"")</f>
        <v/>
      </c>
      <c r="AG15" s="18">
        <f>IFERROR(VLOOKUP($H15&amp;"|"&amp;$Q15,Tariff_Master!$A$2:$L$169,8,FALSE),"")</f>
        <v/>
      </c>
      <c r="AH15" s="20">
        <f>IFERROR(VLOOKUP($H15&amp;"|"&amp;$Q15,Tariff_Master!$A$2:$L$169,9,FALSE),"")</f>
        <v/>
      </c>
      <c r="AI15" s="18">
        <f>IFERROR(VLOOKUP($H15&amp;"|"&amp;$Q15,Tariff_Master!$A$2:$L$169,10,FALSE),"")</f>
        <v/>
      </c>
      <c r="AJ15" s="21">
        <f>IF($M15="","",ROUNDUP(MAX(0,$M15),0))</f>
        <v/>
      </c>
      <c r="AK15" s="21">
        <f>IF(OR($AJ15="",$AF15=""),"",MAX(0,$AJ15-$AF15))</f>
        <v/>
      </c>
      <c r="AL15" s="22">
        <f>IF(OR($AK15="",$AG15=""),"",MAX(0,$AK15*$AG15))</f>
        <v/>
      </c>
      <c r="AM15" s="22">
        <f>IF($AE15="","",MAX(0,SUM($AE15,$AL15,$V15,$W15)))</f>
        <v/>
      </c>
      <c r="AN15" s="22">
        <f>IF($AM15="","",IF(AND($Q15="COMMITMENT",$R15&gt;=$AH15),$AI15,0))</f>
        <v/>
      </c>
      <c r="AO15" s="23">
        <f>IF($AM15="","",MAX(0,$AM15-$AN15))</f>
        <v/>
      </c>
      <c r="AP15" s="22">
        <f>IF($S15="","",IF(OR($S15="ITEM_PRICE_PLUS_DECLARED_DELIVERY",$S15="DELIVERY_CHARGE_ONLY"),$K15,IF($S15="TOTAL_AMOUNT_INCLUDING_DELIVERY",IF(OR($T15="",$J15=""),"",MAX(0,$T15-$J15-$U15)),IF($S15="ITEM_PRICE_ONLY_DELIVERY_PAID_BY_MERCHANT",0,""))))</f>
        <v/>
      </c>
      <c r="AQ15" s="23">
        <f>IF(OR($AP15="",$AO15=""),"",$AP15-$AO15)</f>
        <v/>
      </c>
      <c r="AR15" s="24">
        <f>IF($S15="EXACT_COLLECTION_AMOUNT","BREAKDOWN_REQUIRED",IF($AQ15="","",IF($AQ15&gt;0,"CREDIT_TO_MERCHANT",IF($AQ15&lt;0,"DEDUCT_FROM_MERCHANT","NO_ADJUSTMENT"))))</f>
        <v/>
      </c>
      <c r="AS15" s="23">
        <f>IF(OR($AQ15="",$AR15="BREAKDOWN_REQUIRED"),"",$AQ15)</f>
        <v/>
      </c>
      <c r="AT15" s="23">
        <f>IF(OR($AR15="",$AR15="BREAKDOWN_REQUIRED"),"",SUM($J15,$AQ15,$Y15)-$X15)</f>
        <v/>
      </c>
      <c r="AU15" s="25">
        <f>IF(AND($A15="",$B15="",$F15="",$H15="",$J15="",$K15="",$M15="",$S15=""),"",IF(OR($H15="",$Q15="",$M15="",$S15=""),"ERROR",IF(OR($J15&lt;0,$K15&lt;0,$M15&lt;0,$T15&lt;0,$U15&lt;0,$V15&lt;0,$W15&lt;0,$X15&lt;0,$Y15&lt;0),"ERROR",IF($AE15="","ERROR",IF(AND(OR($S15="ITEM_PRICE_PLUS_DECLARED_DELIVERY",$S15="TOTAL_AMOUNT_INCLUDING_DELIVERY",$S15="ITEM_PRICE_ONLY_DELIVERY_PAID_BY_MERCHANT"),$J15=""),"ERROR",IF(AND(OR($S15="ITEM_PRICE_PLUS_DECLARED_DELIVERY",$S15="DELIVERY_CHARGE_ONLY"),$K15=""),"ERROR",IF(AND(OR($S15="TOTAL_AMOUNT_INCLUDING_DELIVERY",$S15="EXACT_COLLECTION_AMOUNT"),$T15=""),"ERROR",IF(AND($S15="TOTAL_AMOUNT_INCLUDING_DELIVERY",$T15&lt;SUM($J15,$U15)),"ERROR",IF($S15="EXACT_COLLECTION_AMOUNT","REVIEW","OK")))))))))</f>
        <v/>
      </c>
      <c r="AV15" s="25">
        <f>IF($AU15="","",IF($H15="","Township required",IF($Q15="","Customer tier required",IF($M15="","Weight required",IF($S15="","Amount entry type required",IF(OR($J15&lt;0,$K15&lt;0,$M15&lt;0,$T15&lt;0,$U15&lt;0,$V15&lt;0,$W15&lt;0,$X15&lt;0,$Y15&lt;0),"Negative amounts are not allowed",IF($AE15="","Tariff not found for township and tier",IF(AND(OR($S15="ITEM_PRICE_PLUS_DECLARED_DELIVERY",$S15="TOTAL_AMOUNT_INCLUDING_DELIVERY",$S15="ITEM_PRICE_ONLY_DELIVERY_PAID_BY_MERCHANT"),$J15=""),"Item price required for this amount type",IF(AND(OR($S15="ITEM_PRICE_PLUS_DECLARED_DELIVERY",$S15="DELIVERY_CHARGE_ONLY"),$K15=""),"Declared delivery charge required",IF(AND(OR($S15="TOTAL_AMOUNT_INCLUDING_DELIVERY",$S15="EXACT_COLLECTION_AMOUNT"),$T15=""),"Stated total amount required",IF(AND($S15="TOTAL_AMOUNT_INCLUDING_DELIVERY",$T15&lt;SUM($J15,$U15)),"Stated total is below item price plus additional charge",IF($S15="EXACT_COLLECTION_AMOUNT","Authorized amount breakdown required before settlement","Ready for collection and settlement"))))))))))))</f>
        <v/>
      </c>
      <c r="AW15" s="23">
        <f>IF($AU15="","","PARCEL_FINANCIAL_V2")</f>
        <v/>
      </c>
      <c r="AX15" s="17" t="n"/>
    </row>
    <row r="16">
      <c r="A16" s="8" t="n"/>
      <c r="B16" s="8" t="n"/>
      <c r="C16" s="8" t="n"/>
      <c r="D16" s="8" t="n"/>
      <c r="E16" s="9" t="n"/>
      <c r="F16" s="9" t="n"/>
      <c r="G16" s="8" t="n"/>
      <c r="H16" s="9" t="n"/>
      <c r="I16" s="9" t="n"/>
      <c r="J16" s="10" t="n"/>
      <c r="K16" s="10" t="n"/>
      <c r="L16" s="11">
        <f>IF($S16="","",IF($S16="ITEM_PRICE_PLUS_DECLARED_DELIVERY",IF(OR($J16="",$K16=""),"",SUM($J16,$K16,$U16)),IF($S16="TOTAL_AMOUNT_INCLUDING_DELIVERY",IF($T16="","",$T16),IF($S16="DELIVERY_CHARGE_ONLY",IF($K16="","",SUM($K16,$U16)),IF($S16="EXACT_COLLECTION_AMOUNT",IF($T16="","",$T16),IF($S16="ITEM_PRICE_ONLY_DELIVERY_PAID_BY_MERCHANT",IF($J16="","",SUM($J16,$U16)),""))))))</f>
        <v/>
      </c>
      <c r="M16" s="12" t="n"/>
      <c r="N16" s="13" t="n"/>
      <c r="O16" s="13" t="n"/>
      <c r="P16" s="9" t="n"/>
      <c r="Q16" s="14" t="n"/>
      <c r="R16" s="15" t="n"/>
      <c r="S16" s="14" t="n"/>
      <c r="T16" s="16" t="n"/>
      <c r="U16" s="16" t="n"/>
      <c r="V16" s="16" t="n"/>
      <c r="W16" s="16" t="n"/>
      <c r="X16" s="16" t="n"/>
      <c r="Y16" s="16" t="n"/>
      <c r="Z16" s="14" t="n"/>
      <c r="AA16" s="14" t="n"/>
      <c r="AB16" s="14" t="n"/>
      <c r="AC16" s="17">
        <f>IFERROR(VLOOKUP($H16&amp;"|"&amp;$Q16,Tariff_Master!$A$2:$L$169,3,FALSE),"")</f>
        <v/>
      </c>
      <c r="AD16" s="17">
        <f>IFERROR(VLOOKUP($H16&amp;"|"&amp;$Q16,Tariff_Master!$A$2:$L$169,4,FALSE),"")</f>
        <v/>
      </c>
      <c r="AE16" s="18">
        <f>IFERROR(VLOOKUP($H16&amp;"|"&amp;$Q16,Tariff_Master!$A$2:$L$169,6,FALSE),"")</f>
        <v/>
      </c>
      <c r="AF16" s="19">
        <f>IFERROR(VLOOKUP($H16&amp;"|"&amp;$Q16,Tariff_Master!$A$2:$L$169,7,FALSE),"")</f>
        <v/>
      </c>
      <c r="AG16" s="18">
        <f>IFERROR(VLOOKUP($H16&amp;"|"&amp;$Q16,Tariff_Master!$A$2:$L$169,8,FALSE),"")</f>
        <v/>
      </c>
      <c r="AH16" s="20">
        <f>IFERROR(VLOOKUP($H16&amp;"|"&amp;$Q16,Tariff_Master!$A$2:$L$169,9,FALSE),"")</f>
        <v/>
      </c>
      <c r="AI16" s="18">
        <f>IFERROR(VLOOKUP($H16&amp;"|"&amp;$Q16,Tariff_Master!$A$2:$L$169,10,FALSE),"")</f>
        <v/>
      </c>
      <c r="AJ16" s="21">
        <f>IF($M16="","",ROUNDUP(MAX(0,$M16),0))</f>
        <v/>
      </c>
      <c r="AK16" s="21">
        <f>IF(OR($AJ16="",$AF16=""),"",MAX(0,$AJ16-$AF16))</f>
        <v/>
      </c>
      <c r="AL16" s="22">
        <f>IF(OR($AK16="",$AG16=""),"",MAX(0,$AK16*$AG16))</f>
        <v/>
      </c>
      <c r="AM16" s="22">
        <f>IF($AE16="","",MAX(0,SUM($AE16,$AL16,$V16,$W16)))</f>
        <v/>
      </c>
      <c r="AN16" s="22">
        <f>IF($AM16="","",IF(AND($Q16="COMMITMENT",$R16&gt;=$AH16),$AI16,0))</f>
        <v/>
      </c>
      <c r="AO16" s="23">
        <f>IF($AM16="","",MAX(0,$AM16-$AN16))</f>
        <v/>
      </c>
      <c r="AP16" s="22">
        <f>IF($S16="","",IF(OR($S16="ITEM_PRICE_PLUS_DECLARED_DELIVERY",$S16="DELIVERY_CHARGE_ONLY"),$K16,IF($S16="TOTAL_AMOUNT_INCLUDING_DELIVERY",IF(OR($T16="",$J16=""),"",MAX(0,$T16-$J16-$U16)),IF($S16="ITEM_PRICE_ONLY_DELIVERY_PAID_BY_MERCHANT",0,""))))</f>
        <v/>
      </c>
      <c r="AQ16" s="23">
        <f>IF(OR($AP16="",$AO16=""),"",$AP16-$AO16)</f>
        <v/>
      </c>
      <c r="AR16" s="24">
        <f>IF($S16="EXACT_COLLECTION_AMOUNT","BREAKDOWN_REQUIRED",IF($AQ16="","",IF($AQ16&gt;0,"CREDIT_TO_MERCHANT",IF($AQ16&lt;0,"DEDUCT_FROM_MERCHANT","NO_ADJUSTMENT"))))</f>
        <v/>
      </c>
      <c r="AS16" s="23">
        <f>IF(OR($AQ16="",$AR16="BREAKDOWN_REQUIRED"),"",$AQ16)</f>
        <v/>
      </c>
      <c r="AT16" s="23">
        <f>IF(OR($AR16="",$AR16="BREAKDOWN_REQUIRED"),"",SUM($J16,$AQ16,$Y16)-$X16)</f>
        <v/>
      </c>
      <c r="AU16" s="25">
        <f>IF(AND($A16="",$B16="",$F16="",$H16="",$J16="",$K16="",$M16="",$S16=""),"",IF(OR($H16="",$Q16="",$M16="",$S16=""),"ERROR",IF(OR($J16&lt;0,$K16&lt;0,$M16&lt;0,$T16&lt;0,$U16&lt;0,$V16&lt;0,$W16&lt;0,$X16&lt;0,$Y16&lt;0),"ERROR",IF($AE16="","ERROR",IF(AND(OR($S16="ITEM_PRICE_PLUS_DECLARED_DELIVERY",$S16="TOTAL_AMOUNT_INCLUDING_DELIVERY",$S16="ITEM_PRICE_ONLY_DELIVERY_PAID_BY_MERCHANT"),$J16=""),"ERROR",IF(AND(OR($S16="ITEM_PRICE_PLUS_DECLARED_DELIVERY",$S16="DELIVERY_CHARGE_ONLY"),$K16=""),"ERROR",IF(AND(OR($S16="TOTAL_AMOUNT_INCLUDING_DELIVERY",$S16="EXACT_COLLECTION_AMOUNT"),$T16=""),"ERROR",IF(AND($S16="TOTAL_AMOUNT_INCLUDING_DELIVERY",$T16&lt;SUM($J16,$U16)),"ERROR",IF($S16="EXACT_COLLECTION_AMOUNT","REVIEW","OK")))))))))</f>
        <v/>
      </c>
      <c r="AV16" s="25">
        <f>IF($AU16="","",IF($H16="","Township required",IF($Q16="","Customer tier required",IF($M16="","Weight required",IF($S16="","Amount entry type required",IF(OR($J16&lt;0,$K16&lt;0,$M16&lt;0,$T16&lt;0,$U16&lt;0,$V16&lt;0,$W16&lt;0,$X16&lt;0,$Y16&lt;0),"Negative amounts are not allowed",IF($AE16="","Tariff not found for township and tier",IF(AND(OR($S16="ITEM_PRICE_PLUS_DECLARED_DELIVERY",$S16="TOTAL_AMOUNT_INCLUDING_DELIVERY",$S16="ITEM_PRICE_ONLY_DELIVERY_PAID_BY_MERCHANT"),$J16=""),"Item price required for this amount type",IF(AND(OR($S16="ITEM_PRICE_PLUS_DECLARED_DELIVERY",$S16="DELIVERY_CHARGE_ONLY"),$K16=""),"Declared delivery charge required",IF(AND(OR($S16="TOTAL_AMOUNT_INCLUDING_DELIVERY",$S16="EXACT_COLLECTION_AMOUNT"),$T16=""),"Stated total amount required",IF(AND($S16="TOTAL_AMOUNT_INCLUDING_DELIVERY",$T16&lt;SUM($J16,$U16)),"Stated total is below item price plus additional charge",IF($S16="EXACT_COLLECTION_AMOUNT","Authorized amount breakdown required before settlement","Ready for collection and settlement"))))))))))))</f>
        <v/>
      </c>
      <c r="AW16" s="23">
        <f>IF($AU16="","","PARCEL_FINANCIAL_V2")</f>
        <v/>
      </c>
      <c r="AX16" s="17" t="n"/>
    </row>
    <row r="17">
      <c r="A17" s="8" t="n"/>
      <c r="B17" s="8" t="n"/>
      <c r="C17" s="8" t="n"/>
      <c r="D17" s="8" t="n"/>
      <c r="E17" s="9" t="n"/>
      <c r="F17" s="9" t="n"/>
      <c r="G17" s="8" t="n"/>
      <c r="H17" s="9" t="n"/>
      <c r="I17" s="9" t="n"/>
      <c r="J17" s="10" t="n"/>
      <c r="K17" s="10" t="n"/>
      <c r="L17" s="11">
        <f>IF($S17="","",IF($S17="ITEM_PRICE_PLUS_DECLARED_DELIVERY",IF(OR($J17="",$K17=""),"",SUM($J17,$K17,$U17)),IF($S17="TOTAL_AMOUNT_INCLUDING_DELIVERY",IF($T17="","",$T17),IF($S17="DELIVERY_CHARGE_ONLY",IF($K17="","",SUM($K17,$U17)),IF($S17="EXACT_COLLECTION_AMOUNT",IF($T17="","",$T17),IF($S17="ITEM_PRICE_ONLY_DELIVERY_PAID_BY_MERCHANT",IF($J17="","",SUM($J17,$U17)),""))))))</f>
        <v/>
      </c>
      <c r="M17" s="12" t="n"/>
      <c r="N17" s="13" t="n"/>
      <c r="O17" s="13" t="n"/>
      <c r="P17" s="9" t="n"/>
      <c r="Q17" s="14" t="n"/>
      <c r="R17" s="15" t="n"/>
      <c r="S17" s="14" t="n"/>
      <c r="T17" s="16" t="n"/>
      <c r="U17" s="16" t="n"/>
      <c r="V17" s="16" t="n"/>
      <c r="W17" s="16" t="n"/>
      <c r="X17" s="16" t="n"/>
      <c r="Y17" s="16" t="n"/>
      <c r="Z17" s="14" t="n"/>
      <c r="AA17" s="14" t="n"/>
      <c r="AB17" s="14" t="n"/>
      <c r="AC17" s="17">
        <f>IFERROR(VLOOKUP($H17&amp;"|"&amp;$Q17,Tariff_Master!$A$2:$L$169,3,FALSE),"")</f>
        <v/>
      </c>
      <c r="AD17" s="17">
        <f>IFERROR(VLOOKUP($H17&amp;"|"&amp;$Q17,Tariff_Master!$A$2:$L$169,4,FALSE),"")</f>
        <v/>
      </c>
      <c r="AE17" s="18">
        <f>IFERROR(VLOOKUP($H17&amp;"|"&amp;$Q17,Tariff_Master!$A$2:$L$169,6,FALSE),"")</f>
        <v/>
      </c>
      <c r="AF17" s="19">
        <f>IFERROR(VLOOKUP($H17&amp;"|"&amp;$Q17,Tariff_Master!$A$2:$L$169,7,FALSE),"")</f>
        <v/>
      </c>
      <c r="AG17" s="18">
        <f>IFERROR(VLOOKUP($H17&amp;"|"&amp;$Q17,Tariff_Master!$A$2:$L$169,8,FALSE),"")</f>
        <v/>
      </c>
      <c r="AH17" s="20">
        <f>IFERROR(VLOOKUP($H17&amp;"|"&amp;$Q17,Tariff_Master!$A$2:$L$169,9,FALSE),"")</f>
        <v/>
      </c>
      <c r="AI17" s="18">
        <f>IFERROR(VLOOKUP($H17&amp;"|"&amp;$Q17,Tariff_Master!$A$2:$L$169,10,FALSE),"")</f>
        <v/>
      </c>
      <c r="AJ17" s="21">
        <f>IF($M17="","",ROUNDUP(MAX(0,$M17),0))</f>
        <v/>
      </c>
      <c r="AK17" s="21">
        <f>IF(OR($AJ17="",$AF17=""),"",MAX(0,$AJ17-$AF17))</f>
        <v/>
      </c>
      <c r="AL17" s="22">
        <f>IF(OR($AK17="",$AG17=""),"",MAX(0,$AK17*$AG17))</f>
        <v/>
      </c>
      <c r="AM17" s="22">
        <f>IF($AE17="","",MAX(0,SUM($AE17,$AL17,$V17,$W17)))</f>
        <v/>
      </c>
      <c r="AN17" s="22">
        <f>IF($AM17="","",IF(AND($Q17="COMMITMENT",$R17&gt;=$AH17),$AI17,0))</f>
        <v/>
      </c>
      <c r="AO17" s="23">
        <f>IF($AM17="","",MAX(0,$AM17-$AN17))</f>
        <v/>
      </c>
      <c r="AP17" s="22">
        <f>IF($S17="","",IF(OR($S17="ITEM_PRICE_PLUS_DECLARED_DELIVERY",$S17="DELIVERY_CHARGE_ONLY"),$K17,IF($S17="TOTAL_AMOUNT_INCLUDING_DELIVERY",IF(OR($T17="",$J17=""),"",MAX(0,$T17-$J17-$U17)),IF($S17="ITEM_PRICE_ONLY_DELIVERY_PAID_BY_MERCHANT",0,""))))</f>
        <v/>
      </c>
      <c r="AQ17" s="23">
        <f>IF(OR($AP17="",$AO17=""),"",$AP17-$AO17)</f>
        <v/>
      </c>
      <c r="AR17" s="24">
        <f>IF($S17="EXACT_COLLECTION_AMOUNT","BREAKDOWN_REQUIRED",IF($AQ17="","",IF($AQ17&gt;0,"CREDIT_TO_MERCHANT",IF($AQ17&lt;0,"DEDUCT_FROM_MERCHANT","NO_ADJUSTMENT"))))</f>
        <v/>
      </c>
      <c r="AS17" s="23">
        <f>IF(OR($AQ17="",$AR17="BREAKDOWN_REQUIRED"),"",$AQ17)</f>
        <v/>
      </c>
      <c r="AT17" s="23">
        <f>IF(OR($AR17="",$AR17="BREAKDOWN_REQUIRED"),"",SUM($J17,$AQ17,$Y17)-$X17)</f>
        <v/>
      </c>
      <c r="AU17" s="25">
        <f>IF(AND($A17="",$B17="",$F17="",$H17="",$J17="",$K17="",$M17="",$S17=""),"",IF(OR($H17="",$Q17="",$M17="",$S17=""),"ERROR",IF(OR($J17&lt;0,$K17&lt;0,$M17&lt;0,$T17&lt;0,$U17&lt;0,$V17&lt;0,$W17&lt;0,$X17&lt;0,$Y17&lt;0),"ERROR",IF($AE17="","ERROR",IF(AND(OR($S17="ITEM_PRICE_PLUS_DECLARED_DELIVERY",$S17="TOTAL_AMOUNT_INCLUDING_DELIVERY",$S17="ITEM_PRICE_ONLY_DELIVERY_PAID_BY_MERCHANT"),$J17=""),"ERROR",IF(AND(OR($S17="ITEM_PRICE_PLUS_DECLARED_DELIVERY",$S17="DELIVERY_CHARGE_ONLY"),$K17=""),"ERROR",IF(AND(OR($S17="TOTAL_AMOUNT_INCLUDING_DELIVERY",$S17="EXACT_COLLECTION_AMOUNT"),$T17=""),"ERROR",IF(AND($S17="TOTAL_AMOUNT_INCLUDING_DELIVERY",$T17&lt;SUM($J17,$U17)),"ERROR",IF($S17="EXACT_COLLECTION_AMOUNT","REVIEW","OK")))))))))</f>
        <v/>
      </c>
      <c r="AV17" s="25">
        <f>IF($AU17="","",IF($H17="","Township required",IF($Q17="","Customer tier required",IF($M17="","Weight required",IF($S17="","Amount entry type required",IF(OR($J17&lt;0,$K17&lt;0,$M17&lt;0,$T17&lt;0,$U17&lt;0,$V17&lt;0,$W17&lt;0,$X17&lt;0,$Y17&lt;0),"Negative amounts are not allowed",IF($AE17="","Tariff not found for township and tier",IF(AND(OR($S17="ITEM_PRICE_PLUS_DECLARED_DELIVERY",$S17="TOTAL_AMOUNT_INCLUDING_DELIVERY",$S17="ITEM_PRICE_ONLY_DELIVERY_PAID_BY_MERCHANT"),$J17=""),"Item price required for this amount type",IF(AND(OR($S17="ITEM_PRICE_PLUS_DECLARED_DELIVERY",$S17="DELIVERY_CHARGE_ONLY"),$K17=""),"Declared delivery charge required",IF(AND(OR($S17="TOTAL_AMOUNT_INCLUDING_DELIVERY",$S17="EXACT_COLLECTION_AMOUNT"),$T17=""),"Stated total amount required",IF(AND($S17="TOTAL_AMOUNT_INCLUDING_DELIVERY",$T17&lt;SUM($J17,$U17)),"Stated total is below item price plus additional charge",IF($S17="EXACT_COLLECTION_AMOUNT","Authorized amount breakdown required before settlement","Ready for collection and settlement"))))))))))))</f>
        <v/>
      </c>
      <c r="AW17" s="23">
        <f>IF($AU17="","","PARCEL_FINANCIAL_V2")</f>
        <v/>
      </c>
      <c r="AX17" s="17" t="n"/>
    </row>
    <row r="18">
      <c r="A18" s="8" t="n"/>
      <c r="B18" s="8" t="n"/>
      <c r="C18" s="8" t="n"/>
      <c r="D18" s="8" t="n"/>
      <c r="E18" s="9" t="n"/>
      <c r="F18" s="9" t="n"/>
      <c r="G18" s="8" t="n"/>
      <c r="H18" s="9" t="n"/>
      <c r="I18" s="9" t="n"/>
      <c r="J18" s="10" t="n"/>
      <c r="K18" s="10" t="n"/>
      <c r="L18" s="11">
        <f>IF($S18="","",IF($S18="ITEM_PRICE_PLUS_DECLARED_DELIVERY",IF(OR($J18="",$K18=""),"",SUM($J18,$K18,$U18)),IF($S18="TOTAL_AMOUNT_INCLUDING_DELIVERY",IF($T18="","",$T18),IF($S18="DELIVERY_CHARGE_ONLY",IF($K18="","",SUM($K18,$U18)),IF($S18="EXACT_COLLECTION_AMOUNT",IF($T18="","",$T18),IF($S18="ITEM_PRICE_ONLY_DELIVERY_PAID_BY_MERCHANT",IF($J18="","",SUM($J18,$U18)),""))))))</f>
        <v/>
      </c>
      <c r="M18" s="12" t="n"/>
      <c r="N18" s="13" t="n"/>
      <c r="O18" s="13" t="n"/>
      <c r="P18" s="9" t="n"/>
      <c r="Q18" s="14" t="n"/>
      <c r="R18" s="15" t="n"/>
      <c r="S18" s="14" t="n"/>
      <c r="T18" s="16" t="n"/>
      <c r="U18" s="16" t="n"/>
      <c r="V18" s="16" t="n"/>
      <c r="W18" s="16" t="n"/>
      <c r="X18" s="16" t="n"/>
      <c r="Y18" s="16" t="n"/>
      <c r="Z18" s="14" t="n"/>
      <c r="AA18" s="14" t="n"/>
      <c r="AB18" s="14" t="n"/>
      <c r="AC18" s="17">
        <f>IFERROR(VLOOKUP($H18&amp;"|"&amp;$Q18,Tariff_Master!$A$2:$L$169,3,FALSE),"")</f>
        <v/>
      </c>
      <c r="AD18" s="17">
        <f>IFERROR(VLOOKUP($H18&amp;"|"&amp;$Q18,Tariff_Master!$A$2:$L$169,4,FALSE),"")</f>
        <v/>
      </c>
      <c r="AE18" s="18">
        <f>IFERROR(VLOOKUP($H18&amp;"|"&amp;$Q18,Tariff_Master!$A$2:$L$169,6,FALSE),"")</f>
        <v/>
      </c>
      <c r="AF18" s="19">
        <f>IFERROR(VLOOKUP($H18&amp;"|"&amp;$Q18,Tariff_Master!$A$2:$L$169,7,FALSE),"")</f>
        <v/>
      </c>
      <c r="AG18" s="18">
        <f>IFERROR(VLOOKUP($H18&amp;"|"&amp;$Q18,Tariff_Master!$A$2:$L$169,8,FALSE),"")</f>
        <v/>
      </c>
      <c r="AH18" s="20">
        <f>IFERROR(VLOOKUP($H18&amp;"|"&amp;$Q18,Tariff_Master!$A$2:$L$169,9,FALSE),"")</f>
        <v/>
      </c>
      <c r="AI18" s="18">
        <f>IFERROR(VLOOKUP($H18&amp;"|"&amp;$Q18,Tariff_Master!$A$2:$L$169,10,FALSE),"")</f>
        <v/>
      </c>
      <c r="AJ18" s="21">
        <f>IF($M18="","",ROUNDUP(MAX(0,$M18),0))</f>
        <v/>
      </c>
      <c r="AK18" s="21">
        <f>IF(OR($AJ18="",$AF18=""),"",MAX(0,$AJ18-$AF18))</f>
        <v/>
      </c>
      <c r="AL18" s="22">
        <f>IF(OR($AK18="",$AG18=""),"",MAX(0,$AK18*$AG18))</f>
        <v/>
      </c>
      <c r="AM18" s="22">
        <f>IF($AE18="","",MAX(0,SUM($AE18,$AL18,$V18,$W18)))</f>
        <v/>
      </c>
      <c r="AN18" s="22">
        <f>IF($AM18="","",IF(AND($Q18="COMMITMENT",$R18&gt;=$AH18),$AI18,0))</f>
        <v/>
      </c>
      <c r="AO18" s="23">
        <f>IF($AM18="","",MAX(0,$AM18-$AN18))</f>
        <v/>
      </c>
      <c r="AP18" s="22">
        <f>IF($S18="","",IF(OR($S18="ITEM_PRICE_PLUS_DECLARED_DELIVERY",$S18="DELIVERY_CHARGE_ONLY"),$K18,IF($S18="TOTAL_AMOUNT_INCLUDING_DELIVERY",IF(OR($T18="",$J18=""),"",MAX(0,$T18-$J18-$U18)),IF($S18="ITEM_PRICE_ONLY_DELIVERY_PAID_BY_MERCHANT",0,""))))</f>
        <v/>
      </c>
      <c r="AQ18" s="23">
        <f>IF(OR($AP18="",$AO18=""),"",$AP18-$AO18)</f>
        <v/>
      </c>
      <c r="AR18" s="24">
        <f>IF($S18="EXACT_COLLECTION_AMOUNT","BREAKDOWN_REQUIRED",IF($AQ18="","",IF($AQ18&gt;0,"CREDIT_TO_MERCHANT",IF($AQ18&lt;0,"DEDUCT_FROM_MERCHANT","NO_ADJUSTMENT"))))</f>
        <v/>
      </c>
      <c r="AS18" s="23">
        <f>IF(OR($AQ18="",$AR18="BREAKDOWN_REQUIRED"),"",$AQ18)</f>
        <v/>
      </c>
      <c r="AT18" s="23">
        <f>IF(OR($AR18="",$AR18="BREAKDOWN_REQUIRED"),"",SUM($J18,$AQ18,$Y18)-$X18)</f>
        <v/>
      </c>
      <c r="AU18" s="25">
        <f>IF(AND($A18="",$B18="",$F18="",$H18="",$J18="",$K18="",$M18="",$S18=""),"",IF(OR($H18="",$Q18="",$M18="",$S18=""),"ERROR",IF(OR($J18&lt;0,$K18&lt;0,$M18&lt;0,$T18&lt;0,$U18&lt;0,$V18&lt;0,$W18&lt;0,$X18&lt;0,$Y18&lt;0),"ERROR",IF($AE18="","ERROR",IF(AND(OR($S18="ITEM_PRICE_PLUS_DECLARED_DELIVERY",$S18="TOTAL_AMOUNT_INCLUDING_DELIVERY",$S18="ITEM_PRICE_ONLY_DELIVERY_PAID_BY_MERCHANT"),$J18=""),"ERROR",IF(AND(OR($S18="ITEM_PRICE_PLUS_DECLARED_DELIVERY",$S18="DELIVERY_CHARGE_ONLY"),$K18=""),"ERROR",IF(AND(OR($S18="TOTAL_AMOUNT_INCLUDING_DELIVERY",$S18="EXACT_COLLECTION_AMOUNT"),$T18=""),"ERROR",IF(AND($S18="TOTAL_AMOUNT_INCLUDING_DELIVERY",$T18&lt;SUM($J18,$U18)),"ERROR",IF($S18="EXACT_COLLECTION_AMOUNT","REVIEW","OK")))))))))</f>
        <v/>
      </c>
      <c r="AV18" s="25">
        <f>IF($AU18="","",IF($H18="","Township required",IF($Q18="","Customer tier required",IF($M18="","Weight required",IF($S18="","Amount entry type required",IF(OR($J18&lt;0,$K18&lt;0,$M18&lt;0,$T18&lt;0,$U18&lt;0,$V18&lt;0,$W18&lt;0,$X18&lt;0,$Y18&lt;0),"Negative amounts are not allowed",IF($AE18="","Tariff not found for township and tier",IF(AND(OR($S18="ITEM_PRICE_PLUS_DECLARED_DELIVERY",$S18="TOTAL_AMOUNT_INCLUDING_DELIVERY",$S18="ITEM_PRICE_ONLY_DELIVERY_PAID_BY_MERCHANT"),$J18=""),"Item price required for this amount type",IF(AND(OR($S18="ITEM_PRICE_PLUS_DECLARED_DELIVERY",$S18="DELIVERY_CHARGE_ONLY"),$K18=""),"Declared delivery charge required",IF(AND(OR($S18="TOTAL_AMOUNT_INCLUDING_DELIVERY",$S18="EXACT_COLLECTION_AMOUNT"),$T18=""),"Stated total amount required",IF(AND($S18="TOTAL_AMOUNT_INCLUDING_DELIVERY",$T18&lt;SUM($J18,$U18)),"Stated total is below item price plus additional charge",IF($S18="EXACT_COLLECTION_AMOUNT","Authorized amount breakdown required before settlement","Ready for collection and settlement"))))))))))))</f>
        <v/>
      </c>
      <c r="AW18" s="23">
        <f>IF($AU18="","","PARCEL_FINANCIAL_V2")</f>
        <v/>
      </c>
      <c r="AX18" s="17" t="n"/>
    </row>
    <row r="19">
      <c r="A19" s="8" t="n"/>
      <c r="B19" s="8" t="n"/>
      <c r="C19" s="8" t="n"/>
      <c r="D19" s="8" t="n"/>
      <c r="E19" s="9" t="n"/>
      <c r="F19" s="9" t="n"/>
      <c r="G19" s="8" t="n"/>
      <c r="H19" s="9" t="n"/>
      <c r="I19" s="9" t="n"/>
      <c r="J19" s="10" t="n"/>
      <c r="K19" s="10" t="n"/>
      <c r="L19" s="11">
        <f>IF($S19="","",IF($S19="ITEM_PRICE_PLUS_DECLARED_DELIVERY",IF(OR($J19="",$K19=""),"",SUM($J19,$K19,$U19)),IF($S19="TOTAL_AMOUNT_INCLUDING_DELIVERY",IF($T19="","",$T19),IF($S19="DELIVERY_CHARGE_ONLY",IF($K19="","",SUM($K19,$U19)),IF($S19="EXACT_COLLECTION_AMOUNT",IF($T19="","",$T19),IF($S19="ITEM_PRICE_ONLY_DELIVERY_PAID_BY_MERCHANT",IF($J19="","",SUM($J19,$U19)),""))))))</f>
        <v/>
      </c>
      <c r="M19" s="12" t="n"/>
      <c r="N19" s="13" t="n"/>
      <c r="O19" s="13" t="n"/>
      <c r="P19" s="9" t="n"/>
      <c r="Q19" s="14" t="n"/>
      <c r="R19" s="15" t="n"/>
      <c r="S19" s="14" t="n"/>
      <c r="T19" s="16" t="n"/>
      <c r="U19" s="16" t="n"/>
      <c r="V19" s="16" t="n"/>
      <c r="W19" s="16" t="n"/>
      <c r="X19" s="16" t="n"/>
      <c r="Y19" s="16" t="n"/>
      <c r="Z19" s="14" t="n"/>
      <c r="AA19" s="14" t="n"/>
      <c r="AB19" s="14" t="n"/>
      <c r="AC19" s="17">
        <f>IFERROR(VLOOKUP($H19&amp;"|"&amp;$Q19,Tariff_Master!$A$2:$L$169,3,FALSE),"")</f>
        <v/>
      </c>
      <c r="AD19" s="17">
        <f>IFERROR(VLOOKUP($H19&amp;"|"&amp;$Q19,Tariff_Master!$A$2:$L$169,4,FALSE),"")</f>
        <v/>
      </c>
      <c r="AE19" s="18">
        <f>IFERROR(VLOOKUP($H19&amp;"|"&amp;$Q19,Tariff_Master!$A$2:$L$169,6,FALSE),"")</f>
        <v/>
      </c>
      <c r="AF19" s="19">
        <f>IFERROR(VLOOKUP($H19&amp;"|"&amp;$Q19,Tariff_Master!$A$2:$L$169,7,FALSE),"")</f>
        <v/>
      </c>
      <c r="AG19" s="18">
        <f>IFERROR(VLOOKUP($H19&amp;"|"&amp;$Q19,Tariff_Master!$A$2:$L$169,8,FALSE),"")</f>
        <v/>
      </c>
      <c r="AH19" s="20">
        <f>IFERROR(VLOOKUP($H19&amp;"|"&amp;$Q19,Tariff_Master!$A$2:$L$169,9,FALSE),"")</f>
        <v/>
      </c>
      <c r="AI19" s="18">
        <f>IFERROR(VLOOKUP($H19&amp;"|"&amp;$Q19,Tariff_Master!$A$2:$L$169,10,FALSE),"")</f>
        <v/>
      </c>
      <c r="AJ19" s="21">
        <f>IF($M19="","",ROUNDUP(MAX(0,$M19),0))</f>
        <v/>
      </c>
      <c r="AK19" s="21">
        <f>IF(OR($AJ19="",$AF19=""),"",MAX(0,$AJ19-$AF19))</f>
        <v/>
      </c>
      <c r="AL19" s="22">
        <f>IF(OR($AK19="",$AG19=""),"",MAX(0,$AK19*$AG19))</f>
        <v/>
      </c>
      <c r="AM19" s="22">
        <f>IF($AE19="","",MAX(0,SUM($AE19,$AL19,$V19,$W19)))</f>
        <v/>
      </c>
      <c r="AN19" s="22">
        <f>IF($AM19="","",IF(AND($Q19="COMMITMENT",$R19&gt;=$AH19),$AI19,0))</f>
        <v/>
      </c>
      <c r="AO19" s="23">
        <f>IF($AM19="","",MAX(0,$AM19-$AN19))</f>
        <v/>
      </c>
      <c r="AP19" s="22">
        <f>IF($S19="","",IF(OR($S19="ITEM_PRICE_PLUS_DECLARED_DELIVERY",$S19="DELIVERY_CHARGE_ONLY"),$K19,IF($S19="TOTAL_AMOUNT_INCLUDING_DELIVERY",IF(OR($T19="",$J19=""),"",MAX(0,$T19-$J19-$U19)),IF($S19="ITEM_PRICE_ONLY_DELIVERY_PAID_BY_MERCHANT",0,""))))</f>
        <v/>
      </c>
      <c r="AQ19" s="23">
        <f>IF(OR($AP19="",$AO19=""),"",$AP19-$AO19)</f>
        <v/>
      </c>
      <c r="AR19" s="24">
        <f>IF($S19="EXACT_COLLECTION_AMOUNT","BREAKDOWN_REQUIRED",IF($AQ19="","",IF($AQ19&gt;0,"CREDIT_TO_MERCHANT",IF($AQ19&lt;0,"DEDUCT_FROM_MERCHANT","NO_ADJUSTMENT"))))</f>
        <v/>
      </c>
      <c r="AS19" s="23">
        <f>IF(OR($AQ19="",$AR19="BREAKDOWN_REQUIRED"),"",$AQ19)</f>
        <v/>
      </c>
      <c r="AT19" s="23">
        <f>IF(OR($AR19="",$AR19="BREAKDOWN_REQUIRED"),"",SUM($J19,$AQ19,$Y19)-$X19)</f>
        <v/>
      </c>
      <c r="AU19" s="25">
        <f>IF(AND($A19="",$B19="",$F19="",$H19="",$J19="",$K19="",$M19="",$S19=""),"",IF(OR($H19="",$Q19="",$M19="",$S19=""),"ERROR",IF(OR($J19&lt;0,$K19&lt;0,$M19&lt;0,$T19&lt;0,$U19&lt;0,$V19&lt;0,$W19&lt;0,$X19&lt;0,$Y19&lt;0),"ERROR",IF($AE19="","ERROR",IF(AND(OR($S19="ITEM_PRICE_PLUS_DECLARED_DELIVERY",$S19="TOTAL_AMOUNT_INCLUDING_DELIVERY",$S19="ITEM_PRICE_ONLY_DELIVERY_PAID_BY_MERCHANT"),$J19=""),"ERROR",IF(AND(OR($S19="ITEM_PRICE_PLUS_DECLARED_DELIVERY",$S19="DELIVERY_CHARGE_ONLY"),$K19=""),"ERROR",IF(AND(OR($S19="TOTAL_AMOUNT_INCLUDING_DELIVERY",$S19="EXACT_COLLECTION_AMOUNT"),$T19=""),"ERROR",IF(AND($S19="TOTAL_AMOUNT_INCLUDING_DELIVERY",$T19&lt;SUM($J19,$U19)),"ERROR",IF($S19="EXACT_COLLECTION_AMOUNT","REVIEW","OK")))))))))</f>
        <v/>
      </c>
      <c r="AV19" s="25">
        <f>IF($AU19="","",IF($H19="","Township required",IF($Q19="","Customer tier required",IF($M19="","Weight required",IF($S19="","Amount entry type required",IF(OR($J19&lt;0,$K19&lt;0,$M19&lt;0,$T19&lt;0,$U19&lt;0,$V19&lt;0,$W19&lt;0,$X19&lt;0,$Y19&lt;0),"Negative amounts are not allowed",IF($AE19="","Tariff not found for township and tier",IF(AND(OR($S19="ITEM_PRICE_PLUS_DECLARED_DELIVERY",$S19="TOTAL_AMOUNT_INCLUDING_DELIVERY",$S19="ITEM_PRICE_ONLY_DELIVERY_PAID_BY_MERCHANT"),$J19=""),"Item price required for this amount type",IF(AND(OR($S19="ITEM_PRICE_PLUS_DECLARED_DELIVERY",$S19="DELIVERY_CHARGE_ONLY"),$K19=""),"Declared delivery charge required",IF(AND(OR($S19="TOTAL_AMOUNT_INCLUDING_DELIVERY",$S19="EXACT_COLLECTION_AMOUNT"),$T19=""),"Stated total amount required",IF(AND($S19="TOTAL_AMOUNT_INCLUDING_DELIVERY",$T19&lt;SUM($J19,$U19)),"Stated total is below item price plus additional charge",IF($S19="EXACT_COLLECTION_AMOUNT","Authorized amount breakdown required before settlement","Ready for collection and settlement"))))))))))))</f>
        <v/>
      </c>
      <c r="AW19" s="23">
        <f>IF($AU19="","","PARCEL_FINANCIAL_V2")</f>
        <v/>
      </c>
      <c r="AX19" s="17" t="n"/>
    </row>
    <row r="20">
      <c r="A20" s="8" t="n"/>
      <c r="B20" s="8" t="n"/>
      <c r="C20" s="8" t="n"/>
      <c r="D20" s="8" t="n"/>
      <c r="E20" s="9" t="n"/>
      <c r="F20" s="9" t="n"/>
      <c r="G20" s="8" t="n"/>
      <c r="H20" s="9" t="n"/>
      <c r="I20" s="9" t="n"/>
      <c r="J20" s="10" t="n"/>
      <c r="K20" s="10" t="n"/>
      <c r="L20" s="11">
        <f>IF($S20="","",IF($S20="ITEM_PRICE_PLUS_DECLARED_DELIVERY",IF(OR($J20="",$K20=""),"",SUM($J20,$K20,$U20)),IF($S20="TOTAL_AMOUNT_INCLUDING_DELIVERY",IF($T20="","",$T20),IF($S20="DELIVERY_CHARGE_ONLY",IF($K20="","",SUM($K20,$U20)),IF($S20="EXACT_COLLECTION_AMOUNT",IF($T20="","",$T20),IF($S20="ITEM_PRICE_ONLY_DELIVERY_PAID_BY_MERCHANT",IF($J20="","",SUM($J20,$U20)),""))))))</f>
        <v/>
      </c>
      <c r="M20" s="12" t="n"/>
      <c r="N20" s="13" t="n"/>
      <c r="O20" s="13" t="n"/>
      <c r="P20" s="9" t="n"/>
      <c r="Q20" s="14" t="n"/>
      <c r="R20" s="15" t="n"/>
      <c r="S20" s="14" t="n"/>
      <c r="T20" s="16" t="n"/>
      <c r="U20" s="16" t="n"/>
      <c r="V20" s="16" t="n"/>
      <c r="W20" s="16" t="n"/>
      <c r="X20" s="16" t="n"/>
      <c r="Y20" s="16" t="n"/>
      <c r="Z20" s="14" t="n"/>
      <c r="AA20" s="14" t="n"/>
      <c r="AB20" s="14" t="n"/>
      <c r="AC20" s="17">
        <f>IFERROR(VLOOKUP($H20&amp;"|"&amp;$Q20,Tariff_Master!$A$2:$L$169,3,FALSE),"")</f>
        <v/>
      </c>
      <c r="AD20" s="17">
        <f>IFERROR(VLOOKUP($H20&amp;"|"&amp;$Q20,Tariff_Master!$A$2:$L$169,4,FALSE),"")</f>
        <v/>
      </c>
      <c r="AE20" s="18">
        <f>IFERROR(VLOOKUP($H20&amp;"|"&amp;$Q20,Tariff_Master!$A$2:$L$169,6,FALSE),"")</f>
        <v/>
      </c>
      <c r="AF20" s="19">
        <f>IFERROR(VLOOKUP($H20&amp;"|"&amp;$Q20,Tariff_Master!$A$2:$L$169,7,FALSE),"")</f>
        <v/>
      </c>
      <c r="AG20" s="18">
        <f>IFERROR(VLOOKUP($H20&amp;"|"&amp;$Q20,Tariff_Master!$A$2:$L$169,8,FALSE),"")</f>
        <v/>
      </c>
      <c r="AH20" s="20">
        <f>IFERROR(VLOOKUP($H20&amp;"|"&amp;$Q20,Tariff_Master!$A$2:$L$169,9,FALSE),"")</f>
        <v/>
      </c>
      <c r="AI20" s="18">
        <f>IFERROR(VLOOKUP($H20&amp;"|"&amp;$Q20,Tariff_Master!$A$2:$L$169,10,FALSE),"")</f>
        <v/>
      </c>
      <c r="AJ20" s="21">
        <f>IF($M20="","",ROUNDUP(MAX(0,$M20),0))</f>
        <v/>
      </c>
      <c r="AK20" s="21">
        <f>IF(OR($AJ20="",$AF20=""),"",MAX(0,$AJ20-$AF20))</f>
        <v/>
      </c>
      <c r="AL20" s="22">
        <f>IF(OR($AK20="",$AG20=""),"",MAX(0,$AK20*$AG20))</f>
        <v/>
      </c>
      <c r="AM20" s="22">
        <f>IF($AE20="","",MAX(0,SUM($AE20,$AL20,$V20,$W20)))</f>
        <v/>
      </c>
      <c r="AN20" s="22">
        <f>IF($AM20="","",IF(AND($Q20="COMMITMENT",$R20&gt;=$AH20),$AI20,0))</f>
        <v/>
      </c>
      <c r="AO20" s="23">
        <f>IF($AM20="","",MAX(0,$AM20-$AN20))</f>
        <v/>
      </c>
      <c r="AP20" s="22">
        <f>IF($S20="","",IF(OR($S20="ITEM_PRICE_PLUS_DECLARED_DELIVERY",$S20="DELIVERY_CHARGE_ONLY"),$K20,IF($S20="TOTAL_AMOUNT_INCLUDING_DELIVERY",IF(OR($T20="",$J20=""),"",MAX(0,$T20-$J20-$U20)),IF($S20="ITEM_PRICE_ONLY_DELIVERY_PAID_BY_MERCHANT",0,""))))</f>
        <v/>
      </c>
      <c r="AQ20" s="23">
        <f>IF(OR($AP20="",$AO20=""),"",$AP20-$AO20)</f>
        <v/>
      </c>
      <c r="AR20" s="24">
        <f>IF($S20="EXACT_COLLECTION_AMOUNT","BREAKDOWN_REQUIRED",IF($AQ20="","",IF($AQ20&gt;0,"CREDIT_TO_MERCHANT",IF($AQ20&lt;0,"DEDUCT_FROM_MERCHANT","NO_ADJUSTMENT"))))</f>
        <v/>
      </c>
      <c r="AS20" s="23">
        <f>IF(OR($AQ20="",$AR20="BREAKDOWN_REQUIRED"),"",$AQ20)</f>
        <v/>
      </c>
      <c r="AT20" s="23">
        <f>IF(OR($AR20="",$AR20="BREAKDOWN_REQUIRED"),"",SUM($J20,$AQ20,$Y20)-$X20)</f>
        <v/>
      </c>
      <c r="AU20" s="25">
        <f>IF(AND($A20="",$B20="",$F20="",$H20="",$J20="",$K20="",$M20="",$S20=""),"",IF(OR($H20="",$Q20="",$M20="",$S20=""),"ERROR",IF(OR($J20&lt;0,$K20&lt;0,$M20&lt;0,$T20&lt;0,$U20&lt;0,$V20&lt;0,$W20&lt;0,$X20&lt;0,$Y20&lt;0),"ERROR",IF($AE20="","ERROR",IF(AND(OR($S20="ITEM_PRICE_PLUS_DECLARED_DELIVERY",$S20="TOTAL_AMOUNT_INCLUDING_DELIVERY",$S20="ITEM_PRICE_ONLY_DELIVERY_PAID_BY_MERCHANT"),$J20=""),"ERROR",IF(AND(OR($S20="ITEM_PRICE_PLUS_DECLARED_DELIVERY",$S20="DELIVERY_CHARGE_ONLY"),$K20=""),"ERROR",IF(AND(OR($S20="TOTAL_AMOUNT_INCLUDING_DELIVERY",$S20="EXACT_COLLECTION_AMOUNT"),$T20=""),"ERROR",IF(AND($S20="TOTAL_AMOUNT_INCLUDING_DELIVERY",$T20&lt;SUM($J20,$U20)),"ERROR",IF($S20="EXACT_COLLECTION_AMOUNT","REVIEW","OK")))))))))</f>
        <v/>
      </c>
      <c r="AV20" s="25">
        <f>IF($AU20="","",IF($H20="","Township required",IF($Q20="","Customer tier required",IF($M20="","Weight required",IF($S20="","Amount entry type required",IF(OR($J20&lt;0,$K20&lt;0,$M20&lt;0,$T20&lt;0,$U20&lt;0,$V20&lt;0,$W20&lt;0,$X20&lt;0,$Y20&lt;0),"Negative amounts are not allowed",IF($AE20="","Tariff not found for township and tier",IF(AND(OR($S20="ITEM_PRICE_PLUS_DECLARED_DELIVERY",$S20="TOTAL_AMOUNT_INCLUDING_DELIVERY",$S20="ITEM_PRICE_ONLY_DELIVERY_PAID_BY_MERCHANT"),$J20=""),"Item price required for this amount type",IF(AND(OR($S20="ITEM_PRICE_PLUS_DECLARED_DELIVERY",$S20="DELIVERY_CHARGE_ONLY"),$K20=""),"Declared delivery charge required",IF(AND(OR($S20="TOTAL_AMOUNT_INCLUDING_DELIVERY",$S20="EXACT_COLLECTION_AMOUNT"),$T20=""),"Stated total amount required",IF(AND($S20="TOTAL_AMOUNT_INCLUDING_DELIVERY",$T20&lt;SUM($J20,$U20)),"Stated total is below item price plus additional charge",IF($S20="EXACT_COLLECTION_AMOUNT","Authorized amount breakdown required before settlement","Ready for collection and settlement"))))))))))))</f>
        <v/>
      </c>
      <c r="AW20" s="23">
        <f>IF($AU20="","","PARCEL_FINANCIAL_V2")</f>
        <v/>
      </c>
      <c r="AX20" s="17" t="n"/>
    </row>
    <row r="21">
      <c r="A21" s="8" t="n"/>
      <c r="B21" s="8" t="n"/>
      <c r="C21" s="8" t="n"/>
      <c r="D21" s="8" t="n"/>
      <c r="E21" s="9" t="n"/>
      <c r="F21" s="9" t="n"/>
      <c r="G21" s="8" t="n"/>
      <c r="H21" s="9" t="n"/>
      <c r="I21" s="9" t="n"/>
      <c r="J21" s="10" t="n"/>
      <c r="K21" s="10" t="n"/>
      <c r="L21" s="11">
        <f>IF($S21="","",IF($S21="ITEM_PRICE_PLUS_DECLARED_DELIVERY",IF(OR($J21="",$K21=""),"",SUM($J21,$K21,$U21)),IF($S21="TOTAL_AMOUNT_INCLUDING_DELIVERY",IF($T21="","",$T21),IF($S21="DELIVERY_CHARGE_ONLY",IF($K21="","",SUM($K21,$U21)),IF($S21="EXACT_COLLECTION_AMOUNT",IF($T21="","",$T21),IF($S21="ITEM_PRICE_ONLY_DELIVERY_PAID_BY_MERCHANT",IF($J21="","",SUM($J21,$U21)),""))))))</f>
        <v/>
      </c>
      <c r="M21" s="12" t="n"/>
      <c r="N21" s="13" t="n"/>
      <c r="O21" s="13" t="n"/>
      <c r="P21" s="9" t="n"/>
      <c r="Q21" s="14" t="n"/>
      <c r="R21" s="15" t="n"/>
      <c r="S21" s="14" t="n"/>
      <c r="T21" s="16" t="n"/>
      <c r="U21" s="16" t="n"/>
      <c r="V21" s="16" t="n"/>
      <c r="W21" s="16" t="n"/>
      <c r="X21" s="16" t="n"/>
      <c r="Y21" s="16" t="n"/>
      <c r="Z21" s="14" t="n"/>
      <c r="AA21" s="14" t="n"/>
      <c r="AB21" s="14" t="n"/>
      <c r="AC21" s="17">
        <f>IFERROR(VLOOKUP($H21&amp;"|"&amp;$Q21,Tariff_Master!$A$2:$L$169,3,FALSE),"")</f>
        <v/>
      </c>
      <c r="AD21" s="17">
        <f>IFERROR(VLOOKUP($H21&amp;"|"&amp;$Q21,Tariff_Master!$A$2:$L$169,4,FALSE),"")</f>
        <v/>
      </c>
      <c r="AE21" s="18">
        <f>IFERROR(VLOOKUP($H21&amp;"|"&amp;$Q21,Tariff_Master!$A$2:$L$169,6,FALSE),"")</f>
        <v/>
      </c>
      <c r="AF21" s="19">
        <f>IFERROR(VLOOKUP($H21&amp;"|"&amp;$Q21,Tariff_Master!$A$2:$L$169,7,FALSE),"")</f>
        <v/>
      </c>
      <c r="AG21" s="18">
        <f>IFERROR(VLOOKUP($H21&amp;"|"&amp;$Q21,Tariff_Master!$A$2:$L$169,8,FALSE),"")</f>
        <v/>
      </c>
      <c r="AH21" s="20">
        <f>IFERROR(VLOOKUP($H21&amp;"|"&amp;$Q21,Tariff_Master!$A$2:$L$169,9,FALSE),"")</f>
        <v/>
      </c>
      <c r="AI21" s="18">
        <f>IFERROR(VLOOKUP($H21&amp;"|"&amp;$Q21,Tariff_Master!$A$2:$L$169,10,FALSE),"")</f>
        <v/>
      </c>
      <c r="AJ21" s="21">
        <f>IF($M21="","",ROUNDUP(MAX(0,$M21),0))</f>
        <v/>
      </c>
      <c r="AK21" s="21">
        <f>IF(OR($AJ21="",$AF21=""),"",MAX(0,$AJ21-$AF21))</f>
        <v/>
      </c>
      <c r="AL21" s="22">
        <f>IF(OR($AK21="",$AG21=""),"",MAX(0,$AK21*$AG21))</f>
        <v/>
      </c>
      <c r="AM21" s="22">
        <f>IF($AE21="","",MAX(0,SUM($AE21,$AL21,$V21,$W21)))</f>
        <v/>
      </c>
      <c r="AN21" s="22">
        <f>IF($AM21="","",IF(AND($Q21="COMMITMENT",$R21&gt;=$AH21),$AI21,0))</f>
        <v/>
      </c>
      <c r="AO21" s="23">
        <f>IF($AM21="","",MAX(0,$AM21-$AN21))</f>
        <v/>
      </c>
      <c r="AP21" s="22">
        <f>IF($S21="","",IF(OR($S21="ITEM_PRICE_PLUS_DECLARED_DELIVERY",$S21="DELIVERY_CHARGE_ONLY"),$K21,IF($S21="TOTAL_AMOUNT_INCLUDING_DELIVERY",IF(OR($T21="",$J21=""),"",MAX(0,$T21-$J21-$U21)),IF($S21="ITEM_PRICE_ONLY_DELIVERY_PAID_BY_MERCHANT",0,""))))</f>
        <v/>
      </c>
      <c r="AQ21" s="23">
        <f>IF(OR($AP21="",$AO21=""),"",$AP21-$AO21)</f>
        <v/>
      </c>
      <c r="AR21" s="24">
        <f>IF($S21="EXACT_COLLECTION_AMOUNT","BREAKDOWN_REQUIRED",IF($AQ21="","",IF($AQ21&gt;0,"CREDIT_TO_MERCHANT",IF($AQ21&lt;0,"DEDUCT_FROM_MERCHANT","NO_ADJUSTMENT"))))</f>
        <v/>
      </c>
      <c r="AS21" s="23">
        <f>IF(OR($AQ21="",$AR21="BREAKDOWN_REQUIRED"),"",$AQ21)</f>
        <v/>
      </c>
      <c r="AT21" s="23">
        <f>IF(OR($AR21="",$AR21="BREAKDOWN_REQUIRED"),"",SUM($J21,$AQ21,$Y21)-$X21)</f>
        <v/>
      </c>
      <c r="AU21" s="25">
        <f>IF(AND($A21="",$B21="",$F21="",$H21="",$J21="",$K21="",$M21="",$S21=""),"",IF(OR($H21="",$Q21="",$M21="",$S21=""),"ERROR",IF(OR($J21&lt;0,$K21&lt;0,$M21&lt;0,$T21&lt;0,$U21&lt;0,$V21&lt;0,$W21&lt;0,$X21&lt;0,$Y21&lt;0),"ERROR",IF($AE21="","ERROR",IF(AND(OR($S21="ITEM_PRICE_PLUS_DECLARED_DELIVERY",$S21="TOTAL_AMOUNT_INCLUDING_DELIVERY",$S21="ITEM_PRICE_ONLY_DELIVERY_PAID_BY_MERCHANT"),$J21=""),"ERROR",IF(AND(OR($S21="ITEM_PRICE_PLUS_DECLARED_DELIVERY",$S21="DELIVERY_CHARGE_ONLY"),$K21=""),"ERROR",IF(AND(OR($S21="TOTAL_AMOUNT_INCLUDING_DELIVERY",$S21="EXACT_COLLECTION_AMOUNT"),$T21=""),"ERROR",IF(AND($S21="TOTAL_AMOUNT_INCLUDING_DELIVERY",$T21&lt;SUM($J21,$U21)),"ERROR",IF($S21="EXACT_COLLECTION_AMOUNT","REVIEW","OK")))))))))</f>
        <v/>
      </c>
      <c r="AV21" s="25">
        <f>IF($AU21="","",IF($H21="","Township required",IF($Q21="","Customer tier required",IF($M21="","Weight required",IF($S21="","Amount entry type required",IF(OR($J21&lt;0,$K21&lt;0,$M21&lt;0,$T21&lt;0,$U21&lt;0,$V21&lt;0,$W21&lt;0,$X21&lt;0,$Y21&lt;0),"Negative amounts are not allowed",IF($AE21="","Tariff not found for township and tier",IF(AND(OR($S21="ITEM_PRICE_PLUS_DECLARED_DELIVERY",$S21="TOTAL_AMOUNT_INCLUDING_DELIVERY",$S21="ITEM_PRICE_ONLY_DELIVERY_PAID_BY_MERCHANT"),$J21=""),"Item price required for this amount type",IF(AND(OR($S21="ITEM_PRICE_PLUS_DECLARED_DELIVERY",$S21="DELIVERY_CHARGE_ONLY"),$K21=""),"Declared delivery charge required",IF(AND(OR($S21="TOTAL_AMOUNT_INCLUDING_DELIVERY",$S21="EXACT_COLLECTION_AMOUNT"),$T21=""),"Stated total amount required",IF(AND($S21="TOTAL_AMOUNT_INCLUDING_DELIVERY",$T21&lt;SUM($J21,$U21)),"Stated total is below item price plus additional charge",IF($S21="EXACT_COLLECTION_AMOUNT","Authorized amount breakdown required before settlement","Ready for collection and settlement"))))))))))))</f>
        <v/>
      </c>
      <c r="AW21" s="23">
        <f>IF($AU21="","","PARCEL_FINANCIAL_V2")</f>
        <v/>
      </c>
      <c r="AX21" s="17" t="n"/>
    </row>
    <row r="22">
      <c r="A22" s="8" t="n"/>
      <c r="B22" s="8" t="n"/>
      <c r="C22" s="8" t="n"/>
      <c r="D22" s="8" t="n"/>
      <c r="E22" s="9" t="n"/>
      <c r="F22" s="9" t="n"/>
      <c r="G22" s="8" t="n"/>
      <c r="H22" s="9" t="n"/>
      <c r="I22" s="9" t="n"/>
      <c r="J22" s="10" t="n"/>
      <c r="K22" s="10" t="n"/>
      <c r="L22" s="11">
        <f>IF($S22="","",IF($S22="ITEM_PRICE_PLUS_DECLARED_DELIVERY",IF(OR($J22="",$K22=""),"",SUM($J22,$K22,$U22)),IF($S22="TOTAL_AMOUNT_INCLUDING_DELIVERY",IF($T22="","",$T22),IF($S22="DELIVERY_CHARGE_ONLY",IF($K22="","",SUM($K22,$U22)),IF($S22="EXACT_COLLECTION_AMOUNT",IF($T22="","",$T22),IF($S22="ITEM_PRICE_ONLY_DELIVERY_PAID_BY_MERCHANT",IF($J22="","",SUM($J22,$U22)),""))))))</f>
        <v/>
      </c>
      <c r="M22" s="12" t="n"/>
      <c r="N22" s="13" t="n"/>
      <c r="O22" s="13" t="n"/>
      <c r="P22" s="9" t="n"/>
      <c r="Q22" s="14" t="n"/>
      <c r="R22" s="15" t="n"/>
      <c r="S22" s="14" t="n"/>
      <c r="T22" s="16" t="n"/>
      <c r="U22" s="16" t="n"/>
      <c r="V22" s="16" t="n"/>
      <c r="W22" s="16" t="n"/>
      <c r="X22" s="16" t="n"/>
      <c r="Y22" s="16" t="n"/>
      <c r="Z22" s="14" t="n"/>
      <c r="AA22" s="14" t="n"/>
      <c r="AB22" s="14" t="n"/>
      <c r="AC22" s="17">
        <f>IFERROR(VLOOKUP($H22&amp;"|"&amp;$Q22,Tariff_Master!$A$2:$L$169,3,FALSE),"")</f>
        <v/>
      </c>
      <c r="AD22" s="17">
        <f>IFERROR(VLOOKUP($H22&amp;"|"&amp;$Q22,Tariff_Master!$A$2:$L$169,4,FALSE),"")</f>
        <v/>
      </c>
      <c r="AE22" s="18">
        <f>IFERROR(VLOOKUP($H22&amp;"|"&amp;$Q22,Tariff_Master!$A$2:$L$169,6,FALSE),"")</f>
        <v/>
      </c>
      <c r="AF22" s="19">
        <f>IFERROR(VLOOKUP($H22&amp;"|"&amp;$Q22,Tariff_Master!$A$2:$L$169,7,FALSE),"")</f>
        <v/>
      </c>
      <c r="AG22" s="18">
        <f>IFERROR(VLOOKUP($H22&amp;"|"&amp;$Q22,Tariff_Master!$A$2:$L$169,8,FALSE),"")</f>
        <v/>
      </c>
      <c r="AH22" s="20">
        <f>IFERROR(VLOOKUP($H22&amp;"|"&amp;$Q22,Tariff_Master!$A$2:$L$169,9,FALSE),"")</f>
        <v/>
      </c>
      <c r="AI22" s="18">
        <f>IFERROR(VLOOKUP($H22&amp;"|"&amp;$Q22,Tariff_Master!$A$2:$L$169,10,FALSE),"")</f>
        <v/>
      </c>
      <c r="AJ22" s="21">
        <f>IF($M22="","",ROUNDUP(MAX(0,$M22),0))</f>
        <v/>
      </c>
      <c r="AK22" s="21">
        <f>IF(OR($AJ22="",$AF22=""),"",MAX(0,$AJ22-$AF22))</f>
        <v/>
      </c>
      <c r="AL22" s="22">
        <f>IF(OR($AK22="",$AG22=""),"",MAX(0,$AK22*$AG22))</f>
        <v/>
      </c>
      <c r="AM22" s="22">
        <f>IF($AE22="","",MAX(0,SUM($AE22,$AL22,$V22,$W22)))</f>
        <v/>
      </c>
      <c r="AN22" s="22">
        <f>IF($AM22="","",IF(AND($Q22="COMMITMENT",$R22&gt;=$AH22),$AI22,0))</f>
        <v/>
      </c>
      <c r="AO22" s="23">
        <f>IF($AM22="","",MAX(0,$AM22-$AN22))</f>
        <v/>
      </c>
      <c r="AP22" s="22">
        <f>IF($S22="","",IF(OR($S22="ITEM_PRICE_PLUS_DECLARED_DELIVERY",$S22="DELIVERY_CHARGE_ONLY"),$K22,IF($S22="TOTAL_AMOUNT_INCLUDING_DELIVERY",IF(OR($T22="",$J22=""),"",MAX(0,$T22-$J22-$U22)),IF($S22="ITEM_PRICE_ONLY_DELIVERY_PAID_BY_MERCHANT",0,""))))</f>
        <v/>
      </c>
      <c r="AQ22" s="23">
        <f>IF(OR($AP22="",$AO22=""),"",$AP22-$AO22)</f>
        <v/>
      </c>
      <c r="AR22" s="24">
        <f>IF($S22="EXACT_COLLECTION_AMOUNT","BREAKDOWN_REQUIRED",IF($AQ22="","",IF($AQ22&gt;0,"CREDIT_TO_MERCHANT",IF($AQ22&lt;0,"DEDUCT_FROM_MERCHANT","NO_ADJUSTMENT"))))</f>
        <v/>
      </c>
      <c r="AS22" s="23">
        <f>IF(OR($AQ22="",$AR22="BREAKDOWN_REQUIRED"),"",$AQ22)</f>
        <v/>
      </c>
      <c r="AT22" s="23">
        <f>IF(OR($AR22="",$AR22="BREAKDOWN_REQUIRED"),"",SUM($J22,$AQ22,$Y22)-$X22)</f>
        <v/>
      </c>
      <c r="AU22" s="25">
        <f>IF(AND($A22="",$B22="",$F22="",$H22="",$J22="",$K22="",$M22="",$S22=""),"",IF(OR($H22="",$Q22="",$M22="",$S22=""),"ERROR",IF(OR($J22&lt;0,$K22&lt;0,$M22&lt;0,$T22&lt;0,$U22&lt;0,$V22&lt;0,$W22&lt;0,$X22&lt;0,$Y22&lt;0),"ERROR",IF($AE22="","ERROR",IF(AND(OR($S22="ITEM_PRICE_PLUS_DECLARED_DELIVERY",$S22="TOTAL_AMOUNT_INCLUDING_DELIVERY",$S22="ITEM_PRICE_ONLY_DELIVERY_PAID_BY_MERCHANT"),$J22=""),"ERROR",IF(AND(OR($S22="ITEM_PRICE_PLUS_DECLARED_DELIVERY",$S22="DELIVERY_CHARGE_ONLY"),$K22=""),"ERROR",IF(AND(OR($S22="TOTAL_AMOUNT_INCLUDING_DELIVERY",$S22="EXACT_COLLECTION_AMOUNT"),$T22=""),"ERROR",IF(AND($S22="TOTAL_AMOUNT_INCLUDING_DELIVERY",$T22&lt;SUM($J22,$U22)),"ERROR",IF($S22="EXACT_COLLECTION_AMOUNT","REVIEW","OK")))))))))</f>
        <v/>
      </c>
      <c r="AV22" s="25">
        <f>IF($AU22="","",IF($H22="","Township required",IF($Q22="","Customer tier required",IF($M22="","Weight required",IF($S22="","Amount entry type required",IF(OR($J22&lt;0,$K22&lt;0,$M22&lt;0,$T22&lt;0,$U22&lt;0,$V22&lt;0,$W22&lt;0,$X22&lt;0,$Y22&lt;0),"Negative amounts are not allowed",IF($AE22="","Tariff not found for township and tier",IF(AND(OR($S22="ITEM_PRICE_PLUS_DECLARED_DELIVERY",$S22="TOTAL_AMOUNT_INCLUDING_DELIVERY",$S22="ITEM_PRICE_ONLY_DELIVERY_PAID_BY_MERCHANT"),$J22=""),"Item price required for this amount type",IF(AND(OR($S22="ITEM_PRICE_PLUS_DECLARED_DELIVERY",$S22="DELIVERY_CHARGE_ONLY"),$K22=""),"Declared delivery charge required",IF(AND(OR($S22="TOTAL_AMOUNT_INCLUDING_DELIVERY",$S22="EXACT_COLLECTION_AMOUNT"),$T22=""),"Stated total amount required",IF(AND($S22="TOTAL_AMOUNT_INCLUDING_DELIVERY",$T22&lt;SUM($J22,$U22)),"Stated total is below item price plus additional charge",IF($S22="EXACT_COLLECTION_AMOUNT","Authorized amount breakdown required before settlement","Ready for collection and settlement"))))))))))))</f>
        <v/>
      </c>
      <c r="AW22" s="23">
        <f>IF($AU22="","","PARCEL_FINANCIAL_V2")</f>
        <v/>
      </c>
      <c r="AX22" s="17" t="n"/>
    </row>
    <row r="23">
      <c r="A23" s="8" t="n"/>
      <c r="B23" s="8" t="n"/>
      <c r="C23" s="8" t="n"/>
      <c r="D23" s="8" t="n"/>
      <c r="E23" s="9" t="n"/>
      <c r="F23" s="9" t="n"/>
      <c r="G23" s="8" t="n"/>
      <c r="H23" s="9" t="n"/>
      <c r="I23" s="9" t="n"/>
      <c r="J23" s="10" t="n"/>
      <c r="K23" s="10" t="n"/>
      <c r="L23" s="11">
        <f>IF($S23="","",IF($S23="ITEM_PRICE_PLUS_DECLARED_DELIVERY",IF(OR($J23="",$K23=""),"",SUM($J23,$K23,$U23)),IF($S23="TOTAL_AMOUNT_INCLUDING_DELIVERY",IF($T23="","",$T23),IF($S23="DELIVERY_CHARGE_ONLY",IF($K23="","",SUM($K23,$U23)),IF($S23="EXACT_COLLECTION_AMOUNT",IF($T23="","",$T23),IF($S23="ITEM_PRICE_ONLY_DELIVERY_PAID_BY_MERCHANT",IF($J23="","",SUM($J23,$U23)),""))))))</f>
        <v/>
      </c>
      <c r="M23" s="12" t="n"/>
      <c r="N23" s="13" t="n"/>
      <c r="O23" s="13" t="n"/>
      <c r="P23" s="9" t="n"/>
      <c r="Q23" s="14" t="n"/>
      <c r="R23" s="15" t="n"/>
      <c r="S23" s="14" t="n"/>
      <c r="T23" s="16" t="n"/>
      <c r="U23" s="16" t="n"/>
      <c r="V23" s="16" t="n"/>
      <c r="W23" s="16" t="n"/>
      <c r="X23" s="16" t="n"/>
      <c r="Y23" s="16" t="n"/>
      <c r="Z23" s="14" t="n"/>
      <c r="AA23" s="14" t="n"/>
      <c r="AB23" s="14" t="n"/>
      <c r="AC23" s="17">
        <f>IFERROR(VLOOKUP($H23&amp;"|"&amp;$Q23,Tariff_Master!$A$2:$L$169,3,FALSE),"")</f>
        <v/>
      </c>
      <c r="AD23" s="17">
        <f>IFERROR(VLOOKUP($H23&amp;"|"&amp;$Q23,Tariff_Master!$A$2:$L$169,4,FALSE),"")</f>
        <v/>
      </c>
      <c r="AE23" s="18">
        <f>IFERROR(VLOOKUP($H23&amp;"|"&amp;$Q23,Tariff_Master!$A$2:$L$169,6,FALSE),"")</f>
        <v/>
      </c>
      <c r="AF23" s="19">
        <f>IFERROR(VLOOKUP($H23&amp;"|"&amp;$Q23,Tariff_Master!$A$2:$L$169,7,FALSE),"")</f>
        <v/>
      </c>
      <c r="AG23" s="18">
        <f>IFERROR(VLOOKUP($H23&amp;"|"&amp;$Q23,Tariff_Master!$A$2:$L$169,8,FALSE),"")</f>
        <v/>
      </c>
      <c r="AH23" s="20">
        <f>IFERROR(VLOOKUP($H23&amp;"|"&amp;$Q23,Tariff_Master!$A$2:$L$169,9,FALSE),"")</f>
        <v/>
      </c>
      <c r="AI23" s="18">
        <f>IFERROR(VLOOKUP($H23&amp;"|"&amp;$Q23,Tariff_Master!$A$2:$L$169,10,FALSE),"")</f>
        <v/>
      </c>
      <c r="AJ23" s="21">
        <f>IF($M23="","",ROUNDUP(MAX(0,$M23),0))</f>
        <v/>
      </c>
      <c r="AK23" s="21">
        <f>IF(OR($AJ23="",$AF23=""),"",MAX(0,$AJ23-$AF23))</f>
        <v/>
      </c>
      <c r="AL23" s="22">
        <f>IF(OR($AK23="",$AG23=""),"",MAX(0,$AK23*$AG23))</f>
        <v/>
      </c>
      <c r="AM23" s="22">
        <f>IF($AE23="","",MAX(0,SUM($AE23,$AL23,$V23,$W23)))</f>
        <v/>
      </c>
      <c r="AN23" s="22">
        <f>IF($AM23="","",IF(AND($Q23="COMMITMENT",$R23&gt;=$AH23),$AI23,0))</f>
        <v/>
      </c>
      <c r="AO23" s="23">
        <f>IF($AM23="","",MAX(0,$AM23-$AN23))</f>
        <v/>
      </c>
      <c r="AP23" s="22">
        <f>IF($S23="","",IF(OR($S23="ITEM_PRICE_PLUS_DECLARED_DELIVERY",$S23="DELIVERY_CHARGE_ONLY"),$K23,IF($S23="TOTAL_AMOUNT_INCLUDING_DELIVERY",IF(OR($T23="",$J23=""),"",MAX(0,$T23-$J23-$U23)),IF($S23="ITEM_PRICE_ONLY_DELIVERY_PAID_BY_MERCHANT",0,""))))</f>
        <v/>
      </c>
      <c r="AQ23" s="23">
        <f>IF(OR($AP23="",$AO23=""),"",$AP23-$AO23)</f>
        <v/>
      </c>
      <c r="AR23" s="24">
        <f>IF($S23="EXACT_COLLECTION_AMOUNT","BREAKDOWN_REQUIRED",IF($AQ23="","",IF($AQ23&gt;0,"CREDIT_TO_MERCHANT",IF($AQ23&lt;0,"DEDUCT_FROM_MERCHANT","NO_ADJUSTMENT"))))</f>
        <v/>
      </c>
      <c r="AS23" s="23">
        <f>IF(OR($AQ23="",$AR23="BREAKDOWN_REQUIRED"),"",$AQ23)</f>
        <v/>
      </c>
      <c r="AT23" s="23">
        <f>IF(OR($AR23="",$AR23="BREAKDOWN_REQUIRED"),"",SUM($J23,$AQ23,$Y23)-$X23)</f>
        <v/>
      </c>
      <c r="AU23" s="25">
        <f>IF(AND($A23="",$B23="",$F23="",$H23="",$J23="",$K23="",$M23="",$S23=""),"",IF(OR($H23="",$Q23="",$M23="",$S23=""),"ERROR",IF(OR($J23&lt;0,$K23&lt;0,$M23&lt;0,$T23&lt;0,$U23&lt;0,$V23&lt;0,$W23&lt;0,$X23&lt;0,$Y23&lt;0),"ERROR",IF($AE23="","ERROR",IF(AND(OR($S23="ITEM_PRICE_PLUS_DECLARED_DELIVERY",$S23="TOTAL_AMOUNT_INCLUDING_DELIVERY",$S23="ITEM_PRICE_ONLY_DELIVERY_PAID_BY_MERCHANT"),$J23=""),"ERROR",IF(AND(OR($S23="ITEM_PRICE_PLUS_DECLARED_DELIVERY",$S23="DELIVERY_CHARGE_ONLY"),$K23=""),"ERROR",IF(AND(OR($S23="TOTAL_AMOUNT_INCLUDING_DELIVERY",$S23="EXACT_COLLECTION_AMOUNT"),$T23=""),"ERROR",IF(AND($S23="TOTAL_AMOUNT_INCLUDING_DELIVERY",$T23&lt;SUM($J23,$U23)),"ERROR",IF($S23="EXACT_COLLECTION_AMOUNT","REVIEW","OK")))))))))</f>
        <v/>
      </c>
      <c r="AV23" s="25">
        <f>IF($AU23="","",IF($H23="","Township required",IF($Q23="","Customer tier required",IF($M23="","Weight required",IF($S23="","Amount entry type required",IF(OR($J23&lt;0,$K23&lt;0,$M23&lt;0,$T23&lt;0,$U23&lt;0,$V23&lt;0,$W23&lt;0,$X23&lt;0,$Y23&lt;0),"Negative amounts are not allowed",IF($AE23="","Tariff not found for township and tier",IF(AND(OR($S23="ITEM_PRICE_PLUS_DECLARED_DELIVERY",$S23="TOTAL_AMOUNT_INCLUDING_DELIVERY",$S23="ITEM_PRICE_ONLY_DELIVERY_PAID_BY_MERCHANT"),$J23=""),"Item price required for this amount type",IF(AND(OR($S23="ITEM_PRICE_PLUS_DECLARED_DELIVERY",$S23="DELIVERY_CHARGE_ONLY"),$K23=""),"Declared delivery charge required",IF(AND(OR($S23="TOTAL_AMOUNT_INCLUDING_DELIVERY",$S23="EXACT_COLLECTION_AMOUNT"),$T23=""),"Stated total amount required",IF(AND($S23="TOTAL_AMOUNT_INCLUDING_DELIVERY",$T23&lt;SUM($J23,$U23)),"Stated total is below item price plus additional charge",IF($S23="EXACT_COLLECTION_AMOUNT","Authorized amount breakdown required before settlement","Ready for collection and settlement"))))))))))))</f>
        <v/>
      </c>
      <c r="AW23" s="23">
        <f>IF($AU23="","","PARCEL_FINANCIAL_V2")</f>
        <v/>
      </c>
      <c r="AX23" s="17" t="n"/>
    </row>
    <row r="24">
      <c r="A24" s="8" t="n"/>
      <c r="B24" s="8" t="n"/>
      <c r="C24" s="8" t="n"/>
      <c r="D24" s="8" t="n"/>
      <c r="E24" s="9" t="n"/>
      <c r="F24" s="9" t="n"/>
      <c r="G24" s="8" t="n"/>
      <c r="H24" s="9" t="n"/>
      <c r="I24" s="9" t="n"/>
      <c r="J24" s="10" t="n"/>
      <c r="K24" s="10" t="n"/>
      <c r="L24" s="11">
        <f>IF($S24="","",IF($S24="ITEM_PRICE_PLUS_DECLARED_DELIVERY",IF(OR($J24="",$K24=""),"",SUM($J24,$K24,$U24)),IF($S24="TOTAL_AMOUNT_INCLUDING_DELIVERY",IF($T24="","",$T24),IF($S24="DELIVERY_CHARGE_ONLY",IF($K24="","",SUM($K24,$U24)),IF($S24="EXACT_COLLECTION_AMOUNT",IF($T24="","",$T24),IF($S24="ITEM_PRICE_ONLY_DELIVERY_PAID_BY_MERCHANT",IF($J24="","",SUM($J24,$U24)),""))))))</f>
        <v/>
      </c>
      <c r="M24" s="12" t="n"/>
      <c r="N24" s="13" t="n"/>
      <c r="O24" s="13" t="n"/>
      <c r="P24" s="9" t="n"/>
      <c r="Q24" s="14" t="n"/>
      <c r="R24" s="15" t="n"/>
      <c r="S24" s="14" t="n"/>
      <c r="T24" s="16" t="n"/>
      <c r="U24" s="16" t="n"/>
      <c r="V24" s="16" t="n"/>
      <c r="W24" s="16" t="n"/>
      <c r="X24" s="16" t="n"/>
      <c r="Y24" s="16" t="n"/>
      <c r="Z24" s="14" t="n"/>
      <c r="AA24" s="14" t="n"/>
      <c r="AB24" s="14" t="n"/>
      <c r="AC24" s="17">
        <f>IFERROR(VLOOKUP($H24&amp;"|"&amp;$Q24,Tariff_Master!$A$2:$L$169,3,FALSE),"")</f>
        <v/>
      </c>
      <c r="AD24" s="17">
        <f>IFERROR(VLOOKUP($H24&amp;"|"&amp;$Q24,Tariff_Master!$A$2:$L$169,4,FALSE),"")</f>
        <v/>
      </c>
      <c r="AE24" s="18">
        <f>IFERROR(VLOOKUP($H24&amp;"|"&amp;$Q24,Tariff_Master!$A$2:$L$169,6,FALSE),"")</f>
        <v/>
      </c>
      <c r="AF24" s="19">
        <f>IFERROR(VLOOKUP($H24&amp;"|"&amp;$Q24,Tariff_Master!$A$2:$L$169,7,FALSE),"")</f>
        <v/>
      </c>
      <c r="AG24" s="18">
        <f>IFERROR(VLOOKUP($H24&amp;"|"&amp;$Q24,Tariff_Master!$A$2:$L$169,8,FALSE),"")</f>
        <v/>
      </c>
      <c r="AH24" s="20">
        <f>IFERROR(VLOOKUP($H24&amp;"|"&amp;$Q24,Tariff_Master!$A$2:$L$169,9,FALSE),"")</f>
        <v/>
      </c>
      <c r="AI24" s="18">
        <f>IFERROR(VLOOKUP($H24&amp;"|"&amp;$Q24,Tariff_Master!$A$2:$L$169,10,FALSE),"")</f>
        <v/>
      </c>
      <c r="AJ24" s="21">
        <f>IF($M24="","",ROUNDUP(MAX(0,$M24),0))</f>
        <v/>
      </c>
      <c r="AK24" s="21">
        <f>IF(OR($AJ24="",$AF24=""),"",MAX(0,$AJ24-$AF24))</f>
        <v/>
      </c>
      <c r="AL24" s="22">
        <f>IF(OR($AK24="",$AG24=""),"",MAX(0,$AK24*$AG24))</f>
        <v/>
      </c>
      <c r="AM24" s="22">
        <f>IF($AE24="","",MAX(0,SUM($AE24,$AL24,$V24,$W24)))</f>
        <v/>
      </c>
      <c r="AN24" s="22">
        <f>IF($AM24="","",IF(AND($Q24="COMMITMENT",$R24&gt;=$AH24),$AI24,0))</f>
        <v/>
      </c>
      <c r="AO24" s="23">
        <f>IF($AM24="","",MAX(0,$AM24-$AN24))</f>
        <v/>
      </c>
      <c r="AP24" s="22">
        <f>IF($S24="","",IF(OR($S24="ITEM_PRICE_PLUS_DECLARED_DELIVERY",$S24="DELIVERY_CHARGE_ONLY"),$K24,IF($S24="TOTAL_AMOUNT_INCLUDING_DELIVERY",IF(OR($T24="",$J24=""),"",MAX(0,$T24-$J24-$U24)),IF($S24="ITEM_PRICE_ONLY_DELIVERY_PAID_BY_MERCHANT",0,""))))</f>
        <v/>
      </c>
      <c r="AQ24" s="23">
        <f>IF(OR($AP24="",$AO24=""),"",$AP24-$AO24)</f>
        <v/>
      </c>
      <c r="AR24" s="24">
        <f>IF($S24="EXACT_COLLECTION_AMOUNT","BREAKDOWN_REQUIRED",IF($AQ24="","",IF($AQ24&gt;0,"CREDIT_TO_MERCHANT",IF($AQ24&lt;0,"DEDUCT_FROM_MERCHANT","NO_ADJUSTMENT"))))</f>
        <v/>
      </c>
      <c r="AS24" s="23">
        <f>IF(OR($AQ24="",$AR24="BREAKDOWN_REQUIRED"),"",$AQ24)</f>
        <v/>
      </c>
      <c r="AT24" s="23">
        <f>IF(OR($AR24="",$AR24="BREAKDOWN_REQUIRED"),"",SUM($J24,$AQ24,$Y24)-$X24)</f>
        <v/>
      </c>
      <c r="AU24" s="25">
        <f>IF(AND($A24="",$B24="",$F24="",$H24="",$J24="",$K24="",$M24="",$S24=""),"",IF(OR($H24="",$Q24="",$M24="",$S24=""),"ERROR",IF(OR($J24&lt;0,$K24&lt;0,$M24&lt;0,$T24&lt;0,$U24&lt;0,$V24&lt;0,$W24&lt;0,$X24&lt;0,$Y24&lt;0),"ERROR",IF($AE24="","ERROR",IF(AND(OR($S24="ITEM_PRICE_PLUS_DECLARED_DELIVERY",$S24="TOTAL_AMOUNT_INCLUDING_DELIVERY",$S24="ITEM_PRICE_ONLY_DELIVERY_PAID_BY_MERCHANT"),$J24=""),"ERROR",IF(AND(OR($S24="ITEM_PRICE_PLUS_DECLARED_DELIVERY",$S24="DELIVERY_CHARGE_ONLY"),$K24=""),"ERROR",IF(AND(OR($S24="TOTAL_AMOUNT_INCLUDING_DELIVERY",$S24="EXACT_COLLECTION_AMOUNT"),$T24=""),"ERROR",IF(AND($S24="TOTAL_AMOUNT_INCLUDING_DELIVERY",$T24&lt;SUM($J24,$U24)),"ERROR",IF($S24="EXACT_COLLECTION_AMOUNT","REVIEW","OK")))))))))</f>
        <v/>
      </c>
      <c r="AV24" s="25">
        <f>IF($AU24="","",IF($H24="","Township required",IF($Q24="","Customer tier required",IF($M24="","Weight required",IF($S24="","Amount entry type required",IF(OR($J24&lt;0,$K24&lt;0,$M24&lt;0,$T24&lt;0,$U24&lt;0,$V24&lt;0,$W24&lt;0,$X24&lt;0,$Y24&lt;0),"Negative amounts are not allowed",IF($AE24="","Tariff not found for township and tier",IF(AND(OR($S24="ITEM_PRICE_PLUS_DECLARED_DELIVERY",$S24="TOTAL_AMOUNT_INCLUDING_DELIVERY",$S24="ITEM_PRICE_ONLY_DELIVERY_PAID_BY_MERCHANT"),$J24=""),"Item price required for this amount type",IF(AND(OR($S24="ITEM_PRICE_PLUS_DECLARED_DELIVERY",$S24="DELIVERY_CHARGE_ONLY"),$K24=""),"Declared delivery charge required",IF(AND(OR($S24="TOTAL_AMOUNT_INCLUDING_DELIVERY",$S24="EXACT_COLLECTION_AMOUNT"),$T24=""),"Stated total amount required",IF(AND($S24="TOTAL_AMOUNT_INCLUDING_DELIVERY",$T24&lt;SUM($J24,$U24)),"Stated total is below item price plus additional charge",IF($S24="EXACT_COLLECTION_AMOUNT","Authorized amount breakdown required before settlement","Ready for collection and settlement"))))))))))))</f>
        <v/>
      </c>
      <c r="AW24" s="23">
        <f>IF($AU24="","","PARCEL_FINANCIAL_V2")</f>
        <v/>
      </c>
      <c r="AX24" s="17" t="n"/>
    </row>
    <row r="25">
      <c r="A25" s="8" t="n"/>
      <c r="B25" s="8" t="n"/>
      <c r="C25" s="8" t="n"/>
      <c r="D25" s="8" t="n"/>
      <c r="E25" s="9" t="n"/>
      <c r="F25" s="9" t="n"/>
      <c r="G25" s="8" t="n"/>
      <c r="H25" s="9" t="n"/>
      <c r="I25" s="9" t="n"/>
      <c r="J25" s="10" t="n"/>
      <c r="K25" s="10" t="n"/>
      <c r="L25" s="11">
        <f>IF($S25="","",IF($S25="ITEM_PRICE_PLUS_DECLARED_DELIVERY",IF(OR($J25="",$K25=""),"",SUM($J25,$K25,$U25)),IF($S25="TOTAL_AMOUNT_INCLUDING_DELIVERY",IF($T25="","",$T25),IF($S25="DELIVERY_CHARGE_ONLY",IF($K25="","",SUM($K25,$U25)),IF($S25="EXACT_COLLECTION_AMOUNT",IF($T25="","",$T25),IF($S25="ITEM_PRICE_ONLY_DELIVERY_PAID_BY_MERCHANT",IF($J25="","",SUM($J25,$U25)),""))))))</f>
        <v/>
      </c>
      <c r="M25" s="12" t="n"/>
      <c r="N25" s="13" t="n"/>
      <c r="O25" s="13" t="n"/>
      <c r="P25" s="9" t="n"/>
      <c r="Q25" s="14" t="n"/>
      <c r="R25" s="15" t="n"/>
      <c r="S25" s="14" t="n"/>
      <c r="T25" s="16" t="n"/>
      <c r="U25" s="16" t="n"/>
      <c r="V25" s="16" t="n"/>
      <c r="W25" s="16" t="n"/>
      <c r="X25" s="16" t="n"/>
      <c r="Y25" s="16" t="n"/>
      <c r="Z25" s="14" t="n"/>
      <c r="AA25" s="14" t="n"/>
      <c r="AB25" s="14" t="n"/>
      <c r="AC25" s="17">
        <f>IFERROR(VLOOKUP($H25&amp;"|"&amp;$Q25,Tariff_Master!$A$2:$L$169,3,FALSE),"")</f>
        <v/>
      </c>
      <c r="AD25" s="17">
        <f>IFERROR(VLOOKUP($H25&amp;"|"&amp;$Q25,Tariff_Master!$A$2:$L$169,4,FALSE),"")</f>
        <v/>
      </c>
      <c r="AE25" s="18">
        <f>IFERROR(VLOOKUP($H25&amp;"|"&amp;$Q25,Tariff_Master!$A$2:$L$169,6,FALSE),"")</f>
        <v/>
      </c>
      <c r="AF25" s="19">
        <f>IFERROR(VLOOKUP($H25&amp;"|"&amp;$Q25,Tariff_Master!$A$2:$L$169,7,FALSE),"")</f>
        <v/>
      </c>
      <c r="AG25" s="18">
        <f>IFERROR(VLOOKUP($H25&amp;"|"&amp;$Q25,Tariff_Master!$A$2:$L$169,8,FALSE),"")</f>
        <v/>
      </c>
      <c r="AH25" s="20">
        <f>IFERROR(VLOOKUP($H25&amp;"|"&amp;$Q25,Tariff_Master!$A$2:$L$169,9,FALSE),"")</f>
        <v/>
      </c>
      <c r="AI25" s="18">
        <f>IFERROR(VLOOKUP($H25&amp;"|"&amp;$Q25,Tariff_Master!$A$2:$L$169,10,FALSE),"")</f>
        <v/>
      </c>
      <c r="AJ25" s="21">
        <f>IF($M25="","",ROUNDUP(MAX(0,$M25),0))</f>
        <v/>
      </c>
      <c r="AK25" s="21">
        <f>IF(OR($AJ25="",$AF25=""),"",MAX(0,$AJ25-$AF25))</f>
        <v/>
      </c>
      <c r="AL25" s="22">
        <f>IF(OR($AK25="",$AG25=""),"",MAX(0,$AK25*$AG25))</f>
        <v/>
      </c>
      <c r="AM25" s="22">
        <f>IF($AE25="","",MAX(0,SUM($AE25,$AL25,$V25,$W25)))</f>
        <v/>
      </c>
      <c r="AN25" s="22">
        <f>IF($AM25="","",IF(AND($Q25="COMMITMENT",$R25&gt;=$AH25),$AI25,0))</f>
        <v/>
      </c>
      <c r="AO25" s="23">
        <f>IF($AM25="","",MAX(0,$AM25-$AN25))</f>
        <v/>
      </c>
      <c r="AP25" s="22">
        <f>IF($S25="","",IF(OR($S25="ITEM_PRICE_PLUS_DECLARED_DELIVERY",$S25="DELIVERY_CHARGE_ONLY"),$K25,IF($S25="TOTAL_AMOUNT_INCLUDING_DELIVERY",IF(OR($T25="",$J25=""),"",MAX(0,$T25-$J25-$U25)),IF($S25="ITEM_PRICE_ONLY_DELIVERY_PAID_BY_MERCHANT",0,""))))</f>
        <v/>
      </c>
      <c r="AQ25" s="23">
        <f>IF(OR($AP25="",$AO25=""),"",$AP25-$AO25)</f>
        <v/>
      </c>
      <c r="AR25" s="24">
        <f>IF($S25="EXACT_COLLECTION_AMOUNT","BREAKDOWN_REQUIRED",IF($AQ25="","",IF($AQ25&gt;0,"CREDIT_TO_MERCHANT",IF($AQ25&lt;0,"DEDUCT_FROM_MERCHANT","NO_ADJUSTMENT"))))</f>
        <v/>
      </c>
      <c r="AS25" s="23">
        <f>IF(OR($AQ25="",$AR25="BREAKDOWN_REQUIRED"),"",$AQ25)</f>
        <v/>
      </c>
      <c r="AT25" s="23">
        <f>IF(OR($AR25="",$AR25="BREAKDOWN_REQUIRED"),"",SUM($J25,$AQ25,$Y25)-$X25)</f>
        <v/>
      </c>
      <c r="AU25" s="25">
        <f>IF(AND($A25="",$B25="",$F25="",$H25="",$J25="",$K25="",$M25="",$S25=""),"",IF(OR($H25="",$Q25="",$M25="",$S25=""),"ERROR",IF(OR($J25&lt;0,$K25&lt;0,$M25&lt;0,$T25&lt;0,$U25&lt;0,$V25&lt;0,$W25&lt;0,$X25&lt;0,$Y25&lt;0),"ERROR",IF($AE25="","ERROR",IF(AND(OR($S25="ITEM_PRICE_PLUS_DECLARED_DELIVERY",$S25="TOTAL_AMOUNT_INCLUDING_DELIVERY",$S25="ITEM_PRICE_ONLY_DELIVERY_PAID_BY_MERCHANT"),$J25=""),"ERROR",IF(AND(OR($S25="ITEM_PRICE_PLUS_DECLARED_DELIVERY",$S25="DELIVERY_CHARGE_ONLY"),$K25=""),"ERROR",IF(AND(OR($S25="TOTAL_AMOUNT_INCLUDING_DELIVERY",$S25="EXACT_COLLECTION_AMOUNT"),$T25=""),"ERROR",IF(AND($S25="TOTAL_AMOUNT_INCLUDING_DELIVERY",$T25&lt;SUM($J25,$U25)),"ERROR",IF($S25="EXACT_COLLECTION_AMOUNT","REVIEW","OK")))))))))</f>
        <v/>
      </c>
      <c r="AV25" s="25">
        <f>IF($AU25="","",IF($H25="","Township required",IF($Q25="","Customer tier required",IF($M25="","Weight required",IF($S25="","Amount entry type required",IF(OR($J25&lt;0,$K25&lt;0,$M25&lt;0,$T25&lt;0,$U25&lt;0,$V25&lt;0,$W25&lt;0,$X25&lt;0,$Y25&lt;0),"Negative amounts are not allowed",IF($AE25="","Tariff not found for township and tier",IF(AND(OR($S25="ITEM_PRICE_PLUS_DECLARED_DELIVERY",$S25="TOTAL_AMOUNT_INCLUDING_DELIVERY",$S25="ITEM_PRICE_ONLY_DELIVERY_PAID_BY_MERCHANT"),$J25=""),"Item price required for this amount type",IF(AND(OR($S25="ITEM_PRICE_PLUS_DECLARED_DELIVERY",$S25="DELIVERY_CHARGE_ONLY"),$K25=""),"Declared delivery charge required",IF(AND(OR($S25="TOTAL_AMOUNT_INCLUDING_DELIVERY",$S25="EXACT_COLLECTION_AMOUNT"),$T25=""),"Stated total amount required",IF(AND($S25="TOTAL_AMOUNT_INCLUDING_DELIVERY",$T25&lt;SUM($J25,$U25)),"Stated total is below item price plus additional charge",IF($S25="EXACT_COLLECTION_AMOUNT","Authorized amount breakdown required before settlement","Ready for collection and settlement"))))))))))))</f>
        <v/>
      </c>
      <c r="AW25" s="23">
        <f>IF($AU25="","","PARCEL_FINANCIAL_V2")</f>
        <v/>
      </c>
      <c r="AX25" s="17" t="n"/>
    </row>
    <row r="26">
      <c r="A26" s="8" t="n"/>
      <c r="B26" s="8" t="n"/>
      <c r="C26" s="8" t="n"/>
      <c r="D26" s="8" t="n"/>
      <c r="E26" s="9" t="n"/>
      <c r="F26" s="9" t="n"/>
      <c r="G26" s="8" t="n"/>
      <c r="H26" s="9" t="n"/>
      <c r="I26" s="9" t="n"/>
      <c r="J26" s="10" t="n"/>
      <c r="K26" s="10" t="n"/>
      <c r="L26" s="11">
        <f>IF($S26="","",IF($S26="ITEM_PRICE_PLUS_DECLARED_DELIVERY",IF(OR($J26="",$K26=""),"",SUM($J26,$K26,$U26)),IF($S26="TOTAL_AMOUNT_INCLUDING_DELIVERY",IF($T26="","",$T26),IF($S26="DELIVERY_CHARGE_ONLY",IF($K26="","",SUM($K26,$U26)),IF($S26="EXACT_COLLECTION_AMOUNT",IF($T26="","",$T26),IF($S26="ITEM_PRICE_ONLY_DELIVERY_PAID_BY_MERCHANT",IF($J26="","",SUM($J26,$U26)),""))))))</f>
        <v/>
      </c>
      <c r="M26" s="12" t="n"/>
      <c r="N26" s="13" t="n"/>
      <c r="O26" s="13" t="n"/>
      <c r="P26" s="9" t="n"/>
      <c r="Q26" s="14" t="n"/>
      <c r="R26" s="15" t="n"/>
      <c r="S26" s="14" t="n"/>
      <c r="T26" s="16" t="n"/>
      <c r="U26" s="16" t="n"/>
      <c r="V26" s="16" t="n"/>
      <c r="W26" s="16" t="n"/>
      <c r="X26" s="16" t="n"/>
      <c r="Y26" s="16" t="n"/>
      <c r="Z26" s="14" t="n"/>
      <c r="AA26" s="14" t="n"/>
      <c r="AB26" s="14" t="n"/>
      <c r="AC26" s="17">
        <f>IFERROR(VLOOKUP($H26&amp;"|"&amp;$Q26,Tariff_Master!$A$2:$L$169,3,FALSE),"")</f>
        <v/>
      </c>
      <c r="AD26" s="17">
        <f>IFERROR(VLOOKUP($H26&amp;"|"&amp;$Q26,Tariff_Master!$A$2:$L$169,4,FALSE),"")</f>
        <v/>
      </c>
      <c r="AE26" s="18">
        <f>IFERROR(VLOOKUP($H26&amp;"|"&amp;$Q26,Tariff_Master!$A$2:$L$169,6,FALSE),"")</f>
        <v/>
      </c>
      <c r="AF26" s="19">
        <f>IFERROR(VLOOKUP($H26&amp;"|"&amp;$Q26,Tariff_Master!$A$2:$L$169,7,FALSE),"")</f>
        <v/>
      </c>
      <c r="AG26" s="18">
        <f>IFERROR(VLOOKUP($H26&amp;"|"&amp;$Q26,Tariff_Master!$A$2:$L$169,8,FALSE),"")</f>
        <v/>
      </c>
      <c r="AH26" s="20">
        <f>IFERROR(VLOOKUP($H26&amp;"|"&amp;$Q26,Tariff_Master!$A$2:$L$169,9,FALSE),"")</f>
        <v/>
      </c>
      <c r="AI26" s="18">
        <f>IFERROR(VLOOKUP($H26&amp;"|"&amp;$Q26,Tariff_Master!$A$2:$L$169,10,FALSE),"")</f>
        <v/>
      </c>
      <c r="AJ26" s="21">
        <f>IF($M26="","",ROUNDUP(MAX(0,$M26),0))</f>
        <v/>
      </c>
      <c r="AK26" s="21">
        <f>IF(OR($AJ26="",$AF26=""),"",MAX(0,$AJ26-$AF26))</f>
        <v/>
      </c>
      <c r="AL26" s="22">
        <f>IF(OR($AK26="",$AG26=""),"",MAX(0,$AK26*$AG26))</f>
        <v/>
      </c>
      <c r="AM26" s="22">
        <f>IF($AE26="","",MAX(0,SUM($AE26,$AL26,$V26,$W26)))</f>
        <v/>
      </c>
      <c r="AN26" s="22">
        <f>IF($AM26="","",IF(AND($Q26="COMMITMENT",$R26&gt;=$AH26),$AI26,0))</f>
        <v/>
      </c>
      <c r="AO26" s="23">
        <f>IF($AM26="","",MAX(0,$AM26-$AN26))</f>
        <v/>
      </c>
      <c r="AP26" s="22">
        <f>IF($S26="","",IF(OR($S26="ITEM_PRICE_PLUS_DECLARED_DELIVERY",$S26="DELIVERY_CHARGE_ONLY"),$K26,IF($S26="TOTAL_AMOUNT_INCLUDING_DELIVERY",IF(OR($T26="",$J26=""),"",MAX(0,$T26-$J26-$U26)),IF($S26="ITEM_PRICE_ONLY_DELIVERY_PAID_BY_MERCHANT",0,""))))</f>
        <v/>
      </c>
      <c r="AQ26" s="23">
        <f>IF(OR($AP26="",$AO26=""),"",$AP26-$AO26)</f>
        <v/>
      </c>
      <c r="AR26" s="24">
        <f>IF($S26="EXACT_COLLECTION_AMOUNT","BREAKDOWN_REQUIRED",IF($AQ26="","",IF($AQ26&gt;0,"CREDIT_TO_MERCHANT",IF($AQ26&lt;0,"DEDUCT_FROM_MERCHANT","NO_ADJUSTMENT"))))</f>
        <v/>
      </c>
      <c r="AS26" s="23">
        <f>IF(OR($AQ26="",$AR26="BREAKDOWN_REQUIRED"),"",$AQ26)</f>
        <v/>
      </c>
      <c r="AT26" s="23">
        <f>IF(OR($AR26="",$AR26="BREAKDOWN_REQUIRED"),"",SUM($J26,$AQ26,$Y26)-$X26)</f>
        <v/>
      </c>
      <c r="AU26" s="25">
        <f>IF(AND($A26="",$B26="",$F26="",$H26="",$J26="",$K26="",$M26="",$S26=""),"",IF(OR($H26="",$Q26="",$M26="",$S26=""),"ERROR",IF(OR($J26&lt;0,$K26&lt;0,$M26&lt;0,$T26&lt;0,$U26&lt;0,$V26&lt;0,$W26&lt;0,$X26&lt;0,$Y26&lt;0),"ERROR",IF($AE26="","ERROR",IF(AND(OR($S26="ITEM_PRICE_PLUS_DECLARED_DELIVERY",$S26="TOTAL_AMOUNT_INCLUDING_DELIVERY",$S26="ITEM_PRICE_ONLY_DELIVERY_PAID_BY_MERCHANT"),$J26=""),"ERROR",IF(AND(OR($S26="ITEM_PRICE_PLUS_DECLARED_DELIVERY",$S26="DELIVERY_CHARGE_ONLY"),$K26=""),"ERROR",IF(AND(OR($S26="TOTAL_AMOUNT_INCLUDING_DELIVERY",$S26="EXACT_COLLECTION_AMOUNT"),$T26=""),"ERROR",IF(AND($S26="TOTAL_AMOUNT_INCLUDING_DELIVERY",$T26&lt;SUM($J26,$U26)),"ERROR",IF($S26="EXACT_COLLECTION_AMOUNT","REVIEW","OK")))))))))</f>
        <v/>
      </c>
      <c r="AV26" s="25">
        <f>IF($AU26="","",IF($H26="","Township required",IF($Q26="","Customer tier required",IF($M26="","Weight required",IF($S26="","Amount entry type required",IF(OR($J26&lt;0,$K26&lt;0,$M26&lt;0,$T26&lt;0,$U26&lt;0,$V26&lt;0,$W26&lt;0,$X26&lt;0,$Y26&lt;0),"Negative amounts are not allowed",IF($AE26="","Tariff not found for township and tier",IF(AND(OR($S26="ITEM_PRICE_PLUS_DECLARED_DELIVERY",$S26="TOTAL_AMOUNT_INCLUDING_DELIVERY",$S26="ITEM_PRICE_ONLY_DELIVERY_PAID_BY_MERCHANT"),$J26=""),"Item price required for this amount type",IF(AND(OR($S26="ITEM_PRICE_PLUS_DECLARED_DELIVERY",$S26="DELIVERY_CHARGE_ONLY"),$K26=""),"Declared delivery charge required",IF(AND(OR($S26="TOTAL_AMOUNT_INCLUDING_DELIVERY",$S26="EXACT_COLLECTION_AMOUNT"),$T26=""),"Stated total amount required",IF(AND($S26="TOTAL_AMOUNT_INCLUDING_DELIVERY",$T26&lt;SUM($J26,$U26)),"Stated total is below item price plus additional charge",IF($S26="EXACT_COLLECTION_AMOUNT","Authorized amount breakdown required before settlement","Ready for collection and settlement"))))))))))))</f>
        <v/>
      </c>
      <c r="AW26" s="23">
        <f>IF($AU26="","","PARCEL_FINANCIAL_V2")</f>
        <v/>
      </c>
      <c r="AX26" s="17" t="n"/>
    </row>
    <row r="27">
      <c r="A27" s="8" t="n"/>
      <c r="B27" s="8" t="n"/>
      <c r="C27" s="8" t="n"/>
      <c r="D27" s="8" t="n"/>
      <c r="E27" s="9" t="n"/>
      <c r="F27" s="9" t="n"/>
      <c r="G27" s="8" t="n"/>
      <c r="H27" s="9" t="n"/>
      <c r="I27" s="9" t="n"/>
      <c r="J27" s="10" t="n"/>
      <c r="K27" s="10" t="n"/>
      <c r="L27" s="11">
        <f>IF($S27="","",IF($S27="ITEM_PRICE_PLUS_DECLARED_DELIVERY",IF(OR($J27="",$K27=""),"",SUM($J27,$K27,$U27)),IF($S27="TOTAL_AMOUNT_INCLUDING_DELIVERY",IF($T27="","",$T27),IF($S27="DELIVERY_CHARGE_ONLY",IF($K27="","",SUM($K27,$U27)),IF($S27="EXACT_COLLECTION_AMOUNT",IF($T27="","",$T27),IF($S27="ITEM_PRICE_ONLY_DELIVERY_PAID_BY_MERCHANT",IF($J27="","",SUM($J27,$U27)),""))))))</f>
        <v/>
      </c>
      <c r="M27" s="12" t="n"/>
      <c r="N27" s="13" t="n"/>
      <c r="O27" s="13" t="n"/>
      <c r="P27" s="9" t="n"/>
      <c r="Q27" s="14" t="n"/>
      <c r="R27" s="15" t="n"/>
      <c r="S27" s="14" t="n"/>
      <c r="T27" s="16" t="n"/>
      <c r="U27" s="16" t="n"/>
      <c r="V27" s="16" t="n"/>
      <c r="W27" s="16" t="n"/>
      <c r="X27" s="16" t="n"/>
      <c r="Y27" s="16" t="n"/>
      <c r="Z27" s="14" t="n"/>
      <c r="AA27" s="14" t="n"/>
      <c r="AB27" s="14" t="n"/>
      <c r="AC27" s="17">
        <f>IFERROR(VLOOKUP($H27&amp;"|"&amp;$Q27,Tariff_Master!$A$2:$L$169,3,FALSE),"")</f>
        <v/>
      </c>
      <c r="AD27" s="17">
        <f>IFERROR(VLOOKUP($H27&amp;"|"&amp;$Q27,Tariff_Master!$A$2:$L$169,4,FALSE),"")</f>
        <v/>
      </c>
      <c r="AE27" s="18">
        <f>IFERROR(VLOOKUP($H27&amp;"|"&amp;$Q27,Tariff_Master!$A$2:$L$169,6,FALSE),"")</f>
        <v/>
      </c>
      <c r="AF27" s="19">
        <f>IFERROR(VLOOKUP($H27&amp;"|"&amp;$Q27,Tariff_Master!$A$2:$L$169,7,FALSE),"")</f>
        <v/>
      </c>
      <c r="AG27" s="18">
        <f>IFERROR(VLOOKUP($H27&amp;"|"&amp;$Q27,Tariff_Master!$A$2:$L$169,8,FALSE),"")</f>
        <v/>
      </c>
      <c r="AH27" s="20">
        <f>IFERROR(VLOOKUP($H27&amp;"|"&amp;$Q27,Tariff_Master!$A$2:$L$169,9,FALSE),"")</f>
        <v/>
      </c>
      <c r="AI27" s="18">
        <f>IFERROR(VLOOKUP($H27&amp;"|"&amp;$Q27,Tariff_Master!$A$2:$L$169,10,FALSE),"")</f>
        <v/>
      </c>
      <c r="AJ27" s="21">
        <f>IF($M27="","",ROUNDUP(MAX(0,$M27),0))</f>
        <v/>
      </c>
      <c r="AK27" s="21">
        <f>IF(OR($AJ27="",$AF27=""),"",MAX(0,$AJ27-$AF27))</f>
        <v/>
      </c>
      <c r="AL27" s="22">
        <f>IF(OR($AK27="",$AG27=""),"",MAX(0,$AK27*$AG27))</f>
        <v/>
      </c>
      <c r="AM27" s="22">
        <f>IF($AE27="","",MAX(0,SUM($AE27,$AL27,$V27,$W27)))</f>
        <v/>
      </c>
      <c r="AN27" s="22">
        <f>IF($AM27="","",IF(AND($Q27="COMMITMENT",$R27&gt;=$AH27),$AI27,0))</f>
        <v/>
      </c>
      <c r="AO27" s="23">
        <f>IF($AM27="","",MAX(0,$AM27-$AN27))</f>
        <v/>
      </c>
      <c r="AP27" s="22">
        <f>IF($S27="","",IF(OR($S27="ITEM_PRICE_PLUS_DECLARED_DELIVERY",$S27="DELIVERY_CHARGE_ONLY"),$K27,IF($S27="TOTAL_AMOUNT_INCLUDING_DELIVERY",IF(OR($T27="",$J27=""),"",MAX(0,$T27-$J27-$U27)),IF($S27="ITEM_PRICE_ONLY_DELIVERY_PAID_BY_MERCHANT",0,""))))</f>
        <v/>
      </c>
      <c r="AQ27" s="23">
        <f>IF(OR($AP27="",$AO27=""),"",$AP27-$AO27)</f>
        <v/>
      </c>
      <c r="AR27" s="24">
        <f>IF($S27="EXACT_COLLECTION_AMOUNT","BREAKDOWN_REQUIRED",IF($AQ27="","",IF($AQ27&gt;0,"CREDIT_TO_MERCHANT",IF($AQ27&lt;0,"DEDUCT_FROM_MERCHANT","NO_ADJUSTMENT"))))</f>
        <v/>
      </c>
      <c r="AS27" s="23">
        <f>IF(OR($AQ27="",$AR27="BREAKDOWN_REQUIRED"),"",$AQ27)</f>
        <v/>
      </c>
      <c r="AT27" s="23">
        <f>IF(OR($AR27="",$AR27="BREAKDOWN_REQUIRED"),"",SUM($J27,$AQ27,$Y27)-$X27)</f>
        <v/>
      </c>
      <c r="AU27" s="25">
        <f>IF(AND($A27="",$B27="",$F27="",$H27="",$J27="",$K27="",$M27="",$S27=""),"",IF(OR($H27="",$Q27="",$M27="",$S27=""),"ERROR",IF(OR($J27&lt;0,$K27&lt;0,$M27&lt;0,$T27&lt;0,$U27&lt;0,$V27&lt;0,$W27&lt;0,$X27&lt;0,$Y27&lt;0),"ERROR",IF($AE27="","ERROR",IF(AND(OR($S27="ITEM_PRICE_PLUS_DECLARED_DELIVERY",$S27="TOTAL_AMOUNT_INCLUDING_DELIVERY",$S27="ITEM_PRICE_ONLY_DELIVERY_PAID_BY_MERCHANT"),$J27=""),"ERROR",IF(AND(OR($S27="ITEM_PRICE_PLUS_DECLARED_DELIVERY",$S27="DELIVERY_CHARGE_ONLY"),$K27=""),"ERROR",IF(AND(OR($S27="TOTAL_AMOUNT_INCLUDING_DELIVERY",$S27="EXACT_COLLECTION_AMOUNT"),$T27=""),"ERROR",IF(AND($S27="TOTAL_AMOUNT_INCLUDING_DELIVERY",$T27&lt;SUM($J27,$U27)),"ERROR",IF($S27="EXACT_COLLECTION_AMOUNT","REVIEW","OK")))))))))</f>
        <v/>
      </c>
      <c r="AV27" s="25">
        <f>IF($AU27="","",IF($H27="","Township required",IF($Q27="","Customer tier required",IF($M27="","Weight required",IF($S27="","Amount entry type required",IF(OR($J27&lt;0,$K27&lt;0,$M27&lt;0,$T27&lt;0,$U27&lt;0,$V27&lt;0,$W27&lt;0,$X27&lt;0,$Y27&lt;0),"Negative amounts are not allowed",IF($AE27="","Tariff not found for township and tier",IF(AND(OR($S27="ITEM_PRICE_PLUS_DECLARED_DELIVERY",$S27="TOTAL_AMOUNT_INCLUDING_DELIVERY",$S27="ITEM_PRICE_ONLY_DELIVERY_PAID_BY_MERCHANT"),$J27=""),"Item price required for this amount type",IF(AND(OR($S27="ITEM_PRICE_PLUS_DECLARED_DELIVERY",$S27="DELIVERY_CHARGE_ONLY"),$K27=""),"Declared delivery charge required",IF(AND(OR($S27="TOTAL_AMOUNT_INCLUDING_DELIVERY",$S27="EXACT_COLLECTION_AMOUNT"),$T27=""),"Stated total amount required",IF(AND($S27="TOTAL_AMOUNT_INCLUDING_DELIVERY",$T27&lt;SUM($J27,$U27)),"Stated total is below item price plus additional charge",IF($S27="EXACT_COLLECTION_AMOUNT","Authorized amount breakdown required before settlement","Ready for collection and settlement"))))))))))))</f>
        <v/>
      </c>
      <c r="AW27" s="23">
        <f>IF($AU27="","","PARCEL_FINANCIAL_V2")</f>
        <v/>
      </c>
      <c r="AX27" s="17" t="n"/>
    </row>
    <row r="28">
      <c r="A28" s="8" t="n"/>
      <c r="B28" s="8" t="n"/>
      <c r="C28" s="8" t="n"/>
      <c r="D28" s="8" t="n"/>
      <c r="E28" s="9" t="n"/>
      <c r="F28" s="9" t="n"/>
      <c r="G28" s="8" t="n"/>
      <c r="H28" s="9" t="n"/>
      <c r="I28" s="9" t="n"/>
      <c r="J28" s="10" t="n"/>
      <c r="K28" s="10" t="n"/>
      <c r="L28" s="11">
        <f>IF($S28="","",IF($S28="ITEM_PRICE_PLUS_DECLARED_DELIVERY",IF(OR($J28="",$K28=""),"",SUM($J28,$K28,$U28)),IF($S28="TOTAL_AMOUNT_INCLUDING_DELIVERY",IF($T28="","",$T28),IF($S28="DELIVERY_CHARGE_ONLY",IF($K28="","",SUM($K28,$U28)),IF($S28="EXACT_COLLECTION_AMOUNT",IF($T28="","",$T28),IF($S28="ITEM_PRICE_ONLY_DELIVERY_PAID_BY_MERCHANT",IF($J28="","",SUM($J28,$U28)),""))))))</f>
        <v/>
      </c>
      <c r="M28" s="12" t="n"/>
      <c r="N28" s="13" t="n"/>
      <c r="O28" s="13" t="n"/>
      <c r="P28" s="9" t="n"/>
      <c r="Q28" s="14" t="n"/>
      <c r="R28" s="15" t="n"/>
      <c r="S28" s="14" t="n"/>
      <c r="T28" s="16" t="n"/>
      <c r="U28" s="16" t="n"/>
      <c r="V28" s="16" t="n"/>
      <c r="W28" s="16" t="n"/>
      <c r="X28" s="16" t="n"/>
      <c r="Y28" s="16" t="n"/>
      <c r="Z28" s="14" t="n"/>
      <c r="AA28" s="14" t="n"/>
      <c r="AB28" s="14" t="n"/>
      <c r="AC28" s="17">
        <f>IFERROR(VLOOKUP($H28&amp;"|"&amp;$Q28,Tariff_Master!$A$2:$L$169,3,FALSE),"")</f>
        <v/>
      </c>
      <c r="AD28" s="17">
        <f>IFERROR(VLOOKUP($H28&amp;"|"&amp;$Q28,Tariff_Master!$A$2:$L$169,4,FALSE),"")</f>
        <v/>
      </c>
      <c r="AE28" s="18">
        <f>IFERROR(VLOOKUP($H28&amp;"|"&amp;$Q28,Tariff_Master!$A$2:$L$169,6,FALSE),"")</f>
        <v/>
      </c>
      <c r="AF28" s="19">
        <f>IFERROR(VLOOKUP($H28&amp;"|"&amp;$Q28,Tariff_Master!$A$2:$L$169,7,FALSE),"")</f>
        <v/>
      </c>
      <c r="AG28" s="18">
        <f>IFERROR(VLOOKUP($H28&amp;"|"&amp;$Q28,Tariff_Master!$A$2:$L$169,8,FALSE),"")</f>
        <v/>
      </c>
      <c r="AH28" s="20">
        <f>IFERROR(VLOOKUP($H28&amp;"|"&amp;$Q28,Tariff_Master!$A$2:$L$169,9,FALSE),"")</f>
        <v/>
      </c>
      <c r="AI28" s="18">
        <f>IFERROR(VLOOKUP($H28&amp;"|"&amp;$Q28,Tariff_Master!$A$2:$L$169,10,FALSE),"")</f>
        <v/>
      </c>
      <c r="AJ28" s="21">
        <f>IF($M28="","",ROUNDUP(MAX(0,$M28),0))</f>
        <v/>
      </c>
      <c r="AK28" s="21">
        <f>IF(OR($AJ28="",$AF28=""),"",MAX(0,$AJ28-$AF28))</f>
        <v/>
      </c>
      <c r="AL28" s="22">
        <f>IF(OR($AK28="",$AG28=""),"",MAX(0,$AK28*$AG28))</f>
        <v/>
      </c>
      <c r="AM28" s="22">
        <f>IF($AE28="","",MAX(0,SUM($AE28,$AL28,$V28,$W28)))</f>
        <v/>
      </c>
      <c r="AN28" s="22">
        <f>IF($AM28="","",IF(AND($Q28="COMMITMENT",$R28&gt;=$AH28),$AI28,0))</f>
        <v/>
      </c>
      <c r="AO28" s="23">
        <f>IF($AM28="","",MAX(0,$AM28-$AN28))</f>
        <v/>
      </c>
      <c r="AP28" s="22">
        <f>IF($S28="","",IF(OR($S28="ITEM_PRICE_PLUS_DECLARED_DELIVERY",$S28="DELIVERY_CHARGE_ONLY"),$K28,IF($S28="TOTAL_AMOUNT_INCLUDING_DELIVERY",IF(OR($T28="",$J28=""),"",MAX(0,$T28-$J28-$U28)),IF($S28="ITEM_PRICE_ONLY_DELIVERY_PAID_BY_MERCHANT",0,""))))</f>
        <v/>
      </c>
      <c r="AQ28" s="23">
        <f>IF(OR($AP28="",$AO28=""),"",$AP28-$AO28)</f>
        <v/>
      </c>
      <c r="AR28" s="24">
        <f>IF($S28="EXACT_COLLECTION_AMOUNT","BREAKDOWN_REQUIRED",IF($AQ28="","",IF($AQ28&gt;0,"CREDIT_TO_MERCHANT",IF($AQ28&lt;0,"DEDUCT_FROM_MERCHANT","NO_ADJUSTMENT"))))</f>
        <v/>
      </c>
      <c r="AS28" s="23">
        <f>IF(OR($AQ28="",$AR28="BREAKDOWN_REQUIRED"),"",$AQ28)</f>
        <v/>
      </c>
      <c r="AT28" s="23">
        <f>IF(OR($AR28="",$AR28="BREAKDOWN_REQUIRED"),"",SUM($J28,$AQ28,$Y28)-$X28)</f>
        <v/>
      </c>
      <c r="AU28" s="25">
        <f>IF(AND($A28="",$B28="",$F28="",$H28="",$J28="",$K28="",$M28="",$S28=""),"",IF(OR($H28="",$Q28="",$M28="",$S28=""),"ERROR",IF(OR($J28&lt;0,$K28&lt;0,$M28&lt;0,$T28&lt;0,$U28&lt;0,$V28&lt;0,$W28&lt;0,$X28&lt;0,$Y28&lt;0),"ERROR",IF($AE28="","ERROR",IF(AND(OR($S28="ITEM_PRICE_PLUS_DECLARED_DELIVERY",$S28="TOTAL_AMOUNT_INCLUDING_DELIVERY",$S28="ITEM_PRICE_ONLY_DELIVERY_PAID_BY_MERCHANT"),$J28=""),"ERROR",IF(AND(OR($S28="ITEM_PRICE_PLUS_DECLARED_DELIVERY",$S28="DELIVERY_CHARGE_ONLY"),$K28=""),"ERROR",IF(AND(OR($S28="TOTAL_AMOUNT_INCLUDING_DELIVERY",$S28="EXACT_COLLECTION_AMOUNT"),$T28=""),"ERROR",IF(AND($S28="TOTAL_AMOUNT_INCLUDING_DELIVERY",$T28&lt;SUM($J28,$U28)),"ERROR",IF($S28="EXACT_COLLECTION_AMOUNT","REVIEW","OK")))))))))</f>
        <v/>
      </c>
      <c r="AV28" s="25">
        <f>IF($AU28="","",IF($H28="","Township required",IF($Q28="","Customer tier required",IF($M28="","Weight required",IF($S28="","Amount entry type required",IF(OR($J28&lt;0,$K28&lt;0,$M28&lt;0,$T28&lt;0,$U28&lt;0,$V28&lt;0,$W28&lt;0,$X28&lt;0,$Y28&lt;0),"Negative amounts are not allowed",IF($AE28="","Tariff not found for township and tier",IF(AND(OR($S28="ITEM_PRICE_PLUS_DECLARED_DELIVERY",$S28="TOTAL_AMOUNT_INCLUDING_DELIVERY",$S28="ITEM_PRICE_ONLY_DELIVERY_PAID_BY_MERCHANT"),$J28=""),"Item price required for this amount type",IF(AND(OR($S28="ITEM_PRICE_PLUS_DECLARED_DELIVERY",$S28="DELIVERY_CHARGE_ONLY"),$K28=""),"Declared delivery charge required",IF(AND(OR($S28="TOTAL_AMOUNT_INCLUDING_DELIVERY",$S28="EXACT_COLLECTION_AMOUNT"),$T28=""),"Stated total amount required",IF(AND($S28="TOTAL_AMOUNT_INCLUDING_DELIVERY",$T28&lt;SUM($J28,$U28)),"Stated total is below item price plus additional charge",IF($S28="EXACT_COLLECTION_AMOUNT","Authorized amount breakdown required before settlement","Ready for collection and settlement"))))))))))))</f>
        <v/>
      </c>
      <c r="AW28" s="23">
        <f>IF($AU28="","","PARCEL_FINANCIAL_V2")</f>
        <v/>
      </c>
      <c r="AX28" s="17" t="n"/>
    </row>
    <row r="29">
      <c r="A29" s="8" t="n"/>
      <c r="B29" s="8" t="n"/>
      <c r="C29" s="8" t="n"/>
      <c r="D29" s="8" t="n"/>
      <c r="E29" s="9" t="n"/>
      <c r="F29" s="9" t="n"/>
      <c r="G29" s="8" t="n"/>
      <c r="H29" s="9" t="n"/>
      <c r="I29" s="9" t="n"/>
      <c r="J29" s="10" t="n"/>
      <c r="K29" s="10" t="n"/>
      <c r="L29" s="11">
        <f>IF($S29="","",IF($S29="ITEM_PRICE_PLUS_DECLARED_DELIVERY",IF(OR($J29="",$K29=""),"",SUM($J29,$K29,$U29)),IF($S29="TOTAL_AMOUNT_INCLUDING_DELIVERY",IF($T29="","",$T29),IF($S29="DELIVERY_CHARGE_ONLY",IF($K29="","",SUM($K29,$U29)),IF($S29="EXACT_COLLECTION_AMOUNT",IF($T29="","",$T29),IF($S29="ITEM_PRICE_ONLY_DELIVERY_PAID_BY_MERCHANT",IF($J29="","",SUM($J29,$U29)),""))))))</f>
        <v/>
      </c>
      <c r="M29" s="12" t="n"/>
      <c r="N29" s="13" t="n"/>
      <c r="O29" s="13" t="n"/>
      <c r="P29" s="9" t="n"/>
      <c r="Q29" s="14" t="n"/>
      <c r="R29" s="15" t="n"/>
      <c r="S29" s="14" t="n"/>
      <c r="T29" s="16" t="n"/>
      <c r="U29" s="16" t="n"/>
      <c r="V29" s="16" t="n"/>
      <c r="W29" s="16" t="n"/>
      <c r="X29" s="16" t="n"/>
      <c r="Y29" s="16" t="n"/>
      <c r="Z29" s="14" t="n"/>
      <c r="AA29" s="14" t="n"/>
      <c r="AB29" s="14" t="n"/>
      <c r="AC29" s="17">
        <f>IFERROR(VLOOKUP($H29&amp;"|"&amp;$Q29,Tariff_Master!$A$2:$L$169,3,FALSE),"")</f>
        <v/>
      </c>
      <c r="AD29" s="17">
        <f>IFERROR(VLOOKUP($H29&amp;"|"&amp;$Q29,Tariff_Master!$A$2:$L$169,4,FALSE),"")</f>
        <v/>
      </c>
      <c r="AE29" s="18">
        <f>IFERROR(VLOOKUP($H29&amp;"|"&amp;$Q29,Tariff_Master!$A$2:$L$169,6,FALSE),"")</f>
        <v/>
      </c>
      <c r="AF29" s="19">
        <f>IFERROR(VLOOKUP($H29&amp;"|"&amp;$Q29,Tariff_Master!$A$2:$L$169,7,FALSE),"")</f>
        <v/>
      </c>
      <c r="AG29" s="18">
        <f>IFERROR(VLOOKUP($H29&amp;"|"&amp;$Q29,Tariff_Master!$A$2:$L$169,8,FALSE),"")</f>
        <v/>
      </c>
      <c r="AH29" s="20">
        <f>IFERROR(VLOOKUP($H29&amp;"|"&amp;$Q29,Tariff_Master!$A$2:$L$169,9,FALSE),"")</f>
        <v/>
      </c>
      <c r="AI29" s="18">
        <f>IFERROR(VLOOKUP($H29&amp;"|"&amp;$Q29,Tariff_Master!$A$2:$L$169,10,FALSE),"")</f>
        <v/>
      </c>
      <c r="AJ29" s="21">
        <f>IF($M29="","",ROUNDUP(MAX(0,$M29),0))</f>
        <v/>
      </c>
      <c r="AK29" s="21">
        <f>IF(OR($AJ29="",$AF29=""),"",MAX(0,$AJ29-$AF29))</f>
        <v/>
      </c>
      <c r="AL29" s="22">
        <f>IF(OR($AK29="",$AG29=""),"",MAX(0,$AK29*$AG29))</f>
        <v/>
      </c>
      <c r="AM29" s="22">
        <f>IF($AE29="","",MAX(0,SUM($AE29,$AL29,$V29,$W29)))</f>
        <v/>
      </c>
      <c r="AN29" s="22">
        <f>IF($AM29="","",IF(AND($Q29="COMMITMENT",$R29&gt;=$AH29),$AI29,0))</f>
        <v/>
      </c>
      <c r="AO29" s="23">
        <f>IF($AM29="","",MAX(0,$AM29-$AN29))</f>
        <v/>
      </c>
      <c r="AP29" s="22">
        <f>IF($S29="","",IF(OR($S29="ITEM_PRICE_PLUS_DECLARED_DELIVERY",$S29="DELIVERY_CHARGE_ONLY"),$K29,IF($S29="TOTAL_AMOUNT_INCLUDING_DELIVERY",IF(OR($T29="",$J29=""),"",MAX(0,$T29-$J29-$U29)),IF($S29="ITEM_PRICE_ONLY_DELIVERY_PAID_BY_MERCHANT",0,""))))</f>
        <v/>
      </c>
      <c r="AQ29" s="23">
        <f>IF(OR($AP29="",$AO29=""),"",$AP29-$AO29)</f>
        <v/>
      </c>
      <c r="AR29" s="24">
        <f>IF($S29="EXACT_COLLECTION_AMOUNT","BREAKDOWN_REQUIRED",IF($AQ29="","",IF($AQ29&gt;0,"CREDIT_TO_MERCHANT",IF($AQ29&lt;0,"DEDUCT_FROM_MERCHANT","NO_ADJUSTMENT"))))</f>
        <v/>
      </c>
      <c r="AS29" s="23">
        <f>IF(OR($AQ29="",$AR29="BREAKDOWN_REQUIRED"),"",$AQ29)</f>
        <v/>
      </c>
      <c r="AT29" s="23">
        <f>IF(OR($AR29="",$AR29="BREAKDOWN_REQUIRED"),"",SUM($J29,$AQ29,$Y29)-$X29)</f>
        <v/>
      </c>
      <c r="AU29" s="25">
        <f>IF(AND($A29="",$B29="",$F29="",$H29="",$J29="",$K29="",$M29="",$S29=""),"",IF(OR($H29="",$Q29="",$M29="",$S29=""),"ERROR",IF(OR($J29&lt;0,$K29&lt;0,$M29&lt;0,$T29&lt;0,$U29&lt;0,$V29&lt;0,$W29&lt;0,$X29&lt;0,$Y29&lt;0),"ERROR",IF($AE29="","ERROR",IF(AND(OR($S29="ITEM_PRICE_PLUS_DECLARED_DELIVERY",$S29="TOTAL_AMOUNT_INCLUDING_DELIVERY",$S29="ITEM_PRICE_ONLY_DELIVERY_PAID_BY_MERCHANT"),$J29=""),"ERROR",IF(AND(OR($S29="ITEM_PRICE_PLUS_DECLARED_DELIVERY",$S29="DELIVERY_CHARGE_ONLY"),$K29=""),"ERROR",IF(AND(OR($S29="TOTAL_AMOUNT_INCLUDING_DELIVERY",$S29="EXACT_COLLECTION_AMOUNT"),$T29=""),"ERROR",IF(AND($S29="TOTAL_AMOUNT_INCLUDING_DELIVERY",$T29&lt;SUM($J29,$U29)),"ERROR",IF($S29="EXACT_COLLECTION_AMOUNT","REVIEW","OK")))))))))</f>
        <v/>
      </c>
      <c r="AV29" s="25">
        <f>IF($AU29="","",IF($H29="","Township required",IF($Q29="","Customer tier required",IF($M29="","Weight required",IF($S29="","Amount entry type required",IF(OR($J29&lt;0,$K29&lt;0,$M29&lt;0,$T29&lt;0,$U29&lt;0,$V29&lt;0,$W29&lt;0,$X29&lt;0,$Y29&lt;0),"Negative amounts are not allowed",IF($AE29="","Tariff not found for township and tier",IF(AND(OR($S29="ITEM_PRICE_PLUS_DECLARED_DELIVERY",$S29="TOTAL_AMOUNT_INCLUDING_DELIVERY",$S29="ITEM_PRICE_ONLY_DELIVERY_PAID_BY_MERCHANT"),$J29=""),"Item price required for this amount type",IF(AND(OR($S29="ITEM_PRICE_PLUS_DECLARED_DELIVERY",$S29="DELIVERY_CHARGE_ONLY"),$K29=""),"Declared delivery charge required",IF(AND(OR($S29="TOTAL_AMOUNT_INCLUDING_DELIVERY",$S29="EXACT_COLLECTION_AMOUNT"),$T29=""),"Stated total amount required",IF(AND($S29="TOTAL_AMOUNT_INCLUDING_DELIVERY",$T29&lt;SUM($J29,$U29)),"Stated total is below item price plus additional charge",IF($S29="EXACT_COLLECTION_AMOUNT","Authorized amount breakdown required before settlement","Ready for collection and settlement"))))))))))))</f>
        <v/>
      </c>
      <c r="AW29" s="23">
        <f>IF($AU29="","","PARCEL_FINANCIAL_V2")</f>
        <v/>
      </c>
      <c r="AX29" s="17" t="n"/>
    </row>
    <row r="30">
      <c r="A30" s="8" t="n"/>
      <c r="B30" s="8" t="n"/>
      <c r="C30" s="8" t="n"/>
      <c r="D30" s="8" t="n"/>
      <c r="E30" s="9" t="n"/>
      <c r="F30" s="9" t="n"/>
      <c r="G30" s="8" t="n"/>
      <c r="H30" s="9" t="n"/>
      <c r="I30" s="9" t="n"/>
      <c r="J30" s="10" t="n"/>
      <c r="K30" s="10" t="n"/>
      <c r="L30" s="11">
        <f>IF($S30="","",IF($S30="ITEM_PRICE_PLUS_DECLARED_DELIVERY",IF(OR($J30="",$K30=""),"",SUM($J30,$K30,$U30)),IF($S30="TOTAL_AMOUNT_INCLUDING_DELIVERY",IF($T30="","",$T30),IF($S30="DELIVERY_CHARGE_ONLY",IF($K30="","",SUM($K30,$U30)),IF($S30="EXACT_COLLECTION_AMOUNT",IF($T30="","",$T30),IF($S30="ITEM_PRICE_ONLY_DELIVERY_PAID_BY_MERCHANT",IF($J30="","",SUM($J30,$U30)),""))))))</f>
        <v/>
      </c>
      <c r="M30" s="12" t="n"/>
      <c r="N30" s="13" t="n"/>
      <c r="O30" s="13" t="n"/>
      <c r="P30" s="9" t="n"/>
      <c r="Q30" s="14" t="n"/>
      <c r="R30" s="15" t="n"/>
      <c r="S30" s="14" t="n"/>
      <c r="T30" s="16" t="n"/>
      <c r="U30" s="16" t="n"/>
      <c r="V30" s="16" t="n"/>
      <c r="W30" s="16" t="n"/>
      <c r="X30" s="16" t="n"/>
      <c r="Y30" s="16" t="n"/>
      <c r="Z30" s="14" t="n"/>
      <c r="AA30" s="14" t="n"/>
      <c r="AB30" s="14" t="n"/>
      <c r="AC30" s="17">
        <f>IFERROR(VLOOKUP($H30&amp;"|"&amp;$Q30,Tariff_Master!$A$2:$L$169,3,FALSE),"")</f>
        <v/>
      </c>
      <c r="AD30" s="17">
        <f>IFERROR(VLOOKUP($H30&amp;"|"&amp;$Q30,Tariff_Master!$A$2:$L$169,4,FALSE),"")</f>
        <v/>
      </c>
      <c r="AE30" s="18">
        <f>IFERROR(VLOOKUP($H30&amp;"|"&amp;$Q30,Tariff_Master!$A$2:$L$169,6,FALSE),"")</f>
        <v/>
      </c>
      <c r="AF30" s="19">
        <f>IFERROR(VLOOKUP($H30&amp;"|"&amp;$Q30,Tariff_Master!$A$2:$L$169,7,FALSE),"")</f>
        <v/>
      </c>
      <c r="AG30" s="18">
        <f>IFERROR(VLOOKUP($H30&amp;"|"&amp;$Q30,Tariff_Master!$A$2:$L$169,8,FALSE),"")</f>
        <v/>
      </c>
      <c r="AH30" s="20">
        <f>IFERROR(VLOOKUP($H30&amp;"|"&amp;$Q30,Tariff_Master!$A$2:$L$169,9,FALSE),"")</f>
        <v/>
      </c>
      <c r="AI30" s="18">
        <f>IFERROR(VLOOKUP($H30&amp;"|"&amp;$Q30,Tariff_Master!$A$2:$L$169,10,FALSE),"")</f>
        <v/>
      </c>
      <c r="AJ30" s="21">
        <f>IF($M30="","",ROUNDUP(MAX(0,$M30),0))</f>
        <v/>
      </c>
      <c r="AK30" s="21">
        <f>IF(OR($AJ30="",$AF30=""),"",MAX(0,$AJ30-$AF30))</f>
        <v/>
      </c>
      <c r="AL30" s="22">
        <f>IF(OR($AK30="",$AG30=""),"",MAX(0,$AK30*$AG30))</f>
        <v/>
      </c>
      <c r="AM30" s="22">
        <f>IF($AE30="","",MAX(0,SUM($AE30,$AL30,$V30,$W30)))</f>
        <v/>
      </c>
      <c r="AN30" s="22">
        <f>IF($AM30="","",IF(AND($Q30="COMMITMENT",$R30&gt;=$AH30),$AI30,0))</f>
        <v/>
      </c>
      <c r="AO30" s="23">
        <f>IF($AM30="","",MAX(0,$AM30-$AN30))</f>
        <v/>
      </c>
      <c r="AP30" s="22">
        <f>IF($S30="","",IF(OR($S30="ITEM_PRICE_PLUS_DECLARED_DELIVERY",$S30="DELIVERY_CHARGE_ONLY"),$K30,IF($S30="TOTAL_AMOUNT_INCLUDING_DELIVERY",IF(OR($T30="",$J30=""),"",MAX(0,$T30-$J30-$U30)),IF($S30="ITEM_PRICE_ONLY_DELIVERY_PAID_BY_MERCHANT",0,""))))</f>
        <v/>
      </c>
      <c r="AQ30" s="23">
        <f>IF(OR($AP30="",$AO30=""),"",$AP30-$AO30)</f>
        <v/>
      </c>
      <c r="AR30" s="24">
        <f>IF($S30="EXACT_COLLECTION_AMOUNT","BREAKDOWN_REQUIRED",IF($AQ30="","",IF($AQ30&gt;0,"CREDIT_TO_MERCHANT",IF($AQ30&lt;0,"DEDUCT_FROM_MERCHANT","NO_ADJUSTMENT"))))</f>
        <v/>
      </c>
      <c r="AS30" s="23">
        <f>IF(OR($AQ30="",$AR30="BREAKDOWN_REQUIRED"),"",$AQ30)</f>
        <v/>
      </c>
      <c r="AT30" s="23">
        <f>IF(OR($AR30="",$AR30="BREAKDOWN_REQUIRED"),"",SUM($J30,$AQ30,$Y30)-$X30)</f>
        <v/>
      </c>
      <c r="AU30" s="25">
        <f>IF(AND($A30="",$B30="",$F30="",$H30="",$J30="",$K30="",$M30="",$S30=""),"",IF(OR($H30="",$Q30="",$M30="",$S30=""),"ERROR",IF(OR($J30&lt;0,$K30&lt;0,$M30&lt;0,$T30&lt;0,$U30&lt;0,$V30&lt;0,$W30&lt;0,$X30&lt;0,$Y30&lt;0),"ERROR",IF($AE30="","ERROR",IF(AND(OR($S30="ITEM_PRICE_PLUS_DECLARED_DELIVERY",$S30="TOTAL_AMOUNT_INCLUDING_DELIVERY",$S30="ITEM_PRICE_ONLY_DELIVERY_PAID_BY_MERCHANT"),$J30=""),"ERROR",IF(AND(OR($S30="ITEM_PRICE_PLUS_DECLARED_DELIVERY",$S30="DELIVERY_CHARGE_ONLY"),$K30=""),"ERROR",IF(AND(OR($S30="TOTAL_AMOUNT_INCLUDING_DELIVERY",$S30="EXACT_COLLECTION_AMOUNT"),$T30=""),"ERROR",IF(AND($S30="TOTAL_AMOUNT_INCLUDING_DELIVERY",$T30&lt;SUM($J30,$U30)),"ERROR",IF($S30="EXACT_COLLECTION_AMOUNT","REVIEW","OK")))))))))</f>
        <v/>
      </c>
      <c r="AV30" s="25">
        <f>IF($AU30="","",IF($H30="","Township required",IF($Q30="","Customer tier required",IF($M30="","Weight required",IF($S30="","Amount entry type required",IF(OR($J30&lt;0,$K30&lt;0,$M30&lt;0,$T30&lt;0,$U30&lt;0,$V30&lt;0,$W30&lt;0,$X30&lt;0,$Y30&lt;0),"Negative amounts are not allowed",IF($AE30="","Tariff not found for township and tier",IF(AND(OR($S30="ITEM_PRICE_PLUS_DECLARED_DELIVERY",$S30="TOTAL_AMOUNT_INCLUDING_DELIVERY",$S30="ITEM_PRICE_ONLY_DELIVERY_PAID_BY_MERCHANT"),$J30=""),"Item price required for this amount type",IF(AND(OR($S30="ITEM_PRICE_PLUS_DECLARED_DELIVERY",$S30="DELIVERY_CHARGE_ONLY"),$K30=""),"Declared delivery charge required",IF(AND(OR($S30="TOTAL_AMOUNT_INCLUDING_DELIVERY",$S30="EXACT_COLLECTION_AMOUNT"),$T30=""),"Stated total amount required",IF(AND($S30="TOTAL_AMOUNT_INCLUDING_DELIVERY",$T30&lt;SUM($J30,$U30)),"Stated total is below item price plus additional charge",IF($S30="EXACT_COLLECTION_AMOUNT","Authorized amount breakdown required before settlement","Ready for collection and settlement"))))))))))))</f>
        <v/>
      </c>
      <c r="AW30" s="23">
        <f>IF($AU30="","","PARCEL_FINANCIAL_V2")</f>
        <v/>
      </c>
      <c r="AX30" s="17" t="n"/>
    </row>
    <row r="31">
      <c r="A31" s="8" t="n"/>
      <c r="B31" s="8" t="n"/>
      <c r="C31" s="8" t="n"/>
      <c r="D31" s="8" t="n"/>
      <c r="E31" s="9" t="n"/>
      <c r="F31" s="9" t="n"/>
      <c r="G31" s="8" t="n"/>
      <c r="H31" s="9" t="n"/>
      <c r="I31" s="9" t="n"/>
      <c r="J31" s="10" t="n"/>
      <c r="K31" s="10" t="n"/>
      <c r="L31" s="11">
        <f>IF($S31="","",IF($S31="ITEM_PRICE_PLUS_DECLARED_DELIVERY",IF(OR($J31="",$K31=""),"",SUM($J31,$K31,$U31)),IF($S31="TOTAL_AMOUNT_INCLUDING_DELIVERY",IF($T31="","",$T31),IF($S31="DELIVERY_CHARGE_ONLY",IF($K31="","",SUM($K31,$U31)),IF($S31="EXACT_COLLECTION_AMOUNT",IF($T31="","",$T31),IF($S31="ITEM_PRICE_ONLY_DELIVERY_PAID_BY_MERCHANT",IF($J31="","",SUM($J31,$U31)),""))))))</f>
        <v/>
      </c>
      <c r="M31" s="12" t="n"/>
      <c r="N31" s="13" t="n"/>
      <c r="O31" s="13" t="n"/>
      <c r="P31" s="9" t="n"/>
      <c r="Q31" s="14" t="n"/>
      <c r="R31" s="15" t="n"/>
      <c r="S31" s="14" t="n"/>
      <c r="T31" s="16" t="n"/>
      <c r="U31" s="16" t="n"/>
      <c r="V31" s="16" t="n"/>
      <c r="W31" s="16" t="n"/>
      <c r="X31" s="16" t="n"/>
      <c r="Y31" s="16" t="n"/>
      <c r="Z31" s="14" t="n"/>
      <c r="AA31" s="14" t="n"/>
      <c r="AB31" s="14" t="n"/>
      <c r="AC31" s="17">
        <f>IFERROR(VLOOKUP($H31&amp;"|"&amp;$Q31,Tariff_Master!$A$2:$L$169,3,FALSE),"")</f>
        <v/>
      </c>
      <c r="AD31" s="17">
        <f>IFERROR(VLOOKUP($H31&amp;"|"&amp;$Q31,Tariff_Master!$A$2:$L$169,4,FALSE),"")</f>
        <v/>
      </c>
      <c r="AE31" s="18">
        <f>IFERROR(VLOOKUP($H31&amp;"|"&amp;$Q31,Tariff_Master!$A$2:$L$169,6,FALSE),"")</f>
        <v/>
      </c>
      <c r="AF31" s="19">
        <f>IFERROR(VLOOKUP($H31&amp;"|"&amp;$Q31,Tariff_Master!$A$2:$L$169,7,FALSE),"")</f>
        <v/>
      </c>
      <c r="AG31" s="18">
        <f>IFERROR(VLOOKUP($H31&amp;"|"&amp;$Q31,Tariff_Master!$A$2:$L$169,8,FALSE),"")</f>
        <v/>
      </c>
      <c r="AH31" s="20">
        <f>IFERROR(VLOOKUP($H31&amp;"|"&amp;$Q31,Tariff_Master!$A$2:$L$169,9,FALSE),"")</f>
        <v/>
      </c>
      <c r="AI31" s="18">
        <f>IFERROR(VLOOKUP($H31&amp;"|"&amp;$Q31,Tariff_Master!$A$2:$L$169,10,FALSE),"")</f>
        <v/>
      </c>
      <c r="AJ31" s="21">
        <f>IF($M31="","",ROUNDUP(MAX(0,$M31),0))</f>
        <v/>
      </c>
      <c r="AK31" s="21">
        <f>IF(OR($AJ31="",$AF31=""),"",MAX(0,$AJ31-$AF31))</f>
        <v/>
      </c>
      <c r="AL31" s="22">
        <f>IF(OR($AK31="",$AG31=""),"",MAX(0,$AK31*$AG31))</f>
        <v/>
      </c>
      <c r="AM31" s="22">
        <f>IF($AE31="","",MAX(0,SUM($AE31,$AL31,$V31,$W31)))</f>
        <v/>
      </c>
      <c r="AN31" s="22">
        <f>IF($AM31="","",IF(AND($Q31="COMMITMENT",$R31&gt;=$AH31),$AI31,0))</f>
        <v/>
      </c>
      <c r="AO31" s="23">
        <f>IF($AM31="","",MAX(0,$AM31-$AN31))</f>
        <v/>
      </c>
      <c r="AP31" s="22">
        <f>IF($S31="","",IF(OR($S31="ITEM_PRICE_PLUS_DECLARED_DELIVERY",$S31="DELIVERY_CHARGE_ONLY"),$K31,IF($S31="TOTAL_AMOUNT_INCLUDING_DELIVERY",IF(OR($T31="",$J31=""),"",MAX(0,$T31-$J31-$U31)),IF($S31="ITEM_PRICE_ONLY_DELIVERY_PAID_BY_MERCHANT",0,""))))</f>
        <v/>
      </c>
      <c r="AQ31" s="23">
        <f>IF(OR($AP31="",$AO31=""),"",$AP31-$AO31)</f>
        <v/>
      </c>
      <c r="AR31" s="24">
        <f>IF($S31="EXACT_COLLECTION_AMOUNT","BREAKDOWN_REQUIRED",IF($AQ31="","",IF($AQ31&gt;0,"CREDIT_TO_MERCHANT",IF($AQ31&lt;0,"DEDUCT_FROM_MERCHANT","NO_ADJUSTMENT"))))</f>
        <v/>
      </c>
      <c r="AS31" s="23">
        <f>IF(OR($AQ31="",$AR31="BREAKDOWN_REQUIRED"),"",$AQ31)</f>
        <v/>
      </c>
      <c r="AT31" s="23">
        <f>IF(OR($AR31="",$AR31="BREAKDOWN_REQUIRED"),"",SUM($J31,$AQ31,$Y31)-$X31)</f>
        <v/>
      </c>
      <c r="AU31" s="25">
        <f>IF(AND($A31="",$B31="",$F31="",$H31="",$J31="",$K31="",$M31="",$S31=""),"",IF(OR($H31="",$Q31="",$M31="",$S31=""),"ERROR",IF(OR($J31&lt;0,$K31&lt;0,$M31&lt;0,$T31&lt;0,$U31&lt;0,$V31&lt;0,$W31&lt;0,$X31&lt;0,$Y31&lt;0),"ERROR",IF($AE31="","ERROR",IF(AND(OR($S31="ITEM_PRICE_PLUS_DECLARED_DELIVERY",$S31="TOTAL_AMOUNT_INCLUDING_DELIVERY",$S31="ITEM_PRICE_ONLY_DELIVERY_PAID_BY_MERCHANT"),$J31=""),"ERROR",IF(AND(OR($S31="ITEM_PRICE_PLUS_DECLARED_DELIVERY",$S31="DELIVERY_CHARGE_ONLY"),$K31=""),"ERROR",IF(AND(OR($S31="TOTAL_AMOUNT_INCLUDING_DELIVERY",$S31="EXACT_COLLECTION_AMOUNT"),$T31=""),"ERROR",IF(AND($S31="TOTAL_AMOUNT_INCLUDING_DELIVERY",$T31&lt;SUM($J31,$U31)),"ERROR",IF($S31="EXACT_COLLECTION_AMOUNT","REVIEW","OK")))))))))</f>
        <v/>
      </c>
      <c r="AV31" s="25">
        <f>IF($AU31="","",IF($H31="","Township required",IF($Q31="","Customer tier required",IF($M31="","Weight required",IF($S31="","Amount entry type required",IF(OR($J31&lt;0,$K31&lt;0,$M31&lt;0,$T31&lt;0,$U31&lt;0,$V31&lt;0,$W31&lt;0,$X31&lt;0,$Y31&lt;0),"Negative amounts are not allowed",IF($AE31="","Tariff not found for township and tier",IF(AND(OR($S31="ITEM_PRICE_PLUS_DECLARED_DELIVERY",$S31="TOTAL_AMOUNT_INCLUDING_DELIVERY",$S31="ITEM_PRICE_ONLY_DELIVERY_PAID_BY_MERCHANT"),$J31=""),"Item price required for this amount type",IF(AND(OR($S31="ITEM_PRICE_PLUS_DECLARED_DELIVERY",$S31="DELIVERY_CHARGE_ONLY"),$K31=""),"Declared delivery charge required",IF(AND(OR($S31="TOTAL_AMOUNT_INCLUDING_DELIVERY",$S31="EXACT_COLLECTION_AMOUNT"),$T31=""),"Stated total amount required",IF(AND($S31="TOTAL_AMOUNT_INCLUDING_DELIVERY",$T31&lt;SUM($J31,$U31)),"Stated total is below item price plus additional charge",IF($S31="EXACT_COLLECTION_AMOUNT","Authorized amount breakdown required before settlement","Ready for collection and settlement"))))))))))))</f>
        <v/>
      </c>
      <c r="AW31" s="23">
        <f>IF($AU31="","","PARCEL_FINANCIAL_V2")</f>
        <v/>
      </c>
      <c r="AX31" s="17" t="n"/>
    </row>
    <row r="32">
      <c r="A32" s="8" t="n"/>
      <c r="B32" s="8" t="n"/>
      <c r="C32" s="8" t="n"/>
      <c r="D32" s="8" t="n"/>
      <c r="E32" s="9" t="n"/>
      <c r="F32" s="9" t="n"/>
      <c r="G32" s="8" t="n"/>
      <c r="H32" s="9" t="n"/>
      <c r="I32" s="9" t="n"/>
      <c r="J32" s="10" t="n"/>
      <c r="K32" s="10" t="n"/>
      <c r="L32" s="11">
        <f>IF($S32="","",IF($S32="ITEM_PRICE_PLUS_DECLARED_DELIVERY",IF(OR($J32="",$K32=""),"",SUM($J32,$K32,$U32)),IF($S32="TOTAL_AMOUNT_INCLUDING_DELIVERY",IF($T32="","",$T32),IF($S32="DELIVERY_CHARGE_ONLY",IF($K32="","",SUM($K32,$U32)),IF($S32="EXACT_COLLECTION_AMOUNT",IF($T32="","",$T32),IF($S32="ITEM_PRICE_ONLY_DELIVERY_PAID_BY_MERCHANT",IF($J32="","",SUM($J32,$U32)),""))))))</f>
        <v/>
      </c>
      <c r="M32" s="12" t="n"/>
      <c r="N32" s="13" t="n"/>
      <c r="O32" s="13" t="n"/>
      <c r="P32" s="9" t="n"/>
      <c r="Q32" s="14" t="n"/>
      <c r="R32" s="15" t="n"/>
      <c r="S32" s="14" t="n"/>
      <c r="T32" s="16" t="n"/>
      <c r="U32" s="16" t="n"/>
      <c r="V32" s="16" t="n"/>
      <c r="W32" s="16" t="n"/>
      <c r="X32" s="16" t="n"/>
      <c r="Y32" s="16" t="n"/>
      <c r="Z32" s="14" t="n"/>
      <c r="AA32" s="14" t="n"/>
      <c r="AB32" s="14" t="n"/>
      <c r="AC32" s="17">
        <f>IFERROR(VLOOKUP($H32&amp;"|"&amp;$Q32,Tariff_Master!$A$2:$L$169,3,FALSE),"")</f>
        <v/>
      </c>
      <c r="AD32" s="17">
        <f>IFERROR(VLOOKUP($H32&amp;"|"&amp;$Q32,Tariff_Master!$A$2:$L$169,4,FALSE),"")</f>
        <v/>
      </c>
      <c r="AE32" s="18">
        <f>IFERROR(VLOOKUP($H32&amp;"|"&amp;$Q32,Tariff_Master!$A$2:$L$169,6,FALSE),"")</f>
        <v/>
      </c>
      <c r="AF32" s="19">
        <f>IFERROR(VLOOKUP($H32&amp;"|"&amp;$Q32,Tariff_Master!$A$2:$L$169,7,FALSE),"")</f>
        <v/>
      </c>
      <c r="AG32" s="18">
        <f>IFERROR(VLOOKUP($H32&amp;"|"&amp;$Q32,Tariff_Master!$A$2:$L$169,8,FALSE),"")</f>
        <v/>
      </c>
      <c r="AH32" s="20">
        <f>IFERROR(VLOOKUP($H32&amp;"|"&amp;$Q32,Tariff_Master!$A$2:$L$169,9,FALSE),"")</f>
        <v/>
      </c>
      <c r="AI32" s="18">
        <f>IFERROR(VLOOKUP($H32&amp;"|"&amp;$Q32,Tariff_Master!$A$2:$L$169,10,FALSE),"")</f>
        <v/>
      </c>
      <c r="AJ32" s="21">
        <f>IF($M32="","",ROUNDUP(MAX(0,$M32),0))</f>
        <v/>
      </c>
      <c r="AK32" s="21">
        <f>IF(OR($AJ32="",$AF32=""),"",MAX(0,$AJ32-$AF32))</f>
        <v/>
      </c>
      <c r="AL32" s="22">
        <f>IF(OR($AK32="",$AG32=""),"",MAX(0,$AK32*$AG32))</f>
        <v/>
      </c>
      <c r="AM32" s="22">
        <f>IF($AE32="","",MAX(0,SUM($AE32,$AL32,$V32,$W32)))</f>
        <v/>
      </c>
      <c r="AN32" s="22">
        <f>IF($AM32="","",IF(AND($Q32="COMMITMENT",$R32&gt;=$AH32),$AI32,0))</f>
        <v/>
      </c>
      <c r="AO32" s="23">
        <f>IF($AM32="","",MAX(0,$AM32-$AN32))</f>
        <v/>
      </c>
      <c r="AP32" s="22">
        <f>IF($S32="","",IF(OR($S32="ITEM_PRICE_PLUS_DECLARED_DELIVERY",$S32="DELIVERY_CHARGE_ONLY"),$K32,IF($S32="TOTAL_AMOUNT_INCLUDING_DELIVERY",IF(OR($T32="",$J32=""),"",MAX(0,$T32-$J32-$U32)),IF($S32="ITEM_PRICE_ONLY_DELIVERY_PAID_BY_MERCHANT",0,""))))</f>
        <v/>
      </c>
      <c r="AQ32" s="23">
        <f>IF(OR($AP32="",$AO32=""),"",$AP32-$AO32)</f>
        <v/>
      </c>
      <c r="AR32" s="24">
        <f>IF($S32="EXACT_COLLECTION_AMOUNT","BREAKDOWN_REQUIRED",IF($AQ32="","",IF($AQ32&gt;0,"CREDIT_TO_MERCHANT",IF($AQ32&lt;0,"DEDUCT_FROM_MERCHANT","NO_ADJUSTMENT"))))</f>
        <v/>
      </c>
      <c r="AS32" s="23">
        <f>IF(OR($AQ32="",$AR32="BREAKDOWN_REQUIRED"),"",$AQ32)</f>
        <v/>
      </c>
      <c r="AT32" s="23">
        <f>IF(OR($AR32="",$AR32="BREAKDOWN_REQUIRED"),"",SUM($J32,$AQ32,$Y32)-$X32)</f>
        <v/>
      </c>
      <c r="AU32" s="25">
        <f>IF(AND($A32="",$B32="",$F32="",$H32="",$J32="",$K32="",$M32="",$S32=""),"",IF(OR($H32="",$Q32="",$M32="",$S32=""),"ERROR",IF(OR($J32&lt;0,$K32&lt;0,$M32&lt;0,$T32&lt;0,$U32&lt;0,$V32&lt;0,$W32&lt;0,$X32&lt;0,$Y32&lt;0),"ERROR",IF($AE32="","ERROR",IF(AND(OR($S32="ITEM_PRICE_PLUS_DECLARED_DELIVERY",$S32="TOTAL_AMOUNT_INCLUDING_DELIVERY",$S32="ITEM_PRICE_ONLY_DELIVERY_PAID_BY_MERCHANT"),$J32=""),"ERROR",IF(AND(OR($S32="ITEM_PRICE_PLUS_DECLARED_DELIVERY",$S32="DELIVERY_CHARGE_ONLY"),$K32=""),"ERROR",IF(AND(OR($S32="TOTAL_AMOUNT_INCLUDING_DELIVERY",$S32="EXACT_COLLECTION_AMOUNT"),$T32=""),"ERROR",IF(AND($S32="TOTAL_AMOUNT_INCLUDING_DELIVERY",$T32&lt;SUM($J32,$U32)),"ERROR",IF($S32="EXACT_COLLECTION_AMOUNT","REVIEW","OK")))))))))</f>
        <v/>
      </c>
      <c r="AV32" s="25">
        <f>IF($AU32="","",IF($H32="","Township required",IF($Q32="","Customer tier required",IF($M32="","Weight required",IF($S32="","Amount entry type required",IF(OR($J32&lt;0,$K32&lt;0,$M32&lt;0,$T32&lt;0,$U32&lt;0,$V32&lt;0,$W32&lt;0,$X32&lt;0,$Y32&lt;0),"Negative amounts are not allowed",IF($AE32="","Tariff not found for township and tier",IF(AND(OR($S32="ITEM_PRICE_PLUS_DECLARED_DELIVERY",$S32="TOTAL_AMOUNT_INCLUDING_DELIVERY",$S32="ITEM_PRICE_ONLY_DELIVERY_PAID_BY_MERCHANT"),$J32=""),"Item price required for this amount type",IF(AND(OR($S32="ITEM_PRICE_PLUS_DECLARED_DELIVERY",$S32="DELIVERY_CHARGE_ONLY"),$K32=""),"Declared delivery charge required",IF(AND(OR($S32="TOTAL_AMOUNT_INCLUDING_DELIVERY",$S32="EXACT_COLLECTION_AMOUNT"),$T32=""),"Stated total amount required",IF(AND($S32="TOTAL_AMOUNT_INCLUDING_DELIVERY",$T32&lt;SUM($J32,$U32)),"Stated total is below item price plus additional charge",IF($S32="EXACT_COLLECTION_AMOUNT","Authorized amount breakdown required before settlement","Ready for collection and settlement"))))))))))))</f>
        <v/>
      </c>
      <c r="AW32" s="23">
        <f>IF($AU32="","","PARCEL_FINANCIAL_V2")</f>
        <v/>
      </c>
      <c r="AX32" s="17" t="n"/>
    </row>
    <row r="33">
      <c r="A33" s="8" t="n"/>
      <c r="B33" s="8" t="n"/>
      <c r="C33" s="8" t="n"/>
      <c r="D33" s="8" t="n"/>
      <c r="E33" s="9" t="n"/>
      <c r="F33" s="9" t="n"/>
      <c r="G33" s="8" t="n"/>
      <c r="H33" s="9" t="n"/>
      <c r="I33" s="9" t="n"/>
      <c r="J33" s="10" t="n"/>
      <c r="K33" s="10" t="n"/>
      <c r="L33" s="11">
        <f>IF($S33="","",IF($S33="ITEM_PRICE_PLUS_DECLARED_DELIVERY",IF(OR($J33="",$K33=""),"",SUM($J33,$K33,$U33)),IF($S33="TOTAL_AMOUNT_INCLUDING_DELIVERY",IF($T33="","",$T33),IF($S33="DELIVERY_CHARGE_ONLY",IF($K33="","",SUM($K33,$U33)),IF($S33="EXACT_COLLECTION_AMOUNT",IF($T33="","",$T33),IF($S33="ITEM_PRICE_ONLY_DELIVERY_PAID_BY_MERCHANT",IF($J33="","",SUM($J33,$U33)),""))))))</f>
        <v/>
      </c>
      <c r="M33" s="12" t="n"/>
      <c r="N33" s="13" t="n"/>
      <c r="O33" s="13" t="n"/>
      <c r="P33" s="9" t="n"/>
      <c r="Q33" s="14" t="n"/>
      <c r="R33" s="15" t="n"/>
      <c r="S33" s="14" t="n"/>
      <c r="T33" s="16" t="n"/>
      <c r="U33" s="16" t="n"/>
      <c r="V33" s="16" t="n"/>
      <c r="W33" s="16" t="n"/>
      <c r="X33" s="16" t="n"/>
      <c r="Y33" s="16" t="n"/>
      <c r="Z33" s="14" t="n"/>
      <c r="AA33" s="14" t="n"/>
      <c r="AB33" s="14" t="n"/>
      <c r="AC33" s="17">
        <f>IFERROR(VLOOKUP($H33&amp;"|"&amp;$Q33,Tariff_Master!$A$2:$L$169,3,FALSE),"")</f>
        <v/>
      </c>
      <c r="AD33" s="17">
        <f>IFERROR(VLOOKUP($H33&amp;"|"&amp;$Q33,Tariff_Master!$A$2:$L$169,4,FALSE),"")</f>
        <v/>
      </c>
      <c r="AE33" s="18">
        <f>IFERROR(VLOOKUP($H33&amp;"|"&amp;$Q33,Tariff_Master!$A$2:$L$169,6,FALSE),"")</f>
        <v/>
      </c>
      <c r="AF33" s="19">
        <f>IFERROR(VLOOKUP($H33&amp;"|"&amp;$Q33,Tariff_Master!$A$2:$L$169,7,FALSE),"")</f>
        <v/>
      </c>
      <c r="AG33" s="18">
        <f>IFERROR(VLOOKUP($H33&amp;"|"&amp;$Q33,Tariff_Master!$A$2:$L$169,8,FALSE),"")</f>
        <v/>
      </c>
      <c r="AH33" s="20">
        <f>IFERROR(VLOOKUP($H33&amp;"|"&amp;$Q33,Tariff_Master!$A$2:$L$169,9,FALSE),"")</f>
        <v/>
      </c>
      <c r="AI33" s="18">
        <f>IFERROR(VLOOKUP($H33&amp;"|"&amp;$Q33,Tariff_Master!$A$2:$L$169,10,FALSE),"")</f>
        <v/>
      </c>
      <c r="AJ33" s="21">
        <f>IF($M33="","",ROUNDUP(MAX(0,$M33),0))</f>
        <v/>
      </c>
      <c r="AK33" s="21">
        <f>IF(OR($AJ33="",$AF33=""),"",MAX(0,$AJ33-$AF33))</f>
        <v/>
      </c>
      <c r="AL33" s="22">
        <f>IF(OR($AK33="",$AG33=""),"",MAX(0,$AK33*$AG33))</f>
        <v/>
      </c>
      <c r="AM33" s="22">
        <f>IF($AE33="","",MAX(0,SUM($AE33,$AL33,$V33,$W33)))</f>
        <v/>
      </c>
      <c r="AN33" s="22">
        <f>IF($AM33="","",IF(AND($Q33="COMMITMENT",$R33&gt;=$AH33),$AI33,0))</f>
        <v/>
      </c>
      <c r="AO33" s="23">
        <f>IF($AM33="","",MAX(0,$AM33-$AN33))</f>
        <v/>
      </c>
      <c r="AP33" s="22">
        <f>IF($S33="","",IF(OR($S33="ITEM_PRICE_PLUS_DECLARED_DELIVERY",$S33="DELIVERY_CHARGE_ONLY"),$K33,IF($S33="TOTAL_AMOUNT_INCLUDING_DELIVERY",IF(OR($T33="",$J33=""),"",MAX(0,$T33-$J33-$U33)),IF($S33="ITEM_PRICE_ONLY_DELIVERY_PAID_BY_MERCHANT",0,""))))</f>
        <v/>
      </c>
      <c r="AQ33" s="23">
        <f>IF(OR($AP33="",$AO33=""),"",$AP33-$AO33)</f>
        <v/>
      </c>
      <c r="AR33" s="24">
        <f>IF($S33="EXACT_COLLECTION_AMOUNT","BREAKDOWN_REQUIRED",IF($AQ33="","",IF($AQ33&gt;0,"CREDIT_TO_MERCHANT",IF($AQ33&lt;0,"DEDUCT_FROM_MERCHANT","NO_ADJUSTMENT"))))</f>
        <v/>
      </c>
      <c r="AS33" s="23">
        <f>IF(OR($AQ33="",$AR33="BREAKDOWN_REQUIRED"),"",$AQ33)</f>
        <v/>
      </c>
      <c r="AT33" s="23">
        <f>IF(OR($AR33="",$AR33="BREAKDOWN_REQUIRED"),"",SUM($J33,$AQ33,$Y33)-$X33)</f>
        <v/>
      </c>
      <c r="AU33" s="25">
        <f>IF(AND($A33="",$B33="",$F33="",$H33="",$J33="",$K33="",$M33="",$S33=""),"",IF(OR($H33="",$Q33="",$M33="",$S33=""),"ERROR",IF(OR($J33&lt;0,$K33&lt;0,$M33&lt;0,$T33&lt;0,$U33&lt;0,$V33&lt;0,$W33&lt;0,$X33&lt;0,$Y33&lt;0),"ERROR",IF($AE33="","ERROR",IF(AND(OR($S33="ITEM_PRICE_PLUS_DECLARED_DELIVERY",$S33="TOTAL_AMOUNT_INCLUDING_DELIVERY",$S33="ITEM_PRICE_ONLY_DELIVERY_PAID_BY_MERCHANT"),$J33=""),"ERROR",IF(AND(OR($S33="ITEM_PRICE_PLUS_DECLARED_DELIVERY",$S33="DELIVERY_CHARGE_ONLY"),$K33=""),"ERROR",IF(AND(OR($S33="TOTAL_AMOUNT_INCLUDING_DELIVERY",$S33="EXACT_COLLECTION_AMOUNT"),$T33=""),"ERROR",IF(AND($S33="TOTAL_AMOUNT_INCLUDING_DELIVERY",$T33&lt;SUM($J33,$U33)),"ERROR",IF($S33="EXACT_COLLECTION_AMOUNT","REVIEW","OK")))))))))</f>
        <v/>
      </c>
      <c r="AV33" s="25">
        <f>IF($AU33="","",IF($H33="","Township required",IF($Q33="","Customer tier required",IF($M33="","Weight required",IF($S33="","Amount entry type required",IF(OR($J33&lt;0,$K33&lt;0,$M33&lt;0,$T33&lt;0,$U33&lt;0,$V33&lt;0,$W33&lt;0,$X33&lt;0,$Y33&lt;0),"Negative amounts are not allowed",IF($AE33="","Tariff not found for township and tier",IF(AND(OR($S33="ITEM_PRICE_PLUS_DECLARED_DELIVERY",$S33="TOTAL_AMOUNT_INCLUDING_DELIVERY",$S33="ITEM_PRICE_ONLY_DELIVERY_PAID_BY_MERCHANT"),$J33=""),"Item price required for this amount type",IF(AND(OR($S33="ITEM_PRICE_PLUS_DECLARED_DELIVERY",$S33="DELIVERY_CHARGE_ONLY"),$K33=""),"Declared delivery charge required",IF(AND(OR($S33="TOTAL_AMOUNT_INCLUDING_DELIVERY",$S33="EXACT_COLLECTION_AMOUNT"),$T33=""),"Stated total amount required",IF(AND($S33="TOTAL_AMOUNT_INCLUDING_DELIVERY",$T33&lt;SUM($J33,$U33)),"Stated total is below item price plus additional charge",IF($S33="EXACT_COLLECTION_AMOUNT","Authorized amount breakdown required before settlement","Ready for collection and settlement"))))))))))))</f>
        <v/>
      </c>
      <c r="AW33" s="23">
        <f>IF($AU33="","","PARCEL_FINANCIAL_V2")</f>
        <v/>
      </c>
      <c r="AX33" s="17" t="n"/>
    </row>
    <row r="34">
      <c r="A34" s="8" t="n"/>
      <c r="B34" s="8" t="n"/>
      <c r="C34" s="8" t="n"/>
      <c r="D34" s="8" t="n"/>
      <c r="E34" s="9" t="n"/>
      <c r="F34" s="9" t="n"/>
      <c r="G34" s="8" t="n"/>
      <c r="H34" s="9" t="n"/>
      <c r="I34" s="9" t="n"/>
      <c r="J34" s="10" t="n"/>
      <c r="K34" s="10" t="n"/>
      <c r="L34" s="11">
        <f>IF($S34="","",IF($S34="ITEM_PRICE_PLUS_DECLARED_DELIVERY",IF(OR($J34="",$K34=""),"",SUM($J34,$K34,$U34)),IF($S34="TOTAL_AMOUNT_INCLUDING_DELIVERY",IF($T34="","",$T34),IF($S34="DELIVERY_CHARGE_ONLY",IF($K34="","",SUM($K34,$U34)),IF($S34="EXACT_COLLECTION_AMOUNT",IF($T34="","",$T34),IF($S34="ITEM_PRICE_ONLY_DELIVERY_PAID_BY_MERCHANT",IF($J34="","",SUM($J34,$U34)),""))))))</f>
        <v/>
      </c>
      <c r="M34" s="12" t="n"/>
      <c r="N34" s="13" t="n"/>
      <c r="O34" s="13" t="n"/>
      <c r="P34" s="9" t="n"/>
      <c r="Q34" s="14" t="n"/>
      <c r="R34" s="15" t="n"/>
      <c r="S34" s="14" t="n"/>
      <c r="T34" s="16" t="n"/>
      <c r="U34" s="16" t="n"/>
      <c r="V34" s="16" t="n"/>
      <c r="W34" s="16" t="n"/>
      <c r="X34" s="16" t="n"/>
      <c r="Y34" s="16" t="n"/>
      <c r="Z34" s="14" t="n"/>
      <c r="AA34" s="14" t="n"/>
      <c r="AB34" s="14" t="n"/>
      <c r="AC34" s="17">
        <f>IFERROR(VLOOKUP($H34&amp;"|"&amp;$Q34,Tariff_Master!$A$2:$L$169,3,FALSE),"")</f>
        <v/>
      </c>
      <c r="AD34" s="17">
        <f>IFERROR(VLOOKUP($H34&amp;"|"&amp;$Q34,Tariff_Master!$A$2:$L$169,4,FALSE),"")</f>
        <v/>
      </c>
      <c r="AE34" s="18">
        <f>IFERROR(VLOOKUP($H34&amp;"|"&amp;$Q34,Tariff_Master!$A$2:$L$169,6,FALSE),"")</f>
        <v/>
      </c>
      <c r="AF34" s="19">
        <f>IFERROR(VLOOKUP($H34&amp;"|"&amp;$Q34,Tariff_Master!$A$2:$L$169,7,FALSE),"")</f>
        <v/>
      </c>
      <c r="AG34" s="18">
        <f>IFERROR(VLOOKUP($H34&amp;"|"&amp;$Q34,Tariff_Master!$A$2:$L$169,8,FALSE),"")</f>
        <v/>
      </c>
      <c r="AH34" s="20">
        <f>IFERROR(VLOOKUP($H34&amp;"|"&amp;$Q34,Tariff_Master!$A$2:$L$169,9,FALSE),"")</f>
        <v/>
      </c>
      <c r="AI34" s="18">
        <f>IFERROR(VLOOKUP($H34&amp;"|"&amp;$Q34,Tariff_Master!$A$2:$L$169,10,FALSE),"")</f>
        <v/>
      </c>
      <c r="AJ34" s="21">
        <f>IF($M34="","",ROUNDUP(MAX(0,$M34),0))</f>
        <v/>
      </c>
      <c r="AK34" s="21">
        <f>IF(OR($AJ34="",$AF34=""),"",MAX(0,$AJ34-$AF34))</f>
        <v/>
      </c>
      <c r="AL34" s="22">
        <f>IF(OR($AK34="",$AG34=""),"",MAX(0,$AK34*$AG34))</f>
        <v/>
      </c>
      <c r="AM34" s="22">
        <f>IF($AE34="","",MAX(0,SUM($AE34,$AL34,$V34,$W34)))</f>
        <v/>
      </c>
      <c r="AN34" s="22">
        <f>IF($AM34="","",IF(AND($Q34="COMMITMENT",$R34&gt;=$AH34),$AI34,0))</f>
        <v/>
      </c>
      <c r="AO34" s="23">
        <f>IF($AM34="","",MAX(0,$AM34-$AN34))</f>
        <v/>
      </c>
      <c r="AP34" s="22">
        <f>IF($S34="","",IF(OR($S34="ITEM_PRICE_PLUS_DECLARED_DELIVERY",$S34="DELIVERY_CHARGE_ONLY"),$K34,IF($S34="TOTAL_AMOUNT_INCLUDING_DELIVERY",IF(OR($T34="",$J34=""),"",MAX(0,$T34-$J34-$U34)),IF($S34="ITEM_PRICE_ONLY_DELIVERY_PAID_BY_MERCHANT",0,""))))</f>
        <v/>
      </c>
      <c r="AQ34" s="23">
        <f>IF(OR($AP34="",$AO34=""),"",$AP34-$AO34)</f>
        <v/>
      </c>
      <c r="AR34" s="24">
        <f>IF($S34="EXACT_COLLECTION_AMOUNT","BREAKDOWN_REQUIRED",IF($AQ34="","",IF($AQ34&gt;0,"CREDIT_TO_MERCHANT",IF($AQ34&lt;0,"DEDUCT_FROM_MERCHANT","NO_ADJUSTMENT"))))</f>
        <v/>
      </c>
      <c r="AS34" s="23">
        <f>IF(OR($AQ34="",$AR34="BREAKDOWN_REQUIRED"),"",$AQ34)</f>
        <v/>
      </c>
      <c r="AT34" s="23">
        <f>IF(OR($AR34="",$AR34="BREAKDOWN_REQUIRED"),"",SUM($J34,$AQ34,$Y34)-$X34)</f>
        <v/>
      </c>
      <c r="AU34" s="25">
        <f>IF(AND($A34="",$B34="",$F34="",$H34="",$J34="",$K34="",$M34="",$S34=""),"",IF(OR($H34="",$Q34="",$M34="",$S34=""),"ERROR",IF(OR($J34&lt;0,$K34&lt;0,$M34&lt;0,$T34&lt;0,$U34&lt;0,$V34&lt;0,$W34&lt;0,$X34&lt;0,$Y34&lt;0),"ERROR",IF($AE34="","ERROR",IF(AND(OR($S34="ITEM_PRICE_PLUS_DECLARED_DELIVERY",$S34="TOTAL_AMOUNT_INCLUDING_DELIVERY",$S34="ITEM_PRICE_ONLY_DELIVERY_PAID_BY_MERCHANT"),$J34=""),"ERROR",IF(AND(OR($S34="ITEM_PRICE_PLUS_DECLARED_DELIVERY",$S34="DELIVERY_CHARGE_ONLY"),$K34=""),"ERROR",IF(AND(OR($S34="TOTAL_AMOUNT_INCLUDING_DELIVERY",$S34="EXACT_COLLECTION_AMOUNT"),$T34=""),"ERROR",IF(AND($S34="TOTAL_AMOUNT_INCLUDING_DELIVERY",$T34&lt;SUM($J34,$U34)),"ERROR",IF($S34="EXACT_COLLECTION_AMOUNT","REVIEW","OK")))))))))</f>
        <v/>
      </c>
      <c r="AV34" s="25">
        <f>IF($AU34="","",IF($H34="","Township required",IF($Q34="","Customer tier required",IF($M34="","Weight required",IF($S34="","Amount entry type required",IF(OR($J34&lt;0,$K34&lt;0,$M34&lt;0,$T34&lt;0,$U34&lt;0,$V34&lt;0,$W34&lt;0,$X34&lt;0,$Y34&lt;0),"Negative amounts are not allowed",IF($AE34="","Tariff not found for township and tier",IF(AND(OR($S34="ITEM_PRICE_PLUS_DECLARED_DELIVERY",$S34="TOTAL_AMOUNT_INCLUDING_DELIVERY",$S34="ITEM_PRICE_ONLY_DELIVERY_PAID_BY_MERCHANT"),$J34=""),"Item price required for this amount type",IF(AND(OR($S34="ITEM_PRICE_PLUS_DECLARED_DELIVERY",$S34="DELIVERY_CHARGE_ONLY"),$K34=""),"Declared delivery charge required",IF(AND(OR($S34="TOTAL_AMOUNT_INCLUDING_DELIVERY",$S34="EXACT_COLLECTION_AMOUNT"),$T34=""),"Stated total amount required",IF(AND($S34="TOTAL_AMOUNT_INCLUDING_DELIVERY",$T34&lt;SUM($J34,$U34)),"Stated total is below item price plus additional charge",IF($S34="EXACT_COLLECTION_AMOUNT","Authorized amount breakdown required before settlement","Ready for collection and settlement"))))))))))))</f>
        <v/>
      </c>
      <c r="AW34" s="23">
        <f>IF($AU34="","","PARCEL_FINANCIAL_V2")</f>
        <v/>
      </c>
      <c r="AX34" s="17" t="n"/>
    </row>
    <row r="35">
      <c r="A35" s="8" t="n"/>
      <c r="B35" s="8" t="n"/>
      <c r="C35" s="8" t="n"/>
      <c r="D35" s="8" t="n"/>
      <c r="E35" s="9" t="n"/>
      <c r="F35" s="9" t="n"/>
      <c r="G35" s="8" t="n"/>
      <c r="H35" s="9" t="n"/>
      <c r="I35" s="9" t="n"/>
      <c r="J35" s="10" t="n"/>
      <c r="K35" s="10" t="n"/>
      <c r="L35" s="11">
        <f>IF($S35="","",IF($S35="ITEM_PRICE_PLUS_DECLARED_DELIVERY",IF(OR($J35="",$K35=""),"",SUM($J35,$K35,$U35)),IF($S35="TOTAL_AMOUNT_INCLUDING_DELIVERY",IF($T35="","",$T35),IF($S35="DELIVERY_CHARGE_ONLY",IF($K35="","",SUM($K35,$U35)),IF($S35="EXACT_COLLECTION_AMOUNT",IF($T35="","",$T35),IF($S35="ITEM_PRICE_ONLY_DELIVERY_PAID_BY_MERCHANT",IF($J35="","",SUM($J35,$U35)),""))))))</f>
        <v/>
      </c>
      <c r="M35" s="12" t="n"/>
      <c r="N35" s="13" t="n"/>
      <c r="O35" s="13" t="n"/>
      <c r="P35" s="9" t="n"/>
      <c r="Q35" s="14" t="n"/>
      <c r="R35" s="15" t="n"/>
      <c r="S35" s="14" t="n"/>
      <c r="T35" s="16" t="n"/>
      <c r="U35" s="16" t="n"/>
      <c r="V35" s="16" t="n"/>
      <c r="W35" s="16" t="n"/>
      <c r="X35" s="16" t="n"/>
      <c r="Y35" s="16" t="n"/>
      <c r="Z35" s="14" t="n"/>
      <c r="AA35" s="14" t="n"/>
      <c r="AB35" s="14" t="n"/>
      <c r="AC35" s="17">
        <f>IFERROR(VLOOKUP($H35&amp;"|"&amp;$Q35,Tariff_Master!$A$2:$L$169,3,FALSE),"")</f>
        <v/>
      </c>
      <c r="AD35" s="17">
        <f>IFERROR(VLOOKUP($H35&amp;"|"&amp;$Q35,Tariff_Master!$A$2:$L$169,4,FALSE),"")</f>
        <v/>
      </c>
      <c r="AE35" s="18">
        <f>IFERROR(VLOOKUP($H35&amp;"|"&amp;$Q35,Tariff_Master!$A$2:$L$169,6,FALSE),"")</f>
        <v/>
      </c>
      <c r="AF35" s="19">
        <f>IFERROR(VLOOKUP($H35&amp;"|"&amp;$Q35,Tariff_Master!$A$2:$L$169,7,FALSE),"")</f>
        <v/>
      </c>
      <c r="AG35" s="18">
        <f>IFERROR(VLOOKUP($H35&amp;"|"&amp;$Q35,Tariff_Master!$A$2:$L$169,8,FALSE),"")</f>
        <v/>
      </c>
      <c r="AH35" s="20">
        <f>IFERROR(VLOOKUP($H35&amp;"|"&amp;$Q35,Tariff_Master!$A$2:$L$169,9,FALSE),"")</f>
        <v/>
      </c>
      <c r="AI35" s="18">
        <f>IFERROR(VLOOKUP($H35&amp;"|"&amp;$Q35,Tariff_Master!$A$2:$L$169,10,FALSE),"")</f>
        <v/>
      </c>
      <c r="AJ35" s="21">
        <f>IF($M35="","",ROUNDUP(MAX(0,$M35),0))</f>
        <v/>
      </c>
      <c r="AK35" s="21">
        <f>IF(OR($AJ35="",$AF35=""),"",MAX(0,$AJ35-$AF35))</f>
        <v/>
      </c>
      <c r="AL35" s="22">
        <f>IF(OR($AK35="",$AG35=""),"",MAX(0,$AK35*$AG35))</f>
        <v/>
      </c>
      <c r="AM35" s="22">
        <f>IF($AE35="","",MAX(0,SUM($AE35,$AL35,$V35,$W35)))</f>
        <v/>
      </c>
      <c r="AN35" s="22">
        <f>IF($AM35="","",IF(AND($Q35="COMMITMENT",$R35&gt;=$AH35),$AI35,0))</f>
        <v/>
      </c>
      <c r="AO35" s="23">
        <f>IF($AM35="","",MAX(0,$AM35-$AN35))</f>
        <v/>
      </c>
      <c r="AP35" s="22">
        <f>IF($S35="","",IF(OR($S35="ITEM_PRICE_PLUS_DECLARED_DELIVERY",$S35="DELIVERY_CHARGE_ONLY"),$K35,IF($S35="TOTAL_AMOUNT_INCLUDING_DELIVERY",IF(OR($T35="",$J35=""),"",MAX(0,$T35-$J35-$U35)),IF($S35="ITEM_PRICE_ONLY_DELIVERY_PAID_BY_MERCHANT",0,""))))</f>
        <v/>
      </c>
      <c r="AQ35" s="23">
        <f>IF(OR($AP35="",$AO35=""),"",$AP35-$AO35)</f>
        <v/>
      </c>
      <c r="AR35" s="24">
        <f>IF($S35="EXACT_COLLECTION_AMOUNT","BREAKDOWN_REQUIRED",IF($AQ35="","",IF($AQ35&gt;0,"CREDIT_TO_MERCHANT",IF($AQ35&lt;0,"DEDUCT_FROM_MERCHANT","NO_ADJUSTMENT"))))</f>
        <v/>
      </c>
      <c r="AS35" s="23">
        <f>IF(OR($AQ35="",$AR35="BREAKDOWN_REQUIRED"),"",$AQ35)</f>
        <v/>
      </c>
      <c r="AT35" s="23">
        <f>IF(OR($AR35="",$AR35="BREAKDOWN_REQUIRED"),"",SUM($J35,$AQ35,$Y35)-$X35)</f>
        <v/>
      </c>
      <c r="AU35" s="25">
        <f>IF(AND($A35="",$B35="",$F35="",$H35="",$J35="",$K35="",$M35="",$S35=""),"",IF(OR($H35="",$Q35="",$M35="",$S35=""),"ERROR",IF(OR($J35&lt;0,$K35&lt;0,$M35&lt;0,$T35&lt;0,$U35&lt;0,$V35&lt;0,$W35&lt;0,$X35&lt;0,$Y35&lt;0),"ERROR",IF($AE35="","ERROR",IF(AND(OR($S35="ITEM_PRICE_PLUS_DECLARED_DELIVERY",$S35="TOTAL_AMOUNT_INCLUDING_DELIVERY",$S35="ITEM_PRICE_ONLY_DELIVERY_PAID_BY_MERCHANT"),$J35=""),"ERROR",IF(AND(OR($S35="ITEM_PRICE_PLUS_DECLARED_DELIVERY",$S35="DELIVERY_CHARGE_ONLY"),$K35=""),"ERROR",IF(AND(OR($S35="TOTAL_AMOUNT_INCLUDING_DELIVERY",$S35="EXACT_COLLECTION_AMOUNT"),$T35=""),"ERROR",IF(AND($S35="TOTAL_AMOUNT_INCLUDING_DELIVERY",$T35&lt;SUM($J35,$U35)),"ERROR",IF($S35="EXACT_COLLECTION_AMOUNT","REVIEW","OK")))))))))</f>
        <v/>
      </c>
      <c r="AV35" s="25">
        <f>IF($AU35="","",IF($H35="","Township required",IF($Q35="","Customer tier required",IF($M35="","Weight required",IF($S35="","Amount entry type required",IF(OR($J35&lt;0,$K35&lt;0,$M35&lt;0,$T35&lt;0,$U35&lt;0,$V35&lt;0,$W35&lt;0,$X35&lt;0,$Y35&lt;0),"Negative amounts are not allowed",IF($AE35="","Tariff not found for township and tier",IF(AND(OR($S35="ITEM_PRICE_PLUS_DECLARED_DELIVERY",$S35="TOTAL_AMOUNT_INCLUDING_DELIVERY",$S35="ITEM_PRICE_ONLY_DELIVERY_PAID_BY_MERCHANT"),$J35=""),"Item price required for this amount type",IF(AND(OR($S35="ITEM_PRICE_PLUS_DECLARED_DELIVERY",$S35="DELIVERY_CHARGE_ONLY"),$K35=""),"Declared delivery charge required",IF(AND(OR($S35="TOTAL_AMOUNT_INCLUDING_DELIVERY",$S35="EXACT_COLLECTION_AMOUNT"),$T35=""),"Stated total amount required",IF(AND($S35="TOTAL_AMOUNT_INCLUDING_DELIVERY",$T35&lt;SUM($J35,$U35)),"Stated total is below item price plus additional charge",IF($S35="EXACT_COLLECTION_AMOUNT","Authorized amount breakdown required before settlement","Ready for collection and settlement"))))))))))))</f>
        <v/>
      </c>
      <c r="AW35" s="23">
        <f>IF($AU35="","","PARCEL_FINANCIAL_V2")</f>
        <v/>
      </c>
      <c r="AX35" s="17" t="n"/>
    </row>
    <row r="36">
      <c r="A36" s="8" t="n"/>
      <c r="B36" s="8" t="n"/>
      <c r="C36" s="8" t="n"/>
      <c r="D36" s="8" t="n"/>
      <c r="E36" s="9" t="n"/>
      <c r="F36" s="9" t="n"/>
      <c r="G36" s="8" t="n"/>
      <c r="H36" s="9" t="n"/>
      <c r="I36" s="9" t="n"/>
      <c r="J36" s="10" t="n"/>
      <c r="K36" s="10" t="n"/>
      <c r="L36" s="11">
        <f>IF($S36="","",IF($S36="ITEM_PRICE_PLUS_DECLARED_DELIVERY",IF(OR($J36="",$K36=""),"",SUM($J36,$K36,$U36)),IF($S36="TOTAL_AMOUNT_INCLUDING_DELIVERY",IF($T36="","",$T36),IF($S36="DELIVERY_CHARGE_ONLY",IF($K36="","",SUM($K36,$U36)),IF($S36="EXACT_COLLECTION_AMOUNT",IF($T36="","",$T36),IF($S36="ITEM_PRICE_ONLY_DELIVERY_PAID_BY_MERCHANT",IF($J36="","",SUM($J36,$U36)),""))))))</f>
        <v/>
      </c>
      <c r="M36" s="12" t="n"/>
      <c r="N36" s="13" t="n"/>
      <c r="O36" s="13" t="n"/>
      <c r="P36" s="9" t="n"/>
      <c r="Q36" s="14" t="n"/>
      <c r="R36" s="15" t="n"/>
      <c r="S36" s="14" t="n"/>
      <c r="T36" s="16" t="n"/>
      <c r="U36" s="16" t="n"/>
      <c r="V36" s="16" t="n"/>
      <c r="W36" s="16" t="n"/>
      <c r="X36" s="16" t="n"/>
      <c r="Y36" s="16" t="n"/>
      <c r="Z36" s="14" t="n"/>
      <c r="AA36" s="14" t="n"/>
      <c r="AB36" s="14" t="n"/>
      <c r="AC36" s="17">
        <f>IFERROR(VLOOKUP($H36&amp;"|"&amp;$Q36,Tariff_Master!$A$2:$L$169,3,FALSE),"")</f>
        <v/>
      </c>
      <c r="AD36" s="17">
        <f>IFERROR(VLOOKUP($H36&amp;"|"&amp;$Q36,Tariff_Master!$A$2:$L$169,4,FALSE),"")</f>
        <v/>
      </c>
      <c r="AE36" s="18">
        <f>IFERROR(VLOOKUP($H36&amp;"|"&amp;$Q36,Tariff_Master!$A$2:$L$169,6,FALSE),"")</f>
        <v/>
      </c>
      <c r="AF36" s="19">
        <f>IFERROR(VLOOKUP($H36&amp;"|"&amp;$Q36,Tariff_Master!$A$2:$L$169,7,FALSE),"")</f>
        <v/>
      </c>
      <c r="AG36" s="18">
        <f>IFERROR(VLOOKUP($H36&amp;"|"&amp;$Q36,Tariff_Master!$A$2:$L$169,8,FALSE),"")</f>
        <v/>
      </c>
      <c r="AH36" s="20">
        <f>IFERROR(VLOOKUP($H36&amp;"|"&amp;$Q36,Tariff_Master!$A$2:$L$169,9,FALSE),"")</f>
        <v/>
      </c>
      <c r="AI36" s="18">
        <f>IFERROR(VLOOKUP($H36&amp;"|"&amp;$Q36,Tariff_Master!$A$2:$L$169,10,FALSE),"")</f>
        <v/>
      </c>
      <c r="AJ36" s="21">
        <f>IF($M36="","",ROUNDUP(MAX(0,$M36),0))</f>
        <v/>
      </c>
      <c r="AK36" s="21">
        <f>IF(OR($AJ36="",$AF36=""),"",MAX(0,$AJ36-$AF36))</f>
        <v/>
      </c>
      <c r="AL36" s="22">
        <f>IF(OR($AK36="",$AG36=""),"",MAX(0,$AK36*$AG36))</f>
        <v/>
      </c>
      <c r="AM36" s="22">
        <f>IF($AE36="","",MAX(0,SUM($AE36,$AL36,$V36,$W36)))</f>
        <v/>
      </c>
      <c r="AN36" s="22">
        <f>IF($AM36="","",IF(AND($Q36="COMMITMENT",$R36&gt;=$AH36),$AI36,0))</f>
        <v/>
      </c>
      <c r="AO36" s="23">
        <f>IF($AM36="","",MAX(0,$AM36-$AN36))</f>
        <v/>
      </c>
      <c r="AP36" s="22">
        <f>IF($S36="","",IF(OR($S36="ITEM_PRICE_PLUS_DECLARED_DELIVERY",$S36="DELIVERY_CHARGE_ONLY"),$K36,IF($S36="TOTAL_AMOUNT_INCLUDING_DELIVERY",IF(OR($T36="",$J36=""),"",MAX(0,$T36-$J36-$U36)),IF($S36="ITEM_PRICE_ONLY_DELIVERY_PAID_BY_MERCHANT",0,""))))</f>
        <v/>
      </c>
      <c r="AQ36" s="23">
        <f>IF(OR($AP36="",$AO36=""),"",$AP36-$AO36)</f>
        <v/>
      </c>
      <c r="AR36" s="24">
        <f>IF($S36="EXACT_COLLECTION_AMOUNT","BREAKDOWN_REQUIRED",IF($AQ36="","",IF($AQ36&gt;0,"CREDIT_TO_MERCHANT",IF($AQ36&lt;0,"DEDUCT_FROM_MERCHANT","NO_ADJUSTMENT"))))</f>
        <v/>
      </c>
      <c r="AS36" s="23">
        <f>IF(OR($AQ36="",$AR36="BREAKDOWN_REQUIRED"),"",$AQ36)</f>
        <v/>
      </c>
      <c r="AT36" s="23">
        <f>IF(OR($AR36="",$AR36="BREAKDOWN_REQUIRED"),"",SUM($J36,$AQ36,$Y36)-$X36)</f>
        <v/>
      </c>
      <c r="AU36" s="25">
        <f>IF(AND($A36="",$B36="",$F36="",$H36="",$J36="",$K36="",$M36="",$S36=""),"",IF(OR($H36="",$Q36="",$M36="",$S36=""),"ERROR",IF(OR($J36&lt;0,$K36&lt;0,$M36&lt;0,$T36&lt;0,$U36&lt;0,$V36&lt;0,$W36&lt;0,$X36&lt;0,$Y36&lt;0),"ERROR",IF($AE36="","ERROR",IF(AND(OR($S36="ITEM_PRICE_PLUS_DECLARED_DELIVERY",$S36="TOTAL_AMOUNT_INCLUDING_DELIVERY",$S36="ITEM_PRICE_ONLY_DELIVERY_PAID_BY_MERCHANT"),$J36=""),"ERROR",IF(AND(OR($S36="ITEM_PRICE_PLUS_DECLARED_DELIVERY",$S36="DELIVERY_CHARGE_ONLY"),$K36=""),"ERROR",IF(AND(OR($S36="TOTAL_AMOUNT_INCLUDING_DELIVERY",$S36="EXACT_COLLECTION_AMOUNT"),$T36=""),"ERROR",IF(AND($S36="TOTAL_AMOUNT_INCLUDING_DELIVERY",$T36&lt;SUM($J36,$U36)),"ERROR",IF($S36="EXACT_COLLECTION_AMOUNT","REVIEW","OK")))))))))</f>
        <v/>
      </c>
      <c r="AV36" s="25">
        <f>IF($AU36="","",IF($H36="","Township required",IF($Q36="","Customer tier required",IF($M36="","Weight required",IF($S36="","Amount entry type required",IF(OR($J36&lt;0,$K36&lt;0,$M36&lt;0,$T36&lt;0,$U36&lt;0,$V36&lt;0,$W36&lt;0,$X36&lt;0,$Y36&lt;0),"Negative amounts are not allowed",IF($AE36="","Tariff not found for township and tier",IF(AND(OR($S36="ITEM_PRICE_PLUS_DECLARED_DELIVERY",$S36="TOTAL_AMOUNT_INCLUDING_DELIVERY",$S36="ITEM_PRICE_ONLY_DELIVERY_PAID_BY_MERCHANT"),$J36=""),"Item price required for this amount type",IF(AND(OR($S36="ITEM_PRICE_PLUS_DECLARED_DELIVERY",$S36="DELIVERY_CHARGE_ONLY"),$K36=""),"Declared delivery charge required",IF(AND(OR($S36="TOTAL_AMOUNT_INCLUDING_DELIVERY",$S36="EXACT_COLLECTION_AMOUNT"),$T36=""),"Stated total amount required",IF(AND($S36="TOTAL_AMOUNT_INCLUDING_DELIVERY",$T36&lt;SUM($J36,$U36)),"Stated total is below item price plus additional charge",IF($S36="EXACT_COLLECTION_AMOUNT","Authorized amount breakdown required before settlement","Ready for collection and settlement"))))))))))))</f>
        <v/>
      </c>
      <c r="AW36" s="23">
        <f>IF($AU36="","","PARCEL_FINANCIAL_V2")</f>
        <v/>
      </c>
      <c r="AX36" s="17" t="n"/>
    </row>
    <row r="37">
      <c r="A37" s="8" t="n"/>
      <c r="B37" s="8" t="n"/>
      <c r="C37" s="8" t="n"/>
      <c r="D37" s="8" t="n"/>
      <c r="E37" s="9" t="n"/>
      <c r="F37" s="9" t="n"/>
      <c r="G37" s="8" t="n"/>
      <c r="H37" s="9" t="n"/>
      <c r="I37" s="9" t="n"/>
      <c r="J37" s="10" t="n"/>
      <c r="K37" s="10" t="n"/>
      <c r="L37" s="11">
        <f>IF($S37="","",IF($S37="ITEM_PRICE_PLUS_DECLARED_DELIVERY",IF(OR($J37="",$K37=""),"",SUM($J37,$K37,$U37)),IF($S37="TOTAL_AMOUNT_INCLUDING_DELIVERY",IF($T37="","",$T37),IF($S37="DELIVERY_CHARGE_ONLY",IF($K37="","",SUM($K37,$U37)),IF($S37="EXACT_COLLECTION_AMOUNT",IF($T37="","",$T37),IF($S37="ITEM_PRICE_ONLY_DELIVERY_PAID_BY_MERCHANT",IF($J37="","",SUM($J37,$U37)),""))))))</f>
        <v/>
      </c>
      <c r="M37" s="12" t="n"/>
      <c r="N37" s="13" t="n"/>
      <c r="O37" s="13" t="n"/>
      <c r="P37" s="9" t="n"/>
      <c r="Q37" s="14" t="n"/>
      <c r="R37" s="15" t="n"/>
      <c r="S37" s="14" t="n"/>
      <c r="T37" s="16" t="n"/>
      <c r="U37" s="16" t="n"/>
      <c r="V37" s="16" t="n"/>
      <c r="W37" s="16" t="n"/>
      <c r="X37" s="16" t="n"/>
      <c r="Y37" s="16" t="n"/>
      <c r="Z37" s="14" t="n"/>
      <c r="AA37" s="14" t="n"/>
      <c r="AB37" s="14" t="n"/>
      <c r="AC37" s="17">
        <f>IFERROR(VLOOKUP($H37&amp;"|"&amp;$Q37,Tariff_Master!$A$2:$L$169,3,FALSE),"")</f>
        <v/>
      </c>
      <c r="AD37" s="17">
        <f>IFERROR(VLOOKUP($H37&amp;"|"&amp;$Q37,Tariff_Master!$A$2:$L$169,4,FALSE),"")</f>
        <v/>
      </c>
      <c r="AE37" s="18">
        <f>IFERROR(VLOOKUP($H37&amp;"|"&amp;$Q37,Tariff_Master!$A$2:$L$169,6,FALSE),"")</f>
        <v/>
      </c>
      <c r="AF37" s="19">
        <f>IFERROR(VLOOKUP($H37&amp;"|"&amp;$Q37,Tariff_Master!$A$2:$L$169,7,FALSE),"")</f>
        <v/>
      </c>
      <c r="AG37" s="18">
        <f>IFERROR(VLOOKUP($H37&amp;"|"&amp;$Q37,Tariff_Master!$A$2:$L$169,8,FALSE),"")</f>
        <v/>
      </c>
      <c r="AH37" s="20">
        <f>IFERROR(VLOOKUP($H37&amp;"|"&amp;$Q37,Tariff_Master!$A$2:$L$169,9,FALSE),"")</f>
        <v/>
      </c>
      <c r="AI37" s="18">
        <f>IFERROR(VLOOKUP($H37&amp;"|"&amp;$Q37,Tariff_Master!$A$2:$L$169,10,FALSE),"")</f>
        <v/>
      </c>
      <c r="AJ37" s="21">
        <f>IF($M37="","",ROUNDUP(MAX(0,$M37),0))</f>
        <v/>
      </c>
      <c r="AK37" s="21">
        <f>IF(OR($AJ37="",$AF37=""),"",MAX(0,$AJ37-$AF37))</f>
        <v/>
      </c>
      <c r="AL37" s="22">
        <f>IF(OR($AK37="",$AG37=""),"",MAX(0,$AK37*$AG37))</f>
        <v/>
      </c>
      <c r="AM37" s="22">
        <f>IF($AE37="","",MAX(0,SUM($AE37,$AL37,$V37,$W37)))</f>
        <v/>
      </c>
      <c r="AN37" s="22">
        <f>IF($AM37="","",IF(AND($Q37="COMMITMENT",$R37&gt;=$AH37),$AI37,0))</f>
        <v/>
      </c>
      <c r="AO37" s="23">
        <f>IF($AM37="","",MAX(0,$AM37-$AN37))</f>
        <v/>
      </c>
      <c r="AP37" s="22">
        <f>IF($S37="","",IF(OR($S37="ITEM_PRICE_PLUS_DECLARED_DELIVERY",$S37="DELIVERY_CHARGE_ONLY"),$K37,IF($S37="TOTAL_AMOUNT_INCLUDING_DELIVERY",IF(OR($T37="",$J37=""),"",MAX(0,$T37-$J37-$U37)),IF($S37="ITEM_PRICE_ONLY_DELIVERY_PAID_BY_MERCHANT",0,""))))</f>
        <v/>
      </c>
      <c r="AQ37" s="23">
        <f>IF(OR($AP37="",$AO37=""),"",$AP37-$AO37)</f>
        <v/>
      </c>
      <c r="AR37" s="24">
        <f>IF($S37="EXACT_COLLECTION_AMOUNT","BREAKDOWN_REQUIRED",IF($AQ37="","",IF($AQ37&gt;0,"CREDIT_TO_MERCHANT",IF($AQ37&lt;0,"DEDUCT_FROM_MERCHANT","NO_ADJUSTMENT"))))</f>
        <v/>
      </c>
      <c r="AS37" s="23">
        <f>IF(OR($AQ37="",$AR37="BREAKDOWN_REQUIRED"),"",$AQ37)</f>
        <v/>
      </c>
      <c r="AT37" s="23">
        <f>IF(OR($AR37="",$AR37="BREAKDOWN_REQUIRED"),"",SUM($J37,$AQ37,$Y37)-$X37)</f>
        <v/>
      </c>
      <c r="AU37" s="25">
        <f>IF(AND($A37="",$B37="",$F37="",$H37="",$J37="",$K37="",$M37="",$S37=""),"",IF(OR($H37="",$Q37="",$M37="",$S37=""),"ERROR",IF(OR($J37&lt;0,$K37&lt;0,$M37&lt;0,$T37&lt;0,$U37&lt;0,$V37&lt;0,$W37&lt;0,$X37&lt;0,$Y37&lt;0),"ERROR",IF($AE37="","ERROR",IF(AND(OR($S37="ITEM_PRICE_PLUS_DECLARED_DELIVERY",$S37="TOTAL_AMOUNT_INCLUDING_DELIVERY",$S37="ITEM_PRICE_ONLY_DELIVERY_PAID_BY_MERCHANT"),$J37=""),"ERROR",IF(AND(OR($S37="ITEM_PRICE_PLUS_DECLARED_DELIVERY",$S37="DELIVERY_CHARGE_ONLY"),$K37=""),"ERROR",IF(AND(OR($S37="TOTAL_AMOUNT_INCLUDING_DELIVERY",$S37="EXACT_COLLECTION_AMOUNT"),$T37=""),"ERROR",IF(AND($S37="TOTAL_AMOUNT_INCLUDING_DELIVERY",$T37&lt;SUM($J37,$U37)),"ERROR",IF($S37="EXACT_COLLECTION_AMOUNT","REVIEW","OK")))))))))</f>
        <v/>
      </c>
      <c r="AV37" s="25">
        <f>IF($AU37="","",IF($H37="","Township required",IF($Q37="","Customer tier required",IF($M37="","Weight required",IF($S37="","Amount entry type required",IF(OR($J37&lt;0,$K37&lt;0,$M37&lt;0,$T37&lt;0,$U37&lt;0,$V37&lt;0,$W37&lt;0,$X37&lt;0,$Y37&lt;0),"Negative amounts are not allowed",IF($AE37="","Tariff not found for township and tier",IF(AND(OR($S37="ITEM_PRICE_PLUS_DECLARED_DELIVERY",$S37="TOTAL_AMOUNT_INCLUDING_DELIVERY",$S37="ITEM_PRICE_ONLY_DELIVERY_PAID_BY_MERCHANT"),$J37=""),"Item price required for this amount type",IF(AND(OR($S37="ITEM_PRICE_PLUS_DECLARED_DELIVERY",$S37="DELIVERY_CHARGE_ONLY"),$K37=""),"Declared delivery charge required",IF(AND(OR($S37="TOTAL_AMOUNT_INCLUDING_DELIVERY",$S37="EXACT_COLLECTION_AMOUNT"),$T37=""),"Stated total amount required",IF(AND($S37="TOTAL_AMOUNT_INCLUDING_DELIVERY",$T37&lt;SUM($J37,$U37)),"Stated total is below item price plus additional charge",IF($S37="EXACT_COLLECTION_AMOUNT","Authorized amount breakdown required before settlement","Ready for collection and settlement"))))))))))))</f>
        <v/>
      </c>
      <c r="AW37" s="23">
        <f>IF($AU37="","","PARCEL_FINANCIAL_V2")</f>
        <v/>
      </c>
      <c r="AX37" s="17" t="n"/>
    </row>
    <row r="38">
      <c r="A38" s="8" t="n"/>
      <c r="B38" s="8" t="n"/>
      <c r="C38" s="8" t="n"/>
      <c r="D38" s="8" t="n"/>
      <c r="E38" s="9" t="n"/>
      <c r="F38" s="9" t="n"/>
      <c r="G38" s="8" t="n"/>
      <c r="H38" s="9" t="n"/>
      <c r="I38" s="9" t="n"/>
      <c r="J38" s="10" t="n"/>
      <c r="K38" s="10" t="n"/>
      <c r="L38" s="11">
        <f>IF($S38="","",IF($S38="ITEM_PRICE_PLUS_DECLARED_DELIVERY",IF(OR($J38="",$K38=""),"",SUM($J38,$K38,$U38)),IF($S38="TOTAL_AMOUNT_INCLUDING_DELIVERY",IF($T38="","",$T38),IF($S38="DELIVERY_CHARGE_ONLY",IF($K38="","",SUM($K38,$U38)),IF($S38="EXACT_COLLECTION_AMOUNT",IF($T38="","",$T38),IF($S38="ITEM_PRICE_ONLY_DELIVERY_PAID_BY_MERCHANT",IF($J38="","",SUM($J38,$U38)),""))))))</f>
        <v/>
      </c>
      <c r="M38" s="12" t="n"/>
      <c r="N38" s="13" t="n"/>
      <c r="O38" s="13" t="n"/>
      <c r="P38" s="9" t="n"/>
      <c r="Q38" s="14" t="n"/>
      <c r="R38" s="15" t="n"/>
      <c r="S38" s="14" t="n"/>
      <c r="T38" s="16" t="n"/>
      <c r="U38" s="16" t="n"/>
      <c r="V38" s="16" t="n"/>
      <c r="W38" s="16" t="n"/>
      <c r="X38" s="16" t="n"/>
      <c r="Y38" s="16" t="n"/>
      <c r="Z38" s="14" t="n"/>
      <c r="AA38" s="14" t="n"/>
      <c r="AB38" s="14" t="n"/>
      <c r="AC38" s="17">
        <f>IFERROR(VLOOKUP($H38&amp;"|"&amp;$Q38,Tariff_Master!$A$2:$L$169,3,FALSE),"")</f>
        <v/>
      </c>
      <c r="AD38" s="17">
        <f>IFERROR(VLOOKUP($H38&amp;"|"&amp;$Q38,Tariff_Master!$A$2:$L$169,4,FALSE),"")</f>
        <v/>
      </c>
      <c r="AE38" s="18">
        <f>IFERROR(VLOOKUP($H38&amp;"|"&amp;$Q38,Tariff_Master!$A$2:$L$169,6,FALSE),"")</f>
        <v/>
      </c>
      <c r="AF38" s="19">
        <f>IFERROR(VLOOKUP($H38&amp;"|"&amp;$Q38,Tariff_Master!$A$2:$L$169,7,FALSE),"")</f>
        <v/>
      </c>
      <c r="AG38" s="18">
        <f>IFERROR(VLOOKUP($H38&amp;"|"&amp;$Q38,Tariff_Master!$A$2:$L$169,8,FALSE),"")</f>
        <v/>
      </c>
      <c r="AH38" s="20">
        <f>IFERROR(VLOOKUP($H38&amp;"|"&amp;$Q38,Tariff_Master!$A$2:$L$169,9,FALSE),"")</f>
        <v/>
      </c>
      <c r="AI38" s="18">
        <f>IFERROR(VLOOKUP($H38&amp;"|"&amp;$Q38,Tariff_Master!$A$2:$L$169,10,FALSE),"")</f>
        <v/>
      </c>
      <c r="AJ38" s="21">
        <f>IF($M38="","",ROUNDUP(MAX(0,$M38),0))</f>
        <v/>
      </c>
      <c r="AK38" s="21">
        <f>IF(OR($AJ38="",$AF38=""),"",MAX(0,$AJ38-$AF38))</f>
        <v/>
      </c>
      <c r="AL38" s="22">
        <f>IF(OR($AK38="",$AG38=""),"",MAX(0,$AK38*$AG38))</f>
        <v/>
      </c>
      <c r="AM38" s="22">
        <f>IF($AE38="","",MAX(0,SUM($AE38,$AL38,$V38,$W38)))</f>
        <v/>
      </c>
      <c r="AN38" s="22">
        <f>IF($AM38="","",IF(AND($Q38="COMMITMENT",$R38&gt;=$AH38),$AI38,0))</f>
        <v/>
      </c>
      <c r="AO38" s="23">
        <f>IF($AM38="","",MAX(0,$AM38-$AN38))</f>
        <v/>
      </c>
      <c r="AP38" s="22">
        <f>IF($S38="","",IF(OR($S38="ITEM_PRICE_PLUS_DECLARED_DELIVERY",$S38="DELIVERY_CHARGE_ONLY"),$K38,IF($S38="TOTAL_AMOUNT_INCLUDING_DELIVERY",IF(OR($T38="",$J38=""),"",MAX(0,$T38-$J38-$U38)),IF($S38="ITEM_PRICE_ONLY_DELIVERY_PAID_BY_MERCHANT",0,""))))</f>
        <v/>
      </c>
      <c r="AQ38" s="23">
        <f>IF(OR($AP38="",$AO38=""),"",$AP38-$AO38)</f>
        <v/>
      </c>
      <c r="AR38" s="24">
        <f>IF($S38="EXACT_COLLECTION_AMOUNT","BREAKDOWN_REQUIRED",IF($AQ38="","",IF($AQ38&gt;0,"CREDIT_TO_MERCHANT",IF($AQ38&lt;0,"DEDUCT_FROM_MERCHANT","NO_ADJUSTMENT"))))</f>
        <v/>
      </c>
      <c r="AS38" s="23">
        <f>IF(OR($AQ38="",$AR38="BREAKDOWN_REQUIRED"),"",$AQ38)</f>
        <v/>
      </c>
      <c r="AT38" s="23">
        <f>IF(OR($AR38="",$AR38="BREAKDOWN_REQUIRED"),"",SUM($J38,$AQ38,$Y38)-$X38)</f>
        <v/>
      </c>
      <c r="AU38" s="25">
        <f>IF(AND($A38="",$B38="",$F38="",$H38="",$J38="",$K38="",$M38="",$S38=""),"",IF(OR($H38="",$Q38="",$M38="",$S38=""),"ERROR",IF(OR($J38&lt;0,$K38&lt;0,$M38&lt;0,$T38&lt;0,$U38&lt;0,$V38&lt;0,$W38&lt;0,$X38&lt;0,$Y38&lt;0),"ERROR",IF($AE38="","ERROR",IF(AND(OR($S38="ITEM_PRICE_PLUS_DECLARED_DELIVERY",$S38="TOTAL_AMOUNT_INCLUDING_DELIVERY",$S38="ITEM_PRICE_ONLY_DELIVERY_PAID_BY_MERCHANT"),$J38=""),"ERROR",IF(AND(OR($S38="ITEM_PRICE_PLUS_DECLARED_DELIVERY",$S38="DELIVERY_CHARGE_ONLY"),$K38=""),"ERROR",IF(AND(OR($S38="TOTAL_AMOUNT_INCLUDING_DELIVERY",$S38="EXACT_COLLECTION_AMOUNT"),$T38=""),"ERROR",IF(AND($S38="TOTAL_AMOUNT_INCLUDING_DELIVERY",$T38&lt;SUM($J38,$U38)),"ERROR",IF($S38="EXACT_COLLECTION_AMOUNT","REVIEW","OK")))))))))</f>
        <v/>
      </c>
      <c r="AV38" s="25">
        <f>IF($AU38="","",IF($H38="","Township required",IF($Q38="","Customer tier required",IF($M38="","Weight required",IF($S38="","Amount entry type required",IF(OR($J38&lt;0,$K38&lt;0,$M38&lt;0,$T38&lt;0,$U38&lt;0,$V38&lt;0,$W38&lt;0,$X38&lt;0,$Y38&lt;0),"Negative amounts are not allowed",IF($AE38="","Tariff not found for township and tier",IF(AND(OR($S38="ITEM_PRICE_PLUS_DECLARED_DELIVERY",$S38="TOTAL_AMOUNT_INCLUDING_DELIVERY",$S38="ITEM_PRICE_ONLY_DELIVERY_PAID_BY_MERCHANT"),$J38=""),"Item price required for this amount type",IF(AND(OR($S38="ITEM_PRICE_PLUS_DECLARED_DELIVERY",$S38="DELIVERY_CHARGE_ONLY"),$K38=""),"Declared delivery charge required",IF(AND(OR($S38="TOTAL_AMOUNT_INCLUDING_DELIVERY",$S38="EXACT_COLLECTION_AMOUNT"),$T38=""),"Stated total amount required",IF(AND($S38="TOTAL_AMOUNT_INCLUDING_DELIVERY",$T38&lt;SUM($J38,$U38)),"Stated total is below item price plus additional charge",IF($S38="EXACT_COLLECTION_AMOUNT","Authorized amount breakdown required before settlement","Ready for collection and settlement"))))))))))))</f>
        <v/>
      </c>
      <c r="AW38" s="23">
        <f>IF($AU38="","","PARCEL_FINANCIAL_V2")</f>
        <v/>
      </c>
      <c r="AX38" s="17" t="n"/>
    </row>
    <row r="39">
      <c r="A39" s="8" t="n"/>
      <c r="B39" s="8" t="n"/>
      <c r="C39" s="8" t="n"/>
      <c r="D39" s="8" t="n"/>
      <c r="E39" s="9" t="n"/>
      <c r="F39" s="9" t="n"/>
      <c r="G39" s="8" t="n"/>
      <c r="H39" s="9" t="n"/>
      <c r="I39" s="9" t="n"/>
      <c r="J39" s="10" t="n"/>
      <c r="K39" s="10" t="n"/>
      <c r="L39" s="11">
        <f>IF($S39="","",IF($S39="ITEM_PRICE_PLUS_DECLARED_DELIVERY",IF(OR($J39="",$K39=""),"",SUM($J39,$K39,$U39)),IF($S39="TOTAL_AMOUNT_INCLUDING_DELIVERY",IF($T39="","",$T39),IF($S39="DELIVERY_CHARGE_ONLY",IF($K39="","",SUM($K39,$U39)),IF($S39="EXACT_COLLECTION_AMOUNT",IF($T39="","",$T39),IF($S39="ITEM_PRICE_ONLY_DELIVERY_PAID_BY_MERCHANT",IF($J39="","",SUM($J39,$U39)),""))))))</f>
        <v/>
      </c>
      <c r="M39" s="12" t="n"/>
      <c r="N39" s="13" t="n"/>
      <c r="O39" s="13" t="n"/>
      <c r="P39" s="9" t="n"/>
      <c r="Q39" s="14" t="n"/>
      <c r="R39" s="15" t="n"/>
      <c r="S39" s="14" t="n"/>
      <c r="T39" s="16" t="n"/>
      <c r="U39" s="16" t="n"/>
      <c r="V39" s="16" t="n"/>
      <c r="W39" s="16" t="n"/>
      <c r="X39" s="16" t="n"/>
      <c r="Y39" s="16" t="n"/>
      <c r="Z39" s="14" t="n"/>
      <c r="AA39" s="14" t="n"/>
      <c r="AB39" s="14" t="n"/>
      <c r="AC39" s="17">
        <f>IFERROR(VLOOKUP($H39&amp;"|"&amp;$Q39,Tariff_Master!$A$2:$L$169,3,FALSE),"")</f>
        <v/>
      </c>
      <c r="AD39" s="17">
        <f>IFERROR(VLOOKUP($H39&amp;"|"&amp;$Q39,Tariff_Master!$A$2:$L$169,4,FALSE),"")</f>
        <v/>
      </c>
      <c r="AE39" s="18">
        <f>IFERROR(VLOOKUP($H39&amp;"|"&amp;$Q39,Tariff_Master!$A$2:$L$169,6,FALSE),"")</f>
        <v/>
      </c>
      <c r="AF39" s="19">
        <f>IFERROR(VLOOKUP($H39&amp;"|"&amp;$Q39,Tariff_Master!$A$2:$L$169,7,FALSE),"")</f>
        <v/>
      </c>
      <c r="AG39" s="18">
        <f>IFERROR(VLOOKUP($H39&amp;"|"&amp;$Q39,Tariff_Master!$A$2:$L$169,8,FALSE),"")</f>
        <v/>
      </c>
      <c r="AH39" s="20">
        <f>IFERROR(VLOOKUP($H39&amp;"|"&amp;$Q39,Tariff_Master!$A$2:$L$169,9,FALSE),"")</f>
        <v/>
      </c>
      <c r="AI39" s="18">
        <f>IFERROR(VLOOKUP($H39&amp;"|"&amp;$Q39,Tariff_Master!$A$2:$L$169,10,FALSE),"")</f>
        <v/>
      </c>
      <c r="AJ39" s="21">
        <f>IF($M39="","",ROUNDUP(MAX(0,$M39),0))</f>
        <v/>
      </c>
      <c r="AK39" s="21">
        <f>IF(OR($AJ39="",$AF39=""),"",MAX(0,$AJ39-$AF39))</f>
        <v/>
      </c>
      <c r="AL39" s="22">
        <f>IF(OR($AK39="",$AG39=""),"",MAX(0,$AK39*$AG39))</f>
        <v/>
      </c>
      <c r="AM39" s="22">
        <f>IF($AE39="","",MAX(0,SUM($AE39,$AL39,$V39,$W39)))</f>
        <v/>
      </c>
      <c r="AN39" s="22">
        <f>IF($AM39="","",IF(AND($Q39="COMMITMENT",$R39&gt;=$AH39),$AI39,0))</f>
        <v/>
      </c>
      <c r="AO39" s="23">
        <f>IF($AM39="","",MAX(0,$AM39-$AN39))</f>
        <v/>
      </c>
      <c r="AP39" s="22">
        <f>IF($S39="","",IF(OR($S39="ITEM_PRICE_PLUS_DECLARED_DELIVERY",$S39="DELIVERY_CHARGE_ONLY"),$K39,IF($S39="TOTAL_AMOUNT_INCLUDING_DELIVERY",IF(OR($T39="",$J39=""),"",MAX(0,$T39-$J39-$U39)),IF($S39="ITEM_PRICE_ONLY_DELIVERY_PAID_BY_MERCHANT",0,""))))</f>
        <v/>
      </c>
      <c r="AQ39" s="23">
        <f>IF(OR($AP39="",$AO39=""),"",$AP39-$AO39)</f>
        <v/>
      </c>
      <c r="AR39" s="24">
        <f>IF($S39="EXACT_COLLECTION_AMOUNT","BREAKDOWN_REQUIRED",IF($AQ39="","",IF($AQ39&gt;0,"CREDIT_TO_MERCHANT",IF($AQ39&lt;0,"DEDUCT_FROM_MERCHANT","NO_ADJUSTMENT"))))</f>
        <v/>
      </c>
      <c r="AS39" s="23">
        <f>IF(OR($AQ39="",$AR39="BREAKDOWN_REQUIRED"),"",$AQ39)</f>
        <v/>
      </c>
      <c r="AT39" s="23">
        <f>IF(OR($AR39="",$AR39="BREAKDOWN_REQUIRED"),"",SUM($J39,$AQ39,$Y39)-$X39)</f>
        <v/>
      </c>
      <c r="AU39" s="25">
        <f>IF(AND($A39="",$B39="",$F39="",$H39="",$J39="",$K39="",$M39="",$S39=""),"",IF(OR($H39="",$Q39="",$M39="",$S39=""),"ERROR",IF(OR($J39&lt;0,$K39&lt;0,$M39&lt;0,$T39&lt;0,$U39&lt;0,$V39&lt;0,$W39&lt;0,$X39&lt;0,$Y39&lt;0),"ERROR",IF($AE39="","ERROR",IF(AND(OR($S39="ITEM_PRICE_PLUS_DECLARED_DELIVERY",$S39="TOTAL_AMOUNT_INCLUDING_DELIVERY",$S39="ITEM_PRICE_ONLY_DELIVERY_PAID_BY_MERCHANT"),$J39=""),"ERROR",IF(AND(OR($S39="ITEM_PRICE_PLUS_DECLARED_DELIVERY",$S39="DELIVERY_CHARGE_ONLY"),$K39=""),"ERROR",IF(AND(OR($S39="TOTAL_AMOUNT_INCLUDING_DELIVERY",$S39="EXACT_COLLECTION_AMOUNT"),$T39=""),"ERROR",IF(AND($S39="TOTAL_AMOUNT_INCLUDING_DELIVERY",$T39&lt;SUM($J39,$U39)),"ERROR",IF($S39="EXACT_COLLECTION_AMOUNT","REVIEW","OK")))))))))</f>
        <v/>
      </c>
      <c r="AV39" s="25">
        <f>IF($AU39="","",IF($H39="","Township required",IF($Q39="","Customer tier required",IF($M39="","Weight required",IF($S39="","Amount entry type required",IF(OR($J39&lt;0,$K39&lt;0,$M39&lt;0,$T39&lt;0,$U39&lt;0,$V39&lt;0,$W39&lt;0,$X39&lt;0,$Y39&lt;0),"Negative amounts are not allowed",IF($AE39="","Tariff not found for township and tier",IF(AND(OR($S39="ITEM_PRICE_PLUS_DECLARED_DELIVERY",$S39="TOTAL_AMOUNT_INCLUDING_DELIVERY",$S39="ITEM_PRICE_ONLY_DELIVERY_PAID_BY_MERCHANT"),$J39=""),"Item price required for this amount type",IF(AND(OR($S39="ITEM_PRICE_PLUS_DECLARED_DELIVERY",$S39="DELIVERY_CHARGE_ONLY"),$K39=""),"Declared delivery charge required",IF(AND(OR($S39="TOTAL_AMOUNT_INCLUDING_DELIVERY",$S39="EXACT_COLLECTION_AMOUNT"),$T39=""),"Stated total amount required",IF(AND($S39="TOTAL_AMOUNT_INCLUDING_DELIVERY",$T39&lt;SUM($J39,$U39)),"Stated total is below item price plus additional charge",IF($S39="EXACT_COLLECTION_AMOUNT","Authorized amount breakdown required before settlement","Ready for collection and settlement"))))))))))))</f>
        <v/>
      </c>
      <c r="AW39" s="23">
        <f>IF($AU39="","","PARCEL_FINANCIAL_V2")</f>
        <v/>
      </c>
      <c r="AX39" s="17" t="n"/>
    </row>
    <row r="40">
      <c r="A40" s="8" t="n"/>
      <c r="B40" s="8" t="n"/>
      <c r="C40" s="8" t="n"/>
      <c r="D40" s="8" t="n"/>
      <c r="E40" s="9" t="n"/>
      <c r="F40" s="9" t="n"/>
      <c r="G40" s="8" t="n"/>
      <c r="H40" s="9" t="n"/>
      <c r="I40" s="9" t="n"/>
      <c r="J40" s="10" t="n"/>
      <c r="K40" s="10" t="n"/>
      <c r="L40" s="11">
        <f>IF($S40="","",IF($S40="ITEM_PRICE_PLUS_DECLARED_DELIVERY",IF(OR($J40="",$K40=""),"",SUM($J40,$K40,$U40)),IF($S40="TOTAL_AMOUNT_INCLUDING_DELIVERY",IF($T40="","",$T40),IF($S40="DELIVERY_CHARGE_ONLY",IF($K40="","",SUM($K40,$U40)),IF($S40="EXACT_COLLECTION_AMOUNT",IF($T40="","",$T40),IF($S40="ITEM_PRICE_ONLY_DELIVERY_PAID_BY_MERCHANT",IF($J40="","",SUM($J40,$U40)),""))))))</f>
        <v/>
      </c>
      <c r="M40" s="12" t="n"/>
      <c r="N40" s="13" t="n"/>
      <c r="O40" s="13" t="n"/>
      <c r="P40" s="9" t="n"/>
      <c r="Q40" s="14" t="n"/>
      <c r="R40" s="15" t="n"/>
      <c r="S40" s="14" t="n"/>
      <c r="T40" s="16" t="n"/>
      <c r="U40" s="16" t="n"/>
      <c r="V40" s="16" t="n"/>
      <c r="W40" s="16" t="n"/>
      <c r="X40" s="16" t="n"/>
      <c r="Y40" s="16" t="n"/>
      <c r="Z40" s="14" t="n"/>
      <c r="AA40" s="14" t="n"/>
      <c r="AB40" s="14" t="n"/>
      <c r="AC40" s="17">
        <f>IFERROR(VLOOKUP($H40&amp;"|"&amp;$Q40,Tariff_Master!$A$2:$L$169,3,FALSE),"")</f>
        <v/>
      </c>
      <c r="AD40" s="17">
        <f>IFERROR(VLOOKUP($H40&amp;"|"&amp;$Q40,Tariff_Master!$A$2:$L$169,4,FALSE),"")</f>
        <v/>
      </c>
      <c r="AE40" s="18">
        <f>IFERROR(VLOOKUP($H40&amp;"|"&amp;$Q40,Tariff_Master!$A$2:$L$169,6,FALSE),"")</f>
        <v/>
      </c>
      <c r="AF40" s="19">
        <f>IFERROR(VLOOKUP($H40&amp;"|"&amp;$Q40,Tariff_Master!$A$2:$L$169,7,FALSE),"")</f>
        <v/>
      </c>
      <c r="AG40" s="18">
        <f>IFERROR(VLOOKUP($H40&amp;"|"&amp;$Q40,Tariff_Master!$A$2:$L$169,8,FALSE),"")</f>
        <v/>
      </c>
      <c r="AH40" s="20">
        <f>IFERROR(VLOOKUP($H40&amp;"|"&amp;$Q40,Tariff_Master!$A$2:$L$169,9,FALSE),"")</f>
        <v/>
      </c>
      <c r="AI40" s="18">
        <f>IFERROR(VLOOKUP($H40&amp;"|"&amp;$Q40,Tariff_Master!$A$2:$L$169,10,FALSE),"")</f>
        <v/>
      </c>
      <c r="AJ40" s="21">
        <f>IF($M40="","",ROUNDUP(MAX(0,$M40),0))</f>
        <v/>
      </c>
      <c r="AK40" s="21">
        <f>IF(OR($AJ40="",$AF40=""),"",MAX(0,$AJ40-$AF40))</f>
        <v/>
      </c>
      <c r="AL40" s="22">
        <f>IF(OR($AK40="",$AG40=""),"",MAX(0,$AK40*$AG40))</f>
        <v/>
      </c>
      <c r="AM40" s="22">
        <f>IF($AE40="","",MAX(0,SUM($AE40,$AL40,$V40,$W40)))</f>
        <v/>
      </c>
      <c r="AN40" s="22">
        <f>IF($AM40="","",IF(AND($Q40="COMMITMENT",$R40&gt;=$AH40),$AI40,0))</f>
        <v/>
      </c>
      <c r="AO40" s="23">
        <f>IF($AM40="","",MAX(0,$AM40-$AN40))</f>
        <v/>
      </c>
      <c r="AP40" s="22">
        <f>IF($S40="","",IF(OR($S40="ITEM_PRICE_PLUS_DECLARED_DELIVERY",$S40="DELIVERY_CHARGE_ONLY"),$K40,IF($S40="TOTAL_AMOUNT_INCLUDING_DELIVERY",IF(OR($T40="",$J40=""),"",MAX(0,$T40-$J40-$U40)),IF($S40="ITEM_PRICE_ONLY_DELIVERY_PAID_BY_MERCHANT",0,""))))</f>
        <v/>
      </c>
      <c r="AQ40" s="23">
        <f>IF(OR($AP40="",$AO40=""),"",$AP40-$AO40)</f>
        <v/>
      </c>
      <c r="AR40" s="24">
        <f>IF($S40="EXACT_COLLECTION_AMOUNT","BREAKDOWN_REQUIRED",IF($AQ40="","",IF($AQ40&gt;0,"CREDIT_TO_MERCHANT",IF($AQ40&lt;0,"DEDUCT_FROM_MERCHANT","NO_ADJUSTMENT"))))</f>
        <v/>
      </c>
      <c r="AS40" s="23">
        <f>IF(OR($AQ40="",$AR40="BREAKDOWN_REQUIRED"),"",$AQ40)</f>
        <v/>
      </c>
      <c r="AT40" s="23">
        <f>IF(OR($AR40="",$AR40="BREAKDOWN_REQUIRED"),"",SUM($J40,$AQ40,$Y40)-$X40)</f>
        <v/>
      </c>
      <c r="AU40" s="25">
        <f>IF(AND($A40="",$B40="",$F40="",$H40="",$J40="",$K40="",$M40="",$S40=""),"",IF(OR($H40="",$Q40="",$M40="",$S40=""),"ERROR",IF(OR($J40&lt;0,$K40&lt;0,$M40&lt;0,$T40&lt;0,$U40&lt;0,$V40&lt;0,$W40&lt;0,$X40&lt;0,$Y40&lt;0),"ERROR",IF($AE40="","ERROR",IF(AND(OR($S40="ITEM_PRICE_PLUS_DECLARED_DELIVERY",$S40="TOTAL_AMOUNT_INCLUDING_DELIVERY",$S40="ITEM_PRICE_ONLY_DELIVERY_PAID_BY_MERCHANT"),$J40=""),"ERROR",IF(AND(OR($S40="ITEM_PRICE_PLUS_DECLARED_DELIVERY",$S40="DELIVERY_CHARGE_ONLY"),$K40=""),"ERROR",IF(AND(OR($S40="TOTAL_AMOUNT_INCLUDING_DELIVERY",$S40="EXACT_COLLECTION_AMOUNT"),$T40=""),"ERROR",IF(AND($S40="TOTAL_AMOUNT_INCLUDING_DELIVERY",$T40&lt;SUM($J40,$U40)),"ERROR",IF($S40="EXACT_COLLECTION_AMOUNT","REVIEW","OK")))))))))</f>
        <v/>
      </c>
      <c r="AV40" s="25">
        <f>IF($AU40="","",IF($H40="","Township required",IF($Q40="","Customer tier required",IF($M40="","Weight required",IF($S40="","Amount entry type required",IF(OR($J40&lt;0,$K40&lt;0,$M40&lt;0,$T40&lt;0,$U40&lt;0,$V40&lt;0,$W40&lt;0,$X40&lt;0,$Y40&lt;0),"Negative amounts are not allowed",IF($AE40="","Tariff not found for township and tier",IF(AND(OR($S40="ITEM_PRICE_PLUS_DECLARED_DELIVERY",$S40="TOTAL_AMOUNT_INCLUDING_DELIVERY",$S40="ITEM_PRICE_ONLY_DELIVERY_PAID_BY_MERCHANT"),$J40=""),"Item price required for this amount type",IF(AND(OR($S40="ITEM_PRICE_PLUS_DECLARED_DELIVERY",$S40="DELIVERY_CHARGE_ONLY"),$K40=""),"Declared delivery charge required",IF(AND(OR($S40="TOTAL_AMOUNT_INCLUDING_DELIVERY",$S40="EXACT_COLLECTION_AMOUNT"),$T40=""),"Stated total amount required",IF(AND($S40="TOTAL_AMOUNT_INCLUDING_DELIVERY",$T40&lt;SUM($J40,$U40)),"Stated total is below item price plus additional charge",IF($S40="EXACT_COLLECTION_AMOUNT","Authorized amount breakdown required before settlement","Ready for collection and settlement"))))))))))))</f>
        <v/>
      </c>
      <c r="AW40" s="23">
        <f>IF($AU40="","","PARCEL_FINANCIAL_V2")</f>
        <v/>
      </c>
      <c r="AX40" s="17" t="n"/>
    </row>
    <row r="41">
      <c r="A41" s="8" t="n"/>
      <c r="B41" s="8" t="n"/>
      <c r="C41" s="8" t="n"/>
      <c r="D41" s="8" t="n"/>
      <c r="E41" s="9" t="n"/>
      <c r="F41" s="9" t="n"/>
      <c r="G41" s="8" t="n"/>
      <c r="H41" s="9" t="n"/>
      <c r="I41" s="9" t="n"/>
      <c r="J41" s="10" t="n"/>
      <c r="K41" s="10" t="n"/>
      <c r="L41" s="11">
        <f>IF($S41="","",IF($S41="ITEM_PRICE_PLUS_DECLARED_DELIVERY",IF(OR($J41="",$K41=""),"",SUM($J41,$K41,$U41)),IF($S41="TOTAL_AMOUNT_INCLUDING_DELIVERY",IF($T41="","",$T41),IF($S41="DELIVERY_CHARGE_ONLY",IF($K41="","",SUM($K41,$U41)),IF($S41="EXACT_COLLECTION_AMOUNT",IF($T41="","",$T41),IF($S41="ITEM_PRICE_ONLY_DELIVERY_PAID_BY_MERCHANT",IF($J41="","",SUM($J41,$U41)),""))))))</f>
        <v/>
      </c>
      <c r="M41" s="12" t="n"/>
      <c r="N41" s="13" t="n"/>
      <c r="O41" s="13" t="n"/>
      <c r="P41" s="9" t="n"/>
      <c r="Q41" s="14" t="n"/>
      <c r="R41" s="15" t="n"/>
      <c r="S41" s="14" t="n"/>
      <c r="T41" s="16" t="n"/>
      <c r="U41" s="16" t="n"/>
      <c r="V41" s="16" t="n"/>
      <c r="W41" s="16" t="n"/>
      <c r="X41" s="16" t="n"/>
      <c r="Y41" s="16" t="n"/>
      <c r="Z41" s="14" t="n"/>
      <c r="AA41" s="14" t="n"/>
      <c r="AB41" s="14" t="n"/>
      <c r="AC41" s="17">
        <f>IFERROR(VLOOKUP($H41&amp;"|"&amp;$Q41,Tariff_Master!$A$2:$L$169,3,FALSE),"")</f>
        <v/>
      </c>
      <c r="AD41" s="17">
        <f>IFERROR(VLOOKUP($H41&amp;"|"&amp;$Q41,Tariff_Master!$A$2:$L$169,4,FALSE),"")</f>
        <v/>
      </c>
      <c r="AE41" s="18">
        <f>IFERROR(VLOOKUP($H41&amp;"|"&amp;$Q41,Tariff_Master!$A$2:$L$169,6,FALSE),"")</f>
        <v/>
      </c>
      <c r="AF41" s="19">
        <f>IFERROR(VLOOKUP($H41&amp;"|"&amp;$Q41,Tariff_Master!$A$2:$L$169,7,FALSE),"")</f>
        <v/>
      </c>
      <c r="AG41" s="18">
        <f>IFERROR(VLOOKUP($H41&amp;"|"&amp;$Q41,Tariff_Master!$A$2:$L$169,8,FALSE),"")</f>
        <v/>
      </c>
      <c r="AH41" s="20">
        <f>IFERROR(VLOOKUP($H41&amp;"|"&amp;$Q41,Tariff_Master!$A$2:$L$169,9,FALSE),"")</f>
        <v/>
      </c>
      <c r="AI41" s="18">
        <f>IFERROR(VLOOKUP($H41&amp;"|"&amp;$Q41,Tariff_Master!$A$2:$L$169,10,FALSE),"")</f>
        <v/>
      </c>
      <c r="AJ41" s="21">
        <f>IF($M41="","",ROUNDUP(MAX(0,$M41),0))</f>
        <v/>
      </c>
      <c r="AK41" s="21">
        <f>IF(OR($AJ41="",$AF41=""),"",MAX(0,$AJ41-$AF41))</f>
        <v/>
      </c>
      <c r="AL41" s="22">
        <f>IF(OR($AK41="",$AG41=""),"",MAX(0,$AK41*$AG41))</f>
        <v/>
      </c>
      <c r="AM41" s="22">
        <f>IF($AE41="","",MAX(0,SUM($AE41,$AL41,$V41,$W41)))</f>
        <v/>
      </c>
      <c r="AN41" s="22">
        <f>IF($AM41="","",IF(AND($Q41="COMMITMENT",$R41&gt;=$AH41),$AI41,0))</f>
        <v/>
      </c>
      <c r="AO41" s="23">
        <f>IF($AM41="","",MAX(0,$AM41-$AN41))</f>
        <v/>
      </c>
      <c r="AP41" s="22">
        <f>IF($S41="","",IF(OR($S41="ITEM_PRICE_PLUS_DECLARED_DELIVERY",$S41="DELIVERY_CHARGE_ONLY"),$K41,IF($S41="TOTAL_AMOUNT_INCLUDING_DELIVERY",IF(OR($T41="",$J41=""),"",MAX(0,$T41-$J41-$U41)),IF($S41="ITEM_PRICE_ONLY_DELIVERY_PAID_BY_MERCHANT",0,""))))</f>
        <v/>
      </c>
      <c r="AQ41" s="23">
        <f>IF(OR($AP41="",$AO41=""),"",$AP41-$AO41)</f>
        <v/>
      </c>
      <c r="AR41" s="24">
        <f>IF($S41="EXACT_COLLECTION_AMOUNT","BREAKDOWN_REQUIRED",IF($AQ41="","",IF($AQ41&gt;0,"CREDIT_TO_MERCHANT",IF($AQ41&lt;0,"DEDUCT_FROM_MERCHANT","NO_ADJUSTMENT"))))</f>
        <v/>
      </c>
      <c r="AS41" s="23">
        <f>IF(OR($AQ41="",$AR41="BREAKDOWN_REQUIRED"),"",$AQ41)</f>
        <v/>
      </c>
      <c r="AT41" s="23">
        <f>IF(OR($AR41="",$AR41="BREAKDOWN_REQUIRED"),"",SUM($J41,$AQ41,$Y41)-$X41)</f>
        <v/>
      </c>
      <c r="AU41" s="25">
        <f>IF(AND($A41="",$B41="",$F41="",$H41="",$J41="",$K41="",$M41="",$S41=""),"",IF(OR($H41="",$Q41="",$M41="",$S41=""),"ERROR",IF(OR($J41&lt;0,$K41&lt;0,$M41&lt;0,$T41&lt;0,$U41&lt;0,$V41&lt;0,$W41&lt;0,$X41&lt;0,$Y41&lt;0),"ERROR",IF($AE41="","ERROR",IF(AND(OR($S41="ITEM_PRICE_PLUS_DECLARED_DELIVERY",$S41="TOTAL_AMOUNT_INCLUDING_DELIVERY",$S41="ITEM_PRICE_ONLY_DELIVERY_PAID_BY_MERCHANT"),$J41=""),"ERROR",IF(AND(OR($S41="ITEM_PRICE_PLUS_DECLARED_DELIVERY",$S41="DELIVERY_CHARGE_ONLY"),$K41=""),"ERROR",IF(AND(OR($S41="TOTAL_AMOUNT_INCLUDING_DELIVERY",$S41="EXACT_COLLECTION_AMOUNT"),$T41=""),"ERROR",IF(AND($S41="TOTAL_AMOUNT_INCLUDING_DELIVERY",$T41&lt;SUM($J41,$U41)),"ERROR",IF($S41="EXACT_COLLECTION_AMOUNT","REVIEW","OK")))))))))</f>
        <v/>
      </c>
      <c r="AV41" s="25">
        <f>IF($AU41="","",IF($H41="","Township required",IF($Q41="","Customer tier required",IF($M41="","Weight required",IF($S41="","Amount entry type required",IF(OR($J41&lt;0,$K41&lt;0,$M41&lt;0,$T41&lt;0,$U41&lt;0,$V41&lt;0,$W41&lt;0,$X41&lt;0,$Y41&lt;0),"Negative amounts are not allowed",IF($AE41="","Tariff not found for township and tier",IF(AND(OR($S41="ITEM_PRICE_PLUS_DECLARED_DELIVERY",$S41="TOTAL_AMOUNT_INCLUDING_DELIVERY",$S41="ITEM_PRICE_ONLY_DELIVERY_PAID_BY_MERCHANT"),$J41=""),"Item price required for this amount type",IF(AND(OR($S41="ITEM_PRICE_PLUS_DECLARED_DELIVERY",$S41="DELIVERY_CHARGE_ONLY"),$K41=""),"Declared delivery charge required",IF(AND(OR($S41="TOTAL_AMOUNT_INCLUDING_DELIVERY",$S41="EXACT_COLLECTION_AMOUNT"),$T41=""),"Stated total amount required",IF(AND($S41="TOTAL_AMOUNT_INCLUDING_DELIVERY",$T41&lt;SUM($J41,$U41)),"Stated total is below item price plus additional charge",IF($S41="EXACT_COLLECTION_AMOUNT","Authorized amount breakdown required before settlement","Ready for collection and settlement"))))))))))))</f>
        <v/>
      </c>
      <c r="AW41" s="23">
        <f>IF($AU41="","","PARCEL_FINANCIAL_V2")</f>
        <v/>
      </c>
      <c r="AX41" s="17" t="n"/>
    </row>
    <row r="42">
      <c r="A42" s="8" t="n"/>
      <c r="B42" s="8" t="n"/>
      <c r="C42" s="8" t="n"/>
      <c r="D42" s="8" t="n"/>
      <c r="E42" s="9" t="n"/>
      <c r="F42" s="9" t="n"/>
      <c r="G42" s="8" t="n"/>
      <c r="H42" s="9" t="n"/>
      <c r="I42" s="9" t="n"/>
      <c r="J42" s="10" t="n"/>
      <c r="K42" s="10" t="n"/>
      <c r="L42" s="11">
        <f>IF($S42="","",IF($S42="ITEM_PRICE_PLUS_DECLARED_DELIVERY",IF(OR($J42="",$K42=""),"",SUM($J42,$K42,$U42)),IF($S42="TOTAL_AMOUNT_INCLUDING_DELIVERY",IF($T42="","",$T42),IF($S42="DELIVERY_CHARGE_ONLY",IF($K42="","",SUM($K42,$U42)),IF($S42="EXACT_COLLECTION_AMOUNT",IF($T42="","",$T42),IF($S42="ITEM_PRICE_ONLY_DELIVERY_PAID_BY_MERCHANT",IF($J42="","",SUM($J42,$U42)),""))))))</f>
        <v/>
      </c>
      <c r="M42" s="12" t="n"/>
      <c r="N42" s="13" t="n"/>
      <c r="O42" s="13" t="n"/>
      <c r="P42" s="9" t="n"/>
      <c r="Q42" s="14" t="n"/>
      <c r="R42" s="15" t="n"/>
      <c r="S42" s="14" t="n"/>
      <c r="T42" s="16" t="n"/>
      <c r="U42" s="16" t="n"/>
      <c r="V42" s="16" t="n"/>
      <c r="W42" s="16" t="n"/>
      <c r="X42" s="16" t="n"/>
      <c r="Y42" s="16" t="n"/>
      <c r="Z42" s="14" t="n"/>
      <c r="AA42" s="14" t="n"/>
      <c r="AB42" s="14" t="n"/>
      <c r="AC42" s="17">
        <f>IFERROR(VLOOKUP($H42&amp;"|"&amp;$Q42,Tariff_Master!$A$2:$L$169,3,FALSE),"")</f>
        <v/>
      </c>
      <c r="AD42" s="17">
        <f>IFERROR(VLOOKUP($H42&amp;"|"&amp;$Q42,Tariff_Master!$A$2:$L$169,4,FALSE),"")</f>
        <v/>
      </c>
      <c r="AE42" s="18">
        <f>IFERROR(VLOOKUP($H42&amp;"|"&amp;$Q42,Tariff_Master!$A$2:$L$169,6,FALSE),"")</f>
        <v/>
      </c>
      <c r="AF42" s="19">
        <f>IFERROR(VLOOKUP($H42&amp;"|"&amp;$Q42,Tariff_Master!$A$2:$L$169,7,FALSE),"")</f>
        <v/>
      </c>
      <c r="AG42" s="18">
        <f>IFERROR(VLOOKUP($H42&amp;"|"&amp;$Q42,Tariff_Master!$A$2:$L$169,8,FALSE),"")</f>
        <v/>
      </c>
      <c r="AH42" s="20">
        <f>IFERROR(VLOOKUP($H42&amp;"|"&amp;$Q42,Tariff_Master!$A$2:$L$169,9,FALSE),"")</f>
        <v/>
      </c>
      <c r="AI42" s="18">
        <f>IFERROR(VLOOKUP($H42&amp;"|"&amp;$Q42,Tariff_Master!$A$2:$L$169,10,FALSE),"")</f>
        <v/>
      </c>
      <c r="AJ42" s="21">
        <f>IF($M42="","",ROUNDUP(MAX(0,$M42),0))</f>
        <v/>
      </c>
      <c r="AK42" s="21">
        <f>IF(OR($AJ42="",$AF42=""),"",MAX(0,$AJ42-$AF42))</f>
        <v/>
      </c>
      <c r="AL42" s="22">
        <f>IF(OR($AK42="",$AG42=""),"",MAX(0,$AK42*$AG42))</f>
        <v/>
      </c>
      <c r="AM42" s="22">
        <f>IF($AE42="","",MAX(0,SUM($AE42,$AL42,$V42,$W42)))</f>
        <v/>
      </c>
      <c r="AN42" s="22">
        <f>IF($AM42="","",IF(AND($Q42="COMMITMENT",$R42&gt;=$AH42),$AI42,0))</f>
        <v/>
      </c>
      <c r="AO42" s="23">
        <f>IF($AM42="","",MAX(0,$AM42-$AN42))</f>
        <v/>
      </c>
      <c r="AP42" s="22">
        <f>IF($S42="","",IF(OR($S42="ITEM_PRICE_PLUS_DECLARED_DELIVERY",$S42="DELIVERY_CHARGE_ONLY"),$K42,IF($S42="TOTAL_AMOUNT_INCLUDING_DELIVERY",IF(OR($T42="",$J42=""),"",MAX(0,$T42-$J42-$U42)),IF($S42="ITEM_PRICE_ONLY_DELIVERY_PAID_BY_MERCHANT",0,""))))</f>
        <v/>
      </c>
      <c r="AQ42" s="23">
        <f>IF(OR($AP42="",$AO42=""),"",$AP42-$AO42)</f>
        <v/>
      </c>
      <c r="AR42" s="24">
        <f>IF($S42="EXACT_COLLECTION_AMOUNT","BREAKDOWN_REQUIRED",IF($AQ42="","",IF($AQ42&gt;0,"CREDIT_TO_MERCHANT",IF($AQ42&lt;0,"DEDUCT_FROM_MERCHANT","NO_ADJUSTMENT"))))</f>
        <v/>
      </c>
      <c r="AS42" s="23">
        <f>IF(OR($AQ42="",$AR42="BREAKDOWN_REQUIRED"),"",$AQ42)</f>
        <v/>
      </c>
      <c r="AT42" s="23">
        <f>IF(OR($AR42="",$AR42="BREAKDOWN_REQUIRED"),"",SUM($J42,$AQ42,$Y42)-$X42)</f>
        <v/>
      </c>
      <c r="AU42" s="25">
        <f>IF(AND($A42="",$B42="",$F42="",$H42="",$J42="",$K42="",$M42="",$S42=""),"",IF(OR($H42="",$Q42="",$M42="",$S42=""),"ERROR",IF(OR($J42&lt;0,$K42&lt;0,$M42&lt;0,$T42&lt;0,$U42&lt;0,$V42&lt;0,$W42&lt;0,$X42&lt;0,$Y42&lt;0),"ERROR",IF($AE42="","ERROR",IF(AND(OR($S42="ITEM_PRICE_PLUS_DECLARED_DELIVERY",$S42="TOTAL_AMOUNT_INCLUDING_DELIVERY",$S42="ITEM_PRICE_ONLY_DELIVERY_PAID_BY_MERCHANT"),$J42=""),"ERROR",IF(AND(OR($S42="ITEM_PRICE_PLUS_DECLARED_DELIVERY",$S42="DELIVERY_CHARGE_ONLY"),$K42=""),"ERROR",IF(AND(OR($S42="TOTAL_AMOUNT_INCLUDING_DELIVERY",$S42="EXACT_COLLECTION_AMOUNT"),$T42=""),"ERROR",IF(AND($S42="TOTAL_AMOUNT_INCLUDING_DELIVERY",$T42&lt;SUM($J42,$U42)),"ERROR",IF($S42="EXACT_COLLECTION_AMOUNT","REVIEW","OK")))))))))</f>
        <v/>
      </c>
      <c r="AV42" s="25">
        <f>IF($AU42="","",IF($H42="","Township required",IF($Q42="","Customer tier required",IF($M42="","Weight required",IF($S42="","Amount entry type required",IF(OR($J42&lt;0,$K42&lt;0,$M42&lt;0,$T42&lt;0,$U42&lt;0,$V42&lt;0,$W42&lt;0,$X42&lt;0,$Y42&lt;0),"Negative amounts are not allowed",IF($AE42="","Tariff not found for township and tier",IF(AND(OR($S42="ITEM_PRICE_PLUS_DECLARED_DELIVERY",$S42="TOTAL_AMOUNT_INCLUDING_DELIVERY",$S42="ITEM_PRICE_ONLY_DELIVERY_PAID_BY_MERCHANT"),$J42=""),"Item price required for this amount type",IF(AND(OR($S42="ITEM_PRICE_PLUS_DECLARED_DELIVERY",$S42="DELIVERY_CHARGE_ONLY"),$K42=""),"Declared delivery charge required",IF(AND(OR($S42="TOTAL_AMOUNT_INCLUDING_DELIVERY",$S42="EXACT_COLLECTION_AMOUNT"),$T42=""),"Stated total amount required",IF(AND($S42="TOTAL_AMOUNT_INCLUDING_DELIVERY",$T42&lt;SUM($J42,$U42)),"Stated total is below item price plus additional charge",IF($S42="EXACT_COLLECTION_AMOUNT","Authorized amount breakdown required before settlement","Ready for collection and settlement"))))))))))))</f>
        <v/>
      </c>
      <c r="AW42" s="23">
        <f>IF($AU42="","","PARCEL_FINANCIAL_V2")</f>
        <v/>
      </c>
      <c r="AX42" s="17" t="n"/>
    </row>
    <row r="43">
      <c r="A43" s="8" t="n"/>
      <c r="B43" s="8" t="n"/>
      <c r="C43" s="8" t="n"/>
      <c r="D43" s="8" t="n"/>
      <c r="E43" s="9" t="n"/>
      <c r="F43" s="9" t="n"/>
      <c r="G43" s="8" t="n"/>
      <c r="H43" s="9" t="n"/>
      <c r="I43" s="9" t="n"/>
      <c r="J43" s="10" t="n"/>
      <c r="K43" s="10" t="n"/>
      <c r="L43" s="11">
        <f>IF($S43="","",IF($S43="ITEM_PRICE_PLUS_DECLARED_DELIVERY",IF(OR($J43="",$K43=""),"",SUM($J43,$K43,$U43)),IF($S43="TOTAL_AMOUNT_INCLUDING_DELIVERY",IF($T43="","",$T43),IF($S43="DELIVERY_CHARGE_ONLY",IF($K43="","",SUM($K43,$U43)),IF($S43="EXACT_COLLECTION_AMOUNT",IF($T43="","",$T43),IF($S43="ITEM_PRICE_ONLY_DELIVERY_PAID_BY_MERCHANT",IF($J43="","",SUM($J43,$U43)),""))))))</f>
        <v/>
      </c>
      <c r="M43" s="12" t="n"/>
      <c r="N43" s="13" t="n"/>
      <c r="O43" s="13" t="n"/>
      <c r="P43" s="9" t="n"/>
      <c r="Q43" s="14" t="n"/>
      <c r="R43" s="15" t="n"/>
      <c r="S43" s="14" t="n"/>
      <c r="T43" s="16" t="n"/>
      <c r="U43" s="16" t="n"/>
      <c r="V43" s="16" t="n"/>
      <c r="W43" s="16" t="n"/>
      <c r="X43" s="16" t="n"/>
      <c r="Y43" s="16" t="n"/>
      <c r="Z43" s="14" t="n"/>
      <c r="AA43" s="14" t="n"/>
      <c r="AB43" s="14" t="n"/>
      <c r="AC43" s="17">
        <f>IFERROR(VLOOKUP($H43&amp;"|"&amp;$Q43,Tariff_Master!$A$2:$L$169,3,FALSE),"")</f>
        <v/>
      </c>
      <c r="AD43" s="17">
        <f>IFERROR(VLOOKUP($H43&amp;"|"&amp;$Q43,Tariff_Master!$A$2:$L$169,4,FALSE),"")</f>
        <v/>
      </c>
      <c r="AE43" s="18">
        <f>IFERROR(VLOOKUP($H43&amp;"|"&amp;$Q43,Tariff_Master!$A$2:$L$169,6,FALSE),"")</f>
        <v/>
      </c>
      <c r="AF43" s="19">
        <f>IFERROR(VLOOKUP($H43&amp;"|"&amp;$Q43,Tariff_Master!$A$2:$L$169,7,FALSE),"")</f>
        <v/>
      </c>
      <c r="AG43" s="18">
        <f>IFERROR(VLOOKUP($H43&amp;"|"&amp;$Q43,Tariff_Master!$A$2:$L$169,8,FALSE),"")</f>
        <v/>
      </c>
      <c r="AH43" s="20">
        <f>IFERROR(VLOOKUP($H43&amp;"|"&amp;$Q43,Tariff_Master!$A$2:$L$169,9,FALSE),"")</f>
        <v/>
      </c>
      <c r="AI43" s="18">
        <f>IFERROR(VLOOKUP($H43&amp;"|"&amp;$Q43,Tariff_Master!$A$2:$L$169,10,FALSE),"")</f>
        <v/>
      </c>
      <c r="AJ43" s="21">
        <f>IF($M43="","",ROUNDUP(MAX(0,$M43),0))</f>
        <v/>
      </c>
      <c r="AK43" s="21">
        <f>IF(OR($AJ43="",$AF43=""),"",MAX(0,$AJ43-$AF43))</f>
        <v/>
      </c>
      <c r="AL43" s="22">
        <f>IF(OR($AK43="",$AG43=""),"",MAX(0,$AK43*$AG43))</f>
        <v/>
      </c>
      <c r="AM43" s="22">
        <f>IF($AE43="","",MAX(0,SUM($AE43,$AL43,$V43,$W43)))</f>
        <v/>
      </c>
      <c r="AN43" s="22">
        <f>IF($AM43="","",IF(AND($Q43="COMMITMENT",$R43&gt;=$AH43),$AI43,0))</f>
        <v/>
      </c>
      <c r="AO43" s="23">
        <f>IF($AM43="","",MAX(0,$AM43-$AN43))</f>
        <v/>
      </c>
      <c r="AP43" s="22">
        <f>IF($S43="","",IF(OR($S43="ITEM_PRICE_PLUS_DECLARED_DELIVERY",$S43="DELIVERY_CHARGE_ONLY"),$K43,IF($S43="TOTAL_AMOUNT_INCLUDING_DELIVERY",IF(OR($T43="",$J43=""),"",MAX(0,$T43-$J43-$U43)),IF($S43="ITEM_PRICE_ONLY_DELIVERY_PAID_BY_MERCHANT",0,""))))</f>
        <v/>
      </c>
      <c r="AQ43" s="23">
        <f>IF(OR($AP43="",$AO43=""),"",$AP43-$AO43)</f>
        <v/>
      </c>
      <c r="AR43" s="24">
        <f>IF($S43="EXACT_COLLECTION_AMOUNT","BREAKDOWN_REQUIRED",IF($AQ43="","",IF($AQ43&gt;0,"CREDIT_TO_MERCHANT",IF($AQ43&lt;0,"DEDUCT_FROM_MERCHANT","NO_ADJUSTMENT"))))</f>
        <v/>
      </c>
      <c r="AS43" s="23">
        <f>IF(OR($AQ43="",$AR43="BREAKDOWN_REQUIRED"),"",$AQ43)</f>
        <v/>
      </c>
      <c r="AT43" s="23">
        <f>IF(OR($AR43="",$AR43="BREAKDOWN_REQUIRED"),"",SUM($J43,$AQ43,$Y43)-$X43)</f>
        <v/>
      </c>
      <c r="AU43" s="25">
        <f>IF(AND($A43="",$B43="",$F43="",$H43="",$J43="",$K43="",$M43="",$S43=""),"",IF(OR($H43="",$Q43="",$M43="",$S43=""),"ERROR",IF(OR($J43&lt;0,$K43&lt;0,$M43&lt;0,$T43&lt;0,$U43&lt;0,$V43&lt;0,$W43&lt;0,$X43&lt;0,$Y43&lt;0),"ERROR",IF($AE43="","ERROR",IF(AND(OR($S43="ITEM_PRICE_PLUS_DECLARED_DELIVERY",$S43="TOTAL_AMOUNT_INCLUDING_DELIVERY",$S43="ITEM_PRICE_ONLY_DELIVERY_PAID_BY_MERCHANT"),$J43=""),"ERROR",IF(AND(OR($S43="ITEM_PRICE_PLUS_DECLARED_DELIVERY",$S43="DELIVERY_CHARGE_ONLY"),$K43=""),"ERROR",IF(AND(OR($S43="TOTAL_AMOUNT_INCLUDING_DELIVERY",$S43="EXACT_COLLECTION_AMOUNT"),$T43=""),"ERROR",IF(AND($S43="TOTAL_AMOUNT_INCLUDING_DELIVERY",$T43&lt;SUM($J43,$U43)),"ERROR",IF($S43="EXACT_COLLECTION_AMOUNT","REVIEW","OK")))))))))</f>
        <v/>
      </c>
      <c r="AV43" s="25">
        <f>IF($AU43="","",IF($H43="","Township required",IF($Q43="","Customer tier required",IF($M43="","Weight required",IF($S43="","Amount entry type required",IF(OR($J43&lt;0,$K43&lt;0,$M43&lt;0,$T43&lt;0,$U43&lt;0,$V43&lt;0,$W43&lt;0,$X43&lt;0,$Y43&lt;0),"Negative amounts are not allowed",IF($AE43="","Tariff not found for township and tier",IF(AND(OR($S43="ITEM_PRICE_PLUS_DECLARED_DELIVERY",$S43="TOTAL_AMOUNT_INCLUDING_DELIVERY",$S43="ITEM_PRICE_ONLY_DELIVERY_PAID_BY_MERCHANT"),$J43=""),"Item price required for this amount type",IF(AND(OR($S43="ITEM_PRICE_PLUS_DECLARED_DELIVERY",$S43="DELIVERY_CHARGE_ONLY"),$K43=""),"Declared delivery charge required",IF(AND(OR($S43="TOTAL_AMOUNT_INCLUDING_DELIVERY",$S43="EXACT_COLLECTION_AMOUNT"),$T43=""),"Stated total amount required",IF(AND($S43="TOTAL_AMOUNT_INCLUDING_DELIVERY",$T43&lt;SUM($J43,$U43)),"Stated total is below item price plus additional charge",IF($S43="EXACT_COLLECTION_AMOUNT","Authorized amount breakdown required before settlement","Ready for collection and settlement"))))))))))))</f>
        <v/>
      </c>
      <c r="AW43" s="23">
        <f>IF($AU43="","","PARCEL_FINANCIAL_V2")</f>
        <v/>
      </c>
      <c r="AX43" s="17" t="n"/>
    </row>
    <row r="44">
      <c r="A44" s="8" t="n"/>
      <c r="B44" s="8" t="n"/>
      <c r="C44" s="8" t="n"/>
      <c r="D44" s="8" t="n"/>
      <c r="E44" s="9" t="n"/>
      <c r="F44" s="9" t="n"/>
      <c r="G44" s="8" t="n"/>
      <c r="H44" s="9" t="n"/>
      <c r="I44" s="9" t="n"/>
      <c r="J44" s="10" t="n"/>
      <c r="K44" s="10" t="n"/>
      <c r="L44" s="11">
        <f>IF($S44="","",IF($S44="ITEM_PRICE_PLUS_DECLARED_DELIVERY",IF(OR($J44="",$K44=""),"",SUM($J44,$K44,$U44)),IF($S44="TOTAL_AMOUNT_INCLUDING_DELIVERY",IF($T44="","",$T44),IF($S44="DELIVERY_CHARGE_ONLY",IF($K44="","",SUM($K44,$U44)),IF($S44="EXACT_COLLECTION_AMOUNT",IF($T44="","",$T44),IF($S44="ITEM_PRICE_ONLY_DELIVERY_PAID_BY_MERCHANT",IF($J44="","",SUM($J44,$U44)),""))))))</f>
        <v/>
      </c>
      <c r="M44" s="12" t="n"/>
      <c r="N44" s="13" t="n"/>
      <c r="O44" s="13" t="n"/>
      <c r="P44" s="9" t="n"/>
      <c r="Q44" s="14" t="n"/>
      <c r="R44" s="15" t="n"/>
      <c r="S44" s="14" t="n"/>
      <c r="T44" s="16" t="n"/>
      <c r="U44" s="16" t="n"/>
      <c r="V44" s="16" t="n"/>
      <c r="W44" s="16" t="n"/>
      <c r="X44" s="16" t="n"/>
      <c r="Y44" s="16" t="n"/>
      <c r="Z44" s="14" t="n"/>
      <c r="AA44" s="14" t="n"/>
      <c r="AB44" s="14" t="n"/>
      <c r="AC44" s="17">
        <f>IFERROR(VLOOKUP($H44&amp;"|"&amp;$Q44,Tariff_Master!$A$2:$L$169,3,FALSE),"")</f>
        <v/>
      </c>
      <c r="AD44" s="17">
        <f>IFERROR(VLOOKUP($H44&amp;"|"&amp;$Q44,Tariff_Master!$A$2:$L$169,4,FALSE),"")</f>
        <v/>
      </c>
      <c r="AE44" s="18">
        <f>IFERROR(VLOOKUP($H44&amp;"|"&amp;$Q44,Tariff_Master!$A$2:$L$169,6,FALSE),"")</f>
        <v/>
      </c>
      <c r="AF44" s="19">
        <f>IFERROR(VLOOKUP($H44&amp;"|"&amp;$Q44,Tariff_Master!$A$2:$L$169,7,FALSE),"")</f>
        <v/>
      </c>
      <c r="AG44" s="18">
        <f>IFERROR(VLOOKUP($H44&amp;"|"&amp;$Q44,Tariff_Master!$A$2:$L$169,8,FALSE),"")</f>
        <v/>
      </c>
      <c r="AH44" s="20">
        <f>IFERROR(VLOOKUP($H44&amp;"|"&amp;$Q44,Tariff_Master!$A$2:$L$169,9,FALSE),"")</f>
        <v/>
      </c>
      <c r="AI44" s="18">
        <f>IFERROR(VLOOKUP($H44&amp;"|"&amp;$Q44,Tariff_Master!$A$2:$L$169,10,FALSE),"")</f>
        <v/>
      </c>
      <c r="AJ44" s="21">
        <f>IF($M44="","",ROUNDUP(MAX(0,$M44),0))</f>
        <v/>
      </c>
      <c r="AK44" s="21">
        <f>IF(OR($AJ44="",$AF44=""),"",MAX(0,$AJ44-$AF44))</f>
        <v/>
      </c>
      <c r="AL44" s="22">
        <f>IF(OR($AK44="",$AG44=""),"",MAX(0,$AK44*$AG44))</f>
        <v/>
      </c>
      <c r="AM44" s="22">
        <f>IF($AE44="","",MAX(0,SUM($AE44,$AL44,$V44,$W44)))</f>
        <v/>
      </c>
      <c r="AN44" s="22">
        <f>IF($AM44="","",IF(AND($Q44="COMMITMENT",$R44&gt;=$AH44),$AI44,0))</f>
        <v/>
      </c>
      <c r="AO44" s="23">
        <f>IF($AM44="","",MAX(0,$AM44-$AN44))</f>
        <v/>
      </c>
      <c r="AP44" s="22">
        <f>IF($S44="","",IF(OR($S44="ITEM_PRICE_PLUS_DECLARED_DELIVERY",$S44="DELIVERY_CHARGE_ONLY"),$K44,IF($S44="TOTAL_AMOUNT_INCLUDING_DELIVERY",IF(OR($T44="",$J44=""),"",MAX(0,$T44-$J44-$U44)),IF($S44="ITEM_PRICE_ONLY_DELIVERY_PAID_BY_MERCHANT",0,""))))</f>
        <v/>
      </c>
      <c r="AQ44" s="23">
        <f>IF(OR($AP44="",$AO44=""),"",$AP44-$AO44)</f>
        <v/>
      </c>
      <c r="AR44" s="24">
        <f>IF($S44="EXACT_COLLECTION_AMOUNT","BREAKDOWN_REQUIRED",IF($AQ44="","",IF($AQ44&gt;0,"CREDIT_TO_MERCHANT",IF($AQ44&lt;0,"DEDUCT_FROM_MERCHANT","NO_ADJUSTMENT"))))</f>
        <v/>
      </c>
      <c r="AS44" s="23">
        <f>IF(OR($AQ44="",$AR44="BREAKDOWN_REQUIRED"),"",$AQ44)</f>
        <v/>
      </c>
      <c r="AT44" s="23">
        <f>IF(OR($AR44="",$AR44="BREAKDOWN_REQUIRED"),"",SUM($J44,$AQ44,$Y44)-$X44)</f>
        <v/>
      </c>
      <c r="AU44" s="25">
        <f>IF(AND($A44="",$B44="",$F44="",$H44="",$J44="",$K44="",$M44="",$S44=""),"",IF(OR($H44="",$Q44="",$M44="",$S44=""),"ERROR",IF(OR($J44&lt;0,$K44&lt;0,$M44&lt;0,$T44&lt;0,$U44&lt;0,$V44&lt;0,$W44&lt;0,$X44&lt;0,$Y44&lt;0),"ERROR",IF($AE44="","ERROR",IF(AND(OR($S44="ITEM_PRICE_PLUS_DECLARED_DELIVERY",$S44="TOTAL_AMOUNT_INCLUDING_DELIVERY",$S44="ITEM_PRICE_ONLY_DELIVERY_PAID_BY_MERCHANT"),$J44=""),"ERROR",IF(AND(OR($S44="ITEM_PRICE_PLUS_DECLARED_DELIVERY",$S44="DELIVERY_CHARGE_ONLY"),$K44=""),"ERROR",IF(AND(OR($S44="TOTAL_AMOUNT_INCLUDING_DELIVERY",$S44="EXACT_COLLECTION_AMOUNT"),$T44=""),"ERROR",IF(AND($S44="TOTAL_AMOUNT_INCLUDING_DELIVERY",$T44&lt;SUM($J44,$U44)),"ERROR",IF($S44="EXACT_COLLECTION_AMOUNT","REVIEW","OK")))))))))</f>
        <v/>
      </c>
      <c r="AV44" s="25">
        <f>IF($AU44="","",IF($H44="","Township required",IF($Q44="","Customer tier required",IF($M44="","Weight required",IF($S44="","Amount entry type required",IF(OR($J44&lt;0,$K44&lt;0,$M44&lt;0,$T44&lt;0,$U44&lt;0,$V44&lt;0,$W44&lt;0,$X44&lt;0,$Y44&lt;0),"Negative amounts are not allowed",IF($AE44="","Tariff not found for township and tier",IF(AND(OR($S44="ITEM_PRICE_PLUS_DECLARED_DELIVERY",$S44="TOTAL_AMOUNT_INCLUDING_DELIVERY",$S44="ITEM_PRICE_ONLY_DELIVERY_PAID_BY_MERCHANT"),$J44=""),"Item price required for this amount type",IF(AND(OR($S44="ITEM_PRICE_PLUS_DECLARED_DELIVERY",$S44="DELIVERY_CHARGE_ONLY"),$K44=""),"Declared delivery charge required",IF(AND(OR($S44="TOTAL_AMOUNT_INCLUDING_DELIVERY",$S44="EXACT_COLLECTION_AMOUNT"),$T44=""),"Stated total amount required",IF(AND($S44="TOTAL_AMOUNT_INCLUDING_DELIVERY",$T44&lt;SUM($J44,$U44)),"Stated total is below item price plus additional charge",IF($S44="EXACT_COLLECTION_AMOUNT","Authorized amount breakdown required before settlement","Ready for collection and settlement"))))))))))))</f>
        <v/>
      </c>
      <c r="AW44" s="23">
        <f>IF($AU44="","","PARCEL_FINANCIAL_V2")</f>
        <v/>
      </c>
      <c r="AX44" s="17" t="n"/>
    </row>
    <row r="45">
      <c r="A45" s="8" t="n"/>
      <c r="B45" s="8" t="n"/>
      <c r="C45" s="8" t="n"/>
      <c r="D45" s="8" t="n"/>
      <c r="E45" s="9" t="n"/>
      <c r="F45" s="9" t="n"/>
      <c r="G45" s="8" t="n"/>
      <c r="H45" s="9" t="n"/>
      <c r="I45" s="9" t="n"/>
      <c r="J45" s="10" t="n"/>
      <c r="K45" s="10" t="n"/>
      <c r="L45" s="11">
        <f>IF($S45="","",IF($S45="ITEM_PRICE_PLUS_DECLARED_DELIVERY",IF(OR($J45="",$K45=""),"",SUM($J45,$K45,$U45)),IF($S45="TOTAL_AMOUNT_INCLUDING_DELIVERY",IF($T45="","",$T45),IF($S45="DELIVERY_CHARGE_ONLY",IF($K45="","",SUM($K45,$U45)),IF($S45="EXACT_COLLECTION_AMOUNT",IF($T45="","",$T45),IF($S45="ITEM_PRICE_ONLY_DELIVERY_PAID_BY_MERCHANT",IF($J45="","",SUM($J45,$U45)),""))))))</f>
        <v/>
      </c>
      <c r="M45" s="12" t="n"/>
      <c r="N45" s="13" t="n"/>
      <c r="O45" s="13" t="n"/>
      <c r="P45" s="9" t="n"/>
      <c r="Q45" s="14" t="n"/>
      <c r="R45" s="15" t="n"/>
      <c r="S45" s="14" t="n"/>
      <c r="T45" s="16" t="n"/>
      <c r="U45" s="16" t="n"/>
      <c r="V45" s="16" t="n"/>
      <c r="W45" s="16" t="n"/>
      <c r="X45" s="16" t="n"/>
      <c r="Y45" s="16" t="n"/>
      <c r="Z45" s="14" t="n"/>
      <c r="AA45" s="14" t="n"/>
      <c r="AB45" s="14" t="n"/>
      <c r="AC45" s="17">
        <f>IFERROR(VLOOKUP($H45&amp;"|"&amp;$Q45,Tariff_Master!$A$2:$L$169,3,FALSE),"")</f>
        <v/>
      </c>
      <c r="AD45" s="17">
        <f>IFERROR(VLOOKUP($H45&amp;"|"&amp;$Q45,Tariff_Master!$A$2:$L$169,4,FALSE),"")</f>
        <v/>
      </c>
      <c r="AE45" s="18">
        <f>IFERROR(VLOOKUP($H45&amp;"|"&amp;$Q45,Tariff_Master!$A$2:$L$169,6,FALSE),"")</f>
        <v/>
      </c>
      <c r="AF45" s="19">
        <f>IFERROR(VLOOKUP($H45&amp;"|"&amp;$Q45,Tariff_Master!$A$2:$L$169,7,FALSE),"")</f>
        <v/>
      </c>
      <c r="AG45" s="18">
        <f>IFERROR(VLOOKUP($H45&amp;"|"&amp;$Q45,Tariff_Master!$A$2:$L$169,8,FALSE),"")</f>
        <v/>
      </c>
      <c r="AH45" s="20">
        <f>IFERROR(VLOOKUP($H45&amp;"|"&amp;$Q45,Tariff_Master!$A$2:$L$169,9,FALSE),"")</f>
        <v/>
      </c>
      <c r="AI45" s="18">
        <f>IFERROR(VLOOKUP($H45&amp;"|"&amp;$Q45,Tariff_Master!$A$2:$L$169,10,FALSE),"")</f>
        <v/>
      </c>
      <c r="AJ45" s="21">
        <f>IF($M45="","",ROUNDUP(MAX(0,$M45),0))</f>
        <v/>
      </c>
      <c r="AK45" s="21">
        <f>IF(OR($AJ45="",$AF45=""),"",MAX(0,$AJ45-$AF45))</f>
        <v/>
      </c>
      <c r="AL45" s="22">
        <f>IF(OR($AK45="",$AG45=""),"",MAX(0,$AK45*$AG45))</f>
        <v/>
      </c>
      <c r="AM45" s="22">
        <f>IF($AE45="","",MAX(0,SUM($AE45,$AL45,$V45,$W45)))</f>
        <v/>
      </c>
      <c r="AN45" s="22">
        <f>IF($AM45="","",IF(AND($Q45="COMMITMENT",$R45&gt;=$AH45),$AI45,0))</f>
        <v/>
      </c>
      <c r="AO45" s="23">
        <f>IF($AM45="","",MAX(0,$AM45-$AN45))</f>
        <v/>
      </c>
      <c r="AP45" s="22">
        <f>IF($S45="","",IF(OR($S45="ITEM_PRICE_PLUS_DECLARED_DELIVERY",$S45="DELIVERY_CHARGE_ONLY"),$K45,IF($S45="TOTAL_AMOUNT_INCLUDING_DELIVERY",IF(OR($T45="",$J45=""),"",MAX(0,$T45-$J45-$U45)),IF($S45="ITEM_PRICE_ONLY_DELIVERY_PAID_BY_MERCHANT",0,""))))</f>
        <v/>
      </c>
      <c r="AQ45" s="23">
        <f>IF(OR($AP45="",$AO45=""),"",$AP45-$AO45)</f>
        <v/>
      </c>
      <c r="AR45" s="24">
        <f>IF($S45="EXACT_COLLECTION_AMOUNT","BREAKDOWN_REQUIRED",IF($AQ45="","",IF($AQ45&gt;0,"CREDIT_TO_MERCHANT",IF($AQ45&lt;0,"DEDUCT_FROM_MERCHANT","NO_ADJUSTMENT"))))</f>
        <v/>
      </c>
      <c r="AS45" s="23">
        <f>IF(OR($AQ45="",$AR45="BREAKDOWN_REQUIRED"),"",$AQ45)</f>
        <v/>
      </c>
      <c r="AT45" s="23">
        <f>IF(OR($AR45="",$AR45="BREAKDOWN_REQUIRED"),"",SUM($J45,$AQ45,$Y45)-$X45)</f>
        <v/>
      </c>
      <c r="AU45" s="25">
        <f>IF(AND($A45="",$B45="",$F45="",$H45="",$J45="",$K45="",$M45="",$S45=""),"",IF(OR($H45="",$Q45="",$M45="",$S45=""),"ERROR",IF(OR($J45&lt;0,$K45&lt;0,$M45&lt;0,$T45&lt;0,$U45&lt;0,$V45&lt;0,$W45&lt;0,$X45&lt;0,$Y45&lt;0),"ERROR",IF($AE45="","ERROR",IF(AND(OR($S45="ITEM_PRICE_PLUS_DECLARED_DELIVERY",$S45="TOTAL_AMOUNT_INCLUDING_DELIVERY",$S45="ITEM_PRICE_ONLY_DELIVERY_PAID_BY_MERCHANT"),$J45=""),"ERROR",IF(AND(OR($S45="ITEM_PRICE_PLUS_DECLARED_DELIVERY",$S45="DELIVERY_CHARGE_ONLY"),$K45=""),"ERROR",IF(AND(OR($S45="TOTAL_AMOUNT_INCLUDING_DELIVERY",$S45="EXACT_COLLECTION_AMOUNT"),$T45=""),"ERROR",IF(AND($S45="TOTAL_AMOUNT_INCLUDING_DELIVERY",$T45&lt;SUM($J45,$U45)),"ERROR",IF($S45="EXACT_COLLECTION_AMOUNT","REVIEW","OK")))))))))</f>
        <v/>
      </c>
      <c r="AV45" s="25">
        <f>IF($AU45="","",IF($H45="","Township required",IF($Q45="","Customer tier required",IF($M45="","Weight required",IF($S45="","Amount entry type required",IF(OR($J45&lt;0,$K45&lt;0,$M45&lt;0,$T45&lt;0,$U45&lt;0,$V45&lt;0,$W45&lt;0,$X45&lt;0,$Y45&lt;0),"Negative amounts are not allowed",IF($AE45="","Tariff not found for township and tier",IF(AND(OR($S45="ITEM_PRICE_PLUS_DECLARED_DELIVERY",$S45="TOTAL_AMOUNT_INCLUDING_DELIVERY",$S45="ITEM_PRICE_ONLY_DELIVERY_PAID_BY_MERCHANT"),$J45=""),"Item price required for this amount type",IF(AND(OR($S45="ITEM_PRICE_PLUS_DECLARED_DELIVERY",$S45="DELIVERY_CHARGE_ONLY"),$K45=""),"Declared delivery charge required",IF(AND(OR($S45="TOTAL_AMOUNT_INCLUDING_DELIVERY",$S45="EXACT_COLLECTION_AMOUNT"),$T45=""),"Stated total amount required",IF(AND($S45="TOTAL_AMOUNT_INCLUDING_DELIVERY",$T45&lt;SUM($J45,$U45)),"Stated total is below item price plus additional charge",IF($S45="EXACT_COLLECTION_AMOUNT","Authorized amount breakdown required before settlement","Ready for collection and settlement"))))))))))))</f>
        <v/>
      </c>
      <c r="AW45" s="23">
        <f>IF($AU45="","","PARCEL_FINANCIAL_V2")</f>
        <v/>
      </c>
      <c r="AX45" s="17" t="n"/>
    </row>
    <row r="46">
      <c r="A46" s="8" t="n"/>
      <c r="B46" s="8" t="n"/>
      <c r="C46" s="8" t="n"/>
      <c r="D46" s="8" t="n"/>
      <c r="E46" s="9" t="n"/>
      <c r="F46" s="9" t="n"/>
      <c r="G46" s="8" t="n"/>
      <c r="H46" s="9" t="n"/>
      <c r="I46" s="9" t="n"/>
      <c r="J46" s="10" t="n"/>
      <c r="K46" s="10" t="n"/>
      <c r="L46" s="11">
        <f>IF($S46="","",IF($S46="ITEM_PRICE_PLUS_DECLARED_DELIVERY",IF(OR($J46="",$K46=""),"",SUM($J46,$K46,$U46)),IF($S46="TOTAL_AMOUNT_INCLUDING_DELIVERY",IF($T46="","",$T46),IF($S46="DELIVERY_CHARGE_ONLY",IF($K46="","",SUM($K46,$U46)),IF($S46="EXACT_COLLECTION_AMOUNT",IF($T46="","",$T46),IF($S46="ITEM_PRICE_ONLY_DELIVERY_PAID_BY_MERCHANT",IF($J46="","",SUM($J46,$U46)),""))))))</f>
        <v/>
      </c>
      <c r="M46" s="12" t="n"/>
      <c r="N46" s="13" t="n"/>
      <c r="O46" s="13" t="n"/>
      <c r="P46" s="9" t="n"/>
      <c r="Q46" s="14" t="n"/>
      <c r="R46" s="15" t="n"/>
      <c r="S46" s="14" t="n"/>
      <c r="T46" s="16" t="n"/>
      <c r="U46" s="16" t="n"/>
      <c r="V46" s="16" t="n"/>
      <c r="W46" s="16" t="n"/>
      <c r="X46" s="16" t="n"/>
      <c r="Y46" s="16" t="n"/>
      <c r="Z46" s="14" t="n"/>
      <c r="AA46" s="14" t="n"/>
      <c r="AB46" s="14" t="n"/>
      <c r="AC46" s="17">
        <f>IFERROR(VLOOKUP($H46&amp;"|"&amp;$Q46,Tariff_Master!$A$2:$L$169,3,FALSE),"")</f>
        <v/>
      </c>
      <c r="AD46" s="17">
        <f>IFERROR(VLOOKUP($H46&amp;"|"&amp;$Q46,Tariff_Master!$A$2:$L$169,4,FALSE),"")</f>
        <v/>
      </c>
      <c r="AE46" s="18">
        <f>IFERROR(VLOOKUP($H46&amp;"|"&amp;$Q46,Tariff_Master!$A$2:$L$169,6,FALSE),"")</f>
        <v/>
      </c>
      <c r="AF46" s="19">
        <f>IFERROR(VLOOKUP($H46&amp;"|"&amp;$Q46,Tariff_Master!$A$2:$L$169,7,FALSE),"")</f>
        <v/>
      </c>
      <c r="AG46" s="18">
        <f>IFERROR(VLOOKUP($H46&amp;"|"&amp;$Q46,Tariff_Master!$A$2:$L$169,8,FALSE),"")</f>
        <v/>
      </c>
      <c r="AH46" s="20">
        <f>IFERROR(VLOOKUP($H46&amp;"|"&amp;$Q46,Tariff_Master!$A$2:$L$169,9,FALSE),"")</f>
        <v/>
      </c>
      <c r="AI46" s="18">
        <f>IFERROR(VLOOKUP($H46&amp;"|"&amp;$Q46,Tariff_Master!$A$2:$L$169,10,FALSE),"")</f>
        <v/>
      </c>
      <c r="AJ46" s="21">
        <f>IF($M46="","",ROUNDUP(MAX(0,$M46),0))</f>
        <v/>
      </c>
      <c r="AK46" s="21">
        <f>IF(OR($AJ46="",$AF46=""),"",MAX(0,$AJ46-$AF46))</f>
        <v/>
      </c>
      <c r="AL46" s="22">
        <f>IF(OR($AK46="",$AG46=""),"",MAX(0,$AK46*$AG46))</f>
        <v/>
      </c>
      <c r="AM46" s="22">
        <f>IF($AE46="","",MAX(0,SUM($AE46,$AL46,$V46,$W46)))</f>
        <v/>
      </c>
      <c r="AN46" s="22">
        <f>IF($AM46="","",IF(AND($Q46="COMMITMENT",$R46&gt;=$AH46),$AI46,0))</f>
        <v/>
      </c>
      <c r="AO46" s="23">
        <f>IF($AM46="","",MAX(0,$AM46-$AN46))</f>
        <v/>
      </c>
      <c r="AP46" s="22">
        <f>IF($S46="","",IF(OR($S46="ITEM_PRICE_PLUS_DECLARED_DELIVERY",$S46="DELIVERY_CHARGE_ONLY"),$K46,IF($S46="TOTAL_AMOUNT_INCLUDING_DELIVERY",IF(OR($T46="",$J46=""),"",MAX(0,$T46-$J46-$U46)),IF($S46="ITEM_PRICE_ONLY_DELIVERY_PAID_BY_MERCHANT",0,""))))</f>
        <v/>
      </c>
      <c r="AQ46" s="23">
        <f>IF(OR($AP46="",$AO46=""),"",$AP46-$AO46)</f>
        <v/>
      </c>
      <c r="AR46" s="24">
        <f>IF($S46="EXACT_COLLECTION_AMOUNT","BREAKDOWN_REQUIRED",IF($AQ46="","",IF($AQ46&gt;0,"CREDIT_TO_MERCHANT",IF($AQ46&lt;0,"DEDUCT_FROM_MERCHANT","NO_ADJUSTMENT"))))</f>
        <v/>
      </c>
      <c r="AS46" s="23">
        <f>IF(OR($AQ46="",$AR46="BREAKDOWN_REQUIRED"),"",$AQ46)</f>
        <v/>
      </c>
      <c r="AT46" s="23">
        <f>IF(OR($AR46="",$AR46="BREAKDOWN_REQUIRED"),"",SUM($J46,$AQ46,$Y46)-$X46)</f>
        <v/>
      </c>
      <c r="AU46" s="25">
        <f>IF(AND($A46="",$B46="",$F46="",$H46="",$J46="",$K46="",$M46="",$S46=""),"",IF(OR($H46="",$Q46="",$M46="",$S46=""),"ERROR",IF(OR($J46&lt;0,$K46&lt;0,$M46&lt;0,$T46&lt;0,$U46&lt;0,$V46&lt;0,$W46&lt;0,$X46&lt;0,$Y46&lt;0),"ERROR",IF($AE46="","ERROR",IF(AND(OR($S46="ITEM_PRICE_PLUS_DECLARED_DELIVERY",$S46="TOTAL_AMOUNT_INCLUDING_DELIVERY",$S46="ITEM_PRICE_ONLY_DELIVERY_PAID_BY_MERCHANT"),$J46=""),"ERROR",IF(AND(OR($S46="ITEM_PRICE_PLUS_DECLARED_DELIVERY",$S46="DELIVERY_CHARGE_ONLY"),$K46=""),"ERROR",IF(AND(OR($S46="TOTAL_AMOUNT_INCLUDING_DELIVERY",$S46="EXACT_COLLECTION_AMOUNT"),$T46=""),"ERROR",IF(AND($S46="TOTAL_AMOUNT_INCLUDING_DELIVERY",$T46&lt;SUM($J46,$U46)),"ERROR",IF($S46="EXACT_COLLECTION_AMOUNT","REVIEW","OK")))))))))</f>
        <v/>
      </c>
      <c r="AV46" s="25">
        <f>IF($AU46="","",IF($H46="","Township required",IF($Q46="","Customer tier required",IF($M46="","Weight required",IF($S46="","Amount entry type required",IF(OR($J46&lt;0,$K46&lt;0,$M46&lt;0,$T46&lt;0,$U46&lt;0,$V46&lt;0,$W46&lt;0,$X46&lt;0,$Y46&lt;0),"Negative amounts are not allowed",IF($AE46="","Tariff not found for township and tier",IF(AND(OR($S46="ITEM_PRICE_PLUS_DECLARED_DELIVERY",$S46="TOTAL_AMOUNT_INCLUDING_DELIVERY",$S46="ITEM_PRICE_ONLY_DELIVERY_PAID_BY_MERCHANT"),$J46=""),"Item price required for this amount type",IF(AND(OR($S46="ITEM_PRICE_PLUS_DECLARED_DELIVERY",$S46="DELIVERY_CHARGE_ONLY"),$K46=""),"Declared delivery charge required",IF(AND(OR($S46="TOTAL_AMOUNT_INCLUDING_DELIVERY",$S46="EXACT_COLLECTION_AMOUNT"),$T46=""),"Stated total amount required",IF(AND($S46="TOTAL_AMOUNT_INCLUDING_DELIVERY",$T46&lt;SUM($J46,$U46)),"Stated total is below item price plus additional charge",IF($S46="EXACT_COLLECTION_AMOUNT","Authorized amount breakdown required before settlement","Ready for collection and settlement"))))))))))))</f>
        <v/>
      </c>
      <c r="AW46" s="23">
        <f>IF($AU46="","","PARCEL_FINANCIAL_V2")</f>
        <v/>
      </c>
      <c r="AX46" s="17" t="n"/>
    </row>
    <row r="47">
      <c r="A47" s="8" t="n"/>
      <c r="B47" s="8" t="n"/>
      <c r="C47" s="8" t="n"/>
      <c r="D47" s="8" t="n"/>
      <c r="E47" s="9" t="n"/>
      <c r="F47" s="9" t="n"/>
      <c r="G47" s="8" t="n"/>
      <c r="H47" s="9" t="n"/>
      <c r="I47" s="9" t="n"/>
      <c r="J47" s="10" t="n"/>
      <c r="K47" s="10" t="n"/>
      <c r="L47" s="11">
        <f>IF($S47="","",IF($S47="ITEM_PRICE_PLUS_DECLARED_DELIVERY",IF(OR($J47="",$K47=""),"",SUM($J47,$K47,$U47)),IF($S47="TOTAL_AMOUNT_INCLUDING_DELIVERY",IF($T47="","",$T47),IF($S47="DELIVERY_CHARGE_ONLY",IF($K47="","",SUM($K47,$U47)),IF($S47="EXACT_COLLECTION_AMOUNT",IF($T47="","",$T47),IF($S47="ITEM_PRICE_ONLY_DELIVERY_PAID_BY_MERCHANT",IF($J47="","",SUM($J47,$U47)),""))))))</f>
        <v/>
      </c>
      <c r="M47" s="12" t="n"/>
      <c r="N47" s="13" t="n"/>
      <c r="O47" s="13" t="n"/>
      <c r="P47" s="9" t="n"/>
      <c r="Q47" s="14" t="n"/>
      <c r="R47" s="15" t="n"/>
      <c r="S47" s="14" t="n"/>
      <c r="T47" s="16" t="n"/>
      <c r="U47" s="16" t="n"/>
      <c r="V47" s="16" t="n"/>
      <c r="W47" s="16" t="n"/>
      <c r="X47" s="16" t="n"/>
      <c r="Y47" s="16" t="n"/>
      <c r="Z47" s="14" t="n"/>
      <c r="AA47" s="14" t="n"/>
      <c r="AB47" s="14" t="n"/>
      <c r="AC47" s="17">
        <f>IFERROR(VLOOKUP($H47&amp;"|"&amp;$Q47,Tariff_Master!$A$2:$L$169,3,FALSE),"")</f>
        <v/>
      </c>
      <c r="AD47" s="17">
        <f>IFERROR(VLOOKUP($H47&amp;"|"&amp;$Q47,Tariff_Master!$A$2:$L$169,4,FALSE),"")</f>
        <v/>
      </c>
      <c r="AE47" s="18">
        <f>IFERROR(VLOOKUP($H47&amp;"|"&amp;$Q47,Tariff_Master!$A$2:$L$169,6,FALSE),"")</f>
        <v/>
      </c>
      <c r="AF47" s="19">
        <f>IFERROR(VLOOKUP($H47&amp;"|"&amp;$Q47,Tariff_Master!$A$2:$L$169,7,FALSE),"")</f>
        <v/>
      </c>
      <c r="AG47" s="18">
        <f>IFERROR(VLOOKUP($H47&amp;"|"&amp;$Q47,Tariff_Master!$A$2:$L$169,8,FALSE),"")</f>
        <v/>
      </c>
      <c r="AH47" s="20">
        <f>IFERROR(VLOOKUP($H47&amp;"|"&amp;$Q47,Tariff_Master!$A$2:$L$169,9,FALSE),"")</f>
        <v/>
      </c>
      <c r="AI47" s="18">
        <f>IFERROR(VLOOKUP($H47&amp;"|"&amp;$Q47,Tariff_Master!$A$2:$L$169,10,FALSE),"")</f>
        <v/>
      </c>
      <c r="AJ47" s="21">
        <f>IF($M47="","",ROUNDUP(MAX(0,$M47),0))</f>
        <v/>
      </c>
      <c r="AK47" s="21">
        <f>IF(OR($AJ47="",$AF47=""),"",MAX(0,$AJ47-$AF47))</f>
        <v/>
      </c>
      <c r="AL47" s="22">
        <f>IF(OR($AK47="",$AG47=""),"",MAX(0,$AK47*$AG47))</f>
        <v/>
      </c>
      <c r="AM47" s="22">
        <f>IF($AE47="","",MAX(0,SUM($AE47,$AL47,$V47,$W47)))</f>
        <v/>
      </c>
      <c r="AN47" s="22">
        <f>IF($AM47="","",IF(AND($Q47="COMMITMENT",$R47&gt;=$AH47),$AI47,0))</f>
        <v/>
      </c>
      <c r="AO47" s="23">
        <f>IF($AM47="","",MAX(0,$AM47-$AN47))</f>
        <v/>
      </c>
      <c r="AP47" s="22">
        <f>IF($S47="","",IF(OR($S47="ITEM_PRICE_PLUS_DECLARED_DELIVERY",$S47="DELIVERY_CHARGE_ONLY"),$K47,IF($S47="TOTAL_AMOUNT_INCLUDING_DELIVERY",IF(OR($T47="",$J47=""),"",MAX(0,$T47-$J47-$U47)),IF($S47="ITEM_PRICE_ONLY_DELIVERY_PAID_BY_MERCHANT",0,""))))</f>
        <v/>
      </c>
      <c r="AQ47" s="23">
        <f>IF(OR($AP47="",$AO47=""),"",$AP47-$AO47)</f>
        <v/>
      </c>
      <c r="AR47" s="24">
        <f>IF($S47="EXACT_COLLECTION_AMOUNT","BREAKDOWN_REQUIRED",IF($AQ47="","",IF($AQ47&gt;0,"CREDIT_TO_MERCHANT",IF($AQ47&lt;0,"DEDUCT_FROM_MERCHANT","NO_ADJUSTMENT"))))</f>
        <v/>
      </c>
      <c r="AS47" s="23">
        <f>IF(OR($AQ47="",$AR47="BREAKDOWN_REQUIRED"),"",$AQ47)</f>
        <v/>
      </c>
      <c r="AT47" s="23">
        <f>IF(OR($AR47="",$AR47="BREAKDOWN_REQUIRED"),"",SUM($J47,$AQ47,$Y47)-$X47)</f>
        <v/>
      </c>
      <c r="AU47" s="25">
        <f>IF(AND($A47="",$B47="",$F47="",$H47="",$J47="",$K47="",$M47="",$S47=""),"",IF(OR($H47="",$Q47="",$M47="",$S47=""),"ERROR",IF(OR($J47&lt;0,$K47&lt;0,$M47&lt;0,$T47&lt;0,$U47&lt;0,$V47&lt;0,$W47&lt;0,$X47&lt;0,$Y47&lt;0),"ERROR",IF($AE47="","ERROR",IF(AND(OR($S47="ITEM_PRICE_PLUS_DECLARED_DELIVERY",$S47="TOTAL_AMOUNT_INCLUDING_DELIVERY",$S47="ITEM_PRICE_ONLY_DELIVERY_PAID_BY_MERCHANT"),$J47=""),"ERROR",IF(AND(OR($S47="ITEM_PRICE_PLUS_DECLARED_DELIVERY",$S47="DELIVERY_CHARGE_ONLY"),$K47=""),"ERROR",IF(AND(OR($S47="TOTAL_AMOUNT_INCLUDING_DELIVERY",$S47="EXACT_COLLECTION_AMOUNT"),$T47=""),"ERROR",IF(AND($S47="TOTAL_AMOUNT_INCLUDING_DELIVERY",$T47&lt;SUM($J47,$U47)),"ERROR",IF($S47="EXACT_COLLECTION_AMOUNT","REVIEW","OK")))))))))</f>
        <v/>
      </c>
      <c r="AV47" s="25">
        <f>IF($AU47="","",IF($H47="","Township required",IF($Q47="","Customer tier required",IF($M47="","Weight required",IF($S47="","Amount entry type required",IF(OR($J47&lt;0,$K47&lt;0,$M47&lt;0,$T47&lt;0,$U47&lt;0,$V47&lt;0,$W47&lt;0,$X47&lt;0,$Y47&lt;0),"Negative amounts are not allowed",IF($AE47="","Tariff not found for township and tier",IF(AND(OR($S47="ITEM_PRICE_PLUS_DECLARED_DELIVERY",$S47="TOTAL_AMOUNT_INCLUDING_DELIVERY",$S47="ITEM_PRICE_ONLY_DELIVERY_PAID_BY_MERCHANT"),$J47=""),"Item price required for this amount type",IF(AND(OR($S47="ITEM_PRICE_PLUS_DECLARED_DELIVERY",$S47="DELIVERY_CHARGE_ONLY"),$K47=""),"Declared delivery charge required",IF(AND(OR($S47="TOTAL_AMOUNT_INCLUDING_DELIVERY",$S47="EXACT_COLLECTION_AMOUNT"),$T47=""),"Stated total amount required",IF(AND($S47="TOTAL_AMOUNT_INCLUDING_DELIVERY",$T47&lt;SUM($J47,$U47)),"Stated total is below item price plus additional charge",IF($S47="EXACT_COLLECTION_AMOUNT","Authorized amount breakdown required before settlement","Ready for collection and settlement"))))))))))))</f>
        <v/>
      </c>
      <c r="AW47" s="23">
        <f>IF($AU47="","","PARCEL_FINANCIAL_V2")</f>
        <v/>
      </c>
      <c r="AX47" s="17" t="n"/>
    </row>
    <row r="48">
      <c r="A48" s="8" t="n"/>
      <c r="B48" s="8" t="n"/>
      <c r="C48" s="8" t="n"/>
      <c r="D48" s="8" t="n"/>
      <c r="E48" s="9" t="n"/>
      <c r="F48" s="9" t="n"/>
      <c r="G48" s="8" t="n"/>
      <c r="H48" s="9" t="n"/>
      <c r="I48" s="9" t="n"/>
      <c r="J48" s="10" t="n"/>
      <c r="K48" s="10" t="n"/>
      <c r="L48" s="11">
        <f>IF($S48="","",IF($S48="ITEM_PRICE_PLUS_DECLARED_DELIVERY",IF(OR($J48="",$K48=""),"",SUM($J48,$K48,$U48)),IF($S48="TOTAL_AMOUNT_INCLUDING_DELIVERY",IF($T48="","",$T48),IF($S48="DELIVERY_CHARGE_ONLY",IF($K48="","",SUM($K48,$U48)),IF($S48="EXACT_COLLECTION_AMOUNT",IF($T48="","",$T48),IF($S48="ITEM_PRICE_ONLY_DELIVERY_PAID_BY_MERCHANT",IF($J48="","",SUM($J48,$U48)),""))))))</f>
        <v/>
      </c>
      <c r="M48" s="12" t="n"/>
      <c r="N48" s="13" t="n"/>
      <c r="O48" s="13" t="n"/>
      <c r="P48" s="9" t="n"/>
      <c r="Q48" s="14" t="n"/>
      <c r="R48" s="15" t="n"/>
      <c r="S48" s="14" t="n"/>
      <c r="T48" s="16" t="n"/>
      <c r="U48" s="16" t="n"/>
      <c r="V48" s="16" t="n"/>
      <c r="W48" s="16" t="n"/>
      <c r="X48" s="16" t="n"/>
      <c r="Y48" s="16" t="n"/>
      <c r="Z48" s="14" t="n"/>
      <c r="AA48" s="14" t="n"/>
      <c r="AB48" s="14" t="n"/>
      <c r="AC48" s="17">
        <f>IFERROR(VLOOKUP($H48&amp;"|"&amp;$Q48,Tariff_Master!$A$2:$L$169,3,FALSE),"")</f>
        <v/>
      </c>
      <c r="AD48" s="17">
        <f>IFERROR(VLOOKUP($H48&amp;"|"&amp;$Q48,Tariff_Master!$A$2:$L$169,4,FALSE),"")</f>
        <v/>
      </c>
      <c r="AE48" s="18">
        <f>IFERROR(VLOOKUP($H48&amp;"|"&amp;$Q48,Tariff_Master!$A$2:$L$169,6,FALSE),"")</f>
        <v/>
      </c>
      <c r="AF48" s="19">
        <f>IFERROR(VLOOKUP($H48&amp;"|"&amp;$Q48,Tariff_Master!$A$2:$L$169,7,FALSE),"")</f>
        <v/>
      </c>
      <c r="AG48" s="18">
        <f>IFERROR(VLOOKUP($H48&amp;"|"&amp;$Q48,Tariff_Master!$A$2:$L$169,8,FALSE),"")</f>
        <v/>
      </c>
      <c r="AH48" s="20">
        <f>IFERROR(VLOOKUP($H48&amp;"|"&amp;$Q48,Tariff_Master!$A$2:$L$169,9,FALSE),"")</f>
        <v/>
      </c>
      <c r="AI48" s="18">
        <f>IFERROR(VLOOKUP($H48&amp;"|"&amp;$Q48,Tariff_Master!$A$2:$L$169,10,FALSE),"")</f>
        <v/>
      </c>
      <c r="AJ48" s="21">
        <f>IF($M48="","",ROUNDUP(MAX(0,$M48),0))</f>
        <v/>
      </c>
      <c r="AK48" s="21">
        <f>IF(OR($AJ48="",$AF48=""),"",MAX(0,$AJ48-$AF48))</f>
        <v/>
      </c>
      <c r="AL48" s="22">
        <f>IF(OR($AK48="",$AG48=""),"",MAX(0,$AK48*$AG48))</f>
        <v/>
      </c>
      <c r="AM48" s="22">
        <f>IF($AE48="","",MAX(0,SUM($AE48,$AL48,$V48,$W48)))</f>
        <v/>
      </c>
      <c r="AN48" s="22">
        <f>IF($AM48="","",IF(AND($Q48="COMMITMENT",$R48&gt;=$AH48),$AI48,0))</f>
        <v/>
      </c>
      <c r="AO48" s="23">
        <f>IF($AM48="","",MAX(0,$AM48-$AN48))</f>
        <v/>
      </c>
      <c r="AP48" s="22">
        <f>IF($S48="","",IF(OR($S48="ITEM_PRICE_PLUS_DECLARED_DELIVERY",$S48="DELIVERY_CHARGE_ONLY"),$K48,IF($S48="TOTAL_AMOUNT_INCLUDING_DELIVERY",IF(OR($T48="",$J48=""),"",MAX(0,$T48-$J48-$U48)),IF($S48="ITEM_PRICE_ONLY_DELIVERY_PAID_BY_MERCHANT",0,""))))</f>
        <v/>
      </c>
      <c r="AQ48" s="23">
        <f>IF(OR($AP48="",$AO48=""),"",$AP48-$AO48)</f>
        <v/>
      </c>
      <c r="AR48" s="24">
        <f>IF($S48="EXACT_COLLECTION_AMOUNT","BREAKDOWN_REQUIRED",IF($AQ48="","",IF($AQ48&gt;0,"CREDIT_TO_MERCHANT",IF($AQ48&lt;0,"DEDUCT_FROM_MERCHANT","NO_ADJUSTMENT"))))</f>
        <v/>
      </c>
      <c r="AS48" s="23">
        <f>IF(OR($AQ48="",$AR48="BREAKDOWN_REQUIRED"),"",$AQ48)</f>
        <v/>
      </c>
      <c r="AT48" s="23">
        <f>IF(OR($AR48="",$AR48="BREAKDOWN_REQUIRED"),"",SUM($J48,$AQ48,$Y48)-$X48)</f>
        <v/>
      </c>
      <c r="AU48" s="25">
        <f>IF(AND($A48="",$B48="",$F48="",$H48="",$J48="",$K48="",$M48="",$S48=""),"",IF(OR($H48="",$Q48="",$M48="",$S48=""),"ERROR",IF(OR($J48&lt;0,$K48&lt;0,$M48&lt;0,$T48&lt;0,$U48&lt;0,$V48&lt;0,$W48&lt;0,$X48&lt;0,$Y48&lt;0),"ERROR",IF($AE48="","ERROR",IF(AND(OR($S48="ITEM_PRICE_PLUS_DECLARED_DELIVERY",$S48="TOTAL_AMOUNT_INCLUDING_DELIVERY",$S48="ITEM_PRICE_ONLY_DELIVERY_PAID_BY_MERCHANT"),$J48=""),"ERROR",IF(AND(OR($S48="ITEM_PRICE_PLUS_DECLARED_DELIVERY",$S48="DELIVERY_CHARGE_ONLY"),$K48=""),"ERROR",IF(AND(OR($S48="TOTAL_AMOUNT_INCLUDING_DELIVERY",$S48="EXACT_COLLECTION_AMOUNT"),$T48=""),"ERROR",IF(AND($S48="TOTAL_AMOUNT_INCLUDING_DELIVERY",$T48&lt;SUM($J48,$U48)),"ERROR",IF($S48="EXACT_COLLECTION_AMOUNT","REVIEW","OK")))))))))</f>
        <v/>
      </c>
      <c r="AV48" s="25">
        <f>IF($AU48="","",IF($H48="","Township required",IF($Q48="","Customer tier required",IF($M48="","Weight required",IF($S48="","Amount entry type required",IF(OR($J48&lt;0,$K48&lt;0,$M48&lt;0,$T48&lt;0,$U48&lt;0,$V48&lt;0,$W48&lt;0,$X48&lt;0,$Y48&lt;0),"Negative amounts are not allowed",IF($AE48="","Tariff not found for township and tier",IF(AND(OR($S48="ITEM_PRICE_PLUS_DECLARED_DELIVERY",$S48="TOTAL_AMOUNT_INCLUDING_DELIVERY",$S48="ITEM_PRICE_ONLY_DELIVERY_PAID_BY_MERCHANT"),$J48=""),"Item price required for this amount type",IF(AND(OR($S48="ITEM_PRICE_PLUS_DECLARED_DELIVERY",$S48="DELIVERY_CHARGE_ONLY"),$K48=""),"Declared delivery charge required",IF(AND(OR($S48="TOTAL_AMOUNT_INCLUDING_DELIVERY",$S48="EXACT_COLLECTION_AMOUNT"),$T48=""),"Stated total amount required",IF(AND($S48="TOTAL_AMOUNT_INCLUDING_DELIVERY",$T48&lt;SUM($J48,$U48)),"Stated total is below item price plus additional charge",IF($S48="EXACT_COLLECTION_AMOUNT","Authorized amount breakdown required before settlement","Ready for collection and settlement"))))))))))))</f>
        <v/>
      </c>
      <c r="AW48" s="23">
        <f>IF($AU48="","","PARCEL_FINANCIAL_V2")</f>
        <v/>
      </c>
      <c r="AX48" s="17" t="n"/>
    </row>
    <row r="49">
      <c r="A49" s="8" t="n"/>
      <c r="B49" s="8" t="n"/>
      <c r="C49" s="8" t="n"/>
      <c r="D49" s="8" t="n"/>
      <c r="E49" s="9" t="n"/>
      <c r="F49" s="9" t="n"/>
      <c r="G49" s="8" t="n"/>
      <c r="H49" s="9" t="n"/>
      <c r="I49" s="9" t="n"/>
      <c r="J49" s="10" t="n"/>
      <c r="K49" s="10" t="n"/>
      <c r="L49" s="11">
        <f>IF($S49="","",IF($S49="ITEM_PRICE_PLUS_DECLARED_DELIVERY",IF(OR($J49="",$K49=""),"",SUM($J49,$K49,$U49)),IF($S49="TOTAL_AMOUNT_INCLUDING_DELIVERY",IF($T49="","",$T49),IF($S49="DELIVERY_CHARGE_ONLY",IF($K49="","",SUM($K49,$U49)),IF($S49="EXACT_COLLECTION_AMOUNT",IF($T49="","",$T49),IF($S49="ITEM_PRICE_ONLY_DELIVERY_PAID_BY_MERCHANT",IF($J49="","",SUM($J49,$U49)),""))))))</f>
        <v/>
      </c>
      <c r="M49" s="12" t="n"/>
      <c r="N49" s="13" t="n"/>
      <c r="O49" s="13" t="n"/>
      <c r="P49" s="9" t="n"/>
      <c r="Q49" s="14" t="n"/>
      <c r="R49" s="15" t="n"/>
      <c r="S49" s="14" t="n"/>
      <c r="T49" s="16" t="n"/>
      <c r="U49" s="16" t="n"/>
      <c r="V49" s="16" t="n"/>
      <c r="W49" s="16" t="n"/>
      <c r="X49" s="16" t="n"/>
      <c r="Y49" s="16" t="n"/>
      <c r="Z49" s="14" t="n"/>
      <c r="AA49" s="14" t="n"/>
      <c r="AB49" s="14" t="n"/>
      <c r="AC49" s="17">
        <f>IFERROR(VLOOKUP($H49&amp;"|"&amp;$Q49,Tariff_Master!$A$2:$L$169,3,FALSE),"")</f>
        <v/>
      </c>
      <c r="AD49" s="17">
        <f>IFERROR(VLOOKUP($H49&amp;"|"&amp;$Q49,Tariff_Master!$A$2:$L$169,4,FALSE),"")</f>
        <v/>
      </c>
      <c r="AE49" s="18">
        <f>IFERROR(VLOOKUP($H49&amp;"|"&amp;$Q49,Tariff_Master!$A$2:$L$169,6,FALSE),"")</f>
        <v/>
      </c>
      <c r="AF49" s="19">
        <f>IFERROR(VLOOKUP($H49&amp;"|"&amp;$Q49,Tariff_Master!$A$2:$L$169,7,FALSE),"")</f>
        <v/>
      </c>
      <c r="AG49" s="18">
        <f>IFERROR(VLOOKUP($H49&amp;"|"&amp;$Q49,Tariff_Master!$A$2:$L$169,8,FALSE),"")</f>
        <v/>
      </c>
      <c r="AH49" s="20">
        <f>IFERROR(VLOOKUP($H49&amp;"|"&amp;$Q49,Tariff_Master!$A$2:$L$169,9,FALSE),"")</f>
        <v/>
      </c>
      <c r="AI49" s="18">
        <f>IFERROR(VLOOKUP($H49&amp;"|"&amp;$Q49,Tariff_Master!$A$2:$L$169,10,FALSE),"")</f>
        <v/>
      </c>
      <c r="AJ49" s="21">
        <f>IF($M49="","",ROUNDUP(MAX(0,$M49),0))</f>
        <v/>
      </c>
      <c r="AK49" s="21">
        <f>IF(OR($AJ49="",$AF49=""),"",MAX(0,$AJ49-$AF49))</f>
        <v/>
      </c>
      <c r="AL49" s="22">
        <f>IF(OR($AK49="",$AG49=""),"",MAX(0,$AK49*$AG49))</f>
        <v/>
      </c>
      <c r="AM49" s="22">
        <f>IF($AE49="","",MAX(0,SUM($AE49,$AL49,$V49,$W49)))</f>
        <v/>
      </c>
      <c r="AN49" s="22">
        <f>IF($AM49="","",IF(AND($Q49="COMMITMENT",$R49&gt;=$AH49),$AI49,0))</f>
        <v/>
      </c>
      <c r="AO49" s="23">
        <f>IF($AM49="","",MAX(0,$AM49-$AN49))</f>
        <v/>
      </c>
      <c r="AP49" s="22">
        <f>IF($S49="","",IF(OR($S49="ITEM_PRICE_PLUS_DECLARED_DELIVERY",$S49="DELIVERY_CHARGE_ONLY"),$K49,IF($S49="TOTAL_AMOUNT_INCLUDING_DELIVERY",IF(OR($T49="",$J49=""),"",MAX(0,$T49-$J49-$U49)),IF($S49="ITEM_PRICE_ONLY_DELIVERY_PAID_BY_MERCHANT",0,""))))</f>
        <v/>
      </c>
      <c r="AQ49" s="23">
        <f>IF(OR($AP49="",$AO49=""),"",$AP49-$AO49)</f>
        <v/>
      </c>
      <c r="AR49" s="24">
        <f>IF($S49="EXACT_COLLECTION_AMOUNT","BREAKDOWN_REQUIRED",IF($AQ49="","",IF($AQ49&gt;0,"CREDIT_TO_MERCHANT",IF($AQ49&lt;0,"DEDUCT_FROM_MERCHANT","NO_ADJUSTMENT"))))</f>
        <v/>
      </c>
      <c r="AS49" s="23">
        <f>IF(OR($AQ49="",$AR49="BREAKDOWN_REQUIRED"),"",$AQ49)</f>
        <v/>
      </c>
      <c r="AT49" s="23">
        <f>IF(OR($AR49="",$AR49="BREAKDOWN_REQUIRED"),"",SUM($J49,$AQ49,$Y49)-$X49)</f>
        <v/>
      </c>
      <c r="AU49" s="25">
        <f>IF(AND($A49="",$B49="",$F49="",$H49="",$J49="",$K49="",$M49="",$S49=""),"",IF(OR($H49="",$Q49="",$M49="",$S49=""),"ERROR",IF(OR($J49&lt;0,$K49&lt;0,$M49&lt;0,$T49&lt;0,$U49&lt;0,$V49&lt;0,$W49&lt;0,$X49&lt;0,$Y49&lt;0),"ERROR",IF($AE49="","ERROR",IF(AND(OR($S49="ITEM_PRICE_PLUS_DECLARED_DELIVERY",$S49="TOTAL_AMOUNT_INCLUDING_DELIVERY",$S49="ITEM_PRICE_ONLY_DELIVERY_PAID_BY_MERCHANT"),$J49=""),"ERROR",IF(AND(OR($S49="ITEM_PRICE_PLUS_DECLARED_DELIVERY",$S49="DELIVERY_CHARGE_ONLY"),$K49=""),"ERROR",IF(AND(OR($S49="TOTAL_AMOUNT_INCLUDING_DELIVERY",$S49="EXACT_COLLECTION_AMOUNT"),$T49=""),"ERROR",IF(AND($S49="TOTAL_AMOUNT_INCLUDING_DELIVERY",$T49&lt;SUM($J49,$U49)),"ERROR",IF($S49="EXACT_COLLECTION_AMOUNT","REVIEW","OK")))))))))</f>
        <v/>
      </c>
      <c r="AV49" s="25">
        <f>IF($AU49="","",IF($H49="","Township required",IF($Q49="","Customer tier required",IF($M49="","Weight required",IF($S49="","Amount entry type required",IF(OR($J49&lt;0,$K49&lt;0,$M49&lt;0,$T49&lt;0,$U49&lt;0,$V49&lt;0,$W49&lt;0,$X49&lt;0,$Y49&lt;0),"Negative amounts are not allowed",IF($AE49="","Tariff not found for township and tier",IF(AND(OR($S49="ITEM_PRICE_PLUS_DECLARED_DELIVERY",$S49="TOTAL_AMOUNT_INCLUDING_DELIVERY",$S49="ITEM_PRICE_ONLY_DELIVERY_PAID_BY_MERCHANT"),$J49=""),"Item price required for this amount type",IF(AND(OR($S49="ITEM_PRICE_PLUS_DECLARED_DELIVERY",$S49="DELIVERY_CHARGE_ONLY"),$K49=""),"Declared delivery charge required",IF(AND(OR($S49="TOTAL_AMOUNT_INCLUDING_DELIVERY",$S49="EXACT_COLLECTION_AMOUNT"),$T49=""),"Stated total amount required",IF(AND($S49="TOTAL_AMOUNT_INCLUDING_DELIVERY",$T49&lt;SUM($J49,$U49)),"Stated total is below item price plus additional charge",IF($S49="EXACT_COLLECTION_AMOUNT","Authorized amount breakdown required before settlement","Ready for collection and settlement"))))))))))))</f>
        <v/>
      </c>
      <c r="AW49" s="23">
        <f>IF($AU49="","","PARCEL_FINANCIAL_V2")</f>
        <v/>
      </c>
      <c r="AX49" s="17" t="n"/>
    </row>
    <row r="50">
      <c r="A50" s="8" t="n"/>
      <c r="B50" s="8" t="n"/>
      <c r="C50" s="8" t="n"/>
      <c r="D50" s="8" t="n"/>
      <c r="E50" s="9" t="n"/>
      <c r="F50" s="9" t="n"/>
      <c r="G50" s="8" t="n"/>
      <c r="H50" s="9" t="n"/>
      <c r="I50" s="9" t="n"/>
      <c r="J50" s="10" t="n"/>
      <c r="K50" s="10" t="n"/>
      <c r="L50" s="11">
        <f>IF($S50="","",IF($S50="ITEM_PRICE_PLUS_DECLARED_DELIVERY",IF(OR($J50="",$K50=""),"",SUM($J50,$K50,$U50)),IF($S50="TOTAL_AMOUNT_INCLUDING_DELIVERY",IF($T50="","",$T50),IF($S50="DELIVERY_CHARGE_ONLY",IF($K50="","",SUM($K50,$U50)),IF($S50="EXACT_COLLECTION_AMOUNT",IF($T50="","",$T50),IF($S50="ITEM_PRICE_ONLY_DELIVERY_PAID_BY_MERCHANT",IF($J50="","",SUM($J50,$U50)),""))))))</f>
        <v/>
      </c>
      <c r="M50" s="12" t="n"/>
      <c r="N50" s="13" t="n"/>
      <c r="O50" s="13" t="n"/>
      <c r="P50" s="9" t="n"/>
      <c r="Q50" s="14" t="n"/>
      <c r="R50" s="15" t="n"/>
      <c r="S50" s="14" t="n"/>
      <c r="T50" s="16" t="n"/>
      <c r="U50" s="16" t="n"/>
      <c r="V50" s="16" t="n"/>
      <c r="W50" s="16" t="n"/>
      <c r="X50" s="16" t="n"/>
      <c r="Y50" s="16" t="n"/>
      <c r="Z50" s="14" t="n"/>
      <c r="AA50" s="14" t="n"/>
      <c r="AB50" s="14" t="n"/>
      <c r="AC50" s="17">
        <f>IFERROR(VLOOKUP($H50&amp;"|"&amp;$Q50,Tariff_Master!$A$2:$L$169,3,FALSE),"")</f>
        <v/>
      </c>
      <c r="AD50" s="17">
        <f>IFERROR(VLOOKUP($H50&amp;"|"&amp;$Q50,Tariff_Master!$A$2:$L$169,4,FALSE),"")</f>
        <v/>
      </c>
      <c r="AE50" s="18">
        <f>IFERROR(VLOOKUP($H50&amp;"|"&amp;$Q50,Tariff_Master!$A$2:$L$169,6,FALSE),"")</f>
        <v/>
      </c>
      <c r="AF50" s="19">
        <f>IFERROR(VLOOKUP($H50&amp;"|"&amp;$Q50,Tariff_Master!$A$2:$L$169,7,FALSE),"")</f>
        <v/>
      </c>
      <c r="AG50" s="18">
        <f>IFERROR(VLOOKUP($H50&amp;"|"&amp;$Q50,Tariff_Master!$A$2:$L$169,8,FALSE),"")</f>
        <v/>
      </c>
      <c r="AH50" s="20">
        <f>IFERROR(VLOOKUP($H50&amp;"|"&amp;$Q50,Tariff_Master!$A$2:$L$169,9,FALSE),"")</f>
        <v/>
      </c>
      <c r="AI50" s="18">
        <f>IFERROR(VLOOKUP($H50&amp;"|"&amp;$Q50,Tariff_Master!$A$2:$L$169,10,FALSE),"")</f>
        <v/>
      </c>
      <c r="AJ50" s="21">
        <f>IF($M50="","",ROUNDUP(MAX(0,$M50),0))</f>
        <v/>
      </c>
      <c r="AK50" s="21">
        <f>IF(OR($AJ50="",$AF50=""),"",MAX(0,$AJ50-$AF50))</f>
        <v/>
      </c>
      <c r="AL50" s="22">
        <f>IF(OR($AK50="",$AG50=""),"",MAX(0,$AK50*$AG50))</f>
        <v/>
      </c>
      <c r="AM50" s="22">
        <f>IF($AE50="","",MAX(0,SUM($AE50,$AL50,$V50,$W50)))</f>
        <v/>
      </c>
      <c r="AN50" s="22">
        <f>IF($AM50="","",IF(AND($Q50="COMMITMENT",$R50&gt;=$AH50),$AI50,0))</f>
        <v/>
      </c>
      <c r="AO50" s="23">
        <f>IF($AM50="","",MAX(0,$AM50-$AN50))</f>
        <v/>
      </c>
      <c r="AP50" s="22">
        <f>IF($S50="","",IF(OR($S50="ITEM_PRICE_PLUS_DECLARED_DELIVERY",$S50="DELIVERY_CHARGE_ONLY"),$K50,IF($S50="TOTAL_AMOUNT_INCLUDING_DELIVERY",IF(OR($T50="",$J50=""),"",MAX(0,$T50-$J50-$U50)),IF($S50="ITEM_PRICE_ONLY_DELIVERY_PAID_BY_MERCHANT",0,""))))</f>
        <v/>
      </c>
      <c r="AQ50" s="23">
        <f>IF(OR($AP50="",$AO50=""),"",$AP50-$AO50)</f>
        <v/>
      </c>
      <c r="AR50" s="24">
        <f>IF($S50="EXACT_COLLECTION_AMOUNT","BREAKDOWN_REQUIRED",IF($AQ50="","",IF($AQ50&gt;0,"CREDIT_TO_MERCHANT",IF($AQ50&lt;0,"DEDUCT_FROM_MERCHANT","NO_ADJUSTMENT"))))</f>
        <v/>
      </c>
      <c r="AS50" s="23">
        <f>IF(OR($AQ50="",$AR50="BREAKDOWN_REQUIRED"),"",$AQ50)</f>
        <v/>
      </c>
      <c r="AT50" s="23">
        <f>IF(OR($AR50="",$AR50="BREAKDOWN_REQUIRED"),"",SUM($J50,$AQ50,$Y50)-$X50)</f>
        <v/>
      </c>
      <c r="AU50" s="25">
        <f>IF(AND($A50="",$B50="",$F50="",$H50="",$J50="",$K50="",$M50="",$S50=""),"",IF(OR($H50="",$Q50="",$M50="",$S50=""),"ERROR",IF(OR($J50&lt;0,$K50&lt;0,$M50&lt;0,$T50&lt;0,$U50&lt;0,$V50&lt;0,$W50&lt;0,$X50&lt;0,$Y50&lt;0),"ERROR",IF($AE50="","ERROR",IF(AND(OR($S50="ITEM_PRICE_PLUS_DECLARED_DELIVERY",$S50="TOTAL_AMOUNT_INCLUDING_DELIVERY",$S50="ITEM_PRICE_ONLY_DELIVERY_PAID_BY_MERCHANT"),$J50=""),"ERROR",IF(AND(OR($S50="ITEM_PRICE_PLUS_DECLARED_DELIVERY",$S50="DELIVERY_CHARGE_ONLY"),$K50=""),"ERROR",IF(AND(OR($S50="TOTAL_AMOUNT_INCLUDING_DELIVERY",$S50="EXACT_COLLECTION_AMOUNT"),$T50=""),"ERROR",IF(AND($S50="TOTAL_AMOUNT_INCLUDING_DELIVERY",$T50&lt;SUM($J50,$U50)),"ERROR",IF($S50="EXACT_COLLECTION_AMOUNT","REVIEW","OK")))))))))</f>
        <v/>
      </c>
      <c r="AV50" s="25">
        <f>IF($AU50="","",IF($H50="","Township required",IF($Q50="","Customer tier required",IF($M50="","Weight required",IF($S50="","Amount entry type required",IF(OR($J50&lt;0,$K50&lt;0,$M50&lt;0,$T50&lt;0,$U50&lt;0,$V50&lt;0,$W50&lt;0,$X50&lt;0,$Y50&lt;0),"Negative amounts are not allowed",IF($AE50="","Tariff not found for township and tier",IF(AND(OR($S50="ITEM_PRICE_PLUS_DECLARED_DELIVERY",$S50="TOTAL_AMOUNT_INCLUDING_DELIVERY",$S50="ITEM_PRICE_ONLY_DELIVERY_PAID_BY_MERCHANT"),$J50=""),"Item price required for this amount type",IF(AND(OR($S50="ITEM_PRICE_PLUS_DECLARED_DELIVERY",$S50="DELIVERY_CHARGE_ONLY"),$K50=""),"Declared delivery charge required",IF(AND(OR($S50="TOTAL_AMOUNT_INCLUDING_DELIVERY",$S50="EXACT_COLLECTION_AMOUNT"),$T50=""),"Stated total amount required",IF(AND($S50="TOTAL_AMOUNT_INCLUDING_DELIVERY",$T50&lt;SUM($J50,$U50)),"Stated total is below item price plus additional charge",IF($S50="EXACT_COLLECTION_AMOUNT","Authorized amount breakdown required before settlement","Ready for collection and settlement"))))))))))))</f>
        <v/>
      </c>
      <c r="AW50" s="23">
        <f>IF($AU50="","","PARCEL_FINANCIAL_V2")</f>
        <v/>
      </c>
      <c r="AX50" s="17" t="n"/>
    </row>
    <row r="51">
      <c r="A51" s="8" t="n"/>
      <c r="B51" s="8" t="n"/>
      <c r="C51" s="8" t="n"/>
      <c r="D51" s="8" t="n"/>
      <c r="E51" s="9" t="n"/>
      <c r="F51" s="9" t="n"/>
      <c r="G51" s="8" t="n"/>
      <c r="H51" s="9" t="n"/>
      <c r="I51" s="9" t="n"/>
      <c r="J51" s="10" t="n"/>
      <c r="K51" s="10" t="n"/>
      <c r="L51" s="11">
        <f>IF($S51="","",IF($S51="ITEM_PRICE_PLUS_DECLARED_DELIVERY",IF(OR($J51="",$K51=""),"",SUM($J51,$K51,$U51)),IF($S51="TOTAL_AMOUNT_INCLUDING_DELIVERY",IF($T51="","",$T51),IF($S51="DELIVERY_CHARGE_ONLY",IF($K51="","",SUM($K51,$U51)),IF($S51="EXACT_COLLECTION_AMOUNT",IF($T51="","",$T51),IF($S51="ITEM_PRICE_ONLY_DELIVERY_PAID_BY_MERCHANT",IF($J51="","",SUM($J51,$U51)),""))))))</f>
        <v/>
      </c>
      <c r="M51" s="12" t="n"/>
      <c r="N51" s="13" t="n"/>
      <c r="O51" s="13" t="n"/>
      <c r="P51" s="9" t="n"/>
      <c r="Q51" s="14" t="n"/>
      <c r="R51" s="15" t="n"/>
      <c r="S51" s="14" t="n"/>
      <c r="T51" s="16" t="n"/>
      <c r="U51" s="16" t="n"/>
      <c r="V51" s="16" t="n"/>
      <c r="W51" s="16" t="n"/>
      <c r="X51" s="16" t="n"/>
      <c r="Y51" s="16" t="n"/>
      <c r="Z51" s="14" t="n"/>
      <c r="AA51" s="14" t="n"/>
      <c r="AB51" s="14" t="n"/>
      <c r="AC51" s="17">
        <f>IFERROR(VLOOKUP($H51&amp;"|"&amp;$Q51,Tariff_Master!$A$2:$L$169,3,FALSE),"")</f>
        <v/>
      </c>
      <c r="AD51" s="17">
        <f>IFERROR(VLOOKUP($H51&amp;"|"&amp;$Q51,Tariff_Master!$A$2:$L$169,4,FALSE),"")</f>
        <v/>
      </c>
      <c r="AE51" s="18">
        <f>IFERROR(VLOOKUP($H51&amp;"|"&amp;$Q51,Tariff_Master!$A$2:$L$169,6,FALSE),"")</f>
        <v/>
      </c>
      <c r="AF51" s="19">
        <f>IFERROR(VLOOKUP($H51&amp;"|"&amp;$Q51,Tariff_Master!$A$2:$L$169,7,FALSE),"")</f>
        <v/>
      </c>
      <c r="AG51" s="18">
        <f>IFERROR(VLOOKUP($H51&amp;"|"&amp;$Q51,Tariff_Master!$A$2:$L$169,8,FALSE),"")</f>
        <v/>
      </c>
      <c r="AH51" s="20">
        <f>IFERROR(VLOOKUP($H51&amp;"|"&amp;$Q51,Tariff_Master!$A$2:$L$169,9,FALSE),"")</f>
        <v/>
      </c>
      <c r="AI51" s="18">
        <f>IFERROR(VLOOKUP($H51&amp;"|"&amp;$Q51,Tariff_Master!$A$2:$L$169,10,FALSE),"")</f>
        <v/>
      </c>
      <c r="AJ51" s="21">
        <f>IF($M51="","",ROUNDUP(MAX(0,$M51),0))</f>
        <v/>
      </c>
      <c r="AK51" s="21">
        <f>IF(OR($AJ51="",$AF51=""),"",MAX(0,$AJ51-$AF51))</f>
        <v/>
      </c>
      <c r="AL51" s="22">
        <f>IF(OR($AK51="",$AG51=""),"",MAX(0,$AK51*$AG51))</f>
        <v/>
      </c>
      <c r="AM51" s="22">
        <f>IF($AE51="","",MAX(0,SUM($AE51,$AL51,$V51,$W51)))</f>
        <v/>
      </c>
      <c r="AN51" s="22">
        <f>IF($AM51="","",IF(AND($Q51="COMMITMENT",$R51&gt;=$AH51),$AI51,0))</f>
        <v/>
      </c>
      <c r="AO51" s="23">
        <f>IF($AM51="","",MAX(0,$AM51-$AN51))</f>
        <v/>
      </c>
      <c r="AP51" s="22">
        <f>IF($S51="","",IF(OR($S51="ITEM_PRICE_PLUS_DECLARED_DELIVERY",$S51="DELIVERY_CHARGE_ONLY"),$K51,IF($S51="TOTAL_AMOUNT_INCLUDING_DELIVERY",IF(OR($T51="",$J51=""),"",MAX(0,$T51-$J51-$U51)),IF($S51="ITEM_PRICE_ONLY_DELIVERY_PAID_BY_MERCHANT",0,""))))</f>
        <v/>
      </c>
      <c r="AQ51" s="23">
        <f>IF(OR($AP51="",$AO51=""),"",$AP51-$AO51)</f>
        <v/>
      </c>
      <c r="AR51" s="24">
        <f>IF($S51="EXACT_COLLECTION_AMOUNT","BREAKDOWN_REQUIRED",IF($AQ51="","",IF($AQ51&gt;0,"CREDIT_TO_MERCHANT",IF($AQ51&lt;0,"DEDUCT_FROM_MERCHANT","NO_ADJUSTMENT"))))</f>
        <v/>
      </c>
      <c r="AS51" s="23">
        <f>IF(OR($AQ51="",$AR51="BREAKDOWN_REQUIRED"),"",$AQ51)</f>
        <v/>
      </c>
      <c r="AT51" s="23">
        <f>IF(OR($AR51="",$AR51="BREAKDOWN_REQUIRED"),"",SUM($J51,$AQ51,$Y51)-$X51)</f>
        <v/>
      </c>
      <c r="AU51" s="25">
        <f>IF(AND($A51="",$B51="",$F51="",$H51="",$J51="",$K51="",$M51="",$S51=""),"",IF(OR($H51="",$Q51="",$M51="",$S51=""),"ERROR",IF(OR($J51&lt;0,$K51&lt;0,$M51&lt;0,$T51&lt;0,$U51&lt;0,$V51&lt;0,$W51&lt;0,$X51&lt;0,$Y51&lt;0),"ERROR",IF($AE51="","ERROR",IF(AND(OR($S51="ITEM_PRICE_PLUS_DECLARED_DELIVERY",$S51="TOTAL_AMOUNT_INCLUDING_DELIVERY",$S51="ITEM_PRICE_ONLY_DELIVERY_PAID_BY_MERCHANT"),$J51=""),"ERROR",IF(AND(OR($S51="ITEM_PRICE_PLUS_DECLARED_DELIVERY",$S51="DELIVERY_CHARGE_ONLY"),$K51=""),"ERROR",IF(AND(OR($S51="TOTAL_AMOUNT_INCLUDING_DELIVERY",$S51="EXACT_COLLECTION_AMOUNT"),$T51=""),"ERROR",IF(AND($S51="TOTAL_AMOUNT_INCLUDING_DELIVERY",$T51&lt;SUM($J51,$U51)),"ERROR",IF($S51="EXACT_COLLECTION_AMOUNT","REVIEW","OK")))))))))</f>
        <v/>
      </c>
      <c r="AV51" s="25">
        <f>IF($AU51="","",IF($H51="","Township required",IF($Q51="","Customer tier required",IF($M51="","Weight required",IF($S51="","Amount entry type required",IF(OR($J51&lt;0,$K51&lt;0,$M51&lt;0,$T51&lt;0,$U51&lt;0,$V51&lt;0,$W51&lt;0,$X51&lt;0,$Y51&lt;0),"Negative amounts are not allowed",IF($AE51="","Tariff not found for township and tier",IF(AND(OR($S51="ITEM_PRICE_PLUS_DECLARED_DELIVERY",$S51="TOTAL_AMOUNT_INCLUDING_DELIVERY",$S51="ITEM_PRICE_ONLY_DELIVERY_PAID_BY_MERCHANT"),$J51=""),"Item price required for this amount type",IF(AND(OR($S51="ITEM_PRICE_PLUS_DECLARED_DELIVERY",$S51="DELIVERY_CHARGE_ONLY"),$K51=""),"Declared delivery charge required",IF(AND(OR($S51="TOTAL_AMOUNT_INCLUDING_DELIVERY",$S51="EXACT_COLLECTION_AMOUNT"),$T51=""),"Stated total amount required",IF(AND($S51="TOTAL_AMOUNT_INCLUDING_DELIVERY",$T51&lt;SUM($J51,$U51)),"Stated total is below item price plus additional charge",IF($S51="EXACT_COLLECTION_AMOUNT","Authorized amount breakdown required before settlement","Ready for collection and settlement"))))))))))))</f>
        <v/>
      </c>
      <c r="AW51" s="23">
        <f>IF($AU51="","","PARCEL_FINANCIAL_V2")</f>
        <v/>
      </c>
      <c r="AX51" s="17" t="n"/>
    </row>
    <row r="52">
      <c r="A52" s="8" t="n"/>
      <c r="B52" s="8" t="n"/>
      <c r="C52" s="8" t="n"/>
      <c r="D52" s="8" t="n"/>
      <c r="E52" s="9" t="n"/>
      <c r="F52" s="9" t="n"/>
      <c r="G52" s="8" t="n"/>
      <c r="H52" s="9" t="n"/>
      <c r="I52" s="9" t="n"/>
      <c r="J52" s="10" t="n"/>
      <c r="K52" s="10" t="n"/>
      <c r="L52" s="11">
        <f>IF($S52="","",IF($S52="ITEM_PRICE_PLUS_DECLARED_DELIVERY",IF(OR($J52="",$K52=""),"",SUM($J52,$K52,$U52)),IF($S52="TOTAL_AMOUNT_INCLUDING_DELIVERY",IF($T52="","",$T52),IF($S52="DELIVERY_CHARGE_ONLY",IF($K52="","",SUM($K52,$U52)),IF($S52="EXACT_COLLECTION_AMOUNT",IF($T52="","",$T52),IF($S52="ITEM_PRICE_ONLY_DELIVERY_PAID_BY_MERCHANT",IF($J52="","",SUM($J52,$U52)),""))))))</f>
        <v/>
      </c>
      <c r="M52" s="12" t="n"/>
      <c r="N52" s="13" t="n"/>
      <c r="O52" s="13" t="n"/>
      <c r="P52" s="9" t="n"/>
      <c r="Q52" s="14" t="n"/>
      <c r="R52" s="15" t="n"/>
      <c r="S52" s="14" t="n"/>
      <c r="T52" s="16" t="n"/>
      <c r="U52" s="16" t="n"/>
      <c r="V52" s="16" t="n"/>
      <c r="W52" s="16" t="n"/>
      <c r="X52" s="16" t="n"/>
      <c r="Y52" s="16" t="n"/>
      <c r="Z52" s="14" t="n"/>
      <c r="AA52" s="14" t="n"/>
      <c r="AB52" s="14" t="n"/>
      <c r="AC52" s="17">
        <f>IFERROR(VLOOKUP($H52&amp;"|"&amp;$Q52,Tariff_Master!$A$2:$L$169,3,FALSE),"")</f>
        <v/>
      </c>
      <c r="AD52" s="17">
        <f>IFERROR(VLOOKUP($H52&amp;"|"&amp;$Q52,Tariff_Master!$A$2:$L$169,4,FALSE),"")</f>
        <v/>
      </c>
      <c r="AE52" s="18">
        <f>IFERROR(VLOOKUP($H52&amp;"|"&amp;$Q52,Tariff_Master!$A$2:$L$169,6,FALSE),"")</f>
        <v/>
      </c>
      <c r="AF52" s="19">
        <f>IFERROR(VLOOKUP($H52&amp;"|"&amp;$Q52,Tariff_Master!$A$2:$L$169,7,FALSE),"")</f>
        <v/>
      </c>
      <c r="AG52" s="18">
        <f>IFERROR(VLOOKUP($H52&amp;"|"&amp;$Q52,Tariff_Master!$A$2:$L$169,8,FALSE),"")</f>
        <v/>
      </c>
      <c r="AH52" s="20">
        <f>IFERROR(VLOOKUP($H52&amp;"|"&amp;$Q52,Tariff_Master!$A$2:$L$169,9,FALSE),"")</f>
        <v/>
      </c>
      <c r="AI52" s="18">
        <f>IFERROR(VLOOKUP($H52&amp;"|"&amp;$Q52,Tariff_Master!$A$2:$L$169,10,FALSE),"")</f>
        <v/>
      </c>
      <c r="AJ52" s="21">
        <f>IF($M52="","",ROUNDUP(MAX(0,$M52),0))</f>
        <v/>
      </c>
      <c r="AK52" s="21">
        <f>IF(OR($AJ52="",$AF52=""),"",MAX(0,$AJ52-$AF52))</f>
        <v/>
      </c>
      <c r="AL52" s="22">
        <f>IF(OR($AK52="",$AG52=""),"",MAX(0,$AK52*$AG52))</f>
        <v/>
      </c>
      <c r="AM52" s="22">
        <f>IF($AE52="","",MAX(0,SUM($AE52,$AL52,$V52,$W52)))</f>
        <v/>
      </c>
      <c r="AN52" s="22">
        <f>IF($AM52="","",IF(AND($Q52="COMMITMENT",$R52&gt;=$AH52),$AI52,0))</f>
        <v/>
      </c>
      <c r="AO52" s="23">
        <f>IF($AM52="","",MAX(0,$AM52-$AN52))</f>
        <v/>
      </c>
      <c r="AP52" s="22">
        <f>IF($S52="","",IF(OR($S52="ITEM_PRICE_PLUS_DECLARED_DELIVERY",$S52="DELIVERY_CHARGE_ONLY"),$K52,IF($S52="TOTAL_AMOUNT_INCLUDING_DELIVERY",IF(OR($T52="",$J52=""),"",MAX(0,$T52-$J52-$U52)),IF($S52="ITEM_PRICE_ONLY_DELIVERY_PAID_BY_MERCHANT",0,""))))</f>
        <v/>
      </c>
      <c r="AQ52" s="23">
        <f>IF(OR($AP52="",$AO52=""),"",$AP52-$AO52)</f>
        <v/>
      </c>
      <c r="AR52" s="24">
        <f>IF($S52="EXACT_COLLECTION_AMOUNT","BREAKDOWN_REQUIRED",IF($AQ52="","",IF($AQ52&gt;0,"CREDIT_TO_MERCHANT",IF($AQ52&lt;0,"DEDUCT_FROM_MERCHANT","NO_ADJUSTMENT"))))</f>
        <v/>
      </c>
      <c r="AS52" s="23">
        <f>IF(OR($AQ52="",$AR52="BREAKDOWN_REQUIRED"),"",$AQ52)</f>
        <v/>
      </c>
      <c r="AT52" s="23">
        <f>IF(OR($AR52="",$AR52="BREAKDOWN_REQUIRED"),"",SUM($J52,$AQ52,$Y52)-$X52)</f>
        <v/>
      </c>
      <c r="AU52" s="25">
        <f>IF(AND($A52="",$B52="",$F52="",$H52="",$J52="",$K52="",$M52="",$S52=""),"",IF(OR($H52="",$Q52="",$M52="",$S52=""),"ERROR",IF(OR($J52&lt;0,$K52&lt;0,$M52&lt;0,$T52&lt;0,$U52&lt;0,$V52&lt;0,$W52&lt;0,$X52&lt;0,$Y52&lt;0),"ERROR",IF($AE52="","ERROR",IF(AND(OR($S52="ITEM_PRICE_PLUS_DECLARED_DELIVERY",$S52="TOTAL_AMOUNT_INCLUDING_DELIVERY",$S52="ITEM_PRICE_ONLY_DELIVERY_PAID_BY_MERCHANT"),$J52=""),"ERROR",IF(AND(OR($S52="ITEM_PRICE_PLUS_DECLARED_DELIVERY",$S52="DELIVERY_CHARGE_ONLY"),$K52=""),"ERROR",IF(AND(OR($S52="TOTAL_AMOUNT_INCLUDING_DELIVERY",$S52="EXACT_COLLECTION_AMOUNT"),$T52=""),"ERROR",IF(AND($S52="TOTAL_AMOUNT_INCLUDING_DELIVERY",$T52&lt;SUM($J52,$U52)),"ERROR",IF($S52="EXACT_COLLECTION_AMOUNT","REVIEW","OK")))))))))</f>
        <v/>
      </c>
      <c r="AV52" s="25">
        <f>IF($AU52="","",IF($H52="","Township required",IF($Q52="","Customer tier required",IF($M52="","Weight required",IF($S52="","Amount entry type required",IF(OR($J52&lt;0,$K52&lt;0,$M52&lt;0,$T52&lt;0,$U52&lt;0,$V52&lt;0,$W52&lt;0,$X52&lt;0,$Y52&lt;0),"Negative amounts are not allowed",IF($AE52="","Tariff not found for township and tier",IF(AND(OR($S52="ITEM_PRICE_PLUS_DECLARED_DELIVERY",$S52="TOTAL_AMOUNT_INCLUDING_DELIVERY",$S52="ITEM_PRICE_ONLY_DELIVERY_PAID_BY_MERCHANT"),$J52=""),"Item price required for this amount type",IF(AND(OR($S52="ITEM_PRICE_PLUS_DECLARED_DELIVERY",$S52="DELIVERY_CHARGE_ONLY"),$K52=""),"Declared delivery charge required",IF(AND(OR($S52="TOTAL_AMOUNT_INCLUDING_DELIVERY",$S52="EXACT_COLLECTION_AMOUNT"),$T52=""),"Stated total amount required",IF(AND($S52="TOTAL_AMOUNT_INCLUDING_DELIVERY",$T52&lt;SUM($J52,$U52)),"Stated total is below item price plus additional charge",IF($S52="EXACT_COLLECTION_AMOUNT","Authorized amount breakdown required before settlement","Ready for collection and settlement"))))))))))))</f>
        <v/>
      </c>
      <c r="AW52" s="23">
        <f>IF($AU52="","","PARCEL_FINANCIAL_V2")</f>
        <v/>
      </c>
      <c r="AX52" s="17" t="n"/>
    </row>
    <row r="53">
      <c r="A53" s="8" t="n"/>
      <c r="B53" s="8" t="n"/>
      <c r="C53" s="8" t="n"/>
      <c r="D53" s="8" t="n"/>
      <c r="E53" s="9" t="n"/>
      <c r="F53" s="9" t="n"/>
      <c r="G53" s="8" t="n"/>
      <c r="H53" s="9" t="n"/>
      <c r="I53" s="9" t="n"/>
      <c r="J53" s="10" t="n"/>
      <c r="K53" s="10" t="n"/>
      <c r="L53" s="11">
        <f>IF($S53="","",IF($S53="ITEM_PRICE_PLUS_DECLARED_DELIVERY",IF(OR($J53="",$K53=""),"",SUM($J53,$K53,$U53)),IF($S53="TOTAL_AMOUNT_INCLUDING_DELIVERY",IF($T53="","",$T53),IF($S53="DELIVERY_CHARGE_ONLY",IF($K53="","",SUM($K53,$U53)),IF($S53="EXACT_COLLECTION_AMOUNT",IF($T53="","",$T53),IF($S53="ITEM_PRICE_ONLY_DELIVERY_PAID_BY_MERCHANT",IF($J53="","",SUM($J53,$U53)),""))))))</f>
        <v/>
      </c>
      <c r="M53" s="12" t="n"/>
      <c r="N53" s="13" t="n"/>
      <c r="O53" s="13" t="n"/>
      <c r="P53" s="9" t="n"/>
      <c r="Q53" s="14" t="n"/>
      <c r="R53" s="15" t="n"/>
      <c r="S53" s="14" t="n"/>
      <c r="T53" s="16" t="n"/>
      <c r="U53" s="16" t="n"/>
      <c r="V53" s="16" t="n"/>
      <c r="W53" s="16" t="n"/>
      <c r="X53" s="16" t="n"/>
      <c r="Y53" s="16" t="n"/>
      <c r="Z53" s="14" t="n"/>
      <c r="AA53" s="14" t="n"/>
      <c r="AB53" s="14" t="n"/>
      <c r="AC53" s="17">
        <f>IFERROR(VLOOKUP($H53&amp;"|"&amp;$Q53,Tariff_Master!$A$2:$L$169,3,FALSE),"")</f>
        <v/>
      </c>
      <c r="AD53" s="17">
        <f>IFERROR(VLOOKUP($H53&amp;"|"&amp;$Q53,Tariff_Master!$A$2:$L$169,4,FALSE),"")</f>
        <v/>
      </c>
      <c r="AE53" s="18">
        <f>IFERROR(VLOOKUP($H53&amp;"|"&amp;$Q53,Tariff_Master!$A$2:$L$169,6,FALSE),"")</f>
        <v/>
      </c>
      <c r="AF53" s="19">
        <f>IFERROR(VLOOKUP($H53&amp;"|"&amp;$Q53,Tariff_Master!$A$2:$L$169,7,FALSE),"")</f>
        <v/>
      </c>
      <c r="AG53" s="18">
        <f>IFERROR(VLOOKUP($H53&amp;"|"&amp;$Q53,Tariff_Master!$A$2:$L$169,8,FALSE),"")</f>
        <v/>
      </c>
      <c r="AH53" s="20">
        <f>IFERROR(VLOOKUP($H53&amp;"|"&amp;$Q53,Tariff_Master!$A$2:$L$169,9,FALSE),"")</f>
        <v/>
      </c>
      <c r="AI53" s="18">
        <f>IFERROR(VLOOKUP($H53&amp;"|"&amp;$Q53,Tariff_Master!$A$2:$L$169,10,FALSE),"")</f>
        <v/>
      </c>
      <c r="AJ53" s="21">
        <f>IF($M53="","",ROUNDUP(MAX(0,$M53),0))</f>
        <v/>
      </c>
      <c r="AK53" s="21">
        <f>IF(OR($AJ53="",$AF53=""),"",MAX(0,$AJ53-$AF53))</f>
        <v/>
      </c>
      <c r="AL53" s="22">
        <f>IF(OR($AK53="",$AG53=""),"",MAX(0,$AK53*$AG53))</f>
        <v/>
      </c>
      <c r="AM53" s="22">
        <f>IF($AE53="","",MAX(0,SUM($AE53,$AL53,$V53,$W53)))</f>
        <v/>
      </c>
      <c r="AN53" s="22">
        <f>IF($AM53="","",IF(AND($Q53="COMMITMENT",$R53&gt;=$AH53),$AI53,0))</f>
        <v/>
      </c>
      <c r="AO53" s="23">
        <f>IF($AM53="","",MAX(0,$AM53-$AN53))</f>
        <v/>
      </c>
      <c r="AP53" s="22">
        <f>IF($S53="","",IF(OR($S53="ITEM_PRICE_PLUS_DECLARED_DELIVERY",$S53="DELIVERY_CHARGE_ONLY"),$K53,IF($S53="TOTAL_AMOUNT_INCLUDING_DELIVERY",IF(OR($T53="",$J53=""),"",MAX(0,$T53-$J53-$U53)),IF($S53="ITEM_PRICE_ONLY_DELIVERY_PAID_BY_MERCHANT",0,""))))</f>
        <v/>
      </c>
      <c r="AQ53" s="23">
        <f>IF(OR($AP53="",$AO53=""),"",$AP53-$AO53)</f>
        <v/>
      </c>
      <c r="AR53" s="24">
        <f>IF($S53="EXACT_COLLECTION_AMOUNT","BREAKDOWN_REQUIRED",IF($AQ53="","",IF($AQ53&gt;0,"CREDIT_TO_MERCHANT",IF($AQ53&lt;0,"DEDUCT_FROM_MERCHANT","NO_ADJUSTMENT"))))</f>
        <v/>
      </c>
      <c r="AS53" s="23">
        <f>IF(OR($AQ53="",$AR53="BREAKDOWN_REQUIRED"),"",$AQ53)</f>
        <v/>
      </c>
      <c r="AT53" s="23">
        <f>IF(OR($AR53="",$AR53="BREAKDOWN_REQUIRED"),"",SUM($J53,$AQ53,$Y53)-$X53)</f>
        <v/>
      </c>
      <c r="AU53" s="25">
        <f>IF(AND($A53="",$B53="",$F53="",$H53="",$J53="",$K53="",$M53="",$S53=""),"",IF(OR($H53="",$Q53="",$M53="",$S53=""),"ERROR",IF(OR($J53&lt;0,$K53&lt;0,$M53&lt;0,$T53&lt;0,$U53&lt;0,$V53&lt;0,$W53&lt;0,$X53&lt;0,$Y53&lt;0),"ERROR",IF($AE53="","ERROR",IF(AND(OR($S53="ITEM_PRICE_PLUS_DECLARED_DELIVERY",$S53="TOTAL_AMOUNT_INCLUDING_DELIVERY",$S53="ITEM_PRICE_ONLY_DELIVERY_PAID_BY_MERCHANT"),$J53=""),"ERROR",IF(AND(OR($S53="ITEM_PRICE_PLUS_DECLARED_DELIVERY",$S53="DELIVERY_CHARGE_ONLY"),$K53=""),"ERROR",IF(AND(OR($S53="TOTAL_AMOUNT_INCLUDING_DELIVERY",$S53="EXACT_COLLECTION_AMOUNT"),$T53=""),"ERROR",IF(AND($S53="TOTAL_AMOUNT_INCLUDING_DELIVERY",$T53&lt;SUM($J53,$U53)),"ERROR",IF($S53="EXACT_COLLECTION_AMOUNT","REVIEW","OK")))))))))</f>
        <v/>
      </c>
      <c r="AV53" s="25">
        <f>IF($AU53="","",IF($H53="","Township required",IF($Q53="","Customer tier required",IF($M53="","Weight required",IF($S53="","Amount entry type required",IF(OR($J53&lt;0,$K53&lt;0,$M53&lt;0,$T53&lt;0,$U53&lt;0,$V53&lt;0,$W53&lt;0,$X53&lt;0,$Y53&lt;0),"Negative amounts are not allowed",IF($AE53="","Tariff not found for township and tier",IF(AND(OR($S53="ITEM_PRICE_PLUS_DECLARED_DELIVERY",$S53="TOTAL_AMOUNT_INCLUDING_DELIVERY",$S53="ITEM_PRICE_ONLY_DELIVERY_PAID_BY_MERCHANT"),$J53=""),"Item price required for this amount type",IF(AND(OR($S53="ITEM_PRICE_PLUS_DECLARED_DELIVERY",$S53="DELIVERY_CHARGE_ONLY"),$K53=""),"Declared delivery charge required",IF(AND(OR($S53="TOTAL_AMOUNT_INCLUDING_DELIVERY",$S53="EXACT_COLLECTION_AMOUNT"),$T53=""),"Stated total amount required",IF(AND($S53="TOTAL_AMOUNT_INCLUDING_DELIVERY",$T53&lt;SUM($J53,$U53)),"Stated total is below item price plus additional charge",IF($S53="EXACT_COLLECTION_AMOUNT","Authorized amount breakdown required before settlement","Ready for collection and settlement"))))))))))))</f>
        <v/>
      </c>
      <c r="AW53" s="23">
        <f>IF($AU53="","","PARCEL_FINANCIAL_V2")</f>
        <v/>
      </c>
      <c r="AX53" s="17" t="n"/>
    </row>
    <row r="54">
      <c r="A54" s="8" t="n"/>
      <c r="B54" s="8" t="n"/>
      <c r="C54" s="8" t="n"/>
      <c r="D54" s="8" t="n"/>
      <c r="E54" s="9" t="n"/>
      <c r="F54" s="9" t="n"/>
      <c r="G54" s="8" t="n"/>
      <c r="H54" s="9" t="n"/>
      <c r="I54" s="9" t="n"/>
      <c r="J54" s="10" t="n"/>
      <c r="K54" s="10" t="n"/>
      <c r="L54" s="11">
        <f>IF($S54="","",IF($S54="ITEM_PRICE_PLUS_DECLARED_DELIVERY",IF(OR($J54="",$K54=""),"",SUM($J54,$K54,$U54)),IF($S54="TOTAL_AMOUNT_INCLUDING_DELIVERY",IF($T54="","",$T54),IF($S54="DELIVERY_CHARGE_ONLY",IF($K54="","",SUM($K54,$U54)),IF($S54="EXACT_COLLECTION_AMOUNT",IF($T54="","",$T54),IF($S54="ITEM_PRICE_ONLY_DELIVERY_PAID_BY_MERCHANT",IF($J54="","",SUM($J54,$U54)),""))))))</f>
        <v/>
      </c>
      <c r="M54" s="12" t="n"/>
      <c r="N54" s="13" t="n"/>
      <c r="O54" s="13" t="n"/>
      <c r="P54" s="9" t="n"/>
      <c r="Q54" s="14" t="n"/>
      <c r="R54" s="15" t="n"/>
      <c r="S54" s="14" t="n"/>
      <c r="T54" s="16" t="n"/>
      <c r="U54" s="16" t="n"/>
      <c r="V54" s="16" t="n"/>
      <c r="W54" s="16" t="n"/>
      <c r="X54" s="16" t="n"/>
      <c r="Y54" s="16" t="n"/>
      <c r="Z54" s="14" t="n"/>
      <c r="AA54" s="14" t="n"/>
      <c r="AB54" s="14" t="n"/>
      <c r="AC54" s="17">
        <f>IFERROR(VLOOKUP($H54&amp;"|"&amp;$Q54,Tariff_Master!$A$2:$L$169,3,FALSE),"")</f>
        <v/>
      </c>
      <c r="AD54" s="17">
        <f>IFERROR(VLOOKUP($H54&amp;"|"&amp;$Q54,Tariff_Master!$A$2:$L$169,4,FALSE),"")</f>
        <v/>
      </c>
      <c r="AE54" s="18">
        <f>IFERROR(VLOOKUP($H54&amp;"|"&amp;$Q54,Tariff_Master!$A$2:$L$169,6,FALSE),"")</f>
        <v/>
      </c>
      <c r="AF54" s="19">
        <f>IFERROR(VLOOKUP($H54&amp;"|"&amp;$Q54,Tariff_Master!$A$2:$L$169,7,FALSE),"")</f>
        <v/>
      </c>
      <c r="AG54" s="18">
        <f>IFERROR(VLOOKUP($H54&amp;"|"&amp;$Q54,Tariff_Master!$A$2:$L$169,8,FALSE),"")</f>
        <v/>
      </c>
      <c r="AH54" s="20">
        <f>IFERROR(VLOOKUP($H54&amp;"|"&amp;$Q54,Tariff_Master!$A$2:$L$169,9,FALSE),"")</f>
        <v/>
      </c>
      <c r="AI54" s="18">
        <f>IFERROR(VLOOKUP($H54&amp;"|"&amp;$Q54,Tariff_Master!$A$2:$L$169,10,FALSE),"")</f>
        <v/>
      </c>
      <c r="AJ54" s="21">
        <f>IF($M54="","",ROUNDUP(MAX(0,$M54),0))</f>
        <v/>
      </c>
      <c r="AK54" s="21">
        <f>IF(OR($AJ54="",$AF54=""),"",MAX(0,$AJ54-$AF54))</f>
        <v/>
      </c>
      <c r="AL54" s="22">
        <f>IF(OR($AK54="",$AG54=""),"",MAX(0,$AK54*$AG54))</f>
        <v/>
      </c>
      <c r="AM54" s="22">
        <f>IF($AE54="","",MAX(0,SUM($AE54,$AL54,$V54,$W54)))</f>
        <v/>
      </c>
      <c r="AN54" s="22">
        <f>IF($AM54="","",IF(AND($Q54="COMMITMENT",$R54&gt;=$AH54),$AI54,0))</f>
        <v/>
      </c>
      <c r="AO54" s="23">
        <f>IF($AM54="","",MAX(0,$AM54-$AN54))</f>
        <v/>
      </c>
      <c r="AP54" s="22">
        <f>IF($S54="","",IF(OR($S54="ITEM_PRICE_PLUS_DECLARED_DELIVERY",$S54="DELIVERY_CHARGE_ONLY"),$K54,IF($S54="TOTAL_AMOUNT_INCLUDING_DELIVERY",IF(OR($T54="",$J54=""),"",MAX(0,$T54-$J54-$U54)),IF($S54="ITEM_PRICE_ONLY_DELIVERY_PAID_BY_MERCHANT",0,""))))</f>
        <v/>
      </c>
      <c r="AQ54" s="23">
        <f>IF(OR($AP54="",$AO54=""),"",$AP54-$AO54)</f>
        <v/>
      </c>
      <c r="AR54" s="24">
        <f>IF($S54="EXACT_COLLECTION_AMOUNT","BREAKDOWN_REQUIRED",IF($AQ54="","",IF($AQ54&gt;0,"CREDIT_TO_MERCHANT",IF($AQ54&lt;0,"DEDUCT_FROM_MERCHANT","NO_ADJUSTMENT"))))</f>
        <v/>
      </c>
      <c r="AS54" s="23">
        <f>IF(OR($AQ54="",$AR54="BREAKDOWN_REQUIRED"),"",$AQ54)</f>
        <v/>
      </c>
      <c r="AT54" s="23">
        <f>IF(OR($AR54="",$AR54="BREAKDOWN_REQUIRED"),"",SUM($J54,$AQ54,$Y54)-$X54)</f>
        <v/>
      </c>
      <c r="AU54" s="25">
        <f>IF(AND($A54="",$B54="",$F54="",$H54="",$J54="",$K54="",$M54="",$S54=""),"",IF(OR($H54="",$Q54="",$M54="",$S54=""),"ERROR",IF(OR($J54&lt;0,$K54&lt;0,$M54&lt;0,$T54&lt;0,$U54&lt;0,$V54&lt;0,$W54&lt;0,$X54&lt;0,$Y54&lt;0),"ERROR",IF($AE54="","ERROR",IF(AND(OR($S54="ITEM_PRICE_PLUS_DECLARED_DELIVERY",$S54="TOTAL_AMOUNT_INCLUDING_DELIVERY",$S54="ITEM_PRICE_ONLY_DELIVERY_PAID_BY_MERCHANT"),$J54=""),"ERROR",IF(AND(OR($S54="ITEM_PRICE_PLUS_DECLARED_DELIVERY",$S54="DELIVERY_CHARGE_ONLY"),$K54=""),"ERROR",IF(AND(OR($S54="TOTAL_AMOUNT_INCLUDING_DELIVERY",$S54="EXACT_COLLECTION_AMOUNT"),$T54=""),"ERROR",IF(AND($S54="TOTAL_AMOUNT_INCLUDING_DELIVERY",$T54&lt;SUM($J54,$U54)),"ERROR",IF($S54="EXACT_COLLECTION_AMOUNT","REVIEW","OK")))))))))</f>
        <v/>
      </c>
      <c r="AV54" s="25">
        <f>IF($AU54="","",IF($H54="","Township required",IF($Q54="","Customer tier required",IF($M54="","Weight required",IF($S54="","Amount entry type required",IF(OR($J54&lt;0,$K54&lt;0,$M54&lt;0,$T54&lt;0,$U54&lt;0,$V54&lt;0,$W54&lt;0,$X54&lt;0,$Y54&lt;0),"Negative amounts are not allowed",IF($AE54="","Tariff not found for township and tier",IF(AND(OR($S54="ITEM_PRICE_PLUS_DECLARED_DELIVERY",$S54="TOTAL_AMOUNT_INCLUDING_DELIVERY",$S54="ITEM_PRICE_ONLY_DELIVERY_PAID_BY_MERCHANT"),$J54=""),"Item price required for this amount type",IF(AND(OR($S54="ITEM_PRICE_PLUS_DECLARED_DELIVERY",$S54="DELIVERY_CHARGE_ONLY"),$K54=""),"Declared delivery charge required",IF(AND(OR($S54="TOTAL_AMOUNT_INCLUDING_DELIVERY",$S54="EXACT_COLLECTION_AMOUNT"),$T54=""),"Stated total amount required",IF(AND($S54="TOTAL_AMOUNT_INCLUDING_DELIVERY",$T54&lt;SUM($J54,$U54)),"Stated total is below item price plus additional charge",IF($S54="EXACT_COLLECTION_AMOUNT","Authorized amount breakdown required before settlement","Ready for collection and settlement"))))))))))))</f>
        <v/>
      </c>
      <c r="AW54" s="23">
        <f>IF($AU54="","","PARCEL_FINANCIAL_V2")</f>
        <v/>
      </c>
      <c r="AX54" s="17" t="n"/>
    </row>
    <row r="55">
      <c r="A55" s="8" t="n"/>
      <c r="B55" s="8" t="n"/>
      <c r="C55" s="8" t="n"/>
      <c r="D55" s="8" t="n"/>
      <c r="E55" s="9" t="n"/>
      <c r="F55" s="9" t="n"/>
      <c r="G55" s="8" t="n"/>
      <c r="H55" s="9" t="n"/>
      <c r="I55" s="9" t="n"/>
      <c r="J55" s="10" t="n"/>
      <c r="K55" s="10" t="n"/>
      <c r="L55" s="11">
        <f>IF($S55="","",IF($S55="ITEM_PRICE_PLUS_DECLARED_DELIVERY",IF(OR($J55="",$K55=""),"",SUM($J55,$K55,$U55)),IF($S55="TOTAL_AMOUNT_INCLUDING_DELIVERY",IF($T55="","",$T55),IF($S55="DELIVERY_CHARGE_ONLY",IF($K55="","",SUM($K55,$U55)),IF($S55="EXACT_COLLECTION_AMOUNT",IF($T55="","",$T55),IF($S55="ITEM_PRICE_ONLY_DELIVERY_PAID_BY_MERCHANT",IF($J55="","",SUM($J55,$U55)),""))))))</f>
        <v/>
      </c>
      <c r="M55" s="12" t="n"/>
      <c r="N55" s="13" t="n"/>
      <c r="O55" s="13" t="n"/>
      <c r="P55" s="9" t="n"/>
      <c r="Q55" s="14" t="n"/>
      <c r="R55" s="15" t="n"/>
      <c r="S55" s="14" t="n"/>
      <c r="T55" s="16" t="n"/>
      <c r="U55" s="16" t="n"/>
      <c r="V55" s="16" t="n"/>
      <c r="W55" s="16" t="n"/>
      <c r="X55" s="16" t="n"/>
      <c r="Y55" s="16" t="n"/>
      <c r="Z55" s="14" t="n"/>
      <c r="AA55" s="14" t="n"/>
      <c r="AB55" s="14" t="n"/>
      <c r="AC55" s="17">
        <f>IFERROR(VLOOKUP($H55&amp;"|"&amp;$Q55,Tariff_Master!$A$2:$L$169,3,FALSE),"")</f>
        <v/>
      </c>
      <c r="AD55" s="17">
        <f>IFERROR(VLOOKUP($H55&amp;"|"&amp;$Q55,Tariff_Master!$A$2:$L$169,4,FALSE),"")</f>
        <v/>
      </c>
      <c r="AE55" s="18">
        <f>IFERROR(VLOOKUP($H55&amp;"|"&amp;$Q55,Tariff_Master!$A$2:$L$169,6,FALSE),"")</f>
        <v/>
      </c>
      <c r="AF55" s="19">
        <f>IFERROR(VLOOKUP($H55&amp;"|"&amp;$Q55,Tariff_Master!$A$2:$L$169,7,FALSE),"")</f>
        <v/>
      </c>
      <c r="AG55" s="18">
        <f>IFERROR(VLOOKUP($H55&amp;"|"&amp;$Q55,Tariff_Master!$A$2:$L$169,8,FALSE),"")</f>
        <v/>
      </c>
      <c r="AH55" s="20">
        <f>IFERROR(VLOOKUP($H55&amp;"|"&amp;$Q55,Tariff_Master!$A$2:$L$169,9,FALSE),"")</f>
        <v/>
      </c>
      <c r="AI55" s="18">
        <f>IFERROR(VLOOKUP($H55&amp;"|"&amp;$Q55,Tariff_Master!$A$2:$L$169,10,FALSE),"")</f>
        <v/>
      </c>
      <c r="AJ55" s="21">
        <f>IF($M55="","",ROUNDUP(MAX(0,$M55),0))</f>
        <v/>
      </c>
      <c r="AK55" s="21">
        <f>IF(OR($AJ55="",$AF55=""),"",MAX(0,$AJ55-$AF55))</f>
        <v/>
      </c>
      <c r="AL55" s="22">
        <f>IF(OR($AK55="",$AG55=""),"",MAX(0,$AK55*$AG55))</f>
        <v/>
      </c>
      <c r="AM55" s="22">
        <f>IF($AE55="","",MAX(0,SUM($AE55,$AL55,$V55,$W55)))</f>
        <v/>
      </c>
      <c r="AN55" s="22">
        <f>IF($AM55="","",IF(AND($Q55="COMMITMENT",$R55&gt;=$AH55),$AI55,0))</f>
        <v/>
      </c>
      <c r="AO55" s="23">
        <f>IF($AM55="","",MAX(0,$AM55-$AN55))</f>
        <v/>
      </c>
      <c r="AP55" s="22">
        <f>IF($S55="","",IF(OR($S55="ITEM_PRICE_PLUS_DECLARED_DELIVERY",$S55="DELIVERY_CHARGE_ONLY"),$K55,IF($S55="TOTAL_AMOUNT_INCLUDING_DELIVERY",IF(OR($T55="",$J55=""),"",MAX(0,$T55-$J55-$U55)),IF($S55="ITEM_PRICE_ONLY_DELIVERY_PAID_BY_MERCHANT",0,""))))</f>
        <v/>
      </c>
      <c r="AQ55" s="23">
        <f>IF(OR($AP55="",$AO55=""),"",$AP55-$AO55)</f>
        <v/>
      </c>
      <c r="AR55" s="24">
        <f>IF($S55="EXACT_COLLECTION_AMOUNT","BREAKDOWN_REQUIRED",IF($AQ55="","",IF($AQ55&gt;0,"CREDIT_TO_MERCHANT",IF($AQ55&lt;0,"DEDUCT_FROM_MERCHANT","NO_ADJUSTMENT"))))</f>
        <v/>
      </c>
      <c r="AS55" s="23">
        <f>IF(OR($AQ55="",$AR55="BREAKDOWN_REQUIRED"),"",$AQ55)</f>
        <v/>
      </c>
      <c r="AT55" s="23">
        <f>IF(OR($AR55="",$AR55="BREAKDOWN_REQUIRED"),"",SUM($J55,$AQ55,$Y55)-$X55)</f>
        <v/>
      </c>
      <c r="AU55" s="25">
        <f>IF(AND($A55="",$B55="",$F55="",$H55="",$J55="",$K55="",$M55="",$S55=""),"",IF(OR($H55="",$Q55="",$M55="",$S55=""),"ERROR",IF(OR($J55&lt;0,$K55&lt;0,$M55&lt;0,$T55&lt;0,$U55&lt;0,$V55&lt;0,$W55&lt;0,$X55&lt;0,$Y55&lt;0),"ERROR",IF($AE55="","ERROR",IF(AND(OR($S55="ITEM_PRICE_PLUS_DECLARED_DELIVERY",$S55="TOTAL_AMOUNT_INCLUDING_DELIVERY",$S55="ITEM_PRICE_ONLY_DELIVERY_PAID_BY_MERCHANT"),$J55=""),"ERROR",IF(AND(OR($S55="ITEM_PRICE_PLUS_DECLARED_DELIVERY",$S55="DELIVERY_CHARGE_ONLY"),$K55=""),"ERROR",IF(AND(OR($S55="TOTAL_AMOUNT_INCLUDING_DELIVERY",$S55="EXACT_COLLECTION_AMOUNT"),$T55=""),"ERROR",IF(AND($S55="TOTAL_AMOUNT_INCLUDING_DELIVERY",$T55&lt;SUM($J55,$U55)),"ERROR",IF($S55="EXACT_COLLECTION_AMOUNT","REVIEW","OK")))))))))</f>
        <v/>
      </c>
      <c r="AV55" s="25">
        <f>IF($AU55="","",IF($H55="","Township required",IF($Q55="","Customer tier required",IF($M55="","Weight required",IF($S55="","Amount entry type required",IF(OR($J55&lt;0,$K55&lt;0,$M55&lt;0,$T55&lt;0,$U55&lt;0,$V55&lt;0,$W55&lt;0,$X55&lt;0,$Y55&lt;0),"Negative amounts are not allowed",IF($AE55="","Tariff not found for township and tier",IF(AND(OR($S55="ITEM_PRICE_PLUS_DECLARED_DELIVERY",$S55="TOTAL_AMOUNT_INCLUDING_DELIVERY",$S55="ITEM_PRICE_ONLY_DELIVERY_PAID_BY_MERCHANT"),$J55=""),"Item price required for this amount type",IF(AND(OR($S55="ITEM_PRICE_PLUS_DECLARED_DELIVERY",$S55="DELIVERY_CHARGE_ONLY"),$K55=""),"Declared delivery charge required",IF(AND(OR($S55="TOTAL_AMOUNT_INCLUDING_DELIVERY",$S55="EXACT_COLLECTION_AMOUNT"),$T55=""),"Stated total amount required",IF(AND($S55="TOTAL_AMOUNT_INCLUDING_DELIVERY",$T55&lt;SUM($J55,$U55)),"Stated total is below item price plus additional charge",IF($S55="EXACT_COLLECTION_AMOUNT","Authorized amount breakdown required before settlement","Ready for collection and settlement"))))))))))))</f>
        <v/>
      </c>
      <c r="AW55" s="23">
        <f>IF($AU55="","","PARCEL_FINANCIAL_V2")</f>
        <v/>
      </c>
      <c r="AX55" s="17" t="n"/>
    </row>
    <row r="56">
      <c r="A56" s="8" t="n"/>
      <c r="B56" s="8" t="n"/>
      <c r="C56" s="8" t="n"/>
      <c r="D56" s="8" t="n"/>
      <c r="E56" s="9" t="n"/>
      <c r="F56" s="9" t="n"/>
      <c r="G56" s="8" t="n"/>
      <c r="H56" s="9" t="n"/>
      <c r="I56" s="9" t="n"/>
      <c r="J56" s="10" t="n"/>
      <c r="K56" s="10" t="n"/>
      <c r="L56" s="11">
        <f>IF($S56="","",IF($S56="ITEM_PRICE_PLUS_DECLARED_DELIVERY",IF(OR($J56="",$K56=""),"",SUM($J56,$K56,$U56)),IF($S56="TOTAL_AMOUNT_INCLUDING_DELIVERY",IF($T56="","",$T56),IF($S56="DELIVERY_CHARGE_ONLY",IF($K56="","",SUM($K56,$U56)),IF($S56="EXACT_COLLECTION_AMOUNT",IF($T56="","",$T56),IF($S56="ITEM_PRICE_ONLY_DELIVERY_PAID_BY_MERCHANT",IF($J56="","",SUM($J56,$U56)),""))))))</f>
        <v/>
      </c>
      <c r="M56" s="12" t="n"/>
      <c r="N56" s="13" t="n"/>
      <c r="O56" s="13" t="n"/>
      <c r="P56" s="9" t="n"/>
      <c r="Q56" s="14" t="n"/>
      <c r="R56" s="15" t="n"/>
      <c r="S56" s="14" t="n"/>
      <c r="T56" s="16" t="n"/>
      <c r="U56" s="16" t="n"/>
      <c r="V56" s="16" t="n"/>
      <c r="W56" s="16" t="n"/>
      <c r="X56" s="16" t="n"/>
      <c r="Y56" s="16" t="n"/>
      <c r="Z56" s="14" t="n"/>
      <c r="AA56" s="14" t="n"/>
      <c r="AB56" s="14" t="n"/>
      <c r="AC56" s="17">
        <f>IFERROR(VLOOKUP($H56&amp;"|"&amp;$Q56,Tariff_Master!$A$2:$L$169,3,FALSE),"")</f>
        <v/>
      </c>
      <c r="AD56" s="17">
        <f>IFERROR(VLOOKUP($H56&amp;"|"&amp;$Q56,Tariff_Master!$A$2:$L$169,4,FALSE),"")</f>
        <v/>
      </c>
      <c r="AE56" s="18">
        <f>IFERROR(VLOOKUP($H56&amp;"|"&amp;$Q56,Tariff_Master!$A$2:$L$169,6,FALSE),"")</f>
        <v/>
      </c>
      <c r="AF56" s="19">
        <f>IFERROR(VLOOKUP($H56&amp;"|"&amp;$Q56,Tariff_Master!$A$2:$L$169,7,FALSE),"")</f>
        <v/>
      </c>
      <c r="AG56" s="18">
        <f>IFERROR(VLOOKUP($H56&amp;"|"&amp;$Q56,Tariff_Master!$A$2:$L$169,8,FALSE),"")</f>
        <v/>
      </c>
      <c r="AH56" s="20">
        <f>IFERROR(VLOOKUP($H56&amp;"|"&amp;$Q56,Tariff_Master!$A$2:$L$169,9,FALSE),"")</f>
        <v/>
      </c>
      <c r="AI56" s="18">
        <f>IFERROR(VLOOKUP($H56&amp;"|"&amp;$Q56,Tariff_Master!$A$2:$L$169,10,FALSE),"")</f>
        <v/>
      </c>
      <c r="AJ56" s="21">
        <f>IF($M56="","",ROUNDUP(MAX(0,$M56),0))</f>
        <v/>
      </c>
      <c r="AK56" s="21">
        <f>IF(OR($AJ56="",$AF56=""),"",MAX(0,$AJ56-$AF56))</f>
        <v/>
      </c>
      <c r="AL56" s="22">
        <f>IF(OR($AK56="",$AG56=""),"",MAX(0,$AK56*$AG56))</f>
        <v/>
      </c>
      <c r="AM56" s="22">
        <f>IF($AE56="","",MAX(0,SUM($AE56,$AL56,$V56,$W56)))</f>
        <v/>
      </c>
      <c r="AN56" s="22">
        <f>IF($AM56="","",IF(AND($Q56="COMMITMENT",$R56&gt;=$AH56),$AI56,0))</f>
        <v/>
      </c>
      <c r="AO56" s="23">
        <f>IF($AM56="","",MAX(0,$AM56-$AN56))</f>
        <v/>
      </c>
      <c r="AP56" s="22">
        <f>IF($S56="","",IF(OR($S56="ITEM_PRICE_PLUS_DECLARED_DELIVERY",$S56="DELIVERY_CHARGE_ONLY"),$K56,IF($S56="TOTAL_AMOUNT_INCLUDING_DELIVERY",IF(OR($T56="",$J56=""),"",MAX(0,$T56-$J56-$U56)),IF($S56="ITEM_PRICE_ONLY_DELIVERY_PAID_BY_MERCHANT",0,""))))</f>
        <v/>
      </c>
      <c r="AQ56" s="23">
        <f>IF(OR($AP56="",$AO56=""),"",$AP56-$AO56)</f>
        <v/>
      </c>
      <c r="AR56" s="24">
        <f>IF($S56="EXACT_COLLECTION_AMOUNT","BREAKDOWN_REQUIRED",IF($AQ56="","",IF($AQ56&gt;0,"CREDIT_TO_MERCHANT",IF($AQ56&lt;0,"DEDUCT_FROM_MERCHANT","NO_ADJUSTMENT"))))</f>
        <v/>
      </c>
      <c r="AS56" s="23">
        <f>IF(OR($AQ56="",$AR56="BREAKDOWN_REQUIRED"),"",$AQ56)</f>
        <v/>
      </c>
      <c r="AT56" s="23">
        <f>IF(OR($AR56="",$AR56="BREAKDOWN_REQUIRED"),"",SUM($J56,$AQ56,$Y56)-$X56)</f>
        <v/>
      </c>
      <c r="AU56" s="25">
        <f>IF(AND($A56="",$B56="",$F56="",$H56="",$J56="",$K56="",$M56="",$S56=""),"",IF(OR($H56="",$Q56="",$M56="",$S56=""),"ERROR",IF(OR($J56&lt;0,$K56&lt;0,$M56&lt;0,$T56&lt;0,$U56&lt;0,$V56&lt;0,$W56&lt;0,$X56&lt;0,$Y56&lt;0),"ERROR",IF($AE56="","ERROR",IF(AND(OR($S56="ITEM_PRICE_PLUS_DECLARED_DELIVERY",$S56="TOTAL_AMOUNT_INCLUDING_DELIVERY",$S56="ITEM_PRICE_ONLY_DELIVERY_PAID_BY_MERCHANT"),$J56=""),"ERROR",IF(AND(OR($S56="ITEM_PRICE_PLUS_DECLARED_DELIVERY",$S56="DELIVERY_CHARGE_ONLY"),$K56=""),"ERROR",IF(AND(OR($S56="TOTAL_AMOUNT_INCLUDING_DELIVERY",$S56="EXACT_COLLECTION_AMOUNT"),$T56=""),"ERROR",IF(AND($S56="TOTAL_AMOUNT_INCLUDING_DELIVERY",$T56&lt;SUM($J56,$U56)),"ERROR",IF($S56="EXACT_COLLECTION_AMOUNT","REVIEW","OK")))))))))</f>
        <v/>
      </c>
      <c r="AV56" s="25">
        <f>IF($AU56="","",IF($H56="","Township required",IF($Q56="","Customer tier required",IF($M56="","Weight required",IF($S56="","Amount entry type required",IF(OR($J56&lt;0,$K56&lt;0,$M56&lt;0,$T56&lt;0,$U56&lt;0,$V56&lt;0,$W56&lt;0,$X56&lt;0,$Y56&lt;0),"Negative amounts are not allowed",IF($AE56="","Tariff not found for township and tier",IF(AND(OR($S56="ITEM_PRICE_PLUS_DECLARED_DELIVERY",$S56="TOTAL_AMOUNT_INCLUDING_DELIVERY",$S56="ITEM_PRICE_ONLY_DELIVERY_PAID_BY_MERCHANT"),$J56=""),"Item price required for this amount type",IF(AND(OR($S56="ITEM_PRICE_PLUS_DECLARED_DELIVERY",$S56="DELIVERY_CHARGE_ONLY"),$K56=""),"Declared delivery charge required",IF(AND(OR($S56="TOTAL_AMOUNT_INCLUDING_DELIVERY",$S56="EXACT_COLLECTION_AMOUNT"),$T56=""),"Stated total amount required",IF(AND($S56="TOTAL_AMOUNT_INCLUDING_DELIVERY",$T56&lt;SUM($J56,$U56)),"Stated total is below item price plus additional charge",IF($S56="EXACT_COLLECTION_AMOUNT","Authorized amount breakdown required before settlement","Ready for collection and settlement"))))))))))))</f>
        <v/>
      </c>
      <c r="AW56" s="23">
        <f>IF($AU56="","","PARCEL_FINANCIAL_V2")</f>
        <v/>
      </c>
      <c r="AX56" s="17" t="n"/>
    </row>
    <row r="57">
      <c r="A57" s="8" t="n"/>
      <c r="B57" s="8" t="n"/>
      <c r="C57" s="8" t="n"/>
      <c r="D57" s="8" t="n"/>
      <c r="E57" s="9" t="n"/>
      <c r="F57" s="9" t="n"/>
      <c r="G57" s="8" t="n"/>
      <c r="H57" s="9" t="n"/>
      <c r="I57" s="9" t="n"/>
      <c r="J57" s="10" t="n"/>
      <c r="K57" s="10" t="n"/>
      <c r="L57" s="11">
        <f>IF($S57="","",IF($S57="ITEM_PRICE_PLUS_DECLARED_DELIVERY",IF(OR($J57="",$K57=""),"",SUM($J57,$K57,$U57)),IF($S57="TOTAL_AMOUNT_INCLUDING_DELIVERY",IF($T57="","",$T57),IF($S57="DELIVERY_CHARGE_ONLY",IF($K57="","",SUM($K57,$U57)),IF($S57="EXACT_COLLECTION_AMOUNT",IF($T57="","",$T57),IF($S57="ITEM_PRICE_ONLY_DELIVERY_PAID_BY_MERCHANT",IF($J57="","",SUM($J57,$U57)),""))))))</f>
        <v/>
      </c>
      <c r="M57" s="12" t="n"/>
      <c r="N57" s="13" t="n"/>
      <c r="O57" s="13" t="n"/>
      <c r="P57" s="9" t="n"/>
      <c r="Q57" s="14" t="n"/>
      <c r="R57" s="15" t="n"/>
      <c r="S57" s="14" t="n"/>
      <c r="T57" s="16" t="n"/>
      <c r="U57" s="16" t="n"/>
      <c r="V57" s="16" t="n"/>
      <c r="W57" s="16" t="n"/>
      <c r="X57" s="16" t="n"/>
      <c r="Y57" s="16" t="n"/>
      <c r="Z57" s="14" t="n"/>
      <c r="AA57" s="14" t="n"/>
      <c r="AB57" s="14" t="n"/>
      <c r="AC57" s="17">
        <f>IFERROR(VLOOKUP($H57&amp;"|"&amp;$Q57,Tariff_Master!$A$2:$L$169,3,FALSE),"")</f>
        <v/>
      </c>
      <c r="AD57" s="17">
        <f>IFERROR(VLOOKUP($H57&amp;"|"&amp;$Q57,Tariff_Master!$A$2:$L$169,4,FALSE),"")</f>
        <v/>
      </c>
      <c r="AE57" s="18">
        <f>IFERROR(VLOOKUP($H57&amp;"|"&amp;$Q57,Tariff_Master!$A$2:$L$169,6,FALSE),"")</f>
        <v/>
      </c>
      <c r="AF57" s="19">
        <f>IFERROR(VLOOKUP($H57&amp;"|"&amp;$Q57,Tariff_Master!$A$2:$L$169,7,FALSE),"")</f>
        <v/>
      </c>
      <c r="AG57" s="18">
        <f>IFERROR(VLOOKUP($H57&amp;"|"&amp;$Q57,Tariff_Master!$A$2:$L$169,8,FALSE),"")</f>
        <v/>
      </c>
      <c r="AH57" s="20">
        <f>IFERROR(VLOOKUP($H57&amp;"|"&amp;$Q57,Tariff_Master!$A$2:$L$169,9,FALSE),"")</f>
        <v/>
      </c>
      <c r="AI57" s="18">
        <f>IFERROR(VLOOKUP($H57&amp;"|"&amp;$Q57,Tariff_Master!$A$2:$L$169,10,FALSE),"")</f>
        <v/>
      </c>
      <c r="AJ57" s="21">
        <f>IF($M57="","",ROUNDUP(MAX(0,$M57),0))</f>
        <v/>
      </c>
      <c r="AK57" s="21">
        <f>IF(OR($AJ57="",$AF57=""),"",MAX(0,$AJ57-$AF57))</f>
        <v/>
      </c>
      <c r="AL57" s="22">
        <f>IF(OR($AK57="",$AG57=""),"",MAX(0,$AK57*$AG57))</f>
        <v/>
      </c>
      <c r="AM57" s="22">
        <f>IF($AE57="","",MAX(0,SUM($AE57,$AL57,$V57,$W57)))</f>
        <v/>
      </c>
      <c r="AN57" s="22">
        <f>IF($AM57="","",IF(AND($Q57="COMMITMENT",$R57&gt;=$AH57),$AI57,0))</f>
        <v/>
      </c>
      <c r="AO57" s="23">
        <f>IF($AM57="","",MAX(0,$AM57-$AN57))</f>
        <v/>
      </c>
      <c r="AP57" s="22">
        <f>IF($S57="","",IF(OR($S57="ITEM_PRICE_PLUS_DECLARED_DELIVERY",$S57="DELIVERY_CHARGE_ONLY"),$K57,IF($S57="TOTAL_AMOUNT_INCLUDING_DELIVERY",IF(OR($T57="",$J57=""),"",MAX(0,$T57-$J57-$U57)),IF($S57="ITEM_PRICE_ONLY_DELIVERY_PAID_BY_MERCHANT",0,""))))</f>
        <v/>
      </c>
      <c r="AQ57" s="23">
        <f>IF(OR($AP57="",$AO57=""),"",$AP57-$AO57)</f>
        <v/>
      </c>
      <c r="AR57" s="24">
        <f>IF($S57="EXACT_COLLECTION_AMOUNT","BREAKDOWN_REQUIRED",IF($AQ57="","",IF($AQ57&gt;0,"CREDIT_TO_MERCHANT",IF($AQ57&lt;0,"DEDUCT_FROM_MERCHANT","NO_ADJUSTMENT"))))</f>
        <v/>
      </c>
      <c r="AS57" s="23">
        <f>IF(OR($AQ57="",$AR57="BREAKDOWN_REQUIRED"),"",$AQ57)</f>
        <v/>
      </c>
      <c r="AT57" s="23">
        <f>IF(OR($AR57="",$AR57="BREAKDOWN_REQUIRED"),"",SUM($J57,$AQ57,$Y57)-$X57)</f>
        <v/>
      </c>
      <c r="AU57" s="25">
        <f>IF(AND($A57="",$B57="",$F57="",$H57="",$J57="",$K57="",$M57="",$S57=""),"",IF(OR($H57="",$Q57="",$M57="",$S57=""),"ERROR",IF(OR($J57&lt;0,$K57&lt;0,$M57&lt;0,$T57&lt;0,$U57&lt;0,$V57&lt;0,$W57&lt;0,$X57&lt;0,$Y57&lt;0),"ERROR",IF($AE57="","ERROR",IF(AND(OR($S57="ITEM_PRICE_PLUS_DECLARED_DELIVERY",$S57="TOTAL_AMOUNT_INCLUDING_DELIVERY",$S57="ITEM_PRICE_ONLY_DELIVERY_PAID_BY_MERCHANT"),$J57=""),"ERROR",IF(AND(OR($S57="ITEM_PRICE_PLUS_DECLARED_DELIVERY",$S57="DELIVERY_CHARGE_ONLY"),$K57=""),"ERROR",IF(AND(OR($S57="TOTAL_AMOUNT_INCLUDING_DELIVERY",$S57="EXACT_COLLECTION_AMOUNT"),$T57=""),"ERROR",IF(AND($S57="TOTAL_AMOUNT_INCLUDING_DELIVERY",$T57&lt;SUM($J57,$U57)),"ERROR",IF($S57="EXACT_COLLECTION_AMOUNT","REVIEW","OK")))))))))</f>
        <v/>
      </c>
      <c r="AV57" s="25">
        <f>IF($AU57="","",IF($H57="","Township required",IF($Q57="","Customer tier required",IF($M57="","Weight required",IF($S57="","Amount entry type required",IF(OR($J57&lt;0,$K57&lt;0,$M57&lt;0,$T57&lt;0,$U57&lt;0,$V57&lt;0,$W57&lt;0,$X57&lt;0,$Y57&lt;0),"Negative amounts are not allowed",IF($AE57="","Tariff not found for township and tier",IF(AND(OR($S57="ITEM_PRICE_PLUS_DECLARED_DELIVERY",$S57="TOTAL_AMOUNT_INCLUDING_DELIVERY",$S57="ITEM_PRICE_ONLY_DELIVERY_PAID_BY_MERCHANT"),$J57=""),"Item price required for this amount type",IF(AND(OR($S57="ITEM_PRICE_PLUS_DECLARED_DELIVERY",$S57="DELIVERY_CHARGE_ONLY"),$K57=""),"Declared delivery charge required",IF(AND(OR($S57="TOTAL_AMOUNT_INCLUDING_DELIVERY",$S57="EXACT_COLLECTION_AMOUNT"),$T57=""),"Stated total amount required",IF(AND($S57="TOTAL_AMOUNT_INCLUDING_DELIVERY",$T57&lt;SUM($J57,$U57)),"Stated total is below item price plus additional charge",IF($S57="EXACT_COLLECTION_AMOUNT","Authorized amount breakdown required before settlement","Ready for collection and settlement"))))))))))))</f>
        <v/>
      </c>
      <c r="AW57" s="23">
        <f>IF($AU57="","","PARCEL_FINANCIAL_V2")</f>
        <v/>
      </c>
      <c r="AX57" s="17" t="n"/>
    </row>
    <row r="58">
      <c r="A58" s="8" t="n"/>
      <c r="B58" s="8" t="n"/>
      <c r="C58" s="8" t="n"/>
      <c r="D58" s="8" t="n"/>
      <c r="E58" s="9" t="n"/>
      <c r="F58" s="9" t="n"/>
      <c r="G58" s="8" t="n"/>
      <c r="H58" s="9" t="n"/>
      <c r="I58" s="9" t="n"/>
      <c r="J58" s="10" t="n"/>
      <c r="K58" s="10" t="n"/>
      <c r="L58" s="11">
        <f>IF($S58="","",IF($S58="ITEM_PRICE_PLUS_DECLARED_DELIVERY",IF(OR($J58="",$K58=""),"",SUM($J58,$K58,$U58)),IF($S58="TOTAL_AMOUNT_INCLUDING_DELIVERY",IF($T58="","",$T58),IF($S58="DELIVERY_CHARGE_ONLY",IF($K58="","",SUM($K58,$U58)),IF($S58="EXACT_COLLECTION_AMOUNT",IF($T58="","",$T58),IF($S58="ITEM_PRICE_ONLY_DELIVERY_PAID_BY_MERCHANT",IF($J58="","",SUM($J58,$U58)),""))))))</f>
        <v/>
      </c>
      <c r="M58" s="12" t="n"/>
      <c r="N58" s="13" t="n"/>
      <c r="O58" s="13" t="n"/>
      <c r="P58" s="9" t="n"/>
      <c r="Q58" s="14" t="n"/>
      <c r="R58" s="15" t="n"/>
      <c r="S58" s="14" t="n"/>
      <c r="T58" s="16" t="n"/>
      <c r="U58" s="16" t="n"/>
      <c r="V58" s="16" t="n"/>
      <c r="W58" s="16" t="n"/>
      <c r="X58" s="16" t="n"/>
      <c r="Y58" s="16" t="n"/>
      <c r="Z58" s="14" t="n"/>
      <c r="AA58" s="14" t="n"/>
      <c r="AB58" s="14" t="n"/>
      <c r="AC58" s="17">
        <f>IFERROR(VLOOKUP($H58&amp;"|"&amp;$Q58,Tariff_Master!$A$2:$L$169,3,FALSE),"")</f>
        <v/>
      </c>
      <c r="AD58" s="17">
        <f>IFERROR(VLOOKUP($H58&amp;"|"&amp;$Q58,Tariff_Master!$A$2:$L$169,4,FALSE),"")</f>
        <v/>
      </c>
      <c r="AE58" s="18">
        <f>IFERROR(VLOOKUP($H58&amp;"|"&amp;$Q58,Tariff_Master!$A$2:$L$169,6,FALSE),"")</f>
        <v/>
      </c>
      <c r="AF58" s="19">
        <f>IFERROR(VLOOKUP($H58&amp;"|"&amp;$Q58,Tariff_Master!$A$2:$L$169,7,FALSE),"")</f>
        <v/>
      </c>
      <c r="AG58" s="18">
        <f>IFERROR(VLOOKUP($H58&amp;"|"&amp;$Q58,Tariff_Master!$A$2:$L$169,8,FALSE),"")</f>
        <v/>
      </c>
      <c r="AH58" s="20">
        <f>IFERROR(VLOOKUP($H58&amp;"|"&amp;$Q58,Tariff_Master!$A$2:$L$169,9,FALSE),"")</f>
        <v/>
      </c>
      <c r="AI58" s="18">
        <f>IFERROR(VLOOKUP($H58&amp;"|"&amp;$Q58,Tariff_Master!$A$2:$L$169,10,FALSE),"")</f>
        <v/>
      </c>
      <c r="AJ58" s="21">
        <f>IF($M58="","",ROUNDUP(MAX(0,$M58),0))</f>
        <v/>
      </c>
      <c r="AK58" s="21">
        <f>IF(OR($AJ58="",$AF58=""),"",MAX(0,$AJ58-$AF58))</f>
        <v/>
      </c>
      <c r="AL58" s="22">
        <f>IF(OR($AK58="",$AG58=""),"",MAX(0,$AK58*$AG58))</f>
        <v/>
      </c>
      <c r="AM58" s="22">
        <f>IF($AE58="","",MAX(0,SUM($AE58,$AL58,$V58,$W58)))</f>
        <v/>
      </c>
      <c r="AN58" s="22">
        <f>IF($AM58="","",IF(AND($Q58="COMMITMENT",$R58&gt;=$AH58),$AI58,0))</f>
        <v/>
      </c>
      <c r="AO58" s="23">
        <f>IF($AM58="","",MAX(0,$AM58-$AN58))</f>
        <v/>
      </c>
      <c r="AP58" s="22">
        <f>IF($S58="","",IF(OR($S58="ITEM_PRICE_PLUS_DECLARED_DELIVERY",$S58="DELIVERY_CHARGE_ONLY"),$K58,IF($S58="TOTAL_AMOUNT_INCLUDING_DELIVERY",IF(OR($T58="",$J58=""),"",MAX(0,$T58-$J58-$U58)),IF($S58="ITEM_PRICE_ONLY_DELIVERY_PAID_BY_MERCHANT",0,""))))</f>
        <v/>
      </c>
      <c r="AQ58" s="23">
        <f>IF(OR($AP58="",$AO58=""),"",$AP58-$AO58)</f>
        <v/>
      </c>
      <c r="AR58" s="24">
        <f>IF($S58="EXACT_COLLECTION_AMOUNT","BREAKDOWN_REQUIRED",IF($AQ58="","",IF($AQ58&gt;0,"CREDIT_TO_MERCHANT",IF($AQ58&lt;0,"DEDUCT_FROM_MERCHANT","NO_ADJUSTMENT"))))</f>
        <v/>
      </c>
      <c r="AS58" s="23">
        <f>IF(OR($AQ58="",$AR58="BREAKDOWN_REQUIRED"),"",$AQ58)</f>
        <v/>
      </c>
      <c r="AT58" s="23">
        <f>IF(OR($AR58="",$AR58="BREAKDOWN_REQUIRED"),"",SUM($J58,$AQ58,$Y58)-$X58)</f>
        <v/>
      </c>
      <c r="AU58" s="25">
        <f>IF(AND($A58="",$B58="",$F58="",$H58="",$J58="",$K58="",$M58="",$S58=""),"",IF(OR($H58="",$Q58="",$M58="",$S58=""),"ERROR",IF(OR($J58&lt;0,$K58&lt;0,$M58&lt;0,$T58&lt;0,$U58&lt;0,$V58&lt;0,$W58&lt;0,$X58&lt;0,$Y58&lt;0),"ERROR",IF($AE58="","ERROR",IF(AND(OR($S58="ITEM_PRICE_PLUS_DECLARED_DELIVERY",$S58="TOTAL_AMOUNT_INCLUDING_DELIVERY",$S58="ITEM_PRICE_ONLY_DELIVERY_PAID_BY_MERCHANT"),$J58=""),"ERROR",IF(AND(OR($S58="ITEM_PRICE_PLUS_DECLARED_DELIVERY",$S58="DELIVERY_CHARGE_ONLY"),$K58=""),"ERROR",IF(AND(OR($S58="TOTAL_AMOUNT_INCLUDING_DELIVERY",$S58="EXACT_COLLECTION_AMOUNT"),$T58=""),"ERROR",IF(AND($S58="TOTAL_AMOUNT_INCLUDING_DELIVERY",$T58&lt;SUM($J58,$U58)),"ERROR",IF($S58="EXACT_COLLECTION_AMOUNT","REVIEW","OK")))))))))</f>
        <v/>
      </c>
      <c r="AV58" s="25">
        <f>IF($AU58="","",IF($H58="","Township required",IF($Q58="","Customer tier required",IF($M58="","Weight required",IF($S58="","Amount entry type required",IF(OR($J58&lt;0,$K58&lt;0,$M58&lt;0,$T58&lt;0,$U58&lt;0,$V58&lt;0,$W58&lt;0,$X58&lt;0,$Y58&lt;0),"Negative amounts are not allowed",IF($AE58="","Tariff not found for township and tier",IF(AND(OR($S58="ITEM_PRICE_PLUS_DECLARED_DELIVERY",$S58="TOTAL_AMOUNT_INCLUDING_DELIVERY",$S58="ITEM_PRICE_ONLY_DELIVERY_PAID_BY_MERCHANT"),$J58=""),"Item price required for this amount type",IF(AND(OR($S58="ITEM_PRICE_PLUS_DECLARED_DELIVERY",$S58="DELIVERY_CHARGE_ONLY"),$K58=""),"Declared delivery charge required",IF(AND(OR($S58="TOTAL_AMOUNT_INCLUDING_DELIVERY",$S58="EXACT_COLLECTION_AMOUNT"),$T58=""),"Stated total amount required",IF(AND($S58="TOTAL_AMOUNT_INCLUDING_DELIVERY",$T58&lt;SUM($J58,$U58)),"Stated total is below item price plus additional charge",IF($S58="EXACT_COLLECTION_AMOUNT","Authorized amount breakdown required before settlement","Ready for collection and settlement"))))))))))))</f>
        <v/>
      </c>
      <c r="AW58" s="23">
        <f>IF($AU58="","","PARCEL_FINANCIAL_V2")</f>
        <v/>
      </c>
      <c r="AX58" s="17" t="n"/>
    </row>
    <row r="59">
      <c r="A59" s="8" t="n"/>
      <c r="B59" s="8" t="n"/>
      <c r="C59" s="8" t="n"/>
      <c r="D59" s="8" t="n"/>
      <c r="E59" s="9" t="n"/>
      <c r="F59" s="9" t="n"/>
      <c r="G59" s="8" t="n"/>
      <c r="H59" s="9" t="n"/>
      <c r="I59" s="9" t="n"/>
      <c r="J59" s="10" t="n"/>
      <c r="K59" s="10" t="n"/>
      <c r="L59" s="11">
        <f>IF($S59="","",IF($S59="ITEM_PRICE_PLUS_DECLARED_DELIVERY",IF(OR($J59="",$K59=""),"",SUM($J59,$K59,$U59)),IF($S59="TOTAL_AMOUNT_INCLUDING_DELIVERY",IF($T59="","",$T59),IF($S59="DELIVERY_CHARGE_ONLY",IF($K59="","",SUM($K59,$U59)),IF($S59="EXACT_COLLECTION_AMOUNT",IF($T59="","",$T59),IF($S59="ITEM_PRICE_ONLY_DELIVERY_PAID_BY_MERCHANT",IF($J59="","",SUM($J59,$U59)),""))))))</f>
        <v/>
      </c>
      <c r="M59" s="12" t="n"/>
      <c r="N59" s="13" t="n"/>
      <c r="O59" s="13" t="n"/>
      <c r="P59" s="9" t="n"/>
      <c r="Q59" s="14" t="n"/>
      <c r="R59" s="15" t="n"/>
      <c r="S59" s="14" t="n"/>
      <c r="T59" s="16" t="n"/>
      <c r="U59" s="16" t="n"/>
      <c r="V59" s="16" t="n"/>
      <c r="W59" s="16" t="n"/>
      <c r="X59" s="16" t="n"/>
      <c r="Y59" s="16" t="n"/>
      <c r="Z59" s="14" t="n"/>
      <c r="AA59" s="14" t="n"/>
      <c r="AB59" s="14" t="n"/>
      <c r="AC59" s="17">
        <f>IFERROR(VLOOKUP($H59&amp;"|"&amp;$Q59,Tariff_Master!$A$2:$L$169,3,FALSE),"")</f>
        <v/>
      </c>
      <c r="AD59" s="17">
        <f>IFERROR(VLOOKUP($H59&amp;"|"&amp;$Q59,Tariff_Master!$A$2:$L$169,4,FALSE),"")</f>
        <v/>
      </c>
      <c r="AE59" s="18">
        <f>IFERROR(VLOOKUP($H59&amp;"|"&amp;$Q59,Tariff_Master!$A$2:$L$169,6,FALSE),"")</f>
        <v/>
      </c>
      <c r="AF59" s="19">
        <f>IFERROR(VLOOKUP($H59&amp;"|"&amp;$Q59,Tariff_Master!$A$2:$L$169,7,FALSE),"")</f>
        <v/>
      </c>
      <c r="AG59" s="18">
        <f>IFERROR(VLOOKUP($H59&amp;"|"&amp;$Q59,Tariff_Master!$A$2:$L$169,8,FALSE),"")</f>
        <v/>
      </c>
      <c r="AH59" s="20">
        <f>IFERROR(VLOOKUP($H59&amp;"|"&amp;$Q59,Tariff_Master!$A$2:$L$169,9,FALSE),"")</f>
        <v/>
      </c>
      <c r="AI59" s="18">
        <f>IFERROR(VLOOKUP($H59&amp;"|"&amp;$Q59,Tariff_Master!$A$2:$L$169,10,FALSE),"")</f>
        <v/>
      </c>
      <c r="AJ59" s="21">
        <f>IF($M59="","",ROUNDUP(MAX(0,$M59),0))</f>
        <v/>
      </c>
      <c r="AK59" s="21">
        <f>IF(OR($AJ59="",$AF59=""),"",MAX(0,$AJ59-$AF59))</f>
        <v/>
      </c>
      <c r="AL59" s="22">
        <f>IF(OR($AK59="",$AG59=""),"",MAX(0,$AK59*$AG59))</f>
        <v/>
      </c>
      <c r="AM59" s="22">
        <f>IF($AE59="","",MAX(0,SUM($AE59,$AL59,$V59,$W59)))</f>
        <v/>
      </c>
      <c r="AN59" s="22">
        <f>IF($AM59="","",IF(AND($Q59="COMMITMENT",$R59&gt;=$AH59),$AI59,0))</f>
        <v/>
      </c>
      <c r="AO59" s="23">
        <f>IF($AM59="","",MAX(0,$AM59-$AN59))</f>
        <v/>
      </c>
      <c r="AP59" s="22">
        <f>IF($S59="","",IF(OR($S59="ITEM_PRICE_PLUS_DECLARED_DELIVERY",$S59="DELIVERY_CHARGE_ONLY"),$K59,IF($S59="TOTAL_AMOUNT_INCLUDING_DELIVERY",IF(OR($T59="",$J59=""),"",MAX(0,$T59-$J59-$U59)),IF($S59="ITEM_PRICE_ONLY_DELIVERY_PAID_BY_MERCHANT",0,""))))</f>
        <v/>
      </c>
      <c r="AQ59" s="23">
        <f>IF(OR($AP59="",$AO59=""),"",$AP59-$AO59)</f>
        <v/>
      </c>
      <c r="AR59" s="24">
        <f>IF($S59="EXACT_COLLECTION_AMOUNT","BREAKDOWN_REQUIRED",IF($AQ59="","",IF($AQ59&gt;0,"CREDIT_TO_MERCHANT",IF($AQ59&lt;0,"DEDUCT_FROM_MERCHANT","NO_ADJUSTMENT"))))</f>
        <v/>
      </c>
      <c r="AS59" s="23">
        <f>IF(OR($AQ59="",$AR59="BREAKDOWN_REQUIRED"),"",$AQ59)</f>
        <v/>
      </c>
      <c r="AT59" s="23">
        <f>IF(OR($AR59="",$AR59="BREAKDOWN_REQUIRED"),"",SUM($J59,$AQ59,$Y59)-$X59)</f>
        <v/>
      </c>
      <c r="AU59" s="25">
        <f>IF(AND($A59="",$B59="",$F59="",$H59="",$J59="",$K59="",$M59="",$S59=""),"",IF(OR($H59="",$Q59="",$M59="",$S59=""),"ERROR",IF(OR($J59&lt;0,$K59&lt;0,$M59&lt;0,$T59&lt;0,$U59&lt;0,$V59&lt;0,$W59&lt;0,$X59&lt;0,$Y59&lt;0),"ERROR",IF($AE59="","ERROR",IF(AND(OR($S59="ITEM_PRICE_PLUS_DECLARED_DELIVERY",$S59="TOTAL_AMOUNT_INCLUDING_DELIVERY",$S59="ITEM_PRICE_ONLY_DELIVERY_PAID_BY_MERCHANT"),$J59=""),"ERROR",IF(AND(OR($S59="ITEM_PRICE_PLUS_DECLARED_DELIVERY",$S59="DELIVERY_CHARGE_ONLY"),$K59=""),"ERROR",IF(AND(OR($S59="TOTAL_AMOUNT_INCLUDING_DELIVERY",$S59="EXACT_COLLECTION_AMOUNT"),$T59=""),"ERROR",IF(AND($S59="TOTAL_AMOUNT_INCLUDING_DELIVERY",$T59&lt;SUM($J59,$U59)),"ERROR",IF($S59="EXACT_COLLECTION_AMOUNT","REVIEW","OK")))))))))</f>
        <v/>
      </c>
      <c r="AV59" s="25">
        <f>IF($AU59="","",IF($H59="","Township required",IF($Q59="","Customer tier required",IF($M59="","Weight required",IF($S59="","Amount entry type required",IF(OR($J59&lt;0,$K59&lt;0,$M59&lt;0,$T59&lt;0,$U59&lt;0,$V59&lt;0,$W59&lt;0,$X59&lt;0,$Y59&lt;0),"Negative amounts are not allowed",IF($AE59="","Tariff not found for township and tier",IF(AND(OR($S59="ITEM_PRICE_PLUS_DECLARED_DELIVERY",$S59="TOTAL_AMOUNT_INCLUDING_DELIVERY",$S59="ITEM_PRICE_ONLY_DELIVERY_PAID_BY_MERCHANT"),$J59=""),"Item price required for this amount type",IF(AND(OR($S59="ITEM_PRICE_PLUS_DECLARED_DELIVERY",$S59="DELIVERY_CHARGE_ONLY"),$K59=""),"Declared delivery charge required",IF(AND(OR($S59="TOTAL_AMOUNT_INCLUDING_DELIVERY",$S59="EXACT_COLLECTION_AMOUNT"),$T59=""),"Stated total amount required",IF(AND($S59="TOTAL_AMOUNT_INCLUDING_DELIVERY",$T59&lt;SUM($J59,$U59)),"Stated total is below item price plus additional charge",IF($S59="EXACT_COLLECTION_AMOUNT","Authorized amount breakdown required before settlement","Ready for collection and settlement"))))))))))))</f>
        <v/>
      </c>
      <c r="AW59" s="23">
        <f>IF($AU59="","","PARCEL_FINANCIAL_V2")</f>
        <v/>
      </c>
      <c r="AX59" s="17" t="n"/>
    </row>
    <row r="60">
      <c r="A60" s="8" t="n"/>
      <c r="B60" s="8" t="n"/>
      <c r="C60" s="8" t="n"/>
      <c r="D60" s="8" t="n"/>
      <c r="E60" s="9" t="n"/>
      <c r="F60" s="9" t="n"/>
      <c r="G60" s="8" t="n"/>
      <c r="H60" s="9" t="n"/>
      <c r="I60" s="9" t="n"/>
      <c r="J60" s="10" t="n"/>
      <c r="K60" s="10" t="n"/>
      <c r="L60" s="11">
        <f>IF($S60="","",IF($S60="ITEM_PRICE_PLUS_DECLARED_DELIVERY",IF(OR($J60="",$K60=""),"",SUM($J60,$K60,$U60)),IF($S60="TOTAL_AMOUNT_INCLUDING_DELIVERY",IF($T60="","",$T60),IF($S60="DELIVERY_CHARGE_ONLY",IF($K60="","",SUM($K60,$U60)),IF($S60="EXACT_COLLECTION_AMOUNT",IF($T60="","",$T60),IF($S60="ITEM_PRICE_ONLY_DELIVERY_PAID_BY_MERCHANT",IF($J60="","",SUM($J60,$U60)),""))))))</f>
        <v/>
      </c>
      <c r="M60" s="12" t="n"/>
      <c r="N60" s="13" t="n"/>
      <c r="O60" s="13" t="n"/>
      <c r="P60" s="9" t="n"/>
      <c r="Q60" s="14" t="n"/>
      <c r="R60" s="15" t="n"/>
      <c r="S60" s="14" t="n"/>
      <c r="T60" s="16" t="n"/>
      <c r="U60" s="16" t="n"/>
      <c r="V60" s="16" t="n"/>
      <c r="W60" s="16" t="n"/>
      <c r="X60" s="16" t="n"/>
      <c r="Y60" s="16" t="n"/>
      <c r="Z60" s="14" t="n"/>
      <c r="AA60" s="14" t="n"/>
      <c r="AB60" s="14" t="n"/>
      <c r="AC60" s="17">
        <f>IFERROR(VLOOKUP($H60&amp;"|"&amp;$Q60,Tariff_Master!$A$2:$L$169,3,FALSE),"")</f>
        <v/>
      </c>
      <c r="AD60" s="17">
        <f>IFERROR(VLOOKUP($H60&amp;"|"&amp;$Q60,Tariff_Master!$A$2:$L$169,4,FALSE),"")</f>
        <v/>
      </c>
      <c r="AE60" s="18">
        <f>IFERROR(VLOOKUP($H60&amp;"|"&amp;$Q60,Tariff_Master!$A$2:$L$169,6,FALSE),"")</f>
        <v/>
      </c>
      <c r="AF60" s="19">
        <f>IFERROR(VLOOKUP($H60&amp;"|"&amp;$Q60,Tariff_Master!$A$2:$L$169,7,FALSE),"")</f>
        <v/>
      </c>
      <c r="AG60" s="18">
        <f>IFERROR(VLOOKUP($H60&amp;"|"&amp;$Q60,Tariff_Master!$A$2:$L$169,8,FALSE),"")</f>
        <v/>
      </c>
      <c r="AH60" s="20">
        <f>IFERROR(VLOOKUP($H60&amp;"|"&amp;$Q60,Tariff_Master!$A$2:$L$169,9,FALSE),"")</f>
        <v/>
      </c>
      <c r="AI60" s="18">
        <f>IFERROR(VLOOKUP($H60&amp;"|"&amp;$Q60,Tariff_Master!$A$2:$L$169,10,FALSE),"")</f>
        <v/>
      </c>
      <c r="AJ60" s="21">
        <f>IF($M60="","",ROUNDUP(MAX(0,$M60),0))</f>
        <v/>
      </c>
      <c r="AK60" s="21">
        <f>IF(OR($AJ60="",$AF60=""),"",MAX(0,$AJ60-$AF60))</f>
        <v/>
      </c>
      <c r="AL60" s="22">
        <f>IF(OR($AK60="",$AG60=""),"",MAX(0,$AK60*$AG60))</f>
        <v/>
      </c>
      <c r="AM60" s="22">
        <f>IF($AE60="","",MAX(0,SUM($AE60,$AL60,$V60,$W60)))</f>
        <v/>
      </c>
      <c r="AN60" s="22">
        <f>IF($AM60="","",IF(AND($Q60="COMMITMENT",$R60&gt;=$AH60),$AI60,0))</f>
        <v/>
      </c>
      <c r="AO60" s="23">
        <f>IF($AM60="","",MAX(0,$AM60-$AN60))</f>
        <v/>
      </c>
      <c r="AP60" s="22">
        <f>IF($S60="","",IF(OR($S60="ITEM_PRICE_PLUS_DECLARED_DELIVERY",$S60="DELIVERY_CHARGE_ONLY"),$K60,IF($S60="TOTAL_AMOUNT_INCLUDING_DELIVERY",IF(OR($T60="",$J60=""),"",MAX(0,$T60-$J60-$U60)),IF($S60="ITEM_PRICE_ONLY_DELIVERY_PAID_BY_MERCHANT",0,""))))</f>
        <v/>
      </c>
      <c r="AQ60" s="23">
        <f>IF(OR($AP60="",$AO60=""),"",$AP60-$AO60)</f>
        <v/>
      </c>
      <c r="AR60" s="24">
        <f>IF($S60="EXACT_COLLECTION_AMOUNT","BREAKDOWN_REQUIRED",IF($AQ60="","",IF($AQ60&gt;0,"CREDIT_TO_MERCHANT",IF($AQ60&lt;0,"DEDUCT_FROM_MERCHANT","NO_ADJUSTMENT"))))</f>
        <v/>
      </c>
      <c r="AS60" s="23">
        <f>IF(OR($AQ60="",$AR60="BREAKDOWN_REQUIRED"),"",$AQ60)</f>
        <v/>
      </c>
      <c r="AT60" s="23">
        <f>IF(OR($AR60="",$AR60="BREAKDOWN_REQUIRED"),"",SUM($J60,$AQ60,$Y60)-$X60)</f>
        <v/>
      </c>
      <c r="AU60" s="25">
        <f>IF(AND($A60="",$B60="",$F60="",$H60="",$J60="",$K60="",$M60="",$S60=""),"",IF(OR($H60="",$Q60="",$M60="",$S60=""),"ERROR",IF(OR($J60&lt;0,$K60&lt;0,$M60&lt;0,$T60&lt;0,$U60&lt;0,$V60&lt;0,$W60&lt;0,$X60&lt;0,$Y60&lt;0),"ERROR",IF($AE60="","ERROR",IF(AND(OR($S60="ITEM_PRICE_PLUS_DECLARED_DELIVERY",$S60="TOTAL_AMOUNT_INCLUDING_DELIVERY",$S60="ITEM_PRICE_ONLY_DELIVERY_PAID_BY_MERCHANT"),$J60=""),"ERROR",IF(AND(OR($S60="ITEM_PRICE_PLUS_DECLARED_DELIVERY",$S60="DELIVERY_CHARGE_ONLY"),$K60=""),"ERROR",IF(AND(OR($S60="TOTAL_AMOUNT_INCLUDING_DELIVERY",$S60="EXACT_COLLECTION_AMOUNT"),$T60=""),"ERROR",IF(AND($S60="TOTAL_AMOUNT_INCLUDING_DELIVERY",$T60&lt;SUM($J60,$U60)),"ERROR",IF($S60="EXACT_COLLECTION_AMOUNT","REVIEW","OK")))))))))</f>
        <v/>
      </c>
      <c r="AV60" s="25">
        <f>IF($AU60="","",IF($H60="","Township required",IF($Q60="","Customer tier required",IF($M60="","Weight required",IF($S60="","Amount entry type required",IF(OR($J60&lt;0,$K60&lt;0,$M60&lt;0,$T60&lt;0,$U60&lt;0,$V60&lt;0,$W60&lt;0,$X60&lt;0,$Y60&lt;0),"Negative amounts are not allowed",IF($AE60="","Tariff not found for township and tier",IF(AND(OR($S60="ITEM_PRICE_PLUS_DECLARED_DELIVERY",$S60="TOTAL_AMOUNT_INCLUDING_DELIVERY",$S60="ITEM_PRICE_ONLY_DELIVERY_PAID_BY_MERCHANT"),$J60=""),"Item price required for this amount type",IF(AND(OR($S60="ITEM_PRICE_PLUS_DECLARED_DELIVERY",$S60="DELIVERY_CHARGE_ONLY"),$K60=""),"Declared delivery charge required",IF(AND(OR($S60="TOTAL_AMOUNT_INCLUDING_DELIVERY",$S60="EXACT_COLLECTION_AMOUNT"),$T60=""),"Stated total amount required",IF(AND($S60="TOTAL_AMOUNT_INCLUDING_DELIVERY",$T60&lt;SUM($J60,$U60)),"Stated total is below item price plus additional charge",IF($S60="EXACT_COLLECTION_AMOUNT","Authorized amount breakdown required before settlement","Ready for collection and settlement"))))))))))))</f>
        <v/>
      </c>
      <c r="AW60" s="23">
        <f>IF($AU60="","","PARCEL_FINANCIAL_V2")</f>
        <v/>
      </c>
      <c r="AX60" s="17" t="n"/>
    </row>
    <row r="61">
      <c r="A61" s="8" t="n"/>
      <c r="B61" s="8" t="n"/>
      <c r="C61" s="8" t="n"/>
      <c r="D61" s="8" t="n"/>
      <c r="E61" s="9" t="n"/>
      <c r="F61" s="9" t="n"/>
      <c r="G61" s="8" t="n"/>
      <c r="H61" s="9" t="n"/>
      <c r="I61" s="9" t="n"/>
      <c r="J61" s="10" t="n"/>
      <c r="K61" s="10" t="n"/>
      <c r="L61" s="11">
        <f>IF($S61="","",IF($S61="ITEM_PRICE_PLUS_DECLARED_DELIVERY",IF(OR($J61="",$K61=""),"",SUM($J61,$K61,$U61)),IF($S61="TOTAL_AMOUNT_INCLUDING_DELIVERY",IF($T61="","",$T61),IF($S61="DELIVERY_CHARGE_ONLY",IF($K61="","",SUM($K61,$U61)),IF($S61="EXACT_COLLECTION_AMOUNT",IF($T61="","",$T61),IF($S61="ITEM_PRICE_ONLY_DELIVERY_PAID_BY_MERCHANT",IF($J61="","",SUM($J61,$U61)),""))))))</f>
        <v/>
      </c>
      <c r="M61" s="12" t="n"/>
      <c r="N61" s="13" t="n"/>
      <c r="O61" s="13" t="n"/>
      <c r="P61" s="9" t="n"/>
      <c r="Q61" s="14" t="n"/>
      <c r="R61" s="15" t="n"/>
      <c r="S61" s="14" t="n"/>
      <c r="T61" s="16" t="n"/>
      <c r="U61" s="16" t="n"/>
      <c r="V61" s="16" t="n"/>
      <c r="W61" s="16" t="n"/>
      <c r="X61" s="16" t="n"/>
      <c r="Y61" s="16" t="n"/>
      <c r="Z61" s="14" t="n"/>
      <c r="AA61" s="14" t="n"/>
      <c r="AB61" s="14" t="n"/>
      <c r="AC61" s="17">
        <f>IFERROR(VLOOKUP($H61&amp;"|"&amp;$Q61,Tariff_Master!$A$2:$L$169,3,FALSE),"")</f>
        <v/>
      </c>
      <c r="AD61" s="17">
        <f>IFERROR(VLOOKUP($H61&amp;"|"&amp;$Q61,Tariff_Master!$A$2:$L$169,4,FALSE),"")</f>
        <v/>
      </c>
      <c r="AE61" s="18">
        <f>IFERROR(VLOOKUP($H61&amp;"|"&amp;$Q61,Tariff_Master!$A$2:$L$169,6,FALSE),"")</f>
        <v/>
      </c>
      <c r="AF61" s="19">
        <f>IFERROR(VLOOKUP($H61&amp;"|"&amp;$Q61,Tariff_Master!$A$2:$L$169,7,FALSE),"")</f>
        <v/>
      </c>
      <c r="AG61" s="18">
        <f>IFERROR(VLOOKUP($H61&amp;"|"&amp;$Q61,Tariff_Master!$A$2:$L$169,8,FALSE),"")</f>
        <v/>
      </c>
      <c r="AH61" s="20">
        <f>IFERROR(VLOOKUP($H61&amp;"|"&amp;$Q61,Tariff_Master!$A$2:$L$169,9,FALSE),"")</f>
        <v/>
      </c>
      <c r="AI61" s="18">
        <f>IFERROR(VLOOKUP($H61&amp;"|"&amp;$Q61,Tariff_Master!$A$2:$L$169,10,FALSE),"")</f>
        <v/>
      </c>
      <c r="AJ61" s="21">
        <f>IF($M61="","",ROUNDUP(MAX(0,$M61),0))</f>
        <v/>
      </c>
      <c r="AK61" s="21">
        <f>IF(OR($AJ61="",$AF61=""),"",MAX(0,$AJ61-$AF61))</f>
        <v/>
      </c>
      <c r="AL61" s="22">
        <f>IF(OR($AK61="",$AG61=""),"",MAX(0,$AK61*$AG61))</f>
        <v/>
      </c>
      <c r="AM61" s="22">
        <f>IF($AE61="","",MAX(0,SUM($AE61,$AL61,$V61,$W61)))</f>
        <v/>
      </c>
      <c r="AN61" s="22">
        <f>IF($AM61="","",IF(AND($Q61="COMMITMENT",$R61&gt;=$AH61),$AI61,0))</f>
        <v/>
      </c>
      <c r="AO61" s="23">
        <f>IF($AM61="","",MAX(0,$AM61-$AN61))</f>
        <v/>
      </c>
      <c r="AP61" s="22">
        <f>IF($S61="","",IF(OR($S61="ITEM_PRICE_PLUS_DECLARED_DELIVERY",$S61="DELIVERY_CHARGE_ONLY"),$K61,IF($S61="TOTAL_AMOUNT_INCLUDING_DELIVERY",IF(OR($T61="",$J61=""),"",MAX(0,$T61-$J61-$U61)),IF($S61="ITEM_PRICE_ONLY_DELIVERY_PAID_BY_MERCHANT",0,""))))</f>
        <v/>
      </c>
      <c r="AQ61" s="23">
        <f>IF(OR($AP61="",$AO61=""),"",$AP61-$AO61)</f>
        <v/>
      </c>
      <c r="AR61" s="24">
        <f>IF($S61="EXACT_COLLECTION_AMOUNT","BREAKDOWN_REQUIRED",IF($AQ61="","",IF($AQ61&gt;0,"CREDIT_TO_MERCHANT",IF($AQ61&lt;0,"DEDUCT_FROM_MERCHANT","NO_ADJUSTMENT"))))</f>
        <v/>
      </c>
      <c r="AS61" s="23">
        <f>IF(OR($AQ61="",$AR61="BREAKDOWN_REQUIRED"),"",$AQ61)</f>
        <v/>
      </c>
      <c r="AT61" s="23">
        <f>IF(OR($AR61="",$AR61="BREAKDOWN_REQUIRED"),"",SUM($J61,$AQ61,$Y61)-$X61)</f>
        <v/>
      </c>
      <c r="AU61" s="25">
        <f>IF(AND($A61="",$B61="",$F61="",$H61="",$J61="",$K61="",$M61="",$S61=""),"",IF(OR($H61="",$Q61="",$M61="",$S61=""),"ERROR",IF(OR($J61&lt;0,$K61&lt;0,$M61&lt;0,$T61&lt;0,$U61&lt;0,$V61&lt;0,$W61&lt;0,$X61&lt;0,$Y61&lt;0),"ERROR",IF($AE61="","ERROR",IF(AND(OR($S61="ITEM_PRICE_PLUS_DECLARED_DELIVERY",$S61="TOTAL_AMOUNT_INCLUDING_DELIVERY",$S61="ITEM_PRICE_ONLY_DELIVERY_PAID_BY_MERCHANT"),$J61=""),"ERROR",IF(AND(OR($S61="ITEM_PRICE_PLUS_DECLARED_DELIVERY",$S61="DELIVERY_CHARGE_ONLY"),$K61=""),"ERROR",IF(AND(OR($S61="TOTAL_AMOUNT_INCLUDING_DELIVERY",$S61="EXACT_COLLECTION_AMOUNT"),$T61=""),"ERROR",IF(AND($S61="TOTAL_AMOUNT_INCLUDING_DELIVERY",$T61&lt;SUM($J61,$U61)),"ERROR",IF($S61="EXACT_COLLECTION_AMOUNT","REVIEW","OK")))))))))</f>
        <v/>
      </c>
      <c r="AV61" s="25">
        <f>IF($AU61="","",IF($H61="","Township required",IF($Q61="","Customer tier required",IF($M61="","Weight required",IF($S61="","Amount entry type required",IF(OR($J61&lt;0,$K61&lt;0,$M61&lt;0,$T61&lt;0,$U61&lt;0,$V61&lt;0,$W61&lt;0,$X61&lt;0,$Y61&lt;0),"Negative amounts are not allowed",IF($AE61="","Tariff not found for township and tier",IF(AND(OR($S61="ITEM_PRICE_PLUS_DECLARED_DELIVERY",$S61="TOTAL_AMOUNT_INCLUDING_DELIVERY",$S61="ITEM_PRICE_ONLY_DELIVERY_PAID_BY_MERCHANT"),$J61=""),"Item price required for this amount type",IF(AND(OR($S61="ITEM_PRICE_PLUS_DECLARED_DELIVERY",$S61="DELIVERY_CHARGE_ONLY"),$K61=""),"Declared delivery charge required",IF(AND(OR($S61="TOTAL_AMOUNT_INCLUDING_DELIVERY",$S61="EXACT_COLLECTION_AMOUNT"),$T61=""),"Stated total amount required",IF(AND($S61="TOTAL_AMOUNT_INCLUDING_DELIVERY",$T61&lt;SUM($J61,$U61)),"Stated total is below item price plus additional charge",IF($S61="EXACT_COLLECTION_AMOUNT","Authorized amount breakdown required before settlement","Ready for collection and settlement"))))))))))))</f>
        <v/>
      </c>
      <c r="AW61" s="23">
        <f>IF($AU61="","","PARCEL_FINANCIAL_V2")</f>
        <v/>
      </c>
      <c r="AX61" s="17" t="n"/>
    </row>
    <row r="62">
      <c r="A62" s="8" t="n"/>
      <c r="B62" s="8" t="n"/>
      <c r="C62" s="8" t="n"/>
      <c r="D62" s="8" t="n"/>
      <c r="E62" s="9" t="n"/>
      <c r="F62" s="9" t="n"/>
      <c r="G62" s="8" t="n"/>
      <c r="H62" s="9" t="n"/>
      <c r="I62" s="9" t="n"/>
      <c r="J62" s="10" t="n"/>
      <c r="K62" s="10" t="n"/>
      <c r="L62" s="11">
        <f>IF($S62="","",IF($S62="ITEM_PRICE_PLUS_DECLARED_DELIVERY",IF(OR($J62="",$K62=""),"",SUM($J62,$K62,$U62)),IF($S62="TOTAL_AMOUNT_INCLUDING_DELIVERY",IF($T62="","",$T62),IF($S62="DELIVERY_CHARGE_ONLY",IF($K62="","",SUM($K62,$U62)),IF($S62="EXACT_COLLECTION_AMOUNT",IF($T62="","",$T62),IF($S62="ITEM_PRICE_ONLY_DELIVERY_PAID_BY_MERCHANT",IF($J62="","",SUM($J62,$U62)),""))))))</f>
        <v/>
      </c>
      <c r="M62" s="12" t="n"/>
      <c r="N62" s="13" t="n"/>
      <c r="O62" s="13" t="n"/>
      <c r="P62" s="9" t="n"/>
      <c r="Q62" s="14" t="n"/>
      <c r="R62" s="15" t="n"/>
      <c r="S62" s="14" t="n"/>
      <c r="T62" s="16" t="n"/>
      <c r="U62" s="16" t="n"/>
      <c r="V62" s="16" t="n"/>
      <c r="W62" s="16" t="n"/>
      <c r="X62" s="16" t="n"/>
      <c r="Y62" s="16" t="n"/>
      <c r="Z62" s="14" t="n"/>
      <c r="AA62" s="14" t="n"/>
      <c r="AB62" s="14" t="n"/>
      <c r="AC62" s="17">
        <f>IFERROR(VLOOKUP($H62&amp;"|"&amp;$Q62,Tariff_Master!$A$2:$L$169,3,FALSE),"")</f>
        <v/>
      </c>
      <c r="AD62" s="17">
        <f>IFERROR(VLOOKUP($H62&amp;"|"&amp;$Q62,Tariff_Master!$A$2:$L$169,4,FALSE),"")</f>
        <v/>
      </c>
      <c r="AE62" s="18">
        <f>IFERROR(VLOOKUP($H62&amp;"|"&amp;$Q62,Tariff_Master!$A$2:$L$169,6,FALSE),"")</f>
        <v/>
      </c>
      <c r="AF62" s="19">
        <f>IFERROR(VLOOKUP($H62&amp;"|"&amp;$Q62,Tariff_Master!$A$2:$L$169,7,FALSE),"")</f>
        <v/>
      </c>
      <c r="AG62" s="18">
        <f>IFERROR(VLOOKUP($H62&amp;"|"&amp;$Q62,Tariff_Master!$A$2:$L$169,8,FALSE),"")</f>
        <v/>
      </c>
      <c r="AH62" s="20">
        <f>IFERROR(VLOOKUP($H62&amp;"|"&amp;$Q62,Tariff_Master!$A$2:$L$169,9,FALSE),"")</f>
        <v/>
      </c>
      <c r="AI62" s="18">
        <f>IFERROR(VLOOKUP($H62&amp;"|"&amp;$Q62,Tariff_Master!$A$2:$L$169,10,FALSE),"")</f>
        <v/>
      </c>
      <c r="AJ62" s="21">
        <f>IF($M62="","",ROUNDUP(MAX(0,$M62),0))</f>
        <v/>
      </c>
      <c r="AK62" s="21">
        <f>IF(OR($AJ62="",$AF62=""),"",MAX(0,$AJ62-$AF62))</f>
        <v/>
      </c>
      <c r="AL62" s="22">
        <f>IF(OR($AK62="",$AG62=""),"",MAX(0,$AK62*$AG62))</f>
        <v/>
      </c>
      <c r="AM62" s="22">
        <f>IF($AE62="","",MAX(0,SUM($AE62,$AL62,$V62,$W62)))</f>
        <v/>
      </c>
      <c r="AN62" s="22">
        <f>IF($AM62="","",IF(AND($Q62="COMMITMENT",$R62&gt;=$AH62),$AI62,0))</f>
        <v/>
      </c>
      <c r="AO62" s="23">
        <f>IF($AM62="","",MAX(0,$AM62-$AN62))</f>
        <v/>
      </c>
      <c r="AP62" s="22">
        <f>IF($S62="","",IF(OR($S62="ITEM_PRICE_PLUS_DECLARED_DELIVERY",$S62="DELIVERY_CHARGE_ONLY"),$K62,IF($S62="TOTAL_AMOUNT_INCLUDING_DELIVERY",IF(OR($T62="",$J62=""),"",MAX(0,$T62-$J62-$U62)),IF($S62="ITEM_PRICE_ONLY_DELIVERY_PAID_BY_MERCHANT",0,""))))</f>
        <v/>
      </c>
      <c r="AQ62" s="23">
        <f>IF(OR($AP62="",$AO62=""),"",$AP62-$AO62)</f>
        <v/>
      </c>
      <c r="AR62" s="24">
        <f>IF($S62="EXACT_COLLECTION_AMOUNT","BREAKDOWN_REQUIRED",IF($AQ62="","",IF($AQ62&gt;0,"CREDIT_TO_MERCHANT",IF($AQ62&lt;0,"DEDUCT_FROM_MERCHANT","NO_ADJUSTMENT"))))</f>
        <v/>
      </c>
      <c r="AS62" s="23">
        <f>IF(OR($AQ62="",$AR62="BREAKDOWN_REQUIRED"),"",$AQ62)</f>
        <v/>
      </c>
      <c r="AT62" s="23">
        <f>IF(OR($AR62="",$AR62="BREAKDOWN_REQUIRED"),"",SUM($J62,$AQ62,$Y62)-$X62)</f>
        <v/>
      </c>
      <c r="AU62" s="25">
        <f>IF(AND($A62="",$B62="",$F62="",$H62="",$J62="",$K62="",$M62="",$S62=""),"",IF(OR($H62="",$Q62="",$M62="",$S62=""),"ERROR",IF(OR($J62&lt;0,$K62&lt;0,$M62&lt;0,$T62&lt;0,$U62&lt;0,$V62&lt;0,$W62&lt;0,$X62&lt;0,$Y62&lt;0),"ERROR",IF($AE62="","ERROR",IF(AND(OR($S62="ITEM_PRICE_PLUS_DECLARED_DELIVERY",$S62="TOTAL_AMOUNT_INCLUDING_DELIVERY",$S62="ITEM_PRICE_ONLY_DELIVERY_PAID_BY_MERCHANT"),$J62=""),"ERROR",IF(AND(OR($S62="ITEM_PRICE_PLUS_DECLARED_DELIVERY",$S62="DELIVERY_CHARGE_ONLY"),$K62=""),"ERROR",IF(AND(OR($S62="TOTAL_AMOUNT_INCLUDING_DELIVERY",$S62="EXACT_COLLECTION_AMOUNT"),$T62=""),"ERROR",IF(AND($S62="TOTAL_AMOUNT_INCLUDING_DELIVERY",$T62&lt;SUM($J62,$U62)),"ERROR",IF($S62="EXACT_COLLECTION_AMOUNT","REVIEW","OK")))))))))</f>
        <v/>
      </c>
      <c r="AV62" s="25">
        <f>IF($AU62="","",IF($H62="","Township required",IF($Q62="","Customer tier required",IF($M62="","Weight required",IF($S62="","Amount entry type required",IF(OR($J62&lt;0,$K62&lt;0,$M62&lt;0,$T62&lt;0,$U62&lt;0,$V62&lt;0,$W62&lt;0,$X62&lt;0,$Y62&lt;0),"Negative amounts are not allowed",IF($AE62="","Tariff not found for township and tier",IF(AND(OR($S62="ITEM_PRICE_PLUS_DECLARED_DELIVERY",$S62="TOTAL_AMOUNT_INCLUDING_DELIVERY",$S62="ITEM_PRICE_ONLY_DELIVERY_PAID_BY_MERCHANT"),$J62=""),"Item price required for this amount type",IF(AND(OR($S62="ITEM_PRICE_PLUS_DECLARED_DELIVERY",$S62="DELIVERY_CHARGE_ONLY"),$K62=""),"Declared delivery charge required",IF(AND(OR($S62="TOTAL_AMOUNT_INCLUDING_DELIVERY",$S62="EXACT_COLLECTION_AMOUNT"),$T62=""),"Stated total amount required",IF(AND($S62="TOTAL_AMOUNT_INCLUDING_DELIVERY",$T62&lt;SUM($J62,$U62)),"Stated total is below item price plus additional charge",IF($S62="EXACT_COLLECTION_AMOUNT","Authorized amount breakdown required before settlement","Ready for collection and settlement"))))))))))))</f>
        <v/>
      </c>
      <c r="AW62" s="23">
        <f>IF($AU62="","","PARCEL_FINANCIAL_V2")</f>
        <v/>
      </c>
      <c r="AX62" s="17" t="n"/>
    </row>
    <row r="63">
      <c r="A63" s="8" t="n"/>
      <c r="B63" s="8" t="n"/>
      <c r="C63" s="8" t="n"/>
      <c r="D63" s="8" t="n"/>
      <c r="E63" s="9" t="n"/>
      <c r="F63" s="9" t="n"/>
      <c r="G63" s="8" t="n"/>
      <c r="H63" s="9" t="n"/>
      <c r="I63" s="9" t="n"/>
      <c r="J63" s="10" t="n"/>
      <c r="K63" s="10" t="n"/>
      <c r="L63" s="11">
        <f>IF($S63="","",IF($S63="ITEM_PRICE_PLUS_DECLARED_DELIVERY",IF(OR($J63="",$K63=""),"",SUM($J63,$K63,$U63)),IF($S63="TOTAL_AMOUNT_INCLUDING_DELIVERY",IF($T63="","",$T63),IF($S63="DELIVERY_CHARGE_ONLY",IF($K63="","",SUM($K63,$U63)),IF($S63="EXACT_COLLECTION_AMOUNT",IF($T63="","",$T63),IF($S63="ITEM_PRICE_ONLY_DELIVERY_PAID_BY_MERCHANT",IF($J63="","",SUM($J63,$U63)),""))))))</f>
        <v/>
      </c>
      <c r="M63" s="12" t="n"/>
      <c r="N63" s="13" t="n"/>
      <c r="O63" s="13" t="n"/>
      <c r="P63" s="9" t="n"/>
      <c r="Q63" s="14" t="n"/>
      <c r="R63" s="15" t="n"/>
      <c r="S63" s="14" t="n"/>
      <c r="T63" s="16" t="n"/>
      <c r="U63" s="16" t="n"/>
      <c r="V63" s="16" t="n"/>
      <c r="W63" s="16" t="n"/>
      <c r="X63" s="16" t="n"/>
      <c r="Y63" s="16" t="n"/>
      <c r="Z63" s="14" t="n"/>
      <c r="AA63" s="14" t="n"/>
      <c r="AB63" s="14" t="n"/>
      <c r="AC63" s="17">
        <f>IFERROR(VLOOKUP($H63&amp;"|"&amp;$Q63,Tariff_Master!$A$2:$L$169,3,FALSE),"")</f>
        <v/>
      </c>
      <c r="AD63" s="17">
        <f>IFERROR(VLOOKUP($H63&amp;"|"&amp;$Q63,Tariff_Master!$A$2:$L$169,4,FALSE),"")</f>
        <v/>
      </c>
      <c r="AE63" s="18">
        <f>IFERROR(VLOOKUP($H63&amp;"|"&amp;$Q63,Tariff_Master!$A$2:$L$169,6,FALSE),"")</f>
        <v/>
      </c>
      <c r="AF63" s="19">
        <f>IFERROR(VLOOKUP($H63&amp;"|"&amp;$Q63,Tariff_Master!$A$2:$L$169,7,FALSE),"")</f>
        <v/>
      </c>
      <c r="AG63" s="18">
        <f>IFERROR(VLOOKUP($H63&amp;"|"&amp;$Q63,Tariff_Master!$A$2:$L$169,8,FALSE),"")</f>
        <v/>
      </c>
      <c r="AH63" s="20">
        <f>IFERROR(VLOOKUP($H63&amp;"|"&amp;$Q63,Tariff_Master!$A$2:$L$169,9,FALSE),"")</f>
        <v/>
      </c>
      <c r="AI63" s="18">
        <f>IFERROR(VLOOKUP($H63&amp;"|"&amp;$Q63,Tariff_Master!$A$2:$L$169,10,FALSE),"")</f>
        <v/>
      </c>
      <c r="AJ63" s="21">
        <f>IF($M63="","",ROUNDUP(MAX(0,$M63),0))</f>
        <v/>
      </c>
      <c r="AK63" s="21">
        <f>IF(OR($AJ63="",$AF63=""),"",MAX(0,$AJ63-$AF63))</f>
        <v/>
      </c>
      <c r="AL63" s="22">
        <f>IF(OR($AK63="",$AG63=""),"",MAX(0,$AK63*$AG63))</f>
        <v/>
      </c>
      <c r="AM63" s="22">
        <f>IF($AE63="","",MAX(0,SUM($AE63,$AL63,$V63,$W63)))</f>
        <v/>
      </c>
      <c r="AN63" s="22">
        <f>IF($AM63="","",IF(AND($Q63="COMMITMENT",$R63&gt;=$AH63),$AI63,0))</f>
        <v/>
      </c>
      <c r="AO63" s="23">
        <f>IF($AM63="","",MAX(0,$AM63-$AN63))</f>
        <v/>
      </c>
      <c r="AP63" s="22">
        <f>IF($S63="","",IF(OR($S63="ITEM_PRICE_PLUS_DECLARED_DELIVERY",$S63="DELIVERY_CHARGE_ONLY"),$K63,IF($S63="TOTAL_AMOUNT_INCLUDING_DELIVERY",IF(OR($T63="",$J63=""),"",MAX(0,$T63-$J63-$U63)),IF($S63="ITEM_PRICE_ONLY_DELIVERY_PAID_BY_MERCHANT",0,""))))</f>
        <v/>
      </c>
      <c r="AQ63" s="23">
        <f>IF(OR($AP63="",$AO63=""),"",$AP63-$AO63)</f>
        <v/>
      </c>
      <c r="AR63" s="24">
        <f>IF($S63="EXACT_COLLECTION_AMOUNT","BREAKDOWN_REQUIRED",IF($AQ63="","",IF($AQ63&gt;0,"CREDIT_TO_MERCHANT",IF($AQ63&lt;0,"DEDUCT_FROM_MERCHANT","NO_ADJUSTMENT"))))</f>
        <v/>
      </c>
      <c r="AS63" s="23">
        <f>IF(OR($AQ63="",$AR63="BREAKDOWN_REQUIRED"),"",$AQ63)</f>
        <v/>
      </c>
      <c r="AT63" s="23">
        <f>IF(OR($AR63="",$AR63="BREAKDOWN_REQUIRED"),"",SUM($J63,$AQ63,$Y63)-$X63)</f>
        <v/>
      </c>
      <c r="AU63" s="25">
        <f>IF(AND($A63="",$B63="",$F63="",$H63="",$J63="",$K63="",$M63="",$S63=""),"",IF(OR($H63="",$Q63="",$M63="",$S63=""),"ERROR",IF(OR($J63&lt;0,$K63&lt;0,$M63&lt;0,$T63&lt;0,$U63&lt;0,$V63&lt;0,$W63&lt;0,$X63&lt;0,$Y63&lt;0),"ERROR",IF($AE63="","ERROR",IF(AND(OR($S63="ITEM_PRICE_PLUS_DECLARED_DELIVERY",$S63="TOTAL_AMOUNT_INCLUDING_DELIVERY",$S63="ITEM_PRICE_ONLY_DELIVERY_PAID_BY_MERCHANT"),$J63=""),"ERROR",IF(AND(OR($S63="ITEM_PRICE_PLUS_DECLARED_DELIVERY",$S63="DELIVERY_CHARGE_ONLY"),$K63=""),"ERROR",IF(AND(OR($S63="TOTAL_AMOUNT_INCLUDING_DELIVERY",$S63="EXACT_COLLECTION_AMOUNT"),$T63=""),"ERROR",IF(AND($S63="TOTAL_AMOUNT_INCLUDING_DELIVERY",$T63&lt;SUM($J63,$U63)),"ERROR",IF($S63="EXACT_COLLECTION_AMOUNT","REVIEW","OK")))))))))</f>
        <v/>
      </c>
      <c r="AV63" s="25">
        <f>IF($AU63="","",IF($H63="","Township required",IF($Q63="","Customer tier required",IF($M63="","Weight required",IF($S63="","Amount entry type required",IF(OR($J63&lt;0,$K63&lt;0,$M63&lt;0,$T63&lt;0,$U63&lt;0,$V63&lt;0,$W63&lt;0,$X63&lt;0,$Y63&lt;0),"Negative amounts are not allowed",IF($AE63="","Tariff not found for township and tier",IF(AND(OR($S63="ITEM_PRICE_PLUS_DECLARED_DELIVERY",$S63="TOTAL_AMOUNT_INCLUDING_DELIVERY",$S63="ITEM_PRICE_ONLY_DELIVERY_PAID_BY_MERCHANT"),$J63=""),"Item price required for this amount type",IF(AND(OR($S63="ITEM_PRICE_PLUS_DECLARED_DELIVERY",$S63="DELIVERY_CHARGE_ONLY"),$K63=""),"Declared delivery charge required",IF(AND(OR($S63="TOTAL_AMOUNT_INCLUDING_DELIVERY",$S63="EXACT_COLLECTION_AMOUNT"),$T63=""),"Stated total amount required",IF(AND($S63="TOTAL_AMOUNT_INCLUDING_DELIVERY",$T63&lt;SUM($J63,$U63)),"Stated total is below item price plus additional charge",IF($S63="EXACT_COLLECTION_AMOUNT","Authorized amount breakdown required before settlement","Ready for collection and settlement"))))))))))))</f>
        <v/>
      </c>
      <c r="AW63" s="23">
        <f>IF($AU63="","","PARCEL_FINANCIAL_V2")</f>
        <v/>
      </c>
      <c r="AX63" s="17" t="n"/>
    </row>
    <row r="64">
      <c r="A64" s="8" t="n"/>
      <c r="B64" s="8" t="n"/>
      <c r="C64" s="8" t="n"/>
      <c r="D64" s="8" t="n"/>
      <c r="E64" s="9" t="n"/>
      <c r="F64" s="9" t="n"/>
      <c r="G64" s="8" t="n"/>
      <c r="H64" s="9" t="n"/>
      <c r="I64" s="9" t="n"/>
      <c r="J64" s="10" t="n"/>
      <c r="K64" s="10" t="n"/>
      <c r="L64" s="11">
        <f>IF($S64="","",IF($S64="ITEM_PRICE_PLUS_DECLARED_DELIVERY",IF(OR($J64="",$K64=""),"",SUM($J64,$K64,$U64)),IF($S64="TOTAL_AMOUNT_INCLUDING_DELIVERY",IF($T64="","",$T64),IF($S64="DELIVERY_CHARGE_ONLY",IF($K64="","",SUM($K64,$U64)),IF($S64="EXACT_COLLECTION_AMOUNT",IF($T64="","",$T64),IF($S64="ITEM_PRICE_ONLY_DELIVERY_PAID_BY_MERCHANT",IF($J64="","",SUM($J64,$U64)),""))))))</f>
        <v/>
      </c>
      <c r="M64" s="12" t="n"/>
      <c r="N64" s="13" t="n"/>
      <c r="O64" s="13" t="n"/>
      <c r="P64" s="9" t="n"/>
      <c r="Q64" s="14" t="n"/>
      <c r="R64" s="15" t="n"/>
      <c r="S64" s="14" t="n"/>
      <c r="T64" s="16" t="n"/>
      <c r="U64" s="16" t="n"/>
      <c r="V64" s="16" t="n"/>
      <c r="W64" s="16" t="n"/>
      <c r="X64" s="16" t="n"/>
      <c r="Y64" s="16" t="n"/>
      <c r="Z64" s="14" t="n"/>
      <c r="AA64" s="14" t="n"/>
      <c r="AB64" s="14" t="n"/>
      <c r="AC64" s="17">
        <f>IFERROR(VLOOKUP($H64&amp;"|"&amp;$Q64,Tariff_Master!$A$2:$L$169,3,FALSE),"")</f>
        <v/>
      </c>
      <c r="AD64" s="17">
        <f>IFERROR(VLOOKUP($H64&amp;"|"&amp;$Q64,Tariff_Master!$A$2:$L$169,4,FALSE),"")</f>
        <v/>
      </c>
      <c r="AE64" s="18">
        <f>IFERROR(VLOOKUP($H64&amp;"|"&amp;$Q64,Tariff_Master!$A$2:$L$169,6,FALSE),"")</f>
        <v/>
      </c>
      <c r="AF64" s="19">
        <f>IFERROR(VLOOKUP($H64&amp;"|"&amp;$Q64,Tariff_Master!$A$2:$L$169,7,FALSE),"")</f>
        <v/>
      </c>
      <c r="AG64" s="18">
        <f>IFERROR(VLOOKUP($H64&amp;"|"&amp;$Q64,Tariff_Master!$A$2:$L$169,8,FALSE),"")</f>
        <v/>
      </c>
      <c r="AH64" s="20">
        <f>IFERROR(VLOOKUP($H64&amp;"|"&amp;$Q64,Tariff_Master!$A$2:$L$169,9,FALSE),"")</f>
        <v/>
      </c>
      <c r="AI64" s="18">
        <f>IFERROR(VLOOKUP($H64&amp;"|"&amp;$Q64,Tariff_Master!$A$2:$L$169,10,FALSE),"")</f>
        <v/>
      </c>
      <c r="AJ64" s="21">
        <f>IF($M64="","",ROUNDUP(MAX(0,$M64),0))</f>
        <v/>
      </c>
      <c r="AK64" s="21">
        <f>IF(OR($AJ64="",$AF64=""),"",MAX(0,$AJ64-$AF64))</f>
        <v/>
      </c>
      <c r="AL64" s="22">
        <f>IF(OR($AK64="",$AG64=""),"",MAX(0,$AK64*$AG64))</f>
        <v/>
      </c>
      <c r="AM64" s="22">
        <f>IF($AE64="","",MAX(0,SUM($AE64,$AL64,$V64,$W64)))</f>
        <v/>
      </c>
      <c r="AN64" s="22">
        <f>IF($AM64="","",IF(AND($Q64="COMMITMENT",$R64&gt;=$AH64),$AI64,0))</f>
        <v/>
      </c>
      <c r="AO64" s="23">
        <f>IF($AM64="","",MAX(0,$AM64-$AN64))</f>
        <v/>
      </c>
      <c r="AP64" s="22">
        <f>IF($S64="","",IF(OR($S64="ITEM_PRICE_PLUS_DECLARED_DELIVERY",$S64="DELIVERY_CHARGE_ONLY"),$K64,IF($S64="TOTAL_AMOUNT_INCLUDING_DELIVERY",IF(OR($T64="",$J64=""),"",MAX(0,$T64-$J64-$U64)),IF($S64="ITEM_PRICE_ONLY_DELIVERY_PAID_BY_MERCHANT",0,""))))</f>
        <v/>
      </c>
      <c r="AQ64" s="23">
        <f>IF(OR($AP64="",$AO64=""),"",$AP64-$AO64)</f>
        <v/>
      </c>
      <c r="AR64" s="24">
        <f>IF($S64="EXACT_COLLECTION_AMOUNT","BREAKDOWN_REQUIRED",IF($AQ64="","",IF($AQ64&gt;0,"CREDIT_TO_MERCHANT",IF($AQ64&lt;0,"DEDUCT_FROM_MERCHANT","NO_ADJUSTMENT"))))</f>
        <v/>
      </c>
      <c r="AS64" s="23">
        <f>IF(OR($AQ64="",$AR64="BREAKDOWN_REQUIRED"),"",$AQ64)</f>
        <v/>
      </c>
      <c r="AT64" s="23">
        <f>IF(OR($AR64="",$AR64="BREAKDOWN_REQUIRED"),"",SUM($J64,$AQ64,$Y64)-$X64)</f>
        <v/>
      </c>
      <c r="AU64" s="25">
        <f>IF(AND($A64="",$B64="",$F64="",$H64="",$J64="",$K64="",$M64="",$S64=""),"",IF(OR($H64="",$Q64="",$M64="",$S64=""),"ERROR",IF(OR($J64&lt;0,$K64&lt;0,$M64&lt;0,$T64&lt;0,$U64&lt;0,$V64&lt;0,$W64&lt;0,$X64&lt;0,$Y64&lt;0),"ERROR",IF($AE64="","ERROR",IF(AND(OR($S64="ITEM_PRICE_PLUS_DECLARED_DELIVERY",$S64="TOTAL_AMOUNT_INCLUDING_DELIVERY",$S64="ITEM_PRICE_ONLY_DELIVERY_PAID_BY_MERCHANT"),$J64=""),"ERROR",IF(AND(OR($S64="ITEM_PRICE_PLUS_DECLARED_DELIVERY",$S64="DELIVERY_CHARGE_ONLY"),$K64=""),"ERROR",IF(AND(OR($S64="TOTAL_AMOUNT_INCLUDING_DELIVERY",$S64="EXACT_COLLECTION_AMOUNT"),$T64=""),"ERROR",IF(AND($S64="TOTAL_AMOUNT_INCLUDING_DELIVERY",$T64&lt;SUM($J64,$U64)),"ERROR",IF($S64="EXACT_COLLECTION_AMOUNT","REVIEW","OK")))))))))</f>
        <v/>
      </c>
      <c r="AV64" s="25">
        <f>IF($AU64="","",IF($H64="","Township required",IF($Q64="","Customer tier required",IF($M64="","Weight required",IF($S64="","Amount entry type required",IF(OR($J64&lt;0,$K64&lt;0,$M64&lt;0,$T64&lt;0,$U64&lt;0,$V64&lt;0,$W64&lt;0,$X64&lt;0,$Y64&lt;0),"Negative amounts are not allowed",IF($AE64="","Tariff not found for township and tier",IF(AND(OR($S64="ITEM_PRICE_PLUS_DECLARED_DELIVERY",$S64="TOTAL_AMOUNT_INCLUDING_DELIVERY",$S64="ITEM_PRICE_ONLY_DELIVERY_PAID_BY_MERCHANT"),$J64=""),"Item price required for this amount type",IF(AND(OR($S64="ITEM_PRICE_PLUS_DECLARED_DELIVERY",$S64="DELIVERY_CHARGE_ONLY"),$K64=""),"Declared delivery charge required",IF(AND(OR($S64="TOTAL_AMOUNT_INCLUDING_DELIVERY",$S64="EXACT_COLLECTION_AMOUNT"),$T64=""),"Stated total amount required",IF(AND($S64="TOTAL_AMOUNT_INCLUDING_DELIVERY",$T64&lt;SUM($J64,$U64)),"Stated total is below item price plus additional charge",IF($S64="EXACT_COLLECTION_AMOUNT","Authorized amount breakdown required before settlement","Ready for collection and settlement"))))))))))))</f>
        <v/>
      </c>
      <c r="AW64" s="23">
        <f>IF($AU64="","","PARCEL_FINANCIAL_V2")</f>
        <v/>
      </c>
      <c r="AX64" s="17" t="n"/>
    </row>
    <row r="65">
      <c r="A65" s="8" t="n"/>
      <c r="B65" s="8" t="n"/>
      <c r="C65" s="8" t="n"/>
      <c r="D65" s="8" t="n"/>
      <c r="E65" s="9" t="n"/>
      <c r="F65" s="9" t="n"/>
      <c r="G65" s="8" t="n"/>
      <c r="H65" s="9" t="n"/>
      <c r="I65" s="9" t="n"/>
      <c r="J65" s="10" t="n"/>
      <c r="K65" s="10" t="n"/>
      <c r="L65" s="11">
        <f>IF($S65="","",IF($S65="ITEM_PRICE_PLUS_DECLARED_DELIVERY",IF(OR($J65="",$K65=""),"",SUM($J65,$K65,$U65)),IF($S65="TOTAL_AMOUNT_INCLUDING_DELIVERY",IF($T65="","",$T65),IF($S65="DELIVERY_CHARGE_ONLY",IF($K65="","",SUM($K65,$U65)),IF($S65="EXACT_COLLECTION_AMOUNT",IF($T65="","",$T65),IF($S65="ITEM_PRICE_ONLY_DELIVERY_PAID_BY_MERCHANT",IF($J65="","",SUM($J65,$U65)),""))))))</f>
        <v/>
      </c>
      <c r="M65" s="12" t="n"/>
      <c r="N65" s="13" t="n"/>
      <c r="O65" s="13" t="n"/>
      <c r="P65" s="9" t="n"/>
      <c r="Q65" s="14" t="n"/>
      <c r="R65" s="15" t="n"/>
      <c r="S65" s="14" t="n"/>
      <c r="T65" s="16" t="n"/>
      <c r="U65" s="16" t="n"/>
      <c r="V65" s="16" t="n"/>
      <c r="W65" s="16" t="n"/>
      <c r="X65" s="16" t="n"/>
      <c r="Y65" s="16" t="n"/>
      <c r="Z65" s="14" t="n"/>
      <c r="AA65" s="14" t="n"/>
      <c r="AB65" s="14" t="n"/>
      <c r="AC65" s="17">
        <f>IFERROR(VLOOKUP($H65&amp;"|"&amp;$Q65,Tariff_Master!$A$2:$L$169,3,FALSE),"")</f>
        <v/>
      </c>
      <c r="AD65" s="17">
        <f>IFERROR(VLOOKUP($H65&amp;"|"&amp;$Q65,Tariff_Master!$A$2:$L$169,4,FALSE),"")</f>
        <v/>
      </c>
      <c r="AE65" s="18">
        <f>IFERROR(VLOOKUP($H65&amp;"|"&amp;$Q65,Tariff_Master!$A$2:$L$169,6,FALSE),"")</f>
        <v/>
      </c>
      <c r="AF65" s="19">
        <f>IFERROR(VLOOKUP($H65&amp;"|"&amp;$Q65,Tariff_Master!$A$2:$L$169,7,FALSE),"")</f>
        <v/>
      </c>
      <c r="AG65" s="18">
        <f>IFERROR(VLOOKUP($H65&amp;"|"&amp;$Q65,Tariff_Master!$A$2:$L$169,8,FALSE),"")</f>
        <v/>
      </c>
      <c r="AH65" s="20">
        <f>IFERROR(VLOOKUP($H65&amp;"|"&amp;$Q65,Tariff_Master!$A$2:$L$169,9,FALSE),"")</f>
        <v/>
      </c>
      <c r="AI65" s="18">
        <f>IFERROR(VLOOKUP($H65&amp;"|"&amp;$Q65,Tariff_Master!$A$2:$L$169,10,FALSE),"")</f>
        <v/>
      </c>
      <c r="AJ65" s="21">
        <f>IF($M65="","",ROUNDUP(MAX(0,$M65),0))</f>
        <v/>
      </c>
      <c r="AK65" s="21">
        <f>IF(OR($AJ65="",$AF65=""),"",MAX(0,$AJ65-$AF65))</f>
        <v/>
      </c>
      <c r="AL65" s="22">
        <f>IF(OR($AK65="",$AG65=""),"",MAX(0,$AK65*$AG65))</f>
        <v/>
      </c>
      <c r="AM65" s="22">
        <f>IF($AE65="","",MAX(0,SUM($AE65,$AL65,$V65,$W65)))</f>
        <v/>
      </c>
      <c r="AN65" s="22">
        <f>IF($AM65="","",IF(AND($Q65="COMMITMENT",$R65&gt;=$AH65),$AI65,0))</f>
        <v/>
      </c>
      <c r="AO65" s="23">
        <f>IF($AM65="","",MAX(0,$AM65-$AN65))</f>
        <v/>
      </c>
      <c r="AP65" s="22">
        <f>IF($S65="","",IF(OR($S65="ITEM_PRICE_PLUS_DECLARED_DELIVERY",$S65="DELIVERY_CHARGE_ONLY"),$K65,IF($S65="TOTAL_AMOUNT_INCLUDING_DELIVERY",IF(OR($T65="",$J65=""),"",MAX(0,$T65-$J65-$U65)),IF($S65="ITEM_PRICE_ONLY_DELIVERY_PAID_BY_MERCHANT",0,""))))</f>
        <v/>
      </c>
      <c r="AQ65" s="23">
        <f>IF(OR($AP65="",$AO65=""),"",$AP65-$AO65)</f>
        <v/>
      </c>
      <c r="AR65" s="24">
        <f>IF($S65="EXACT_COLLECTION_AMOUNT","BREAKDOWN_REQUIRED",IF($AQ65="","",IF($AQ65&gt;0,"CREDIT_TO_MERCHANT",IF($AQ65&lt;0,"DEDUCT_FROM_MERCHANT","NO_ADJUSTMENT"))))</f>
        <v/>
      </c>
      <c r="AS65" s="23">
        <f>IF(OR($AQ65="",$AR65="BREAKDOWN_REQUIRED"),"",$AQ65)</f>
        <v/>
      </c>
      <c r="AT65" s="23">
        <f>IF(OR($AR65="",$AR65="BREAKDOWN_REQUIRED"),"",SUM($J65,$AQ65,$Y65)-$X65)</f>
        <v/>
      </c>
      <c r="AU65" s="25">
        <f>IF(AND($A65="",$B65="",$F65="",$H65="",$J65="",$K65="",$M65="",$S65=""),"",IF(OR($H65="",$Q65="",$M65="",$S65=""),"ERROR",IF(OR($J65&lt;0,$K65&lt;0,$M65&lt;0,$T65&lt;0,$U65&lt;0,$V65&lt;0,$W65&lt;0,$X65&lt;0,$Y65&lt;0),"ERROR",IF($AE65="","ERROR",IF(AND(OR($S65="ITEM_PRICE_PLUS_DECLARED_DELIVERY",$S65="TOTAL_AMOUNT_INCLUDING_DELIVERY",$S65="ITEM_PRICE_ONLY_DELIVERY_PAID_BY_MERCHANT"),$J65=""),"ERROR",IF(AND(OR($S65="ITEM_PRICE_PLUS_DECLARED_DELIVERY",$S65="DELIVERY_CHARGE_ONLY"),$K65=""),"ERROR",IF(AND(OR($S65="TOTAL_AMOUNT_INCLUDING_DELIVERY",$S65="EXACT_COLLECTION_AMOUNT"),$T65=""),"ERROR",IF(AND($S65="TOTAL_AMOUNT_INCLUDING_DELIVERY",$T65&lt;SUM($J65,$U65)),"ERROR",IF($S65="EXACT_COLLECTION_AMOUNT","REVIEW","OK")))))))))</f>
        <v/>
      </c>
      <c r="AV65" s="25">
        <f>IF($AU65="","",IF($H65="","Township required",IF($Q65="","Customer tier required",IF($M65="","Weight required",IF($S65="","Amount entry type required",IF(OR($J65&lt;0,$K65&lt;0,$M65&lt;0,$T65&lt;0,$U65&lt;0,$V65&lt;0,$W65&lt;0,$X65&lt;0,$Y65&lt;0),"Negative amounts are not allowed",IF($AE65="","Tariff not found for township and tier",IF(AND(OR($S65="ITEM_PRICE_PLUS_DECLARED_DELIVERY",$S65="TOTAL_AMOUNT_INCLUDING_DELIVERY",$S65="ITEM_PRICE_ONLY_DELIVERY_PAID_BY_MERCHANT"),$J65=""),"Item price required for this amount type",IF(AND(OR($S65="ITEM_PRICE_PLUS_DECLARED_DELIVERY",$S65="DELIVERY_CHARGE_ONLY"),$K65=""),"Declared delivery charge required",IF(AND(OR($S65="TOTAL_AMOUNT_INCLUDING_DELIVERY",$S65="EXACT_COLLECTION_AMOUNT"),$T65=""),"Stated total amount required",IF(AND($S65="TOTAL_AMOUNT_INCLUDING_DELIVERY",$T65&lt;SUM($J65,$U65)),"Stated total is below item price plus additional charge",IF($S65="EXACT_COLLECTION_AMOUNT","Authorized amount breakdown required before settlement","Ready for collection and settlement"))))))))))))</f>
        <v/>
      </c>
      <c r="AW65" s="23">
        <f>IF($AU65="","","PARCEL_FINANCIAL_V2")</f>
        <v/>
      </c>
      <c r="AX65" s="17" t="n"/>
    </row>
    <row r="66">
      <c r="A66" s="8" t="n"/>
      <c r="B66" s="8" t="n"/>
      <c r="C66" s="8" t="n"/>
      <c r="D66" s="8" t="n"/>
      <c r="E66" s="9" t="n"/>
      <c r="F66" s="9" t="n"/>
      <c r="G66" s="8" t="n"/>
      <c r="H66" s="9" t="n"/>
      <c r="I66" s="9" t="n"/>
      <c r="J66" s="10" t="n"/>
      <c r="K66" s="10" t="n"/>
      <c r="L66" s="11">
        <f>IF($S66="","",IF($S66="ITEM_PRICE_PLUS_DECLARED_DELIVERY",IF(OR($J66="",$K66=""),"",SUM($J66,$K66,$U66)),IF($S66="TOTAL_AMOUNT_INCLUDING_DELIVERY",IF($T66="","",$T66),IF($S66="DELIVERY_CHARGE_ONLY",IF($K66="","",SUM($K66,$U66)),IF($S66="EXACT_COLLECTION_AMOUNT",IF($T66="","",$T66),IF($S66="ITEM_PRICE_ONLY_DELIVERY_PAID_BY_MERCHANT",IF($J66="","",SUM($J66,$U66)),""))))))</f>
        <v/>
      </c>
      <c r="M66" s="12" t="n"/>
      <c r="N66" s="13" t="n"/>
      <c r="O66" s="13" t="n"/>
      <c r="P66" s="9" t="n"/>
      <c r="Q66" s="14" t="n"/>
      <c r="R66" s="15" t="n"/>
      <c r="S66" s="14" t="n"/>
      <c r="T66" s="16" t="n"/>
      <c r="U66" s="16" t="n"/>
      <c r="V66" s="16" t="n"/>
      <c r="W66" s="16" t="n"/>
      <c r="X66" s="16" t="n"/>
      <c r="Y66" s="16" t="n"/>
      <c r="Z66" s="14" t="n"/>
      <c r="AA66" s="14" t="n"/>
      <c r="AB66" s="14" t="n"/>
      <c r="AC66" s="17">
        <f>IFERROR(VLOOKUP($H66&amp;"|"&amp;$Q66,Tariff_Master!$A$2:$L$169,3,FALSE),"")</f>
        <v/>
      </c>
      <c r="AD66" s="17">
        <f>IFERROR(VLOOKUP($H66&amp;"|"&amp;$Q66,Tariff_Master!$A$2:$L$169,4,FALSE),"")</f>
        <v/>
      </c>
      <c r="AE66" s="18">
        <f>IFERROR(VLOOKUP($H66&amp;"|"&amp;$Q66,Tariff_Master!$A$2:$L$169,6,FALSE),"")</f>
        <v/>
      </c>
      <c r="AF66" s="19">
        <f>IFERROR(VLOOKUP($H66&amp;"|"&amp;$Q66,Tariff_Master!$A$2:$L$169,7,FALSE),"")</f>
        <v/>
      </c>
      <c r="AG66" s="18">
        <f>IFERROR(VLOOKUP($H66&amp;"|"&amp;$Q66,Tariff_Master!$A$2:$L$169,8,FALSE),"")</f>
        <v/>
      </c>
      <c r="AH66" s="20">
        <f>IFERROR(VLOOKUP($H66&amp;"|"&amp;$Q66,Tariff_Master!$A$2:$L$169,9,FALSE),"")</f>
        <v/>
      </c>
      <c r="AI66" s="18">
        <f>IFERROR(VLOOKUP($H66&amp;"|"&amp;$Q66,Tariff_Master!$A$2:$L$169,10,FALSE),"")</f>
        <v/>
      </c>
      <c r="AJ66" s="21">
        <f>IF($M66="","",ROUNDUP(MAX(0,$M66),0))</f>
        <v/>
      </c>
      <c r="AK66" s="21">
        <f>IF(OR($AJ66="",$AF66=""),"",MAX(0,$AJ66-$AF66))</f>
        <v/>
      </c>
      <c r="AL66" s="22">
        <f>IF(OR($AK66="",$AG66=""),"",MAX(0,$AK66*$AG66))</f>
        <v/>
      </c>
      <c r="AM66" s="22">
        <f>IF($AE66="","",MAX(0,SUM($AE66,$AL66,$V66,$W66)))</f>
        <v/>
      </c>
      <c r="AN66" s="22">
        <f>IF($AM66="","",IF(AND($Q66="COMMITMENT",$R66&gt;=$AH66),$AI66,0))</f>
        <v/>
      </c>
      <c r="AO66" s="23">
        <f>IF($AM66="","",MAX(0,$AM66-$AN66))</f>
        <v/>
      </c>
      <c r="AP66" s="22">
        <f>IF($S66="","",IF(OR($S66="ITEM_PRICE_PLUS_DECLARED_DELIVERY",$S66="DELIVERY_CHARGE_ONLY"),$K66,IF($S66="TOTAL_AMOUNT_INCLUDING_DELIVERY",IF(OR($T66="",$J66=""),"",MAX(0,$T66-$J66-$U66)),IF($S66="ITEM_PRICE_ONLY_DELIVERY_PAID_BY_MERCHANT",0,""))))</f>
        <v/>
      </c>
      <c r="AQ66" s="23">
        <f>IF(OR($AP66="",$AO66=""),"",$AP66-$AO66)</f>
        <v/>
      </c>
      <c r="AR66" s="24">
        <f>IF($S66="EXACT_COLLECTION_AMOUNT","BREAKDOWN_REQUIRED",IF($AQ66="","",IF($AQ66&gt;0,"CREDIT_TO_MERCHANT",IF($AQ66&lt;0,"DEDUCT_FROM_MERCHANT","NO_ADJUSTMENT"))))</f>
        <v/>
      </c>
      <c r="AS66" s="23">
        <f>IF(OR($AQ66="",$AR66="BREAKDOWN_REQUIRED"),"",$AQ66)</f>
        <v/>
      </c>
      <c r="AT66" s="23">
        <f>IF(OR($AR66="",$AR66="BREAKDOWN_REQUIRED"),"",SUM($J66,$AQ66,$Y66)-$X66)</f>
        <v/>
      </c>
      <c r="AU66" s="25">
        <f>IF(AND($A66="",$B66="",$F66="",$H66="",$J66="",$K66="",$M66="",$S66=""),"",IF(OR($H66="",$Q66="",$M66="",$S66=""),"ERROR",IF(OR($J66&lt;0,$K66&lt;0,$M66&lt;0,$T66&lt;0,$U66&lt;0,$V66&lt;0,$W66&lt;0,$X66&lt;0,$Y66&lt;0),"ERROR",IF($AE66="","ERROR",IF(AND(OR($S66="ITEM_PRICE_PLUS_DECLARED_DELIVERY",$S66="TOTAL_AMOUNT_INCLUDING_DELIVERY",$S66="ITEM_PRICE_ONLY_DELIVERY_PAID_BY_MERCHANT"),$J66=""),"ERROR",IF(AND(OR($S66="ITEM_PRICE_PLUS_DECLARED_DELIVERY",$S66="DELIVERY_CHARGE_ONLY"),$K66=""),"ERROR",IF(AND(OR($S66="TOTAL_AMOUNT_INCLUDING_DELIVERY",$S66="EXACT_COLLECTION_AMOUNT"),$T66=""),"ERROR",IF(AND($S66="TOTAL_AMOUNT_INCLUDING_DELIVERY",$T66&lt;SUM($J66,$U66)),"ERROR",IF($S66="EXACT_COLLECTION_AMOUNT","REVIEW","OK")))))))))</f>
        <v/>
      </c>
      <c r="AV66" s="25">
        <f>IF($AU66="","",IF($H66="","Township required",IF($Q66="","Customer tier required",IF($M66="","Weight required",IF($S66="","Amount entry type required",IF(OR($J66&lt;0,$K66&lt;0,$M66&lt;0,$T66&lt;0,$U66&lt;0,$V66&lt;0,$W66&lt;0,$X66&lt;0,$Y66&lt;0),"Negative amounts are not allowed",IF($AE66="","Tariff not found for township and tier",IF(AND(OR($S66="ITEM_PRICE_PLUS_DECLARED_DELIVERY",$S66="TOTAL_AMOUNT_INCLUDING_DELIVERY",$S66="ITEM_PRICE_ONLY_DELIVERY_PAID_BY_MERCHANT"),$J66=""),"Item price required for this amount type",IF(AND(OR($S66="ITEM_PRICE_PLUS_DECLARED_DELIVERY",$S66="DELIVERY_CHARGE_ONLY"),$K66=""),"Declared delivery charge required",IF(AND(OR($S66="TOTAL_AMOUNT_INCLUDING_DELIVERY",$S66="EXACT_COLLECTION_AMOUNT"),$T66=""),"Stated total amount required",IF(AND($S66="TOTAL_AMOUNT_INCLUDING_DELIVERY",$T66&lt;SUM($J66,$U66)),"Stated total is below item price plus additional charge",IF($S66="EXACT_COLLECTION_AMOUNT","Authorized amount breakdown required before settlement","Ready for collection and settlement"))))))))))))</f>
        <v/>
      </c>
      <c r="AW66" s="23">
        <f>IF($AU66="","","PARCEL_FINANCIAL_V2")</f>
        <v/>
      </c>
      <c r="AX66" s="17" t="n"/>
    </row>
    <row r="67">
      <c r="A67" s="8" t="n"/>
      <c r="B67" s="8" t="n"/>
      <c r="C67" s="8" t="n"/>
      <c r="D67" s="8" t="n"/>
      <c r="E67" s="9" t="n"/>
      <c r="F67" s="9" t="n"/>
      <c r="G67" s="8" t="n"/>
      <c r="H67" s="9" t="n"/>
      <c r="I67" s="9" t="n"/>
      <c r="J67" s="10" t="n"/>
      <c r="K67" s="10" t="n"/>
      <c r="L67" s="11">
        <f>IF($S67="","",IF($S67="ITEM_PRICE_PLUS_DECLARED_DELIVERY",IF(OR($J67="",$K67=""),"",SUM($J67,$K67,$U67)),IF($S67="TOTAL_AMOUNT_INCLUDING_DELIVERY",IF($T67="","",$T67),IF($S67="DELIVERY_CHARGE_ONLY",IF($K67="","",SUM($K67,$U67)),IF($S67="EXACT_COLLECTION_AMOUNT",IF($T67="","",$T67),IF($S67="ITEM_PRICE_ONLY_DELIVERY_PAID_BY_MERCHANT",IF($J67="","",SUM($J67,$U67)),""))))))</f>
        <v/>
      </c>
      <c r="M67" s="12" t="n"/>
      <c r="N67" s="13" t="n"/>
      <c r="O67" s="13" t="n"/>
      <c r="P67" s="9" t="n"/>
      <c r="Q67" s="14" t="n"/>
      <c r="R67" s="15" t="n"/>
      <c r="S67" s="14" t="n"/>
      <c r="T67" s="16" t="n"/>
      <c r="U67" s="16" t="n"/>
      <c r="V67" s="16" t="n"/>
      <c r="W67" s="16" t="n"/>
      <c r="X67" s="16" t="n"/>
      <c r="Y67" s="16" t="n"/>
      <c r="Z67" s="14" t="n"/>
      <c r="AA67" s="14" t="n"/>
      <c r="AB67" s="14" t="n"/>
      <c r="AC67" s="17">
        <f>IFERROR(VLOOKUP($H67&amp;"|"&amp;$Q67,Tariff_Master!$A$2:$L$169,3,FALSE),"")</f>
        <v/>
      </c>
      <c r="AD67" s="17">
        <f>IFERROR(VLOOKUP($H67&amp;"|"&amp;$Q67,Tariff_Master!$A$2:$L$169,4,FALSE),"")</f>
        <v/>
      </c>
      <c r="AE67" s="18">
        <f>IFERROR(VLOOKUP($H67&amp;"|"&amp;$Q67,Tariff_Master!$A$2:$L$169,6,FALSE),"")</f>
        <v/>
      </c>
      <c r="AF67" s="19">
        <f>IFERROR(VLOOKUP($H67&amp;"|"&amp;$Q67,Tariff_Master!$A$2:$L$169,7,FALSE),"")</f>
        <v/>
      </c>
      <c r="AG67" s="18">
        <f>IFERROR(VLOOKUP($H67&amp;"|"&amp;$Q67,Tariff_Master!$A$2:$L$169,8,FALSE),"")</f>
        <v/>
      </c>
      <c r="AH67" s="20">
        <f>IFERROR(VLOOKUP($H67&amp;"|"&amp;$Q67,Tariff_Master!$A$2:$L$169,9,FALSE),"")</f>
        <v/>
      </c>
      <c r="AI67" s="18">
        <f>IFERROR(VLOOKUP($H67&amp;"|"&amp;$Q67,Tariff_Master!$A$2:$L$169,10,FALSE),"")</f>
        <v/>
      </c>
      <c r="AJ67" s="21">
        <f>IF($M67="","",ROUNDUP(MAX(0,$M67),0))</f>
        <v/>
      </c>
      <c r="AK67" s="21">
        <f>IF(OR($AJ67="",$AF67=""),"",MAX(0,$AJ67-$AF67))</f>
        <v/>
      </c>
      <c r="AL67" s="22">
        <f>IF(OR($AK67="",$AG67=""),"",MAX(0,$AK67*$AG67))</f>
        <v/>
      </c>
      <c r="AM67" s="22">
        <f>IF($AE67="","",MAX(0,SUM($AE67,$AL67,$V67,$W67)))</f>
        <v/>
      </c>
      <c r="AN67" s="22">
        <f>IF($AM67="","",IF(AND($Q67="COMMITMENT",$R67&gt;=$AH67),$AI67,0))</f>
        <v/>
      </c>
      <c r="AO67" s="23">
        <f>IF($AM67="","",MAX(0,$AM67-$AN67))</f>
        <v/>
      </c>
      <c r="AP67" s="22">
        <f>IF($S67="","",IF(OR($S67="ITEM_PRICE_PLUS_DECLARED_DELIVERY",$S67="DELIVERY_CHARGE_ONLY"),$K67,IF($S67="TOTAL_AMOUNT_INCLUDING_DELIVERY",IF(OR($T67="",$J67=""),"",MAX(0,$T67-$J67-$U67)),IF($S67="ITEM_PRICE_ONLY_DELIVERY_PAID_BY_MERCHANT",0,""))))</f>
        <v/>
      </c>
      <c r="AQ67" s="23">
        <f>IF(OR($AP67="",$AO67=""),"",$AP67-$AO67)</f>
        <v/>
      </c>
      <c r="AR67" s="24">
        <f>IF($S67="EXACT_COLLECTION_AMOUNT","BREAKDOWN_REQUIRED",IF($AQ67="","",IF($AQ67&gt;0,"CREDIT_TO_MERCHANT",IF($AQ67&lt;0,"DEDUCT_FROM_MERCHANT","NO_ADJUSTMENT"))))</f>
        <v/>
      </c>
      <c r="AS67" s="23">
        <f>IF(OR($AQ67="",$AR67="BREAKDOWN_REQUIRED"),"",$AQ67)</f>
        <v/>
      </c>
      <c r="AT67" s="23">
        <f>IF(OR($AR67="",$AR67="BREAKDOWN_REQUIRED"),"",SUM($J67,$AQ67,$Y67)-$X67)</f>
        <v/>
      </c>
      <c r="AU67" s="25">
        <f>IF(AND($A67="",$B67="",$F67="",$H67="",$J67="",$K67="",$M67="",$S67=""),"",IF(OR($H67="",$Q67="",$M67="",$S67=""),"ERROR",IF(OR($J67&lt;0,$K67&lt;0,$M67&lt;0,$T67&lt;0,$U67&lt;0,$V67&lt;0,$W67&lt;0,$X67&lt;0,$Y67&lt;0),"ERROR",IF($AE67="","ERROR",IF(AND(OR($S67="ITEM_PRICE_PLUS_DECLARED_DELIVERY",$S67="TOTAL_AMOUNT_INCLUDING_DELIVERY",$S67="ITEM_PRICE_ONLY_DELIVERY_PAID_BY_MERCHANT"),$J67=""),"ERROR",IF(AND(OR($S67="ITEM_PRICE_PLUS_DECLARED_DELIVERY",$S67="DELIVERY_CHARGE_ONLY"),$K67=""),"ERROR",IF(AND(OR($S67="TOTAL_AMOUNT_INCLUDING_DELIVERY",$S67="EXACT_COLLECTION_AMOUNT"),$T67=""),"ERROR",IF(AND($S67="TOTAL_AMOUNT_INCLUDING_DELIVERY",$T67&lt;SUM($J67,$U67)),"ERROR",IF($S67="EXACT_COLLECTION_AMOUNT","REVIEW","OK")))))))))</f>
        <v/>
      </c>
      <c r="AV67" s="25">
        <f>IF($AU67="","",IF($H67="","Township required",IF($Q67="","Customer tier required",IF($M67="","Weight required",IF($S67="","Amount entry type required",IF(OR($J67&lt;0,$K67&lt;0,$M67&lt;0,$T67&lt;0,$U67&lt;0,$V67&lt;0,$W67&lt;0,$X67&lt;0,$Y67&lt;0),"Negative amounts are not allowed",IF($AE67="","Tariff not found for township and tier",IF(AND(OR($S67="ITEM_PRICE_PLUS_DECLARED_DELIVERY",$S67="TOTAL_AMOUNT_INCLUDING_DELIVERY",$S67="ITEM_PRICE_ONLY_DELIVERY_PAID_BY_MERCHANT"),$J67=""),"Item price required for this amount type",IF(AND(OR($S67="ITEM_PRICE_PLUS_DECLARED_DELIVERY",$S67="DELIVERY_CHARGE_ONLY"),$K67=""),"Declared delivery charge required",IF(AND(OR($S67="TOTAL_AMOUNT_INCLUDING_DELIVERY",$S67="EXACT_COLLECTION_AMOUNT"),$T67=""),"Stated total amount required",IF(AND($S67="TOTAL_AMOUNT_INCLUDING_DELIVERY",$T67&lt;SUM($J67,$U67)),"Stated total is below item price plus additional charge",IF($S67="EXACT_COLLECTION_AMOUNT","Authorized amount breakdown required before settlement","Ready for collection and settlement"))))))))))))</f>
        <v/>
      </c>
      <c r="AW67" s="23">
        <f>IF($AU67="","","PARCEL_FINANCIAL_V2")</f>
        <v/>
      </c>
      <c r="AX67" s="17" t="n"/>
    </row>
    <row r="68">
      <c r="A68" s="8" t="n"/>
      <c r="B68" s="8" t="n"/>
      <c r="C68" s="8" t="n"/>
      <c r="D68" s="8" t="n"/>
      <c r="E68" s="9" t="n"/>
      <c r="F68" s="9" t="n"/>
      <c r="G68" s="8" t="n"/>
      <c r="H68" s="9" t="n"/>
      <c r="I68" s="9" t="n"/>
      <c r="J68" s="10" t="n"/>
      <c r="K68" s="10" t="n"/>
      <c r="L68" s="11">
        <f>IF($S68="","",IF($S68="ITEM_PRICE_PLUS_DECLARED_DELIVERY",IF(OR($J68="",$K68=""),"",SUM($J68,$K68,$U68)),IF($S68="TOTAL_AMOUNT_INCLUDING_DELIVERY",IF($T68="","",$T68),IF($S68="DELIVERY_CHARGE_ONLY",IF($K68="","",SUM($K68,$U68)),IF($S68="EXACT_COLLECTION_AMOUNT",IF($T68="","",$T68),IF($S68="ITEM_PRICE_ONLY_DELIVERY_PAID_BY_MERCHANT",IF($J68="","",SUM($J68,$U68)),""))))))</f>
        <v/>
      </c>
      <c r="M68" s="12" t="n"/>
      <c r="N68" s="13" t="n"/>
      <c r="O68" s="13" t="n"/>
      <c r="P68" s="9" t="n"/>
      <c r="Q68" s="14" t="n"/>
      <c r="R68" s="15" t="n"/>
      <c r="S68" s="14" t="n"/>
      <c r="T68" s="16" t="n"/>
      <c r="U68" s="16" t="n"/>
      <c r="V68" s="16" t="n"/>
      <c r="W68" s="16" t="n"/>
      <c r="X68" s="16" t="n"/>
      <c r="Y68" s="16" t="n"/>
      <c r="Z68" s="14" t="n"/>
      <c r="AA68" s="14" t="n"/>
      <c r="AB68" s="14" t="n"/>
      <c r="AC68" s="17">
        <f>IFERROR(VLOOKUP($H68&amp;"|"&amp;$Q68,Tariff_Master!$A$2:$L$169,3,FALSE),"")</f>
        <v/>
      </c>
      <c r="AD68" s="17">
        <f>IFERROR(VLOOKUP($H68&amp;"|"&amp;$Q68,Tariff_Master!$A$2:$L$169,4,FALSE),"")</f>
        <v/>
      </c>
      <c r="AE68" s="18">
        <f>IFERROR(VLOOKUP($H68&amp;"|"&amp;$Q68,Tariff_Master!$A$2:$L$169,6,FALSE),"")</f>
        <v/>
      </c>
      <c r="AF68" s="19">
        <f>IFERROR(VLOOKUP($H68&amp;"|"&amp;$Q68,Tariff_Master!$A$2:$L$169,7,FALSE),"")</f>
        <v/>
      </c>
      <c r="AG68" s="18">
        <f>IFERROR(VLOOKUP($H68&amp;"|"&amp;$Q68,Tariff_Master!$A$2:$L$169,8,FALSE),"")</f>
        <v/>
      </c>
      <c r="AH68" s="20">
        <f>IFERROR(VLOOKUP($H68&amp;"|"&amp;$Q68,Tariff_Master!$A$2:$L$169,9,FALSE),"")</f>
        <v/>
      </c>
      <c r="AI68" s="18">
        <f>IFERROR(VLOOKUP($H68&amp;"|"&amp;$Q68,Tariff_Master!$A$2:$L$169,10,FALSE),"")</f>
        <v/>
      </c>
      <c r="AJ68" s="21">
        <f>IF($M68="","",ROUNDUP(MAX(0,$M68),0))</f>
        <v/>
      </c>
      <c r="AK68" s="21">
        <f>IF(OR($AJ68="",$AF68=""),"",MAX(0,$AJ68-$AF68))</f>
        <v/>
      </c>
      <c r="AL68" s="22">
        <f>IF(OR($AK68="",$AG68=""),"",MAX(0,$AK68*$AG68))</f>
        <v/>
      </c>
      <c r="AM68" s="22">
        <f>IF($AE68="","",MAX(0,SUM($AE68,$AL68,$V68,$W68)))</f>
        <v/>
      </c>
      <c r="AN68" s="22">
        <f>IF($AM68="","",IF(AND($Q68="COMMITMENT",$R68&gt;=$AH68),$AI68,0))</f>
        <v/>
      </c>
      <c r="AO68" s="23">
        <f>IF($AM68="","",MAX(0,$AM68-$AN68))</f>
        <v/>
      </c>
      <c r="AP68" s="22">
        <f>IF($S68="","",IF(OR($S68="ITEM_PRICE_PLUS_DECLARED_DELIVERY",$S68="DELIVERY_CHARGE_ONLY"),$K68,IF($S68="TOTAL_AMOUNT_INCLUDING_DELIVERY",IF(OR($T68="",$J68=""),"",MAX(0,$T68-$J68-$U68)),IF($S68="ITEM_PRICE_ONLY_DELIVERY_PAID_BY_MERCHANT",0,""))))</f>
        <v/>
      </c>
      <c r="AQ68" s="23">
        <f>IF(OR($AP68="",$AO68=""),"",$AP68-$AO68)</f>
        <v/>
      </c>
      <c r="AR68" s="24">
        <f>IF($S68="EXACT_COLLECTION_AMOUNT","BREAKDOWN_REQUIRED",IF($AQ68="","",IF($AQ68&gt;0,"CREDIT_TO_MERCHANT",IF($AQ68&lt;0,"DEDUCT_FROM_MERCHANT","NO_ADJUSTMENT"))))</f>
        <v/>
      </c>
      <c r="AS68" s="23">
        <f>IF(OR($AQ68="",$AR68="BREAKDOWN_REQUIRED"),"",$AQ68)</f>
        <v/>
      </c>
      <c r="AT68" s="23">
        <f>IF(OR($AR68="",$AR68="BREAKDOWN_REQUIRED"),"",SUM($J68,$AQ68,$Y68)-$X68)</f>
        <v/>
      </c>
      <c r="AU68" s="25">
        <f>IF(AND($A68="",$B68="",$F68="",$H68="",$J68="",$K68="",$M68="",$S68=""),"",IF(OR($H68="",$Q68="",$M68="",$S68=""),"ERROR",IF(OR($J68&lt;0,$K68&lt;0,$M68&lt;0,$T68&lt;0,$U68&lt;0,$V68&lt;0,$W68&lt;0,$X68&lt;0,$Y68&lt;0),"ERROR",IF($AE68="","ERROR",IF(AND(OR($S68="ITEM_PRICE_PLUS_DECLARED_DELIVERY",$S68="TOTAL_AMOUNT_INCLUDING_DELIVERY",$S68="ITEM_PRICE_ONLY_DELIVERY_PAID_BY_MERCHANT"),$J68=""),"ERROR",IF(AND(OR($S68="ITEM_PRICE_PLUS_DECLARED_DELIVERY",$S68="DELIVERY_CHARGE_ONLY"),$K68=""),"ERROR",IF(AND(OR($S68="TOTAL_AMOUNT_INCLUDING_DELIVERY",$S68="EXACT_COLLECTION_AMOUNT"),$T68=""),"ERROR",IF(AND($S68="TOTAL_AMOUNT_INCLUDING_DELIVERY",$T68&lt;SUM($J68,$U68)),"ERROR",IF($S68="EXACT_COLLECTION_AMOUNT","REVIEW","OK")))))))))</f>
        <v/>
      </c>
      <c r="AV68" s="25">
        <f>IF($AU68="","",IF($H68="","Township required",IF($Q68="","Customer tier required",IF($M68="","Weight required",IF($S68="","Amount entry type required",IF(OR($J68&lt;0,$K68&lt;0,$M68&lt;0,$T68&lt;0,$U68&lt;0,$V68&lt;0,$W68&lt;0,$X68&lt;0,$Y68&lt;0),"Negative amounts are not allowed",IF($AE68="","Tariff not found for township and tier",IF(AND(OR($S68="ITEM_PRICE_PLUS_DECLARED_DELIVERY",$S68="TOTAL_AMOUNT_INCLUDING_DELIVERY",$S68="ITEM_PRICE_ONLY_DELIVERY_PAID_BY_MERCHANT"),$J68=""),"Item price required for this amount type",IF(AND(OR($S68="ITEM_PRICE_PLUS_DECLARED_DELIVERY",$S68="DELIVERY_CHARGE_ONLY"),$K68=""),"Declared delivery charge required",IF(AND(OR($S68="TOTAL_AMOUNT_INCLUDING_DELIVERY",$S68="EXACT_COLLECTION_AMOUNT"),$T68=""),"Stated total amount required",IF(AND($S68="TOTAL_AMOUNT_INCLUDING_DELIVERY",$T68&lt;SUM($J68,$U68)),"Stated total is below item price plus additional charge",IF($S68="EXACT_COLLECTION_AMOUNT","Authorized amount breakdown required before settlement","Ready for collection and settlement"))))))))))))</f>
        <v/>
      </c>
      <c r="AW68" s="23">
        <f>IF($AU68="","","PARCEL_FINANCIAL_V2")</f>
        <v/>
      </c>
      <c r="AX68" s="17" t="n"/>
    </row>
    <row r="69">
      <c r="A69" s="8" t="n"/>
      <c r="B69" s="8" t="n"/>
      <c r="C69" s="8" t="n"/>
      <c r="D69" s="8" t="n"/>
      <c r="E69" s="9" t="n"/>
      <c r="F69" s="9" t="n"/>
      <c r="G69" s="8" t="n"/>
      <c r="H69" s="9" t="n"/>
      <c r="I69" s="9" t="n"/>
      <c r="J69" s="10" t="n"/>
      <c r="K69" s="10" t="n"/>
      <c r="L69" s="11">
        <f>IF($S69="","",IF($S69="ITEM_PRICE_PLUS_DECLARED_DELIVERY",IF(OR($J69="",$K69=""),"",SUM($J69,$K69,$U69)),IF($S69="TOTAL_AMOUNT_INCLUDING_DELIVERY",IF($T69="","",$T69),IF($S69="DELIVERY_CHARGE_ONLY",IF($K69="","",SUM($K69,$U69)),IF($S69="EXACT_COLLECTION_AMOUNT",IF($T69="","",$T69),IF($S69="ITEM_PRICE_ONLY_DELIVERY_PAID_BY_MERCHANT",IF($J69="","",SUM($J69,$U69)),""))))))</f>
        <v/>
      </c>
      <c r="M69" s="12" t="n"/>
      <c r="N69" s="13" t="n"/>
      <c r="O69" s="13" t="n"/>
      <c r="P69" s="9" t="n"/>
      <c r="Q69" s="14" t="n"/>
      <c r="R69" s="15" t="n"/>
      <c r="S69" s="14" t="n"/>
      <c r="T69" s="16" t="n"/>
      <c r="U69" s="16" t="n"/>
      <c r="V69" s="16" t="n"/>
      <c r="W69" s="16" t="n"/>
      <c r="X69" s="16" t="n"/>
      <c r="Y69" s="16" t="n"/>
      <c r="Z69" s="14" t="n"/>
      <c r="AA69" s="14" t="n"/>
      <c r="AB69" s="14" t="n"/>
      <c r="AC69" s="17">
        <f>IFERROR(VLOOKUP($H69&amp;"|"&amp;$Q69,Tariff_Master!$A$2:$L$169,3,FALSE),"")</f>
        <v/>
      </c>
      <c r="AD69" s="17">
        <f>IFERROR(VLOOKUP($H69&amp;"|"&amp;$Q69,Tariff_Master!$A$2:$L$169,4,FALSE),"")</f>
        <v/>
      </c>
      <c r="AE69" s="18">
        <f>IFERROR(VLOOKUP($H69&amp;"|"&amp;$Q69,Tariff_Master!$A$2:$L$169,6,FALSE),"")</f>
        <v/>
      </c>
      <c r="AF69" s="19">
        <f>IFERROR(VLOOKUP($H69&amp;"|"&amp;$Q69,Tariff_Master!$A$2:$L$169,7,FALSE),"")</f>
        <v/>
      </c>
      <c r="AG69" s="18">
        <f>IFERROR(VLOOKUP($H69&amp;"|"&amp;$Q69,Tariff_Master!$A$2:$L$169,8,FALSE),"")</f>
        <v/>
      </c>
      <c r="AH69" s="20">
        <f>IFERROR(VLOOKUP($H69&amp;"|"&amp;$Q69,Tariff_Master!$A$2:$L$169,9,FALSE),"")</f>
        <v/>
      </c>
      <c r="AI69" s="18">
        <f>IFERROR(VLOOKUP($H69&amp;"|"&amp;$Q69,Tariff_Master!$A$2:$L$169,10,FALSE),"")</f>
        <v/>
      </c>
      <c r="AJ69" s="21">
        <f>IF($M69="","",ROUNDUP(MAX(0,$M69),0))</f>
        <v/>
      </c>
      <c r="AK69" s="21">
        <f>IF(OR($AJ69="",$AF69=""),"",MAX(0,$AJ69-$AF69))</f>
        <v/>
      </c>
      <c r="AL69" s="22">
        <f>IF(OR($AK69="",$AG69=""),"",MAX(0,$AK69*$AG69))</f>
        <v/>
      </c>
      <c r="AM69" s="22">
        <f>IF($AE69="","",MAX(0,SUM($AE69,$AL69,$V69,$W69)))</f>
        <v/>
      </c>
      <c r="AN69" s="22">
        <f>IF($AM69="","",IF(AND($Q69="COMMITMENT",$R69&gt;=$AH69),$AI69,0))</f>
        <v/>
      </c>
      <c r="AO69" s="23">
        <f>IF($AM69="","",MAX(0,$AM69-$AN69))</f>
        <v/>
      </c>
      <c r="AP69" s="22">
        <f>IF($S69="","",IF(OR($S69="ITEM_PRICE_PLUS_DECLARED_DELIVERY",$S69="DELIVERY_CHARGE_ONLY"),$K69,IF($S69="TOTAL_AMOUNT_INCLUDING_DELIVERY",IF(OR($T69="",$J69=""),"",MAX(0,$T69-$J69-$U69)),IF($S69="ITEM_PRICE_ONLY_DELIVERY_PAID_BY_MERCHANT",0,""))))</f>
        <v/>
      </c>
      <c r="AQ69" s="23">
        <f>IF(OR($AP69="",$AO69=""),"",$AP69-$AO69)</f>
        <v/>
      </c>
      <c r="AR69" s="24">
        <f>IF($S69="EXACT_COLLECTION_AMOUNT","BREAKDOWN_REQUIRED",IF($AQ69="","",IF($AQ69&gt;0,"CREDIT_TO_MERCHANT",IF($AQ69&lt;0,"DEDUCT_FROM_MERCHANT","NO_ADJUSTMENT"))))</f>
        <v/>
      </c>
      <c r="AS69" s="23">
        <f>IF(OR($AQ69="",$AR69="BREAKDOWN_REQUIRED"),"",$AQ69)</f>
        <v/>
      </c>
      <c r="AT69" s="23">
        <f>IF(OR($AR69="",$AR69="BREAKDOWN_REQUIRED"),"",SUM($J69,$AQ69,$Y69)-$X69)</f>
        <v/>
      </c>
      <c r="AU69" s="25">
        <f>IF(AND($A69="",$B69="",$F69="",$H69="",$J69="",$K69="",$M69="",$S69=""),"",IF(OR($H69="",$Q69="",$M69="",$S69=""),"ERROR",IF(OR($J69&lt;0,$K69&lt;0,$M69&lt;0,$T69&lt;0,$U69&lt;0,$V69&lt;0,$W69&lt;0,$X69&lt;0,$Y69&lt;0),"ERROR",IF($AE69="","ERROR",IF(AND(OR($S69="ITEM_PRICE_PLUS_DECLARED_DELIVERY",$S69="TOTAL_AMOUNT_INCLUDING_DELIVERY",$S69="ITEM_PRICE_ONLY_DELIVERY_PAID_BY_MERCHANT"),$J69=""),"ERROR",IF(AND(OR($S69="ITEM_PRICE_PLUS_DECLARED_DELIVERY",$S69="DELIVERY_CHARGE_ONLY"),$K69=""),"ERROR",IF(AND(OR($S69="TOTAL_AMOUNT_INCLUDING_DELIVERY",$S69="EXACT_COLLECTION_AMOUNT"),$T69=""),"ERROR",IF(AND($S69="TOTAL_AMOUNT_INCLUDING_DELIVERY",$T69&lt;SUM($J69,$U69)),"ERROR",IF($S69="EXACT_COLLECTION_AMOUNT","REVIEW","OK")))))))))</f>
        <v/>
      </c>
      <c r="AV69" s="25">
        <f>IF($AU69="","",IF($H69="","Township required",IF($Q69="","Customer tier required",IF($M69="","Weight required",IF($S69="","Amount entry type required",IF(OR($J69&lt;0,$K69&lt;0,$M69&lt;0,$T69&lt;0,$U69&lt;0,$V69&lt;0,$W69&lt;0,$X69&lt;0,$Y69&lt;0),"Negative amounts are not allowed",IF($AE69="","Tariff not found for township and tier",IF(AND(OR($S69="ITEM_PRICE_PLUS_DECLARED_DELIVERY",$S69="TOTAL_AMOUNT_INCLUDING_DELIVERY",$S69="ITEM_PRICE_ONLY_DELIVERY_PAID_BY_MERCHANT"),$J69=""),"Item price required for this amount type",IF(AND(OR($S69="ITEM_PRICE_PLUS_DECLARED_DELIVERY",$S69="DELIVERY_CHARGE_ONLY"),$K69=""),"Declared delivery charge required",IF(AND(OR($S69="TOTAL_AMOUNT_INCLUDING_DELIVERY",$S69="EXACT_COLLECTION_AMOUNT"),$T69=""),"Stated total amount required",IF(AND($S69="TOTAL_AMOUNT_INCLUDING_DELIVERY",$T69&lt;SUM($J69,$U69)),"Stated total is below item price plus additional charge",IF($S69="EXACT_COLLECTION_AMOUNT","Authorized amount breakdown required before settlement","Ready for collection and settlement"))))))))))))</f>
        <v/>
      </c>
      <c r="AW69" s="23">
        <f>IF($AU69="","","PARCEL_FINANCIAL_V2")</f>
        <v/>
      </c>
      <c r="AX69" s="17" t="n"/>
    </row>
    <row r="70">
      <c r="A70" s="8" t="n"/>
      <c r="B70" s="8" t="n"/>
      <c r="C70" s="8" t="n"/>
      <c r="D70" s="8" t="n"/>
      <c r="E70" s="9" t="n"/>
      <c r="F70" s="9" t="n"/>
      <c r="G70" s="8" t="n"/>
      <c r="H70" s="9" t="n"/>
      <c r="I70" s="9" t="n"/>
      <c r="J70" s="10" t="n"/>
      <c r="K70" s="10" t="n"/>
      <c r="L70" s="11">
        <f>IF($S70="","",IF($S70="ITEM_PRICE_PLUS_DECLARED_DELIVERY",IF(OR($J70="",$K70=""),"",SUM($J70,$K70,$U70)),IF($S70="TOTAL_AMOUNT_INCLUDING_DELIVERY",IF($T70="","",$T70),IF($S70="DELIVERY_CHARGE_ONLY",IF($K70="","",SUM($K70,$U70)),IF($S70="EXACT_COLLECTION_AMOUNT",IF($T70="","",$T70),IF($S70="ITEM_PRICE_ONLY_DELIVERY_PAID_BY_MERCHANT",IF($J70="","",SUM($J70,$U70)),""))))))</f>
        <v/>
      </c>
      <c r="M70" s="12" t="n"/>
      <c r="N70" s="13" t="n"/>
      <c r="O70" s="13" t="n"/>
      <c r="P70" s="9" t="n"/>
      <c r="Q70" s="14" t="n"/>
      <c r="R70" s="15" t="n"/>
      <c r="S70" s="14" t="n"/>
      <c r="T70" s="16" t="n"/>
      <c r="U70" s="16" t="n"/>
      <c r="V70" s="16" t="n"/>
      <c r="W70" s="16" t="n"/>
      <c r="X70" s="16" t="n"/>
      <c r="Y70" s="16" t="n"/>
      <c r="Z70" s="14" t="n"/>
      <c r="AA70" s="14" t="n"/>
      <c r="AB70" s="14" t="n"/>
      <c r="AC70" s="17">
        <f>IFERROR(VLOOKUP($H70&amp;"|"&amp;$Q70,Tariff_Master!$A$2:$L$169,3,FALSE),"")</f>
        <v/>
      </c>
      <c r="AD70" s="17">
        <f>IFERROR(VLOOKUP($H70&amp;"|"&amp;$Q70,Tariff_Master!$A$2:$L$169,4,FALSE),"")</f>
        <v/>
      </c>
      <c r="AE70" s="18">
        <f>IFERROR(VLOOKUP($H70&amp;"|"&amp;$Q70,Tariff_Master!$A$2:$L$169,6,FALSE),"")</f>
        <v/>
      </c>
      <c r="AF70" s="19">
        <f>IFERROR(VLOOKUP($H70&amp;"|"&amp;$Q70,Tariff_Master!$A$2:$L$169,7,FALSE),"")</f>
        <v/>
      </c>
      <c r="AG70" s="18">
        <f>IFERROR(VLOOKUP($H70&amp;"|"&amp;$Q70,Tariff_Master!$A$2:$L$169,8,FALSE),"")</f>
        <v/>
      </c>
      <c r="AH70" s="20">
        <f>IFERROR(VLOOKUP($H70&amp;"|"&amp;$Q70,Tariff_Master!$A$2:$L$169,9,FALSE),"")</f>
        <v/>
      </c>
      <c r="AI70" s="18">
        <f>IFERROR(VLOOKUP($H70&amp;"|"&amp;$Q70,Tariff_Master!$A$2:$L$169,10,FALSE),"")</f>
        <v/>
      </c>
      <c r="AJ70" s="21">
        <f>IF($M70="","",ROUNDUP(MAX(0,$M70),0))</f>
        <v/>
      </c>
      <c r="AK70" s="21">
        <f>IF(OR($AJ70="",$AF70=""),"",MAX(0,$AJ70-$AF70))</f>
        <v/>
      </c>
      <c r="AL70" s="22">
        <f>IF(OR($AK70="",$AG70=""),"",MAX(0,$AK70*$AG70))</f>
        <v/>
      </c>
      <c r="AM70" s="22">
        <f>IF($AE70="","",MAX(0,SUM($AE70,$AL70,$V70,$W70)))</f>
        <v/>
      </c>
      <c r="AN70" s="22">
        <f>IF($AM70="","",IF(AND($Q70="COMMITMENT",$R70&gt;=$AH70),$AI70,0))</f>
        <v/>
      </c>
      <c r="AO70" s="23">
        <f>IF($AM70="","",MAX(0,$AM70-$AN70))</f>
        <v/>
      </c>
      <c r="AP70" s="22">
        <f>IF($S70="","",IF(OR($S70="ITEM_PRICE_PLUS_DECLARED_DELIVERY",$S70="DELIVERY_CHARGE_ONLY"),$K70,IF($S70="TOTAL_AMOUNT_INCLUDING_DELIVERY",IF(OR($T70="",$J70=""),"",MAX(0,$T70-$J70-$U70)),IF($S70="ITEM_PRICE_ONLY_DELIVERY_PAID_BY_MERCHANT",0,""))))</f>
        <v/>
      </c>
      <c r="AQ70" s="23">
        <f>IF(OR($AP70="",$AO70=""),"",$AP70-$AO70)</f>
        <v/>
      </c>
      <c r="AR70" s="24">
        <f>IF($S70="EXACT_COLLECTION_AMOUNT","BREAKDOWN_REQUIRED",IF($AQ70="","",IF($AQ70&gt;0,"CREDIT_TO_MERCHANT",IF($AQ70&lt;0,"DEDUCT_FROM_MERCHANT","NO_ADJUSTMENT"))))</f>
        <v/>
      </c>
      <c r="AS70" s="23">
        <f>IF(OR($AQ70="",$AR70="BREAKDOWN_REQUIRED"),"",$AQ70)</f>
        <v/>
      </c>
      <c r="AT70" s="23">
        <f>IF(OR($AR70="",$AR70="BREAKDOWN_REQUIRED"),"",SUM($J70,$AQ70,$Y70)-$X70)</f>
        <v/>
      </c>
      <c r="AU70" s="25">
        <f>IF(AND($A70="",$B70="",$F70="",$H70="",$J70="",$K70="",$M70="",$S70=""),"",IF(OR($H70="",$Q70="",$M70="",$S70=""),"ERROR",IF(OR($J70&lt;0,$K70&lt;0,$M70&lt;0,$T70&lt;0,$U70&lt;0,$V70&lt;0,$W70&lt;0,$X70&lt;0,$Y70&lt;0),"ERROR",IF($AE70="","ERROR",IF(AND(OR($S70="ITEM_PRICE_PLUS_DECLARED_DELIVERY",$S70="TOTAL_AMOUNT_INCLUDING_DELIVERY",$S70="ITEM_PRICE_ONLY_DELIVERY_PAID_BY_MERCHANT"),$J70=""),"ERROR",IF(AND(OR($S70="ITEM_PRICE_PLUS_DECLARED_DELIVERY",$S70="DELIVERY_CHARGE_ONLY"),$K70=""),"ERROR",IF(AND(OR($S70="TOTAL_AMOUNT_INCLUDING_DELIVERY",$S70="EXACT_COLLECTION_AMOUNT"),$T70=""),"ERROR",IF(AND($S70="TOTAL_AMOUNT_INCLUDING_DELIVERY",$T70&lt;SUM($J70,$U70)),"ERROR",IF($S70="EXACT_COLLECTION_AMOUNT","REVIEW","OK")))))))))</f>
        <v/>
      </c>
      <c r="AV70" s="25">
        <f>IF($AU70="","",IF($H70="","Township required",IF($Q70="","Customer tier required",IF($M70="","Weight required",IF($S70="","Amount entry type required",IF(OR($J70&lt;0,$K70&lt;0,$M70&lt;0,$T70&lt;0,$U70&lt;0,$V70&lt;0,$W70&lt;0,$X70&lt;0,$Y70&lt;0),"Negative amounts are not allowed",IF($AE70="","Tariff not found for township and tier",IF(AND(OR($S70="ITEM_PRICE_PLUS_DECLARED_DELIVERY",$S70="TOTAL_AMOUNT_INCLUDING_DELIVERY",$S70="ITEM_PRICE_ONLY_DELIVERY_PAID_BY_MERCHANT"),$J70=""),"Item price required for this amount type",IF(AND(OR($S70="ITEM_PRICE_PLUS_DECLARED_DELIVERY",$S70="DELIVERY_CHARGE_ONLY"),$K70=""),"Declared delivery charge required",IF(AND(OR($S70="TOTAL_AMOUNT_INCLUDING_DELIVERY",$S70="EXACT_COLLECTION_AMOUNT"),$T70=""),"Stated total amount required",IF(AND($S70="TOTAL_AMOUNT_INCLUDING_DELIVERY",$T70&lt;SUM($J70,$U70)),"Stated total is below item price plus additional charge",IF($S70="EXACT_COLLECTION_AMOUNT","Authorized amount breakdown required before settlement","Ready for collection and settlement"))))))))))))</f>
        <v/>
      </c>
      <c r="AW70" s="23">
        <f>IF($AU70="","","PARCEL_FINANCIAL_V2")</f>
        <v/>
      </c>
      <c r="AX70" s="17" t="n"/>
    </row>
    <row r="71">
      <c r="A71" s="8" t="n"/>
      <c r="B71" s="8" t="n"/>
      <c r="C71" s="8" t="n"/>
      <c r="D71" s="8" t="n"/>
      <c r="E71" s="9" t="n"/>
      <c r="F71" s="9" t="n"/>
      <c r="G71" s="8" t="n"/>
      <c r="H71" s="9" t="n"/>
      <c r="I71" s="9" t="n"/>
      <c r="J71" s="10" t="n"/>
      <c r="K71" s="10" t="n"/>
      <c r="L71" s="11">
        <f>IF($S71="","",IF($S71="ITEM_PRICE_PLUS_DECLARED_DELIVERY",IF(OR($J71="",$K71=""),"",SUM($J71,$K71,$U71)),IF($S71="TOTAL_AMOUNT_INCLUDING_DELIVERY",IF($T71="","",$T71),IF($S71="DELIVERY_CHARGE_ONLY",IF($K71="","",SUM($K71,$U71)),IF($S71="EXACT_COLLECTION_AMOUNT",IF($T71="","",$T71),IF($S71="ITEM_PRICE_ONLY_DELIVERY_PAID_BY_MERCHANT",IF($J71="","",SUM($J71,$U71)),""))))))</f>
        <v/>
      </c>
      <c r="M71" s="12" t="n"/>
      <c r="N71" s="13" t="n"/>
      <c r="O71" s="13" t="n"/>
      <c r="P71" s="9" t="n"/>
      <c r="Q71" s="14" t="n"/>
      <c r="R71" s="15" t="n"/>
      <c r="S71" s="14" t="n"/>
      <c r="T71" s="16" t="n"/>
      <c r="U71" s="16" t="n"/>
      <c r="V71" s="16" t="n"/>
      <c r="W71" s="16" t="n"/>
      <c r="X71" s="16" t="n"/>
      <c r="Y71" s="16" t="n"/>
      <c r="Z71" s="14" t="n"/>
      <c r="AA71" s="14" t="n"/>
      <c r="AB71" s="14" t="n"/>
      <c r="AC71" s="17">
        <f>IFERROR(VLOOKUP($H71&amp;"|"&amp;$Q71,Tariff_Master!$A$2:$L$169,3,FALSE),"")</f>
        <v/>
      </c>
      <c r="AD71" s="17">
        <f>IFERROR(VLOOKUP($H71&amp;"|"&amp;$Q71,Tariff_Master!$A$2:$L$169,4,FALSE),"")</f>
        <v/>
      </c>
      <c r="AE71" s="18">
        <f>IFERROR(VLOOKUP($H71&amp;"|"&amp;$Q71,Tariff_Master!$A$2:$L$169,6,FALSE),"")</f>
        <v/>
      </c>
      <c r="AF71" s="19">
        <f>IFERROR(VLOOKUP($H71&amp;"|"&amp;$Q71,Tariff_Master!$A$2:$L$169,7,FALSE),"")</f>
        <v/>
      </c>
      <c r="AG71" s="18">
        <f>IFERROR(VLOOKUP($H71&amp;"|"&amp;$Q71,Tariff_Master!$A$2:$L$169,8,FALSE),"")</f>
        <v/>
      </c>
      <c r="AH71" s="20">
        <f>IFERROR(VLOOKUP($H71&amp;"|"&amp;$Q71,Tariff_Master!$A$2:$L$169,9,FALSE),"")</f>
        <v/>
      </c>
      <c r="AI71" s="18">
        <f>IFERROR(VLOOKUP($H71&amp;"|"&amp;$Q71,Tariff_Master!$A$2:$L$169,10,FALSE),"")</f>
        <v/>
      </c>
      <c r="AJ71" s="21">
        <f>IF($M71="","",ROUNDUP(MAX(0,$M71),0))</f>
        <v/>
      </c>
      <c r="AK71" s="21">
        <f>IF(OR($AJ71="",$AF71=""),"",MAX(0,$AJ71-$AF71))</f>
        <v/>
      </c>
      <c r="AL71" s="22">
        <f>IF(OR($AK71="",$AG71=""),"",MAX(0,$AK71*$AG71))</f>
        <v/>
      </c>
      <c r="AM71" s="22">
        <f>IF($AE71="","",MAX(0,SUM($AE71,$AL71,$V71,$W71)))</f>
        <v/>
      </c>
      <c r="AN71" s="22">
        <f>IF($AM71="","",IF(AND($Q71="COMMITMENT",$R71&gt;=$AH71),$AI71,0))</f>
        <v/>
      </c>
      <c r="AO71" s="23">
        <f>IF($AM71="","",MAX(0,$AM71-$AN71))</f>
        <v/>
      </c>
      <c r="AP71" s="22">
        <f>IF($S71="","",IF(OR($S71="ITEM_PRICE_PLUS_DECLARED_DELIVERY",$S71="DELIVERY_CHARGE_ONLY"),$K71,IF($S71="TOTAL_AMOUNT_INCLUDING_DELIVERY",IF(OR($T71="",$J71=""),"",MAX(0,$T71-$J71-$U71)),IF($S71="ITEM_PRICE_ONLY_DELIVERY_PAID_BY_MERCHANT",0,""))))</f>
        <v/>
      </c>
      <c r="AQ71" s="23">
        <f>IF(OR($AP71="",$AO71=""),"",$AP71-$AO71)</f>
        <v/>
      </c>
      <c r="AR71" s="24">
        <f>IF($S71="EXACT_COLLECTION_AMOUNT","BREAKDOWN_REQUIRED",IF($AQ71="","",IF($AQ71&gt;0,"CREDIT_TO_MERCHANT",IF($AQ71&lt;0,"DEDUCT_FROM_MERCHANT","NO_ADJUSTMENT"))))</f>
        <v/>
      </c>
      <c r="AS71" s="23">
        <f>IF(OR($AQ71="",$AR71="BREAKDOWN_REQUIRED"),"",$AQ71)</f>
        <v/>
      </c>
      <c r="AT71" s="23">
        <f>IF(OR($AR71="",$AR71="BREAKDOWN_REQUIRED"),"",SUM($J71,$AQ71,$Y71)-$X71)</f>
        <v/>
      </c>
      <c r="AU71" s="25">
        <f>IF(AND($A71="",$B71="",$F71="",$H71="",$J71="",$K71="",$M71="",$S71=""),"",IF(OR($H71="",$Q71="",$M71="",$S71=""),"ERROR",IF(OR($J71&lt;0,$K71&lt;0,$M71&lt;0,$T71&lt;0,$U71&lt;0,$V71&lt;0,$W71&lt;0,$X71&lt;0,$Y71&lt;0),"ERROR",IF($AE71="","ERROR",IF(AND(OR($S71="ITEM_PRICE_PLUS_DECLARED_DELIVERY",$S71="TOTAL_AMOUNT_INCLUDING_DELIVERY",$S71="ITEM_PRICE_ONLY_DELIVERY_PAID_BY_MERCHANT"),$J71=""),"ERROR",IF(AND(OR($S71="ITEM_PRICE_PLUS_DECLARED_DELIVERY",$S71="DELIVERY_CHARGE_ONLY"),$K71=""),"ERROR",IF(AND(OR($S71="TOTAL_AMOUNT_INCLUDING_DELIVERY",$S71="EXACT_COLLECTION_AMOUNT"),$T71=""),"ERROR",IF(AND($S71="TOTAL_AMOUNT_INCLUDING_DELIVERY",$T71&lt;SUM($J71,$U71)),"ERROR",IF($S71="EXACT_COLLECTION_AMOUNT","REVIEW","OK")))))))))</f>
        <v/>
      </c>
      <c r="AV71" s="25">
        <f>IF($AU71="","",IF($H71="","Township required",IF($Q71="","Customer tier required",IF($M71="","Weight required",IF($S71="","Amount entry type required",IF(OR($J71&lt;0,$K71&lt;0,$M71&lt;0,$T71&lt;0,$U71&lt;0,$V71&lt;0,$W71&lt;0,$X71&lt;0,$Y71&lt;0),"Negative amounts are not allowed",IF($AE71="","Tariff not found for township and tier",IF(AND(OR($S71="ITEM_PRICE_PLUS_DECLARED_DELIVERY",$S71="TOTAL_AMOUNT_INCLUDING_DELIVERY",$S71="ITEM_PRICE_ONLY_DELIVERY_PAID_BY_MERCHANT"),$J71=""),"Item price required for this amount type",IF(AND(OR($S71="ITEM_PRICE_PLUS_DECLARED_DELIVERY",$S71="DELIVERY_CHARGE_ONLY"),$K71=""),"Declared delivery charge required",IF(AND(OR($S71="TOTAL_AMOUNT_INCLUDING_DELIVERY",$S71="EXACT_COLLECTION_AMOUNT"),$T71=""),"Stated total amount required",IF(AND($S71="TOTAL_AMOUNT_INCLUDING_DELIVERY",$T71&lt;SUM($J71,$U71)),"Stated total is below item price plus additional charge",IF($S71="EXACT_COLLECTION_AMOUNT","Authorized amount breakdown required before settlement","Ready for collection and settlement"))))))))))))</f>
        <v/>
      </c>
      <c r="AW71" s="23">
        <f>IF($AU71="","","PARCEL_FINANCIAL_V2")</f>
        <v/>
      </c>
      <c r="AX71" s="17" t="n"/>
    </row>
    <row r="72">
      <c r="A72" s="8" t="n"/>
      <c r="B72" s="8" t="n"/>
      <c r="C72" s="8" t="n"/>
      <c r="D72" s="8" t="n"/>
      <c r="E72" s="9" t="n"/>
      <c r="F72" s="9" t="n"/>
      <c r="G72" s="8" t="n"/>
      <c r="H72" s="9" t="n"/>
      <c r="I72" s="9" t="n"/>
      <c r="J72" s="10" t="n"/>
      <c r="K72" s="10" t="n"/>
      <c r="L72" s="11">
        <f>IF($S72="","",IF($S72="ITEM_PRICE_PLUS_DECLARED_DELIVERY",IF(OR($J72="",$K72=""),"",SUM($J72,$K72,$U72)),IF($S72="TOTAL_AMOUNT_INCLUDING_DELIVERY",IF($T72="","",$T72),IF($S72="DELIVERY_CHARGE_ONLY",IF($K72="","",SUM($K72,$U72)),IF($S72="EXACT_COLLECTION_AMOUNT",IF($T72="","",$T72),IF($S72="ITEM_PRICE_ONLY_DELIVERY_PAID_BY_MERCHANT",IF($J72="","",SUM($J72,$U72)),""))))))</f>
        <v/>
      </c>
      <c r="M72" s="12" t="n"/>
      <c r="N72" s="13" t="n"/>
      <c r="O72" s="13" t="n"/>
      <c r="P72" s="9" t="n"/>
      <c r="Q72" s="14" t="n"/>
      <c r="R72" s="15" t="n"/>
      <c r="S72" s="14" t="n"/>
      <c r="T72" s="16" t="n"/>
      <c r="U72" s="16" t="n"/>
      <c r="V72" s="16" t="n"/>
      <c r="W72" s="16" t="n"/>
      <c r="X72" s="16" t="n"/>
      <c r="Y72" s="16" t="n"/>
      <c r="Z72" s="14" t="n"/>
      <c r="AA72" s="14" t="n"/>
      <c r="AB72" s="14" t="n"/>
      <c r="AC72" s="17">
        <f>IFERROR(VLOOKUP($H72&amp;"|"&amp;$Q72,Tariff_Master!$A$2:$L$169,3,FALSE),"")</f>
        <v/>
      </c>
      <c r="AD72" s="17">
        <f>IFERROR(VLOOKUP($H72&amp;"|"&amp;$Q72,Tariff_Master!$A$2:$L$169,4,FALSE),"")</f>
        <v/>
      </c>
      <c r="AE72" s="18">
        <f>IFERROR(VLOOKUP($H72&amp;"|"&amp;$Q72,Tariff_Master!$A$2:$L$169,6,FALSE),"")</f>
        <v/>
      </c>
      <c r="AF72" s="19">
        <f>IFERROR(VLOOKUP($H72&amp;"|"&amp;$Q72,Tariff_Master!$A$2:$L$169,7,FALSE),"")</f>
        <v/>
      </c>
      <c r="AG72" s="18">
        <f>IFERROR(VLOOKUP($H72&amp;"|"&amp;$Q72,Tariff_Master!$A$2:$L$169,8,FALSE),"")</f>
        <v/>
      </c>
      <c r="AH72" s="20">
        <f>IFERROR(VLOOKUP($H72&amp;"|"&amp;$Q72,Tariff_Master!$A$2:$L$169,9,FALSE),"")</f>
        <v/>
      </c>
      <c r="AI72" s="18">
        <f>IFERROR(VLOOKUP($H72&amp;"|"&amp;$Q72,Tariff_Master!$A$2:$L$169,10,FALSE),"")</f>
        <v/>
      </c>
      <c r="AJ72" s="21">
        <f>IF($M72="","",ROUNDUP(MAX(0,$M72),0))</f>
        <v/>
      </c>
      <c r="AK72" s="21">
        <f>IF(OR($AJ72="",$AF72=""),"",MAX(0,$AJ72-$AF72))</f>
        <v/>
      </c>
      <c r="AL72" s="22">
        <f>IF(OR($AK72="",$AG72=""),"",MAX(0,$AK72*$AG72))</f>
        <v/>
      </c>
      <c r="AM72" s="22">
        <f>IF($AE72="","",MAX(0,SUM($AE72,$AL72,$V72,$W72)))</f>
        <v/>
      </c>
      <c r="AN72" s="22">
        <f>IF($AM72="","",IF(AND($Q72="COMMITMENT",$R72&gt;=$AH72),$AI72,0))</f>
        <v/>
      </c>
      <c r="AO72" s="23">
        <f>IF($AM72="","",MAX(0,$AM72-$AN72))</f>
        <v/>
      </c>
      <c r="AP72" s="22">
        <f>IF($S72="","",IF(OR($S72="ITEM_PRICE_PLUS_DECLARED_DELIVERY",$S72="DELIVERY_CHARGE_ONLY"),$K72,IF($S72="TOTAL_AMOUNT_INCLUDING_DELIVERY",IF(OR($T72="",$J72=""),"",MAX(0,$T72-$J72-$U72)),IF($S72="ITEM_PRICE_ONLY_DELIVERY_PAID_BY_MERCHANT",0,""))))</f>
        <v/>
      </c>
      <c r="AQ72" s="23">
        <f>IF(OR($AP72="",$AO72=""),"",$AP72-$AO72)</f>
        <v/>
      </c>
      <c r="AR72" s="24">
        <f>IF($S72="EXACT_COLLECTION_AMOUNT","BREAKDOWN_REQUIRED",IF($AQ72="","",IF($AQ72&gt;0,"CREDIT_TO_MERCHANT",IF($AQ72&lt;0,"DEDUCT_FROM_MERCHANT","NO_ADJUSTMENT"))))</f>
        <v/>
      </c>
      <c r="AS72" s="23">
        <f>IF(OR($AQ72="",$AR72="BREAKDOWN_REQUIRED"),"",$AQ72)</f>
        <v/>
      </c>
      <c r="AT72" s="23">
        <f>IF(OR($AR72="",$AR72="BREAKDOWN_REQUIRED"),"",SUM($J72,$AQ72,$Y72)-$X72)</f>
        <v/>
      </c>
      <c r="AU72" s="25">
        <f>IF(AND($A72="",$B72="",$F72="",$H72="",$J72="",$K72="",$M72="",$S72=""),"",IF(OR($H72="",$Q72="",$M72="",$S72=""),"ERROR",IF(OR($J72&lt;0,$K72&lt;0,$M72&lt;0,$T72&lt;0,$U72&lt;0,$V72&lt;0,$W72&lt;0,$X72&lt;0,$Y72&lt;0),"ERROR",IF($AE72="","ERROR",IF(AND(OR($S72="ITEM_PRICE_PLUS_DECLARED_DELIVERY",$S72="TOTAL_AMOUNT_INCLUDING_DELIVERY",$S72="ITEM_PRICE_ONLY_DELIVERY_PAID_BY_MERCHANT"),$J72=""),"ERROR",IF(AND(OR($S72="ITEM_PRICE_PLUS_DECLARED_DELIVERY",$S72="DELIVERY_CHARGE_ONLY"),$K72=""),"ERROR",IF(AND(OR($S72="TOTAL_AMOUNT_INCLUDING_DELIVERY",$S72="EXACT_COLLECTION_AMOUNT"),$T72=""),"ERROR",IF(AND($S72="TOTAL_AMOUNT_INCLUDING_DELIVERY",$T72&lt;SUM($J72,$U72)),"ERROR",IF($S72="EXACT_COLLECTION_AMOUNT","REVIEW","OK")))))))))</f>
        <v/>
      </c>
      <c r="AV72" s="25">
        <f>IF($AU72="","",IF($H72="","Township required",IF($Q72="","Customer tier required",IF($M72="","Weight required",IF($S72="","Amount entry type required",IF(OR($J72&lt;0,$K72&lt;0,$M72&lt;0,$T72&lt;0,$U72&lt;0,$V72&lt;0,$W72&lt;0,$X72&lt;0,$Y72&lt;0),"Negative amounts are not allowed",IF($AE72="","Tariff not found for township and tier",IF(AND(OR($S72="ITEM_PRICE_PLUS_DECLARED_DELIVERY",$S72="TOTAL_AMOUNT_INCLUDING_DELIVERY",$S72="ITEM_PRICE_ONLY_DELIVERY_PAID_BY_MERCHANT"),$J72=""),"Item price required for this amount type",IF(AND(OR($S72="ITEM_PRICE_PLUS_DECLARED_DELIVERY",$S72="DELIVERY_CHARGE_ONLY"),$K72=""),"Declared delivery charge required",IF(AND(OR($S72="TOTAL_AMOUNT_INCLUDING_DELIVERY",$S72="EXACT_COLLECTION_AMOUNT"),$T72=""),"Stated total amount required",IF(AND($S72="TOTAL_AMOUNT_INCLUDING_DELIVERY",$T72&lt;SUM($J72,$U72)),"Stated total is below item price plus additional charge",IF($S72="EXACT_COLLECTION_AMOUNT","Authorized amount breakdown required before settlement","Ready for collection and settlement"))))))))))))</f>
        <v/>
      </c>
      <c r="AW72" s="23">
        <f>IF($AU72="","","PARCEL_FINANCIAL_V2")</f>
        <v/>
      </c>
      <c r="AX72" s="17" t="n"/>
    </row>
    <row r="73">
      <c r="A73" s="8" t="n"/>
      <c r="B73" s="8" t="n"/>
      <c r="C73" s="8" t="n"/>
      <c r="D73" s="8" t="n"/>
      <c r="E73" s="9" t="n"/>
      <c r="F73" s="9" t="n"/>
      <c r="G73" s="8" t="n"/>
      <c r="H73" s="9" t="n"/>
      <c r="I73" s="9" t="n"/>
      <c r="J73" s="10" t="n"/>
      <c r="K73" s="10" t="n"/>
      <c r="L73" s="11">
        <f>IF($S73="","",IF($S73="ITEM_PRICE_PLUS_DECLARED_DELIVERY",IF(OR($J73="",$K73=""),"",SUM($J73,$K73,$U73)),IF($S73="TOTAL_AMOUNT_INCLUDING_DELIVERY",IF($T73="","",$T73),IF($S73="DELIVERY_CHARGE_ONLY",IF($K73="","",SUM($K73,$U73)),IF($S73="EXACT_COLLECTION_AMOUNT",IF($T73="","",$T73),IF($S73="ITEM_PRICE_ONLY_DELIVERY_PAID_BY_MERCHANT",IF($J73="","",SUM($J73,$U73)),""))))))</f>
        <v/>
      </c>
      <c r="M73" s="12" t="n"/>
      <c r="N73" s="13" t="n"/>
      <c r="O73" s="13" t="n"/>
      <c r="P73" s="9" t="n"/>
      <c r="Q73" s="14" t="n"/>
      <c r="R73" s="15" t="n"/>
      <c r="S73" s="14" t="n"/>
      <c r="T73" s="16" t="n"/>
      <c r="U73" s="16" t="n"/>
      <c r="V73" s="16" t="n"/>
      <c r="W73" s="16" t="n"/>
      <c r="X73" s="16" t="n"/>
      <c r="Y73" s="16" t="n"/>
      <c r="Z73" s="14" t="n"/>
      <c r="AA73" s="14" t="n"/>
      <c r="AB73" s="14" t="n"/>
      <c r="AC73" s="17">
        <f>IFERROR(VLOOKUP($H73&amp;"|"&amp;$Q73,Tariff_Master!$A$2:$L$169,3,FALSE),"")</f>
        <v/>
      </c>
      <c r="AD73" s="17">
        <f>IFERROR(VLOOKUP($H73&amp;"|"&amp;$Q73,Tariff_Master!$A$2:$L$169,4,FALSE),"")</f>
        <v/>
      </c>
      <c r="AE73" s="18">
        <f>IFERROR(VLOOKUP($H73&amp;"|"&amp;$Q73,Tariff_Master!$A$2:$L$169,6,FALSE),"")</f>
        <v/>
      </c>
      <c r="AF73" s="19">
        <f>IFERROR(VLOOKUP($H73&amp;"|"&amp;$Q73,Tariff_Master!$A$2:$L$169,7,FALSE),"")</f>
        <v/>
      </c>
      <c r="AG73" s="18">
        <f>IFERROR(VLOOKUP($H73&amp;"|"&amp;$Q73,Tariff_Master!$A$2:$L$169,8,FALSE),"")</f>
        <v/>
      </c>
      <c r="AH73" s="20">
        <f>IFERROR(VLOOKUP($H73&amp;"|"&amp;$Q73,Tariff_Master!$A$2:$L$169,9,FALSE),"")</f>
        <v/>
      </c>
      <c r="AI73" s="18">
        <f>IFERROR(VLOOKUP($H73&amp;"|"&amp;$Q73,Tariff_Master!$A$2:$L$169,10,FALSE),"")</f>
        <v/>
      </c>
      <c r="AJ73" s="21">
        <f>IF($M73="","",ROUNDUP(MAX(0,$M73),0))</f>
        <v/>
      </c>
      <c r="AK73" s="21">
        <f>IF(OR($AJ73="",$AF73=""),"",MAX(0,$AJ73-$AF73))</f>
        <v/>
      </c>
      <c r="AL73" s="22">
        <f>IF(OR($AK73="",$AG73=""),"",MAX(0,$AK73*$AG73))</f>
        <v/>
      </c>
      <c r="AM73" s="22">
        <f>IF($AE73="","",MAX(0,SUM($AE73,$AL73,$V73,$W73)))</f>
        <v/>
      </c>
      <c r="AN73" s="22">
        <f>IF($AM73="","",IF(AND($Q73="COMMITMENT",$R73&gt;=$AH73),$AI73,0))</f>
        <v/>
      </c>
      <c r="AO73" s="23">
        <f>IF($AM73="","",MAX(0,$AM73-$AN73))</f>
        <v/>
      </c>
      <c r="AP73" s="22">
        <f>IF($S73="","",IF(OR($S73="ITEM_PRICE_PLUS_DECLARED_DELIVERY",$S73="DELIVERY_CHARGE_ONLY"),$K73,IF($S73="TOTAL_AMOUNT_INCLUDING_DELIVERY",IF(OR($T73="",$J73=""),"",MAX(0,$T73-$J73-$U73)),IF($S73="ITEM_PRICE_ONLY_DELIVERY_PAID_BY_MERCHANT",0,""))))</f>
        <v/>
      </c>
      <c r="AQ73" s="23">
        <f>IF(OR($AP73="",$AO73=""),"",$AP73-$AO73)</f>
        <v/>
      </c>
      <c r="AR73" s="24">
        <f>IF($S73="EXACT_COLLECTION_AMOUNT","BREAKDOWN_REQUIRED",IF($AQ73="","",IF($AQ73&gt;0,"CREDIT_TO_MERCHANT",IF($AQ73&lt;0,"DEDUCT_FROM_MERCHANT","NO_ADJUSTMENT"))))</f>
        <v/>
      </c>
      <c r="AS73" s="23">
        <f>IF(OR($AQ73="",$AR73="BREAKDOWN_REQUIRED"),"",$AQ73)</f>
        <v/>
      </c>
      <c r="AT73" s="23">
        <f>IF(OR($AR73="",$AR73="BREAKDOWN_REQUIRED"),"",SUM($J73,$AQ73,$Y73)-$X73)</f>
        <v/>
      </c>
      <c r="AU73" s="25">
        <f>IF(AND($A73="",$B73="",$F73="",$H73="",$J73="",$K73="",$M73="",$S73=""),"",IF(OR($H73="",$Q73="",$M73="",$S73=""),"ERROR",IF(OR($J73&lt;0,$K73&lt;0,$M73&lt;0,$T73&lt;0,$U73&lt;0,$V73&lt;0,$W73&lt;0,$X73&lt;0,$Y73&lt;0),"ERROR",IF($AE73="","ERROR",IF(AND(OR($S73="ITEM_PRICE_PLUS_DECLARED_DELIVERY",$S73="TOTAL_AMOUNT_INCLUDING_DELIVERY",$S73="ITEM_PRICE_ONLY_DELIVERY_PAID_BY_MERCHANT"),$J73=""),"ERROR",IF(AND(OR($S73="ITEM_PRICE_PLUS_DECLARED_DELIVERY",$S73="DELIVERY_CHARGE_ONLY"),$K73=""),"ERROR",IF(AND(OR($S73="TOTAL_AMOUNT_INCLUDING_DELIVERY",$S73="EXACT_COLLECTION_AMOUNT"),$T73=""),"ERROR",IF(AND($S73="TOTAL_AMOUNT_INCLUDING_DELIVERY",$T73&lt;SUM($J73,$U73)),"ERROR",IF($S73="EXACT_COLLECTION_AMOUNT","REVIEW","OK")))))))))</f>
        <v/>
      </c>
      <c r="AV73" s="25">
        <f>IF($AU73="","",IF($H73="","Township required",IF($Q73="","Customer tier required",IF($M73="","Weight required",IF($S73="","Amount entry type required",IF(OR($J73&lt;0,$K73&lt;0,$M73&lt;0,$T73&lt;0,$U73&lt;0,$V73&lt;0,$W73&lt;0,$X73&lt;0,$Y73&lt;0),"Negative amounts are not allowed",IF($AE73="","Tariff not found for township and tier",IF(AND(OR($S73="ITEM_PRICE_PLUS_DECLARED_DELIVERY",$S73="TOTAL_AMOUNT_INCLUDING_DELIVERY",$S73="ITEM_PRICE_ONLY_DELIVERY_PAID_BY_MERCHANT"),$J73=""),"Item price required for this amount type",IF(AND(OR($S73="ITEM_PRICE_PLUS_DECLARED_DELIVERY",$S73="DELIVERY_CHARGE_ONLY"),$K73=""),"Declared delivery charge required",IF(AND(OR($S73="TOTAL_AMOUNT_INCLUDING_DELIVERY",$S73="EXACT_COLLECTION_AMOUNT"),$T73=""),"Stated total amount required",IF(AND($S73="TOTAL_AMOUNT_INCLUDING_DELIVERY",$T73&lt;SUM($J73,$U73)),"Stated total is below item price plus additional charge",IF($S73="EXACT_COLLECTION_AMOUNT","Authorized amount breakdown required before settlement","Ready for collection and settlement"))))))))))))</f>
        <v/>
      </c>
      <c r="AW73" s="23">
        <f>IF($AU73="","","PARCEL_FINANCIAL_V2")</f>
        <v/>
      </c>
      <c r="AX73" s="17" t="n"/>
    </row>
    <row r="74">
      <c r="A74" s="8" t="n"/>
      <c r="B74" s="8" t="n"/>
      <c r="C74" s="8" t="n"/>
      <c r="D74" s="8" t="n"/>
      <c r="E74" s="9" t="n"/>
      <c r="F74" s="9" t="n"/>
      <c r="G74" s="8" t="n"/>
      <c r="H74" s="9" t="n"/>
      <c r="I74" s="9" t="n"/>
      <c r="J74" s="10" t="n"/>
      <c r="K74" s="10" t="n"/>
      <c r="L74" s="11">
        <f>IF($S74="","",IF($S74="ITEM_PRICE_PLUS_DECLARED_DELIVERY",IF(OR($J74="",$K74=""),"",SUM($J74,$K74,$U74)),IF($S74="TOTAL_AMOUNT_INCLUDING_DELIVERY",IF($T74="","",$T74),IF($S74="DELIVERY_CHARGE_ONLY",IF($K74="","",SUM($K74,$U74)),IF($S74="EXACT_COLLECTION_AMOUNT",IF($T74="","",$T74),IF($S74="ITEM_PRICE_ONLY_DELIVERY_PAID_BY_MERCHANT",IF($J74="","",SUM($J74,$U74)),""))))))</f>
        <v/>
      </c>
      <c r="M74" s="12" t="n"/>
      <c r="N74" s="13" t="n"/>
      <c r="O74" s="13" t="n"/>
      <c r="P74" s="9" t="n"/>
      <c r="Q74" s="14" t="n"/>
      <c r="R74" s="15" t="n"/>
      <c r="S74" s="14" t="n"/>
      <c r="T74" s="16" t="n"/>
      <c r="U74" s="16" t="n"/>
      <c r="V74" s="16" t="n"/>
      <c r="W74" s="16" t="n"/>
      <c r="X74" s="16" t="n"/>
      <c r="Y74" s="16" t="n"/>
      <c r="Z74" s="14" t="n"/>
      <c r="AA74" s="14" t="n"/>
      <c r="AB74" s="14" t="n"/>
      <c r="AC74" s="17">
        <f>IFERROR(VLOOKUP($H74&amp;"|"&amp;$Q74,Tariff_Master!$A$2:$L$169,3,FALSE),"")</f>
        <v/>
      </c>
      <c r="AD74" s="17">
        <f>IFERROR(VLOOKUP($H74&amp;"|"&amp;$Q74,Tariff_Master!$A$2:$L$169,4,FALSE),"")</f>
        <v/>
      </c>
      <c r="AE74" s="18">
        <f>IFERROR(VLOOKUP($H74&amp;"|"&amp;$Q74,Tariff_Master!$A$2:$L$169,6,FALSE),"")</f>
        <v/>
      </c>
      <c r="AF74" s="19">
        <f>IFERROR(VLOOKUP($H74&amp;"|"&amp;$Q74,Tariff_Master!$A$2:$L$169,7,FALSE),"")</f>
        <v/>
      </c>
      <c r="AG74" s="18">
        <f>IFERROR(VLOOKUP($H74&amp;"|"&amp;$Q74,Tariff_Master!$A$2:$L$169,8,FALSE),"")</f>
        <v/>
      </c>
      <c r="AH74" s="20">
        <f>IFERROR(VLOOKUP($H74&amp;"|"&amp;$Q74,Tariff_Master!$A$2:$L$169,9,FALSE),"")</f>
        <v/>
      </c>
      <c r="AI74" s="18">
        <f>IFERROR(VLOOKUP($H74&amp;"|"&amp;$Q74,Tariff_Master!$A$2:$L$169,10,FALSE),"")</f>
        <v/>
      </c>
      <c r="AJ74" s="21">
        <f>IF($M74="","",ROUNDUP(MAX(0,$M74),0))</f>
        <v/>
      </c>
      <c r="AK74" s="21">
        <f>IF(OR($AJ74="",$AF74=""),"",MAX(0,$AJ74-$AF74))</f>
        <v/>
      </c>
      <c r="AL74" s="22">
        <f>IF(OR($AK74="",$AG74=""),"",MAX(0,$AK74*$AG74))</f>
        <v/>
      </c>
      <c r="AM74" s="22">
        <f>IF($AE74="","",MAX(0,SUM($AE74,$AL74,$V74,$W74)))</f>
        <v/>
      </c>
      <c r="AN74" s="22">
        <f>IF($AM74="","",IF(AND($Q74="COMMITMENT",$R74&gt;=$AH74),$AI74,0))</f>
        <v/>
      </c>
      <c r="AO74" s="23">
        <f>IF($AM74="","",MAX(0,$AM74-$AN74))</f>
        <v/>
      </c>
      <c r="AP74" s="22">
        <f>IF($S74="","",IF(OR($S74="ITEM_PRICE_PLUS_DECLARED_DELIVERY",$S74="DELIVERY_CHARGE_ONLY"),$K74,IF($S74="TOTAL_AMOUNT_INCLUDING_DELIVERY",IF(OR($T74="",$J74=""),"",MAX(0,$T74-$J74-$U74)),IF($S74="ITEM_PRICE_ONLY_DELIVERY_PAID_BY_MERCHANT",0,""))))</f>
        <v/>
      </c>
      <c r="AQ74" s="23">
        <f>IF(OR($AP74="",$AO74=""),"",$AP74-$AO74)</f>
        <v/>
      </c>
      <c r="AR74" s="24">
        <f>IF($S74="EXACT_COLLECTION_AMOUNT","BREAKDOWN_REQUIRED",IF($AQ74="","",IF($AQ74&gt;0,"CREDIT_TO_MERCHANT",IF($AQ74&lt;0,"DEDUCT_FROM_MERCHANT","NO_ADJUSTMENT"))))</f>
        <v/>
      </c>
      <c r="AS74" s="23">
        <f>IF(OR($AQ74="",$AR74="BREAKDOWN_REQUIRED"),"",$AQ74)</f>
        <v/>
      </c>
      <c r="AT74" s="23">
        <f>IF(OR($AR74="",$AR74="BREAKDOWN_REQUIRED"),"",SUM($J74,$AQ74,$Y74)-$X74)</f>
        <v/>
      </c>
      <c r="AU74" s="25">
        <f>IF(AND($A74="",$B74="",$F74="",$H74="",$J74="",$K74="",$M74="",$S74=""),"",IF(OR($H74="",$Q74="",$M74="",$S74=""),"ERROR",IF(OR($J74&lt;0,$K74&lt;0,$M74&lt;0,$T74&lt;0,$U74&lt;0,$V74&lt;0,$W74&lt;0,$X74&lt;0,$Y74&lt;0),"ERROR",IF($AE74="","ERROR",IF(AND(OR($S74="ITEM_PRICE_PLUS_DECLARED_DELIVERY",$S74="TOTAL_AMOUNT_INCLUDING_DELIVERY",$S74="ITEM_PRICE_ONLY_DELIVERY_PAID_BY_MERCHANT"),$J74=""),"ERROR",IF(AND(OR($S74="ITEM_PRICE_PLUS_DECLARED_DELIVERY",$S74="DELIVERY_CHARGE_ONLY"),$K74=""),"ERROR",IF(AND(OR($S74="TOTAL_AMOUNT_INCLUDING_DELIVERY",$S74="EXACT_COLLECTION_AMOUNT"),$T74=""),"ERROR",IF(AND($S74="TOTAL_AMOUNT_INCLUDING_DELIVERY",$T74&lt;SUM($J74,$U74)),"ERROR",IF($S74="EXACT_COLLECTION_AMOUNT","REVIEW","OK")))))))))</f>
        <v/>
      </c>
      <c r="AV74" s="25">
        <f>IF($AU74="","",IF($H74="","Township required",IF($Q74="","Customer tier required",IF($M74="","Weight required",IF($S74="","Amount entry type required",IF(OR($J74&lt;0,$K74&lt;0,$M74&lt;0,$T74&lt;0,$U74&lt;0,$V74&lt;0,$W74&lt;0,$X74&lt;0,$Y74&lt;0),"Negative amounts are not allowed",IF($AE74="","Tariff not found for township and tier",IF(AND(OR($S74="ITEM_PRICE_PLUS_DECLARED_DELIVERY",$S74="TOTAL_AMOUNT_INCLUDING_DELIVERY",$S74="ITEM_PRICE_ONLY_DELIVERY_PAID_BY_MERCHANT"),$J74=""),"Item price required for this amount type",IF(AND(OR($S74="ITEM_PRICE_PLUS_DECLARED_DELIVERY",$S74="DELIVERY_CHARGE_ONLY"),$K74=""),"Declared delivery charge required",IF(AND(OR($S74="TOTAL_AMOUNT_INCLUDING_DELIVERY",$S74="EXACT_COLLECTION_AMOUNT"),$T74=""),"Stated total amount required",IF(AND($S74="TOTAL_AMOUNT_INCLUDING_DELIVERY",$T74&lt;SUM($J74,$U74)),"Stated total is below item price plus additional charge",IF($S74="EXACT_COLLECTION_AMOUNT","Authorized amount breakdown required before settlement","Ready for collection and settlement"))))))))))))</f>
        <v/>
      </c>
      <c r="AW74" s="23">
        <f>IF($AU74="","","PARCEL_FINANCIAL_V2")</f>
        <v/>
      </c>
      <c r="AX74" s="17" t="n"/>
    </row>
    <row r="75">
      <c r="A75" s="8" t="n"/>
      <c r="B75" s="8" t="n"/>
      <c r="C75" s="8" t="n"/>
      <c r="D75" s="8" t="n"/>
      <c r="E75" s="9" t="n"/>
      <c r="F75" s="9" t="n"/>
      <c r="G75" s="8" t="n"/>
      <c r="H75" s="9" t="n"/>
      <c r="I75" s="9" t="n"/>
      <c r="J75" s="10" t="n"/>
      <c r="K75" s="10" t="n"/>
      <c r="L75" s="11">
        <f>IF($S75="","",IF($S75="ITEM_PRICE_PLUS_DECLARED_DELIVERY",IF(OR($J75="",$K75=""),"",SUM($J75,$K75,$U75)),IF($S75="TOTAL_AMOUNT_INCLUDING_DELIVERY",IF($T75="","",$T75),IF($S75="DELIVERY_CHARGE_ONLY",IF($K75="","",SUM($K75,$U75)),IF($S75="EXACT_COLLECTION_AMOUNT",IF($T75="","",$T75),IF($S75="ITEM_PRICE_ONLY_DELIVERY_PAID_BY_MERCHANT",IF($J75="","",SUM($J75,$U75)),""))))))</f>
        <v/>
      </c>
      <c r="M75" s="12" t="n"/>
      <c r="N75" s="13" t="n"/>
      <c r="O75" s="13" t="n"/>
      <c r="P75" s="9" t="n"/>
      <c r="Q75" s="14" t="n"/>
      <c r="R75" s="15" t="n"/>
      <c r="S75" s="14" t="n"/>
      <c r="T75" s="16" t="n"/>
      <c r="U75" s="16" t="n"/>
      <c r="V75" s="16" t="n"/>
      <c r="W75" s="16" t="n"/>
      <c r="X75" s="16" t="n"/>
      <c r="Y75" s="16" t="n"/>
      <c r="Z75" s="14" t="n"/>
      <c r="AA75" s="14" t="n"/>
      <c r="AB75" s="14" t="n"/>
      <c r="AC75" s="17">
        <f>IFERROR(VLOOKUP($H75&amp;"|"&amp;$Q75,Tariff_Master!$A$2:$L$169,3,FALSE),"")</f>
        <v/>
      </c>
      <c r="AD75" s="17">
        <f>IFERROR(VLOOKUP($H75&amp;"|"&amp;$Q75,Tariff_Master!$A$2:$L$169,4,FALSE),"")</f>
        <v/>
      </c>
      <c r="AE75" s="18">
        <f>IFERROR(VLOOKUP($H75&amp;"|"&amp;$Q75,Tariff_Master!$A$2:$L$169,6,FALSE),"")</f>
        <v/>
      </c>
      <c r="AF75" s="19">
        <f>IFERROR(VLOOKUP($H75&amp;"|"&amp;$Q75,Tariff_Master!$A$2:$L$169,7,FALSE),"")</f>
        <v/>
      </c>
      <c r="AG75" s="18">
        <f>IFERROR(VLOOKUP($H75&amp;"|"&amp;$Q75,Tariff_Master!$A$2:$L$169,8,FALSE),"")</f>
        <v/>
      </c>
      <c r="AH75" s="20">
        <f>IFERROR(VLOOKUP($H75&amp;"|"&amp;$Q75,Tariff_Master!$A$2:$L$169,9,FALSE),"")</f>
        <v/>
      </c>
      <c r="AI75" s="18">
        <f>IFERROR(VLOOKUP($H75&amp;"|"&amp;$Q75,Tariff_Master!$A$2:$L$169,10,FALSE),"")</f>
        <v/>
      </c>
      <c r="AJ75" s="21">
        <f>IF($M75="","",ROUNDUP(MAX(0,$M75),0))</f>
        <v/>
      </c>
      <c r="AK75" s="21">
        <f>IF(OR($AJ75="",$AF75=""),"",MAX(0,$AJ75-$AF75))</f>
        <v/>
      </c>
      <c r="AL75" s="22">
        <f>IF(OR($AK75="",$AG75=""),"",MAX(0,$AK75*$AG75))</f>
        <v/>
      </c>
      <c r="AM75" s="22">
        <f>IF($AE75="","",MAX(0,SUM($AE75,$AL75,$V75,$W75)))</f>
        <v/>
      </c>
      <c r="AN75" s="22">
        <f>IF($AM75="","",IF(AND($Q75="COMMITMENT",$R75&gt;=$AH75),$AI75,0))</f>
        <v/>
      </c>
      <c r="AO75" s="23">
        <f>IF($AM75="","",MAX(0,$AM75-$AN75))</f>
        <v/>
      </c>
      <c r="AP75" s="22">
        <f>IF($S75="","",IF(OR($S75="ITEM_PRICE_PLUS_DECLARED_DELIVERY",$S75="DELIVERY_CHARGE_ONLY"),$K75,IF($S75="TOTAL_AMOUNT_INCLUDING_DELIVERY",IF(OR($T75="",$J75=""),"",MAX(0,$T75-$J75-$U75)),IF($S75="ITEM_PRICE_ONLY_DELIVERY_PAID_BY_MERCHANT",0,""))))</f>
        <v/>
      </c>
      <c r="AQ75" s="23">
        <f>IF(OR($AP75="",$AO75=""),"",$AP75-$AO75)</f>
        <v/>
      </c>
      <c r="AR75" s="24">
        <f>IF($S75="EXACT_COLLECTION_AMOUNT","BREAKDOWN_REQUIRED",IF($AQ75="","",IF($AQ75&gt;0,"CREDIT_TO_MERCHANT",IF($AQ75&lt;0,"DEDUCT_FROM_MERCHANT","NO_ADJUSTMENT"))))</f>
        <v/>
      </c>
      <c r="AS75" s="23">
        <f>IF(OR($AQ75="",$AR75="BREAKDOWN_REQUIRED"),"",$AQ75)</f>
        <v/>
      </c>
      <c r="AT75" s="23">
        <f>IF(OR($AR75="",$AR75="BREAKDOWN_REQUIRED"),"",SUM($J75,$AQ75,$Y75)-$X75)</f>
        <v/>
      </c>
      <c r="AU75" s="25">
        <f>IF(AND($A75="",$B75="",$F75="",$H75="",$J75="",$K75="",$M75="",$S75=""),"",IF(OR($H75="",$Q75="",$M75="",$S75=""),"ERROR",IF(OR($J75&lt;0,$K75&lt;0,$M75&lt;0,$T75&lt;0,$U75&lt;0,$V75&lt;0,$W75&lt;0,$X75&lt;0,$Y75&lt;0),"ERROR",IF($AE75="","ERROR",IF(AND(OR($S75="ITEM_PRICE_PLUS_DECLARED_DELIVERY",$S75="TOTAL_AMOUNT_INCLUDING_DELIVERY",$S75="ITEM_PRICE_ONLY_DELIVERY_PAID_BY_MERCHANT"),$J75=""),"ERROR",IF(AND(OR($S75="ITEM_PRICE_PLUS_DECLARED_DELIVERY",$S75="DELIVERY_CHARGE_ONLY"),$K75=""),"ERROR",IF(AND(OR($S75="TOTAL_AMOUNT_INCLUDING_DELIVERY",$S75="EXACT_COLLECTION_AMOUNT"),$T75=""),"ERROR",IF(AND($S75="TOTAL_AMOUNT_INCLUDING_DELIVERY",$T75&lt;SUM($J75,$U75)),"ERROR",IF($S75="EXACT_COLLECTION_AMOUNT","REVIEW","OK")))))))))</f>
        <v/>
      </c>
      <c r="AV75" s="25">
        <f>IF($AU75="","",IF($H75="","Township required",IF($Q75="","Customer tier required",IF($M75="","Weight required",IF($S75="","Amount entry type required",IF(OR($J75&lt;0,$K75&lt;0,$M75&lt;0,$T75&lt;0,$U75&lt;0,$V75&lt;0,$W75&lt;0,$X75&lt;0,$Y75&lt;0),"Negative amounts are not allowed",IF($AE75="","Tariff not found for township and tier",IF(AND(OR($S75="ITEM_PRICE_PLUS_DECLARED_DELIVERY",$S75="TOTAL_AMOUNT_INCLUDING_DELIVERY",$S75="ITEM_PRICE_ONLY_DELIVERY_PAID_BY_MERCHANT"),$J75=""),"Item price required for this amount type",IF(AND(OR($S75="ITEM_PRICE_PLUS_DECLARED_DELIVERY",$S75="DELIVERY_CHARGE_ONLY"),$K75=""),"Declared delivery charge required",IF(AND(OR($S75="TOTAL_AMOUNT_INCLUDING_DELIVERY",$S75="EXACT_COLLECTION_AMOUNT"),$T75=""),"Stated total amount required",IF(AND($S75="TOTAL_AMOUNT_INCLUDING_DELIVERY",$T75&lt;SUM($J75,$U75)),"Stated total is below item price plus additional charge",IF($S75="EXACT_COLLECTION_AMOUNT","Authorized amount breakdown required before settlement","Ready for collection and settlement"))))))))))))</f>
        <v/>
      </c>
      <c r="AW75" s="23">
        <f>IF($AU75="","","PARCEL_FINANCIAL_V2")</f>
        <v/>
      </c>
      <c r="AX75" s="17" t="n"/>
    </row>
    <row r="76">
      <c r="A76" s="8" t="n"/>
      <c r="B76" s="8" t="n"/>
      <c r="C76" s="8" t="n"/>
      <c r="D76" s="8" t="n"/>
      <c r="E76" s="9" t="n"/>
      <c r="F76" s="9" t="n"/>
      <c r="G76" s="8" t="n"/>
      <c r="H76" s="9" t="n"/>
      <c r="I76" s="9" t="n"/>
      <c r="J76" s="10" t="n"/>
      <c r="K76" s="10" t="n"/>
      <c r="L76" s="11">
        <f>IF($S76="","",IF($S76="ITEM_PRICE_PLUS_DECLARED_DELIVERY",IF(OR($J76="",$K76=""),"",SUM($J76,$K76,$U76)),IF($S76="TOTAL_AMOUNT_INCLUDING_DELIVERY",IF($T76="","",$T76),IF($S76="DELIVERY_CHARGE_ONLY",IF($K76="","",SUM($K76,$U76)),IF($S76="EXACT_COLLECTION_AMOUNT",IF($T76="","",$T76),IF($S76="ITEM_PRICE_ONLY_DELIVERY_PAID_BY_MERCHANT",IF($J76="","",SUM($J76,$U76)),""))))))</f>
        <v/>
      </c>
      <c r="M76" s="12" t="n"/>
      <c r="N76" s="13" t="n"/>
      <c r="O76" s="13" t="n"/>
      <c r="P76" s="9" t="n"/>
      <c r="Q76" s="14" t="n"/>
      <c r="R76" s="15" t="n"/>
      <c r="S76" s="14" t="n"/>
      <c r="T76" s="16" t="n"/>
      <c r="U76" s="16" t="n"/>
      <c r="V76" s="16" t="n"/>
      <c r="W76" s="16" t="n"/>
      <c r="X76" s="16" t="n"/>
      <c r="Y76" s="16" t="n"/>
      <c r="Z76" s="14" t="n"/>
      <c r="AA76" s="14" t="n"/>
      <c r="AB76" s="14" t="n"/>
      <c r="AC76" s="17">
        <f>IFERROR(VLOOKUP($H76&amp;"|"&amp;$Q76,Tariff_Master!$A$2:$L$169,3,FALSE),"")</f>
        <v/>
      </c>
      <c r="AD76" s="17">
        <f>IFERROR(VLOOKUP($H76&amp;"|"&amp;$Q76,Tariff_Master!$A$2:$L$169,4,FALSE),"")</f>
        <v/>
      </c>
      <c r="AE76" s="18">
        <f>IFERROR(VLOOKUP($H76&amp;"|"&amp;$Q76,Tariff_Master!$A$2:$L$169,6,FALSE),"")</f>
        <v/>
      </c>
      <c r="AF76" s="19">
        <f>IFERROR(VLOOKUP($H76&amp;"|"&amp;$Q76,Tariff_Master!$A$2:$L$169,7,FALSE),"")</f>
        <v/>
      </c>
      <c r="AG76" s="18">
        <f>IFERROR(VLOOKUP($H76&amp;"|"&amp;$Q76,Tariff_Master!$A$2:$L$169,8,FALSE),"")</f>
        <v/>
      </c>
      <c r="AH76" s="20">
        <f>IFERROR(VLOOKUP($H76&amp;"|"&amp;$Q76,Tariff_Master!$A$2:$L$169,9,FALSE),"")</f>
        <v/>
      </c>
      <c r="AI76" s="18">
        <f>IFERROR(VLOOKUP($H76&amp;"|"&amp;$Q76,Tariff_Master!$A$2:$L$169,10,FALSE),"")</f>
        <v/>
      </c>
      <c r="AJ76" s="21">
        <f>IF($M76="","",ROUNDUP(MAX(0,$M76),0))</f>
        <v/>
      </c>
      <c r="AK76" s="21">
        <f>IF(OR($AJ76="",$AF76=""),"",MAX(0,$AJ76-$AF76))</f>
        <v/>
      </c>
      <c r="AL76" s="22">
        <f>IF(OR($AK76="",$AG76=""),"",MAX(0,$AK76*$AG76))</f>
        <v/>
      </c>
      <c r="AM76" s="22">
        <f>IF($AE76="","",MAX(0,SUM($AE76,$AL76,$V76,$W76)))</f>
        <v/>
      </c>
      <c r="AN76" s="22">
        <f>IF($AM76="","",IF(AND($Q76="COMMITMENT",$R76&gt;=$AH76),$AI76,0))</f>
        <v/>
      </c>
      <c r="AO76" s="23">
        <f>IF($AM76="","",MAX(0,$AM76-$AN76))</f>
        <v/>
      </c>
      <c r="AP76" s="22">
        <f>IF($S76="","",IF(OR($S76="ITEM_PRICE_PLUS_DECLARED_DELIVERY",$S76="DELIVERY_CHARGE_ONLY"),$K76,IF($S76="TOTAL_AMOUNT_INCLUDING_DELIVERY",IF(OR($T76="",$J76=""),"",MAX(0,$T76-$J76-$U76)),IF($S76="ITEM_PRICE_ONLY_DELIVERY_PAID_BY_MERCHANT",0,""))))</f>
        <v/>
      </c>
      <c r="AQ76" s="23">
        <f>IF(OR($AP76="",$AO76=""),"",$AP76-$AO76)</f>
        <v/>
      </c>
      <c r="AR76" s="24">
        <f>IF($S76="EXACT_COLLECTION_AMOUNT","BREAKDOWN_REQUIRED",IF($AQ76="","",IF($AQ76&gt;0,"CREDIT_TO_MERCHANT",IF($AQ76&lt;0,"DEDUCT_FROM_MERCHANT","NO_ADJUSTMENT"))))</f>
        <v/>
      </c>
      <c r="AS76" s="23">
        <f>IF(OR($AQ76="",$AR76="BREAKDOWN_REQUIRED"),"",$AQ76)</f>
        <v/>
      </c>
      <c r="AT76" s="23">
        <f>IF(OR($AR76="",$AR76="BREAKDOWN_REQUIRED"),"",SUM($J76,$AQ76,$Y76)-$X76)</f>
        <v/>
      </c>
      <c r="AU76" s="25">
        <f>IF(AND($A76="",$B76="",$F76="",$H76="",$J76="",$K76="",$M76="",$S76=""),"",IF(OR($H76="",$Q76="",$M76="",$S76=""),"ERROR",IF(OR($J76&lt;0,$K76&lt;0,$M76&lt;0,$T76&lt;0,$U76&lt;0,$V76&lt;0,$W76&lt;0,$X76&lt;0,$Y76&lt;0),"ERROR",IF($AE76="","ERROR",IF(AND(OR($S76="ITEM_PRICE_PLUS_DECLARED_DELIVERY",$S76="TOTAL_AMOUNT_INCLUDING_DELIVERY",$S76="ITEM_PRICE_ONLY_DELIVERY_PAID_BY_MERCHANT"),$J76=""),"ERROR",IF(AND(OR($S76="ITEM_PRICE_PLUS_DECLARED_DELIVERY",$S76="DELIVERY_CHARGE_ONLY"),$K76=""),"ERROR",IF(AND(OR($S76="TOTAL_AMOUNT_INCLUDING_DELIVERY",$S76="EXACT_COLLECTION_AMOUNT"),$T76=""),"ERROR",IF(AND($S76="TOTAL_AMOUNT_INCLUDING_DELIVERY",$T76&lt;SUM($J76,$U76)),"ERROR",IF($S76="EXACT_COLLECTION_AMOUNT","REVIEW","OK")))))))))</f>
        <v/>
      </c>
      <c r="AV76" s="25">
        <f>IF($AU76="","",IF($H76="","Township required",IF($Q76="","Customer tier required",IF($M76="","Weight required",IF($S76="","Amount entry type required",IF(OR($J76&lt;0,$K76&lt;0,$M76&lt;0,$T76&lt;0,$U76&lt;0,$V76&lt;0,$W76&lt;0,$X76&lt;0,$Y76&lt;0),"Negative amounts are not allowed",IF($AE76="","Tariff not found for township and tier",IF(AND(OR($S76="ITEM_PRICE_PLUS_DECLARED_DELIVERY",$S76="TOTAL_AMOUNT_INCLUDING_DELIVERY",$S76="ITEM_PRICE_ONLY_DELIVERY_PAID_BY_MERCHANT"),$J76=""),"Item price required for this amount type",IF(AND(OR($S76="ITEM_PRICE_PLUS_DECLARED_DELIVERY",$S76="DELIVERY_CHARGE_ONLY"),$K76=""),"Declared delivery charge required",IF(AND(OR($S76="TOTAL_AMOUNT_INCLUDING_DELIVERY",$S76="EXACT_COLLECTION_AMOUNT"),$T76=""),"Stated total amount required",IF(AND($S76="TOTAL_AMOUNT_INCLUDING_DELIVERY",$T76&lt;SUM($J76,$U76)),"Stated total is below item price plus additional charge",IF($S76="EXACT_COLLECTION_AMOUNT","Authorized amount breakdown required before settlement","Ready for collection and settlement"))))))))))))</f>
        <v/>
      </c>
      <c r="AW76" s="23">
        <f>IF($AU76="","","PARCEL_FINANCIAL_V2")</f>
        <v/>
      </c>
      <c r="AX76" s="17" t="n"/>
    </row>
    <row r="77">
      <c r="A77" s="8" t="n"/>
      <c r="B77" s="8" t="n"/>
      <c r="C77" s="8" t="n"/>
      <c r="D77" s="8" t="n"/>
      <c r="E77" s="9" t="n"/>
      <c r="F77" s="9" t="n"/>
      <c r="G77" s="8" t="n"/>
      <c r="H77" s="9" t="n"/>
      <c r="I77" s="9" t="n"/>
      <c r="J77" s="10" t="n"/>
      <c r="K77" s="10" t="n"/>
      <c r="L77" s="11">
        <f>IF($S77="","",IF($S77="ITEM_PRICE_PLUS_DECLARED_DELIVERY",IF(OR($J77="",$K77=""),"",SUM($J77,$K77,$U77)),IF($S77="TOTAL_AMOUNT_INCLUDING_DELIVERY",IF($T77="","",$T77),IF($S77="DELIVERY_CHARGE_ONLY",IF($K77="","",SUM($K77,$U77)),IF($S77="EXACT_COLLECTION_AMOUNT",IF($T77="","",$T77),IF($S77="ITEM_PRICE_ONLY_DELIVERY_PAID_BY_MERCHANT",IF($J77="","",SUM($J77,$U77)),""))))))</f>
        <v/>
      </c>
      <c r="M77" s="12" t="n"/>
      <c r="N77" s="13" t="n"/>
      <c r="O77" s="13" t="n"/>
      <c r="P77" s="9" t="n"/>
      <c r="Q77" s="14" t="n"/>
      <c r="R77" s="15" t="n"/>
      <c r="S77" s="14" t="n"/>
      <c r="T77" s="16" t="n"/>
      <c r="U77" s="16" t="n"/>
      <c r="V77" s="16" t="n"/>
      <c r="W77" s="16" t="n"/>
      <c r="X77" s="16" t="n"/>
      <c r="Y77" s="16" t="n"/>
      <c r="Z77" s="14" t="n"/>
      <c r="AA77" s="14" t="n"/>
      <c r="AB77" s="14" t="n"/>
      <c r="AC77" s="17">
        <f>IFERROR(VLOOKUP($H77&amp;"|"&amp;$Q77,Tariff_Master!$A$2:$L$169,3,FALSE),"")</f>
        <v/>
      </c>
      <c r="AD77" s="17">
        <f>IFERROR(VLOOKUP($H77&amp;"|"&amp;$Q77,Tariff_Master!$A$2:$L$169,4,FALSE),"")</f>
        <v/>
      </c>
      <c r="AE77" s="18">
        <f>IFERROR(VLOOKUP($H77&amp;"|"&amp;$Q77,Tariff_Master!$A$2:$L$169,6,FALSE),"")</f>
        <v/>
      </c>
      <c r="AF77" s="19">
        <f>IFERROR(VLOOKUP($H77&amp;"|"&amp;$Q77,Tariff_Master!$A$2:$L$169,7,FALSE),"")</f>
        <v/>
      </c>
      <c r="AG77" s="18">
        <f>IFERROR(VLOOKUP($H77&amp;"|"&amp;$Q77,Tariff_Master!$A$2:$L$169,8,FALSE),"")</f>
        <v/>
      </c>
      <c r="AH77" s="20">
        <f>IFERROR(VLOOKUP($H77&amp;"|"&amp;$Q77,Tariff_Master!$A$2:$L$169,9,FALSE),"")</f>
        <v/>
      </c>
      <c r="AI77" s="18">
        <f>IFERROR(VLOOKUP($H77&amp;"|"&amp;$Q77,Tariff_Master!$A$2:$L$169,10,FALSE),"")</f>
        <v/>
      </c>
      <c r="AJ77" s="21">
        <f>IF($M77="","",ROUNDUP(MAX(0,$M77),0))</f>
        <v/>
      </c>
      <c r="AK77" s="21">
        <f>IF(OR($AJ77="",$AF77=""),"",MAX(0,$AJ77-$AF77))</f>
        <v/>
      </c>
      <c r="AL77" s="22">
        <f>IF(OR($AK77="",$AG77=""),"",MAX(0,$AK77*$AG77))</f>
        <v/>
      </c>
      <c r="AM77" s="22">
        <f>IF($AE77="","",MAX(0,SUM($AE77,$AL77,$V77,$W77)))</f>
        <v/>
      </c>
      <c r="AN77" s="22">
        <f>IF($AM77="","",IF(AND($Q77="COMMITMENT",$R77&gt;=$AH77),$AI77,0))</f>
        <v/>
      </c>
      <c r="AO77" s="23">
        <f>IF($AM77="","",MAX(0,$AM77-$AN77))</f>
        <v/>
      </c>
      <c r="AP77" s="22">
        <f>IF($S77="","",IF(OR($S77="ITEM_PRICE_PLUS_DECLARED_DELIVERY",$S77="DELIVERY_CHARGE_ONLY"),$K77,IF($S77="TOTAL_AMOUNT_INCLUDING_DELIVERY",IF(OR($T77="",$J77=""),"",MAX(0,$T77-$J77-$U77)),IF($S77="ITEM_PRICE_ONLY_DELIVERY_PAID_BY_MERCHANT",0,""))))</f>
        <v/>
      </c>
      <c r="AQ77" s="23">
        <f>IF(OR($AP77="",$AO77=""),"",$AP77-$AO77)</f>
        <v/>
      </c>
      <c r="AR77" s="24">
        <f>IF($S77="EXACT_COLLECTION_AMOUNT","BREAKDOWN_REQUIRED",IF($AQ77="","",IF($AQ77&gt;0,"CREDIT_TO_MERCHANT",IF($AQ77&lt;0,"DEDUCT_FROM_MERCHANT","NO_ADJUSTMENT"))))</f>
        <v/>
      </c>
      <c r="AS77" s="23">
        <f>IF(OR($AQ77="",$AR77="BREAKDOWN_REQUIRED"),"",$AQ77)</f>
        <v/>
      </c>
      <c r="AT77" s="23">
        <f>IF(OR($AR77="",$AR77="BREAKDOWN_REQUIRED"),"",SUM($J77,$AQ77,$Y77)-$X77)</f>
        <v/>
      </c>
      <c r="AU77" s="25">
        <f>IF(AND($A77="",$B77="",$F77="",$H77="",$J77="",$K77="",$M77="",$S77=""),"",IF(OR($H77="",$Q77="",$M77="",$S77=""),"ERROR",IF(OR($J77&lt;0,$K77&lt;0,$M77&lt;0,$T77&lt;0,$U77&lt;0,$V77&lt;0,$W77&lt;0,$X77&lt;0,$Y77&lt;0),"ERROR",IF($AE77="","ERROR",IF(AND(OR($S77="ITEM_PRICE_PLUS_DECLARED_DELIVERY",$S77="TOTAL_AMOUNT_INCLUDING_DELIVERY",$S77="ITEM_PRICE_ONLY_DELIVERY_PAID_BY_MERCHANT"),$J77=""),"ERROR",IF(AND(OR($S77="ITEM_PRICE_PLUS_DECLARED_DELIVERY",$S77="DELIVERY_CHARGE_ONLY"),$K77=""),"ERROR",IF(AND(OR($S77="TOTAL_AMOUNT_INCLUDING_DELIVERY",$S77="EXACT_COLLECTION_AMOUNT"),$T77=""),"ERROR",IF(AND($S77="TOTAL_AMOUNT_INCLUDING_DELIVERY",$T77&lt;SUM($J77,$U77)),"ERROR",IF($S77="EXACT_COLLECTION_AMOUNT","REVIEW","OK")))))))))</f>
        <v/>
      </c>
      <c r="AV77" s="25">
        <f>IF($AU77="","",IF($H77="","Township required",IF($Q77="","Customer tier required",IF($M77="","Weight required",IF($S77="","Amount entry type required",IF(OR($J77&lt;0,$K77&lt;0,$M77&lt;0,$T77&lt;0,$U77&lt;0,$V77&lt;0,$W77&lt;0,$X77&lt;0,$Y77&lt;0),"Negative amounts are not allowed",IF($AE77="","Tariff not found for township and tier",IF(AND(OR($S77="ITEM_PRICE_PLUS_DECLARED_DELIVERY",$S77="TOTAL_AMOUNT_INCLUDING_DELIVERY",$S77="ITEM_PRICE_ONLY_DELIVERY_PAID_BY_MERCHANT"),$J77=""),"Item price required for this amount type",IF(AND(OR($S77="ITEM_PRICE_PLUS_DECLARED_DELIVERY",$S77="DELIVERY_CHARGE_ONLY"),$K77=""),"Declared delivery charge required",IF(AND(OR($S77="TOTAL_AMOUNT_INCLUDING_DELIVERY",$S77="EXACT_COLLECTION_AMOUNT"),$T77=""),"Stated total amount required",IF(AND($S77="TOTAL_AMOUNT_INCLUDING_DELIVERY",$T77&lt;SUM($J77,$U77)),"Stated total is below item price plus additional charge",IF($S77="EXACT_COLLECTION_AMOUNT","Authorized amount breakdown required before settlement","Ready for collection and settlement"))))))))))))</f>
        <v/>
      </c>
      <c r="AW77" s="23">
        <f>IF($AU77="","","PARCEL_FINANCIAL_V2")</f>
        <v/>
      </c>
      <c r="AX77" s="17" t="n"/>
    </row>
    <row r="78">
      <c r="A78" s="8" t="n"/>
      <c r="B78" s="8" t="n"/>
      <c r="C78" s="8" t="n"/>
      <c r="D78" s="8" t="n"/>
      <c r="E78" s="9" t="n"/>
      <c r="F78" s="9" t="n"/>
      <c r="G78" s="8" t="n"/>
      <c r="H78" s="9" t="n"/>
      <c r="I78" s="9" t="n"/>
      <c r="J78" s="10" t="n"/>
      <c r="K78" s="10" t="n"/>
      <c r="L78" s="11">
        <f>IF($S78="","",IF($S78="ITEM_PRICE_PLUS_DECLARED_DELIVERY",IF(OR($J78="",$K78=""),"",SUM($J78,$K78,$U78)),IF($S78="TOTAL_AMOUNT_INCLUDING_DELIVERY",IF($T78="","",$T78),IF($S78="DELIVERY_CHARGE_ONLY",IF($K78="","",SUM($K78,$U78)),IF($S78="EXACT_COLLECTION_AMOUNT",IF($T78="","",$T78),IF($S78="ITEM_PRICE_ONLY_DELIVERY_PAID_BY_MERCHANT",IF($J78="","",SUM($J78,$U78)),""))))))</f>
        <v/>
      </c>
      <c r="M78" s="12" t="n"/>
      <c r="N78" s="13" t="n"/>
      <c r="O78" s="13" t="n"/>
      <c r="P78" s="9" t="n"/>
      <c r="Q78" s="14" t="n"/>
      <c r="R78" s="15" t="n"/>
      <c r="S78" s="14" t="n"/>
      <c r="T78" s="16" t="n"/>
      <c r="U78" s="16" t="n"/>
      <c r="V78" s="16" t="n"/>
      <c r="W78" s="16" t="n"/>
      <c r="X78" s="16" t="n"/>
      <c r="Y78" s="16" t="n"/>
      <c r="Z78" s="14" t="n"/>
      <c r="AA78" s="14" t="n"/>
      <c r="AB78" s="14" t="n"/>
      <c r="AC78" s="17">
        <f>IFERROR(VLOOKUP($H78&amp;"|"&amp;$Q78,Tariff_Master!$A$2:$L$169,3,FALSE),"")</f>
        <v/>
      </c>
      <c r="AD78" s="17">
        <f>IFERROR(VLOOKUP($H78&amp;"|"&amp;$Q78,Tariff_Master!$A$2:$L$169,4,FALSE),"")</f>
        <v/>
      </c>
      <c r="AE78" s="18">
        <f>IFERROR(VLOOKUP($H78&amp;"|"&amp;$Q78,Tariff_Master!$A$2:$L$169,6,FALSE),"")</f>
        <v/>
      </c>
      <c r="AF78" s="19">
        <f>IFERROR(VLOOKUP($H78&amp;"|"&amp;$Q78,Tariff_Master!$A$2:$L$169,7,FALSE),"")</f>
        <v/>
      </c>
      <c r="AG78" s="18">
        <f>IFERROR(VLOOKUP($H78&amp;"|"&amp;$Q78,Tariff_Master!$A$2:$L$169,8,FALSE),"")</f>
        <v/>
      </c>
      <c r="AH78" s="20">
        <f>IFERROR(VLOOKUP($H78&amp;"|"&amp;$Q78,Tariff_Master!$A$2:$L$169,9,FALSE),"")</f>
        <v/>
      </c>
      <c r="AI78" s="18">
        <f>IFERROR(VLOOKUP($H78&amp;"|"&amp;$Q78,Tariff_Master!$A$2:$L$169,10,FALSE),"")</f>
        <v/>
      </c>
      <c r="AJ78" s="21">
        <f>IF($M78="","",ROUNDUP(MAX(0,$M78),0))</f>
        <v/>
      </c>
      <c r="AK78" s="21">
        <f>IF(OR($AJ78="",$AF78=""),"",MAX(0,$AJ78-$AF78))</f>
        <v/>
      </c>
      <c r="AL78" s="22">
        <f>IF(OR($AK78="",$AG78=""),"",MAX(0,$AK78*$AG78))</f>
        <v/>
      </c>
      <c r="AM78" s="22">
        <f>IF($AE78="","",MAX(0,SUM($AE78,$AL78,$V78,$W78)))</f>
        <v/>
      </c>
      <c r="AN78" s="22">
        <f>IF($AM78="","",IF(AND($Q78="COMMITMENT",$R78&gt;=$AH78),$AI78,0))</f>
        <v/>
      </c>
      <c r="AO78" s="23">
        <f>IF($AM78="","",MAX(0,$AM78-$AN78))</f>
        <v/>
      </c>
      <c r="AP78" s="22">
        <f>IF($S78="","",IF(OR($S78="ITEM_PRICE_PLUS_DECLARED_DELIVERY",$S78="DELIVERY_CHARGE_ONLY"),$K78,IF($S78="TOTAL_AMOUNT_INCLUDING_DELIVERY",IF(OR($T78="",$J78=""),"",MAX(0,$T78-$J78-$U78)),IF($S78="ITEM_PRICE_ONLY_DELIVERY_PAID_BY_MERCHANT",0,""))))</f>
        <v/>
      </c>
      <c r="AQ78" s="23">
        <f>IF(OR($AP78="",$AO78=""),"",$AP78-$AO78)</f>
        <v/>
      </c>
      <c r="AR78" s="24">
        <f>IF($S78="EXACT_COLLECTION_AMOUNT","BREAKDOWN_REQUIRED",IF($AQ78="","",IF($AQ78&gt;0,"CREDIT_TO_MERCHANT",IF($AQ78&lt;0,"DEDUCT_FROM_MERCHANT","NO_ADJUSTMENT"))))</f>
        <v/>
      </c>
      <c r="AS78" s="23">
        <f>IF(OR($AQ78="",$AR78="BREAKDOWN_REQUIRED"),"",$AQ78)</f>
        <v/>
      </c>
      <c r="AT78" s="23">
        <f>IF(OR($AR78="",$AR78="BREAKDOWN_REQUIRED"),"",SUM($J78,$AQ78,$Y78)-$X78)</f>
        <v/>
      </c>
      <c r="AU78" s="25">
        <f>IF(AND($A78="",$B78="",$F78="",$H78="",$J78="",$K78="",$M78="",$S78=""),"",IF(OR($H78="",$Q78="",$M78="",$S78=""),"ERROR",IF(OR($J78&lt;0,$K78&lt;0,$M78&lt;0,$T78&lt;0,$U78&lt;0,$V78&lt;0,$W78&lt;0,$X78&lt;0,$Y78&lt;0),"ERROR",IF($AE78="","ERROR",IF(AND(OR($S78="ITEM_PRICE_PLUS_DECLARED_DELIVERY",$S78="TOTAL_AMOUNT_INCLUDING_DELIVERY",$S78="ITEM_PRICE_ONLY_DELIVERY_PAID_BY_MERCHANT"),$J78=""),"ERROR",IF(AND(OR($S78="ITEM_PRICE_PLUS_DECLARED_DELIVERY",$S78="DELIVERY_CHARGE_ONLY"),$K78=""),"ERROR",IF(AND(OR($S78="TOTAL_AMOUNT_INCLUDING_DELIVERY",$S78="EXACT_COLLECTION_AMOUNT"),$T78=""),"ERROR",IF(AND($S78="TOTAL_AMOUNT_INCLUDING_DELIVERY",$T78&lt;SUM($J78,$U78)),"ERROR",IF($S78="EXACT_COLLECTION_AMOUNT","REVIEW","OK")))))))))</f>
        <v/>
      </c>
      <c r="AV78" s="25">
        <f>IF($AU78="","",IF($H78="","Township required",IF($Q78="","Customer tier required",IF($M78="","Weight required",IF($S78="","Amount entry type required",IF(OR($J78&lt;0,$K78&lt;0,$M78&lt;0,$T78&lt;0,$U78&lt;0,$V78&lt;0,$W78&lt;0,$X78&lt;0,$Y78&lt;0),"Negative amounts are not allowed",IF($AE78="","Tariff not found for township and tier",IF(AND(OR($S78="ITEM_PRICE_PLUS_DECLARED_DELIVERY",$S78="TOTAL_AMOUNT_INCLUDING_DELIVERY",$S78="ITEM_PRICE_ONLY_DELIVERY_PAID_BY_MERCHANT"),$J78=""),"Item price required for this amount type",IF(AND(OR($S78="ITEM_PRICE_PLUS_DECLARED_DELIVERY",$S78="DELIVERY_CHARGE_ONLY"),$K78=""),"Declared delivery charge required",IF(AND(OR($S78="TOTAL_AMOUNT_INCLUDING_DELIVERY",$S78="EXACT_COLLECTION_AMOUNT"),$T78=""),"Stated total amount required",IF(AND($S78="TOTAL_AMOUNT_INCLUDING_DELIVERY",$T78&lt;SUM($J78,$U78)),"Stated total is below item price plus additional charge",IF($S78="EXACT_COLLECTION_AMOUNT","Authorized amount breakdown required before settlement","Ready for collection and settlement"))))))))))))</f>
        <v/>
      </c>
      <c r="AW78" s="23">
        <f>IF($AU78="","","PARCEL_FINANCIAL_V2")</f>
        <v/>
      </c>
      <c r="AX78" s="17" t="n"/>
    </row>
    <row r="79">
      <c r="A79" s="8" t="n"/>
      <c r="B79" s="8" t="n"/>
      <c r="C79" s="8" t="n"/>
      <c r="D79" s="8" t="n"/>
      <c r="E79" s="9" t="n"/>
      <c r="F79" s="9" t="n"/>
      <c r="G79" s="8" t="n"/>
      <c r="H79" s="9" t="n"/>
      <c r="I79" s="9" t="n"/>
      <c r="J79" s="10" t="n"/>
      <c r="K79" s="10" t="n"/>
      <c r="L79" s="11">
        <f>IF($S79="","",IF($S79="ITEM_PRICE_PLUS_DECLARED_DELIVERY",IF(OR($J79="",$K79=""),"",SUM($J79,$K79,$U79)),IF($S79="TOTAL_AMOUNT_INCLUDING_DELIVERY",IF($T79="","",$T79),IF($S79="DELIVERY_CHARGE_ONLY",IF($K79="","",SUM($K79,$U79)),IF($S79="EXACT_COLLECTION_AMOUNT",IF($T79="","",$T79),IF($S79="ITEM_PRICE_ONLY_DELIVERY_PAID_BY_MERCHANT",IF($J79="","",SUM($J79,$U79)),""))))))</f>
        <v/>
      </c>
      <c r="M79" s="12" t="n"/>
      <c r="N79" s="13" t="n"/>
      <c r="O79" s="13" t="n"/>
      <c r="P79" s="9" t="n"/>
      <c r="Q79" s="14" t="n"/>
      <c r="R79" s="15" t="n"/>
      <c r="S79" s="14" t="n"/>
      <c r="T79" s="16" t="n"/>
      <c r="U79" s="16" t="n"/>
      <c r="V79" s="16" t="n"/>
      <c r="W79" s="16" t="n"/>
      <c r="X79" s="16" t="n"/>
      <c r="Y79" s="16" t="n"/>
      <c r="Z79" s="14" t="n"/>
      <c r="AA79" s="14" t="n"/>
      <c r="AB79" s="14" t="n"/>
      <c r="AC79" s="17">
        <f>IFERROR(VLOOKUP($H79&amp;"|"&amp;$Q79,Tariff_Master!$A$2:$L$169,3,FALSE),"")</f>
        <v/>
      </c>
      <c r="AD79" s="17">
        <f>IFERROR(VLOOKUP($H79&amp;"|"&amp;$Q79,Tariff_Master!$A$2:$L$169,4,FALSE),"")</f>
        <v/>
      </c>
      <c r="AE79" s="18">
        <f>IFERROR(VLOOKUP($H79&amp;"|"&amp;$Q79,Tariff_Master!$A$2:$L$169,6,FALSE),"")</f>
        <v/>
      </c>
      <c r="AF79" s="19">
        <f>IFERROR(VLOOKUP($H79&amp;"|"&amp;$Q79,Tariff_Master!$A$2:$L$169,7,FALSE),"")</f>
        <v/>
      </c>
      <c r="AG79" s="18">
        <f>IFERROR(VLOOKUP($H79&amp;"|"&amp;$Q79,Tariff_Master!$A$2:$L$169,8,FALSE),"")</f>
        <v/>
      </c>
      <c r="AH79" s="20">
        <f>IFERROR(VLOOKUP($H79&amp;"|"&amp;$Q79,Tariff_Master!$A$2:$L$169,9,FALSE),"")</f>
        <v/>
      </c>
      <c r="AI79" s="18">
        <f>IFERROR(VLOOKUP($H79&amp;"|"&amp;$Q79,Tariff_Master!$A$2:$L$169,10,FALSE),"")</f>
        <v/>
      </c>
      <c r="AJ79" s="21">
        <f>IF($M79="","",ROUNDUP(MAX(0,$M79),0))</f>
        <v/>
      </c>
      <c r="AK79" s="21">
        <f>IF(OR($AJ79="",$AF79=""),"",MAX(0,$AJ79-$AF79))</f>
        <v/>
      </c>
      <c r="AL79" s="22">
        <f>IF(OR($AK79="",$AG79=""),"",MAX(0,$AK79*$AG79))</f>
        <v/>
      </c>
      <c r="AM79" s="22">
        <f>IF($AE79="","",MAX(0,SUM($AE79,$AL79,$V79,$W79)))</f>
        <v/>
      </c>
      <c r="AN79" s="22">
        <f>IF($AM79="","",IF(AND($Q79="COMMITMENT",$R79&gt;=$AH79),$AI79,0))</f>
        <v/>
      </c>
      <c r="AO79" s="23">
        <f>IF($AM79="","",MAX(0,$AM79-$AN79))</f>
        <v/>
      </c>
      <c r="AP79" s="22">
        <f>IF($S79="","",IF(OR($S79="ITEM_PRICE_PLUS_DECLARED_DELIVERY",$S79="DELIVERY_CHARGE_ONLY"),$K79,IF($S79="TOTAL_AMOUNT_INCLUDING_DELIVERY",IF(OR($T79="",$J79=""),"",MAX(0,$T79-$J79-$U79)),IF($S79="ITEM_PRICE_ONLY_DELIVERY_PAID_BY_MERCHANT",0,""))))</f>
        <v/>
      </c>
      <c r="AQ79" s="23">
        <f>IF(OR($AP79="",$AO79=""),"",$AP79-$AO79)</f>
        <v/>
      </c>
      <c r="AR79" s="24">
        <f>IF($S79="EXACT_COLLECTION_AMOUNT","BREAKDOWN_REQUIRED",IF($AQ79="","",IF($AQ79&gt;0,"CREDIT_TO_MERCHANT",IF($AQ79&lt;0,"DEDUCT_FROM_MERCHANT","NO_ADJUSTMENT"))))</f>
        <v/>
      </c>
      <c r="AS79" s="23">
        <f>IF(OR($AQ79="",$AR79="BREAKDOWN_REQUIRED"),"",$AQ79)</f>
        <v/>
      </c>
      <c r="AT79" s="23">
        <f>IF(OR($AR79="",$AR79="BREAKDOWN_REQUIRED"),"",SUM($J79,$AQ79,$Y79)-$X79)</f>
        <v/>
      </c>
      <c r="AU79" s="25">
        <f>IF(AND($A79="",$B79="",$F79="",$H79="",$J79="",$K79="",$M79="",$S79=""),"",IF(OR($H79="",$Q79="",$M79="",$S79=""),"ERROR",IF(OR($J79&lt;0,$K79&lt;0,$M79&lt;0,$T79&lt;0,$U79&lt;0,$V79&lt;0,$W79&lt;0,$X79&lt;0,$Y79&lt;0),"ERROR",IF($AE79="","ERROR",IF(AND(OR($S79="ITEM_PRICE_PLUS_DECLARED_DELIVERY",$S79="TOTAL_AMOUNT_INCLUDING_DELIVERY",$S79="ITEM_PRICE_ONLY_DELIVERY_PAID_BY_MERCHANT"),$J79=""),"ERROR",IF(AND(OR($S79="ITEM_PRICE_PLUS_DECLARED_DELIVERY",$S79="DELIVERY_CHARGE_ONLY"),$K79=""),"ERROR",IF(AND(OR($S79="TOTAL_AMOUNT_INCLUDING_DELIVERY",$S79="EXACT_COLLECTION_AMOUNT"),$T79=""),"ERROR",IF(AND($S79="TOTAL_AMOUNT_INCLUDING_DELIVERY",$T79&lt;SUM($J79,$U79)),"ERROR",IF($S79="EXACT_COLLECTION_AMOUNT","REVIEW","OK")))))))))</f>
        <v/>
      </c>
      <c r="AV79" s="25">
        <f>IF($AU79="","",IF($H79="","Township required",IF($Q79="","Customer tier required",IF($M79="","Weight required",IF($S79="","Amount entry type required",IF(OR($J79&lt;0,$K79&lt;0,$M79&lt;0,$T79&lt;0,$U79&lt;0,$V79&lt;0,$W79&lt;0,$X79&lt;0,$Y79&lt;0),"Negative amounts are not allowed",IF($AE79="","Tariff not found for township and tier",IF(AND(OR($S79="ITEM_PRICE_PLUS_DECLARED_DELIVERY",$S79="TOTAL_AMOUNT_INCLUDING_DELIVERY",$S79="ITEM_PRICE_ONLY_DELIVERY_PAID_BY_MERCHANT"),$J79=""),"Item price required for this amount type",IF(AND(OR($S79="ITEM_PRICE_PLUS_DECLARED_DELIVERY",$S79="DELIVERY_CHARGE_ONLY"),$K79=""),"Declared delivery charge required",IF(AND(OR($S79="TOTAL_AMOUNT_INCLUDING_DELIVERY",$S79="EXACT_COLLECTION_AMOUNT"),$T79=""),"Stated total amount required",IF(AND($S79="TOTAL_AMOUNT_INCLUDING_DELIVERY",$T79&lt;SUM($J79,$U79)),"Stated total is below item price plus additional charge",IF($S79="EXACT_COLLECTION_AMOUNT","Authorized amount breakdown required before settlement","Ready for collection and settlement"))))))))))))</f>
        <v/>
      </c>
      <c r="AW79" s="23">
        <f>IF($AU79="","","PARCEL_FINANCIAL_V2")</f>
        <v/>
      </c>
      <c r="AX79" s="17" t="n"/>
    </row>
    <row r="80">
      <c r="A80" s="8" t="n"/>
      <c r="B80" s="8" t="n"/>
      <c r="C80" s="8" t="n"/>
      <c r="D80" s="8" t="n"/>
      <c r="E80" s="9" t="n"/>
      <c r="F80" s="9" t="n"/>
      <c r="G80" s="8" t="n"/>
      <c r="H80" s="9" t="n"/>
      <c r="I80" s="9" t="n"/>
      <c r="J80" s="10" t="n"/>
      <c r="K80" s="10" t="n"/>
      <c r="L80" s="11">
        <f>IF($S80="","",IF($S80="ITEM_PRICE_PLUS_DECLARED_DELIVERY",IF(OR($J80="",$K80=""),"",SUM($J80,$K80,$U80)),IF($S80="TOTAL_AMOUNT_INCLUDING_DELIVERY",IF($T80="","",$T80),IF($S80="DELIVERY_CHARGE_ONLY",IF($K80="","",SUM($K80,$U80)),IF($S80="EXACT_COLLECTION_AMOUNT",IF($T80="","",$T80),IF($S80="ITEM_PRICE_ONLY_DELIVERY_PAID_BY_MERCHANT",IF($J80="","",SUM($J80,$U80)),""))))))</f>
        <v/>
      </c>
      <c r="M80" s="12" t="n"/>
      <c r="N80" s="13" t="n"/>
      <c r="O80" s="13" t="n"/>
      <c r="P80" s="9" t="n"/>
      <c r="Q80" s="14" t="n"/>
      <c r="R80" s="15" t="n"/>
      <c r="S80" s="14" t="n"/>
      <c r="T80" s="16" t="n"/>
      <c r="U80" s="16" t="n"/>
      <c r="V80" s="16" t="n"/>
      <c r="W80" s="16" t="n"/>
      <c r="X80" s="16" t="n"/>
      <c r="Y80" s="16" t="n"/>
      <c r="Z80" s="14" t="n"/>
      <c r="AA80" s="14" t="n"/>
      <c r="AB80" s="14" t="n"/>
      <c r="AC80" s="17">
        <f>IFERROR(VLOOKUP($H80&amp;"|"&amp;$Q80,Tariff_Master!$A$2:$L$169,3,FALSE),"")</f>
        <v/>
      </c>
      <c r="AD80" s="17">
        <f>IFERROR(VLOOKUP($H80&amp;"|"&amp;$Q80,Tariff_Master!$A$2:$L$169,4,FALSE),"")</f>
        <v/>
      </c>
      <c r="AE80" s="18">
        <f>IFERROR(VLOOKUP($H80&amp;"|"&amp;$Q80,Tariff_Master!$A$2:$L$169,6,FALSE),"")</f>
        <v/>
      </c>
      <c r="AF80" s="19">
        <f>IFERROR(VLOOKUP($H80&amp;"|"&amp;$Q80,Tariff_Master!$A$2:$L$169,7,FALSE),"")</f>
        <v/>
      </c>
      <c r="AG80" s="18">
        <f>IFERROR(VLOOKUP($H80&amp;"|"&amp;$Q80,Tariff_Master!$A$2:$L$169,8,FALSE),"")</f>
        <v/>
      </c>
      <c r="AH80" s="20">
        <f>IFERROR(VLOOKUP($H80&amp;"|"&amp;$Q80,Tariff_Master!$A$2:$L$169,9,FALSE),"")</f>
        <v/>
      </c>
      <c r="AI80" s="18">
        <f>IFERROR(VLOOKUP($H80&amp;"|"&amp;$Q80,Tariff_Master!$A$2:$L$169,10,FALSE),"")</f>
        <v/>
      </c>
      <c r="AJ80" s="21">
        <f>IF($M80="","",ROUNDUP(MAX(0,$M80),0))</f>
        <v/>
      </c>
      <c r="AK80" s="21">
        <f>IF(OR($AJ80="",$AF80=""),"",MAX(0,$AJ80-$AF80))</f>
        <v/>
      </c>
      <c r="AL80" s="22">
        <f>IF(OR($AK80="",$AG80=""),"",MAX(0,$AK80*$AG80))</f>
        <v/>
      </c>
      <c r="AM80" s="22">
        <f>IF($AE80="","",MAX(0,SUM($AE80,$AL80,$V80,$W80)))</f>
        <v/>
      </c>
      <c r="AN80" s="22">
        <f>IF($AM80="","",IF(AND($Q80="COMMITMENT",$R80&gt;=$AH80),$AI80,0))</f>
        <v/>
      </c>
      <c r="AO80" s="23">
        <f>IF($AM80="","",MAX(0,$AM80-$AN80))</f>
        <v/>
      </c>
      <c r="AP80" s="22">
        <f>IF($S80="","",IF(OR($S80="ITEM_PRICE_PLUS_DECLARED_DELIVERY",$S80="DELIVERY_CHARGE_ONLY"),$K80,IF($S80="TOTAL_AMOUNT_INCLUDING_DELIVERY",IF(OR($T80="",$J80=""),"",MAX(0,$T80-$J80-$U80)),IF($S80="ITEM_PRICE_ONLY_DELIVERY_PAID_BY_MERCHANT",0,""))))</f>
        <v/>
      </c>
      <c r="AQ80" s="23">
        <f>IF(OR($AP80="",$AO80=""),"",$AP80-$AO80)</f>
        <v/>
      </c>
      <c r="AR80" s="24">
        <f>IF($S80="EXACT_COLLECTION_AMOUNT","BREAKDOWN_REQUIRED",IF($AQ80="","",IF($AQ80&gt;0,"CREDIT_TO_MERCHANT",IF($AQ80&lt;0,"DEDUCT_FROM_MERCHANT","NO_ADJUSTMENT"))))</f>
        <v/>
      </c>
      <c r="AS80" s="23">
        <f>IF(OR($AQ80="",$AR80="BREAKDOWN_REQUIRED"),"",$AQ80)</f>
        <v/>
      </c>
      <c r="AT80" s="23">
        <f>IF(OR($AR80="",$AR80="BREAKDOWN_REQUIRED"),"",SUM($J80,$AQ80,$Y80)-$X80)</f>
        <v/>
      </c>
      <c r="AU80" s="25">
        <f>IF(AND($A80="",$B80="",$F80="",$H80="",$J80="",$K80="",$M80="",$S80=""),"",IF(OR($H80="",$Q80="",$M80="",$S80=""),"ERROR",IF(OR($J80&lt;0,$K80&lt;0,$M80&lt;0,$T80&lt;0,$U80&lt;0,$V80&lt;0,$W80&lt;0,$X80&lt;0,$Y80&lt;0),"ERROR",IF($AE80="","ERROR",IF(AND(OR($S80="ITEM_PRICE_PLUS_DECLARED_DELIVERY",$S80="TOTAL_AMOUNT_INCLUDING_DELIVERY",$S80="ITEM_PRICE_ONLY_DELIVERY_PAID_BY_MERCHANT"),$J80=""),"ERROR",IF(AND(OR($S80="ITEM_PRICE_PLUS_DECLARED_DELIVERY",$S80="DELIVERY_CHARGE_ONLY"),$K80=""),"ERROR",IF(AND(OR($S80="TOTAL_AMOUNT_INCLUDING_DELIVERY",$S80="EXACT_COLLECTION_AMOUNT"),$T80=""),"ERROR",IF(AND($S80="TOTAL_AMOUNT_INCLUDING_DELIVERY",$T80&lt;SUM($J80,$U80)),"ERROR",IF($S80="EXACT_COLLECTION_AMOUNT","REVIEW","OK")))))))))</f>
        <v/>
      </c>
      <c r="AV80" s="25">
        <f>IF($AU80="","",IF($H80="","Township required",IF($Q80="","Customer tier required",IF($M80="","Weight required",IF($S80="","Amount entry type required",IF(OR($J80&lt;0,$K80&lt;0,$M80&lt;0,$T80&lt;0,$U80&lt;0,$V80&lt;0,$W80&lt;0,$X80&lt;0,$Y80&lt;0),"Negative amounts are not allowed",IF($AE80="","Tariff not found for township and tier",IF(AND(OR($S80="ITEM_PRICE_PLUS_DECLARED_DELIVERY",$S80="TOTAL_AMOUNT_INCLUDING_DELIVERY",$S80="ITEM_PRICE_ONLY_DELIVERY_PAID_BY_MERCHANT"),$J80=""),"Item price required for this amount type",IF(AND(OR($S80="ITEM_PRICE_PLUS_DECLARED_DELIVERY",$S80="DELIVERY_CHARGE_ONLY"),$K80=""),"Declared delivery charge required",IF(AND(OR($S80="TOTAL_AMOUNT_INCLUDING_DELIVERY",$S80="EXACT_COLLECTION_AMOUNT"),$T80=""),"Stated total amount required",IF(AND($S80="TOTAL_AMOUNT_INCLUDING_DELIVERY",$T80&lt;SUM($J80,$U80)),"Stated total is below item price plus additional charge",IF($S80="EXACT_COLLECTION_AMOUNT","Authorized amount breakdown required before settlement","Ready for collection and settlement"))))))))))))</f>
        <v/>
      </c>
      <c r="AW80" s="23">
        <f>IF($AU80="","","PARCEL_FINANCIAL_V2")</f>
        <v/>
      </c>
      <c r="AX80" s="17" t="n"/>
    </row>
    <row r="81">
      <c r="A81" s="8" t="n"/>
      <c r="B81" s="8" t="n"/>
      <c r="C81" s="8" t="n"/>
      <c r="D81" s="8" t="n"/>
      <c r="E81" s="9" t="n"/>
      <c r="F81" s="9" t="n"/>
      <c r="G81" s="8" t="n"/>
      <c r="H81" s="9" t="n"/>
      <c r="I81" s="9" t="n"/>
      <c r="J81" s="10" t="n"/>
      <c r="K81" s="10" t="n"/>
      <c r="L81" s="11">
        <f>IF($S81="","",IF($S81="ITEM_PRICE_PLUS_DECLARED_DELIVERY",IF(OR($J81="",$K81=""),"",SUM($J81,$K81,$U81)),IF($S81="TOTAL_AMOUNT_INCLUDING_DELIVERY",IF($T81="","",$T81),IF($S81="DELIVERY_CHARGE_ONLY",IF($K81="","",SUM($K81,$U81)),IF($S81="EXACT_COLLECTION_AMOUNT",IF($T81="","",$T81),IF($S81="ITEM_PRICE_ONLY_DELIVERY_PAID_BY_MERCHANT",IF($J81="","",SUM($J81,$U81)),""))))))</f>
        <v/>
      </c>
      <c r="M81" s="12" t="n"/>
      <c r="N81" s="13" t="n"/>
      <c r="O81" s="13" t="n"/>
      <c r="P81" s="9" t="n"/>
      <c r="Q81" s="14" t="n"/>
      <c r="R81" s="15" t="n"/>
      <c r="S81" s="14" t="n"/>
      <c r="T81" s="16" t="n"/>
      <c r="U81" s="16" t="n"/>
      <c r="V81" s="16" t="n"/>
      <c r="W81" s="16" t="n"/>
      <c r="X81" s="16" t="n"/>
      <c r="Y81" s="16" t="n"/>
      <c r="Z81" s="14" t="n"/>
      <c r="AA81" s="14" t="n"/>
      <c r="AB81" s="14" t="n"/>
      <c r="AC81" s="17">
        <f>IFERROR(VLOOKUP($H81&amp;"|"&amp;$Q81,Tariff_Master!$A$2:$L$169,3,FALSE),"")</f>
        <v/>
      </c>
      <c r="AD81" s="17">
        <f>IFERROR(VLOOKUP($H81&amp;"|"&amp;$Q81,Tariff_Master!$A$2:$L$169,4,FALSE),"")</f>
        <v/>
      </c>
      <c r="AE81" s="18">
        <f>IFERROR(VLOOKUP($H81&amp;"|"&amp;$Q81,Tariff_Master!$A$2:$L$169,6,FALSE),"")</f>
        <v/>
      </c>
      <c r="AF81" s="19">
        <f>IFERROR(VLOOKUP($H81&amp;"|"&amp;$Q81,Tariff_Master!$A$2:$L$169,7,FALSE),"")</f>
        <v/>
      </c>
      <c r="AG81" s="18">
        <f>IFERROR(VLOOKUP($H81&amp;"|"&amp;$Q81,Tariff_Master!$A$2:$L$169,8,FALSE),"")</f>
        <v/>
      </c>
      <c r="AH81" s="20">
        <f>IFERROR(VLOOKUP($H81&amp;"|"&amp;$Q81,Tariff_Master!$A$2:$L$169,9,FALSE),"")</f>
        <v/>
      </c>
      <c r="AI81" s="18">
        <f>IFERROR(VLOOKUP($H81&amp;"|"&amp;$Q81,Tariff_Master!$A$2:$L$169,10,FALSE),"")</f>
        <v/>
      </c>
      <c r="AJ81" s="21">
        <f>IF($M81="","",ROUNDUP(MAX(0,$M81),0))</f>
        <v/>
      </c>
      <c r="AK81" s="21">
        <f>IF(OR($AJ81="",$AF81=""),"",MAX(0,$AJ81-$AF81))</f>
        <v/>
      </c>
      <c r="AL81" s="22">
        <f>IF(OR($AK81="",$AG81=""),"",MAX(0,$AK81*$AG81))</f>
        <v/>
      </c>
      <c r="AM81" s="22">
        <f>IF($AE81="","",MAX(0,SUM($AE81,$AL81,$V81,$W81)))</f>
        <v/>
      </c>
      <c r="AN81" s="22">
        <f>IF($AM81="","",IF(AND($Q81="COMMITMENT",$R81&gt;=$AH81),$AI81,0))</f>
        <v/>
      </c>
      <c r="AO81" s="23">
        <f>IF($AM81="","",MAX(0,$AM81-$AN81))</f>
        <v/>
      </c>
      <c r="AP81" s="22">
        <f>IF($S81="","",IF(OR($S81="ITEM_PRICE_PLUS_DECLARED_DELIVERY",$S81="DELIVERY_CHARGE_ONLY"),$K81,IF($S81="TOTAL_AMOUNT_INCLUDING_DELIVERY",IF(OR($T81="",$J81=""),"",MAX(0,$T81-$J81-$U81)),IF($S81="ITEM_PRICE_ONLY_DELIVERY_PAID_BY_MERCHANT",0,""))))</f>
        <v/>
      </c>
      <c r="AQ81" s="23">
        <f>IF(OR($AP81="",$AO81=""),"",$AP81-$AO81)</f>
        <v/>
      </c>
      <c r="AR81" s="24">
        <f>IF($S81="EXACT_COLLECTION_AMOUNT","BREAKDOWN_REQUIRED",IF($AQ81="","",IF($AQ81&gt;0,"CREDIT_TO_MERCHANT",IF($AQ81&lt;0,"DEDUCT_FROM_MERCHANT","NO_ADJUSTMENT"))))</f>
        <v/>
      </c>
      <c r="AS81" s="23">
        <f>IF(OR($AQ81="",$AR81="BREAKDOWN_REQUIRED"),"",$AQ81)</f>
        <v/>
      </c>
      <c r="AT81" s="23">
        <f>IF(OR($AR81="",$AR81="BREAKDOWN_REQUIRED"),"",SUM($J81,$AQ81,$Y81)-$X81)</f>
        <v/>
      </c>
      <c r="AU81" s="25">
        <f>IF(AND($A81="",$B81="",$F81="",$H81="",$J81="",$K81="",$M81="",$S81=""),"",IF(OR($H81="",$Q81="",$M81="",$S81=""),"ERROR",IF(OR($J81&lt;0,$K81&lt;0,$M81&lt;0,$T81&lt;0,$U81&lt;0,$V81&lt;0,$W81&lt;0,$X81&lt;0,$Y81&lt;0),"ERROR",IF($AE81="","ERROR",IF(AND(OR($S81="ITEM_PRICE_PLUS_DECLARED_DELIVERY",$S81="TOTAL_AMOUNT_INCLUDING_DELIVERY",$S81="ITEM_PRICE_ONLY_DELIVERY_PAID_BY_MERCHANT"),$J81=""),"ERROR",IF(AND(OR($S81="ITEM_PRICE_PLUS_DECLARED_DELIVERY",$S81="DELIVERY_CHARGE_ONLY"),$K81=""),"ERROR",IF(AND(OR($S81="TOTAL_AMOUNT_INCLUDING_DELIVERY",$S81="EXACT_COLLECTION_AMOUNT"),$T81=""),"ERROR",IF(AND($S81="TOTAL_AMOUNT_INCLUDING_DELIVERY",$T81&lt;SUM($J81,$U81)),"ERROR",IF($S81="EXACT_COLLECTION_AMOUNT","REVIEW","OK")))))))))</f>
        <v/>
      </c>
      <c r="AV81" s="25">
        <f>IF($AU81="","",IF($H81="","Township required",IF($Q81="","Customer tier required",IF($M81="","Weight required",IF($S81="","Amount entry type required",IF(OR($J81&lt;0,$K81&lt;0,$M81&lt;0,$T81&lt;0,$U81&lt;0,$V81&lt;0,$W81&lt;0,$X81&lt;0,$Y81&lt;0),"Negative amounts are not allowed",IF($AE81="","Tariff not found for township and tier",IF(AND(OR($S81="ITEM_PRICE_PLUS_DECLARED_DELIVERY",$S81="TOTAL_AMOUNT_INCLUDING_DELIVERY",$S81="ITEM_PRICE_ONLY_DELIVERY_PAID_BY_MERCHANT"),$J81=""),"Item price required for this amount type",IF(AND(OR($S81="ITEM_PRICE_PLUS_DECLARED_DELIVERY",$S81="DELIVERY_CHARGE_ONLY"),$K81=""),"Declared delivery charge required",IF(AND(OR($S81="TOTAL_AMOUNT_INCLUDING_DELIVERY",$S81="EXACT_COLLECTION_AMOUNT"),$T81=""),"Stated total amount required",IF(AND($S81="TOTAL_AMOUNT_INCLUDING_DELIVERY",$T81&lt;SUM($J81,$U81)),"Stated total is below item price plus additional charge",IF($S81="EXACT_COLLECTION_AMOUNT","Authorized amount breakdown required before settlement","Ready for collection and settlement"))))))))))))</f>
        <v/>
      </c>
      <c r="AW81" s="23">
        <f>IF($AU81="","","PARCEL_FINANCIAL_V2")</f>
        <v/>
      </c>
      <c r="AX81" s="17" t="n"/>
    </row>
    <row r="82">
      <c r="A82" s="8" t="n"/>
      <c r="B82" s="8" t="n"/>
      <c r="C82" s="8" t="n"/>
      <c r="D82" s="8" t="n"/>
      <c r="E82" s="9" t="n"/>
      <c r="F82" s="9" t="n"/>
      <c r="G82" s="8" t="n"/>
      <c r="H82" s="9" t="n"/>
      <c r="I82" s="9" t="n"/>
      <c r="J82" s="10" t="n"/>
      <c r="K82" s="10" t="n"/>
      <c r="L82" s="11">
        <f>IF($S82="","",IF($S82="ITEM_PRICE_PLUS_DECLARED_DELIVERY",IF(OR($J82="",$K82=""),"",SUM($J82,$K82,$U82)),IF($S82="TOTAL_AMOUNT_INCLUDING_DELIVERY",IF($T82="","",$T82),IF($S82="DELIVERY_CHARGE_ONLY",IF($K82="","",SUM($K82,$U82)),IF($S82="EXACT_COLLECTION_AMOUNT",IF($T82="","",$T82),IF($S82="ITEM_PRICE_ONLY_DELIVERY_PAID_BY_MERCHANT",IF($J82="","",SUM($J82,$U82)),""))))))</f>
        <v/>
      </c>
      <c r="M82" s="12" t="n"/>
      <c r="N82" s="13" t="n"/>
      <c r="O82" s="13" t="n"/>
      <c r="P82" s="9" t="n"/>
      <c r="Q82" s="14" t="n"/>
      <c r="R82" s="15" t="n"/>
      <c r="S82" s="14" t="n"/>
      <c r="T82" s="16" t="n"/>
      <c r="U82" s="16" t="n"/>
      <c r="V82" s="16" t="n"/>
      <c r="W82" s="16" t="n"/>
      <c r="X82" s="16" t="n"/>
      <c r="Y82" s="16" t="n"/>
      <c r="Z82" s="14" t="n"/>
      <c r="AA82" s="14" t="n"/>
      <c r="AB82" s="14" t="n"/>
      <c r="AC82" s="17">
        <f>IFERROR(VLOOKUP($H82&amp;"|"&amp;$Q82,Tariff_Master!$A$2:$L$169,3,FALSE),"")</f>
        <v/>
      </c>
      <c r="AD82" s="17">
        <f>IFERROR(VLOOKUP($H82&amp;"|"&amp;$Q82,Tariff_Master!$A$2:$L$169,4,FALSE),"")</f>
        <v/>
      </c>
      <c r="AE82" s="18">
        <f>IFERROR(VLOOKUP($H82&amp;"|"&amp;$Q82,Tariff_Master!$A$2:$L$169,6,FALSE),"")</f>
        <v/>
      </c>
      <c r="AF82" s="19">
        <f>IFERROR(VLOOKUP($H82&amp;"|"&amp;$Q82,Tariff_Master!$A$2:$L$169,7,FALSE),"")</f>
        <v/>
      </c>
      <c r="AG82" s="18">
        <f>IFERROR(VLOOKUP($H82&amp;"|"&amp;$Q82,Tariff_Master!$A$2:$L$169,8,FALSE),"")</f>
        <v/>
      </c>
      <c r="AH82" s="20">
        <f>IFERROR(VLOOKUP($H82&amp;"|"&amp;$Q82,Tariff_Master!$A$2:$L$169,9,FALSE),"")</f>
        <v/>
      </c>
      <c r="AI82" s="18">
        <f>IFERROR(VLOOKUP($H82&amp;"|"&amp;$Q82,Tariff_Master!$A$2:$L$169,10,FALSE),"")</f>
        <v/>
      </c>
      <c r="AJ82" s="21">
        <f>IF($M82="","",ROUNDUP(MAX(0,$M82),0))</f>
        <v/>
      </c>
      <c r="AK82" s="21">
        <f>IF(OR($AJ82="",$AF82=""),"",MAX(0,$AJ82-$AF82))</f>
        <v/>
      </c>
      <c r="AL82" s="22">
        <f>IF(OR($AK82="",$AG82=""),"",MAX(0,$AK82*$AG82))</f>
        <v/>
      </c>
      <c r="AM82" s="22">
        <f>IF($AE82="","",MAX(0,SUM($AE82,$AL82,$V82,$W82)))</f>
        <v/>
      </c>
      <c r="AN82" s="22">
        <f>IF($AM82="","",IF(AND($Q82="COMMITMENT",$R82&gt;=$AH82),$AI82,0))</f>
        <v/>
      </c>
      <c r="AO82" s="23">
        <f>IF($AM82="","",MAX(0,$AM82-$AN82))</f>
        <v/>
      </c>
      <c r="AP82" s="22">
        <f>IF($S82="","",IF(OR($S82="ITEM_PRICE_PLUS_DECLARED_DELIVERY",$S82="DELIVERY_CHARGE_ONLY"),$K82,IF($S82="TOTAL_AMOUNT_INCLUDING_DELIVERY",IF(OR($T82="",$J82=""),"",MAX(0,$T82-$J82-$U82)),IF($S82="ITEM_PRICE_ONLY_DELIVERY_PAID_BY_MERCHANT",0,""))))</f>
        <v/>
      </c>
      <c r="AQ82" s="23">
        <f>IF(OR($AP82="",$AO82=""),"",$AP82-$AO82)</f>
        <v/>
      </c>
      <c r="AR82" s="24">
        <f>IF($S82="EXACT_COLLECTION_AMOUNT","BREAKDOWN_REQUIRED",IF($AQ82="","",IF($AQ82&gt;0,"CREDIT_TO_MERCHANT",IF($AQ82&lt;0,"DEDUCT_FROM_MERCHANT","NO_ADJUSTMENT"))))</f>
        <v/>
      </c>
      <c r="AS82" s="23">
        <f>IF(OR($AQ82="",$AR82="BREAKDOWN_REQUIRED"),"",$AQ82)</f>
        <v/>
      </c>
      <c r="AT82" s="23">
        <f>IF(OR($AR82="",$AR82="BREAKDOWN_REQUIRED"),"",SUM($J82,$AQ82,$Y82)-$X82)</f>
        <v/>
      </c>
      <c r="AU82" s="25">
        <f>IF(AND($A82="",$B82="",$F82="",$H82="",$J82="",$K82="",$M82="",$S82=""),"",IF(OR($H82="",$Q82="",$M82="",$S82=""),"ERROR",IF(OR($J82&lt;0,$K82&lt;0,$M82&lt;0,$T82&lt;0,$U82&lt;0,$V82&lt;0,$W82&lt;0,$X82&lt;0,$Y82&lt;0),"ERROR",IF($AE82="","ERROR",IF(AND(OR($S82="ITEM_PRICE_PLUS_DECLARED_DELIVERY",$S82="TOTAL_AMOUNT_INCLUDING_DELIVERY",$S82="ITEM_PRICE_ONLY_DELIVERY_PAID_BY_MERCHANT"),$J82=""),"ERROR",IF(AND(OR($S82="ITEM_PRICE_PLUS_DECLARED_DELIVERY",$S82="DELIVERY_CHARGE_ONLY"),$K82=""),"ERROR",IF(AND(OR($S82="TOTAL_AMOUNT_INCLUDING_DELIVERY",$S82="EXACT_COLLECTION_AMOUNT"),$T82=""),"ERROR",IF(AND($S82="TOTAL_AMOUNT_INCLUDING_DELIVERY",$T82&lt;SUM($J82,$U82)),"ERROR",IF($S82="EXACT_COLLECTION_AMOUNT","REVIEW","OK")))))))))</f>
        <v/>
      </c>
      <c r="AV82" s="25">
        <f>IF($AU82="","",IF($H82="","Township required",IF($Q82="","Customer tier required",IF($M82="","Weight required",IF($S82="","Amount entry type required",IF(OR($J82&lt;0,$K82&lt;0,$M82&lt;0,$T82&lt;0,$U82&lt;0,$V82&lt;0,$W82&lt;0,$X82&lt;0,$Y82&lt;0),"Negative amounts are not allowed",IF($AE82="","Tariff not found for township and tier",IF(AND(OR($S82="ITEM_PRICE_PLUS_DECLARED_DELIVERY",$S82="TOTAL_AMOUNT_INCLUDING_DELIVERY",$S82="ITEM_PRICE_ONLY_DELIVERY_PAID_BY_MERCHANT"),$J82=""),"Item price required for this amount type",IF(AND(OR($S82="ITEM_PRICE_PLUS_DECLARED_DELIVERY",$S82="DELIVERY_CHARGE_ONLY"),$K82=""),"Declared delivery charge required",IF(AND(OR($S82="TOTAL_AMOUNT_INCLUDING_DELIVERY",$S82="EXACT_COLLECTION_AMOUNT"),$T82=""),"Stated total amount required",IF(AND($S82="TOTAL_AMOUNT_INCLUDING_DELIVERY",$T82&lt;SUM($J82,$U82)),"Stated total is below item price plus additional charge",IF($S82="EXACT_COLLECTION_AMOUNT","Authorized amount breakdown required before settlement","Ready for collection and settlement"))))))))))))</f>
        <v/>
      </c>
      <c r="AW82" s="23">
        <f>IF($AU82="","","PARCEL_FINANCIAL_V2")</f>
        <v/>
      </c>
      <c r="AX82" s="17" t="n"/>
    </row>
    <row r="83">
      <c r="A83" s="8" t="n"/>
      <c r="B83" s="8" t="n"/>
      <c r="C83" s="8" t="n"/>
      <c r="D83" s="8" t="n"/>
      <c r="E83" s="9" t="n"/>
      <c r="F83" s="9" t="n"/>
      <c r="G83" s="8" t="n"/>
      <c r="H83" s="9" t="n"/>
      <c r="I83" s="9" t="n"/>
      <c r="J83" s="10" t="n"/>
      <c r="K83" s="10" t="n"/>
      <c r="L83" s="11">
        <f>IF($S83="","",IF($S83="ITEM_PRICE_PLUS_DECLARED_DELIVERY",IF(OR($J83="",$K83=""),"",SUM($J83,$K83,$U83)),IF($S83="TOTAL_AMOUNT_INCLUDING_DELIVERY",IF($T83="","",$T83),IF($S83="DELIVERY_CHARGE_ONLY",IF($K83="","",SUM($K83,$U83)),IF($S83="EXACT_COLLECTION_AMOUNT",IF($T83="","",$T83),IF($S83="ITEM_PRICE_ONLY_DELIVERY_PAID_BY_MERCHANT",IF($J83="","",SUM($J83,$U83)),""))))))</f>
        <v/>
      </c>
      <c r="M83" s="12" t="n"/>
      <c r="N83" s="13" t="n"/>
      <c r="O83" s="13" t="n"/>
      <c r="P83" s="9" t="n"/>
      <c r="Q83" s="14" t="n"/>
      <c r="R83" s="15" t="n"/>
      <c r="S83" s="14" t="n"/>
      <c r="T83" s="16" t="n"/>
      <c r="U83" s="16" t="n"/>
      <c r="V83" s="16" t="n"/>
      <c r="W83" s="16" t="n"/>
      <c r="X83" s="16" t="n"/>
      <c r="Y83" s="16" t="n"/>
      <c r="Z83" s="14" t="n"/>
      <c r="AA83" s="14" t="n"/>
      <c r="AB83" s="14" t="n"/>
      <c r="AC83" s="17">
        <f>IFERROR(VLOOKUP($H83&amp;"|"&amp;$Q83,Tariff_Master!$A$2:$L$169,3,FALSE),"")</f>
        <v/>
      </c>
      <c r="AD83" s="17">
        <f>IFERROR(VLOOKUP($H83&amp;"|"&amp;$Q83,Tariff_Master!$A$2:$L$169,4,FALSE),"")</f>
        <v/>
      </c>
      <c r="AE83" s="18">
        <f>IFERROR(VLOOKUP($H83&amp;"|"&amp;$Q83,Tariff_Master!$A$2:$L$169,6,FALSE),"")</f>
        <v/>
      </c>
      <c r="AF83" s="19">
        <f>IFERROR(VLOOKUP($H83&amp;"|"&amp;$Q83,Tariff_Master!$A$2:$L$169,7,FALSE),"")</f>
        <v/>
      </c>
      <c r="AG83" s="18">
        <f>IFERROR(VLOOKUP($H83&amp;"|"&amp;$Q83,Tariff_Master!$A$2:$L$169,8,FALSE),"")</f>
        <v/>
      </c>
      <c r="AH83" s="20">
        <f>IFERROR(VLOOKUP($H83&amp;"|"&amp;$Q83,Tariff_Master!$A$2:$L$169,9,FALSE),"")</f>
        <v/>
      </c>
      <c r="AI83" s="18">
        <f>IFERROR(VLOOKUP($H83&amp;"|"&amp;$Q83,Tariff_Master!$A$2:$L$169,10,FALSE),"")</f>
        <v/>
      </c>
      <c r="AJ83" s="21">
        <f>IF($M83="","",ROUNDUP(MAX(0,$M83),0))</f>
        <v/>
      </c>
      <c r="AK83" s="21">
        <f>IF(OR($AJ83="",$AF83=""),"",MAX(0,$AJ83-$AF83))</f>
        <v/>
      </c>
      <c r="AL83" s="22">
        <f>IF(OR($AK83="",$AG83=""),"",MAX(0,$AK83*$AG83))</f>
        <v/>
      </c>
      <c r="AM83" s="22">
        <f>IF($AE83="","",MAX(0,SUM($AE83,$AL83,$V83,$W83)))</f>
        <v/>
      </c>
      <c r="AN83" s="22">
        <f>IF($AM83="","",IF(AND($Q83="COMMITMENT",$R83&gt;=$AH83),$AI83,0))</f>
        <v/>
      </c>
      <c r="AO83" s="23">
        <f>IF($AM83="","",MAX(0,$AM83-$AN83))</f>
        <v/>
      </c>
      <c r="AP83" s="22">
        <f>IF($S83="","",IF(OR($S83="ITEM_PRICE_PLUS_DECLARED_DELIVERY",$S83="DELIVERY_CHARGE_ONLY"),$K83,IF($S83="TOTAL_AMOUNT_INCLUDING_DELIVERY",IF(OR($T83="",$J83=""),"",MAX(0,$T83-$J83-$U83)),IF($S83="ITEM_PRICE_ONLY_DELIVERY_PAID_BY_MERCHANT",0,""))))</f>
        <v/>
      </c>
      <c r="AQ83" s="23">
        <f>IF(OR($AP83="",$AO83=""),"",$AP83-$AO83)</f>
        <v/>
      </c>
      <c r="AR83" s="24">
        <f>IF($S83="EXACT_COLLECTION_AMOUNT","BREAKDOWN_REQUIRED",IF($AQ83="","",IF($AQ83&gt;0,"CREDIT_TO_MERCHANT",IF($AQ83&lt;0,"DEDUCT_FROM_MERCHANT","NO_ADJUSTMENT"))))</f>
        <v/>
      </c>
      <c r="AS83" s="23">
        <f>IF(OR($AQ83="",$AR83="BREAKDOWN_REQUIRED"),"",$AQ83)</f>
        <v/>
      </c>
      <c r="AT83" s="23">
        <f>IF(OR($AR83="",$AR83="BREAKDOWN_REQUIRED"),"",SUM($J83,$AQ83,$Y83)-$X83)</f>
        <v/>
      </c>
      <c r="AU83" s="25">
        <f>IF(AND($A83="",$B83="",$F83="",$H83="",$J83="",$K83="",$M83="",$S83=""),"",IF(OR($H83="",$Q83="",$M83="",$S83=""),"ERROR",IF(OR($J83&lt;0,$K83&lt;0,$M83&lt;0,$T83&lt;0,$U83&lt;0,$V83&lt;0,$W83&lt;0,$X83&lt;0,$Y83&lt;0),"ERROR",IF($AE83="","ERROR",IF(AND(OR($S83="ITEM_PRICE_PLUS_DECLARED_DELIVERY",$S83="TOTAL_AMOUNT_INCLUDING_DELIVERY",$S83="ITEM_PRICE_ONLY_DELIVERY_PAID_BY_MERCHANT"),$J83=""),"ERROR",IF(AND(OR($S83="ITEM_PRICE_PLUS_DECLARED_DELIVERY",$S83="DELIVERY_CHARGE_ONLY"),$K83=""),"ERROR",IF(AND(OR($S83="TOTAL_AMOUNT_INCLUDING_DELIVERY",$S83="EXACT_COLLECTION_AMOUNT"),$T83=""),"ERROR",IF(AND($S83="TOTAL_AMOUNT_INCLUDING_DELIVERY",$T83&lt;SUM($J83,$U83)),"ERROR",IF($S83="EXACT_COLLECTION_AMOUNT","REVIEW","OK")))))))))</f>
        <v/>
      </c>
      <c r="AV83" s="25">
        <f>IF($AU83="","",IF($H83="","Township required",IF($Q83="","Customer tier required",IF($M83="","Weight required",IF($S83="","Amount entry type required",IF(OR($J83&lt;0,$K83&lt;0,$M83&lt;0,$T83&lt;0,$U83&lt;0,$V83&lt;0,$W83&lt;0,$X83&lt;0,$Y83&lt;0),"Negative amounts are not allowed",IF($AE83="","Tariff not found for township and tier",IF(AND(OR($S83="ITEM_PRICE_PLUS_DECLARED_DELIVERY",$S83="TOTAL_AMOUNT_INCLUDING_DELIVERY",$S83="ITEM_PRICE_ONLY_DELIVERY_PAID_BY_MERCHANT"),$J83=""),"Item price required for this amount type",IF(AND(OR($S83="ITEM_PRICE_PLUS_DECLARED_DELIVERY",$S83="DELIVERY_CHARGE_ONLY"),$K83=""),"Declared delivery charge required",IF(AND(OR($S83="TOTAL_AMOUNT_INCLUDING_DELIVERY",$S83="EXACT_COLLECTION_AMOUNT"),$T83=""),"Stated total amount required",IF(AND($S83="TOTAL_AMOUNT_INCLUDING_DELIVERY",$T83&lt;SUM($J83,$U83)),"Stated total is below item price plus additional charge",IF($S83="EXACT_COLLECTION_AMOUNT","Authorized amount breakdown required before settlement","Ready for collection and settlement"))))))))))))</f>
        <v/>
      </c>
      <c r="AW83" s="23">
        <f>IF($AU83="","","PARCEL_FINANCIAL_V2")</f>
        <v/>
      </c>
      <c r="AX83" s="17" t="n"/>
    </row>
    <row r="84">
      <c r="A84" s="8" t="n"/>
      <c r="B84" s="8" t="n"/>
      <c r="C84" s="8" t="n"/>
      <c r="D84" s="8" t="n"/>
      <c r="E84" s="9" t="n"/>
      <c r="F84" s="9" t="n"/>
      <c r="G84" s="8" t="n"/>
      <c r="H84" s="9" t="n"/>
      <c r="I84" s="9" t="n"/>
      <c r="J84" s="10" t="n"/>
      <c r="K84" s="10" t="n"/>
      <c r="L84" s="11">
        <f>IF($S84="","",IF($S84="ITEM_PRICE_PLUS_DECLARED_DELIVERY",IF(OR($J84="",$K84=""),"",SUM($J84,$K84,$U84)),IF($S84="TOTAL_AMOUNT_INCLUDING_DELIVERY",IF($T84="","",$T84),IF($S84="DELIVERY_CHARGE_ONLY",IF($K84="","",SUM($K84,$U84)),IF($S84="EXACT_COLLECTION_AMOUNT",IF($T84="","",$T84),IF($S84="ITEM_PRICE_ONLY_DELIVERY_PAID_BY_MERCHANT",IF($J84="","",SUM($J84,$U84)),""))))))</f>
        <v/>
      </c>
      <c r="M84" s="12" t="n"/>
      <c r="N84" s="13" t="n"/>
      <c r="O84" s="13" t="n"/>
      <c r="P84" s="9" t="n"/>
      <c r="Q84" s="14" t="n"/>
      <c r="R84" s="15" t="n"/>
      <c r="S84" s="14" t="n"/>
      <c r="T84" s="16" t="n"/>
      <c r="U84" s="16" t="n"/>
      <c r="V84" s="16" t="n"/>
      <c r="W84" s="16" t="n"/>
      <c r="X84" s="16" t="n"/>
      <c r="Y84" s="16" t="n"/>
      <c r="Z84" s="14" t="n"/>
      <c r="AA84" s="14" t="n"/>
      <c r="AB84" s="14" t="n"/>
      <c r="AC84" s="17">
        <f>IFERROR(VLOOKUP($H84&amp;"|"&amp;$Q84,Tariff_Master!$A$2:$L$169,3,FALSE),"")</f>
        <v/>
      </c>
      <c r="AD84" s="17">
        <f>IFERROR(VLOOKUP($H84&amp;"|"&amp;$Q84,Tariff_Master!$A$2:$L$169,4,FALSE),"")</f>
        <v/>
      </c>
      <c r="AE84" s="18">
        <f>IFERROR(VLOOKUP($H84&amp;"|"&amp;$Q84,Tariff_Master!$A$2:$L$169,6,FALSE),"")</f>
        <v/>
      </c>
      <c r="AF84" s="19">
        <f>IFERROR(VLOOKUP($H84&amp;"|"&amp;$Q84,Tariff_Master!$A$2:$L$169,7,FALSE),"")</f>
        <v/>
      </c>
      <c r="AG84" s="18">
        <f>IFERROR(VLOOKUP($H84&amp;"|"&amp;$Q84,Tariff_Master!$A$2:$L$169,8,FALSE),"")</f>
        <v/>
      </c>
      <c r="AH84" s="20">
        <f>IFERROR(VLOOKUP($H84&amp;"|"&amp;$Q84,Tariff_Master!$A$2:$L$169,9,FALSE),"")</f>
        <v/>
      </c>
      <c r="AI84" s="18">
        <f>IFERROR(VLOOKUP($H84&amp;"|"&amp;$Q84,Tariff_Master!$A$2:$L$169,10,FALSE),"")</f>
        <v/>
      </c>
      <c r="AJ84" s="21">
        <f>IF($M84="","",ROUNDUP(MAX(0,$M84),0))</f>
        <v/>
      </c>
      <c r="AK84" s="21">
        <f>IF(OR($AJ84="",$AF84=""),"",MAX(0,$AJ84-$AF84))</f>
        <v/>
      </c>
      <c r="AL84" s="22">
        <f>IF(OR($AK84="",$AG84=""),"",MAX(0,$AK84*$AG84))</f>
        <v/>
      </c>
      <c r="AM84" s="22">
        <f>IF($AE84="","",MAX(0,SUM($AE84,$AL84,$V84,$W84)))</f>
        <v/>
      </c>
      <c r="AN84" s="22">
        <f>IF($AM84="","",IF(AND($Q84="COMMITMENT",$R84&gt;=$AH84),$AI84,0))</f>
        <v/>
      </c>
      <c r="AO84" s="23">
        <f>IF($AM84="","",MAX(0,$AM84-$AN84))</f>
        <v/>
      </c>
      <c r="AP84" s="22">
        <f>IF($S84="","",IF(OR($S84="ITEM_PRICE_PLUS_DECLARED_DELIVERY",$S84="DELIVERY_CHARGE_ONLY"),$K84,IF($S84="TOTAL_AMOUNT_INCLUDING_DELIVERY",IF(OR($T84="",$J84=""),"",MAX(0,$T84-$J84-$U84)),IF($S84="ITEM_PRICE_ONLY_DELIVERY_PAID_BY_MERCHANT",0,""))))</f>
        <v/>
      </c>
      <c r="AQ84" s="23">
        <f>IF(OR($AP84="",$AO84=""),"",$AP84-$AO84)</f>
        <v/>
      </c>
      <c r="AR84" s="24">
        <f>IF($S84="EXACT_COLLECTION_AMOUNT","BREAKDOWN_REQUIRED",IF($AQ84="","",IF($AQ84&gt;0,"CREDIT_TO_MERCHANT",IF($AQ84&lt;0,"DEDUCT_FROM_MERCHANT","NO_ADJUSTMENT"))))</f>
        <v/>
      </c>
      <c r="AS84" s="23">
        <f>IF(OR($AQ84="",$AR84="BREAKDOWN_REQUIRED"),"",$AQ84)</f>
        <v/>
      </c>
      <c r="AT84" s="23">
        <f>IF(OR($AR84="",$AR84="BREAKDOWN_REQUIRED"),"",SUM($J84,$AQ84,$Y84)-$X84)</f>
        <v/>
      </c>
      <c r="AU84" s="25">
        <f>IF(AND($A84="",$B84="",$F84="",$H84="",$J84="",$K84="",$M84="",$S84=""),"",IF(OR($H84="",$Q84="",$M84="",$S84=""),"ERROR",IF(OR($J84&lt;0,$K84&lt;0,$M84&lt;0,$T84&lt;0,$U84&lt;0,$V84&lt;0,$W84&lt;0,$X84&lt;0,$Y84&lt;0),"ERROR",IF($AE84="","ERROR",IF(AND(OR($S84="ITEM_PRICE_PLUS_DECLARED_DELIVERY",$S84="TOTAL_AMOUNT_INCLUDING_DELIVERY",$S84="ITEM_PRICE_ONLY_DELIVERY_PAID_BY_MERCHANT"),$J84=""),"ERROR",IF(AND(OR($S84="ITEM_PRICE_PLUS_DECLARED_DELIVERY",$S84="DELIVERY_CHARGE_ONLY"),$K84=""),"ERROR",IF(AND(OR($S84="TOTAL_AMOUNT_INCLUDING_DELIVERY",$S84="EXACT_COLLECTION_AMOUNT"),$T84=""),"ERROR",IF(AND($S84="TOTAL_AMOUNT_INCLUDING_DELIVERY",$T84&lt;SUM($J84,$U84)),"ERROR",IF($S84="EXACT_COLLECTION_AMOUNT","REVIEW","OK")))))))))</f>
        <v/>
      </c>
      <c r="AV84" s="25">
        <f>IF($AU84="","",IF($H84="","Township required",IF($Q84="","Customer tier required",IF($M84="","Weight required",IF($S84="","Amount entry type required",IF(OR($J84&lt;0,$K84&lt;0,$M84&lt;0,$T84&lt;0,$U84&lt;0,$V84&lt;0,$W84&lt;0,$X84&lt;0,$Y84&lt;0),"Negative amounts are not allowed",IF($AE84="","Tariff not found for township and tier",IF(AND(OR($S84="ITEM_PRICE_PLUS_DECLARED_DELIVERY",$S84="TOTAL_AMOUNT_INCLUDING_DELIVERY",$S84="ITEM_PRICE_ONLY_DELIVERY_PAID_BY_MERCHANT"),$J84=""),"Item price required for this amount type",IF(AND(OR($S84="ITEM_PRICE_PLUS_DECLARED_DELIVERY",$S84="DELIVERY_CHARGE_ONLY"),$K84=""),"Declared delivery charge required",IF(AND(OR($S84="TOTAL_AMOUNT_INCLUDING_DELIVERY",$S84="EXACT_COLLECTION_AMOUNT"),$T84=""),"Stated total amount required",IF(AND($S84="TOTAL_AMOUNT_INCLUDING_DELIVERY",$T84&lt;SUM($J84,$U84)),"Stated total is below item price plus additional charge",IF($S84="EXACT_COLLECTION_AMOUNT","Authorized amount breakdown required before settlement","Ready for collection and settlement"))))))))))))</f>
        <v/>
      </c>
      <c r="AW84" s="23">
        <f>IF($AU84="","","PARCEL_FINANCIAL_V2")</f>
        <v/>
      </c>
      <c r="AX84" s="17" t="n"/>
    </row>
    <row r="85">
      <c r="A85" s="8" t="n"/>
      <c r="B85" s="8" t="n"/>
      <c r="C85" s="8" t="n"/>
      <c r="D85" s="8" t="n"/>
      <c r="E85" s="9" t="n"/>
      <c r="F85" s="9" t="n"/>
      <c r="G85" s="8" t="n"/>
      <c r="H85" s="9" t="n"/>
      <c r="I85" s="9" t="n"/>
      <c r="J85" s="10" t="n"/>
      <c r="K85" s="10" t="n"/>
      <c r="L85" s="11">
        <f>IF($S85="","",IF($S85="ITEM_PRICE_PLUS_DECLARED_DELIVERY",IF(OR($J85="",$K85=""),"",SUM($J85,$K85,$U85)),IF($S85="TOTAL_AMOUNT_INCLUDING_DELIVERY",IF($T85="","",$T85),IF($S85="DELIVERY_CHARGE_ONLY",IF($K85="","",SUM($K85,$U85)),IF($S85="EXACT_COLLECTION_AMOUNT",IF($T85="","",$T85),IF($S85="ITEM_PRICE_ONLY_DELIVERY_PAID_BY_MERCHANT",IF($J85="","",SUM($J85,$U85)),""))))))</f>
        <v/>
      </c>
      <c r="M85" s="12" t="n"/>
      <c r="N85" s="13" t="n"/>
      <c r="O85" s="13" t="n"/>
      <c r="P85" s="9" t="n"/>
      <c r="Q85" s="14" t="n"/>
      <c r="R85" s="15" t="n"/>
      <c r="S85" s="14" t="n"/>
      <c r="T85" s="16" t="n"/>
      <c r="U85" s="16" t="n"/>
      <c r="V85" s="16" t="n"/>
      <c r="W85" s="16" t="n"/>
      <c r="X85" s="16" t="n"/>
      <c r="Y85" s="16" t="n"/>
      <c r="Z85" s="14" t="n"/>
      <c r="AA85" s="14" t="n"/>
      <c r="AB85" s="14" t="n"/>
      <c r="AC85" s="17">
        <f>IFERROR(VLOOKUP($H85&amp;"|"&amp;$Q85,Tariff_Master!$A$2:$L$169,3,FALSE),"")</f>
        <v/>
      </c>
      <c r="AD85" s="17">
        <f>IFERROR(VLOOKUP($H85&amp;"|"&amp;$Q85,Tariff_Master!$A$2:$L$169,4,FALSE),"")</f>
        <v/>
      </c>
      <c r="AE85" s="18">
        <f>IFERROR(VLOOKUP($H85&amp;"|"&amp;$Q85,Tariff_Master!$A$2:$L$169,6,FALSE),"")</f>
        <v/>
      </c>
      <c r="AF85" s="19">
        <f>IFERROR(VLOOKUP($H85&amp;"|"&amp;$Q85,Tariff_Master!$A$2:$L$169,7,FALSE),"")</f>
        <v/>
      </c>
      <c r="AG85" s="18">
        <f>IFERROR(VLOOKUP($H85&amp;"|"&amp;$Q85,Tariff_Master!$A$2:$L$169,8,FALSE),"")</f>
        <v/>
      </c>
      <c r="AH85" s="20">
        <f>IFERROR(VLOOKUP($H85&amp;"|"&amp;$Q85,Tariff_Master!$A$2:$L$169,9,FALSE),"")</f>
        <v/>
      </c>
      <c r="AI85" s="18">
        <f>IFERROR(VLOOKUP($H85&amp;"|"&amp;$Q85,Tariff_Master!$A$2:$L$169,10,FALSE),"")</f>
        <v/>
      </c>
      <c r="AJ85" s="21">
        <f>IF($M85="","",ROUNDUP(MAX(0,$M85),0))</f>
        <v/>
      </c>
      <c r="AK85" s="21">
        <f>IF(OR($AJ85="",$AF85=""),"",MAX(0,$AJ85-$AF85))</f>
        <v/>
      </c>
      <c r="AL85" s="22">
        <f>IF(OR($AK85="",$AG85=""),"",MAX(0,$AK85*$AG85))</f>
        <v/>
      </c>
      <c r="AM85" s="22">
        <f>IF($AE85="","",MAX(0,SUM($AE85,$AL85,$V85,$W85)))</f>
        <v/>
      </c>
      <c r="AN85" s="22">
        <f>IF($AM85="","",IF(AND($Q85="COMMITMENT",$R85&gt;=$AH85),$AI85,0))</f>
        <v/>
      </c>
      <c r="AO85" s="23">
        <f>IF($AM85="","",MAX(0,$AM85-$AN85))</f>
        <v/>
      </c>
      <c r="AP85" s="22">
        <f>IF($S85="","",IF(OR($S85="ITEM_PRICE_PLUS_DECLARED_DELIVERY",$S85="DELIVERY_CHARGE_ONLY"),$K85,IF($S85="TOTAL_AMOUNT_INCLUDING_DELIVERY",IF(OR($T85="",$J85=""),"",MAX(0,$T85-$J85-$U85)),IF($S85="ITEM_PRICE_ONLY_DELIVERY_PAID_BY_MERCHANT",0,""))))</f>
        <v/>
      </c>
      <c r="AQ85" s="23">
        <f>IF(OR($AP85="",$AO85=""),"",$AP85-$AO85)</f>
        <v/>
      </c>
      <c r="AR85" s="24">
        <f>IF($S85="EXACT_COLLECTION_AMOUNT","BREAKDOWN_REQUIRED",IF($AQ85="","",IF($AQ85&gt;0,"CREDIT_TO_MERCHANT",IF($AQ85&lt;0,"DEDUCT_FROM_MERCHANT","NO_ADJUSTMENT"))))</f>
        <v/>
      </c>
      <c r="AS85" s="23">
        <f>IF(OR($AQ85="",$AR85="BREAKDOWN_REQUIRED"),"",$AQ85)</f>
        <v/>
      </c>
      <c r="AT85" s="23">
        <f>IF(OR($AR85="",$AR85="BREAKDOWN_REQUIRED"),"",SUM($J85,$AQ85,$Y85)-$X85)</f>
        <v/>
      </c>
      <c r="AU85" s="25">
        <f>IF(AND($A85="",$B85="",$F85="",$H85="",$J85="",$K85="",$M85="",$S85=""),"",IF(OR($H85="",$Q85="",$M85="",$S85=""),"ERROR",IF(OR($J85&lt;0,$K85&lt;0,$M85&lt;0,$T85&lt;0,$U85&lt;0,$V85&lt;0,$W85&lt;0,$X85&lt;0,$Y85&lt;0),"ERROR",IF($AE85="","ERROR",IF(AND(OR($S85="ITEM_PRICE_PLUS_DECLARED_DELIVERY",$S85="TOTAL_AMOUNT_INCLUDING_DELIVERY",$S85="ITEM_PRICE_ONLY_DELIVERY_PAID_BY_MERCHANT"),$J85=""),"ERROR",IF(AND(OR($S85="ITEM_PRICE_PLUS_DECLARED_DELIVERY",$S85="DELIVERY_CHARGE_ONLY"),$K85=""),"ERROR",IF(AND(OR($S85="TOTAL_AMOUNT_INCLUDING_DELIVERY",$S85="EXACT_COLLECTION_AMOUNT"),$T85=""),"ERROR",IF(AND($S85="TOTAL_AMOUNT_INCLUDING_DELIVERY",$T85&lt;SUM($J85,$U85)),"ERROR",IF($S85="EXACT_COLLECTION_AMOUNT","REVIEW","OK")))))))))</f>
        <v/>
      </c>
      <c r="AV85" s="25">
        <f>IF($AU85="","",IF($H85="","Township required",IF($Q85="","Customer tier required",IF($M85="","Weight required",IF($S85="","Amount entry type required",IF(OR($J85&lt;0,$K85&lt;0,$M85&lt;0,$T85&lt;0,$U85&lt;0,$V85&lt;0,$W85&lt;0,$X85&lt;0,$Y85&lt;0),"Negative amounts are not allowed",IF($AE85="","Tariff not found for township and tier",IF(AND(OR($S85="ITEM_PRICE_PLUS_DECLARED_DELIVERY",$S85="TOTAL_AMOUNT_INCLUDING_DELIVERY",$S85="ITEM_PRICE_ONLY_DELIVERY_PAID_BY_MERCHANT"),$J85=""),"Item price required for this amount type",IF(AND(OR($S85="ITEM_PRICE_PLUS_DECLARED_DELIVERY",$S85="DELIVERY_CHARGE_ONLY"),$K85=""),"Declared delivery charge required",IF(AND(OR($S85="TOTAL_AMOUNT_INCLUDING_DELIVERY",$S85="EXACT_COLLECTION_AMOUNT"),$T85=""),"Stated total amount required",IF(AND($S85="TOTAL_AMOUNT_INCLUDING_DELIVERY",$T85&lt;SUM($J85,$U85)),"Stated total is below item price plus additional charge",IF($S85="EXACT_COLLECTION_AMOUNT","Authorized amount breakdown required before settlement","Ready for collection and settlement"))))))))))))</f>
        <v/>
      </c>
      <c r="AW85" s="23">
        <f>IF($AU85="","","PARCEL_FINANCIAL_V2")</f>
        <v/>
      </c>
      <c r="AX85" s="17" t="n"/>
    </row>
    <row r="86">
      <c r="A86" s="8" t="n"/>
      <c r="B86" s="8" t="n"/>
      <c r="C86" s="8" t="n"/>
      <c r="D86" s="8" t="n"/>
      <c r="E86" s="9" t="n"/>
      <c r="F86" s="9" t="n"/>
      <c r="G86" s="8" t="n"/>
      <c r="H86" s="9" t="n"/>
      <c r="I86" s="9" t="n"/>
      <c r="J86" s="10" t="n"/>
      <c r="K86" s="10" t="n"/>
      <c r="L86" s="11">
        <f>IF($S86="","",IF($S86="ITEM_PRICE_PLUS_DECLARED_DELIVERY",IF(OR($J86="",$K86=""),"",SUM($J86,$K86,$U86)),IF($S86="TOTAL_AMOUNT_INCLUDING_DELIVERY",IF($T86="","",$T86),IF($S86="DELIVERY_CHARGE_ONLY",IF($K86="","",SUM($K86,$U86)),IF($S86="EXACT_COLLECTION_AMOUNT",IF($T86="","",$T86),IF($S86="ITEM_PRICE_ONLY_DELIVERY_PAID_BY_MERCHANT",IF($J86="","",SUM($J86,$U86)),""))))))</f>
        <v/>
      </c>
      <c r="M86" s="12" t="n"/>
      <c r="N86" s="13" t="n"/>
      <c r="O86" s="13" t="n"/>
      <c r="P86" s="9" t="n"/>
      <c r="Q86" s="14" t="n"/>
      <c r="R86" s="15" t="n"/>
      <c r="S86" s="14" t="n"/>
      <c r="T86" s="16" t="n"/>
      <c r="U86" s="16" t="n"/>
      <c r="V86" s="16" t="n"/>
      <c r="W86" s="16" t="n"/>
      <c r="X86" s="16" t="n"/>
      <c r="Y86" s="16" t="n"/>
      <c r="Z86" s="14" t="n"/>
      <c r="AA86" s="14" t="n"/>
      <c r="AB86" s="14" t="n"/>
      <c r="AC86" s="17">
        <f>IFERROR(VLOOKUP($H86&amp;"|"&amp;$Q86,Tariff_Master!$A$2:$L$169,3,FALSE),"")</f>
        <v/>
      </c>
      <c r="AD86" s="17">
        <f>IFERROR(VLOOKUP($H86&amp;"|"&amp;$Q86,Tariff_Master!$A$2:$L$169,4,FALSE),"")</f>
        <v/>
      </c>
      <c r="AE86" s="18">
        <f>IFERROR(VLOOKUP($H86&amp;"|"&amp;$Q86,Tariff_Master!$A$2:$L$169,6,FALSE),"")</f>
        <v/>
      </c>
      <c r="AF86" s="19">
        <f>IFERROR(VLOOKUP($H86&amp;"|"&amp;$Q86,Tariff_Master!$A$2:$L$169,7,FALSE),"")</f>
        <v/>
      </c>
      <c r="AG86" s="18">
        <f>IFERROR(VLOOKUP($H86&amp;"|"&amp;$Q86,Tariff_Master!$A$2:$L$169,8,FALSE),"")</f>
        <v/>
      </c>
      <c r="AH86" s="20">
        <f>IFERROR(VLOOKUP($H86&amp;"|"&amp;$Q86,Tariff_Master!$A$2:$L$169,9,FALSE),"")</f>
        <v/>
      </c>
      <c r="AI86" s="18">
        <f>IFERROR(VLOOKUP($H86&amp;"|"&amp;$Q86,Tariff_Master!$A$2:$L$169,10,FALSE),"")</f>
        <v/>
      </c>
      <c r="AJ86" s="21">
        <f>IF($M86="","",ROUNDUP(MAX(0,$M86),0))</f>
        <v/>
      </c>
      <c r="AK86" s="21">
        <f>IF(OR($AJ86="",$AF86=""),"",MAX(0,$AJ86-$AF86))</f>
        <v/>
      </c>
      <c r="AL86" s="22">
        <f>IF(OR($AK86="",$AG86=""),"",MAX(0,$AK86*$AG86))</f>
        <v/>
      </c>
      <c r="AM86" s="22">
        <f>IF($AE86="","",MAX(0,SUM($AE86,$AL86,$V86,$W86)))</f>
        <v/>
      </c>
      <c r="AN86" s="22">
        <f>IF($AM86="","",IF(AND($Q86="COMMITMENT",$R86&gt;=$AH86),$AI86,0))</f>
        <v/>
      </c>
      <c r="AO86" s="23">
        <f>IF($AM86="","",MAX(0,$AM86-$AN86))</f>
        <v/>
      </c>
      <c r="AP86" s="22">
        <f>IF($S86="","",IF(OR($S86="ITEM_PRICE_PLUS_DECLARED_DELIVERY",$S86="DELIVERY_CHARGE_ONLY"),$K86,IF($S86="TOTAL_AMOUNT_INCLUDING_DELIVERY",IF(OR($T86="",$J86=""),"",MAX(0,$T86-$J86-$U86)),IF($S86="ITEM_PRICE_ONLY_DELIVERY_PAID_BY_MERCHANT",0,""))))</f>
        <v/>
      </c>
      <c r="AQ86" s="23">
        <f>IF(OR($AP86="",$AO86=""),"",$AP86-$AO86)</f>
        <v/>
      </c>
      <c r="AR86" s="24">
        <f>IF($S86="EXACT_COLLECTION_AMOUNT","BREAKDOWN_REQUIRED",IF($AQ86="","",IF($AQ86&gt;0,"CREDIT_TO_MERCHANT",IF($AQ86&lt;0,"DEDUCT_FROM_MERCHANT","NO_ADJUSTMENT"))))</f>
        <v/>
      </c>
      <c r="AS86" s="23">
        <f>IF(OR($AQ86="",$AR86="BREAKDOWN_REQUIRED"),"",$AQ86)</f>
        <v/>
      </c>
      <c r="AT86" s="23">
        <f>IF(OR($AR86="",$AR86="BREAKDOWN_REQUIRED"),"",SUM($J86,$AQ86,$Y86)-$X86)</f>
        <v/>
      </c>
      <c r="AU86" s="25">
        <f>IF(AND($A86="",$B86="",$F86="",$H86="",$J86="",$K86="",$M86="",$S86=""),"",IF(OR($H86="",$Q86="",$M86="",$S86=""),"ERROR",IF(OR($J86&lt;0,$K86&lt;0,$M86&lt;0,$T86&lt;0,$U86&lt;0,$V86&lt;0,$W86&lt;0,$X86&lt;0,$Y86&lt;0),"ERROR",IF($AE86="","ERROR",IF(AND(OR($S86="ITEM_PRICE_PLUS_DECLARED_DELIVERY",$S86="TOTAL_AMOUNT_INCLUDING_DELIVERY",$S86="ITEM_PRICE_ONLY_DELIVERY_PAID_BY_MERCHANT"),$J86=""),"ERROR",IF(AND(OR($S86="ITEM_PRICE_PLUS_DECLARED_DELIVERY",$S86="DELIVERY_CHARGE_ONLY"),$K86=""),"ERROR",IF(AND(OR($S86="TOTAL_AMOUNT_INCLUDING_DELIVERY",$S86="EXACT_COLLECTION_AMOUNT"),$T86=""),"ERROR",IF(AND($S86="TOTAL_AMOUNT_INCLUDING_DELIVERY",$T86&lt;SUM($J86,$U86)),"ERROR",IF($S86="EXACT_COLLECTION_AMOUNT","REVIEW","OK")))))))))</f>
        <v/>
      </c>
      <c r="AV86" s="25">
        <f>IF($AU86="","",IF($H86="","Township required",IF($Q86="","Customer tier required",IF($M86="","Weight required",IF($S86="","Amount entry type required",IF(OR($J86&lt;0,$K86&lt;0,$M86&lt;0,$T86&lt;0,$U86&lt;0,$V86&lt;0,$W86&lt;0,$X86&lt;0,$Y86&lt;0),"Negative amounts are not allowed",IF($AE86="","Tariff not found for township and tier",IF(AND(OR($S86="ITEM_PRICE_PLUS_DECLARED_DELIVERY",$S86="TOTAL_AMOUNT_INCLUDING_DELIVERY",$S86="ITEM_PRICE_ONLY_DELIVERY_PAID_BY_MERCHANT"),$J86=""),"Item price required for this amount type",IF(AND(OR($S86="ITEM_PRICE_PLUS_DECLARED_DELIVERY",$S86="DELIVERY_CHARGE_ONLY"),$K86=""),"Declared delivery charge required",IF(AND(OR($S86="TOTAL_AMOUNT_INCLUDING_DELIVERY",$S86="EXACT_COLLECTION_AMOUNT"),$T86=""),"Stated total amount required",IF(AND($S86="TOTAL_AMOUNT_INCLUDING_DELIVERY",$T86&lt;SUM($J86,$U86)),"Stated total is below item price plus additional charge",IF($S86="EXACT_COLLECTION_AMOUNT","Authorized amount breakdown required before settlement","Ready for collection and settlement"))))))))))))</f>
        <v/>
      </c>
      <c r="AW86" s="23">
        <f>IF($AU86="","","PARCEL_FINANCIAL_V2")</f>
        <v/>
      </c>
      <c r="AX86" s="17" t="n"/>
    </row>
    <row r="87">
      <c r="A87" s="8" t="n"/>
      <c r="B87" s="8" t="n"/>
      <c r="C87" s="8" t="n"/>
      <c r="D87" s="8" t="n"/>
      <c r="E87" s="9" t="n"/>
      <c r="F87" s="9" t="n"/>
      <c r="G87" s="8" t="n"/>
      <c r="H87" s="9" t="n"/>
      <c r="I87" s="9" t="n"/>
      <c r="J87" s="10" t="n"/>
      <c r="K87" s="10" t="n"/>
      <c r="L87" s="11">
        <f>IF($S87="","",IF($S87="ITEM_PRICE_PLUS_DECLARED_DELIVERY",IF(OR($J87="",$K87=""),"",SUM($J87,$K87,$U87)),IF($S87="TOTAL_AMOUNT_INCLUDING_DELIVERY",IF($T87="","",$T87),IF($S87="DELIVERY_CHARGE_ONLY",IF($K87="","",SUM($K87,$U87)),IF($S87="EXACT_COLLECTION_AMOUNT",IF($T87="","",$T87),IF($S87="ITEM_PRICE_ONLY_DELIVERY_PAID_BY_MERCHANT",IF($J87="","",SUM($J87,$U87)),""))))))</f>
        <v/>
      </c>
      <c r="M87" s="12" t="n"/>
      <c r="N87" s="13" t="n"/>
      <c r="O87" s="13" t="n"/>
      <c r="P87" s="9" t="n"/>
      <c r="Q87" s="14" t="n"/>
      <c r="R87" s="15" t="n"/>
      <c r="S87" s="14" t="n"/>
      <c r="T87" s="16" t="n"/>
      <c r="U87" s="16" t="n"/>
      <c r="V87" s="16" t="n"/>
      <c r="W87" s="16" t="n"/>
      <c r="X87" s="16" t="n"/>
      <c r="Y87" s="16" t="n"/>
      <c r="Z87" s="14" t="n"/>
      <c r="AA87" s="14" t="n"/>
      <c r="AB87" s="14" t="n"/>
      <c r="AC87" s="17">
        <f>IFERROR(VLOOKUP($H87&amp;"|"&amp;$Q87,Tariff_Master!$A$2:$L$169,3,FALSE),"")</f>
        <v/>
      </c>
      <c r="AD87" s="17">
        <f>IFERROR(VLOOKUP($H87&amp;"|"&amp;$Q87,Tariff_Master!$A$2:$L$169,4,FALSE),"")</f>
        <v/>
      </c>
      <c r="AE87" s="18">
        <f>IFERROR(VLOOKUP($H87&amp;"|"&amp;$Q87,Tariff_Master!$A$2:$L$169,6,FALSE),"")</f>
        <v/>
      </c>
      <c r="AF87" s="19">
        <f>IFERROR(VLOOKUP($H87&amp;"|"&amp;$Q87,Tariff_Master!$A$2:$L$169,7,FALSE),"")</f>
        <v/>
      </c>
      <c r="AG87" s="18">
        <f>IFERROR(VLOOKUP($H87&amp;"|"&amp;$Q87,Tariff_Master!$A$2:$L$169,8,FALSE),"")</f>
        <v/>
      </c>
      <c r="AH87" s="20">
        <f>IFERROR(VLOOKUP($H87&amp;"|"&amp;$Q87,Tariff_Master!$A$2:$L$169,9,FALSE),"")</f>
        <v/>
      </c>
      <c r="AI87" s="18">
        <f>IFERROR(VLOOKUP($H87&amp;"|"&amp;$Q87,Tariff_Master!$A$2:$L$169,10,FALSE),"")</f>
        <v/>
      </c>
      <c r="AJ87" s="21">
        <f>IF($M87="","",ROUNDUP(MAX(0,$M87),0))</f>
        <v/>
      </c>
      <c r="AK87" s="21">
        <f>IF(OR($AJ87="",$AF87=""),"",MAX(0,$AJ87-$AF87))</f>
        <v/>
      </c>
      <c r="AL87" s="22">
        <f>IF(OR($AK87="",$AG87=""),"",MAX(0,$AK87*$AG87))</f>
        <v/>
      </c>
      <c r="AM87" s="22">
        <f>IF($AE87="","",MAX(0,SUM($AE87,$AL87,$V87,$W87)))</f>
        <v/>
      </c>
      <c r="AN87" s="22">
        <f>IF($AM87="","",IF(AND($Q87="COMMITMENT",$R87&gt;=$AH87),$AI87,0))</f>
        <v/>
      </c>
      <c r="AO87" s="23">
        <f>IF($AM87="","",MAX(0,$AM87-$AN87))</f>
        <v/>
      </c>
      <c r="AP87" s="22">
        <f>IF($S87="","",IF(OR($S87="ITEM_PRICE_PLUS_DECLARED_DELIVERY",$S87="DELIVERY_CHARGE_ONLY"),$K87,IF($S87="TOTAL_AMOUNT_INCLUDING_DELIVERY",IF(OR($T87="",$J87=""),"",MAX(0,$T87-$J87-$U87)),IF($S87="ITEM_PRICE_ONLY_DELIVERY_PAID_BY_MERCHANT",0,""))))</f>
        <v/>
      </c>
      <c r="AQ87" s="23">
        <f>IF(OR($AP87="",$AO87=""),"",$AP87-$AO87)</f>
        <v/>
      </c>
      <c r="AR87" s="24">
        <f>IF($S87="EXACT_COLLECTION_AMOUNT","BREAKDOWN_REQUIRED",IF($AQ87="","",IF($AQ87&gt;0,"CREDIT_TO_MERCHANT",IF($AQ87&lt;0,"DEDUCT_FROM_MERCHANT","NO_ADJUSTMENT"))))</f>
        <v/>
      </c>
      <c r="AS87" s="23">
        <f>IF(OR($AQ87="",$AR87="BREAKDOWN_REQUIRED"),"",$AQ87)</f>
        <v/>
      </c>
      <c r="AT87" s="23">
        <f>IF(OR($AR87="",$AR87="BREAKDOWN_REQUIRED"),"",SUM($J87,$AQ87,$Y87)-$X87)</f>
        <v/>
      </c>
      <c r="AU87" s="25">
        <f>IF(AND($A87="",$B87="",$F87="",$H87="",$J87="",$K87="",$M87="",$S87=""),"",IF(OR($H87="",$Q87="",$M87="",$S87=""),"ERROR",IF(OR($J87&lt;0,$K87&lt;0,$M87&lt;0,$T87&lt;0,$U87&lt;0,$V87&lt;0,$W87&lt;0,$X87&lt;0,$Y87&lt;0),"ERROR",IF($AE87="","ERROR",IF(AND(OR($S87="ITEM_PRICE_PLUS_DECLARED_DELIVERY",$S87="TOTAL_AMOUNT_INCLUDING_DELIVERY",$S87="ITEM_PRICE_ONLY_DELIVERY_PAID_BY_MERCHANT"),$J87=""),"ERROR",IF(AND(OR($S87="ITEM_PRICE_PLUS_DECLARED_DELIVERY",$S87="DELIVERY_CHARGE_ONLY"),$K87=""),"ERROR",IF(AND(OR($S87="TOTAL_AMOUNT_INCLUDING_DELIVERY",$S87="EXACT_COLLECTION_AMOUNT"),$T87=""),"ERROR",IF(AND($S87="TOTAL_AMOUNT_INCLUDING_DELIVERY",$T87&lt;SUM($J87,$U87)),"ERROR",IF($S87="EXACT_COLLECTION_AMOUNT","REVIEW","OK")))))))))</f>
        <v/>
      </c>
      <c r="AV87" s="25">
        <f>IF($AU87="","",IF($H87="","Township required",IF($Q87="","Customer tier required",IF($M87="","Weight required",IF($S87="","Amount entry type required",IF(OR($J87&lt;0,$K87&lt;0,$M87&lt;0,$T87&lt;0,$U87&lt;0,$V87&lt;0,$W87&lt;0,$X87&lt;0,$Y87&lt;0),"Negative amounts are not allowed",IF($AE87="","Tariff not found for township and tier",IF(AND(OR($S87="ITEM_PRICE_PLUS_DECLARED_DELIVERY",$S87="TOTAL_AMOUNT_INCLUDING_DELIVERY",$S87="ITEM_PRICE_ONLY_DELIVERY_PAID_BY_MERCHANT"),$J87=""),"Item price required for this amount type",IF(AND(OR($S87="ITEM_PRICE_PLUS_DECLARED_DELIVERY",$S87="DELIVERY_CHARGE_ONLY"),$K87=""),"Declared delivery charge required",IF(AND(OR($S87="TOTAL_AMOUNT_INCLUDING_DELIVERY",$S87="EXACT_COLLECTION_AMOUNT"),$T87=""),"Stated total amount required",IF(AND($S87="TOTAL_AMOUNT_INCLUDING_DELIVERY",$T87&lt;SUM($J87,$U87)),"Stated total is below item price plus additional charge",IF($S87="EXACT_COLLECTION_AMOUNT","Authorized amount breakdown required before settlement","Ready for collection and settlement"))))))))))))</f>
        <v/>
      </c>
      <c r="AW87" s="23">
        <f>IF($AU87="","","PARCEL_FINANCIAL_V2")</f>
        <v/>
      </c>
      <c r="AX87" s="17" t="n"/>
    </row>
    <row r="88">
      <c r="A88" s="8" t="n"/>
      <c r="B88" s="8" t="n"/>
      <c r="C88" s="8" t="n"/>
      <c r="D88" s="8" t="n"/>
      <c r="E88" s="9" t="n"/>
      <c r="F88" s="9" t="n"/>
      <c r="G88" s="8" t="n"/>
      <c r="H88" s="9" t="n"/>
      <c r="I88" s="9" t="n"/>
      <c r="J88" s="10" t="n"/>
      <c r="K88" s="10" t="n"/>
      <c r="L88" s="11">
        <f>IF($S88="","",IF($S88="ITEM_PRICE_PLUS_DECLARED_DELIVERY",IF(OR($J88="",$K88=""),"",SUM($J88,$K88,$U88)),IF($S88="TOTAL_AMOUNT_INCLUDING_DELIVERY",IF($T88="","",$T88),IF($S88="DELIVERY_CHARGE_ONLY",IF($K88="","",SUM($K88,$U88)),IF($S88="EXACT_COLLECTION_AMOUNT",IF($T88="","",$T88),IF($S88="ITEM_PRICE_ONLY_DELIVERY_PAID_BY_MERCHANT",IF($J88="","",SUM($J88,$U88)),""))))))</f>
        <v/>
      </c>
      <c r="M88" s="12" t="n"/>
      <c r="N88" s="13" t="n"/>
      <c r="O88" s="13" t="n"/>
      <c r="P88" s="9" t="n"/>
      <c r="Q88" s="14" t="n"/>
      <c r="R88" s="15" t="n"/>
      <c r="S88" s="14" t="n"/>
      <c r="T88" s="16" t="n"/>
      <c r="U88" s="16" t="n"/>
      <c r="V88" s="16" t="n"/>
      <c r="W88" s="16" t="n"/>
      <c r="X88" s="16" t="n"/>
      <c r="Y88" s="16" t="n"/>
      <c r="Z88" s="14" t="n"/>
      <c r="AA88" s="14" t="n"/>
      <c r="AB88" s="14" t="n"/>
      <c r="AC88" s="17">
        <f>IFERROR(VLOOKUP($H88&amp;"|"&amp;$Q88,Tariff_Master!$A$2:$L$169,3,FALSE),"")</f>
        <v/>
      </c>
      <c r="AD88" s="17">
        <f>IFERROR(VLOOKUP($H88&amp;"|"&amp;$Q88,Tariff_Master!$A$2:$L$169,4,FALSE),"")</f>
        <v/>
      </c>
      <c r="AE88" s="18">
        <f>IFERROR(VLOOKUP($H88&amp;"|"&amp;$Q88,Tariff_Master!$A$2:$L$169,6,FALSE),"")</f>
        <v/>
      </c>
      <c r="AF88" s="19">
        <f>IFERROR(VLOOKUP($H88&amp;"|"&amp;$Q88,Tariff_Master!$A$2:$L$169,7,FALSE),"")</f>
        <v/>
      </c>
      <c r="AG88" s="18">
        <f>IFERROR(VLOOKUP($H88&amp;"|"&amp;$Q88,Tariff_Master!$A$2:$L$169,8,FALSE),"")</f>
        <v/>
      </c>
      <c r="AH88" s="20">
        <f>IFERROR(VLOOKUP($H88&amp;"|"&amp;$Q88,Tariff_Master!$A$2:$L$169,9,FALSE),"")</f>
        <v/>
      </c>
      <c r="AI88" s="18">
        <f>IFERROR(VLOOKUP($H88&amp;"|"&amp;$Q88,Tariff_Master!$A$2:$L$169,10,FALSE),"")</f>
        <v/>
      </c>
      <c r="AJ88" s="21">
        <f>IF($M88="","",ROUNDUP(MAX(0,$M88),0))</f>
        <v/>
      </c>
      <c r="AK88" s="21">
        <f>IF(OR($AJ88="",$AF88=""),"",MAX(0,$AJ88-$AF88))</f>
        <v/>
      </c>
      <c r="AL88" s="22">
        <f>IF(OR($AK88="",$AG88=""),"",MAX(0,$AK88*$AG88))</f>
        <v/>
      </c>
      <c r="AM88" s="22">
        <f>IF($AE88="","",MAX(0,SUM($AE88,$AL88,$V88,$W88)))</f>
        <v/>
      </c>
      <c r="AN88" s="22">
        <f>IF($AM88="","",IF(AND($Q88="COMMITMENT",$R88&gt;=$AH88),$AI88,0))</f>
        <v/>
      </c>
      <c r="AO88" s="23">
        <f>IF($AM88="","",MAX(0,$AM88-$AN88))</f>
        <v/>
      </c>
      <c r="AP88" s="22">
        <f>IF($S88="","",IF(OR($S88="ITEM_PRICE_PLUS_DECLARED_DELIVERY",$S88="DELIVERY_CHARGE_ONLY"),$K88,IF($S88="TOTAL_AMOUNT_INCLUDING_DELIVERY",IF(OR($T88="",$J88=""),"",MAX(0,$T88-$J88-$U88)),IF($S88="ITEM_PRICE_ONLY_DELIVERY_PAID_BY_MERCHANT",0,""))))</f>
        <v/>
      </c>
      <c r="AQ88" s="23">
        <f>IF(OR($AP88="",$AO88=""),"",$AP88-$AO88)</f>
        <v/>
      </c>
      <c r="AR88" s="24">
        <f>IF($S88="EXACT_COLLECTION_AMOUNT","BREAKDOWN_REQUIRED",IF($AQ88="","",IF($AQ88&gt;0,"CREDIT_TO_MERCHANT",IF($AQ88&lt;0,"DEDUCT_FROM_MERCHANT","NO_ADJUSTMENT"))))</f>
        <v/>
      </c>
      <c r="AS88" s="23">
        <f>IF(OR($AQ88="",$AR88="BREAKDOWN_REQUIRED"),"",$AQ88)</f>
        <v/>
      </c>
      <c r="AT88" s="23">
        <f>IF(OR($AR88="",$AR88="BREAKDOWN_REQUIRED"),"",SUM($J88,$AQ88,$Y88)-$X88)</f>
        <v/>
      </c>
      <c r="AU88" s="25">
        <f>IF(AND($A88="",$B88="",$F88="",$H88="",$J88="",$K88="",$M88="",$S88=""),"",IF(OR($H88="",$Q88="",$M88="",$S88=""),"ERROR",IF(OR($J88&lt;0,$K88&lt;0,$M88&lt;0,$T88&lt;0,$U88&lt;0,$V88&lt;0,$W88&lt;0,$X88&lt;0,$Y88&lt;0),"ERROR",IF($AE88="","ERROR",IF(AND(OR($S88="ITEM_PRICE_PLUS_DECLARED_DELIVERY",$S88="TOTAL_AMOUNT_INCLUDING_DELIVERY",$S88="ITEM_PRICE_ONLY_DELIVERY_PAID_BY_MERCHANT"),$J88=""),"ERROR",IF(AND(OR($S88="ITEM_PRICE_PLUS_DECLARED_DELIVERY",$S88="DELIVERY_CHARGE_ONLY"),$K88=""),"ERROR",IF(AND(OR($S88="TOTAL_AMOUNT_INCLUDING_DELIVERY",$S88="EXACT_COLLECTION_AMOUNT"),$T88=""),"ERROR",IF(AND($S88="TOTAL_AMOUNT_INCLUDING_DELIVERY",$T88&lt;SUM($J88,$U88)),"ERROR",IF($S88="EXACT_COLLECTION_AMOUNT","REVIEW","OK")))))))))</f>
        <v/>
      </c>
      <c r="AV88" s="25">
        <f>IF($AU88="","",IF($H88="","Township required",IF($Q88="","Customer tier required",IF($M88="","Weight required",IF($S88="","Amount entry type required",IF(OR($J88&lt;0,$K88&lt;0,$M88&lt;0,$T88&lt;0,$U88&lt;0,$V88&lt;0,$W88&lt;0,$X88&lt;0,$Y88&lt;0),"Negative amounts are not allowed",IF($AE88="","Tariff not found for township and tier",IF(AND(OR($S88="ITEM_PRICE_PLUS_DECLARED_DELIVERY",$S88="TOTAL_AMOUNT_INCLUDING_DELIVERY",$S88="ITEM_PRICE_ONLY_DELIVERY_PAID_BY_MERCHANT"),$J88=""),"Item price required for this amount type",IF(AND(OR($S88="ITEM_PRICE_PLUS_DECLARED_DELIVERY",$S88="DELIVERY_CHARGE_ONLY"),$K88=""),"Declared delivery charge required",IF(AND(OR($S88="TOTAL_AMOUNT_INCLUDING_DELIVERY",$S88="EXACT_COLLECTION_AMOUNT"),$T88=""),"Stated total amount required",IF(AND($S88="TOTAL_AMOUNT_INCLUDING_DELIVERY",$T88&lt;SUM($J88,$U88)),"Stated total is below item price plus additional charge",IF($S88="EXACT_COLLECTION_AMOUNT","Authorized amount breakdown required before settlement","Ready for collection and settlement"))))))))))))</f>
        <v/>
      </c>
      <c r="AW88" s="23">
        <f>IF($AU88="","","PARCEL_FINANCIAL_V2")</f>
        <v/>
      </c>
      <c r="AX88" s="17" t="n"/>
    </row>
    <row r="89">
      <c r="A89" s="8" t="n"/>
      <c r="B89" s="8" t="n"/>
      <c r="C89" s="8" t="n"/>
      <c r="D89" s="8" t="n"/>
      <c r="E89" s="9" t="n"/>
      <c r="F89" s="9" t="n"/>
      <c r="G89" s="8" t="n"/>
      <c r="H89" s="9" t="n"/>
      <c r="I89" s="9" t="n"/>
      <c r="J89" s="10" t="n"/>
      <c r="K89" s="10" t="n"/>
      <c r="L89" s="11">
        <f>IF($S89="","",IF($S89="ITEM_PRICE_PLUS_DECLARED_DELIVERY",IF(OR($J89="",$K89=""),"",SUM($J89,$K89,$U89)),IF($S89="TOTAL_AMOUNT_INCLUDING_DELIVERY",IF($T89="","",$T89),IF($S89="DELIVERY_CHARGE_ONLY",IF($K89="","",SUM($K89,$U89)),IF($S89="EXACT_COLLECTION_AMOUNT",IF($T89="","",$T89),IF($S89="ITEM_PRICE_ONLY_DELIVERY_PAID_BY_MERCHANT",IF($J89="","",SUM($J89,$U89)),""))))))</f>
        <v/>
      </c>
      <c r="M89" s="12" t="n"/>
      <c r="N89" s="13" t="n"/>
      <c r="O89" s="13" t="n"/>
      <c r="P89" s="9" t="n"/>
      <c r="Q89" s="14" t="n"/>
      <c r="R89" s="15" t="n"/>
      <c r="S89" s="14" t="n"/>
      <c r="T89" s="16" t="n"/>
      <c r="U89" s="16" t="n"/>
      <c r="V89" s="16" t="n"/>
      <c r="W89" s="16" t="n"/>
      <c r="X89" s="16" t="n"/>
      <c r="Y89" s="16" t="n"/>
      <c r="Z89" s="14" t="n"/>
      <c r="AA89" s="14" t="n"/>
      <c r="AB89" s="14" t="n"/>
      <c r="AC89" s="17">
        <f>IFERROR(VLOOKUP($H89&amp;"|"&amp;$Q89,Tariff_Master!$A$2:$L$169,3,FALSE),"")</f>
        <v/>
      </c>
      <c r="AD89" s="17">
        <f>IFERROR(VLOOKUP($H89&amp;"|"&amp;$Q89,Tariff_Master!$A$2:$L$169,4,FALSE),"")</f>
        <v/>
      </c>
      <c r="AE89" s="18">
        <f>IFERROR(VLOOKUP($H89&amp;"|"&amp;$Q89,Tariff_Master!$A$2:$L$169,6,FALSE),"")</f>
        <v/>
      </c>
      <c r="AF89" s="19">
        <f>IFERROR(VLOOKUP($H89&amp;"|"&amp;$Q89,Tariff_Master!$A$2:$L$169,7,FALSE),"")</f>
        <v/>
      </c>
      <c r="AG89" s="18">
        <f>IFERROR(VLOOKUP($H89&amp;"|"&amp;$Q89,Tariff_Master!$A$2:$L$169,8,FALSE),"")</f>
        <v/>
      </c>
      <c r="AH89" s="20">
        <f>IFERROR(VLOOKUP($H89&amp;"|"&amp;$Q89,Tariff_Master!$A$2:$L$169,9,FALSE),"")</f>
        <v/>
      </c>
      <c r="AI89" s="18">
        <f>IFERROR(VLOOKUP($H89&amp;"|"&amp;$Q89,Tariff_Master!$A$2:$L$169,10,FALSE),"")</f>
        <v/>
      </c>
      <c r="AJ89" s="21">
        <f>IF($M89="","",ROUNDUP(MAX(0,$M89),0))</f>
        <v/>
      </c>
      <c r="AK89" s="21">
        <f>IF(OR($AJ89="",$AF89=""),"",MAX(0,$AJ89-$AF89))</f>
        <v/>
      </c>
      <c r="AL89" s="22">
        <f>IF(OR($AK89="",$AG89=""),"",MAX(0,$AK89*$AG89))</f>
        <v/>
      </c>
      <c r="AM89" s="22">
        <f>IF($AE89="","",MAX(0,SUM($AE89,$AL89,$V89,$W89)))</f>
        <v/>
      </c>
      <c r="AN89" s="22">
        <f>IF($AM89="","",IF(AND($Q89="COMMITMENT",$R89&gt;=$AH89),$AI89,0))</f>
        <v/>
      </c>
      <c r="AO89" s="23">
        <f>IF($AM89="","",MAX(0,$AM89-$AN89))</f>
        <v/>
      </c>
      <c r="AP89" s="22">
        <f>IF($S89="","",IF(OR($S89="ITEM_PRICE_PLUS_DECLARED_DELIVERY",$S89="DELIVERY_CHARGE_ONLY"),$K89,IF($S89="TOTAL_AMOUNT_INCLUDING_DELIVERY",IF(OR($T89="",$J89=""),"",MAX(0,$T89-$J89-$U89)),IF($S89="ITEM_PRICE_ONLY_DELIVERY_PAID_BY_MERCHANT",0,""))))</f>
        <v/>
      </c>
      <c r="AQ89" s="23">
        <f>IF(OR($AP89="",$AO89=""),"",$AP89-$AO89)</f>
        <v/>
      </c>
      <c r="AR89" s="24">
        <f>IF($S89="EXACT_COLLECTION_AMOUNT","BREAKDOWN_REQUIRED",IF($AQ89="","",IF($AQ89&gt;0,"CREDIT_TO_MERCHANT",IF($AQ89&lt;0,"DEDUCT_FROM_MERCHANT","NO_ADJUSTMENT"))))</f>
        <v/>
      </c>
      <c r="AS89" s="23">
        <f>IF(OR($AQ89="",$AR89="BREAKDOWN_REQUIRED"),"",$AQ89)</f>
        <v/>
      </c>
      <c r="AT89" s="23">
        <f>IF(OR($AR89="",$AR89="BREAKDOWN_REQUIRED"),"",SUM($J89,$AQ89,$Y89)-$X89)</f>
        <v/>
      </c>
      <c r="AU89" s="25">
        <f>IF(AND($A89="",$B89="",$F89="",$H89="",$J89="",$K89="",$M89="",$S89=""),"",IF(OR($H89="",$Q89="",$M89="",$S89=""),"ERROR",IF(OR($J89&lt;0,$K89&lt;0,$M89&lt;0,$T89&lt;0,$U89&lt;0,$V89&lt;0,$W89&lt;0,$X89&lt;0,$Y89&lt;0),"ERROR",IF($AE89="","ERROR",IF(AND(OR($S89="ITEM_PRICE_PLUS_DECLARED_DELIVERY",$S89="TOTAL_AMOUNT_INCLUDING_DELIVERY",$S89="ITEM_PRICE_ONLY_DELIVERY_PAID_BY_MERCHANT"),$J89=""),"ERROR",IF(AND(OR($S89="ITEM_PRICE_PLUS_DECLARED_DELIVERY",$S89="DELIVERY_CHARGE_ONLY"),$K89=""),"ERROR",IF(AND(OR($S89="TOTAL_AMOUNT_INCLUDING_DELIVERY",$S89="EXACT_COLLECTION_AMOUNT"),$T89=""),"ERROR",IF(AND($S89="TOTAL_AMOUNT_INCLUDING_DELIVERY",$T89&lt;SUM($J89,$U89)),"ERROR",IF($S89="EXACT_COLLECTION_AMOUNT","REVIEW","OK")))))))))</f>
        <v/>
      </c>
      <c r="AV89" s="25">
        <f>IF($AU89="","",IF($H89="","Township required",IF($Q89="","Customer tier required",IF($M89="","Weight required",IF($S89="","Amount entry type required",IF(OR($J89&lt;0,$K89&lt;0,$M89&lt;0,$T89&lt;0,$U89&lt;0,$V89&lt;0,$W89&lt;0,$X89&lt;0,$Y89&lt;0),"Negative amounts are not allowed",IF($AE89="","Tariff not found for township and tier",IF(AND(OR($S89="ITEM_PRICE_PLUS_DECLARED_DELIVERY",$S89="TOTAL_AMOUNT_INCLUDING_DELIVERY",$S89="ITEM_PRICE_ONLY_DELIVERY_PAID_BY_MERCHANT"),$J89=""),"Item price required for this amount type",IF(AND(OR($S89="ITEM_PRICE_PLUS_DECLARED_DELIVERY",$S89="DELIVERY_CHARGE_ONLY"),$K89=""),"Declared delivery charge required",IF(AND(OR($S89="TOTAL_AMOUNT_INCLUDING_DELIVERY",$S89="EXACT_COLLECTION_AMOUNT"),$T89=""),"Stated total amount required",IF(AND($S89="TOTAL_AMOUNT_INCLUDING_DELIVERY",$T89&lt;SUM($J89,$U89)),"Stated total is below item price plus additional charge",IF($S89="EXACT_COLLECTION_AMOUNT","Authorized amount breakdown required before settlement","Ready for collection and settlement"))))))))))))</f>
        <v/>
      </c>
      <c r="AW89" s="23">
        <f>IF($AU89="","","PARCEL_FINANCIAL_V2")</f>
        <v/>
      </c>
      <c r="AX89" s="17" t="n"/>
    </row>
    <row r="90">
      <c r="A90" s="8" t="n"/>
      <c r="B90" s="8" t="n"/>
      <c r="C90" s="8" t="n"/>
      <c r="D90" s="8" t="n"/>
      <c r="E90" s="9" t="n"/>
      <c r="F90" s="9" t="n"/>
      <c r="G90" s="8" t="n"/>
      <c r="H90" s="9" t="n"/>
      <c r="I90" s="9" t="n"/>
      <c r="J90" s="10" t="n"/>
      <c r="K90" s="10" t="n"/>
      <c r="L90" s="11">
        <f>IF($S90="","",IF($S90="ITEM_PRICE_PLUS_DECLARED_DELIVERY",IF(OR($J90="",$K90=""),"",SUM($J90,$K90,$U90)),IF($S90="TOTAL_AMOUNT_INCLUDING_DELIVERY",IF($T90="","",$T90),IF($S90="DELIVERY_CHARGE_ONLY",IF($K90="","",SUM($K90,$U90)),IF($S90="EXACT_COLLECTION_AMOUNT",IF($T90="","",$T90),IF($S90="ITEM_PRICE_ONLY_DELIVERY_PAID_BY_MERCHANT",IF($J90="","",SUM($J90,$U90)),""))))))</f>
        <v/>
      </c>
      <c r="M90" s="12" t="n"/>
      <c r="N90" s="13" t="n"/>
      <c r="O90" s="13" t="n"/>
      <c r="P90" s="9" t="n"/>
      <c r="Q90" s="14" t="n"/>
      <c r="R90" s="15" t="n"/>
      <c r="S90" s="14" t="n"/>
      <c r="T90" s="16" t="n"/>
      <c r="U90" s="16" t="n"/>
      <c r="V90" s="16" t="n"/>
      <c r="W90" s="16" t="n"/>
      <c r="X90" s="16" t="n"/>
      <c r="Y90" s="16" t="n"/>
      <c r="Z90" s="14" t="n"/>
      <c r="AA90" s="14" t="n"/>
      <c r="AB90" s="14" t="n"/>
      <c r="AC90" s="17">
        <f>IFERROR(VLOOKUP($H90&amp;"|"&amp;$Q90,Tariff_Master!$A$2:$L$169,3,FALSE),"")</f>
        <v/>
      </c>
      <c r="AD90" s="17">
        <f>IFERROR(VLOOKUP($H90&amp;"|"&amp;$Q90,Tariff_Master!$A$2:$L$169,4,FALSE),"")</f>
        <v/>
      </c>
      <c r="AE90" s="18">
        <f>IFERROR(VLOOKUP($H90&amp;"|"&amp;$Q90,Tariff_Master!$A$2:$L$169,6,FALSE),"")</f>
        <v/>
      </c>
      <c r="AF90" s="19">
        <f>IFERROR(VLOOKUP($H90&amp;"|"&amp;$Q90,Tariff_Master!$A$2:$L$169,7,FALSE),"")</f>
        <v/>
      </c>
      <c r="AG90" s="18">
        <f>IFERROR(VLOOKUP($H90&amp;"|"&amp;$Q90,Tariff_Master!$A$2:$L$169,8,FALSE),"")</f>
        <v/>
      </c>
      <c r="AH90" s="20">
        <f>IFERROR(VLOOKUP($H90&amp;"|"&amp;$Q90,Tariff_Master!$A$2:$L$169,9,FALSE),"")</f>
        <v/>
      </c>
      <c r="AI90" s="18">
        <f>IFERROR(VLOOKUP($H90&amp;"|"&amp;$Q90,Tariff_Master!$A$2:$L$169,10,FALSE),"")</f>
        <v/>
      </c>
      <c r="AJ90" s="21">
        <f>IF($M90="","",ROUNDUP(MAX(0,$M90),0))</f>
        <v/>
      </c>
      <c r="AK90" s="21">
        <f>IF(OR($AJ90="",$AF90=""),"",MAX(0,$AJ90-$AF90))</f>
        <v/>
      </c>
      <c r="AL90" s="22">
        <f>IF(OR($AK90="",$AG90=""),"",MAX(0,$AK90*$AG90))</f>
        <v/>
      </c>
      <c r="AM90" s="22">
        <f>IF($AE90="","",MAX(0,SUM($AE90,$AL90,$V90,$W90)))</f>
        <v/>
      </c>
      <c r="AN90" s="22">
        <f>IF($AM90="","",IF(AND($Q90="COMMITMENT",$R90&gt;=$AH90),$AI90,0))</f>
        <v/>
      </c>
      <c r="AO90" s="23">
        <f>IF($AM90="","",MAX(0,$AM90-$AN90))</f>
        <v/>
      </c>
      <c r="AP90" s="22">
        <f>IF($S90="","",IF(OR($S90="ITEM_PRICE_PLUS_DECLARED_DELIVERY",$S90="DELIVERY_CHARGE_ONLY"),$K90,IF($S90="TOTAL_AMOUNT_INCLUDING_DELIVERY",IF(OR($T90="",$J90=""),"",MAX(0,$T90-$J90-$U90)),IF($S90="ITEM_PRICE_ONLY_DELIVERY_PAID_BY_MERCHANT",0,""))))</f>
        <v/>
      </c>
      <c r="AQ90" s="23">
        <f>IF(OR($AP90="",$AO90=""),"",$AP90-$AO90)</f>
        <v/>
      </c>
      <c r="AR90" s="24">
        <f>IF($S90="EXACT_COLLECTION_AMOUNT","BREAKDOWN_REQUIRED",IF($AQ90="","",IF($AQ90&gt;0,"CREDIT_TO_MERCHANT",IF($AQ90&lt;0,"DEDUCT_FROM_MERCHANT","NO_ADJUSTMENT"))))</f>
        <v/>
      </c>
      <c r="AS90" s="23">
        <f>IF(OR($AQ90="",$AR90="BREAKDOWN_REQUIRED"),"",$AQ90)</f>
        <v/>
      </c>
      <c r="AT90" s="23">
        <f>IF(OR($AR90="",$AR90="BREAKDOWN_REQUIRED"),"",SUM($J90,$AQ90,$Y90)-$X90)</f>
        <v/>
      </c>
      <c r="AU90" s="25">
        <f>IF(AND($A90="",$B90="",$F90="",$H90="",$J90="",$K90="",$M90="",$S90=""),"",IF(OR($H90="",$Q90="",$M90="",$S90=""),"ERROR",IF(OR($J90&lt;0,$K90&lt;0,$M90&lt;0,$T90&lt;0,$U90&lt;0,$V90&lt;0,$W90&lt;0,$X90&lt;0,$Y90&lt;0),"ERROR",IF($AE90="","ERROR",IF(AND(OR($S90="ITEM_PRICE_PLUS_DECLARED_DELIVERY",$S90="TOTAL_AMOUNT_INCLUDING_DELIVERY",$S90="ITEM_PRICE_ONLY_DELIVERY_PAID_BY_MERCHANT"),$J90=""),"ERROR",IF(AND(OR($S90="ITEM_PRICE_PLUS_DECLARED_DELIVERY",$S90="DELIVERY_CHARGE_ONLY"),$K90=""),"ERROR",IF(AND(OR($S90="TOTAL_AMOUNT_INCLUDING_DELIVERY",$S90="EXACT_COLLECTION_AMOUNT"),$T90=""),"ERROR",IF(AND($S90="TOTAL_AMOUNT_INCLUDING_DELIVERY",$T90&lt;SUM($J90,$U90)),"ERROR",IF($S90="EXACT_COLLECTION_AMOUNT","REVIEW","OK")))))))))</f>
        <v/>
      </c>
      <c r="AV90" s="25">
        <f>IF($AU90="","",IF($H90="","Township required",IF($Q90="","Customer tier required",IF($M90="","Weight required",IF($S90="","Amount entry type required",IF(OR($J90&lt;0,$K90&lt;0,$M90&lt;0,$T90&lt;0,$U90&lt;0,$V90&lt;0,$W90&lt;0,$X90&lt;0,$Y90&lt;0),"Negative amounts are not allowed",IF($AE90="","Tariff not found for township and tier",IF(AND(OR($S90="ITEM_PRICE_PLUS_DECLARED_DELIVERY",$S90="TOTAL_AMOUNT_INCLUDING_DELIVERY",$S90="ITEM_PRICE_ONLY_DELIVERY_PAID_BY_MERCHANT"),$J90=""),"Item price required for this amount type",IF(AND(OR($S90="ITEM_PRICE_PLUS_DECLARED_DELIVERY",$S90="DELIVERY_CHARGE_ONLY"),$K90=""),"Declared delivery charge required",IF(AND(OR($S90="TOTAL_AMOUNT_INCLUDING_DELIVERY",$S90="EXACT_COLLECTION_AMOUNT"),$T90=""),"Stated total amount required",IF(AND($S90="TOTAL_AMOUNT_INCLUDING_DELIVERY",$T90&lt;SUM($J90,$U90)),"Stated total is below item price plus additional charge",IF($S90="EXACT_COLLECTION_AMOUNT","Authorized amount breakdown required before settlement","Ready for collection and settlement"))))))))))))</f>
        <v/>
      </c>
      <c r="AW90" s="23">
        <f>IF($AU90="","","PARCEL_FINANCIAL_V2")</f>
        <v/>
      </c>
      <c r="AX90" s="17" t="n"/>
    </row>
    <row r="91">
      <c r="A91" s="8" t="n"/>
      <c r="B91" s="8" t="n"/>
      <c r="C91" s="8" t="n"/>
      <c r="D91" s="8" t="n"/>
      <c r="E91" s="9" t="n"/>
      <c r="F91" s="9" t="n"/>
      <c r="G91" s="8" t="n"/>
      <c r="H91" s="9" t="n"/>
      <c r="I91" s="9" t="n"/>
      <c r="J91" s="10" t="n"/>
      <c r="K91" s="10" t="n"/>
      <c r="L91" s="11">
        <f>IF($S91="","",IF($S91="ITEM_PRICE_PLUS_DECLARED_DELIVERY",IF(OR($J91="",$K91=""),"",SUM($J91,$K91,$U91)),IF($S91="TOTAL_AMOUNT_INCLUDING_DELIVERY",IF($T91="","",$T91),IF($S91="DELIVERY_CHARGE_ONLY",IF($K91="","",SUM($K91,$U91)),IF($S91="EXACT_COLLECTION_AMOUNT",IF($T91="","",$T91),IF($S91="ITEM_PRICE_ONLY_DELIVERY_PAID_BY_MERCHANT",IF($J91="","",SUM($J91,$U91)),""))))))</f>
        <v/>
      </c>
      <c r="M91" s="12" t="n"/>
      <c r="N91" s="13" t="n"/>
      <c r="O91" s="13" t="n"/>
      <c r="P91" s="9" t="n"/>
      <c r="Q91" s="14" t="n"/>
      <c r="R91" s="15" t="n"/>
      <c r="S91" s="14" t="n"/>
      <c r="T91" s="16" t="n"/>
      <c r="U91" s="16" t="n"/>
      <c r="V91" s="16" t="n"/>
      <c r="W91" s="16" t="n"/>
      <c r="X91" s="16" t="n"/>
      <c r="Y91" s="16" t="n"/>
      <c r="Z91" s="14" t="n"/>
      <c r="AA91" s="14" t="n"/>
      <c r="AB91" s="14" t="n"/>
      <c r="AC91" s="17">
        <f>IFERROR(VLOOKUP($H91&amp;"|"&amp;$Q91,Tariff_Master!$A$2:$L$169,3,FALSE),"")</f>
        <v/>
      </c>
      <c r="AD91" s="17">
        <f>IFERROR(VLOOKUP($H91&amp;"|"&amp;$Q91,Tariff_Master!$A$2:$L$169,4,FALSE),"")</f>
        <v/>
      </c>
      <c r="AE91" s="18">
        <f>IFERROR(VLOOKUP($H91&amp;"|"&amp;$Q91,Tariff_Master!$A$2:$L$169,6,FALSE),"")</f>
        <v/>
      </c>
      <c r="AF91" s="19">
        <f>IFERROR(VLOOKUP($H91&amp;"|"&amp;$Q91,Tariff_Master!$A$2:$L$169,7,FALSE),"")</f>
        <v/>
      </c>
      <c r="AG91" s="18">
        <f>IFERROR(VLOOKUP($H91&amp;"|"&amp;$Q91,Tariff_Master!$A$2:$L$169,8,FALSE),"")</f>
        <v/>
      </c>
      <c r="AH91" s="20">
        <f>IFERROR(VLOOKUP($H91&amp;"|"&amp;$Q91,Tariff_Master!$A$2:$L$169,9,FALSE),"")</f>
        <v/>
      </c>
      <c r="AI91" s="18">
        <f>IFERROR(VLOOKUP($H91&amp;"|"&amp;$Q91,Tariff_Master!$A$2:$L$169,10,FALSE),"")</f>
        <v/>
      </c>
      <c r="AJ91" s="21">
        <f>IF($M91="","",ROUNDUP(MAX(0,$M91),0))</f>
        <v/>
      </c>
      <c r="AK91" s="21">
        <f>IF(OR($AJ91="",$AF91=""),"",MAX(0,$AJ91-$AF91))</f>
        <v/>
      </c>
      <c r="AL91" s="22">
        <f>IF(OR($AK91="",$AG91=""),"",MAX(0,$AK91*$AG91))</f>
        <v/>
      </c>
      <c r="AM91" s="22">
        <f>IF($AE91="","",MAX(0,SUM($AE91,$AL91,$V91,$W91)))</f>
        <v/>
      </c>
      <c r="AN91" s="22">
        <f>IF($AM91="","",IF(AND($Q91="COMMITMENT",$R91&gt;=$AH91),$AI91,0))</f>
        <v/>
      </c>
      <c r="AO91" s="23">
        <f>IF($AM91="","",MAX(0,$AM91-$AN91))</f>
        <v/>
      </c>
      <c r="AP91" s="22">
        <f>IF($S91="","",IF(OR($S91="ITEM_PRICE_PLUS_DECLARED_DELIVERY",$S91="DELIVERY_CHARGE_ONLY"),$K91,IF($S91="TOTAL_AMOUNT_INCLUDING_DELIVERY",IF(OR($T91="",$J91=""),"",MAX(0,$T91-$J91-$U91)),IF($S91="ITEM_PRICE_ONLY_DELIVERY_PAID_BY_MERCHANT",0,""))))</f>
        <v/>
      </c>
      <c r="AQ91" s="23">
        <f>IF(OR($AP91="",$AO91=""),"",$AP91-$AO91)</f>
        <v/>
      </c>
      <c r="AR91" s="24">
        <f>IF($S91="EXACT_COLLECTION_AMOUNT","BREAKDOWN_REQUIRED",IF($AQ91="","",IF($AQ91&gt;0,"CREDIT_TO_MERCHANT",IF($AQ91&lt;0,"DEDUCT_FROM_MERCHANT","NO_ADJUSTMENT"))))</f>
        <v/>
      </c>
      <c r="AS91" s="23">
        <f>IF(OR($AQ91="",$AR91="BREAKDOWN_REQUIRED"),"",$AQ91)</f>
        <v/>
      </c>
      <c r="AT91" s="23">
        <f>IF(OR($AR91="",$AR91="BREAKDOWN_REQUIRED"),"",SUM($J91,$AQ91,$Y91)-$X91)</f>
        <v/>
      </c>
      <c r="AU91" s="25">
        <f>IF(AND($A91="",$B91="",$F91="",$H91="",$J91="",$K91="",$M91="",$S91=""),"",IF(OR($H91="",$Q91="",$M91="",$S91=""),"ERROR",IF(OR($J91&lt;0,$K91&lt;0,$M91&lt;0,$T91&lt;0,$U91&lt;0,$V91&lt;0,$W91&lt;0,$X91&lt;0,$Y91&lt;0),"ERROR",IF($AE91="","ERROR",IF(AND(OR($S91="ITEM_PRICE_PLUS_DECLARED_DELIVERY",$S91="TOTAL_AMOUNT_INCLUDING_DELIVERY",$S91="ITEM_PRICE_ONLY_DELIVERY_PAID_BY_MERCHANT"),$J91=""),"ERROR",IF(AND(OR($S91="ITEM_PRICE_PLUS_DECLARED_DELIVERY",$S91="DELIVERY_CHARGE_ONLY"),$K91=""),"ERROR",IF(AND(OR($S91="TOTAL_AMOUNT_INCLUDING_DELIVERY",$S91="EXACT_COLLECTION_AMOUNT"),$T91=""),"ERROR",IF(AND($S91="TOTAL_AMOUNT_INCLUDING_DELIVERY",$T91&lt;SUM($J91,$U91)),"ERROR",IF($S91="EXACT_COLLECTION_AMOUNT","REVIEW","OK")))))))))</f>
        <v/>
      </c>
      <c r="AV91" s="25">
        <f>IF($AU91="","",IF($H91="","Township required",IF($Q91="","Customer tier required",IF($M91="","Weight required",IF($S91="","Amount entry type required",IF(OR($J91&lt;0,$K91&lt;0,$M91&lt;0,$T91&lt;0,$U91&lt;0,$V91&lt;0,$W91&lt;0,$X91&lt;0,$Y91&lt;0),"Negative amounts are not allowed",IF($AE91="","Tariff not found for township and tier",IF(AND(OR($S91="ITEM_PRICE_PLUS_DECLARED_DELIVERY",$S91="TOTAL_AMOUNT_INCLUDING_DELIVERY",$S91="ITEM_PRICE_ONLY_DELIVERY_PAID_BY_MERCHANT"),$J91=""),"Item price required for this amount type",IF(AND(OR($S91="ITEM_PRICE_PLUS_DECLARED_DELIVERY",$S91="DELIVERY_CHARGE_ONLY"),$K91=""),"Declared delivery charge required",IF(AND(OR($S91="TOTAL_AMOUNT_INCLUDING_DELIVERY",$S91="EXACT_COLLECTION_AMOUNT"),$T91=""),"Stated total amount required",IF(AND($S91="TOTAL_AMOUNT_INCLUDING_DELIVERY",$T91&lt;SUM($J91,$U91)),"Stated total is below item price plus additional charge",IF($S91="EXACT_COLLECTION_AMOUNT","Authorized amount breakdown required before settlement","Ready for collection and settlement"))))))))))))</f>
        <v/>
      </c>
      <c r="AW91" s="23">
        <f>IF($AU91="","","PARCEL_FINANCIAL_V2")</f>
        <v/>
      </c>
      <c r="AX91" s="17" t="n"/>
    </row>
    <row r="92">
      <c r="A92" s="8" t="n"/>
      <c r="B92" s="8" t="n"/>
      <c r="C92" s="8" t="n"/>
      <c r="D92" s="8" t="n"/>
      <c r="E92" s="9" t="n"/>
      <c r="F92" s="9" t="n"/>
      <c r="G92" s="8" t="n"/>
      <c r="H92" s="9" t="n"/>
      <c r="I92" s="9" t="n"/>
      <c r="J92" s="10" t="n"/>
      <c r="K92" s="10" t="n"/>
      <c r="L92" s="11">
        <f>IF($S92="","",IF($S92="ITEM_PRICE_PLUS_DECLARED_DELIVERY",IF(OR($J92="",$K92=""),"",SUM($J92,$K92,$U92)),IF($S92="TOTAL_AMOUNT_INCLUDING_DELIVERY",IF($T92="","",$T92),IF($S92="DELIVERY_CHARGE_ONLY",IF($K92="","",SUM($K92,$U92)),IF($S92="EXACT_COLLECTION_AMOUNT",IF($T92="","",$T92),IF($S92="ITEM_PRICE_ONLY_DELIVERY_PAID_BY_MERCHANT",IF($J92="","",SUM($J92,$U92)),""))))))</f>
        <v/>
      </c>
      <c r="M92" s="12" t="n"/>
      <c r="N92" s="13" t="n"/>
      <c r="O92" s="13" t="n"/>
      <c r="P92" s="9" t="n"/>
      <c r="Q92" s="14" t="n"/>
      <c r="R92" s="15" t="n"/>
      <c r="S92" s="14" t="n"/>
      <c r="T92" s="16" t="n"/>
      <c r="U92" s="16" t="n"/>
      <c r="V92" s="16" t="n"/>
      <c r="W92" s="16" t="n"/>
      <c r="X92" s="16" t="n"/>
      <c r="Y92" s="16" t="n"/>
      <c r="Z92" s="14" t="n"/>
      <c r="AA92" s="14" t="n"/>
      <c r="AB92" s="14" t="n"/>
      <c r="AC92" s="17">
        <f>IFERROR(VLOOKUP($H92&amp;"|"&amp;$Q92,Tariff_Master!$A$2:$L$169,3,FALSE),"")</f>
        <v/>
      </c>
      <c r="AD92" s="17">
        <f>IFERROR(VLOOKUP($H92&amp;"|"&amp;$Q92,Tariff_Master!$A$2:$L$169,4,FALSE),"")</f>
        <v/>
      </c>
      <c r="AE92" s="18">
        <f>IFERROR(VLOOKUP($H92&amp;"|"&amp;$Q92,Tariff_Master!$A$2:$L$169,6,FALSE),"")</f>
        <v/>
      </c>
      <c r="AF92" s="19">
        <f>IFERROR(VLOOKUP($H92&amp;"|"&amp;$Q92,Tariff_Master!$A$2:$L$169,7,FALSE),"")</f>
        <v/>
      </c>
      <c r="AG92" s="18">
        <f>IFERROR(VLOOKUP($H92&amp;"|"&amp;$Q92,Tariff_Master!$A$2:$L$169,8,FALSE),"")</f>
        <v/>
      </c>
      <c r="AH92" s="20">
        <f>IFERROR(VLOOKUP($H92&amp;"|"&amp;$Q92,Tariff_Master!$A$2:$L$169,9,FALSE),"")</f>
        <v/>
      </c>
      <c r="AI92" s="18">
        <f>IFERROR(VLOOKUP($H92&amp;"|"&amp;$Q92,Tariff_Master!$A$2:$L$169,10,FALSE),"")</f>
        <v/>
      </c>
      <c r="AJ92" s="21">
        <f>IF($M92="","",ROUNDUP(MAX(0,$M92),0))</f>
        <v/>
      </c>
      <c r="AK92" s="21">
        <f>IF(OR($AJ92="",$AF92=""),"",MAX(0,$AJ92-$AF92))</f>
        <v/>
      </c>
      <c r="AL92" s="22">
        <f>IF(OR($AK92="",$AG92=""),"",MAX(0,$AK92*$AG92))</f>
        <v/>
      </c>
      <c r="AM92" s="22">
        <f>IF($AE92="","",MAX(0,SUM($AE92,$AL92,$V92,$W92)))</f>
        <v/>
      </c>
      <c r="AN92" s="22">
        <f>IF($AM92="","",IF(AND($Q92="COMMITMENT",$R92&gt;=$AH92),$AI92,0))</f>
        <v/>
      </c>
      <c r="AO92" s="23">
        <f>IF($AM92="","",MAX(0,$AM92-$AN92))</f>
        <v/>
      </c>
      <c r="AP92" s="22">
        <f>IF($S92="","",IF(OR($S92="ITEM_PRICE_PLUS_DECLARED_DELIVERY",$S92="DELIVERY_CHARGE_ONLY"),$K92,IF($S92="TOTAL_AMOUNT_INCLUDING_DELIVERY",IF(OR($T92="",$J92=""),"",MAX(0,$T92-$J92-$U92)),IF($S92="ITEM_PRICE_ONLY_DELIVERY_PAID_BY_MERCHANT",0,""))))</f>
        <v/>
      </c>
      <c r="AQ92" s="23">
        <f>IF(OR($AP92="",$AO92=""),"",$AP92-$AO92)</f>
        <v/>
      </c>
      <c r="AR92" s="24">
        <f>IF($S92="EXACT_COLLECTION_AMOUNT","BREAKDOWN_REQUIRED",IF($AQ92="","",IF($AQ92&gt;0,"CREDIT_TO_MERCHANT",IF($AQ92&lt;0,"DEDUCT_FROM_MERCHANT","NO_ADJUSTMENT"))))</f>
        <v/>
      </c>
      <c r="AS92" s="23">
        <f>IF(OR($AQ92="",$AR92="BREAKDOWN_REQUIRED"),"",$AQ92)</f>
        <v/>
      </c>
      <c r="AT92" s="23">
        <f>IF(OR($AR92="",$AR92="BREAKDOWN_REQUIRED"),"",SUM($J92,$AQ92,$Y92)-$X92)</f>
        <v/>
      </c>
      <c r="AU92" s="25">
        <f>IF(AND($A92="",$B92="",$F92="",$H92="",$J92="",$K92="",$M92="",$S92=""),"",IF(OR($H92="",$Q92="",$M92="",$S92=""),"ERROR",IF(OR($J92&lt;0,$K92&lt;0,$M92&lt;0,$T92&lt;0,$U92&lt;0,$V92&lt;0,$W92&lt;0,$X92&lt;0,$Y92&lt;0),"ERROR",IF($AE92="","ERROR",IF(AND(OR($S92="ITEM_PRICE_PLUS_DECLARED_DELIVERY",$S92="TOTAL_AMOUNT_INCLUDING_DELIVERY",$S92="ITEM_PRICE_ONLY_DELIVERY_PAID_BY_MERCHANT"),$J92=""),"ERROR",IF(AND(OR($S92="ITEM_PRICE_PLUS_DECLARED_DELIVERY",$S92="DELIVERY_CHARGE_ONLY"),$K92=""),"ERROR",IF(AND(OR($S92="TOTAL_AMOUNT_INCLUDING_DELIVERY",$S92="EXACT_COLLECTION_AMOUNT"),$T92=""),"ERROR",IF(AND($S92="TOTAL_AMOUNT_INCLUDING_DELIVERY",$T92&lt;SUM($J92,$U92)),"ERROR",IF($S92="EXACT_COLLECTION_AMOUNT","REVIEW","OK")))))))))</f>
        <v/>
      </c>
      <c r="AV92" s="25">
        <f>IF($AU92="","",IF($H92="","Township required",IF($Q92="","Customer tier required",IF($M92="","Weight required",IF($S92="","Amount entry type required",IF(OR($J92&lt;0,$K92&lt;0,$M92&lt;0,$T92&lt;0,$U92&lt;0,$V92&lt;0,$W92&lt;0,$X92&lt;0,$Y92&lt;0),"Negative amounts are not allowed",IF($AE92="","Tariff not found for township and tier",IF(AND(OR($S92="ITEM_PRICE_PLUS_DECLARED_DELIVERY",$S92="TOTAL_AMOUNT_INCLUDING_DELIVERY",$S92="ITEM_PRICE_ONLY_DELIVERY_PAID_BY_MERCHANT"),$J92=""),"Item price required for this amount type",IF(AND(OR($S92="ITEM_PRICE_PLUS_DECLARED_DELIVERY",$S92="DELIVERY_CHARGE_ONLY"),$K92=""),"Declared delivery charge required",IF(AND(OR($S92="TOTAL_AMOUNT_INCLUDING_DELIVERY",$S92="EXACT_COLLECTION_AMOUNT"),$T92=""),"Stated total amount required",IF(AND($S92="TOTAL_AMOUNT_INCLUDING_DELIVERY",$T92&lt;SUM($J92,$U92)),"Stated total is below item price plus additional charge",IF($S92="EXACT_COLLECTION_AMOUNT","Authorized amount breakdown required before settlement","Ready for collection and settlement"))))))))))))</f>
        <v/>
      </c>
      <c r="AW92" s="23">
        <f>IF($AU92="","","PARCEL_FINANCIAL_V2")</f>
        <v/>
      </c>
      <c r="AX92" s="17" t="n"/>
    </row>
    <row r="93">
      <c r="A93" s="8" t="n"/>
      <c r="B93" s="8" t="n"/>
      <c r="C93" s="8" t="n"/>
      <c r="D93" s="8" t="n"/>
      <c r="E93" s="9" t="n"/>
      <c r="F93" s="9" t="n"/>
      <c r="G93" s="8" t="n"/>
      <c r="H93" s="9" t="n"/>
      <c r="I93" s="9" t="n"/>
      <c r="J93" s="10" t="n"/>
      <c r="K93" s="10" t="n"/>
      <c r="L93" s="11">
        <f>IF($S93="","",IF($S93="ITEM_PRICE_PLUS_DECLARED_DELIVERY",IF(OR($J93="",$K93=""),"",SUM($J93,$K93,$U93)),IF($S93="TOTAL_AMOUNT_INCLUDING_DELIVERY",IF($T93="","",$T93),IF($S93="DELIVERY_CHARGE_ONLY",IF($K93="","",SUM($K93,$U93)),IF($S93="EXACT_COLLECTION_AMOUNT",IF($T93="","",$T93),IF($S93="ITEM_PRICE_ONLY_DELIVERY_PAID_BY_MERCHANT",IF($J93="","",SUM($J93,$U93)),""))))))</f>
        <v/>
      </c>
      <c r="M93" s="12" t="n"/>
      <c r="N93" s="13" t="n"/>
      <c r="O93" s="13" t="n"/>
      <c r="P93" s="9" t="n"/>
      <c r="Q93" s="14" t="n"/>
      <c r="R93" s="15" t="n"/>
      <c r="S93" s="14" t="n"/>
      <c r="T93" s="16" t="n"/>
      <c r="U93" s="16" t="n"/>
      <c r="V93" s="16" t="n"/>
      <c r="W93" s="16" t="n"/>
      <c r="X93" s="16" t="n"/>
      <c r="Y93" s="16" t="n"/>
      <c r="Z93" s="14" t="n"/>
      <c r="AA93" s="14" t="n"/>
      <c r="AB93" s="14" t="n"/>
      <c r="AC93" s="17">
        <f>IFERROR(VLOOKUP($H93&amp;"|"&amp;$Q93,Tariff_Master!$A$2:$L$169,3,FALSE),"")</f>
        <v/>
      </c>
      <c r="AD93" s="17">
        <f>IFERROR(VLOOKUP($H93&amp;"|"&amp;$Q93,Tariff_Master!$A$2:$L$169,4,FALSE),"")</f>
        <v/>
      </c>
      <c r="AE93" s="18">
        <f>IFERROR(VLOOKUP($H93&amp;"|"&amp;$Q93,Tariff_Master!$A$2:$L$169,6,FALSE),"")</f>
        <v/>
      </c>
      <c r="AF93" s="19">
        <f>IFERROR(VLOOKUP($H93&amp;"|"&amp;$Q93,Tariff_Master!$A$2:$L$169,7,FALSE),"")</f>
        <v/>
      </c>
      <c r="AG93" s="18">
        <f>IFERROR(VLOOKUP($H93&amp;"|"&amp;$Q93,Tariff_Master!$A$2:$L$169,8,FALSE),"")</f>
        <v/>
      </c>
      <c r="AH93" s="20">
        <f>IFERROR(VLOOKUP($H93&amp;"|"&amp;$Q93,Tariff_Master!$A$2:$L$169,9,FALSE),"")</f>
        <v/>
      </c>
      <c r="AI93" s="18">
        <f>IFERROR(VLOOKUP($H93&amp;"|"&amp;$Q93,Tariff_Master!$A$2:$L$169,10,FALSE),"")</f>
        <v/>
      </c>
      <c r="AJ93" s="21">
        <f>IF($M93="","",ROUNDUP(MAX(0,$M93),0))</f>
        <v/>
      </c>
      <c r="AK93" s="21">
        <f>IF(OR($AJ93="",$AF93=""),"",MAX(0,$AJ93-$AF93))</f>
        <v/>
      </c>
      <c r="AL93" s="22">
        <f>IF(OR($AK93="",$AG93=""),"",MAX(0,$AK93*$AG93))</f>
        <v/>
      </c>
      <c r="AM93" s="22">
        <f>IF($AE93="","",MAX(0,SUM($AE93,$AL93,$V93,$W93)))</f>
        <v/>
      </c>
      <c r="AN93" s="22">
        <f>IF($AM93="","",IF(AND($Q93="COMMITMENT",$R93&gt;=$AH93),$AI93,0))</f>
        <v/>
      </c>
      <c r="AO93" s="23">
        <f>IF($AM93="","",MAX(0,$AM93-$AN93))</f>
        <v/>
      </c>
      <c r="AP93" s="22">
        <f>IF($S93="","",IF(OR($S93="ITEM_PRICE_PLUS_DECLARED_DELIVERY",$S93="DELIVERY_CHARGE_ONLY"),$K93,IF($S93="TOTAL_AMOUNT_INCLUDING_DELIVERY",IF(OR($T93="",$J93=""),"",MAX(0,$T93-$J93-$U93)),IF($S93="ITEM_PRICE_ONLY_DELIVERY_PAID_BY_MERCHANT",0,""))))</f>
        <v/>
      </c>
      <c r="AQ93" s="23">
        <f>IF(OR($AP93="",$AO93=""),"",$AP93-$AO93)</f>
        <v/>
      </c>
      <c r="AR93" s="24">
        <f>IF($S93="EXACT_COLLECTION_AMOUNT","BREAKDOWN_REQUIRED",IF($AQ93="","",IF($AQ93&gt;0,"CREDIT_TO_MERCHANT",IF($AQ93&lt;0,"DEDUCT_FROM_MERCHANT","NO_ADJUSTMENT"))))</f>
        <v/>
      </c>
      <c r="AS93" s="23">
        <f>IF(OR($AQ93="",$AR93="BREAKDOWN_REQUIRED"),"",$AQ93)</f>
        <v/>
      </c>
      <c r="AT93" s="23">
        <f>IF(OR($AR93="",$AR93="BREAKDOWN_REQUIRED"),"",SUM($J93,$AQ93,$Y93)-$X93)</f>
        <v/>
      </c>
      <c r="AU93" s="25">
        <f>IF(AND($A93="",$B93="",$F93="",$H93="",$J93="",$K93="",$M93="",$S93=""),"",IF(OR($H93="",$Q93="",$M93="",$S93=""),"ERROR",IF(OR($J93&lt;0,$K93&lt;0,$M93&lt;0,$T93&lt;0,$U93&lt;0,$V93&lt;0,$W93&lt;0,$X93&lt;0,$Y93&lt;0),"ERROR",IF($AE93="","ERROR",IF(AND(OR($S93="ITEM_PRICE_PLUS_DECLARED_DELIVERY",$S93="TOTAL_AMOUNT_INCLUDING_DELIVERY",$S93="ITEM_PRICE_ONLY_DELIVERY_PAID_BY_MERCHANT"),$J93=""),"ERROR",IF(AND(OR($S93="ITEM_PRICE_PLUS_DECLARED_DELIVERY",$S93="DELIVERY_CHARGE_ONLY"),$K93=""),"ERROR",IF(AND(OR($S93="TOTAL_AMOUNT_INCLUDING_DELIVERY",$S93="EXACT_COLLECTION_AMOUNT"),$T93=""),"ERROR",IF(AND($S93="TOTAL_AMOUNT_INCLUDING_DELIVERY",$T93&lt;SUM($J93,$U93)),"ERROR",IF($S93="EXACT_COLLECTION_AMOUNT","REVIEW","OK")))))))))</f>
        <v/>
      </c>
      <c r="AV93" s="25">
        <f>IF($AU93="","",IF($H93="","Township required",IF($Q93="","Customer tier required",IF($M93="","Weight required",IF($S93="","Amount entry type required",IF(OR($J93&lt;0,$K93&lt;0,$M93&lt;0,$T93&lt;0,$U93&lt;0,$V93&lt;0,$W93&lt;0,$X93&lt;0,$Y93&lt;0),"Negative amounts are not allowed",IF($AE93="","Tariff not found for township and tier",IF(AND(OR($S93="ITEM_PRICE_PLUS_DECLARED_DELIVERY",$S93="TOTAL_AMOUNT_INCLUDING_DELIVERY",$S93="ITEM_PRICE_ONLY_DELIVERY_PAID_BY_MERCHANT"),$J93=""),"Item price required for this amount type",IF(AND(OR($S93="ITEM_PRICE_PLUS_DECLARED_DELIVERY",$S93="DELIVERY_CHARGE_ONLY"),$K93=""),"Declared delivery charge required",IF(AND(OR($S93="TOTAL_AMOUNT_INCLUDING_DELIVERY",$S93="EXACT_COLLECTION_AMOUNT"),$T93=""),"Stated total amount required",IF(AND($S93="TOTAL_AMOUNT_INCLUDING_DELIVERY",$T93&lt;SUM($J93,$U93)),"Stated total is below item price plus additional charge",IF($S93="EXACT_COLLECTION_AMOUNT","Authorized amount breakdown required before settlement","Ready for collection and settlement"))))))))))))</f>
        <v/>
      </c>
      <c r="AW93" s="23">
        <f>IF($AU93="","","PARCEL_FINANCIAL_V2")</f>
        <v/>
      </c>
      <c r="AX93" s="17" t="n"/>
    </row>
    <row r="94">
      <c r="A94" s="8" t="n"/>
      <c r="B94" s="8" t="n"/>
      <c r="C94" s="8" t="n"/>
      <c r="D94" s="8" t="n"/>
      <c r="E94" s="9" t="n"/>
      <c r="F94" s="9" t="n"/>
      <c r="G94" s="8" t="n"/>
      <c r="H94" s="9" t="n"/>
      <c r="I94" s="9" t="n"/>
      <c r="J94" s="10" t="n"/>
      <c r="K94" s="10" t="n"/>
      <c r="L94" s="11">
        <f>IF($S94="","",IF($S94="ITEM_PRICE_PLUS_DECLARED_DELIVERY",IF(OR($J94="",$K94=""),"",SUM($J94,$K94,$U94)),IF($S94="TOTAL_AMOUNT_INCLUDING_DELIVERY",IF($T94="","",$T94),IF($S94="DELIVERY_CHARGE_ONLY",IF($K94="","",SUM($K94,$U94)),IF($S94="EXACT_COLLECTION_AMOUNT",IF($T94="","",$T94),IF($S94="ITEM_PRICE_ONLY_DELIVERY_PAID_BY_MERCHANT",IF($J94="","",SUM($J94,$U94)),""))))))</f>
        <v/>
      </c>
      <c r="M94" s="12" t="n"/>
      <c r="N94" s="13" t="n"/>
      <c r="O94" s="13" t="n"/>
      <c r="P94" s="9" t="n"/>
      <c r="Q94" s="14" t="n"/>
      <c r="R94" s="15" t="n"/>
      <c r="S94" s="14" t="n"/>
      <c r="T94" s="16" t="n"/>
      <c r="U94" s="16" t="n"/>
      <c r="V94" s="16" t="n"/>
      <c r="W94" s="16" t="n"/>
      <c r="X94" s="16" t="n"/>
      <c r="Y94" s="16" t="n"/>
      <c r="Z94" s="14" t="n"/>
      <c r="AA94" s="14" t="n"/>
      <c r="AB94" s="14" t="n"/>
      <c r="AC94" s="17">
        <f>IFERROR(VLOOKUP($H94&amp;"|"&amp;$Q94,Tariff_Master!$A$2:$L$169,3,FALSE),"")</f>
        <v/>
      </c>
      <c r="AD94" s="17">
        <f>IFERROR(VLOOKUP($H94&amp;"|"&amp;$Q94,Tariff_Master!$A$2:$L$169,4,FALSE),"")</f>
        <v/>
      </c>
      <c r="AE94" s="18">
        <f>IFERROR(VLOOKUP($H94&amp;"|"&amp;$Q94,Tariff_Master!$A$2:$L$169,6,FALSE),"")</f>
        <v/>
      </c>
      <c r="AF94" s="19">
        <f>IFERROR(VLOOKUP($H94&amp;"|"&amp;$Q94,Tariff_Master!$A$2:$L$169,7,FALSE),"")</f>
        <v/>
      </c>
      <c r="AG94" s="18">
        <f>IFERROR(VLOOKUP($H94&amp;"|"&amp;$Q94,Tariff_Master!$A$2:$L$169,8,FALSE),"")</f>
        <v/>
      </c>
      <c r="AH94" s="20">
        <f>IFERROR(VLOOKUP($H94&amp;"|"&amp;$Q94,Tariff_Master!$A$2:$L$169,9,FALSE),"")</f>
        <v/>
      </c>
      <c r="AI94" s="18">
        <f>IFERROR(VLOOKUP($H94&amp;"|"&amp;$Q94,Tariff_Master!$A$2:$L$169,10,FALSE),"")</f>
        <v/>
      </c>
      <c r="AJ94" s="21">
        <f>IF($M94="","",ROUNDUP(MAX(0,$M94),0))</f>
        <v/>
      </c>
      <c r="AK94" s="21">
        <f>IF(OR($AJ94="",$AF94=""),"",MAX(0,$AJ94-$AF94))</f>
        <v/>
      </c>
      <c r="AL94" s="22">
        <f>IF(OR($AK94="",$AG94=""),"",MAX(0,$AK94*$AG94))</f>
        <v/>
      </c>
      <c r="AM94" s="22">
        <f>IF($AE94="","",MAX(0,SUM($AE94,$AL94,$V94,$W94)))</f>
        <v/>
      </c>
      <c r="AN94" s="22">
        <f>IF($AM94="","",IF(AND($Q94="COMMITMENT",$R94&gt;=$AH94),$AI94,0))</f>
        <v/>
      </c>
      <c r="AO94" s="23">
        <f>IF($AM94="","",MAX(0,$AM94-$AN94))</f>
        <v/>
      </c>
      <c r="AP94" s="22">
        <f>IF($S94="","",IF(OR($S94="ITEM_PRICE_PLUS_DECLARED_DELIVERY",$S94="DELIVERY_CHARGE_ONLY"),$K94,IF($S94="TOTAL_AMOUNT_INCLUDING_DELIVERY",IF(OR($T94="",$J94=""),"",MAX(0,$T94-$J94-$U94)),IF($S94="ITEM_PRICE_ONLY_DELIVERY_PAID_BY_MERCHANT",0,""))))</f>
        <v/>
      </c>
      <c r="AQ94" s="23">
        <f>IF(OR($AP94="",$AO94=""),"",$AP94-$AO94)</f>
        <v/>
      </c>
      <c r="AR94" s="24">
        <f>IF($S94="EXACT_COLLECTION_AMOUNT","BREAKDOWN_REQUIRED",IF($AQ94="","",IF($AQ94&gt;0,"CREDIT_TO_MERCHANT",IF($AQ94&lt;0,"DEDUCT_FROM_MERCHANT","NO_ADJUSTMENT"))))</f>
        <v/>
      </c>
      <c r="AS94" s="23">
        <f>IF(OR($AQ94="",$AR94="BREAKDOWN_REQUIRED"),"",$AQ94)</f>
        <v/>
      </c>
      <c r="AT94" s="23">
        <f>IF(OR($AR94="",$AR94="BREAKDOWN_REQUIRED"),"",SUM($J94,$AQ94,$Y94)-$X94)</f>
        <v/>
      </c>
      <c r="AU94" s="25">
        <f>IF(AND($A94="",$B94="",$F94="",$H94="",$J94="",$K94="",$M94="",$S94=""),"",IF(OR($H94="",$Q94="",$M94="",$S94=""),"ERROR",IF(OR($J94&lt;0,$K94&lt;0,$M94&lt;0,$T94&lt;0,$U94&lt;0,$V94&lt;0,$W94&lt;0,$X94&lt;0,$Y94&lt;0),"ERROR",IF($AE94="","ERROR",IF(AND(OR($S94="ITEM_PRICE_PLUS_DECLARED_DELIVERY",$S94="TOTAL_AMOUNT_INCLUDING_DELIVERY",$S94="ITEM_PRICE_ONLY_DELIVERY_PAID_BY_MERCHANT"),$J94=""),"ERROR",IF(AND(OR($S94="ITEM_PRICE_PLUS_DECLARED_DELIVERY",$S94="DELIVERY_CHARGE_ONLY"),$K94=""),"ERROR",IF(AND(OR($S94="TOTAL_AMOUNT_INCLUDING_DELIVERY",$S94="EXACT_COLLECTION_AMOUNT"),$T94=""),"ERROR",IF(AND($S94="TOTAL_AMOUNT_INCLUDING_DELIVERY",$T94&lt;SUM($J94,$U94)),"ERROR",IF($S94="EXACT_COLLECTION_AMOUNT","REVIEW","OK")))))))))</f>
        <v/>
      </c>
      <c r="AV94" s="25">
        <f>IF($AU94="","",IF($H94="","Township required",IF($Q94="","Customer tier required",IF($M94="","Weight required",IF($S94="","Amount entry type required",IF(OR($J94&lt;0,$K94&lt;0,$M94&lt;0,$T94&lt;0,$U94&lt;0,$V94&lt;0,$W94&lt;0,$X94&lt;0,$Y94&lt;0),"Negative amounts are not allowed",IF($AE94="","Tariff not found for township and tier",IF(AND(OR($S94="ITEM_PRICE_PLUS_DECLARED_DELIVERY",$S94="TOTAL_AMOUNT_INCLUDING_DELIVERY",$S94="ITEM_PRICE_ONLY_DELIVERY_PAID_BY_MERCHANT"),$J94=""),"Item price required for this amount type",IF(AND(OR($S94="ITEM_PRICE_PLUS_DECLARED_DELIVERY",$S94="DELIVERY_CHARGE_ONLY"),$K94=""),"Declared delivery charge required",IF(AND(OR($S94="TOTAL_AMOUNT_INCLUDING_DELIVERY",$S94="EXACT_COLLECTION_AMOUNT"),$T94=""),"Stated total amount required",IF(AND($S94="TOTAL_AMOUNT_INCLUDING_DELIVERY",$T94&lt;SUM($J94,$U94)),"Stated total is below item price plus additional charge",IF($S94="EXACT_COLLECTION_AMOUNT","Authorized amount breakdown required before settlement","Ready for collection and settlement"))))))))))))</f>
        <v/>
      </c>
      <c r="AW94" s="23">
        <f>IF($AU94="","","PARCEL_FINANCIAL_V2")</f>
        <v/>
      </c>
      <c r="AX94" s="17" t="n"/>
    </row>
    <row r="95">
      <c r="A95" s="8" t="n"/>
      <c r="B95" s="8" t="n"/>
      <c r="C95" s="8" t="n"/>
      <c r="D95" s="8" t="n"/>
      <c r="E95" s="9" t="n"/>
      <c r="F95" s="9" t="n"/>
      <c r="G95" s="8" t="n"/>
      <c r="H95" s="9" t="n"/>
      <c r="I95" s="9" t="n"/>
      <c r="J95" s="10" t="n"/>
      <c r="K95" s="10" t="n"/>
      <c r="L95" s="11">
        <f>IF($S95="","",IF($S95="ITEM_PRICE_PLUS_DECLARED_DELIVERY",IF(OR($J95="",$K95=""),"",SUM($J95,$K95,$U95)),IF($S95="TOTAL_AMOUNT_INCLUDING_DELIVERY",IF($T95="","",$T95),IF($S95="DELIVERY_CHARGE_ONLY",IF($K95="","",SUM($K95,$U95)),IF($S95="EXACT_COLLECTION_AMOUNT",IF($T95="","",$T95),IF($S95="ITEM_PRICE_ONLY_DELIVERY_PAID_BY_MERCHANT",IF($J95="","",SUM($J95,$U95)),""))))))</f>
        <v/>
      </c>
      <c r="M95" s="12" t="n"/>
      <c r="N95" s="13" t="n"/>
      <c r="O95" s="13" t="n"/>
      <c r="P95" s="9" t="n"/>
      <c r="Q95" s="14" t="n"/>
      <c r="R95" s="15" t="n"/>
      <c r="S95" s="14" t="n"/>
      <c r="T95" s="16" t="n"/>
      <c r="U95" s="16" t="n"/>
      <c r="V95" s="16" t="n"/>
      <c r="W95" s="16" t="n"/>
      <c r="X95" s="16" t="n"/>
      <c r="Y95" s="16" t="n"/>
      <c r="Z95" s="14" t="n"/>
      <c r="AA95" s="14" t="n"/>
      <c r="AB95" s="14" t="n"/>
      <c r="AC95" s="17">
        <f>IFERROR(VLOOKUP($H95&amp;"|"&amp;$Q95,Tariff_Master!$A$2:$L$169,3,FALSE),"")</f>
        <v/>
      </c>
      <c r="AD95" s="17">
        <f>IFERROR(VLOOKUP($H95&amp;"|"&amp;$Q95,Tariff_Master!$A$2:$L$169,4,FALSE),"")</f>
        <v/>
      </c>
      <c r="AE95" s="18">
        <f>IFERROR(VLOOKUP($H95&amp;"|"&amp;$Q95,Tariff_Master!$A$2:$L$169,6,FALSE),"")</f>
        <v/>
      </c>
      <c r="AF95" s="19">
        <f>IFERROR(VLOOKUP($H95&amp;"|"&amp;$Q95,Tariff_Master!$A$2:$L$169,7,FALSE),"")</f>
        <v/>
      </c>
      <c r="AG95" s="18">
        <f>IFERROR(VLOOKUP($H95&amp;"|"&amp;$Q95,Tariff_Master!$A$2:$L$169,8,FALSE),"")</f>
        <v/>
      </c>
      <c r="AH95" s="20">
        <f>IFERROR(VLOOKUP($H95&amp;"|"&amp;$Q95,Tariff_Master!$A$2:$L$169,9,FALSE),"")</f>
        <v/>
      </c>
      <c r="AI95" s="18">
        <f>IFERROR(VLOOKUP($H95&amp;"|"&amp;$Q95,Tariff_Master!$A$2:$L$169,10,FALSE),"")</f>
        <v/>
      </c>
      <c r="AJ95" s="21">
        <f>IF($M95="","",ROUNDUP(MAX(0,$M95),0))</f>
        <v/>
      </c>
      <c r="AK95" s="21">
        <f>IF(OR($AJ95="",$AF95=""),"",MAX(0,$AJ95-$AF95))</f>
        <v/>
      </c>
      <c r="AL95" s="22">
        <f>IF(OR($AK95="",$AG95=""),"",MAX(0,$AK95*$AG95))</f>
        <v/>
      </c>
      <c r="AM95" s="22">
        <f>IF($AE95="","",MAX(0,SUM($AE95,$AL95,$V95,$W95)))</f>
        <v/>
      </c>
      <c r="AN95" s="22">
        <f>IF($AM95="","",IF(AND($Q95="COMMITMENT",$R95&gt;=$AH95),$AI95,0))</f>
        <v/>
      </c>
      <c r="AO95" s="23">
        <f>IF($AM95="","",MAX(0,$AM95-$AN95))</f>
        <v/>
      </c>
      <c r="AP95" s="22">
        <f>IF($S95="","",IF(OR($S95="ITEM_PRICE_PLUS_DECLARED_DELIVERY",$S95="DELIVERY_CHARGE_ONLY"),$K95,IF($S95="TOTAL_AMOUNT_INCLUDING_DELIVERY",IF(OR($T95="",$J95=""),"",MAX(0,$T95-$J95-$U95)),IF($S95="ITEM_PRICE_ONLY_DELIVERY_PAID_BY_MERCHANT",0,""))))</f>
        <v/>
      </c>
      <c r="AQ95" s="23">
        <f>IF(OR($AP95="",$AO95=""),"",$AP95-$AO95)</f>
        <v/>
      </c>
      <c r="AR95" s="24">
        <f>IF($S95="EXACT_COLLECTION_AMOUNT","BREAKDOWN_REQUIRED",IF($AQ95="","",IF($AQ95&gt;0,"CREDIT_TO_MERCHANT",IF($AQ95&lt;0,"DEDUCT_FROM_MERCHANT","NO_ADJUSTMENT"))))</f>
        <v/>
      </c>
      <c r="AS95" s="23">
        <f>IF(OR($AQ95="",$AR95="BREAKDOWN_REQUIRED"),"",$AQ95)</f>
        <v/>
      </c>
      <c r="AT95" s="23">
        <f>IF(OR($AR95="",$AR95="BREAKDOWN_REQUIRED"),"",SUM($J95,$AQ95,$Y95)-$X95)</f>
        <v/>
      </c>
      <c r="AU95" s="25">
        <f>IF(AND($A95="",$B95="",$F95="",$H95="",$J95="",$K95="",$M95="",$S95=""),"",IF(OR($H95="",$Q95="",$M95="",$S95=""),"ERROR",IF(OR($J95&lt;0,$K95&lt;0,$M95&lt;0,$T95&lt;0,$U95&lt;0,$V95&lt;0,$W95&lt;0,$X95&lt;0,$Y95&lt;0),"ERROR",IF($AE95="","ERROR",IF(AND(OR($S95="ITEM_PRICE_PLUS_DECLARED_DELIVERY",$S95="TOTAL_AMOUNT_INCLUDING_DELIVERY",$S95="ITEM_PRICE_ONLY_DELIVERY_PAID_BY_MERCHANT"),$J95=""),"ERROR",IF(AND(OR($S95="ITEM_PRICE_PLUS_DECLARED_DELIVERY",$S95="DELIVERY_CHARGE_ONLY"),$K95=""),"ERROR",IF(AND(OR($S95="TOTAL_AMOUNT_INCLUDING_DELIVERY",$S95="EXACT_COLLECTION_AMOUNT"),$T95=""),"ERROR",IF(AND($S95="TOTAL_AMOUNT_INCLUDING_DELIVERY",$T95&lt;SUM($J95,$U95)),"ERROR",IF($S95="EXACT_COLLECTION_AMOUNT","REVIEW","OK")))))))))</f>
        <v/>
      </c>
      <c r="AV95" s="25">
        <f>IF($AU95="","",IF($H95="","Township required",IF($Q95="","Customer tier required",IF($M95="","Weight required",IF($S95="","Amount entry type required",IF(OR($J95&lt;0,$K95&lt;0,$M95&lt;0,$T95&lt;0,$U95&lt;0,$V95&lt;0,$W95&lt;0,$X95&lt;0,$Y95&lt;0),"Negative amounts are not allowed",IF($AE95="","Tariff not found for township and tier",IF(AND(OR($S95="ITEM_PRICE_PLUS_DECLARED_DELIVERY",$S95="TOTAL_AMOUNT_INCLUDING_DELIVERY",$S95="ITEM_PRICE_ONLY_DELIVERY_PAID_BY_MERCHANT"),$J95=""),"Item price required for this amount type",IF(AND(OR($S95="ITEM_PRICE_PLUS_DECLARED_DELIVERY",$S95="DELIVERY_CHARGE_ONLY"),$K95=""),"Declared delivery charge required",IF(AND(OR($S95="TOTAL_AMOUNT_INCLUDING_DELIVERY",$S95="EXACT_COLLECTION_AMOUNT"),$T95=""),"Stated total amount required",IF(AND($S95="TOTAL_AMOUNT_INCLUDING_DELIVERY",$T95&lt;SUM($J95,$U95)),"Stated total is below item price plus additional charge",IF($S95="EXACT_COLLECTION_AMOUNT","Authorized amount breakdown required before settlement","Ready for collection and settlement"))))))))))))</f>
        <v/>
      </c>
      <c r="AW95" s="23">
        <f>IF($AU95="","","PARCEL_FINANCIAL_V2")</f>
        <v/>
      </c>
      <c r="AX95" s="17" t="n"/>
    </row>
    <row r="96">
      <c r="A96" s="8" t="n"/>
      <c r="B96" s="8" t="n"/>
      <c r="C96" s="8" t="n"/>
      <c r="D96" s="8" t="n"/>
      <c r="E96" s="9" t="n"/>
      <c r="F96" s="9" t="n"/>
      <c r="G96" s="8" t="n"/>
      <c r="H96" s="9" t="n"/>
      <c r="I96" s="9" t="n"/>
      <c r="J96" s="10" t="n"/>
      <c r="K96" s="10" t="n"/>
      <c r="L96" s="11">
        <f>IF($S96="","",IF($S96="ITEM_PRICE_PLUS_DECLARED_DELIVERY",IF(OR($J96="",$K96=""),"",SUM($J96,$K96,$U96)),IF($S96="TOTAL_AMOUNT_INCLUDING_DELIVERY",IF($T96="","",$T96),IF($S96="DELIVERY_CHARGE_ONLY",IF($K96="","",SUM($K96,$U96)),IF($S96="EXACT_COLLECTION_AMOUNT",IF($T96="","",$T96),IF($S96="ITEM_PRICE_ONLY_DELIVERY_PAID_BY_MERCHANT",IF($J96="","",SUM($J96,$U96)),""))))))</f>
        <v/>
      </c>
      <c r="M96" s="12" t="n"/>
      <c r="N96" s="13" t="n"/>
      <c r="O96" s="13" t="n"/>
      <c r="P96" s="9" t="n"/>
      <c r="Q96" s="14" t="n"/>
      <c r="R96" s="15" t="n"/>
      <c r="S96" s="14" t="n"/>
      <c r="T96" s="16" t="n"/>
      <c r="U96" s="16" t="n"/>
      <c r="V96" s="16" t="n"/>
      <c r="W96" s="16" t="n"/>
      <c r="X96" s="16" t="n"/>
      <c r="Y96" s="16" t="n"/>
      <c r="Z96" s="14" t="n"/>
      <c r="AA96" s="14" t="n"/>
      <c r="AB96" s="14" t="n"/>
      <c r="AC96" s="17">
        <f>IFERROR(VLOOKUP($H96&amp;"|"&amp;$Q96,Tariff_Master!$A$2:$L$169,3,FALSE),"")</f>
        <v/>
      </c>
      <c r="AD96" s="17">
        <f>IFERROR(VLOOKUP($H96&amp;"|"&amp;$Q96,Tariff_Master!$A$2:$L$169,4,FALSE),"")</f>
        <v/>
      </c>
      <c r="AE96" s="18">
        <f>IFERROR(VLOOKUP($H96&amp;"|"&amp;$Q96,Tariff_Master!$A$2:$L$169,6,FALSE),"")</f>
        <v/>
      </c>
      <c r="AF96" s="19">
        <f>IFERROR(VLOOKUP($H96&amp;"|"&amp;$Q96,Tariff_Master!$A$2:$L$169,7,FALSE),"")</f>
        <v/>
      </c>
      <c r="AG96" s="18">
        <f>IFERROR(VLOOKUP($H96&amp;"|"&amp;$Q96,Tariff_Master!$A$2:$L$169,8,FALSE),"")</f>
        <v/>
      </c>
      <c r="AH96" s="20">
        <f>IFERROR(VLOOKUP($H96&amp;"|"&amp;$Q96,Tariff_Master!$A$2:$L$169,9,FALSE),"")</f>
        <v/>
      </c>
      <c r="AI96" s="18">
        <f>IFERROR(VLOOKUP($H96&amp;"|"&amp;$Q96,Tariff_Master!$A$2:$L$169,10,FALSE),"")</f>
        <v/>
      </c>
      <c r="AJ96" s="21">
        <f>IF($M96="","",ROUNDUP(MAX(0,$M96),0))</f>
        <v/>
      </c>
      <c r="AK96" s="21">
        <f>IF(OR($AJ96="",$AF96=""),"",MAX(0,$AJ96-$AF96))</f>
        <v/>
      </c>
      <c r="AL96" s="22">
        <f>IF(OR($AK96="",$AG96=""),"",MAX(0,$AK96*$AG96))</f>
        <v/>
      </c>
      <c r="AM96" s="22">
        <f>IF($AE96="","",MAX(0,SUM($AE96,$AL96,$V96,$W96)))</f>
        <v/>
      </c>
      <c r="AN96" s="22">
        <f>IF($AM96="","",IF(AND($Q96="COMMITMENT",$R96&gt;=$AH96),$AI96,0))</f>
        <v/>
      </c>
      <c r="AO96" s="23">
        <f>IF($AM96="","",MAX(0,$AM96-$AN96))</f>
        <v/>
      </c>
      <c r="AP96" s="22">
        <f>IF($S96="","",IF(OR($S96="ITEM_PRICE_PLUS_DECLARED_DELIVERY",$S96="DELIVERY_CHARGE_ONLY"),$K96,IF($S96="TOTAL_AMOUNT_INCLUDING_DELIVERY",IF(OR($T96="",$J96=""),"",MAX(0,$T96-$J96-$U96)),IF($S96="ITEM_PRICE_ONLY_DELIVERY_PAID_BY_MERCHANT",0,""))))</f>
        <v/>
      </c>
      <c r="AQ96" s="23">
        <f>IF(OR($AP96="",$AO96=""),"",$AP96-$AO96)</f>
        <v/>
      </c>
      <c r="AR96" s="24">
        <f>IF($S96="EXACT_COLLECTION_AMOUNT","BREAKDOWN_REQUIRED",IF($AQ96="","",IF($AQ96&gt;0,"CREDIT_TO_MERCHANT",IF($AQ96&lt;0,"DEDUCT_FROM_MERCHANT","NO_ADJUSTMENT"))))</f>
        <v/>
      </c>
      <c r="AS96" s="23">
        <f>IF(OR($AQ96="",$AR96="BREAKDOWN_REQUIRED"),"",$AQ96)</f>
        <v/>
      </c>
      <c r="AT96" s="23">
        <f>IF(OR($AR96="",$AR96="BREAKDOWN_REQUIRED"),"",SUM($J96,$AQ96,$Y96)-$X96)</f>
        <v/>
      </c>
      <c r="AU96" s="25">
        <f>IF(AND($A96="",$B96="",$F96="",$H96="",$J96="",$K96="",$M96="",$S96=""),"",IF(OR($H96="",$Q96="",$M96="",$S96=""),"ERROR",IF(OR($J96&lt;0,$K96&lt;0,$M96&lt;0,$T96&lt;0,$U96&lt;0,$V96&lt;0,$W96&lt;0,$X96&lt;0,$Y96&lt;0),"ERROR",IF($AE96="","ERROR",IF(AND(OR($S96="ITEM_PRICE_PLUS_DECLARED_DELIVERY",$S96="TOTAL_AMOUNT_INCLUDING_DELIVERY",$S96="ITEM_PRICE_ONLY_DELIVERY_PAID_BY_MERCHANT"),$J96=""),"ERROR",IF(AND(OR($S96="ITEM_PRICE_PLUS_DECLARED_DELIVERY",$S96="DELIVERY_CHARGE_ONLY"),$K96=""),"ERROR",IF(AND(OR($S96="TOTAL_AMOUNT_INCLUDING_DELIVERY",$S96="EXACT_COLLECTION_AMOUNT"),$T96=""),"ERROR",IF(AND($S96="TOTAL_AMOUNT_INCLUDING_DELIVERY",$T96&lt;SUM($J96,$U96)),"ERROR",IF($S96="EXACT_COLLECTION_AMOUNT","REVIEW","OK")))))))))</f>
        <v/>
      </c>
      <c r="AV96" s="25">
        <f>IF($AU96="","",IF($H96="","Township required",IF($Q96="","Customer tier required",IF($M96="","Weight required",IF($S96="","Amount entry type required",IF(OR($J96&lt;0,$K96&lt;0,$M96&lt;0,$T96&lt;0,$U96&lt;0,$V96&lt;0,$W96&lt;0,$X96&lt;0,$Y96&lt;0),"Negative amounts are not allowed",IF($AE96="","Tariff not found for township and tier",IF(AND(OR($S96="ITEM_PRICE_PLUS_DECLARED_DELIVERY",$S96="TOTAL_AMOUNT_INCLUDING_DELIVERY",$S96="ITEM_PRICE_ONLY_DELIVERY_PAID_BY_MERCHANT"),$J96=""),"Item price required for this amount type",IF(AND(OR($S96="ITEM_PRICE_PLUS_DECLARED_DELIVERY",$S96="DELIVERY_CHARGE_ONLY"),$K96=""),"Declared delivery charge required",IF(AND(OR($S96="TOTAL_AMOUNT_INCLUDING_DELIVERY",$S96="EXACT_COLLECTION_AMOUNT"),$T96=""),"Stated total amount required",IF(AND($S96="TOTAL_AMOUNT_INCLUDING_DELIVERY",$T96&lt;SUM($J96,$U96)),"Stated total is below item price plus additional charge",IF($S96="EXACT_COLLECTION_AMOUNT","Authorized amount breakdown required before settlement","Ready for collection and settlement"))))))))))))</f>
        <v/>
      </c>
      <c r="AW96" s="23">
        <f>IF($AU96="","","PARCEL_FINANCIAL_V2")</f>
        <v/>
      </c>
      <c r="AX96" s="17" t="n"/>
    </row>
    <row r="97">
      <c r="A97" s="8" t="n"/>
      <c r="B97" s="8" t="n"/>
      <c r="C97" s="8" t="n"/>
      <c r="D97" s="8" t="n"/>
      <c r="E97" s="9" t="n"/>
      <c r="F97" s="9" t="n"/>
      <c r="G97" s="8" t="n"/>
      <c r="H97" s="9" t="n"/>
      <c r="I97" s="9" t="n"/>
      <c r="J97" s="10" t="n"/>
      <c r="K97" s="10" t="n"/>
      <c r="L97" s="11">
        <f>IF($S97="","",IF($S97="ITEM_PRICE_PLUS_DECLARED_DELIVERY",IF(OR($J97="",$K97=""),"",SUM($J97,$K97,$U97)),IF($S97="TOTAL_AMOUNT_INCLUDING_DELIVERY",IF($T97="","",$T97),IF($S97="DELIVERY_CHARGE_ONLY",IF($K97="","",SUM($K97,$U97)),IF($S97="EXACT_COLLECTION_AMOUNT",IF($T97="","",$T97),IF($S97="ITEM_PRICE_ONLY_DELIVERY_PAID_BY_MERCHANT",IF($J97="","",SUM($J97,$U97)),""))))))</f>
        <v/>
      </c>
      <c r="M97" s="12" t="n"/>
      <c r="N97" s="13" t="n"/>
      <c r="O97" s="13" t="n"/>
      <c r="P97" s="9" t="n"/>
      <c r="Q97" s="14" t="n"/>
      <c r="R97" s="15" t="n"/>
      <c r="S97" s="14" t="n"/>
      <c r="T97" s="16" t="n"/>
      <c r="U97" s="16" t="n"/>
      <c r="V97" s="16" t="n"/>
      <c r="W97" s="16" t="n"/>
      <c r="X97" s="16" t="n"/>
      <c r="Y97" s="16" t="n"/>
      <c r="Z97" s="14" t="n"/>
      <c r="AA97" s="14" t="n"/>
      <c r="AB97" s="14" t="n"/>
      <c r="AC97" s="17">
        <f>IFERROR(VLOOKUP($H97&amp;"|"&amp;$Q97,Tariff_Master!$A$2:$L$169,3,FALSE),"")</f>
        <v/>
      </c>
      <c r="AD97" s="17">
        <f>IFERROR(VLOOKUP($H97&amp;"|"&amp;$Q97,Tariff_Master!$A$2:$L$169,4,FALSE),"")</f>
        <v/>
      </c>
      <c r="AE97" s="18">
        <f>IFERROR(VLOOKUP($H97&amp;"|"&amp;$Q97,Tariff_Master!$A$2:$L$169,6,FALSE),"")</f>
        <v/>
      </c>
      <c r="AF97" s="19">
        <f>IFERROR(VLOOKUP($H97&amp;"|"&amp;$Q97,Tariff_Master!$A$2:$L$169,7,FALSE),"")</f>
        <v/>
      </c>
      <c r="AG97" s="18">
        <f>IFERROR(VLOOKUP($H97&amp;"|"&amp;$Q97,Tariff_Master!$A$2:$L$169,8,FALSE),"")</f>
        <v/>
      </c>
      <c r="AH97" s="20">
        <f>IFERROR(VLOOKUP($H97&amp;"|"&amp;$Q97,Tariff_Master!$A$2:$L$169,9,FALSE),"")</f>
        <v/>
      </c>
      <c r="AI97" s="18">
        <f>IFERROR(VLOOKUP($H97&amp;"|"&amp;$Q97,Tariff_Master!$A$2:$L$169,10,FALSE),"")</f>
        <v/>
      </c>
      <c r="AJ97" s="21">
        <f>IF($M97="","",ROUNDUP(MAX(0,$M97),0))</f>
        <v/>
      </c>
      <c r="AK97" s="21">
        <f>IF(OR($AJ97="",$AF97=""),"",MAX(0,$AJ97-$AF97))</f>
        <v/>
      </c>
      <c r="AL97" s="22">
        <f>IF(OR($AK97="",$AG97=""),"",MAX(0,$AK97*$AG97))</f>
        <v/>
      </c>
      <c r="AM97" s="22">
        <f>IF($AE97="","",MAX(0,SUM($AE97,$AL97,$V97,$W97)))</f>
        <v/>
      </c>
      <c r="AN97" s="22">
        <f>IF($AM97="","",IF(AND($Q97="COMMITMENT",$R97&gt;=$AH97),$AI97,0))</f>
        <v/>
      </c>
      <c r="AO97" s="23">
        <f>IF($AM97="","",MAX(0,$AM97-$AN97))</f>
        <v/>
      </c>
      <c r="AP97" s="22">
        <f>IF($S97="","",IF(OR($S97="ITEM_PRICE_PLUS_DECLARED_DELIVERY",$S97="DELIVERY_CHARGE_ONLY"),$K97,IF($S97="TOTAL_AMOUNT_INCLUDING_DELIVERY",IF(OR($T97="",$J97=""),"",MAX(0,$T97-$J97-$U97)),IF($S97="ITEM_PRICE_ONLY_DELIVERY_PAID_BY_MERCHANT",0,""))))</f>
        <v/>
      </c>
      <c r="AQ97" s="23">
        <f>IF(OR($AP97="",$AO97=""),"",$AP97-$AO97)</f>
        <v/>
      </c>
      <c r="AR97" s="24">
        <f>IF($S97="EXACT_COLLECTION_AMOUNT","BREAKDOWN_REQUIRED",IF($AQ97="","",IF($AQ97&gt;0,"CREDIT_TO_MERCHANT",IF($AQ97&lt;0,"DEDUCT_FROM_MERCHANT","NO_ADJUSTMENT"))))</f>
        <v/>
      </c>
      <c r="AS97" s="23">
        <f>IF(OR($AQ97="",$AR97="BREAKDOWN_REQUIRED"),"",$AQ97)</f>
        <v/>
      </c>
      <c r="AT97" s="23">
        <f>IF(OR($AR97="",$AR97="BREAKDOWN_REQUIRED"),"",SUM($J97,$AQ97,$Y97)-$X97)</f>
        <v/>
      </c>
      <c r="AU97" s="25">
        <f>IF(AND($A97="",$B97="",$F97="",$H97="",$J97="",$K97="",$M97="",$S97=""),"",IF(OR($H97="",$Q97="",$M97="",$S97=""),"ERROR",IF(OR($J97&lt;0,$K97&lt;0,$M97&lt;0,$T97&lt;0,$U97&lt;0,$V97&lt;0,$W97&lt;0,$X97&lt;0,$Y97&lt;0),"ERROR",IF($AE97="","ERROR",IF(AND(OR($S97="ITEM_PRICE_PLUS_DECLARED_DELIVERY",$S97="TOTAL_AMOUNT_INCLUDING_DELIVERY",$S97="ITEM_PRICE_ONLY_DELIVERY_PAID_BY_MERCHANT"),$J97=""),"ERROR",IF(AND(OR($S97="ITEM_PRICE_PLUS_DECLARED_DELIVERY",$S97="DELIVERY_CHARGE_ONLY"),$K97=""),"ERROR",IF(AND(OR($S97="TOTAL_AMOUNT_INCLUDING_DELIVERY",$S97="EXACT_COLLECTION_AMOUNT"),$T97=""),"ERROR",IF(AND($S97="TOTAL_AMOUNT_INCLUDING_DELIVERY",$T97&lt;SUM($J97,$U97)),"ERROR",IF($S97="EXACT_COLLECTION_AMOUNT","REVIEW","OK")))))))))</f>
        <v/>
      </c>
      <c r="AV97" s="25">
        <f>IF($AU97="","",IF($H97="","Township required",IF($Q97="","Customer tier required",IF($M97="","Weight required",IF($S97="","Amount entry type required",IF(OR($J97&lt;0,$K97&lt;0,$M97&lt;0,$T97&lt;0,$U97&lt;0,$V97&lt;0,$W97&lt;0,$X97&lt;0,$Y97&lt;0),"Negative amounts are not allowed",IF($AE97="","Tariff not found for township and tier",IF(AND(OR($S97="ITEM_PRICE_PLUS_DECLARED_DELIVERY",$S97="TOTAL_AMOUNT_INCLUDING_DELIVERY",$S97="ITEM_PRICE_ONLY_DELIVERY_PAID_BY_MERCHANT"),$J97=""),"Item price required for this amount type",IF(AND(OR($S97="ITEM_PRICE_PLUS_DECLARED_DELIVERY",$S97="DELIVERY_CHARGE_ONLY"),$K97=""),"Declared delivery charge required",IF(AND(OR($S97="TOTAL_AMOUNT_INCLUDING_DELIVERY",$S97="EXACT_COLLECTION_AMOUNT"),$T97=""),"Stated total amount required",IF(AND($S97="TOTAL_AMOUNT_INCLUDING_DELIVERY",$T97&lt;SUM($J97,$U97)),"Stated total is below item price plus additional charge",IF($S97="EXACT_COLLECTION_AMOUNT","Authorized amount breakdown required before settlement","Ready for collection and settlement"))))))))))))</f>
        <v/>
      </c>
      <c r="AW97" s="23">
        <f>IF($AU97="","","PARCEL_FINANCIAL_V2")</f>
        <v/>
      </c>
      <c r="AX97" s="17" t="n"/>
    </row>
    <row r="98">
      <c r="A98" s="8" t="n"/>
      <c r="B98" s="8" t="n"/>
      <c r="C98" s="8" t="n"/>
      <c r="D98" s="8" t="n"/>
      <c r="E98" s="9" t="n"/>
      <c r="F98" s="9" t="n"/>
      <c r="G98" s="8" t="n"/>
      <c r="H98" s="9" t="n"/>
      <c r="I98" s="9" t="n"/>
      <c r="J98" s="10" t="n"/>
      <c r="K98" s="10" t="n"/>
      <c r="L98" s="11">
        <f>IF($S98="","",IF($S98="ITEM_PRICE_PLUS_DECLARED_DELIVERY",IF(OR($J98="",$K98=""),"",SUM($J98,$K98,$U98)),IF($S98="TOTAL_AMOUNT_INCLUDING_DELIVERY",IF($T98="","",$T98),IF($S98="DELIVERY_CHARGE_ONLY",IF($K98="","",SUM($K98,$U98)),IF($S98="EXACT_COLLECTION_AMOUNT",IF($T98="","",$T98),IF($S98="ITEM_PRICE_ONLY_DELIVERY_PAID_BY_MERCHANT",IF($J98="","",SUM($J98,$U98)),""))))))</f>
        <v/>
      </c>
      <c r="M98" s="12" t="n"/>
      <c r="N98" s="13" t="n"/>
      <c r="O98" s="13" t="n"/>
      <c r="P98" s="9" t="n"/>
      <c r="Q98" s="14" t="n"/>
      <c r="R98" s="15" t="n"/>
      <c r="S98" s="14" t="n"/>
      <c r="T98" s="16" t="n"/>
      <c r="U98" s="16" t="n"/>
      <c r="V98" s="16" t="n"/>
      <c r="W98" s="16" t="n"/>
      <c r="X98" s="16" t="n"/>
      <c r="Y98" s="16" t="n"/>
      <c r="Z98" s="14" t="n"/>
      <c r="AA98" s="14" t="n"/>
      <c r="AB98" s="14" t="n"/>
      <c r="AC98" s="17">
        <f>IFERROR(VLOOKUP($H98&amp;"|"&amp;$Q98,Tariff_Master!$A$2:$L$169,3,FALSE),"")</f>
        <v/>
      </c>
      <c r="AD98" s="17">
        <f>IFERROR(VLOOKUP($H98&amp;"|"&amp;$Q98,Tariff_Master!$A$2:$L$169,4,FALSE),"")</f>
        <v/>
      </c>
      <c r="AE98" s="18">
        <f>IFERROR(VLOOKUP($H98&amp;"|"&amp;$Q98,Tariff_Master!$A$2:$L$169,6,FALSE),"")</f>
        <v/>
      </c>
      <c r="AF98" s="19">
        <f>IFERROR(VLOOKUP($H98&amp;"|"&amp;$Q98,Tariff_Master!$A$2:$L$169,7,FALSE),"")</f>
        <v/>
      </c>
      <c r="AG98" s="18">
        <f>IFERROR(VLOOKUP($H98&amp;"|"&amp;$Q98,Tariff_Master!$A$2:$L$169,8,FALSE),"")</f>
        <v/>
      </c>
      <c r="AH98" s="20">
        <f>IFERROR(VLOOKUP($H98&amp;"|"&amp;$Q98,Tariff_Master!$A$2:$L$169,9,FALSE),"")</f>
        <v/>
      </c>
      <c r="AI98" s="18">
        <f>IFERROR(VLOOKUP($H98&amp;"|"&amp;$Q98,Tariff_Master!$A$2:$L$169,10,FALSE),"")</f>
        <v/>
      </c>
      <c r="AJ98" s="21">
        <f>IF($M98="","",ROUNDUP(MAX(0,$M98),0))</f>
        <v/>
      </c>
      <c r="AK98" s="21">
        <f>IF(OR($AJ98="",$AF98=""),"",MAX(0,$AJ98-$AF98))</f>
        <v/>
      </c>
      <c r="AL98" s="22">
        <f>IF(OR($AK98="",$AG98=""),"",MAX(0,$AK98*$AG98))</f>
        <v/>
      </c>
      <c r="AM98" s="22">
        <f>IF($AE98="","",MAX(0,SUM($AE98,$AL98,$V98,$W98)))</f>
        <v/>
      </c>
      <c r="AN98" s="22">
        <f>IF($AM98="","",IF(AND($Q98="COMMITMENT",$R98&gt;=$AH98),$AI98,0))</f>
        <v/>
      </c>
      <c r="AO98" s="23">
        <f>IF($AM98="","",MAX(0,$AM98-$AN98))</f>
        <v/>
      </c>
      <c r="AP98" s="22">
        <f>IF($S98="","",IF(OR($S98="ITEM_PRICE_PLUS_DECLARED_DELIVERY",$S98="DELIVERY_CHARGE_ONLY"),$K98,IF($S98="TOTAL_AMOUNT_INCLUDING_DELIVERY",IF(OR($T98="",$J98=""),"",MAX(0,$T98-$J98-$U98)),IF($S98="ITEM_PRICE_ONLY_DELIVERY_PAID_BY_MERCHANT",0,""))))</f>
        <v/>
      </c>
      <c r="AQ98" s="23">
        <f>IF(OR($AP98="",$AO98=""),"",$AP98-$AO98)</f>
        <v/>
      </c>
      <c r="AR98" s="24">
        <f>IF($S98="EXACT_COLLECTION_AMOUNT","BREAKDOWN_REQUIRED",IF($AQ98="","",IF($AQ98&gt;0,"CREDIT_TO_MERCHANT",IF($AQ98&lt;0,"DEDUCT_FROM_MERCHANT","NO_ADJUSTMENT"))))</f>
        <v/>
      </c>
      <c r="AS98" s="23">
        <f>IF(OR($AQ98="",$AR98="BREAKDOWN_REQUIRED"),"",$AQ98)</f>
        <v/>
      </c>
      <c r="AT98" s="23">
        <f>IF(OR($AR98="",$AR98="BREAKDOWN_REQUIRED"),"",SUM($J98,$AQ98,$Y98)-$X98)</f>
        <v/>
      </c>
      <c r="AU98" s="25">
        <f>IF(AND($A98="",$B98="",$F98="",$H98="",$J98="",$K98="",$M98="",$S98=""),"",IF(OR($H98="",$Q98="",$M98="",$S98=""),"ERROR",IF(OR($J98&lt;0,$K98&lt;0,$M98&lt;0,$T98&lt;0,$U98&lt;0,$V98&lt;0,$W98&lt;0,$X98&lt;0,$Y98&lt;0),"ERROR",IF($AE98="","ERROR",IF(AND(OR($S98="ITEM_PRICE_PLUS_DECLARED_DELIVERY",$S98="TOTAL_AMOUNT_INCLUDING_DELIVERY",$S98="ITEM_PRICE_ONLY_DELIVERY_PAID_BY_MERCHANT"),$J98=""),"ERROR",IF(AND(OR($S98="ITEM_PRICE_PLUS_DECLARED_DELIVERY",$S98="DELIVERY_CHARGE_ONLY"),$K98=""),"ERROR",IF(AND(OR($S98="TOTAL_AMOUNT_INCLUDING_DELIVERY",$S98="EXACT_COLLECTION_AMOUNT"),$T98=""),"ERROR",IF(AND($S98="TOTAL_AMOUNT_INCLUDING_DELIVERY",$T98&lt;SUM($J98,$U98)),"ERROR",IF($S98="EXACT_COLLECTION_AMOUNT","REVIEW","OK")))))))))</f>
        <v/>
      </c>
      <c r="AV98" s="25">
        <f>IF($AU98="","",IF($H98="","Township required",IF($Q98="","Customer tier required",IF($M98="","Weight required",IF($S98="","Amount entry type required",IF(OR($J98&lt;0,$K98&lt;0,$M98&lt;0,$T98&lt;0,$U98&lt;0,$V98&lt;0,$W98&lt;0,$X98&lt;0,$Y98&lt;0),"Negative amounts are not allowed",IF($AE98="","Tariff not found for township and tier",IF(AND(OR($S98="ITEM_PRICE_PLUS_DECLARED_DELIVERY",$S98="TOTAL_AMOUNT_INCLUDING_DELIVERY",$S98="ITEM_PRICE_ONLY_DELIVERY_PAID_BY_MERCHANT"),$J98=""),"Item price required for this amount type",IF(AND(OR($S98="ITEM_PRICE_PLUS_DECLARED_DELIVERY",$S98="DELIVERY_CHARGE_ONLY"),$K98=""),"Declared delivery charge required",IF(AND(OR($S98="TOTAL_AMOUNT_INCLUDING_DELIVERY",$S98="EXACT_COLLECTION_AMOUNT"),$T98=""),"Stated total amount required",IF(AND($S98="TOTAL_AMOUNT_INCLUDING_DELIVERY",$T98&lt;SUM($J98,$U98)),"Stated total is below item price plus additional charge",IF($S98="EXACT_COLLECTION_AMOUNT","Authorized amount breakdown required before settlement","Ready for collection and settlement"))))))))))))</f>
        <v/>
      </c>
      <c r="AW98" s="23">
        <f>IF($AU98="","","PARCEL_FINANCIAL_V2")</f>
        <v/>
      </c>
      <c r="AX98" s="17" t="n"/>
    </row>
    <row r="99">
      <c r="A99" s="8" t="n"/>
      <c r="B99" s="8" t="n"/>
      <c r="C99" s="8" t="n"/>
      <c r="D99" s="8" t="n"/>
      <c r="E99" s="9" t="n"/>
      <c r="F99" s="9" t="n"/>
      <c r="G99" s="8" t="n"/>
      <c r="H99" s="9" t="n"/>
      <c r="I99" s="9" t="n"/>
      <c r="J99" s="10" t="n"/>
      <c r="K99" s="10" t="n"/>
      <c r="L99" s="11">
        <f>IF($S99="","",IF($S99="ITEM_PRICE_PLUS_DECLARED_DELIVERY",IF(OR($J99="",$K99=""),"",SUM($J99,$K99,$U99)),IF($S99="TOTAL_AMOUNT_INCLUDING_DELIVERY",IF($T99="","",$T99),IF($S99="DELIVERY_CHARGE_ONLY",IF($K99="","",SUM($K99,$U99)),IF($S99="EXACT_COLLECTION_AMOUNT",IF($T99="","",$T99),IF($S99="ITEM_PRICE_ONLY_DELIVERY_PAID_BY_MERCHANT",IF($J99="","",SUM($J99,$U99)),""))))))</f>
        <v/>
      </c>
      <c r="M99" s="12" t="n"/>
      <c r="N99" s="13" t="n"/>
      <c r="O99" s="13" t="n"/>
      <c r="P99" s="9" t="n"/>
      <c r="Q99" s="14" t="n"/>
      <c r="R99" s="15" t="n"/>
      <c r="S99" s="14" t="n"/>
      <c r="T99" s="16" t="n"/>
      <c r="U99" s="16" t="n"/>
      <c r="V99" s="16" t="n"/>
      <c r="W99" s="16" t="n"/>
      <c r="X99" s="16" t="n"/>
      <c r="Y99" s="16" t="n"/>
      <c r="Z99" s="14" t="n"/>
      <c r="AA99" s="14" t="n"/>
      <c r="AB99" s="14" t="n"/>
      <c r="AC99" s="17">
        <f>IFERROR(VLOOKUP($H99&amp;"|"&amp;$Q99,Tariff_Master!$A$2:$L$169,3,FALSE),"")</f>
        <v/>
      </c>
      <c r="AD99" s="17">
        <f>IFERROR(VLOOKUP($H99&amp;"|"&amp;$Q99,Tariff_Master!$A$2:$L$169,4,FALSE),"")</f>
        <v/>
      </c>
      <c r="AE99" s="18">
        <f>IFERROR(VLOOKUP($H99&amp;"|"&amp;$Q99,Tariff_Master!$A$2:$L$169,6,FALSE),"")</f>
        <v/>
      </c>
      <c r="AF99" s="19">
        <f>IFERROR(VLOOKUP($H99&amp;"|"&amp;$Q99,Tariff_Master!$A$2:$L$169,7,FALSE),"")</f>
        <v/>
      </c>
      <c r="AG99" s="18">
        <f>IFERROR(VLOOKUP($H99&amp;"|"&amp;$Q99,Tariff_Master!$A$2:$L$169,8,FALSE),"")</f>
        <v/>
      </c>
      <c r="AH99" s="20">
        <f>IFERROR(VLOOKUP($H99&amp;"|"&amp;$Q99,Tariff_Master!$A$2:$L$169,9,FALSE),"")</f>
        <v/>
      </c>
      <c r="AI99" s="18">
        <f>IFERROR(VLOOKUP($H99&amp;"|"&amp;$Q99,Tariff_Master!$A$2:$L$169,10,FALSE),"")</f>
        <v/>
      </c>
      <c r="AJ99" s="21">
        <f>IF($M99="","",ROUNDUP(MAX(0,$M99),0))</f>
        <v/>
      </c>
      <c r="AK99" s="21">
        <f>IF(OR($AJ99="",$AF99=""),"",MAX(0,$AJ99-$AF99))</f>
        <v/>
      </c>
      <c r="AL99" s="22">
        <f>IF(OR($AK99="",$AG99=""),"",MAX(0,$AK99*$AG99))</f>
        <v/>
      </c>
      <c r="AM99" s="22">
        <f>IF($AE99="","",MAX(0,SUM($AE99,$AL99,$V99,$W99)))</f>
        <v/>
      </c>
      <c r="AN99" s="22">
        <f>IF($AM99="","",IF(AND($Q99="COMMITMENT",$R99&gt;=$AH99),$AI99,0))</f>
        <v/>
      </c>
      <c r="AO99" s="23">
        <f>IF($AM99="","",MAX(0,$AM99-$AN99))</f>
        <v/>
      </c>
      <c r="AP99" s="22">
        <f>IF($S99="","",IF(OR($S99="ITEM_PRICE_PLUS_DECLARED_DELIVERY",$S99="DELIVERY_CHARGE_ONLY"),$K99,IF($S99="TOTAL_AMOUNT_INCLUDING_DELIVERY",IF(OR($T99="",$J99=""),"",MAX(0,$T99-$J99-$U99)),IF($S99="ITEM_PRICE_ONLY_DELIVERY_PAID_BY_MERCHANT",0,""))))</f>
        <v/>
      </c>
      <c r="AQ99" s="23">
        <f>IF(OR($AP99="",$AO99=""),"",$AP99-$AO99)</f>
        <v/>
      </c>
      <c r="AR99" s="24">
        <f>IF($S99="EXACT_COLLECTION_AMOUNT","BREAKDOWN_REQUIRED",IF($AQ99="","",IF($AQ99&gt;0,"CREDIT_TO_MERCHANT",IF($AQ99&lt;0,"DEDUCT_FROM_MERCHANT","NO_ADJUSTMENT"))))</f>
        <v/>
      </c>
      <c r="AS99" s="23">
        <f>IF(OR($AQ99="",$AR99="BREAKDOWN_REQUIRED"),"",$AQ99)</f>
        <v/>
      </c>
      <c r="AT99" s="23">
        <f>IF(OR($AR99="",$AR99="BREAKDOWN_REQUIRED"),"",SUM($J99,$AQ99,$Y99)-$X99)</f>
        <v/>
      </c>
      <c r="AU99" s="25">
        <f>IF(AND($A99="",$B99="",$F99="",$H99="",$J99="",$K99="",$M99="",$S99=""),"",IF(OR($H99="",$Q99="",$M99="",$S99=""),"ERROR",IF(OR($J99&lt;0,$K99&lt;0,$M99&lt;0,$T99&lt;0,$U99&lt;0,$V99&lt;0,$W99&lt;0,$X99&lt;0,$Y99&lt;0),"ERROR",IF($AE99="","ERROR",IF(AND(OR($S99="ITEM_PRICE_PLUS_DECLARED_DELIVERY",$S99="TOTAL_AMOUNT_INCLUDING_DELIVERY",$S99="ITEM_PRICE_ONLY_DELIVERY_PAID_BY_MERCHANT"),$J99=""),"ERROR",IF(AND(OR($S99="ITEM_PRICE_PLUS_DECLARED_DELIVERY",$S99="DELIVERY_CHARGE_ONLY"),$K99=""),"ERROR",IF(AND(OR($S99="TOTAL_AMOUNT_INCLUDING_DELIVERY",$S99="EXACT_COLLECTION_AMOUNT"),$T99=""),"ERROR",IF(AND($S99="TOTAL_AMOUNT_INCLUDING_DELIVERY",$T99&lt;SUM($J99,$U99)),"ERROR",IF($S99="EXACT_COLLECTION_AMOUNT","REVIEW","OK")))))))))</f>
        <v/>
      </c>
      <c r="AV99" s="25">
        <f>IF($AU99="","",IF($H99="","Township required",IF($Q99="","Customer tier required",IF($M99="","Weight required",IF($S99="","Amount entry type required",IF(OR($J99&lt;0,$K99&lt;0,$M99&lt;0,$T99&lt;0,$U99&lt;0,$V99&lt;0,$W99&lt;0,$X99&lt;0,$Y99&lt;0),"Negative amounts are not allowed",IF($AE99="","Tariff not found for township and tier",IF(AND(OR($S99="ITEM_PRICE_PLUS_DECLARED_DELIVERY",$S99="TOTAL_AMOUNT_INCLUDING_DELIVERY",$S99="ITEM_PRICE_ONLY_DELIVERY_PAID_BY_MERCHANT"),$J99=""),"Item price required for this amount type",IF(AND(OR($S99="ITEM_PRICE_PLUS_DECLARED_DELIVERY",$S99="DELIVERY_CHARGE_ONLY"),$K99=""),"Declared delivery charge required",IF(AND(OR($S99="TOTAL_AMOUNT_INCLUDING_DELIVERY",$S99="EXACT_COLLECTION_AMOUNT"),$T99=""),"Stated total amount required",IF(AND($S99="TOTAL_AMOUNT_INCLUDING_DELIVERY",$T99&lt;SUM($J99,$U99)),"Stated total is below item price plus additional charge",IF($S99="EXACT_COLLECTION_AMOUNT","Authorized amount breakdown required before settlement","Ready for collection and settlement"))))))))))))</f>
        <v/>
      </c>
      <c r="AW99" s="23">
        <f>IF($AU99="","","PARCEL_FINANCIAL_V2")</f>
        <v/>
      </c>
      <c r="AX99" s="17" t="n"/>
    </row>
    <row r="100">
      <c r="A100" s="8" t="n"/>
      <c r="B100" s="8" t="n"/>
      <c r="C100" s="8" t="n"/>
      <c r="D100" s="8" t="n"/>
      <c r="E100" s="9" t="n"/>
      <c r="F100" s="9" t="n"/>
      <c r="G100" s="8" t="n"/>
      <c r="H100" s="9" t="n"/>
      <c r="I100" s="9" t="n"/>
      <c r="J100" s="10" t="n"/>
      <c r="K100" s="10" t="n"/>
      <c r="L100" s="11">
        <f>IF($S100="","",IF($S100="ITEM_PRICE_PLUS_DECLARED_DELIVERY",IF(OR($J100="",$K100=""),"",SUM($J100,$K100,$U100)),IF($S100="TOTAL_AMOUNT_INCLUDING_DELIVERY",IF($T100="","",$T100),IF($S100="DELIVERY_CHARGE_ONLY",IF($K100="","",SUM($K100,$U100)),IF($S100="EXACT_COLLECTION_AMOUNT",IF($T100="","",$T100),IF($S100="ITEM_PRICE_ONLY_DELIVERY_PAID_BY_MERCHANT",IF($J100="","",SUM($J100,$U100)),""))))))</f>
        <v/>
      </c>
      <c r="M100" s="12" t="n"/>
      <c r="N100" s="13" t="n"/>
      <c r="O100" s="13" t="n"/>
      <c r="P100" s="9" t="n"/>
      <c r="Q100" s="14" t="n"/>
      <c r="R100" s="15" t="n"/>
      <c r="S100" s="14" t="n"/>
      <c r="T100" s="16" t="n"/>
      <c r="U100" s="16" t="n"/>
      <c r="V100" s="16" t="n"/>
      <c r="W100" s="16" t="n"/>
      <c r="X100" s="16" t="n"/>
      <c r="Y100" s="16" t="n"/>
      <c r="Z100" s="14" t="n"/>
      <c r="AA100" s="14" t="n"/>
      <c r="AB100" s="14" t="n"/>
      <c r="AC100" s="17">
        <f>IFERROR(VLOOKUP($H100&amp;"|"&amp;$Q100,Tariff_Master!$A$2:$L$169,3,FALSE),"")</f>
        <v/>
      </c>
      <c r="AD100" s="17">
        <f>IFERROR(VLOOKUP($H100&amp;"|"&amp;$Q100,Tariff_Master!$A$2:$L$169,4,FALSE),"")</f>
        <v/>
      </c>
      <c r="AE100" s="18">
        <f>IFERROR(VLOOKUP($H100&amp;"|"&amp;$Q100,Tariff_Master!$A$2:$L$169,6,FALSE),"")</f>
        <v/>
      </c>
      <c r="AF100" s="19">
        <f>IFERROR(VLOOKUP($H100&amp;"|"&amp;$Q100,Tariff_Master!$A$2:$L$169,7,FALSE),"")</f>
        <v/>
      </c>
      <c r="AG100" s="18">
        <f>IFERROR(VLOOKUP($H100&amp;"|"&amp;$Q100,Tariff_Master!$A$2:$L$169,8,FALSE),"")</f>
        <v/>
      </c>
      <c r="AH100" s="20">
        <f>IFERROR(VLOOKUP($H100&amp;"|"&amp;$Q100,Tariff_Master!$A$2:$L$169,9,FALSE),"")</f>
        <v/>
      </c>
      <c r="AI100" s="18">
        <f>IFERROR(VLOOKUP($H100&amp;"|"&amp;$Q100,Tariff_Master!$A$2:$L$169,10,FALSE),"")</f>
        <v/>
      </c>
      <c r="AJ100" s="21">
        <f>IF($M100="","",ROUNDUP(MAX(0,$M100),0))</f>
        <v/>
      </c>
      <c r="AK100" s="21">
        <f>IF(OR($AJ100="",$AF100=""),"",MAX(0,$AJ100-$AF100))</f>
        <v/>
      </c>
      <c r="AL100" s="22">
        <f>IF(OR($AK100="",$AG100=""),"",MAX(0,$AK100*$AG100))</f>
        <v/>
      </c>
      <c r="AM100" s="22">
        <f>IF($AE100="","",MAX(0,SUM($AE100,$AL100,$V100,$W100)))</f>
        <v/>
      </c>
      <c r="AN100" s="22">
        <f>IF($AM100="","",IF(AND($Q100="COMMITMENT",$R100&gt;=$AH100),$AI100,0))</f>
        <v/>
      </c>
      <c r="AO100" s="23">
        <f>IF($AM100="","",MAX(0,$AM100-$AN100))</f>
        <v/>
      </c>
      <c r="AP100" s="22">
        <f>IF($S100="","",IF(OR($S100="ITEM_PRICE_PLUS_DECLARED_DELIVERY",$S100="DELIVERY_CHARGE_ONLY"),$K100,IF($S100="TOTAL_AMOUNT_INCLUDING_DELIVERY",IF(OR($T100="",$J100=""),"",MAX(0,$T100-$J100-$U100)),IF($S100="ITEM_PRICE_ONLY_DELIVERY_PAID_BY_MERCHANT",0,""))))</f>
        <v/>
      </c>
      <c r="AQ100" s="23">
        <f>IF(OR($AP100="",$AO100=""),"",$AP100-$AO100)</f>
        <v/>
      </c>
      <c r="AR100" s="24">
        <f>IF($S100="EXACT_COLLECTION_AMOUNT","BREAKDOWN_REQUIRED",IF($AQ100="","",IF($AQ100&gt;0,"CREDIT_TO_MERCHANT",IF($AQ100&lt;0,"DEDUCT_FROM_MERCHANT","NO_ADJUSTMENT"))))</f>
        <v/>
      </c>
      <c r="AS100" s="23">
        <f>IF(OR($AQ100="",$AR100="BREAKDOWN_REQUIRED"),"",$AQ100)</f>
        <v/>
      </c>
      <c r="AT100" s="23">
        <f>IF(OR($AR100="",$AR100="BREAKDOWN_REQUIRED"),"",SUM($J100,$AQ100,$Y100)-$X100)</f>
        <v/>
      </c>
      <c r="AU100" s="25">
        <f>IF(AND($A100="",$B100="",$F100="",$H100="",$J100="",$K100="",$M100="",$S100=""),"",IF(OR($H100="",$Q100="",$M100="",$S100=""),"ERROR",IF(OR($J100&lt;0,$K100&lt;0,$M100&lt;0,$T100&lt;0,$U100&lt;0,$V100&lt;0,$W100&lt;0,$X100&lt;0,$Y100&lt;0),"ERROR",IF($AE100="","ERROR",IF(AND(OR($S100="ITEM_PRICE_PLUS_DECLARED_DELIVERY",$S100="TOTAL_AMOUNT_INCLUDING_DELIVERY",$S100="ITEM_PRICE_ONLY_DELIVERY_PAID_BY_MERCHANT"),$J100=""),"ERROR",IF(AND(OR($S100="ITEM_PRICE_PLUS_DECLARED_DELIVERY",$S100="DELIVERY_CHARGE_ONLY"),$K100=""),"ERROR",IF(AND(OR($S100="TOTAL_AMOUNT_INCLUDING_DELIVERY",$S100="EXACT_COLLECTION_AMOUNT"),$T100=""),"ERROR",IF(AND($S100="TOTAL_AMOUNT_INCLUDING_DELIVERY",$T100&lt;SUM($J100,$U100)),"ERROR",IF($S100="EXACT_COLLECTION_AMOUNT","REVIEW","OK")))))))))</f>
        <v/>
      </c>
      <c r="AV100" s="25">
        <f>IF($AU100="","",IF($H100="","Township required",IF($Q100="","Customer tier required",IF($M100="","Weight required",IF($S100="","Amount entry type required",IF(OR($J100&lt;0,$K100&lt;0,$M100&lt;0,$T100&lt;0,$U100&lt;0,$V100&lt;0,$W100&lt;0,$X100&lt;0,$Y100&lt;0),"Negative amounts are not allowed",IF($AE100="","Tariff not found for township and tier",IF(AND(OR($S100="ITEM_PRICE_PLUS_DECLARED_DELIVERY",$S100="TOTAL_AMOUNT_INCLUDING_DELIVERY",$S100="ITEM_PRICE_ONLY_DELIVERY_PAID_BY_MERCHANT"),$J100=""),"Item price required for this amount type",IF(AND(OR($S100="ITEM_PRICE_PLUS_DECLARED_DELIVERY",$S100="DELIVERY_CHARGE_ONLY"),$K100=""),"Declared delivery charge required",IF(AND(OR($S100="TOTAL_AMOUNT_INCLUDING_DELIVERY",$S100="EXACT_COLLECTION_AMOUNT"),$T100=""),"Stated total amount required",IF(AND($S100="TOTAL_AMOUNT_INCLUDING_DELIVERY",$T100&lt;SUM($J100,$U100)),"Stated total is below item price plus additional charge",IF($S100="EXACT_COLLECTION_AMOUNT","Authorized amount breakdown required before settlement","Ready for collection and settlement"))))))))))))</f>
        <v/>
      </c>
      <c r="AW100" s="23">
        <f>IF($AU100="","","PARCEL_FINANCIAL_V2")</f>
        <v/>
      </c>
      <c r="AX100" s="17" t="n"/>
    </row>
    <row r="101">
      <c r="A101" s="8" t="n"/>
      <c r="B101" s="8" t="n"/>
      <c r="C101" s="8" t="n"/>
      <c r="D101" s="8" t="n"/>
      <c r="E101" s="9" t="n"/>
      <c r="F101" s="9" t="n"/>
      <c r="G101" s="8" t="n"/>
      <c r="H101" s="9" t="n"/>
      <c r="I101" s="9" t="n"/>
      <c r="J101" s="10" t="n"/>
      <c r="K101" s="10" t="n"/>
      <c r="L101" s="11">
        <f>IF($S101="","",IF($S101="ITEM_PRICE_PLUS_DECLARED_DELIVERY",IF(OR($J101="",$K101=""),"",SUM($J101,$K101,$U101)),IF($S101="TOTAL_AMOUNT_INCLUDING_DELIVERY",IF($T101="","",$T101),IF($S101="DELIVERY_CHARGE_ONLY",IF($K101="","",SUM($K101,$U101)),IF($S101="EXACT_COLLECTION_AMOUNT",IF($T101="","",$T101),IF($S101="ITEM_PRICE_ONLY_DELIVERY_PAID_BY_MERCHANT",IF($J101="","",SUM($J101,$U101)),""))))))</f>
        <v/>
      </c>
      <c r="M101" s="12" t="n"/>
      <c r="N101" s="13" t="n"/>
      <c r="O101" s="13" t="n"/>
      <c r="P101" s="9" t="n"/>
      <c r="Q101" s="14" t="n"/>
      <c r="R101" s="15" t="n"/>
      <c r="S101" s="14" t="n"/>
      <c r="T101" s="16" t="n"/>
      <c r="U101" s="16" t="n"/>
      <c r="V101" s="16" t="n"/>
      <c r="W101" s="16" t="n"/>
      <c r="X101" s="16" t="n"/>
      <c r="Y101" s="16" t="n"/>
      <c r="Z101" s="14" t="n"/>
      <c r="AA101" s="14" t="n"/>
      <c r="AB101" s="14" t="n"/>
      <c r="AC101" s="17">
        <f>IFERROR(VLOOKUP($H101&amp;"|"&amp;$Q101,Tariff_Master!$A$2:$L$169,3,FALSE),"")</f>
        <v/>
      </c>
      <c r="AD101" s="17">
        <f>IFERROR(VLOOKUP($H101&amp;"|"&amp;$Q101,Tariff_Master!$A$2:$L$169,4,FALSE),"")</f>
        <v/>
      </c>
      <c r="AE101" s="18">
        <f>IFERROR(VLOOKUP($H101&amp;"|"&amp;$Q101,Tariff_Master!$A$2:$L$169,6,FALSE),"")</f>
        <v/>
      </c>
      <c r="AF101" s="19">
        <f>IFERROR(VLOOKUP($H101&amp;"|"&amp;$Q101,Tariff_Master!$A$2:$L$169,7,FALSE),"")</f>
        <v/>
      </c>
      <c r="AG101" s="18">
        <f>IFERROR(VLOOKUP($H101&amp;"|"&amp;$Q101,Tariff_Master!$A$2:$L$169,8,FALSE),"")</f>
        <v/>
      </c>
      <c r="AH101" s="20">
        <f>IFERROR(VLOOKUP($H101&amp;"|"&amp;$Q101,Tariff_Master!$A$2:$L$169,9,FALSE),"")</f>
        <v/>
      </c>
      <c r="AI101" s="18">
        <f>IFERROR(VLOOKUP($H101&amp;"|"&amp;$Q101,Tariff_Master!$A$2:$L$169,10,FALSE),"")</f>
        <v/>
      </c>
      <c r="AJ101" s="21">
        <f>IF($M101="","",ROUNDUP(MAX(0,$M101),0))</f>
        <v/>
      </c>
      <c r="AK101" s="21">
        <f>IF(OR($AJ101="",$AF101=""),"",MAX(0,$AJ101-$AF101))</f>
        <v/>
      </c>
      <c r="AL101" s="22">
        <f>IF(OR($AK101="",$AG101=""),"",MAX(0,$AK101*$AG101))</f>
        <v/>
      </c>
      <c r="AM101" s="22">
        <f>IF($AE101="","",MAX(0,SUM($AE101,$AL101,$V101,$W101)))</f>
        <v/>
      </c>
      <c r="AN101" s="22">
        <f>IF($AM101="","",IF(AND($Q101="COMMITMENT",$R101&gt;=$AH101),$AI101,0))</f>
        <v/>
      </c>
      <c r="AO101" s="23">
        <f>IF($AM101="","",MAX(0,$AM101-$AN101))</f>
        <v/>
      </c>
      <c r="AP101" s="22">
        <f>IF($S101="","",IF(OR($S101="ITEM_PRICE_PLUS_DECLARED_DELIVERY",$S101="DELIVERY_CHARGE_ONLY"),$K101,IF($S101="TOTAL_AMOUNT_INCLUDING_DELIVERY",IF(OR($T101="",$J101=""),"",MAX(0,$T101-$J101-$U101)),IF($S101="ITEM_PRICE_ONLY_DELIVERY_PAID_BY_MERCHANT",0,""))))</f>
        <v/>
      </c>
      <c r="AQ101" s="23">
        <f>IF(OR($AP101="",$AO101=""),"",$AP101-$AO101)</f>
        <v/>
      </c>
      <c r="AR101" s="24">
        <f>IF($S101="EXACT_COLLECTION_AMOUNT","BREAKDOWN_REQUIRED",IF($AQ101="","",IF($AQ101&gt;0,"CREDIT_TO_MERCHANT",IF($AQ101&lt;0,"DEDUCT_FROM_MERCHANT","NO_ADJUSTMENT"))))</f>
        <v/>
      </c>
      <c r="AS101" s="23">
        <f>IF(OR($AQ101="",$AR101="BREAKDOWN_REQUIRED"),"",$AQ101)</f>
        <v/>
      </c>
      <c r="AT101" s="23">
        <f>IF(OR($AR101="",$AR101="BREAKDOWN_REQUIRED"),"",SUM($J101,$AQ101,$Y101)-$X101)</f>
        <v/>
      </c>
      <c r="AU101" s="25">
        <f>IF(AND($A101="",$B101="",$F101="",$H101="",$J101="",$K101="",$M101="",$S101=""),"",IF(OR($H101="",$Q101="",$M101="",$S101=""),"ERROR",IF(OR($J101&lt;0,$K101&lt;0,$M101&lt;0,$T101&lt;0,$U101&lt;0,$V101&lt;0,$W101&lt;0,$X101&lt;0,$Y101&lt;0),"ERROR",IF($AE101="","ERROR",IF(AND(OR($S101="ITEM_PRICE_PLUS_DECLARED_DELIVERY",$S101="TOTAL_AMOUNT_INCLUDING_DELIVERY",$S101="ITEM_PRICE_ONLY_DELIVERY_PAID_BY_MERCHANT"),$J101=""),"ERROR",IF(AND(OR($S101="ITEM_PRICE_PLUS_DECLARED_DELIVERY",$S101="DELIVERY_CHARGE_ONLY"),$K101=""),"ERROR",IF(AND(OR($S101="TOTAL_AMOUNT_INCLUDING_DELIVERY",$S101="EXACT_COLLECTION_AMOUNT"),$T101=""),"ERROR",IF(AND($S101="TOTAL_AMOUNT_INCLUDING_DELIVERY",$T101&lt;SUM($J101,$U101)),"ERROR",IF($S101="EXACT_COLLECTION_AMOUNT","REVIEW","OK")))))))))</f>
        <v/>
      </c>
      <c r="AV101" s="25">
        <f>IF($AU101="","",IF($H101="","Township required",IF($Q101="","Customer tier required",IF($M101="","Weight required",IF($S101="","Amount entry type required",IF(OR($J101&lt;0,$K101&lt;0,$M101&lt;0,$T101&lt;0,$U101&lt;0,$V101&lt;0,$W101&lt;0,$X101&lt;0,$Y101&lt;0),"Negative amounts are not allowed",IF($AE101="","Tariff not found for township and tier",IF(AND(OR($S101="ITEM_PRICE_PLUS_DECLARED_DELIVERY",$S101="TOTAL_AMOUNT_INCLUDING_DELIVERY",$S101="ITEM_PRICE_ONLY_DELIVERY_PAID_BY_MERCHANT"),$J101=""),"Item price required for this amount type",IF(AND(OR($S101="ITEM_PRICE_PLUS_DECLARED_DELIVERY",$S101="DELIVERY_CHARGE_ONLY"),$K101=""),"Declared delivery charge required",IF(AND(OR($S101="TOTAL_AMOUNT_INCLUDING_DELIVERY",$S101="EXACT_COLLECTION_AMOUNT"),$T101=""),"Stated total amount required",IF(AND($S101="TOTAL_AMOUNT_INCLUDING_DELIVERY",$T101&lt;SUM($J101,$U101)),"Stated total is below item price plus additional charge",IF($S101="EXACT_COLLECTION_AMOUNT","Authorized amount breakdown required before settlement","Ready for collection and settlement"))))))))))))</f>
        <v/>
      </c>
      <c r="AW101" s="23">
        <f>IF($AU101="","","PARCEL_FINANCIAL_V2")</f>
        <v/>
      </c>
      <c r="AX101" s="17" t="n"/>
    </row>
    <row r="102">
      <c r="A102" s="8" t="n"/>
      <c r="B102" s="8" t="n"/>
      <c r="C102" s="8" t="n"/>
      <c r="D102" s="8" t="n"/>
      <c r="E102" s="9" t="n"/>
      <c r="F102" s="9" t="n"/>
      <c r="G102" s="8" t="n"/>
      <c r="H102" s="9" t="n"/>
      <c r="I102" s="9" t="n"/>
      <c r="J102" s="10" t="n"/>
      <c r="K102" s="10" t="n"/>
      <c r="L102" s="11">
        <f>IF($S102="","",IF($S102="ITEM_PRICE_PLUS_DECLARED_DELIVERY",IF(OR($J102="",$K102=""),"",SUM($J102,$K102,$U102)),IF($S102="TOTAL_AMOUNT_INCLUDING_DELIVERY",IF($T102="","",$T102),IF($S102="DELIVERY_CHARGE_ONLY",IF($K102="","",SUM($K102,$U102)),IF($S102="EXACT_COLLECTION_AMOUNT",IF($T102="","",$T102),IF($S102="ITEM_PRICE_ONLY_DELIVERY_PAID_BY_MERCHANT",IF($J102="","",SUM($J102,$U102)),""))))))</f>
        <v/>
      </c>
      <c r="M102" s="12" t="n"/>
      <c r="N102" s="13" t="n"/>
      <c r="O102" s="13" t="n"/>
      <c r="P102" s="9" t="n"/>
      <c r="Q102" s="14" t="n"/>
      <c r="R102" s="15" t="n"/>
      <c r="S102" s="14" t="n"/>
      <c r="T102" s="16" t="n"/>
      <c r="U102" s="16" t="n"/>
      <c r="V102" s="16" t="n"/>
      <c r="W102" s="16" t="n"/>
      <c r="X102" s="16" t="n"/>
      <c r="Y102" s="16" t="n"/>
      <c r="Z102" s="14" t="n"/>
      <c r="AA102" s="14" t="n"/>
      <c r="AB102" s="14" t="n"/>
      <c r="AC102" s="17">
        <f>IFERROR(VLOOKUP($H102&amp;"|"&amp;$Q102,Tariff_Master!$A$2:$L$169,3,FALSE),"")</f>
        <v/>
      </c>
      <c r="AD102" s="17">
        <f>IFERROR(VLOOKUP($H102&amp;"|"&amp;$Q102,Tariff_Master!$A$2:$L$169,4,FALSE),"")</f>
        <v/>
      </c>
      <c r="AE102" s="18">
        <f>IFERROR(VLOOKUP($H102&amp;"|"&amp;$Q102,Tariff_Master!$A$2:$L$169,6,FALSE),"")</f>
        <v/>
      </c>
      <c r="AF102" s="19">
        <f>IFERROR(VLOOKUP($H102&amp;"|"&amp;$Q102,Tariff_Master!$A$2:$L$169,7,FALSE),"")</f>
        <v/>
      </c>
      <c r="AG102" s="18">
        <f>IFERROR(VLOOKUP($H102&amp;"|"&amp;$Q102,Tariff_Master!$A$2:$L$169,8,FALSE),"")</f>
        <v/>
      </c>
      <c r="AH102" s="20">
        <f>IFERROR(VLOOKUP($H102&amp;"|"&amp;$Q102,Tariff_Master!$A$2:$L$169,9,FALSE),"")</f>
        <v/>
      </c>
      <c r="AI102" s="18">
        <f>IFERROR(VLOOKUP($H102&amp;"|"&amp;$Q102,Tariff_Master!$A$2:$L$169,10,FALSE),"")</f>
        <v/>
      </c>
      <c r="AJ102" s="21">
        <f>IF($M102="","",ROUNDUP(MAX(0,$M102),0))</f>
        <v/>
      </c>
      <c r="AK102" s="21">
        <f>IF(OR($AJ102="",$AF102=""),"",MAX(0,$AJ102-$AF102))</f>
        <v/>
      </c>
      <c r="AL102" s="22">
        <f>IF(OR($AK102="",$AG102=""),"",MAX(0,$AK102*$AG102))</f>
        <v/>
      </c>
      <c r="AM102" s="22">
        <f>IF($AE102="","",MAX(0,SUM($AE102,$AL102,$V102,$W102)))</f>
        <v/>
      </c>
      <c r="AN102" s="22">
        <f>IF($AM102="","",IF(AND($Q102="COMMITMENT",$R102&gt;=$AH102),$AI102,0))</f>
        <v/>
      </c>
      <c r="AO102" s="23">
        <f>IF($AM102="","",MAX(0,$AM102-$AN102))</f>
        <v/>
      </c>
      <c r="AP102" s="22">
        <f>IF($S102="","",IF(OR($S102="ITEM_PRICE_PLUS_DECLARED_DELIVERY",$S102="DELIVERY_CHARGE_ONLY"),$K102,IF($S102="TOTAL_AMOUNT_INCLUDING_DELIVERY",IF(OR($T102="",$J102=""),"",MAX(0,$T102-$J102-$U102)),IF($S102="ITEM_PRICE_ONLY_DELIVERY_PAID_BY_MERCHANT",0,""))))</f>
        <v/>
      </c>
      <c r="AQ102" s="23">
        <f>IF(OR($AP102="",$AO102=""),"",$AP102-$AO102)</f>
        <v/>
      </c>
      <c r="AR102" s="24">
        <f>IF($S102="EXACT_COLLECTION_AMOUNT","BREAKDOWN_REQUIRED",IF($AQ102="","",IF($AQ102&gt;0,"CREDIT_TO_MERCHANT",IF($AQ102&lt;0,"DEDUCT_FROM_MERCHANT","NO_ADJUSTMENT"))))</f>
        <v/>
      </c>
      <c r="AS102" s="23">
        <f>IF(OR($AQ102="",$AR102="BREAKDOWN_REQUIRED"),"",$AQ102)</f>
        <v/>
      </c>
      <c r="AT102" s="23">
        <f>IF(OR($AR102="",$AR102="BREAKDOWN_REQUIRED"),"",SUM($J102,$AQ102,$Y102)-$X102)</f>
        <v/>
      </c>
      <c r="AU102" s="25">
        <f>IF(AND($A102="",$B102="",$F102="",$H102="",$J102="",$K102="",$M102="",$S102=""),"",IF(OR($H102="",$Q102="",$M102="",$S102=""),"ERROR",IF(OR($J102&lt;0,$K102&lt;0,$M102&lt;0,$T102&lt;0,$U102&lt;0,$V102&lt;0,$W102&lt;0,$X102&lt;0,$Y102&lt;0),"ERROR",IF($AE102="","ERROR",IF(AND(OR($S102="ITEM_PRICE_PLUS_DECLARED_DELIVERY",$S102="TOTAL_AMOUNT_INCLUDING_DELIVERY",$S102="ITEM_PRICE_ONLY_DELIVERY_PAID_BY_MERCHANT"),$J102=""),"ERROR",IF(AND(OR($S102="ITEM_PRICE_PLUS_DECLARED_DELIVERY",$S102="DELIVERY_CHARGE_ONLY"),$K102=""),"ERROR",IF(AND(OR($S102="TOTAL_AMOUNT_INCLUDING_DELIVERY",$S102="EXACT_COLLECTION_AMOUNT"),$T102=""),"ERROR",IF(AND($S102="TOTAL_AMOUNT_INCLUDING_DELIVERY",$T102&lt;SUM($J102,$U102)),"ERROR",IF($S102="EXACT_COLLECTION_AMOUNT","REVIEW","OK")))))))))</f>
        <v/>
      </c>
      <c r="AV102" s="25">
        <f>IF($AU102="","",IF($H102="","Township required",IF($Q102="","Customer tier required",IF($M102="","Weight required",IF($S102="","Amount entry type required",IF(OR($J102&lt;0,$K102&lt;0,$M102&lt;0,$T102&lt;0,$U102&lt;0,$V102&lt;0,$W102&lt;0,$X102&lt;0,$Y102&lt;0),"Negative amounts are not allowed",IF($AE102="","Tariff not found for township and tier",IF(AND(OR($S102="ITEM_PRICE_PLUS_DECLARED_DELIVERY",$S102="TOTAL_AMOUNT_INCLUDING_DELIVERY",$S102="ITEM_PRICE_ONLY_DELIVERY_PAID_BY_MERCHANT"),$J102=""),"Item price required for this amount type",IF(AND(OR($S102="ITEM_PRICE_PLUS_DECLARED_DELIVERY",$S102="DELIVERY_CHARGE_ONLY"),$K102=""),"Declared delivery charge required",IF(AND(OR($S102="TOTAL_AMOUNT_INCLUDING_DELIVERY",$S102="EXACT_COLLECTION_AMOUNT"),$T102=""),"Stated total amount required",IF(AND($S102="TOTAL_AMOUNT_INCLUDING_DELIVERY",$T102&lt;SUM($J102,$U102)),"Stated total is below item price plus additional charge",IF($S102="EXACT_COLLECTION_AMOUNT","Authorized amount breakdown required before settlement","Ready for collection and settlement"))))))))))))</f>
        <v/>
      </c>
      <c r="AW102" s="23">
        <f>IF($AU102="","","PARCEL_FINANCIAL_V2")</f>
        <v/>
      </c>
      <c r="AX102" s="17" t="n"/>
    </row>
    <row r="103">
      <c r="A103" s="8" t="n"/>
      <c r="B103" s="8" t="n"/>
      <c r="C103" s="8" t="n"/>
      <c r="D103" s="8" t="n"/>
      <c r="E103" s="9" t="n"/>
      <c r="F103" s="9" t="n"/>
      <c r="G103" s="8" t="n"/>
      <c r="H103" s="9" t="n"/>
      <c r="I103" s="9" t="n"/>
      <c r="J103" s="10" t="n"/>
      <c r="K103" s="10" t="n"/>
      <c r="L103" s="11">
        <f>IF($S103="","",IF($S103="ITEM_PRICE_PLUS_DECLARED_DELIVERY",IF(OR($J103="",$K103=""),"",SUM($J103,$K103,$U103)),IF($S103="TOTAL_AMOUNT_INCLUDING_DELIVERY",IF($T103="","",$T103),IF($S103="DELIVERY_CHARGE_ONLY",IF($K103="","",SUM($K103,$U103)),IF($S103="EXACT_COLLECTION_AMOUNT",IF($T103="","",$T103),IF($S103="ITEM_PRICE_ONLY_DELIVERY_PAID_BY_MERCHANT",IF($J103="","",SUM($J103,$U103)),""))))))</f>
        <v/>
      </c>
      <c r="M103" s="12" t="n"/>
      <c r="N103" s="13" t="n"/>
      <c r="O103" s="13" t="n"/>
      <c r="P103" s="9" t="n"/>
      <c r="Q103" s="14" t="n"/>
      <c r="R103" s="15" t="n"/>
      <c r="S103" s="14" t="n"/>
      <c r="T103" s="16" t="n"/>
      <c r="U103" s="16" t="n"/>
      <c r="V103" s="16" t="n"/>
      <c r="W103" s="16" t="n"/>
      <c r="X103" s="16" t="n"/>
      <c r="Y103" s="16" t="n"/>
      <c r="Z103" s="14" t="n"/>
      <c r="AA103" s="14" t="n"/>
      <c r="AB103" s="14" t="n"/>
      <c r="AC103" s="17">
        <f>IFERROR(VLOOKUP($H103&amp;"|"&amp;$Q103,Tariff_Master!$A$2:$L$169,3,FALSE),"")</f>
        <v/>
      </c>
      <c r="AD103" s="17">
        <f>IFERROR(VLOOKUP($H103&amp;"|"&amp;$Q103,Tariff_Master!$A$2:$L$169,4,FALSE),"")</f>
        <v/>
      </c>
      <c r="AE103" s="18">
        <f>IFERROR(VLOOKUP($H103&amp;"|"&amp;$Q103,Tariff_Master!$A$2:$L$169,6,FALSE),"")</f>
        <v/>
      </c>
      <c r="AF103" s="19">
        <f>IFERROR(VLOOKUP($H103&amp;"|"&amp;$Q103,Tariff_Master!$A$2:$L$169,7,FALSE),"")</f>
        <v/>
      </c>
      <c r="AG103" s="18">
        <f>IFERROR(VLOOKUP($H103&amp;"|"&amp;$Q103,Tariff_Master!$A$2:$L$169,8,FALSE),"")</f>
        <v/>
      </c>
      <c r="AH103" s="20">
        <f>IFERROR(VLOOKUP($H103&amp;"|"&amp;$Q103,Tariff_Master!$A$2:$L$169,9,FALSE),"")</f>
        <v/>
      </c>
      <c r="AI103" s="18">
        <f>IFERROR(VLOOKUP($H103&amp;"|"&amp;$Q103,Tariff_Master!$A$2:$L$169,10,FALSE),"")</f>
        <v/>
      </c>
      <c r="AJ103" s="21">
        <f>IF($M103="","",ROUNDUP(MAX(0,$M103),0))</f>
        <v/>
      </c>
      <c r="AK103" s="21">
        <f>IF(OR($AJ103="",$AF103=""),"",MAX(0,$AJ103-$AF103))</f>
        <v/>
      </c>
      <c r="AL103" s="22">
        <f>IF(OR($AK103="",$AG103=""),"",MAX(0,$AK103*$AG103))</f>
        <v/>
      </c>
      <c r="AM103" s="22">
        <f>IF($AE103="","",MAX(0,SUM($AE103,$AL103,$V103,$W103)))</f>
        <v/>
      </c>
      <c r="AN103" s="22">
        <f>IF($AM103="","",IF(AND($Q103="COMMITMENT",$R103&gt;=$AH103),$AI103,0))</f>
        <v/>
      </c>
      <c r="AO103" s="23">
        <f>IF($AM103="","",MAX(0,$AM103-$AN103))</f>
        <v/>
      </c>
      <c r="AP103" s="22">
        <f>IF($S103="","",IF(OR($S103="ITEM_PRICE_PLUS_DECLARED_DELIVERY",$S103="DELIVERY_CHARGE_ONLY"),$K103,IF($S103="TOTAL_AMOUNT_INCLUDING_DELIVERY",IF(OR($T103="",$J103=""),"",MAX(0,$T103-$J103-$U103)),IF($S103="ITEM_PRICE_ONLY_DELIVERY_PAID_BY_MERCHANT",0,""))))</f>
        <v/>
      </c>
      <c r="AQ103" s="23">
        <f>IF(OR($AP103="",$AO103=""),"",$AP103-$AO103)</f>
        <v/>
      </c>
      <c r="AR103" s="24">
        <f>IF($S103="EXACT_COLLECTION_AMOUNT","BREAKDOWN_REQUIRED",IF($AQ103="","",IF($AQ103&gt;0,"CREDIT_TO_MERCHANT",IF($AQ103&lt;0,"DEDUCT_FROM_MERCHANT","NO_ADJUSTMENT"))))</f>
        <v/>
      </c>
      <c r="AS103" s="23">
        <f>IF(OR($AQ103="",$AR103="BREAKDOWN_REQUIRED"),"",$AQ103)</f>
        <v/>
      </c>
      <c r="AT103" s="23">
        <f>IF(OR($AR103="",$AR103="BREAKDOWN_REQUIRED"),"",SUM($J103,$AQ103,$Y103)-$X103)</f>
        <v/>
      </c>
      <c r="AU103" s="25">
        <f>IF(AND($A103="",$B103="",$F103="",$H103="",$J103="",$K103="",$M103="",$S103=""),"",IF(OR($H103="",$Q103="",$M103="",$S103=""),"ERROR",IF(OR($J103&lt;0,$K103&lt;0,$M103&lt;0,$T103&lt;0,$U103&lt;0,$V103&lt;0,$W103&lt;0,$X103&lt;0,$Y103&lt;0),"ERROR",IF($AE103="","ERROR",IF(AND(OR($S103="ITEM_PRICE_PLUS_DECLARED_DELIVERY",$S103="TOTAL_AMOUNT_INCLUDING_DELIVERY",$S103="ITEM_PRICE_ONLY_DELIVERY_PAID_BY_MERCHANT"),$J103=""),"ERROR",IF(AND(OR($S103="ITEM_PRICE_PLUS_DECLARED_DELIVERY",$S103="DELIVERY_CHARGE_ONLY"),$K103=""),"ERROR",IF(AND(OR($S103="TOTAL_AMOUNT_INCLUDING_DELIVERY",$S103="EXACT_COLLECTION_AMOUNT"),$T103=""),"ERROR",IF(AND($S103="TOTAL_AMOUNT_INCLUDING_DELIVERY",$T103&lt;SUM($J103,$U103)),"ERROR",IF($S103="EXACT_COLLECTION_AMOUNT","REVIEW","OK")))))))))</f>
        <v/>
      </c>
      <c r="AV103" s="25">
        <f>IF($AU103="","",IF($H103="","Township required",IF($Q103="","Customer tier required",IF($M103="","Weight required",IF($S103="","Amount entry type required",IF(OR($J103&lt;0,$K103&lt;0,$M103&lt;0,$T103&lt;0,$U103&lt;0,$V103&lt;0,$W103&lt;0,$X103&lt;0,$Y103&lt;0),"Negative amounts are not allowed",IF($AE103="","Tariff not found for township and tier",IF(AND(OR($S103="ITEM_PRICE_PLUS_DECLARED_DELIVERY",$S103="TOTAL_AMOUNT_INCLUDING_DELIVERY",$S103="ITEM_PRICE_ONLY_DELIVERY_PAID_BY_MERCHANT"),$J103=""),"Item price required for this amount type",IF(AND(OR($S103="ITEM_PRICE_PLUS_DECLARED_DELIVERY",$S103="DELIVERY_CHARGE_ONLY"),$K103=""),"Declared delivery charge required",IF(AND(OR($S103="TOTAL_AMOUNT_INCLUDING_DELIVERY",$S103="EXACT_COLLECTION_AMOUNT"),$T103=""),"Stated total amount required",IF(AND($S103="TOTAL_AMOUNT_INCLUDING_DELIVERY",$T103&lt;SUM($J103,$U103)),"Stated total is below item price plus additional charge",IF($S103="EXACT_COLLECTION_AMOUNT","Authorized amount breakdown required before settlement","Ready for collection and settlement"))))))))))))</f>
        <v/>
      </c>
      <c r="AW103" s="23">
        <f>IF($AU103="","","PARCEL_FINANCIAL_V2")</f>
        <v/>
      </c>
      <c r="AX103" s="17" t="n"/>
    </row>
    <row r="104">
      <c r="A104" s="8" t="n"/>
      <c r="B104" s="8" t="n"/>
      <c r="C104" s="8" t="n"/>
      <c r="D104" s="8" t="n"/>
      <c r="E104" s="9" t="n"/>
      <c r="F104" s="9" t="n"/>
      <c r="G104" s="8" t="n"/>
      <c r="H104" s="9" t="n"/>
      <c r="I104" s="9" t="n"/>
      <c r="J104" s="10" t="n"/>
      <c r="K104" s="10" t="n"/>
      <c r="L104" s="11">
        <f>IF($S104="","",IF($S104="ITEM_PRICE_PLUS_DECLARED_DELIVERY",IF(OR($J104="",$K104=""),"",SUM($J104,$K104,$U104)),IF($S104="TOTAL_AMOUNT_INCLUDING_DELIVERY",IF($T104="","",$T104),IF($S104="DELIVERY_CHARGE_ONLY",IF($K104="","",SUM($K104,$U104)),IF($S104="EXACT_COLLECTION_AMOUNT",IF($T104="","",$T104),IF($S104="ITEM_PRICE_ONLY_DELIVERY_PAID_BY_MERCHANT",IF($J104="","",SUM($J104,$U104)),""))))))</f>
        <v/>
      </c>
      <c r="M104" s="12" t="n"/>
      <c r="N104" s="13" t="n"/>
      <c r="O104" s="13" t="n"/>
      <c r="P104" s="9" t="n"/>
      <c r="Q104" s="14" t="n"/>
      <c r="R104" s="15" t="n"/>
      <c r="S104" s="14" t="n"/>
      <c r="T104" s="16" t="n"/>
      <c r="U104" s="16" t="n"/>
      <c r="V104" s="16" t="n"/>
      <c r="W104" s="16" t="n"/>
      <c r="X104" s="16" t="n"/>
      <c r="Y104" s="16" t="n"/>
      <c r="Z104" s="14" t="n"/>
      <c r="AA104" s="14" t="n"/>
      <c r="AB104" s="14" t="n"/>
      <c r="AC104" s="17">
        <f>IFERROR(VLOOKUP($H104&amp;"|"&amp;$Q104,Tariff_Master!$A$2:$L$169,3,FALSE),"")</f>
        <v/>
      </c>
      <c r="AD104" s="17">
        <f>IFERROR(VLOOKUP($H104&amp;"|"&amp;$Q104,Tariff_Master!$A$2:$L$169,4,FALSE),"")</f>
        <v/>
      </c>
      <c r="AE104" s="18">
        <f>IFERROR(VLOOKUP($H104&amp;"|"&amp;$Q104,Tariff_Master!$A$2:$L$169,6,FALSE),"")</f>
        <v/>
      </c>
      <c r="AF104" s="19">
        <f>IFERROR(VLOOKUP($H104&amp;"|"&amp;$Q104,Tariff_Master!$A$2:$L$169,7,FALSE),"")</f>
        <v/>
      </c>
      <c r="AG104" s="18">
        <f>IFERROR(VLOOKUP($H104&amp;"|"&amp;$Q104,Tariff_Master!$A$2:$L$169,8,FALSE),"")</f>
        <v/>
      </c>
      <c r="AH104" s="20">
        <f>IFERROR(VLOOKUP($H104&amp;"|"&amp;$Q104,Tariff_Master!$A$2:$L$169,9,FALSE),"")</f>
        <v/>
      </c>
      <c r="AI104" s="18">
        <f>IFERROR(VLOOKUP($H104&amp;"|"&amp;$Q104,Tariff_Master!$A$2:$L$169,10,FALSE),"")</f>
        <v/>
      </c>
      <c r="AJ104" s="21">
        <f>IF($M104="","",ROUNDUP(MAX(0,$M104),0))</f>
        <v/>
      </c>
      <c r="AK104" s="21">
        <f>IF(OR($AJ104="",$AF104=""),"",MAX(0,$AJ104-$AF104))</f>
        <v/>
      </c>
      <c r="AL104" s="22">
        <f>IF(OR($AK104="",$AG104=""),"",MAX(0,$AK104*$AG104))</f>
        <v/>
      </c>
      <c r="AM104" s="22">
        <f>IF($AE104="","",MAX(0,SUM($AE104,$AL104,$V104,$W104)))</f>
        <v/>
      </c>
      <c r="AN104" s="22">
        <f>IF($AM104="","",IF(AND($Q104="COMMITMENT",$R104&gt;=$AH104),$AI104,0))</f>
        <v/>
      </c>
      <c r="AO104" s="23">
        <f>IF($AM104="","",MAX(0,$AM104-$AN104))</f>
        <v/>
      </c>
      <c r="AP104" s="22">
        <f>IF($S104="","",IF(OR($S104="ITEM_PRICE_PLUS_DECLARED_DELIVERY",$S104="DELIVERY_CHARGE_ONLY"),$K104,IF($S104="TOTAL_AMOUNT_INCLUDING_DELIVERY",IF(OR($T104="",$J104=""),"",MAX(0,$T104-$J104-$U104)),IF($S104="ITEM_PRICE_ONLY_DELIVERY_PAID_BY_MERCHANT",0,""))))</f>
        <v/>
      </c>
      <c r="AQ104" s="23">
        <f>IF(OR($AP104="",$AO104=""),"",$AP104-$AO104)</f>
        <v/>
      </c>
      <c r="AR104" s="24">
        <f>IF($S104="EXACT_COLLECTION_AMOUNT","BREAKDOWN_REQUIRED",IF($AQ104="","",IF($AQ104&gt;0,"CREDIT_TO_MERCHANT",IF($AQ104&lt;0,"DEDUCT_FROM_MERCHANT","NO_ADJUSTMENT"))))</f>
        <v/>
      </c>
      <c r="AS104" s="23">
        <f>IF(OR($AQ104="",$AR104="BREAKDOWN_REQUIRED"),"",$AQ104)</f>
        <v/>
      </c>
      <c r="AT104" s="23">
        <f>IF(OR($AR104="",$AR104="BREAKDOWN_REQUIRED"),"",SUM($J104,$AQ104,$Y104)-$X104)</f>
        <v/>
      </c>
      <c r="AU104" s="25">
        <f>IF(AND($A104="",$B104="",$F104="",$H104="",$J104="",$K104="",$M104="",$S104=""),"",IF(OR($H104="",$Q104="",$M104="",$S104=""),"ERROR",IF(OR($J104&lt;0,$K104&lt;0,$M104&lt;0,$T104&lt;0,$U104&lt;0,$V104&lt;0,$W104&lt;0,$X104&lt;0,$Y104&lt;0),"ERROR",IF($AE104="","ERROR",IF(AND(OR($S104="ITEM_PRICE_PLUS_DECLARED_DELIVERY",$S104="TOTAL_AMOUNT_INCLUDING_DELIVERY",$S104="ITEM_PRICE_ONLY_DELIVERY_PAID_BY_MERCHANT"),$J104=""),"ERROR",IF(AND(OR($S104="ITEM_PRICE_PLUS_DECLARED_DELIVERY",$S104="DELIVERY_CHARGE_ONLY"),$K104=""),"ERROR",IF(AND(OR($S104="TOTAL_AMOUNT_INCLUDING_DELIVERY",$S104="EXACT_COLLECTION_AMOUNT"),$T104=""),"ERROR",IF(AND($S104="TOTAL_AMOUNT_INCLUDING_DELIVERY",$T104&lt;SUM($J104,$U104)),"ERROR",IF($S104="EXACT_COLLECTION_AMOUNT","REVIEW","OK")))))))))</f>
        <v/>
      </c>
      <c r="AV104" s="25">
        <f>IF($AU104="","",IF($H104="","Township required",IF($Q104="","Customer tier required",IF($M104="","Weight required",IF($S104="","Amount entry type required",IF(OR($J104&lt;0,$K104&lt;0,$M104&lt;0,$T104&lt;0,$U104&lt;0,$V104&lt;0,$W104&lt;0,$X104&lt;0,$Y104&lt;0),"Negative amounts are not allowed",IF($AE104="","Tariff not found for township and tier",IF(AND(OR($S104="ITEM_PRICE_PLUS_DECLARED_DELIVERY",$S104="TOTAL_AMOUNT_INCLUDING_DELIVERY",$S104="ITEM_PRICE_ONLY_DELIVERY_PAID_BY_MERCHANT"),$J104=""),"Item price required for this amount type",IF(AND(OR($S104="ITEM_PRICE_PLUS_DECLARED_DELIVERY",$S104="DELIVERY_CHARGE_ONLY"),$K104=""),"Declared delivery charge required",IF(AND(OR($S104="TOTAL_AMOUNT_INCLUDING_DELIVERY",$S104="EXACT_COLLECTION_AMOUNT"),$T104=""),"Stated total amount required",IF(AND($S104="TOTAL_AMOUNT_INCLUDING_DELIVERY",$T104&lt;SUM($J104,$U104)),"Stated total is below item price plus additional charge",IF($S104="EXACT_COLLECTION_AMOUNT","Authorized amount breakdown required before settlement","Ready for collection and settlement"))))))))))))</f>
        <v/>
      </c>
      <c r="AW104" s="23">
        <f>IF($AU104="","","PARCEL_FINANCIAL_V2")</f>
        <v/>
      </c>
      <c r="AX104" s="17" t="n"/>
    </row>
    <row r="105">
      <c r="A105" s="8" t="n"/>
      <c r="B105" s="8" t="n"/>
      <c r="C105" s="8" t="n"/>
      <c r="D105" s="8" t="n"/>
      <c r="E105" s="9" t="n"/>
      <c r="F105" s="9" t="n"/>
      <c r="G105" s="8" t="n"/>
      <c r="H105" s="9" t="n"/>
      <c r="I105" s="9" t="n"/>
      <c r="J105" s="10" t="n"/>
      <c r="K105" s="10" t="n"/>
      <c r="L105" s="11">
        <f>IF($S105="","",IF($S105="ITEM_PRICE_PLUS_DECLARED_DELIVERY",IF(OR($J105="",$K105=""),"",SUM($J105,$K105,$U105)),IF($S105="TOTAL_AMOUNT_INCLUDING_DELIVERY",IF($T105="","",$T105),IF($S105="DELIVERY_CHARGE_ONLY",IF($K105="","",SUM($K105,$U105)),IF($S105="EXACT_COLLECTION_AMOUNT",IF($T105="","",$T105),IF($S105="ITEM_PRICE_ONLY_DELIVERY_PAID_BY_MERCHANT",IF($J105="","",SUM($J105,$U105)),""))))))</f>
        <v/>
      </c>
      <c r="M105" s="12" t="n"/>
      <c r="N105" s="13" t="n"/>
      <c r="O105" s="13" t="n"/>
      <c r="P105" s="9" t="n"/>
      <c r="Q105" s="14" t="n"/>
      <c r="R105" s="15" t="n"/>
      <c r="S105" s="14" t="n"/>
      <c r="T105" s="16" t="n"/>
      <c r="U105" s="16" t="n"/>
      <c r="V105" s="16" t="n"/>
      <c r="W105" s="16" t="n"/>
      <c r="X105" s="16" t="n"/>
      <c r="Y105" s="16" t="n"/>
      <c r="Z105" s="14" t="n"/>
      <c r="AA105" s="14" t="n"/>
      <c r="AB105" s="14" t="n"/>
      <c r="AC105" s="17">
        <f>IFERROR(VLOOKUP($H105&amp;"|"&amp;$Q105,Tariff_Master!$A$2:$L$169,3,FALSE),"")</f>
        <v/>
      </c>
      <c r="AD105" s="17">
        <f>IFERROR(VLOOKUP($H105&amp;"|"&amp;$Q105,Tariff_Master!$A$2:$L$169,4,FALSE),"")</f>
        <v/>
      </c>
      <c r="AE105" s="18">
        <f>IFERROR(VLOOKUP($H105&amp;"|"&amp;$Q105,Tariff_Master!$A$2:$L$169,6,FALSE),"")</f>
        <v/>
      </c>
      <c r="AF105" s="19">
        <f>IFERROR(VLOOKUP($H105&amp;"|"&amp;$Q105,Tariff_Master!$A$2:$L$169,7,FALSE),"")</f>
        <v/>
      </c>
      <c r="AG105" s="18">
        <f>IFERROR(VLOOKUP($H105&amp;"|"&amp;$Q105,Tariff_Master!$A$2:$L$169,8,FALSE),"")</f>
        <v/>
      </c>
      <c r="AH105" s="20">
        <f>IFERROR(VLOOKUP($H105&amp;"|"&amp;$Q105,Tariff_Master!$A$2:$L$169,9,FALSE),"")</f>
        <v/>
      </c>
      <c r="AI105" s="18">
        <f>IFERROR(VLOOKUP($H105&amp;"|"&amp;$Q105,Tariff_Master!$A$2:$L$169,10,FALSE),"")</f>
        <v/>
      </c>
      <c r="AJ105" s="21">
        <f>IF($M105="","",ROUNDUP(MAX(0,$M105),0))</f>
        <v/>
      </c>
      <c r="AK105" s="21">
        <f>IF(OR($AJ105="",$AF105=""),"",MAX(0,$AJ105-$AF105))</f>
        <v/>
      </c>
      <c r="AL105" s="22">
        <f>IF(OR($AK105="",$AG105=""),"",MAX(0,$AK105*$AG105))</f>
        <v/>
      </c>
      <c r="AM105" s="22">
        <f>IF($AE105="","",MAX(0,SUM($AE105,$AL105,$V105,$W105)))</f>
        <v/>
      </c>
      <c r="AN105" s="22">
        <f>IF($AM105="","",IF(AND($Q105="COMMITMENT",$R105&gt;=$AH105),$AI105,0))</f>
        <v/>
      </c>
      <c r="AO105" s="23">
        <f>IF($AM105="","",MAX(0,$AM105-$AN105))</f>
        <v/>
      </c>
      <c r="AP105" s="22">
        <f>IF($S105="","",IF(OR($S105="ITEM_PRICE_PLUS_DECLARED_DELIVERY",$S105="DELIVERY_CHARGE_ONLY"),$K105,IF($S105="TOTAL_AMOUNT_INCLUDING_DELIVERY",IF(OR($T105="",$J105=""),"",MAX(0,$T105-$J105-$U105)),IF($S105="ITEM_PRICE_ONLY_DELIVERY_PAID_BY_MERCHANT",0,""))))</f>
        <v/>
      </c>
      <c r="AQ105" s="23">
        <f>IF(OR($AP105="",$AO105=""),"",$AP105-$AO105)</f>
        <v/>
      </c>
      <c r="AR105" s="24">
        <f>IF($S105="EXACT_COLLECTION_AMOUNT","BREAKDOWN_REQUIRED",IF($AQ105="","",IF($AQ105&gt;0,"CREDIT_TO_MERCHANT",IF($AQ105&lt;0,"DEDUCT_FROM_MERCHANT","NO_ADJUSTMENT"))))</f>
        <v/>
      </c>
      <c r="AS105" s="23">
        <f>IF(OR($AQ105="",$AR105="BREAKDOWN_REQUIRED"),"",$AQ105)</f>
        <v/>
      </c>
      <c r="AT105" s="23">
        <f>IF(OR($AR105="",$AR105="BREAKDOWN_REQUIRED"),"",SUM($J105,$AQ105,$Y105)-$X105)</f>
        <v/>
      </c>
      <c r="AU105" s="25">
        <f>IF(AND($A105="",$B105="",$F105="",$H105="",$J105="",$K105="",$M105="",$S105=""),"",IF(OR($H105="",$Q105="",$M105="",$S105=""),"ERROR",IF(OR($J105&lt;0,$K105&lt;0,$M105&lt;0,$T105&lt;0,$U105&lt;0,$V105&lt;0,$W105&lt;0,$X105&lt;0,$Y105&lt;0),"ERROR",IF($AE105="","ERROR",IF(AND(OR($S105="ITEM_PRICE_PLUS_DECLARED_DELIVERY",$S105="TOTAL_AMOUNT_INCLUDING_DELIVERY",$S105="ITEM_PRICE_ONLY_DELIVERY_PAID_BY_MERCHANT"),$J105=""),"ERROR",IF(AND(OR($S105="ITEM_PRICE_PLUS_DECLARED_DELIVERY",$S105="DELIVERY_CHARGE_ONLY"),$K105=""),"ERROR",IF(AND(OR($S105="TOTAL_AMOUNT_INCLUDING_DELIVERY",$S105="EXACT_COLLECTION_AMOUNT"),$T105=""),"ERROR",IF(AND($S105="TOTAL_AMOUNT_INCLUDING_DELIVERY",$T105&lt;SUM($J105,$U105)),"ERROR",IF($S105="EXACT_COLLECTION_AMOUNT","REVIEW","OK")))))))))</f>
        <v/>
      </c>
      <c r="AV105" s="25">
        <f>IF($AU105="","",IF($H105="","Township required",IF($Q105="","Customer tier required",IF($M105="","Weight required",IF($S105="","Amount entry type required",IF(OR($J105&lt;0,$K105&lt;0,$M105&lt;0,$T105&lt;0,$U105&lt;0,$V105&lt;0,$W105&lt;0,$X105&lt;0,$Y105&lt;0),"Negative amounts are not allowed",IF($AE105="","Tariff not found for township and tier",IF(AND(OR($S105="ITEM_PRICE_PLUS_DECLARED_DELIVERY",$S105="TOTAL_AMOUNT_INCLUDING_DELIVERY",$S105="ITEM_PRICE_ONLY_DELIVERY_PAID_BY_MERCHANT"),$J105=""),"Item price required for this amount type",IF(AND(OR($S105="ITEM_PRICE_PLUS_DECLARED_DELIVERY",$S105="DELIVERY_CHARGE_ONLY"),$K105=""),"Declared delivery charge required",IF(AND(OR($S105="TOTAL_AMOUNT_INCLUDING_DELIVERY",$S105="EXACT_COLLECTION_AMOUNT"),$T105=""),"Stated total amount required",IF(AND($S105="TOTAL_AMOUNT_INCLUDING_DELIVERY",$T105&lt;SUM($J105,$U105)),"Stated total is below item price plus additional charge",IF($S105="EXACT_COLLECTION_AMOUNT","Authorized amount breakdown required before settlement","Ready for collection and settlement"))))))))))))</f>
        <v/>
      </c>
      <c r="AW105" s="23">
        <f>IF($AU105="","","PARCEL_FINANCIAL_V2")</f>
        <v/>
      </c>
      <c r="AX105" s="17" t="n"/>
    </row>
    <row r="106">
      <c r="A106" s="8" t="n"/>
      <c r="B106" s="8" t="n"/>
      <c r="C106" s="8" t="n"/>
      <c r="D106" s="8" t="n"/>
      <c r="E106" s="9" t="n"/>
      <c r="F106" s="9" t="n"/>
      <c r="G106" s="8" t="n"/>
      <c r="H106" s="9" t="n"/>
      <c r="I106" s="9" t="n"/>
      <c r="J106" s="10" t="n"/>
      <c r="K106" s="10" t="n"/>
      <c r="L106" s="11">
        <f>IF($S106="","",IF($S106="ITEM_PRICE_PLUS_DECLARED_DELIVERY",IF(OR($J106="",$K106=""),"",SUM($J106,$K106,$U106)),IF($S106="TOTAL_AMOUNT_INCLUDING_DELIVERY",IF($T106="","",$T106),IF($S106="DELIVERY_CHARGE_ONLY",IF($K106="","",SUM($K106,$U106)),IF($S106="EXACT_COLLECTION_AMOUNT",IF($T106="","",$T106),IF($S106="ITEM_PRICE_ONLY_DELIVERY_PAID_BY_MERCHANT",IF($J106="","",SUM($J106,$U106)),""))))))</f>
        <v/>
      </c>
      <c r="M106" s="12" t="n"/>
      <c r="N106" s="13" t="n"/>
      <c r="O106" s="13" t="n"/>
      <c r="P106" s="9" t="n"/>
      <c r="Q106" s="14" t="n"/>
      <c r="R106" s="15" t="n"/>
      <c r="S106" s="14" t="n"/>
      <c r="T106" s="16" t="n"/>
      <c r="U106" s="16" t="n"/>
      <c r="V106" s="16" t="n"/>
      <c r="W106" s="16" t="n"/>
      <c r="X106" s="16" t="n"/>
      <c r="Y106" s="16" t="n"/>
      <c r="Z106" s="14" t="n"/>
      <c r="AA106" s="14" t="n"/>
      <c r="AB106" s="14" t="n"/>
      <c r="AC106" s="17">
        <f>IFERROR(VLOOKUP($H106&amp;"|"&amp;$Q106,Tariff_Master!$A$2:$L$169,3,FALSE),"")</f>
        <v/>
      </c>
      <c r="AD106" s="17">
        <f>IFERROR(VLOOKUP($H106&amp;"|"&amp;$Q106,Tariff_Master!$A$2:$L$169,4,FALSE),"")</f>
        <v/>
      </c>
      <c r="AE106" s="18">
        <f>IFERROR(VLOOKUP($H106&amp;"|"&amp;$Q106,Tariff_Master!$A$2:$L$169,6,FALSE),"")</f>
        <v/>
      </c>
      <c r="AF106" s="19">
        <f>IFERROR(VLOOKUP($H106&amp;"|"&amp;$Q106,Tariff_Master!$A$2:$L$169,7,FALSE),"")</f>
        <v/>
      </c>
      <c r="AG106" s="18">
        <f>IFERROR(VLOOKUP($H106&amp;"|"&amp;$Q106,Tariff_Master!$A$2:$L$169,8,FALSE),"")</f>
        <v/>
      </c>
      <c r="AH106" s="20">
        <f>IFERROR(VLOOKUP($H106&amp;"|"&amp;$Q106,Tariff_Master!$A$2:$L$169,9,FALSE),"")</f>
        <v/>
      </c>
      <c r="AI106" s="18">
        <f>IFERROR(VLOOKUP($H106&amp;"|"&amp;$Q106,Tariff_Master!$A$2:$L$169,10,FALSE),"")</f>
        <v/>
      </c>
      <c r="AJ106" s="21">
        <f>IF($M106="","",ROUNDUP(MAX(0,$M106),0))</f>
        <v/>
      </c>
      <c r="AK106" s="21">
        <f>IF(OR($AJ106="",$AF106=""),"",MAX(0,$AJ106-$AF106))</f>
        <v/>
      </c>
      <c r="AL106" s="22">
        <f>IF(OR($AK106="",$AG106=""),"",MAX(0,$AK106*$AG106))</f>
        <v/>
      </c>
      <c r="AM106" s="22">
        <f>IF($AE106="","",MAX(0,SUM($AE106,$AL106,$V106,$W106)))</f>
        <v/>
      </c>
      <c r="AN106" s="22">
        <f>IF($AM106="","",IF(AND($Q106="COMMITMENT",$R106&gt;=$AH106),$AI106,0))</f>
        <v/>
      </c>
      <c r="AO106" s="23">
        <f>IF($AM106="","",MAX(0,$AM106-$AN106))</f>
        <v/>
      </c>
      <c r="AP106" s="22">
        <f>IF($S106="","",IF(OR($S106="ITEM_PRICE_PLUS_DECLARED_DELIVERY",$S106="DELIVERY_CHARGE_ONLY"),$K106,IF($S106="TOTAL_AMOUNT_INCLUDING_DELIVERY",IF(OR($T106="",$J106=""),"",MAX(0,$T106-$J106-$U106)),IF($S106="ITEM_PRICE_ONLY_DELIVERY_PAID_BY_MERCHANT",0,""))))</f>
        <v/>
      </c>
      <c r="AQ106" s="23">
        <f>IF(OR($AP106="",$AO106=""),"",$AP106-$AO106)</f>
        <v/>
      </c>
      <c r="AR106" s="24">
        <f>IF($S106="EXACT_COLLECTION_AMOUNT","BREAKDOWN_REQUIRED",IF($AQ106="","",IF($AQ106&gt;0,"CREDIT_TO_MERCHANT",IF($AQ106&lt;0,"DEDUCT_FROM_MERCHANT","NO_ADJUSTMENT"))))</f>
        <v/>
      </c>
      <c r="AS106" s="23">
        <f>IF(OR($AQ106="",$AR106="BREAKDOWN_REQUIRED"),"",$AQ106)</f>
        <v/>
      </c>
      <c r="AT106" s="23">
        <f>IF(OR($AR106="",$AR106="BREAKDOWN_REQUIRED"),"",SUM($J106,$AQ106,$Y106)-$X106)</f>
        <v/>
      </c>
      <c r="AU106" s="25">
        <f>IF(AND($A106="",$B106="",$F106="",$H106="",$J106="",$K106="",$M106="",$S106=""),"",IF(OR($H106="",$Q106="",$M106="",$S106=""),"ERROR",IF(OR($J106&lt;0,$K106&lt;0,$M106&lt;0,$T106&lt;0,$U106&lt;0,$V106&lt;0,$W106&lt;0,$X106&lt;0,$Y106&lt;0),"ERROR",IF($AE106="","ERROR",IF(AND(OR($S106="ITEM_PRICE_PLUS_DECLARED_DELIVERY",$S106="TOTAL_AMOUNT_INCLUDING_DELIVERY",$S106="ITEM_PRICE_ONLY_DELIVERY_PAID_BY_MERCHANT"),$J106=""),"ERROR",IF(AND(OR($S106="ITEM_PRICE_PLUS_DECLARED_DELIVERY",$S106="DELIVERY_CHARGE_ONLY"),$K106=""),"ERROR",IF(AND(OR($S106="TOTAL_AMOUNT_INCLUDING_DELIVERY",$S106="EXACT_COLLECTION_AMOUNT"),$T106=""),"ERROR",IF(AND($S106="TOTAL_AMOUNT_INCLUDING_DELIVERY",$T106&lt;SUM($J106,$U106)),"ERROR",IF($S106="EXACT_COLLECTION_AMOUNT","REVIEW","OK")))))))))</f>
        <v/>
      </c>
      <c r="AV106" s="25">
        <f>IF($AU106="","",IF($H106="","Township required",IF($Q106="","Customer tier required",IF($M106="","Weight required",IF($S106="","Amount entry type required",IF(OR($J106&lt;0,$K106&lt;0,$M106&lt;0,$T106&lt;0,$U106&lt;0,$V106&lt;0,$W106&lt;0,$X106&lt;0,$Y106&lt;0),"Negative amounts are not allowed",IF($AE106="","Tariff not found for township and tier",IF(AND(OR($S106="ITEM_PRICE_PLUS_DECLARED_DELIVERY",$S106="TOTAL_AMOUNT_INCLUDING_DELIVERY",$S106="ITEM_PRICE_ONLY_DELIVERY_PAID_BY_MERCHANT"),$J106=""),"Item price required for this amount type",IF(AND(OR($S106="ITEM_PRICE_PLUS_DECLARED_DELIVERY",$S106="DELIVERY_CHARGE_ONLY"),$K106=""),"Declared delivery charge required",IF(AND(OR($S106="TOTAL_AMOUNT_INCLUDING_DELIVERY",$S106="EXACT_COLLECTION_AMOUNT"),$T106=""),"Stated total amount required",IF(AND($S106="TOTAL_AMOUNT_INCLUDING_DELIVERY",$T106&lt;SUM($J106,$U106)),"Stated total is below item price plus additional charge",IF($S106="EXACT_COLLECTION_AMOUNT","Authorized amount breakdown required before settlement","Ready for collection and settlement"))))))))))))</f>
        <v/>
      </c>
      <c r="AW106" s="23">
        <f>IF($AU106="","","PARCEL_FINANCIAL_V2")</f>
        <v/>
      </c>
      <c r="AX106" s="17" t="n"/>
    </row>
    <row r="107">
      <c r="A107" s="8" t="n"/>
      <c r="B107" s="8" t="n"/>
      <c r="C107" s="8" t="n"/>
      <c r="D107" s="8" t="n"/>
      <c r="E107" s="9" t="n"/>
      <c r="F107" s="9" t="n"/>
      <c r="G107" s="8" t="n"/>
      <c r="H107" s="9" t="n"/>
      <c r="I107" s="9" t="n"/>
      <c r="J107" s="10" t="n"/>
      <c r="K107" s="10" t="n"/>
      <c r="L107" s="11">
        <f>IF($S107="","",IF($S107="ITEM_PRICE_PLUS_DECLARED_DELIVERY",IF(OR($J107="",$K107=""),"",SUM($J107,$K107,$U107)),IF($S107="TOTAL_AMOUNT_INCLUDING_DELIVERY",IF($T107="","",$T107),IF($S107="DELIVERY_CHARGE_ONLY",IF($K107="","",SUM($K107,$U107)),IF($S107="EXACT_COLLECTION_AMOUNT",IF($T107="","",$T107),IF($S107="ITEM_PRICE_ONLY_DELIVERY_PAID_BY_MERCHANT",IF($J107="","",SUM($J107,$U107)),""))))))</f>
        <v/>
      </c>
      <c r="M107" s="12" t="n"/>
      <c r="N107" s="13" t="n"/>
      <c r="O107" s="13" t="n"/>
      <c r="P107" s="9" t="n"/>
      <c r="Q107" s="14" t="n"/>
      <c r="R107" s="15" t="n"/>
      <c r="S107" s="14" t="n"/>
      <c r="T107" s="16" t="n"/>
      <c r="U107" s="16" t="n"/>
      <c r="V107" s="16" t="n"/>
      <c r="W107" s="16" t="n"/>
      <c r="X107" s="16" t="n"/>
      <c r="Y107" s="16" t="n"/>
      <c r="Z107" s="14" t="n"/>
      <c r="AA107" s="14" t="n"/>
      <c r="AB107" s="14" t="n"/>
      <c r="AC107" s="17">
        <f>IFERROR(VLOOKUP($H107&amp;"|"&amp;$Q107,Tariff_Master!$A$2:$L$169,3,FALSE),"")</f>
        <v/>
      </c>
      <c r="AD107" s="17">
        <f>IFERROR(VLOOKUP($H107&amp;"|"&amp;$Q107,Tariff_Master!$A$2:$L$169,4,FALSE),"")</f>
        <v/>
      </c>
      <c r="AE107" s="18">
        <f>IFERROR(VLOOKUP($H107&amp;"|"&amp;$Q107,Tariff_Master!$A$2:$L$169,6,FALSE),"")</f>
        <v/>
      </c>
      <c r="AF107" s="19">
        <f>IFERROR(VLOOKUP($H107&amp;"|"&amp;$Q107,Tariff_Master!$A$2:$L$169,7,FALSE),"")</f>
        <v/>
      </c>
      <c r="AG107" s="18">
        <f>IFERROR(VLOOKUP($H107&amp;"|"&amp;$Q107,Tariff_Master!$A$2:$L$169,8,FALSE),"")</f>
        <v/>
      </c>
      <c r="AH107" s="20">
        <f>IFERROR(VLOOKUP($H107&amp;"|"&amp;$Q107,Tariff_Master!$A$2:$L$169,9,FALSE),"")</f>
        <v/>
      </c>
      <c r="AI107" s="18">
        <f>IFERROR(VLOOKUP($H107&amp;"|"&amp;$Q107,Tariff_Master!$A$2:$L$169,10,FALSE),"")</f>
        <v/>
      </c>
      <c r="AJ107" s="21">
        <f>IF($M107="","",ROUNDUP(MAX(0,$M107),0))</f>
        <v/>
      </c>
      <c r="AK107" s="21">
        <f>IF(OR($AJ107="",$AF107=""),"",MAX(0,$AJ107-$AF107))</f>
        <v/>
      </c>
      <c r="AL107" s="22">
        <f>IF(OR($AK107="",$AG107=""),"",MAX(0,$AK107*$AG107))</f>
        <v/>
      </c>
      <c r="AM107" s="22">
        <f>IF($AE107="","",MAX(0,SUM($AE107,$AL107,$V107,$W107)))</f>
        <v/>
      </c>
      <c r="AN107" s="22">
        <f>IF($AM107="","",IF(AND($Q107="COMMITMENT",$R107&gt;=$AH107),$AI107,0))</f>
        <v/>
      </c>
      <c r="AO107" s="23">
        <f>IF($AM107="","",MAX(0,$AM107-$AN107))</f>
        <v/>
      </c>
      <c r="AP107" s="22">
        <f>IF($S107="","",IF(OR($S107="ITEM_PRICE_PLUS_DECLARED_DELIVERY",$S107="DELIVERY_CHARGE_ONLY"),$K107,IF($S107="TOTAL_AMOUNT_INCLUDING_DELIVERY",IF(OR($T107="",$J107=""),"",MAX(0,$T107-$J107-$U107)),IF($S107="ITEM_PRICE_ONLY_DELIVERY_PAID_BY_MERCHANT",0,""))))</f>
        <v/>
      </c>
      <c r="AQ107" s="23">
        <f>IF(OR($AP107="",$AO107=""),"",$AP107-$AO107)</f>
        <v/>
      </c>
      <c r="AR107" s="24">
        <f>IF($S107="EXACT_COLLECTION_AMOUNT","BREAKDOWN_REQUIRED",IF($AQ107="","",IF($AQ107&gt;0,"CREDIT_TO_MERCHANT",IF($AQ107&lt;0,"DEDUCT_FROM_MERCHANT","NO_ADJUSTMENT"))))</f>
        <v/>
      </c>
      <c r="AS107" s="23">
        <f>IF(OR($AQ107="",$AR107="BREAKDOWN_REQUIRED"),"",$AQ107)</f>
        <v/>
      </c>
      <c r="AT107" s="23">
        <f>IF(OR($AR107="",$AR107="BREAKDOWN_REQUIRED"),"",SUM($J107,$AQ107,$Y107)-$X107)</f>
        <v/>
      </c>
      <c r="AU107" s="25">
        <f>IF(AND($A107="",$B107="",$F107="",$H107="",$J107="",$K107="",$M107="",$S107=""),"",IF(OR($H107="",$Q107="",$M107="",$S107=""),"ERROR",IF(OR($J107&lt;0,$K107&lt;0,$M107&lt;0,$T107&lt;0,$U107&lt;0,$V107&lt;0,$W107&lt;0,$X107&lt;0,$Y107&lt;0),"ERROR",IF($AE107="","ERROR",IF(AND(OR($S107="ITEM_PRICE_PLUS_DECLARED_DELIVERY",$S107="TOTAL_AMOUNT_INCLUDING_DELIVERY",$S107="ITEM_PRICE_ONLY_DELIVERY_PAID_BY_MERCHANT"),$J107=""),"ERROR",IF(AND(OR($S107="ITEM_PRICE_PLUS_DECLARED_DELIVERY",$S107="DELIVERY_CHARGE_ONLY"),$K107=""),"ERROR",IF(AND(OR($S107="TOTAL_AMOUNT_INCLUDING_DELIVERY",$S107="EXACT_COLLECTION_AMOUNT"),$T107=""),"ERROR",IF(AND($S107="TOTAL_AMOUNT_INCLUDING_DELIVERY",$T107&lt;SUM($J107,$U107)),"ERROR",IF($S107="EXACT_COLLECTION_AMOUNT","REVIEW","OK")))))))))</f>
        <v/>
      </c>
      <c r="AV107" s="25">
        <f>IF($AU107="","",IF($H107="","Township required",IF($Q107="","Customer tier required",IF($M107="","Weight required",IF($S107="","Amount entry type required",IF(OR($J107&lt;0,$K107&lt;0,$M107&lt;0,$T107&lt;0,$U107&lt;0,$V107&lt;0,$W107&lt;0,$X107&lt;0,$Y107&lt;0),"Negative amounts are not allowed",IF($AE107="","Tariff not found for township and tier",IF(AND(OR($S107="ITEM_PRICE_PLUS_DECLARED_DELIVERY",$S107="TOTAL_AMOUNT_INCLUDING_DELIVERY",$S107="ITEM_PRICE_ONLY_DELIVERY_PAID_BY_MERCHANT"),$J107=""),"Item price required for this amount type",IF(AND(OR($S107="ITEM_PRICE_PLUS_DECLARED_DELIVERY",$S107="DELIVERY_CHARGE_ONLY"),$K107=""),"Declared delivery charge required",IF(AND(OR($S107="TOTAL_AMOUNT_INCLUDING_DELIVERY",$S107="EXACT_COLLECTION_AMOUNT"),$T107=""),"Stated total amount required",IF(AND($S107="TOTAL_AMOUNT_INCLUDING_DELIVERY",$T107&lt;SUM($J107,$U107)),"Stated total is below item price plus additional charge",IF($S107="EXACT_COLLECTION_AMOUNT","Authorized amount breakdown required before settlement","Ready for collection and settlement"))))))))))))</f>
        <v/>
      </c>
      <c r="AW107" s="23">
        <f>IF($AU107="","","PARCEL_FINANCIAL_V2")</f>
        <v/>
      </c>
      <c r="AX107" s="17" t="n"/>
    </row>
    <row r="108">
      <c r="A108" s="8" t="n"/>
      <c r="B108" s="8" t="n"/>
      <c r="C108" s="8" t="n"/>
      <c r="D108" s="8" t="n"/>
      <c r="E108" s="9" t="n"/>
      <c r="F108" s="9" t="n"/>
      <c r="G108" s="8" t="n"/>
      <c r="H108" s="9" t="n"/>
      <c r="I108" s="9" t="n"/>
      <c r="J108" s="10" t="n"/>
      <c r="K108" s="10" t="n"/>
      <c r="L108" s="11">
        <f>IF($S108="","",IF($S108="ITEM_PRICE_PLUS_DECLARED_DELIVERY",IF(OR($J108="",$K108=""),"",SUM($J108,$K108,$U108)),IF($S108="TOTAL_AMOUNT_INCLUDING_DELIVERY",IF($T108="","",$T108),IF($S108="DELIVERY_CHARGE_ONLY",IF($K108="","",SUM($K108,$U108)),IF($S108="EXACT_COLLECTION_AMOUNT",IF($T108="","",$T108),IF($S108="ITEM_PRICE_ONLY_DELIVERY_PAID_BY_MERCHANT",IF($J108="","",SUM($J108,$U108)),""))))))</f>
        <v/>
      </c>
      <c r="M108" s="12" t="n"/>
      <c r="N108" s="13" t="n"/>
      <c r="O108" s="13" t="n"/>
      <c r="P108" s="9" t="n"/>
      <c r="Q108" s="14" t="n"/>
      <c r="R108" s="15" t="n"/>
      <c r="S108" s="14" t="n"/>
      <c r="T108" s="16" t="n"/>
      <c r="U108" s="16" t="n"/>
      <c r="V108" s="16" t="n"/>
      <c r="W108" s="16" t="n"/>
      <c r="X108" s="16" t="n"/>
      <c r="Y108" s="16" t="n"/>
      <c r="Z108" s="14" t="n"/>
      <c r="AA108" s="14" t="n"/>
      <c r="AB108" s="14" t="n"/>
      <c r="AC108" s="17">
        <f>IFERROR(VLOOKUP($H108&amp;"|"&amp;$Q108,Tariff_Master!$A$2:$L$169,3,FALSE),"")</f>
        <v/>
      </c>
      <c r="AD108" s="17">
        <f>IFERROR(VLOOKUP($H108&amp;"|"&amp;$Q108,Tariff_Master!$A$2:$L$169,4,FALSE),"")</f>
        <v/>
      </c>
      <c r="AE108" s="18">
        <f>IFERROR(VLOOKUP($H108&amp;"|"&amp;$Q108,Tariff_Master!$A$2:$L$169,6,FALSE),"")</f>
        <v/>
      </c>
      <c r="AF108" s="19">
        <f>IFERROR(VLOOKUP($H108&amp;"|"&amp;$Q108,Tariff_Master!$A$2:$L$169,7,FALSE),"")</f>
        <v/>
      </c>
      <c r="AG108" s="18">
        <f>IFERROR(VLOOKUP($H108&amp;"|"&amp;$Q108,Tariff_Master!$A$2:$L$169,8,FALSE),"")</f>
        <v/>
      </c>
      <c r="AH108" s="20">
        <f>IFERROR(VLOOKUP($H108&amp;"|"&amp;$Q108,Tariff_Master!$A$2:$L$169,9,FALSE),"")</f>
        <v/>
      </c>
      <c r="AI108" s="18">
        <f>IFERROR(VLOOKUP($H108&amp;"|"&amp;$Q108,Tariff_Master!$A$2:$L$169,10,FALSE),"")</f>
        <v/>
      </c>
      <c r="AJ108" s="21">
        <f>IF($M108="","",ROUNDUP(MAX(0,$M108),0))</f>
        <v/>
      </c>
      <c r="AK108" s="21">
        <f>IF(OR($AJ108="",$AF108=""),"",MAX(0,$AJ108-$AF108))</f>
        <v/>
      </c>
      <c r="AL108" s="22">
        <f>IF(OR($AK108="",$AG108=""),"",MAX(0,$AK108*$AG108))</f>
        <v/>
      </c>
      <c r="AM108" s="22">
        <f>IF($AE108="","",MAX(0,SUM($AE108,$AL108,$V108,$W108)))</f>
        <v/>
      </c>
      <c r="AN108" s="22">
        <f>IF($AM108="","",IF(AND($Q108="COMMITMENT",$R108&gt;=$AH108),$AI108,0))</f>
        <v/>
      </c>
      <c r="AO108" s="23">
        <f>IF($AM108="","",MAX(0,$AM108-$AN108))</f>
        <v/>
      </c>
      <c r="AP108" s="22">
        <f>IF($S108="","",IF(OR($S108="ITEM_PRICE_PLUS_DECLARED_DELIVERY",$S108="DELIVERY_CHARGE_ONLY"),$K108,IF($S108="TOTAL_AMOUNT_INCLUDING_DELIVERY",IF(OR($T108="",$J108=""),"",MAX(0,$T108-$J108-$U108)),IF($S108="ITEM_PRICE_ONLY_DELIVERY_PAID_BY_MERCHANT",0,""))))</f>
        <v/>
      </c>
      <c r="AQ108" s="23">
        <f>IF(OR($AP108="",$AO108=""),"",$AP108-$AO108)</f>
        <v/>
      </c>
      <c r="AR108" s="24">
        <f>IF($S108="EXACT_COLLECTION_AMOUNT","BREAKDOWN_REQUIRED",IF($AQ108="","",IF($AQ108&gt;0,"CREDIT_TO_MERCHANT",IF($AQ108&lt;0,"DEDUCT_FROM_MERCHANT","NO_ADJUSTMENT"))))</f>
        <v/>
      </c>
      <c r="AS108" s="23">
        <f>IF(OR($AQ108="",$AR108="BREAKDOWN_REQUIRED"),"",$AQ108)</f>
        <v/>
      </c>
      <c r="AT108" s="23">
        <f>IF(OR($AR108="",$AR108="BREAKDOWN_REQUIRED"),"",SUM($J108,$AQ108,$Y108)-$X108)</f>
        <v/>
      </c>
      <c r="AU108" s="25">
        <f>IF(AND($A108="",$B108="",$F108="",$H108="",$J108="",$K108="",$M108="",$S108=""),"",IF(OR($H108="",$Q108="",$M108="",$S108=""),"ERROR",IF(OR($J108&lt;0,$K108&lt;0,$M108&lt;0,$T108&lt;0,$U108&lt;0,$V108&lt;0,$W108&lt;0,$X108&lt;0,$Y108&lt;0),"ERROR",IF($AE108="","ERROR",IF(AND(OR($S108="ITEM_PRICE_PLUS_DECLARED_DELIVERY",$S108="TOTAL_AMOUNT_INCLUDING_DELIVERY",$S108="ITEM_PRICE_ONLY_DELIVERY_PAID_BY_MERCHANT"),$J108=""),"ERROR",IF(AND(OR($S108="ITEM_PRICE_PLUS_DECLARED_DELIVERY",$S108="DELIVERY_CHARGE_ONLY"),$K108=""),"ERROR",IF(AND(OR($S108="TOTAL_AMOUNT_INCLUDING_DELIVERY",$S108="EXACT_COLLECTION_AMOUNT"),$T108=""),"ERROR",IF(AND($S108="TOTAL_AMOUNT_INCLUDING_DELIVERY",$T108&lt;SUM($J108,$U108)),"ERROR",IF($S108="EXACT_COLLECTION_AMOUNT","REVIEW","OK")))))))))</f>
        <v/>
      </c>
      <c r="AV108" s="25">
        <f>IF($AU108="","",IF($H108="","Township required",IF($Q108="","Customer tier required",IF($M108="","Weight required",IF($S108="","Amount entry type required",IF(OR($J108&lt;0,$K108&lt;0,$M108&lt;0,$T108&lt;0,$U108&lt;0,$V108&lt;0,$W108&lt;0,$X108&lt;0,$Y108&lt;0),"Negative amounts are not allowed",IF($AE108="","Tariff not found for township and tier",IF(AND(OR($S108="ITEM_PRICE_PLUS_DECLARED_DELIVERY",$S108="TOTAL_AMOUNT_INCLUDING_DELIVERY",$S108="ITEM_PRICE_ONLY_DELIVERY_PAID_BY_MERCHANT"),$J108=""),"Item price required for this amount type",IF(AND(OR($S108="ITEM_PRICE_PLUS_DECLARED_DELIVERY",$S108="DELIVERY_CHARGE_ONLY"),$K108=""),"Declared delivery charge required",IF(AND(OR($S108="TOTAL_AMOUNT_INCLUDING_DELIVERY",$S108="EXACT_COLLECTION_AMOUNT"),$T108=""),"Stated total amount required",IF(AND($S108="TOTAL_AMOUNT_INCLUDING_DELIVERY",$T108&lt;SUM($J108,$U108)),"Stated total is below item price plus additional charge",IF($S108="EXACT_COLLECTION_AMOUNT","Authorized amount breakdown required before settlement","Ready for collection and settlement"))))))))))))</f>
        <v/>
      </c>
      <c r="AW108" s="23">
        <f>IF($AU108="","","PARCEL_FINANCIAL_V2")</f>
        <v/>
      </c>
      <c r="AX108" s="17" t="n"/>
    </row>
    <row r="109">
      <c r="A109" s="8" t="n"/>
      <c r="B109" s="8" t="n"/>
      <c r="C109" s="8" t="n"/>
      <c r="D109" s="8" t="n"/>
      <c r="E109" s="9" t="n"/>
      <c r="F109" s="9" t="n"/>
      <c r="G109" s="8" t="n"/>
      <c r="H109" s="9" t="n"/>
      <c r="I109" s="9" t="n"/>
      <c r="J109" s="10" t="n"/>
      <c r="K109" s="10" t="n"/>
      <c r="L109" s="11">
        <f>IF($S109="","",IF($S109="ITEM_PRICE_PLUS_DECLARED_DELIVERY",IF(OR($J109="",$K109=""),"",SUM($J109,$K109,$U109)),IF($S109="TOTAL_AMOUNT_INCLUDING_DELIVERY",IF($T109="","",$T109),IF($S109="DELIVERY_CHARGE_ONLY",IF($K109="","",SUM($K109,$U109)),IF($S109="EXACT_COLLECTION_AMOUNT",IF($T109="","",$T109),IF($S109="ITEM_PRICE_ONLY_DELIVERY_PAID_BY_MERCHANT",IF($J109="","",SUM($J109,$U109)),""))))))</f>
        <v/>
      </c>
      <c r="M109" s="12" t="n"/>
      <c r="N109" s="13" t="n"/>
      <c r="O109" s="13" t="n"/>
      <c r="P109" s="9" t="n"/>
      <c r="Q109" s="14" t="n"/>
      <c r="R109" s="15" t="n"/>
      <c r="S109" s="14" t="n"/>
      <c r="T109" s="16" t="n"/>
      <c r="U109" s="16" t="n"/>
      <c r="V109" s="16" t="n"/>
      <c r="W109" s="16" t="n"/>
      <c r="X109" s="16" t="n"/>
      <c r="Y109" s="16" t="n"/>
      <c r="Z109" s="14" t="n"/>
      <c r="AA109" s="14" t="n"/>
      <c r="AB109" s="14" t="n"/>
      <c r="AC109" s="17">
        <f>IFERROR(VLOOKUP($H109&amp;"|"&amp;$Q109,Tariff_Master!$A$2:$L$169,3,FALSE),"")</f>
        <v/>
      </c>
      <c r="AD109" s="17">
        <f>IFERROR(VLOOKUP($H109&amp;"|"&amp;$Q109,Tariff_Master!$A$2:$L$169,4,FALSE),"")</f>
        <v/>
      </c>
      <c r="AE109" s="18">
        <f>IFERROR(VLOOKUP($H109&amp;"|"&amp;$Q109,Tariff_Master!$A$2:$L$169,6,FALSE),"")</f>
        <v/>
      </c>
      <c r="AF109" s="19">
        <f>IFERROR(VLOOKUP($H109&amp;"|"&amp;$Q109,Tariff_Master!$A$2:$L$169,7,FALSE),"")</f>
        <v/>
      </c>
      <c r="AG109" s="18">
        <f>IFERROR(VLOOKUP($H109&amp;"|"&amp;$Q109,Tariff_Master!$A$2:$L$169,8,FALSE),"")</f>
        <v/>
      </c>
      <c r="AH109" s="20">
        <f>IFERROR(VLOOKUP($H109&amp;"|"&amp;$Q109,Tariff_Master!$A$2:$L$169,9,FALSE),"")</f>
        <v/>
      </c>
      <c r="AI109" s="18">
        <f>IFERROR(VLOOKUP($H109&amp;"|"&amp;$Q109,Tariff_Master!$A$2:$L$169,10,FALSE),"")</f>
        <v/>
      </c>
      <c r="AJ109" s="21">
        <f>IF($M109="","",ROUNDUP(MAX(0,$M109),0))</f>
        <v/>
      </c>
      <c r="AK109" s="21">
        <f>IF(OR($AJ109="",$AF109=""),"",MAX(0,$AJ109-$AF109))</f>
        <v/>
      </c>
      <c r="AL109" s="22">
        <f>IF(OR($AK109="",$AG109=""),"",MAX(0,$AK109*$AG109))</f>
        <v/>
      </c>
      <c r="AM109" s="22">
        <f>IF($AE109="","",MAX(0,SUM($AE109,$AL109,$V109,$W109)))</f>
        <v/>
      </c>
      <c r="AN109" s="22">
        <f>IF($AM109="","",IF(AND($Q109="COMMITMENT",$R109&gt;=$AH109),$AI109,0))</f>
        <v/>
      </c>
      <c r="AO109" s="23">
        <f>IF($AM109="","",MAX(0,$AM109-$AN109))</f>
        <v/>
      </c>
      <c r="AP109" s="22">
        <f>IF($S109="","",IF(OR($S109="ITEM_PRICE_PLUS_DECLARED_DELIVERY",$S109="DELIVERY_CHARGE_ONLY"),$K109,IF($S109="TOTAL_AMOUNT_INCLUDING_DELIVERY",IF(OR($T109="",$J109=""),"",MAX(0,$T109-$J109-$U109)),IF($S109="ITEM_PRICE_ONLY_DELIVERY_PAID_BY_MERCHANT",0,""))))</f>
        <v/>
      </c>
      <c r="AQ109" s="23">
        <f>IF(OR($AP109="",$AO109=""),"",$AP109-$AO109)</f>
        <v/>
      </c>
      <c r="AR109" s="24">
        <f>IF($S109="EXACT_COLLECTION_AMOUNT","BREAKDOWN_REQUIRED",IF($AQ109="","",IF($AQ109&gt;0,"CREDIT_TO_MERCHANT",IF($AQ109&lt;0,"DEDUCT_FROM_MERCHANT","NO_ADJUSTMENT"))))</f>
        <v/>
      </c>
      <c r="AS109" s="23">
        <f>IF(OR($AQ109="",$AR109="BREAKDOWN_REQUIRED"),"",$AQ109)</f>
        <v/>
      </c>
      <c r="AT109" s="23">
        <f>IF(OR($AR109="",$AR109="BREAKDOWN_REQUIRED"),"",SUM($J109,$AQ109,$Y109)-$X109)</f>
        <v/>
      </c>
      <c r="AU109" s="25">
        <f>IF(AND($A109="",$B109="",$F109="",$H109="",$J109="",$K109="",$M109="",$S109=""),"",IF(OR($H109="",$Q109="",$M109="",$S109=""),"ERROR",IF(OR($J109&lt;0,$K109&lt;0,$M109&lt;0,$T109&lt;0,$U109&lt;0,$V109&lt;0,$W109&lt;0,$X109&lt;0,$Y109&lt;0),"ERROR",IF($AE109="","ERROR",IF(AND(OR($S109="ITEM_PRICE_PLUS_DECLARED_DELIVERY",$S109="TOTAL_AMOUNT_INCLUDING_DELIVERY",$S109="ITEM_PRICE_ONLY_DELIVERY_PAID_BY_MERCHANT"),$J109=""),"ERROR",IF(AND(OR($S109="ITEM_PRICE_PLUS_DECLARED_DELIVERY",$S109="DELIVERY_CHARGE_ONLY"),$K109=""),"ERROR",IF(AND(OR($S109="TOTAL_AMOUNT_INCLUDING_DELIVERY",$S109="EXACT_COLLECTION_AMOUNT"),$T109=""),"ERROR",IF(AND($S109="TOTAL_AMOUNT_INCLUDING_DELIVERY",$T109&lt;SUM($J109,$U109)),"ERROR",IF($S109="EXACT_COLLECTION_AMOUNT","REVIEW","OK")))))))))</f>
        <v/>
      </c>
      <c r="AV109" s="25">
        <f>IF($AU109="","",IF($H109="","Township required",IF($Q109="","Customer tier required",IF($M109="","Weight required",IF($S109="","Amount entry type required",IF(OR($J109&lt;0,$K109&lt;0,$M109&lt;0,$T109&lt;0,$U109&lt;0,$V109&lt;0,$W109&lt;0,$X109&lt;0,$Y109&lt;0),"Negative amounts are not allowed",IF($AE109="","Tariff not found for township and tier",IF(AND(OR($S109="ITEM_PRICE_PLUS_DECLARED_DELIVERY",$S109="TOTAL_AMOUNT_INCLUDING_DELIVERY",$S109="ITEM_PRICE_ONLY_DELIVERY_PAID_BY_MERCHANT"),$J109=""),"Item price required for this amount type",IF(AND(OR($S109="ITEM_PRICE_PLUS_DECLARED_DELIVERY",$S109="DELIVERY_CHARGE_ONLY"),$K109=""),"Declared delivery charge required",IF(AND(OR($S109="TOTAL_AMOUNT_INCLUDING_DELIVERY",$S109="EXACT_COLLECTION_AMOUNT"),$T109=""),"Stated total amount required",IF(AND($S109="TOTAL_AMOUNT_INCLUDING_DELIVERY",$T109&lt;SUM($J109,$U109)),"Stated total is below item price plus additional charge",IF($S109="EXACT_COLLECTION_AMOUNT","Authorized amount breakdown required before settlement","Ready for collection and settlement"))))))))))))</f>
        <v/>
      </c>
      <c r="AW109" s="23">
        <f>IF($AU109="","","PARCEL_FINANCIAL_V2")</f>
        <v/>
      </c>
      <c r="AX109" s="17" t="n"/>
    </row>
    <row r="110">
      <c r="A110" s="8" t="n"/>
      <c r="B110" s="8" t="n"/>
      <c r="C110" s="8" t="n"/>
      <c r="D110" s="8" t="n"/>
      <c r="E110" s="9" t="n"/>
      <c r="F110" s="9" t="n"/>
      <c r="G110" s="8" t="n"/>
      <c r="H110" s="9" t="n"/>
      <c r="I110" s="9" t="n"/>
      <c r="J110" s="10" t="n"/>
      <c r="K110" s="10" t="n"/>
      <c r="L110" s="11">
        <f>IF($S110="","",IF($S110="ITEM_PRICE_PLUS_DECLARED_DELIVERY",IF(OR($J110="",$K110=""),"",SUM($J110,$K110,$U110)),IF($S110="TOTAL_AMOUNT_INCLUDING_DELIVERY",IF($T110="","",$T110),IF($S110="DELIVERY_CHARGE_ONLY",IF($K110="","",SUM($K110,$U110)),IF($S110="EXACT_COLLECTION_AMOUNT",IF($T110="","",$T110),IF($S110="ITEM_PRICE_ONLY_DELIVERY_PAID_BY_MERCHANT",IF($J110="","",SUM($J110,$U110)),""))))))</f>
        <v/>
      </c>
      <c r="M110" s="12" t="n"/>
      <c r="N110" s="13" t="n"/>
      <c r="O110" s="13" t="n"/>
      <c r="P110" s="9" t="n"/>
      <c r="Q110" s="14" t="n"/>
      <c r="R110" s="15" t="n"/>
      <c r="S110" s="14" t="n"/>
      <c r="T110" s="16" t="n"/>
      <c r="U110" s="16" t="n"/>
      <c r="V110" s="16" t="n"/>
      <c r="W110" s="16" t="n"/>
      <c r="X110" s="16" t="n"/>
      <c r="Y110" s="16" t="n"/>
      <c r="Z110" s="14" t="n"/>
      <c r="AA110" s="14" t="n"/>
      <c r="AB110" s="14" t="n"/>
      <c r="AC110" s="17">
        <f>IFERROR(VLOOKUP($H110&amp;"|"&amp;$Q110,Tariff_Master!$A$2:$L$169,3,FALSE),"")</f>
        <v/>
      </c>
      <c r="AD110" s="17">
        <f>IFERROR(VLOOKUP($H110&amp;"|"&amp;$Q110,Tariff_Master!$A$2:$L$169,4,FALSE),"")</f>
        <v/>
      </c>
      <c r="AE110" s="18">
        <f>IFERROR(VLOOKUP($H110&amp;"|"&amp;$Q110,Tariff_Master!$A$2:$L$169,6,FALSE),"")</f>
        <v/>
      </c>
      <c r="AF110" s="19">
        <f>IFERROR(VLOOKUP($H110&amp;"|"&amp;$Q110,Tariff_Master!$A$2:$L$169,7,FALSE),"")</f>
        <v/>
      </c>
      <c r="AG110" s="18">
        <f>IFERROR(VLOOKUP($H110&amp;"|"&amp;$Q110,Tariff_Master!$A$2:$L$169,8,FALSE),"")</f>
        <v/>
      </c>
      <c r="AH110" s="20">
        <f>IFERROR(VLOOKUP($H110&amp;"|"&amp;$Q110,Tariff_Master!$A$2:$L$169,9,FALSE),"")</f>
        <v/>
      </c>
      <c r="AI110" s="18">
        <f>IFERROR(VLOOKUP($H110&amp;"|"&amp;$Q110,Tariff_Master!$A$2:$L$169,10,FALSE),"")</f>
        <v/>
      </c>
      <c r="AJ110" s="21">
        <f>IF($M110="","",ROUNDUP(MAX(0,$M110),0))</f>
        <v/>
      </c>
      <c r="AK110" s="21">
        <f>IF(OR($AJ110="",$AF110=""),"",MAX(0,$AJ110-$AF110))</f>
        <v/>
      </c>
      <c r="AL110" s="22">
        <f>IF(OR($AK110="",$AG110=""),"",MAX(0,$AK110*$AG110))</f>
        <v/>
      </c>
      <c r="AM110" s="22">
        <f>IF($AE110="","",MAX(0,SUM($AE110,$AL110,$V110,$W110)))</f>
        <v/>
      </c>
      <c r="AN110" s="22">
        <f>IF($AM110="","",IF(AND($Q110="COMMITMENT",$R110&gt;=$AH110),$AI110,0))</f>
        <v/>
      </c>
      <c r="AO110" s="23">
        <f>IF($AM110="","",MAX(0,$AM110-$AN110))</f>
        <v/>
      </c>
      <c r="AP110" s="22">
        <f>IF($S110="","",IF(OR($S110="ITEM_PRICE_PLUS_DECLARED_DELIVERY",$S110="DELIVERY_CHARGE_ONLY"),$K110,IF($S110="TOTAL_AMOUNT_INCLUDING_DELIVERY",IF(OR($T110="",$J110=""),"",MAX(0,$T110-$J110-$U110)),IF($S110="ITEM_PRICE_ONLY_DELIVERY_PAID_BY_MERCHANT",0,""))))</f>
        <v/>
      </c>
      <c r="AQ110" s="23">
        <f>IF(OR($AP110="",$AO110=""),"",$AP110-$AO110)</f>
        <v/>
      </c>
      <c r="AR110" s="24">
        <f>IF($S110="EXACT_COLLECTION_AMOUNT","BREAKDOWN_REQUIRED",IF($AQ110="","",IF($AQ110&gt;0,"CREDIT_TO_MERCHANT",IF($AQ110&lt;0,"DEDUCT_FROM_MERCHANT","NO_ADJUSTMENT"))))</f>
        <v/>
      </c>
      <c r="AS110" s="23">
        <f>IF(OR($AQ110="",$AR110="BREAKDOWN_REQUIRED"),"",$AQ110)</f>
        <v/>
      </c>
      <c r="AT110" s="23">
        <f>IF(OR($AR110="",$AR110="BREAKDOWN_REQUIRED"),"",SUM($J110,$AQ110,$Y110)-$X110)</f>
        <v/>
      </c>
      <c r="AU110" s="25">
        <f>IF(AND($A110="",$B110="",$F110="",$H110="",$J110="",$K110="",$M110="",$S110=""),"",IF(OR($H110="",$Q110="",$M110="",$S110=""),"ERROR",IF(OR($J110&lt;0,$K110&lt;0,$M110&lt;0,$T110&lt;0,$U110&lt;0,$V110&lt;0,$W110&lt;0,$X110&lt;0,$Y110&lt;0),"ERROR",IF($AE110="","ERROR",IF(AND(OR($S110="ITEM_PRICE_PLUS_DECLARED_DELIVERY",$S110="TOTAL_AMOUNT_INCLUDING_DELIVERY",$S110="ITEM_PRICE_ONLY_DELIVERY_PAID_BY_MERCHANT"),$J110=""),"ERROR",IF(AND(OR($S110="ITEM_PRICE_PLUS_DECLARED_DELIVERY",$S110="DELIVERY_CHARGE_ONLY"),$K110=""),"ERROR",IF(AND(OR($S110="TOTAL_AMOUNT_INCLUDING_DELIVERY",$S110="EXACT_COLLECTION_AMOUNT"),$T110=""),"ERROR",IF(AND($S110="TOTAL_AMOUNT_INCLUDING_DELIVERY",$T110&lt;SUM($J110,$U110)),"ERROR",IF($S110="EXACT_COLLECTION_AMOUNT","REVIEW","OK")))))))))</f>
        <v/>
      </c>
      <c r="AV110" s="25">
        <f>IF($AU110="","",IF($H110="","Township required",IF($Q110="","Customer tier required",IF($M110="","Weight required",IF($S110="","Amount entry type required",IF(OR($J110&lt;0,$K110&lt;0,$M110&lt;0,$T110&lt;0,$U110&lt;0,$V110&lt;0,$W110&lt;0,$X110&lt;0,$Y110&lt;0),"Negative amounts are not allowed",IF($AE110="","Tariff not found for township and tier",IF(AND(OR($S110="ITEM_PRICE_PLUS_DECLARED_DELIVERY",$S110="TOTAL_AMOUNT_INCLUDING_DELIVERY",$S110="ITEM_PRICE_ONLY_DELIVERY_PAID_BY_MERCHANT"),$J110=""),"Item price required for this amount type",IF(AND(OR($S110="ITEM_PRICE_PLUS_DECLARED_DELIVERY",$S110="DELIVERY_CHARGE_ONLY"),$K110=""),"Declared delivery charge required",IF(AND(OR($S110="TOTAL_AMOUNT_INCLUDING_DELIVERY",$S110="EXACT_COLLECTION_AMOUNT"),$T110=""),"Stated total amount required",IF(AND($S110="TOTAL_AMOUNT_INCLUDING_DELIVERY",$T110&lt;SUM($J110,$U110)),"Stated total is below item price plus additional charge",IF($S110="EXACT_COLLECTION_AMOUNT","Authorized amount breakdown required before settlement","Ready for collection and settlement"))))))))))))</f>
        <v/>
      </c>
      <c r="AW110" s="23">
        <f>IF($AU110="","","PARCEL_FINANCIAL_V2")</f>
        <v/>
      </c>
      <c r="AX110" s="17" t="n"/>
    </row>
    <row r="111">
      <c r="A111" s="8" t="n"/>
      <c r="B111" s="8" t="n"/>
      <c r="C111" s="8" t="n"/>
      <c r="D111" s="8" t="n"/>
      <c r="E111" s="9" t="n"/>
      <c r="F111" s="9" t="n"/>
      <c r="G111" s="8" t="n"/>
      <c r="H111" s="9" t="n"/>
      <c r="I111" s="9" t="n"/>
      <c r="J111" s="10" t="n"/>
      <c r="K111" s="10" t="n"/>
      <c r="L111" s="11">
        <f>IF($S111="","",IF($S111="ITEM_PRICE_PLUS_DECLARED_DELIVERY",IF(OR($J111="",$K111=""),"",SUM($J111,$K111,$U111)),IF($S111="TOTAL_AMOUNT_INCLUDING_DELIVERY",IF($T111="","",$T111),IF($S111="DELIVERY_CHARGE_ONLY",IF($K111="","",SUM($K111,$U111)),IF($S111="EXACT_COLLECTION_AMOUNT",IF($T111="","",$T111),IF($S111="ITEM_PRICE_ONLY_DELIVERY_PAID_BY_MERCHANT",IF($J111="","",SUM($J111,$U111)),""))))))</f>
        <v/>
      </c>
      <c r="M111" s="12" t="n"/>
      <c r="N111" s="13" t="n"/>
      <c r="O111" s="13" t="n"/>
      <c r="P111" s="9" t="n"/>
      <c r="Q111" s="14" t="n"/>
      <c r="R111" s="15" t="n"/>
      <c r="S111" s="14" t="n"/>
      <c r="T111" s="16" t="n"/>
      <c r="U111" s="16" t="n"/>
      <c r="V111" s="16" t="n"/>
      <c r="W111" s="16" t="n"/>
      <c r="X111" s="16" t="n"/>
      <c r="Y111" s="16" t="n"/>
      <c r="Z111" s="14" t="n"/>
      <c r="AA111" s="14" t="n"/>
      <c r="AB111" s="14" t="n"/>
      <c r="AC111" s="17">
        <f>IFERROR(VLOOKUP($H111&amp;"|"&amp;$Q111,Tariff_Master!$A$2:$L$169,3,FALSE),"")</f>
        <v/>
      </c>
      <c r="AD111" s="17">
        <f>IFERROR(VLOOKUP($H111&amp;"|"&amp;$Q111,Tariff_Master!$A$2:$L$169,4,FALSE),"")</f>
        <v/>
      </c>
      <c r="AE111" s="18">
        <f>IFERROR(VLOOKUP($H111&amp;"|"&amp;$Q111,Tariff_Master!$A$2:$L$169,6,FALSE),"")</f>
        <v/>
      </c>
      <c r="AF111" s="19">
        <f>IFERROR(VLOOKUP($H111&amp;"|"&amp;$Q111,Tariff_Master!$A$2:$L$169,7,FALSE),"")</f>
        <v/>
      </c>
      <c r="AG111" s="18">
        <f>IFERROR(VLOOKUP($H111&amp;"|"&amp;$Q111,Tariff_Master!$A$2:$L$169,8,FALSE),"")</f>
        <v/>
      </c>
      <c r="AH111" s="20">
        <f>IFERROR(VLOOKUP($H111&amp;"|"&amp;$Q111,Tariff_Master!$A$2:$L$169,9,FALSE),"")</f>
        <v/>
      </c>
      <c r="AI111" s="18">
        <f>IFERROR(VLOOKUP($H111&amp;"|"&amp;$Q111,Tariff_Master!$A$2:$L$169,10,FALSE),"")</f>
        <v/>
      </c>
      <c r="AJ111" s="21">
        <f>IF($M111="","",ROUNDUP(MAX(0,$M111),0))</f>
        <v/>
      </c>
      <c r="AK111" s="21">
        <f>IF(OR($AJ111="",$AF111=""),"",MAX(0,$AJ111-$AF111))</f>
        <v/>
      </c>
      <c r="AL111" s="22">
        <f>IF(OR($AK111="",$AG111=""),"",MAX(0,$AK111*$AG111))</f>
        <v/>
      </c>
      <c r="AM111" s="22">
        <f>IF($AE111="","",MAX(0,SUM($AE111,$AL111,$V111,$W111)))</f>
        <v/>
      </c>
      <c r="AN111" s="22">
        <f>IF($AM111="","",IF(AND($Q111="COMMITMENT",$R111&gt;=$AH111),$AI111,0))</f>
        <v/>
      </c>
      <c r="AO111" s="23">
        <f>IF($AM111="","",MAX(0,$AM111-$AN111))</f>
        <v/>
      </c>
      <c r="AP111" s="22">
        <f>IF($S111="","",IF(OR($S111="ITEM_PRICE_PLUS_DECLARED_DELIVERY",$S111="DELIVERY_CHARGE_ONLY"),$K111,IF($S111="TOTAL_AMOUNT_INCLUDING_DELIVERY",IF(OR($T111="",$J111=""),"",MAX(0,$T111-$J111-$U111)),IF($S111="ITEM_PRICE_ONLY_DELIVERY_PAID_BY_MERCHANT",0,""))))</f>
        <v/>
      </c>
      <c r="AQ111" s="23">
        <f>IF(OR($AP111="",$AO111=""),"",$AP111-$AO111)</f>
        <v/>
      </c>
      <c r="AR111" s="24">
        <f>IF($S111="EXACT_COLLECTION_AMOUNT","BREAKDOWN_REQUIRED",IF($AQ111="","",IF($AQ111&gt;0,"CREDIT_TO_MERCHANT",IF($AQ111&lt;0,"DEDUCT_FROM_MERCHANT","NO_ADJUSTMENT"))))</f>
        <v/>
      </c>
      <c r="AS111" s="23">
        <f>IF(OR($AQ111="",$AR111="BREAKDOWN_REQUIRED"),"",$AQ111)</f>
        <v/>
      </c>
      <c r="AT111" s="23">
        <f>IF(OR($AR111="",$AR111="BREAKDOWN_REQUIRED"),"",SUM($J111,$AQ111,$Y111)-$X111)</f>
        <v/>
      </c>
      <c r="AU111" s="25">
        <f>IF(AND($A111="",$B111="",$F111="",$H111="",$J111="",$K111="",$M111="",$S111=""),"",IF(OR($H111="",$Q111="",$M111="",$S111=""),"ERROR",IF(OR($J111&lt;0,$K111&lt;0,$M111&lt;0,$T111&lt;0,$U111&lt;0,$V111&lt;0,$W111&lt;0,$X111&lt;0,$Y111&lt;0),"ERROR",IF($AE111="","ERROR",IF(AND(OR($S111="ITEM_PRICE_PLUS_DECLARED_DELIVERY",$S111="TOTAL_AMOUNT_INCLUDING_DELIVERY",$S111="ITEM_PRICE_ONLY_DELIVERY_PAID_BY_MERCHANT"),$J111=""),"ERROR",IF(AND(OR($S111="ITEM_PRICE_PLUS_DECLARED_DELIVERY",$S111="DELIVERY_CHARGE_ONLY"),$K111=""),"ERROR",IF(AND(OR($S111="TOTAL_AMOUNT_INCLUDING_DELIVERY",$S111="EXACT_COLLECTION_AMOUNT"),$T111=""),"ERROR",IF(AND($S111="TOTAL_AMOUNT_INCLUDING_DELIVERY",$T111&lt;SUM($J111,$U111)),"ERROR",IF($S111="EXACT_COLLECTION_AMOUNT","REVIEW","OK")))))))))</f>
        <v/>
      </c>
      <c r="AV111" s="25">
        <f>IF($AU111="","",IF($H111="","Township required",IF($Q111="","Customer tier required",IF($M111="","Weight required",IF($S111="","Amount entry type required",IF(OR($J111&lt;0,$K111&lt;0,$M111&lt;0,$T111&lt;0,$U111&lt;0,$V111&lt;0,$W111&lt;0,$X111&lt;0,$Y111&lt;0),"Negative amounts are not allowed",IF($AE111="","Tariff not found for township and tier",IF(AND(OR($S111="ITEM_PRICE_PLUS_DECLARED_DELIVERY",$S111="TOTAL_AMOUNT_INCLUDING_DELIVERY",$S111="ITEM_PRICE_ONLY_DELIVERY_PAID_BY_MERCHANT"),$J111=""),"Item price required for this amount type",IF(AND(OR($S111="ITEM_PRICE_PLUS_DECLARED_DELIVERY",$S111="DELIVERY_CHARGE_ONLY"),$K111=""),"Declared delivery charge required",IF(AND(OR($S111="TOTAL_AMOUNT_INCLUDING_DELIVERY",$S111="EXACT_COLLECTION_AMOUNT"),$T111=""),"Stated total amount required",IF(AND($S111="TOTAL_AMOUNT_INCLUDING_DELIVERY",$T111&lt;SUM($J111,$U111)),"Stated total is below item price plus additional charge",IF($S111="EXACT_COLLECTION_AMOUNT","Authorized amount breakdown required before settlement","Ready for collection and settlement"))))))))))))</f>
        <v/>
      </c>
      <c r="AW111" s="23">
        <f>IF($AU111="","","PARCEL_FINANCIAL_V2")</f>
        <v/>
      </c>
      <c r="AX111" s="17" t="n"/>
    </row>
    <row r="112">
      <c r="A112" s="8" t="n"/>
      <c r="B112" s="8" t="n"/>
      <c r="C112" s="8" t="n"/>
      <c r="D112" s="8" t="n"/>
      <c r="E112" s="9" t="n"/>
      <c r="F112" s="9" t="n"/>
      <c r="G112" s="8" t="n"/>
      <c r="H112" s="9" t="n"/>
      <c r="I112" s="9" t="n"/>
      <c r="J112" s="10" t="n"/>
      <c r="K112" s="10" t="n"/>
      <c r="L112" s="11">
        <f>IF($S112="","",IF($S112="ITEM_PRICE_PLUS_DECLARED_DELIVERY",IF(OR($J112="",$K112=""),"",SUM($J112,$K112,$U112)),IF($S112="TOTAL_AMOUNT_INCLUDING_DELIVERY",IF($T112="","",$T112),IF($S112="DELIVERY_CHARGE_ONLY",IF($K112="","",SUM($K112,$U112)),IF($S112="EXACT_COLLECTION_AMOUNT",IF($T112="","",$T112),IF($S112="ITEM_PRICE_ONLY_DELIVERY_PAID_BY_MERCHANT",IF($J112="","",SUM($J112,$U112)),""))))))</f>
        <v/>
      </c>
      <c r="M112" s="12" t="n"/>
      <c r="N112" s="13" t="n"/>
      <c r="O112" s="13" t="n"/>
      <c r="P112" s="9" t="n"/>
      <c r="Q112" s="14" t="n"/>
      <c r="R112" s="15" t="n"/>
      <c r="S112" s="14" t="n"/>
      <c r="T112" s="16" t="n"/>
      <c r="U112" s="16" t="n"/>
      <c r="V112" s="16" t="n"/>
      <c r="W112" s="16" t="n"/>
      <c r="X112" s="16" t="n"/>
      <c r="Y112" s="16" t="n"/>
      <c r="Z112" s="14" t="n"/>
      <c r="AA112" s="14" t="n"/>
      <c r="AB112" s="14" t="n"/>
      <c r="AC112" s="17">
        <f>IFERROR(VLOOKUP($H112&amp;"|"&amp;$Q112,Tariff_Master!$A$2:$L$169,3,FALSE),"")</f>
        <v/>
      </c>
      <c r="AD112" s="17">
        <f>IFERROR(VLOOKUP($H112&amp;"|"&amp;$Q112,Tariff_Master!$A$2:$L$169,4,FALSE),"")</f>
        <v/>
      </c>
      <c r="AE112" s="18">
        <f>IFERROR(VLOOKUP($H112&amp;"|"&amp;$Q112,Tariff_Master!$A$2:$L$169,6,FALSE),"")</f>
        <v/>
      </c>
      <c r="AF112" s="19">
        <f>IFERROR(VLOOKUP($H112&amp;"|"&amp;$Q112,Tariff_Master!$A$2:$L$169,7,FALSE),"")</f>
        <v/>
      </c>
      <c r="AG112" s="18">
        <f>IFERROR(VLOOKUP($H112&amp;"|"&amp;$Q112,Tariff_Master!$A$2:$L$169,8,FALSE),"")</f>
        <v/>
      </c>
      <c r="AH112" s="20">
        <f>IFERROR(VLOOKUP($H112&amp;"|"&amp;$Q112,Tariff_Master!$A$2:$L$169,9,FALSE),"")</f>
        <v/>
      </c>
      <c r="AI112" s="18">
        <f>IFERROR(VLOOKUP($H112&amp;"|"&amp;$Q112,Tariff_Master!$A$2:$L$169,10,FALSE),"")</f>
        <v/>
      </c>
      <c r="AJ112" s="21">
        <f>IF($M112="","",ROUNDUP(MAX(0,$M112),0))</f>
        <v/>
      </c>
      <c r="AK112" s="21">
        <f>IF(OR($AJ112="",$AF112=""),"",MAX(0,$AJ112-$AF112))</f>
        <v/>
      </c>
      <c r="AL112" s="22">
        <f>IF(OR($AK112="",$AG112=""),"",MAX(0,$AK112*$AG112))</f>
        <v/>
      </c>
      <c r="AM112" s="22">
        <f>IF($AE112="","",MAX(0,SUM($AE112,$AL112,$V112,$W112)))</f>
        <v/>
      </c>
      <c r="AN112" s="22">
        <f>IF($AM112="","",IF(AND($Q112="COMMITMENT",$R112&gt;=$AH112),$AI112,0))</f>
        <v/>
      </c>
      <c r="AO112" s="23">
        <f>IF($AM112="","",MAX(0,$AM112-$AN112))</f>
        <v/>
      </c>
      <c r="AP112" s="22">
        <f>IF($S112="","",IF(OR($S112="ITEM_PRICE_PLUS_DECLARED_DELIVERY",$S112="DELIVERY_CHARGE_ONLY"),$K112,IF($S112="TOTAL_AMOUNT_INCLUDING_DELIVERY",IF(OR($T112="",$J112=""),"",MAX(0,$T112-$J112-$U112)),IF($S112="ITEM_PRICE_ONLY_DELIVERY_PAID_BY_MERCHANT",0,""))))</f>
        <v/>
      </c>
      <c r="AQ112" s="23">
        <f>IF(OR($AP112="",$AO112=""),"",$AP112-$AO112)</f>
        <v/>
      </c>
      <c r="AR112" s="24">
        <f>IF($S112="EXACT_COLLECTION_AMOUNT","BREAKDOWN_REQUIRED",IF($AQ112="","",IF($AQ112&gt;0,"CREDIT_TO_MERCHANT",IF($AQ112&lt;0,"DEDUCT_FROM_MERCHANT","NO_ADJUSTMENT"))))</f>
        <v/>
      </c>
      <c r="AS112" s="23">
        <f>IF(OR($AQ112="",$AR112="BREAKDOWN_REQUIRED"),"",$AQ112)</f>
        <v/>
      </c>
      <c r="AT112" s="23">
        <f>IF(OR($AR112="",$AR112="BREAKDOWN_REQUIRED"),"",SUM($J112,$AQ112,$Y112)-$X112)</f>
        <v/>
      </c>
      <c r="AU112" s="25">
        <f>IF(AND($A112="",$B112="",$F112="",$H112="",$J112="",$K112="",$M112="",$S112=""),"",IF(OR($H112="",$Q112="",$M112="",$S112=""),"ERROR",IF(OR($J112&lt;0,$K112&lt;0,$M112&lt;0,$T112&lt;0,$U112&lt;0,$V112&lt;0,$W112&lt;0,$X112&lt;0,$Y112&lt;0),"ERROR",IF($AE112="","ERROR",IF(AND(OR($S112="ITEM_PRICE_PLUS_DECLARED_DELIVERY",$S112="TOTAL_AMOUNT_INCLUDING_DELIVERY",$S112="ITEM_PRICE_ONLY_DELIVERY_PAID_BY_MERCHANT"),$J112=""),"ERROR",IF(AND(OR($S112="ITEM_PRICE_PLUS_DECLARED_DELIVERY",$S112="DELIVERY_CHARGE_ONLY"),$K112=""),"ERROR",IF(AND(OR($S112="TOTAL_AMOUNT_INCLUDING_DELIVERY",$S112="EXACT_COLLECTION_AMOUNT"),$T112=""),"ERROR",IF(AND($S112="TOTAL_AMOUNT_INCLUDING_DELIVERY",$T112&lt;SUM($J112,$U112)),"ERROR",IF($S112="EXACT_COLLECTION_AMOUNT","REVIEW","OK")))))))))</f>
        <v/>
      </c>
      <c r="AV112" s="25">
        <f>IF($AU112="","",IF($H112="","Township required",IF($Q112="","Customer tier required",IF($M112="","Weight required",IF($S112="","Amount entry type required",IF(OR($J112&lt;0,$K112&lt;0,$M112&lt;0,$T112&lt;0,$U112&lt;0,$V112&lt;0,$W112&lt;0,$X112&lt;0,$Y112&lt;0),"Negative amounts are not allowed",IF($AE112="","Tariff not found for township and tier",IF(AND(OR($S112="ITEM_PRICE_PLUS_DECLARED_DELIVERY",$S112="TOTAL_AMOUNT_INCLUDING_DELIVERY",$S112="ITEM_PRICE_ONLY_DELIVERY_PAID_BY_MERCHANT"),$J112=""),"Item price required for this amount type",IF(AND(OR($S112="ITEM_PRICE_PLUS_DECLARED_DELIVERY",$S112="DELIVERY_CHARGE_ONLY"),$K112=""),"Declared delivery charge required",IF(AND(OR($S112="TOTAL_AMOUNT_INCLUDING_DELIVERY",$S112="EXACT_COLLECTION_AMOUNT"),$T112=""),"Stated total amount required",IF(AND($S112="TOTAL_AMOUNT_INCLUDING_DELIVERY",$T112&lt;SUM($J112,$U112)),"Stated total is below item price plus additional charge",IF($S112="EXACT_COLLECTION_AMOUNT","Authorized amount breakdown required before settlement","Ready for collection and settlement"))))))))))))</f>
        <v/>
      </c>
      <c r="AW112" s="23">
        <f>IF($AU112="","","PARCEL_FINANCIAL_V2")</f>
        <v/>
      </c>
      <c r="AX112" s="17" t="n"/>
    </row>
    <row r="113">
      <c r="A113" s="8" t="n"/>
      <c r="B113" s="8" t="n"/>
      <c r="C113" s="8" t="n"/>
      <c r="D113" s="8" t="n"/>
      <c r="E113" s="9" t="n"/>
      <c r="F113" s="9" t="n"/>
      <c r="G113" s="8" t="n"/>
      <c r="H113" s="9" t="n"/>
      <c r="I113" s="9" t="n"/>
      <c r="J113" s="10" t="n"/>
      <c r="K113" s="10" t="n"/>
      <c r="L113" s="11">
        <f>IF($S113="","",IF($S113="ITEM_PRICE_PLUS_DECLARED_DELIVERY",IF(OR($J113="",$K113=""),"",SUM($J113,$K113,$U113)),IF($S113="TOTAL_AMOUNT_INCLUDING_DELIVERY",IF($T113="","",$T113),IF($S113="DELIVERY_CHARGE_ONLY",IF($K113="","",SUM($K113,$U113)),IF($S113="EXACT_COLLECTION_AMOUNT",IF($T113="","",$T113),IF($S113="ITEM_PRICE_ONLY_DELIVERY_PAID_BY_MERCHANT",IF($J113="","",SUM($J113,$U113)),""))))))</f>
        <v/>
      </c>
      <c r="M113" s="12" t="n"/>
      <c r="N113" s="13" t="n"/>
      <c r="O113" s="13" t="n"/>
      <c r="P113" s="9" t="n"/>
      <c r="Q113" s="14" t="n"/>
      <c r="R113" s="15" t="n"/>
      <c r="S113" s="14" t="n"/>
      <c r="T113" s="16" t="n"/>
      <c r="U113" s="16" t="n"/>
      <c r="V113" s="16" t="n"/>
      <c r="W113" s="16" t="n"/>
      <c r="X113" s="16" t="n"/>
      <c r="Y113" s="16" t="n"/>
      <c r="Z113" s="14" t="n"/>
      <c r="AA113" s="14" t="n"/>
      <c r="AB113" s="14" t="n"/>
      <c r="AC113" s="17">
        <f>IFERROR(VLOOKUP($H113&amp;"|"&amp;$Q113,Tariff_Master!$A$2:$L$169,3,FALSE),"")</f>
        <v/>
      </c>
      <c r="AD113" s="17">
        <f>IFERROR(VLOOKUP($H113&amp;"|"&amp;$Q113,Tariff_Master!$A$2:$L$169,4,FALSE),"")</f>
        <v/>
      </c>
      <c r="AE113" s="18">
        <f>IFERROR(VLOOKUP($H113&amp;"|"&amp;$Q113,Tariff_Master!$A$2:$L$169,6,FALSE),"")</f>
        <v/>
      </c>
      <c r="AF113" s="19">
        <f>IFERROR(VLOOKUP($H113&amp;"|"&amp;$Q113,Tariff_Master!$A$2:$L$169,7,FALSE),"")</f>
        <v/>
      </c>
      <c r="AG113" s="18">
        <f>IFERROR(VLOOKUP($H113&amp;"|"&amp;$Q113,Tariff_Master!$A$2:$L$169,8,FALSE),"")</f>
        <v/>
      </c>
      <c r="AH113" s="20">
        <f>IFERROR(VLOOKUP($H113&amp;"|"&amp;$Q113,Tariff_Master!$A$2:$L$169,9,FALSE),"")</f>
        <v/>
      </c>
      <c r="AI113" s="18">
        <f>IFERROR(VLOOKUP($H113&amp;"|"&amp;$Q113,Tariff_Master!$A$2:$L$169,10,FALSE),"")</f>
        <v/>
      </c>
      <c r="AJ113" s="21">
        <f>IF($M113="","",ROUNDUP(MAX(0,$M113),0))</f>
        <v/>
      </c>
      <c r="AK113" s="21">
        <f>IF(OR($AJ113="",$AF113=""),"",MAX(0,$AJ113-$AF113))</f>
        <v/>
      </c>
      <c r="AL113" s="22">
        <f>IF(OR($AK113="",$AG113=""),"",MAX(0,$AK113*$AG113))</f>
        <v/>
      </c>
      <c r="AM113" s="22">
        <f>IF($AE113="","",MAX(0,SUM($AE113,$AL113,$V113,$W113)))</f>
        <v/>
      </c>
      <c r="AN113" s="22">
        <f>IF($AM113="","",IF(AND($Q113="COMMITMENT",$R113&gt;=$AH113),$AI113,0))</f>
        <v/>
      </c>
      <c r="AO113" s="23">
        <f>IF($AM113="","",MAX(0,$AM113-$AN113))</f>
        <v/>
      </c>
      <c r="AP113" s="22">
        <f>IF($S113="","",IF(OR($S113="ITEM_PRICE_PLUS_DECLARED_DELIVERY",$S113="DELIVERY_CHARGE_ONLY"),$K113,IF($S113="TOTAL_AMOUNT_INCLUDING_DELIVERY",IF(OR($T113="",$J113=""),"",MAX(0,$T113-$J113-$U113)),IF($S113="ITEM_PRICE_ONLY_DELIVERY_PAID_BY_MERCHANT",0,""))))</f>
        <v/>
      </c>
      <c r="AQ113" s="23">
        <f>IF(OR($AP113="",$AO113=""),"",$AP113-$AO113)</f>
        <v/>
      </c>
      <c r="AR113" s="24">
        <f>IF($S113="EXACT_COLLECTION_AMOUNT","BREAKDOWN_REQUIRED",IF($AQ113="","",IF($AQ113&gt;0,"CREDIT_TO_MERCHANT",IF($AQ113&lt;0,"DEDUCT_FROM_MERCHANT","NO_ADJUSTMENT"))))</f>
        <v/>
      </c>
      <c r="AS113" s="23">
        <f>IF(OR($AQ113="",$AR113="BREAKDOWN_REQUIRED"),"",$AQ113)</f>
        <v/>
      </c>
      <c r="AT113" s="23">
        <f>IF(OR($AR113="",$AR113="BREAKDOWN_REQUIRED"),"",SUM($J113,$AQ113,$Y113)-$X113)</f>
        <v/>
      </c>
      <c r="AU113" s="25">
        <f>IF(AND($A113="",$B113="",$F113="",$H113="",$J113="",$K113="",$M113="",$S113=""),"",IF(OR($H113="",$Q113="",$M113="",$S113=""),"ERROR",IF(OR($J113&lt;0,$K113&lt;0,$M113&lt;0,$T113&lt;0,$U113&lt;0,$V113&lt;0,$W113&lt;0,$X113&lt;0,$Y113&lt;0),"ERROR",IF($AE113="","ERROR",IF(AND(OR($S113="ITEM_PRICE_PLUS_DECLARED_DELIVERY",$S113="TOTAL_AMOUNT_INCLUDING_DELIVERY",$S113="ITEM_PRICE_ONLY_DELIVERY_PAID_BY_MERCHANT"),$J113=""),"ERROR",IF(AND(OR($S113="ITEM_PRICE_PLUS_DECLARED_DELIVERY",$S113="DELIVERY_CHARGE_ONLY"),$K113=""),"ERROR",IF(AND(OR($S113="TOTAL_AMOUNT_INCLUDING_DELIVERY",$S113="EXACT_COLLECTION_AMOUNT"),$T113=""),"ERROR",IF(AND($S113="TOTAL_AMOUNT_INCLUDING_DELIVERY",$T113&lt;SUM($J113,$U113)),"ERROR",IF($S113="EXACT_COLLECTION_AMOUNT","REVIEW","OK")))))))))</f>
        <v/>
      </c>
      <c r="AV113" s="25">
        <f>IF($AU113="","",IF($H113="","Township required",IF($Q113="","Customer tier required",IF($M113="","Weight required",IF($S113="","Amount entry type required",IF(OR($J113&lt;0,$K113&lt;0,$M113&lt;0,$T113&lt;0,$U113&lt;0,$V113&lt;0,$W113&lt;0,$X113&lt;0,$Y113&lt;0),"Negative amounts are not allowed",IF($AE113="","Tariff not found for township and tier",IF(AND(OR($S113="ITEM_PRICE_PLUS_DECLARED_DELIVERY",$S113="TOTAL_AMOUNT_INCLUDING_DELIVERY",$S113="ITEM_PRICE_ONLY_DELIVERY_PAID_BY_MERCHANT"),$J113=""),"Item price required for this amount type",IF(AND(OR($S113="ITEM_PRICE_PLUS_DECLARED_DELIVERY",$S113="DELIVERY_CHARGE_ONLY"),$K113=""),"Declared delivery charge required",IF(AND(OR($S113="TOTAL_AMOUNT_INCLUDING_DELIVERY",$S113="EXACT_COLLECTION_AMOUNT"),$T113=""),"Stated total amount required",IF(AND($S113="TOTAL_AMOUNT_INCLUDING_DELIVERY",$T113&lt;SUM($J113,$U113)),"Stated total is below item price plus additional charge",IF($S113="EXACT_COLLECTION_AMOUNT","Authorized amount breakdown required before settlement","Ready for collection and settlement"))))))))))))</f>
        <v/>
      </c>
      <c r="AW113" s="23">
        <f>IF($AU113="","","PARCEL_FINANCIAL_V2")</f>
        <v/>
      </c>
      <c r="AX113" s="17" t="n"/>
    </row>
    <row r="114">
      <c r="A114" s="8" t="n"/>
      <c r="B114" s="8" t="n"/>
      <c r="C114" s="8" t="n"/>
      <c r="D114" s="8" t="n"/>
      <c r="E114" s="9" t="n"/>
      <c r="F114" s="9" t="n"/>
      <c r="G114" s="8" t="n"/>
      <c r="H114" s="9" t="n"/>
      <c r="I114" s="9" t="n"/>
      <c r="J114" s="10" t="n"/>
      <c r="K114" s="10" t="n"/>
      <c r="L114" s="11">
        <f>IF($S114="","",IF($S114="ITEM_PRICE_PLUS_DECLARED_DELIVERY",IF(OR($J114="",$K114=""),"",SUM($J114,$K114,$U114)),IF($S114="TOTAL_AMOUNT_INCLUDING_DELIVERY",IF($T114="","",$T114),IF($S114="DELIVERY_CHARGE_ONLY",IF($K114="","",SUM($K114,$U114)),IF($S114="EXACT_COLLECTION_AMOUNT",IF($T114="","",$T114),IF($S114="ITEM_PRICE_ONLY_DELIVERY_PAID_BY_MERCHANT",IF($J114="","",SUM($J114,$U114)),""))))))</f>
        <v/>
      </c>
      <c r="M114" s="12" t="n"/>
      <c r="N114" s="13" t="n"/>
      <c r="O114" s="13" t="n"/>
      <c r="P114" s="9" t="n"/>
      <c r="Q114" s="14" t="n"/>
      <c r="R114" s="15" t="n"/>
      <c r="S114" s="14" t="n"/>
      <c r="T114" s="16" t="n"/>
      <c r="U114" s="16" t="n"/>
      <c r="V114" s="16" t="n"/>
      <c r="W114" s="16" t="n"/>
      <c r="X114" s="16" t="n"/>
      <c r="Y114" s="16" t="n"/>
      <c r="Z114" s="14" t="n"/>
      <c r="AA114" s="14" t="n"/>
      <c r="AB114" s="14" t="n"/>
      <c r="AC114" s="17">
        <f>IFERROR(VLOOKUP($H114&amp;"|"&amp;$Q114,Tariff_Master!$A$2:$L$169,3,FALSE),"")</f>
        <v/>
      </c>
      <c r="AD114" s="17">
        <f>IFERROR(VLOOKUP($H114&amp;"|"&amp;$Q114,Tariff_Master!$A$2:$L$169,4,FALSE),"")</f>
        <v/>
      </c>
      <c r="AE114" s="18">
        <f>IFERROR(VLOOKUP($H114&amp;"|"&amp;$Q114,Tariff_Master!$A$2:$L$169,6,FALSE),"")</f>
        <v/>
      </c>
      <c r="AF114" s="19">
        <f>IFERROR(VLOOKUP($H114&amp;"|"&amp;$Q114,Tariff_Master!$A$2:$L$169,7,FALSE),"")</f>
        <v/>
      </c>
      <c r="AG114" s="18">
        <f>IFERROR(VLOOKUP($H114&amp;"|"&amp;$Q114,Tariff_Master!$A$2:$L$169,8,FALSE),"")</f>
        <v/>
      </c>
      <c r="AH114" s="20">
        <f>IFERROR(VLOOKUP($H114&amp;"|"&amp;$Q114,Tariff_Master!$A$2:$L$169,9,FALSE),"")</f>
        <v/>
      </c>
      <c r="AI114" s="18">
        <f>IFERROR(VLOOKUP($H114&amp;"|"&amp;$Q114,Tariff_Master!$A$2:$L$169,10,FALSE),"")</f>
        <v/>
      </c>
      <c r="AJ114" s="21">
        <f>IF($M114="","",ROUNDUP(MAX(0,$M114),0))</f>
        <v/>
      </c>
      <c r="AK114" s="21">
        <f>IF(OR($AJ114="",$AF114=""),"",MAX(0,$AJ114-$AF114))</f>
        <v/>
      </c>
      <c r="AL114" s="22">
        <f>IF(OR($AK114="",$AG114=""),"",MAX(0,$AK114*$AG114))</f>
        <v/>
      </c>
      <c r="AM114" s="22">
        <f>IF($AE114="","",MAX(0,SUM($AE114,$AL114,$V114,$W114)))</f>
        <v/>
      </c>
      <c r="AN114" s="22">
        <f>IF($AM114="","",IF(AND($Q114="COMMITMENT",$R114&gt;=$AH114),$AI114,0))</f>
        <v/>
      </c>
      <c r="AO114" s="23">
        <f>IF($AM114="","",MAX(0,$AM114-$AN114))</f>
        <v/>
      </c>
      <c r="AP114" s="22">
        <f>IF($S114="","",IF(OR($S114="ITEM_PRICE_PLUS_DECLARED_DELIVERY",$S114="DELIVERY_CHARGE_ONLY"),$K114,IF($S114="TOTAL_AMOUNT_INCLUDING_DELIVERY",IF(OR($T114="",$J114=""),"",MAX(0,$T114-$J114-$U114)),IF($S114="ITEM_PRICE_ONLY_DELIVERY_PAID_BY_MERCHANT",0,""))))</f>
        <v/>
      </c>
      <c r="AQ114" s="23">
        <f>IF(OR($AP114="",$AO114=""),"",$AP114-$AO114)</f>
        <v/>
      </c>
      <c r="AR114" s="24">
        <f>IF($S114="EXACT_COLLECTION_AMOUNT","BREAKDOWN_REQUIRED",IF($AQ114="","",IF($AQ114&gt;0,"CREDIT_TO_MERCHANT",IF($AQ114&lt;0,"DEDUCT_FROM_MERCHANT","NO_ADJUSTMENT"))))</f>
        <v/>
      </c>
      <c r="AS114" s="23">
        <f>IF(OR($AQ114="",$AR114="BREAKDOWN_REQUIRED"),"",$AQ114)</f>
        <v/>
      </c>
      <c r="AT114" s="23">
        <f>IF(OR($AR114="",$AR114="BREAKDOWN_REQUIRED"),"",SUM($J114,$AQ114,$Y114)-$X114)</f>
        <v/>
      </c>
      <c r="AU114" s="25">
        <f>IF(AND($A114="",$B114="",$F114="",$H114="",$J114="",$K114="",$M114="",$S114=""),"",IF(OR($H114="",$Q114="",$M114="",$S114=""),"ERROR",IF(OR($J114&lt;0,$K114&lt;0,$M114&lt;0,$T114&lt;0,$U114&lt;0,$V114&lt;0,$W114&lt;0,$X114&lt;0,$Y114&lt;0),"ERROR",IF($AE114="","ERROR",IF(AND(OR($S114="ITEM_PRICE_PLUS_DECLARED_DELIVERY",$S114="TOTAL_AMOUNT_INCLUDING_DELIVERY",$S114="ITEM_PRICE_ONLY_DELIVERY_PAID_BY_MERCHANT"),$J114=""),"ERROR",IF(AND(OR($S114="ITEM_PRICE_PLUS_DECLARED_DELIVERY",$S114="DELIVERY_CHARGE_ONLY"),$K114=""),"ERROR",IF(AND(OR($S114="TOTAL_AMOUNT_INCLUDING_DELIVERY",$S114="EXACT_COLLECTION_AMOUNT"),$T114=""),"ERROR",IF(AND($S114="TOTAL_AMOUNT_INCLUDING_DELIVERY",$T114&lt;SUM($J114,$U114)),"ERROR",IF($S114="EXACT_COLLECTION_AMOUNT","REVIEW","OK")))))))))</f>
        <v/>
      </c>
      <c r="AV114" s="25">
        <f>IF($AU114="","",IF($H114="","Township required",IF($Q114="","Customer tier required",IF($M114="","Weight required",IF($S114="","Amount entry type required",IF(OR($J114&lt;0,$K114&lt;0,$M114&lt;0,$T114&lt;0,$U114&lt;0,$V114&lt;0,$W114&lt;0,$X114&lt;0,$Y114&lt;0),"Negative amounts are not allowed",IF($AE114="","Tariff not found for township and tier",IF(AND(OR($S114="ITEM_PRICE_PLUS_DECLARED_DELIVERY",$S114="TOTAL_AMOUNT_INCLUDING_DELIVERY",$S114="ITEM_PRICE_ONLY_DELIVERY_PAID_BY_MERCHANT"),$J114=""),"Item price required for this amount type",IF(AND(OR($S114="ITEM_PRICE_PLUS_DECLARED_DELIVERY",$S114="DELIVERY_CHARGE_ONLY"),$K114=""),"Declared delivery charge required",IF(AND(OR($S114="TOTAL_AMOUNT_INCLUDING_DELIVERY",$S114="EXACT_COLLECTION_AMOUNT"),$T114=""),"Stated total amount required",IF(AND($S114="TOTAL_AMOUNT_INCLUDING_DELIVERY",$T114&lt;SUM($J114,$U114)),"Stated total is below item price plus additional charge",IF($S114="EXACT_COLLECTION_AMOUNT","Authorized amount breakdown required before settlement","Ready for collection and settlement"))))))))))))</f>
        <v/>
      </c>
      <c r="AW114" s="23">
        <f>IF($AU114="","","PARCEL_FINANCIAL_V2")</f>
        <v/>
      </c>
      <c r="AX114" s="17" t="n"/>
    </row>
    <row r="115">
      <c r="A115" s="8" t="n"/>
      <c r="B115" s="8" t="n"/>
      <c r="C115" s="8" t="n"/>
      <c r="D115" s="8" t="n"/>
      <c r="E115" s="9" t="n"/>
      <c r="F115" s="9" t="n"/>
      <c r="G115" s="8" t="n"/>
      <c r="H115" s="9" t="n"/>
      <c r="I115" s="9" t="n"/>
      <c r="J115" s="10" t="n"/>
      <c r="K115" s="10" t="n"/>
      <c r="L115" s="11">
        <f>IF($S115="","",IF($S115="ITEM_PRICE_PLUS_DECLARED_DELIVERY",IF(OR($J115="",$K115=""),"",SUM($J115,$K115,$U115)),IF($S115="TOTAL_AMOUNT_INCLUDING_DELIVERY",IF($T115="","",$T115),IF($S115="DELIVERY_CHARGE_ONLY",IF($K115="","",SUM($K115,$U115)),IF($S115="EXACT_COLLECTION_AMOUNT",IF($T115="","",$T115),IF($S115="ITEM_PRICE_ONLY_DELIVERY_PAID_BY_MERCHANT",IF($J115="","",SUM($J115,$U115)),""))))))</f>
        <v/>
      </c>
      <c r="M115" s="12" t="n"/>
      <c r="N115" s="13" t="n"/>
      <c r="O115" s="13" t="n"/>
      <c r="P115" s="9" t="n"/>
      <c r="Q115" s="14" t="n"/>
      <c r="R115" s="15" t="n"/>
      <c r="S115" s="14" t="n"/>
      <c r="T115" s="16" t="n"/>
      <c r="U115" s="16" t="n"/>
      <c r="V115" s="16" t="n"/>
      <c r="W115" s="16" t="n"/>
      <c r="X115" s="16" t="n"/>
      <c r="Y115" s="16" t="n"/>
      <c r="Z115" s="14" t="n"/>
      <c r="AA115" s="14" t="n"/>
      <c r="AB115" s="14" t="n"/>
      <c r="AC115" s="17">
        <f>IFERROR(VLOOKUP($H115&amp;"|"&amp;$Q115,Tariff_Master!$A$2:$L$169,3,FALSE),"")</f>
        <v/>
      </c>
      <c r="AD115" s="17">
        <f>IFERROR(VLOOKUP($H115&amp;"|"&amp;$Q115,Tariff_Master!$A$2:$L$169,4,FALSE),"")</f>
        <v/>
      </c>
      <c r="AE115" s="18">
        <f>IFERROR(VLOOKUP($H115&amp;"|"&amp;$Q115,Tariff_Master!$A$2:$L$169,6,FALSE),"")</f>
        <v/>
      </c>
      <c r="AF115" s="19">
        <f>IFERROR(VLOOKUP($H115&amp;"|"&amp;$Q115,Tariff_Master!$A$2:$L$169,7,FALSE),"")</f>
        <v/>
      </c>
      <c r="AG115" s="18">
        <f>IFERROR(VLOOKUP($H115&amp;"|"&amp;$Q115,Tariff_Master!$A$2:$L$169,8,FALSE),"")</f>
        <v/>
      </c>
      <c r="AH115" s="20">
        <f>IFERROR(VLOOKUP($H115&amp;"|"&amp;$Q115,Tariff_Master!$A$2:$L$169,9,FALSE),"")</f>
        <v/>
      </c>
      <c r="AI115" s="18">
        <f>IFERROR(VLOOKUP($H115&amp;"|"&amp;$Q115,Tariff_Master!$A$2:$L$169,10,FALSE),"")</f>
        <v/>
      </c>
      <c r="AJ115" s="21">
        <f>IF($M115="","",ROUNDUP(MAX(0,$M115),0))</f>
        <v/>
      </c>
      <c r="AK115" s="21">
        <f>IF(OR($AJ115="",$AF115=""),"",MAX(0,$AJ115-$AF115))</f>
        <v/>
      </c>
      <c r="AL115" s="22">
        <f>IF(OR($AK115="",$AG115=""),"",MAX(0,$AK115*$AG115))</f>
        <v/>
      </c>
      <c r="AM115" s="22">
        <f>IF($AE115="","",MAX(0,SUM($AE115,$AL115,$V115,$W115)))</f>
        <v/>
      </c>
      <c r="AN115" s="22">
        <f>IF($AM115="","",IF(AND($Q115="COMMITMENT",$R115&gt;=$AH115),$AI115,0))</f>
        <v/>
      </c>
      <c r="AO115" s="23">
        <f>IF($AM115="","",MAX(0,$AM115-$AN115))</f>
        <v/>
      </c>
      <c r="AP115" s="22">
        <f>IF($S115="","",IF(OR($S115="ITEM_PRICE_PLUS_DECLARED_DELIVERY",$S115="DELIVERY_CHARGE_ONLY"),$K115,IF($S115="TOTAL_AMOUNT_INCLUDING_DELIVERY",IF(OR($T115="",$J115=""),"",MAX(0,$T115-$J115-$U115)),IF($S115="ITEM_PRICE_ONLY_DELIVERY_PAID_BY_MERCHANT",0,""))))</f>
        <v/>
      </c>
      <c r="AQ115" s="23">
        <f>IF(OR($AP115="",$AO115=""),"",$AP115-$AO115)</f>
        <v/>
      </c>
      <c r="AR115" s="24">
        <f>IF($S115="EXACT_COLLECTION_AMOUNT","BREAKDOWN_REQUIRED",IF($AQ115="","",IF($AQ115&gt;0,"CREDIT_TO_MERCHANT",IF($AQ115&lt;0,"DEDUCT_FROM_MERCHANT","NO_ADJUSTMENT"))))</f>
        <v/>
      </c>
      <c r="AS115" s="23">
        <f>IF(OR($AQ115="",$AR115="BREAKDOWN_REQUIRED"),"",$AQ115)</f>
        <v/>
      </c>
      <c r="AT115" s="23">
        <f>IF(OR($AR115="",$AR115="BREAKDOWN_REQUIRED"),"",SUM($J115,$AQ115,$Y115)-$X115)</f>
        <v/>
      </c>
      <c r="AU115" s="25">
        <f>IF(AND($A115="",$B115="",$F115="",$H115="",$J115="",$K115="",$M115="",$S115=""),"",IF(OR($H115="",$Q115="",$M115="",$S115=""),"ERROR",IF(OR($J115&lt;0,$K115&lt;0,$M115&lt;0,$T115&lt;0,$U115&lt;0,$V115&lt;0,$W115&lt;0,$X115&lt;0,$Y115&lt;0),"ERROR",IF($AE115="","ERROR",IF(AND(OR($S115="ITEM_PRICE_PLUS_DECLARED_DELIVERY",$S115="TOTAL_AMOUNT_INCLUDING_DELIVERY",$S115="ITEM_PRICE_ONLY_DELIVERY_PAID_BY_MERCHANT"),$J115=""),"ERROR",IF(AND(OR($S115="ITEM_PRICE_PLUS_DECLARED_DELIVERY",$S115="DELIVERY_CHARGE_ONLY"),$K115=""),"ERROR",IF(AND(OR($S115="TOTAL_AMOUNT_INCLUDING_DELIVERY",$S115="EXACT_COLLECTION_AMOUNT"),$T115=""),"ERROR",IF(AND($S115="TOTAL_AMOUNT_INCLUDING_DELIVERY",$T115&lt;SUM($J115,$U115)),"ERROR",IF($S115="EXACT_COLLECTION_AMOUNT","REVIEW","OK")))))))))</f>
        <v/>
      </c>
      <c r="AV115" s="25">
        <f>IF($AU115="","",IF($H115="","Township required",IF($Q115="","Customer tier required",IF($M115="","Weight required",IF($S115="","Amount entry type required",IF(OR($J115&lt;0,$K115&lt;0,$M115&lt;0,$T115&lt;0,$U115&lt;0,$V115&lt;0,$W115&lt;0,$X115&lt;0,$Y115&lt;0),"Negative amounts are not allowed",IF($AE115="","Tariff not found for township and tier",IF(AND(OR($S115="ITEM_PRICE_PLUS_DECLARED_DELIVERY",$S115="TOTAL_AMOUNT_INCLUDING_DELIVERY",$S115="ITEM_PRICE_ONLY_DELIVERY_PAID_BY_MERCHANT"),$J115=""),"Item price required for this amount type",IF(AND(OR($S115="ITEM_PRICE_PLUS_DECLARED_DELIVERY",$S115="DELIVERY_CHARGE_ONLY"),$K115=""),"Declared delivery charge required",IF(AND(OR($S115="TOTAL_AMOUNT_INCLUDING_DELIVERY",$S115="EXACT_COLLECTION_AMOUNT"),$T115=""),"Stated total amount required",IF(AND($S115="TOTAL_AMOUNT_INCLUDING_DELIVERY",$T115&lt;SUM($J115,$U115)),"Stated total is below item price plus additional charge",IF($S115="EXACT_COLLECTION_AMOUNT","Authorized amount breakdown required before settlement","Ready for collection and settlement"))))))))))))</f>
        <v/>
      </c>
      <c r="AW115" s="23">
        <f>IF($AU115="","","PARCEL_FINANCIAL_V2")</f>
        <v/>
      </c>
      <c r="AX115" s="17" t="n"/>
    </row>
    <row r="116">
      <c r="A116" s="8" t="n"/>
      <c r="B116" s="8" t="n"/>
      <c r="C116" s="8" t="n"/>
      <c r="D116" s="8" t="n"/>
      <c r="E116" s="9" t="n"/>
      <c r="F116" s="9" t="n"/>
      <c r="G116" s="8" t="n"/>
      <c r="H116" s="9" t="n"/>
      <c r="I116" s="9" t="n"/>
      <c r="J116" s="10" t="n"/>
      <c r="K116" s="10" t="n"/>
      <c r="L116" s="11">
        <f>IF($S116="","",IF($S116="ITEM_PRICE_PLUS_DECLARED_DELIVERY",IF(OR($J116="",$K116=""),"",SUM($J116,$K116,$U116)),IF($S116="TOTAL_AMOUNT_INCLUDING_DELIVERY",IF($T116="","",$T116),IF($S116="DELIVERY_CHARGE_ONLY",IF($K116="","",SUM($K116,$U116)),IF($S116="EXACT_COLLECTION_AMOUNT",IF($T116="","",$T116),IF($S116="ITEM_PRICE_ONLY_DELIVERY_PAID_BY_MERCHANT",IF($J116="","",SUM($J116,$U116)),""))))))</f>
        <v/>
      </c>
      <c r="M116" s="12" t="n"/>
      <c r="N116" s="13" t="n"/>
      <c r="O116" s="13" t="n"/>
      <c r="P116" s="9" t="n"/>
      <c r="Q116" s="14" t="n"/>
      <c r="R116" s="15" t="n"/>
      <c r="S116" s="14" t="n"/>
      <c r="T116" s="16" t="n"/>
      <c r="U116" s="16" t="n"/>
      <c r="V116" s="16" t="n"/>
      <c r="W116" s="16" t="n"/>
      <c r="X116" s="16" t="n"/>
      <c r="Y116" s="16" t="n"/>
      <c r="Z116" s="14" t="n"/>
      <c r="AA116" s="14" t="n"/>
      <c r="AB116" s="14" t="n"/>
      <c r="AC116" s="17">
        <f>IFERROR(VLOOKUP($H116&amp;"|"&amp;$Q116,Tariff_Master!$A$2:$L$169,3,FALSE),"")</f>
        <v/>
      </c>
      <c r="AD116" s="17">
        <f>IFERROR(VLOOKUP($H116&amp;"|"&amp;$Q116,Tariff_Master!$A$2:$L$169,4,FALSE),"")</f>
        <v/>
      </c>
      <c r="AE116" s="18">
        <f>IFERROR(VLOOKUP($H116&amp;"|"&amp;$Q116,Tariff_Master!$A$2:$L$169,6,FALSE),"")</f>
        <v/>
      </c>
      <c r="AF116" s="19">
        <f>IFERROR(VLOOKUP($H116&amp;"|"&amp;$Q116,Tariff_Master!$A$2:$L$169,7,FALSE),"")</f>
        <v/>
      </c>
      <c r="AG116" s="18">
        <f>IFERROR(VLOOKUP($H116&amp;"|"&amp;$Q116,Tariff_Master!$A$2:$L$169,8,FALSE),"")</f>
        <v/>
      </c>
      <c r="AH116" s="20">
        <f>IFERROR(VLOOKUP($H116&amp;"|"&amp;$Q116,Tariff_Master!$A$2:$L$169,9,FALSE),"")</f>
        <v/>
      </c>
      <c r="AI116" s="18">
        <f>IFERROR(VLOOKUP($H116&amp;"|"&amp;$Q116,Tariff_Master!$A$2:$L$169,10,FALSE),"")</f>
        <v/>
      </c>
      <c r="AJ116" s="21">
        <f>IF($M116="","",ROUNDUP(MAX(0,$M116),0))</f>
        <v/>
      </c>
      <c r="AK116" s="21">
        <f>IF(OR($AJ116="",$AF116=""),"",MAX(0,$AJ116-$AF116))</f>
        <v/>
      </c>
      <c r="AL116" s="22">
        <f>IF(OR($AK116="",$AG116=""),"",MAX(0,$AK116*$AG116))</f>
        <v/>
      </c>
      <c r="AM116" s="22">
        <f>IF($AE116="","",MAX(0,SUM($AE116,$AL116,$V116,$W116)))</f>
        <v/>
      </c>
      <c r="AN116" s="22">
        <f>IF($AM116="","",IF(AND($Q116="COMMITMENT",$R116&gt;=$AH116),$AI116,0))</f>
        <v/>
      </c>
      <c r="AO116" s="23">
        <f>IF($AM116="","",MAX(0,$AM116-$AN116))</f>
        <v/>
      </c>
      <c r="AP116" s="22">
        <f>IF($S116="","",IF(OR($S116="ITEM_PRICE_PLUS_DECLARED_DELIVERY",$S116="DELIVERY_CHARGE_ONLY"),$K116,IF($S116="TOTAL_AMOUNT_INCLUDING_DELIVERY",IF(OR($T116="",$J116=""),"",MAX(0,$T116-$J116-$U116)),IF($S116="ITEM_PRICE_ONLY_DELIVERY_PAID_BY_MERCHANT",0,""))))</f>
        <v/>
      </c>
      <c r="AQ116" s="23">
        <f>IF(OR($AP116="",$AO116=""),"",$AP116-$AO116)</f>
        <v/>
      </c>
      <c r="AR116" s="24">
        <f>IF($S116="EXACT_COLLECTION_AMOUNT","BREAKDOWN_REQUIRED",IF($AQ116="","",IF($AQ116&gt;0,"CREDIT_TO_MERCHANT",IF($AQ116&lt;0,"DEDUCT_FROM_MERCHANT","NO_ADJUSTMENT"))))</f>
        <v/>
      </c>
      <c r="AS116" s="23">
        <f>IF(OR($AQ116="",$AR116="BREAKDOWN_REQUIRED"),"",$AQ116)</f>
        <v/>
      </c>
      <c r="AT116" s="23">
        <f>IF(OR($AR116="",$AR116="BREAKDOWN_REQUIRED"),"",SUM($J116,$AQ116,$Y116)-$X116)</f>
        <v/>
      </c>
      <c r="AU116" s="25">
        <f>IF(AND($A116="",$B116="",$F116="",$H116="",$J116="",$K116="",$M116="",$S116=""),"",IF(OR($H116="",$Q116="",$M116="",$S116=""),"ERROR",IF(OR($J116&lt;0,$K116&lt;0,$M116&lt;0,$T116&lt;0,$U116&lt;0,$V116&lt;0,$W116&lt;0,$X116&lt;0,$Y116&lt;0),"ERROR",IF($AE116="","ERROR",IF(AND(OR($S116="ITEM_PRICE_PLUS_DECLARED_DELIVERY",$S116="TOTAL_AMOUNT_INCLUDING_DELIVERY",$S116="ITEM_PRICE_ONLY_DELIVERY_PAID_BY_MERCHANT"),$J116=""),"ERROR",IF(AND(OR($S116="ITEM_PRICE_PLUS_DECLARED_DELIVERY",$S116="DELIVERY_CHARGE_ONLY"),$K116=""),"ERROR",IF(AND(OR($S116="TOTAL_AMOUNT_INCLUDING_DELIVERY",$S116="EXACT_COLLECTION_AMOUNT"),$T116=""),"ERROR",IF(AND($S116="TOTAL_AMOUNT_INCLUDING_DELIVERY",$T116&lt;SUM($J116,$U116)),"ERROR",IF($S116="EXACT_COLLECTION_AMOUNT","REVIEW","OK")))))))))</f>
        <v/>
      </c>
      <c r="AV116" s="25">
        <f>IF($AU116="","",IF($H116="","Township required",IF($Q116="","Customer tier required",IF($M116="","Weight required",IF($S116="","Amount entry type required",IF(OR($J116&lt;0,$K116&lt;0,$M116&lt;0,$T116&lt;0,$U116&lt;0,$V116&lt;0,$W116&lt;0,$X116&lt;0,$Y116&lt;0),"Negative amounts are not allowed",IF($AE116="","Tariff not found for township and tier",IF(AND(OR($S116="ITEM_PRICE_PLUS_DECLARED_DELIVERY",$S116="TOTAL_AMOUNT_INCLUDING_DELIVERY",$S116="ITEM_PRICE_ONLY_DELIVERY_PAID_BY_MERCHANT"),$J116=""),"Item price required for this amount type",IF(AND(OR($S116="ITEM_PRICE_PLUS_DECLARED_DELIVERY",$S116="DELIVERY_CHARGE_ONLY"),$K116=""),"Declared delivery charge required",IF(AND(OR($S116="TOTAL_AMOUNT_INCLUDING_DELIVERY",$S116="EXACT_COLLECTION_AMOUNT"),$T116=""),"Stated total amount required",IF(AND($S116="TOTAL_AMOUNT_INCLUDING_DELIVERY",$T116&lt;SUM($J116,$U116)),"Stated total is below item price plus additional charge",IF($S116="EXACT_COLLECTION_AMOUNT","Authorized amount breakdown required before settlement","Ready for collection and settlement"))))))))))))</f>
        <v/>
      </c>
      <c r="AW116" s="23">
        <f>IF($AU116="","","PARCEL_FINANCIAL_V2")</f>
        <v/>
      </c>
      <c r="AX116" s="17" t="n"/>
    </row>
    <row r="117">
      <c r="A117" s="8" t="n"/>
      <c r="B117" s="8" t="n"/>
      <c r="C117" s="8" t="n"/>
      <c r="D117" s="8" t="n"/>
      <c r="E117" s="9" t="n"/>
      <c r="F117" s="9" t="n"/>
      <c r="G117" s="8" t="n"/>
      <c r="H117" s="9" t="n"/>
      <c r="I117" s="9" t="n"/>
      <c r="J117" s="10" t="n"/>
      <c r="K117" s="10" t="n"/>
      <c r="L117" s="11">
        <f>IF($S117="","",IF($S117="ITEM_PRICE_PLUS_DECLARED_DELIVERY",IF(OR($J117="",$K117=""),"",SUM($J117,$K117,$U117)),IF($S117="TOTAL_AMOUNT_INCLUDING_DELIVERY",IF($T117="","",$T117),IF($S117="DELIVERY_CHARGE_ONLY",IF($K117="","",SUM($K117,$U117)),IF($S117="EXACT_COLLECTION_AMOUNT",IF($T117="","",$T117),IF($S117="ITEM_PRICE_ONLY_DELIVERY_PAID_BY_MERCHANT",IF($J117="","",SUM($J117,$U117)),""))))))</f>
        <v/>
      </c>
      <c r="M117" s="12" t="n"/>
      <c r="N117" s="13" t="n"/>
      <c r="O117" s="13" t="n"/>
      <c r="P117" s="9" t="n"/>
      <c r="Q117" s="14" t="n"/>
      <c r="R117" s="15" t="n"/>
      <c r="S117" s="14" t="n"/>
      <c r="T117" s="16" t="n"/>
      <c r="U117" s="16" t="n"/>
      <c r="V117" s="16" t="n"/>
      <c r="W117" s="16" t="n"/>
      <c r="X117" s="16" t="n"/>
      <c r="Y117" s="16" t="n"/>
      <c r="Z117" s="14" t="n"/>
      <c r="AA117" s="14" t="n"/>
      <c r="AB117" s="14" t="n"/>
      <c r="AC117" s="17">
        <f>IFERROR(VLOOKUP($H117&amp;"|"&amp;$Q117,Tariff_Master!$A$2:$L$169,3,FALSE),"")</f>
        <v/>
      </c>
      <c r="AD117" s="17">
        <f>IFERROR(VLOOKUP($H117&amp;"|"&amp;$Q117,Tariff_Master!$A$2:$L$169,4,FALSE),"")</f>
        <v/>
      </c>
      <c r="AE117" s="18">
        <f>IFERROR(VLOOKUP($H117&amp;"|"&amp;$Q117,Tariff_Master!$A$2:$L$169,6,FALSE),"")</f>
        <v/>
      </c>
      <c r="AF117" s="19">
        <f>IFERROR(VLOOKUP($H117&amp;"|"&amp;$Q117,Tariff_Master!$A$2:$L$169,7,FALSE),"")</f>
        <v/>
      </c>
      <c r="AG117" s="18">
        <f>IFERROR(VLOOKUP($H117&amp;"|"&amp;$Q117,Tariff_Master!$A$2:$L$169,8,FALSE),"")</f>
        <v/>
      </c>
      <c r="AH117" s="20">
        <f>IFERROR(VLOOKUP($H117&amp;"|"&amp;$Q117,Tariff_Master!$A$2:$L$169,9,FALSE),"")</f>
        <v/>
      </c>
      <c r="AI117" s="18">
        <f>IFERROR(VLOOKUP($H117&amp;"|"&amp;$Q117,Tariff_Master!$A$2:$L$169,10,FALSE),"")</f>
        <v/>
      </c>
      <c r="AJ117" s="21">
        <f>IF($M117="","",ROUNDUP(MAX(0,$M117),0))</f>
        <v/>
      </c>
      <c r="AK117" s="21">
        <f>IF(OR($AJ117="",$AF117=""),"",MAX(0,$AJ117-$AF117))</f>
        <v/>
      </c>
      <c r="AL117" s="22">
        <f>IF(OR($AK117="",$AG117=""),"",MAX(0,$AK117*$AG117))</f>
        <v/>
      </c>
      <c r="AM117" s="22">
        <f>IF($AE117="","",MAX(0,SUM($AE117,$AL117,$V117,$W117)))</f>
        <v/>
      </c>
      <c r="AN117" s="22">
        <f>IF($AM117="","",IF(AND($Q117="COMMITMENT",$R117&gt;=$AH117),$AI117,0))</f>
        <v/>
      </c>
      <c r="AO117" s="23">
        <f>IF($AM117="","",MAX(0,$AM117-$AN117))</f>
        <v/>
      </c>
      <c r="AP117" s="22">
        <f>IF($S117="","",IF(OR($S117="ITEM_PRICE_PLUS_DECLARED_DELIVERY",$S117="DELIVERY_CHARGE_ONLY"),$K117,IF($S117="TOTAL_AMOUNT_INCLUDING_DELIVERY",IF(OR($T117="",$J117=""),"",MAX(0,$T117-$J117-$U117)),IF($S117="ITEM_PRICE_ONLY_DELIVERY_PAID_BY_MERCHANT",0,""))))</f>
        <v/>
      </c>
      <c r="AQ117" s="23">
        <f>IF(OR($AP117="",$AO117=""),"",$AP117-$AO117)</f>
        <v/>
      </c>
      <c r="AR117" s="24">
        <f>IF($S117="EXACT_COLLECTION_AMOUNT","BREAKDOWN_REQUIRED",IF($AQ117="","",IF($AQ117&gt;0,"CREDIT_TO_MERCHANT",IF($AQ117&lt;0,"DEDUCT_FROM_MERCHANT","NO_ADJUSTMENT"))))</f>
        <v/>
      </c>
      <c r="AS117" s="23">
        <f>IF(OR($AQ117="",$AR117="BREAKDOWN_REQUIRED"),"",$AQ117)</f>
        <v/>
      </c>
      <c r="AT117" s="23">
        <f>IF(OR($AR117="",$AR117="BREAKDOWN_REQUIRED"),"",SUM($J117,$AQ117,$Y117)-$X117)</f>
        <v/>
      </c>
      <c r="AU117" s="25">
        <f>IF(AND($A117="",$B117="",$F117="",$H117="",$J117="",$K117="",$M117="",$S117=""),"",IF(OR($H117="",$Q117="",$M117="",$S117=""),"ERROR",IF(OR($J117&lt;0,$K117&lt;0,$M117&lt;0,$T117&lt;0,$U117&lt;0,$V117&lt;0,$W117&lt;0,$X117&lt;0,$Y117&lt;0),"ERROR",IF($AE117="","ERROR",IF(AND(OR($S117="ITEM_PRICE_PLUS_DECLARED_DELIVERY",$S117="TOTAL_AMOUNT_INCLUDING_DELIVERY",$S117="ITEM_PRICE_ONLY_DELIVERY_PAID_BY_MERCHANT"),$J117=""),"ERROR",IF(AND(OR($S117="ITEM_PRICE_PLUS_DECLARED_DELIVERY",$S117="DELIVERY_CHARGE_ONLY"),$K117=""),"ERROR",IF(AND(OR($S117="TOTAL_AMOUNT_INCLUDING_DELIVERY",$S117="EXACT_COLLECTION_AMOUNT"),$T117=""),"ERROR",IF(AND($S117="TOTAL_AMOUNT_INCLUDING_DELIVERY",$T117&lt;SUM($J117,$U117)),"ERROR",IF($S117="EXACT_COLLECTION_AMOUNT","REVIEW","OK")))))))))</f>
        <v/>
      </c>
      <c r="AV117" s="25">
        <f>IF($AU117="","",IF($H117="","Township required",IF($Q117="","Customer tier required",IF($M117="","Weight required",IF($S117="","Amount entry type required",IF(OR($J117&lt;0,$K117&lt;0,$M117&lt;0,$T117&lt;0,$U117&lt;0,$V117&lt;0,$W117&lt;0,$X117&lt;0,$Y117&lt;0),"Negative amounts are not allowed",IF($AE117="","Tariff not found for township and tier",IF(AND(OR($S117="ITEM_PRICE_PLUS_DECLARED_DELIVERY",$S117="TOTAL_AMOUNT_INCLUDING_DELIVERY",$S117="ITEM_PRICE_ONLY_DELIVERY_PAID_BY_MERCHANT"),$J117=""),"Item price required for this amount type",IF(AND(OR($S117="ITEM_PRICE_PLUS_DECLARED_DELIVERY",$S117="DELIVERY_CHARGE_ONLY"),$K117=""),"Declared delivery charge required",IF(AND(OR($S117="TOTAL_AMOUNT_INCLUDING_DELIVERY",$S117="EXACT_COLLECTION_AMOUNT"),$T117=""),"Stated total amount required",IF(AND($S117="TOTAL_AMOUNT_INCLUDING_DELIVERY",$T117&lt;SUM($J117,$U117)),"Stated total is below item price plus additional charge",IF($S117="EXACT_COLLECTION_AMOUNT","Authorized amount breakdown required before settlement","Ready for collection and settlement"))))))))))))</f>
        <v/>
      </c>
      <c r="AW117" s="23">
        <f>IF($AU117="","","PARCEL_FINANCIAL_V2")</f>
        <v/>
      </c>
      <c r="AX117" s="17" t="n"/>
    </row>
    <row r="118">
      <c r="A118" s="8" t="n"/>
      <c r="B118" s="8" t="n"/>
      <c r="C118" s="8" t="n"/>
      <c r="D118" s="8" t="n"/>
      <c r="E118" s="9" t="n"/>
      <c r="F118" s="9" t="n"/>
      <c r="G118" s="8" t="n"/>
      <c r="H118" s="9" t="n"/>
      <c r="I118" s="9" t="n"/>
      <c r="J118" s="10" t="n"/>
      <c r="K118" s="10" t="n"/>
      <c r="L118" s="11">
        <f>IF($S118="","",IF($S118="ITEM_PRICE_PLUS_DECLARED_DELIVERY",IF(OR($J118="",$K118=""),"",SUM($J118,$K118,$U118)),IF($S118="TOTAL_AMOUNT_INCLUDING_DELIVERY",IF($T118="","",$T118),IF($S118="DELIVERY_CHARGE_ONLY",IF($K118="","",SUM($K118,$U118)),IF($S118="EXACT_COLLECTION_AMOUNT",IF($T118="","",$T118),IF($S118="ITEM_PRICE_ONLY_DELIVERY_PAID_BY_MERCHANT",IF($J118="","",SUM($J118,$U118)),""))))))</f>
        <v/>
      </c>
      <c r="M118" s="12" t="n"/>
      <c r="N118" s="13" t="n"/>
      <c r="O118" s="13" t="n"/>
      <c r="P118" s="9" t="n"/>
      <c r="Q118" s="14" t="n"/>
      <c r="R118" s="15" t="n"/>
      <c r="S118" s="14" t="n"/>
      <c r="T118" s="16" t="n"/>
      <c r="U118" s="16" t="n"/>
      <c r="V118" s="16" t="n"/>
      <c r="W118" s="16" t="n"/>
      <c r="X118" s="16" t="n"/>
      <c r="Y118" s="16" t="n"/>
      <c r="Z118" s="14" t="n"/>
      <c r="AA118" s="14" t="n"/>
      <c r="AB118" s="14" t="n"/>
      <c r="AC118" s="17">
        <f>IFERROR(VLOOKUP($H118&amp;"|"&amp;$Q118,Tariff_Master!$A$2:$L$169,3,FALSE),"")</f>
        <v/>
      </c>
      <c r="AD118" s="17">
        <f>IFERROR(VLOOKUP($H118&amp;"|"&amp;$Q118,Tariff_Master!$A$2:$L$169,4,FALSE),"")</f>
        <v/>
      </c>
      <c r="AE118" s="18">
        <f>IFERROR(VLOOKUP($H118&amp;"|"&amp;$Q118,Tariff_Master!$A$2:$L$169,6,FALSE),"")</f>
        <v/>
      </c>
      <c r="AF118" s="19">
        <f>IFERROR(VLOOKUP($H118&amp;"|"&amp;$Q118,Tariff_Master!$A$2:$L$169,7,FALSE),"")</f>
        <v/>
      </c>
      <c r="AG118" s="18">
        <f>IFERROR(VLOOKUP($H118&amp;"|"&amp;$Q118,Tariff_Master!$A$2:$L$169,8,FALSE),"")</f>
        <v/>
      </c>
      <c r="AH118" s="20">
        <f>IFERROR(VLOOKUP($H118&amp;"|"&amp;$Q118,Tariff_Master!$A$2:$L$169,9,FALSE),"")</f>
        <v/>
      </c>
      <c r="AI118" s="18">
        <f>IFERROR(VLOOKUP($H118&amp;"|"&amp;$Q118,Tariff_Master!$A$2:$L$169,10,FALSE),"")</f>
        <v/>
      </c>
      <c r="AJ118" s="21">
        <f>IF($M118="","",ROUNDUP(MAX(0,$M118),0))</f>
        <v/>
      </c>
      <c r="AK118" s="21">
        <f>IF(OR($AJ118="",$AF118=""),"",MAX(0,$AJ118-$AF118))</f>
        <v/>
      </c>
      <c r="AL118" s="22">
        <f>IF(OR($AK118="",$AG118=""),"",MAX(0,$AK118*$AG118))</f>
        <v/>
      </c>
      <c r="AM118" s="22">
        <f>IF($AE118="","",MAX(0,SUM($AE118,$AL118,$V118,$W118)))</f>
        <v/>
      </c>
      <c r="AN118" s="22">
        <f>IF($AM118="","",IF(AND($Q118="COMMITMENT",$R118&gt;=$AH118),$AI118,0))</f>
        <v/>
      </c>
      <c r="AO118" s="23">
        <f>IF($AM118="","",MAX(0,$AM118-$AN118))</f>
        <v/>
      </c>
      <c r="AP118" s="22">
        <f>IF($S118="","",IF(OR($S118="ITEM_PRICE_PLUS_DECLARED_DELIVERY",$S118="DELIVERY_CHARGE_ONLY"),$K118,IF($S118="TOTAL_AMOUNT_INCLUDING_DELIVERY",IF(OR($T118="",$J118=""),"",MAX(0,$T118-$J118-$U118)),IF($S118="ITEM_PRICE_ONLY_DELIVERY_PAID_BY_MERCHANT",0,""))))</f>
        <v/>
      </c>
      <c r="AQ118" s="23">
        <f>IF(OR($AP118="",$AO118=""),"",$AP118-$AO118)</f>
        <v/>
      </c>
      <c r="AR118" s="24">
        <f>IF($S118="EXACT_COLLECTION_AMOUNT","BREAKDOWN_REQUIRED",IF($AQ118="","",IF($AQ118&gt;0,"CREDIT_TO_MERCHANT",IF($AQ118&lt;0,"DEDUCT_FROM_MERCHANT","NO_ADJUSTMENT"))))</f>
        <v/>
      </c>
      <c r="AS118" s="23">
        <f>IF(OR($AQ118="",$AR118="BREAKDOWN_REQUIRED"),"",$AQ118)</f>
        <v/>
      </c>
      <c r="AT118" s="23">
        <f>IF(OR($AR118="",$AR118="BREAKDOWN_REQUIRED"),"",SUM($J118,$AQ118,$Y118)-$X118)</f>
        <v/>
      </c>
      <c r="AU118" s="25">
        <f>IF(AND($A118="",$B118="",$F118="",$H118="",$J118="",$K118="",$M118="",$S118=""),"",IF(OR($H118="",$Q118="",$M118="",$S118=""),"ERROR",IF(OR($J118&lt;0,$K118&lt;0,$M118&lt;0,$T118&lt;0,$U118&lt;0,$V118&lt;0,$W118&lt;0,$X118&lt;0,$Y118&lt;0),"ERROR",IF($AE118="","ERROR",IF(AND(OR($S118="ITEM_PRICE_PLUS_DECLARED_DELIVERY",$S118="TOTAL_AMOUNT_INCLUDING_DELIVERY",$S118="ITEM_PRICE_ONLY_DELIVERY_PAID_BY_MERCHANT"),$J118=""),"ERROR",IF(AND(OR($S118="ITEM_PRICE_PLUS_DECLARED_DELIVERY",$S118="DELIVERY_CHARGE_ONLY"),$K118=""),"ERROR",IF(AND(OR($S118="TOTAL_AMOUNT_INCLUDING_DELIVERY",$S118="EXACT_COLLECTION_AMOUNT"),$T118=""),"ERROR",IF(AND($S118="TOTAL_AMOUNT_INCLUDING_DELIVERY",$T118&lt;SUM($J118,$U118)),"ERROR",IF($S118="EXACT_COLLECTION_AMOUNT","REVIEW","OK")))))))))</f>
        <v/>
      </c>
      <c r="AV118" s="25">
        <f>IF($AU118="","",IF($H118="","Township required",IF($Q118="","Customer tier required",IF($M118="","Weight required",IF($S118="","Amount entry type required",IF(OR($J118&lt;0,$K118&lt;0,$M118&lt;0,$T118&lt;0,$U118&lt;0,$V118&lt;0,$W118&lt;0,$X118&lt;0,$Y118&lt;0),"Negative amounts are not allowed",IF($AE118="","Tariff not found for township and tier",IF(AND(OR($S118="ITEM_PRICE_PLUS_DECLARED_DELIVERY",$S118="TOTAL_AMOUNT_INCLUDING_DELIVERY",$S118="ITEM_PRICE_ONLY_DELIVERY_PAID_BY_MERCHANT"),$J118=""),"Item price required for this amount type",IF(AND(OR($S118="ITEM_PRICE_PLUS_DECLARED_DELIVERY",$S118="DELIVERY_CHARGE_ONLY"),$K118=""),"Declared delivery charge required",IF(AND(OR($S118="TOTAL_AMOUNT_INCLUDING_DELIVERY",$S118="EXACT_COLLECTION_AMOUNT"),$T118=""),"Stated total amount required",IF(AND($S118="TOTAL_AMOUNT_INCLUDING_DELIVERY",$T118&lt;SUM($J118,$U118)),"Stated total is below item price plus additional charge",IF($S118="EXACT_COLLECTION_AMOUNT","Authorized amount breakdown required before settlement","Ready for collection and settlement"))))))))))))</f>
        <v/>
      </c>
      <c r="AW118" s="23">
        <f>IF($AU118="","","PARCEL_FINANCIAL_V2")</f>
        <v/>
      </c>
      <c r="AX118" s="17" t="n"/>
    </row>
    <row r="119">
      <c r="A119" s="8" t="n"/>
      <c r="B119" s="8" t="n"/>
      <c r="C119" s="8" t="n"/>
      <c r="D119" s="8" t="n"/>
      <c r="E119" s="9" t="n"/>
      <c r="F119" s="9" t="n"/>
      <c r="G119" s="8" t="n"/>
      <c r="H119" s="9" t="n"/>
      <c r="I119" s="9" t="n"/>
      <c r="J119" s="10" t="n"/>
      <c r="K119" s="10" t="n"/>
      <c r="L119" s="11">
        <f>IF($S119="","",IF($S119="ITEM_PRICE_PLUS_DECLARED_DELIVERY",IF(OR($J119="",$K119=""),"",SUM($J119,$K119,$U119)),IF($S119="TOTAL_AMOUNT_INCLUDING_DELIVERY",IF($T119="","",$T119),IF($S119="DELIVERY_CHARGE_ONLY",IF($K119="","",SUM($K119,$U119)),IF($S119="EXACT_COLLECTION_AMOUNT",IF($T119="","",$T119),IF($S119="ITEM_PRICE_ONLY_DELIVERY_PAID_BY_MERCHANT",IF($J119="","",SUM($J119,$U119)),""))))))</f>
        <v/>
      </c>
      <c r="M119" s="12" t="n"/>
      <c r="N119" s="13" t="n"/>
      <c r="O119" s="13" t="n"/>
      <c r="P119" s="9" t="n"/>
      <c r="Q119" s="14" t="n"/>
      <c r="R119" s="15" t="n"/>
      <c r="S119" s="14" t="n"/>
      <c r="T119" s="16" t="n"/>
      <c r="U119" s="16" t="n"/>
      <c r="V119" s="16" t="n"/>
      <c r="W119" s="16" t="n"/>
      <c r="X119" s="16" t="n"/>
      <c r="Y119" s="16" t="n"/>
      <c r="Z119" s="14" t="n"/>
      <c r="AA119" s="14" t="n"/>
      <c r="AB119" s="14" t="n"/>
      <c r="AC119" s="17">
        <f>IFERROR(VLOOKUP($H119&amp;"|"&amp;$Q119,Tariff_Master!$A$2:$L$169,3,FALSE),"")</f>
        <v/>
      </c>
      <c r="AD119" s="17">
        <f>IFERROR(VLOOKUP($H119&amp;"|"&amp;$Q119,Tariff_Master!$A$2:$L$169,4,FALSE),"")</f>
        <v/>
      </c>
      <c r="AE119" s="18">
        <f>IFERROR(VLOOKUP($H119&amp;"|"&amp;$Q119,Tariff_Master!$A$2:$L$169,6,FALSE),"")</f>
        <v/>
      </c>
      <c r="AF119" s="19">
        <f>IFERROR(VLOOKUP($H119&amp;"|"&amp;$Q119,Tariff_Master!$A$2:$L$169,7,FALSE),"")</f>
        <v/>
      </c>
      <c r="AG119" s="18">
        <f>IFERROR(VLOOKUP($H119&amp;"|"&amp;$Q119,Tariff_Master!$A$2:$L$169,8,FALSE),"")</f>
        <v/>
      </c>
      <c r="AH119" s="20">
        <f>IFERROR(VLOOKUP($H119&amp;"|"&amp;$Q119,Tariff_Master!$A$2:$L$169,9,FALSE),"")</f>
        <v/>
      </c>
      <c r="AI119" s="18">
        <f>IFERROR(VLOOKUP($H119&amp;"|"&amp;$Q119,Tariff_Master!$A$2:$L$169,10,FALSE),"")</f>
        <v/>
      </c>
      <c r="AJ119" s="21">
        <f>IF($M119="","",ROUNDUP(MAX(0,$M119),0))</f>
        <v/>
      </c>
      <c r="AK119" s="21">
        <f>IF(OR($AJ119="",$AF119=""),"",MAX(0,$AJ119-$AF119))</f>
        <v/>
      </c>
      <c r="AL119" s="22">
        <f>IF(OR($AK119="",$AG119=""),"",MAX(0,$AK119*$AG119))</f>
        <v/>
      </c>
      <c r="AM119" s="22">
        <f>IF($AE119="","",MAX(0,SUM($AE119,$AL119,$V119,$W119)))</f>
        <v/>
      </c>
      <c r="AN119" s="22">
        <f>IF($AM119="","",IF(AND($Q119="COMMITMENT",$R119&gt;=$AH119),$AI119,0))</f>
        <v/>
      </c>
      <c r="AO119" s="23">
        <f>IF($AM119="","",MAX(0,$AM119-$AN119))</f>
        <v/>
      </c>
      <c r="AP119" s="22">
        <f>IF($S119="","",IF(OR($S119="ITEM_PRICE_PLUS_DECLARED_DELIVERY",$S119="DELIVERY_CHARGE_ONLY"),$K119,IF($S119="TOTAL_AMOUNT_INCLUDING_DELIVERY",IF(OR($T119="",$J119=""),"",MAX(0,$T119-$J119-$U119)),IF($S119="ITEM_PRICE_ONLY_DELIVERY_PAID_BY_MERCHANT",0,""))))</f>
        <v/>
      </c>
      <c r="AQ119" s="23">
        <f>IF(OR($AP119="",$AO119=""),"",$AP119-$AO119)</f>
        <v/>
      </c>
      <c r="AR119" s="24">
        <f>IF($S119="EXACT_COLLECTION_AMOUNT","BREAKDOWN_REQUIRED",IF($AQ119="","",IF($AQ119&gt;0,"CREDIT_TO_MERCHANT",IF($AQ119&lt;0,"DEDUCT_FROM_MERCHANT","NO_ADJUSTMENT"))))</f>
        <v/>
      </c>
      <c r="AS119" s="23">
        <f>IF(OR($AQ119="",$AR119="BREAKDOWN_REQUIRED"),"",$AQ119)</f>
        <v/>
      </c>
      <c r="AT119" s="23">
        <f>IF(OR($AR119="",$AR119="BREAKDOWN_REQUIRED"),"",SUM($J119,$AQ119,$Y119)-$X119)</f>
        <v/>
      </c>
      <c r="AU119" s="25">
        <f>IF(AND($A119="",$B119="",$F119="",$H119="",$J119="",$K119="",$M119="",$S119=""),"",IF(OR($H119="",$Q119="",$M119="",$S119=""),"ERROR",IF(OR($J119&lt;0,$K119&lt;0,$M119&lt;0,$T119&lt;0,$U119&lt;0,$V119&lt;0,$W119&lt;0,$X119&lt;0,$Y119&lt;0),"ERROR",IF($AE119="","ERROR",IF(AND(OR($S119="ITEM_PRICE_PLUS_DECLARED_DELIVERY",$S119="TOTAL_AMOUNT_INCLUDING_DELIVERY",$S119="ITEM_PRICE_ONLY_DELIVERY_PAID_BY_MERCHANT"),$J119=""),"ERROR",IF(AND(OR($S119="ITEM_PRICE_PLUS_DECLARED_DELIVERY",$S119="DELIVERY_CHARGE_ONLY"),$K119=""),"ERROR",IF(AND(OR($S119="TOTAL_AMOUNT_INCLUDING_DELIVERY",$S119="EXACT_COLLECTION_AMOUNT"),$T119=""),"ERROR",IF(AND($S119="TOTAL_AMOUNT_INCLUDING_DELIVERY",$T119&lt;SUM($J119,$U119)),"ERROR",IF($S119="EXACT_COLLECTION_AMOUNT","REVIEW","OK")))))))))</f>
        <v/>
      </c>
      <c r="AV119" s="25">
        <f>IF($AU119="","",IF($H119="","Township required",IF($Q119="","Customer tier required",IF($M119="","Weight required",IF($S119="","Amount entry type required",IF(OR($J119&lt;0,$K119&lt;0,$M119&lt;0,$T119&lt;0,$U119&lt;0,$V119&lt;0,$W119&lt;0,$X119&lt;0,$Y119&lt;0),"Negative amounts are not allowed",IF($AE119="","Tariff not found for township and tier",IF(AND(OR($S119="ITEM_PRICE_PLUS_DECLARED_DELIVERY",$S119="TOTAL_AMOUNT_INCLUDING_DELIVERY",$S119="ITEM_PRICE_ONLY_DELIVERY_PAID_BY_MERCHANT"),$J119=""),"Item price required for this amount type",IF(AND(OR($S119="ITEM_PRICE_PLUS_DECLARED_DELIVERY",$S119="DELIVERY_CHARGE_ONLY"),$K119=""),"Declared delivery charge required",IF(AND(OR($S119="TOTAL_AMOUNT_INCLUDING_DELIVERY",$S119="EXACT_COLLECTION_AMOUNT"),$T119=""),"Stated total amount required",IF(AND($S119="TOTAL_AMOUNT_INCLUDING_DELIVERY",$T119&lt;SUM($J119,$U119)),"Stated total is below item price plus additional charge",IF($S119="EXACT_COLLECTION_AMOUNT","Authorized amount breakdown required before settlement","Ready for collection and settlement"))))))))))))</f>
        <v/>
      </c>
      <c r="AW119" s="23">
        <f>IF($AU119="","","PARCEL_FINANCIAL_V2")</f>
        <v/>
      </c>
      <c r="AX119" s="17" t="n"/>
    </row>
    <row r="120">
      <c r="A120" s="8" t="n"/>
      <c r="B120" s="8" t="n"/>
      <c r="C120" s="8" t="n"/>
      <c r="D120" s="8" t="n"/>
      <c r="E120" s="9" t="n"/>
      <c r="F120" s="9" t="n"/>
      <c r="G120" s="8" t="n"/>
      <c r="H120" s="9" t="n"/>
      <c r="I120" s="9" t="n"/>
      <c r="J120" s="10" t="n"/>
      <c r="K120" s="10" t="n"/>
      <c r="L120" s="11">
        <f>IF($S120="","",IF($S120="ITEM_PRICE_PLUS_DECLARED_DELIVERY",IF(OR($J120="",$K120=""),"",SUM($J120,$K120,$U120)),IF($S120="TOTAL_AMOUNT_INCLUDING_DELIVERY",IF($T120="","",$T120),IF($S120="DELIVERY_CHARGE_ONLY",IF($K120="","",SUM($K120,$U120)),IF($S120="EXACT_COLLECTION_AMOUNT",IF($T120="","",$T120),IF($S120="ITEM_PRICE_ONLY_DELIVERY_PAID_BY_MERCHANT",IF($J120="","",SUM($J120,$U120)),""))))))</f>
        <v/>
      </c>
      <c r="M120" s="12" t="n"/>
      <c r="N120" s="13" t="n"/>
      <c r="O120" s="13" t="n"/>
      <c r="P120" s="9" t="n"/>
      <c r="Q120" s="14" t="n"/>
      <c r="R120" s="15" t="n"/>
      <c r="S120" s="14" t="n"/>
      <c r="T120" s="16" t="n"/>
      <c r="U120" s="16" t="n"/>
      <c r="V120" s="16" t="n"/>
      <c r="W120" s="16" t="n"/>
      <c r="X120" s="16" t="n"/>
      <c r="Y120" s="16" t="n"/>
      <c r="Z120" s="14" t="n"/>
      <c r="AA120" s="14" t="n"/>
      <c r="AB120" s="14" t="n"/>
      <c r="AC120" s="17">
        <f>IFERROR(VLOOKUP($H120&amp;"|"&amp;$Q120,Tariff_Master!$A$2:$L$169,3,FALSE),"")</f>
        <v/>
      </c>
      <c r="AD120" s="17">
        <f>IFERROR(VLOOKUP($H120&amp;"|"&amp;$Q120,Tariff_Master!$A$2:$L$169,4,FALSE),"")</f>
        <v/>
      </c>
      <c r="AE120" s="18">
        <f>IFERROR(VLOOKUP($H120&amp;"|"&amp;$Q120,Tariff_Master!$A$2:$L$169,6,FALSE),"")</f>
        <v/>
      </c>
      <c r="AF120" s="19">
        <f>IFERROR(VLOOKUP($H120&amp;"|"&amp;$Q120,Tariff_Master!$A$2:$L$169,7,FALSE),"")</f>
        <v/>
      </c>
      <c r="AG120" s="18">
        <f>IFERROR(VLOOKUP($H120&amp;"|"&amp;$Q120,Tariff_Master!$A$2:$L$169,8,FALSE),"")</f>
        <v/>
      </c>
      <c r="AH120" s="20">
        <f>IFERROR(VLOOKUP($H120&amp;"|"&amp;$Q120,Tariff_Master!$A$2:$L$169,9,FALSE),"")</f>
        <v/>
      </c>
      <c r="AI120" s="18">
        <f>IFERROR(VLOOKUP($H120&amp;"|"&amp;$Q120,Tariff_Master!$A$2:$L$169,10,FALSE),"")</f>
        <v/>
      </c>
      <c r="AJ120" s="21">
        <f>IF($M120="","",ROUNDUP(MAX(0,$M120),0))</f>
        <v/>
      </c>
      <c r="AK120" s="21">
        <f>IF(OR($AJ120="",$AF120=""),"",MAX(0,$AJ120-$AF120))</f>
        <v/>
      </c>
      <c r="AL120" s="22">
        <f>IF(OR($AK120="",$AG120=""),"",MAX(0,$AK120*$AG120))</f>
        <v/>
      </c>
      <c r="AM120" s="22">
        <f>IF($AE120="","",MAX(0,SUM($AE120,$AL120,$V120,$W120)))</f>
        <v/>
      </c>
      <c r="AN120" s="22">
        <f>IF($AM120="","",IF(AND($Q120="COMMITMENT",$R120&gt;=$AH120),$AI120,0))</f>
        <v/>
      </c>
      <c r="AO120" s="23">
        <f>IF($AM120="","",MAX(0,$AM120-$AN120))</f>
        <v/>
      </c>
      <c r="AP120" s="22">
        <f>IF($S120="","",IF(OR($S120="ITEM_PRICE_PLUS_DECLARED_DELIVERY",$S120="DELIVERY_CHARGE_ONLY"),$K120,IF($S120="TOTAL_AMOUNT_INCLUDING_DELIVERY",IF(OR($T120="",$J120=""),"",MAX(0,$T120-$J120-$U120)),IF($S120="ITEM_PRICE_ONLY_DELIVERY_PAID_BY_MERCHANT",0,""))))</f>
        <v/>
      </c>
      <c r="AQ120" s="23">
        <f>IF(OR($AP120="",$AO120=""),"",$AP120-$AO120)</f>
        <v/>
      </c>
      <c r="AR120" s="24">
        <f>IF($S120="EXACT_COLLECTION_AMOUNT","BREAKDOWN_REQUIRED",IF($AQ120="","",IF($AQ120&gt;0,"CREDIT_TO_MERCHANT",IF($AQ120&lt;0,"DEDUCT_FROM_MERCHANT","NO_ADJUSTMENT"))))</f>
        <v/>
      </c>
      <c r="AS120" s="23">
        <f>IF(OR($AQ120="",$AR120="BREAKDOWN_REQUIRED"),"",$AQ120)</f>
        <v/>
      </c>
      <c r="AT120" s="23">
        <f>IF(OR($AR120="",$AR120="BREAKDOWN_REQUIRED"),"",SUM($J120,$AQ120,$Y120)-$X120)</f>
        <v/>
      </c>
      <c r="AU120" s="25">
        <f>IF(AND($A120="",$B120="",$F120="",$H120="",$J120="",$K120="",$M120="",$S120=""),"",IF(OR($H120="",$Q120="",$M120="",$S120=""),"ERROR",IF(OR($J120&lt;0,$K120&lt;0,$M120&lt;0,$T120&lt;0,$U120&lt;0,$V120&lt;0,$W120&lt;0,$X120&lt;0,$Y120&lt;0),"ERROR",IF($AE120="","ERROR",IF(AND(OR($S120="ITEM_PRICE_PLUS_DECLARED_DELIVERY",$S120="TOTAL_AMOUNT_INCLUDING_DELIVERY",$S120="ITEM_PRICE_ONLY_DELIVERY_PAID_BY_MERCHANT"),$J120=""),"ERROR",IF(AND(OR($S120="ITEM_PRICE_PLUS_DECLARED_DELIVERY",$S120="DELIVERY_CHARGE_ONLY"),$K120=""),"ERROR",IF(AND(OR($S120="TOTAL_AMOUNT_INCLUDING_DELIVERY",$S120="EXACT_COLLECTION_AMOUNT"),$T120=""),"ERROR",IF(AND($S120="TOTAL_AMOUNT_INCLUDING_DELIVERY",$T120&lt;SUM($J120,$U120)),"ERROR",IF($S120="EXACT_COLLECTION_AMOUNT","REVIEW","OK")))))))))</f>
        <v/>
      </c>
      <c r="AV120" s="25">
        <f>IF($AU120="","",IF($H120="","Township required",IF($Q120="","Customer tier required",IF($M120="","Weight required",IF($S120="","Amount entry type required",IF(OR($J120&lt;0,$K120&lt;0,$M120&lt;0,$T120&lt;0,$U120&lt;0,$V120&lt;0,$W120&lt;0,$X120&lt;0,$Y120&lt;0),"Negative amounts are not allowed",IF($AE120="","Tariff not found for township and tier",IF(AND(OR($S120="ITEM_PRICE_PLUS_DECLARED_DELIVERY",$S120="TOTAL_AMOUNT_INCLUDING_DELIVERY",$S120="ITEM_PRICE_ONLY_DELIVERY_PAID_BY_MERCHANT"),$J120=""),"Item price required for this amount type",IF(AND(OR($S120="ITEM_PRICE_PLUS_DECLARED_DELIVERY",$S120="DELIVERY_CHARGE_ONLY"),$K120=""),"Declared delivery charge required",IF(AND(OR($S120="TOTAL_AMOUNT_INCLUDING_DELIVERY",$S120="EXACT_COLLECTION_AMOUNT"),$T120=""),"Stated total amount required",IF(AND($S120="TOTAL_AMOUNT_INCLUDING_DELIVERY",$T120&lt;SUM($J120,$U120)),"Stated total is below item price plus additional charge",IF($S120="EXACT_COLLECTION_AMOUNT","Authorized amount breakdown required before settlement","Ready for collection and settlement"))))))))))))</f>
        <v/>
      </c>
      <c r="AW120" s="23">
        <f>IF($AU120="","","PARCEL_FINANCIAL_V2")</f>
        <v/>
      </c>
      <c r="AX120" s="17" t="n"/>
    </row>
    <row r="121">
      <c r="A121" s="8" t="n"/>
      <c r="B121" s="8" t="n"/>
      <c r="C121" s="8" t="n"/>
      <c r="D121" s="8" t="n"/>
      <c r="E121" s="9" t="n"/>
      <c r="F121" s="9" t="n"/>
      <c r="G121" s="8" t="n"/>
      <c r="H121" s="9" t="n"/>
      <c r="I121" s="9" t="n"/>
      <c r="J121" s="10" t="n"/>
      <c r="K121" s="10" t="n"/>
      <c r="L121" s="11">
        <f>IF($S121="","",IF($S121="ITEM_PRICE_PLUS_DECLARED_DELIVERY",IF(OR($J121="",$K121=""),"",SUM($J121,$K121,$U121)),IF($S121="TOTAL_AMOUNT_INCLUDING_DELIVERY",IF($T121="","",$T121),IF($S121="DELIVERY_CHARGE_ONLY",IF($K121="","",SUM($K121,$U121)),IF($S121="EXACT_COLLECTION_AMOUNT",IF($T121="","",$T121),IF($S121="ITEM_PRICE_ONLY_DELIVERY_PAID_BY_MERCHANT",IF($J121="","",SUM($J121,$U121)),""))))))</f>
        <v/>
      </c>
      <c r="M121" s="12" t="n"/>
      <c r="N121" s="13" t="n"/>
      <c r="O121" s="13" t="n"/>
      <c r="P121" s="9" t="n"/>
      <c r="Q121" s="14" t="n"/>
      <c r="R121" s="15" t="n"/>
      <c r="S121" s="14" t="n"/>
      <c r="T121" s="16" t="n"/>
      <c r="U121" s="16" t="n"/>
      <c r="V121" s="16" t="n"/>
      <c r="W121" s="16" t="n"/>
      <c r="X121" s="16" t="n"/>
      <c r="Y121" s="16" t="n"/>
      <c r="Z121" s="14" t="n"/>
      <c r="AA121" s="14" t="n"/>
      <c r="AB121" s="14" t="n"/>
      <c r="AC121" s="17">
        <f>IFERROR(VLOOKUP($H121&amp;"|"&amp;$Q121,Tariff_Master!$A$2:$L$169,3,FALSE),"")</f>
        <v/>
      </c>
      <c r="AD121" s="17">
        <f>IFERROR(VLOOKUP($H121&amp;"|"&amp;$Q121,Tariff_Master!$A$2:$L$169,4,FALSE),"")</f>
        <v/>
      </c>
      <c r="AE121" s="18">
        <f>IFERROR(VLOOKUP($H121&amp;"|"&amp;$Q121,Tariff_Master!$A$2:$L$169,6,FALSE),"")</f>
        <v/>
      </c>
      <c r="AF121" s="19">
        <f>IFERROR(VLOOKUP($H121&amp;"|"&amp;$Q121,Tariff_Master!$A$2:$L$169,7,FALSE),"")</f>
        <v/>
      </c>
      <c r="AG121" s="18">
        <f>IFERROR(VLOOKUP($H121&amp;"|"&amp;$Q121,Tariff_Master!$A$2:$L$169,8,FALSE),"")</f>
        <v/>
      </c>
      <c r="AH121" s="20">
        <f>IFERROR(VLOOKUP($H121&amp;"|"&amp;$Q121,Tariff_Master!$A$2:$L$169,9,FALSE),"")</f>
        <v/>
      </c>
      <c r="AI121" s="18">
        <f>IFERROR(VLOOKUP($H121&amp;"|"&amp;$Q121,Tariff_Master!$A$2:$L$169,10,FALSE),"")</f>
        <v/>
      </c>
      <c r="AJ121" s="21">
        <f>IF($M121="","",ROUNDUP(MAX(0,$M121),0))</f>
        <v/>
      </c>
      <c r="AK121" s="21">
        <f>IF(OR($AJ121="",$AF121=""),"",MAX(0,$AJ121-$AF121))</f>
        <v/>
      </c>
      <c r="AL121" s="22">
        <f>IF(OR($AK121="",$AG121=""),"",MAX(0,$AK121*$AG121))</f>
        <v/>
      </c>
      <c r="AM121" s="22">
        <f>IF($AE121="","",MAX(0,SUM($AE121,$AL121,$V121,$W121)))</f>
        <v/>
      </c>
      <c r="AN121" s="22">
        <f>IF($AM121="","",IF(AND($Q121="COMMITMENT",$R121&gt;=$AH121),$AI121,0))</f>
        <v/>
      </c>
      <c r="AO121" s="23">
        <f>IF($AM121="","",MAX(0,$AM121-$AN121))</f>
        <v/>
      </c>
      <c r="AP121" s="22">
        <f>IF($S121="","",IF(OR($S121="ITEM_PRICE_PLUS_DECLARED_DELIVERY",$S121="DELIVERY_CHARGE_ONLY"),$K121,IF($S121="TOTAL_AMOUNT_INCLUDING_DELIVERY",IF(OR($T121="",$J121=""),"",MAX(0,$T121-$J121-$U121)),IF($S121="ITEM_PRICE_ONLY_DELIVERY_PAID_BY_MERCHANT",0,""))))</f>
        <v/>
      </c>
      <c r="AQ121" s="23">
        <f>IF(OR($AP121="",$AO121=""),"",$AP121-$AO121)</f>
        <v/>
      </c>
      <c r="AR121" s="24">
        <f>IF($S121="EXACT_COLLECTION_AMOUNT","BREAKDOWN_REQUIRED",IF($AQ121="","",IF($AQ121&gt;0,"CREDIT_TO_MERCHANT",IF($AQ121&lt;0,"DEDUCT_FROM_MERCHANT","NO_ADJUSTMENT"))))</f>
        <v/>
      </c>
      <c r="AS121" s="23">
        <f>IF(OR($AQ121="",$AR121="BREAKDOWN_REQUIRED"),"",$AQ121)</f>
        <v/>
      </c>
      <c r="AT121" s="23">
        <f>IF(OR($AR121="",$AR121="BREAKDOWN_REQUIRED"),"",SUM($J121,$AQ121,$Y121)-$X121)</f>
        <v/>
      </c>
      <c r="AU121" s="25">
        <f>IF(AND($A121="",$B121="",$F121="",$H121="",$J121="",$K121="",$M121="",$S121=""),"",IF(OR($H121="",$Q121="",$M121="",$S121=""),"ERROR",IF(OR($J121&lt;0,$K121&lt;0,$M121&lt;0,$T121&lt;0,$U121&lt;0,$V121&lt;0,$W121&lt;0,$X121&lt;0,$Y121&lt;0),"ERROR",IF($AE121="","ERROR",IF(AND(OR($S121="ITEM_PRICE_PLUS_DECLARED_DELIVERY",$S121="TOTAL_AMOUNT_INCLUDING_DELIVERY",$S121="ITEM_PRICE_ONLY_DELIVERY_PAID_BY_MERCHANT"),$J121=""),"ERROR",IF(AND(OR($S121="ITEM_PRICE_PLUS_DECLARED_DELIVERY",$S121="DELIVERY_CHARGE_ONLY"),$K121=""),"ERROR",IF(AND(OR($S121="TOTAL_AMOUNT_INCLUDING_DELIVERY",$S121="EXACT_COLLECTION_AMOUNT"),$T121=""),"ERROR",IF(AND($S121="TOTAL_AMOUNT_INCLUDING_DELIVERY",$T121&lt;SUM($J121,$U121)),"ERROR",IF($S121="EXACT_COLLECTION_AMOUNT","REVIEW","OK")))))))))</f>
        <v/>
      </c>
      <c r="AV121" s="25">
        <f>IF($AU121="","",IF($H121="","Township required",IF($Q121="","Customer tier required",IF($M121="","Weight required",IF($S121="","Amount entry type required",IF(OR($J121&lt;0,$K121&lt;0,$M121&lt;0,$T121&lt;0,$U121&lt;0,$V121&lt;0,$W121&lt;0,$X121&lt;0,$Y121&lt;0),"Negative amounts are not allowed",IF($AE121="","Tariff not found for township and tier",IF(AND(OR($S121="ITEM_PRICE_PLUS_DECLARED_DELIVERY",$S121="TOTAL_AMOUNT_INCLUDING_DELIVERY",$S121="ITEM_PRICE_ONLY_DELIVERY_PAID_BY_MERCHANT"),$J121=""),"Item price required for this amount type",IF(AND(OR($S121="ITEM_PRICE_PLUS_DECLARED_DELIVERY",$S121="DELIVERY_CHARGE_ONLY"),$K121=""),"Declared delivery charge required",IF(AND(OR($S121="TOTAL_AMOUNT_INCLUDING_DELIVERY",$S121="EXACT_COLLECTION_AMOUNT"),$T121=""),"Stated total amount required",IF(AND($S121="TOTAL_AMOUNT_INCLUDING_DELIVERY",$T121&lt;SUM($J121,$U121)),"Stated total is below item price plus additional charge",IF($S121="EXACT_COLLECTION_AMOUNT","Authorized amount breakdown required before settlement","Ready for collection and settlement"))))))))))))</f>
        <v/>
      </c>
      <c r="AW121" s="23">
        <f>IF($AU121="","","PARCEL_FINANCIAL_V2")</f>
        <v/>
      </c>
      <c r="AX121" s="17" t="n"/>
    </row>
    <row r="122">
      <c r="A122" s="8" t="n"/>
      <c r="B122" s="8" t="n"/>
      <c r="C122" s="8" t="n"/>
      <c r="D122" s="8" t="n"/>
      <c r="E122" s="9" t="n"/>
      <c r="F122" s="9" t="n"/>
      <c r="G122" s="8" t="n"/>
      <c r="H122" s="9" t="n"/>
      <c r="I122" s="9" t="n"/>
      <c r="J122" s="10" t="n"/>
      <c r="K122" s="10" t="n"/>
      <c r="L122" s="11">
        <f>IF($S122="","",IF($S122="ITEM_PRICE_PLUS_DECLARED_DELIVERY",IF(OR($J122="",$K122=""),"",SUM($J122,$K122,$U122)),IF($S122="TOTAL_AMOUNT_INCLUDING_DELIVERY",IF($T122="","",$T122),IF($S122="DELIVERY_CHARGE_ONLY",IF($K122="","",SUM($K122,$U122)),IF($S122="EXACT_COLLECTION_AMOUNT",IF($T122="","",$T122),IF($S122="ITEM_PRICE_ONLY_DELIVERY_PAID_BY_MERCHANT",IF($J122="","",SUM($J122,$U122)),""))))))</f>
        <v/>
      </c>
      <c r="M122" s="12" t="n"/>
      <c r="N122" s="13" t="n"/>
      <c r="O122" s="13" t="n"/>
      <c r="P122" s="9" t="n"/>
      <c r="Q122" s="14" t="n"/>
      <c r="R122" s="15" t="n"/>
      <c r="S122" s="14" t="n"/>
      <c r="T122" s="16" t="n"/>
      <c r="U122" s="16" t="n"/>
      <c r="V122" s="16" t="n"/>
      <c r="W122" s="16" t="n"/>
      <c r="X122" s="16" t="n"/>
      <c r="Y122" s="16" t="n"/>
      <c r="Z122" s="14" t="n"/>
      <c r="AA122" s="14" t="n"/>
      <c r="AB122" s="14" t="n"/>
      <c r="AC122" s="17">
        <f>IFERROR(VLOOKUP($H122&amp;"|"&amp;$Q122,Tariff_Master!$A$2:$L$169,3,FALSE),"")</f>
        <v/>
      </c>
      <c r="AD122" s="17">
        <f>IFERROR(VLOOKUP($H122&amp;"|"&amp;$Q122,Tariff_Master!$A$2:$L$169,4,FALSE),"")</f>
        <v/>
      </c>
      <c r="AE122" s="18">
        <f>IFERROR(VLOOKUP($H122&amp;"|"&amp;$Q122,Tariff_Master!$A$2:$L$169,6,FALSE),"")</f>
        <v/>
      </c>
      <c r="AF122" s="19">
        <f>IFERROR(VLOOKUP($H122&amp;"|"&amp;$Q122,Tariff_Master!$A$2:$L$169,7,FALSE),"")</f>
        <v/>
      </c>
      <c r="AG122" s="18">
        <f>IFERROR(VLOOKUP($H122&amp;"|"&amp;$Q122,Tariff_Master!$A$2:$L$169,8,FALSE),"")</f>
        <v/>
      </c>
      <c r="AH122" s="20">
        <f>IFERROR(VLOOKUP($H122&amp;"|"&amp;$Q122,Tariff_Master!$A$2:$L$169,9,FALSE),"")</f>
        <v/>
      </c>
      <c r="AI122" s="18">
        <f>IFERROR(VLOOKUP($H122&amp;"|"&amp;$Q122,Tariff_Master!$A$2:$L$169,10,FALSE),"")</f>
        <v/>
      </c>
      <c r="AJ122" s="21">
        <f>IF($M122="","",ROUNDUP(MAX(0,$M122),0))</f>
        <v/>
      </c>
      <c r="AK122" s="21">
        <f>IF(OR($AJ122="",$AF122=""),"",MAX(0,$AJ122-$AF122))</f>
        <v/>
      </c>
      <c r="AL122" s="22">
        <f>IF(OR($AK122="",$AG122=""),"",MAX(0,$AK122*$AG122))</f>
        <v/>
      </c>
      <c r="AM122" s="22">
        <f>IF($AE122="","",MAX(0,SUM($AE122,$AL122,$V122,$W122)))</f>
        <v/>
      </c>
      <c r="AN122" s="22">
        <f>IF($AM122="","",IF(AND($Q122="COMMITMENT",$R122&gt;=$AH122),$AI122,0))</f>
        <v/>
      </c>
      <c r="AO122" s="23">
        <f>IF($AM122="","",MAX(0,$AM122-$AN122))</f>
        <v/>
      </c>
      <c r="AP122" s="22">
        <f>IF($S122="","",IF(OR($S122="ITEM_PRICE_PLUS_DECLARED_DELIVERY",$S122="DELIVERY_CHARGE_ONLY"),$K122,IF($S122="TOTAL_AMOUNT_INCLUDING_DELIVERY",IF(OR($T122="",$J122=""),"",MAX(0,$T122-$J122-$U122)),IF($S122="ITEM_PRICE_ONLY_DELIVERY_PAID_BY_MERCHANT",0,""))))</f>
        <v/>
      </c>
      <c r="AQ122" s="23">
        <f>IF(OR($AP122="",$AO122=""),"",$AP122-$AO122)</f>
        <v/>
      </c>
      <c r="AR122" s="24">
        <f>IF($S122="EXACT_COLLECTION_AMOUNT","BREAKDOWN_REQUIRED",IF($AQ122="","",IF($AQ122&gt;0,"CREDIT_TO_MERCHANT",IF($AQ122&lt;0,"DEDUCT_FROM_MERCHANT","NO_ADJUSTMENT"))))</f>
        <v/>
      </c>
      <c r="AS122" s="23">
        <f>IF(OR($AQ122="",$AR122="BREAKDOWN_REQUIRED"),"",$AQ122)</f>
        <v/>
      </c>
      <c r="AT122" s="23">
        <f>IF(OR($AR122="",$AR122="BREAKDOWN_REQUIRED"),"",SUM($J122,$AQ122,$Y122)-$X122)</f>
        <v/>
      </c>
      <c r="AU122" s="25">
        <f>IF(AND($A122="",$B122="",$F122="",$H122="",$J122="",$K122="",$M122="",$S122=""),"",IF(OR($H122="",$Q122="",$M122="",$S122=""),"ERROR",IF(OR($J122&lt;0,$K122&lt;0,$M122&lt;0,$T122&lt;0,$U122&lt;0,$V122&lt;0,$W122&lt;0,$X122&lt;0,$Y122&lt;0),"ERROR",IF($AE122="","ERROR",IF(AND(OR($S122="ITEM_PRICE_PLUS_DECLARED_DELIVERY",$S122="TOTAL_AMOUNT_INCLUDING_DELIVERY",$S122="ITEM_PRICE_ONLY_DELIVERY_PAID_BY_MERCHANT"),$J122=""),"ERROR",IF(AND(OR($S122="ITEM_PRICE_PLUS_DECLARED_DELIVERY",$S122="DELIVERY_CHARGE_ONLY"),$K122=""),"ERROR",IF(AND(OR($S122="TOTAL_AMOUNT_INCLUDING_DELIVERY",$S122="EXACT_COLLECTION_AMOUNT"),$T122=""),"ERROR",IF(AND($S122="TOTAL_AMOUNT_INCLUDING_DELIVERY",$T122&lt;SUM($J122,$U122)),"ERROR",IF($S122="EXACT_COLLECTION_AMOUNT","REVIEW","OK")))))))))</f>
        <v/>
      </c>
      <c r="AV122" s="25">
        <f>IF($AU122="","",IF($H122="","Township required",IF($Q122="","Customer tier required",IF($M122="","Weight required",IF($S122="","Amount entry type required",IF(OR($J122&lt;0,$K122&lt;0,$M122&lt;0,$T122&lt;0,$U122&lt;0,$V122&lt;0,$W122&lt;0,$X122&lt;0,$Y122&lt;0),"Negative amounts are not allowed",IF($AE122="","Tariff not found for township and tier",IF(AND(OR($S122="ITEM_PRICE_PLUS_DECLARED_DELIVERY",$S122="TOTAL_AMOUNT_INCLUDING_DELIVERY",$S122="ITEM_PRICE_ONLY_DELIVERY_PAID_BY_MERCHANT"),$J122=""),"Item price required for this amount type",IF(AND(OR($S122="ITEM_PRICE_PLUS_DECLARED_DELIVERY",$S122="DELIVERY_CHARGE_ONLY"),$K122=""),"Declared delivery charge required",IF(AND(OR($S122="TOTAL_AMOUNT_INCLUDING_DELIVERY",$S122="EXACT_COLLECTION_AMOUNT"),$T122=""),"Stated total amount required",IF(AND($S122="TOTAL_AMOUNT_INCLUDING_DELIVERY",$T122&lt;SUM($J122,$U122)),"Stated total is below item price plus additional charge",IF($S122="EXACT_COLLECTION_AMOUNT","Authorized amount breakdown required before settlement","Ready for collection and settlement"))))))))))))</f>
        <v/>
      </c>
      <c r="AW122" s="23">
        <f>IF($AU122="","","PARCEL_FINANCIAL_V2")</f>
        <v/>
      </c>
      <c r="AX122" s="17" t="n"/>
    </row>
    <row r="123">
      <c r="A123" s="8" t="n"/>
      <c r="B123" s="8" t="n"/>
      <c r="C123" s="8" t="n"/>
      <c r="D123" s="8" t="n"/>
      <c r="E123" s="9" t="n"/>
      <c r="F123" s="9" t="n"/>
      <c r="G123" s="8" t="n"/>
      <c r="H123" s="9" t="n"/>
      <c r="I123" s="9" t="n"/>
      <c r="J123" s="10" t="n"/>
      <c r="K123" s="10" t="n"/>
      <c r="L123" s="11">
        <f>IF($S123="","",IF($S123="ITEM_PRICE_PLUS_DECLARED_DELIVERY",IF(OR($J123="",$K123=""),"",SUM($J123,$K123,$U123)),IF($S123="TOTAL_AMOUNT_INCLUDING_DELIVERY",IF($T123="","",$T123),IF($S123="DELIVERY_CHARGE_ONLY",IF($K123="","",SUM($K123,$U123)),IF($S123="EXACT_COLLECTION_AMOUNT",IF($T123="","",$T123),IF($S123="ITEM_PRICE_ONLY_DELIVERY_PAID_BY_MERCHANT",IF($J123="","",SUM($J123,$U123)),""))))))</f>
        <v/>
      </c>
      <c r="M123" s="12" t="n"/>
      <c r="N123" s="13" t="n"/>
      <c r="O123" s="13" t="n"/>
      <c r="P123" s="9" t="n"/>
      <c r="Q123" s="14" t="n"/>
      <c r="R123" s="15" t="n"/>
      <c r="S123" s="14" t="n"/>
      <c r="T123" s="16" t="n"/>
      <c r="U123" s="16" t="n"/>
      <c r="V123" s="16" t="n"/>
      <c r="W123" s="16" t="n"/>
      <c r="X123" s="16" t="n"/>
      <c r="Y123" s="16" t="n"/>
      <c r="Z123" s="14" t="n"/>
      <c r="AA123" s="14" t="n"/>
      <c r="AB123" s="14" t="n"/>
      <c r="AC123" s="17">
        <f>IFERROR(VLOOKUP($H123&amp;"|"&amp;$Q123,Tariff_Master!$A$2:$L$169,3,FALSE),"")</f>
        <v/>
      </c>
      <c r="AD123" s="17">
        <f>IFERROR(VLOOKUP($H123&amp;"|"&amp;$Q123,Tariff_Master!$A$2:$L$169,4,FALSE),"")</f>
        <v/>
      </c>
      <c r="AE123" s="18">
        <f>IFERROR(VLOOKUP($H123&amp;"|"&amp;$Q123,Tariff_Master!$A$2:$L$169,6,FALSE),"")</f>
        <v/>
      </c>
      <c r="AF123" s="19">
        <f>IFERROR(VLOOKUP($H123&amp;"|"&amp;$Q123,Tariff_Master!$A$2:$L$169,7,FALSE),"")</f>
        <v/>
      </c>
      <c r="AG123" s="18">
        <f>IFERROR(VLOOKUP($H123&amp;"|"&amp;$Q123,Tariff_Master!$A$2:$L$169,8,FALSE),"")</f>
        <v/>
      </c>
      <c r="AH123" s="20">
        <f>IFERROR(VLOOKUP($H123&amp;"|"&amp;$Q123,Tariff_Master!$A$2:$L$169,9,FALSE),"")</f>
        <v/>
      </c>
      <c r="AI123" s="18">
        <f>IFERROR(VLOOKUP($H123&amp;"|"&amp;$Q123,Tariff_Master!$A$2:$L$169,10,FALSE),"")</f>
        <v/>
      </c>
      <c r="AJ123" s="21">
        <f>IF($M123="","",ROUNDUP(MAX(0,$M123),0))</f>
        <v/>
      </c>
      <c r="AK123" s="21">
        <f>IF(OR($AJ123="",$AF123=""),"",MAX(0,$AJ123-$AF123))</f>
        <v/>
      </c>
      <c r="AL123" s="22">
        <f>IF(OR($AK123="",$AG123=""),"",MAX(0,$AK123*$AG123))</f>
        <v/>
      </c>
      <c r="AM123" s="22">
        <f>IF($AE123="","",MAX(0,SUM($AE123,$AL123,$V123,$W123)))</f>
        <v/>
      </c>
      <c r="AN123" s="22">
        <f>IF($AM123="","",IF(AND($Q123="COMMITMENT",$R123&gt;=$AH123),$AI123,0))</f>
        <v/>
      </c>
      <c r="AO123" s="23">
        <f>IF($AM123="","",MAX(0,$AM123-$AN123))</f>
        <v/>
      </c>
      <c r="AP123" s="22">
        <f>IF($S123="","",IF(OR($S123="ITEM_PRICE_PLUS_DECLARED_DELIVERY",$S123="DELIVERY_CHARGE_ONLY"),$K123,IF($S123="TOTAL_AMOUNT_INCLUDING_DELIVERY",IF(OR($T123="",$J123=""),"",MAX(0,$T123-$J123-$U123)),IF($S123="ITEM_PRICE_ONLY_DELIVERY_PAID_BY_MERCHANT",0,""))))</f>
        <v/>
      </c>
      <c r="AQ123" s="23">
        <f>IF(OR($AP123="",$AO123=""),"",$AP123-$AO123)</f>
        <v/>
      </c>
      <c r="AR123" s="24">
        <f>IF($S123="EXACT_COLLECTION_AMOUNT","BREAKDOWN_REQUIRED",IF($AQ123="","",IF($AQ123&gt;0,"CREDIT_TO_MERCHANT",IF($AQ123&lt;0,"DEDUCT_FROM_MERCHANT","NO_ADJUSTMENT"))))</f>
        <v/>
      </c>
      <c r="AS123" s="23">
        <f>IF(OR($AQ123="",$AR123="BREAKDOWN_REQUIRED"),"",$AQ123)</f>
        <v/>
      </c>
      <c r="AT123" s="23">
        <f>IF(OR($AR123="",$AR123="BREAKDOWN_REQUIRED"),"",SUM($J123,$AQ123,$Y123)-$X123)</f>
        <v/>
      </c>
      <c r="AU123" s="25">
        <f>IF(AND($A123="",$B123="",$F123="",$H123="",$J123="",$K123="",$M123="",$S123=""),"",IF(OR($H123="",$Q123="",$M123="",$S123=""),"ERROR",IF(OR($J123&lt;0,$K123&lt;0,$M123&lt;0,$T123&lt;0,$U123&lt;0,$V123&lt;0,$W123&lt;0,$X123&lt;0,$Y123&lt;0),"ERROR",IF($AE123="","ERROR",IF(AND(OR($S123="ITEM_PRICE_PLUS_DECLARED_DELIVERY",$S123="TOTAL_AMOUNT_INCLUDING_DELIVERY",$S123="ITEM_PRICE_ONLY_DELIVERY_PAID_BY_MERCHANT"),$J123=""),"ERROR",IF(AND(OR($S123="ITEM_PRICE_PLUS_DECLARED_DELIVERY",$S123="DELIVERY_CHARGE_ONLY"),$K123=""),"ERROR",IF(AND(OR($S123="TOTAL_AMOUNT_INCLUDING_DELIVERY",$S123="EXACT_COLLECTION_AMOUNT"),$T123=""),"ERROR",IF(AND($S123="TOTAL_AMOUNT_INCLUDING_DELIVERY",$T123&lt;SUM($J123,$U123)),"ERROR",IF($S123="EXACT_COLLECTION_AMOUNT","REVIEW","OK")))))))))</f>
        <v/>
      </c>
      <c r="AV123" s="25">
        <f>IF($AU123="","",IF($H123="","Township required",IF($Q123="","Customer tier required",IF($M123="","Weight required",IF($S123="","Amount entry type required",IF(OR($J123&lt;0,$K123&lt;0,$M123&lt;0,$T123&lt;0,$U123&lt;0,$V123&lt;0,$W123&lt;0,$X123&lt;0,$Y123&lt;0),"Negative amounts are not allowed",IF($AE123="","Tariff not found for township and tier",IF(AND(OR($S123="ITEM_PRICE_PLUS_DECLARED_DELIVERY",$S123="TOTAL_AMOUNT_INCLUDING_DELIVERY",$S123="ITEM_PRICE_ONLY_DELIVERY_PAID_BY_MERCHANT"),$J123=""),"Item price required for this amount type",IF(AND(OR($S123="ITEM_PRICE_PLUS_DECLARED_DELIVERY",$S123="DELIVERY_CHARGE_ONLY"),$K123=""),"Declared delivery charge required",IF(AND(OR($S123="TOTAL_AMOUNT_INCLUDING_DELIVERY",$S123="EXACT_COLLECTION_AMOUNT"),$T123=""),"Stated total amount required",IF(AND($S123="TOTAL_AMOUNT_INCLUDING_DELIVERY",$T123&lt;SUM($J123,$U123)),"Stated total is below item price plus additional charge",IF($S123="EXACT_COLLECTION_AMOUNT","Authorized amount breakdown required before settlement","Ready for collection and settlement"))))))))))))</f>
        <v/>
      </c>
      <c r="AW123" s="23">
        <f>IF($AU123="","","PARCEL_FINANCIAL_V2")</f>
        <v/>
      </c>
      <c r="AX123" s="17" t="n"/>
    </row>
    <row r="124">
      <c r="A124" s="8" t="n"/>
      <c r="B124" s="8" t="n"/>
      <c r="C124" s="8" t="n"/>
      <c r="D124" s="8" t="n"/>
      <c r="E124" s="9" t="n"/>
      <c r="F124" s="9" t="n"/>
      <c r="G124" s="8" t="n"/>
      <c r="H124" s="9" t="n"/>
      <c r="I124" s="9" t="n"/>
      <c r="J124" s="10" t="n"/>
      <c r="K124" s="10" t="n"/>
      <c r="L124" s="11">
        <f>IF($S124="","",IF($S124="ITEM_PRICE_PLUS_DECLARED_DELIVERY",IF(OR($J124="",$K124=""),"",SUM($J124,$K124,$U124)),IF($S124="TOTAL_AMOUNT_INCLUDING_DELIVERY",IF($T124="","",$T124),IF($S124="DELIVERY_CHARGE_ONLY",IF($K124="","",SUM($K124,$U124)),IF($S124="EXACT_COLLECTION_AMOUNT",IF($T124="","",$T124),IF($S124="ITEM_PRICE_ONLY_DELIVERY_PAID_BY_MERCHANT",IF($J124="","",SUM($J124,$U124)),""))))))</f>
        <v/>
      </c>
      <c r="M124" s="12" t="n"/>
      <c r="N124" s="13" t="n"/>
      <c r="O124" s="13" t="n"/>
      <c r="P124" s="9" t="n"/>
      <c r="Q124" s="14" t="n"/>
      <c r="R124" s="15" t="n"/>
      <c r="S124" s="14" t="n"/>
      <c r="T124" s="16" t="n"/>
      <c r="U124" s="16" t="n"/>
      <c r="V124" s="16" t="n"/>
      <c r="W124" s="16" t="n"/>
      <c r="X124" s="16" t="n"/>
      <c r="Y124" s="16" t="n"/>
      <c r="Z124" s="14" t="n"/>
      <c r="AA124" s="14" t="n"/>
      <c r="AB124" s="14" t="n"/>
      <c r="AC124" s="17">
        <f>IFERROR(VLOOKUP($H124&amp;"|"&amp;$Q124,Tariff_Master!$A$2:$L$169,3,FALSE),"")</f>
        <v/>
      </c>
      <c r="AD124" s="17">
        <f>IFERROR(VLOOKUP($H124&amp;"|"&amp;$Q124,Tariff_Master!$A$2:$L$169,4,FALSE),"")</f>
        <v/>
      </c>
      <c r="AE124" s="18">
        <f>IFERROR(VLOOKUP($H124&amp;"|"&amp;$Q124,Tariff_Master!$A$2:$L$169,6,FALSE),"")</f>
        <v/>
      </c>
      <c r="AF124" s="19">
        <f>IFERROR(VLOOKUP($H124&amp;"|"&amp;$Q124,Tariff_Master!$A$2:$L$169,7,FALSE),"")</f>
        <v/>
      </c>
      <c r="AG124" s="18">
        <f>IFERROR(VLOOKUP($H124&amp;"|"&amp;$Q124,Tariff_Master!$A$2:$L$169,8,FALSE),"")</f>
        <v/>
      </c>
      <c r="AH124" s="20">
        <f>IFERROR(VLOOKUP($H124&amp;"|"&amp;$Q124,Tariff_Master!$A$2:$L$169,9,FALSE),"")</f>
        <v/>
      </c>
      <c r="AI124" s="18">
        <f>IFERROR(VLOOKUP($H124&amp;"|"&amp;$Q124,Tariff_Master!$A$2:$L$169,10,FALSE),"")</f>
        <v/>
      </c>
      <c r="AJ124" s="21">
        <f>IF($M124="","",ROUNDUP(MAX(0,$M124),0))</f>
        <v/>
      </c>
      <c r="AK124" s="21">
        <f>IF(OR($AJ124="",$AF124=""),"",MAX(0,$AJ124-$AF124))</f>
        <v/>
      </c>
      <c r="AL124" s="22">
        <f>IF(OR($AK124="",$AG124=""),"",MAX(0,$AK124*$AG124))</f>
        <v/>
      </c>
      <c r="AM124" s="22">
        <f>IF($AE124="","",MAX(0,SUM($AE124,$AL124,$V124,$W124)))</f>
        <v/>
      </c>
      <c r="AN124" s="22">
        <f>IF($AM124="","",IF(AND($Q124="COMMITMENT",$R124&gt;=$AH124),$AI124,0))</f>
        <v/>
      </c>
      <c r="AO124" s="23">
        <f>IF($AM124="","",MAX(0,$AM124-$AN124))</f>
        <v/>
      </c>
      <c r="AP124" s="22">
        <f>IF($S124="","",IF(OR($S124="ITEM_PRICE_PLUS_DECLARED_DELIVERY",$S124="DELIVERY_CHARGE_ONLY"),$K124,IF($S124="TOTAL_AMOUNT_INCLUDING_DELIVERY",IF(OR($T124="",$J124=""),"",MAX(0,$T124-$J124-$U124)),IF($S124="ITEM_PRICE_ONLY_DELIVERY_PAID_BY_MERCHANT",0,""))))</f>
        <v/>
      </c>
      <c r="AQ124" s="23">
        <f>IF(OR($AP124="",$AO124=""),"",$AP124-$AO124)</f>
        <v/>
      </c>
      <c r="AR124" s="24">
        <f>IF($S124="EXACT_COLLECTION_AMOUNT","BREAKDOWN_REQUIRED",IF($AQ124="","",IF($AQ124&gt;0,"CREDIT_TO_MERCHANT",IF($AQ124&lt;0,"DEDUCT_FROM_MERCHANT","NO_ADJUSTMENT"))))</f>
        <v/>
      </c>
      <c r="AS124" s="23">
        <f>IF(OR($AQ124="",$AR124="BREAKDOWN_REQUIRED"),"",$AQ124)</f>
        <v/>
      </c>
      <c r="AT124" s="23">
        <f>IF(OR($AR124="",$AR124="BREAKDOWN_REQUIRED"),"",SUM($J124,$AQ124,$Y124)-$X124)</f>
        <v/>
      </c>
      <c r="AU124" s="25">
        <f>IF(AND($A124="",$B124="",$F124="",$H124="",$J124="",$K124="",$M124="",$S124=""),"",IF(OR($H124="",$Q124="",$M124="",$S124=""),"ERROR",IF(OR($J124&lt;0,$K124&lt;0,$M124&lt;0,$T124&lt;0,$U124&lt;0,$V124&lt;0,$W124&lt;0,$X124&lt;0,$Y124&lt;0),"ERROR",IF($AE124="","ERROR",IF(AND(OR($S124="ITEM_PRICE_PLUS_DECLARED_DELIVERY",$S124="TOTAL_AMOUNT_INCLUDING_DELIVERY",$S124="ITEM_PRICE_ONLY_DELIVERY_PAID_BY_MERCHANT"),$J124=""),"ERROR",IF(AND(OR($S124="ITEM_PRICE_PLUS_DECLARED_DELIVERY",$S124="DELIVERY_CHARGE_ONLY"),$K124=""),"ERROR",IF(AND(OR($S124="TOTAL_AMOUNT_INCLUDING_DELIVERY",$S124="EXACT_COLLECTION_AMOUNT"),$T124=""),"ERROR",IF(AND($S124="TOTAL_AMOUNT_INCLUDING_DELIVERY",$T124&lt;SUM($J124,$U124)),"ERROR",IF($S124="EXACT_COLLECTION_AMOUNT","REVIEW","OK")))))))))</f>
        <v/>
      </c>
      <c r="AV124" s="25">
        <f>IF($AU124="","",IF($H124="","Township required",IF($Q124="","Customer tier required",IF($M124="","Weight required",IF($S124="","Amount entry type required",IF(OR($J124&lt;0,$K124&lt;0,$M124&lt;0,$T124&lt;0,$U124&lt;0,$V124&lt;0,$W124&lt;0,$X124&lt;0,$Y124&lt;0),"Negative amounts are not allowed",IF($AE124="","Tariff not found for township and tier",IF(AND(OR($S124="ITEM_PRICE_PLUS_DECLARED_DELIVERY",$S124="TOTAL_AMOUNT_INCLUDING_DELIVERY",$S124="ITEM_PRICE_ONLY_DELIVERY_PAID_BY_MERCHANT"),$J124=""),"Item price required for this amount type",IF(AND(OR($S124="ITEM_PRICE_PLUS_DECLARED_DELIVERY",$S124="DELIVERY_CHARGE_ONLY"),$K124=""),"Declared delivery charge required",IF(AND(OR($S124="TOTAL_AMOUNT_INCLUDING_DELIVERY",$S124="EXACT_COLLECTION_AMOUNT"),$T124=""),"Stated total amount required",IF(AND($S124="TOTAL_AMOUNT_INCLUDING_DELIVERY",$T124&lt;SUM($J124,$U124)),"Stated total is below item price plus additional charge",IF($S124="EXACT_COLLECTION_AMOUNT","Authorized amount breakdown required before settlement","Ready for collection and settlement"))))))))))))</f>
        <v/>
      </c>
      <c r="AW124" s="23">
        <f>IF($AU124="","","PARCEL_FINANCIAL_V2")</f>
        <v/>
      </c>
      <c r="AX124" s="17" t="n"/>
    </row>
    <row r="125">
      <c r="A125" s="8" t="n"/>
      <c r="B125" s="8" t="n"/>
      <c r="C125" s="8" t="n"/>
      <c r="D125" s="8" t="n"/>
      <c r="E125" s="9" t="n"/>
      <c r="F125" s="9" t="n"/>
      <c r="G125" s="8" t="n"/>
      <c r="H125" s="9" t="n"/>
      <c r="I125" s="9" t="n"/>
      <c r="J125" s="10" t="n"/>
      <c r="K125" s="10" t="n"/>
      <c r="L125" s="11">
        <f>IF($S125="","",IF($S125="ITEM_PRICE_PLUS_DECLARED_DELIVERY",IF(OR($J125="",$K125=""),"",SUM($J125,$K125,$U125)),IF($S125="TOTAL_AMOUNT_INCLUDING_DELIVERY",IF($T125="","",$T125),IF($S125="DELIVERY_CHARGE_ONLY",IF($K125="","",SUM($K125,$U125)),IF($S125="EXACT_COLLECTION_AMOUNT",IF($T125="","",$T125),IF($S125="ITEM_PRICE_ONLY_DELIVERY_PAID_BY_MERCHANT",IF($J125="","",SUM($J125,$U125)),""))))))</f>
        <v/>
      </c>
      <c r="M125" s="12" t="n"/>
      <c r="N125" s="13" t="n"/>
      <c r="O125" s="13" t="n"/>
      <c r="P125" s="9" t="n"/>
      <c r="Q125" s="14" t="n"/>
      <c r="R125" s="15" t="n"/>
      <c r="S125" s="14" t="n"/>
      <c r="T125" s="16" t="n"/>
      <c r="U125" s="16" t="n"/>
      <c r="V125" s="16" t="n"/>
      <c r="W125" s="16" t="n"/>
      <c r="X125" s="16" t="n"/>
      <c r="Y125" s="16" t="n"/>
      <c r="Z125" s="14" t="n"/>
      <c r="AA125" s="14" t="n"/>
      <c r="AB125" s="14" t="n"/>
      <c r="AC125" s="17">
        <f>IFERROR(VLOOKUP($H125&amp;"|"&amp;$Q125,Tariff_Master!$A$2:$L$169,3,FALSE),"")</f>
        <v/>
      </c>
      <c r="AD125" s="17">
        <f>IFERROR(VLOOKUP($H125&amp;"|"&amp;$Q125,Tariff_Master!$A$2:$L$169,4,FALSE),"")</f>
        <v/>
      </c>
      <c r="AE125" s="18">
        <f>IFERROR(VLOOKUP($H125&amp;"|"&amp;$Q125,Tariff_Master!$A$2:$L$169,6,FALSE),"")</f>
        <v/>
      </c>
      <c r="AF125" s="19">
        <f>IFERROR(VLOOKUP($H125&amp;"|"&amp;$Q125,Tariff_Master!$A$2:$L$169,7,FALSE),"")</f>
        <v/>
      </c>
      <c r="AG125" s="18">
        <f>IFERROR(VLOOKUP($H125&amp;"|"&amp;$Q125,Tariff_Master!$A$2:$L$169,8,FALSE),"")</f>
        <v/>
      </c>
      <c r="AH125" s="20">
        <f>IFERROR(VLOOKUP($H125&amp;"|"&amp;$Q125,Tariff_Master!$A$2:$L$169,9,FALSE),"")</f>
        <v/>
      </c>
      <c r="AI125" s="18">
        <f>IFERROR(VLOOKUP($H125&amp;"|"&amp;$Q125,Tariff_Master!$A$2:$L$169,10,FALSE),"")</f>
        <v/>
      </c>
      <c r="AJ125" s="21">
        <f>IF($M125="","",ROUNDUP(MAX(0,$M125),0))</f>
        <v/>
      </c>
      <c r="AK125" s="21">
        <f>IF(OR($AJ125="",$AF125=""),"",MAX(0,$AJ125-$AF125))</f>
        <v/>
      </c>
      <c r="AL125" s="22">
        <f>IF(OR($AK125="",$AG125=""),"",MAX(0,$AK125*$AG125))</f>
        <v/>
      </c>
      <c r="AM125" s="22">
        <f>IF($AE125="","",MAX(0,SUM($AE125,$AL125,$V125,$W125)))</f>
        <v/>
      </c>
      <c r="AN125" s="22">
        <f>IF($AM125="","",IF(AND($Q125="COMMITMENT",$R125&gt;=$AH125),$AI125,0))</f>
        <v/>
      </c>
      <c r="AO125" s="23">
        <f>IF($AM125="","",MAX(0,$AM125-$AN125))</f>
        <v/>
      </c>
      <c r="AP125" s="22">
        <f>IF($S125="","",IF(OR($S125="ITEM_PRICE_PLUS_DECLARED_DELIVERY",$S125="DELIVERY_CHARGE_ONLY"),$K125,IF($S125="TOTAL_AMOUNT_INCLUDING_DELIVERY",IF(OR($T125="",$J125=""),"",MAX(0,$T125-$J125-$U125)),IF($S125="ITEM_PRICE_ONLY_DELIVERY_PAID_BY_MERCHANT",0,""))))</f>
        <v/>
      </c>
      <c r="AQ125" s="23">
        <f>IF(OR($AP125="",$AO125=""),"",$AP125-$AO125)</f>
        <v/>
      </c>
      <c r="AR125" s="24">
        <f>IF($S125="EXACT_COLLECTION_AMOUNT","BREAKDOWN_REQUIRED",IF($AQ125="","",IF($AQ125&gt;0,"CREDIT_TO_MERCHANT",IF($AQ125&lt;0,"DEDUCT_FROM_MERCHANT","NO_ADJUSTMENT"))))</f>
        <v/>
      </c>
      <c r="AS125" s="23">
        <f>IF(OR($AQ125="",$AR125="BREAKDOWN_REQUIRED"),"",$AQ125)</f>
        <v/>
      </c>
      <c r="AT125" s="23">
        <f>IF(OR($AR125="",$AR125="BREAKDOWN_REQUIRED"),"",SUM($J125,$AQ125,$Y125)-$X125)</f>
        <v/>
      </c>
      <c r="AU125" s="25">
        <f>IF(AND($A125="",$B125="",$F125="",$H125="",$J125="",$K125="",$M125="",$S125=""),"",IF(OR($H125="",$Q125="",$M125="",$S125=""),"ERROR",IF(OR($J125&lt;0,$K125&lt;0,$M125&lt;0,$T125&lt;0,$U125&lt;0,$V125&lt;0,$W125&lt;0,$X125&lt;0,$Y125&lt;0),"ERROR",IF($AE125="","ERROR",IF(AND(OR($S125="ITEM_PRICE_PLUS_DECLARED_DELIVERY",$S125="TOTAL_AMOUNT_INCLUDING_DELIVERY",$S125="ITEM_PRICE_ONLY_DELIVERY_PAID_BY_MERCHANT"),$J125=""),"ERROR",IF(AND(OR($S125="ITEM_PRICE_PLUS_DECLARED_DELIVERY",$S125="DELIVERY_CHARGE_ONLY"),$K125=""),"ERROR",IF(AND(OR($S125="TOTAL_AMOUNT_INCLUDING_DELIVERY",$S125="EXACT_COLLECTION_AMOUNT"),$T125=""),"ERROR",IF(AND($S125="TOTAL_AMOUNT_INCLUDING_DELIVERY",$T125&lt;SUM($J125,$U125)),"ERROR",IF($S125="EXACT_COLLECTION_AMOUNT","REVIEW","OK")))))))))</f>
        <v/>
      </c>
      <c r="AV125" s="25">
        <f>IF($AU125="","",IF($H125="","Township required",IF($Q125="","Customer tier required",IF($M125="","Weight required",IF($S125="","Amount entry type required",IF(OR($J125&lt;0,$K125&lt;0,$M125&lt;0,$T125&lt;0,$U125&lt;0,$V125&lt;0,$W125&lt;0,$X125&lt;0,$Y125&lt;0),"Negative amounts are not allowed",IF($AE125="","Tariff not found for township and tier",IF(AND(OR($S125="ITEM_PRICE_PLUS_DECLARED_DELIVERY",$S125="TOTAL_AMOUNT_INCLUDING_DELIVERY",$S125="ITEM_PRICE_ONLY_DELIVERY_PAID_BY_MERCHANT"),$J125=""),"Item price required for this amount type",IF(AND(OR($S125="ITEM_PRICE_PLUS_DECLARED_DELIVERY",$S125="DELIVERY_CHARGE_ONLY"),$K125=""),"Declared delivery charge required",IF(AND(OR($S125="TOTAL_AMOUNT_INCLUDING_DELIVERY",$S125="EXACT_COLLECTION_AMOUNT"),$T125=""),"Stated total amount required",IF(AND($S125="TOTAL_AMOUNT_INCLUDING_DELIVERY",$T125&lt;SUM($J125,$U125)),"Stated total is below item price plus additional charge",IF($S125="EXACT_COLLECTION_AMOUNT","Authorized amount breakdown required before settlement","Ready for collection and settlement"))))))))))))</f>
        <v/>
      </c>
      <c r="AW125" s="23">
        <f>IF($AU125="","","PARCEL_FINANCIAL_V2")</f>
        <v/>
      </c>
      <c r="AX125" s="17" t="n"/>
    </row>
    <row r="126">
      <c r="A126" s="8" t="n"/>
      <c r="B126" s="8" t="n"/>
      <c r="C126" s="8" t="n"/>
      <c r="D126" s="8" t="n"/>
      <c r="E126" s="9" t="n"/>
      <c r="F126" s="9" t="n"/>
      <c r="G126" s="8" t="n"/>
      <c r="H126" s="9" t="n"/>
      <c r="I126" s="9" t="n"/>
      <c r="J126" s="10" t="n"/>
      <c r="K126" s="10" t="n"/>
      <c r="L126" s="11">
        <f>IF($S126="","",IF($S126="ITEM_PRICE_PLUS_DECLARED_DELIVERY",IF(OR($J126="",$K126=""),"",SUM($J126,$K126,$U126)),IF($S126="TOTAL_AMOUNT_INCLUDING_DELIVERY",IF($T126="","",$T126),IF($S126="DELIVERY_CHARGE_ONLY",IF($K126="","",SUM($K126,$U126)),IF($S126="EXACT_COLLECTION_AMOUNT",IF($T126="","",$T126),IF($S126="ITEM_PRICE_ONLY_DELIVERY_PAID_BY_MERCHANT",IF($J126="","",SUM($J126,$U126)),""))))))</f>
        <v/>
      </c>
      <c r="M126" s="12" t="n"/>
      <c r="N126" s="13" t="n"/>
      <c r="O126" s="13" t="n"/>
      <c r="P126" s="9" t="n"/>
      <c r="Q126" s="14" t="n"/>
      <c r="R126" s="15" t="n"/>
      <c r="S126" s="14" t="n"/>
      <c r="T126" s="16" t="n"/>
      <c r="U126" s="16" t="n"/>
      <c r="V126" s="16" t="n"/>
      <c r="W126" s="16" t="n"/>
      <c r="X126" s="16" t="n"/>
      <c r="Y126" s="16" t="n"/>
      <c r="Z126" s="14" t="n"/>
      <c r="AA126" s="14" t="n"/>
      <c r="AB126" s="14" t="n"/>
      <c r="AC126" s="17">
        <f>IFERROR(VLOOKUP($H126&amp;"|"&amp;$Q126,Tariff_Master!$A$2:$L$169,3,FALSE),"")</f>
        <v/>
      </c>
      <c r="AD126" s="17">
        <f>IFERROR(VLOOKUP($H126&amp;"|"&amp;$Q126,Tariff_Master!$A$2:$L$169,4,FALSE),"")</f>
        <v/>
      </c>
      <c r="AE126" s="18">
        <f>IFERROR(VLOOKUP($H126&amp;"|"&amp;$Q126,Tariff_Master!$A$2:$L$169,6,FALSE),"")</f>
        <v/>
      </c>
      <c r="AF126" s="19">
        <f>IFERROR(VLOOKUP($H126&amp;"|"&amp;$Q126,Tariff_Master!$A$2:$L$169,7,FALSE),"")</f>
        <v/>
      </c>
      <c r="AG126" s="18">
        <f>IFERROR(VLOOKUP($H126&amp;"|"&amp;$Q126,Tariff_Master!$A$2:$L$169,8,FALSE),"")</f>
        <v/>
      </c>
      <c r="AH126" s="20">
        <f>IFERROR(VLOOKUP($H126&amp;"|"&amp;$Q126,Tariff_Master!$A$2:$L$169,9,FALSE),"")</f>
        <v/>
      </c>
      <c r="AI126" s="18">
        <f>IFERROR(VLOOKUP($H126&amp;"|"&amp;$Q126,Tariff_Master!$A$2:$L$169,10,FALSE),"")</f>
        <v/>
      </c>
      <c r="AJ126" s="21">
        <f>IF($M126="","",ROUNDUP(MAX(0,$M126),0))</f>
        <v/>
      </c>
      <c r="AK126" s="21">
        <f>IF(OR($AJ126="",$AF126=""),"",MAX(0,$AJ126-$AF126))</f>
        <v/>
      </c>
      <c r="AL126" s="22">
        <f>IF(OR($AK126="",$AG126=""),"",MAX(0,$AK126*$AG126))</f>
        <v/>
      </c>
      <c r="AM126" s="22">
        <f>IF($AE126="","",MAX(0,SUM($AE126,$AL126,$V126,$W126)))</f>
        <v/>
      </c>
      <c r="AN126" s="22">
        <f>IF($AM126="","",IF(AND($Q126="COMMITMENT",$R126&gt;=$AH126),$AI126,0))</f>
        <v/>
      </c>
      <c r="AO126" s="23">
        <f>IF($AM126="","",MAX(0,$AM126-$AN126))</f>
        <v/>
      </c>
      <c r="AP126" s="22">
        <f>IF($S126="","",IF(OR($S126="ITEM_PRICE_PLUS_DECLARED_DELIVERY",$S126="DELIVERY_CHARGE_ONLY"),$K126,IF($S126="TOTAL_AMOUNT_INCLUDING_DELIVERY",IF(OR($T126="",$J126=""),"",MAX(0,$T126-$J126-$U126)),IF($S126="ITEM_PRICE_ONLY_DELIVERY_PAID_BY_MERCHANT",0,""))))</f>
        <v/>
      </c>
      <c r="AQ126" s="23">
        <f>IF(OR($AP126="",$AO126=""),"",$AP126-$AO126)</f>
        <v/>
      </c>
      <c r="AR126" s="24">
        <f>IF($S126="EXACT_COLLECTION_AMOUNT","BREAKDOWN_REQUIRED",IF($AQ126="","",IF($AQ126&gt;0,"CREDIT_TO_MERCHANT",IF($AQ126&lt;0,"DEDUCT_FROM_MERCHANT","NO_ADJUSTMENT"))))</f>
        <v/>
      </c>
      <c r="AS126" s="23">
        <f>IF(OR($AQ126="",$AR126="BREAKDOWN_REQUIRED"),"",$AQ126)</f>
        <v/>
      </c>
      <c r="AT126" s="23">
        <f>IF(OR($AR126="",$AR126="BREAKDOWN_REQUIRED"),"",SUM($J126,$AQ126,$Y126)-$X126)</f>
        <v/>
      </c>
      <c r="AU126" s="25">
        <f>IF(AND($A126="",$B126="",$F126="",$H126="",$J126="",$K126="",$M126="",$S126=""),"",IF(OR($H126="",$Q126="",$M126="",$S126=""),"ERROR",IF(OR($J126&lt;0,$K126&lt;0,$M126&lt;0,$T126&lt;0,$U126&lt;0,$V126&lt;0,$W126&lt;0,$X126&lt;0,$Y126&lt;0),"ERROR",IF($AE126="","ERROR",IF(AND(OR($S126="ITEM_PRICE_PLUS_DECLARED_DELIVERY",$S126="TOTAL_AMOUNT_INCLUDING_DELIVERY",$S126="ITEM_PRICE_ONLY_DELIVERY_PAID_BY_MERCHANT"),$J126=""),"ERROR",IF(AND(OR($S126="ITEM_PRICE_PLUS_DECLARED_DELIVERY",$S126="DELIVERY_CHARGE_ONLY"),$K126=""),"ERROR",IF(AND(OR($S126="TOTAL_AMOUNT_INCLUDING_DELIVERY",$S126="EXACT_COLLECTION_AMOUNT"),$T126=""),"ERROR",IF(AND($S126="TOTAL_AMOUNT_INCLUDING_DELIVERY",$T126&lt;SUM($J126,$U126)),"ERROR",IF($S126="EXACT_COLLECTION_AMOUNT","REVIEW","OK")))))))))</f>
        <v/>
      </c>
      <c r="AV126" s="25">
        <f>IF($AU126="","",IF($H126="","Township required",IF($Q126="","Customer tier required",IF($M126="","Weight required",IF($S126="","Amount entry type required",IF(OR($J126&lt;0,$K126&lt;0,$M126&lt;0,$T126&lt;0,$U126&lt;0,$V126&lt;0,$W126&lt;0,$X126&lt;0,$Y126&lt;0),"Negative amounts are not allowed",IF($AE126="","Tariff not found for township and tier",IF(AND(OR($S126="ITEM_PRICE_PLUS_DECLARED_DELIVERY",$S126="TOTAL_AMOUNT_INCLUDING_DELIVERY",$S126="ITEM_PRICE_ONLY_DELIVERY_PAID_BY_MERCHANT"),$J126=""),"Item price required for this amount type",IF(AND(OR($S126="ITEM_PRICE_PLUS_DECLARED_DELIVERY",$S126="DELIVERY_CHARGE_ONLY"),$K126=""),"Declared delivery charge required",IF(AND(OR($S126="TOTAL_AMOUNT_INCLUDING_DELIVERY",$S126="EXACT_COLLECTION_AMOUNT"),$T126=""),"Stated total amount required",IF(AND($S126="TOTAL_AMOUNT_INCLUDING_DELIVERY",$T126&lt;SUM($J126,$U126)),"Stated total is below item price plus additional charge",IF($S126="EXACT_COLLECTION_AMOUNT","Authorized amount breakdown required before settlement","Ready for collection and settlement"))))))))))))</f>
        <v/>
      </c>
      <c r="AW126" s="23">
        <f>IF($AU126="","","PARCEL_FINANCIAL_V2")</f>
        <v/>
      </c>
      <c r="AX126" s="17" t="n"/>
    </row>
    <row r="127">
      <c r="A127" s="8" t="n"/>
      <c r="B127" s="8" t="n"/>
      <c r="C127" s="8" t="n"/>
      <c r="D127" s="8" t="n"/>
      <c r="E127" s="9" t="n"/>
      <c r="F127" s="9" t="n"/>
      <c r="G127" s="8" t="n"/>
      <c r="H127" s="9" t="n"/>
      <c r="I127" s="9" t="n"/>
      <c r="J127" s="10" t="n"/>
      <c r="K127" s="10" t="n"/>
      <c r="L127" s="11">
        <f>IF($S127="","",IF($S127="ITEM_PRICE_PLUS_DECLARED_DELIVERY",IF(OR($J127="",$K127=""),"",SUM($J127,$K127,$U127)),IF($S127="TOTAL_AMOUNT_INCLUDING_DELIVERY",IF($T127="","",$T127),IF($S127="DELIVERY_CHARGE_ONLY",IF($K127="","",SUM($K127,$U127)),IF($S127="EXACT_COLLECTION_AMOUNT",IF($T127="","",$T127),IF($S127="ITEM_PRICE_ONLY_DELIVERY_PAID_BY_MERCHANT",IF($J127="","",SUM($J127,$U127)),""))))))</f>
        <v/>
      </c>
      <c r="M127" s="12" t="n"/>
      <c r="N127" s="13" t="n"/>
      <c r="O127" s="13" t="n"/>
      <c r="P127" s="9" t="n"/>
      <c r="Q127" s="14" t="n"/>
      <c r="R127" s="15" t="n"/>
      <c r="S127" s="14" t="n"/>
      <c r="T127" s="16" t="n"/>
      <c r="U127" s="16" t="n"/>
      <c r="V127" s="16" t="n"/>
      <c r="W127" s="16" t="n"/>
      <c r="X127" s="16" t="n"/>
      <c r="Y127" s="16" t="n"/>
      <c r="Z127" s="14" t="n"/>
      <c r="AA127" s="14" t="n"/>
      <c r="AB127" s="14" t="n"/>
      <c r="AC127" s="17">
        <f>IFERROR(VLOOKUP($H127&amp;"|"&amp;$Q127,Tariff_Master!$A$2:$L$169,3,FALSE),"")</f>
        <v/>
      </c>
      <c r="AD127" s="17">
        <f>IFERROR(VLOOKUP($H127&amp;"|"&amp;$Q127,Tariff_Master!$A$2:$L$169,4,FALSE),"")</f>
        <v/>
      </c>
      <c r="AE127" s="18">
        <f>IFERROR(VLOOKUP($H127&amp;"|"&amp;$Q127,Tariff_Master!$A$2:$L$169,6,FALSE),"")</f>
        <v/>
      </c>
      <c r="AF127" s="19">
        <f>IFERROR(VLOOKUP($H127&amp;"|"&amp;$Q127,Tariff_Master!$A$2:$L$169,7,FALSE),"")</f>
        <v/>
      </c>
      <c r="AG127" s="18">
        <f>IFERROR(VLOOKUP($H127&amp;"|"&amp;$Q127,Tariff_Master!$A$2:$L$169,8,FALSE),"")</f>
        <v/>
      </c>
      <c r="AH127" s="20">
        <f>IFERROR(VLOOKUP($H127&amp;"|"&amp;$Q127,Tariff_Master!$A$2:$L$169,9,FALSE),"")</f>
        <v/>
      </c>
      <c r="AI127" s="18">
        <f>IFERROR(VLOOKUP($H127&amp;"|"&amp;$Q127,Tariff_Master!$A$2:$L$169,10,FALSE),"")</f>
        <v/>
      </c>
      <c r="AJ127" s="21">
        <f>IF($M127="","",ROUNDUP(MAX(0,$M127),0))</f>
        <v/>
      </c>
      <c r="AK127" s="21">
        <f>IF(OR($AJ127="",$AF127=""),"",MAX(0,$AJ127-$AF127))</f>
        <v/>
      </c>
      <c r="AL127" s="22">
        <f>IF(OR($AK127="",$AG127=""),"",MAX(0,$AK127*$AG127))</f>
        <v/>
      </c>
      <c r="AM127" s="22">
        <f>IF($AE127="","",MAX(0,SUM($AE127,$AL127,$V127,$W127)))</f>
        <v/>
      </c>
      <c r="AN127" s="22">
        <f>IF($AM127="","",IF(AND($Q127="COMMITMENT",$R127&gt;=$AH127),$AI127,0))</f>
        <v/>
      </c>
      <c r="AO127" s="23">
        <f>IF($AM127="","",MAX(0,$AM127-$AN127))</f>
        <v/>
      </c>
      <c r="AP127" s="22">
        <f>IF($S127="","",IF(OR($S127="ITEM_PRICE_PLUS_DECLARED_DELIVERY",$S127="DELIVERY_CHARGE_ONLY"),$K127,IF($S127="TOTAL_AMOUNT_INCLUDING_DELIVERY",IF(OR($T127="",$J127=""),"",MAX(0,$T127-$J127-$U127)),IF($S127="ITEM_PRICE_ONLY_DELIVERY_PAID_BY_MERCHANT",0,""))))</f>
        <v/>
      </c>
      <c r="AQ127" s="23">
        <f>IF(OR($AP127="",$AO127=""),"",$AP127-$AO127)</f>
        <v/>
      </c>
      <c r="AR127" s="24">
        <f>IF($S127="EXACT_COLLECTION_AMOUNT","BREAKDOWN_REQUIRED",IF($AQ127="","",IF($AQ127&gt;0,"CREDIT_TO_MERCHANT",IF($AQ127&lt;0,"DEDUCT_FROM_MERCHANT","NO_ADJUSTMENT"))))</f>
        <v/>
      </c>
      <c r="AS127" s="23">
        <f>IF(OR($AQ127="",$AR127="BREAKDOWN_REQUIRED"),"",$AQ127)</f>
        <v/>
      </c>
      <c r="AT127" s="23">
        <f>IF(OR($AR127="",$AR127="BREAKDOWN_REQUIRED"),"",SUM($J127,$AQ127,$Y127)-$X127)</f>
        <v/>
      </c>
      <c r="AU127" s="25">
        <f>IF(AND($A127="",$B127="",$F127="",$H127="",$J127="",$K127="",$M127="",$S127=""),"",IF(OR($H127="",$Q127="",$M127="",$S127=""),"ERROR",IF(OR($J127&lt;0,$K127&lt;0,$M127&lt;0,$T127&lt;0,$U127&lt;0,$V127&lt;0,$W127&lt;0,$X127&lt;0,$Y127&lt;0),"ERROR",IF($AE127="","ERROR",IF(AND(OR($S127="ITEM_PRICE_PLUS_DECLARED_DELIVERY",$S127="TOTAL_AMOUNT_INCLUDING_DELIVERY",$S127="ITEM_PRICE_ONLY_DELIVERY_PAID_BY_MERCHANT"),$J127=""),"ERROR",IF(AND(OR($S127="ITEM_PRICE_PLUS_DECLARED_DELIVERY",$S127="DELIVERY_CHARGE_ONLY"),$K127=""),"ERROR",IF(AND(OR($S127="TOTAL_AMOUNT_INCLUDING_DELIVERY",$S127="EXACT_COLLECTION_AMOUNT"),$T127=""),"ERROR",IF(AND($S127="TOTAL_AMOUNT_INCLUDING_DELIVERY",$T127&lt;SUM($J127,$U127)),"ERROR",IF($S127="EXACT_COLLECTION_AMOUNT","REVIEW","OK")))))))))</f>
        <v/>
      </c>
      <c r="AV127" s="25">
        <f>IF($AU127="","",IF($H127="","Township required",IF($Q127="","Customer tier required",IF($M127="","Weight required",IF($S127="","Amount entry type required",IF(OR($J127&lt;0,$K127&lt;0,$M127&lt;0,$T127&lt;0,$U127&lt;0,$V127&lt;0,$W127&lt;0,$X127&lt;0,$Y127&lt;0),"Negative amounts are not allowed",IF($AE127="","Tariff not found for township and tier",IF(AND(OR($S127="ITEM_PRICE_PLUS_DECLARED_DELIVERY",$S127="TOTAL_AMOUNT_INCLUDING_DELIVERY",$S127="ITEM_PRICE_ONLY_DELIVERY_PAID_BY_MERCHANT"),$J127=""),"Item price required for this amount type",IF(AND(OR($S127="ITEM_PRICE_PLUS_DECLARED_DELIVERY",$S127="DELIVERY_CHARGE_ONLY"),$K127=""),"Declared delivery charge required",IF(AND(OR($S127="TOTAL_AMOUNT_INCLUDING_DELIVERY",$S127="EXACT_COLLECTION_AMOUNT"),$T127=""),"Stated total amount required",IF(AND($S127="TOTAL_AMOUNT_INCLUDING_DELIVERY",$T127&lt;SUM($J127,$U127)),"Stated total is below item price plus additional charge",IF($S127="EXACT_COLLECTION_AMOUNT","Authorized amount breakdown required before settlement","Ready for collection and settlement"))))))))))))</f>
        <v/>
      </c>
      <c r="AW127" s="23">
        <f>IF($AU127="","","PARCEL_FINANCIAL_V2")</f>
        <v/>
      </c>
      <c r="AX127" s="17" t="n"/>
    </row>
    <row r="128">
      <c r="A128" s="8" t="n"/>
      <c r="B128" s="8" t="n"/>
      <c r="C128" s="8" t="n"/>
      <c r="D128" s="8" t="n"/>
      <c r="E128" s="9" t="n"/>
      <c r="F128" s="9" t="n"/>
      <c r="G128" s="8" t="n"/>
      <c r="H128" s="9" t="n"/>
      <c r="I128" s="9" t="n"/>
      <c r="J128" s="10" t="n"/>
      <c r="K128" s="10" t="n"/>
      <c r="L128" s="11">
        <f>IF($S128="","",IF($S128="ITEM_PRICE_PLUS_DECLARED_DELIVERY",IF(OR($J128="",$K128=""),"",SUM($J128,$K128,$U128)),IF($S128="TOTAL_AMOUNT_INCLUDING_DELIVERY",IF($T128="","",$T128),IF($S128="DELIVERY_CHARGE_ONLY",IF($K128="","",SUM($K128,$U128)),IF($S128="EXACT_COLLECTION_AMOUNT",IF($T128="","",$T128),IF($S128="ITEM_PRICE_ONLY_DELIVERY_PAID_BY_MERCHANT",IF($J128="","",SUM($J128,$U128)),""))))))</f>
        <v/>
      </c>
      <c r="M128" s="12" t="n"/>
      <c r="N128" s="13" t="n"/>
      <c r="O128" s="13" t="n"/>
      <c r="P128" s="9" t="n"/>
      <c r="Q128" s="14" t="n"/>
      <c r="R128" s="15" t="n"/>
      <c r="S128" s="14" t="n"/>
      <c r="T128" s="16" t="n"/>
      <c r="U128" s="16" t="n"/>
      <c r="V128" s="16" t="n"/>
      <c r="W128" s="16" t="n"/>
      <c r="X128" s="16" t="n"/>
      <c r="Y128" s="16" t="n"/>
      <c r="Z128" s="14" t="n"/>
      <c r="AA128" s="14" t="n"/>
      <c r="AB128" s="14" t="n"/>
      <c r="AC128" s="17">
        <f>IFERROR(VLOOKUP($H128&amp;"|"&amp;$Q128,Tariff_Master!$A$2:$L$169,3,FALSE),"")</f>
        <v/>
      </c>
      <c r="AD128" s="17">
        <f>IFERROR(VLOOKUP($H128&amp;"|"&amp;$Q128,Tariff_Master!$A$2:$L$169,4,FALSE),"")</f>
        <v/>
      </c>
      <c r="AE128" s="18">
        <f>IFERROR(VLOOKUP($H128&amp;"|"&amp;$Q128,Tariff_Master!$A$2:$L$169,6,FALSE),"")</f>
        <v/>
      </c>
      <c r="AF128" s="19">
        <f>IFERROR(VLOOKUP($H128&amp;"|"&amp;$Q128,Tariff_Master!$A$2:$L$169,7,FALSE),"")</f>
        <v/>
      </c>
      <c r="AG128" s="18">
        <f>IFERROR(VLOOKUP($H128&amp;"|"&amp;$Q128,Tariff_Master!$A$2:$L$169,8,FALSE),"")</f>
        <v/>
      </c>
      <c r="AH128" s="20">
        <f>IFERROR(VLOOKUP($H128&amp;"|"&amp;$Q128,Tariff_Master!$A$2:$L$169,9,FALSE),"")</f>
        <v/>
      </c>
      <c r="AI128" s="18">
        <f>IFERROR(VLOOKUP($H128&amp;"|"&amp;$Q128,Tariff_Master!$A$2:$L$169,10,FALSE),"")</f>
        <v/>
      </c>
      <c r="AJ128" s="21">
        <f>IF($M128="","",ROUNDUP(MAX(0,$M128),0))</f>
        <v/>
      </c>
      <c r="AK128" s="21">
        <f>IF(OR($AJ128="",$AF128=""),"",MAX(0,$AJ128-$AF128))</f>
        <v/>
      </c>
      <c r="AL128" s="22">
        <f>IF(OR($AK128="",$AG128=""),"",MAX(0,$AK128*$AG128))</f>
        <v/>
      </c>
      <c r="AM128" s="22">
        <f>IF($AE128="","",MAX(0,SUM($AE128,$AL128,$V128,$W128)))</f>
        <v/>
      </c>
      <c r="AN128" s="22">
        <f>IF($AM128="","",IF(AND($Q128="COMMITMENT",$R128&gt;=$AH128),$AI128,0))</f>
        <v/>
      </c>
      <c r="AO128" s="23">
        <f>IF($AM128="","",MAX(0,$AM128-$AN128))</f>
        <v/>
      </c>
      <c r="AP128" s="22">
        <f>IF($S128="","",IF(OR($S128="ITEM_PRICE_PLUS_DECLARED_DELIVERY",$S128="DELIVERY_CHARGE_ONLY"),$K128,IF($S128="TOTAL_AMOUNT_INCLUDING_DELIVERY",IF(OR($T128="",$J128=""),"",MAX(0,$T128-$J128-$U128)),IF($S128="ITEM_PRICE_ONLY_DELIVERY_PAID_BY_MERCHANT",0,""))))</f>
        <v/>
      </c>
      <c r="AQ128" s="23">
        <f>IF(OR($AP128="",$AO128=""),"",$AP128-$AO128)</f>
        <v/>
      </c>
      <c r="AR128" s="24">
        <f>IF($S128="EXACT_COLLECTION_AMOUNT","BREAKDOWN_REQUIRED",IF($AQ128="","",IF($AQ128&gt;0,"CREDIT_TO_MERCHANT",IF($AQ128&lt;0,"DEDUCT_FROM_MERCHANT","NO_ADJUSTMENT"))))</f>
        <v/>
      </c>
      <c r="AS128" s="23">
        <f>IF(OR($AQ128="",$AR128="BREAKDOWN_REQUIRED"),"",$AQ128)</f>
        <v/>
      </c>
      <c r="AT128" s="23">
        <f>IF(OR($AR128="",$AR128="BREAKDOWN_REQUIRED"),"",SUM($J128,$AQ128,$Y128)-$X128)</f>
        <v/>
      </c>
      <c r="AU128" s="25">
        <f>IF(AND($A128="",$B128="",$F128="",$H128="",$J128="",$K128="",$M128="",$S128=""),"",IF(OR($H128="",$Q128="",$M128="",$S128=""),"ERROR",IF(OR($J128&lt;0,$K128&lt;0,$M128&lt;0,$T128&lt;0,$U128&lt;0,$V128&lt;0,$W128&lt;0,$X128&lt;0,$Y128&lt;0),"ERROR",IF($AE128="","ERROR",IF(AND(OR($S128="ITEM_PRICE_PLUS_DECLARED_DELIVERY",$S128="TOTAL_AMOUNT_INCLUDING_DELIVERY",$S128="ITEM_PRICE_ONLY_DELIVERY_PAID_BY_MERCHANT"),$J128=""),"ERROR",IF(AND(OR($S128="ITEM_PRICE_PLUS_DECLARED_DELIVERY",$S128="DELIVERY_CHARGE_ONLY"),$K128=""),"ERROR",IF(AND(OR($S128="TOTAL_AMOUNT_INCLUDING_DELIVERY",$S128="EXACT_COLLECTION_AMOUNT"),$T128=""),"ERROR",IF(AND($S128="TOTAL_AMOUNT_INCLUDING_DELIVERY",$T128&lt;SUM($J128,$U128)),"ERROR",IF($S128="EXACT_COLLECTION_AMOUNT","REVIEW","OK")))))))))</f>
        <v/>
      </c>
      <c r="AV128" s="25">
        <f>IF($AU128="","",IF($H128="","Township required",IF($Q128="","Customer tier required",IF($M128="","Weight required",IF($S128="","Amount entry type required",IF(OR($J128&lt;0,$K128&lt;0,$M128&lt;0,$T128&lt;0,$U128&lt;0,$V128&lt;0,$W128&lt;0,$X128&lt;0,$Y128&lt;0),"Negative amounts are not allowed",IF($AE128="","Tariff not found for township and tier",IF(AND(OR($S128="ITEM_PRICE_PLUS_DECLARED_DELIVERY",$S128="TOTAL_AMOUNT_INCLUDING_DELIVERY",$S128="ITEM_PRICE_ONLY_DELIVERY_PAID_BY_MERCHANT"),$J128=""),"Item price required for this amount type",IF(AND(OR($S128="ITEM_PRICE_PLUS_DECLARED_DELIVERY",$S128="DELIVERY_CHARGE_ONLY"),$K128=""),"Declared delivery charge required",IF(AND(OR($S128="TOTAL_AMOUNT_INCLUDING_DELIVERY",$S128="EXACT_COLLECTION_AMOUNT"),$T128=""),"Stated total amount required",IF(AND($S128="TOTAL_AMOUNT_INCLUDING_DELIVERY",$T128&lt;SUM($J128,$U128)),"Stated total is below item price plus additional charge",IF($S128="EXACT_COLLECTION_AMOUNT","Authorized amount breakdown required before settlement","Ready for collection and settlement"))))))))))))</f>
        <v/>
      </c>
      <c r="AW128" s="23">
        <f>IF($AU128="","","PARCEL_FINANCIAL_V2")</f>
        <v/>
      </c>
      <c r="AX128" s="17" t="n"/>
    </row>
    <row r="129">
      <c r="A129" s="8" t="n"/>
      <c r="B129" s="8" t="n"/>
      <c r="C129" s="8" t="n"/>
      <c r="D129" s="8" t="n"/>
      <c r="E129" s="9" t="n"/>
      <c r="F129" s="9" t="n"/>
      <c r="G129" s="8" t="n"/>
      <c r="H129" s="9" t="n"/>
      <c r="I129" s="9" t="n"/>
      <c r="J129" s="10" t="n"/>
      <c r="K129" s="10" t="n"/>
      <c r="L129" s="11">
        <f>IF($S129="","",IF($S129="ITEM_PRICE_PLUS_DECLARED_DELIVERY",IF(OR($J129="",$K129=""),"",SUM($J129,$K129,$U129)),IF($S129="TOTAL_AMOUNT_INCLUDING_DELIVERY",IF($T129="","",$T129),IF($S129="DELIVERY_CHARGE_ONLY",IF($K129="","",SUM($K129,$U129)),IF($S129="EXACT_COLLECTION_AMOUNT",IF($T129="","",$T129),IF($S129="ITEM_PRICE_ONLY_DELIVERY_PAID_BY_MERCHANT",IF($J129="","",SUM($J129,$U129)),""))))))</f>
        <v/>
      </c>
      <c r="M129" s="12" t="n"/>
      <c r="N129" s="13" t="n"/>
      <c r="O129" s="13" t="n"/>
      <c r="P129" s="9" t="n"/>
      <c r="Q129" s="14" t="n"/>
      <c r="R129" s="15" t="n"/>
      <c r="S129" s="14" t="n"/>
      <c r="T129" s="16" t="n"/>
      <c r="U129" s="16" t="n"/>
      <c r="V129" s="16" t="n"/>
      <c r="W129" s="16" t="n"/>
      <c r="X129" s="16" t="n"/>
      <c r="Y129" s="16" t="n"/>
      <c r="Z129" s="14" t="n"/>
      <c r="AA129" s="14" t="n"/>
      <c r="AB129" s="14" t="n"/>
      <c r="AC129" s="17">
        <f>IFERROR(VLOOKUP($H129&amp;"|"&amp;$Q129,Tariff_Master!$A$2:$L$169,3,FALSE),"")</f>
        <v/>
      </c>
      <c r="AD129" s="17">
        <f>IFERROR(VLOOKUP($H129&amp;"|"&amp;$Q129,Tariff_Master!$A$2:$L$169,4,FALSE),"")</f>
        <v/>
      </c>
      <c r="AE129" s="18">
        <f>IFERROR(VLOOKUP($H129&amp;"|"&amp;$Q129,Tariff_Master!$A$2:$L$169,6,FALSE),"")</f>
        <v/>
      </c>
      <c r="AF129" s="19">
        <f>IFERROR(VLOOKUP($H129&amp;"|"&amp;$Q129,Tariff_Master!$A$2:$L$169,7,FALSE),"")</f>
        <v/>
      </c>
      <c r="AG129" s="18">
        <f>IFERROR(VLOOKUP($H129&amp;"|"&amp;$Q129,Tariff_Master!$A$2:$L$169,8,FALSE),"")</f>
        <v/>
      </c>
      <c r="AH129" s="20">
        <f>IFERROR(VLOOKUP($H129&amp;"|"&amp;$Q129,Tariff_Master!$A$2:$L$169,9,FALSE),"")</f>
        <v/>
      </c>
      <c r="AI129" s="18">
        <f>IFERROR(VLOOKUP($H129&amp;"|"&amp;$Q129,Tariff_Master!$A$2:$L$169,10,FALSE),"")</f>
        <v/>
      </c>
      <c r="AJ129" s="21">
        <f>IF($M129="","",ROUNDUP(MAX(0,$M129),0))</f>
        <v/>
      </c>
      <c r="AK129" s="21">
        <f>IF(OR($AJ129="",$AF129=""),"",MAX(0,$AJ129-$AF129))</f>
        <v/>
      </c>
      <c r="AL129" s="22">
        <f>IF(OR($AK129="",$AG129=""),"",MAX(0,$AK129*$AG129))</f>
        <v/>
      </c>
      <c r="AM129" s="22">
        <f>IF($AE129="","",MAX(0,SUM($AE129,$AL129,$V129,$W129)))</f>
        <v/>
      </c>
      <c r="AN129" s="22">
        <f>IF($AM129="","",IF(AND($Q129="COMMITMENT",$R129&gt;=$AH129),$AI129,0))</f>
        <v/>
      </c>
      <c r="AO129" s="23">
        <f>IF($AM129="","",MAX(0,$AM129-$AN129))</f>
        <v/>
      </c>
      <c r="AP129" s="22">
        <f>IF($S129="","",IF(OR($S129="ITEM_PRICE_PLUS_DECLARED_DELIVERY",$S129="DELIVERY_CHARGE_ONLY"),$K129,IF($S129="TOTAL_AMOUNT_INCLUDING_DELIVERY",IF(OR($T129="",$J129=""),"",MAX(0,$T129-$J129-$U129)),IF($S129="ITEM_PRICE_ONLY_DELIVERY_PAID_BY_MERCHANT",0,""))))</f>
        <v/>
      </c>
      <c r="AQ129" s="23">
        <f>IF(OR($AP129="",$AO129=""),"",$AP129-$AO129)</f>
        <v/>
      </c>
      <c r="AR129" s="24">
        <f>IF($S129="EXACT_COLLECTION_AMOUNT","BREAKDOWN_REQUIRED",IF($AQ129="","",IF($AQ129&gt;0,"CREDIT_TO_MERCHANT",IF($AQ129&lt;0,"DEDUCT_FROM_MERCHANT","NO_ADJUSTMENT"))))</f>
        <v/>
      </c>
      <c r="AS129" s="23">
        <f>IF(OR($AQ129="",$AR129="BREAKDOWN_REQUIRED"),"",$AQ129)</f>
        <v/>
      </c>
      <c r="AT129" s="23">
        <f>IF(OR($AR129="",$AR129="BREAKDOWN_REQUIRED"),"",SUM($J129,$AQ129,$Y129)-$X129)</f>
        <v/>
      </c>
      <c r="AU129" s="25">
        <f>IF(AND($A129="",$B129="",$F129="",$H129="",$J129="",$K129="",$M129="",$S129=""),"",IF(OR($H129="",$Q129="",$M129="",$S129=""),"ERROR",IF(OR($J129&lt;0,$K129&lt;0,$M129&lt;0,$T129&lt;0,$U129&lt;0,$V129&lt;0,$W129&lt;0,$X129&lt;0,$Y129&lt;0),"ERROR",IF($AE129="","ERROR",IF(AND(OR($S129="ITEM_PRICE_PLUS_DECLARED_DELIVERY",$S129="TOTAL_AMOUNT_INCLUDING_DELIVERY",$S129="ITEM_PRICE_ONLY_DELIVERY_PAID_BY_MERCHANT"),$J129=""),"ERROR",IF(AND(OR($S129="ITEM_PRICE_PLUS_DECLARED_DELIVERY",$S129="DELIVERY_CHARGE_ONLY"),$K129=""),"ERROR",IF(AND(OR($S129="TOTAL_AMOUNT_INCLUDING_DELIVERY",$S129="EXACT_COLLECTION_AMOUNT"),$T129=""),"ERROR",IF(AND($S129="TOTAL_AMOUNT_INCLUDING_DELIVERY",$T129&lt;SUM($J129,$U129)),"ERROR",IF($S129="EXACT_COLLECTION_AMOUNT","REVIEW","OK")))))))))</f>
        <v/>
      </c>
      <c r="AV129" s="25">
        <f>IF($AU129="","",IF($H129="","Township required",IF($Q129="","Customer tier required",IF($M129="","Weight required",IF($S129="","Amount entry type required",IF(OR($J129&lt;0,$K129&lt;0,$M129&lt;0,$T129&lt;0,$U129&lt;0,$V129&lt;0,$W129&lt;0,$X129&lt;0,$Y129&lt;0),"Negative amounts are not allowed",IF($AE129="","Tariff not found for township and tier",IF(AND(OR($S129="ITEM_PRICE_PLUS_DECLARED_DELIVERY",$S129="TOTAL_AMOUNT_INCLUDING_DELIVERY",$S129="ITEM_PRICE_ONLY_DELIVERY_PAID_BY_MERCHANT"),$J129=""),"Item price required for this amount type",IF(AND(OR($S129="ITEM_PRICE_PLUS_DECLARED_DELIVERY",$S129="DELIVERY_CHARGE_ONLY"),$K129=""),"Declared delivery charge required",IF(AND(OR($S129="TOTAL_AMOUNT_INCLUDING_DELIVERY",$S129="EXACT_COLLECTION_AMOUNT"),$T129=""),"Stated total amount required",IF(AND($S129="TOTAL_AMOUNT_INCLUDING_DELIVERY",$T129&lt;SUM($J129,$U129)),"Stated total is below item price plus additional charge",IF($S129="EXACT_COLLECTION_AMOUNT","Authorized amount breakdown required before settlement","Ready for collection and settlement"))))))))))))</f>
        <v/>
      </c>
      <c r="AW129" s="23">
        <f>IF($AU129="","","PARCEL_FINANCIAL_V2")</f>
        <v/>
      </c>
      <c r="AX129" s="17" t="n"/>
    </row>
    <row r="130">
      <c r="A130" s="8" t="n"/>
      <c r="B130" s="8" t="n"/>
      <c r="C130" s="8" t="n"/>
      <c r="D130" s="8" t="n"/>
      <c r="E130" s="9" t="n"/>
      <c r="F130" s="9" t="n"/>
      <c r="G130" s="8" t="n"/>
      <c r="H130" s="9" t="n"/>
      <c r="I130" s="9" t="n"/>
      <c r="J130" s="10" t="n"/>
      <c r="K130" s="10" t="n"/>
      <c r="L130" s="11">
        <f>IF($S130="","",IF($S130="ITEM_PRICE_PLUS_DECLARED_DELIVERY",IF(OR($J130="",$K130=""),"",SUM($J130,$K130,$U130)),IF($S130="TOTAL_AMOUNT_INCLUDING_DELIVERY",IF($T130="","",$T130),IF($S130="DELIVERY_CHARGE_ONLY",IF($K130="","",SUM($K130,$U130)),IF($S130="EXACT_COLLECTION_AMOUNT",IF($T130="","",$T130),IF($S130="ITEM_PRICE_ONLY_DELIVERY_PAID_BY_MERCHANT",IF($J130="","",SUM($J130,$U130)),""))))))</f>
        <v/>
      </c>
      <c r="M130" s="12" t="n"/>
      <c r="N130" s="13" t="n"/>
      <c r="O130" s="13" t="n"/>
      <c r="P130" s="9" t="n"/>
      <c r="Q130" s="14" t="n"/>
      <c r="R130" s="15" t="n"/>
      <c r="S130" s="14" t="n"/>
      <c r="T130" s="16" t="n"/>
      <c r="U130" s="16" t="n"/>
      <c r="V130" s="16" t="n"/>
      <c r="W130" s="16" t="n"/>
      <c r="X130" s="16" t="n"/>
      <c r="Y130" s="16" t="n"/>
      <c r="Z130" s="14" t="n"/>
      <c r="AA130" s="14" t="n"/>
      <c r="AB130" s="14" t="n"/>
      <c r="AC130" s="17">
        <f>IFERROR(VLOOKUP($H130&amp;"|"&amp;$Q130,Tariff_Master!$A$2:$L$169,3,FALSE),"")</f>
        <v/>
      </c>
      <c r="AD130" s="17">
        <f>IFERROR(VLOOKUP($H130&amp;"|"&amp;$Q130,Tariff_Master!$A$2:$L$169,4,FALSE),"")</f>
        <v/>
      </c>
      <c r="AE130" s="18">
        <f>IFERROR(VLOOKUP($H130&amp;"|"&amp;$Q130,Tariff_Master!$A$2:$L$169,6,FALSE),"")</f>
        <v/>
      </c>
      <c r="AF130" s="19">
        <f>IFERROR(VLOOKUP($H130&amp;"|"&amp;$Q130,Tariff_Master!$A$2:$L$169,7,FALSE),"")</f>
        <v/>
      </c>
      <c r="AG130" s="18">
        <f>IFERROR(VLOOKUP($H130&amp;"|"&amp;$Q130,Tariff_Master!$A$2:$L$169,8,FALSE),"")</f>
        <v/>
      </c>
      <c r="AH130" s="20">
        <f>IFERROR(VLOOKUP($H130&amp;"|"&amp;$Q130,Tariff_Master!$A$2:$L$169,9,FALSE),"")</f>
        <v/>
      </c>
      <c r="AI130" s="18">
        <f>IFERROR(VLOOKUP($H130&amp;"|"&amp;$Q130,Tariff_Master!$A$2:$L$169,10,FALSE),"")</f>
        <v/>
      </c>
      <c r="AJ130" s="21">
        <f>IF($M130="","",ROUNDUP(MAX(0,$M130),0))</f>
        <v/>
      </c>
      <c r="AK130" s="21">
        <f>IF(OR($AJ130="",$AF130=""),"",MAX(0,$AJ130-$AF130))</f>
        <v/>
      </c>
      <c r="AL130" s="22">
        <f>IF(OR($AK130="",$AG130=""),"",MAX(0,$AK130*$AG130))</f>
        <v/>
      </c>
      <c r="AM130" s="22">
        <f>IF($AE130="","",MAX(0,SUM($AE130,$AL130,$V130,$W130)))</f>
        <v/>
      </c>
      <c r="AN130" s="22">
        <f>IF($AM130="","",IF(AND($Q130="COMMITMENT",$R130&gt;=$AH130),$AI130,0))</f>
        <v/>
      </c>
      <c r="AO130" s="23">
        <f>IF($AM130="","",MAX(0,$AM130-$AN130))</f>
        <v/>
      </c>
      <c r="AP130" s="22">
        <f>IF($S130="","",IF(OR($S130="ITEM_PRICE_PLUS_DECLARED_DELIVERY",$S130="DELIVERY_CHARGE_ONLY"),$K130,IF($S130="TOTAL_AMOUNT_INCLUDING_DELIVERY",IF(OR($T130="",$J130=""),"",MAX(0,$T130-$J130-$U130)),IF($S130="ITEM_PRICE_ONLY_DELIVERY_PAID_BY_MERCHANT",0,""))))</f>
        <v/>
      </c>
      <c r="AQ130" s="23">
        <f>IF(OR($AP130="",$AO130=""),"",$AP130-$AO130)</f>
        <v/>
      </c>
      <c r="AR130" s="24">
        <f>IF($S130="EXACT_COLLECTION_AMOUNT","BREAKDOWN_REQUIRED",IF($AQ130="","",IF($AQ130&gt;0,"CREDIT_TO_MERCHANT",IF($AQ130&lt;0,"DEDUCT_FROM_MERCHANT","NO_ADJUSTMENT"))))</f>
        <v/>
      </c>
      <c r="AS130" s="23">
        <f>IF(OR($AQ130="",$AR130="BREAKDOWN_REQUIRED"),"",$AQ130)</f>
        <v/>
      </c>
      <c r="AT130" s="23">
        <f>IF(OR($AR130="",$AR130="BREAKDOWN_REQUIRED"),"",SUM($J130,$AQ130,$Y130)-$X130)</f>
        <v/>
      </c>
      <c r="AU130" s="25">
        <f>IF(AND($A130="",$B130="",$F130="",$H130="",$J130="",$K130="",$M130="",$S130=""),"",IF(OR($H130="",$Q130="",$M130="",$S130=""),"ERROR",IF(OR($J130&lt;0,$K130&lt;0,$M130&lt;0,$T130&lt;0,$U130&lt;0,$V130&lt;0,$W130&lt;0,$X130&lt;0,$Y130&lt;0),"ERROR",IF($AE130="","ERROR",IF(AND(OR($S130="ITEM_PRICE_PLUS_DECLARED_DELIVERY",$S130="TOTAL_AMOUNT_INCLUDING_DELIVERY",$S130="ITEM_PRICE_ONLY_DELIVERY_PAID_BY_MERCHANT"),$J130=""),"ERROR",IF(AND(OR($S130="ITEM_PRICE_PLUS_DECLARED_DELIVERY",$S130="DELIVERY_CHARGE_ONLY"),$K130=""),"ERROR",IF(AND(OR($S130="TOTAL_AMOUNT_INCLUDING_DELIVERY",$S130="EXACT_COLLECTION_AMOUNT"),$T130=""),"ERROR",IF(AND($S130="TOTAL_AMOUNT_INCLUDING_DELIVERY",$T130&lt;SUM($J130,$U130)),"ERROR",IF($S130="EXACT_COLLECTION_AMOUNT","REVIEW","OK")))))))))</f>
        <v/>
      </c>
      <c r="AV130" s="25">
        <f>IF($AU130="","",IF($H130="","Township required",IF($Q130="","Customer tier required",IF($M130="","Weight required",IF($S130="","Amount entry type required",IF(OR($J130&lt;0,$K130&lt;0,$M130&lt;0,$T130&lt;0,$U130&lt;0,$V130&lt;0,$W130&lt;0,$X130&lt;0,$Y130&lt;0),"Negative amounts are not allowed",IF($AE130="","Tariff not found for township and tier",IF(AND(OR($S130="ITEM_PRICE_PLUS_DECLARED_DELIVERY",$S130="TOTAL_AMOUNT_INCLUDING_DELIVERY",$S130="ITEM_PRICE_ONLY_DELIVERY_PAID_BY_MERCHANT"),$J130=""),"Item price required for this amount type",IF(AND(OR($S130="ITEM_PRICE_PLUS_DECLARED_DELIVERY",$S130="DELIVERY_CHARGE_ONLY"),$K130=""),"Declared delivery charge required",IF(AND(OR($S130="TOTAL_AMOUNT_INCLUDING_DELIVERY",$S130="EXACT_COLLECTION_AMOUNT"),$T130=""),"Stated total amount required",IF(AND($S130="TOTAL_AMOUNT_INCLUDING_DELIVERY",$T130&lt;SUM($J130,$U130)),"Stated total is below item price plus additional charge",IF($S130="EXACT_COLLECTION_AMOUNT","Authorized amount breakdown required before settlement","Ready for collection and settlement"))))))))))))</f>
        <v/>
      </c>
      <c r="AW130" s="23">
        <f>IF($AU130="","","PARCEL_FINANCIAL_V2")</f>
        <v/>
      </c>
      <c r="AX130" s="17" t="n"/>
    </row>
    <row r="131">
      <c r="A131" s="8" t="n"/>
      <c r="B131" s="8" t="n"/>
      <c r="C131" s="8" t="n"/>
      <c r="D131" s="8" t="n"/>
      <c r="E131" s="9" t="n"/>
      <c r="F131" s="9" t="n"/>
      <c r="G131" s="8" t="n"/>
      <c r="H131" s="9" t="n"/>
      <c r="I131" s="9" t="n"/>
      <c r="J131" s="10" t="n"/>
      <c r="K131" s="10" t="n"/>
      <c r="L131" s="11">
        <f>IF($S131="","",IF($S131="ITEM_PRICE_PLUS_DECLARED_DELIVERY",IF(OR($J131="",$K131=""),"",SUM($J131,$K131,$U131)),IF($S131="TOTAL_AMOUNT_INCLUDING_DELIVERY",IF($T131="","",$T131),IF($S131="DELIVERY_CHARGE_ONLY",IF($K131="","",SUM($K131,$U131)),IF($S131="EXACT_COLLECTION_AMOUNT",IF($T131="","",$T131),IF($S131="ITEM_PRICE_ONLY_DELIVERY_PAID_BY_MERCHANT",IF($J131="","",SUM($J131,$U131)),""))))))</f>
        <v/>
      </c>
      <c r="M131" s="12" t="n"/>
      <c r="N131" s="13" t="n"/>
      <c r="O131" s="13" t="n"/>
      <c r="P131" s="9" t="n"/>
      <c r="Q131" s="14" t="n"/>
      <c r="R131" s="15" t="n"/>
      <c r="S131" s="14" t="n"/>
      <c r="T131" s="16" t="n"/>
      <c r="U131" s="16" t="n"/>
      <c r="V131" s="16" t="n"/>
      <c r="W131" s="16" t="n"/>
      <c r="X131" s="16" t="n"/>
      <c r="Y131" s="16" t="n"/>
      <c r="Z131" s="14" t="n"/>
      <c r="AA131" s="14" t="n"/>
      <c r="AB131" s="14" t="n"/>
      <c r="AC131" s="17">
        <f>IFERROR(VLOOKUP($H131&amp;"|"&amp;$Q131,Tariff_Master!$A$2:$L$169,3,FALSE),"")</f>
        <v/>
      </c>
      <c r="AD131" s="17">
        <f>IFERROR(VLOOKUP($H131&amp;"|"&amp;$Q131,Tariff_Master!$A$2:$L$169,4,FALSE),"")</f>
        <v/>
      </c>
      <c r="AE131" s="18">
        <f>IFERROR(VLOOKUP($H131&amp;"|"&amp;$Q131,Tariff_Master!$A$2:$L$169,6,FALSE),"")</f>
        <v/>
      </c>
      <c r="AF131" s="19">
        <f>IFERROR(VLOOKUP($H131&amp;"|"&amp;$Q131,Tariff_Master!$A$2:$L$169,7,FALSE),"")</f>
        <v/>
      </c>
      <c r="AG131" s="18">
        <f>IFERROR(VLOOKUP($H131&amp;"|"&amp;$Q131,Tariff_Master!$A$2:$L$169,8,FALSE),"")</f>
        <v/>
      </c>
      <c r="AH131" s="20">
        <f>IFERROR(VLOOKUP($H131&amp;"|"&amp;$Q131,Tariff_Master!$A$2:$L$169,9,FALSE),"")</f>
        <v/>
      </c>
      <c r="AI131" s="18">
        <f>IFERROR(VLOOKUP($H131&amp;"|"&amp;$Q131,Tariff_Master!$A$2:$L$169,10,FALSE),"")</f>
        <v/>
      </c>
      <c r="AJ131" s="21">
        <f>IF($M131="","",ROUNDUP(MAX(0,$M131),0))</f>
        <v/>
      </c>
      <c r="AK131" s="21">
        <f>IF(OR($AJ131="",$AF131=""),"",MAX(0,$AJ131-$AF131))</f>
        <v/>
      </c>
      <c r="AL131" s="22">
        <f>IF(OR($AK131="",$AG131=""),"",MAX(0,$AK131*$AG131))</f>
        <v/>
      </c>
      <c r="AM131" s="22">
        <f>IF($AE131="","",MAX(0,SUM($AE131,$AL131,$V131,$W131)))</f>
        <v/>
      </c>
      <c r="AN131" s="22">
        <f>IF($AM131="","",IF(AND($Q131="COMMITMENT",$R131&gt;=$AH131),$AI131,0))</f>
        <v/>
      </c>
      <c r="AO131" s="23">
        <f>IF($AM131="","",MAX(0,$AM131-$AN131))</f>
        <v/>
      </c>
      <c r="AP131" s="22">
        <f>IF($S131="","",IF(OR($S131="ITEM_PRICE_PLUS_DECLARED_DELIVERY",$S131="DELIVERY_CHARGE_ONLY"),$K131,IF($S131="TOTAL_AMOUNT_INCLUDING_DELIVERY",IF(OR($T131="",$J131=""),"",MAX(0,$T131-$J131-$U131)),IF($S131="ITEM_PRICE_ONLY_DELIVERY_PAID_BY_MERCHANT",0,""))))</f>
        <v/>
      </c>
      <c r="AQ131" s="23">
        <f>IF(OR($AP131="",$AO131=""),"",$AP131-$AO131)</f>
        <v/>
      </c>
      <c r="AR131" s="24">
        <f>IF($S131="EXACT_COLLECTION_AMOUNT","BREAKDOWN_REQUIRED",IF($AQ131="","",IF($AQ131&gt;0,"CREDIT_TO_MERCHANT",IF($AQ131&lt;0,"DEDUCT_FROM_MERCHANT","NO_ADJUSTMENT"))))</f>
        <v/>
      </c>
      <c r="AS131" s="23">
        <f>IF(OR($AQ131="",$AR131="BREAKDOWN_REQUIRED"),"",$AQ131)</f>
        <v/>
      </c>
      <c r="AT131" s="23">
        <f>IF(OR($AR131="",$AR131="BREAKDOWN_REQUIRED"),"",SUM($J131,$AQ131,$Y131)-$X131)</f>
        <v/>
      </c>
      <c r="AU131" s="25">
        <f>IF(AND($A131="",$B131="",$F131="",$H131="",$J131="",$K131="",$M131="",$S131=""),"",IF(OR($H131="",$Q131="",$M131="",$S131=""),"ERROR",IF(OR($J131&lt;0,$K131&lt;0,$M131&lt;0,$T131&lt;0,$U131&lt;0,$V131&lt;0,$W131&lt;0,$X131&lt;0,$Y131&lt;0),"ERROR",IF($AE131="","ERROR",IF(AND(OR($S131="ITEM_PRICE_PLUS_DECLARED_DELIVERY",$S131="TOTAL_AMOUNT_INCLUDING_DELIVERY",$S131="ITEM_PRICE_ONLY_DELIVERY_PAID_BY_MERCHANT"),$J131=""),"ERROR",IF(AND(OR($S131="ITEM_PRICE_PLUS_DECLARED_DELIVERY",$S131="DELIVERY_CHARGE_ONLY"),$K131=""),"ERROR",IF(AND(OR($S131="TOTAL_AMOUNT_INCLUDING_DELIVERY",$S131="EXACT_COLLECTION_AMOUNT"),$T131=""),"ERROR",IF(AND($S131="TOTAL_AMOUNT_INCLUDING_DELIVERY",$T131&lt;SUM($J131,$U131)),"ERROR",IF($S131="EXACT_COLLECTION_AMOUNT","REVIEW","OK")))))))))</f>
        <v/>
      </c>
      <c r="AV131" s="25">
        <f>IF($AU131="","",IF($H131="","Township required",IF($Q131="","Customer tier required",IF($M131="","Weight required",IF($S131="","Amount entry type required",IF(OR($J131&lt;0,$K131&lt;0,$M131&lt;0,$T131&lt;0,$U131&lt;0,$V131&lt;0,$W131&lt;0,$X131&lt;0,$Y131&lt;0),"Negative amounts are not allowed",IF($AE131="","Tariff not found for township and tier",IF(AND(OR($S131="ITEM_PRICE_PLUS_DECLARED_DELIVERY",$S131="TOTAL_AMOUNT_INCLUDING_DELIVERY",$S131="ITEM_PRICE_ONLY_DELIVERY_PAID_BY_MERCHANT"),$J131=""),"Item price required for this amount type",IF(AND(OR($S131="ITEM_PRICE_PLUS_DECLARED_DELIVERY",$S131="DELIVERY_CHARGE_ONLY"),$K131=""),"Declared delivery charge required",IF(AND(OR($S131="TOTAL_AMOUNT_INCLUDING_DELIVERY",$S131="EXACT_COLLECTION_AMOUNT"),$T131=""),"Stated total amount required",IF(AND($S131="TOTAL_AMOUNT_INCLUDING_DELIVERY",$T131&lt;SUM($J131,$U131)),"Stated total is below item price plus additional charge",IF($S131="EXACT_COLLECTION_AMOUNT","Authorized amount breakdown required before settlement","Ready for collection and settlement"))))))))))))</f>
        <v/>
      </c>
      <c r="AW131" s="23">
        <f>IF($AU131="","","PARCEL_FINANCIAL_V2")</f>
        <v/>
      </c>
      <c r="AX131" s="17" t="n"/>
    </row>
    <row r="132">
      <c r="A132" s="8" t="n"/>
      <c r="B132" s="8" t="n"/>
      <c r="C132" s="8" t="n"/>
      <c r="D132" s="8" t="n"/>
      <c r="E132" s="9" t="n"/>
      <c r="F132" s="9" t="n"/>
      <c r="G132" s="8" t="n"/>
      <c r="H132" s="9" t="n"/>
      <c r="I132" s="9" t="n"/>
      <c r="J132" s="10" t="n"/>
      <c r="K132" s="10" t="n"/>
      <c r="L132" s="11">
        <f>IF($S132="","",IF($S132="ITEM_PRICE_PLUS_DECLARED_DELIVERY",IF(OR($J132="",$K132=""),"",SUM($J132,$K132,$U132)),IF($S132="TOTAL_AMOUNT_INCLUDING_DELIVERY",IF($T132="","",$T132),IF($S132="DELIVERY_CHARGE_ONLY",IF($K132="","",SUM($K132,$U132)),IF($S132="EXACT_COLLECTION_AMOUNT",IF($T132="","",$T132),IF($S132="ITEM_PRICE_ONLY_DELIVERY_PAID_BY_MERCHANT",IF($J132="","",SUM($J132,$U132)),""))))))</f>
        <v/>
      </c>
      <c r="M132" s="12" t="n"/>
      <c r="N132" s="13" t="n"/>
      <c r="O132" s="13" t="n"/>
      <c r="P132" s="9" t="n"/>
      <c r="Q132" s="14" t="n"/>
      <c r="R132" s="15" t="n"/>
      <c r="S132" s="14" t="n"/>
      <c r="T132" s="16" t="n"/>
      <c r="U132" s="16" t="n"/>
      <c r="V132" s="16" t="n"/>
      <c r="W132" s="16" t="n"/>
      <c r="X132" s="16" t="n"/>
      <c r="Y132" s="16" t="n"/>
      <c r="Z132" s="14" t="n"/>
      <c r="AA132" s="14" t="n"/>
      <c r="AB132" s="14" t="n"/>
      <c r="AC132" s="17">
        <f>IFERROR(VLOOKUP($H132&amp;"|"&amp;$Q132,Tariff_Master!$A$2:$L$169,3,FALSE),"")</f>
        <v/>
      </c>
      <c r="AD132" s="17">
        <f>IFERROR(VLOOKUP($H132&amp;"|"&amp;$Q132,Tariff_Master!$A$2:$L$169,4,FALSE),"")</f>
        <v/>
      </c>
      <c r="AE132" s="18">
        <f>IFERROR(VLOOKUP($H132&amp;"|"&amp;$Q132,Tariff_Master!$A$2:$L$169,6,FALSE),"")</f>
        <v/>
      </c>
      <c r="AF132" s="19">
        <f>IFERROR(VLOOKUP($H132&amp;"|"&amp;$Q132,Tariff_Master!$A$2:$L$169,7,FALSE),"")</f>
        <v/>
      </c>
      <c r="AG132" s="18">
        <f>IFERROR(VLOOKUP($H132&amp;"|"&amp;$Q132,Tariff_Master!$A$2:$L$169,8,FALSE),"")</f>
        <v/>
      </c>
      <c r="AH132" s="20">
        <f>IFERROR(VLOOKUP($H132&amp;"|"&amp;$Q132,Tariff_Master!$A$2:$L$169,9,FALSE),"")</f>
        <v/>
      </c>
      <c r="AI132" s="18">
        <f>IFERROR(VLOOKUP($H132&amp;"|"&amp;$Q132,Tariff_Master!$A$2:$L$169,10,FALSE),"")</f>
        <v/>
      </c>
      <c r="AJ132" s="21">
        <f>IF($M132="","",ROUNDUP(MAX(0,$M132),0))</f>
        <v/>
      </c>
      <c r="AK132" s="21">
        <f>IF(OR($AJ132="",$AF132=""),"",MAX(0,$AJ132-$AF132))</f>
        <v/>
      </c>
      <c r="AL132" s="22">
        <f>IF(OR($AK132="",$AG132=""),"",MAX(0,$AK132*$AG132))</f>
        <v/>
      </c>
      <c r="AM132" s="22">
        <f>IF($AE132="","",MAX(0,SUM($AE132,$AL132,$V132,$W132)))</f>
        <v/>
      </c>
      <c r="AN132" s="22">
        <f>IF($AM132="","",IF(AND($Q132="COMMITMENT",$R132&gt;=$AH132),$AI132,0))</f>
        <v/>
      </c>
      <c r="AO132" s="23">
        <f>IF($AM132="","",MAX(0,$AM132-$AN132))</f>
        <v/>
      </c>
      <c r="AP132" s="22">
        <f>IF($S132="","",IF(OR($S132="ITEM_PRICE_PLUS_DECLARED_DELIVERY",$S132="DELIVERY_CHARGE_ONLY"),$K132,IF($S132="TOTAL_AMOUNT_INCLUDING_DELIVERY",IF(OR($T132="",$J132=""),"",MAX(0,$T132-$J132-$U132)),IF($S132="ITEM_PRICE_ONLY_DELIVERY_PAID_BY_MERCHANT",0,""))))</f>
        <v/>
      </c>
      <c r="AQ132" s="23">
        <f>IF(OR($AP132="",$AO132=""),"",$AP132-$AO132)</f>
        <v/>
      </c>
      <c r="AR132" s="24">
        <f>IF($S132="EXACT_COLLECTION_AMOUNT","BREAKDOWN_REQUIRED",IF($AQ132="","",IF($AQ132&gt;0,"CREDIT_TO_MERCHANT",IF($AQ132&lt;0,"DEDUCT_FROM_MERCHANT","NO_ADJUSTMENT"))))</f>
        <v/>
      </c>
      <c r="AS132" s="23">
        <f>IF(OR($AQ132="",$AR132="BREAKDOWN_REQUIRED"),"",$AQ132)</f>
        <v/>
      </c>
      <c r="AT132" s="23">
        <f>IF(OR($AR132="",$AR132="BREAKDOWN_REQUIRED"),"",SUM($J132,$AQ132,$Y132)-$X132)</f>
        <v/>
      </c>
      <c r="AU132" s="25">
        <f>IF(AND($A132="",$B132="",$F132="",$H132="",$J132="",$K132="",$M132="",$S132=""),"",IF(OR($H132="",$Q132="",$M132="",$S132=""),"ERROR",IF(OR($J132&lt;0,$K132&lt;0,$M132&lt;0,$T132&lt;0,$U132&lt;0,$V132&lt;0,$W132&lt;0,$X132&lt;0,$Y132&lt;0),"ERROR",IF($AE132="","ERROR",IF(AND(OR($S132="ITEM_PRICE_PLUS_DECLARED_DELIVERY",$S132="TOTAL_AMOUNT_INCLUDING_DELIVERY",$S132="ITEM_PRICE_ONLY_DELIVERY_PAID_BY_MERCHANT"),$J132=""),"ERROR",IF(AND(OR($S132="ITEM_PRICE_PLUS_DECLARED_DELIVERY",$S132="DELIVERY_CHARGE_ONLY"),$K132=""),"ERROR",IF(AND(OR($S132="TOTAL_AMOUNT_INCLUDING_DELIVERY",$S132="EXACT_COLLECTION_AMOUNT"),$T132=""),"ERROR",IF(AND($S132="TOTAL_AMOUNT_INCLUDING_DELIVERY",$T132&lt;SUM($J132,$U132)),"ERROR",IF($S132="EXACT_COLLECTION_AMOUNT","REVIEW","OK")))))))))</f>
        <v/>
      </c>
      <c r="AV132" s="25">
        <f>IF($AU132="","",IF($H132="","Township required",IF($Q132="","Customer tier required",IF($M132="","Weight required",IF($S132="","Amount entry type required",IF(OR($J132&lt;0,$K132&lt;0,$M132&lt;0,$T132&lt;0,$U132&lt;0,$V132&lt;0,$W132&lt;0,$X132&lt;0,$Y132&lt;0),"Negative amounts are not allowed",IF($AE132="","Tariff not found for township and tier",IF(AND(OR($S132="ITEM_PRICE_PLUS_DECLARED_DELIVERY",$S132="TOTAL_AMOUNT_INCLUDING_DELIVERY",$S132="ITEM_PRICE_ONLY_DELIVERY_PAID_BY_MERCHANT"),$J132=""),"Item price required for this amount type",IF(AND(OR($S132="ITEM_PRICE_PLUS_DECLARED_DELIVERY",$S132="DELIVERY_CHARGE_ONLY"),$K132=""),"Declared delivery charge required",IF(AND(OR($S132="TOTAL_AMOUNT_INCLUDING_DELIVERY",$S132="EXACT_COLLECTION_AMOUNT"),$T132=""),"Stated total amount required",IF(AND($S132="TOTAL_AMOUNT_INCLUDING_DELIVERY",$T132&lt;SUM($J132,$U132)),"Stated total is below item price plus additional charge",IF($S132="EXACT_COLLECTION_AMOUNT","Authorized amount breakdown required before settlement","Ready for collection and settlement"))))))))))))</f>
        <v/>
      </c>
      <c r="AW132" s="23">
        <f>IF($AU132="","","PARCEL_FINANCIAL_V2")</f>
        <v/>
      </c>
      <c r="AX132" s="17" t="n"/>
    </row>
    <row r="133">
      <c r="A133" s="8" t="n"/>
      <c r="B133" s="8" t="n"/>
      <c r="C133" s="8" t="n"/>
      <c r="D133" s="8" t="n"/>
      <c r="E133" s="9" t="n"/>
      <c r="F133" s="9" t="n"/>
      <c r="G133" s="8" t="n"/>
      <c r="H133" s="9" t="n"/>
      <c r="I133" s="9" t="n"/>
      <c r="J133" s="10" t="n"/>
      <c r="K133" s="10" t="n"/>
      <c r="L133" s="11">
        <f>IF($S133="","",IF($S133="ITEM_PRICE_PLUS_DECLARED_DELIVERY",IF(OR($J133="",$K133=""),"",SUM($J133,$K133,$U133)),IF($S133="TOTAL_AMOUNT_INCLUDING_DELIVERY",IF($T133="","",$T133),IF($S133="DELIVERY_CHARGE_ONLY",IF($K133="","",SUM($K133,$U133)),IF($S133="EXACT_COLLECTION_AMOUNT",IF($T133="","",$T133),IF($S133="ITEM_PRICE_ONLY_DELIVERY_PAID_BY_MERCHANT",IF($J133="","",SUM($J133,$U133)),""))))))</f>
        <v/>
      </c>
      <c r="M133" s="12" t="n"/>
      <c r="N133" s="13" t="n"/>
      <c r="O133" s="13" t="n"/>
      <c r="P133" s="9" t="n"/>
      <c r="Q133" s="14" t="n"/>
      <c r="R133" s="15" t="n"/>
      <c r="S133" s="14" t="n"/>
      <c r="T133" s="16" t="n"/>
      <c r="U133" s="16" t="n"/>
      <c r="V133" s="16" t="n"/>
      <c r="W133" s="16" t="n"/>
      <c r="X133" s="16" t="n"/>
      <c r="Y133" s="16" t="n"/>
      <c r="Z133" s="14" t="n"/>
      <c r="AA133" s="14" t="n"/>
      <c r="AB133" s="14" t="n"/>
      <c r="AC133" s="17">
        <f>IFERROR(VLOOKUP($H133&amp;"|"&amp;$Q133,Tariff_Master!$A$2:$L$169,3,FALSE),"")</f>
        <v/>
      </c>
      <c r="AD133" s="17">
        <f>IFERROR(VLOOKUP($H133&amp;"|"&amp;$Q133,Tariff_Master!$A$2:$L$169,4,FALSE),"")</f>
        <v/>
      </c>
      <c r="AE133" s="18">
        <f>IFERROR(VLOOKUP($H133&amp;"|"&amp;$Q133,Tariff_Master!$A$2:$L$169,6,FALSE),"")</f>
        <v/>
      </c>
      <c r="AF133" s="19">
        <f>IFERROR(VLOOKUP($H133&amp;"|"&amp;$Q133,Tariff_Master!$A$2:$L$169,7,FALSE),"")</f>
        <v/>
      </c>
      <c r="AG133" s="18">
        <f>IFERROR(VLOOKUP($H133&amp;"|"&amp;$Q133,Tariff_Master!$A$2:$L$169,8,FALSE),"")</f>
        <v/>
      </c>
      <c r="AH133" s="20">
        <f>IFERROR(VLOOKUP($H133&amp;"|"&amp;$Q133,Tariff_Master!$A$2:$L$169,9,FALSE),"")</f>
        <v/>
      </c>
      <c r="AI133" s="18">
        <f>IFERROR(VLOOKUP($H133&amp;"|"&amp;$Q133,Tariff_Master!$A$2:$L$169,10,FALSE),"")</f>
        <v/>
      </c>
      <c r="AJ133" s="21">
        <f>IF($M133="","",ROUNDUP(MAX(0,$M133),0))</f>
        <v/>
      </c>
      <c r="AK133" s="21">
        <f>IF(OR($AJ133="",$AF133=""),"",MAX(0,$AJ133-$AF133))</f>
        <v/>
      </c>
      <c r="AL133" s="22">
        <f>IF(OR($AK133="",$AG133=""),"",MAX(0,$AK133*$AG133))</f>
        <v/>
      </c>
      <c r="AM133" s="22">
        <f>IF($AE133="","",MAX(0,SUM($AE133,$AL133,$V133,$W133)))</f>
        <v/>
      </c>
      <c r="AN133" s="22">
        <f>IF($AM133="","",IF(AND($Q133="COMMITMENT",$R133&gt;=$AH133),$AI133,0))</f>
        <v/>
      </c>
      <c r="AO133" s="23">
        <f>IF($AM133="","",MAX(0,$AM133-$AN133))</f>
        <v/>
      </c>
      <c r="AP133" s="22">
        <f>IF($S133="","",IF(OR($S133="ITEM_PRICE_PLUS_DECLARED_DELIVERY",$S133="DELIVERY_CHARGE_ONLY"),$K133,IF($S133="TOTAL_AMOUNT_INCLUDING_DELIVERY",IF(OR($T133="",$J133=""),"",MAX(0,$T133-$J133-$U133)),IF($S133="ITEM_PRICE_ONLY_DELIVERY_PAID_BY_MERCHANT",0,""))))</f>
        <v/>
      </c>
      <c r="AQ133" s="23">
        <f>IF(OR($AP133="",$AO133=""),"",$AP133-$AO133)</f>
        <v/>
      </c>
      <c r="AR133" s="24">
        <f>IF($S133="EXACT_COLLECTION_AMOUNT","BREAKDOWN_REQUIRED",IF($AQ133="","",IF($AQ133&gt;0,"CREDIT_TO_MERCHANT",IF($AQ133&lt;0,"DEDUCT_FROM_MERCHANT","NO_ADJUSTMENT"))))</f>
        <v/>
      </c>
      <c r="AS133" s="23">
        <f>IF(OR($AQ133="",$AR133="BREAKDOWN_REQUIRED"),"",$AQ133)</f>
        <v/>
      </c>
      <c r="AT133" s="23">
        <f>IF(OR($AR133="",$AR133="BREAKDOWN_REQUIRED"),"",SUM($J133,$AQ133,$Y133)-$X133)</f>
        <v/>
      </c>
      <c r="AU133" s="25">
        <f>IF(AND($A133="",$B133="",$F133="",$H133="",$J133="",$K133="",$M133="",$S133=""),"",IF(OR($H133="",$Q133="",$M133="",$S133=""),"ERROR",IF(OR($J133&lt;0,$K133&lt;0,$M133&lt;0,$T133&lt;0,$U133&lt;0,$V133&lt;0,$W133&lt;0,$X133&lt;0,$Y133&lt;0),"ERROR",IF($AE133="","ERROR",IF(AND(OR($S133="ITEM_PRICE_PLUS_DECLARED_DELIVERY",$S133="TOTAL_AMOUNT_INCLUDING_DELIVERY",$S133="ITEM_PRICE_ONLY_DELIVERY_PAID_BY_MERCHANT"),$J133=""),"ERROR",IF(AND(OR($S133="ITEM_PRICE_PLUS_DECLARED_DELIVERY",$S133="DELIVERY_CHARGE_ONLY"),$K133=""),"ERROR",IF(AND(OR($S133="TOTAL_AMOUNT_INCLUDING_DELIVERY",$S133="EXACT_COLLECTION_AMOUNT"),$T133=""),"ERROR",IF(AND($S133="TOTAL_AMOUNT_INCLUDING_DELIVERY",$T133&lt;SUM($J133,$U133)),"ERROR",IF($S133="EXACT_COLLECTION_AMOUNT","REVIEW","OK")))))))))</f>
        <v/>
      </c>
      <c r="AV133" s="25">
        <f>IF($AU133="","",IF($H133="","Township required",IF($Q133="","Customer tier required",IF($M133="","Weight required",IF($S133="","Amount entry type required",IF(OR($J133&lt;0,$K133&lt;0,$M133&lt;0,$T133&lt;0,$U133&lt;0,$V133&lt;0,$W133&lt;0,$X133&lt;0,$Y133&lt;0),"Negative amounts are not allowed",IF($AE133="","Tariff not found for township and tier",IF(AND(OR($S133="ITEM_PRICE_PLUS_DECLARED_DELIVERY",$S133="TOTAL_AMOUNT_INCLUDING_DELIVERY",$S133="ITEM_PRICE_ONLY_DELIVERY_PAID_BY_MERCHANT"),$J133=""),"Item price required for this amount type",IF(AND(OR($S133="ITEM_PRICE_PLUS_DECLARED_DELIVERY",$S133="DELIVERY_CHARGE_ONLY"),$K133=""),"Declared delivery charge required",IF(AND(OR($S133="TOTAL_AMOUNT_INCLUDING_DELIVERY",$S133="EXACT_COLLECTION_AMOUNT"),$T133=""),"Stated total amount required",IF(AND($S133="TOTAL_AMOUNT_INCLUDING_DELIVERY",$T133&lt;SUM($J133,$U133)),"Stated total is below item price plus additional charge",IF($S133="EXACT_COLLECTION_AMOUNT","Authorized amount breakdown required before settlement","Ready for collection and settlement"))))))))))))</f>
        <v/>
      </c>
      <c r="AW133" s="23">
        <f>IF($AU133="","","PARCEL_FINANCIAL_V2")</f>
        <v/>
      </c>
      <c r="AX133" s="17" t="n"/>
    </row>
    <row r="134">
      <c r="A134" s="8" t="n"/>
      <c r="B134" s="8" t="n"/>
      <c r="C134" s="8" t="n"/>
      <c r="D134" s="8" t="n"/>
      <c r="E134" s="9" t="n"/>
      <c r="F134" s="9" t="n"/>
      <c r="G134" s="8" t="n"/>
      <c r="H134" s="9" t="n"/>
      <c r="I134" s="9" t="n"/>
      <c r="J134" s="10" t="n"/>
      <c r="K134" s="10" t="n"/>
      <c r="L134" s="11">
        <f>IF($S134="","",IF($S134="ITEM_PRICE_PLUS_DECLARED_DELIVERY",IF(OR($J134="",$K134=""),"",SUM($J134,$K134,$U134)),IF($S134="TOTAL_AMOUNT_INCLUDING_DELIVERY",IF($T134="","",$T134),IF($S134="DELIVERY_CHARGE_ONLY",IF($K134="","",SUM($K134,$U134)),IF($S134="EXACT_COLLECTION_AMOUNT",IF($T134="","",$T134),IF($S134="ITEM_PRICE_ONLY_DELIVERY_PAID_BY_MERCHANT",IF($J134="","",SUM($J134,$U134)),""))))))</f>
        <v/>
      </c>
      <c r="M134" s="12" t="n"/>
      <c r="N134" s="13" t="n"/>
      <c r="O134" s="13" t="n"/>
      <c r="P134" s="9" t="n"/>
      <c r="Q134" s="14" t="n"/>
      <c r="R134" s="15" t="n"/>
      <c r="S134" s="14" t="n"/>
      <c r="T134" s="16" t="n"/>
      <c r="U134" s="16" t="n"/>
      <c r="V134" s="16" t="n"/>
      <c r="W134" s="16" t="n"/>
      <c r="X134" s="16" t="n"/>
      <c r="Y134" s="16" t="n"/>
      <c r="Z134" s="14" t="n"/>
      <c r="AA134" s="14" t="n"/>
      <c r="AB134" s="14" t="n"/>
      <c r="AC134" s="17">
        <f>IFERROR(VLOOKUP($H134&amp;"|"&amp;$Q134,Tariff_Master!$A$2:$L$169,3,FALSE),"")</f>
        <v/>
      </c>
      <c r="AD134" s="17">
        <f>IFERROR(VLOOKUP($H134&amp;"|"&amp;$Q134,Tariff_Master!$A$2:$L$169,4,FALSE),"")</f>
        <v/>
      </c>
      <c r="AE134" s="18">
        <f>IFERROR(VLOOKUP($H134&amp;"|"&amp;$Q134,Tariff_Master!$A$2:$L$169,6,FALSE),"")</f>
        <v/>
      </c>
      <c r="AF134" s="19">
        <f>IFERROR(VLOOKUP($H134&amp;"|"&amp;$Q134,Tariff_Master!$A$2:$L$169,7,FALSE),"")</f>
        <v/>
      </c>
      <c r="AG134" s="18">
        <f>IFERROR(VLOOKUP($H134&amp;"|"&amp;$Q134,Tariff_Master!$A$2:$L$169,8,FALSE),"")</f>
        <v/>
      </c>
      <c r="AH134" s="20">
        <f>IFERROR(VLOOKUP($H134&amp;"|"&amp;$Q134,Tariff_Master!$A$2:$L$169,9,FALSE),"")</f>
        <v/>
      </c>
      <c r="AI134" s="18">
        <f>IFERROR(VLOOKUP($H134&amp;"|"&amp;$Q134,Tariff_Master!$A$2:$L$169,10,FALSE),"")</f>
        <v/>
      </c>
      <c r="AJ134" s="21">
        <f>IF($M134="","",ROUNDUP(MAX(0,$M134),0))</f>
        <v/>
      </c>
      <c r="AK134" s="21">
        <f>IF(OR($AJ134="",$AF134=""),"",MAX(0,$AJ134-$AF134))</f>
        <v/>
      </c>
      <c r="AL134" s="22">
        <f>IF(OR($AK134="",$AG134=""),"",MAX(0,$AK134*$AG134))</f>
        <v/>
      </c>
      <c r="AM134" s="22">
        <f>IF($AE134="","",MAX(0,SUM($AE134,$AL134,$V134,$W134)))</f>
        <v/>
      </c>
      <c r="AN134" s="22">
        <f>IF($AM134="","",IF(AND($Q134="COMMITMENT",$R134&gt;=$AH134),$AI134,0))</f>
        <v/>
      </c>
      <c r="AO134" s="23">
        <f>IF($AM134="","",MAX(0,$AM134-$AN134))</f>
        <v/>
      </c>
      <c r="AP134" s="22">
        <f>IF($S134="","",IF(OR($S134="ITEM_PRICE_PLUS_DECLARED_DELIVERY",$S134="DELIVERY_CHARGE_ONLY"),$K134,IF($S134="TOTAL_AMOUNT_INCLUDING_DELIVERY",IF(OR($T134="",$J134=""),"",MAX(0,$T134-$J134-$U134)),IF($S134="ITEM_PRICE_ONLY_DELIVERY_PAID_BY_MERCHANT",0,""))))</f>
        <v/>
      </c>
      <c r="AQ134" s="23">
        <f>IF(OR($AP134="",$AO134=""),"",$AP134-$AO134)</f>
        <v/>
      </c>
      <c r="AR134" s="24">
        <f>IF($S134="EXACT_COLLECTION_AMOUNT","BREAKDOWN_REQUIRED",IF($AQ134="","",IF($AQ134&gt;0,"CREDIT_TO_MERCHANT",IF($AQ134&lt;0,"DEDUCT_FROM_MERCHANT","NO_ADJUSTMENT"))))</f>
        <v/>
      </c>
      <c r="AS134" s="23">
        <f>IF(OR($AQ134="",$AR134="BREAKDOWN_REQUIRED"),"",$AQ134)</f>
        <v/>
      </c>
      <c r="AT134" s="23">
        <f>IF(OR($AR134="",$AR134="BREAKDOWN_REQUIRED"),"",SUM($J134,$AQ134,$Y134)-$X134)</f>
        <v/>
      </c>
      <c r="AU134" s="25">
        <f>IF(AND($A134="",$B134="",$F134="",$H134="",$J134="",$K134="",$M134="",$S134=""),"",IF(OR($H134="",$Q134="",$M134="",$S134=""),"ERROR",IF(OR($J134&lt;0,$K134&lt;0,$M134&lt;0,$T134&lt;0,$U134&lt;0,$V134&lt;0,$W134&lt;0,$X134&lt;0,$Y134&lt;0),"ERROR",IF($AE134="","ERROR",IF(AND(OR($S134="ITEM_PRICE_PLUS_DECLARED_DELIVERY",$S134="TOTAL_AMOUNT_INCLUDING_DELIVERY",$S134="ITEM_PRICE_ONLY_DELIVERY_PAID_BY_MERCHANT"),$J134=""),"ERROR",IF(AND(OR($S134="ITEM_PRICE_PLUS_DECLARED_DELIVERY",$S134="DELIVERY_CHARGE_ONLY"),$K134=""),"ERROR",IF(AND(OR($S134="TOTAL_AMOUNT_INCLUDING_DELIVERY",$S134="EXACT_COLLECTION_AMOUNT"),$T134=""),"ERROR",IF(AND($S134="TOTAL_AMOUNT_INCLUDING_DELIVERY",$T134&lt;SUM($J134,$U134)),"ERROR",IF($S134="EXACT_COLLECTION_AMOUNT","REVIEW","OK")))))))))</f>
        <v/>
      </c>
      <c r="AV134" s="25">
        <f>IF($AU134="","",IF($H134="","Township required",IF($Q134="","Customer tier required",IF($M134="","Weight required",IF($S134="","Amount entry type required",IF(OR($J134&lt;0,$K134&lt;0,$M134&lt;0,$T134&lt;0,$U134&lt;0,$V134&lt;0,$W134&lt;0,$X134&lt;0,$Y134&lt;0),"Negative amounts are not allowed",IF($AE134="","Tariff not found for township and tier",IF(AND(OR($S134="ITEM_PRICE_PLUS_DECLARED_DELIVERY",$S134="TOTAL_AMOUNT_INCLUDING_DELIVERY",$S134="ITEM_PRICE_ONLY_DELIVERY_PAID_BY_MERCHANT"),$J134=""),"Item price required for this amount type",IF(AND(OR($S134="ITEM_PRICE_PLUS_DECLARED_DELIVERY",$S134="DELIVERY_CHARGE_ONLY"),$K134=""),"Declared delivery charge required",IF(AND(OR($S134="TOTAL_AMOUNT_INCLUDING_DELIVERY",$S134="EXACT_COLLECTION_AMOUNT"),$T134=""),"Stated total amount required",IF(AND($S134="TOTAL_AMOUNT_INCLUDING_DELIVERY",$T134&lt;SUM($J134,$U134)),"Stated total is below item price plus additional charge",IF($S134="EXACT_COLLECTION_AMOUNT","Authorized amount breakdown required before settlement","Ready for collection and settlement"))))))))))))</f>
        <v/>
      </c>
      <c r="AW134" s="23">
        <f>IF($AU134="","","PARCEL_FINANCIAL_V2")</f>
        <v/>
      </c>
      <c r="AX134" s="17" t="n"/>
    </row>
    <row r="135">
      <c r="A135" s="8" t="n"/>
      <c r="B135" s="8" t="n"/>
      <c r="C135" s="8" t="n"/>
      <c r="D135" s="8" t="n"/>
      <c r="E135" s="9" t="n"/>
      <c r="F135" s="9" t="n"/>
      <c r="G135" s="8" t="n"/>
      <c r="H135" s="9" t="n"/>
      <c r="I135" s="9" t="n"/>
      <c r="J135" s="10" t="n"/>
      <c r="K135" s="10" t="n"/>
      <c r="L135" s="11">
        <f>IF($S135="","",IF($S135="ITEM_PRICE_PLUS_DECLARED_DELIVERY",IF(OR($J135="",$K135=""),"",SUM($J135,$K135,$U135)),IF($S135="TOTAL_AMOUNT_INCLUDING_DELIVERY",IF($T135="","",$T135),IF($S135="DELIVERY_CHARGE_ONLY",IF($K135="","",SUM($K135,$U135)),IF($S135="EXACT_COLLECTION_AMOUNT",IF($T135="","",$T135),IF($S135="ITEM_PRICE_ONLY_DELIVERY_PAID_BY_MERCHANT",IF($J135="","",SUM($J135,$U135)),""))))))</f>
        <v/>
      </c>
      <c r="M135" s="12" t="n"/>
      <c r="N135" s="13" t="n"/>
      <c r="O135" s="13" t="n"/>
      <c r="P135" s="9" t="n"/>
      <c r="Q135" s="14" t="n"/>
      <c r="R135" s="15" t="n"/>
      <c r="S135" s="14" t="n"/>
      <c r="T135" s="16" t="n"/>
      <c r="U135" s="16" t="n"/>
      <c r="V135" s="16" t="n"/>
      <c r="W135" s="16" t="n"/>
      <c r="X135" s="16" t="n"/>
      <c r="Y135" s="16" t="n"/>
      <c r="Z135" s="14" t="n"/>
      <c r="AA135" s="14" t="n"/>
      <c r="AB135" s="14" t="n"/>
      <c r="AC135" s="17">
        <f>IFERROR(VLOOKUP($H135&amp;"|"&amp;$Q135,Tariff_Master!$A$2:$L$169,3,FALSE),"")</f>
        <v/>
      </c>
      <c r="AD135" s="17">
        <f>IFERROR(VLOOKUP($H135&amp;"|"&amp;$Q135,Tariff_Master!$A$2:$L$169,4,FALSE),"")</f>
        <v/>
      </c>
      <c r="AE135" s="18">
        <f>IFERROR(VLOOKUP($H135&amp;"|"&amp;$Q135,Tariff_Master!$A$2:$L$169,6,FALSE),"")</f>
        <v/>
      </c>
      <c r="AF135" s="19">
        <f>IFERROR(VLOOKUP($H135&amp;"|"&amp;$Q135,Tariff_Master!$A$2:$L$169,7,FALSE),"")</f>
        <v/>
      </c>
      <c r="AG135" s="18">
        <f>IFERROR(VLOOKUP($H135&amp;"|"&amp;$Q135,Tariff_Master!$A$2:$L$169,8,FALSE),"")</f>
        <v/>
      </c>
      <c r="AH135" s="20">
        <f>IFERROR(VLOOKUP($H135&amp;"|"&amp;$Q135,Tariff_Master!$A$2:$L$169,9,FALSE),"")</f>
        <v/>
      </c>
      <c r="AI135" s="18">
        <f>IFERROR(VLOOKUP($H135&amp;"|"&amp;$Q135,Tariff_Master!$A$2:$L$169,10,FALSE),"")</f>
        <v/>
      </c>
      <c r="AJ135" s="21">
        <f>IF($M135="","",ROUNDUP(MAX(0,$M135),0))</f>
        <v/>
      </c>
      <c r="AK135" s="21">
        <f>IF(OR($AJ135="",$AF135=""),"",MAX(0,$AJ135-$AF135))</f>
        <v/>
      </c>
      <c r="AL135" s="22">
        <f>IF(OR($AK135="",$AG135=""),"",MAX(0,$AK135*$AG135))</f>
        <v/>
      </c>
      <c r="AM135" s="22">
        <f>IF($AE135="","",MAX(0,SUM($AE135,$AL135,$V135,$W135)))</f>
        <v/>
      </c>
      <c r="AN135" s="22">
        <f>IF($AM135="","",IF(AND($Q135="COMMITMENT",$R135&gt;=$AH135),$AI135,0))</f>
        <v/>
      </c>
      <c r="AO135" s="23">
        <f>IF($AM135="","",MAX(0,$AM135-$AN135))</f>
        <v/>
      </c>
      <c r="AP135" s="22">
        <f>IF($S135="","",IF(OR($S135="ITEM_PRICE_PLUS_DECLARED_DELIVERY",$S135="DELIVERY_CHARGE_ONLY"),$K135,IF($S135="TOTAL_AMOUNT_INCLUDING_DELIVERY",IF(OR($T135="",$J135=""),"",MAX(0,$T135-$J135-$U135)),IF($S135="ITEM_PRICE_ONLY_DELIVERY_PAID_BY_MERCHANT",0,""))))</f>
        <v/>
      </c>
      <c r="AQ135" s="23">
        <f>IF(OR($AP135="",$AO135=""),"",$AP135-$AO135)</f>
        <v/>
      </c>
      <c r="AR135" s="24">
        <f>IF($S135="EXACT_COLLECTION_AMOUNT","BREAKDOWN_REQUIRED",IF($AQ135="","",IF($AQ135&gt;0,"CREDIT_TO_MERCHANT",IF($AQ135&lt;0,"DEDUCT_FROM_MERCHANT","NO_ADJUSTMENT"))))</f>
        <v/>
      </c>
      <c r="AS135" s="23">
        <f>IF(OR($AQ135="",$AR135="BREAKDOWN_REQUIRED"),"",$AQ135)</f>
        <v/>
      </c>
      <c r="AT135" s="23">
        <f>IF(OR($AR135="",$AR135="BREAKDOWN_REQUIRED"),"",SUM($J135,$AQ135,$Y135)-$X135)</f>
        <v/>
      </c>
      <c r="AU135" s="25">
        <f>IF(AND($A135="",$B135="",$F135="",$H135="",$J135="",$K135="",$M135="",$S135=""),"",IF(OR($H135="",$Q135="",$M135="",$S135=""),"ERROR",IF(OR($J135&lt;0,$K135&lt;0,$M135&lt;0,$T135&lt;0,$U135&lt;0,$V135&lt;0,$W135&lt;0,$X135&lt;0,$Y135&lt;0),"ERROR",IF($AE135="","ERROR",IF(AND(OR($S135="ITEM_PRICE_PLUS_DECLARED_DELIVERY",$S135="TOTAL_AMOUNT_INCLUDING_DELIVERY",$S135="ITEM_PRICE_ONLY_DELIVERY_PAID_BY_MERCHANT"),$J135=""),"ERROR",IF(AND(OR($S135="ITEM_PRICE_PLUS_DECLARED_DELIVERY",$S135="DELIVERY_CHARGE_ONLY"),$K135=""),"ERROR",IF(AND(OR($S135="TOTAL_AMOUNT_INCLUDING_DELIVERY",$S135="EXACT_COLLECTION_AMOUNT"),$T135=""),"ERROR",IF(AND($S135="TOTAL_AMOUNT_INCLUDING_DELIVERY",$T135&lt;SUM($J135,$U135)),"ERROR",IF($S135="EXACT_COLLECTION_AMOUNT","REVIEW","OK")))))))))</f>
        <v/>
      </c>
      <c r="AV135" s="25">
        <f>IF($AU135="","",IF($H135="","Township required",IF($Q135="","Customer tier required",IF($M135="","Weight required",IF($S135="","Amount entry type required",IF(OR($J135&lt;0,$K135&lt;0,$M135&lt;0,$T135&lt;0,$U135&lt;0,$V135&lt;0,$W135&lt;0,$X135&lt;0,$Y135&lt;0),"Negative amounts are not allowed",IF($AE135="","Tariff not found for township and tier",IF(AND(OR($S135="ITEM_PRICE_PLUS_DECLARED_DELIVERY",$S135="TOTAL_AMOUNT_INCLUDING_DELIVERY",$S135="ITEM_PRICE_ONLY_DELIVERY_PAID_BY_MERCHANT"),$J135=""),"Item price required for this amount type",IF(AND(OR($S135="ITEM_PRICE_PLUS_DECLARED_DELIVERY",$S135="DELIVERY_CHARGE_ONLY"),$K135=""),"Declared delivery charge required",IF(AND(OR($S135="TOTAL_AMOUNT_INCLUDING_DELIVERY",$S135="EXACT_COLLECTION_AMOUNT"),$T135=""),"Stated total amount required",IF(AND($S135="TOTAL_AMOUNT_INCLUDING_DELIVERY",$T135&lt;SUM($J135,$U135)),"Stated total is below item price plus additional charge",IF($S135="EXACT_COLLECTION_AMOUNT","Authorized amount breakdown required before settlement","Ready for collection and settlement"))))))))))))</f>
        <v/>
      </c>
      <c r="AW135" s="23">
        <f>IF($AU135="","","PARCEL_FINANCIAL_V2")</f>
        <v/>
      </c>
      <c r="AX135" s="17" t="n"/>
    </row>
    <row r="136">
      <c r="A136" s="8" t="n"/>
      <c r="B136" s="8" t="n"/>
      <c r="C136" s="8" t="n"/>
      <c r="D136" s="8" t="n"/>
      <c r="E136" s="9" t="n"/>
      <c r="F136" s="9" t="n"/>
      <c r="G136" s="8" t="n"/>
      <c r="H136" s="9" t="n"/>
      <c r="I136" s="9" t="n"/>
      <c r="J136" s="10" t="n"/>
      <c r="K136" s="10" t="n"/>
      <c r="L136" s="11">
        <f>IF($S136="","",IF($S136="ITEM_PRICE_PLUS_DECLARED_DELIVERY",IF(OR($J136="",$K136=""),"",SUM($J136,$K136,$U136)),IF($S136="TOTAL_AMOUNT_INCLUDING_DELIVERY",IF($T136="","",$T136),IF($S136="DELIVERY_CHARGE_ONLY",IF($K136="","",SUM($K136,$U136)),IF($S136="EXACT_COLLECTION_AMOUNT",IF($T136="","",$T136),IF($S136="ITEM_PRICE_ONLY_DELIVERY_PAID_BY_MERCHANT",IF($J136="","",SUM($J136,$U136)),""))))))</f>
        <v/>
      </c>
      <c r="M136" s="12" t="n"/>
      <c r="N136" s="13" t="n"/>
      <c r="O136" s="13" t="n"/>
      <c r="P136" s="9" t="n"/>
      <c r="Q136" s="14" t="n"/>
      <c r="R136" s="15" t="n"/>
      <c r="S136" s="14" t="n"/>
      <c r="T136" s="16" t="n"/>
      <c r="U136" s="16" t="n"/>
      <c r="V136" s="16" t="n"/>
      <c r="W136" s="16" t="n"/>
      <c r="X136" s="16" t="n"/>
      <c r="Y136" s="16" t="n"/>
      <c r="Z136" s="14" t="n"/>
      <c r="AA136" s="14" t="n"/>
      <c r="AB136" s="14" t="n"/>
      <c r="AC136" s="17">
        <f>IFERROR(VLOOKUP($H136&amp;"|"&amp;$Q136,Tariff_Master!$A$2:$L$169,3,FALSE),"")</f>
        <v/>
      </c>
      <c r="AD136" s="17">
        <f>IFERROR(VLOOKUP($H136&amp;"|"&amp;$Q136,Tariff_Master!$A$2:$L$169,4,FALSE),"")</f>
        <v/>
      </c>
      <c r="AE136" s="18">
        <f>IFERROR(VLOOKUP($H136&amp;"|"&amp;$Q136,Tariff_Master!$A$2:$L$169,6,FALSE),"")</f>
        <v/>
      </c>
      <c r="AF136" s="19">
        <f>IFERROR(VLOOKUP($H136&amp;"|"&amp;$Q136,Tariff_Master!$A$2:$L$169,7,FALSE),"")</f>
        <v/>
      </c>
      <c r="AG136" s="18">
        <f>IFERROR(VLOOKUP($H136&amp;"|"&amp;$Q136,Tariff_Master!$A$2:$L$169,8,FALSE),"")</f>
        <v/>
      </c>
      <c r="AH136" s="20">
        <f>IFERROR(VLOOKUP($H136&amp;"|"&amp;$Q136,Tariff_Master!$A$2:$L$169,9,FALSE),"")</f>
        <v/>
      </c>
      <c r="AI136" s="18">
        <f>IFERROR(VLOOKUP($H136&amp;"|"&amp;$Q136,Tariff_Master!$A$2:$L$169,10,FALSE),"")</f>
        <v/>
      </c>
      <c r="AJ136" s="21">
        <f>IF($M136="","",ROUNDUP(MAX(0,$M136),0))</f>
        <v/>
      </c>
      <c r="AK136" s="21">
        <f>IF(OR($AJ136="",$AF136=""),"",MAX(0,$AJ136-$AF136))</f>
        <v/>
      </c>
      <c r="AL136" s="22">
        <f>IF(OR($AK136="",$AG136=""),"",MAX(0,$AK136*$AG136))</f>
        <v/>
      </c>
      <c r="AM136" s="22">
        <f>IF($AE136="","",MAX(0,SUM($AE136,$AL136,$V136,$W136)))</f>
        <v/>
      </c>
      <c r="AN136" s="22">
        <f>IF($AM136="","",IF(AND($Q136="COMMITMENT",$R136&gt;=$AH136),$AI136,0))</f>
        <v/>
      </c>
      <c r="AO136" s="23">
        <f>IF($AM136="","",MAX(0,$AM136-$AN136))</f>
        <v/>
      </c>
      <c r="AP136" s="22">
        <f>IF($S136="","",IF(OR($S136="ITEM_PRICE_PLUS_DECLARED_DELIVERY",$S136="DELIVERY_CHARGE_ONLY"),$K136,IF($S136="TOTAL_AMOUNT_INCLUDING_DELIVERY",IF(OR($T136="",$J136=""),"",MAX(0,$T136-$J136-$U136)),IF($S136="ITEM_PRICE_ONLY_DELIVERY_PAID_BY_MERCHANT",0,""))))</f>
        <v/>
      </c>
      <c r="AQ136" s="23">
        <f>IF(OR($AP136="",$AO136=""),"",$AP136-$AO136)</f>
        <v/>
      </c>
      <c r="AR136" s="24">
        <f>IF($S136="EXACT_COLLECTION_AMOUNT","BREAKDOWN_REQUIRED",IF($AQ136="","",IF($AQ136&gt;0,"CREDIT_TO_MERCHANT",IF($AQ136&lt;0,"DEDUCT_FROM_MERCHANT","NO_ADJUSTMENT"))))</f>
        <v/>
      </c>
      <c r="AS136" s="23">
        <f>IF(OR($AQ136="",$AR136="BREAKDOWN_REQUIRED"),"",$AQ136)</f>
        <v/>
      </c>
      <c r="AT136" s="23">
        <f>IF(OR($AR136="",$AR136="BREAKDOWN_REQUIRED"),"",SUM($J136,$AQ136,$Y136)-$X136)</f>
        <v/>
      </c>
      <c r="AU136" s="25">
        <f>IF(AND($A136="",$B136="",$F136="",$H136="",$J136="",$K136="",$M136="",$S136=""),"",IF(OR($H136="",$Q136="",$M136="",$S136=""),"ERROR",IF(OR($J136&lt;0,$K136&lt;0,$M136&lt;0,$T136&lt;0,$U136&lt;0,$V136&lt;0,$W136&lt;0,$X136&lt;0,$Y136&lt;0),"ERROR",IF($AE136="","ERROR",IF(AND(OR($S136="ITEM_PRICE_PLUS_DECLARED_DELIVERY",$S136="TOTAL_AMOUNT_INCLUDING_DELIVERY",$S136="ITEM_PRICE_ONLY_DELIVERY_PAID_BY_MERCHANT"),$J136=""),"ERROR",IF(AND(OR($S136="ITEM_PRICE_PLUS_DECLARED_DELIVERY",$S136="DELIVERY_CHARGE_ONLY"),$K136=""),"ERROR",IF(AND(OR($S136="TOTAL_AMOUNT_INCLUDING_DELIVERY",$S136="EXACT_COLLECTION_AMOUNT"),$T136=""),"ERROR",IF(AND($S136="TOTAL_AMOUNT_INCLUDING_DELIVERY",$T136&lt;SUM($J136,$U136)),"ERROR",IF($S136="EXACT_COLLECTION_AMOUNT","REVIEW","OK")))))))))</f>
        <v/>
      </c>
      <c r="AV136" s="25">
        <f>IF($AU136="","",IF($H136="","Township required",IF($Q136="","Customer tier required",IF($M136="","Weight required",IF($S136="","Amount entry type required",IF(OR($J136&lt;0,$K136&lt;0,$M136&lt;0,$T136&lt;0,$U136&lt;0,$V136&lt;0,$W136&lt;0,$X136&lt;0,$Y136&lt;0),"Negative amounts are not allowed",IF($AE136="","Tariff not found for township and tier",IF(AND(OR($S136="ITEM_PRICE_PLUS_DECLARED_DELIVERY",$S136="TOTAL_AMOUNT_INCLUDING_DELIVERY",$S136="ITEM_PRICE_ONLY_DELIVERY_PAID_BY_MERCHANT"),$J136=""),"Item price required for this amount type",IF(AND(OR($S136="ITEM_PRICE_PLUS_DECLARED_DELIVERY",$S136="DELIVERY_CHARGE_ONLY"),$K136=""),"Declared delivery charge required",IF(AND(OR($S136="TOTAL_AMOUNT_INCLUDING_DELIVERY",$S136="EXACT_COLLECTION_AMOUNT"),$T136=""),"Stated total amount required",IF(AND($S136="TOTAL_AMOUNT_INCLUDING_DELIVERY",$T136&lt;SUM($J136,$U136)),"Stated total is below item price plus additional charge",IF($S136="EXACT_COLLECTION_AMOUNT","Authorized amount breakdown required before settlement","Ready for collection and settlement"))))))))))))</f>
        <v/>
      </c>
      <c r="AW136" s="23">
        <f>IF($AU136="","","PARCEL_FINANCIAL_V2")</f>
        <v/>
      </c>
      <c r="AX136" s="17" t="n"/>
    </row>
    <row r="137">
      <c r="A137" s="8" t="n"/>
      <c r="B137" s="8" t="n"/>
      <c r="C137" s="8" t="n"/>
      <c r="D137" s="8" t="n"/>
      <c r="E137" s="9" t="n"/>
      <c r="F137" s="9" t="n"/>
      <c r="G137" s="8" t="n"/>
      <c r="H137" s="9" t="n"/>
      <c r="I137" s="9" t="n"/>
      <c r="J137" s="10" t="n"/>
      <c r="K137" s="10" t="n"/>
      <c r="L137" s="11">
        <f>IF($S137="","",IF($S137="ITEM_PRICE_PLUS_DECLARED_DELIVERY",IF(OR($J137="",$K137=""),"",SUM($J137,$K137,$U137)),IF($S137="TOTAL_AMOUNT_INCLUDING_DELIVERY",IF($T137="","",$T137),IF($S137="DELIVERY_CHARGE_ONLY",IF($K137="","",SUM($K137,$U137)),IF($S137="EXACT_COLLECTION_AMOUNT",IF($T137="","",$T137),IF($S137="ITEM_PRICE_ONLY_DELIVERY_PAID_BY_MERCHANT",IF($J137="","",SUM($J137,$U137)),""))))))</f>
        <v/>
      </c>
      <c r="M137" s="12" t="n"/>
      <c r="N137" s="13" t="n"/>
      <c r="O137" s="13" t="n"/>
      <c r="P137" s="9" t="n"/>
      <c r="Q137" s="14" t="n"/>
      <c r="R137" s="15" t="n"/>
      <c r="S137" s="14" t="n"/>
      <c r="T137" s="16" t="n"/>
      <c r="U137" s="16" t="n"/>
      <c r="V137" s="16" t="n"/>
      <c r="W137" s="16" t="n"/>
      <c r="X137" s="16" t="n"/>
      <c r="Y137" s="16" t="n"/>
      <c r="Z137" s="14" t="n"/>
      <c r="AA137" s="14" t="n"/>
      <c r="AB137" s="14" t="n"/>
      <c r="AC137" s="17">
        <f>IFERROR(VLOOKUP($H137&amp;"|"&amp;$Q137,Tariff_Master!$A$2:$L$169,3,FALSE),"")</f>
        <v/>
      </c>
      <c r="AD137" s="17">
        <f>IFERROR(VLOOKUP($H137&amp;"|"&amp;$Q137,Tariff_Master!$A$2:$L$169,4,FALSE),"")</f>
        <v/>
      </c>
      <c r="AE137" s="18">
        <f>IFERROR(VLOOKUP($H137&amp;"|"&amp;$Q137,Tariff_Master!$A$2:$L$169,6,FALSE),"")</f>
        <v/>
      </c>
      <c r="AF137" s="19">
        <f>IFERROR(VLOOKUP($H137&amp;"|"&amp;$Q137,Tariff_Master!$A$2:$L$169,7,FALSE),"")</f>
        <v/>
      </c>
      <c r="AG137" s="18">
        <f>IFERROR(VLOOKUP($H137&amp;"|"&amp;$Q137,Tariff_Master!$A$2:$L$169,8,FALSE),"")</f>
        <v/>
      </c>
      <c r="AH137" s="20">
        <f>IFERROR(VLOOKUP($H137&amp;"|"&amp;$Q137,Tariff_Master!$A$2:$L$169,9,FALSE),"")</f>
        <v/>
      </c>
      <c r="AI137" s="18">
        <f>IFERROR(VLOOKUP($H137&amp;"|"&amp;$Q137,Tariff_Master!$A$2:$L$169,10,FALSE),"")</f>
        <v/>
      </c>
      <c r="AJ137" s="21">
        <f>IF($M137="","",ROUNDUP(MAX(0,$M137),0))</f>
        <v/>
      </c>
      <c r="AK137" s="21">
        <f>IF(OR($AJ137="",$AF137=""),"",MAX(0,$AJ137-$AF137))</f>
        <v/>
      </c>
      <c r="AL137" s="22">
        <f>IF(OR($AK137="",$AG137=""),"",MAX(0,$AK137*$AG137))</f>
        <v/>
      </c>
      <c r="AM137" s="22">
        <f>IF($AE137="","",MAX(0,SUM($AE137,$AL137,$V137,$W137)))</f>
        <v/>
      </c>
      <c r="AN137" s="22">
        <f>IF($AM137="","",IF(AND($Q137="COMMITMENT",$R137&gt;=$AH137),$AI137,0))</f>
        <v/>
      </c>
      <c r="AO137" s="23">
        <f>IF($AM137="","",MAX(0,$AM137-$AN137))</f>
        <v/>
      </c>
      <c r="AP137" s="22">
        <f>IF($S137="","",IF(OR($S137="ITEM_PRICE_PLUS_DECLARED_DELIVERY",$S137="DELIVERY_CHARGE_ONLY"),$K137,IF($S137="TOTAL_AMOUNT_INCLUDING_DELIVERY",IF(OR($T137="",$J137=""),"",MAX(0,$T137-$J137-$U137)),IF($S137="ITEM_PRICE_ONLY_DELIVERY_PAID_BY_MERCHANT",0,""))))</f>
        <v/>
      </c>
      <c r="AQ137" s="23">
        <f>IF(OR($AP137="",$AO137=""),"",$AP137-$AO137)</f>
        <v/>
      </c>
      <c r="AR137" s="24">
        <f>IF($S137="EXACT_COLLECTION_AMOUNT","BREAKDOWN_REQUIRED",IF($AQ137="","",IF($AQ137&gt;0,"CREDIT_TO_MERCHANT",IF($AQ137&lt;0,"DEDUCT_FROM_MERCHANT","NO_ADJUSTMENT"))))</f>
        <v/>
      </c>
      <c r="AS137" s="23">
        <f>IF(OR($AQ137="",$AR137="BREAKDOWN_REQUIRED"),"",$AQ137)</f>
        <v/>
      </c>
      <c r="AT137" s="23">
        <f>IF(OR($AR137="",$AR137="BREAKDOWN_REQUIRED"),"",SUM($J137,$AQ137,$Y137)-$X137)</f>
        <v/>
      </c>
      <c r="AU137" s="25">
        <f>IF(AND($A137="",$B137="",$F137="",$H137="",$J137="",$K137="",$M137="",$S137=""),"",IF(OR($H137="",$Q137="",$M137="",$S137=""),"ERROR",IF(OR($J137&lt;0,$K137&lt;0,$M137&lt;0,$T137&lt;0,$U137&lt;0,$V137&lt;0,$W137&lt;0,$X137&lt;0,$Y137&lt;0),"ERROR",IF($AE137="","ERROR",IF(AND(OR($S137="ITEM_PRICE_PLUS_DECLARED_DELIVERY",$S137="TOTAL_AMOUNT_INCLUDING_DELIVERY",$S137="ITEM_PRICE_ONLY_DELIVERY_PAID_BY_MERCHANT"),$J137=""),"ERROR",IF(AND(OR($S137="ITEM_PRICE_PLUS_DECLARED_DELIVERY",$S137="DELIVERY_CHARGE_ONLY"),$K137=""),"ERROR",IF(AND(OR($S137="TOTAL_AMOUNT_INCLUDING_DELIVERY",$S137="EXACT_COLLECTION_AMOUNT"),$T137=""),"ERROR",IF(AND($S137="TOTAL_AMOUNT_INCLUDING_DELIVERY",$T137&lt;SUM($J137,$U137)),"ERROR",IF($S137="EXACT_COLLECTION_AMOUNT","REVIEW","OK")))))))))</f>
        <v/>
      </c>
      <c r="AV137" s="25">
        <f>IF($AU137="","",IF($H137="","Township required",IF($Q137="","Customer tier required",IF($M137="","Weight required",IF($S137="","Amount entry type required",IF(OR($J137&lt;0,$K137&lt;0,$M137&lt;0,$T137&lt;0,$U137&lt;0,$V137&lt;0,$W137&lt;0,$X137&lt;0,$Y137&lt;0),"Negative amounts are not allowed",IF($AE137="","Tariff not found for township and tier",IF(AND(OR($S137="ITEM_PRICE_PLUS_DECLARED_DELIVERY",$S137="TOTAL_AMOUNT_INCLUDING_DELIVERY",$S137="ITEM_PRICE_ONLY_DELIVERY_PAID_BY_MERCHANT"),$J137=""),"Item price required for this amount type",IF(AND(OR($S137="ITEM_PRICE_PLUS_DECLARED_DELIVERY",$S137="DELIVERY_CHARGE_ONLY"),$K137=""),"Declared delivery charge required",IF(AND(OR($S137="TOTAL_AMOUNT_INCLUDING_DELIVERY",$S137="EXACT_COLLECTION_AMOUNT"),$T137=""),"Stated total amount required",IF(AND($S137="TOTAL_AMOUNT_INCLUDING_DELIVERY",$T137&lt;SUM($J137,$U137)),"Stated total is below item price plus additional charge",IF($S137="EXACT_COLLECTION_AMOUNT","Authorized amount breakdown required before settlement","Ready for collection and settlement"))))))))))))</f>
        <v/>
      </c>
      <c r="AW137" s="23">
        <f>IF($AU137="","","PARCEL_FINANCIAL_V2")</f>
        <v/>
      </c>
      <c r="AX137" s="17" t="n"/>
    </row>
    <row r="138">
      <c r="A138" s="8" t="n"/>
      <c r="B138" s="8" t="n"/>
      <c r="C138" s="8" t="n"/>
      <c r="D138" s="8" t="n"/>
      <c r="E138" s="9" t="n"/>
      <c r="F138" s="9" t="n"/>
      <c r="G138" s="8" t="n"/>
      <c r="H138" s="9" t="n"/>
      <c r="I138" s="9" t="n"/>
      <c r="J138" s="10" t="n"/>
      <c r="K138" s="10" t="n"/>
      <c r="L138" s="11">
        <f>IF($S138="","",IF($S138="ITEM_PRICE_PLUS_DECLARED_DELIVERY",IF(OR($J138="",$K138=""),"",SUM($J138,$K138,$U138)),IF($S138="TOTAL_AMOUNT_INCLUDING_DELIVERY",IF($T138="","",$T138),IF($S138="DELIVERY_CHARGE_ONLY",IF($K138="","",SUM($K138,$U138)),IF($S138="EXACT_COLLECTION_AMOUNT",IF($T138="","",$T138),IF($S138="ITEM_PRICE_ONLY_DELIVERY_PAID_BY_MERCHANT",IF($J138="","",SUM($J138,$U138)),""))))))</f>
        <v/>
      </c>
      <c r="M138" s="12" t="n"/>
      <c r="N138" s="13" t="n"/>
      <c r="O138" s="13" t="n"/>
      <c r="P138" s="9" t="n"/>
      <c r="Q138" s="14" t="n"/>
      <c r="R138" s="15" t="n"/>
      <c r="S138" s="14" t="n"/>
      <c r="T138" s="16" t="n"/>
      <c r="U138" s="16" t="n"/>
      <c r="V138" s="16" t="n"/>
      <c r="W138" s="16" t="n"/>
      <c r="X138" s="16" t="n"/>
      <c r="Y138" s="16" t="n"/>
      <c r="Z138" s="14" t="n"/>
      <c r="AA138" s="14" t="n"/>
      <c r="AB138" s="14" t="n"/>
      <c r="AC138" s="17">
        <f>IFERROR(VLOOKUP($H138&amp;"|"&amp;$Q138,Tariff_Master!$A$2:$L$169,3,FALSE),"")</f>
        <v/>
      </c>
      <c r="AD138" s="17">
        <f>IFERROR(VLOOKUP($H138&amp;"|"&amp;$Q138,Tariff_Master!$A$2:$L$169,4,FALSE),"")</f>
        <v/>
      </c>
      <c r="AE138" s="18">
        <f>IFERROR(VLOOKUP($H138&amp;"|"&amp;$Q138,Tariff_Master!$A$2:$L$169,6,FALSE),"")</f>
        <v/>
      </c>
      <c r="AF138" s="19">
        <f>IFERROR(VLOOKUP($H138&amp;"|"&amp;$Q138,Tariff_Master!$A$2:$L$169,7,FALSE),"")</f>
        <v/>
      </c>
      <c r="AG138" s="18">
        <f>IFERROR(VLOOKUP($H138&amp;"|"&amp;$Q138,Tariff_Master!$A$2:$L$169,8,FALSE),"")</f>
        <v/>
      </c>
      <c r="AH138" s="20">
        <f>IFERROR(VLOOKUP($H138&amp;"|"&amp;$Q138,Tariff_Master!$A$2:$L$169,9,FALSE),"")</f>
        <v/>
      </c>
      <c r="AI138" s="18">
        <f>IFERROR(VLOOKUP($H138&amp;"|"&amp;$Q138,Tariff_Master!$A$2:$L$169,10,FALSE),"")</f>
        <v/>
      </c>
      <c r="AJ138" s="21">
        <f>IF($M138="","",ROUNDUP(MAX(0,$M138),0))</f>
        <v/>
      </c>
      <c r="AK138" s="21">
        <f>IF(OR($AJ138="",$AF138=""),"",MAX(0,$AJ138-$AF138))</f>
        <v/>
      </c>
      <c r="AL138" s="22">
        <f>IF(OR($AK138="",$AG138=""),"",MAX(0,$AK138*$AG138))</f>
        <v/>
      </c>
      <c r="AM138" s="22">
        <f>IF($AE138="","",MAX(0,SUM($AE138,$AL138,$V138,$W138)))</f>
        <v/>
      </c>
      <c r="AN138" s="22">
        <f>IF($AM138="","",IF(AND($Q138="COMMITMENT",$R138&gt;=$AH138),$AI138,0))</f>
        <v/>
      </c>
      <c r="AO138" s="23">
        <f>IF($AM138="","",MAX(0,$AM138-$AN138))</f>
        <v/>
      </c>
      <c r="AP138" s="22">
        <f>IF($S138="","",IF(OR($S138="ITEM_PRICE_PLUS_DECLARED_DELIVERY",$S138="DELIVERY_CHARGE_ONLY"),$K138,IF($S138="TOTAL_AMOUNT_INCLUDING_DELIVERY",IF(OR($T138="",$J138=""),"",MAX(0,$T138-$J138-$U138)),IF($S138="ITEM_PRICE_ONLY_DELIVERY_PAID_BY_MERCHANT",0,""))))</f>
        <v/>
      </c>
      <c r="AQ138" s="23">
        <f>IF(OR($AP138="",$AO138=""),"",$AP138-$AO138)</f>
        <v/>
      </c>
      <c r="AR138" s="24">
        <f>IF($S138="EXACT_COLLECTION_AMOUNT","BREAKDOWN_REQUIRED",IF($AQ138="","",IF($AQ138&gt;0,"CREDIT_TO_MERCHANT",IF($AQ138&lt;0,"DEDUCT_FROM_MERCHANT","NO_ADJUSTMENT"))))</f>
        <v/>
      </c>
      <c r="AS138" s="23">
        <f>IF(OR($AQ138="",$AR138="BREAKDOWN_REQUIRED"),"",$AQ138)</f>
        <v/>
      </c>
      <c r="AT138" s="23">
        <f>IF(OR($AR138="",$AR138="BREAKDOWN_REQUIRED"),"",SUM($J138,$AQ138,$Y138)-$X138)</f>
        <v/>
      </c>
      <c r="AU138" s="25">
        <f>IF(AND($A138="",$B138="",$F138="",$H138="",$J138="",$K138="",$M138="",$S138=""),"",IF(OR($H138="",$Q138="",$M138="",$S138=""),"ERROR",IF(OR($J138&lt;0,$K138&lt;0,$M138&lt;0,$T138&lt;0,$U138&lt;0,$V138&lt;0,$W138&lt;0,$X138&lt;0,$Y138&lt;0),"ERROR",IF($AE138="","ERROR",IF(AND(OR($S138="ITEM_PRICE_PLUS_DECLARED_DELIVERY",$S138="TOTAL_AMOUNT_INCLUDING_DELIVERY",$S138="ITEM_PRICE_ONLY_DELIVERY_PAID_BY_MERCHANT"),$J138=""),"ERROR",IF(AND(OR($S138="ITEM_PRICE_PLUS_DECLARED_DELIVERY",$S138="DELIVERY_CHARGE_ONLY"),$K138=""),"ERROR",IF(AND(OR($S138="TOTAL_AMOUNT_INCLUDING_DELIVERY",$S138="EXACT_COLLECTION_AMOUNT"),$T138=""),"ERROR",IF(AND($S138="TOTAL_AMOUNT_INCLUDING_DELIVERY",$T138&lt;SUM($J138,$U138)),"ERROR",IF($S138="EXACT_COLLECTION_AMOUNT","REVIEW","OK")))))))))</f>
        <v/>
      </c>
      <c r="AV138" s="25">
        <f>IF($AU138="","",IF($H138="","Township required",IF($Q138="","Customer tier required",IF($M138="","Weight required",IF($S138="","Amount entry type required",IF(OR($J138&lt;0,$K138&lt;0,$M138&lt;0,$T138&lt;0,$U138&lt;0,$V138&lt;0,$W138&lt;0,$X138&lt;0,$Y138&lt;0),"Negative amounts are not allowed",IF($AE138="","Tariff not found for township and tier",IF(AND(OR($S138="ITEM_PRICE_PLUS_DECLARED_DELIVERY",$S138="TOTAL_AMOUNT_INCLUDING_DELIVERY",$S138="ITEM_PRICE_ONLY_DELIVERY_PAID_BY_MERCHANT"),$J138=""),"Item price required for this amount type",IF(AND(OR($S138="ITEM_PRICE_PLUS_DECLARED_DELIVERY",$S138="DELIVERY_CHARGE_ONLY"),$K138=""),"Declared delivery charge required",IF(AND(OR($S138="TOTAL_AMOUNT_INCLUDING_DELIVERY",$S138="EXACT_COLLECTION_AMOUNT"),$T138=""),"Stated total amount required",IF(AND($S138="TOTAL_AMOUNT_INCLUDING_DELIVERY",$T138&lt;SUM($J138,$U138)),"Stated total is below item price plus additional charge",IF($S138="EXACT_COLLECTION_AMOUNT","Authorized amount breakdown required before settlement","Ready for collection and settlement"))))))))))))</f>
        <v/>
      </c>
      <c r="AW138" s="23">
        <f>IF($AU138="","","PARCEL_FINANCIAL_V2")</f>
        <v/>
      </c>
      <c r="AX138" s="17" t="n"/>
    </row>
    <row r="139">
      <c r="A139" s="8" t="n"/>
      <c r="B139" s="8" t="n"/>
      <c r="C139" s="8" t="n"/>
      <c r="D139" s="8" t="n"/>
      <c r="E139" s="9" t="n"/>
      <c r="F139" s="9" t="n"/>
      <c r="G139" s="8" t="n"/>
      <c r="H139" s="9" t="n"/>
      <c r="I139" s="9" t="n"/>
      <c r="J139" s="10" t="n"/>
      <c r="K139" s="10" t="n"/>
      <c r="L139" s="11">
        <f>IF($S139="","",IF($S139="ITEM_PRICE_PLUS_DECLARED_DELIVERY",IF(OR($J139="",$K139=""),"",SUM($J139,$K139,$U139)),IF($S139="TOTAL_AMOUNT_INCLUDING_DELIVERY",IF($T139="","",$T139),IF($S139="DELIVERY_CHARGE_ONLY",IF($K139="","",SUM($K139,$U139)),IF($S139="EXACT_COLLECTION_AMOUNT",IF($T139="","",$T139),IF($S139="ITEM_PRICE_ONLY_DELIVERY_PAID_BY_MERCHANT",IF($J139="","",SUM($J139,$U139)),""))))))</f>
        <v/>
      </c>
      <c r="M139" s="12" t="n"/>
      <c r="N139" s="13" t="n"/>
      <c r="O139" s="13" t="n"/>
      <c r="P139" s="9" t="n"/>
      <c r="Q139" s="14" t="n"/>
      <c r="R139" s="15" t="n"/>
      <c r="S139" s="14" t="n"/>
      <c r="T139" s="16" t="n"/>
      <c r="U139" s="16" t="n"/>
      <c r="V139" s="16" t="n"/>
      <c r="W139" s="16" t="n"/>
      <c r="X139" s="16" t="n"/>
      <c r="Y139" s="16" t="n"/>
      <c r="Z139" s="14" t="n"/>
      <c r="AA139" s="14" t="n"/>
      <c r="AB139" s="14" t="n"/>
      <c r="AC139" s="17">
        <f>IFERROR(VLOOKUP($H139&amp;"|"&amp;$Q139,Tariff_Master!$A$2:$L$169,3,FALSE),"")</f>
        <v/>
      </c>
      <c r="AD139" s="17">
        <f>IFERROR(VLOOKUP($H139&amp;"|"&amp;$Q139,Tariff_Master!$A$2:$L$169,4,FALSE),"")</f>
        <v/>
      </c>
      <c r="AE139" s="18">
        <f>IFERROR(VLOOKUP($H139&amp;"|"&amp;$Q139,Tariff_Master!$A$2:$L$169,6,FALSE),"")</f>
        <v/>
      </c>
      <c r="AF139" s="19">
        <f>IFERROR(VLOOKUP($H139&amp;"|"&amp;$Q139,Tariff_Master!$A$2:$L$169,7,FALSE),"")</f>
        <v/>
      </c>
      <c r="AG139" s="18">
        <f>IFERROR(VLOOKUP($H139&amp;"|"&amp;$Q139,Tariff_Master!$A$2:$L$169,8,FALSE),"")</f>
        <v/>
      </c>
      <c r="AH139" s="20">
        <f>IFERROR(VLOOKUP($H139&amp;"|"&amp;$Q139,Tariff_Master!$A$2:$L$169,9,FALSE),"")</f>
        <v/>
      </c>
      <c r="AI139" s="18">
        <f>IFERROR(VLOOKUP($H139&amp;"|"&amp;$Q139,Tariff_Master!$A$2:$L$169,10,FALSE),"")</f>
        <v/>
      </c>
      <c r="AJ139" s="21">
        <f>IF($M139="","",ROUNDUP(MAX(0,$M139),0))</f>
        <v/>
      </c>
      <c r="AK139" s="21">
        <f>IF(OR($AJ139="",$AF139=""),"",MAX(0,$AJ139-$AF139))</f>
        <v/>
      </c>
      <c r="AL139" s="22">
        <f>IF(OR($AK139="",$AG139=""),"",MAX(0,$AK139*$AG139))</f>
        <v/>
      </c>
      <c r="AM139" s="22">
        <f>IF($AE139="","",MAX(0,SUM($AE139,$AL139,$V139,$W139)))</f>
        <v/>
      </c>
      <c r="AN139" s="22">
        <f>IF($AM139="","",IF(AND($Q139="COMMITMENT",$R139&gt;=$AH139),$AI139,0))</f>
        <v/>
      </c>
      <c r="AO139" s="23">
        <f>IF($AM139="","",MAX(0,$AM139-$AN139))</f>
        <v/>
      </c>
      <c r="AP139" s="22">
        <f>IF($S139="","",IF(OR($S139="ITEM_PRICE_PLUS_DECLARED_DELIVERY",$S139="DELIVERY_CHARGE_ONLY"),$K139,IF($S139="TOTAL_AMOUNT_INCLUDING_DELIVERY",IF(OR($T139="",$J139=""),"",MAX(0,$T139-$J139-$U139)),IF($S139="ITEM_PRICE_ONLY_DELIVERY_PAID_BY_MERCHANT",0,""))))</f>
        <v/>
      </c>
      <c r="AQ139" s="23">
        <f>IF(OR($AP139="",$AO139=""),"",$AP139-$AO139)</f>
        <v/>
      </c>
      <c r="AR139" s="24">
        <f>IF($S139="EXACT_COLLECTION_AMOUNT","BREAKDOWN_REQUIRED",IF($AQ139="","",IF($AQ139&gt;0,"CREDIT_TO_MERCHANT",IF($AQ139&lt;0,"DEDUCT_FROM_MERCHANT","NO_ADJUSTMENT"))))</f>
        <v/>
      </c>
      <c r="AS139" s="23">
        <f>IF(OR($AQ139="",$AR139="BREAKDOWN_REQUIRED"),"",$AQ139)</f>
        <v/>
      </c>
      <c r="AT139" s="23">
        <f>IF(OR($AR139="",$AR139="BREAKDOWN_REQUIRED"),"",SUM($J139,$AQ139,$Y139)-$X139)</f>
        <v/>
      </c>
      <c r="AU139" s="25">
        <f>IF(AND($A139="",$B139="",$F139="",$H139="",$J139="",$K139="",$M139="",$S139=""),"",IF(OR($H139="",$Q139="",$M139="",$S139=""),"ERROR",IF(OR($J139&lt;0,$K139&lt;0,$M139&lt;0,$T139&lt;0,$U139&lt;0,$V139&lt;0,$W139&lt;0,$X139&lt;0,$Y139&lt;0),"ERROR",IF($AE139="","ERROR",IF(AND(OR($S139="ITEM_PRICE_PLUS_DECLARED_DELIVERY",$S139="TOTAL_AMOUNT_INCLUDING_DELIVERY",$S139="ITEM_PRICE_ONLY_DELIVERY_PAID_BY_MERCHANT"),$J139=""),"ERROR",IF(AND(OR($S139="ITEM_PRICE_PLUS_DECLARED_DELIVERY",$S139="DELIVERY_CHARGE_ONLY"),$K139=""),"ERROR",IF(AND(OR($S139="TOTAL_AMOUNT_INCLUDING_DELIVERY",$S139="EXACT_COLLECTION_AMOUNT"),$T139=""),"ERROR",IF(AND($S139="TOTAL_AMOUNT_INCLUDING_DELIVERY",$T139&lt;SUM($J139,$U139)),"ERROR",IF($S139="EXACT_COLLECTION_AMOUNT","REVIEW","OK")))))))))</f>
        <v/>
      </c>
      <c r="AV139" s="25">
        <f>IF($AU139="","",IF($H139="","Township required",IF($Q139="","Customer tier required",IF($M139="","Weight required",IF($S139="","Amount entry type required",IF(OR($J139&lt;0,$K139&lt;0,$M139&lt;0,$T139&lt;0,$U139&lt;0,$V139&lt;0,$W139&lt;0,$X139&lt;0,$Y139&lt;0),"Negative amounts are not allowed",IF($AE139="","Tariff not found for township and tier",IF(AND(OR($S139="ITEM_PRICE_PLUS_DECLARED_DELIVERY",$S139="TOTAL_AMOUNT_INCLUDING_DELIVERY",$S139="ITEM_PRICE_ONLY_DELIVERY_PAID_BY_MERCHANT"),$J139=""),"Item price required for this amount type",IF(AND(OR($S139="ITEM_PRICE_PLUS_DECLARED_DELIVERY",$S139="DELIVERY_CHARGE_ONLY"),$K139=""),"Declared delivery charge required",IF(AND(OR($S139="TOTAL_AMOUNT_INCLUDING_DELIVERY",$S139="EXACT_COLLECTION_AMOUNT"),$T139=""),"Stated total amount required",IF(AND($S139="TOTAL_AMOUNT_INCLUDING_DELIVERY",$T139&lt;SUM($J139,$U139)),"Stated total is below item price plus additional charge",IF($S139="EXACT_COLLECTION_AMOUNT","Authorized amount breakdown required before settlement","Ready for collection and settlement"))))))))))))</f>
        <v/>
      </c>
      <c r="AW139" s="23">
        <f>IF($AU139="","","PARCEL_FINANCIAL_V2")</f>
        <v/>
      </c>
      <c r="AX139" s="17" t="n"/>
    </row>
    <row r="140">
      <c r="A140" s="8" t="n"/>
      <c r="B140" s="8" t="n"/>
      <c r="C140" s="8" t="n"/>
      <c r="D140" s="8" t="n"/>
      <c r="E140" s="9" t="n"/>
      <c r="F140" s="9" t="n"/>
      <c r="G140" s="8" t="n"/>
      <c r="H140" s="9" t="n"/>
      <c r="I140" s="9" t="n"/>
      <c r="J140" s="10" t="n"/>
      <c r="K140" s="10" t="n"/>
      <c r="L140" s="11">
        <f>IF($S140="","",IF($S140="ITEM_PRICE_PLUS_DECLARED_DELIVERY",IF(OR($J140="",$K140=""),"",SUM($J140,$K140,$U140)),IF($S140="TOTAL_AMOUNT_INCLUDING_DELIVERY",IF($T140="","",$T140),IF($S140="DELIVERY_CHARGE_ONLY",IF($K140="","",SUM($K140,$U140)),IF($S140="EXACT_COLLECTION_AMOUNT",IF($T140="","",$T140),IF($S140="ITEM_PRICE_ONLY_DELIVERY_PAID_BY_MERCHANT",IF($J140="","",SUM($J140,$U140)),""))))))</f>
        <v/>
      </c>
      <c r="M140" s="12" t="n"/>
      <c r="N140" s="13" t="n"/>
      <c r="O140" s="13" t="n"/>
      <c r="P140" s="9" t="n"/>
      <c r="Q140" s="14" t="n"/>
      <c r="R140" s="15" t="n"/>
      <c r="S140" s="14" t="n"/>
      <c r="T140" s="16" t="n"/>
      <c r="U140" s="16" t="n"/>
      <c r="V140" s="16" t="n"/>
      <c r="W140" s="16" t="n"/>
      <c r="X140" s="16" t="n"/>
      <c r="Y140" s="16" t="n"/>
      <c r="Z140" s="14" t="n"/>
      <c r="AA140" s="14" t="n"/>
      <c r="AB140" s="14" t="n"/>
      <c r="AC140" s="17">
        <f>IFERROR(VLOOKUP($H140&amp;"|"&amp;$Q140,Tariff_Master!$A$2:$L$169,3,FALSE),"")</f>
        <v/>
      </c>
      <c r="AD140" s="17">
        <f>IFERROR(VLOOKUP($H140&amp;"|"&amp;$Q140,Tariff_Master!$A$2:$L$169,4,FALSE),"")</f>
        <v/>
      </c>
      <c r="AE140" s="18">
        <f>IFERROR(VLOOKUP($H140&amp;"|"&amp;$Q140,Tariff_Master!$A$2:$L$169,6,FALSE),"")</f>
        <v/>
      </c>
      <c r="AF140" s="19">
        <f>IFERROR(VLOOKUP($H140&amp;"|"&amp;$Q140,Tariff_Master!$A$2:$L$169,7,FALSE),"")</f>
        <v/>
      </c>
      <c r="AG140" s="18">
        <f>IFERROR(VLOOKUP($H140&amp;"|"&amp;$Q140,Tariff_Master!$A$2:$L$169,8,FALSE),"")</f>
        <v/>
      </c>
      <c r="AH140" s="20">
        <f>IFERROR(VLOOKUP($H140&amp;"|"&amp;$Q140,Tariff_Master!$A$2:$L$169,9,FALSE),"")</f>
        <v/>
      </c>
      <c r="AI140" s="18">
        <f>IFERROR(VLOOKUP($H140&amp;"|"&amp;$Q140,Tariff_Master!$A$2:$L$169,10,FALSE),"")</f>
        <v/>
      </c>
      <c r="AJ140" s="21">
        <f>IF($M140="","",ROUNDUP(MAX(0,$M140),0))</f>
        <v/>
      </c>
      <c r="AK140" s="21">
        <f>IF(OR($AJ140="",$AF140=""),"",MAX(0,$AJ140-$AF140))</f>
        <v/>
      </c>
      <c r="AL140" s="22">
        <f>IF(OR($AK140="",$AG140=""),"",MAX(0,$AK140*$AG140))</f>
        <v/>
      </c>
      <c r="AM140" s="22">
        <f>IF($AE140="","",MAX(0,SUM($AE140,$AL140,$V140,$W140)))</f>
        <v/>
      </c>
      <c r="AN140" s="22">
        <f>IF($AM140="","",IF(AND($Q140="COMMITMENT",$R140&gt;=$AH140),$AI140,0))</f>
        <v/>
      </c>
      <c r="AO140" s="23">
        <f>IF($AM140="","",MAX(0,$AM140-$AN140))</f>
        <v/>
      </c>
      <c r="AP140" s="22">
        <f>IF($S140="","",IF(OR($S140="ITEM_PRICE_PLUS_DECLARED_DELIVERY",$S140="DELIVERY_CHARGE_ONLY"),$K140,IF($S140="TOTAL_AMOUNT_INCLUDING_DELIVERY",IF(OR($T140="",$J140=""),"",MAX(0,$T140-$J140-$U140)),IF($S140="ITEM_PRICE_ONLY_DELIVERY_PAID_BY_MERCHANT",0,""))))</f>
        <v/>
      </c>
      <c r="AQ140" s="23">
        <f>IF(OR($AP140="",$AO140=""),"",$AP140-$AO140)</f>
        <v/>
      </c>
      <c r="AR140" s="24">
        <f>IF($S140="EXACT_COLLECTION_AMOUNT","BREAKDOWN_REQUIRED",IF($AQ140="","",IF($AQ140&gt;0,"CREDIT_TO_MERCHANT",IF($AQ140&lt;0,"DEDUCT_FROM_MERCHANT","NO_ADJUSTMENT"))))</f>
        <v/>
      </c>
      <c r="AS140" s="23">
        <f>IF(OR($AQ140="",$AR140="BREAKDOWN_REQUIRED"),"",$AQ140)</f>
        <v/>
      </c>
      <c r="AT140" s="23">
        <f>IF(OR($AR140="",$AR140="BREAKDOWN_REQUIRED"),"",SUM($J140,$AQ140,$Y140)-$X140)</f>
        <v/>
      </c>
      <c r="AU140" s="25">
        <f>IF(AND($A140="",$B140="",$F140="",$H140="",$J140="",$K140="",$M140="",$S140=""),"",IF(OR($H140="",$Q140="",$M140="",$S140=""),"ERROR",IF(OR($J140&lt;0,$K140&lt;0,$M140&lt;0,$T140&lt;0,$U140&lt;0,$V140&lt;0,$W140&lt;0,$X140&lt;0,$Y140&lt;0),"ERROR",IF($AE140="","ERROR",IF(AND(OR($S140="ITEM_PRICE_PLUS_DECLARED_DELIVERY",$S140="TOTAL_AMOUNT_INCLUDING_DELIVERY",$S140="ITEM_PRICE_ONLY_DELIVERY_PAID_BY_MERCHANT"),$J140=""),"ERROR",IF(AND(OR($S140="ITEM_PRICE_PLUS_DECLARED_DELIVERY",$S140="DELIVERY_CHARGE_ONLY"),$K140=""),"ERROR",IF(AND(OR($S140="TOTAL_AMOUNT_INCLUDING_DELIVERY",$S140="EXACT_COLLECTION_AMOUNT"),$T140=""),"ERROR",IF(AND($S140="TOTAL_AMOUNT_INCLUDING_DELIVERY",$T140&lt;SUM($J140,$U140)),"ERROR",IF($S140="EXACT_COLLECTION_AMOUNT","REVIEW","OK")))))))))</f>
        <v/>
      </c>
      <c r="AV140" s="25">
        <f>IF($AU140="","",IF($H140="","Township required",IF($Q140="","Customer tier required",IF($M140="","Weight required",IF($S140="","Amount entry type required",IF(OR($J140&lt;0,$K140&lt;0,$M140&lt;0,$T140&lt;0,$U140&lt;0,$V140&lt;0,$W140&lt;0,$X140&lt;0,$Y140&lt;0),"Negative amounts are not allowed",IF($AE140="","Tariff not found for township and tier",IF(AND(OR($S140="ITEM_PRICE_PLUS_DECLARED_DELIVERY",$S140="TOTAL_AMOUNT_INCLUDING_DELIVERY",$S140="ITEM_PRICE_ONLY_DELIVERY_PAID_BY_MERCHANT"),$J140=""),"Item price required for this amount type",IF(AND(OR($S140="ITEM_PRICE_PLUS_DECLARED_DELIVERY",$S140="DELIVERY_CHARGE_ONLY"),$K140=""),"Declared delivery charge required",IF(AND(OR($S140="TOTAL_AMOUNT_INCLUDING_DELIVERY",$S140="EXACT_COLLECTION_AMOUNT"),$T140=""),"Stated total amount required",IF(AND($S140="TOTAL_AMOUNT_INCLUDING_DELIVERY",$T140&lt;SUM($J140,$U140)),"Stated total is below item price plus additional charge",IF($S140="EXACT_COLLECTION_AMOUNT","Authorized amount breakdown required before settlement","Ready for collection and settlement"))))))))))))</f>
        <v/>
      </c>
      <c r="AW140" s="23">
        <f>IF($AU140="","","PARCEL_FINANCIAL_V2")</f>
        <v/>
      </c>
      <c r="AX140" s="17" t="n"/>
    </row>
    <row r="141">
      <c r="A141" s="8" t="n"/>
      <c r="B141" s="8" t="n"/>
      <c r="C141" s="8" t="n"/>
      <c r="D141" s="8" t="n"/>
      <c r="E141" s="9" t="n"/>
      <c r="F141" s="9" t="n"/>
      <c r="G141" s="8" t="n"/>
      <c r="H141" s="9" t="n"/>
      <c r="I141" s="9" t="n"/>
      <c r="J141" s="10" t="n"/>
      <c r="K141" s="10" t="n"/>
      <c r="L141" s="11">
        <f>IF($S141="","",IF($S141="ITEM_PRICE_PLUS_DECLARED_DELIVERY",IF(OR($J141="",$K141=""),"",SUM($J141,$K141,$U141)),IF($S141="TOTAL_AMOUNT_INCLUDING_DELIVERY",IF($T141="","",$T141),IF($S141="DELIVERY_CHARGE_ONLY",IF($K141="","",SUM($K141,$U141)),IF($S141="EXACT_COLLECTION_AMOUNT",IF($T141="","",$T141),IF($S141="ITEM_PRICE_ONLY_DELIVERY_PAID_BY_MERCHANT",IF($J141="","",SUM($J141,$U141)),""))))))</f>
        <v/>
      </c>
      <c r="M141" s="12" t="n"/>
      <c r="N141" s="13" t="n"/>
      <c r="O141" s="13" t="n"/>
      <c r="P141" s="9" t="n"/>
      <c r="Q141" s="14" t="n"/>
      <c r="R141" s="15" t="n"/>
      <c r="S141" s="14" t="n"/>
      <c r="T141" s="16" t="n"/>
      <c r="U141" s="16" t="n"/>
      <c r="V141" s="16" t="n"/>
      <c r="W141" s="16" t="n"/>
      <c r="X141" s="16" t="n"/>
      <c r="Y141" s="16" t="n"/>
      <c r="Z141" s="14" t="n"/>
      <c r="AA141" s="14" t="n"/>
      <c r="AB141" s="14" t="n"/>
      <c r="AC141" s="17">
        <f>IFERROR(VLOOKUP($H141&amp;"|"&amp;$Q141,Tariff_Master!$A$2:$L$169,3,FALSE),"")</f>
        <v/>
      </c>
      <c r="AD141" s="17">
        <f>IFERROR(VLOOKUP($H141&amp;"|"&amp;$Q141,Tariff_Master!$A$2:$L$169,4,FALSE),"")</f>
        <v/>
      </c>
      <c r="AE141" s="18">
        <f>IFERROR(VLOOKUP($H141&amp;"|"&amp;$Q141,Tariff_Master!$A$2:$L$169,6,FALSE),"")</f>
        <v/>
      </c>
      <c r="AF141" s="19">
        <f>IFERROR(VLOOKUP($H141&amp;"|"&amp;$Q141,Tariff_Master!$A$2:$L$169,7,FALSE),"")</f>
        <v/>
      </c>
      <c r="AG141" s="18">
        <f>IFERROR(VLOOKUP($H141&amp;"|"&amp;$Q141,Tariff_Master!$A$2:$L$169,8,FALSE),"")</f>
        <v/>
      </c>
      <c r="AH141" s="20">
        <f>IFERROR(VLOOKUP($H141&amp;"|"&amp;$Q141,Tariff_Master!$A$2:$L$169,9,FALSE),"")</f>
        <v/>
      </c>
      <c r="AI141" s="18">
        <f>IFERROR(VLOOKUP($H141&amp;"|"&amp;$Q141,Tariff_Master!$A$2:$L$169,10,FALSE),"")</f>
        <v/>
      </c>
      <c r="AJ141" s="21">
        <f>IF($M141="","",ROUNDUP(MAX(0,$M141),0))</f>
        <v/>
      </c>
      <c r="AK141" s="21">
        <f>IF(OR($AJ141="",$AF141=""),"",MAX(0,$AJ141-$AF141))</f>
        <v/>
      </c>
      <c r="AL141" s="22">
        <f>IF(OR($AK141="",$AG141=""),"",MAX(0,$AK141*$AG141))</f>
        <v/>
      </c>
      <c r="AM141" s="22">
        <f>IF($AE141="","",MAX(0,SUM($AE141,$AL141,$V141,$W141)))</f>
        <v/>
      </c>
      <c r="AN141" s="22">
        <f>IF($AM141="","",IF(AND($Q141="COMMITMENT",$R141&gt;=$AH141),$AI141,0))</f>
        <v/>
      </c>
      <c r="AO141" s="23">
        <f>IF($AM141="","",MAX(0,$AM141-$AN141))</f>
        <v/>
      </c>
      <c r="AP141" s="22">
        <f>IF($S141="","",IF(OR($S141="ITEM_PRICE_PLUS_DECLARED_DELIVERY",$S141="DELIVERY_CHARGE_ONLY"),$K141,IF($S141="TOTAL_AMOUNT_INCLUDING_DELIVERY",IF(OR($T141="",$J141=""),"",MAX(0,$T141-$J141-$U141)),IF($S141="ITEM_PRICE_ONLY_DELIVERY_PAID_BY_MERCHANT",0,""))))</f>
        <v/>
      </c>
      <c r="AQ141" s="23">
        <f>IF(OR($AP141="",$AO141=""),"",$AP141-$AO141)</f>
        <v/>
      </c>
      <c r="AR141" s="24">
        <f>IF($S141="EXACT_COLLECTION_AMOUNT","BREAKDOWN_REQUIRED",IF($AQ141="","",IF($AQ141&gt;0,"CREDIT_TO_MERCHANT",IF($AQ141&lt;0,"DEDUCT_FROM_MERCHANT","NO_ADJUSTMENT"))))</f>
        <v/>
      </c>
      <c r="AS141" s="23">
        <f>IF(OR($AQ141="",$AR141="BREAKDOWN_REQUIRED"),"",$AQ141)</f>
        <v/>
      </c>
      <c r="AT141" s="23">
        <f>IF(OR($AR141="",$AR141="BREAKDOWN_REQUIRED"),"",SUM($J141,$AQ141,$Y141)-$X141)</f>
        <v/>
      </c>
      <c r="AU141" s="25">
        <f>IF(AND($A141="",$B141="",$F141="",$H141="",$J141="",$K141="",$M141="",$S141=""),"",IF(OR($H141="",$Q141="",$M141="",$S141=""),"ERROR",IF(OR($J141&lt;0,$K141&lt;0,$M141&lt;0,$T141&lt;0,$U141&lt;0,$V141&lt;0,$W141&lt;0,$X141&lt;0,$Y141&lt;0),"ERROR",IF($AE141="","ERROR",IF(AND(OR($S141="ITEM_PRICE_PLUS_DECLARED_DELIVERY",$S141="TOTAL_AMOUNT_INCLUDING_DELIVERY",$S141="ITEM_PRICE_ONLY_DELIVERY_PAID_BY_MERCHANT"),$J141=""),"ERROR",IF(AND(OR($S141="ITEM_PRICE_PLUS_DECLARED_DELIVERY",$S141="DELIVERY_CHARGE_ONLY"),$K141=""),"ERROR",IF(AND(OR($S141="TOTAL_AMOUNT_INCLUDING_DELIVERY",$S141="EXACT_COLLECTION_AMOUNT"),$T141=""),"ERROR",IF(AND($S141="TOTAL_AMOUNT_INCLUDING_DELIVERY",$T141&lt;SUM($J141,$U141)),"ERROR",IF($S141="EXACT_COLLECTION_AMOUNT","REVIEW","OK")))))))))</f>
        <v/>
      </c>
      <c r="AV141" s="25">
        <f>IF($AU141="","",IF($H141="","Township required",IF($Q141="","Customer tier required",IF($M141="","Weight required",IF($S141="","Amount entry type required",IF(OR($J141&lt;0,$K141&lt;0,$M141&lt;0,$T141&lt;0,$U141&lt;0,$V141&lt;0,$W141&lt;0,$X141&lt;0,$Y141&lt;0),"Negative amounts are not allowed",IF($AE141="","Tariff not found for township and tier",IF(AND(OR($S141="ITEM_PRICE_PLUS_DECLARED_DELIVERY",$S141="TOTAL_AMOUNT_INCLUDING_DELIVERY",$S141="ITEM_PRICE_ONLY_DELIVERY_PAID_BY_MERCHANT"),$J141=""),"Item price required for this amount type",IF(AND(OR($S141="ITEM_PRICE_PLUS_DECLARED_DELIVERY",$S141="DELIVERY_CHARGE_ONLY"),$K141=""),"Declared delivery charge required",IF(AND(OR($S141="TOTAL_AMOUNT_INCLUDING_DELIVERY",$S141="EXACT_COLLECTION_AMOUNT"),$T141=""),"Stated total amount required",IF(AND($S141="TOTAL_AMOUNT_INCLUDING_DELIVERY",$T141&lt;SUM($J141,$U141)),"Stated total is below item price plus additional charge",IF($S141="EXACT_COLLECTION_AMOUNT","Authorized amount breakdown required before settlement","Ready for collection and settlement"))))))))))))</f>
        <v/>
      </c>
      <c r="AW141" s="23">
        <f>IF($AU141="","","PARCEL_FINANCIAL_V2")</f>
        <v/>
      </c>
      <c r="AX141" s="17" t="n"/>
    </row>
    <row r="142">
      <c r="A142" s="8" t="n"/>
      <c r="B142" s="8" t="n"/>
      <c r="C142" s="8" t="n"/>
      <c r="D142" s="8" t="n"/>
      <c r="E142" s="9" t="n"/>
      <c r="F142" s="9" t="n"/>
      <c r="G142" s="8" t="n"/>
      <c r="H142" s="9" t="n"/>
      <c r="I142" s="9" t="n"/>
      <c r="J142" s="10" t="n"/>
      <c r="K142" s="10" t="n"/>
      <c r="L142" s="11">
        <f>IF($S142="","",IF($S142="ITEM_PRICE_PLUS_DECLARED_DELIVERY",IF(OR($J142="",$K142=""),"",SUM($J142,$K142,$U142)),IF($S142="TOTAL_AMOUNT_INCLUDING_DELIVERY",IF($T142="","",$T142),IF($S142="DELIVERY_CHARGE_ONLY",IF($K142="","",SUM($K142,$U142)),IF($S142="EXACT_COLLECTION_AMOUNT",IF($T142="","",$T142),IF($S142="ITEM_PRICE_ONLY_DELIVERY_PAID_BY_MERCHANT",IF($J142="","",SUM($J142,$U142)),""))))))</f>
        <v/>
      </c>
      <c r="M142" s="12" t="n"/>
      <c r="N142" s="13" t="n"/>
      <c r="O142" s="13" t="n"/>
      <c r="P142" s="9" t="n"/>
      <c r="Q142" s="14" t="n"/>
      <c r="R142" s="15" t="n"/>
      <c r="S142" s="14" t="n"/>
      <c r="T142" s="16" t="n"/>
      <c r="U142" s="16" t="n"/>
      <c r="V142" s="16" t="n"/>
      <c r="W142" s="16" t="n"/>
      <c r="X142" s="16" t="n"/>
      <c r="Y142" s="16" t="n"/>
      <c r="Z142" s="14" t="n"/>
      <c r="AA142" s="14" t="n"/>
      <c r="AB142" s="14" t="n"/>
      <c r="AC142" s="17">
        <f>IFERROR(VLOOKUP($H142&amp;"|"&amp;$Q142,Tariff_Master!$A$2:$L$169,3,FALSE),"")</f>
        <v/>
      </c>
      <c r="AD142" s="17">
        <f>IFERROR(VLOOKUP($H142&amp;"|"&amp;$Q142,Tariff_Master!$A$2:$L$169,4,FALSE),"")</f>
        <v/>
      </c>
      <c r="AE142" s="18">
        <f>IFERROR(VLOOKUP($H142&amp;"|"&amp;$Q142,Tariff_Master!$A$2:$L$169,6,FALSE),"")</f>
        <v/>
      </c>
      <c r="AF142" s="19">
        <f>IFERROR(VLOOKUP($H142&amp;"|"&amp;$Q142,Tariff_Master!$A$2:$L$169,7,FALSE),"")</f>
        <v/>
      </c>
      <c r="AG142" s="18">
        <f>IFERROR(VLOOKUP($H142&amp;"|"&amp;$Q142,Tariff_Master!$A$2:$L$169,8,FALSE),"")</f>
        <v/>
      </c>
      <c r="AH142" s="20">
        <f>IFERROR(VLOOKUP($H142&amp;"|"&amp;$Q142,Tariff_Master!$A$2:$L$169,9,FALSE),"")</f>
        <v/>
      </c>
      <c r="AI142" s="18">
        <f>IFERROR(VLOOKUP($H142&amp;"|"&amp;$Q142,Tariff_Master!$A$2:$L$169,10,FALSE),"")</f>
        <v/>
      </c>
      <c r="AJ142" s="21">
        <f>IF($M142="","",ROUNDUP(MAX(0,$M142),0))</f>
        <v/>
      </c>
      <c r="AK142" s="21">
        <f>IF(OR($AJ142="",$AF142=""),"",MAX(0,$AJ142-$AF142))</f>
        <v/>
      </c>
      <c r="AL142" s="22">
        <f>IF(OR($AK142="",$AG142=""),"",MAX(0,$AK142*$AG142))</f>
        <v/>
      </c>
      <c r="AM142" s="22">
        <f>IF($AE142="","",MAX(0,SUM($AE142,$AL142,$V142,$W142)))</f>
        <v/>
      </c>
      <c r="AN142" s="22">
        <f>IF($AM142="","",IF(AND($Q142="COMMITMENT",$R142&gt;=$AH142),$AI142,0))</f>
        <v/>
      </c>
      <c r="AO142" s="23">
        <f>IF($AM142="","",MAX(0,$AM142-$AN142))</f>
        <v/>
      </c>
      <c r="AP142" s="22">
        <f>IF($S142="","",IF(OR($S142="ITEM_PRICE_PLUS_DECLARED_DELIVERY",$S142="DELIVERY_CHARGE_ONLY"),$K142,IF($S142="TOTAL_AMOUNT_INCLUDING_DELIVERY",IF(OR($T142="",$J142=""),"",MAX(0,$T142-$J142-$U142)),IF($S142="ITEM_PRICE_ONLY_DELIVERY_PAID_BY_MERCHANT",0,""))))</f>
        <v/>
      </c>
      <c r="AQ142" s="23">
        <f>IF(OR($AP142="",$AO142=""),"",$AP142-$AO142)</f>
        <v/>
      </c>
      <c r="AR142" s="24">
        <f>IF($S142="EXACT_COLLECTION_AMOUNT","BREAKDOWN_REQUIRED",IF($AQ142="","",IF($AQ142&gt;0,"CREDIT_TO_MERCHANT",IF($AQ142&lt;0,"DEDUCT_FROM_MERCHANT","NO_ADJUSTMENT"))))</f>
        <v/>
      </c>
      <c r="AS142" s="23">
        <f>IF(OR($AQ142="",$AR142="BREAKDOWN_REQUIRED"),"",$AQ142)</f>
        <v/>
      </c>
      <c r="AT142" s="23">
        <f>IF(OR($AR142="",$AR142="BREAKDOWN_REQUIRED"),"",SUM($J142,$AQ142,$Y142)-$X142)</f>
        <v/>
      </c>
      <c r="AU142" s="25">
        <f>IF(AND($A142="",$B142="",$F142="",$H142="",$J142="",$K142="",$M142="",$S142=""),"",IF(OR($H142="",$Q142="",$M142="",$S142=""),"ERROR",IF(OR($J142&lt;0,$K142&lt;0,$M142&lt;0,$T142&lt;0,$U142&lt;0,$V142&lt;0,$W142&lt;0,$X142&lt;0,$Y142&lt;0),"ERROR",IF($AE142="","ERROR",IF(AND(OR($S142="ITEM_PRICE_PLUS_DECLARED_DELIVERY",$S142="TOTAL_AMOUNT_INCLUDING_DELIVERY",$S142="ITEM_PRICE_ONLY_DELIVERY_PAID_BY_MERCHANT"),$J142=""),"ERROR",IF(AND(OR($S142="ITEM_PRICE_PLUS_DECLARED_DELIVERY",$S142="DELIVERY_CHARGE_ONLY"),$K142=""),"ERROR",IF(AND(OR($S142="TOTAL_AMOUNT_INCLUDING_DELIVERY",$S142="EXACT_COLLECTION_AMOUNT"),$T142=""),"ERROR",IF(AND($S142="TOTAL_AMOUNT_INCLUDING_DELIVERY",$T142&lt;SUM($J142,$U142)),"ERROR",IF($S142="EXACT_COLLECTION_AMOUNT","REVIEW","OK")))))))))</f>
        <v/>
      </c>
      <c r="AV142" s="25">
        <f>IF($AU142="","",IF($H142="","Township required",IF($Q142="","Customer tier required",IF($M142="","Weight required",IF($S142="","Amount entry type required",IF(OR($J142&lt;0,$K142&lt;0,$M142&lt;0,$T142&lt;0,$U142&lt;0,$V142&lt;0,$W142&lt;0,$X142&lt;0,$Y142&lt;0),"Negative amounts are not allowed",IF($AE142="","Tariff not found for township and tier",IF(AND(OR($S142="ITEM_PRICE_PLUS_DECLARED_DELIVERY",$S142="TOTAL_AMOUNT_INCLUDING_DELIVERY",$S142="ITEM_PRICE_ONLY_DELIVERY_PAID_BY_MERCHANT"),$J142=""),"Item price required for this amount type",IF(AND(OR($S142="ITEM_PRICE_PLUS_DECLARED_DELIVERY",$S142="DELIVERY_CHARGE_ONLY"),$K142=""),"Declared delivery charge required",IF(AND(OR($S142="TOTAL_AMOUNT_INCLUDING_DELIVERY",$S142="EXACT_COLLECTION_AMOUNT"),$T142=""),"Stated total amount required",IF(AND($S142="TOTAL_AMOUNT_INCLUDING_DELIVERY",$T142&lt;SUM($J142,$U142)),"Stated total is below item price plus additional charge",IF($S142="EXACT_COLLECTION_AMOUNT","Authorized amount breakdown required before settlement","Ready for collection and settlement"))))))))))))</f>
        <v/>
      </c>
      <c r="AW142" s="23">
        <f>IF($AU142="","","PARCEL_FINANCIAL_V2")</f>
        <v/>
      </c>
      <c r="AX142" s="17" t="n"/>
    </row>
    <row r="143">
      <c r="A143" s="8" t="n"/>
      <c r="B143" s="8" t="n"/>
      <c r="C143" s="8" t="n"/>
      <c r="D143" s="8" t="n"/>
      <c r="E143" s="9" t="n"/>
      <c r="F143" s="9" t="n"/>
      <c r="G143" s="8" t="n"/>
      <c r="H143" s="9" t="n"/>
      <c r="I143" s="9" t="n"/>
      <c r="J143" s="10" t="n"/>
      <c r="K143" s="10" t="n"/>
      <c r="L143" s="11">
        <f>IF($S143="","",IF($S143="ITEM_PRICE_PLUS_DECLARED_DELIVERY",IF(OR($J143="",$K143=""),"",SUM($J143,$K143,$U143)),IF($S143="TOTAL_AMOUNT_INCLUDING_DELIVERY",IF($T143="","",$T143),IF($S143="DELIVERY_CHARGE_ONLY",IF($K143="","",SUM($K143,$U143)),IF($S143="EXACT_COLLECTION_AMOUNT",IF($T143="","",$T143),IF($S143="ITEM_PRICE_ONLY_DELIVERY_PAID_BY_MERCHANT",IF($J143="","",SUM($J143,$U143)),""))))))</f>
        <v/>
      </c>
      <c r="M143" s="12" t="n"/>
      <c r="N143" s="13" t="n"/>
      <c r="O143" s="13" t="n"/>
      <c r="P143" s="9" t="n"/>
      <c r="Q143" s="14" t="n"/>
      <c r="R143" s="15" t="n"/>
      <c r="S143" s="14" t="n"/>
      <c r="T143" s="16" t="n"/>
      <c r="U143" s="16" t="n"/>
      <c r="V143" s="16" t="n"/>
      <c r="W143" s="16" t="n"/>
      <c r="X143" s="16" t="n"/>
      <c r="Y143" s="16" t="n"/>
      <c r="Z143" s="14" t="n"/>
      <c r="AA143" s="14" t="n"/>
      <c r="AB143" s="14" t="n"/>
      <c r="AC143" s="17">
        <f>IFERROR(VLOOKUP($H143&amp;"|"&amp;$Q143,Tariff_Master!$A$2:$L$169,3,FALSE),"")</f>
        <v/>
      </c>
      <c r="AD143" s="17">
        <f>IFERROR(VLOOKUP($H143&amp;"|"&amp;$Q143,Tariff_Master!$A$2:$L$169,4,FALSE),"")</f>
        <v/>
      </c>
      <c r="AE143" s="18">
        <f>IFERROR(VLOOKUP($H143&amp;"|"&amp;$Q143,Tariff_Master!$A$2:$L$169,6,FALSE),"")</f>
        <v/>
      </c>
      <c r="AF143" s="19">
        <f>IFERROR(VLOOKUP($H143&amp;"|"&amp;$Q143,Tariff_Master!$A$2:$L$169,7,FALSE),"")</f>
        <v/>
      </c>
      <c r="AG143" s="18">
        <f>IFERROR(VLOOKUP($H143&amp;"|"&amp;$Q143,Tariff_Master!$A$2:$L$169,8,FALSE),"")</f>
        <v/>
      </c>
      <c r="AH143" s="20">
        <f>IFERROR(VLOOKUP($H143&amp;"|"&amp;$Q143,Tariff_Master!$A$2:$L$169,9,FALSE),"")</f>
        <v/>
      </c>
      <c r="AI143" s="18">
        <f>IFERROR(VLOOKUP($H143&amp;"|"&amp;$Q143,Tariff_Master!$A$2:$L$169,10,FALSE),"")</f>
        <v/>
      </c>
      <c r="AJ143" s="21">
        <f>IF($M143="","",ROUNDUP(MAX(0,$M143),0))</f>
        <v/>
      </c>
      <c r="AK143" s="21">
        <f>IF(OR($AJ143="",$AF143=""),"",MAX(0,$AJ143-$AF143))</f>
        <v/>
      </c>
      <c r="AL143" s="22">
        <f>IF(OR($AK143="",$AG143=""),"",MAX(0,$AK143*$AG143))</f>
        <v/>
      </c>
      <c r="AM143" s="22">
        <f>IF($AE143="","",MAX(0,SUM($AE143,$AL143,$V143,$W143)))</f>
        <v/>
      </c>
      <c r="AN143" s="22">
        <f>IF($AM143="","",IF(AND($Q143="COMMITMENT",$R143&gt;=$AH143),$AI143,0))</f>
        <v/>
      </c>
      <c r="AO143" s="23">
        <f>IF($AM143="","",MAX(0,$AM143-$AN143))</f>
        <v/>
      </c>
      <c r="AP143" s="22">
        <f>IF($S143="","",IF(OR($S143="ITEM_PRICE_PLUS_DECLARED_DELIVERY",$S143="DELIVERY_CHARGE_ONLY"),$K143,IF($S143="TOTAL_AMOUNT_INCLUDING_DELIVERY",IF(OR($T143="",$J143=""),"",MAX(0,$T143-$J143-$U143)),IF($S143="ITEM_PRICE_ONLY_DELIVERY_PAID_BY_MERCHANT",0,""))))</f>
        <v/>
      </c>
      <c r="AQ143" s="23">
        <f>IF(OR($AP143="",$AO143=""),"",$AP143-$AO143)</f>
        <v/>
      </c>
      <c r="AR143" s="24">
        <f>IF($S143="EXACT_COLLECTION_AMOUNT","BREAKDOWN_REQUIRED",IF($AQ143="","",IF($AQ143&gt;0,"CREDIT_TO_MERCHANT",IF($AQ143&lt;0,"DEDUCT_FROM_MERCHANT","NO_ADJUSTMENT"))))</f>
        <v/>
      </c>
      <c r="AS143" s="23">
        <f>IF(OR($AQ143="",$AR143="BREAKDOWN_REQUIRED"),"",$AQ143)</f>
        <v/>
      </c>
      <c r="AT143" s="23">
        <f>IF(OR($AR143="",$AR143="BREAKDOWN_REQUIRED"),"",SUM($J143,$AQ143,$Y143)-$X143)</f>
        <v/>
      </c>
      <c r="AU143" s="25">
        <f>IF(AND($A143="",$B143="",$F143="",$H143="",$J143="",$K143="",$M143="",$S143=""),"",IF(OR($H143="",$Q143="",$M143="",$S143=""),"ERROR",IF(OR($J143&lt;0,$K143&lt;0,$M143&lt;0,$T143&lt;0,$U143&lt;0,$V143&lt;0,$W143&lt;0,$X143&lt;0,$Y143&lt;0),"ERROR",IF($AE143="","ERROR",IF(AND(OR($S143="ITEM_PRICE_PLUS_DECLARED_DELIVERY",$S143="TOTAL_AMOUNT_INCLUDING_DELIVERY",$S143="ITEM_PRICE_ONLY_DELIVERY_PAID_BY_MERCHANT"),$J143=""),"ERROR",IF(AND(OR($S143="ITEM_PRICE_PLUS_DECLARED_DELIVERY",$S143="DELIVERY_CHARGE_ONLY"),$K143=""),"ERROR",IF(AND(OR($S143="TOTAL_AMOUNT_INCLUDING_DELIVERY",$S143="EXACT_COLLECTION_AMOUNT"),$T143=""),"ERROR",IF(AND($S143="TOTAL_AMOUNT_INCLUDING_DELIVERY",$T143&lt;SUM($J143,$U143)),"ERROR",IF($S143="EXACT_COLLECTION_AMOUNT","REVIEW","OK")))))))))</f>
        <v/>
      </c>
      <c r="AV143" s="25">
        <f>IF($AU143="","",IF($H143="","Township required",IF($Q143="","Customer tier required",IF($M143="","Weight required",IF($S143="","Amount entry type required",IF(OR($J143&lt;0,$K143&lt;0,$M143&lt;0,$T143&lt;0,$U143&lt;0,$V143&lt;0,$W143&lt;0,$X143&lt;0,$Y143&lt;0),"Negative amounts are not allowed",IF($AE143="","Tariff not found for township and tier",IF(AND(OR($S143="ITEM_PRICE_PLUS_DECLARED_DELIVERY",$S143="TOTAL_AMOUNT_INCLUDING_DELIVERY",$S143="ITEM_PRICE_ONLY_DELIVERY_PAID_BY_MERCHANT"),$J143=""),"Item price required for this amount type",IF(AND(OR($S143="ITEM_PRICE_PLUS_DECLARED_DELIVERY",$S143="DELIVERY_CHARGE_ONLY"),$K143=""),"Declared delivery charge required",IF(AND(OR($S143="TOTAL_AMOUNT_INCLUDING_DELIVERY",$S143="EXACT_COLLECTION_AMOUNT"),$T143=""),"Stated total amount required",IF(AND($S143="TOTAL_AMOUNT_INCLUDING_DELIVERY",$T143&lt;SUM($J143,$U143)),"Stated total is below item price plus additional charge",IF($S143="EXACT_COLLECTION_AMOUNT","Authorized amount breakdown required before settlement","Ready for collection and settlement"))))))))))))</f>
        <v/>
      </c>
      <c r="AW143" s="23">
        <f>IF($AU143="","","PARCEL_FINANCIAL_V2")</f>
        <v/>
      </c>
      <c r="AX143" s="17" t="n"/>
    </row>
    <row r="144">
      <c r="A144" s="8" t="n"/>
      <c r="B144" s="8" t="n"/>
      <c r="C144" s="8" t="n"/>
      <c r="D144" s="8" t="n"/>
      <c r="E144" s="9" t="n"/>
      <c r="F144" s="9" t="n"/>
      <c r="G144" s="8" t="n"/>
      <c r="H144" s="9" t="n"/>
      <c r="I144" s="9" t="n"/>
      <c r="J144" s="10" t="n"/>
      <c r="K144" s="10" t="n"/>
      <c r="L144" s="11">
        <f>IF($S144="","",IF($S144="ITEM_PRICE_PLUS_DECLARED_DELIVERY",IF(OR($J144="",$K144=""),"",SUM($J144,$K144,$U144)),IF($S144="TOTAL_AMOUNT_INCLUDING_DELIVERY",IF($T144="","",$T144),IF($S144="DELIVERY_CHARGE_ONLY",IF($K144="","",SUM($K144,$U144)),IF($S144="EXACT_COLLECTION_AMOUNT",IF($T144="","",$T144),IF($S144="ITEM_PRICE_ONLY_DELIVERY_PAID_BY_MERCHANT",IF($J144="","",SUM($J144,$U144)),""))))))</f>
        <v/>
      </c>
      <c r="M144" s="12" t="n"/>
      <c r="N144" s="13" t="n"/>
      <c r="O144" s="13" t="n"/>
      <c r="P144" s="9" t="n"/>
      <c r="Q144" s="14" t="n"/>
      <c r="R144" s="15" t="n"/>
      <c r="S144" s="14" t="n"/>
      <c r="T144" s="16" t="n"/>
      <c r="U144" s="16" t="n"/>
      <c r="V144" s="16" t="n"/>
      <c r="W144" s="16" t="n"/>
      <c r="X144" s="16" t="n"/>
      <c r="Y144" s="16" t="n"/>
      <c r="Z144" s="14" t="n"/>
      <c r="AA144" s="14" t="n"/>
      <c r="AB144" s="14" t="n"/>
      <c r="AC144" s="17">
        <f>IFERROR(VLOOKUP($H144&amp;"|"&amp;$Q144,Tariff_Master!$A$2:$L$169,3,FALSE),"")</f>
        <v/>
      </c>
      <c r="AD144" s="17">
        <f>IFERROR(VLOOKUP($H144&amp;"|"&amp;$Q144,Tariff_Master!$A$2:$L$169,4,FALSE),"")</f>
        <v/>
      </c>
      <c r="AE144" s="18">
        <f>IFERROR(VLOOKUP($H144&amp;"|"&amp;$Q144,Tariff_Master!$A$2:$L$169,6,FALSE),"")</f>
        <v/>
      </c>
      <c r="AF144" s="19">
        <f>IFERROR(VLOOKUP($H144&amp;"|"&amp;$Q144,Tariff_Master!$A$2:$L$169,7,FALSE),"")</f>
        <v/>
      </c>
      <c r="AG144" s="18">
        <f>IFERROR(VLOOKUP($H144&amp;"|"&amp;$Q144,Tariff_Master!$A$2:$L$169,8,FALSE),"")</f>
        <v/>
      </c>
      <c r="AH144" s="20">
        <f>IFERROR(VLOOKUP($H144&amp;"|"&amp;$Q144,Tariff_Master!$A$2:$L$169,9,FALSE),"")</f>
        <v/>
      </c>
      <c r="AI144" s="18">
        <f>IFERROR(VLOOKUP($H144&amp;"|"&amp;$Q144,Tariff_Master!$A$2:$L$169,10,FALSE),"")</f>
        <v/>
      </c>
      <c r="AJ144" s="21">
        <f>IF($M144="","",ROUNDUP(MAX(0,$M144),0))</f>
        <v/>
      </c>
      <c r="AK144" s="21">
        <f>IF(OR($AJ144="",$AF144=""),"",MAX(0,$AJ144-$AF144))</f>
        <v/>
      </c>
      <c r="AL144" s="22">
        <f>IF(OR($AK144="",$AG144=""),"",MAX(0,$AK144*$AG144))</f>
        <v/>
      </c>
      <c r="AM144" s="22">
        <f>IF($AE144="","",MAX(0,SUM($AE144,$AL144,$V144,$W144)))</f>
        <v/>
      </c>
      <c r="AN144" s="22">
        <f>IF($AM144="","",IF(AND($Q144="COMMITMENT",$R144&gt;=$AH144),$AI144,0))</f>
        <v/>
      </c>
      <c r="AO144" s="23">
        <f>IF($AM144="","",MAX(0,$AM144-$AN144))</f>
        <v/>
      </c>
      <c r="AP144" s="22">
        <f>IF($S144="","",IF(OR($S144="ITEM_PRICE_PLUS_DECLARED_DELIVERY",$S144="DELIVERY_CHARGE_ONLY"),$K144,IF($S144="TOTAL_AMOUNT_INCLUDING_DELIVERY",IF(OR($T144="",$J144=""),"",MAX(0,$T144-$J144-$U144)),IF($S144="ITEM_PRICE_ONLY_DELIVERY_PAID_BY_MERCHANT",0,""))))</f>
        <v/>
      </c>
      <c r="AQ144" s="23">
        <f>IF(OR($AP144="",$AO144=""),"",$AP144-$AO144)</f>
        <v/>
      </c>
      <c r="AR144" s="24">
        <f>IF($S144="EXACT_COLLECTION_AMOUNT","BREAKDOWN_REQUIRED",IF($AQ144="","",IF($AQ144&gt;0,"CREDIT_TO_MERCHANT",IF($AQ144&lt;0,"DEDUCT_FROM_MERCHANT","NO_ADJUSTMENT"))))</f>
        <v/>
      </c>
      <c r="AS144" s="23">
        <f>IF(OR($AQ144="",$AR144="BREAKDOWN_REQUIRED"),"",$AQ144)</f>
        <v/>
      </c>
      <c r="AT144" s="23">
        <f>IF(OR($AR144="",$AR144="BREAKDOWN_REQUIRED"),"",SUM($J144,$AQ144,$Y144)-$X144)</f>
        <v/>
      </c>
      <c r="AU144" s="25">
        <f>IF(AND($A144="",$B144="",$F144="",$H144="",$J144="",$K144="",$M144="",$S144=""),"",IF(OR($H144="",$Q144="",$M144="",$S144=""),"ERROR",IF(OR($J144&lt;0,$K144&lt;0,$M144&lt;0,$T144&lt;0,$U144&lt;0,$V144&lt;0,$W144&lt;0,$X144&lt;0,$Y144&lt;0),"ERROR",IF($AE144="","ERROR",IF(AND(OR($S144="ITEM_PRICE_PLUS_DECLARED_DELIVERY",$S144="TOTAL_AMOUNT_INCLUDING_DELIVERY",$S144="ITEM_PRICE_ONLY_DELIVERY_PAID_BY_MERCHANT"),$J144=""),"ERROR",IF(AND(OR($S144="ITEM_PRICE_PLUS_DECLARED_DELIVERY",$S144="DELIVERY_CHARGE_ONLY"),$K144=""),"ERROR",IF(AND(OR($S144="TOTAL_AMOUNT_INCLUDING_DELIVERY",$S144="EXACT_COLLECTION_AMOUNT"),$T144=""),"ERROR",IF(AND($S144="TOTAL_AMOUNT_INCLUDING_DELIVERY",$T144&lt;SUM($J144,$U144)),"ERROR",IF($S144="EXACT_COLLECTION_AMOUNT","REVIEW","OK")))))))))</f>
        <v/>
      </c>
      <c r="AV144" s="25">
        <f>IF($AU144="","",IF($H144="","Township required",IF($Q144="","Customer tier required",IF($M144="","Weight required",IF($S144="","Amount entry type required",IF(OR($J144&lt;0,$K144&lt;0,$M144&lt;0,$T144&lt;0,$U144&lt;0,$V144&lt;0,$W144&lt;0,$X144&lt;0,$Y144&lt;0),"Negative amounts are not allowed",IF($AE144="","Tariff not found for township and tier",IF(AND(OR($S144="ITEM_PRICE_PLUS_DECLARED_DELIVERY",$S144="TOTAL_AMOUNT_INCLUDING_DELIVERY",$S144="ITEM_PRICE_ONLY_DELIVERY_PAID_BY_MERCHANT"),$J144=""),"Item price required for this amount type",IF(AND(OR($S144="ITEM_PRICE_PLUS_DECLARED_DELIVERY",$S144="DELIVERY_CHARGE_ONLY"),$K144=""),"Declared delivery charge required",IF(AND(OR($S144="TOTAL_AMOUNT_INCLUDING_DELIVERY",$S144="EXACT_COLLECTION_AMOUNT"),$T144=""),"Stated total amount required",IF(AND($S144="TOTAL_AMOUNT_INCLUDING_DELIVERY",$T144&lt;SUM($J144,$U144)),"Stated total is below item price plus additional charge",IF($S144="EXACT_COLLECTION_AMOUNT","Authorized amount breakdown required before settlement","Ready for collection and settlement"))))))))))))</f>
        <v/>
      </c>
      <c r="AW144" s="23">
        <f>IF($AU144="","","PARCEL_FINANCIAL_V2")</f>
        <v/>
      </c>
      <c r="AX144" s="17" t="n"/>
    </row>
    <row r="145">
      <c r="A145" s="8" t="n"/>
      <c r="B145" s="8" t="n"/>
      <c r="C145" s="8" t="n"/>
      <c r="D145" s="8" t="n"/>
      <c r="E145" s="9" t="n"/>
      <c r="F145" s="9" t="n"/>
      <c r="G145" s="8" t="n"/>
      <c r="H145" s="9" t="n"/>
      <c r="I145" s="9" t="n"/>
      <c r="J145" s="10" t="n"/>
      <c r="K145" s="10" t="n"/>
      <c r="L145" s="11">
        <f>IF($S145="","",IF($S145="ITEM_PRICE_PLUS_DECLARED_DELIVERY",IF(OR($J145="",$K145=""),"",SUM($J145,$K145,$U145)),IF($S145="TOTAL_AMOUNT_INCLUDING_DELIVERY",IF($T145="","",$T145),IF($S145="DELIVERY_CHARGE_ONLY",IF($K145="","",SUM($K145,$U145)),IF($S145="EXACT_COLLECTION_AMOUNT",IF($T145="","",$T145),IF($S145="ITEM_PRICE_ONLY_DELIVERY_PAID_BY_MERCHANT",IF($J145="","",SUM($J145,$U145)),""))))))</f>
        <v/>
      </c>
      <c r="M145" s="12" t="n"/>
      <c r="N145" s="13" t="n"/>
      <c r="O145" s="13" t="n"/>
      <c r="P145" s="9" t="n"/>
      <c r="Q145" s="14" t="n"/>
      <c r="R145" s="15" t="n"/>
      <c r="S145" s="14" t="n"/>
      <c r="T145" s="16" t="n"/>
      <c r="U145" s="16" t="n"/>
      <c r="V145" s="16" t="n"/>
      <c r="W145" s="16" t="n"/>
      <c r="X145" s="16" t="n"/>
      <c r="Y145" s="16" t="n"/>
      <c r="Z145" s="14" t="n"/>
      <c r="AA145" s="14" t="n"/>
      <c r="AB145" s="14" t="n"/>
      <c r="AC145" s="17">
        <f>IFERROR(VLOOKUP($H145&amp;"|"&amp;$Q145,Tariff_Master!$A$2:$L$169,3,FALSE),"")</f>
        <v/>
      </c>
      <c r="AD145" s="17">
        <f>IFERROR(VLOOKUP($H145&amp;"|"&amp;$Q145,Tariff_Master!$A$2:$L$169,4,FALSE),"")</f>
        <v/>
      </c>
      <c r="AE145" s="18">
        <f>IFERROR(VLOOKUP($H145&amp;"|"&amp;$Q145,Tariff_Master!$A$2:$L$169,6,FALSE),"")</f>
        <v/>
      </c>
      <c r="AF145" s="19">
        <f>IFERROR(VLOOKUP($H145&amp;"|"&amp;$Q145,Tariff_Master!$A$2:$L$169,7,FALSE),"")</f>
        <v/>
      </c>
      <c r="AG145" s="18">
        <f>IFERROR(VLOOKUP($H145&amp;"|"&amp;$Q145,Tariff_Master!$A$2:$L$169,8,FALSE),"")</f>
        <v/>
      </c>
      <c r="AH145" s="20">
        <f>IFERROR(VLOOKUP($H145&amp;"|"&amp;$Q145,Tariff_Master!$A$2:$L$169,9,FALSE),"")</f>
        <v/>
      </c>
      <c r="AI145" s="18">
        <f>IFERROR(VLOOKUP($H145&amp;"|"&amp;$Q145,Tariff_Master!$A$2:$L$169,10,FALSE),"")</f>
        <v/>
      </c>
      <c r="AJ145" s="21">
        <f>IF($M145="","",ROUNDUP(MAX(0,$M145),0))</f>
        <v/>
      </c>
      <c r="AK145" s="21">
        <f>IF(OR($AJ145="",$AF145=""),"",MAX(0,$AJ145-$AF145))</f>
        <v/>
      </c>
      <c r="AL145" s="22">
        <f>IF(OR($AK145="",$AG145=""),"",MAX(0,$AK145*$AG145))</f>
        <v/>
      </c>
      <c r="AM145" s="22">
        <f>IF($AE145="","",MAX(0,SUM($AE145,$AL145,$V145,$W145)))</f>
        <v/>
      </c>
      <c r="AN145" s="22">
        <f>IF($AM145="","",IF(AND($Q145="COMMITMENT",$R145&gt;=$AH145),$AI145,0))</f>
        <v/>
      </c>
      <c r="AO145" s="23">
        <f>IF($AM145="","",MAX(0,$AM145-$AN145))</f>
        <v/>
      </c>
      <c r="AP145" s="22">
        <f>IF($S145="","",IF(OR($S145="ITEM_PRICE_PLUS_DECLARED_DELIVERY",$S145="DELIVERY_CHARGE_ONLY"),$K145,IF($S145="TOTAL_AMOUNT_INCLUDING_DELIVERY",IF(OR($T145="",$J145=""),"",MAX(0,$T145-$J145-$U145)),IF($S145="ITEM_PRICE_ONLY_DELIVERY_PAID_BY_MERCHANT",0,""))))</f>
        <v/>
      </c>
      <c r="AQ145" s="23">
        <f>IF(OR($AP145="",$AO145=""),"",$AP145-$AO145)</f>
        <v/>
      </c>
      <c r="AR145" s="24">
        <f>IF($S145="EXACT_COLLECTION_AMOUNT","BREAKDOWN_REQUIRED",IF($AQ145="","",IF($AQ145&gt;0,"CREDIT_TO_MERCHANT",IF($AQ145&lt;0,"DEDUCT_FROM_MERCHANT","NO_ADJUSTMENT"))))</f>
        <v/>
      </c>
      <c r="AS145" s="23">
        <f>IF(OR($AQ145="",$AR145="BREAKDOWN_REQUIRED"),"",$AQ145)</f>
        <v/>
      </c>
      <c r="AT145" s="23">
        <f>IF(OR($AR145="",$AR145="BREAKDOWN_REQUIRED"),"",SUM($J145,$AQ145,$Y145)-$X145)</f>
        <v/>
      </c>
      <c r="AU145" s="25">
        <f>IF(AND($A145="",$B145="",$F145="",$H145="",$J145="",$K145="",$M145="",$S145=""),"",IF(OR($H145="",$Q145="",$M145="",$S145=""),"ERROR",IF(OR($J145&lt;0,$K145&lt;0,$M145&lt;0,$T145&lt;0,$U145&lt;0,$V145&lt;0,$W145&lt;0,$X145&lt;0,$Y145&lt;0),"ERROR",IF($AE145="","ERROR",IF(AND(OR($S145="ITEM_PRICE_PLUS_DECLARED_DELIVERY",$S145="TOTAL_AMOUNT_INCLUDING_DELIVERY",$S145="ITEM_PRICE_ONLY_DELIVERY_PAID_BY_MERCHANT"),$J145=""),"ERROR",IF(AND(OR($S145="ITEM_PRICE_PLUS_DECLARED_DELIVERY",$S145="DELIVERY_CHARGE_ONLY"),$K145=""),"ERROR",IF(AND(OR($S145="TOTAL_AMOUNT_INCLUDING_DELIVERY",$S145="EXACT_COLLECTION_AMOUNT"),$T145=""),"ERROR",IF(AND($S145="TOTAL_AMOUNT_INCLUDING_DELIVERY",$T145&lt;SUM($J145,$U145)),"ERROR",IF($S145="EXACT_COLLECTION_AMOUNT","REVIEW","OK")))))))))</f>
        <v/>
      </c>
      <c r="AV145" s="25">
        <f>IF($AU145="","",IF($H145="","Township required",IF($Q145="","Customer tier required",IF($M145="","Weight required",IF($S145="","Amount entry type required",IF(OR($J145&lt;0,$K145&lt;0,$M145&lt;0,$T145&lt;0,$U145&lt;0,$V145&lt;0,$W145&lt;0,$X145&lt;0,$Y145&lt;0),"Negative amounts are not allowed",IF($AE145="","Tariff not found for township and tier",IF(AND(OR($S145="ITEM_PRICE_PLUS_DECLARED_DELIVERY",$S145="TOTAL_AMOUNT_INCLUDING_DELIVERY",$S145="ITEM_PRICE_ONLY_DELIVERY_PAID_BY_MERCHANT"),$J145=""),"Item price required for this amount type",IF(AND(OR($S145="ITEM_PRICE_PLUS_DECLARED_DELIVERY",$S145="DELIVERY_CHARGE_ONLY"),$K145=""),"Declared delivery charge required",IF(AND(OR($S145="TOTAL_AMOUNT_INCLUDING_DELIVERY",$S145="EXACT_COLLECTION_AMOUNT"),$T145=""),"Stated total amount required",IF(AND($S145="TOTAL_AMOUNT_INCLUDING_DELIVERY",$T145&lt;SUM($J145,$U145)),"Stated total is below item price plus additional charge",IF($S145="EXACT_COLLECTION_AMOUNT","Authorized amount breakdown required before settlement","Ready for collection and settlement"))))))))))))</f>
        <v/>
      </c>
      <c r="AW145" s="23">
        <f>IF($AU145="","","PARCEL_FINANCIAL_V2")</f>
        <v/>
      </c>
      <c r="AX145" s="17" t="n"/>
    </row>
    <row r="146">
      <c r="A146" s="8" t="n"/>
      <c r="B146" s="8" t="n"/>
      <c r="C146" s="8" t="n"/>
      <c r="D146" s="8" t="n"/>
      <c r="E146" s="9" t="n"/>
      <c r="F146" s="9" t="n"/>
      <c r="G146" s="8" t="n"/>
      <c r="H146" s="9" t="n"/>
      <c r="I146" s="9" t="n"/>
      <c r="J146" s="10" t="n"/>
      <c r="K146" s="10" t="n"/>
      <c r="L146" s="11">
        <f>IF($S146="","",IF($S146="ITEM_PRICE_PLUS_DECLARED_DELIVERY",IF(OR($J146="",$K146=""),"",SUM($J146,$K146,$U146)),IF($S146="TOTAL_AMOUNT_INCLUDING_DELIVERY",IF($T146="","",$T146),IF($S146="DELIVERY_CHARGE_ONLY",IF($K146="","",SUM($K146,$U146)),IF($S146="EXACT_COLLECTION_AMOUNT",IF($T146="","",$T146),IF($S146="ITEM_PRICE_ONLY_DELIVERY_PAID_BY_MERCHANT",IF($J146="","",SUM($J146,$U146)),""))))))</f>
        <v/>
      </c>
      <c r="M146" s="12" t="n"/>
      <c r="N146" s="13" t="n"/>
      <c r="O146" s="13" t="n"/>
      <c r="P146" s="9" t="n"/>
      <c r="Q146" s="14" t="n"/>
      <c r="R146" s="15" t="n"/>
      <c r="S146" s="14" t="n"/>
      <c r="T146" s="16" t="n"/>
      <c r="U146" s="16" t="n"/>
      <c r="V146" s="16" t="n"/>
      <c r="W146" s="16" t="n"/>
      <c r="X146" s="16" t="n"/>
      <c r="Y146" s="16" t="n"/>
      <c r="Z146" s="14" t="n"/>
      <c r="AA146" s="14" t="n"/>
      <c r="AB146" s="14" t="n"/>
      <c r="AC146" s="17">
        <f>IFERROR(VLOOKUP($H146&amp;"|"&amp;$Q146,Tariff_Master!$A$2:$L$169,3,FALSE),"")</f>
        <v/>
      </c>
      <c r="AD146" s="17">
        <f>IFERROR(VLOOKUP($H146&amp;"|"&amp;$Q146,Tariff_Master!$A$2:$L$169,4,FALSE),"")</f>
        <v/>
      </c>
      <c r="AE146" s="18">
        <f>IFERROR(VLOOKUP($H146&amp;"|"&amp;$Q146,Tariff_Master!$A$2:$L$169,6,FALSE),"")</f>
        <v/>
      </c>
      <c r="AF146" s="19">
        <f>IFERROR(VLOOKUP($H146&amp;"|"&amp;$Q146,Tariff_Master!$A$2:$L$169,7,FALSE),"")</f>
        <v/>
      </c>
      <c r="AG146" s="18">
        <f>IFERROR(VLOOKUP($H146&amp;"|"&amp;$Q146,Tariff_Master!$A$2:$L$169,8,FALSE),"")</f>
        <v/>
      </c>
      <c r="AH146" s="20">
        <f>IFERROR(VLOOKUP($H146&amp;"|"&amp;$Q146,Tariff_Master!$A$2:$L$169,9,FALSE),"")</f>
        <v/>
      </c>
      <c r="AI146" s="18">
        <f>IFERROR(VLOOKUP($H146&amp;"|"&amp;$Q146,Tariff_Master!$A$2:$L$169,10,FALSE),"")</f>
        <v/>
      </c>
      <c r="AJ146" s="21">
        <f>IF($M146="","",ROUNDUP(MAX(0,$M146),0))</f>
        <v/>
      </c>
      <c r="AK146" s="21">
        <f>IF(OR($AJ146="",$AF146=""),"",MAX(0,$AJ146-$AF146))</f>
        <v/>
      </c>
      <c r="AL146" s="22">
        <f>IF(OR($AK146="",$AG146=""),"",MAX(0,$AK146*$AG146))</f>
        <v/>
      </c>
      <c r="AM146" s="22">
        <f>IF($AE146="","",MAX(0,SUM($AE146,$AL146,$V146,$W146)))</f>
        <v/>
      </c>
      <c r="AN146" s="22">
        <f>IF($AM146="","",IF(AND($Q146="COMMITMENT",$R146&gt;=$AH146),$AI146,0))</f>
        <v/>
      </c>
      <c r="AO146" s="23">
        <f>IF($AM146="","",MAX(0,$AM146-$AN146))</f>
        <v/>
      </c>
      <c r="AP146" s="22">
        <f>IF($S146="","",IF(OR($S146="ITEM_PRICE_PLUS_DECLARED_DELIVERY",$S146="DELIVERY_CHARGE_ONLY"),$K146,IF($S146="TOTAL_AMOUNT_INCLUDING_DELIVERY",IF(OR($T146="",$J146=""),"",MAX(0,$T146-$J146-$U146)),IF($S146="ITEM_PRICE_ONLY_DELIVERY_PAID_BY_MERCHANT",0,""))))</f>
        <v/>
      </c>
      <c r="AQ146" s="23">
        <f>IF(OR($AP146="",$AO146=""),"",$AP146-$AO146)</f>
        <v/>
      </c>
      <c r="AR146" s="24">
        <f>IF($S146="EXACT_COLLECTION_AMOUNT","BREAKDOWN_REQUIRED",IF($AQ146="","",IF($AQ146&gt;0,"CREDIT_TO_MERCHANT",IF($AQ146&lt;0,"DEDUCT_FROM_MERCHANT","NO_ADJUSTMENT"))))</f>
        <v/>
      </c>
      <c r="AS146" s="23">
        <f>IF(OR($AQ146="",$AR146="BREAKDOWN_REQUIRED"),"",$AQ146)</f>
        <v/>
      </c>
      <c r="AT146" s="23">
        <f>IF(OR($AR146="",$AR146="BREAKDOWN_REQUIRED"),"",SUM($J146,$AQ146,$Y146)-$X146)</f>
        <v/>
      </c>
      <c r="AU146" s="25">
        <f>IF(AND($A146="",$B146="",$F146="",$H146="",$J146="",$K146="",$M146="",$S146=""),"",IF(OR($H146="",$Q146="",$M146="",$S146=""),"ERROR",IF(OR($J146&lt;0,$K146&lt;0,$M146&lt;0,$T146&lt;0,$U146&lt;0,$V146&lt;0,$W146&lt;0,$X146&lt;0,$Y146&lt;0),"ERROR",IF($AE146="","ERROR",IF(AND(OR($S146="ITEM_PRICE_PLUS_DECLARED_DELIVERY",$S146="TOTAL_AMOUNT_INCLUDING_DELIVERY",$S146="ITEM_PRICE_ONLY_DELIVERY_PAID_BY_MERCHANT"),$J146=""),"ERROR",IF(AND(OR($S146="ITEM_PRICE_PLUS_DECLARED_DELIVERY",$S146="DELIVERY_CHARGE_ONLY"),$K146=""),"ERROR",IF(AND(OR($S146="TOTAL_AMOUNT_INCLUDING_DELIVERY",$S146="EXACT_COLLECTION_AMOUNT"),$T146=""),"ERROR",IF(AND($S146="TOTAL_AMOUNT_INCLUDING_DELIVERY",$T146&lt;SUM($J146,$U146)),"ERROR",IF($S146="EXACT_COLLECTION_AMOUNT","REVIEW","OK")))))))))</f>
        <v/>
      </c>
      <c r="AV146" s="25">
        <f>IF($AU146="","",IF($H146="","Township required",IF($Q146="","Customer tier required",IF($M146="","Weight required",IF($S146="","Amount entry type required",IF(OR($J146&lt;0,$K146&lt;0,$M146&lt;0,$T146&lt;0,$U146&lt;0,$V146&lt;0,$W146&lt;0,$X146&lt;0,$Y146&lt;0),"Negative amounts are not allowed",IF($AE146="","Tariff not found for township and tier",IF(AND(OR($S146="ITEM_PRICE_PLUS_DECLARED_DELIVERY",$S146="TOTAL_AMOUNT_INCLUDING_DELIVERY",$S146="ITEM_PRICE_ONLY_DELIVERY_PAID_BY_MERCHANT"),$J146=""),"Item price required for this amount type",IF(AND(OR($S146="ITEM_PRICE_PLUS_DECLARED_DELIVERY",$S146="DELIVERY_CHARGE_ONLY"),$K146=""),"Declared delivery charge required",IF(AND(OR($S146="TOTAL_AMOUNT_INCLUDING_DELIVERY",$S146="EXACT_COLLECTION_AMOUNT"),$T146=""),"Stated total amount required",IF(AND($S146="TOTAL_AMOUNT_INCLUDING_DELIVERY",$T146&lt;SUM($J146,$U146)),"Stated total is below item price plus additional charge",IF($S146="EXACT_COLLECTION_AMOUNT","Authorized amount breakdown required before settlement","Ready for collection and settlement"))))))))))))</f>
        <v/>
      </c>
      <c r="AW146" s="23">
        <f>IF($AU146="","","PARCEL_FINANCIAL_V2")</f>
        <v/>
      </c>
      <c r="AX146" s="17" t="n"/>
    </row>
    <row r="147">
      <c r="A147" s="8" t="n"/>
      <c r="B147" s="8" t="n"/>
      <c r="C147" s="8" t="n"/>
      <c r="D147" s="8" t="n"/>
      <c r="E147" s="9" t="n"/>
      <c r="F147" s="9" t="n"/>
      <c r="G147" s="8" t="n"/>
      <c r="H147" s="9" t="n"/>
      <c r="I147" s="9" t="n"/>
      <c r="J147" s="10" t="n"/>
      <c r="K147" s="10" t="n"/>
      <c r="L147" s="11">
        <f>IF($S147="","",IF($S147="ITEM_PRICE_PLUS_DECLARED_DELIVERY",IF(OR($J147="",$K147=""),"",SUM($J147,$K147,$U147)),IF($S147="TOTAL_AMOUNT_INCLUDING_DELIVERY",IF($T147="","",$T147),IF($S147="DELIVERY_CHARGE_ONLY",IF($K147="","",SUM($K147,$U147)),IF($S147="EXACT_COLLECTION_AMOUNT",IF($T147="","",$T147),IF($S147="ITEM_PRICE_ONLY_DELIVERY_PAID_BY_MERCHANT",IF($J147="","",SUM($J147,$U147)),""))))))</f>
        <v/>
      </c>
      <c r="M147" s="12" t="n"/>
      <c r="N147" s="13" t="n"/>
      <c r="O147" s="13" t="n"/>
      <c r="P147" s="9" t="n"/>
      <c r="Q147" s="14" t="n"/>
      <c r="R147" s="15" t="n"/>
      <c r="S147" s="14" t="n"/>
      <c r="T147" s="16" t="n"/>
      <c r="U147" s="16" t="n"/>
      <c r="V147" s="16" t="n"/>
      <c r="W147" s="16" t="n"/>
      <c r="X147" s="16" t="n"/>
      <c r="Y147" s="16" t="n"/>
      <c r="Z147" s="14" t="n"/>
      <c r="AA147" s="14" t="n"/>
      <c r="AB147" s="14" t="n"/>
      <c r="AC147" s="17">
        <f>IFERROR(VLOOKUP($H147&amp;"|"&amp;$Q147,Tariff_Master!$A$2:$L$169,3,FALSE),"")</f>
        <v/>
      </c>
      <c r="AD147" s="17">
        <f>IFERROR(VLOOKUP($H147&amp;"|"&amp;$Q147,Tariff_Master!$A$2:$L$169,4,FALSE),"")</f>
        <v/>
      </c>
      <c r="AE147" s="18">
        <f>IFERROR(VLOOKUP($H147&amp;"|"&amp;$Q147,Tariff_Master!$A$2:$L$169,6,FALSE),"")</f>
        <v/>
      </c>
      <c r="AF147" s="19">
        <f>IFERROR(VLOOKUP($H147&amp;"|"&amp;$Q147,Tariff_Master!$A$2:$L$169,7,FALSE),"")</f>
        <v/>
      </c>
      <c r="AG147" s="18">
        <f>IFERROR(VLOOKUP($H147&amp;"|"&amp;$Q147,Tariff_Master!$A$2:$L$169,8,FALSE),"")</f>
        <v/>
      </c>
      <c r="AH147" s="20">
        <f>IFERROR(VLOOKUP($H147&amp;"|"&amp;$Q147,Tariff_Master!$A$2:$L$169,9,FALSE),"")</f>
        <v/>
      </c>
      <c r="AI147" s="18">
        <f>IFERROR(VLOOKUP($H147&amp;"|"&amp;$Q147,Tariff_Master!$A$2:$L$169,10,FALSE),"")</f>
        <v/>
      </c>
      <c r="AJ147" s="21">
        <f>IF($M147="","",ROUNDUP(MAX(0,$M147),0))</f>
        <v/>
      </c>
      <c r="AK147" s="21">
        <f>IF(OR($AJ147="",$AF147=""),"",MAX(0,$AJ147-$AF147))</f>
        <v/>
      </c>
      <c r="AL147" s="22">
        <f>IF(OR($AK147="",$AG147=""),"",MAX(0,$AK147*$AG147))</f>
        <v/>
      </c>
      <c r="AM147" s="22">
        <f>IF($AE147="","",MAX(0,SUM($AE147,$AL147,$V147,$W147)))</f>
        <v/>
      </c>
      <c r="AN147" s="22">
        <f>IF($AM147="","",IF(AND($Q147="COMMITMENT",$R147&gt;=$AH147),$AI147,0))</f>
        <v/>
      </c>
      <c r="AO147" s="23">
        <f>IF($AM147="","",MAX(0,$AM147-$AN147))</f>
        <v/>
      </c>
      <c r="AP147" s="22">
        <f>IF($S147="","",IF(OR($S147="ITEM_PRICE_PLUS_DECLARED_DELIVERY",$S147="DELIVERY_CHARGE_ONLY"),$K147,IF($S147="TOTAL_AMOUNT_INCLUDING_DELIVERY",IF(OR($T147="",$J147=""),"",MAX(0,$T147-$J147-$U147)),IF($S147="ITEM_PRICE_ONLY_DELIVERY_PAID_BY_MERCHANT",0,""))))</f>
        <v/>
      </c>
      <c r="AQ147" s="23">
        <f>IF(OR($AP147="",$AO147=""),"",$AP147-$AO147)</f>
        <v/>
      </c>
      <c r="AR147" s="24">
        <f>IF($S147="EXACT_COLLECTION_AMOUNT","BREAKDOWN_REQUIRED",IF($AQ147="","",IF($AQ147&gt;0,"CREDIT_TO_MERCHANT",IF($AQ147&lt;0,"DEDUCT_FROM_MERCHANT","NO_ADJUSTMENT"))))</f>
        <v/>
      </c>
      <c r="AS147" s="23">
        <f>IF(OR($AQ147="",$AR147="BREAKDOWN_REQUIRED"),"",$AQ147)</f>
        <v/>
      </c>
      <c r="AT147" s="23">
        <f>IF(OR($AR147="",$AR147="BREAKDOWN_REQUIRED"),"",SUM($J147,$AQ147,$Y147)-$X147)</f>
        <v/>
      </c>
      <c r="AU147" s="25">
        <f>IF(AND($A147="",$B147="",$F147="",$H147="",$J147="",$K147="",$M147="",$S147=""),"",IF(OR($H147="",$Q147="",$M147="",$S147=""),"ERROR",IF(OR($J147&lt;0,$K147&lt;0,$M147&lt;0,$T147&lt;0,$U147&lt;0,$V147&lt;0,$W147&lt;0,$X147&lt;0,$Y147&lt;0),"ERROR",IF($AE147="","ERROR",IF(AND(OR($S147="ITEM_PRICE_PLUS_DECLARED_DELIVERY",$S147="TOTAL_AMOUNT_INCLUDING_DELIVERY",$S147="ITEM_PRICE_ONLY_DELIVERY_PAID_BY_MERCHANT"),$J147=""),"ERROR",IF(AND(OR($S147="ITEM_PRICE_PLUS_DECLARED_DELIVERY",$S147="DELIVERY_CHARGE_ONLY"),$K147=""),"ERROR",IF(AND(OR($S147="TOTAL_AMOUNT_INCLUDING_DELIVERY",$S147="EXACT_COLLECTION_AMOUNT"),$T147=""),"ERROR",IF(AND($S147="TOTAL_AMOUNT_INCLUDING_DELIVERY",$T147&lt;SUM($J147,$U147)),"ERROR",IF($S147="EXACT_COLLECTION_AMOUNT","REVIEW","OK")))))))))</f>
        <v/>
      </c>
      <c r="AV147" s="25">
        <f>IF($AU147="","",IF($H147="","Township required",IF($Q147="","Customer tier required",IF($M147="","Weight required",IF($S147="","Amount entry type required",IF(OR($J147&lt;0,$K147&lt;0,$M147&lt;0,$T147&lt;0,$U147&lt;0,$V147&lt;0,$W147&lt;0,$X147&lt;0,$Y147&lt;0),"Negative amounts are not allowed",IF($AE147="","Tariff not found for township and tier",IF(AND(OR($S147="ITEM_PRICE_PLUS_DECLARED_DELIVERY",$S147="TOTAL_AMOUNT_INCLUDING_DELIVERY",$S147="ITEM_PRICE_ONLY_DELIVERY_PAID_BY_MERCHANT"),$J147=""),"Item price required for this amount type",IF(AND(OR($S147="ITEM_PRICE_PLUS_DECLARED_DELIVERY",$S147="DELIVERY_CHARGE_ONLY"),$K147=""),"Declared delivery charge required",IF(AND(OR($S147="TOTAL_AMOUNT_INCLUDING_DELIVERY",$S147="EXACT_COLLECTION_AMOUNT"),$T147=""),"Stated total amount required",IF(AND($S147="TOTAL_AMOUNT_INCLUDING_DELIVERY",$T147&lt;SUM($J147,$U147)),"Stated total is below item price plus additional charge",IF($S147="EXACT_COLLECTION_AMOUNT","Authorized amount breakdown required before settlement","Ready for collection and settlement"))))))))))))</f>
        <v/>
      </c>
      <c r="AW147" s="23">
        <f>IF($AU147="","","PARCEL_FINANCIAL_V2")</f>
        <v/>
      </c>
      <c r="AX147" s="17" t="n"/>
    </row>
    <row r="148">
      <c r="A148" s="8" t="n"/>
      <c r="B148" s="8" t="n"/>
      <c r="C148" s="8" t="n"/>
      <c r="D148" s="8" t="n"/>
      <c r="E148" s="9" t="n"/>
      <c r="F148" s="9" t="n"/>
      <c r="G148" s="8" t="n"/>
      <c r="H148" s="9" t="n"/>
      <c r="I148" s="9" t="n"/>
      <c r="J148" s="10" t="n"/>
      <c r="K148" s="10" t="n"/>
      <c r="L148" s="11">
        <f>IF($S148="","",IF($S148="ITEM_PRICE_PLUS_DECLARED_DELIVERY",IF(OR($J148="",$K148=""),"",SUM($J148,$K148,$U148)),IF($S148="TOTAL_AMOUNT_INCLUDING_DELIVERY",IF($T148="","",$T148),IF($S148="DELIVERY_CHARGE_ONLY",IF($K148="","",SUM($K148,$U148)),IF($S148="EXACT_COLLECTION_AMOUNT",IF($T148="","",$T148),IF($S148="ITEM_PRICE_ONLY_DELIVERY_PAID_BY_MERCHANT",IF($J148="","",SUM($J148,$U148)),""))))))</f>
        <v/>
      </c>
      <c r="M148" s="12" t="n"/>
      <c r="N148" s="13" t="n"/>
      <c r="O148" s="13" t="n"/>
      <c r="P148" s="9" t="n"/>
      <c r="Q148" s="14" t="n"/>
      <c r="R148" s="15" t="n"/>
      <c r="S148" s="14" t="n"/>
      <c r="T148" s="16" t="n"/>
      <c r="U148" s="16" t="n"/>
      <c r="V148" s="16" t="n"/>
      <c r="W148" s="16" t="n"/>
      <c r="X148" s="16" t="n"/>
      <c r="Y148" s="16" t="n"/>
      <c r="Z148" s="14" t="n"/>
      <c r="AA148" s="14" t="n"/>
      <c r="AB148" s="14" t="n"/>
      <c r="AC148" s="17">
        <f>IFERROR(VLOOKUP($H148&amp;"|"&amp;$Q148,Tariff_Master!$A$2:$L$169,3,FALSE),"")</f>
        <v/>
      </c>
      <c r="AD148" s="17">
        <f>IFERROR(VLOOKUP($H148&amp;"|"&amp;$Q148,Tariff_Master!$A$2:$L$169,4,FALSE),"")</f>
        <v/>
      </c>
      <c r="AE148" s="18">
        <f>IFERROR(VLOOKUP($H148&amp;"|"&amp;$Q148,Tariff_Master!$A$2:$L$169,6,FALSE),"")</f>
        <v/>
      </c>
      <c r="AF148" s="19">
        <f>IFERROR(VLOOKUP($H148&amp;"|"&amp;$Q148,Tariff_Master!$A$2:$L$169,7,FALSE),"")</f>
        <v/>
      </c>
      <c r="AG148" s="18">
        <f>IFERROR(VLOOKUP($H148&amp;"|"&amp;$Q148,Tariff_Master!$A$2:$L$169,8,FALSE),"")</f>
        <v/>
      </c>
      <c r="AH148" s="20">
        <f>IFERROR(VLOOKUP($H148&amp;"|"&amp;$Q148,Tariff_Master!$A$2:$L$169,9,FALSE),"")</f>
        <v/>
      </c>
      <c r="AI148" s="18">
        <f>IFERROR(VLOOKUP($H148&amp;"|"&amp;$Q148,Tariff_Master!$A$2:$L$169,10,FALSE),"")</f>
        <v/>
      </c>
      <c r="AJ148" s="21">
        <f>IF($M148="","",ROUNDUP(MAX(0,$M148),0))</f>
        <v/>
      </c>
      <c r="AK148" s="21">
        <f>IF(OR($AJ148="",$AF148=""),"",MAX(0,$AJ148-$AF148))</f>
        <v/>
      </c>
      <c r="AL148" s="22">
        <f>IF(OR($AK148="",$AG148=""),"",MAX(0,$AK148*$AG148))</f>
        <v/>
      </c>
      <c r="AM148" s="22">
        <f>IF($AE148="","",MAX(0,SUM($AE148,$AL148,$V148,$W148)))</f>
        <v/>
      </c>
      <c r="AN148" s="22">
        <f>IF($AM148="","",IF(AND($Q148="COMMITMENT",$R148&gt;=$AH148),$AI148,0))</f>
        <v/>
      </c>
      <c r="AO148" s="23">
        <f>IF($AM148="","",MAX(0,$AM148-$AN148))</f>
        <v/>
      </c>
      <c r="AP148" s="22">
        <f>IF($S148="","",IF(OR($S148="ITEM_PRICE_PLUS_DECLARED_DELIVERY",$S148="DELIVERY_CHARGE_ONLY"),$K148,IF($S148="TOTAL_AMOUNT_INCLUDING_DELIVERY",IF(OR($T148="",$J148=""),"",MAX(0,$T148-$J148-$U148)),IF($S148="ITEM_PRICE_ONLY_DELIVERY_PAID_BY_MERCHANT",0,""))))</f>
        <v/>
      </c>
      <c r="AQ148" s="23">
        <f>IF(OR($AP148="",$AO148=""),"",$AP148-$AO148)</f>
        <v/>
      </c>
      <c r="AR148" s="24">
        <f>IF($S148="EXACT_COLLECTION_AMOUNT","BREAKDOWN_REQUIRED",IF($AQ148="","",IF($AQ148&gt;0,"CREDIT_TO_MERCHANT",IF($AQ148&lt;0,"DEDUCT_FROM_MERCHANT","NO_ADJUSTMENT"))))</f>
        <v/>
      </c>
      <c r="AS148" s="23">
        <f>IF(OR($AQ148="",$AR148="BREAKDOWN_REQUIRED"),"",$AQ148)</f>
        <v/>
      </c>
      <c r="AT148" s="23">
        <f>IF(OR($AR148="",$AR148="BREAKDOWN_REQUIRED"),"",SUM($J148,$AQ148,$Y148)-$X148)</f>
        <v/>
      </c>
      <c r="AU148" s="25">
        <f>IF(AND($A148="",$B148="",$F148="",$H148="",$J148="",$K148="",$M148="",$S148=""),"",IF(OR($H148="",$Q148="",$M148="",$S148=""),"ERROR",IF(OR($J148&lt;0,$K148&lt;0,$M148&lt;0,$T148&lt;0,$U148&lt;0,$V148&lt;0,$W148&lt;0,$X148&lt;0,$Y148&lt;0),"ERROR",IF($AE148="","ERROR",IF(AND(OR($S148="ITEM_PRICE_PLUS_DECLARED_DELIVERY",$S148="TOTAL_AMOUNT_INCLUDING_DELIVERY",$S148="ITEM_PRICE_ONLY_DELIVERY_PAID_BY_MERCHANT"),$J148=""),"ERROR",IF(AND(OR($S148="ITEM_PRICE_PLUS_DECLARED_DELIVERY",$S148="DELIVERY_CHARGE_ONLY"),$K148=""),"ERROR",IF(AND(OR($S148="TOTAL_AMOUNT_INCLUDING_DELIVERY",$S148="EXACT_COLLECTION_AMOUNT"),$T148=""),"ERROR",IF(AND($S148="TOTAL_AMOUNT_INCLUDING_DELIVERY",$T148&lt;SUM($J148,$U148)),"ERROR",IF($S148="EXACT_COLLECTION_AMOUNT","REVIEW","OK")))))))))</f>
        <v/>
      </c>
      <c r="AV148" s="25">
        <f>IF($AU148="","",IF($H148="","Township required",IF($Q148="","Customer tier required",IF($M148="","Weight required",IF($S148="","Amount entry type required",IF(OR($J148&lt;0,$K148&lt;0,$M148&lt;0,$T148&lt;0,$U148&lt;0,$V148&lt;0,$W148&lt;0,$X148&lt;0,$Y148&lt;0),"Negative amounts are not allowed",IF($AE148="","Tariff not found for township and tier",IF(AND(OR($S148="ITEM_PRICE_PLUS_DECLARED_DELIVERY",$S148="TOTAL_AMOUNT_INCLUDING_DELIVERY",$S148="ITEM_PRICE_ONLY_DELIVERY_PAID_BY_MERCHANT"),$J148=""),"Item price required for this amount type",IF(AND(OR($S148="ITEM_PRICE_PLUS_DECLARED_DELIVERY",$S148="DELIVERY_CHARGE_ONLY"),$K148=""),"Declared delivery charge required",IF(AND(OR($S148="TOTAL_AMOUNT_INCLUDING_DELIVERY",$S148="EXACT_COLLECTION_AMOUNT"),$T148=""),"Stated total amount required",IF(AND($S148="TOTAL_AMOUNT_INCLUDING_DELIVERY",$T148&lt;SUM($J148,$U148)),"Stated total is below item price plus additional charge",IF($S148="EXACT_COLLECTION_AMOUNT","Authorized amount breakdown required before settlement","Ready for collection and settlement"))))))))))))</f>
        <v/>
      </c>
      <c r="AW148" s="23">
        <f>IF($AU148="","","PARCEL_FINANCIAL_V2")</f>
        <v/>
      </c>
      <c r="AX148" s="17" t="n"/>
    </row>
    <row r="149">
      <c r="A149" s="8" t="n"/>
      <c r="B149" s="8" t="n"/>
      <c r="C149" s="8" t="n"/>
      <c r="D149" s="8" t="n"/>
      <c r="E149" s="9" t="n"/>
      <c r="F149" s="9" t="n"/>
      <c r="G149" s="8" t="n"/>
      <c r="H149" s="9" t="n"/>
      <c r="I149" s="9" t="n"/>
      <c r="J149" s="10" t="n"/>
      <c r="K149" s="10" t="n"/>
      <c r="L149" s="11">
        <f>IF($S149="","",IF($S149="ITEM_PRICE_PLUS_DECLARED_DELIVERY",IF(OR($J149="",$K149=""),"",SUM($J149,$K149,$U149)),IF($S149="TOTAL_AMOUNT_INCLUDING_DELIVERY",IF($T149="","",$T149),IF($S149="DELIVERY_CHARGE_ONLY",IF($K149="","",SUM($K149,$U149)),IF($S149="EXACT_COLLECTION_AMOUNT",IF($T149="","",$T149),IF($S149="ITEM_PRICE_ONLY_DELIVERY_PAID_BY_MERCHANT",IF($J149="","",SUM($J149,$U149)),""))))))</f>
        <v/>
      </c>
      <c r="M149" s="12" t="n"/>
      <c r="N149" s="13" t="n"/>
      <c r="O149" s="13" t="n"/>
      <c r="P149" s="9" t="n"/>
      <c r="Q149" s="14" t="n"/>
      <c r="R149" s="15" t="n"/>
      <c r="S149" s="14" t="n"/>
      <c r="T149" s="16" t="n"/>
      <c r="U149" s="16" t="n"/>
      <c r="V149" s="16" t="n"/>
      <c r="W149" s="16" t="n"/>
      <c r="X149" s="16" t="n"/>
      <c r="Y149" s="16" t="n"/>
      <c r="Z149" s="14" t="n"/>
      <c r="AA149" s="14" t="n"/>
      <c r="AB149" s="14" t="n"/>
      <c r="AC149" s="17">
        <f>IFERROR(VLOOKUP($H149&amp;"|"&amp;$Q149,Tariff_Master!$A$2:$L$169,3,FALSE),"")</f>
        <v/>
      </c>
      <c r="AD149" s="17">
        <f>IFERROR(VLOOKUP($H149&amp;"|"&amp;$Q149,Tariff_Master!$A$2:$L$169,4,FALSE),"")</f>
        <v/>
      </c>
      <c r="AE149" s="18">
        <f>IFERROR(VLOOKUP($H149&amp;"|"&amp;$Q149,Tariff_Master!$A$2:$L$169,6,FALSE),"")</f>
        <v/>
      </c>
      <c r="AF149" s="19">
        <f>IFERROR(VLOOKUP($H149&amp;"|"&amp;$Q149,Tariff_Master!$A$2:$L$169,7,FALSE),"")</f>
        <v/>
      </c>
      <c r="AG149" s="18">
        <f>IFERROR(VLOOKUP($H149&amp;"|"&amp;$Q149,Tariff_Master!$A$2:$L$169,8,FALSE),"")</f>
        <v/>
      </c>
      <c r="AH149" s="20">
        <f>IFERROR(VLOOKUP($H149&amp;"|"&amp;$Q149,Tariff_Master!$A$2:$L$169,9,FALSE),"")</f>
        <v/>
      </c>
      <c r="AI149" s="18">
        <f>IFERROR(VLOOKUP($H149&amp;"|"&amp;$Q149,Tariff_Master!$A$2:$L$169,10,FALSE),"")</f>
        <v/>
      </c>
      <c r="AJ149" s="21">
        <f>IF($M149="","",ROUNDUP(MAX(0,$M149),0))</f>
        <v/>
      </c>
      <c r="AK149" s="21">
        <f>IF(OR($AJ149="",$AF149=""),"",MAX(0,$AJ149-$AF149))</f>
        <v/>
      </c>
      <c r="AL149" s="22">
        <f>IF(OR($AK149="",$AG149=""),"",MAX(0,$AK149*$AG149))</f>
        <v/>
      </c>
      <c r="AM149" s="22">
        <f>IF($AE149="","",MAX(0,SUM($AE149,$AL149,$V149,$W149)))</f>
        <v/>
      </c>
      <c r="AN149" s="22">
        <f>IF($AM149="","",IF(AND($Q149="COMMITMENT",$R149&gt;=$AH149),$AI149,0))</f>
        <v/>
      </c>
      <c r="AO149" s="23">
        <f>IF($AM149="","",MAX(0,$AM149-$AN149))</f>
        <v/>
      </c>
      <c r="AP149" s="22">
        <f>IF($S149="","",IF(OR($S149="ITEM_PRICE_PLUS_DECLARED_DELIVERY",$S149="DELIVERY_CHARGE_ONLY"),$K149,IF($S149="TOTAL_AMOUNT_INCLUDING_DELIVERY",IF(OR($T149="",$J149=""),"",MAX(0,$T149-$J149-$U149)),IF($S149="ITEM_PRICE_ONLY_DELIVERY_PAID_BY_MERCHANT",0,""))))</f>
        <v/>
      </c>
      <c r="AQ149" s="23">
        <f>IF(OR($AP149="",$AO149=""),"",$AP149-$AO149)</f>
        <v/>
      </c>
      <c r="AR149" s="24">
        <f>IF($S149="EXACT_COLLECTION_AMOUNT","BREAKDOWN_REQUIRED",IF($AQ149="","",IF($AQ149&gt;0,"CREDIT_TO_MERCHANT",IF($AQ149&lt;0,"DEDUCT_FROM_MERCHANT","NO_ADJUSTMENT"))))</f>
        <v/>
      </c>
      <c r="AS149" s="23">
        <f>IF(OR($AQ149="",$AR149="BREAKDOWN_REQUIRED"),"",$AQ149)</f>
        <v/>
      </c>
      <c r="AT149" s="23">
        <f>IF(OR($AR149="",$AR149="BREAKDOWN_REQUIRED"),"",SUM($J149,$AQ149,$Y149)-$X149)</f>
        <v/>
      </c>
      <c r="AU149" s="25">
        <f>IF(AND($A149="",$B149="",$F149="",$H149="",$J149="",$K149="",$M149="",$S149=""),"",IF(OR($H149="",$Q149="",$M149="",$S149=""),"ERROR",IF(OR($J149&lt;0,$K149&lt;0,$M149&lt;0,$T149&lt;0,$U149&lt;0,$V149&lt;0,$W149&lt;0,$X149&lt;0,$Y149&lt;0),"ERROR",IF($AE149="","ERROR",IF(AND(OR($S149="ITEM_PRICE_PLUS_DECLARED_DELIVERY",$S149="TOTAL_AMOUNT_INCLUDING_DELIVERY",$S149="ITEM_PRICE_ONLY_DELIVERY_PAID_BY_MERCHANT"),$J149=""),"ERROR",IF(AND(OR($S149="ITEM_PRICE_PLUS_DECLARED_DELIVERY",$S149="DELIVERY_CHARGE_ONLY"),$K149=""),"ERROR",IF(AND(OR($S149="TOTAL_AMOUNT_INCLUDING_DELIVERY",$S149="EXACT_COLLECTION_AMOUNT"),$T149=""),"ERROR",IF(AND($S149="TOTAL_AMOUNT_INCLUDING_DELIVERY",$T149&lt;SUM($J149,$U149)),"ERROR",IF($S149="EXACT_COLLECTION_AMOUNT","REVIEW","OK")))))))))</f>
        <v/>
      </c>
      <c r="AV149" s="25">
        <f>IF($AU149="","",IF($H149="","Township required",IF($Q149="","Customer tier required",IF($M149="","Weight required",IF($S149="","Amount entry type required",IF(OR($J149&lt;0,$K149&lt;0,$M149&lt;0,$T149&lt;0,$U149&lt;0,$V149&lt;0,$W149&lt;0,$X149&lt;0,$Y149&lt;0),"Negative amounts are not allowed",IF($AE149="","Tariff not found for township and tier",IF(AND(OR($S149="ITEM_PRICE_PLUS_DECLARED_DELIVERY",$S149="TOTAL_AMOUNT_INCLUDING_DELIVERY",$S149="ITEM_PRICE_ONLY_DELIVERY_PAID_BY_MERCHANT"),$J149=""),"Item price required for this amount type",IF(AND(OR($S149="ITEM_PRICE_PLUS_DECLARED_DELIVERY",$S149="DELIVERY_CHARGE_ONLY"),$K149=""),"Declared delivery charge required",IF(AND(OR($S149="TOTAL_AMOUNT_INCLUDING_DELIVERY",$S149="EXACT_COLLECTION_AMOUNT"),$T149=""),"Stated total amount required",IF(AND($S149="TOTAL_AMOUNT_INCLUDING_DELIVERY",$T149&lt;SUM($J149,$U149)),"Stated total is below item price plus additional charge",IF($S149="EXACT_COLLECTION_AMOUNT","Authorized amount breakdown required before settlement","Ready for collection and settlement"))))))))))))</f>
        <v/>
      </c>
      <c r="AW149" s="23">
        <f>IF($AU149="","","PARCEL_FINANCIAL_V2")</f>
        <v/>
      </c>
      <c r="AX149" s="17" t="n"/>
    </row>
    <row r="150">
      <c r="A150" s="8" t="n"/>
      <c r="B150" s="8" t="n"/>
      <c r="C150" s="8" t="n"/>
      <c r="D150" s="8" t="n"/>
      <c r="E150" s="9" t="n"/>
      <c r="F150" s="9" t="n"/>
      <c r="G150" s="8" t="n"/>
      <c r="H150" s="9" t="n"/>
      <c r="I150" s="9" t="n"/>
      <c r="J150" s="10" t="n"/>
      <c r="K150" s="10" t="n"/>
      <c r="L150" s="11">
        <f>IF($S150="","",IF($S150="ITEM_PRICE_PLUS_DECLARED_DELIVERY",IF(OR($J150="",$K150=""),"",SUM($J150,$K150,$U150)),IF($S150="TOTAL_AMOUNT_INCLUDING_DELIVERY",IF($T150="","",$T150),IF($S150="DELIVERY_CHARGE_ONLY",IF($K150="","",SUM($K150,$U150)),IF($S150="EXACT_COLLECTION_AMOUNT",IF($T150="","",$T150),IF($S150="ITEM_PRICE_ONLY_DELIVERY_PAID_BY_MERCHANT",IF($J150="","",SUM($J150,$U150)),""))))))</f>
        <v/>
      </c>
      <c r="M150" s="12" t="n"/>
      <c r="N150" s="13" t="n"/>
      <c r="O150" s="13" t="n"/>
      <c r="P150" s="9" t="n"/>
      <c r="Q150" s="14" t="n"/>
      <c r="R150" s="15" t="n"/>
      <c r="S150" s="14" t="n"/>
      <c r="T150" s="16" t="n"/>
      <c r="U150" s="16" t="n"/>
      <c r="V150" s="16" t="n"/>
      <c r="W150" s="16" t="n"/>
      <c r="X150" s="16" t="n"/>
      <c r="Y150" s="16" t="n"/>
      <c r="Z150" s="14" t="n"/>
      <c r="AA150" s="14" t="n"/>
      <c r="AB150" s="14" t="n"/>
      <c r="AC150" s="17">
        <f>IFERROR(VLOOKUP($H150&amp;"|"&amp;$Q150,Tariff_Master!$A$2:$L$169,3,FALSE),"")</f>
        <v/>
      </c>
      <c r="AD150" s="17">
        <f>IFERROR(VLOOKUP($H150&amp;"|"&amp;$Q150,Tariff_Master!$A$2:$L$169,4,FALSE),"")</f>
        <v/>
      </c>
      <c r="AE150" s="18">
        <f>IFERROR(VLOOKUP($H150&amp;"|"&amp;$Q150,Tariff_Master!$A$2:$L$169,6,FALSE),"")</f>
        <v/>
      </c>
      <c r="AF150" s="19">
        <f>IFERROR(VLOOKUP($H150&amp;"|"&amp;$Q150,Tariff_Master!$A$2:$L$169,7,FALSE),"")</f>
        <v/>
      </c>
      <c r="AG150" s="18">
        <f>IFERROR(VLOOKUP($H150&amp;"|"&amp;$Q150,Tariff_Master!$A$2:$L$169,8,FALSE),"")</f>
        <v/>
      </c>
      <c r="AH150" s="20">
        <f>IFERROR(VLOOKUP($H150&amp;"|"&amp;$Q150,Tariff_Master!$A$2:$L$169,9,FALSE),"")</f>
        <v/>
      </c>
      <c r="AI150" s="18">
        <f>IFERROR(VLOOKUP($H150&amp;"|"&amp;$Q150,Tariff_Master!$A$2:$L$169,10,FALSE),"")</f>
        <v/>
      </c>
      <c r="AJ150" s="21">
        <f>IF($M150="","",ROUNDUP(MAX(0,$M150),0))</f>
        <v/>
      </c>
      <c r="AK150" s="21">
        <f>IF(OR($AJ150="",$AF150=""),"",MAX(0,$AJ150-$AF150))</f>
        <v/>
      </c>
      <c r="AL150" s="22">
        <f>IF(OR($AK150="",$AG150=""),"",MAX(0,$AK150*$AG150))</f>
        <v/>
      </c>
      <c r="AM150" s="22">
        <f>IF($AE150="","",MAX(0,SUM($AE150,$AL150,$V150,$W150)))</f>
        <v/>
      </c>
      <c r="AN150" s="22">
        <f>IF($AM150="","",IF(AND($Q150="COMMITMENT",$R150&gt;=$AH150),$AI150,0))</f>
        <v/>
      </c>
      <c r="AO150" s="23">
        <f>IF($AM150="","",MAX(0,$AM150-$AN150))</f>
        <v/>
      </c>
      <c r="AP150" s="22">
        <f>IF($S150="","",IF(OR($S150="ITEM_PRICE_PLUS_DECLARED_DELIVERY",$S150="DELIVERY_CHARGE_ONLY"),$K150,IF($S150="TOTAL_AMOUNT_INCLUDING_DELIVERY",IF(OR($T150="",$J150=""),"",MAX(0,$T150-$J150-$U150)),IF($S150="ITEM_PRICE_ONLY_DELIVERY_PAID_BY_MERCHANT",0,""))))</f>
        <v/>
      </c>
      <c r="AQ150" s="23">
        <f>IF(OR($AP150="",$AO150=""),"",$AP150-$AO150)</f>
        <v/>
      </c>
      <c r="AR150" s="24">
        <f>IF($S150="EXACT_COLLECTION_AMOUNT","BREAKDOWN_REQUIRED",IF($AQ150="","",IF($AQ150&gt;0,"CREDIT_TO_MERCHANT",IF($AQ150&lt;0,"DEDUCT_FROM_MERCHANT","NO_ADJUSTMENT"))))</f>
        <v/>
      </c>
      <c r="AS150" s="23">
        <f>IF(OR($AQ150="",$AR150="BREAKDOWN_REQUIRED"),"",$AQ150)</f>
        <v/>
      </c>
      <c r="AT150" s="23">
        <f>IF(OR($AR150="",$AR150="BREAKDOWN_REQUIRED"),"",SUM($J150,$AQ150,$Y150)-$X150)</f>
        <v/>
      </c>
      <c r="AU150" s="25">
        <f>IF(AND($A150="",$B150="",$F150="",$H150="",$J150="",$K150="",$M150="",$S150=""),"",IF(OR($H150="",$Q150="",$M150="",$S150=""),"ERROR",IF(OR($J150&lt;0,$K150&lt;0,$M150&lt;0,$T150&lt;0,$U150&lt;0,$V150&lt;0,$W150&lt;0,$X150&lt;0,$Y150&lt;0),"ERROR",IF($AE150="","ERROR",IF(AND(OR($S150="ITEM_PRICE_PLUS_DECLARED_DELIVERY",$S150="TOTAL_AMOUNT_INCLUDING_DELIVERY",$S150="ITEM_PRICE_ONLY_DELIVERY_PAID_BY_MERCHANT"),$J150=""),"ERROR",IF(AND(OR($S150="ITEM_PRICE_PLUS_DECLARED_DELIVERY",$S150="DELIVERY_CHARGE_ONLY"),$K150=""),"ERROR",IF(AND(OR($S150="TOTAL_AMOUNT_INCLUDING_DELIVERY",$S150="EXACT_COLLECTION_AMOUNT"),$T150=""),"ERROR",IF(AND($S150="TOTAL_AMOUNT_INCLUDING_DELIVERY",$T150&lt;SUM($J150,$U150)),"ERROR",IF($S150="EXACT_COLLECTION_AMOUNT","REVIEW","OK")))))))))</f>
        <v/>
      </c>
      <c r="AV150" s="25">
        <f>IF($AU150="","",IF($H150="","Township required",IF($Q150="","Customer tier required",IF($M150="","Weight required",IF($S150="","Amount entry type required",IF(OR($J150&lt;0,$K150&lt;0,$M150&lt;0,$T150&lt;0,$U150&lt;0,$V150&lt;0,$W150&lt;0,$X150&lt;0,$Y150&lt;0),"Negative amounts are not allowed",IF($AE150="","Tariff not found for township and tier",IF(AND(OR($S150="ITEM_PRICE_PLUS_DECLARED_DELIVERY",$S150="TOTAL_AMOUNT_INCLUDING_DELIVERY",$S150="ITEM_PRICE_ONLY_DELIVERY_PAID_BY_MERCHANT"),$J150=""),"Item price required for this amount type",IF(AND(OR($S150="ITEM_PRICE_PLUS_DECLARED_DELIVERY",$S150="DELIVERY_CHARGE_ONLY"),$K150=""),"Declared delivery charge required",IF(AND(OR($S150="TOTAL_AMOUNT_INCLUDING_DELIVERY",$S150="EXACT_COLLECTION_AMOUNT"),$T150=""),"Stated total amount required",IF(AND($S150="TOTAL_AMOUNT_INCLUDING_DELIVERY",$T150&lt;SUM($J150,$U150)),"Stated total is below item price plus additional charge",IF($S150="EXACT_COLLECTION_AMOUNT","Authorized amount breakdown required before settlement","Ready for collection and settlement"))))))))))))</f>
        <v/>
      </c>
      <c r="AW150" s="23">
        <f>IF($AU150="","","PARCEL_FINANCIAL_V2")</f>
        <v/>
      </c>
      <c r="AX150" s="17" t="n"/>
    </row>
    <row r="151">
      <c r="A151" s="8" t="n"/>
      <c r="B151" s="8" t="n"/>
      <c r="C151" s="8" t="n"/>
      <c r="D151" s="8" t="n"/>
      <c r="E151" s="9" t="n"/>
      <c r="F151" s="9" t="n"/>
      <c r="G151" s="8" t="n"/>
      <c r="H151" s="9" t="n"/>
      <c r="I151" s="9" t="n"/>
      <c r="J151" s="10" t="n"/>
      <c r="K151" s="10" t="n"/>
      <c r="L151" s="11">
        <f>IF($S151="","",IF($S151="ITEM_PRICE_PLUS_DECLARED_DELIVERY",IF(OR($J151="",$K151=""),"",SUM($J151,$K151,$U151)),IF($S151="TOTAL_AMOUNT_INCLUDING_DELIVERY",IF($T151="","",$T151),IF($S151="DELIVERY_CHARGE_ONLY",IF($K151="","",SUM($K151,$U151)),IF($S151="EXACT_COLLECTION_AMOUNT",IF($T151="","",$T151),IF($S151="ITEM_PRICE_ONLY_DELIVERY_PAID_BY_MERCHANT",IF($J151="","",SUM($J151,$U151)),""))))))</f>
        <v/>
      </c>
      <c r="M151" s="12" t="n"/>
      <c r="N151" s="13" t="n"/>
      <c r="O151" s="13" t="n"/>
      <c r="P151" s="9" t="n"/>
      <c r="Q151" s="14" t="n"/>
      <c r="R151" s="15" t="n"/>
      <c r="S151" s="14" t="n"/>
      <c r="T151" s="16" t="n"/>
      <c r="U151" s="16" t="n"/>
      <c r="V151" s="16" t="n"/>
      <c r="W151" s="16" t="n"/>
      <c r="X151" s="16" t="n"/>
      <c r="Y151" s="16" t="n"/>
      <c r="Z151" s="14" t="n"/>
      <c r="AA151" s="14" t="n"/>
      <c r="AB151" s="14" t="n"/>
      <c r="AC151" s="17">
        <f>IFERROR(VLOOKUP($H151&amp;"|"&amp;$Q151,Tariff_Master!$A$2:$L$169,3,FALSE),"")</f>
        <v/>
      </c>
      <c r="AD151" s="17">
        <f>IFERROR(VLOOKUP($H151&amp;"|"&amp;$Q151,Tariff_Master!$A$2:$L$169,4,FALSE),"")</f>
        <v/>
      </c>
      <c r="AE151" s="18">
        <f>IFERROR(VLOOKUP($H151&amp;"|"&amp;$Q151,Tariff_Master!$A$2:$L$169,6,FALSE),"")</f>
        <v/>
      </c>
      <c r="AF151" s="19">
        <f>IFERROR(VLOOKUP($H151&amp;"|"&amp;$Q151,Tariff_Master!$A$2:$L$169,7,FALSE),"")</f>
        <v/>
      </c>
      <c r="AG151" s="18">
        <f>IFERROR(VLOOKUP($H151&amp;"|"&amp;$Q151,Tariff_Master!$A$2:$L$169,8,FALSE),"")</f>
        <v/>
      </c>
      <c r="AH151" s="20">
        <f>IFERROR(VLOOKUP($H151&amp;"|"&amp;$Q151,Tariff_Master!$A$2:$L$169,9,FALSE),"")</f>
        <v/>
      </c>
      <c r="AI151" s="18">
        <f>IFERROR(VLOOKUP($H151&amp;"|"&amp;$Q151,Tariff_Master!$A$2:$L$169,10,FALSE),"")</f>
        <v/>
      </c>
      <c r="AJ151" s="21">
        <f>IF($M151="","",ROUNDUP(MAX(0,$M151),0))</f>
        <v/>
      </c>
      <c r="AK151" s="21">
        <f>IF(OR($AJ151="",$AF151=""),"",MAX(0,$AJ151-$AF151))</f>
        <v/>
      </c>
      <c r="AL151" s="22">
        <f>IF(OR($AK151="",$AG151=""),"",MAX(0,$AK151*$AG151))</f>
        <v/>
      </c>
      <c r="AM151" s="22">
        <f>IF($AE151="","",MAX(0,SUM($AE151,$AL151,$V151,$W151)))</f>
        <v/>
      </c>
      <c r="AN151" s="22">
        <f>IF($AM151="","",IF(AND($Q151="COMMITMENT",$R151&gt;=$AH151),$AI151,0))</f>
        <v/>
      </c>
      <c r="AO151" s="23">
        <f>IF($AM151="","",MAX(0,$AM151-$AN151))</f>
        <v/>
      </c>
      <c r="AP151" s="22">
        <f>IF($S151="","",IF(OR($S151="ITEM_PRICE_PLUS_DECLARED_DELIVERY",$S151="DELIVERY_CHARGE_ONLY"),$K151,IF($S151="TOTAL_AMOUNT_INCLUDING_DELIVERY",IF(OR($T151="",$J151=""),"",MAX(0,$T151-$J151-$U151)),IF($S151="ITEM_PRICE_ONLY_DELIVERY_PAID_BY_MERCHANT",0,""))))</f>
        <v/>
      </c>
      <c r="AQ151" s="23">
        <f>IF(OR($AP151="",$AO151=""),"",$AP151-$AO151)</f>
        <v/>
      </c>
      <c r="AR151" s="24">
        <f>IF($S151="EXACT_COLLECTION_AMOUNT","BREAKDOWN_REQUIRED",IF($AQ151="","",IF($AQ151&gt;0,"CREDIT_TO_MERCHANT",IF($AQ151&lt;0,"DEDUCT_FROM_MERCHANT","NO_ADJUSTMENT"))))</f>
        <v/>
      </c>
      <c r="AS151" s="23">
        <f>IF(OR($AQ151="",$AR151="BREAKDOWN_REQUIRED"),"",$AQ151)</f>
        <v/>
      </c>
      <c r="AT151" s="23">
        <f>IF(OR($AR151="",$AR151="BREAKDOWN_REQUIRED"),"",SUM($J151,$AQ151,$Y151)-$X151)</f>
        <v/>
      </c>
      <c r="AU151" s="25">
        <f>IF(AND($A151="",$B151="",$F151="",$H151="",$J151="",$K151="",$M151="",$S151=""),"",IF(OR($H151="",$Q151="",$M151="",$S151=""),"ERROR",IF(OR($J151&lt;0,$K151&lt;0,$M151&lt;0,$T151&lt;0,$U151&lt;0,$V151&lt;0,$W151&lt;0,$X151&lt;0,$Y151&lt;0),"ERROR",IF($AE151="","ERROR",IF(AND(OR($S151="ITEM_PRICE_PLUS_DECLARED_DELIVERY",$S151="TOTAL_AMOUNT_INCLUDING_DELIVERY",$S151="ITEM_PRICE_ONLY_DELIVERY_PAID_BY_MERCHANT"),$J151=""),"ERROR",IF(AND(OR($S151="ITEM_PRICE_PLUS_DECLARED_DELIVERY",$S151="DELIVERY_CHARGE_ONLY"),$K151=""),"ERROR",IF(AND(OR($S151="TOTAL_AMOUNT_INCLUDING_DELIVERY",$S151="EXACT_COLLECTION_AMOUNT"),$T151=""),"ERROR",IF(AND($S151="TOTAL_AMOUNT_INCLUDING_DELIVERY",$T151&lt;SUM($J151,$U151)),"ERROR",IF($S151="EXACT_COLLECTION_AMOUNT","REVIEW","OK")))))))))</f>
        <v/>
      </c>
      <c r="AV151" s="25">
        <f>IF($AU151="","",IF($H151="","Township required",IF($Q151="","Customer tier required",IF($M151="","Weight required",IF($S151="","Amount entry type required",IF(OR($J151&lt;0,$K151&lt;0,$M151&lt;0,$T151&lt;0,$U151&lt;0,$V151&lt;0,$W151&lt;0,$X151&lt;0,$Y151&lt;0),"Negative amounts are not allowed",IF($AE151="","Tariff not found for township and tier",IF(AND(OR($S151="ITEM_PRICE_PLUS_DECLARED_DELIVERY",$S151="TOTAL_AMOUNT_INCLUDING_DELIVERY",$S151="ITEM_PRICE_ONLY_DELIVERY_PAID_BY_MERCHANT"),$J151=""),"Item price required for this amount type",IF(AND(OR($S151="ITEM_PRICE_PLUS_DECLARED_DELIVERY",$S151="DELIVERY_CHARGE_ONLY"),$K151=""),"Declared delivery charge required",IF(AND(OR($S151="TOTAL_AMOUNT_INCLUDING_DELIVERY",$S151="EXACT_COLLECTION_AMOUNT"),$T151=""),"Stated total amount required",IF(AND($S151="TOTAL_AMOUNT_INCLUDING_DELIVERY",$T151&lt;SUM($J151,$U151)),"Stated total is below item price plus additional charge",IF($S151="EXACT_COLLECTION_AMOUNT","Authorized amount breakdown required before settlement","Ready for collection and settlement"))))))))))))</f>
        <v/>
      </c>
      <c r="AW151" s="23">
        <f>IF($AU151="","","PARCEL_FINANCIAL_V2")</f>
        <v/>
      </c>
      <c r="AX151" s="17" t="n"/>
    </row>
    <row r="152">
      <c r="A152" s="8" t="n"/>
      <c r="B152" s="8" t="n"/>
      <c r="C152" s="8" t="n"/>
      <c r="D152" s="8" t="n"/>
      <c r="E152" s="9" t="n"/>
      <c r="F152" s="9" t="n"/>
      <c r="G152" s="8" t="n"/>
      <c r="H152" s="9" t="n"/>
      <c r="I152" s="9" t="n"/>
      <c r="J152" s="10" t="n"/>
      <c r="K152" s="10" t="n"/>
      <c r="L152" s="11">
        <f>IF($S152="","",IF($S152="ITEM_PRICE_PLUS_DECLARED_DELIVERY",IF(OR($J152="",$K152=""),"",SUM($J152,$K152,$U152)),IF($S152="TOTAL_AMOUNT_INCLUDING_DELIVERY",IF($T152="","",$T152),IF($S152="DELIVERY_CHARGE_ONLY",IF($K152="","",SUM($K152,$U152)),IF($S152="EXACT_COLLECTION_AMOUNT",IF($T152="","",$T152),IF($S152="ITEM_PRICE_ONLY_DELIVERY_PAID_BY_MERCHANT",IF($J152="","",SUM($J152,$U152)),""))))))</f>
        <v/>
      </c>
      <c r="M152" s="12" t="n"/>
      <c r="N152" s="13" t="n"/>
      <c r="O152" s="13" t="n"/>
      <c r="P152" s="9" t="n"/>
      <c r="Q152" s="14" t="n"/>
      <c r="R152" s="15" t="n"/>
      <c r="S152" s="14" t="n"/>
      <c r="T152" s="16" t="n"/>
      <c r="U152" s="16" t="n"/>
      <c r="V152" s="16" t="n"/>
      <c r="W152" s="16" t="n"/>
      <c r="X152" s="16" t="n"/>
      <c r="Y152" s="16" t="n"/>
      <c r="Z152" s="14" t="n"/>
      <c r="AA152" s="14" t="n"/>
      <c r="AB152" s="14" t="n"/>
      <c r="AC152" s="17">
        <f>IFERROR(VLOOKUP($H152&amp;"|"&amp;$Q152,Tariff_Master!$A$2:$L$169,3,FALSE),"")</f>
        <v/>
      </c>
      <c r="AD152" s="17">
        <f>IFERROR(VLOOKUP($H152&amp;"|"&amp;$Q152,Tariff_Master!$A$2:$L$169,4,FALSE),"")</f>
        <v/>
      </c>
      <c r="AE152" s="18">
        <f>IFERROR(VLOOKUP($H152&amp;"|"&amp;$Q152,Tariff_Master!$A$2:$L$169,6,FALSE),"")</f>
        <v/>
      </c>
      <c r="AF152" s="19">
        <f>IFERROR(VLOOKUP($H152&amp;"|"&amp;$Q152,Tariff_Master!$A$2:$L$169,7,FALSE),"")</f>
        <v/>
      </c>
      <c r="AG152" s="18">
        <f>IFERROR(VLOOKUP($H152&amp;"|"&amp;$Q152,Tariff_Master!$A$2:$L$169,8,FALSE),"")</f>
        <v/>
      </c>
      <c r="AH152" s="20">
        <f>IFERROR(VLOOKUP($H152&amp;"|"&amp;$Q152,Tariff_Master!$A$2:$L$169,9,FALSE),"")</f>
        <v/>
      </c>
      <c r="AI152" s="18">
        <f>IFERROR(VLOOKUP($H152&amp;"|"&amp;$Q152,Tariff_Master!$A$2:$L$169,10,FALSE),"")</f>
        <v/>
      </c>
      <c r="AJ152" s="21">
        <f>IF($M152="","",ROUNDUP(MAX(0,$M152),0))</f>
        <v/>
      </c>
      <c r="AK152" s="21">
        <f>IF(OR($AJ152="",$AF152=""),"",MAX(0,$AJ152-$AF152))</f>
        <v/>
      </c>
      <c r="AL152" s="22">
        <f>IF(OR($AK152="",$AG152=""),"",MAX(0,$AK152*$AG152))</f>
        <v/>
      </c>
      <c r="AM152" s="22">
        <f>IF($AE152="","",MAX(0,SUM($AE152,$AL152,$V152,$W152)))</f>
        <v/>
      </c>
      <c r="AN152" s="22">
        <f>IF($AM152="","",IF(AND($Q152="COMMITMENT",$R152&gt;=$AH152),$AI152,0))</f>
        <v/>
      </c>
      <c r="AO152" s="23">
        <f>IF($AM152="","",MAX(0,$AM152-$AN152))</f>
        <v/>
      </c>
      <c r="AP152" s="22">
        <f>IF($S152="","",IF(OR($S152="ITEM_PRICE_PLUS_DECLARED_DELIVERY",$S152="DELIVERY_CHARGE_ONLY"),$K152,IF($S152="TOTAL_AMOUNT_INCLUDING_DELIVERY",IF(OR($T152="",$J152=""),"",MAX(0,$T152-$J152-$U152)),IF($S152="ITEM_PRICE_ONLY_DELIVERY_PAID_BY_MERCHANT",0,""))))</f>
        <v/>
      </c>
      <c r="AQ152" s="23">
        <f>IF(OR($AP152="",$AO152=""),"",$AP152-$AO152)</f>
        <v/>
      </c>
      <c r="AR152" s="24">
        <f>IF($S152="EXACT_COLLECTION_AMOUNT","BREAKDOWN_REQUIRED",IF($AQ152="","",IF($AQ152&gt;0,"CREDIT_TO_MERCHANT",IF($AQ152&lt;0,"DEDUCT_FROM_MERCHANT","NO_ADJUSTMENT"))))</f>
        <v/>
      </c>
      <c r="AS152" s="23">
        <f>IF(OR($AQ152="",$AR152="BREAKDOWN_REQUIRED"),"",$AQ152)</f>
        <v/>
      </c>
      <c r="AT152" s="23">
        <f>IF(OR($AR152="",$AR152="BREAKDOWN_REQUIRED"),"",SUM($J152,$AQ152,$Y152)-$X152)</f>
        <v/>
      </c>
      <c r="AU152" s="25">
        <f>IF(AND($A152="",$B152="",$F152="",$H152="",$J152="",$K152="",$M152="",$S152=""),"",IF(OR($H152="",$Q152="",$M152="",$S152=""),"ERROR",IF(OR($J152&lt;0,$K152&lt;0,$M152&lt;0,$T152&lt;0,$U152&lt;0,$V152&lt;0,$W152&lt;0,$X152&lt;0,$Y152&lt;0),"ERROR",IF($AE152="","ERROR",IF(AND(OR($S152="ITEM_PRICE_PLUS_DECLARED_DELIVERY",$S152="TOTAL_AMOUNT_INCLUDING_DELIVERY",$S152="ITEM_PRICE_ONLY_DELIVERY_PAID_BY_MERCHANT"),$J152=""),"ERROR",IF(AND(OR($S152="ITEM_PRICE_PLUS_DECLARED_DELIVERY",$S152="DELIVERY_CHARGE_ONLY"),$K152=""),"ERROR",IF(AND(OR($S152="TOTAL_AMOUNT_INCLUDING_DELIVERY",$S152="EXACT_COLLECTION_AMOUNT"),$T152=""),"ERROR",IF(AND($S152="TOTAL_AMOUNT_INCLUDING_DELIVERY",$T152&lt;SUM($J152,$U152)),"ERROR",IF($S152="EXACT_COLLECTION_AMOUNT","REVIEW","OK")))))))))</f>
        <v/>
      </c>
      <c r="AV152" s="25">
        <f>IF($AU152="","",IF($H152="","Township required",IF($Q152="","Customer tier required",IF($M152="","Weight required",IF($S152="","Amount entry type required",IF(OR($J152&lt;0,$K152&lt;0,$M152&lt;0,$T152&lt;0,$U152&lt;0,$V152&lt;0,$W152&lt;0,$X152&lt;0,$Y152&lt;0),"Negative amounts are not allowed",IF($AE152="","Tariff not found for township and tier",IF(AND(OR($S152="ITEM_PRICE_PLUS_DECLARED_DELIVERY",$S152="TOTAL_AMOUNT_INCLUDING_DELIVERY",$S152="ITEM_PRICE_ONLY_DELIVERY_PAID_BY_MERCHANT"),$J152=""),"Item price required for this amount type",IF(AND(OR($S152="ITEM_PRICE_PLUS_DECLARED_DELIVERY",$S152="DELIVERY_CHARGE_ONLY"),$K152=""),"Declared delivery charge required",IF(AND(OR($S152="TOTAL_AMOUNT_INCLUDING_DELIVERY",$S152="EXACT_COLLECTION_AMOUNT"),$T152=""),"Stated total amount required",IF(AND($S152="TOTAL_AMOUNT_INCLUDING_DELIVERY",$T152&lt;SUM($J152,$U152)),"Stated total is below item price plus additional charge",IF($S152="EXACT_COLLECTION_AMOUNT","Authorized amount breakdown required before settlement","Ready for collection and settlement"))))))))))))</f>
        <v/>
      </c>
      <c r="AW152" s="23">
        <f>IF($AU152="","","PARCEL_FINANCIAL_V2")</f>
        <v/>
      </c>
      <c r="AX152" s="17" t="n"/>
    </row>
    <row r="153">
      <c r="A153" s="8" t="n"/>
      <c r="B153" s="8" t="n"/>
      <c r="C153" s="8" t="n"/>
      <c r="D153" s="8" t="n"/>
      <c r="E153" s="9" t="n"/>
      <c r="F153" s="9" t="n"/>
      <c r="G153" s="8" t="n"/>
      <c r="H153" s="9" t="n"/>
      <c r="I153" s="9" t="n"/>
      <c r="J153" s="10" t="n"/>
      <c r="K153" s="10" t="n"/>
      <c r="L153" s="11">
        <f>IF($S153="","",IF($S153="ITEM_PRICE_PLUS_DECLARED_DELIVERY",IF(OR($J153="",$K153=""),"",SUM($J153,$K153,$U153)),IF($S153="TOTAL_AMOUNT_INCLUDING_DELIVERY",IF($T153="","",$T153),IF($S153="DELIVERY_CHARGE_ONLY",IF($K153="","",SUM($K153,$U153)),IF($S153="EXACT_COLLECTION_AMOUNT",IF($T153="","",$T153),IF($S153="ITEM_PRICE_ONLY_DELIVERY_PAID_BY_MERCHANT",IF($J153="","",SUM($J153,$U153)),""))))))</f>
        <v/>
      </c>
      <c r="M153" s="12" t="n"/>
      <c r="N153" s="13" t="n"/>
      <c r="O153" s="13" t="n"/>
      <c r="P153" s="9" t="n"/>
      <c r="Q153" s="14" t="n"/>
      <c r="R153" s="15" t="n"/>
      <c r="S153" s="14" t="n"/>
      <c r="T153" s="16" t="n"/>
      <c r="U153" s="16" t="n"/>
      <c r="V153" s="16" t="n"/>
      <c r="W153" s="16" t="n"/>
      <c r="X153" s="16" t="n"/>
      <c r="Y153" s="16" t="n"/>
      <c r="Z153" s="14" t="n"/>
      <c r="AA153" s="14" t="n"/>
      <c r="AB153" s="14" t="n"/>
      <c r="AC153" s="17">
        <f>IFERROR(VLOOKUP($H153&amp;"|"&amp;$Q153,Tariff_Master!$A$2:$L$169,3,FALSE),"")</f>
        <v/>
      </c>
      <c r="AD153" s="17">
        <f>IFERROR(VLOOKUP($H153&amp;"|"&amp;$Q153,Tariff_Master!$A$2:$L$169,4,FALSE),"")</f>
        <v/>
      </c>
      <c r="AE153" s="18">
        <f>IFERROR(VLOOKUP($H153&amp;"|"&amp;$Q153,Tariff_Master!$A$2:$L$169,6,FALSE),"")</f>
        <v/>
      </c>
      <c r="AF153" s="19">
        <f>IFERROR(VLOOKUP($H153&amp;"|"&amp;$Q153,Tariff_Master!$A$2:$L$169,7,FALSE),"")</f>
        <v/>
      </c>
      <c r="AG153" s="18">
        <f>IFERROR(VLOOKUP($H153&amp;"|"&amp;$Q153,Tariff_Master!$A$2:$L$169,8,FALSE),"")</f>
        <v/>
      </c>
      <c r="AH153" s="20">
        <f>IFERROR(VLOOKUP($H153&amp;"|"&amp;$Q153,Tariff_Master!$A$2:$L$169,9,FALSE),"")</f>
        <v/>
      </c>
      <c r="AI153" s="18">
        <f>IFERROR(VLOOKUP($H153&amp;"|"&amp;$Q153,Tariff_Master!$A$2:$L$169,10,FALSE),"")</f>
        <v/>
      </c>
      <c r="AJ153" s="21">
        <f>IF($M153="","",ROUNDUP(MAX(0,$M153),0))</f>
        <v/>
      </c>
      <c r="AK153" s="21">
        <f>IF(OR($AJ153="",$AF153=""),"",MAX(0,$AJ153-$AF153))</f>
        <v/>
      </c>
      <c r="AL153" s="22">
        <f>IF(OR($AK153="",$AG153=""),"",MAX(0,$AK153*$AG153))</f>
        <v/>
      </c>
      <c r="AM153" s="22">
        <f>IF($AE153="","",MAX(0,SUM($AE153,$AL153,$V153,$W153)))</f>
        <v/>
      </c>
      <c r="AN153" s="22">
        <f>IF($AM153="","",IF(AND($Q153="COMMITMENT",$R153&gt;=$AH153),$AI153,0))</f>
        <v/>
      </c>
      <c r="AO153" s="23">
        <f>IF($AM153="","",MAX(0,$AM153-$AN153))</f>
        <v/>
      </c>
      <c r="AP153" s="22">
        <f>IF($S153="","",IF(OR($S153="ITEM_PRICE_PLUS_DECLARED_DELIVERY",$S153="DELIVERY_CHARGE_ONLY"),$K153,IF($S153="TOTAL_AMOUNT_INCLUDING_DELIVERY",IF(OR($T153="",$J153=""),"",MAX(0,$T153-$J153-$U153)),IF($S153="ITEM_PRICE_ONLY_DELIVERY_PAID_BY_MERCHANT",0,""))))</f>
        <v/>
      </c>
      <c r="AQ153" s="23">
        <f>IF(OR($AP153="",$AO153=""),"",$AP153-$AO153)</f>
        <v/>
      </c>
      <c r="AR153" s="24">
        <f>IF($S153="EXACT_COLLECTION_AMOUNT","BREAKDOWN_REQUIRED",IF($AQ153="","",IF($AQ153&gt;0,"CREDIT_TO_MERCHANT",IF($AQ153&lt;0,"DEDUCT_FROM_MERCHANT","NO_ADJUSTMENT"))))</f>
        <v/>
      </c>
      <c r="AS153" s="23">
        <f>IF(OR($AQ153="",$AR153="BREAKDOWN_REQUIRED"),"",$AQ153)</f>
        <v/>
      </c>
      <c r="AT153" s="23">
        <f>IF(OR($AR153="",$AR153="BREAKDOWN_REQUIRED"),"",SUM($J153,$AQ153,$Y153)-$X153)</f>
        <v/>
      </c>
      <c r="AU153" s="25">
        <f>IF(AND($A153="",$B153="",$F153="",$H153="",$J153="",$K153="",$M153="",$S153=""),"",IF(OR($H153="",$Q153="",$M153="",$S153=""),"ERROR",IF(OR($J153&lt;0,$K153&lt;0,$M153&lt;0,$T153&lt;0,$U153&lt;0,$V153&lt;0,$W153&lt;0,$X153&lt;0,$Y153&lt;0),"ERROR",IF($AE153="","ERROR",IF(AND(OR($S153="ITEM_PRICE_PLUS_DECLARED_DELIVERY",$S153="TOTAL_AMOUNT_INCLUDING_DELIVERY",$S153="ITEM_PRICE_ONLY_DELIVERY_PAID_BY_MERCHANT"),$J153=""),"ERROR",IF(AND(OR($S153="ITEM_PRICE_PLUS_DECLARED_DELIVERY",$S153="DELIVERY_CHARGE_ONLY"),$K153=""),"ERROR",IF(AND(OR($S153="TOTAL_AMOUNT_INCLUDING_DELIVERY",$S153="EXACT_COLLECTION_AMOUNT"),$T153=""),"ERROR",IF(AND($S153="TOTAL_AMOUNT_INCLUDING_DELIVERY",$T153&lt;SUM($J153,$U153)),"ERROR",IF($S153="EXACT_COLLECTION_AMOUNT","REVIEW","OK")))))))))</f>
        <v/>
      </c>
      <c r="AV153" s="25">
        <f>IF($AU153="","",IF($H153="","Township required",IF($Q153="","Customer tier required",IF($M153="","Weight required",IF($S153="","Amount entry type required",IF(OR($J153&lt;0,$K153&lt;0,$M153&lt;0,$T153&lt;0,$U153&lt;0,$V153&lt;0,$W153&lt;0,$X153&lt;0,$Y153&lt;0),"Negative amounts are not allowed",IF($AE153="","Tariff not found for township and tier",IF(AND(OR($S153="ITEM_PRICE_PLUS_DECLARED_DELIVERY",$S153="TOTAL_AMOUNT_INCLUDING_DELIVERY",$S153="ITEM_PRICE_ONLY_DELIVERY_PAID_BY_MERCHANT"),$J153=""),"Item price required for this amount type",IF(AND(OR($S153="ITEM_PRICE_PLUS_DECLARED_DELIVERY",$S153="DELIVERY_CHARGE_ONLY"),$K153=""),"Declared delivery charge required",IF(AND(OR($S153="TOTAL_AMOUNT_INCLUDING_DELIVERY",$S153="EXACT_COLLECTION_AMOUNT"),$T153=""),"Stated total amount required",IF(AND($S153="TOTAL_AMOUNT_INCLUDING_DELIVERY",$T153&lt;SUM($J153,$U153)),"Stated total is below item price plus additional charge",IF($S153="EXACT_COLLECTION_AMOUNT","Authorized amount breakdown required before settlement","Ready for collection and settlement"))))))))))))</f>
        <v/>
      </c>
      <c r="AW153" s="23">
        <f>IF($AU153="","","PARCEL_FINANCIAL_V2")</f>
        <v/>
      </c>
      <c r="AX153" s="17" t="n"/>
    </row>
    <row r="154">
      <c r="A154" s="8" t="n"/>
      <c r="B154" s="8" t="n"/>
      <c r="C154" s="8" t="n"/>
      <c r="D154" s="8" t="n"/>
      <c r="E154" s="9" t="n"/>
      <c r="F154" s="9" t="n"/>
      <c r="G154" s="8" t="n"/>
      <c r="H154" s="9" t="n"/>
      <c r="I154" s="9" t="n"/>
      <c r="J154" s="10" t="n"/>
      <c r="K154" s="10" t="n"/>
      <c r="L154" s="11">
        <f>IF($S154="","",IF($S154="ITEM_PRICE_PLUS_DECLARED_DELIVERY",IF(OR($J154="",$K154=""),"",SUM($J154,$K154,$U154)),IF($S154="TOTAL_AMOUNT_INCLUDING_DELIVERY",IF($T154="","",$T154),IF($S154="DELIVERY_CHARGE_ONLY",IF($K154="","",SUM($K154,$U154)),IF($S154="EXACT_COLLECTION_AMOUNT",IF($T154="","",$T154),IF($S154="ITEM_PRICE_ONLY_DELIVERY_PAID_BY_MERCHANT",IF($J154="","",SUM($J154,$U154)),""))))))</f>
        <v/>
      </c>
      <c r="M154" s="12" t="n"/>
      <c r="N154" s="13" t="n"/>
      <c r="O154" s="13" t="n"/>
      <c r="P154" s="9" t="n"/>
      <c r="Q154" s="14" t="n"/>
      <c r="R154" s="15" t="n"/>
      <c r="S154" s="14" t="n"/>
      <c r="T154" s="16" t="n"/>
      <c r="U154" s="16" t="n"/>
      <c r="V154" s="16" t="n"/>
      <c r="W154" s="16" t="n"/>
      <c r="X154" s="16" t="n"/>
      <c r="Y154" s="16" t="n"/>
      <c r="Z154" s="14" t="n"/>
      <c r="AA154" s="14" t="n"/>
      <c r="AB154" s="14" t="n"/>
      <c r="AC154" s="17">
        <f>IFERROR(VLOOKUP($H154&amp;"|"&amp;$Q154,Tariff_Master!$A$2:$L$169,3,FALSE),"")</f>
        <v/>
      </c>
      <c r="AD154" s="17">
        <f>IFERROR(VLOOKUP($H154&amp;"|"&amp;$Q154,Tariff_Master!$A$2:$L$169,4,FALSE),"")</f>
        <v/>
      </c>
      <c r="AE154" s="18">
        <f>IFERROR(VLOOKUP($H154&amp;"|"&amp;$Q154,Tariff_Master!$A$2:$L$169,6,FALSE),"")</f>
        <v/>
      </c>
      <c r="AF154" s="19">
        <f>IFERROR(VLOOKUP($H154&amp;"|"&amp;$Q154,Tariff_Master!$A$2:$L$169,7,FALSE),"")</f>
        <v/>
      </c>
      <c r="AG154" s="18">
        <f>IFERROR(VLOOKUP($H154&amp;"|"&amp;$Q154,Tariff_Master!$A$2:$L$169,8,FALSE),"")</f>
        <v/>
      </c>
      <c r="AH154" s="20">
        <f>IFERROR(VLOOKUP($H154&amp;"|"&amp;$Q154,Tariff_Master!$A$2:$L$169,9,FALSE),"")</f>
        <v/>
      </c>
      <c r="AI154" s="18">
        <f>IFERROR(VLOOKUP($H154&amp;"|"&amp;$Q154,Tariff_Master!$A$2:$L$169,10,FALSE),"")</f>
        <v/>
      </c>
      <c r="AJ154" s="21">
        <f>IF($M154="","",ROUNDUP(MAX(0,$M154),0))</f>
        <v/>
      </c>
      <c r="AK154" s="21">
        <f>IF(OR($AJ154="",$AF154=""),"",MAX(0,$AJ154-$AF154))</f>
        <v/>
      </c>
      <c r="AL154" s="22">
        <f>IF(OR($AK154="",$AG154=""),"",MAX(0,$AK154*$AG154))</f>
        <v/>
      </c>
      <c r="AM154" s="22">
        <f>IF($AE154="","",MAX(0,SUM($AE154,$AL154,$V154,$W154)))</f>
        <v/>
      </c>
      <c r="AN154" s="22">
        <f>IF($AM154="","",IF(AND($Q154="COMMITMENT",$R154&gt;=$AH154),$AI154,0))</f>
        <v/>
      </c>
      <c r="AO154" s="23">
        <f>IF($AM154="","",MAX(0,$AM154-$AN154))</f>
        <v/>
      </c>
      <c r="AP154" s="22">
        <f>IF($S154="","",IF(OR($S154="ITEM_PRICE_PLUS_DECLARED_DELIVERY",$S154="DELIVERY_CHARGE_ONLY"),$K154,IF($S154="TOTAL_AMOUNT_INCLUDING_DELIVERY",IF(OR($T154="",$J154=""),"",MAX(0,$T154-$J154-$U154)),IF($S154="ITEM_PRICE_ONLY_DELIVERY_PAID_BY_MERCHANT",0,""))))</f>
        <v/>
      </c>
      <c r="AQ154" s="23">
        <f>IF(OR($AP154="",$AO154=""),"",$AP154-$AO154)</f>
        <v/>
      </c>
      <c r="AR154" s="24">
        <f>IF($S154="EXACT_COLLECTION_AMOUNT","BREAKDOWN_REQUIRED",IF($AQ154="","",IF($AQ154&gt;0,"CREDIT_TO_MERCHANT",IF($AQ154&lt;0,"DEDUCT_FROM_MERCHANT","NO_ADJUSTMENT"))))</f>
        <v/>
      </c>
      <c r="AS154" s="23">
        <f>IF(OR($AQ154="",$AR154="BREAKDOWN_REQUIRED"),"",$AQ154)</f>
        <v/>
      </c>
      <c r="AT154" s="23">
        <f>IF(OR($AR154="",$AR154="BREAKDOWN_REQUIRED"),"",SUM($J154,$AQ154,$Y154)-$X154)</f>
        <v/>
      </c>
      <c r="AU154" s="25">
        <f>IF(AND($A154="",$B154="",$F154="",$H154="",$J154="",$K154="",$M154="",$S154=""),"",IF(OR($H154="",$Q154="",$M154="",$S154=""),"ERROR",IF(OR($J154&lt;0,$K154&lt;0,$M154&lt;0,$T154&lt;0,$U154&lt;0,$V154&lt;0,$W154&lt;0,$X154&lt;0,$Y154&lt;0),"ERROR",IF($AE154="","ERROR",IF(AND(OR($S154="ITEM_PRICE_PLUS_DECLARED_DELIVERY",$S154="TOTAL_AMOUNT_INCLUDING_DELIVERY",$S154="ITEM_PRICE_ONLY_DELIVERY_PAID_BY_MERCHANT"),$J154=""),"ERROR",IF(AND(OR($S154="ITEM_PRICE_PLUS_DECLARED_DELIVERY",$S154="DELIVERY_CHARGE_ONLY"),$K154=""),"ERROR",IF(AND(OR($S154="TOTAL_AMOUNT_INCLUDING_DELIVERY",$S154="EXACT_COLLECTION_AMOUNT"),$T154=""),"ERROR",IF(AND($S154="TOTAL_AMOUNT_INCLUDING_DELIVERY",$T154&lt;SUM($J154,$U154)),"ERROR",IF($S154="EXACT_COLLECTION_AMOUNT","REVIEW","OK")))))))))</f>
        <v/>
      </c>
      <c r="AV154" s="25">
        <f>IF($AU154="","",IF($H154="","Township required",IF($Q154="","Customer tier required",IF($M154="","Weight required",IF($S154="","Amount entry type required",IF(OR($J154&lt;0,$K154&lt;0,$M154&lt;0,$T154&lt;0,$U154&lt;0,$V154&lt;0,$W154&lt;0,$X154&lt;0,$Y154&lt;0),"Negative amounts are not allowed",IF($AE154="","Tariff not found for township and tier",IF(AND(OR($S154="ITEM_PRICE_PLUS_DECLARED_DELIVERY",$S154="TOTAL_AMOUNT_INCLUDING_DELIVERY",$S154="ITEM_PRICE_ONLY_DELIVERY_PAID_BY_MERCHANT"),$J154=""),"Item price required for this amount type",IF(AND(OR($S154="ITEM_PRICE_PLUS_DECLARED_DELIVERY",$S154="DELIVERY_CHARGE_ONLY"),$K154=""),"Declared delivery charge required",IF(AND(OR($S154="TOTAL_AMOUNT_INCLUDING_DELIVERY",$S154="EXACT_COLLECTION_AMOUNT"),$T154=""),"Stated total amount required",IF(AND($S154="TOTAL_AMOUNT_INCLUDING_DELIVERY",$T154&lt;SUM($J154,$U154)),"Stated total is below item price plus additional charge",IF($S154="EXACT_COLLECTION_AMOUNT","Authorized amount breakdown required before settlement","Ready for collection and settlement"))))))))))))</f>
        <v/>
      </c>
      <c r="AW154" s="23">
        <f>IF($AU154="","","PARCEL_FINANCIAL_V2")</f>
        <v/>
      </c>
      <c r="AX154" s="17" t="n"/>
    </row>
    <row r="155">
      <c r="A155" s="8" t="n"/>
      <c r="B155" s="8" t="n"/>
      <c r="C155" s="8" t="n"/>
      <c r="D155" s="8" t="n"/>
      <c r="E155" s="9" t="n"/>
      <c r="F155" s="9" t="n"/>
      <c r="G155" s="8" t="n"/>
      <c r="H155" s="9" t="n"/>
      <c r="I155" s="9" t="n"/>
      <c r="J155" s="10" t="n"/>
      <c r="K155" s="10" t="n"/>
      <c r="L155" s="11">
        <f>IF($S155="","",IF($S155="ITEM_PRICE_PLUS_DECLARED_DELIVERY",IF(OR($J155="",$K155=""),"",SUM($J155,$K155,$U155)),IF($S155="TOTAL_AMOUNT_INCLUDING_DELIVERY",IF($T155="","",$T155),IF($S155="DELIVERY_CHARGE_ONLY",IF($K155="","",SUM($K155,$U155)),IF($S155="EXACT_COLLECTION_AMOUNT",IF($T155="","",$T155),IF($S155="ITEM_PRICE_ONLY_DELIVERY_PAID_BY_MERCHANT",IF($J155="","",SUM($J155,$U155)),""))))))</f>
        <v/>
      </c>
      <c r="M155" s="12" t="n"/>
      <c r="N155" s="13" t="n"/>
      <c r="O155" s="13" t="n"/>
      <c r="P155" s="9" t="n"/>
      <c r="Q155" s="14" t="n"/>
      <c r="R155" s="15" t="n"/>
      <c r="S155" s="14" t="n"/>
      <c r="T155" s="16" t="n"/>
      <c r="U155" s="16" t="n"/>
      <c r="V155" s="16" t="n"/>
      <c r="W155" s="16" t="n"/>
      <c r="X155" s="16" t="n"/>
      <c r="Y155" s="16" t="n"/>
      <c r="Z155" s="14" t="n"/>
      <c r="AA155" s="14" t="n"/>
      <c r="AB155" s="14" t="n"/>
      <c r="AC155" s="17">
        <f>IFERROR(VLOOKUP($H155&amp;"|"&amp;$Q155,Tariff_Master!$A$2:$L$169,3,FALSE),"")</f>
        <v/>
      </c>
      <c r="AD155" s="17">
        <f>IFERROR(VLOOKUP($H155&amp;"|"&amp;$Q155,Tariff_Master!$A$2:$L$169,4,FALSE),"")</f>
        <v/>
      </c>
      <c r="AE155" s="18">
        <f>IFERROR(VLOOKUP($H155&amp;"|"&amp;$Q155,Tariff_Master!$A$2:$L$169,6,FALSE),"")</f>
        <v/>
      </c>
      <c r="AF155" s="19">
        <f>IFERROR(VLOOKUP($H155&amp;"|"&amp;$Q155,Tariff_Master!$A$2:$L$169,7,FALSE),"")</f>
        <v/>
      </c>
      <c r="AG155" s="18">
        <f>IFERROR(VLOOKUP($H155&amp;"|"&amp;$Q155,Tariff_Master!$A$2:$L$169,8,FALSE),"")</f>
        <v/>
      </c>
      <c r="AH155" s="20">
        <f>IFERROR(VLOOKUP($H155&amp;"|"&amp;$Q155,Tariff_Master!$A$2:$L$169,9,FALSE),"")</f>
        <v/>
      </c>
      <c r="AI155" s="18">
        <f>IFERROR(VLOOKUP($H155&amp;"|"&amp;$Q155,Tariff_Master!$A$2:$L$169,10,FALSE),"")</f>
        <v/>
      </c>
      <c r="AJ155" s="21">
        <f>IF($M155="","",ROUNDUP(MAX(0,$M155),0))</f>
        <v/>
      </c>
      <c r="AK155" s="21">
        <f>IF(OR($AJ155="",$AF155=""),"",MAX(0,$AJ155-$AF155))</f>
        <v/>
      </c>
      <c r="AL155" s="22">
        <f>IF(OR($AK155="",$AG155=""),"",MAX(0,$AK155*$AG155))</f>
        <v/>
      </c>
      <c r="AM155" s="22">
        <f>IF($AE155="","",MAX(0,SUM($AE155,$AL155,$V155,$W155)))</f>
        <v/>
      </c>
      <c r="AN155" s="22">
        <f>IF($AM155="","",IF(AND($Q155="COMMITMENT",$R155&gt;=$AH155),$AI155,0))</f>
        <v/>
      </c>
      <c r="AO155" s="23">
        <f>IF($AM155="","",MAX(0,$AM155-$AN155))</f>
        <v/>
      </c>
      <c r="AP155" s="22">
        <f>IF($S155="","",IF(OR($S155="ITEM_PRICE_PLUS_DECLARED_DELIVERY",$S155="DELIVERY_CHARGE_ONLY"),$K155,IF($S155="TOTAL_AMOUNT_INCLUDING_DELIVERY",IF(OR($T155="",$J155=""),"",MAX(0,$T155-$J155-$U155)),IF($S155="ITEM_PRICE_ONLY_DELIVERY_PAID_BY_MERCHANT",0,""))))</f>
        <v/>
      </c>
      <c r="AQ155" s="23">
        <f>IF(OR($AP155="",$AO155=""),"",$AP155-$AO155)</f>
        <v/>
      </c>
      <c r="AR155" s="24">
        <f>IF($S155="EXACT_COLLECTION_AMOUNT","BREAKDOWN_REQUIRED",IF($AQ155="","",IF($AQ155&gt;0,"CREDIT_TO_MERCHANT",IF($AQ155&lt;0,"DEDUCT_FROM_MERCHANT","NO_ADJUSTMENT"))))</f>
        <v/>
      </c>
      <c r="AS155" s="23">
        <f>IF(OR($AQ155="",$AR155="BREAKDOWN_REQUIRED"),"",$AQ155)</f>
        <v/>
      </c>
      <c r="AT155" s="23">
        <f>IF(OR($AR155="",$AR155="BREAKDOWN_REQUIRED"),"",SUM($J155,$AQ155,$Y155)-$X155)</f>
        <v/>
      </c>
      <c r="AU155" s="25">
        <f>IF(AND($A155="",$B155="",$F155="",$H155="",$J155="",$K155="",$M155="",$S155=""),"",IF(OR($H155="",$Q155="",$M155="",$S155=""),"ERROR",IF(OR($J155&lt;0,$K155&lt;0,$M155&lt;0,$T155&lt;0,$U155&lt;0,$V155&lt;0,$W155&lt;0,$X155&lt;0,$Y155&lt;0),"ERROR",IF($AE155="","ERROR",IF(AND(OR($S155="ITEM_PRICE_PLUS_DECLARED_DELIVERY",$S155="TOTAL_AMOUNT_INCLUDING_DELIVERY",$S155="ITEM_PRICE_ONLY_DELIVERY_PAID_BY_MERCHANT"),$J155=""),"ERROR",IF(AND(OR($S155="ITEM_PRICE_PLUS_DECLARED_DELIVERY",$S155="DELIVERY_CHARGE_ONLY"),$K155=""),"ERROR",IF(AND(OR($S155="TOTAL_AMOUNT_INCLUDING_DELIVERY",$S155="EXACT_COLLECTION_AMOUNT"),$T155=""),"ERROR",IF(AND($S155="TOTAL_AMOUNT_INCLUDING_DELIVERY",$T155&lt;SUM($J155,$U155)),"ERROR",IF($S155="EXACT_COLLECTION_AMOUNT","REVIEW","OK")))))))))</f>
        <v/>
      </c>
      <c r="AV155" s="25">
        <f>IF($AU155="","",IF($H155="","Township required",IF($Q155="","Customer tier required",IF($M155="","Weight required",IF($S155="","Amount entry type required",IF(OR($J155&lt;0,$K155&lt;0,$M155&lt;0,$T155&lt;0,$U155&lt;0,$V155&lt;0,$W155&lt;0,$X155&lt;0,$Y155&lt;0),"Negative amounts are not allowed",IF($AE155="","Tariff not found for township and tier",IF(AND(OR($S155="ITEM_PRICE_PLUS_DECLARED_DELIVERY",$S155="TOTAL_AMOUNT_INCLUDING_DELIVERY",$S155="ITEM_PRICE_ONLY_DELIVERY_PAID_BY_MERCHANT"),$J155=""),"Item price required for this amount type",IF(AND(OR($S155="ITEM_PRICE_PLUS_DECLARED_DELIVERY",$S155="DELIVERY_CHARGE_ONLY"),$K155=""),"Declared delivery charge required",IF(AND(OR($S155="TOTAL_AMOUNT_INCLUDING_DELIVERY",$S155="EXACT_COLLECTION_AMOUNT"),$T155=""),"Stated total amount required",IF(AND($S155="TOTAL_AMOUNT_INCLUDING_DELIVERY",$T155&lt;SUM($J155,$U155)),"Stated total is below item price plus additional charge",IF($S155="EXACT_COLLECTION_AMOUNT","Authorized amount breakdown required before settlement","Ready for collection and settlement"))))))))))))</f>
        <v/>
      </c>
      <c r="AW155" s="23">
        <f>IF($AU155="","","PARCEL_FINANCIAL_V2")</f>
        <v/>
      </c>
      <c r="AX155" s="17" t="n"/>
    </row>
    <row r="156">
      <c r="A156" s="8" t="n"/>
      <c r="B156" s="8" t="n"/>
      <c r="C156" s="8" t="n"/>
      <c r="D156" s="8" t="n"/>
      <c r="E156" s="9" t="n"/>
      <c r="F156" s="9" t="n"/>
      <c r="G156" s="8" t="n"/>
      <c r="H156" s="9" t="n"/>
      <c r="I156" s="9" t="n"/>
      <c r="J156" s="10" t="n"/>
      <c r="K156" s="10" t="n"/>
      <c r="L156" s="11">
        <f>IF($S156="","",IF($S156="ITEM_PRICE_PLUS_DECLARED_DELIVERY",IF(OR($J156="",$K156=""),"",SUM($J156,$K156,$U156)),IF($S156="TOTAL_AMOUNT_INCLUDING_DELIVERY",IF($T156="","",$T156),IF($S156="DELIVERY_CHARGE_ONLY",IF($K156="","",SUM($K156,$U156)),IF($S156="EXACT_COLLECTION_AMOUNT",IF($T156="","",$T156),IF($S156="ITEM_PRICE_ONLY_DELIVERY_PAID_BY_MERCHANT",IF($J156="","",SUM($J156,$U156)),""))))))</f>
        <v/>
      </c>
      <c r="M156" s="12" t="n"/>
      <c r="N156" s="13" t="n"/>
      <c r="O156" s="13" t="n"/>
      <c r="P156" s="9" t="n"/>
      <c r="Q156" s="14" t="n"/>
      <c r="R156" s="15" t="n"/>
      <c r="S156" s="14" t="n"/>
      <c r="T156" s="16" t="n"/>
      <c r="U156" s="16" t="n"/>
      <c r="V156" s="16" t="n"/>
      <c r="W156" s="16" t="n"/>
      <c r="X156" s="16" t="n"/>
      <c r="Y156" s="16" t="n"/>
      <c r="Z156" s="14" t="n"/>
      <c r="AA156" s="14" t="n"/>
      <c r="AB156" s="14" t="n"/>
      <c r="AC156" s="17">
        <f>IFERROR(VLOOKUP($H156&amp;"|"&amp;$Q156,Tariff_Master!$A$2:$L$169,3,FALSE),"")</f>
        <v/>
      </c>
      <c r="AD156" s="17">
        <f>IFERROR(VLOOKUP($H156&amp;"|"&amp;$Q156,Tariff_Master!$A$2:$L$169,4,FALSE),"")</f>
        <v/>
      </c>
      <c r="AE156" s="18">
        <f>IFERROR(VLOOKUP($H156&amp;"|"&amp;$Q156,Tariff_Master!$A$2:$L$169,6,FALSE),"")</f>
        <v/>
      </c>
      <c r="AF156" s="19">
        <f>IFERROR(VLOOKUP($H156&amp;"|"&amp;$Q156,Tariff_Master!$A$2:$L$169,7,FALSE),"")</f>
        <v/>
      </c>
      <c r="AG156" s="18">
        <f>IFERROR(VLOOKUP($H156&amp;"|"&amp;$Q156,Tariff_Master!$A$2:$L$169,8,FALSE),"")</f>
        <v/>
      </c>
      <c r="AH156" s="20">
        <f>IFERROR(VLOOKUP($H156&amp;"|"&amp;$Q156,Tariff_Master!$A$2:$L$169,9,FALSE),"")</f>
        <v/>
      </c>
      <c r="AI156" s="18">
        <f>IFERROR(VLOOKUP($H156&amp;"|"&amp;$Q156,Tariff_Master!$A$2:$L$169,10,FALSE),"")</f>
        <v/>
      </c>
      <c r="AJ156" s="21">
        <f>IF($M156="","",ROUNDUP(MAX(0,$M156),0))</f>
        <v/>
      </c>
      <c r="AK156" s="21">
        <f>IF(OR($AJ156="",$AF156=""),"",MAX(0,$AJ156-$AF156))</f>
        <v/>
      </c>
      <c r="AL156" s="22">
        <f>IF(OR($AK156="",$AG156=""),"",MAX(0,$AK156*$AG156))</f>
        <v/>
      </c>
      <c r="AM156" s="22">
        <f>IF($AE156="","",MAX(0,SUM($AE156,$AL156,$V156,$W156)))</f>
        <v/>
      </c>
      <c r="AN156" s="22">
        <f>IF($AM156="","",IF(AND($Q156="COMMITMENT",$R156&gt;=$AH156),$AI156,0))</f>
        <v/>
      </c>
      <c r="AO156" s="23">
        <f>IF($AM156="","",MAX(0,$AM156-$AN156))</f>
        <v/>
      </c>
      <c r="AP156" s="22">
        <f>IF($S156="","",IF(OR($S156="ITEM_PRICE_PLUS_DECLARED_DELIVERY",$S156="DELIVERY_CHARGE_ONLY"),$K156,IF($S156="TOTAL_AMOUNT_INCLUDING_DELIVERY",IF(OR($T156="",$J156=""),"",MAX(0,$T156-$J156-$U156)),IF($S156="ITEM_PRICE_ONLY_DELIVERY_PAID_BY_MERCHANT",0,""))))</f>
        <v/>
      </c>
      <c r="AQ156" s="23">
        <f>IF(OR($AP156="",$AO156=""),"",$AP156-$AO156)</f>
        <v/>
      </c>
      <c r="AR156" s="24">
        <f>IF($S156="EXACT_COLLECTION_AMOUNT","BREAKDOWN_REQUIRED",IF($AQ156="","",IF($AQ156&gt;0,"CREDIT_TO_MERCHANT",IF($AQ156&lt;0,"DEDUCT_FROM_MERCHANT","NO_ADJUSTMENT"))))</f>
        <v/>
      </c>
      <c r="AS156" s="23">
        <f>IF(OR($AQ156="",$AR156="BREAKDOWN_REQUIRED"),"",$AQ156)</f>
        <v/>
      </c>
      <c r="AT156" s="23">
        <f>IF(OR($AR156="",$AR156="BREAKDOWN_REQUIRED"),"",SUM($J156,$AQ156,$Y156)-$X156)</f>
        <v/>
      </c>
      <c r="AU156" s="25">
        <f>IF(AND($A156="",$B156="",$F156="",$H156="",$J156="",$K156="",$M156="",$S156=""),"",IF(OR($H156="",$Q156="",$M156="",$S156=""),"ERROR",IF(OR($J156&lt;0,$K156&lt;0,$M156&lt;0,$T156&lt;0,$U156&lt;0,$V156&lt;0,$W156&lt;0,$X156&lt;0,$Y156&lt;0),"ERROR",IF($AE156="","ERROR",IF(AND(OR($S156="ITEM_PRICE_PLUS_DECLARED_DELIVERY",$S156="TOTAL_AMOUNT_INCLUDING_DELIVERY",$S156="ITEM_PRICE_ONLY_DELIVERY_PAID_BY_MERCHANT"),$J156=""),"ERROR",IF(AND(OR($S156="ITEM_PRICE_PLUS_DECLARED_DELIVERY",$S156="DELIVERY_CHARGE_ONLY"),$K156=""),"ERROR",IF(AND(OR($S156="TOTAL_AMOUNT_INCLUDING_DELIVERY",$S156="EXACT_COLLECTION_AMOUNT"),$T156=""),"ERROR",IF(AND($S156="TOTAL_AMOUNT_INCLUDING_DELIVERY",$T156&lt;SUM($J156,$U156)),"ERROR",IF($S156="EXACT_COLLECTION_AMOUNT","REVIEW","OK")))))))))</f>
        <v/>
      </c>
      <c r="AV156" s="25">
        <f>IF($AU156="","",IF($H156="","Township required",IF($Q156="","Customer tier required",IF($M156="","Weight required",IF($S156="","Amount entry type required",IF(OR($J156&lt;0,$K156&lt;0,$M156&lt;0,$T156&lt;0,$U156&lt;0,$V156&lt;0,$W156&lt;0,$X156&lt;0,$Y156&lt;0),"Negative amounts are not allowed",IF($AE156="","Tariff not found for township and tier",IF(AND(OR($S156="ITEM_PRICE_PLUS_DECLARED_DELIVERY",$S156="TOTAL_AMOUNT_INCLUDING_DELIVERY",$S156="ITEM_PRICE_ONLY_DELIVERY_PAID_BY_MERCHANT"),$J156=""),"Item price required for this amount type",IF(AND(OR($S156="ITEM_PRICE_PLUS_DECLARED_DELIVERY",$S156="DELIVERY_CHARGE_ONLY"),$K156=""),"Declared delivery charge required",IF(AND(OR($S156="TOTAL_AMOUNT_INCLUDING_DELIVERY",$S156="EXACT_COLLECTION_AMOUNT"),$T156=""),"Stated total amount required",IF(AND($S156="TOTAL_AMOUNT_INCLUDING_DELIVERY",$T156&lt;SUM($J156,$U156)),"Stated total is below item price plus additional charge",IF($S156="EXACT_COLLECTION_AMOUNT","Authorized amount breakdown required before settlement","Ready for collection and settlement"))))))))))))</f>
        <v/>
      </c>
      <c r="AW156" s="23">
        <f>IF($AU156="","","PARCEL_FINANCIAL_V2")</f>
        <v/>
      </c>
      <c r="AX156" s="17" t="n"/>
    </row>
    <row r="157">
      <c r="A157" s="8" t="n"/>
      <c r="B157" s="8" t="n"/>
      <c r="C157" s="8" t="n"/>
      <c r="D157" s="8" t="n"/>
      <c r="E157" s="9" t="n"/>
      <c r="F157" s="9" t="n"/>
      <c r="G157" s="8" t="n"/>
      <c r="H157" s="9" t="n"/>
      <c r="I157" s="9" t="n"/>
      <c r="J157" s="10" t="n"/>
      <c r="K157" s="10" t="n"/>
      <c r="L157" s="11">
        <f>IF($S157="","",IF($S157="ITEM_PRICE_PLUS_DECLARED_DELIVERY",IF(OR($J157="",$K157=""),"",SUM($J157,$K157,$U157)),IF($S157="TOTAL_AMOUNT_INCLUDING_DELIVERY",IF($T157="","",$T157),IF($S157="DELIVERY_CHARGE_ONLY",IF($K157="","",SUM($K157,$U157)),IF($S157="EXACT_COLLECTION_AMOUNT",IF($T157="","",$T157),IF($S157="ITEM_PRICE_ONLY_DELIVERY_PAID_BY_MERCHANT",IF($J157="","",SUM($J157,$U157)),""))))))</f>
        <v/>
      </c>
      <c r="M157" s="12" t="n"/>
      <c r="N157" s="13" t="n"/>
      <c r="O157" s="13" t="n"/>
      <c r="P157" s="9" t="n"/>
      <c r="Q157" s="14" t="n"/>
      <c r="R157" s="15" t="n"/>
      <c r="S157" s="14" t="n"/>
      <c r="T157" s="16" t="n"/>
      <c r="U157" s="16" t="n"/>
      <c r="V157" s="16" t="n"/>
      <c r="W157" s="16" t="n"/>
      <c r="X157" s="16" t="n"/>
      <c r="Y157" s="16" t="n"/>
      <c r="Z157" s="14" t="n"/>
      <c r="AA157" s="14" t="n"/>
      <c r="AB157" s="14" t="n"/>
      <c r="AC157" s="17">
        <f>IFERROR(VLOOKUP($H157&amp;"|"&amp;$Q157,Tariff_Master!$A$2:$L$169,3,FALSE),"")</f>
        <v/>
      </c>
      <c r="AD157" s="17">
        <f>IFERROR(VLOOKUP($H157&amp;"|"&amp;$Q157,Tariff_Master!$A$2:$L$169,4,FALSE),"")</f>
        <v/>
      </c>
      <c r="AE157" s="18">
        <f>IFERROR(VLOOKUP($H157&amp;"|"&amp;$Q157,Tariff_Master!$A$2:$L$169,6,FALSE),"")</f>
        <v/>
      </c>
      <c r="AF157" s="19">
        <f>IFERROR(VLOOKUP($H157&amp;"|"&amp;$Q157,Tariff_Master!$A$2:$L$169,7,FALSE),"")</f>
        <v/>
      </c>
      <c r="AG157" s="18">
        <f>IFERROR(VLOOKUP($H157&amp;"|"&amp;$Q157,Tariff_Master!$A$2:$L$169,8,FALSE),"")</f>
        <v/>
      </c>
      <c r="AH157" s="20">
        <f>IFERROR(VLOOKUP($H157&amp;"|"&amp;$Q157,Tariff_Master!$A$2:$L$169,9,FALSE),"")</f>
        <v/>
      </c>
      <c r="AI157" s="18">
        <f>IFERROR(VLOOKUP($H157&amp;"|"&amp;$Q157,Tariff_Master!$A$2:$L$169,10,FALSE),"")</f>
        <v/>
      </c>
      <c r="AJ157" s="21">
        <f>IF($M157="","",ROUNDUP(MAX(0,$M157),0))</f>
        <v/>
      </c>
      <c r="AK157" s="21">
        <f>IF(OR($AJ157="",$AF157=""),"",MAX(0,$AJ157-$AF157))</f>
        <v/>
      </c>
      <c r="AL157" s="22">
        <f>IF(OR($AK157="",$AG157=""),"",MAX(0,$AK157*$AG157))</f>
        <v/>
      </c>
      <c r="AM157" s="22">
        <f>IF($AE157="","",MAX(0,SUM($AE157,$AL157,$V157,$W157)))</f>
        <v/>
      </c>
      <c r="AN157" s="22">
        <f>IF($AM157="","",IF(AND($Q157="COMMITMENT",$R157&gt;=$AH157),$AI157,0))</f>
        <v/>
      </c>
      <c r="AO157" s="23">
        <f>IF($AM157="","",MAX(0,$AM157-$AN157))</f>
        <v/>
      </c>
      <c r="AP157" s="22">
        <f>IF($S157="","",IF(OR($S157="ITEM_PRICE_PLUS_DECLARED_DELIVERY",$S157="DELIVERY_CHARGE_ONLY"),$K157,IF($S157="TOTAL_AMOUNT_INCLUDING_DELIVERY",IF(OR($T157="",$J157=""),"",MAX(0,$T157-$J157-$U157)),IF($S157="ITEM_PRICE_ONLY_DELIVERY_PAID_BY_MERCHANT",0,""))))</f>
        <v/>
      </c>
      <c r="AQ157" s="23">
        <f>IF(OR($AP157="",$AO157=""),"",$AP157-$AO157)</f>
        <v/>
      </c>
      <c r="AR157" s="24">
        <f>IF($S157="EXACT_COLLECTION_AMOUNT","BREAKDOWN_REQUIRED",IF($AQ157="","",IF($AQ157&gt;0,"CREDIT_TO_MERCHANT",IF($AQ157&lt;0,"DEDUCT_FROM_MERCHANT","NO_ADJUSTMENT"))))</f>
        <v/>
      </c>
      <c r="AS157" s="23">
        <f>IF(OR($AQ157="",$AR157="BREAKDOWN_REQUIRED"),"",$AQ157)</f>
        <v/>
      </c>
      <c r="AT157" s="23">
        <f>IF(OR($AR157="",$AR157="BREAKDOWN_REQUIRED"),"",SUM($J157,$AQ157,$Y157)-$X157)</f>
        <v/>
      </c>
      <c r="AU157" s="25">
        <f>IF(AND($A157="",$B157="",$F157="",$H157="",$J157="",$K157="",$M157="",$S157=""),"",IF(OR($H157="",$Q157="",$M157="",$S157=""),"ERROR",IF(OR($J157&lt;0,$K157&lt;0,$M157&lt;0,$T157&lt;0,$U157&lt;0,$V157&lt;0,$W157&lt;0,$X157&lt;0,$Y157&lt;0),"ERROR",IF($AE157="","ERROR",IF(AND(OR($S157="ITEM_PRICE_PLUS_DECLARED_DELIVERY",$S157="TOTAL_AMOUNT_INCLUDING_DELIVERY",$S157="ITEM_PRICE_ONLY_DELIVERY_PAID_BY_MERCHANT"),$J157=""),"ERROR",IF(AND(OR($S157="ITEM_PRICE_PLUS_DECLARED_DELIVERY",$S157="DELIVERY_CHARGE_ONLY"),$K157=""),"ERROR",IF(AND(OR($S157="TOTAL_AMOUNT_INCLUDING_DELIVERY",$S157="EXACT_COLLECTION_AMOUNT"),$T157=""),"ERROR",IF(AND($S157="TOTAL_AMOUNT_INCLUDING_DELIVERY",$T157&lt;SUM($J157,$U157)),"ERROR",IF($S157="EXACT_COLLECTION_AMOUNT","REVIEW","OK")))))))))</f>
        <v/>
      </c>
      <c r="AV157" s="25">
        <f>IF($AU157="","",IF($H157="","Township required",IF($Q157="","Customer tier required",IF($M157="","Weight required",IF($S157="","Amount entry type required",IF(OR($J157&lt;0,$K157&lt;0,$M157&lt;0,$T157&lt;0,$U157&lt;0,$V157&lt;0,$W157&lt;0,$X157&lt;0,$Y157&lt;0),"Negative amounts are not allowed",IF($AE157="","Tariff not found for township and tier",IF(AND(OR($S157="ITEM_PRICE_PLUS_DECLARED_DELIVERY",$S157="TOTAL_AMOUNT_INCLUDING_DELIVERY",$S157="ITEM_PRICE_ONLY_DELIVERY_PAID_BY_MERCHANT"),$J157=""),"Item price required for this amount type",IF(AND(OR($S157="ITEM_PRICE_PLUS_DECLARED_DELIVERY",$S157="DELIVERY_CHARGE_ONLY"),$K157=""),"Declared delivery charge required",IF(AND(OR($S157="TOTAL_AMOUNT_INCLUDING_DELIVERY",$S157="EXACT_COLLECTION_AMOUNT"),$T157=""),"Stated total amount required",IF(AND($S157="TOTAL_AMOUNT_INCLUDING_DELIVERY",$T157&lt;SUM($J157,$U157)),"Stated total is below item price plus additional charge",IF($S157="EXACT_COLLECTION_AMOUNT","Authorized amount breakdown required before settlement","Ready for collection and settlement"))))))))))))</f>
        <v/>
      </c>
      <c r="AW157" s="23">
        <f>IF($AU157="","","PARCEL_FINANCIAL_V2")</f>
        <v/>
      </c>
      <c r="AX157" s="17" t="n"/>
    </row>
    <row r="158">
      <c r="A158" s="8" t="n"/>
      <c r="B158" s="8" t="n"/>
      <c r="C158" s="8" t="n"/>
      <c r="D158" s="8" t="n"/>
      <c r="E158" s="9" t="n"/>
      <c r="F158" s="9" t="n"/>
      <c r="G158" s="8" t="n"/>
      <c r="H158" s="9" t="n"/>
      <c r="I158" s="9" t="n"/>
      <c r="J158" s="10" t="n"/>
      <c r="K158" s="10" t="n"/>
      <c r="L158" s="11">
        <f>IF($S158="","",IF($S158="ITEM_PRICE_PLUS_DECLARED_DELIVERY",IF(OR($J158="",$K158=""),"",SUM($J158,$K158,$U158)),IF($S158="TOTAL_AMOUNT_INCLUDING_DELIVERY",IF($T158="","",$T158),IF($S158="DELIVERY_CHARGE_ONLY",IF($K158="","",SUM($K158,$U158)),IF($S158="EXACT_COLLECTION_AMOUNT",IF($T158="","",$T158),IF($S158="ITEM_PRICE_ONLY_DELIVERY_PAID_BY_MERCHANT",IF($J158="","",SUM($J158,$U158)),""))))))</f>
        <v/>
      </c>
      <c r="M158" s="12" t="n"/>
      <c r="N158" s="13" t="n"/>
      <c r="O158" s="13" t="n"/>
      <c r="P158" s="9" t="n"/>
      <c r="Q158" s="14" t="n"/>
      <c r="R158" s="15" t="n"/>
      <c r="S158" s="14" t="n"/>
      <c r="T158" s="16" t="n"/>
      <c r="U158" s="16" t="n"/>
      <c r="V158" s="16" t="n"/>
      <c r="W158" s="16" t="n"/>
      <c r="X158" s="16" t="n"/>
      <c r="Y158" s="16" t="n"/>
      <c r="Z158" s="14" t="n"/>
      <c r="AA158" s="14" t="n"/>
      <c r="AB158" s="14" t="n"/>
      <c r="AC158" s="17">
        <f>IFERROR(VLOOKUP($H158&amp;"|"&amp;$Q158,Tariff_Master!$A$2:$L$169,3,FALSE),"")</f>
        <v/>
      </c>
      <c r="AD158" s="17">
        <f>IFERROR(VLOOKUP($H158&amp;"|"&amp;$Q158,Tariff_Master!$A$2:$L$169,4,FALSE),"")</f>
        <v/>
      </c>
      <c r="AE158" s="18">
        <f>IFERROR(VLOOKUP($H158&amp;"|"&amp;$Q158,Tariff_Master!$A$2:$L$169,6,FALSE),"")</f>
        <v/>
      </c>
      <c r="AF158" s="19">
        <f>IFERROR(VLOOKUP($H158&amp;"|"&amp;$Q158,Tariff_Master!$A$2:$L$169,7,FALSE),"")</f>
        <v/>
      </c>
      <c r="AG158" s="18">
        <f>IFERROR(VLOOKUP($H158&amp;"|"&amp;$Q158,Tariff_Master!$A$2:$L$169,8,FALSE),"")</f>
        <v/>
      </c>
      <c r="AH158" s="20">
        <f>IFERROR(VLOOKUP($H158&amp;"|"&amp;$Q158,Tariff_Master!$A$2:$L$169,9,FALSE),"")</f>
        <v/>
      </c>
      <c r="AI158" s="18">
        <f>IFERROR(VLOOKUP($H158&amp;"|"&amp;$Q158,Tariff_Master!$A$2:$L$169,10,FALSE),"")</f>
        <v/>
      </c>
      <c r="AJ158" s="21">
        <f>IF($M158="","",ROUNDUP(MAX(0,$M158),0))</f>
        <v/>
      </c>
      <c r="AK158" s="21">
        <f>IF(OR($AJ158="",$AF158=""),"",MAX(0,$AJ158-$AF158))</f>
        <v/>
      </c>
      <c r="AL158" s="22">
        <f>IF(OR($AK158="",$AG158=""),"",MAX(0,$AK158*$AG158))</f>
        <v/>
      </c>
      <c r="AM158" s="22">
        <f>IF($AE158="","",MAX(0,SUM($AE158,$AL158,$V158,$W158)))</f>
        <v/>
      </c>
      <c r="AN158" s="22">
        <f>IF($AM158="","",IF(AND($Q158="COMMITMENT",$R158&gt;=$AH158),$AI158,0))</f>
        <v/>
      </c>
      <c r="AO158" s="23">
        <f>IF($AM158="","",MAX(0,$AM158-$AN158))</f>
        <v/>
      </c>
      <c r="AP158" s="22">
        <f>IF($S158="","",IF(OR($S158="ITEM_PRICE_PLUS_DECLARED_DELIVERY",$S158="DELIVERY_CHARGE_ONLY"),$K158,IF($S158="TOTAL_AMOUNT_INCLUDING_DELIVERY",IF(OR($T158="",$J158=""),"",MAX(0,$T158-$J158-$U158)),IF($S158="ITEM_PRICE_ONLY_DELIVERY_PAID_BY_MERCHANT",0,""))))</f>
        <v/>
      </c>
      <c r="AQ158" s="23">
        <f>IF(OR($AP158="",$AO158=""),"",$AP158-$AO158)</f>
        <v/>
      </c>
      <c r="AR158" s="24">
        <f>IF($S158="EXACT_COLLECTION_AMOUNT","BREAKDOWN_REQUIRED",IF($AQ158="","",IF($AQ158&gt;0,"CREDIT_TO_MERCHANT",IF($AQ158&lt;0,"DEDUCT_FROM_MERCHANT","NO_ADJUSTMENT"))))</f>
        <v/>
      </c>
      <c r="AS158" s="23">
        <f>IF(OR($AQ158="",$AR158="BREAKDOWN_REQUIRED"),"",$AQ158)</f>
        <v/>
      </c>
      <c r="AT158" s="23">
        <f>IF(OR($AR158="",$AR158="BREAKDOWN_REQUIRED"),"",SUM($J158,$AQ158,$Y158)-$X158)</f>
        <v/>
      </c>
      <c r="AU158" s="25">
        <f>IF(AND($A158="",$B158="",$F158="",$H158="",$J158="",$K158="",$M158="",$S158=""),"",IF(OR($H158="",$Q158="",$M158="",$S158=""),"ERROR",IF(OR($J158&lt;0,$K158&lt;0,$M158&lt;0,$T158&lt;0,$U158&lt;0,$V158&lt;0,$W158&lt;0,$X158&lt;0,$Y158&lt;0),"ERROR",IF($AE158="","ERROR",IF(AND(OR($S158="ITEM_PRICE_PLUS_DECLARED_DELIVERY",$S158="TOTAL_AMOUNT_INCLUDING_DELIVERY",$S158="ITEM_PRICE_ONLY_DELIVERY_PAID_BY_MERCHANT"),$J158=""),"ERROR",IF(AND(OR($S158="ITEM_PRICE_PLUS_DECLARED_DELIVERY",$S158="DELIVERY_CHARGE_ONLY"),$K158=""),"ERROR",IF(AND(OR($S158="TOTAL_AMOUNT_INCLUDING_DELIVERY",$S158="EXACT_COLLECTION_AMOUNT"),$T158=""),"ERROR",IF(AND($S158="TOTAL_AMOUNT_INCLUDING_DELIVERY",$T158&lt;SUM($J158,$U158)),"ERROR",IF($S158="EXACT_COLLECTION_AMOUNT","REVIEW","OK")))))))))</f>
        <v/>
      </c>
      <c r="AV158" s="25">
        <f>IF($AU158="","",IF($H158="","Township required",IF($Q158="","Customer tier required",IF($M158="","Weight required",IF($S158="","Amount entry type required",IF(OR($J158&lt;0,$K158&lt;0,$M158&lt;0,$T158&lt;0,$U158&lt;0,$V158&lt;0,$W158&lt;0,$X158&lt;0,$Y158&lt;0),"Negative amounts are not allowed",IF($AE158="","Tariff not found for township and tier",IF(AND(OR($S158="ITEM_PRICE_PLUS_DECLARED_DELIVERY",$S158="TOTAL_AMOUNT_INCLUDING_DELIVERY",$S158="ITEM_PRICE_ONLY_DELIVERY_PAID_BY_MERCHANT"),$J158=""),"Item price required for this amount type",IF(AND(OR($S158="ITEM_PRICE_PLUS_DECLARED_DELIVERY",$S158="DELIVERY_CHARGE_ONLY"),$K158=""),"Declared delivery charge required",IF(AND(OR($S158="TOTAL_AMOUNT_INCLUDING_DELIVERY",$S158="EXACT_COLLECTION_AMOUNT"),$T158=""),"Stated total amount required",IF(AND($S158="TOTAL_AMOUNT_INCLUDING_DELIVERY",$T158&lt;SUM($J158,$U158)),"Stated total is below item price plus additional charge",IF($S158="EXACT_COLLECTION_AMOUNT","Authorized amount breakdown required before settlement","Ready for collection and settlement"))))))))))))</f>
        <v/>
      </c>
      <c r="AW158" s="23">
        <f>IF($AU158="","","PARCEL_FINANCIAL_V2")</f>
        <v/>
      </c>
      <c r="AX158" s="17" t="n"/>
    </row>
    <row r="159">
      <c r="A159" s="8" t="n"/>
      <c r="B159" s="8" t="n"/>
      <c r="C159" s="8" t="n"/>
      <c r="D159" s="8" t="n"/>
      <c r="E159" s="9" t="n"/>
      <c r="F159" s="9" t="n"/>
      <c r="G159" s="8" t="n"/>
      <c r="H159" s="9" t="n"/>
      <c r="I159" s="9" t="n"/>
      <c r="J159" s="10" t="n"/>
      <c r="K159" s="10" t="n"/>
      <c r="L159" s="11">
        <f>IF($S159="","",IF($S159="ITEM_PRICE_PLUS_DECLARED_DELIVERY",IF(OR($J159="",$K159=""),"",SUM($J159,$K159,$U159)),IF($S159="TOTAL_AMOUNT_INCLUDING_DELIVERY",IF($T159="","",$T159),IF($S159="DELIVERY_CHARGE_ONLY",IF($K159="","",SUM($K159,$U159)),IF($S159="EXACT_COLLECTION_AMOUNT",IF($T159="","",$T159),IF($S159="ITEM_PRICE_ONLY_DELIVERY_PAID_BY_MERCHANT",IF($J159="","",SUM($J159,$U159)),""))))))</f>
        <v/>
      </c>
      <c r="M159" s="12" t="n"/>
      <c r="N159" s="13" t="n"/>
      <c r="O159" s="13" t="n"/>
      <c r="P159" s="9" t="n"/>
      <c r="Q159" s="14" t="n"/>
      <c r="R159" s="15" t="n"/>
      <c r="S159" s="14" t="n"/>
      <c r="T159" s="16" t="n"/>
      <c r="U159" s="16" t="n"/>
      <c r="V159" s="16" t="n"/>
      <c r="W159" s="16" t="n"/>
      <c r="X159" s="16" t="n"/>
      <c r="Y159" s="16" t="n"/>
      <c r="Z159" s="14" t="n"/>
      <c r="AA159" s="14" t="n"/>
      <c r="AB159" s="14" t="n"/>
      <c r="AC159" s="17">
        <f>IFERROR(VLOOKUP($H159&amp;"|"&amp;$Q159,Tariff_Master!$A$2:$L$169,3,FALSE),"")</f>
        <v/>
      </c>
      <c r="AD159" s="17">
        <f>IFERROR(VLOOKUP($H159&amp;"|"&amp;$Q159,Tariff_Master!$A$2:$L$169,4,FALSE),"")</f>
        <v/>
      </c>
      <c r="AE159" s="18">
        <f>IFERROR(VLOOKUP($H159&amp;"|"&amp;$Q159,Tariff_Master!$A$2:$L$169,6,FALSE),"")</f>
        <v/>
      </c>
      <c r="AF159" s="19">
        <f>IFERROR(VLOOKUP($H159&amp;"|"&amp;$Q159,Tariff_Master!$A$2:$L$169,7,FALSE),"")</f>
        <v/>
      </c>
      <c r="AG159" s="18">
        <f>IFERROR(VLOOKUP($H159&amp;"|"&amp;$Q159,Tariff_Master!$A$2:$L$169,8,FALSE),"")</f>
        <v/>
      </c>
      <c r="AH159" s="20">
        <f>IFERROR(VLOOKUP($H159&amp;"|"&amp;$Q159,Tariff_Master!$A$2:$L$169,9,FALSE),"")</f>
        <v/>
      </c>
      <c r="AI159" s="18">
        <f>IFERROR(VLOOKUP($H159&amp;"|"&amp;$Q159,Tariff_Master!$A$2:$L$169,10,FALSE),"")</f>
        <v/>
      </c>
      <c r="AJ159" s="21">
        <f>IF($M159="","",ROUNDUP(MAX(0,$M159),0))</f>
        <v/>
      </c>
      <c r="AK159" s="21">
        <f>IF(OR($AJ159="",$AF159=""),"",MAX(0,$AJ159-$AF159))</f>
        <v/>
      </c>
      <c r="AL159" s="22">
        <f>IF(OR($AK159="",$AG159=""),"",MAX(0,$AK159*$AG159))</f>
        <v/>
      </c>
      <c r="AM159" s="22">
        <f>IF($AE159="","",MAX(0,SUM($AE159,$AL159,$V159,$W159)))</f>
        <v/>
      </c>
      <c r="AN159" s="22">
        <f>IF($AM159="","",IF(AND($Q159="COMMITMENT",$R159&gt;=$AH159),$AI159,0))</f>
        <v/>
      </c>
      <c r="AO159" s="23">
        <f>IF($AM159="","",MAX(0,$AM159-$AN159))</f>
        <v/>
      </c>
      <c r="AP159" s="22">
        <f>IF($S159="","",IF(OR($S159="ITEM_PRICE_PLUS_DECLARED_DELIVERY",$S159="DELIVERY_CHARGE_ONLY"),$K159,IF($S159="TOTAL_AMOUNT_INCLUDING_DELIVERY",IF(OR($T159="",$J159=""),"",MAX(0,$T159-$J159-$U159)),IF($S159="ITEM_PRICE_ONLY_DELIVERY_PAID_BY_MERCHANT",0,""))))</f>
        <v/>
      </c>
      <c r="AQ159" s="23">
        <f>IF(OR($AP159="",$AO159=""),"",$AP159-$AO159)</f>
        <v/>
      </c>
      <c r="AR159" s="24">
        <f>IF($S159="EXACT_COLLECTION_AMOUNT","BREAKDOWN_REQUIRED",IF($AQ159="","",IF($AQ159&gt;0,"CREDIT_TO_MERCHANT",IF($AQ159&lt;0,"DEDUCT_FROM_MERCHANT","NO_ADJUSTMENT"))))</f>
        <v/>
      </c>
      <c r="AS159" s="23">
        <f>IF(OR($AQ159="",$AR159="BREAKDOWN_REQUIRED"),"",$AQ159)</f>
        <v/>
      </c>
      <c r="AT159" s="23">
        <f>IF(OR($AR159="",$AR159="BREAKDOWN_REQUIRED"),"",SUM($J159,$AQ159,$Y159)-$X159)</f>
        <v/>
      </c>
      <c r="AU159" s="25">
        <f>IF(AND($A159="",$B159="",$F159="",$H159="",$J159="",$K159="",$M159="",$S159=""),"",IF(OR($H159="",$Q159="",$M159="",$S159=""),"ERROR",IF(OR($J159&lt;0,$K159&lt;0,$M159&lt;0,$T159&lt;0,$U159&lt;0,$V159&lt;0,$W159&lt;0,$X159&lt;0,$Y159&lt;0),"ERROR",IF($AE159="","ERROR",IF(AND(OR($S159="ITEM_PRICE_PLUS_DECLARED_DELIVERY",$S159="TOTAL_AMOUNT_INCLUDING_DELIVERY",$S159="ITEM_PRICE_ONLY_DELIVERY_PAID_BY_MERCHANT"),$J159=""),"ERROR",IF(AND(OR($S159="ITEM_PRICE_PLUS_DECLARED_DELIVERY",$S159="DELIVERY_CHARGE_ONLY"),$K159=""),"ERROR",IF(AND(OR($S159="TOTAL_AMOUNT_INCLUDING_DELIVERY",$S159="EXACT_COLLECTION_AMOUNT"),$T159=""),"ERROR",IF(AND($S159="TOTAL_AMOUNT_INCLUDING_DELIVERY",$T159&lt;SUM($J159,$U159)),"ERROR",IF($S159="EXACT_COLLECTION_AMOUNT","REVIEW","OK")))))))))</f>
        <v/>
      </c>
      <c r="AV159" s="25">
        <f>IF($AU159="","",IF($H159="","Township required",IF($Q159="","Customer tier required",IF($M159="","Weight required",IF($S159="","Amount entry type required",IF(OR($J159&lt;0,$K159&lt;0,$M159&lt;0,$T159&lt;0,$U159&lt;0,$V159&lt;0,$W159&lt;0,$X159&lt;0,$Y159&lt;0),"Negative amounts are not allowed",IF($AE159="","Tariff not found for township and tier",IF(AND(OR($S159="ITEM_PRICE_PLUS_DECLARED_DELIVERY",$S159="TOTAL_AMOUNT_INCLUDING_DELIVERY",$S159="ITEM_PRICE_ONLY_DELIVERY_PAID_BY_MERCHANT"),$J159=""),"Item price required for this amount type",IF(AND(OR($S159="ITEM_PRICE_PLUS_DECLARED_DELIVERY",$S159="DELIVERY_CHARGE_ONLY"),$K159=""),"Declared delivery charge required",IF(AND(OR($S159="TOTAL_AMOUNT_INCLUDING_DELIVERY",$S159="EXACT_COLLECTION_AMOUNT"),$T159=""),"Stated total amount required",IF(AND($S159="TOTAL_AMOUNT_INCLUDING_DELIVERY",$T159&lt;SUM($J159,$U159)),"Stated total is below item price plus additional charge",IF($S159="EXACT_COLLECTION_AMOUNT","Authorized amount breakdown required before settlement","Ready for collection and settlement"))))))))))))</f>
        <v/>
      </c>
      <c r="AW159" s="23">
        <f>IF($AU159="","","PARCEL_FINANCIAL_V2")</f>
        <v/>
      </c>
      <c r="AX159" s="17" t="n"/>
    </row>
    <row r="160">
      <c r="A160" s="8" t="n"/>
      <c r="B160" s="8" t="n"/>
      <c r="C160" s="8" t="n"/>
      <c r="D160" s="8" t="n"/>
      <c r="E160" s="9" t="n"/>
      <c r="F160" s="9" t="n"/>
      <c r="G160" s="8" t="n"/>
      <c r="H160" s="9" t="n"/>
      <c r="I160" s="9" t="n"/>
      <c r="J160" s="10" t="n"/>
      <c r="K160" s="10" t="n"/>
      <c r="L160" s="11">
        <f>IF($S160="","",IF($S160="ITEM_PRICE_PLUS_DECLARED_DELIVERY",IF(OR($J160="",$K160=""),"",SUM($J160,$K160,$U160)),IF($S160="TOTAL_AMOUNT_INCLUDING_DELIVERY",IF($T160="","",$T160),IF($S160="DELIVERY_CHARGE_ONLY",IF($K160="","",SUM($K160,$U160)),IF($S160="EXACT_COLLECTION_AMOUNT",IF($T160="","",$T160),IF($S160="ITEM_PRICE_ONLY_DELIVERY_PAID_BY_MERCHANT",IF($J160="","",SUM($J160,$U160)),""))))))</f>
        <v/>
      </c>
      <c r="M160" s="12" t="n"/>
      <c r="N160" s="13" t="n"/>
      <c r="O160" s="13" t="n"/>
      <c r="P160" s="9" t="n"/>
      <c r="Q160" s="14" t="n"/>
      <c r="R160" s="15" t="n"/>
      <c r="S160" s="14" t="n"/>
      <c r="T160" s="16" t="n"/>
      <c r="U160" s="16" t="n"/>
      <c r="V160" s="16" t="n"/>
      <c r="W160" s="16" t="n"/>
      <c r="X160" s="16" t="n"/>
      <c r="Y160" s="16" t="n"/>
      <c r="Z160" s="14" t="n"/>
      <c r="AA160" s="14" t="n"/>
      <c r="AB160" s="14" t="n"/>
      <c r="AC160" s="17">
        <f>IFERROR(VLOOKUP($H160&amp;"|"&amp;$Q160,Tariff_Master!$A$2:$L$169,3,FALSE),"")</f>
        <v/>
      </c>
      <c r="AD160" s="17">
        <f>IFERROR(VLOOKUP($H160&amp;"|"&amp;$Q160,Tariff_Master!$A$2:$L$169,4,FALSE),"")</f>
        <v/>
      </c>
      <c r="AE160" s="18">
        <f>IFERROR(VLOOKUP($H160&amp;"|"&amp;$Q160,Tariff_Master!$A$2:$L$169,6,FALSE),"")</f>
        <v/>
      </c>
      <c r="AF160" s="19">
        <f>IFERROR(VLOOKUP($H160&amp;"|"&amp;$Q160,Tariff_Master!$A$2:$L$169,7,FALSE),"")</f>
        <v/>
      </c>
      <c r="AG160" s="18">
        <f>IFERROR(VLOOKUP($H160&amp;"|"&amp;$Q160,Tariff_Master!$A$2:$L$169,8,FALSE),"")</f>
        <v/>
      </c>
      <c r="AH160" s="20">
        <f>IFERROR(VLOOKUP($H160&amp;"|"&amp;$Q160,Tariff_Master!$A$2:$L$169,9,FALSE),"")</f>
        <v/>
      </c>
      <c r="AI160" s="18">
        <f>IFERROR(VLOOKUP($H160&amp;"|"&amp;$Q160,Tariff_Master!$A$2:$L$169,10,FALSE),"")</f>
        <v/>
      </c>
      <c r="AJ160" s="21">
        <f>IF($M160="","",ROUNDUP(MAX(0,$M160),0))</f>
        <v/>
      </c>
      <c r="AK160" s="21">
        <f>IF(OR($AJ160="",$AF160=""),"",MAX(0,$AJ160-$AF160))</f>
        <v/>
      </c>
      <c r="AL160" s="22">
        <f>IF(OR($AK160="",$AG160=""),"",MAX(0,$AK160*$AG160))</f>
        <v/>
      </c>
      <c r="AM160" s="22">
        <f>IF($AE160="","",MAX(0,SUM($AE160,$AL160,$V160,$W160)))</f>
        <v/>
      </c>
      <c r="AN160" s="22">
        <f>IF($AM160="","",IF(AND($Q160="COMMITMENT",$R160&gt;=$AH160),$AI160,0))</f>
        <v/>
      </c>
      <c r="AO160" s="23">
        <f>IF($AM160="","",MAX(0,$AM160-$AN160))</f>
        <v/>
      </c>
      <c r="AP160" s="22">
        <f>IF($S160="","",IF(OR($S160="ITEM_PRICE_PLUS_DECLARED_DELIVERY",$S160="DELIVERY_CHARGE_ONLY"),$K160,IF($S160="TOTAL_AMOUNT_INCLUDING_DELIVERY",IF(OR($T160="",$J160=""),"",MAX(0,$T160-$J160-$U160)),IF($S160="ITEM_PRICE_ONLY_DELIVERY_PAID_BY_MERCHANT",0,""))))</f>
        <v/>
      </c>
      <c r="AQ160" s="23">
        <f>IF(OR($AP160="",$AO160=""),"",$AP160-$AO160)</f>
        <v/>
      </c>
      <c r="AR160" s="24">
        <f>IF($S160="EXACT_COLLECTION_AMOUNT","BREAKDOWN_REQUIRED",IF($AQ160="","",IF($AQ160&gt;0,"CREDIT_TO_MERCHANT",IF($AQ160&lt;0,"DEDUCT_FROM_MERCHANT","NO_ADJUSTMENT"))))</f>
        <v/>
      </c>
      <c r="AS160" s="23">
        <f>IF(OR($AQ160="",$AR160="BREAKDOWN_REQUIRED"),"",$AQ160)</f>
        <v/>
      </c>
      <c r="AT160" s="23">
        <f>IF(OR($AR160="",$AR160="BREAKDOWN_REQUIRED"),"",SUM($J160,$AQ160,$Y160)-$X160)</f>
        <v/>
      </c>
      <c r="AU160" s="25">
        <f>IF(AND($A160="",$B160="",$F160="",$H160="",$J160="",$K160="",$M160="",$S160=""),"",IF(OR($H160="",$Q160="",$M160="",$S160=""),"ERROR",IF(OR($J160&lt;0,$K160&lt;0,$M160&lt;0,$T160&lt;0,$U160&lt;0,$V160&lt;0,$W160&lt;0,$X160&lt;0,$Y160&lt;0),"ERROR",IF($AE160="","ERROR",IF(AND(OR($S160="ITEM_PRICE_PLUS_DECLARED_DELIVERY",$S160="TOTAL_AMOUNT_INCLUDING_DELIVERY",$S160="ITEM_PRICE_ONLY_DELIVERY_PAID_BY_MERCHANT"),$J160=""),"ERROR",IF(AND(OR($S160="ITEM_PRICE_PLUS_DECLARED_DELIVERY",$S160="DELIVERY_CHARGE_ONLY"),$K160=""),"ERROR",IF(AND(OR($S160="TOTAL_AMOUNT_INCLUDING_DELIVERY",$S160="EXACT_COLLECTION_AMOUNT"),$T160=""),"ERROR",IF(AND($S160="TOTAL_AMOUNT_INCLUDING_DELIVERY",$T160&lt;SUM($J160,$U160)),"ERROR",IF($S160="EXACT_COLLECTION_AMOUNT","REVIEW","OK")))))))))</f>
        <v/>
      </c>
      <c r="AV160" s="25">
        <f>IF($AU160="","",IF($H160="","Township required",IF($Q160="","Customer tier required",IF($M160="","Weight required",IF($S160="","Amount entry type required",IF(OR($J160&lt;0,$K160&lt;0,$M160&lt;0,$T160&lt;0,$U160&lt;0,$V160&lt;0,$W160&lt;0,$X160&lt;0,$Y160&lt;0),"Negative amounts are not allowed",IF($AE160="","Tariff not found for township and tier",IF(AND(OR($S160="ITEM_PRICE_PLUS_DECLARED_DELIVERY",$S160="TOTAL_AMOUNT_INCLUDING_DELIVERY",$S160="ITEM_PRICE_ONLY_DELIVERY_PAID_BY_MERCHANT"),$J160=""),"Item price required for this amount type",IF(AND(OR($S160="ITEM_PRICE_PLUS_DECLARED_DELIVERY",$S160="DELIVERY_CHARGE_ONLY"),$K160=""),"Declared delivery charge required",IF(AND(OR($S160="TOTAL_AMOUNT_INCLUDING_DELIVERY",$S160="EXACT_COLLECTION_AMOUNT"),$T160=""),"Stated total amount required",IF(AND($S160="TOTAL_AMOUNT_INCLUDING_DELIVERY",$T160&lt;SUM($J160,$U160)),"Stated total is below item price plus additional charge",IF($S160="EXACT_COLLECTION_AMOUNT","Authorized amount breakdown required before settlement","Ready for collection and settlement"))))))))))))</f>
        <v/>
      </c>
      <c r="AW160" s="23">
        <f>IF($AU160="","","PARCEL_FINANCIAL_V2")</f>
        <v/>
      </c>
      <c r="AX160" s="17" t="n"/>
    </row>
    <row r="161">
      <c r="A161" s="8" t="n"/>
      <c r="B161" s="8" t="n"/>
      <c r="C161" s="8" t="n"/>
      <c r="D161" s="8" t="n"/>
      <c r="E161" s="9" t="n"/>
      <c r="F161" s="9" t="n"/>
      <c r="G161" s="8" t="n"/>
      <c r="H161" s="9" t="n"/>
      <c r="I161" s="9" t="n"/>
      <c r="J161" s="10" t="n"/>
      <c r="K161" s="10" t="n"/>
      <c r="L161" s="11">
        <f>IF($S161="","",IF($S161="ITEM_PRICE_PLUS_DECLARED_DELIVERY",IF(OR($J161="",$K161=""),"",SUM($J161,$K161,$U161)),IF($S161="TOTAL_AMOUNT_INCLUDING_DELIVERY",IF($T161="","",$T161),IF($S161="DELIVERY_CHARGE_ONLY",IF($K161="","",SUM($K161,$U161)),IF($S161="EXACT_COLLECTION_AMOUNT",IF($T161="","",$T161),IF($S161="ITEM_PRICE_ONLY_DELIVERY_PAID_BY_MERCHANT",IF($J161="","",SUM($J161,$U161)),""))))))</f>
        <v/>
      </c>
      <c r="M161" s="12" t="n"/>
      <c r="N161" s="13" t="n"/>
      <c r="O161" s="13" t="n"/>
      <c r="P161" s="9" t="n"/>
      <c r="Q161" s="14" t="n"/>
      <c r="R161" s="15" t="n"/>
      <c r="S161" s="14" t="n"/>
      <c r="T161" s="16" t="n"/>
      <c r="U161" s="16" t="n"/>
      <c r="V161" s="16" t="n"/>
      <c r="W161" s="16" t="n"/>
      <c r="X161" s="16" t="n"/>
      <c r="Y161" s="16" t="n"/>
      <c r="Z161" s="14" t="n"/>
      <c r="AA161" s="14" t="n"/>
      <c r="AB161" s="14" t="n"/>
      <c r="AC161" s="17">
        <f>IFERROR(VLOOKUP($H161&amp;"|"&amp;$Q161,Tariff_Master!$A$2:$L$169,3,FALSE),"")</f>
        <v/>
      </c>
      <c r="AD161" s="17">
        <f>IFERROR(VLOOKUP($H161&amp;"|"&amp;$Q161,Tariff_Master!$A$2:$L$169,4,FALSE),"")</f>
        <v/>
      </c>
      <c r="AE161" s="18">
        <f>IFERROR(VLOOKUP($H161&amp;"|"&amp;$Q161,Tariff_Master!$A$2:$L$169,6,FALSE),"")</f>
        <v/>
      </c>
      <c r="AF161" s="19">
        <f>IFERROR(VLOOKUP($H161&amp;"|"&amp;$Q161,Tariff_Master!$A$2:$L$169,7,FALSE),"")</f>
        <v/>
      </c>
      <c r="AG161" s="18">
        <f>IFERROR(VLOOKUP($H161&amp;"|"&amp;$Q161,Tariff_Master!$A$2:$L$169,8,FALSE),"")</f>
        <v/>
      </c>
      <c r="AH161" s="20">
        <f>IFERROR(VLOOKUP($H161&amp;"|"&amp;$Q161,Tariff_Master!$A$2:$L$169,9,FALSE),"")</f>
        <v/>
      </c>
      <c r="AI161" s="18">
        <f>IFERROR(VLOOKUP($H161&amp;"|"&amp;$Q161,Tariff_Master!$A$2:$L$169,10,FALSE),"")</f>
        <v/>
      </c>
      <c r="AJ161" s="21">
        <f>IF($M161="","",ROUNDUP(MAX(0,$M161),0))</f>
        <v/>
      </c>
      <c r="AK161" s="21">
        <f>IF(OR($AJ161="",$AF161=""),"",MAX(0,$AJ161-$AF161))</f>
        <v/>
      </c>
      <c r="AL161" s="22">
        <f>IF(OR($AK161="",$AG161=""),"",MAX(0,$AK161*$AG161))</f>
        <v/>
      </c>
      <c r="AM161" s="22">
        <f>IF($AE161="","",MAX(0,SUM($AE161,$AL161,$V161,$W161)))</f>
        <v/>
      </c>
      <c r="AN161" s="22">
        <f>IF($AM161="","",IF(AND($Q161="COMMITMENT",$R161&gt;=$AH161),$AI161,0))</f>
        <v/>
      </c>
      <c r="AO161" s="23">
        <f>IF($AM161="","",MAX(0,$AM161-$AN161))</f>
        <v/>
      </c>
      <c r="AP161" s="22">
        <f>IF($S161="","",IF(OR($S161="ITEM_PRICE_PLUS_DECLARED_DELIVERY",$S161="DELIVERY_CHARGE_ONLY"),$K161,IF($S161="TOTAL_AMOUNT_INCLUDING_DELIVERY",IF(OR($T161="",$J161=""),"",MAX(0,$T161-$J161-$U161)),IF($S161="ITEM_PRICE_ONLY_DELIVERY_PAID_BY_MERCHANT",0,""))))</f>
        <v/>
      </c>
      <c r="AQ161" s="23">
        <f>IF(OR($AP161="",$AO161=""),"",$AP161-$AO161)</f>
        <v/>
      </c>
      <c r="AR161" s="24">
        <f>IF($S161="EXACT_COLLECTION_AMOUNT","BREAKDOWN_REQUIRED",IF($AQ161="","",IF($AQ161&gt;0,"CREDIT_TO_MERCHANT",IF($AQ161&lt;0,"DEDUCT_FROM_MERCHANT","NO_ADJUSTMENT"))))</f>
        <v/>
      </c>
      <c r="AS161" s="23">
        <f>IF(OR($AQ161="",$AR161="BREAKDOWN_REQUIRED"),"",$AQ161)</f>
        <v/>
      </c>
      <c r="AT161" s="23">
        <f>IF(OR($AR161="",$AR161="BREAKDOWN_REQUIRED"),"",SUM($J161,$AQ161,$Y161)-$X161)</f>
        <v/>
      </c>
      <c r="AU161" s="25">
        <f>IF(AND($A161="",$B161="",$F161="",$H161="",$J161="",$K161="",$M161="",$S161=""),"",IF(OR($H161="",$Q161="",$M161="",$S161=""),"ERROR",IF(OR($J161&lt;0,$K161&lt;0,$M161&lt;0,$T161&lt;0,$U161&lt;0,$V161&lt;0,$W161&lt;0,$X161&lt;0,$Y161&lt;0),"ERROR",IF($AE161="","ERROR",IF(AND(OR($S161="ITEM_PRICE_PLUS_DECLARED_DELIVERY",$S161="TOTAL_AMOUNT_INCLUDING_DELIVERY",$S161="ITEM_PRICE_ONLY_DELIVERY_PAID_BY_MERCHANT"),$J161=""),"ERROR",IF(AND(OR($S161="ITEM_PRICE_PLUS_DECLARED_DELIVERY",$S161="DELIVERY_CHARGE_ONLY"),$K161=""),"ERROR",IF(AND(OR($S161="TOTAL_AMOUNT_INCLUDING_DELIVERY",$S161="EXACT_COLLECTION_AMOUNT"),$T161=""),"ERROR",IF(AND($S161="TOTAL_AMOUNT_INCLUDING_DELIVERY",$T161&lt;SUM($J161,$U161)),"ERROR",IF($S161="EXACT_COLLECTION_AMOUNT","REVIEW","OK")))))))))</f>
        <v/>
      </c>
      <c r="AV161" s="25">
        <f>IF($AU161="","",IF($H161="","Township required",IF($Q161="","Customer tier required",IF($M161="","Weight required",IF($S161="","Amount entry type required",IF(OR($J161&lt;0,$K161&lt;0,$M161&lt;0,$T161&lt;0,$U161&lt;0,$V161&lt;0,$W161&lt;0,$X161&lt;0,$Y161&lt;0),"Negative amounts are not allowed",IF($AE161="","Tariff not found for township and tier",IF(AND(OR($S161="ITEM_PRICE_PLUS_DECLARED_DELIVERY",$S161="TOTAL_AMOUNT_INCLUDING_DELIVERY",$S161="ITEM_PRICE_ONLY_DELIVERY_PAID_BY_MERCHANT"),$J161=""),"Item price required for this amount type",IF(AND(OR($S161="ITEM_PRICE_PLUS_DECLARED_DELIVERY",$S161="DELIVERY_CHARGE_ONLY"),$K161=""),"Declared delivery charge required",IF(AND(OR($S161="TOTAL_AMOUNT_INCLUDING_DELIVERY",$S161="EXACT_COLLECTION_AMOUNT"),$T161=""),"Stated total amount required",IF(AND($S161="TOTAL_AMOUNT_INCLUDING_DELIVERY",$T161&lt;SUM($J161,$U161)),"Stated total is below item price plus additional charge",IF($S161="EXACT_COLLECTION_AMOUNT","Authorized amount breakdown required before settlement","Ready for collection and settlement"))))))))))))</f>
        <v/>
      </c>
      <c r="AW161" s="23">
        <f>IF($AU161="","","PARCEL_FINANCIAL_V2")</f>
        <v/>
      </c>
      <c r="AX161" s="17" t="n"/>
    </row>
    <row r="162">
      <c r="A162" s="8" t="n"/>
      <c r="B162" s="8" t="n"/>
      <c r="C162" s="8" t="n"/>
      <c r="D162" s="8" t="n"/>
      <c r="E162" s="9" t="n"/>
      <c r="F162" s="9" t="n"/>
      <c r="G162" s="8" t="n"/>
      <c r="H162" s="9" t="n"/>
      <c r="I162" s="9" t="n"/>
      <c r="J162" s="10" t="n"/>
      <c r="K162" s="10" t="n"/>
      <c r="L162" s="11">
        <f>IF($S162="","",IF($S162="ITEM_PRICE_PLUS_DECLARED_DELIVERY",IF(OR($J162="",$K162=""),"",SUM($J162,$K162,$U162)),IF($S162="TOTAL_AMOUNT_INCLUDING_DELIVERY",IF($T162="","",$T162),IF($S162="DELIVERY_CHARGE_ONLY",IF($K162="","",SUM($K162,$U162)),IF($S162="EXACT_COLLECTION_AMOUNT",IF($T162="","",$T162),IF($S162="ITEM_PRICE_ONLY_DELIVERY_PAID_BY_MERCHANT",IF($J162="","",SUM($J162,$U162)),""))))))</f>
        <v/>
      </c>
      <c r="M162" s="12" t="n"/>
      <c r="N162" s="13" t="n"/>
      <c r="O162" s="13" t="n"/>
      <c r="P162" s="9" t="n"/>
      <c r="Q162" s="14" t="n"/>
      <c r="R162" s="15" t="n"/>
      <c r="S162" s="14" t="n"/>
      <c r="T162" s="16" t="n"/>
      <c r="U162" s="16" t="n"/>
      <c r="V162" s="16" t="n"/>
      <c r="W162" s="16" t="n"/>
      <c r="X162" s="16" t="n"/>
      <c r="Y162" s="16" t="n"/>
      <c r="Z162" s="14" t="n"/>
      <c r="AA162" s="14" t="n"/>
      <c r="AB162" s="14" t="n"/>
      <c r="AC162" s="17">
        <f>IFERROR(VLOOKUP($H162&amp;"|"&amp;$Q162,Tariff_Master!$A$2:$L$169,3,FALSE),"")</f>
        <v/>
      </c>
      <c r="AD162" s="17">
        <f>IFERROR(VLOOKUP($H162&amp;"|"&amp;$Q162,Tariff_Master!$A$2:$L$169,4,FALSE),"")</f>
        <v/>
      </c>
      <c r="AE162" s="18">
        <f>IFERROR(VLOOKUP($H162&amp;"|"&amp;$Q162,Tariff_Master!$A$2:$L$169,6,FALSE),"")</f>
        <v/>
      </c>
      <c r="AF162" s="19">
        <f>IFERROR(VLOOKUP($H162&amp;"|"&amp;$Q162,Tariff_Master!$A$2:$L$169,7,FALSE),"")</f>
        <v/>
      </c>
      <c r="AG162" s="18">
        <f>IFERROR(VLOOKUP($H162&amp;"|"&amp;$Q162,Tariff_Master!$A$2:$L$169,8,FALSE),"")</f>
        <v/>
      </c>
      <c r="AH162" s="20">
        <f>IFERROR(VLOOKUP($H162&amp;"|"&amp;$Q162,Tariff_Master!$A$2:$L$169,9,FALSE),"")</f>
        <v/>
      </c>
      <c r="AI162" s="18">
        <f>IFERROR(VLOOKUP($H162&amp;"|"&amp;$Q162,Tariff_Master!$A$2:$L$169,10,FALSE),"")</f>
        <v/>
      </c>
      <c r="AJ162" s="21">
        <f>IF($M162="","",ROUNDUP(MAX(0,$M162),0))</f>
        <v/>
      </c>
      <c r="AK162" s="21">
        <f>IF(OR($AJ162="",$AF162=""),"",MAX(0,$AJ162-$AF162))</f>
        <v/>
      </c>
      <c r="AL162" s="22">
        <f>IF(OR($AK162="",$AG162=""),"",MAX(0,$AK162*$AG162))</f>
        <v/>
      </c>
      <c r="AM162" s="22">
        <f>IF($AE162="","",MAX(0,SUM($AE162,$AL162,$V162,$W162)))</f>
        <v/>
      </c>
      <c r="AN162" s="22">
        <f>IF($AM162="","",IF(AND($Q162="COMMITMENT",$R162&gt;=$AH162),$AI162,0))</f>
        <v/>
      </c>
      <c r="AO162" s="23">
        <f>IF($AM162="","",MAX(0,$AM162-$AN162))</f>
        <v/>
      </c>
      <c r="AP162" s="22">
        <f>IF($S162="","",IF(OR($S162="ITEM_PRICE_PLUS_DECLARED_DELIVERY",$S162="DELIVERY_CHARGE_ONLY"),$K162,IF($S162="TOTAL_AMOUNT_INCLUDING_DELIVERY",IF(OR($T162="",$J162=""),"",MAX(0,$T162-$J162-$U162)),IF($S162="ITEM_PRICE_ONLY_DELIVERY_PAID_BY_MERCHANT",0,""))))</f>
        <v/>
      </c>
      <c r="AQ162" s="23">
        <f>IF(OR($AP162="",$AO162=""),"",$AP162-$AO162)</f>
        <v/>
      </c>
      <c r="AR162" s="24">
        <f>IF($S162="EXACT_COLLECTION_AMOUNT","BREAKDOWN_REQUIRED",IF($AQ162="","",IF($AQ162&gt;0,"CREDIT_TO_MERCHANT",IF($AQ162&lt;0,"DEDUCT_FROM_MERCHANT","NO_ADJUSTMENT"))))</f>
        <v/>
      </c>
      <c r="AS162" s="23">
        <f>IF(OR($AQ162="",$AR162="BREAKDOWN_REQUIRED"),"",$AQ162)</f>
        <v/>
      </c>
      <c r="AT162" s="23">
        <f>IF(OR($AR162="",$AR162="BREAKDOWN_REQUIRED"),"",SUM($J162,$AQ162,$Y162)-$X162)</f>
        <v/>
      </c>
      <c r="AU162" s="25">
        <f>IF(AND($A162="",$B162="",$F162="",$H162="",$J162="",$K162="",$M162="",$S162=""),"",IF(OR($H162="",$Q162="",$M162="",$S162=""),"ERROR",IF(OR($J162&lt;0,$K162&lt;0,$M162&lt;0,$T162&lt;0,$U162&lt;0,$V162&lt;0,$W162&lt;0,$X162&lt;0,$Y162&lt;0),"ERROR",IF($AE162="","ERROR",IF(AND(OR($S162="ITEM_PRICE_PLUS_DECLARED_DELIVERY",$S162="TOTAL_AMOUNT_INCLUDING_DELIVERY",$S162="ITEM_PRICE_ONLY_DELIVERY_PAID_BY_MERCHANT"),$J162=""),"ERROR",IF(AND(OR($S162="ITEM_PRICE_PLUS_DECLARED_DELIVERY",$S162="DELIVERY_CHARGE_ONLY"),$K162=""),"ERROR",IF(AND(OR($S162="TOTAL_AMOUNT_INCLUDING_DELIVERY",$S162="EXACT_COLLECTION_AMOUNT"),$T162=""),"ERROR",IF(AND($S162="TOTAL_AMOUNT_INCLUDING_DELIVERY",$T162&lt;SUM($J162,$U162)),"ERROR",IF($S162="EXACT_COLLECTION_AMOUNT","REVIEW","OK")))))))))</f>
        <v/>
      </c>
      <c r="AV162" s="25">
        <f>IF($AU162="","",IF($H162="","Township required",IF($Q162="","Customer tier required",IF($M162="","Weight required",IF($S162="","Amount entry type required",IF(OR($J162&lt;0,$K162&lt;0,$M162&lt;0,$T162&lt;0,$U162&lt;0,$V162&lt;0,$W162&lt;0,$X162&lt;0,$Y162&lt;0),"Negative amounts are not allowed",IF($AE162="","Tariff not found for township and tier",IF(AND(OR($S162="ITEM_PRICE_PLUS_DECLARED_DELIVERY",$S162="TOTAL_AMOUNT_INCLUDING_DELIVERY",$S162="ITEM_PRICE_ONLY_DELIVERY_PAID_BY_MERCHANT"),$J162=""),"Item price required for this amount type",IF(AND(OR($S162="ITEM_PRICE_PLUS_DECLARED_DELIVERY",$S162="DELIVERY_CHARGE_ONLY"),$K162=""),"Declared delivery charge required",IF(AND(OR($S162="TOTAL_AMOUNT_INCLUDING_DELIVERY",$S162="EXACT_COLLECTION_AMOUNT"),$T162=""),"Stated total amount required",IF(AND($S162="TOTAL_AMOUNT_INCLUDING_DELIVERY",$T162&lt;SUM($J162,$U162)),"Stated total is below item price plus additional charge",IF($S162="EXACT_COLLECTION_AMOUNT","Authorized amount breakdown required before settlement","Ready for collection and settlement"))))))))))))</f>
        <v/>
      </c>
      <c r="AW162" s="23">
        <f>IF($AU162="","","PARCEL_FINANCIAL_V2")</f>
        <v/>
      </c>
      <c r="AX162" s="17" t="n"/>
    </row>
    <row r="163">
      <c r="A163" s="8" t="n"/>
      <c r="B163" s="8" t="n"/>
      <c r="C163" s="8" t="n"/>
      <c r="D163" s="8" t="n"/>
      <c r="E163" s="9" t="n"/>
      <c r="F163" s="9" t="n"/>
      <c r="G163" s="8" t="n"/>
      <c r="H163" s="9" t="n"/>
      <c r="I163" s="9" t="n"/>
      <c r="J163" s="10" t="n"/>
      <c r="K163" s="10" t="n"/>
      <c r="L163" s="11">
        <f>IF($S163="","",IF($S163="ITEM_PRICE_PLUS_DECLARED_DELIVERY",IF(OR($J163="",$K163=""),"",SUM($J163,$K163,$U163)),IF($S163="TOTAL_AMOUNT_INCLUDING_DELIVERY",IF($T163="","",$T163),IF($S163="DELIVERY_CHARGE_ONLY",IF($K163="","",SUM($K163,$U163)),IF($S163="EXACT_COLLECTION_AMOUNT",IF($T163="","",$T163),IF($S163="ITEM_PRICE_ONLY_DELIVERY_PAID_BY_MERCHANT",IF($J163="","",SUM($J163,$U163)),""))))))</f>
        <v/>
      </c>
      <c r="M163" s="12" t="n"/>
      <c r="N163" s="13" t="n"/>
      <c r="O163" s="13" t="n"/>
      <c r="P163" s="9" t="n"/>
      <c r="Q163" s="14" t="n"/>
      <c r="R163" s="15" t="n"/>
      <c r="S163" s="14" t="n"/>
      <c r="T163" s="16" t="n"/>
      <c r="U163" s="16" t="n"/>
      <c r="V163" s="16" t="n"/>
      <c r="W163" s="16" t="n"/>
      <c r="X163" s="16" t="n"/>
      <c r="Y163" s="16" t="n"/>
      <c r="Z163" s="14" t="n"/>
      <c r="AA163" s="14" t="n"/>
      <c r="AB163" s="14" t="n"/>
      <c r="AC163" s="17">
        <f>IFERROR(VLOOKUP($H163&amp;"|"&amp;$Q163,Tariff_Master!$A$2:$L$169,3,FALSE),"")</f>
        <v/>
      </c>
      <c r="AD163" s="17">
        <f>IFERROR(VLOOKUP($H163&amp;"|"&amp;$Q163,Tariff_Master!$A$2:$L$169,4,FALSE),"")</f>
        <v/>
      </c>
      <c r="AE163" s="18">
        <f>IFERROR(VLOOKUP($H163&amp;"|"&amp;$Q163,Tariff_Master!$A$2:$L$169,6,FALSE),"")</f>
        <v/>
      </c>
      <c r="AF163" s="19">
        <f>IFERROR(VLOOKUP($H163&amp;"|"&amp;$Q163,Tariff_Master!$A$2:$L$169,7,FALSE),"")</f>
        <v/>
      </c>
      <c r="AG163" s="18">
        <f>IFERROR(VLOOKUP($H163&amp;"|"&amp;$Q163,Tariff_Master!$A$2:$L$169,8,FALSE),"")</f>
        <v/>
      </c>
      <c r="AH163" s="20">
        <f>IFERROR(VLOOKUP($H163&amp;"|"&amp;$Q163,Tariff_Master!$A$2:$L$169,9,FALSE),"")</f>
        <v/>
      </c>
      <c r="AI163" s="18">
        <f>IFERROR(VLOOKUP($H163&amp;"|"&amp;$Q163,Tariff_Master!$A$2:$L$169,10,FALSE),"")</f>
        <v/>
      </c>
      <c r="AJ163" s="21">
        <f>IF($M163="","",ROUNDUP(MAX(0,$M163),0))</f>
        <v/>
      </c>
      <c r="AK163" s="21">
        <f>IF(OR($AJ163="",$AF163=""),"",MAX(0,$AJ163-$AF163))</f>
        <v/>
      </c>
      <c r="AL163" s="22">
        <f>IF(OR($AK163="",$AG163=""),"",MAX(0,$AK163*$AG163))</f>
        <v/>
      </c>
      <c r="AM163" s="22">
        <f>IF($AE163="","",MAX(0,SUM($AE163,$AL163,$V163,$W163)))</f>
        <v/>
      </c>
      <c r="AN163" s="22">
        <f>IF($AM163="","",IF(AND($Q163="COMMITMENT",$R163&gt;=$AH163),$AI163,0))</f>
        <v/>
      </c>
      <c r="AO163" s="23">
        <f>IF($AM163="","",MAX(0,$AM163-$AN163))</f>
        <v/>
      </c>
      <c r="AP163" s="22">
        <f>IF($S163="","",IF(OR($S163="ITEM_PRICE_PLUS_DECLARED_DELIVERY",$S163="DELIVERY_CHARGE_ONLY"),$K163,IF($S163="TOTAL_AMOUNT_INCLUDING_DELIVERY",IF(OR($T163="",$J163=""),"",MAX(0,$T163-$J163-$U163)),IF($S163="ITEM_PRICE_ONLY_DELIVERY_PAID_BY_MERCHANT",0,""))))</f>
        <v/>
      </c>
      <c r="AQ163" s="23">
        <f>IF(OR($AP163="",$AO163=""),"",$AP163-$AO163)</f>
        <v/>
      </c>
      <c r="AR163" s="24">
        <f>IF($S163="EXACT_COLLECTION_AMOUNT","BREAKDOWN_REQUIRED",IF($AQ163="","",IF($AQ163&gt;0,"CREDIT_TO_MERCHANT",IF($AQ163&lt;0,"DEDUCT_FROM_MERCHANT","NO_ADJUSTMENT"))))</f>
        <v/>
      </c>
      <c r="AS163" s="23">
        <f>IF(OR($AQ163="",$AR163="BREAKDOWN_REQUIRED"),"",$AQ163)</f>
        <v/>
      </c>
      <c r="AT163" s="23">
        <f>IF(OR($AR163="",$AR163="BREAKDOWN_REQUIRED"),"",SUM($J163,$AQ163,$Y163)-$X163)</f>
        <v/>
      </c>
      <c r="AU163" s="25">
        <f>IF(AND($A163="",$B163="",$F163="",$H163="",$J163="",$K163="",$M163="",$S163=""),"",IF(OR($H163="",$Q163="",$M163="",$S163=""),"ERROR",IF(OR($J163&lt;0,$K163&lt;0,$M163&lt;0,$T163&lt;0,$U163&lt;0,$V163&lt;0,$W163&lt;0,$X163&lt;0,$Y163&lt;0),"ERROR",IF($AE163="","ERROR",IF(AND(OR($S163="ITEM_PRICE_PLUS_DECLARED_DELIVERY",$S163="TOTAL_AMOUNT_INCLUDING_DELIVERY",$S163="ITEM_PRICE_ONLY_DELIVERY_PAID_BY_MERCHANT"),$J163=""),"ERROR",IF(AND(OR($S163="ITEM_PRICE_PLUS_DECLARED_DELIVERY",$S163="DELIVERY_CHARGE_ONLY"),$K163=""),"ERROR",IF(AND(OR($S163="TOTAL_AMOUNT_INCLUDING_DELIVERY",$S163="EXACT_COLLECTION_AMOUNT"),$T163=""),"ERROR",IF(AND($S163="TOTAL_AMOUNT_INCLUDING_DELIVERY",$T163&lt;SUM($J163,$U163)),"ERROR",IF($S163="EXACT_COLLECTION_AMOUNT","REVIEW","OK")))))))))</f>
        <v/>
      </c>
      <c r="AV163" s="25">
        <f>IF($AU163="","",IF($H163="","Township required",IF($Q163="","Customer tier required",IF($M163="","Weight required",IF($S163="","Amount entry type required",IF(OR($J163&lt;0,$K163&lt;0,$M163&lt;0,$T163&lt;0,$U163&lt;0,$V163&lt;0,$W163&lt;0,$X163&lt;0,$Y163&lt;0),"Negative amounts are not allowed",IF($AE163="","Tariff not found for township and tier",IF(AND(OR($S163="ITEM_PRICE_PLUS_DECLARED_DELIVERY",$S163="TOTAL_AMOUNT_INCLUDING_DELIVERY",$S163="ITEM_PRICE_ONLY_DELIVERY_PAID_BY_MERCHANT"),$J163=""),"Item price required for this amount type",IF(AND(OR($S163="ITEM_PRICE_PLUS_DECLARED_DELIVERY",$S163="DELIVERY_CHARGE_ONLY"),$K163=""),"Declared delivery charge required",IF(AND(OR($S163="TOTAL_AMOUNT_INCLUDING_DELIVERY",$S163="EXACT_COLLECTION_AMOUNT"),$T163=""),"Stated total amount required",IF(AND($S163="TOTAL_AMOUNT_INCLUDING_DELIVERY",$T163&lt;SUM($J163,$U163)),"Stated total is below item price plus additional charge",IF($S163="EXACT_COLLECTION_AMOUNT","Authorized amount breakdown required before settlement","Ready for collection and settlement"))))))))))))</f>
        <v/>
      </c>
      <c r="AW163" s="23">
        <f>IF($AU163="","","PARCEL_FINANCIAL_V2")</f>
        <v/>
      </c>
      <c r="AX163" s="17" t="n"/>
    </row>
    <row r="164">
      <c r="A164" s="8" t="n"/>
      <c r="B164" s="8" t="n"/>
      <c r="C164" s="8" t="n"/>
      <c r="D164" s="8" t="n"/>
      <c r="E164" s="9" t="n"/>
      <c r="F164" s="9" t="n"/>
      <c r="G164" s="8" t="n"/>
      <c r="H164" s="9" t="n"/>
      <c r="I164" s="9" t="n"/>
      <c r="J164" s="10" t="n"/>
      <c r="K164" s="10" t="n"/>
      <c r="L164" s="11">
        <f>IF($S164="","",IF($S164="ITEM_PRICE_PLUS_DECLARED_DELIVERY",IF(OR($J164="",$K164=""),"",SUM($J164,$K164,$U164)),IF($S164="TOTAL_AMOUNT_INCLUDING_DELIVERY",IF($T164="","",$T164),IF($S164="DELIVERY_CHARGE_ONLY",IF($K164="","",SUM($K164,$U164)),IF($S164="EXACT_COLLECTION_AMOUNT",IF($T164="","",$T164),IF($S164="ITEM_PRICE_ONLY_DELIVERY_PAID_BY_MERCHANT",IF($J164="","",SUM($J164,$U164)),""))))))</f>
        <v/>
      </c>
      <c r="M164" s="12" t="n"/>
      <c r="N164" s="13" t="n"/>
      <c r="O164" s="13" t="n"/>
      <c r="P164" s="9" t="n"/>
      <c r="Q164" s="14" t="n"/>
      <c r="R164" s="15" t="n"/>
      <c r="S164" s="14" t="n"/>
      <c r="T164" s="16" t="n"/>
      <c r="U164" s="16" t="n"/>
      <c r="V164" s="16" t="n"/>
      <c r="W164" s="16" t="n"/>
      <c r="X164" s="16" t="n"/>
      <c r="Y164" s="16" t="n"/>
      <c r="Z164" s="14" t="n"/>
      <c r="AA164" s="14" t="n"/>
      <c r="AB164" s="14" t="n"/>
      <c r="AC164" s="17">
        <f>IFERROR(VLOOKUP($H164&amp;"|"&amp;$Q164,Tariff_Master!$A$2:$L$169,3,FALSE),"")</f>
        <v/>
      </c>
      <c r="AD164" s="17">
        <f>IFERROR(VLOOKUP($H164&amp;"|"&amp;$Q164,Tariff_Master!$A$2:$L$169,4,FALSE),"")</f>
        <v/>
      </c>
      <c r="AE164" s="18">
        <f>IFERROR(VLOOKUP($H164&amp;"|"&amp;$Q164,Tariff_Master!$A$2:$L$169,6,FALSE),"")</f>
        <v/>
      </c>
      <c r="AF164" s="19">
        <f>IFERROR(VLOOKUP($H164&amp;"|"&amp;$Q164,Tariff_Master!$A$2:$L$169,7,FALSE),"")</f>
        <v/>
      </c>
      <c r="AG164" s="18">
        <f>IFERROR(VLOOKUP($H164&amp;"|"&amp;$Q164,Tariff_Master!$A$2:$L$169,8,FALSE),"")</f>
        <v/>
      </c>
      <c r="AH164" s="20">
        <f>IFERROR(VLOOKUP($H164&amp;"|"&amp;$Q164,Tariff_Master!$A$2:$L$169,9,FALSE),"")</f>
        <v/>
      </c>
      <c r="AI164" s="18">
        <f>IFERROR(VLOOKUP($H164&amp;"|"&amp;$Q164,Tariff_Master!$A$2:$L$169,10,FALSE),"")</f>
        <v/>
      </c>
      <c r="AJ164" s="21">
        <f>IF($M164="","",ROUNDUP(MAX(0,$M164),0))</f>
        <v/>
      </c>
      <c r="AK164" s="21">
        <f>IF(OR($AJ164="",$AF164=""),"",MAX(0,$AJ164-$AF164))</f>
        <v/>
      </c>
      <c r="AL164" s="22">
        <f>IF(OR($AK164="",$AG164=""),"",MAX(0,$AK164*$AG164))</f>
        <v/>
      </c>
      <c r="AM164" s="22">
        <f>IF($AE164="","",MAX(0,SUM($AE164,$AL164,$V164,$W164)))</f>
        <v/>
      </c>
      <c r="AN164" s="22">
        <f>IF($AM164="","",IF(AND($Q164="COMMITMENT",$R164&gt;=$AH164),$AI164,0))</f>
        <v/>
      </c>
      <c r="AO164" s="23">
        <f>IF($AM164="","",MAX(0,$AM164-$AN164))</f>
        <v/>
      </c>
      <c r="AP164" s="22">
        <f>IF($S164="","",IF(OR($S164="ITEM_PRICE_PLUS_DECLARED_DELIVERY",$S164="DELIVERY_CHARGE_ONLY"),$K164,IF($S164="TOTAL_AMOUNT_INCLUDING_DELIVERY",IF(OR($T164="",$J164=""),"",MAX(0,$T164-$J164-$U164)),IF($S164="ITEM_PRICE_ONLY_DELIVERY_PAID_BY_MERCHANT",0,""))))</f>
        <v/>
      </c>
      <c r="AQ164" s="23">
        <f>IF(OR($AP164="",$AO164=""),"",$AP164-$AO164)</f>
        <v/>
      </c>
      <c r="AR164" s="24">
        <f>IF($S164="EXACT_COLLECTION_AMOUNT","BREAKDOWN_REQUIRED",IF($AQ164="","",IF($AQ164&gt;0,"CREDIT_TO_MERCHANT",IF($AQ164&lt;0,"DEDUCT_FROM_MERCHANT","NO_ADJUSTMENT"))))</f>
        <v/>
      </c>
      <c r="AS164" s="23">
        <f>IF(OR($AQ164="",$AR164="BREAKDOWN_REQUIRED"),"",$AQ164)</f>
        <v/>
      </c>
      <c r="AT164" s="23">
        <f>IF(OR($AR164="",$AR164="BREAKDOWN_REQUIRED"),"",SUM($J164,$AQ164,$Y164)-$X164)</f>
        <v/>
      </c>
      <c r="AU164" s="25">
        <f>IF(AND($A164="",$B164="",$F164="",$H164="",$J164="",$K164="",$M164="",$S164=""),"",IF(OR($H164="",$Q164="",$M164="",$S164=""),"ERROR",IF(OR($J164&lt;0,$K164&lt;0,$M164&lt;0,$T164&lt;0,$U164&lt;0,$V164&lt;0,$W164&lt;0,$X164&lt;0,$Y164&lt;0),"ERROR",IF($AE164="","ERROR",IF(AND(OR($S164="ITEM_PRICE_PLUS_DECLARED_DELIVERY",$S164="TOTAL_AMOUNT_INCLUDING_DELIVERY",$S164="ITEM_PRICE_ONLY_DELIVERY_PAID_BY_MERCHANT"),$J164=""),"ERROR",IF(AND(OR($S164="ITEM_PRICE_PLUS_DECLARED_DELIVERY",$S164="DELIVERY_CHARGE_ONLY"),$K164=""),"ERROR",IF(AND(OR($S164="TOTAL_AMOUNT_INCLUDING_DELIVERY",$S164="EXACT_COLLECTION_AMOUNT"),$T164=""),"ERROR",IF(AND($S164="TOTAL_AMOUNT_INCLUDING_DELIVERY",$T164&lt;SUM($J164,$U164)),"ERROR",IF($S164="EXACT_COLLECTION_AMOUNT","REVIEW","OK")))))))))</f>
        <v/>
      </c>
      <c r="AV164" s="25">
        <f>IF($AU164="","",IF($H164="","Township required",IF($Q164="","Customer tier required",IF($M164="","Weight required",IF($S164="","Amount entry type required",IF(OR($J164&lt;0,$K164&lt;0,$M164&lt;0,$T164&lt;0,$U164&lt;0,$V164&lt;0,$W164&lt;0,$X164&lt;0,$Y164&lt;0),"Negative amounts are not allowed",IF($AE164="","Tariff not found for township and tier",IF(AND(OR($S164="ITEM_PRICE_PLUS_DECLARED_DELIVERY",$S164="TOTAL_AMOUNT_INCLUDING_DELIVERY",$S164="ITEM_PRICE_ONLY_DELIVERY_PAID_BY_MERCHANT"),$J164=""),"Item price required for this amount type",IF(AND(OR($S164="ITEM_PRICE_PLUS_DECLARED_DELIVERY",$S164="DELIVERY_CHARGE_ONLY"),$K164=""),"Declared delivery charge required",IF(AND(OR($S164="TOTAL_AMOUNT_INCLUDING_DELIVERY",$S164="EXACT_COLLECTION_AMOUNT"),$T164=""),"Stated total amount required",IF(AND($S164="TOTAL_AMOUNT_INCLUDING_DELIVERY",$T164&lt;SUM($J164,$U164)),"Stated total is below item price plus additional charge",IF($S164="EXACT_COLLECTION_AMOUNT","Authorized amount breakdown required before settlement","Ready for collection and settlement"))))))))))))</f>
        <v/>
      </c>
      <c r="AW164" s="23">
        <f>IF($AU164="","","PARCEL_FINANCIAL_V2")</f>
        <v/>
      </c>
      <c r="AX164" s="17" t="n"/>
    </row>
    <row r="165">
      <c r="A165" s="8" t="n"/>
      <c r="B165" s="8" t="n"/>
      <c r="C165" s="8" t="n"/>
      <c r="D165" s="8" t="n"/>
      <c r="E165" s="9" t="n"/>
      <c r="F165" s="9" t="n"/>
      <c r="G165" s="8" t="n"/>
      <c r="H165" s="9" t="n"/>
      <c r="I165" s="9" t="n"/>
      <c r="J165" s="10" t="n"/>
      <c r="K165" s="10" t="n"/>
      <c r="L165" s="11">
        <f>IF($S165="","",IF($S165="ITEM_PRICE_PLUS_DECLARED_DELIVERY",IF(OR($J165="",$K165=""),"",SUM($J165,$K165,$U165)),IF($S165="TOTAL_AMOUNT_INCLUDING_DELIVERY",IF($T165="","",$T165),IF($S165="DELIVERY_CHARGE_ONLY",IF($K165="","",SUM($K165,$U165)),IF($S165="EXACT_COLLECTION_AMOUNT",IF($T165="","",$T165),IF($S165="ITEM_PRICE_ONLY_DELIVERY_PAID_BY_MERCHANT",IF($J165="","",SUM($J165,$U165)),""))))))</f>
        <v/>
      </c>
      <c r="M165" s="12" t="n"/>
      <c r="N165" s="13" t="n"/>
      <c r="O165" s="13" t="n"/>
      <c r="P165" s="9" t="n"/>
      <c r="Q165" s="14" t="n"/>
      <c r="R165" s="15" t="n"/>
      <c r="S165" s="14" t="n"/>
      <c r="T165" s="16" t="n"/>
      <c r="U165" s="16" t="n"/>
      <c r="V165" s="16" t="n"/>
      <c r="W165" s="16" t="n"/>
      <c r="X165" s="16" t="n"/>
      <c r="Y165" s="16" t="n"/>
      <c r="Z165" s="14" t="n"/>
      <c r="AA165" s="14" t="n"/>
      <c r="AB165" s="14" t="n"/>
      <c r="AC165" s="17">
        <f>IFERROR(VLOOKUP($H165&amp;"|"&amp;$Q165,Tariff_Master!$A$2:$L$169,3,FALSE),"")</f>
        <v/>
      </c>
      <c r="AD165" s="17">
        <f>IFERROR(VLOOKUP($H165&amp;"|"&amp;$Q165,Tariff_Master!$A$2:$L$169,4,FALSE),"")</f>
        <v/>
      </c>
      <c r="AE165" s="18">
        <f>IFERROR(VLOOKUP($H165&amp;"|"&amp;$Q165,Tariff_Master!$A$2:$L$169,6,FALSE),"")</f>
        <v/>
      </c>
      <c r="AF165" s="19">
        <f>IFERROR(VLOOKUP($H165&amp;"|"&amp;$Q165,Tariff_Master!$A$2:$L$169,7,FALSE),"")</f>
        <v/>
      </c>
      <c r="AG165" s="18">
        <f>IFERROR(VLOOKUP($H165&amp;"|"&amp;$Q165,Tariff_Master!$A$2:$L$169,8,FALSE),"")</f>
        <v/>
      </c>
      <c r="AH165" s="20">
        <f>IFERROR(VLOOKUP($H165&amp;"|"&amp;$Q165,Tariff_Master!$A$2:$L$169,9,FALSE),"")</f>
        <v/>
      </c>
      <c r="AI165" s="18">
        <f>IFERROR(VLOOKUP($H165&amp;"|"&amp;$Q165,Tariff_Master!$A$2:$L$169,10,FALSE),"")</f>
        <v/>
      </c>
      <c r="AJ165" s="21">
        <f>IF($M165="","",ROUNDUP(MAX(0,$M165),0))</f>
        <v/>
      </c>
      <c r="AK165" s="21">
        <f>IF(OR($AJ165="",$AF165=""),"",MAX(0,$AJ165-$AF165))</f>
        <v/>
      </c>
      <c r="AL165" s="22">
        <f>IF(OR($AK165="",$AG165=""),"",MAX(0,$AK165*$AG165))</f>
        <v/>
      </c>
      <c r="AM165" s="22">
        <f>IF($AE165="","",MAX(0,SUM($AE165,$AL165,$V165,$W165)))</f>
        <v/>
      </c>
      <c r="AN165" s="22">
        <f>IF($AM165="","",IF(AND($Q165="COMMITMENT",$R165&gt;=$AH165),$AI165,0))</f>
        <v/>
      </c>
      <c r="AO165" s="23">
        <f>IF($AM165="","",MAX(0,$AM165-$AN165))</f>
        <v/>
      </c>
      <c r="AP165" s="22">
        <f>IF($S165="","",IF(OR($S165="ITEM_PRICE_PLUS_DECLARED_DELIVERY",$S165="DELIVERY_CHARGE_ONLY"),$K165,IF($S165="TOTAL_AMOUNT_INCLUDING_DELIVERY",IF(OR($T165="",$J165=""),"",MAX(0,$T165-$J165-$U165)),IF($S165="ITEM_PRICE_ONLY_DELIVERY_PAID_BY_MERCHANT",0,""))))</f>
        <v/>
      </c>
      <c r="AQ165" s="23">
        <f>IF(OR($AP165="",$AO165=""),"",$AP165-$AO165)</f>
        <v/>
      </c>
      <c r="AR165" s="24">
        <f>IF($S165="EXACT_COLLECTION_AMOUNT","BREAKDOWN_REQUIRED",IF($AQ165="","",IF($AQ165&gt;0,"CREDIT_TO_MERCHANT",IF($AQ165&lt;0,"DEDUCT_FROM_MERCHANT","NO_ADJUSTMENT"))))</f>
        <v/>
      </c>
      <c r="AS165" s="23">
        <f>IF(OR($AQ165="",$AR165="BREAKDOWN_REQUIRED"),"",$AQ165)</f>
        <v/>
      </c>
      <c r="AT165" s="23">
        <f>IF(OR($AR165="",$AR165="BREAKDOWN_REQUIRED"),"",SUM($J165,$AQ165,$Y165)-$X165)</f>
        <v/>
      </c>
      <c r="AU165" s="25">
        <f>IF(AND($A165="",$B165="",$F165="",$H165="",$J165="",$K165="",$M165="",$S165=""),"",IF(OR($H165="",$Q165="",$M165="",$S165=""),"ERROR",IF(OR($J165&lt;0,$K165&lt;0,$M165&lt;0,$T165&lt;0,$U165&lt;0,$V165&lt;0,$W165&lt;0,$X165&lt;0,$Y165&lt;0),"ERROR",IF($AE165="","ERROR",IF(AND(OR($S165="ITEM_PRICE_PLUS_DECLARED_DELIVERY",$S165="TOTAL_AMOUNT_INCLUDING_DELIVERY",$S165="ITEM_PRICE_ONLY_DELIVERY_PAID_BY_MERCHANT"),$J165=""),"ERROR",IF(AND(OR($S165="ITEM_PRICE_PLUS_DECLARED_DELIVERY",$S165="DELIVERY_CHARGE_ONLY"),$K165=""),"ERROR",IF(AND(OR($S165="TOTAL_AMOUNT_INCLUDING_DELIVERY",$S165="EXACT_COLLECTION_AMOUNT"),$T165=""),"ERROR",IF(AND($S165="TOTAL_AMOUNT_INCLUDING_DELIVERY",$T165&lt;SUM($J165,$U165)),"ERROR",IF($S165="EXACT_COLLECTION_AMOUNT","REVIEW","OK")))))))))</f>
        <v/>
      </c>
      <c r="AV165" s="25">
        <f>IF($AU165="","",IF($H165="","Township required",IF($Q165="","Customer tier required",IF($M165="","Weight required",IF($S165="","Amount entry type required",IF(OR($J165&lt;0,$K165&lt;0,$M165&lt;0,$T165&lt;0,$U165&lt;0,$V165&lt;0,$W165&lt;0,$X165&lt;0,$Y165&lt;0),"Negative amounts are not allowed",IF($AE165="","Tariff not found for township and tier",IF(AND(OR($S165="ITEM_PRICE_PLUS_DECLARED_DELIVERY",$S165="TOTAL_AMOUNT_INCLUDING_DELIVERY",$S165="ITEM_PRICE_ONLY_DELIVERY_PAID_BY_MERCHANT"),$J165=""),"Item price required for this amount type",IF(AND(OR($S165="ITEM_PRICE_PLUS_DECLARED_DELIVERY",$S165="DELIVERY_CHARGE_ONLY"),$K165=""),"Declared delivery charge required",IF(AND(OR($S165="TOTAL_AMOUNT_INCLUDING_DELIVERY",$S165="EXACT_COLLECTION_AMOUNT"),$T165=""),"Stated total amount required",IF(AND($S165="TOTAL_AMOUNT_INCLUDING_DELIVERY",$T165&lt;SUM($J165,$U165)),"Stated total is below item price plus additional charge",IF($S165="EXACT_COLLECTION_AMOUNT","Authorized amount breakdown required before settlement","Ready for collection and settlement"))))))))))))</f>
        <v/>
      </c>
      <c r="AW165" s="23">
        <f>IF($AU165="","","PARCEL_FINANCIAL_V2")</f>
        <v/>
      </c>
      <c r="AX165" s="17" t="n"/>
    </row>
    <row r="166">
      <c r="A166" s="8" t="n"/>
      <c r="B166" s="8" t="n"/>
      <c r="C166" s="8" t="n"/>
      <c r="D166" s="8" t="n"/>
      <c r="E166" s="9" t="n"/>
      <c r="F166" s="9" t="n"/>
      <c r="G166" s="8" t="n"/>
      <c r="H166" s="9" t="n"/>
      <c r="I166" s="9" t="n"/>
      <c r="J166" s="10" t="n"/>
      <c r="K166" s="10" t="n"/>
      <c r="L166" s="11">
        <f>IF($S166="","",IF($S166="ITEM_PRICE_PLUS_DECLARED_DELIVERY",IF(OR($J166="",$K166=""),"",SUM($J166,$K166,$U166)),IF($S166="TOTAL_AMOUNT_INCLUDING_DELIVERY",IF($T166="","",$T166),IF($S166="DELIVERY_CHARGE_ONLY",IF($K166="","",SUM($K166,$U166)),IF($S166="EXACT_COLLECTION_AMOUNT",IF($T166="","",$T166),IF($S166="ITEM_PRICE_ONLY_DELIVERY_PAID_BY_MERCHANT",IF($J166="","",SUM($J166,$U166)),""))))))</f>
        <v/>
      </c>
      <c r="M166" s="12" t="n"/>
      <c r="N166" s="13" t="n"/>
      <c r="O166" s="13" t="n"/>
      <c r="P166" s="9" t="n"/>
      <c r="Q166" s="14" t="n"/>
      <c r="R166" s="15" t="n"/>
      <c r="S166" s="14" t="n"/>
      <c r="T166" s="16" t="n"/>
      <c r="U166" s="16" t="n"/>
      <c r="V166" s="16" t="n"/>
      <c r="W166" s="16" t="n"/>
      <c r="X166" s="16" t="n"/>
      <c r="Y166" s="16" t="n"/>
      <c r="Z166" s="14" t="n"/>
      <c r="AA166" s="14" t="n"/>
      <c r="AB166" s="14" t="n"/>
      <c r="AC166" s="17">
        <f>IFERROR(VLOOKUP($H166&amp;"|"&amp;$Q166,Tariff_Master!$A$2:$L$169,3,FALSE),"")</f>
        <v/>
      </c>
      <c r="AD166" s="17">
        <f>IFERROR(VLOOKUP($H166&amp;"|"&amp;$Q166,Tariff_Master!$A$2:$L$169,4,FALSE),"")</f>
        <v/>
      </c>
      <c r="AE166" s="18">
        <f>IFERROR(VLOOKUP($H166&amp;"|"&amp;$Q166,Tariff_Master!$A$2:$L$169,6,FALSE),"")</f>
        <v/>
      </c>
      <c r="AF166" s="19">
        <f>IFERROR(VLOOKUP($H166&amp;"|"&amp;$Q166,Tariff_Master!$A$2:$L$169,7,FALSE),"")</f>
        <v/>
      </c>
      <c r="AG166" s="18">
        <f>IFERROR(VLOOKUP($H166&amp;"|"&amp;$Q166,Tariff_Master!$A$2:$L$169,8,FALSE),"")</f>
        <v/>
      </c>
      <c r="AH166" s="20">
        <f>IFERROR(VLOOKUP($H166&amp;"|"&amp;$Q166,Tariff_Master!$A$2:$L$169,9,FALSE),"")</f>
        <v/>
      </c>
      <c r="AI166" s="18">
        <f>IFERROR(VLOOKUP($H166&amp;"|"&amp;$Q166,Tariff_Master!$A$2:$L$169,10,FALSE),"")</f>
        <v/>
      </c>
      <c r="AJ166" s="21">
        <f>IF($M166="","",ROUNDUP(MAX(0,$M166),0))</f>
        <v/>
      </c>
      <c r="AK166" s="21">
        <f>IF(OR($AJ166="",$AF166=""),"",MAX(0,$AJ166-$AF166))</f>
        <v/>
      </c>
      <c r="AL166" s="22">
        <f>IF(OR($AK166="",$AG166=""),"",MAX(0,$AK166*$AG166))</f>
        <v/>
      </c>
      <c r="AM166" s="22">
        <f>IF($AE166="","",MAX(0,SUM($AE166,$AL166,$V166,$W166)))</f>
        <v/>
      </c>
      <c r="AN166" s="22">
        <f>IF($AM166="","",IF(AND($Q166="COMMITMENT",$R166&gt;=$AH166),$AI166,0))</f>
        <v/>
      </c>
      <c r="AO166" s="23">
        <f>IF($AM166="","",MAX(0,$AM166-$AN166))</f>
        <v/>
      </c>
      <c r="AP166" s="22">
        <f>IF($S166="","",IF(OR($S166="ITEM_PRICE_PLUS_DECLARED_DELIVERY",$S166="DELIVERY_CHARGE_ONLY"),$K166,IF($S166="TOTAL_AMOUNT_INCLUDING_DELIVERY",IF(OR($T166="",$J166=""),"",MAX(0,$T166-$J166-$U166)),IF($S166="ITEM_PRICE_ONLY_DELIVERY_PAID_BY_MERCHANT",0,""))))</f>
        <v/>
      </c>
      <c r="AQ166" s="23">
        <f>IF(OR($AP166="",$AO166=""),"",$AP166-$AO166)</f>
        <v/>
      </c>
      <c r="AR166" s="24">
        <f>IF($S166="EXACT_COLLECTION_AMOUNT","BREAKDOWN_REQUIRED",IF($AQ166="","",IF($AQ166&gt;0,"CREDIT_TO_MERCHANT",IF($AQ166&lt;0,"DEDUCT_FROM_MERCHANT","NO_ADJUSTMENT"))))</f>
        <v/>
      </c>
      <c r="AS166" s="23">
        <f>IF(OR($AQ166="",$AR166="BREAKDOWN_REQUIRED"),"",$AQ166)</f>
        <v/>
      </c>
      <c r="AT166" s="23">
        <f>IF(OR($AR166="",$AR166="BREAKDOWN_REQUIRED"),"",SUM($J166,$AQ166,$Y166)-$X166)</f>
        <v/>
      </c>
      <c r="AU166" s="25">
        <f>IF(AND($A166="",$B166="",$F166="",$H166="",$J166="",$K166="",$M166="",$S166=""),"",IF(OR($H166="",$Q166="",$M166="",$S166=""),"ERROR",IF(OR($J166&lt;0,$K166&lt;0,$M166&lt;0,$T166&lt;0,$U166&lt;0,$V166&lt;0,$W166&lt;0,$X166&lt;0,$Y166&lt;0),"ERROR",IF($AE166="","ERROR",IF(AND(OR($S166="ITEM_PRICE_PLUS_DECLARED_DELIVERY",$S166="TOTAL_AMOUNT_INCLUDING_DELIVERY",$S166="ITEM_PRICE_ONLY_DELIVERY_PAID_BY_MERCHANT"),$J166=""),"ERROR",IF(AND(OR($S166="ITEM_PRICE_PLUS_DECLARED_DELIVERY",$S166="DELIVERY_CHARGE_ONLY"),$K166=""),"ERROR",IF(AND(OR($S166="TOTAL_AMOUNT_INCLUDING_DELIVERY",$S166="EXACT_COLLECTION_AMOUNT"),$T166=""),"ERROR",IF(AND($S166="TOTAL_AMOUNT_INCLUDING_DELIVERY",$T166&lt;SUM($J166,$U166)),"ERROR",IF($S166="EXACT_COLLECTION_AMOUNT","REVIEW","OK")))))))))</f>
        <v/>
      </c>
      <c r="AV166" s="25">
        <f>IF($AU166="","",IF($H166="","Township required",IF($Q166="","Customer tier required",IF($M166="","Weight required",IF($S166="","Amount entry type required",IF(OR($J166&lt;0,$K166&lt;0,$M166&lt;0,$T166&lt;0,$U166&lt;0,$V166&lt;0,$W166&lt;0,$X166&lt;0,$Y166&lt;0),"Negative amounts are not allowed",IF($AE166="","Tariff not found for township and tier",IF(AND(OR($S166="ITEM_PRICE_PLUS_DECLARED_DELIVERY",$S166="TOTAL_AMOUNT_INCLUDING_DELIVERY",$S166="ITEM_PRICE_ONLY_DELIVERY_PAID_BY_MERCHANT"),$J166=""),"Item price required for this amount type",IF(AND(OR($S166="ITEM_PRICE_PLUS_DECLARED_DELIVERY",$S166="DELIVERY_CHARGE_ONLY"),$K166=""),"Declared delivery charge required",IF(AND(OR($S166="TOTAL_AMOUNT_INCLUDING_DELIVERY",$S166="EXACT_COLLECTION_AMOUNT"),$T166=""),"Stated total amount required",IF(AND($S166="TOTAL_AMOUNT_INCLUDING_DELIVERY",$T166&lt;SUM($J166,$U166)),"Stated total is below item price plus additional charge",IF($S166="EXACT_COLLECTION_AMOUNT","Authorized amount breakdown required before settlement","Ready for collection and settlement"))))))))))))</f>
        <v/>
      </c>
      <c r="AW166" s="23">
        <f>IF($AU166="","","PARCEL_FINANCIAL_V2")</f>
        <v/>
      </c>
      <c r="AX166" s="17" t="n"/>
    </row>
    <row r="167">
      <c r="A167" s="8" t="n"/>
      <c r="B167" s="8" t="n"/>
      <c r="C167" s="8" t="n"/>
      <c r="D167" s="8" t="n"/>
      <c r="E167" s="9" t="n"/>
      <c r="F167" s="9" t="n"/>
      <c r="G167" s="8" t="n"/>
      <c r="H167" s="9" t="n"/>
      <c r="I167" s="9" t="n"/>
      <c r="J167" s="10" t="n"/>
      <c r="K167" s="10" t="n"/>
      <c r="L167" s="11">
        <f>IF($S167="","",IF($S167="ITEM_PRICE_PLUS_DECLARED_DELIVERY",IF(OR($J167="",$K167=""),"",SUM($J167,$K167,$U167)),IF($S167="TOTAL_AMOUNT_INCLUDING_DELIVERY",IF($T167="","",$T167),IF($S167="DELIVERY_CHARGE_ONLY",IF($K167="","",SUM($K167,$U167)),IF($S167="EXACT_COLLECTION_AMOUNT",IF($T167="","",$T167),IF($S167="ITEM_PRICE_ONLY_DELIVERY_PAID_BY_MERCHANT",IF($J167="","",SUM($J167,$U167)),""))))))</f>
        <v/>
      </c>
      <c r="M167" s="12" t="n"/>
      <c r="N167" s="13" t="n"/>
      <c r="O167" s="13" t="n"/>
      <c r="P167" s="9" t="n"/>
      <c r="Q167" s="14" t="n"/>
      <c r="R167" s="15" t="n"/>
      <c r="S167" s="14" t="n"/>
      <c r="T167" s="16" t="n"/>
      <c r="U167" s="16" t="n"/>
      <c r="V167" s="16" t="n"/>
      <c r="W167" s="16" t="n"/>
      <c r="X167" s="16" t="n"/>
      <c r="Y167" s="16" t="n"/>
      <c r="Z167" s="14" t="n"/>
      <c r="AA167" s="14" t="n"/>
      <c r="AB167" s="14" t="n"/>
      <c r="AC167" s="17">
        <f>IFERROR(VLOOKUP($H167&amp;"|"&amp;$Q167,Tariff_Master!$A$2:$L$169,3,FALSE),"")</f>
        <v/>
      </c>
      <c r="AD167" s="17">
        <f>IFERROR(VLOOKUP($H167&amp;"|"&amp;$Q167,Tariff_Master!$A$2:$L$169,4,FALSE),"")</f>
        <v/>
      </c>
      <c r="AE167" s="18">
        <f>IFERROR(VLOOKUP($H167&amp;"|"&amp;$Q167,Tariff_Master!$A$2:$L$169,6,FALSE),"")</f>
        <v/>
      </c>
      <c r="AF167" s="19">
        <f>IFERROR(VLOOKUP($H167&amp;"|"&amp;$Q167,Tariff_Master!$A$2:$L$169,7,FALSE),"")</f>
        <v/>
      </c>
      <c r="AG167" s="18">
        <f>IFERROR(VLOOKUP($H167&amp;"|"&amp;$Q167,Tariff_Master!$A$2:$L$169,8,FALSE),"")</f>
        <v/>
      </c>
      <c r="AH167" s="20">
        <f>IFERROR(VLOOKUP($H167&amp;"|"&amp;$Q167,Tariff_Master!$A$2:$L$169,9,FALSE),"")</f>
        <v/>
      </c>
      <c r="AI167" s="18">
        <f>IFERROR(VLOOKUP($H167&amp;"|"&amp;$Q167,Tariff_Master!$A$2:$L$169,10,FALSE),"")</f>
        <v/>
      </c>
      <c r="AJ167" s="21">
        <f>IF($M167="","",ROUNDUP(MAX(0,$M167),0))</f>
        <v/>
      </c>
      <c r="AK167" s="21">
        <f>IF(OR($AJ167="",$AF167=""),"",MAX(0,$AJ167-$AF167))</f>
        <v/>
      </c>
      <c r="AL167" s="22">
        <f>IF(OR($AK167="",$AG167=""),"",MAX(0,$AK167*$AG167))</f>
        <v/>
      </c>
      <c r="AM167" s="22">
        <f>IF($AE167="","",MAX(0,SUM($AE167,$AL167,$V167,$W167)))</f>
        <v/>
      </c>
      <c r="AN167" s="22">
        <f>IF($AM167="","",IF(AND($Q167="COMMITMENT",$R167&gt;=$AH167),$AI167,0))</f>
        <v/>
      </c>
      <c r="AO167" s="23">
        <f>IF($AM167="","",MAX(0,$AM167-$AN167))</f>
        <v/>
      </c>
      <c r="AP167" s="22">
        <f>IF($S167="","",IF(OR($S167="ITEM_PRICE_PLUS_DECLARED_DELIVERY",$S167="DELIVERY_CHARGE_ONLY"),$K167,IF($S167="TOTAL_AMOUNT_INCLUDING_DELIVERY",IF(OR($T167="",$J167=""),"",MAX(0,$T167-$J167-$U167)),IF($S167="ITEM_PRICE_ONLY_DELIVERY_PAID_BY_MERCHANT",0,""))))</f>
        <v/>
      </c>
      <c r="AQ167" s="23">
        <f>IF(OR($AP167="",$AO167=""),"",$AP167-$AO167)</f>
        <v/>
      </c>
      <c r="AR167" s="24">
        <f>IF($S167="EXACT_COLLECTION_AMOUNT","BREAKDOWN_REQUIRED",IF($AQ167="","",IF($AQ167&gt;0,"CREDIT_TO_MERCHANT",IF($AQ167&lt;0,"DEDUCT_FROM_MERCHANT","NO_ADJUSTMENT"))))</f>
        <v/>
      </c>
      <c r="AS167" s="23">
        <f>IF(OR($AQ167="",$AR167="BREAKDOWN_REQUIRED"),"",$AQ167)</f>
        <v/>
      </c>
      <c r="AT167" s="23">
        <f>IF(OR($AR167="",$AR167="BREAKDOWN_REQUIRED"),"",SUM($J167,$AQ167,$Y167)-$X167)</f>
        <v/>
      </c>
      <c r="AU167" s="25">
        <f>IF(AND($A167="",$B167="",$F167="",$H167="",$J167="",$K167="",$M167="",$S167=""),"",IF(OR($H167="",$Q167="",$M167="",$S167=""),"ERROR",IF(OR($J167&lt;0,$K167&lt;0,$M167&lt;0,$T167&lt;0,$U167&lt;0,$V167&lt;0,$W167&lt;0,$X167&lt;0,$Y167&lt;0),"ERROR",IF($AE167="","ERROR",IF(AND(OR($S167="ITEM_PRICE_PLUS_DECLARED_DELIVERY",$S167="TOTAL_AMOUNT_INCLUDING_DELIVERY",$S167="ITEM_PRICE_ONLY_DELIVERY_PAID_BY_MERCHANT"),$J167=""),"ERROR",IF(AND(OR($S167="ITEM_PRICE_PLUS_DECLARED_DELIVERY",$S167="DELIVERY_CHARGE_ONLY"),$K167=""),"ERROR",IF(AND(OR($S167="TOTAL_AMOUNT_INCLUDING_DELIVERY",$S167="EXACT_COLLECTION_AMOUNT"),$T167=""),"ERROR",IF(AND($S167="TOTAL_AMOUNT_INCLUDING_DELIVERY",$T167&lt;SUM($J167,$U167)),"ERROR",IF($S167="EXACT_COLLECTION_AMOUNT","REVIEW","OK")))))))))</f>
        <v/>
      </c>
      <c r="AV167" s="25">
        <f>IF($AU167="","",IF($H167="","Township required",IF($Q167="","Customer tier required",IF($M167="","Weight required",IF($S167="","Amount entry type required",IF(OR($J167&lt;0,$K167&lt;0,$M167&lt;0,$T167&lt;0,$U167&lt;0,$V167&lt;0,$W167&lt;0,$X167&lt;0,$Y167&lt;0),"Negative amounts are not allowed",IF($AE167="","Tariff not found for township and tier",IF(AND(OR($S167="ITEM_PRICE_PLUS_DECLARED_DELIVERY",$S167="TOTAL_AMOUNT_INCLUDING_DELIVERY",$S167="ITEM_PRICE_ONLY_DELIVERY_PAID_BY_MERCHANT"),$J167=""),"Item price required for this amount type",IF(AND(OR($S167="ITEM_PRICE_PLUS_DECLARED_DELIVERY",$S167="DELIVERY_CHARGE_ONLY"),$K167=""),"Declared delivery charge required",IF(AND(OR($S167="TOTAL_AMOUNT_INCLUDING_DELIVERY",$S167="EXACT_COLLECTION_AMOUNT"),$T167=""),"Stated total amount required",IF(AND($S167="TOTAL_AMOUNT_INCLUDING_DELIVERY",$T167&lt;SUM($J167,$U167)),"Stated total is below item price plus additional charge",IF($S167="EXACT_COLLECTION_AMOUNT","Authorized amount breakdown required before settlement","Ready for collection and settlement"))))))))))))</f>
        <v/>
      </c>
      <c r="AW167" s="23">
        <f>IF($AU167="","","PARCEL_FINANCIAL_V2")</f>
        <v/>
      </c>
      <c r="AX167" s="17" t="n"/>
    </row>
    <row r="168">
      <c r="A168" s="8" t="n"/>
      <c r="B168" s="8" t="n"/>
      <c r="C168" s="8" t="n"/>
      <c r="D168" s="8" t="n"/>
      <c r="E168" s="9" t="n"/>
      <c r="F168" s="9" t="n"/>
      <c r="G168" s="8" t="n"/>
      <c r="H168" s="9" t="n"/>
      <c r="I168" s="9" t="n"/>
      <c r="J168" s="10" t="n"/>
      <c r="K168" s="10" t="n"/>
      <c r="L168" s="11">
        <f>IF($S168="","",IF($S168="ITEM_PRICE_PLUS_DECLARED_DELIVERY",IF(OR($J168="",$K168=""),"",SUM($J168,$K168,$U168)),IF($S168="TOTAL_AMOUNT_INCLUDING_DELIVERY",IF($T168="","",$T168),IF($S168="DELIVERY_CHARGE_ONLY",IF($K168="","",SUM($K168,$U168)),IF($S168="EXACT_COLLECTION_AMOUNT",IF($T168="","",$T168),IF($S168="ITEM_PRICE_ONLY_DELIVERY_PAID_BY_MERCHANT",IF($J168="","",SUM($J168,$U168)),""))))))</f>
        <v/>
      </c>
      <c r="M168" s="12" t="n"/>
      <c r="N168" s="13" t="n"/>
      <c r="O168" s="13" t="n"/>
      <c r="P168" s="9" t="n"/>
      <c r="Q168" s="14" t="n"/>
      <c r="R168" s="15" t="n"/>
      <c r="S168" s="14" t="n"/>
      <c r="T168" s="16" t="n"/>
      <c r="U168" s="16" t="n"/>
      <c r="V168" s="16" t="n"/>
      <c r="W168" s="16" t="n"/>
      <c r="X168" s="16" t="n"/>
      <c r="Y168" s="16" t="n"/>
      <c r="Z168" s="14" t="n"/>
      <c r="AA168" s="14" t="n"/>
      <c r="AB168" s="14" t="n"/>
      <c r="AC168" s="17">
        <f>IFERROR(VLOOKUP($H168&amp;"|"&amp;$Q168,Tariff_Master!$A$2:$L$169,3,FALSE),"")</f>
        <v/>
      </c>
      <c r="AD168" s="17">
        <f>IFERROR(VLOOKUP($H168&amp;"|"&amp;$Q168,Tariff_Master!$A$2:$L$169,4,FALSE),"")</f>
        <v/>
      </c>
      <c r="AE168" s="18">
        <f>IFERROR(VLOOKUP($H168&amp;"|"&amp;$Q168,Tariff_Master!$A$2:$L$169,6,FALSE),"")</f>
        <v/>
      </c>
      <c r="AF168" s="19">
        <f>IFERROR(VLOOKUP($H168&amp;"|"&amp;$Q168,Tariff_Master!$A$2:$L$169,7,FALSE),"")</f>
        <v/>
      </c>
      <c r="AG168" s="18">
        <f>IFERROR(VLOOKUP($H168&amp;"|"&amp;$Q168,Tariff_Master!$A$2:$L$169,8,FALSE),"")</f>
        <v/>
      </c>
      <c r="AH168" s="20">
        <f>IFERROR(VLOOKUP($H168&amp;"|"&amp;$Q168,Tariff_Master!$A$2:$L$169,9,FALSE),"")</f>
        <v/>
      </c>
      <c r="AI168" s="18">
        <f>IFERROR(VLOOKUP($H168&amp;"|"&amp;$Q168,Tariff_Master!$A$2:$L$169,10,FALSE),"")</f>
        <v/>
      </c>
      <c r="AJ168" s="21">
        <f>IF($M168="","",ROUNDUP(MAX(0,$M168),0))</f>
        <v/>
      </c>
      <c r="AK168" s="21">
        <f>IF(OR($AJ168="",$AF168=""),"",MAX(0,$AJ168-$AF168))</f>
        <v/>
      </c>
      <c r="AL168" s="22">
        <f>IF(OR($AK168="",$AG168=""),"",MAX(0,$AK168*$AG168))</f>
        <v/>
      </c>
      <c r="AM168" s="22">
        <f>IF($AE168="","",MAX(0,SUM($AE168,$AL168,$V168,$W168)))</f>
        <v/>
      </c>
      <c r="AN168" s="22">
        <f>IF($AM168="","",IF(AND($Q168="COMMITMENT",$R168&gt;=$AH168),$AI168,0))</f>
        <v/>
      </c>
      <c r="AO168" s="23">
        <f>IF($AM168="","",MAX(0,$AM168-$AN168))</f>
        <v/>
      </c>
      <c r="AP168" s="22">
        <f>IF($S168="","",IF(OR($S168="ITEM_PRICE_PLUS_DECLARED_DELIVERY",$S168="DELIVERY_CHARGE_ONLY"),$K168,IF($S168="TOTAL_AMOUNT_INCLUDING_DELIVERY",IF(OR($T168="",$J168=""),"",MAX(0,$T168-$J168-$U168)),IF($S168="ITEM_PRICE_ONLY_DELIVERY_PAID_BY_MERCHANT",0,""))))</f>
        <v/>
      </c>
      <c r="AQ168" s="23">
        <f>IF(OR($AP168="",$AO168=""),"",$AP168-$AO168)</f>
        <v/>
      </c>
      <c r="AR168" s="24">
        <f>IF($S168="EXACT_COLLECTION_AMOUNT","BREAKDOWN_REQUIRED",IF($AQ168="","",IF($AQ168&gt;0,"CREDIT_TO_MERCHANT",IF($AQ168&lt;0,"DEDUCT_FROM_MERCHANT","NO_ADJUSTMENT"))))</f>
        <v/>
      </c>
      <c r="AS168" s="23">
        <f>IF(OR($AQ168="",$AR168="BREAKDOWN_REQUIRED"),"",$AQ168)</f>
        <v/>
      </c>
      <c r="AT168" s="23">
        <f>IF(OR($AR168="",$AR168="BREAKDOWN_REQUIRED"),"",SUM($J168,$AQ168,$Y168)-$X168)</f>
        <v/>
      </c>
      <c r="AU168" s="25">
        <f>IF(AND($A168="",$B168="",$F168="",$H168="",$J168="",$K168="",$M168="",$S168=""),"",IF(OR($H168="",$Q168="",$M168="",$S168=""),"ERROR",IF(OR($J168&lt;0,$K168&lt;0,$M168&lt;0,$T168&lt;0,$U168&lt;0,$V168&lt;0,$W168&lt;0,$X168&lt;0,$Y168&lt;0),"ERROR",IF($AE168="","ERROR",IF(AND(OR($S168="ITEM_PRICE_PLUS_DECLARED_DELIVERY",$S168="TOTAL_AMOUNT_INCLUDING_DELIVERY",$S168="ITEM_PRICE_ONLY_DELIVERY_PAID_BY_MERCHANT"),$J168=""),"ERROR",IF(AND(OR($S168="ITEM_PRICE_PLUS_DECLARED_DELIVERY",$S168="DELIVERY_CHARGE_ONLY"),$K168=""),"ERROR",IF(AND(OR($S168="TOTAL_AMOUNT_INCLUDING_DELIVERY",$S168="EXACT_COLLECTION_AMOUNT"),$T168=""),"ERROR",IF(AND($S168="TOTAL_AMOUNT_INCLUDING_DELIVERY",$T168&lt;SUM($J168,$U168)),"ERROR",IF($S168="EXACT_COLLECTION_AMOUNT","REVIEW","OK")))))))))</f>
        <v/>
      </c>
      <c r="AV168" s="25">
        <f>IF($AU168="","",IF($H168="","Township required",IF($Q168="","Customer tier required",IF($M168="","Weight required",IF($S168="","Amount entry type required",IF(OR($J168&lt;0,$K168&lt;0,$M168&lt;0,$T168&lt;0,$U168&lt;0,$V168&lt;0,$W168&lt;0,$X168&lt;0,$Y168&lt;0),"Negative amounts are not allowed",IF($AE168="","Tariff not found for township and tier",IF(AND(OR($S168="ITEM_PRICE_PLUS_DECLARED_DELIVERY",$S168="TOTAL_AMOUNT_INCLUDING_DELIVERY",$S168="ITEM_PRICE_ONLY_DELIVERY_PAID_BY_MERCHANT"),$J168=""),"Item price required for this amount type",IF(AND(OR($S168="ITEM_PRICE_PLUS_DECLARED_DELIVERY",$S168="DELIVERY_CHARGE_ONLY"),$K168=""),"Declared delivery charge required",IF(AND(OR($S168="TOTAL_AMOUNT_INCLUDING_DELIVERY",$S168="EXACT_COLLECTION_AMOUNT"),$T168=""),"Stated total amount required",IF(AND($S168="TOTAL_AMOUNT_INCLUDING_DELIVERY",$T168&lt;SUM($J168,$U168)),"Stated total is below item price plus additional charge",IF($S168="EXACT_COLLECTION_AMOUNT","Authorized amount breakdown required before settlement","Ready for collection and settlement"))))))))))))</f>
        <v/>
      </c>
      <c r="AW168" s="23">
        <f>IF($AU168="","","PARCEL_FINANCIAL_V2")</f>
        <v/>
      </c>
      <c r="AX168" s="17" t="n"/>
    </row>
    <row r="169">
      <c r="A169" s="8" t="n"/>
      <c r="B169" s="8" t="n"/>
      <c r="C169" s="8" t="n"/>
      <c r="D169" s="8" t="n"/>
      <c r="E169" s="9" t="n"/>
      <c r="F169" s="9" t="n"/>
      <c r="G169" s="8" t="n"/>
      <c r="H169" s="9" t="n"/>
      <c r="I169" s="9" t="n"/>
      <c r="J169" s="10" t="n"/>
      <c r="K169" s="10" t="n"/>
      <c r="L169" s="11">
        <f>IF($S169="","",IF($S169="ITEM_PRICE_PLUS_DECLARED_DELIVERY",IF(OR($J169="",$K169=""),"",SUM($J169,$K169,$U169)),IF($S169="TOTAL_AMOUNT_INCLUDING_DELIVERY",IF($T169="","",$T169),IF($S169="DELIVERY_CHARGE_ONLY",IF($K169="","",SUM($K169,$U169)),IF($S169="EXACT_COLLECTION_AMOUNT",IF($T169="","",$T169),IF($S169="ITEM_PRICE_ONLY_DELIVERY_PAID_BY_MERCHANT",IF($J169="","",SUM($J169,$U169)),""))))))</f>
        <v/>
      </c>
      <c r="M169" s="12" t="n"/>
      <c r="N169" s="13" t="n"/>
      <c r="O169" s="13" t="n"/>
      <c r="P169" s="9" t="n"/>
      <c r="Q169" s="14" t="n"/>
      <c r="R169" s="15" t="n"/>
      <c r="S169" s="14" t="n"/>
      <c r="T169" s="16" t="n"/>
      <c r="U169" s="16" t="n"/>
      <c r="V169" s="16" t="n"/>
      <c r="W169" s="16" t="n"/>
      <c r="X169" s="16" t="n"/>
      <c r="Y169" s="16" t="n"/>
      <c r="Z169" s="14" t="n"/>
      <c r="AA169" s="14" t="n"/>
      <c r="AB169" s="14" t="n"/>
      <c r="AC169" s="17">
        <f>IFERROR(VLOOKUP($H169&amp;"|"&amp;$Q169,Tariff_Master!$A$2:$L$169,3,FALSE),"")</f>
        <v/>
      </c>
      <c r="AD169" s="17">
        <f>IFERROR(VLOOKUP($H169&amp;"|"&amp;$Q169,Tariff_Master!$A$2:$L$169,4,FALSE),"")</f>
        <v/>
      </c>
      <c r="AE169" s="18">
        <f>IFERROR(VLOOKUP($H169&amp;"|"&amp;$Q169,Tariff_Master!$A$2:$L$169,6,FALSE),"")</f>
        <v/>
      </c>
      <c r="AF169" s="19">
        <f>IFERROR(VLOOKUP($H169&amp;"|"&amp;$Q169,Tariff_Master!$A$2:$L$169,7,FALSE),"")</f>
        <v/>
      </c>
      <c r="AG169" s="18">
        <f>IFERROR(VLOOKUP($H169&amp;"|"&amp;$Q169,Tariff_Master!$A$2:$L$169,8,FALSE),"")</f>
        <v/>
      </c>
      <c r="AH169" s="20">
        <f>IFERROR(VLOOKUP($H169&amp;"|"&amp;$Q169,Tariff_Master!$A$2:$L$169,9,FALSE),"")</f>
        <v/>
      </c>
      <c r="AI169" s="18">
        <f>IFERROR(VLOOKUP($H169&amp;"|"&amp;$Q169,Tariff_Master!$A$2:$L$169,10,FALSE),"")</f>
        <v/>
      </c>
      <c r="AJ169" s="21">
        <f>IF($M169="","",ROUNDUP(MAX(0,$M169),0))</f>
        <v/>
      </c>
      <c r="AK169" s="21">
        <f>IF(OR($AJ169="",$AF169=""),"",MAX(0,$AJ169-$AF169))</f>
        <v/>
      </c>
      <c r="AL169" s="22">
        <f>IF(OR($AK169="",$AG169=""),"",MAX(0,$AK169*$AG169))</f>
        <v/>
      </c>
      <c r="AM169" s="22">
        <f>IF($AE169="","",MAX(0,SUM($AE169,$AL169,$V169,$W169)))</f>
        <v/>
      </c>
      <c r="AN169" s="22">
        <f>IF($AM169="","",IF(AND($Q169="COMMITMENT",$R169&gt;=$AH169),$AI169,0))</f>
        <v/>
      </c>
      <c r="AO169" s="23">
        <f>IF($AM169="","",MAX(0,$AM169-$AN169))</f>
        <v/>
      </c>
      <c r="AP169" s="22">
        <f>IF($S169="","",IF(OR($S169="ITEM_PRICE_PLUS_DECLARED_DELIVERY",$S169="DELIVERY_CHARGE_ONLY"),$K169,IF($S169="TOTAL_AMOUNT_INCLUDING_DELIVERY",IF(OR($T169="",$J169=""),"",MAX(0,$T169-$J169-$U169)),IF($S169="ITEM_PRICE_ONLY_DELIVERY_PAID_BY_MERCHANT",0,""))))</f>
        <v/>
      </c>
      <c r="AQ169" s="23">
        <f>IF(OR($AP169="",$AO169=""),"",$AP169-$AO169)</f>
        <v/>
      </c>
      <c r="AR169" s="24">
        <f>IF($S169="EXACT_COLLECTION_AMOUNT","BREAKDOWN_REQUIRED",IF($AQ169="","",IF($AQ169&gt;0,"CREDIT_TO_MERCHANT",IF($AQ169&lt;0,"DEDUCT_FROM_MERCHANT","NO_ADJUSTMENT"))))</f>
        <v/>
      </c>
      <c r="AS169" s="23">
        <f>IF(OR($AQ169="",$AR169="BREAKDOWN_REQUIRED"),"",$AQ169)</f>
        <v/>
      </c>
      <c r="AT169" s="23">
        <f>IF(OR($AR169="",$AR169="BREAKDOWN_REQUIRED"),"",SUM($J169,$AQ169,$Y169)-$X169)</f>
        <v/>
      </c>
      <c r="AU169" s="25">
        <f>IF(AND($A169="",$B169="",$F169="",$H169="",$J169="",$K169="",$M169="",$S169=""),"",IF(OR($H169="",$Q169="",$M169="",$S169=""),"ERROR",IF(OR($J169&lt;0,$K169&lt;0,$M169&lt;0,$T169&lt;0,$U169&lt;0,$V169&lt;0,$W169&lt;0,$X169&lt;0,$Y169&lt;0),"ERROR",IF($AE169="","ERROR",IF(AND(OR($S169="ITEM_PRICE_PLUS_DECLARED_DELIVERY",$S169="TOTAL_AMOUNT_INCLUDING_DELIVERY",$S169="ITEM_PRICE_ONLY_DELIVERY_PAID_BY_MERCHANT"),$J169=""),"ERROR",IF(AND(OR($S169="ITEM_PRICE_PLUS_DECLARED_DELIVERY",$S169="DELIVERY_CHARGE_ONLY"),$K169=""),"ERROR",IF(AND(OR($S169="TOTAL_AMOUNT_INCLUDING_DELIVERY",$S169="EXACT_COLLECTION_AMOUNT"),$T169=""),"ERROR",IF(AND($S169="TOTAL_AMOUNT_INCLUDING_DELIVERY",$T169&lt;SUM($J169,$U169)),"ERROR",IF($S169="EXACT_COLLECTION_AMOUNT","REVIEW","OK")))))))))</f>
        <v/>
      </c>
      <c r="AV169" s="25">
        <f>IF($AU169="","",IF($H169="","Township required",IF($Q169="","Customer tier required",IF($M169="","Weight required",IF($S169="","Amount entry type required",IF(OR($J169&lt;0,$K169&lt;0,$M169&lt;0,$T169&lt;0,$U169&lt;0,$V169&lt;0,$W169&lt;0,$X169&lt;0,$Y169&lt;0),"Negative amounts are not allowed",IF($AE169="","Tariff not found for township and tier",IF(AND(OR($S169="ITEM_PRICE_PLUS_DECLARED_DELIVERY",$S169="TOTAL_AMOUNT_INCLUDING_DELIVERY",$S169="ITEM_PRICE_ONLY_DELIVERY_PAID_BY_MERCHANT"),$J169=""),"Item price required for this amount type",IF(AND(OR($S169="ITEM_PRICE_PLUS_DECLARED_DELIVERY",$S169="DELIVERY_CHARGE_ONLY"),$K169=""),"Declared delivery charge required",IF(AND(OR($S169="TOTAL_AMOUNT_INCLUDING_DELIVERY",$S169="EXACT_COLLECTION_AMOUNT"),$T169=""),"Stated total amount required",IF(AND($S169="TOTAL_AMOUNT_INCLUDING_DELIVERY",$T169&lt;SUM($J169,$U169)),"Stated total is below item price plus additional charge",IF($S169="EXACT_COLLECTION_AMOUNT","Authorized amount breakdown required before settlement","Ready for collection and settlement"))))))))))))</f>
        <v/>
      </c>
      <c r="AW169" s="23">
        <f>IF($AU169="","","PARCEL_FINANCIAL_V2")</f>
        <v/>
      </c>
      <c r="AX169" s="17" t="n"/>
    </row>
    <row r="170">
      <c r="A170" s="8" t="n"/>
      <c r="B170" s="8" t="n"/>
      <c r="C170" s="8" t="n"/>
      <c r="D170" s="8" t="n"/>
      <c r="E170" s="9" t="n"/>
      <c r="F170" s="9" t="n"/>
      <c r="G170" s="8" t="n"/>
      <c r="H170" s="9" t="n"/>
      <c r="I170" s="9" t="n"/>
      <c r="J170" s="10" t="n"/>
      <c r="K170" s="10" t="n"/>
      <c r="L170" s="11">
        <f>IF($S170="","",IF($S170="ITEM_PRICE_PLUS_DECLARED_DELIVERY",IF(OR($J170="",$K170=""),"",SUM($J170,$K170,$U170)),IF($S170="TOTAL_AMOUNT_INCLUDING_DELIVERY",IF($T170="","",$T170),IF($S170="DELIVERY_CHARGE_ONLY",IF($K170="","",SUM($K170,$U170)),IF($S170="EXACT_COLLECTION_AMOUNT",IF($T170="","",$T170),IF($S170="ITEM_PRICE_ONLY_DELIVERY_PAID_BY_MERCHANT",IF($J170="","",SUM($J170,$U170)),""))))))</f>
        <v/>
      </c>
      <c r="M170" s="12" t="n"/>
      <c r="N170" s="13" t="n"/>
      <c r="O170" s="13" t="n"/>
      <c r="P170" s="9" t="n"/>
      <c r="Q170" s="14" t="n"/>
      <c r="R170" s="15" t="n"/>
      <c r="S170" s="14" t="n"/>
      <c r="T170" s="16" t="n"/>
      <c r="U170" s="16" t="n"/>
      <c r="V170" s="16" t="n"/>
      <c r="W170" s="16" t="n"/>
      <c r="X170" s="16" t="n"/>
      <c r="Y170" s="16" t="n"/>
      <c r="Z170" s="14" t="n"/>
      <c r="AA170" s="14" t="n"/>
      <c r="AB170" s="14" t="n"/>
      <c r="AC170" s="17">
        <f>IFERROR(VLOOKUP($H170&amp;"|"&amp;$Q170,Tariff_Master!$A$2:$L$169,3,FALSE),"")</f>
        <v/>
      </c>
      <c r="AD170" s="17">
        <f>IFERROR(VLOOKUP($H170&amp;"|"&amp;$Q170,Tariff_Master!$A$2:$L$169,4,FALSE),"")</f>
        <v/>
      </c>
      <c r="AE170" s="18">
        <f>IFERROR(VLOOKUP($H170&amp;"|"&amp;$Q170,Tariff_Master!$A$2:$L$169,6,FALSE),"")</f>
        <v/>
      </c>
      <c r="AF170" s="19">
        <f>IFERROR(VLOOKUP($H170&amp;"|"&amp;$Q170,Tariff_Master!$A$2:$L$169,7,FALSE),"")</f>
        <v/>
      </c>
      <c r="AG170" s="18">
        <f>IFERROR(VLOOKUP($H170&amp;"|"&amp;$Q170,Tariff_Master!$A$2:$L$169,8,FALSE),"")</f>
        <v/>
      </c>
      <c r="AH170" s="20">
        <f>IFERROR(VLOOKUP($H170&amp;"|"&amp;$Q170,Tariff_Master!$A$2:$L$169,9,FALSE),"")</f>
        <v/>
      </c>
      <c r="AI170" s="18">
        <f>IFERROR(VLOOKUP($H170&amp;"|"&amp;$Q170,Tariff_Master!$A$2:$L$169,10,FALSE),"")</f>
        <v/>
      </c>
      <c r="AJ170" s="21">
        <f>IF($M170="","",ROUNDUP(MAX(0,$M170),0))</f>
        <v/>
      </c>
      <c r="AK170" s="21">
        <f>IF(OR($AJ170="",$AF170=""),"",MAX(0,$AJ170-$AF170))</f>
        <v/>
      </c>
      <c r="AL170" s="22">
        <f>IF(OR($AK170="",$AG170=""),"",MAX(0,$AK170*$AG170))</f>
        <v/>
      </c>
      <c r="AM170" s="22">
        <f>IF($AE170="","",MAX(0,SUM($AE170,$AL170,$V170,$W170)))</f>
        <v/>
      </c>
      <c r="AN170" s="22">
        <f>IF($AM170="","",IF(AND($Q170="COMMITMENT",$R170&gt;=$AH170),$AI170,0))</f>
        <v/>
      </c>
      <c r="AO170" s="23">
        <f>IF($AM170="","",MAX(0,$AM170-$AN170))</f>
        <v/>
      </c>
      <c r="AP170" s="22">
        <f>IF($S170="","",IF(OR($S170="ITEM_PRICE_PLUS_DECLARED_DELIVERY",$S170="DELIVERY_CHARGE_ONLY"),$K170,IF($S170="TOTAL_AMOUNT_INCLUDING_DELIVERY",IF(OR($T170="",$J170=""),"",MAX(0,$T170-$J170-$U170)),IF($S170="ITEM_PRICE_ONLY_DELIVERY_PAID_BY_MERCHANT",0,""))))</f>
        <v/>
      </c>
      <c r="AQ170" s="23">
        <f>IF(OR($AP170="",$AO170=""),"",$AP170-$AO170)</f>
        <v/>
      </c>
      <c r="AR170" s="24">
        <f>IF($S170="EXACT_COLLECTION_AMOUNT","BREAKDOWN_REQUIRED",IF($AQ170="","",IF($AQ170&gt;0,"CREDIT_TO_MERCHANT",IF($AQ170&lt;0,"DEDUCT_FROM_MERCHANT","NO_ADJUSTMENT"))))</f>
        <v/>
      </c>
      <c r="AS170" s="23">
        <f>IF(OR($AQ170="",$AR170="BREAKDOWN_REQUIRED"),"",$AQ170)</f>
        <v/>
      </c>
      <c r="AT170" s="23">
        <f>IF(OR($AR170="",$AR170="BREAKDOWN_REQUIRED"),"",SUM($J170,$AQ170,$Y170)-$X170)</f>
        <v/>
      </c>
      <c r="AU170" s="25">
        <f>IF(AND($A170="",$B170="",$F170="",$H170="",$J170="",$K170="",$M170="",$S170=""),"",IF(OR($H170="",$Q170="",$M170="",$S170=""),"ERROR",IF(OR($J170&lt;0,$K170&lt;0,$M170&lt;0,$T170&lt;0,$U170&lt;0,$V170&lt;0,$W170&lt;0,$X170&lt;0,$Y170&lt;0),"ERROR",IF($AE170="","ERROR",IF(AND(OR($S170="ITEM_PRICE_PLUS_DECLARED_DELIVERY",$S170="TOTAL_AMOUNT_INCLUDING_DELIVERY",$S170="ITEM_PRICE_ONLY_DELIVERY_PAID_BY_MERCHANT"),$J170=""),"ERROR",IF(AND(OR($S170="ITEM_PRICE_PLUS_DECLARED_DELIVERY",$S170="DELIVERY_CHARGE_ONLY"),$K170=""),"ERROR",IF(AND(OR($S170="TOTAL_AMOUNT_INCLUDING_DELIVERY",$S170="EXACT_COLLECTION_AMOUNT"),$T170=""),"ERROR",IF(AND($S170="TOTAL_AMOUNT_INCLUDING_DELIVERY",$T170&lt;SUM($J170,$U170)),"ERROR",IF($S170="EXACT_COLLECTION_AMOUNT","REVIEW","OK")))))))))</f>
        <v/>
      </c>
      <c r="AV170" s="25">
        <f>IF($AU170="","",IF($H170="","Township required",IF($Q170="","Customer tier required",IF($M170="","Weight required",IF($S170="","Amount entry type required",IF(OR($J170&lt;0,$K170&lt;0,$M170&lt;0,$T170&lt;0,$U170&lt;0,$V170&lt;0,$W170&lt;0,$X170&lt;0,$Y170&lt;0),"Negative amounts are not allowed",IF($AE170="","Tariff not found for township and tier",IF(AND(OR($S170="ITEM_PRICE_PLUS_DECLARED_DELIVERY",$S170="TOTAL_AMOUNT_INCLUDING_DELIVERY",$S170="ITEM_PRICE_ONLY_DELIVERY_PAID_BY_MERCHANT"),$J170=""),"Item price required for this amount type",IF(AND(OR($S170="ITEM_PRICE_PLUS_DECLARED_DELIVERY",$S170="DELIVERY_CHARGE_ONLY"),$K170=""),"Declared delivery charge required",IF(AND(OR($S170="TOTAL_AMOUNT_INCLUDING_DELIVERY",$S170="EXACT_COLLECTION_AMOUNT"),$T170=""),"Stated total amount required",IF(AND($S170="TOTAL_AMOUNT_INCLUDING_DELIVERY",$T170&lt;SUM($J170,$U170)),"Stated total is below item price plus additional charge",IF($S170="EXACT_COLLECTION_AMOUNT","Authorized amount breakdown required before settlement","Ready for collection and settlement"))))))))))))</f>
        <v/>
      </c>
      <c r="AW170" s="23">
        <f>IF($AU170="","","PARCEL_FINANCIAL_V2")</f>
        <v/>
      </c>
      <c r="AX170" s="17" t="n"/>
    </row>
    <row r="171">
      <c r="A171" s="8" t="n"/>
      <c r="B171" s="8" t="n"/>
      <c r="C171" s="8" t="n"/>
      <c r="D171" s="8" t="n"/>
      <c r="E171" s="9" t="n"/>
      <c r="F171" s="9" t="n"/>
      <c r="G171" s="8" t="n"/>
      <c r="H171" s="9" t="n"/>
      <c r="I171" s="9" t="n"/>
      <c r="J171" s="10" t="n"/>
      <c r="K171" s="10" t="n"/>
      <c r="L171" s="11">
        <f>IF($S171="","",IF($S171="ITEM_PRICE_PLUS_DECLARED_DELIVERY",IF(OR($J171="",$K171=""),"",SUM($J171,$K171,$U171)),IF($S171="TOTAL_AMOUNT_INCLUDING_DELIVERY",IF($T171="","",$T171),IF($S171="DELIVERY_CHARGE_ONLY",IF($K171="","",SUM($K171,$U171)),IF($S171="EXACT_COLLECTION_AMOUNT",IF($T171="","",$T171),IF($S171="ITEM_PRICE_ONLY_DELIVERY_PAID_BY_MERCHANT",IF($J171="","",SUM($J171,$U171)),""))))))</f>
        <v/>
      </c>
      <c r="M171" s="12" t="n"/>
      <c r="N171" s="13" t="n"/>
      <c r="O171" s="13" t="n"/>
      <c r="P171" s="9" t="n"/>
      <c r="Q171" s="14" t="n"/>
      <c r="R171" s="15" t="n"/>
      <c r="S171" s="14" t="n"/>
      <c r="T171" s="16" t="n"/>
      <c r="U171" s="16" t="n"/>
      <c r="V171" s="16" t="n"/>
      <c r="W171" s="16" t="n"/>
      <c r="X171" s="16" t="n"/>
      <c r="Y171" s="16" t="n"/>
      <c r="Z171" s="14" t="n"/>
      <c r="AA171" s="14" t="n"/>
      <c r="AB171" s="14" t="n"/>
      <c r="AC171" s="17">
        <f>IFERROR(VLOOKUP($H171&amp;"|"&amp;$Q171,Tariff_Master!$A$2:$L$169,3,FALSE),"")</f>
        <v/>
      </c>
      <c r="AD171" s="17">
        <f>IFERROR(VLOOKUP($H171&amp;"|"&amp;$Q171,Tariff_Master!$A$2:$L$169,4,FALSE),"")</f>
        <v/>
      </c>
      <c r="AE171" s="18">
        <f>IFERROR(VLOOKUP($H171&amp;"|"&amp;$Q171,Tariff_Master!$A$2:$L$169,6,FALSE),"")</f>
        <v/>
      </c>
      <c r="AF171" s="19">
        <f>IFERROR(VLOOKUP($H171&amp;"|"&amp;$Q171,Tariff_Master!$A$2:$L$169,7,FALSE),"")</f>
        <v/>
      </c>
      <c r="AG171" s="18">
        <f>IFERROR(VLOOKUP($H171&amp;"|"&amp;$Q171,Tariff_Master!$A$2:$L$169,8,FALSE),"")</f>
        <v/>
      </c>
      <c r="AH171" s="20">
        <f>IFERROR(VLOOKUP($H171&amp;"|"&amp;$Q171,Tariff_Master!$A$2:$L$169,9,FALSE),"")</f>
        <v/>
      </c>
      <c r="AI171" s="18">
        <f>IFERROR(VLOOKUP($H171&amp;"|"&amp;$Q171,Tariff_Master!$A$2:$L$169,10,FALSE),"")</f>
        <v/>
      </c>
      <c r="AJ171" s="21">
        <f>IF($M171="","",ROUNDUP(MAX(0,$M171),0))</f>
        <v/>
      </c>
      <c r="AK171" s="21">
        <f>IF(OR($AJ171="",$AF171=""),"",MAX(0,$AJ171-$AF171))</f>
        <v/>
      </c>
      <c r="AL171" s="22">
        <f>IF(OR($AK171="",$AG171=""),"",MAX(0,$AK171*$AG171))</f>
        <v/>
      </c>
      <c r="AM171" s="22">
        <f>IF($AE171="","",MAX(0,SUM($AE171,$AL171,$V171,$W171)))</f>
        <v/>
      </c>
      <c r="AN171" s="22">
        <f>IF($AM171="","",IF(AND($Q171="COMMITMENT",$R171&gt;=$AH171),$AI171,0))</f>
        <v/>
      </c>
      <c r="AO171" s="23">
        <f>IF($AM171="","",MAX(0,$AM171-$AN171))</f>
        <v/>
      </c>
      <c r="AP171" s="22">
        <f>IF($S171="","",IF(OR($S171="ITEM_PRICE_PLUS_DECLARED_DELIVERY",$S171="DELIVERY_CHARGE_ONLY"),$K171,IF($S171="TOTAL_AMOUNT_INCLUDING_DELIVERY",IF(OR($T171="",$J171=""),"",MAX(0,$T171-$J171-$U171)),IF($S171="ITEM_PRICE_ONLY_DELIVERY_PAID_BY_MERCHANT",0,""))))</f>
        <v/>
      </c>
      <c r="AQ171" s="23">
        <f>IF(OR($AP171="",$AO171=""),"",$AP171-$AO171)</f>
        <v/>
      </c>
      <c r="AR171" s="24">
        <f>IF($S171="EXACT_COLLECTION_AMOUNT","BREAKDOWN_REQUIRED",IF($AQ171="","",IF($AQ171&gt;0,"CREDIT_TO_MERCHANT",IF($AQ171&lt;0,"DEDUCT_FROM_MERCHANT","NO_ADJUSTMENT"))))</f>
        <v/>
      </c>
      <c r="AS171" s="23">
        <f>IF(OR($AQ171="",$AR171="BREAKDOWN_REQUIRED"),"",$AQ171)</f>
        <v/>
      </c>
      <c r="AT171" s="23">
        <f>IF(OR($AR171="",$AR171="BREAKDOWN_REQUIRED"),"",SUM($J171,$AQ171,$Y171)-$X171)</f>
        <v/>
      </c>
      <c r="AU171" s="25">
        <f>IF(AND($A171="",$B171="",$F171="",$H171="",$J171="",$K171="",$M171="",$S171=""),"",IF(OR($H171="",$Q171="",$M171="",$S171=""),"ERROR",IF(OR($J171&lt;0,$K171&lt;0,$M171&lt;0,$T171&lt;0,$U171&lt;0,$V171&lt;0,$W171&lt;0,$X171&lt;0,$Y171&lt;0),"ERROR",IF($AE171="","ERROR",IF(AND(OR($S171="ITEM_PRICE_PLUS_DECLARED_DELIVERY",$S171="TOTAL_AMOUNT_INCLUDING_DELIVERY",$S171="ITEM_PRICE_ONLY_DELIVERY_PAID_BY_MERCHANT"),$J171=""),"ERROR",IF(AND(OR($S171="ITEM_PRICE_PLUS_DECLARED_DELIVERY",$S171="DELIVERY_CHARGE_ONLY"),$K171=""),"ERROR",IF(AND(OR($S171="TOTAL_AMOUNT_INCLUDING_DELIVERY",$S171="EXACT_COLLECTION_AMOUNT"),$T171=""),"ERROR",IF(AND($S171="TOTAL_AMOUNT_INCLUDING_DELIVERY",$T171&lt;SUM($J171,$U171)),"ERROR",IF($S171="EXACT_COLLECTION_AMOUNT","REVIEW","OK")))))))))</f>
        <v/>
      </c>
      <c r="AV171" s="25">
        <f>IF($AU171="","",IF($H171="","Township required",IF($Q171="","Customer tier required",IF($M171="","Weight required",IF($S171="","Amount entry type required",IF(OR($J171&lt;0,$K171&lt;0,$M171&lt;0,$T171&lt;0,$U171&lt;0,$V171&lt;0,$W171&lt;0,$X171&lt;0,$Y171&lt;0),"Negative amounts are not allowed",IF($AE171="","Tariff not found for township and tier",IF(AND(OR($S171="ITEM_PRICE_PLUS_DECLARED_DELIVERY",$S171="TOTAL_AMOUNT_INCLUDING_DELIVERY",$S171="ITEM_PRICE_ONLY_DELIVERY_PAID_BY_MERCHANT"),$J171=""),"Item price required for this amount type",IF(AND(OR($S171="ITEM_PRICE_PLUS_DECLARED_DELIVERY",$S171="DELIVERY_CHARGE_ONLY"),$K171=""),"Declared delivery charge required",IF(AND(OR($S171="TOTAL_AMOUNT_INCLUDING_DELIVERY",$S171="EXACT_COLLECTION_AMOUNT"),$T171=""),"Stated total amount required",IF(AND($S171="TOTAL_AMOUNT_INCLUDING_DELIVERY",$T171&lt;SUM($J171,$U171)),"Stated total is below item price plus additional charge",IF($S171="EXACT_COLLECTION_AMOUNT","Authorized amount breakdown required before settlement","Ready for collection and settlement"))))))))))))</f>
        <v/>
      </c>
      <c r="AW171" s="23">
        <f>IF($AU171="","","PARCEL_FINANCIAL_V2")</f>
        <v/>
      </c>
      <c r="AX171" s="17" t="n"/>
    </row>
    <row r="172">
      <c r="A172" s="8" t="n"/>
      <c r="B172" s="8" t="n"/>
      <c r="C172" s="8" t="n"/>
      <c r="D172" s="8" t="n"/>
      <c r="E172" s="9" t="n"/>
      <c r="F172" s="9" t="n"/>
      <c r="G172" s="8" t="n"/>
      <c r="H172" s="9" t="n"/>
      <c r="I172" s="9" t="n"/>
      <c r="J172" s="10" t="n"/>
      <c r="K172" s="10" t="n"/>
      <c r="L172" s="11">
        <f>IF($S172="","",IF($S172="ITEM_PRICE_PLUS_DECLARED_DELIVERY",IF(OR($J172="",$K172=""),"",SUM($J172,$K172,$U172)),IF($S172="TOTAL_AMOUNT_INCLUDING_DELIVERY",IF($T172="","",$T172),IF($S172="DELIVERY_CHARGE_ONLY",IF($K172="","",SUM($K172,$U172)),IF($S172="EXACT_COLLECTION_AMOUNT",IF($T172="","",$T172),IF($S172="ITEM_PRICE_ONLY_DELIVERY_PAID_BY_MERCHANT",IF($J172="","",SUM($J172,$U172)),""))))))</f>
        <v/>
      </c>
      <c r="M172" s="12" t="n"/>
      <c r="N172" s="13" t="n"/>
      <c r="O172" s="13" t="n"/>
      <c r="P172" s="9" t="n"/>
      <c r="Q172" s="14" t="n"/>
      <c r="R172" s="15" t="n"/>
      <c r="S172" s="14" t="n"/>
      <c r="T172" s="16" t="n"/>
      <c r="U172" s="16" t="n"/>
      <c r="V172" s="16" t="n"/>
      <c r="W172" s="16" t="n"/>
      <c r="X172" s="16" t="n"/>
      <c r="Y172" s="16" t="n"/>
      <c r="Z172" s="14" t="n"/>
      <c r="AA172" s="14" t="n"/>
      <c r="AB172" s="14" t="n"/>
      <c r="AC172" s="17">
        <f>IFERROR(VLOOKUP($H172&amp;"|"&amp;$Q172,Tariff_Master!$A$2:$L$169,3,FALSE),"")</f>
        <v/>
      </c>
      <c r="AD172" s="17">
        <f>IFERROR(VLOOKUP($H172&amp;"|"&amp;$Q172,Tariff_Master!$A$2:$L$169,4,FALSE),"")</f>
        <v/>
      </c>
      <c r="AE172" s="18">
        <f>IFERROR(VLOOKUP($H172&amp;"|"&amp;$Q172,Tariff_Master!$A$2:$L$169,6,FALSE),"")</f>
        <v/>
      </c>
      <c r="AF172" s="19">
        <f>IFERROR(VLOOKUP($H172&amp;"|"&amp;$Q172,Tariff_Master!$A$2:$L$169,7,FALSE),"")</f>
        <v/>
      </c>
      <c r="AG172" s="18">
        <f>IFERROR(VLOOKUP($H172&amp;"|"&amp;$Q172,Tariff_Master!$A$2:$L$169,8,FALSE),"")</f>
        <v/>
      </c>
      <c r="AH172" s="20">
        <f>IFERROR(VLOOKUP($H172&amp;"|"&amp;$Q172,Tariff_Master!$A$2:$L$169,9,FALSE),"")</f>
        <v/>
      </c>
      <c r="AI172" s="18">
        <f>IFERROR(VLOOKUP($H172&amp;"|"&amp;$Q172,Tariff_Master!$A$2:$L$169,10,FALSE),"")</f>
        <v/>
      </c>
      <c r="AJ172" s="21">
        <f>IF($M172="","",ROUNDUP(MAX(0,$M172),0))</f>
        <v/>
      </c>
      <c r="AK172" s="21">
        <f>IF(OR($AJ172="",$AF172=""),"",MAX(0,$AJ172-$AF172))</f>
        <v/>
      </c>
      <c r="AL172" s="22">
        <f>IF(OR($AK172="",$AG172=""),"",MAX(0,$AK172*$AG172))</f>
        <v/>
      </c>
      <c r="AM172" s="22">
        <f>IF($AE172="","",MAX(0,SUM($AE172,$AL172,$V172,$W172)))</f>
        <v/>
      </c>
      <c r="AN172" s="22">
        <f>IF($AM172="","",IF(AND($Q172="COMMITMENT",$R172&gt;=$AH172),$AI172,0))</f>
        <v/>
      </c>
      <c r="AO172" s="23">
        <f>IF($AM172="","",MAX(0,$AM172-$AN172))</f>
        <v/>
      </c>
      <c r="AP172" s="22">
        <f>IF($S172="","",IF(OR($S172="ITEM_PRICE_PLUS_DECLARED_DELIVERY",$S172="DELIVERY_CHARGE_ONLY"),$K172,IF($S172="TOTAL_AMOUNT_INCLUDING_DELIVERY",IF(OR($T172="",$J172=""),"",MAX(0,$T172-$J172-$U172)),IF($S172="ITEM_PRICE_ONLY_DELIVERY_PAID_BY_MERCHANT",0,""))))</f>
        <v/>
      </c>
      <c r="AQ172" s="23">
        <f>IF(OR($AP172="",$AO172=""),"",$AP172-$AO172)</f>
        <v/>
      </c>
      <c r="AR172" s="24">
        <f>IF($S172="EXACT_COLLECTION_AMOUNT","BREAKDOWN_REQUIRED",IF($AQ172="","",IF($AQ172&gt;0,"CREDIT_TO_MERCHANT",IF($AQ172&lt;0,"DEDUCT_FROM_MERCHANT","NO_ADJUSTMENT"))))</f>
        <v/>
      </c>
      <c r="AS172" s="23">
        <f>IF(OR($AQ172="",$AR172="BREAKDOWN_REQUIRED"),"",$AQ172)</f>
        <v/>
      </c>
      <c r="AT172" s="23">
        <f>IF(OR($AR172="",$AR172="BREAKDOWN_REQUIRED"),"",SUM($J172,$AQ172,$Y172)-$X172)</f>
        <v/>
      </c>
      <c r="AU172" s="25">
        <f>IF(AND($A172="",$B172="",$F172="",$H172="",$J172="",$K172="",$M172="",$S172=""),"",IF(OR($H172="",$Q172="",$M172="",$S172=""),"ERROR",IF(OR($J172&lt;0,$K172&lt;0,$M172&lt;0,$T172&lt;0,$U172&lt;0,$V172&lt;0,$W172&lt;0,$X172&lt;0,$Y172&lt;0),"ERROR",IF($AE172="","ERROR",IF(AND(OR($S172="ITEM_PRICE_PLUS_DECLARED_DELIVERY",$S172="TOTAL_AMOUNT_INCLUDING_DELIVERY",$S172="ITEM_PRICE_ONLY_DELIVERY_PAID_BY_MERCHANT"),$J172=""),"ERROR",IF(AND(OR($S172="ITEM_PRICE_PLUS_DECLARED_DELIVERY",$S172="DELIVERY_CHARGE_ONLY"),$K172=""),"ERROR",IF(AND(OR($S172="TOTAL_AMOUNT_INCLUDING_DELIVERY",$S172="EXACT_COLLECTION_AMOUNT"),$T172=""),"ERROR",IF(AND($S172="TOTAL_AMOUNT_INCLUDING_DELIVERY",$T172&lt;SUM($J172,$U172)),"ERROR",IF($S172="EXACT_COLLECTION_AMOUNT","REVIEW","OK")))))))))</f>
        <v/>
      </c>
      <c r="AV172" s="25">
        <f>IF($AU172="","",IF($H172="","Township required",IF($Q172="","Customer tier required",IF($M172="","Weight required",IF($S172="","Amount entry type required",IF(OR($J172&lt;0,$K172&lt;0,$M172&lt;0,$T172&lt;0,$U172&lt;0,$V172&lt;0,$W172&lt;0,$X172&lt;0,$Y172&lt;0),"Negative amounts are not allowed",IF($AE172="","Tariff not found for township and tier",IF(AND(OR($S172="ITEM_PRICE_PLUS_DECLARED_DELIVERY",$S172="TOTAL_AMOUNT_INCLUDING_DELIVERY",$S172="ITEM_PRICE_ONLY_DELIVERY_PAID_BY_MERCHANT"),$J172=""),"Item price required for this amount type",IF(AND(OR($S172="ITEM_PRICE_PLUS_DECLARED_DELIVERY",$S172="DELIVERY_CHARGE_ONLY"),$K172=""),"Declared delivery charge required",IF(AND(OR($S172="TOTAL_AMOUNT_INCLUDING_DELIVERY",$S172="EXACT_COLLECTION_AMOUNT"),$T172=""),"Stated total amount required",IF(AND($S172="TOTAL_AMOUNT_INCLUDING_DELIVERY",$T172&lt;SUM($J172,$U172)),"Stated total is below item price plus additional charge",IF($S172="EXACT_COLLECTION_AMOUNT","Authorized amount breakdown required before settlement","Ready for collection and settlement"))))))))))))</f>
        <v/>
      </c>
      <c r="AW172" s="23">
        <f>IF($AU172="","","PARCEL_FINANCIAL_V2")</f>
        <v/>
      </c>
      <c r="AX172" s="17" t="n"/>
    </row>
    <row r="173">
      <c r="A173" s="8" t="n"/>
      <c r="B173" s="8" t="n"/>
      <c r="C173" s="8" t="n"/>
      <c r="D173" s="8" t="n"/>
      <c r="E173" s="9" t="n"/>
      <c r="F173" s="9" t="n"/>
      <c r="G173" s="8" t="n"/>
      <c r="H173" s="9" t="n"/>
      <c r="I173" s="9" t="n"/>
      <c r="J173" s="10" t="n"/>
      <c r="K173" s="10" t="n"/>
      <c r="L173" s="11">
        <f>IF($S173="","",IF($S173="ITEM_PRICE_PLUS_DECLARED_DELIVERY",IF(OR($J173="",$K173=""),"",SUM($J173,$K173,$U173)),IF($S173="TOTAL_AMOUNT_INCLUDING_DELIVERY",IF($T173="","",$T173),IF($S173="DELIVERY_CHARGE_ONLY",IF($K173="","",SUM($K173,$U173)),IF($S173="EXACT_COLLECTION_AMOUNT",IF($T173="","",$T173),IF($S173="ITEM_PRICE_ONLY_DELIVERY_PAID_BY_MERCHANT",IF($J173="","",SUM($J173,$U173)),""))))))</f>
        <v/>
      </c>
      <c r="M173" s="12" t="n"/>
      <c r="N173" s="13" t="n"/>
      <c r="O173" s="13" t="n"/>
      <c r="P173" s="9" t="n"/>
      <c r="Q173" s="14" t="n"/>
      <c r="R173" s="15" t="n"/>
      <c r="S173" s="14" t="n"/>
      <c r="T173" s="16" t="n"/>
      <c r="U173" s="16" t="n"/>
      <c r="V173" s="16" t="n"/>
      <c r="W173" s="16" t="n"/>
      <c r="X173" s="16" t="n"/>
      <c r="Y173" s="16" t="n"/>
      <c r="Z173" s="14" t="n"/>
      <c r="AA173" s="14" t="n"/>
      <c r="AB173" s="14" t="n"/>
      <c r="AC173" s="17">
        <f>IFERROR(VLOOKUP($H173&amp;"|"&amp;$Q173,Tariff_Master!$A$2:$L$169,3,FALSE),"")</f>
        <v/>
      </c>
      <c r="AD173" s="17">
        <f>IFERROR(VLOOKUP($H173&amp;"|"&amp;$Q173,Tariff_Master!$A$2:$L$169,4,FALSE),"")</f>
        <v/>
      </c>
      <c r="AE173" s="18">
        <f>IFERROR(VLOOKUP($H173&amp;"|"&amp;$Q173,Tariff_Master!$A$2:$L$169,6,FALSE),"")</f>
        <v/>
      </c>
      <c r="AF173" s="19">
        <f>IFERROR(VLOOKUP($H173&amp;"|"&amp;$Q173,Tariff_Master!$A$2:$L$169,7,FALSE),"")</f>
        <v/>
      </c>
      <c r="AG173" s="18">
        <f>IFERROR(VLOOKUP($H173&amp;"|"&amp;$Q173,Tariff_Master!$A$2:$L$169,8,FALSE),"")</f>
        <v/>
      </c>
      <c r="AH173" s="20">
        <f>IFERROR(VLOOKUP($H173&amp;"|"&amp;$Q173,Tariff_Master!$A$2:$L$169,9,FALSE),"")</f>
        <v/>
      </c>
      <c r="AI173" s="18">
        <f>IFERROR(VLOOKUP($H173&amp;"|"&amp;$Q173,Tariff_Master!$A$2:$L$169,10,FALSE),"")</f>
        <v/>
      </c>
      <c r="AJ173" s="21">
        <f>IF($M173="","",ROUNDUP(MAX(0,$M173),0))</f>
        <v/>
      </c>
      <c r="AK173" s="21">
        <f>IF(OR($AJ173="",$AF173=""),"",MAX(0,$AJ173-$AF173))</f>
        <v/>
      </c>
      <c r="AL173" s="22">
        <f>IF(OR($AK173="",$AG173=""),"",MAX(0,$AK173*$AG173))</f>
        <v/>
      </c>
      <c r="AM173" s="22">
        <f>IF($AE173="","",MAX(0,SUM($AE173,$AL173,$V173,$W173)))</f>
        <v/>
      </c>
      <c r="AN173" s="22">
        <f>IF($AM173="","",IF(AND($Q173="COMMITMENT",$R173&gt;=$AH173),$AI173,0))</f>
        <v/>
      </c>
      <c r="AO173" s="23">
        <f>IF($AM173="","",MAX(0,$AM173-$AN173))</f>
        <v/>
      </c>
      <c r="AP173" s="22">
        <f>IF($S173="","",IF(OR($S173="ITEM_PRICE_PLUS_DECLARED_DELIVERY",$S173="DELIVERY_CHARGE_ONLY"),$K173,IF($S173="TOTAL_AMOUNT_INCLUDING_DELIVERY",IF(OR($T173="",$J173=""),"",MAX(0,$T173-$J173-$U173)),IF($S173="ITEM_PRICE_ONLY_DELIVERY_PAID_BY_MERCHANT",0,""))))</f>
        <v/>
      </c>
      <c r="AQ173" s="23">
        <f>IF(OR($AP173="",$AO173=""),"",$AP173-$AO173)</f>
        <v/>
      </c>
      <c r="AR173" s="24">
        <f>IF($S173="EXACT_COLLECTION_AMOUNT","BREAKDOWN_REQUIRED",IF($AQ173="","",IF($AQ173&gt;0,"CREDIT_TO_MERCHANT",IF($AQ173&lt;0,"DEDUCT_FROM_MERCHANT","NO_ADJUSTMENT"))))</f>
        <v/>
      </c>
      <c r="AS173" s="23">
        <f>IF(OR($AQ173="",$AR173="BREAKDOWN_REQUIRED"),"",$AQ173)</f>
        <v/>
      </c>
      <c r="AT173" s="23">
        <f>IF(OR($AR173="",$AR173="BREAKDOWN_REQUIRED"),"",SUM($J173,$AQ173,$Y173)-$X173)</f>
        <v/>
      </c>
      <c r="AU173" s="25">
        <f>IF(AND($A173="",$B173="",$F173="",$H173="",$J173="",$K173="",$M173="",$S173=""),"",IF(OR($H173="",$Q173="",$M173="",$S173=""),"ERROR",IF(OR($J173&lt;0,$K173&lt;0,$M173&lt;0,$T173&lt;0,$U173&lt;0,$V173&lt;0,$W173&lt;0,$X173&lt;0,$Y173&lt;0),"ERROR",IF($AE173="","ERROR",IF(AND(OR($S173="ITEM_PRICE_PLUS_DECLARED_DELIVERY",$S173="TOTAL_AMOUNT_INCLUDING_DELIVERY",$S173="ITEM_PRICE_ONLY_DELIVERY_PAID_BY_MERCHANT"),$J173=""),"ERROR",IF(AND(OR($S173="ITEM_PRICE_PLUS_DECLARED_DELIVERY",$S173="DELIVERY_CHARGE_ONLY"),$K173=""),"ERROR",IF(AND(OR($S173="TOTAL_AMOUNT_INCLUDING_DELIVERY",$S173="EXACT_COLLECTION_AMOUNT"),$T173=""),"ERROR",IF(AND($S173="TOTAL_AMOUNT_INCLUDING_DELIVERY",$T173&lt;SUM($J173,$U173)),"ERROR",IF($S173="EXACT_COLLECTION_AMOUNT","REVIEW","OK")))))))))</f>
        <v/>
      </c>
      <c r="AV173" s="25">
        <f>IF($AU173="","",IF($H173="","Township required",IF($Q173="","Customer tier required",IF($M173="","Weight required",IF($S173="","Amount entry type required",IF(OR($J173&lt;0,$K173&lt;0,$M173&lt;0,$T173&lt;0,$U173&lt;0,$V173&lt;0,$W173&lt;0,$X173&lt;0,$Y173&lt;0),"Negative amounts are not allowed",IF($AE173="","Tariff not found for township and tier",IF(AND(OR($S173="ITEM_PRICE_PLUS_DECLARED_DELIVERY",$S173="TOTAL_AMOUNT_INCLUDING_DELIVERY",$S173="ITEM_PRICE_ONLY_DELIVERY_PAID_BY_MERCHANT"),$J173=""),"Item price required for this amount type",IF(AND(OR($S173="ITEM_PRICE_PLUS_DECLARED_DELIVERY",$S173="DELIVERY_CHARGE_ONLY"),$K173=""),"Declared delivery charge required",IF(AND(OR($S173="TOTAL_AMOUNT_INCLUDING_DELIVERY",$S173="EXACT_COLLECTION_AMOUNT"),$T173=""),"Stated total amount required",IF(AND($S173="TOTAL_AMOUNT_INCLUDING_DELIVERY",$T173&lt;SUM($J173,$U173)),"Stated total is below item price plus additional charge",IF($S173="EXACT_COLLECTION_AMOUNT","Authorized amount breakdown required before settlement","Ready for collection and settlement"))))))))))))</f>
        <v/>
      </c>
      <c r="AW173" s="23">
        <f>IF($AU173="","","PARCEL_FINANCIAL_V2")</f>
        <v/>
      </c>
      <c r="AX173" s="17" t="n"/>
    </row>
    <row r="174">
      <c r="A174" s="8" t="n"/>
      <c r="B174" s="8" t="n"/>
      <c r="C174" s="8" t="n"/>
      <c r="D174" s="8" t="n"/>
      <c r="E174" s="9" t="n"/>
      <c r="F174" s="9" t="n"/>
      <c r="G174" s="8" t="n"/>
      <c r="H174" s="9" t="n"/>
      <c r="I174" s="9" t="n"/>
      <c r="J174" s="10" t="n"/>
      <c r="K174" s="10" t="n"/>
      <c r="L174" s="11">
        <f>IF($S174="","",IF($S174="ITEM_PRICE_PLUS_DECLARED_DELIVERY",IF(OR($J174="",$K174=""),"",SUM($J174,$K174,$U174)),IF($S174="TOTAL_AMOUNT_INCLUDING_DELIVERY",IF($T174="","",$T174),IF($S174="DELIVERY_CHARGE_ONLY",IF($K174="","",SUM($K174,$U174)),IF($S174="EXACT_COLLECTION_AMOUNT",IF($T174="","",$T174),IF($S174="ITEM_PRICE_ONLY_DELIVERY_PAID_BY_MERCHANT",IF($J174="","",SUM($J174,$U174)),""))))))</f>
        <v/>
      </c>
      <c r="M174" s="12" t="n"/>
      <c r="N174" s="13" t="n"/>
      <c r="O174" s="13" t="n"/>
      <c r="P174" s="9" t="n"/>
      <c r="Q174" s="14" t="n"/>
      <c r="R174" s="15" t="n"/>
      <c r="S174" s="14" t="n"/>
      <c r="T174" s="16" t="n"/>
      <c r="U174" s="16" t="n"/>
      <c r="V174" s="16" t="n"/>
      <c r="W174" s="16" t="n"/>
      <c r="X174" s="16" t="n"/>
      <c r="Y174" s="16" t="n"/>
      <c r="Z174" s="14" t="n"/>
      <c r="AA174" s="14" t="n"/>
      <c r="AB174" s="14" t="n"/>
      <c r="AC174" s="17">
        <f>IFERROR(VLOOKUP($H174&amp;"|"&amp;$Q174,Tariff_Master!$A$2:$L$169,3,FALSE),"")</f>
        <v/>
      </c>
      <c r="AD174" s="17">
        <f>IFERROR(VLOOKUP($H174&amp;"|"&amp;$Q174,Tariff_Master!$A$2:$L$169,4,FALSE),"")</f>
        <v/>
      </c>
      <c r="AE174" s="18">
        <f>IFERROR(VLOOKUP($H174&amp;"|"&amp;$Q174,Tariff_Master!$A$2:$L$169,6,FALSE),"")</f>
        <v/>
      </c>
      <c r="AF174" s="19">
        <f>IFERROR(VLOOKUP($H174&amp;"|"&amp;$Q174,Tariff_Master!$A$2:$L$169,7,FALSE),"")</f>
        <v/>
      </c>
      <c r="AG174" s="18">
        <f>IFERROR(VLOOKUP($H174&amp;"|"&amp;$Q174,Tariff_Master!$A$2:$L$169,8,FALSE),"")</f>
        <v/>
      </c>
      <c r="AH174" s="20">
        <f>IFERROR(VLOOKUP($H174&amp;"|"&amp;$Q174,Tariff_Master!$A$2:$L$169,9,FALSE),"")</f>
        <v/>
      </c>
      <c r="AI174" s="18">
        <f>IFERROR(VLOOKUP($H174&amp;"|"&amp;$Q174,Tariff_Master!$A$2:$L$169,10,FALSE),"")</f>
        <v/>
      </c>
      <c r="AJ174" s="21">
        <f>IF($M174="","",ROUNDUP(MAX(0,$M174),0))</f>
        <v/>
      </c>
      <c r="AK174" s="21">
        <f>IF(OR($AJ174="",$AF174=""),"",MAX(0,$AJ174-$AF174))</f>
        <v/>
      </c>
      <c r="AL174" s="22">
        <f>IF(OR($AK174="",$AG174=""),"",MAX(0,$AK174*$AG174))</f>
        <v/>
      </c>
      <c r="AM174" s="22">
        <f>IF($AE174="","",MAX(0,SUM($AE174,$AL174,$V174,$W174)))</f>
        <v/>
      </c>
      <c r="AN174" s="22">
        <f>IF($AM174="","",IF(AND($Q174="COMMITMENT",$R174&gt;=$AH174),$AI174,0))</f>
        <v/>
      </c>
      <c r="AO174" s="23">
        <f>IF($AM174="","",MAX(0,$AM174-$AN174))</f>
        <v/>
      </c>
      <c r="AP174" s="22">
        <f>IF($S174="","",IF(OR($S174="ITEM_PRICE_PLUS_DECLARED_DELIVERY",$S174="DELIVERY_CHARGE_ONLY"),$K174,IF($S174="TOTAL_AMOUNT_INCLUDING_DELIVERY",IF(OR($T174="",$J174=""),"",MAX(0,$T174-$J174-$U174)),IF($S174="ITEM_PRICE_ONLY_DELIVERY_PAID_BY_MERCHANT",0,""))))</f>
        <v/>
      </c>
      <c r="AQ174" s="23">
        <f>IF(OR($AP174="",$AO174=""),"",$AP174-$AO174)</f>
        <v/>
      </c>
      <c r="AR174" s="24">
        <f>IF($S174="EXACT_COLLECTION_AMOUNT","BREAKDOWN_REQUIRED",IF($AQ174="","",IF($AQ174&gt;0,"CREDIT_TO_MERCHANT",IF($AQ174&lt;0,"DEDUCT_FROM_MERCHANT","NO_ADJUSTMENT"))))</f>
        <v/>
      </c>
      <c r="AS174" s="23">
        <f>IF(OR($AQ174="",$AR174="BREAKDOWN_REQUIRED"),"",$AQ174)</f>
        <v/>
      </c>
      <c r="AT174" s="23">
        <f>IF(OR($AR174="",$AR174="BREAKDOWN_REQUIRED"),"",SUM($J174,$AQ174,$Y174)-$X174)</f>
        <v/>
      </c>
      <c r="AU174" s="25">
        <f>IF(AND($A174="",$B174="",$F174="",$H174="",$J174="",$K174="",$M174="",$S174=""),"",IF(OR($H174="",$Q174="",$M174="",$S174=""),"ERROR",IF(OR($J174&lt;0,$K174&lt;0,$M174&lt;0,$T174&lt;0,$U174&lt;0,$V174&lt;0,$W174&lt;0,$X174&lt;0,$Y174&lt;0),"ERROR",IF($AE174="","ERROR",IF(AND(OR($S174="ITEM_PRICE_PLUS_DECLARED_DELIVERY",$S174="TOTAL_AMOUNT_INCLUDING_DELIVERY",$S174="ITEM_PRICE_ONLY_DELIVERY_PAID_BY_MERCHANT"),$J174=""),"ERROR",IF(AND(OR($S174="ITEM_PRICE_PLUS_DECLARED_DELIVERY",$S174="DELIVERY_CHARGE_ONLY"),$K174=""),"ERROR",IF(AND(OR($S174="TOTAL_AMOUNT_INCLUDING_DELIVERY",$S174="EXACT_COLLECTION_AMOUNT"),$T174=""),"ERROR",IF(AND($S174="TOTAL_AMOUNT_INCLUDING_DELIVERY",$T174&lt;SUM($J174,$U174)),"ERROR",IF($S174="EXACT_COLLECTION_AMOUNT","REVIEW","OK")))))))))</f>
        <v/>
      </c>
      <c r="AV174" s="25">
        <f>IF($AU174="","",IF($H174="","Township required",IF($Q174="","Customer tier required",IF($M174="","Weight required",IF($S174="","Amount entry type required",IF(OR($J174&lt;0,$K174&lt;0,$M174&lt;0,$T174&lt;0,$U174&lt;0,$V174&lt;0,$W174&lt;0,$X174&lt;0,$Y174&lt;0),"Negative amounts are not allowed",IF($AE174="","Tariff not found for township and tier",IF(AND(OR($S174="ITEM_PRICE_PLUS_DECLARED_DELIVERY",$S174="TOTAL_AMOUNT_INCLUDING_DELIVERY",$S174="ITEM_PRICE_ONLY_DELIVERY_PAID_BY_MERCHANT"),$J174=""),"Item price required for this amount type",IF(AND(OR($S174="ITEM_PRICE_PLUS_DECLARED_DELIVERY",$S174="DELIVERY_CHARGE_ONLY"),$K174=""),"Declared delivery charge required",IF(AND(OR($S174="TOTAL_AMOUNT_INCLUDING_DELIVERY",$S174="EXACT_COLLECTION_AMOUNT"),$T174=""),"Stated total amount required",IF(AND($S174="TOTAL_AMOUNT_INCLUDING_DELIVERY",$T174&lt;SUM($J174,$U174)),"Stated total is below item price plus additional charge",IF($S174="EXACT_COLLECTION_AMOUNT","Authorized amount breakdown required before settlement","Ready for collection and settlement"))))))))))))</f>
        <v/>
      </c>
      <c r="AW174" s="23">
        <f>IF($AU174="","","PARCEL_FINANCIAL_V2")</f>
        <v/>
      </c>
      <c r="AX174" s="17" t="n"/>
    </row>
    <row r="175">
      <c r="A175" s="8" t="n"/>
      <c r="B175" s="8" t="n"/>
      <c r="C175" s="8" t="n"/>
      <c r="D175" s="8" t="n"/>
      <c r="E175" s="9" t="n"/>
      <c r="F175" s="9" t="n"/>
      <c r="G175" s="8" t="n"/>
      <c r="H175" s="9" t="n"/>
      <c r="I175" s="9" t="n"/>
      <c r="J175" s="10" t="n"/>
      <c r="K175" s="10" t="n"/>
      <c r="L175" s="11">
        <f>IF($S175="","",IF($S175="ITEM_PRICE_PLUS_DECLARED_DELIVERY",IF(OR($J175="",$K175=""),"",SUM($J175,$K175,$U175)),IF($S175="TOTAL_AMOUNT_INCLUDING_DELIVERY",IF($T175="","",$T175),IF($S175="DELIVERY_CHARGE_ONLY",IF($K175="","",SUM($K175,$U175)),IF($S175="EXACT_COLLECTION_AMOUNT",IF($T175="","",$T175),IF($S175="ITEM_PRICE_ONLY_DELIVERY_PAID_BY_MERCHANT",IF($J175="","",SUM($J175,$U175)),""))))))</f>
        <v/>
      </c>
      <c r="M175" s="12" t="n"/>
      <c r="N175" s="13" t="n"/>
      <c r="O175" s="13" t="n"/>
      <c r="P175" s="9" t="n"/>
      <c r="Q175" s="14" t="n"/>
      <c r="R175" s="15" t="n"/>
      <c r="S175" s="14" t="n"/>
      <c r="T175" s="16" t="n"/>
      <c r="U175" s="16" t="n"/>
      <c r="V175" s="16" t="n"/>
      <c r="W175" s="16" t="n"/>
      <c r="X175" s="16" t="n"/>
      <c r="Y175" s="16" t="n"/>
      <c r="Z175" s="14" t="n"/>
      <c r="AA175" s="14" t="n"/>
      <c r="AB175" s="14" t="n"/>
      <c r="AC175" s="17">
        <f>IFERROR(VLOOKUP($H175&amp;"|"&amp;$Q175,Tariff_Master!$A$2:$L$169,3,FALSE),"")</f>
        <v/>
      </c>
      <c r="AD175" s="17">
        <f>IFERROR(VLOOKUP($H175&amp;"|"&amp;$Q175,Tariff_Master!$A$2:$L$169,4,FALSE),"")</f>
        <v/>
      </c>
      <c r="AE175" s="18">
        <f>IFERROR(VLOOKUP($H175&amp;"|"&amp;$Q175,Tariff_Master!$A$2:$L$169,6,FALSE),"")</f>
        <v/>
      </c>
      <c r="AF175" s="19">
        <f>IFERROR(VLOOKUP($H175&amp;"|"&amp;$Q175,Tariff_Master!$A$2:$L$169,7,FALSE),"")</f>
        <v/>
      </c>
      <c r="AG175" s="18">
        <f>IFERROR(VLOOKUP($H175&amp;"|"&amp;$Q175,Tariff_Master!$A$2:$L$169,8,FALSE),"")</f>
        <v/>
      </c>
      <c r="AH175" s="20">
        <f>IFERROR(VLOOKUP($H175&amp;"|"&amp;$Q175,Tariff_Master!$A$2:$L$169,9,FALSE),"")</f>
        <v/>
      </c>
      <c r="AI175" s="18">
        <f>IFERROR(VLOOKUP($H175&amp;"|"&amp;$Q175,Tariff_Master!$A$2:$L$169,10,FALSE),"")</f>
        <v/>
      </c>
      <c r="AJ175" s="21">
        <f>IF($M175="","",ROUNDUP(MAX(0,$M175),0))</f>
        <v/>
      </c>
      <c r="AK175" s="21">
        <f>IF(OR($AJ175="",$AF175=""),"",MAX(0,$AJ175-$AF175))</f>
        <v/>
      </c>
      <c r="AL175" s="22">
        <f>IF(OR($AK175="",$AG175=""),"",MAX(0,$AK175*$AG175))</f>
        <v/>
      </c>
      <c r="AM175" s="22">
        <f>IF($AE175="","",MAX(0,SUM($AE175,$AL175,$V175,$W175)))</f>
        <v/>
      </c>
      <c r="AN175" s="22">
        <f>IF($AM175="","",IF(AND($Q175="COMMITMENT",$R175&gt;=$AH175),$AI175,0))</f>
        <v/>
      </c>
      <c r="AO175" s="23">
        <f>IF($AM175="","",MAX(0,$AM175-$AN175))</f>
        <v/>
      </c>
      <c r="AP175" s="22">
        <f>IF($S175="","",IF(OR($S175="ITEM_PRICE_PLUS_DECLARED_DELIVERY",$S175="DELIVERY_CHARGE_ONLY"),$K175,IF($S175="TOTAL_AMOUNT_INCLUDING_DELIVERY",IF(OR($T175="",$J175=""),"",MAX(0,$T175-$J175-$U175)),IF($S175="ITEM_PRICE_ONLY_DELIVERY_PAID_BY_MERCHANT",0,""))))</f>
        <v/>
      </c>
      <c r="AQ175" s="23">
        <f>IF(OR($AP175="",$AO175=""),"",$AP175-$AO175)</f>
        <v/>
      </c>
      <c r="AR175" s="24">
        <f>IF($S175="EXACT_COLLECTION_AMOUNT","BREAKDOWN_REQUIRED",IF($AQ175="","",IF($AQ175&gt;0,"CREDIT_TO_MERCHANT",IF($AQ175&lt;0,"DEDUCT_FROM_MERCHANT","NO_ADJUSTMENT"))))</f>
        <v/>
      </c>
      <c r="AS175" s="23">
        <f>IF(OR($AQ175="",$AR175="BREAKDOWN_REQUIRED"),"",$AQ175)</f>
        <v/>
      </c>
      <c r="AT175" s="23">
        <f>IF(OR($AR175="",$AR175="BREAKDOWN_REQUIRED"),"",SUM($J175,$AQ175,$Y175)-$X175)</f>
        <v/>
      </c>
      <c r="AU175" s="25">
        <f>IF(AND($A175="",$B175="",$F175="",$H175="",$J175="",$K175="",$M175="",$S175=""),"",IF(OR($H175="",$Q175="",$M175="",$S175=""),"ERROR",IF(OR($J175&lt;0,$K175&lt;0,$M175&lt;0,$T175&lt;0,$U175&lt;0,$V175&lt;0,$W175&lt;0,$X175&lt;0,$Y175&lt;0),"ERROR",IF($AE175="","ERROR",IF(AND(OR($S175="ITEM_PRICE_PLUS_DECLARED_DELIVERY",$S175="TOTAL_AMOUNT_INCLUDING_DELIVERY",$S175="ITEM_PRICE_ONLY_DELIVERY_PAID_BY_MERCHANT"),$J175=""),"ERROR",IF(AND(OR($S175="ITEM_PRICE_PLUS_DECLARED_DELIVERY",$S175="DELIVERY_CHARGE_ONLY"),$K175=""),"ERROR",IF(AND(OR($S175="TOTAL_AMOUNT_INCLUDING_DELIVERY",$S175="EXACT_COLLECTION_AMOUNT"),$T175=""),"ERROR",IF(AND($S175="TOTAL_AMOUNT_INCLUDING_DELIVERY",$T175&lt;SUM($J175,$U175)),"ERROR",IF($S175="EXACT_COLLECTION_AMOUNT","REVIEW","OK")))))))))</f>
        <v/>
      </c>
      <c r="AV175" s="25">
        <f>IF($AU175="","",IF($H175="","Township required",IF($Q175="","Customer tier required",IF($M175="","Weight required",IF($S175="","Amount entry type required",IF(OR($J175&lt;0,$K175&lt;0,$M175&lt;0,$T175&lt;0,$U175&lt;0,$V175&lt;0,$W175&lt;0,$X175&lt;0,$Y175&lt;0),"Negative amounts are not allowed",IF($AE175="","Tariff not found for township and tier",IF(AND(OR($S175="ITEM_PRICE_PLUS_DECLARED_DELIVERY",$S175="TOTAL_AMOUNT_INCLUDING_DELIVERY",$S175="ITEM_PRICE_ONLY_DELIVERY_PAID_BY_MERCHANT"),$J175=""),"Item price required for this amount type",IF(AND(OR($S175="ITEM_PRICE_PLUS_DECLARED_DELIVERY",$S175="DELIVERY_CHARGE_ONLY"),$K175=""),"Declared delivery charge required",IF(AND(OR($S175="TOTAL_AMOUNT_INCLUDING_DELIVERY",$S175="EXACT_COLLECTION_AMOUNT"),$T175=""),"Stated total amount required",IF(AND($S175="TOTAL_AMOUNT_INCLUDING_DELIVERY",$T175&lt;SUM($J175,$U175)),"Stated total is below item price plus additional charge",IF($S175="EXACT_COLLECTION_AMOUNT","Authorized amount breakdown required before settlement","Ready for collection and settlement"))))))))))))</f>
        <v/>
      </c>
      <c r="AW175" s="23">
        <f>IF($AU175="","","PARCEL_FINANCIAL_V2")</f>
        <v/>
      </c>
      <c r="AX175" s="17" t="n"/>
    </row>
    <row r="176">
      <c r="A176" s="8" t="n"/>
      <c r="B176" s="8" t="n"/>
      <c r="C176" s="8" t="n"/>
      <c r="D176" s="8" t="n"/>
      <c r="E176" s="9" t="n"/>
      <c r="F176" s="9" t="n"/>
      <c r="G176" s="8" t="n"/>
      <c r="H176" s="9" t="n"/>
      <c r="I176" s="9" t="n"/>
      <c r="J176" s="10" t="n"/>
      <c r="K176" s="10" t="n"/>
      <c r="L176" s="11">
        <f>IF($S176="","",IF($S176="ITEM_PRICE_PLUS_DECLARED_DELIVERY",IF(OR($J176="",$K176=""),"",SUM($J176,$K176,$U176)),IF($S176="TOTAL_AMOUNT_INCLUDING_DELIVERY",IF($T176="","",$T176),IF($S176="DELIVERY_CHARGE_ONLY",IF($K176="","",SUM($K176,$U176)),IF($S176="EXACT_COLLECTION_AMOUNT",IF($T176="","",$T176),IF($S176="ITEM_PRICE_ONLY_DELIVERY_PAID_BY_MERCHANT",IF($J176="","",SUM($J176,$U176)),""))))))</f>
        <v/>
      </c>
      <c r="M176" s="12" t="n"/>
      <c r="N176" s="13" t="n"/>
      <c r="O176" s="13" t="n"/>
      <c r="P176" s="9" t="n"/>
      <c r="Q176" s="14" t="n"/>
      <c r="R176" s="15" t="n"/>
      <c r="S176" s="14" t="n"/>
      <c r="T176" s="16" t="n"/>
      <c r="U176" s="16" t="n"/>
      <c r="V176" s="16" t="n"/>
      <c r="W176" s="16" t="n"/>
      <c r="X176" s="16" t="n"/>
      <c r="Y176" s="16" t="n"/>
      <c r="Z176" s="14" t="n"/>
      <c r="AA176" s="14" t="n"/>
      <c r="AB176" s="14" t="n"/>
      <c r="AC176" s="17">
        <f>IFERROR(VLOOKUP($H176&amp;"|"&amp;$Q176,Tariff_Master!$A$2:$L$169,3,FALSE),"")</f>
        <v/>
      </c>
      <c r="AD176" s="17">
        <f>IFERROR(VLOOKUP($H176&amp;"|"&amp;$Q176,Tariff_Master!$A$2:$L$169,4,FALSE),"")</f>
        <v/>
      </c>
      <c r="AE176" s="18">
        <f>IFERROR(VLOOKUP($H176&amp;"|"&amp;$Q176,Tariff_Master!$A$2:$L$169,6,FALSE),"")</f>
        <v/>
      </c>
      <c r="AF176" s="19">
        <f>IFERROR(VLOOKUP($H176&amp;"|"&amp;$Q176,Tariff_Master!$A$2:$L$169,7,FALSE),"")</f>
        <v/>
      </c>
      <c r="AG176" s="18">
        <f>IFERROR(VLOOKUP($H176&amp;"|"&amp;$Q176,Tariff_Master!$A$2:$L$169,8,FALSE),"")</f>
        <v/>
      </c>
      <c r="AH176" s="20">
        <f>IFERROR(VLOOKUP($H176&amp;"|"&amp;$Q176,Tariff_Master!$A$2:$L$169,9,FALSE),"")</f>
        <v/>
      </c>
      <c r="AI176" s="18">
        <f>IFERROR(VLOOKUP($H176&amp;"|"&amp;$Q176,Tariff_Master!$A$2:$L$169,10,FALSE),"")</f>
        <v/>
      </c>
      <c r="AJ176" s="21">
        <f>IF($M176="","",ROUNDUP(MAX(0,$M176),0))</f>
        <v/>
      </c>
      <c r="AK176" s="21">
        <f>IF(OR($AJ176="",$AF176=""),"",MAX(0,$AJ176-$AF176))</f>
        <v/>
      </c>
      <c r="AL176" s="22">
        <f>IF(OR($AK176="",$AG176=""),"",MAX(0,$AK176*$AG176))</f>
        <v/>
      </c>
      <c r="AM176" s="22">
        <f>IF($AE176="","",MAX(0,SUM($AE176,$AL176,$V176,$W176)))</f>
        <v/>
      </c>
      <c r="AN176" s="22">
        <f>IF($AM176="","",IF(AND($Q176="COMMITMENT",$R176&gt;=$AH176),$AI176,0))</f>
        <v/>
      </c>
      <c r="AO176" s="23">
        <f>IF($AM176="","",MAX(0,$AM176-$AN176))</f>
        <v/>
      </c>
      <c r="AP176" s="22">
        <f>IF($S176="","",IF(OR($S176="ITEM_PRICE_PLUS_DECLARED_DELIVERY",$S176="DELIVERY_CHARGE_ONLY"),$K176,IF($S176="TOTAL_AMOUNT_INCLUDING_DELIVERY",IF(OR($T176="",$J176=""),"",MAX(0,$T176-$J176-$U176)),IF($S176="ITEM_PRICE_ONLY_DELIVERY_PAID_BY_MERCHANT",0,""))))</f>
        <v/>
      </c>
      <c r="AQ176" s="23">
        <f>IF(OR($AP176="",$AO176=""),"",$AP176-$AO176)</f>
        <v/>
      </c>
      <c r="AR176" s="24">
        <f>IF($S176="EXACT_COLLECTION_AMOUNT","BREAKDOWN_REQUIRED",IF($AQ176="","",IF($AQ176&gt;0,"CREDIT_TO_MERCHANT",IF($AQ176&lt;0,"DEDUCT_FROM_MERCHANT","NO_ADJUSTMENT"))))</f>
        <v/>
      </c>
      <c r="AS176" s="23">
        <f>IF(OR($AQ176="",$AR176="BREAKDOWN_REQUIRED"),"",$AQ176)</f>
        <v/>
      </c>
      <c r="AT176" s="23">
        <f>IF(OR($AR176="",$AR176="BREAKDOWN_REQUIRED"),"",SUM($J176,$AQ176,$Y176)-$X176)</f>
        <v/>
      </c>
      <c r="AU176" s="25">
        <f>IF(AND($A176="",$B176="",$F176="",$H176="",$J176="",$K176="",$M176="",$S176=""),"",IF(OR($H176="",$Q176="",$M176="",$S176=""),"ERROR",IF(OR($J176&lt;0,$K176&lt;0,$M176&lt;0,$T176&lt;0,$U176&lt;0,$V176&lt;0,$W176&lt;0,$X176&lt;0,$Y176&lt;0),"ERROR",IF($AE176="","ERROR",IF(AND(OR($S176="ITEM_PRICE_PLUS_DECLARED_DELIVERY",$S176="TOTAL_AMOUNT_INCLUDING_DELIVERY",$S176="ITEM_PRICE_ONLY_DELIVERY_PAID_BY_MERCHANT"),$J176=""),"ERROR",IF(AND(OR($S176="ITEM_PRICE_PLUS_DECLARED_DELIVERY",$S176="DELIVERY_CHARGE_ONLY"),$K176=""),"ERROR",IF(AND(OR($S176="TOTAL_AMOUNT_INCLUDING_DELIVERY",$S176="EXACT_COLLECTION_AMOUNT"),$T176=""),"ERROR",IF(AND($S176="TOTAL_AMOUNT_INCLUDING_DELIVERY",$T176&lt;SUM($J176,$U176)),"ERROR",IF($S176="EXACT_COLLECTION_AMOUNT","REVIEW","OK")))))))))</f>
        <v/>
      </c>
      <c r="AV176" s="25">
        <f>IF($AU176="","",IF($H176="","Township required",IF($Q176="","Customer tier required",IF($M176="","Weight required",IF($S176="","Amount entry type required",IF(OR($J176&lt;0,$K176&lt;0,$M176&lt;0,$T176&lt;0,$U176&lt;0,$V176&lt;0,$W176&lt;0,$X176&lt;0,$Y176&lt;0),"Negative amounts are not allowed",IF($AE176="","Tariff not found for township and tier",IF(AND(OR($S176="ITEM_PRICE_PLUS_DECLARED_DELIVERY",$S176="TOTAL_AMOUNT_INCLUDING_DELIVERY",$S176="ITEM_PRICE_ONLY_DELIVERY_PAID_BY_MERCHANT"),$J176=""),"Item price required for this amount type",IF(AND(OR($S176="ITEM_PRICE_PLUS_DECLARED_DELIVERY",$S176="DELIVERY_CHARGE_ONLY"),$K176=""),"Declared delivery charge required",IF(AND(OR($S176="TOTAL_AMOUNT_INCLUDING_DELIVERY",$S176="EXACT_COLLECTION_AMOUNT"),$T176=""),"Stated total amount required",IF(AND($S176="TOTAL_AMOUNT_INCLUDING_DELIVERY",$T176&lt;SUM($J176,$U176)),"Stated total is below item price plus additional charge",IF($S176="EXACT_COLLECTION_AMOUNT","Authorized amount breakdown required before settlement","Ready for collection and settlement"))))))))))))</f>
        <v/>
      </c>
      <c r="AW176" s="23">
        <f>IF($AU176="","","PARCEL_FINANCIAL_V2")</f>
        <v/>
      </c>
      <c r="AX176" s="17" t="n"/>
    </row>
    <row r="177">
      <c r="A177" s="8" t="n"/>
      <c r="B177" s="8" t="n"/>
      <c r="C177" s="8" t="n"/>
      <c r="D177" s="8" t="n"/>
      <c r="E177" s="9" t="n"/>
      <c r="F177" s="9" t="n"/>
      <c r="G177" s="8" t="n"/>
      <c r="H177" s="9" t="n"/>
      <c r="I177" s="9" t="n"/>
      <c r="J177" s="10" t="n"/>
      <c r="K177" s="10" t="n"/>
      <c r="L177" s="11">
        <f>IF($S177="","",IF($S177="ITEM_PRICE_PLUS_DECLARED_DELIVERY",IF(OR($J177="",$K177=""),"",SUM($J177,$K177,$U177)),IF($S177="TOTAL_AMOUNT_INCLUDING_DELIVERY",IF($T177="","",$T177),IF($S177="DELIVERY_CHARGE_ONLY",IF($K177="","",SUM($K177,$U177)),IF($S177="EXACT_COLLECTION_AMOUNT",IF($T177="","",$T177),IF($S177="ITEM_PRICE_ONLY_DELIVERY_PAID_BY_MERCHANT",IF($J177="","",SUM($J177,$U177)),""))))))</f>
        <v/>
      </c>
      <c r="M177" s="12" t="n"/>
      <c r="N177" s="13" t="n"/>
      <c r="O177" s="13" t="n"/>
      <c r="P177" s="9" t="n"/>
      <c r="Q177" s="14" t="n"/>
      <c r="R177" s="15" t="n"/>
      <c r="S177" s="14" t="n"/>
      <c r="T177" s="16" t="n"/>
      <c r="U177" s="16" t="n"/>
      <c r="V177" s="16" t="n"/>
      <c r="W177" s="16" t="n"/>
      <c r="X177" s="16" t="n"/>
      <c r="Y177" s="16" t="n"/>
      <c r="Z177" s="14" t="n"/>
      <c r="AA177" s="14" t="n"/>
      <c r="AB177" s="14" t="n"/>
      <c r="AC177" s="17">
        <f>IFERROR(VLOOKUP($H177&amp;"|"&amp;$Q177,Tariff_Master!$A$2:$L$169,3,FALSE),"")</f>
        <v/>
      </c>
      <c r="AD177" s="17">
        <f>IFERROR(VLOOKUP($H177&amp;"|"&amp;$Q177,Tariff_Master!$A$2:$L$169,4,FALSE),"")</f>
        <v/>
      </c>
      <c r="AE177" s="18">
        <f>IFERROR(VLOOKUP($H177&amp;"|"&amp;$Q177,Tariff_Master!$A$2:$L$169,6,FALSE),"")</f>
        <v/>
      </c>
      <c r="AF177" s="19">
        <f>IFERROR(VLOOKUP($H177&amp;"|"&amp;$Q177,Tariff_Master!$A$2:$L$169,7,FALSE),"")</f>
        <v/>
      </c>
      <c r="AG177" s="18">
        <f>IFERROR(VLOOKUP($H177&amp;"|"&amp;$Q177,Tariff_Master!$A$2:$L$169,8,FALSE),"")</f>
        <v/>
      </c>
      <c r="AH177" s="20">
        <f>IFERROR(VLOOKUP($H177&amp;"|"&amp;$Q177,Tariff_Master!$A$2:$L$169,9,FALSE),"")</f>
        <v/>
      </c>
      <c r="AI177" s="18">
        <f>IFERROR(VLOOKUP($H177&amp;"|"&amp;$Q177,Tariff_Master!$A$2:$L$169,10,FALSE),"")</f>
        <v/>
      </c>
      <c r="AJ177" s="21">
        <f>IF($M177="","",ROUNDUP(MAX(0,$M177),0))</f>
        <v/>
      </c>
      <c r="AK177" s="21">
        <f>IF(OR($AJ177="",$AF177=""),"",MAX(0,$AJ177-$AF177))</f>
        <v/>
      </c>
      <c r="AL177" s="22">
        <f>IF(OR($AK177="",$AG177=""),"",MAX(0,$AK177*$AG177))</f>
        <v/>
      </c>
      <c r="AM177" s="22">
        <f>IF($AE177="","",MAX(0,SUM($AE177,$AL177,$V177,$W177)))</f>
        <v/>
      </c>
      <c r="AN177" s="22">
        <f>IF($AM177="","",IF(AND($Q177="COMMITMENT",$R177&gt;=$AH177),$AI177,0))</f>
        <v/>
      </c>
      <c r="AO177" s="23">
        <f>IF($AM177="","",MAX(0,$AM177-$AN177))</f>
        <v/>
      </c>
      <c r="AP177" s="22">
        <f>IF($S177="","",IF(OR($S177="ITEM_PRICE_PLUS_DECLARED_DELIVERY",$S177="DELIVERY_CHARGE_ONLY"),$K177,IF($S177="TOTAL_AMOUNT_INCLUDING_DELIVERY",IF(OR($T177="",$J177=""),"",MAX(0,$T177-$J177-$U177)),IF($S177="ITEM_PRICE_ONLY_DELIVERY_PAID_BY_MERCHANT",0,""))))</f>
        <v/>
      </c>
      <c r="AQ177" s="23">
        <f>IF(OR($AP177="",$AO177=""),"",$AP177-$AO177)</f>
        <v/>
      </c>
      <c r="AR177" s="24">
        <f>IF($S177="EXACT_COLLECTION_AMOUNT","BREAKDOWN_REQUIRED",IF($AQ177="","",IF($AQ177&gt;0,"CREDIT_TO_MERCHANT",IF($AQ177&lt;0,"DEDUCT_FROM_MERCHANT","NO_ADJUSTMENT"))))</f>
        <v/>
      </c>
      <c r="AS177" s="23">
        <f>IF(OR($AQ177="",$AR177="BREAKDOWN_REQUIRED"),"",$AQ177)</f>
        <v/>
      </c>
      <c r="AT177" s="23">
        <f>IF(OR($AR177="",$AR177="BREAKDOWN_REQUIRED"),"",SUM($J177,$AQ177,$Y177)-$X177)</f>
        <v/>
      </c>
      <c r="AU177" s="25">
        <f>IF(AND($A177="",$B177="",$F177="",$H177="",$J177="",$K177="",$M177="",$S177=""),"",IF(OR($H177="",$Q177="",$M177="",$S177=""),"ERROR",IF(OR($J177&lt;0,$K177&lt;0,$M177&lt;0,$T177&lt;0,$U177&lt;0,$V177&lt;0,$W177&lt;0,$X177&lt;0,$Y177&lt;0),"ERROR",IF($AE177="","ERROR",IF(AND(OR($S177="ITEM_PRICE_PLUS_DECLARED_DELIVERY",$S177="TOTAL_AMOUNT_INCLUDING_DELIVERY",$S177="ITEM_PRICE_ONLY_DELIVERY_PAID_BY_MERCHANT"),$J177=""),"ERROR",IF(AND(OR($S177="ITEM_PRICE_PLUS_DECLARED_DELIVERY",$S177="DELIVERY_CHARGE_ONLY"),$K177=""),"ERROR",IF(AND(OR($S177="TOTAL_AMOUNT_INCLUDING_DELIVERY",$S177="EXACT_COLLECTION_AMOUNT"),$T177=""),"ERROR",IF(AND($S177="TOTAL_AMOUNT_INCLUDING_DELIVERY",$T177&lt;SUM($J177,$U177)),"ERROR",IF($S177="EXACT_COLLECTION_AMOUNT","REVIEW","OK")))))))))</f>
        <v/>
      </c>
      <c r="AV177" s="25">
        <f>IF($AU177="","",IF($H177="","Township required",IF($Q177="","Customer tier required",IF($M177="","Weight required",IF($S177="","Amount entry type required",IF(OR($J177&lt;0,$K177&lt;0,$M177&lt;0,$T177&lt;0,$U177&lt;0,$V177&lt;0,$W177&lt;0,$X177&lt;0,$Y177&lt;0),"Negative amounts are not allowed",IF($AE177="","Tariff not found for township and tier",IF(AND(OR($S177="ITEM_PRICE_PLUS_DECLARED_DELIVERY",$S177="TOTAL_AMOUNT_INCLUDING_DELIVERY",$S177="ITEM_PRICE_ONLY_DELIVERY_PAID_BY_MERCHANT"),$J177=""),"Item price required for this amount type",IF(AND(OR($S177="ITEM_PRICE_PLUS_DECLARED_DELIVERY",$S177="DELIVERY_CHARGE_ONLY"),$K177=""),"Declared delivery charge required",IF(AND(OR($S177="TOTAL_AMOUNT_INCLUDING_DELIVERY",$S177="EXACT_COLLECTION_AMOUNT"),$T177=""),"Stated total amount required",IF(AND($S177="TOTAL_AMOUNT_INCLUDING_DELIVERY",$T177&lt;SUM($J177,$U177)),"Stated total is below item price plus additional charge",IF($S177="EXACT_COLLECTION_AMOUNT","Authorized amount breakdown required before settlement","Ready for collection and settlement"))))))))))))</f>
        <v/>
      </c>
      <c r="AW177" s="23">
        <f>IF($AU177="","","PARCEL_FINANCIAL_V2")</f>
        <v/>
      </c>
      <c r="AX177" s="17" t="n"/>
    </row>
    <row r="178">
      <c r="A178" s="8" t="n"/>
      <c r="B178" s="8" t="n"/>
      <c r="C178" s="8" t="n"/>
      <c r="D178" s="8" t="n"/>
      <c r="E178" s="9" t="n"/>
      <c r="F178" s="9" t="n"/>
      <c r="G178" s="8" t="n"/>
      <c r="H178" s="9" t="n"/>
      <c r="I178" s="9" t="n"/>
      <c r="J178" s="10" t="n"/>
      <c r="K178" s="10" t="n"/>
      <c r="L178" s="11">
        <f>IF($S178="","",IF($S178="ITEM_PRICE_PLUS_DECLARED_DELIVERY",IF(OR($J178="",$K178=""),"",SUM($J178,$K178,$U178)),IF($S178="TOTAL_AMOUNT_INCLUDING_DELIVERY",IF($T178="","",$T178),IF($S178="DELIVERY_CHARGE_ONLY",IF($K178="","",SUM($K178,$U178)),IF($S178="EXACT_COLLECTION_AMOUNT",IF($T178="","",$T178),IF($S178="ITEM_PRICE_ONLY_DELIVERY_PAID_BY_MERCHANT",IF($J178="","",SUM($J178,$U178)),""))))))</f>
        <v/>
      </c>
      <c r="M178" s="12" t="n"/>
      <c r="N178" s="13" t="n"/>
      <c r="O178" s="13" t="n"/>
      <c r="P178" s="9" t="n"/>
      <c r="Q178" s="14" t="n"/>
      <c r="R178" s="15" t="n"/>
      <c r="S178" s="14" t="n"/>
      <c r="T178" s="16" t="n"/>
      <c r="U178" s="16" t="n"/>
      <c r="V178" s="16" t="n"/>
      <c r="W178" s="16" t="n"/>
      <c r="X178" s="16" t="n"/>
      <c r="Y178" s="16" t="n"/>
      <c r="Z178" s="14" t="n"/>
      <c r="AA178" s="14" t="n"/>
      <c r="AB178" s="14" t="n"/>
      <c r="AC178" s="17">
        <f>IFERROR(VLOOKUP($H178&amp;"|"&amp;$Q178,Tariff_Master!$A$2:$L$169,3,FALSE),"")</f>
        <v/>
      </c>
      <c r="AD178" s="17">
        <f>IFERROR(VLOOKUP($H178&amp;"|"&amp;$Q178,Tariff_Master!$A$2:$L$169,4,FALSE),"")</f>
        <v/>
      </c>
      <c r="AE178" s="18">
        <f>IFERROR(VLOOKUP($H178&amp;"|"&amp;$Q178,Tariff_Master!$A$2:$L$169,6,FALSE),"")</f>
        <v/>
      </c>
      <c r="AF178" s="19">
        <f>IFERROR(VLOOKUP($H178&amp;"|"&amp;$Q178,Tariff_Master!$A$2:$L$169,7,FALSE),"")</f>
        <v/>
      </c>
      <c r="AG178" s="18">
        <f>IFERROR(VLOOKUP($H178&amp;"|"&amp;$Q178,Tariff_Master!$A$2:$L$169,8,FALSE),"")</f>
        <v/>
      </c>
      <c r="AH178" s="20">
        <f>IFERROR(VLOOKUP($H178&amp;"|"&amp;$Q178,Tariff_Master!$A$2:$L$169,9,FALSE),"")</f>
        <v/>
      </c>
      <c r="AI178" s="18">
        <f>IFERROR(VLOOKUP($H178&amp;"|"&amp;$Q178,Tariff_Master!$A$2:$L$169,10,FALSE),"")</f>
        <v/>
      </c>
      <c r="AJ178" s="21">
        <f>IF($M178="","",ROUNDUP(MAX(0,$M178),0))</f>
        <v/>
      </c>
      <c r="AK178" s="21">
        <f>IF(OR($AJ178="",$AF178=""),"",MAX(0,$AJ178-$AF178))</f>
        <v/>
      </c>
      <c r="AL178" s="22">
        <f>IF(OR($AK178="",$AG178=""),"",MAX(0,$AK178*$AG178))</f>
        <v/>
      </c>
      <c r="AM178" s="22">
        <f>IF($AE178="","",MAX(0,SUM($AE178,$AL178,$V178,$W178)))</f>
        <v/>
      </c>
      <c r="AN178" s="22">
        <f>IF($AM178="","",IF(AND($Q178="COMMITMENT",$R178&gt;=$AH178),$AI178,0))</f>
        <v/>
      </c>
      <c r="AO178" s="23">
        <f>IF($AM178="","",MAX(0,$AM178-$AN178))</f>
        <v/>
      </c>
      <c r="AP178" s="22">
        <f>IF($S178="","",IF(OR($S178="ITEM_PRICE_PLUS_DECLARED_DELIVERY",$S178="DELIVERY_CHARGE_ONLY"),$K178,IF($S178="TOTAL_AMOUNT_INCLUDING_DELIVERY",IF(OR($T178="",$J178=""),"",MAX(0,$T178-$J178-$U178)),IF($S178="ITEM_PRICE_ONLY_DELIVERY_PAID_BY_MERCHANT",0,""))))</f>
        <v/>
      </c>
      <c r="AQ178" s="23">
        <f>IF(OR($AP178="",$AO178=""),"",$AP178-$AO178)</f>
        <v/>
      </c>
      <c r="AR178" s="24">
        <f>IF($S178="EXACT_COLLECTION_AMOUNT","BREAKDOWN_REQUIRED",IF($AQ178="","",IF($AQ178&gt;0,"CREDIT_TO_MERCHANT",IF($AQ178&lt;0,"DEDUCT_FROM_MERCHANT","NO_ADJUSTMENT"))))</f>
        <v/>
      </c>
      <c r="AS178" s="23">
        <f>IF(OR($AQ178="",$AR178="BREAKDOWN_REQUIRED"),"",$AQ178)</f>
        <v/>
      </c>
      <c r="AT178" s="23">
        <f>IF(OR($AR178="",$AR178="BREAKDOWN_REQUIRED"),"",SUM($J178,$AQ178,$Y178)-$X178)</f>
        <v/>
      </c>
      <c r="AU178" s="25">
        <f>IF(AND($A178="",$B178="",$F178="",$H178="",$J178="",$K178="",$M178="",$S178=""),"",IF(OR($H178="",$Q178="",$M178="",$S178=""),"ERROR",IF(OR($J178&lt;0,$K178&lt;0,$M178&lt;0,$T178&lt;0,$U178&lt;0,$V178&lt;0,$W178&lt;0,$X178&lt;0,$Y178&lt;0),"ERROR",IF($AE178="","ERROR",IF(AND(OR($S178="ITEM_PRICE_PLUS_DECLARED_DELIVERY",$S178="TOTAL_AMOUNT_INCLUDING_DELIVERY",$S178="ITEM_PRICE_ONLY_DELIVERY_PAID_BY_MERCHANT"),$J178=""),"ERROR",IF(AND(OR($S178="ITEM_PRICE_PLUS_DECLARED_DELIVERY",$S178="DELIVERY_CHARGE_ONLY"),$K178=""),"ERROR",IF(AND(OR($S178="TOTAL_AMOUNT_INCLUDING_DELIVERY",$S178="EXACT_COLLECTION_AMOUNT"),$T178=""),"ERROR",IF(AND($S178="TOTAL_AMOUNT_INCLUDING_DELIVERY",$T178&lt;SUM($J178,$U178)),"ERROR",IF($S178="EXACT_COLLECTION_AMOUNT","REVIEW","OK")))))))))</f>
        <v/>
      </c>
      <c r="AV178" s="25">
        <f>IF($AU178="","",IF($H178="","Township required",IF($Q178="","Customer tier required",IF($M178="","Weight required",IF($S178="","Amount entry type required",IF(OR($J178&lt;0,$K178&lt;0,$M178&lt;0,$T178&lt;0,$U178&lt;0,$V178&lt;0,$W178&lt;0,$X178&lt;0,$Y178&lt;0),"Negative amounts are not allowed",IF($AE178="","Tariff not found for township and tier",IF(AND(OR($S178="ITEM_PRICE_PLUS_DECLARED_DELIVERY",$S178="TOTAL_AMOUNT_INCLUDING_DELIVERY",$S178="ITEM_PRICE_ONLY_DELIVERY_PAID_BY_MERCHANT"),$J178=""),"Item price required for this amount type",IF(AND(OR($S178="ITEM_PRICE_PLUS_DECLARED_DELIVERY",$S178="DELIVERY_CHARGE_ONLY"),$K178=""),"Declared delivery charge required",IF(AND(OR($S178="TOTAL_AMOUNT_INCLUDING_DELIVERY",$S178="EXACT_COLLECTION_AMOUNT"),$T178=""),"Stated total amount required",IF(AND($S178="TOTAL_AMOUNT_INCLUDING_DELIVERY",$T178&lt;SUM($J178,$U178)),"Stated total is below item price plus additional charge",IF($S178="EXACT_COLLECTION_AMOUNT","Authorized amount breakdown required before settlement","Ready for collection and settlement"))))))))))))</f>
        <v/>
      </c>
      <c r="AW178" s="23">
        <f>IF($AU178="","","PARCEL_FINANCIAL_V2")</f>
        <v/>
      </c>
      <c r="AX178" s="17" t="n"/>
    </row>
    <row r="179">
      <c r="A179" s="8" t="n"/>
      <c r="B179" s="8" t="n"/>
      <c r="C179" s="8" t="n"/>
      <c r="D179" s="8" t="n"/>
      <c r="E179" s="9" t="n"/>
      <c r="F179" s="9" t="n"/>
      <c r="G179" s="8" t="n"/>
      <c r="H179" s="9" t="n"/>
      <c r="I179" s="9" t="n"/>
      <c r="J179" s="10" t="n"/>
      <c r="K179" s="10" t="n"/>
      <c r="L179" s="11">
        <f>IF($S179="","",IF($S179="ITEM_PRICE_PLUS_DECLARED_DELIVERY",IF(OR($J179="",$K179=""),"",SUM($J179,$K179,$U179)),IF($S179="TOTAL_AMOUNT_INCLUDING_DELIVERY",IF($T179="","",$T179),IF($S179="DELIVERY_CHARGE_ONLY",IF($K179="","",SUM($K179,$U179)),IF($S179="EXACT_COLLECTION_AMOUNT",IF($T179="","",$T179),IF($S179="ITEM_PRICE_ONLY_DELIVERY_PAID_BY_MERCHANT",IF($J179="","",SUM($J179,$U179)),""))))))</f>
        <v/>
      </c>
      <c r="M179" s="12" t="n"/>
      <c r="N179" s="13" t="n"/>
      <c r="O179" s="13" t="n"/>
      <c r="P179" s="9" t="n"/>
      <c r="Q179" s="14" t="n"/>
      <c r="R179" s="15" t="n"/>
      <c r="S179" s="14" t="n"/>
      <c r="T179" s="16" t="n"/>
      <c r="U179" s="16" t="n"/>
      <c r="V179" s="16" t="n"/>
      <c r="W179" s="16" t="n"/>
      <c r="X179" s="16" t="n"/>
      <c r="Y179" s="16" t="n"/>
      <c r="Z179" s="14" t="n"/>
      <c r="AA179" s="14" t="n"/>
      <c r="AB179" s="14" t="n"/>
      <c r="AC179" s="17">
        <f>IFERROR(VLOOKUP($H179&amp;"|"&amp;$Q179,Tariff_Master!$A$2:$L$169,3,FALSE),"")</f>
        <v/>
      </c>
      <c r="AD179" s="17">
        <f>IFERROR(VLOOKUP($H179&amp;"|"&amp;$Q179,Tariff_Master!$A$2:$L$169,4,FALSE),"")</f>
        <v/>
      </c>
      <c r="AE179" s="18">
        <f>IFERROR(VLOOKUP($H179&amp;"|"&amp;$Q179,Tariff_Master!$A$2:$L$169,6,FALSE),"")</f>
        <v/>
      </c>
      <c r="AF179" s="19">
        <f>IFERROR(VLOOKUP($H179&amp;"|"&amp;$Q179,Tariff_Master!$A$2:$L$169,7,FALSE),"")</f>
        <v/>
      </c>
      <c r="AG179" s="18">
        <f>IFERROR(VLOOKUP($H179&amp;"|"&amp;$Q179,Tariff_Master!$A$2:$L$169,8,FALSE),"")</f>
        <v/>
      </c>
      <c r="AH179" s="20">
        <f>IFERROR(VLOOKUP($H179&amp;"|"&amp;$Q179,Tariff_Master!$A$2:$L$169,9,FALSE),"")</f>
        <v/>
      </c>
      <c r="AI179" s="18">
        <f>IFERROR(VLOOKUP($H179&amp;"|"&amp;$Q179,Tariff_Master!$A$2:$L$169,10,FALSE),"")</f>
        <v/>
      </c>
      <c r="AJ179" s="21">
        <f>IF($M179="","",ROUNDUP(MAX(0,$M179),0))</f>
        <v/>
      </c>
      <c r="AK179" s="21">
        <f>IF(OR($AJ179="",$AF179=""),"",MAX(0,$AJ179-$AF179))</f>
        <v/>
      </c>
      <c r="AL179" s="22">
        <f>IF(OR($AK179="",$AG179=""),"",MAX(0,$AK179*$AG179))</f>
        <v/>
      </c>
      <c r="AM179" s="22">
        <f>IF($AE179="","",MAX(0,SUM($AE179,$AL179,$V179,$W179)))</f>
        <v/>
      </c>
      <c r="AN179" s="22">
        <f>IF($AM179="","",IF(AND($Q179="COMMITMENT",$R179&gt;=$AH179),$AI179,0))</f>
        <v/>
      </c>
      <c r="AO179" s="23">
        <f>IF($AM179="","",MAX(0,$AM179-$AN179))</f>
        <v/>
      </c>
      <c r="AP179" s="22">
        <f>IF($S179="","",IF(OR($S179="ITEM_PRICE_PLUS_DECLARED_DELIVERY",$S179="DELIVERY_CHARGE_ONLY"),$K179,IF($S179="TOTAL_AMOUNT_INCLUDING_DELIVERY",IF(OR($T179="",$J179=""),"",MAX(0,$T179-$J179-$U179)),IF($S179="ITEM_PRICE_ONLY_DELIVERY_PAID_BY_MERCHANT",0,""))))</f>
        <v/>
      </c>
      <c r="AQ179" s="23">
        <f>IF(OR($AP179="",$AO179=""),"",$AP179-$AO179)</f>
        <v/>
      </c>
      <c r="AR179" s="24">
        <f>IF($S179="EXACT_COLLECTION_AMOUNT","BREAKDOWN_REQUIRED",IF($AQ179="","",IF($AQ179&gt;0,"CREDIT_TO_MERCHANT",IF($AQ179&lt;0,"DEDUCT_FROM_MERCHANT","NO_ADJUSTMENT"))))</f>
        <v/>
      </c>
      <c r="AS179" s="23">
        <f>IF(OR($AQ179="",$AR179="BREAKDOWN_REQUIRED"),"",$AQ179)</f>
        <v/>
      </c>
      <c r="AT179" s="23">
        <f>IF(OR($AR179="",$AR179="BREAKDOWN_REQUIRED"),"",SUM($J179,$AQ179,$Y179)-$X179)</f>
        <v/>
      </c>
      <c r="AU179" s="25">
        <f>IF(AND($A179="",$B179="",$F179="",$H179="",$J179="",$K179="",$M179="",$S179=""),"",IF(OR($H179="",$Q179="",$M179="",$S179=""),"ERROR",IF(OR($J179&lt;0,$K179&lt;0,$M179&lt;0,$T179&lt;0,$U179&lt;0,$V179&lt;0,$W179&lt;0,$X179&lt;0,$Y179&lt;0),"ERROR",IF($AE179="","ERROR",IF(AND(OR($S179="ITEM_PRICE_PLUS_DECLARED_DELIVERY",$S179="TOTAL_AMOUNT_INCLUDING_DELIVERY",$S179="ITEM_PRICE_ONLY_DELIVERY_PAID_BY_MERCHANT"),$J179=""),"ERROR",IF(AND(OR($S179="ITEM_PRICE_PLUS_DECLARED_DELIVERY",$S179="DELIVERY_CHARGE_ONLY"),$K179=""),"ERROR",IF(AND(OR($S179="TOTAL_AMOUNT_INCLUDING_DELIVERY",$S179="EXACT_COLLECTION_AMOUNT"),$T179=""),"ERROR",IF(AND($S179="TOTAL_AMOUNT_INCLUDING_DELIVERY",$T179&lt;SUM($J179,$U179)),"ERROR",IF($S179="EXACT_COLLECTION_AMOUNT","REVIEW","OK")))))))))</f>
        <v/>
      </c>
      <c r="AV179" s="25">
        <f>IF($AU179="","",IF($H179="","Township required",IF($Q179="","Customer tier required",IF($M179="","Weight required",IF($S179="","Amount entry type required",IF(OR($J179&lt;0,$K179&lt;0,$M179&lt;0,$T179&lt;0,$U179&lt;0,$V179&lt;0,$W179&lt;0,$X179&lt;0,$Y179&lt;0),"Negative amounts are not allowed",IF($AE179="","Tariff not found for township and tier",IF(AND(OR($S179="ITEM_PRICE_PLUS_DECLARED_DELIVERY",$S179="TOTAL_AMOUNT_INCLUDING_DELIVERY",$S179="ITEM_PRICE_ONLY_DELIVERY_PAID_BY_MERCHANT"),$J179=""),"Item price required for this amount type",IF(AND(OR($S179="ITEM_PRICE_PLUS_DECLARED_DELIVERY",$S179="DELIVERY_CHARGE_ONLY"),$K179=""),"Declared delivery charge required",IF(AND(OR($S179="TOTAL_AMOUNT_INCLUDING_DELIVERY",$S179="EXACT_COLLECTION_AMOUNT"),$T179=""),"Stated total amount required",IF(AND($S179="TOTAL_AMOUNT_INCLUDING_DELIVERY",$T179&lt;SUM($J179,$U179)),"Stated total is below item price plus additional charge",IF($S179="EXACT_COLLECTION_AMOUNT","Authorized amount breakdown required before settlement","Ready for collection and settlement"))))))))))))</f>
        <v/>
      </c>
      <c r="AW179" s="23">
        <f>IF($AU179="","","PARCEL_FINANCIAL_V2")</f>
        <v/>
      </c>
      <c r="AX179" s="17" t="n"/>
    </row>
    <row r="180">
      <c r="A180" s="8" t="n"/>
      <c r="B180" s="8" t="n"/>
      <c r="C180" s="8" t="n"/>
      <c r="D180" s="8" t="n"/>
      <c r="E180" s="9" t="n"/>
      <c r="F180" s="9" t="n"/>
      <c r="G180" s="8" t="n"/>
      <c r="H180" s="9" t="n"/>
      <c r="I180" s="9" t="n"/>
      <c r="J180" s="10" t="n"/>
      <c r="K180" s="10" t="n"/>
      <c r="L180" s="11">
        <f>IF($S180="","",IF($S180="ITEM_PRICE_PLUS_DECLARED_DELIVERY",IF(OR($J180="",$K180=""),"",SUM($J180,$K180,$U180)),IF($S180="TOTAL_AMOUNT_INCLUDING_DELIVERY",IF($T180="","",$T180),IF($S180="DELIVERY_CHARGE_ONLY",IF($K180="","",SUM($K180,$U180)),IF($S180="EXACT_COLLECTION_AMOUNT",IF($T180="","",$T180),IF($S180="ITEM_PRICE_ONLY_DELIVERY_PAID_BY_MERCHANT",IF($J180="","",SUM($J180,$U180)),""))))))</f>
        <v/>
      </c>
      <c r="M180" s="12" t="n"/>
      <c r="N180" s="13" t="n"/>
      <c r="O180" s="13" t="n"/>
      <c r="P180" s="9" t="n"/>
      <c r="Q180" s="14" t="n"/>
      <c r="R180" s="15" t="n"/>
      <c r="S180" s="14" t="n"/>
      <c r="T180" s="16" t="n"/>
      <c r="U180" s="16" t="n"/>
      <c r="V180" s="16" t="n"/>
      <c r="W180" s="16" t="n"/>
      <c r="X180" s="16" t="n"/>
      <c r="Y180" s="16" t="n"/>
      <c r="Z180" s="14" t="n"/>
      <c r="AA180" s="14" t="n"/>
      <c r="AB180" s="14" t="n"/>
      <c r="AC180" s="17">
        <f>IFERROR(VLOOKUP($H180&amp;"|"&amp;$Q180,Tariff_Master!$A$2:$L$169,3,FALSE),"")</f>
        <v/>
      </c>
      <c r="AD180" s="17">
        <f>IFERROR(VLOOKUP($H180&amp;"|"&amp;$Q180,Tariff_Master!$A$2:$L$169,4,FALSE),"")</f>
        <v/>
      </c>
      <c r="AE180" s="18">
        <f>IFERROR(VLOOKUP($H180&amp;"|"&amp;$Q180,Tariff_Master!$A$2:$L$169,6,FALSE),"")</f>
        <v/>
      </c>
      <c r="AF180" s="19">
        <f>IFERROR(VLOOKUP($H180&amp;"|"&amp;$Q180,Tariff_Master!$A$2:$L$169,7,FALSE),"")</f>
        <v/>
      </c>
      <c r="AG180" s="18">
        <f>IFERROR(VLOOKUP($H180&amp;"|"&amp;$Q180,Tariff_Master!$A$2:$L$169,8,FALSE),"")</f>
        <v/>
      </c>
      <c r="AH180" s="20">
        <f>IFERROR(VLOOKUP($H180&amp;"|"&amp;$Q180,Tariff_Master!$A$2:$L$169,9,FALSE),"")</f>
        <v/>
      </c>
      <c r="AI180" s="18">
        <f>IFERROR(VLOOKUP($H180&amp;"|"&amp;$Q180,Tariff_Master!$A$2:$L$169,10,FALSE),"")</f>
        <v/>
      </c>
      <c r="AJ180" s="21">
        <f>IF($M180="","",ROUNDUP(MAX(0,$M180),0))</f>
        <v/>
      </c>
      <c r="AK180" s="21">
        <f>IF(OR($AJ180="",$AF180=""),"",MAX(0,$AJ180-$AF180))</f>
        <v/>
      </c>
      <c r="AL180" s="22">
        <f>IF(OR($AK180="",$AG180=""),"",MAX(0,$AK180*$AG180))</f>
        <v/>
      </c>
      <c r="AM180" s="22">
        <f>IF($AE180="","",MAX(0,SUM($AE180,$AL180,$V180,$W180)))</f>
        <v/>
      </c>
      <c r="AN180" s="22">
        <f>IF($AM180="","",IF(AND($Q180="COMMITMENT",$R180&gt;=$AH180),$AI180,0))</f>
        <v/>
      </c>
      <c r="AO180" s="23">
        <f>IF($AM180="","",MAX(0,$AM180-$AN180))</f>
        <v/>
      </c>
      <c r="AP180" s="22">
        <f>IF($S180="","",IF(OR($S180="ITEM_PRICE_PLUS_DECLARED_DELIVERY",$S180="DELIVERY_CHARGE_ONLY"),$K180,IF($S180="TOTAL_AMOUNT_INCLUDING_DELIVERY",IF(OR($T180="",$J180=""),"",MAX(0,$T180-$J180-$U180)),IF($S180="ITEM_PRICE_ONLY_DELIVERY_PAID_BY_MERCHANT",0,""))))</f>
        <v/>
      </c>
      <c r="AQ180" s="23">
        <f>IF(OR($AP180="",$AO180=""),"",$AP180-$AO180)</f>
        <v/>
      </c>
      <c r="AR180" s="24">
        <f>IF($S180="EXACT_COLLECTION_AMOUNT","BREAKDOWN_REQUIRED",IF($AQ180="","",IF($AQ180&gt;0,"CREDIT_TO_MERCHANT",IF($AQ180&lt;0,"DEDUCT_FROM_MERCHANT","NO_ADJUSTMENT"))))</f>
        <v/>
      </c>
      <c r="AS180" s="23">
        <f>IF(OR($AQ180="",$AR180="BREAKDOWN_REQUIRED"),"",$AQ180)</f>
        <v/>
      </c>
      <c r="AT180" s="23">
        <f>IF(OR($AR180="",$AR180="BREAKDOWN_REQUIRED"),"",SUM($J180,$AQ180,$Y180)-$X180)</f>
        <v/>
      </c>
      <c r="AU180" s="25">
        <f>IF(AND($A180="",$B180="",$F180="",$H180="",$J180="",$K180="",$M180="",$S180=""),"",IF(OR($H180="",$Q180="",$M180="",$S180=""),"ERROR",IF(OR($J180&lt;0,$K180&lt;0,$M180&lt;0,$T180&lt;0,$U180&lt;0,$V180&lt;0,$W180&lt;0,$X180&lt;0,$Y180&lt;0),"ERROR",IF($AE180="","ERROR",IF(AND(OR($S180="ITEM_PRICE_PLUS_DECLARED_DELIVERY",$S180="TOTAL_AMOUNT_INCLUDING_DELIVERY",$S180="ITEM_PRICE_ONLY_DELIVERY_PAID_BY_MERCHANT"),$J180=""),"ERROR",IF(AND(OR($S180="ITEM_PRICE_PLUS_DECLARED_DELIVERY",$S180="DELIVERY_CHARGE_ONLY"),$K180=""),"ERROR",IF(AND(OR($S180="TOTAL_AMOUNT_INCLUDING_DELIVERY",$S180="EXACT_COLLECTION_AMOUNT"),$T180=""),"ERROR",IF(AND($S180="TOTAL_AMOUNT_INCLUDING_DELIVERY",$T180&lt;SUM($J180,$U180)),"ERROR",IF($S180="EXACT_COLLECTION_AMOUNT","REVIEW","OK")))))))))</f>
        <v/>
      </c>
      <c r="AV180" s="25">
        <f>IF($AU180="","",IF($H180="","Township required",IF($Q180="","Customer tier required",IF($M180="","Weight required",IF($S180="","Amount entry type required",IF(OR($J180&lt;0,$K180&lt;0,$M180&lt;0,$T180&lt;0,$U180&lt;0,$V180&lt;0,$W180&lt;0,$X180&lt;0,$Y180&lt;0),"Negative amounts are not allowed",IF($AE180="","Tariff not found for township and tier",IF(AND(OR($S180="ITEM_PRICE_PLUS_DECLARED_DELIVERY",$S180="TOTAL_AMOUNT_INCLUDING_DELIVERY",$S180="ITEM_PRICE_ONLY_DELIVERY_PAID_BY_MERCHANT"),$J180=""),"Item price required for this amount type",IF(AND(OR($S180="ITEM_PRICE_PLUS_DECLARED_DELIVERY",$S180="DELIVERY_CHARGE_ONLY"),$K180=""),"Declared delivery charge required",IF(AND(OR($S180="TOTAL_AMOUNT_INCLUDING_DELIVERY",$S180="EXACT_COLLECTION_AMOUNT"),$T180=""),"Stated total amount required",IF(AND($S180="TOTAL_AMOUNT_INCLUDING_DELIVERY",$T180&lt;SUM($J180,$U180)),"Stated total is below item price plus additional charge",IF($S180="EXACT_COLLECTION_AMOUNT","Authorized amount breakdown required before settlement","Ready for collection and settlement"))))))))))))</f>
        <v/>
      </c>
      <c r="AW180" s="23">
        <f>IF($AU180="","","PARCEL_FINANCIAL_V2")</f>
        <v/>
      </c>
      <c r="AX180" s="17" t="n"/>
    </row>
    <row r="181">
      <c r="A181" s="8" t="n"/>
      <c r="B181" s="8" t="n"/>
      <c r="C181" s="8" t="n"/>
      <c r="D181" s="8" t="n"/>
      <c r="E181" s="9" t="n"/>
      <c r="F181" s="9" t="n"/>
      <c r="G181" s="8" t="n"/>
      <c r="H181" s="9" t="n"/>
      <c r="I181" s="9" t="n"/>
      <c r="J181" s="10" t="n"/>
      <c r="K181" s="10" t="n"/>
      <c r="L181" s="11">
        <f>IF($S181="","",IF($S181="ITEM_PRICE_PLUS_DECLARED_DELIVERY",IF(OR($J181="",$K181=""),"",SUM($J181,$K181,$U181)),IF($S181="TOTAL_AMOUNT_INCLUDING_DELIVERY",IF($T181="","",$T181),IF($S181="DELIVERY_CHARGE_ONLY",IF($K181="","",SUM($K181,$U181)),IF($S181="EXACT_COLLECTION_AMOUNT",IF($T181="","",$T181),IF($S181="ITEM_PRICE_ONLY_DELIVERY_PAID_BY_MERCHANT",IF($J181="","",SUM($J181,$U181)),""))))))</f>
        <v/>
      </c>
      <c r="M181" s="12" t="n"/>
      <c r="N181" s="13" t="n"/>
      <c r="O181" s="13" t="n"/>
      <c r="P181" s="9" t="n"/>
      <c r="Q181" s="14" t="n"/>
      <c r="R181" s="15" t="n"/>
      <c r="S181" s="14" t="n"/>
      <c r="T181" s="16" t="n"/>
      <c r="U181" s="16" t="n"/>
      <c r="V181" s="16" t="n"/>
      <c r="W181" s="16" t="n"/>
      <c r="X181" s="16" t="n"/>
      <c r="Y181" s="16" t="n"/>
      <c r="Z181" s="14" t="n"/>
      <c r="AA181" s="14" t="n"/>
      <c r="AB181" s="14" t="n"/>
      <c r="AC181" s="17">
        <f>IFERROR(VLOOKUP($H181&amp;"|"&amp;$Q181,Tariff_Master!$A$2:$L$169,3,FALSE),"")</f>
        <v/>
      </c>
      <c r="AD181" s="17">
        <f>IFERROR(VLOOKUP($H181&amp;"|"&amp;$Q181,Tariff_Master!$A$2:$L$169,4,FALSE),"")</f>
        <v/>
      </c>
      <c r="AE181" s="18">
        <f>IFERROR(VLOOKUP($H181&amp;"|"&amp;$Q181,Tariff_Master!$A$2:$L$169,6,FALSE),"")</f>
        <v/>
      </c>
      <c r="AF181" s="19">
        <f>IFERROR(VLOOKUP($H181&amp;"|"&amp;$Q181,Tariff_Master!$A$2:$L$169,7,FALSE),"")</f>
        <v/>
      </c>
      <c r="AG181" s="18">
        <f>IFERROR(VLOOKUP($H181&amp;"|"&amp;$Q181,Tariff_Master!$A$2:$L$169,8,FALSE),"")</f>
        <v/>
      </c>
      <c r="AH181" s="20">
        <f>IFERROR(VLOOKUP($H181&amp;"|"&amp;$Q181,Tariff_Master!$A$2:$L$169,9,FALSE),"")</f>
        <v/>
      </c>
      <c r="AI181" s="18">
        <f>IFERROR(VLOOKUP($H181&amp;"|"&amp;$Q181,Tariff_Master!$A$2:$L$169,10,FALSE),"")</f>
        <v/>
      </c>
      <c r="AJ181" s="21">
        <f>IF($M181="","",ROUNDUP(MAX(0,$M181),0))</f>
        <v/>
      </c>
      <c r="AK181" s="21">
        <f>IF(OR($AJ181="",$AF181=""),"",MAX(0,$AJ181-$AF181))</f>
        <v/>
      </c>
      <c r="AL181" s="22">
        <f>IF(OR($AK181="",$AG181=""),"",MAX(0,$AK181*$AG181))</f>
        <v/>
      </c>
      <c r="AM181" s="22">
        <f>IF($AE181="","",MAX(0,SUM($AE181,$AL181,$V181,$W181)))</f>
        <v/>
      </c>
      <c r="AN181" s="22">
        <f>IF($AM181="","",IF(AND($Q181="COMMITMENT",$R181&gt;=$AH181),$AI181,0))</f>
        <v/>
      </c>
      <c r="AO181" s="23">
        <f>IF($AM181="","",MAX(0,$AM181-$AN181))</f>
        <v/>
      </c>
      <c r="AP181" s="22">
        <f>IF($S181="","",IF(OR($S181="ITEM_PRICE_PLUS_DECLARED_DELIVERY",$S181="DELIVERY_CHARGE_ONLY"),$K181,IF($S181="TOTAL_AMOUNT_INCLUDING_DELIVERY",IF(OR($T181="",$J181=""),"",MAX(0,$T181-$J181-$U181)),IF($S181="ITEM_PRICE_ONLY_DELIVERY_PAID_BY_MERCHANT",0,""))))</f>
        <v/>
      </c>
      <c r="AQ181" s="23">
        <f>IF(OR($AP181="",$AO181=""),"",$AP181-$AO181)</f>
        <v/>
      </c>
      <c r="AR181" s="24">
        <f>IF($S181="EXACT_COLLECTION_AMOUNT","BREAKDOWN_REQUIRED",IF($AQ181="","",IF($AQ181&gt;0,"CREDIT_TO_MERCHANT",IF($AQ181&lt;0,"DEDUCT_FROM_MERCHANT","NO_ADJUSTMENT"))))</f>
        <v/>
      </c>
      <c r="AS181" s="23">
        <f>IF(OR($AQ181="",$AR181="BREAKDOWN_REQUIRED"),"",$AQ181)</f>
        <v/>
      </c>
      <c r="AT181" s="23">
        <f>IF(OR($AR181="",$AR181="BREAKDOWN_REQUIRED"),"",SUM($J181,$AQ181,$Y181)-$X181)</f>
        <v/>
      </c>
      <c r="AU181" s="25">
        <f>IF(AND($A181="",$B181="",$F181="",$H181="",$J181="",$K181="",$M181="",$S181=""),"",IF(OR($H181="",$Q181="",$M181="",$S181=""),"ERROR",IF(OR($J181&lt;0,$K181&lt;0,$M181&lt;0,$T181&lt;0,$U181&lt;0,$V181&lt;0,$W181&lt;0,$X181&lt;0,$Y181&lt;0),"ERROR",IF($AE181="","ERROR",IF(AND(OR($S181="ITEM_PRICE_PLUS_DECLARED_DELIVERY",$S181="TOTAL_AMOUNT_INCLUDING_DELIVERY",$S181="ITEM_PRICE_ONLY_DELIVERY_PAID_BY_MERCHANT"),$J181=""),"ERROR",IF(AND(OR($S181="ITEM_PRICE_PLUS_DECLARED_DELIVERY",$S181="DELIVERY_CHARGE_ONLY"),$K181=""),"ERROR",IF(AND(OR($S181="TOTAL_AMOUNT_INCLUDING_DELIVERY",$S181="EXACT_COLLECTION_AMOUNT"),$T181=""),"ERROR",IF(AND($S181="TOTAL_AMOUNT_INCLUDING_DELIVERY",$T181&lt;SUM($J181,$U181)),"ERROR",IF($S181="EXACT_COLLECTION_AMOUNT","REVIEW","OK")))))))))</f>
        <v/>
      </c>
      <c r="AV181" s="25">
        <f>IF($AU181="","",IF($H181="","Township required",IF($Q181="","Customer tier required",IF($M181="","Weight required",IF($S181="","Amount entry type required",IF(OR($J181&lt;0,$K181&lt;0,$M181&lt;0,$T181&lt;0,$U181&lt;0,$V181&lt;0,$W181&lt;0,$X181&lt;0,$Y181&lt;0),"Negative amounts are not allowed",IF($AE181="","Tariff not found for township and tier",IF(AND(OR($S181="ITEM_PRICE_PLUS_DECLARED_DELIVERY",$S181="TOTAL_AMOUNT_INCLUDING_DELIVERY",$S181="ITEM_PRICE_ONLY_DELIVERY_PAID_BY_MERCHANT"),$J181=""),"Item price required for this amount type",IF(AND(OR($S181="ITEM_PRICE_PLUS_DECLARED_DELIVERY",$S181="DELIVERY_CHARGE_ONLY"),$K181=""),"Declared delivery charge required",IF(AND(OR($S181="TOTAL_AMOUNT_INCLUDING_DELIVERY",$S181="EXACT_COLLECTION_AMOUNT"),$T181=""),"Stated total amount required",IF(AND($S181="TOTAL_AMOUNT_INCLUDING_DELIVERY",$T181&lt;SUM($J181,$U181)),"Stated total is below item price plus additional charge",IF($S181="EXACT_COLLECTION_AMOUNT","Authorized amount breakdown required before settlement","Ready for collection and settlement"))))))))))))</f>
        <v/>
      </c>
      <c r="AW181" s="23">
        <f>IF($AU181="","","PARCEL_FINANCIAL_V2")</f>
        <v/>
      </c>
      <c r="AX181" s="17" t="n"/>
    </row>
    <row r="182">
      <c r="A182" s="8" t="n"/>
      <c r="B182" s="8" t="n"/>
      <c r="C182" s="8" t="n"/>
      <c r="D182" s="8" t="n"/>
      <c r="E182" s="9" t="n"/>
      <c r="F182" s="9" t="n"/>
      <c r="G182" s="8" t="n"/>
      <c r="H182" s="9" t="n"/>
      <c r="I182" s="9" t="n"/>
      <c r="J182" s="10" t="n"/>
      <c r="K182" s="10" t="n"/>
      <c r="L182" s="11">
        <f>IF($S182="","",IF($S182="ITEM_PRICE_PLUS_DECLARED_DELIVERY",IF(OR($J182="",$K182=""),"",SUM($J182,$K182,$U182)),IF($S182="TOTAL_AMOUNT_INCLUDING_DELIVERY",IF($T182="","",$T182),IF($S182="DELIVERY_CHARGE_ONLY",IF($K182="","",SUM($K182,$U182)),IF($S182="EXACT_COLLECTION_AMOUNT",IF($T182="","",$T182),IF($S182="ITEM_PRICE_ONLY_DELIVERY_PAID_BY_MERCHANT",IF($J182="","",SUM($J182,$U182)),""))))))</f>
        <v/>
      </c>
      <c r="M182" s="12" t="n"/>
      <c r="N182" s="13" t="n"/>
      <c r="O182" s="13" t="n"/>
      <c r="P182" s="9" t="n"/>
      <c r="Q182" s="14" t="n"/>
      <c r="R182" s="15" t="n"/>
      <c r="S182" s="14" t="n"/>
      <c r="T182" s="16" t="n"/>
      <c r="U182" s="16" t="n"/>
      <c r="V182" s="16" t="n"/>
      <c r="W182" s="16" t="n"/>
      <c r="X182" s="16" t="n"/>
      <c r="Y182" s="16" t="n"/>
      <c r="Z182" s="14" t="n"/>
      <c r="AA182" s="14" t="n"/>
      <c r="AB182" s="14" t="n"/>
      <c r="AC182" s="17">
        <f>IFERROR(VLOOKUP($H182&amp;"|"&amp;$Q182,Tariff_Master!$A$2:$L$169,3,FALSE),"")</f>
        <v/>
      </c>
      <c r="AD182" s="17">
        <f>IFERROR(VLOOKUP($H182&amp;"|"&amp;$Q182,Tariff_Master!$A$2:$L$169,4,FALSE),"")</f>
        <v/>
      </c>
      <c r="AE182" s="18">
        <f>IFERROR(VLOOKUP($H182&amp;"|"&amp;$Q182,Tariff_Master!$A$2:$L$169,6,FALSE),"")</f>
        <v/>
      </c>
      <c r="AF182" s="19">
        <f>IFERROR(VLOOKUP($H182&amp;"|"&amp;$Q182,Tariff_Master!$A$2:$L$169,7,FALSE),"")</f>
        <v/>
      </c>
      <c r="AG182" s="18">
        <f>IFERROR(VLOOKUP($H182&amp;"|"&amp;$Q182,Tariff_Master!$A$2:$L$169,8,FALSE),"")</f>
        <v/>
      </c>
      <c r="AH182" s="20">
        <f>IFERROR(VLOOKUP($H182&amp;"|"&amp;$Q182,Tariff_Master!$A$2:$L$169,9,FALSE),"")</f>
        <v/>
      </c>
      <c r="AI182" s="18">
        <f>IFERROR(VLOOKUP($H182&amp;"|"&amp;$Q182,Tariff_Master!$A$2:$L$169,10,FALSE),"")</f>
        <v/>
      </c>
      <c r="AJ182" s="21">
        <f>IF($M182="","",ROUNDUP(MAX(0,$M182),0))</f>
        <v/>
      </c>
      <c r="AK182" s="21">
        <f>IF(OR($AJ182="",$AF182=""),"",MAX(0,$AJ182-$AF182))</f>
        <v/>
      </c>
      <c r="AL182" s="22">
        <f>IF(OR($AK182="",$AG182=""),"",MAX(0,$AK182*$AG182))</f>
        <v/>
      </c>
      <c r="AM182" s="22">
        <f>IF($AE182="","",MAX(0,SUM($AE182,$AL182,$V182,$W182)))</f>
        <v/>
      </c>
      <c r="AN182" s="22">
        <f>IF($AM182="","",IF(AND($Q182="COMMITMENT",$R182&gt;=$AH182),$AI182,0))</f>
        <v/>
      </c>
      <c r="AO182" s="23">
        <f>IF($AM182="","",MAX(0,$AM182-$AN182))</f>
        <v/>
      </c>
      <c r="AP182" s="22">
        <f>IF($S182="","",IF(OR($S182="ITEM_PRICE_PLUS_DECLARED_DELIVERY",$S182="DELIVERY_CHARGE_ONLY"),$K182,IF($S182="TOTAL_AMOUNT_INCLUDING_DELIVERY",IF(OR($T182="",$J182=""),"",MAX(0,$T182-$J182-$U182)),IF($S182="ITEM_PRICE_ONLY_DELIVERY_PAID_BY_MERCHANT",0,""))))</f>
        <v/>
      </c>
      <c r="AQ182" s="23">
        <f>IF(OR($AP182="",$AO182=""),"",$AP182-$AO182)</f>
        <v/>
      </c>
      <c r="AR182" s="24">
        <f>IF($S182="EXACT_COLLECTION_AMOUNT","BREAKDOWN_REQUIRED",IF($AQ182="","",IF($AQ182&gt;0,"CREDIT_TO_MERCHANT",IF($AQ182&lt;0,"DEDUCT_FROM_MERCHANT","NO_ADJUSTMENT"))))</f>
        <v/>
      </c>
      <c r="AS182" s="23">
        <f>IF(OR($AQ182="",$AR182="BREAKDOWN_REQUIRED"),"",$AQ182)</f>
        <v/>
      </c>
      <c r="AT182" s="23">
        <f>IF(OR($AR182="",$AR182="BREAKDOWN_REQUIRED"),"",SUM($J182,$AQ182,$Y182)-$X182)</f>
        <v/>
      </c>
      <c r="AU182" s="25">
        <f>IF(AND($A182="",$B182="",$F182="",$H182="",$J182="",$K182="",$M182="",$S182=""),"",IF(OR($H182="",$Q182="",$M182="",$S182=""),"ERROR",IF(OR($J182&lt;0,$K182&lt;0,$M182&lt;0,$T182&lt;0,$U182&lt;0,$V182&lt;0,$W182&lt;0,$X182&lt;0,$Y182&lt;0),"ERROR",IF($AE182="","ERROR",IF(AND(OR($S182="ITEM_PRICE_PLUS_DECLARED_DELIVERY",$S182="TOTAL_AMOUNT_INCLUDING_DELIVERY",$S182="ITEM_PRICE_ONLY_DELIVERY_PAID_BY_MERCHANT"),$J182=""),"ERROR",IF(AND(OR($S182="ITEM_PRICE_PLUS_DECLARED_DELIVERY",$S182="DELIVERY_CHARGE_ONLY"),$K182=""),"ERROR",IF(AND(OR($S182="TOTAL_AMOUNT_INCLUDING_DELIVERY",$S182="EXACT_COLLECTION_AMOUNT"),$T182=""),"ERROR",IF(AND($S182="TOTAL_AMOUNT_INCLUDING_DELIVERY",$T182&lt;SUM($J182,$U182)),"ERROR",IF($S182="EXACT_COLLECTION_AMOUNT","REVIEW","OK")))))))))</f>
        <v/>
      </c>
      <c r="AV182" s="25">
        <f>IF($AU182="","",IF($H182="","Township required",IF($Q182="","Customer tier required",IF($M182="","Weight required",IF($S182="","Amount entry type required",IF(OR($J182&lt;0,$K182&lt;0,$M182&lt;0,$T182&lt;0,$U182&lt;0,$V182&lt;0,$W182&lt;0,$X182&lt;0,$Y182&lt;0),"Negative amounts are not allowed",IF($AE182="","Tariff not found for township and tier",IF(AND(OR($S182="ITEM_PRICE_PLUS_DECLARED_DELIVERY",$S182="TOTAL_AMOUNT_INCLUDING_DELIVERY",$S182="ITEM_PRICE_ONLY_DELIVERY_PAID_BY_MERCHANT"),$J182=""),"Item price required for this amount type",IF(AND(OR($S182="ITEM_PRICE_PLUS_DECLARED_DELIVERY",$S182="DELIVERY_CHARGE_ONLY"),$K182=""),"Declared delivery charge required",IF(AND(OR($S182="TOTAL_AMOUNT_INCLUDING_DELIVERY",$S182="EXACT_COLLECTION_AMOUNT"),$T182=""),"Stated total amount required",IF(AND($S182="TOTAL_AMOUNT_INCLUDING_DELIVERY",$T182&lt;SUM($J182,$U182)),"Stated total is below item price plus additional charge",IF($S182="EXACT_COLLECTION_AMOUNT","Authorized amount breakdown required before settlement","Ready for collection and settlement"))))))))))))</f>
        <v/>
      </c>
      <c r="AW182" s="23">
        <f>IF($AU182="","","PARCEL_FINANCIAL_V2")</f>
        <v/>
      </c>
      <c r="AX182" s="17" t="n"/>
    </row>
    <row r="183">
      <c r="A183" s="8" t="n"/>
      <c r="B183" s="8" t="n"/>
      <c r="C183" s="8" t="n"/>
      <c r="D183" s="8" t="n"/>
      <c r="E183" s="9" t="n"/>
      <c r="F183" s="9" t="n"/>
      <c r="G183" s="8" t="n"/>
      <c r="H183" s="9" t="n"/>
      <c r="I183" s="9" t="n"/>
      <c r="J183" s="10" t="n"/>
      <c r="K183" s="10" t="n"/>
      <c r="L183" s="11">
        <f>IF($S183="","",IF($S183="ITEM_PRICE_PLUS_DECLARED_DELIVERY",IF(OR($J183="",$K183=""),"",SUM($J183,$K183,$U183)),IF($S183="TOTAL_AMOUNT_INCLUDING_DELIVERY",IF($T183="","",$T183),IF($S183="DELIVERY_CHARGE_ONLY",IF($K183="","",SUM($K183,$U183)),IF($S183="EXACT_COLLECTION_AMOUNT",IF($T183="","",$T183),IF($S183="ITEM_PRICE_ONLY_DELIVERY_PAID_BY_MERCHANT",IF($J183="","",SUM($J183,$U183)),""))))))</f>
        <v/>
      </c>
      <c r="M183" s="12" t="n"/>
      <c r="N183" s="13" t="n"/>
      <c r="O183" s="13" t="n"/>
      <c r="P183" s="9" t="n"/>
      <c r="Q183" s="14" t="n"/>
      <c r="R183" s="15" t="n"/>
      <c r="S183" s="14" t="n"/>
      <c r="T183" s="16" t="n"/>
      <c r="U183" s="16" t="n"/>
      <c r="V183" s="16" t="n"/>
      <c r="W183" s="16" t="n"/>
      <c r="X183" s="16" t="n"/>
      <c r="Y183" s="16" t="n"/>
      <c r="Z183" s="14" t="n"/>
      <c r="AA183" s="14" t="n"/>
      <c r="AB183" s="14" t="n"/>
      <c r="AC183" s="17">
        <f>IFERROR(VLOOKUP($H183&amp;"|"&amp;$Q183,Tariff_Master!$A$2:$L$169,3,FALSE),"")</f>
        <v/>
      </c>
      <c r="AD183" s="17">
        <f>IFERROR(VLOOKUP($H183&amp;"|"&amp;$Q183,Tariff_Master!$A$2:$L$169,4,FALSE),"")</f>
        <v/>
      </c>
      <c r="AE183" s="18">
        <f>IFERROR(VLOOKUP($H183&amp;"|"&amp;$Q183,Tariff_Master!$A$2:$L$169,6,FALSE),"")</f>
        <v/>
      </c>
      <c r="AF183" s="19">
        <f>IFERROR(VLOOKUP($H183&amp;"|"&amp;$Q183,Tariff_Master!$A$2:$L$169,7,FALSE),"")</f>
        <v/>
      </c>
      <c r="AG183" s="18">
        <f>IFERROR(VLOOKUP($H183&amp;"|"&amp;$Q183,Tariff_Master!$A$2:$L$169,8,FALSE),"")</f>
        <v/>
      </c>
      <c r="AH183" s="20">
        <f>IFERROR(VLOOKUP($H183&amp;"|"&amp;$Q183,Tariff_Master!$A$2:$L$169,9,FALSE),"")</f>
        <v/>
      </c>
      <c r="AI183" s="18">
        <f>IFERROR(VLOOKUP($H183&amp;"|"&amp;$Q183,Tariff_Master!$A$2:$L$169,10,FALSE),"")</f>
        <v/>
      </c>
      <c r="AJ183" s="21">
        <f>IF($M183="","",ROUNDUP(MAX(0,$M183),0))</f>
        <v/>
      </c>
      <c r="AK183" s="21">
        <f>IF(OR($AJ183="",$AF183=""),"",MAX(0,$AJ183-$AF183))</f>
        <v/>
      </c>
      <c r="AL183" s="22">
        <f>IF(OR($AK183="",$AG183=""),"",MAX(0,$AK183*$AG183))</f>
        <v/>
      </c>
      <c r="AM183" s="22">
        <f>IF($AE183="","",MAX(0,SUM($AE183,$AL183,$V183,$W183)))</f>
        <v/>
      </c>
      <c r="AN183" s="22">
        <f>IF($AM183="","",IF(AND($Q183="COMMITMENT",$R183&gt;=$AH183),$AI183,0))</f>
        <v/>
      </c>
      <c r="AO183" s="23">
        <f>IF($AM183="","",MAX(0,$AM183-$AN183))</f>
        <v/>
      </c>
      <c r="AP183" s="22">
        <f>IF($S183="","",IF(OR($S183="ITEM_PRICE_PLUS_DECLARED_DELIVERY",$S183="DELIVERY_CHARGE_ONLY"),$K183,IF($S183="TOTAL_AMOUNT_INCLUDING_DELIVERY",IF(OR($T183="",$J183=""),"",MAX(0,$T183-$J183-$U183)),IF($S183="ITEM_PRICE_ONLY_DELIVERY_PAID_BY_MERCHANT",0,""))))</f>
        <v/>
      </c>
      <c r="AQ183" s="23">
        <f>IF(OR($AP183="",$AO183=""),"",$AP183-$AO183)</f>
        <v/>
      </c>
      <c r="AR183" s="24">
        <f>IF($S183="EXACT_COLLECTION_AMOUNT","BREAKDOWN_REQUIRED",IF($AQ183="","",IF($AQ183&gt;0,"CREDIT_TO_MERCHANT",IF($AQ183&lt;0,"DEDUCT_FROM_MERCHANT","NO_ADJUSTMENT"))))</f>
        <v/>
      </c>
      <c r="AS183" s="23">
        <f>IF(OR($AQ183="",$AR183="BREAKDOWN_REQUIRED"),"",$AQ183)</f>
        <v/>
      </c>
      <c r="AT183" s="23">
        <f>IF(OR($AR183="",$AR183="BREAKDOWN_REQUIRED"),"",SUM($J183,$AQ183,$Y183)-$X183)</f>
        <v/>
      </c>
      <c r="AU183" s="25">
        <f>IF(AND($A183="",$B183="",$F183="",$H183="",$J183="",$K183="",$M183="",$S183=""),"",IF(OR($H183="",$Q183="",$M183="",$S183=""),"ERROR",IF(OR($J183&lt;0,$K183&lt;0,$M183&lt;0,$T183&lt;0,$U183&lt;0,$V183&lt;0,$W183&lt;0,$X183&lt;0,$Y183&lt;0),"ERROR",IF($AE183="","ERROR",IF(AND(OR($S183="ITEM_PRICE_PLUS_DECLARED_DELIVERY",$S183="TOTAL_AMOUNT_INCLUDING_DELIVERY",$S183="ITEM_PRICE_ONLY_DELIVERY_PAID_BY_MERCHANT"),$J183=""),"ERROR",IF(AND(OR($S183="ITEM_PRICE_PLUS_DECLARED_DELIVERY",$S183="DELIVERY_CHARGE_ONLY"),$K183=""),"ERROR",IF(AND(OR($S183="TOTAL_AMOUNT_INCLUDING_DELIVERY",$S183="EXACT_COLLECTION_AMOUNT"),$T183=""),"ERROR",IF(AND($S183="TOTAL_AMOUNT_INCLUDING_DELIVERY",$T183&lt;SUM($J183,$U183)),"ERROR",IF($S183="EXACT_COLLECTION_AMOUNT","REVIEW","OK")))))))))</f>
        <v/>
      </c>
      <c r="AV183" s="25">
        <f>IF($AU183="","",IF($H183="","Township required",IF($Q183="","Customer tier required",IF($M183="","Weight required",IF($S183="","Amount entry type required",IF(OR($J183&lt;0,$K183&lt;0,$M183&lt;0,$T183&lt;0,$U183&lt;0,$V183&lt;0,$W183&lt;0,$X183&lt;0,$Y183&lt;0),"Negative amounts are not allowed",IF($AE183="","Tariff not found for township and tier",IF(AND(OR($S183="ITEM_PRICE_PLUS_DECLARED_DELIVERY",$S183="TOTAL_AMOUNT_INCLUDING_DELIVERY",$S183="ITEM_PRICE_ONLY_DELIVERY_PAID_BY_MERCHANT"),$J183=""),"Item price required for this amount type",IF(AND(OR($S183="ITEM_PRICE_PLUS_DECLARED_DELIVERY",$S183="DELIVERY_CHARGE_ONLY"),$K183=""),"Declared delivery charge required",IF(AND(OR($S183="TOTAL_AMOUNT_INCLUDING_DELIVERY",$S183="EXACT_COLLECTION_AMOUNT"),$T183=""),"Stated total amount required",IF(AND($S183="TOTAL_AMOUNT_INCLUDING_DELIVERY",$T183&lt;SUM($J183,$U183)),"Stated total is below item price plus additional charge",IF($S183="EXACT_COLLECTION_AMOUNT","Authorized amount breakdown required before settlement","Ready for collection and settlement"))))))))))))</f>
        <v/>
      </c>
      <c r="AW183" s="23">
        <f>IF($AU183="","","PARCEL_FINANCIAL_V2")</f>
        <v/>
      </c>
      <c r="AX183" s="17" t="n"/>
    </row>
    <row r="184">
      <c r="A184" s="8" t="n"/>
      <c r="B184" s="8" t="n"/>
      <c r="C184" s="8" t="n"/>
      <c r="D184" s="8" t="n"/>
      <c r="E184" s="9" t="n"/>
      <c r="F184" s="9" t="n"/>
      <c r="G184" s="8" t="n"/>
      <c r="H184" s="9" t="n"/>
      <c r="I184" s="9" t="n"/>
      <c r="J184" s="10" t="n"/>
      <c r="K184" s="10" t="n"/>
      <c r="L184" s="11">
        <f>IF($S184="","",IF($S184="ITEM_PRICE_PLUS_DECLARED_DELIVERY",IF(OR($J184="",$K184=""),"",SUM($J184,$K184,$U184)),IF($S184="TOTAL_AMOUNT_INCLUDING_DELIVERY",IF($T184="","",$T184),IF($S184="DELIVERY_CHARGE_ONLY",IF($K184="","",SUM($K184,$U184)),IF($S184="EXACT_COLLECTION_AMOUNT",IF($T184="","",$T184),IF($S184="ITEM_PRICE_ONLY_DELIVERY_PAID_BY_MERCHANT",IF($J184="","",SUM($J184,$U184)),""))))))</f>
        <v/>
      </c>
      <c r="M184" s="12" t="n"/>
      <c r="N184" s="13" t="n"/>
      <c r="O184" s="13" t="n"/>
      <c r="P184" s="9" t="n"/>
      <c r="Q184" s="14" t="n"/>
      <c r="R184" s="15" t="n"/>
      <c r="S184" s="14" t="n"/>
      <c r="T184" s="16" t="n"/>
      <c r="U184" s="16" t="n"/>
      <c r="V184" s="16" t="n"/>
      <c r="W184" s="16" t="n"/>
      <c r="X184" s="16" t="n"/>
      <c r="Y184" s="16" t="n"/>
      <c r="Z184" s="14" t="n"/>
      <c r="AA184" s="14" t="n"/>
      <c r="AB184" s="14" t="n"/>
      <c r="AC184" s="17">
        <f>IFERROR(VLOOKUP($H184&amp;"|"&amp;$Q184,Tariff_Master!$A$2:$L$169,3,FALSE),"")</f>
        <v/>
      </c>
      <c r="AD184" s="17">
        <f>IFERROR(VLOOKUP($H184&amp;"|"&amp;$Q184,Tariff_Master!$A$2:$L$169,4,FALSE),"")</f>
        <v/>
      </c>
      <c r="AE184" s="18">
        <f>IFERROR(VLOOKUP($H184&amp;"|"&amp;$Q184,Tariff_Master!$A$2:$L$169,6,FALSE),"")</f>
        <v/>
      </c>
      <c r="AF184" s="19">
        <f>IFERROR(VLOOKUP($H184&amp;"|"&amp;$Q184,Tariff_Master!$A$2:$L$169,7,FALSE),"")</f>
        <v/>
      </c>
      <c r="AG184" s="18">
        <f>IFERROR(VLOOKUP($H184&amp;"|"&amp;$Q184,Tariff_Master!$A$2:$L$169,8,FALSE),"")</f>
        <v/>
      </c>
      <c r="AH184" s="20">
        <f>IFERROR(VLOOKUP($H184&amp;"|"&amp;$Q184,Tariff_Master!$A$2:$L$169,9,FALSE),"")</f>
        <v/>
      </c>
      <c r="AI184" s="18">
        <f>IFERROR(VLOOKUP($H184&amp;"|"&amp;$Q184,Tariff_Master!$A$2:$L$169,10,FALSE),"")</f>
        <v/>
      </c>
      <c r="AJ184" s="21">
        <f>IF($M184="","",ROUNDUP(MAX(0,$M184),0))</f>
        <v/>
      </c>
      <c r="AK184" s="21">
        <f>IF(OR($AJ184="",$AF184=""),"",MAX(0,$AJ184-$AF184))</f>
        <v/>
      </c>
      <c r="AL184" s="22">
        <f>IF(OR($AK184="",$AG184=""),"",MAX(0,$AK184*$AG184))</f>
        <v/>
      </c>
      <c r="AM184" s="22">
        <f>IF($AE184="","",MAX(0,SUM($AE184,$AL184,$V184,$W184)))</f>
        <v/>
      </c>
      <c r="AN184" s="22">
        <f>IF($AM184="","",IF(AND($Q184="COMMITMENT",$R184&gt;=$AH184),$AI184,0))</f>
        <v/>
      </c>
      <c r="AO184" s="23">
        <f>IF($AM184="","",MAX(0,$AM184-$AN184))</f>
        <v/>
      </c>
      <c r="AP184" s="22">
        <f>IF($S184="","",IF(OR($S184="ITEM_PRICE_PLUS_DECLARED_DELIVERY",$S184="DELIVERY_CHARGE_ONLY"),$K184,IF($S184="TOTAL_AMOUNT_INCLUDING_DELIVERY",IF(OR($T184="",$J184=""),"",MAX(0,$T184-$J184-$U184)),IF($S184="ITEM_PRICE_ONLY_DELIVERY_PAID_BY_MERCHANT",0,""))))</f>
        <v/>
      </c>
      <c r="AQ184" s="23">
        <f>IF(OR($AP184="",$AO184=""),"",$AP184-$AO184)</f>
        <v/>
      </c>
      <c r="AR184" s="24">
        <f>IF($S184="EXACT_COLLECTION_AMOUNT","BREAKDOWN_REQUIRED",IF($AQ184="","",IF($AQ184&gt;0,"CREDIT_TO_MERCHANT",IF($AQ184&lt;0,"DEDUCT_FROM_MERCHANT","NO_ADJUSTMENT"))))</f>
        <v/>
      </c>
      <c r="AS184" s="23">
        <f>IF(OR($AQ184="",$AR184="BREAKDOWN_REQUIRED"),"",$AQ184)</f>
        <v/>
      </c>
      <c r="AT184" s="23">
        <f>IF(OR($AR184="",$AR184="BREAKDOWN_REQUIRED"),"",SUM($J184,$AQ184,$Y184)-$X184)</f>
        <v/>
      </c>
      <c r="AU184" s="25">
        <f>IF(AND($A184="",$B184="",$F184="",$H184="",$J184="",$K184="",$M184="",$S184=""),"",IF(OR($H184="",$Q184="",$M184="",$S184=""),"ERROR",IF(OR($J184&lt;0,$K184&lt;0,$M184&lt;0,$T184&lt;0,$U184&lt;0,$V184&lt;0,$W184&lt;0,$X184&lt;0,$Y184&lt;0),"ERROR",IF($AE184="","ERROR",IF(AND(OR($S184="ITEM_PRICE_PLUS_DECLARED_DELIVERY",$S184="TOTAL_AMOUNT_INCLUDING_DELIVERY",$S184="ITEM_PRICE_ONLY_DELIVERY_PAID_BY_MERCHANT"),$J184=""),"ERROR",IF(AND(OR($S184="ITEM_PRICE_PLUS_DECLARED_DELIVERY",$S184="DELIVERY_CHARGE_ONLY"),$K184=""),"ERROR",IF(AND(OR($S184="TOTAL_AMOUNT_INCLUDING_DELIVERY",$S184="EXACT_COLLECTION_AMOUNT"),$T184=""),"ERROR",IF(AND($S184="TOTAL_AMOUNT_INCLUDING_DELIVERY",$T184&lt;SUM($J184,$U184)),"ERROR",IF($S184="EXACT_COLLECTION_AMOUNT","REVIEW","OK")))))))))</f>
        <v/>
      </c>
      <c r="AV184" s="25">
        <f>IF($AU184="","",IF($H184="","Township required",IF($Q184="","Customer tier required",IF($M184="","Weight required",IF($S184="","Amount entry type required",IF(OR($J184&lt;0,$K184&lt;0,$M184&lt;0,$T184&lt;0,$U184&lt;0,$V184&lt;0,$W184&lt;0,$X184&lt;0,$Y184&lt;0),"Negative amounts are not allowed",IF($AE184="","Tariff not found for township and tier",IF(AND(OR($S184="ITEM_PRICE_PLUS_DECLARED_DELIVERY",$S184="TOTAL_AMOUNT_INCLUDING_DELIVERY",$S184="ITEM_PRICE_ONLY_DELIVERY_PAID_BY_MERCHANT"),$J184=""),"Item price required for this amount type",IF(AND(OR($S184="ITEM_PRICE_PLUS_DECLARED_DELIVERY",$S184="DELIVERY_CHARGE_ONLY"),$K184=""),"Declared delivery charge required",IF(AND(OR($S184="TOTAL_AMOUNT_INCLUDING_DELIVERY",$S184="EXACT_COLLECTION_AMOUNT"),$T184=""),"Stated total amount required",IF(AND($S184="TOTAL_AMOUNT_INCLUDING_DELIVERY",$T184&lt;SUM($J184,$U184)),"Stated total is below item price plus additional charge",IF($S184="EXACT_COLLECTION_AMOUNT","Authorized amount breakdown required before settlement","Ready for collection and settlement"))))))))))))</f>
        <v/>
      </c>
      <c r="AW184" s="23">
        <f>IF($AU184="","","PARCEL_FINANCIAL_V2")</f>
        <v/>
      </c>
      <c r="AX184" s="17" t="n"/>
    </row>
    <row r="185">
      <c r="A185" s="8" t="n"/>
      <c r="B185" s="8" t="n"/>
      <c r="C185" s="8" t="n"/>
      <c r="D185" s="8" t="n"/>
      <c r="E185" s="9" t="n"/>
      <c r="F185" s="9" t="n"/>
      <c r="G185" s="8" t="n"/>
      <c r="H185" s="9" t="n"/>
      <c r="I185" s="9" t="n"/>
      <c r="J185" s="10" t="n"/>
      <c r="K185" s="10" t="n"/>
      <c r="L185" s="11">
        <f>IF($S185="","",IF($S185="ITEM_PRICE_PLUS_DECLARED_DELIVERY",IF(OR($J185="",$K185=""),"",SUM($J185,$K185,$U185)),IF($S185="TOTAL_AMOUNT_INCLUDING_DELIVERY",IF($T185="","",$T185),IF($S185="DELIVERY_CHARGE_ONLY",IF($K185="","",SUM($K185,$U185)),IF($S185="EXACT_COLLECTION_AMOUNT",IF($T185="","",$T185),IF($S185="ITEM_PRICE_ONLY_DELIVERY_PAID_BY_MERCHANT",IF($J185="","",SUM($J185,$U185)),""))))))</f>
        <v/>
      </c>
      <c r="M185" s="12" t="n"/>
      <c r="N185" s="13" t="n"/>
      <c r="O185" s="13" t="n"/>
      <c r="P185" s="9" t="n"/>
      <c r="Q185" s="14" t="n"/>
      <c r="R185" s="15" t="n"/>
      <c r="S185" s="14" t="n"/>
      <c r="T185" s="16" t="n"/>
      <c r="U185" s="16" t="n"/>
      <c r="V185" s="16" t="n"/>
      <c r="W185" s="16" t="n"/>
      <c r="X185" s="16" t="n"/>
      <c r="Y185" s="16" t="n"/>
      <c r="Z185" s="14" t="n"/>
      <c r="AA185" s="14" t="n"/>
      <c r="AB185" s="14" t="n"/>
      <c r="AC185" s="17">
        <f>IFERROR(VLOOKUP($H185&amp;"|"&amp;$Q185,Tariff_Master!$A$2:$L$169,3,FALSE),"")</f>
        <v/>
      </c>
      <c r="AD185" s="17">
        <f>IFERROR(VLOOKUP($H185&amp;"|"&amp;$Q185,Tariff_Master!$A$2:$L$169,4,FALSE),"")</f>
        <v/>
      </c>
      <c r="AE185" s="18">
        <f>IFERROR(VLOOKUP($H185&amp;"|"&amp;$Q185,Tariff_Master!$A$2:$L$169,6,FALSE),"")</f>
        <v/>
      </c>
      <c r="AF185" s="19">
        <f>IFERROR(VLOOKUP($H185&amp;"|"&amp;$Q185,Tariff_Master!$A$2:$L$169,7,FALSE),"")</f>
        <v/>
      </c>
      <c r="AG185" s="18">
        <f>IFERROR(VLOOKUP($H185&amp;"|"&amp;$Q185,Tariff_Master!$A$2:$L$169,8,FALSE),"")</f>
        <v/>
      </c>
      <c r="AH185" s="20">
        <f>IFERROR(VLOOKUP($H185&amp;"|"&amp;$Q185,Tariff_Master!$A$2:$L$169,9,FALSE),"")</f>
        <v/>
      </c>
      <c r="AI185" s="18">
        <f>IFERROR(VLOOKUP($H185&amp;"|"&amp;$Q185,Tariff_Master!$A$2:$L$169,10,FALSE),"")</f>
        <v/>
      </c>
      <c r="AJ185" s="21">
        <f>IF($M185="","",ROUNDUP(MAX(0,$M185),0))</f>
        <v/>
      </c>
      <c r="AK185" s="21">
        <f>IF(OR($AJ185="",$AF185=""),"",MAX(0,$AJ185-$AF185))</f>
        <v/>
      </c>
      <c r="AL185" s="22">
        <f>IF(OR($AK185="",$AG185=""),"",MAX(0,$AK185*$AG185))</f>
        <v/>
      </c>
      <c r="AM185" s="22">
        <f>IF($AE185="","",MAX(0,SUM($AE185,$AL185,$V185,$W185)))</f>
        <v/>
      </c>
      <c r="AN185" s="22">
        <f>IF($AM185="","",IF(AND($Q185="COMMITMENT",$R185&gt;=$AH185),$AI185,0))</f>
        <v/>
      </c>
      <c r="AO185" s="23">
        <f>IF($AM185="","",MAX(0,$AM185-$AN185))</f>
        <v/>
      </c>
      <c r="AP185" s="22">
        <f>IF($S185="","",IF(OR($S185="ITEM_PRICE_PLUS_DECLARED_DELIVERY",$S185="DELIVERY_CHARGE_ONLY"),$K185,IF($S185="TOTAL_AMOUNT_INCLUDING_DELIVERY",IF(OR($T185="",$J185=""),"",MAX(0,$T185-$J185-$U185)),IF($S185="ITEM_PRICE_ONLY_DELIVERY_PAID_BY_MERCHANT",0,""))))</f>
        <v/>
      </c>
      <c r="AQ185" s="23">
        <f>IF(OR($AP185="",$AO185=""),"",$AP185-$AO185)</f>
        <v/>
      </c>
      <c r="AR185" s="24">
        <f>IF($S185="EXACT_COLLECTION_AMOUNT","BREAKDOWN_REQUIRED",IF($AQ185="","",IF($AQ185&gt;0,"CREDIT_TO_MERCHANT",IF($AQ185&lt;0,"DEDUCT_FROM_MERCHANT","NO_ADJUSTMENT"))))</f>
        <v/>
      </c>
      <c r="AS185" s="23">
        <f>IF(OR($AQ185="",$AR185="BREAKDOWN_REQUIRED"),"",$AQ185)</f>
        <v/>
      </c>
      <c r="AT185" s="23">
        <f>IF(OR($AR185="",$AR185="BREAKDOWN_REQUIRED"),"",SUM($J185,$AQ185,$Y185)-$X185)</f>
        <v/>
      </c>
      <c r="AU185" s="25">
        <f>IF(AND($A185="",$B185="",$F185="",$H185="",$J185="",$K185="",$M185="",$S185=""),"",IF(OR($H185="",$Q185="",$M185="",$S185=""),"ERROR",IF(OR($J185&lt;0,$K185&lt;0,$M185&lt;0,$T185&lt;0,$U185&lt;0,$V185&lt;0,$W185&lt;0,$X185&lt;0,$Y185&lt;0),"ERROR",IF($AE185="","ERROR",IF(AND(OR($S185="ITEM_PRICE_PLUS_DECLARED_DELIVERY",$S185="TOTAL_AMOUNT_INCLUDING_DELIVERY",$S185="ITEM_PRICE_ONLY_DELIVERY_PAID_BY_MERCHANT"),$J185=""),"ERROR",IF(AND(OR($S185="ITEM_PRICE_PLUS_DECLARED_DELIVERY",$S185="DELIVERY_CHARGE_ONLY"),$K185=""),"ERROR",IF(AND(OR($S185="TOTAL_AMOUNT_INCLUDING_DELIVERY",$S185="EXACT_COLLECTION_AMOUNT"),$T185=""),"ERROR",IF(AND($S185="TOTAL_AMOUNT_INCLUDING_DELIVERY",$T185&lt;SUM($J185,$U185)),"ERROR",IF($S185="EXACT_COLLECTION_AMOUNT","REVIEW","OK")))))))))</f>
        <v/>
      </c>
      <c r="AV185" s="25">
        <f>IF($AU185="","",IF($H185="","Township required",IF($Q185="","Customer tier required",IF($M185="","Weight required",IF($S185="","Amount entry type required",IF(OR($J185&lt;0,$K185&lt;0,$M185&lt;0,$T185&lt;0,$U185&lt;0,$V185&lt;0,$W185&lt;0,$X185&lt;0,$Y185&lt;0),"Negative amounts are not allowed",IF($AE185="","Tariff not found for township and tier",IF(AND(OR($S185="ITEM_PRICE_PLUS_DECLARED_DELIVERY",$S185="TOTAL_AMOUNT_INCLUDING_DELIVERY",$S185="ITEM_PRICE_ONLY_DELIVERY_PAID_BY_MERCHANT"),$J185=""),"Item price required for this amount type",IF(AND(OR($S185="ITEM_PRICE_PLUS_DECLARED_DELIVERY",$S185="DELIVERY_CHARGE_ONLY"),$K185=""),"Declared delivery charge required",IF(AND(OR($S185="TOTAL_AMOUNT_INCLUDING_DELIVERY",$S185="EXACT_COLLECTION_AMOUNT"),$T185=""),"Stated total amount required",IF(AND($S185="TOTAL_AMOUNT_INCLUDING_DELIVERY",$T185&lt;SUM($J185,$U185)),"Stated total is below item price plus additional charge",IF($S185="EXACT_COLLECTION_AMOUNT","Authorized amount breakdown required before settlement","Ready for collection and settlement"))))))))))))</f>
        <v/>
      </c>
      <c r="AW185" s="23">
        <f>IF($AU185="","","PARCEL_FINANCIAL_V2")</f>
        <v/>
      </c>
      <c r="AX185" s="17" t="n"/>
    </row>
    <row r="186">
      <c r="A186" s="8" t="n"/>
      <c r="B186" s="8" t="n"/>
      <c r="C186" s="8" t="n"/>
      <c r="D186" s="8" t="n"/>
      <c r="E186" s="9" t="n"/>
      <c r="F186" s="9" t="n"/>
      <c r="G186" s="8" t="n"/>
      <c r="H186" s="9" t="n"/>
      <c r="I186" s="9" t="n"/>
      <c r="J186" s="10" t="n"/>
      <c r="K186" s="10" t="n"/>
      <c r="L186" s="11">
        <f>IF($S186="","",IF($S186="ITEM_PRICE_PLUS_DECLARED_DELIVERY",IF(OR($J186="",$K186=""),"",SUM($J186,$K186,$U186)),IF($S186="TOTAL_AMOUNT_INCLUDING_DELIVERY",IF($T186="","",$T186),IF($S186="DELIVERY_CHARGE_ONLY",IF($K186="","",SUM($K186,$U186)),IF($S186="EXACT_COLLECTION_AMOUNT",IF($T186="","",$T186),IF($S186="ITEM_PRICE_ONLY_DELIVERY_PAID_BY_MERCHANT",IF($J186="","",SUM($J186,$U186)),""))))))</f>
        <v/>
      </c>
      <c r="M186" s="12" t="n"/>
      <c r="N186" s="13" t="n"/>
      <c r="O186" s="13" t="n"/>
      <c r="P186" s="9" t="n"/>
      <c r="Q186" s="14" t="n"/>
      <c r="R186" s="15" t="n"/>
      <c r="S186" s="14" t="n"/>
      <c r="T186" s="16" t="n"/>
      <c r="U186" s="16" t="n"/>
      <c r="V186" s="16" t="n"/>
      <c r="W186" s="16" t="n"/>
      <c r="X186" s="16" t="n"/>
      <c r="Y186" s="16" t="n"/>
      <c r="Z186" s="14" t="n"/>
      <c r="AA186" s="14" t="n"/>
      <c r="AB186" s="14" t="n"/>
      <c r="AC186" s="17">
        <f>IFERROR(VLOOKUP($H186&amp;"|"&amp;$Q186,Tariff_Master!$A$2:$L$169,3,FALSE),"")</f>
        <v/>
      </c>
      <c r="AD186" s="17">
        <f>IFERROR(VLOOKUP($H186&amp;"|"&amp;$Q186,Tariff_Master!$A$2:$L$169,4,FALSE),"")</f>
        <v/>
      </c>
      <c r="AE186" s="18">
        <f>IFERROR(VLOOKUP($H186&amp;"|"&amp;$Q186,Tariff_Master!$A$2:$L$169,6,FALSE),"")</f>
        <v/>
      </c>
      <c r="AF186" s="19">
        <f>IFERROR(VLOOKUP($H186&amp;"|"&amp;$Q186,Tariff_Master!$A$2:$L$169,7,FALSE),"")</f>
        <v/>
      </c>
      <c r="AG186" s="18">
        <f>IFERROR(VLOOKUP($H186&amp;"|"&amp;$Q186,Tariff_Master!$A$2:$L$169,8,FALSE),"")</f>
        <v/>
      </c>
      <c r="AH186" s="20">
        <f>IFERROR(VLOOKUP($H186&amp;"|"&amp;$Q186,Tariff_Master!$A$2:$L$169,9,FALSE),"")</f>
        <v/>
      </c>
      <c r="AI186" s="18">
        <f>IFERROR(VLOOKUP($H186&amp;"|"&amp;$Q186,Tariff_Master!$A$2:$L$169,10,FALSE),"")</f>
        <v/>
      </c>
      <c r="AJ186" s="21">
        <f>IF($M186="","",ROUNDUP(MAX(0,$M186),0))</f>
        <v/>
      </c>
      <c r="AK186" s="21">
        <f>IF(OR($AJ186="",$AF186=""),"",MAX(0,$AJ186-$AF186))</f>
        <v/>
      </c>
      <c r="AL186" s="22">
        <f>IF(OR($AK186="",$AG186=""),"",MAX(0,$AK186*$AG186))</f>
        <v/>
      </c>
      <c r="AM186" s="22">
        <f>IF($AE186="","",MAX(0,SUM($AE186,$AL186,$V186,$W186)))</f>
        <v/>
      </c>
      <c r="AN186" s="22">
        <f>IF($AM186="","",IF(AND($Q186="COMMITMENT",$R186&gt;=$AH186),$AI186,0))</f>
        <v/>
      </c>
      <c r="AO186" s="23">
        <f>IF($AM186="","",MAX(0,$AM186-$AN186))</f>
        <v/>
      </c>
      <c r="AP186" s="22">
        <f>IF($S186="","",IF(OR($S186="ITEM_PRICE_PLUS_DECLARED_DELIVERY",$S186="DELIVERY_CHARGE_ONLY"),$K186,IF($S186="TOTAL_AMOUNT_INCLUDING_DELIVERY",IF(OR($T186="",$J186=""),"",MAX(0,$T186-$J186-$U186)),IF($S186="ITEM_PRICE_ONLY_DELIVERY_PAID_BY_MERCHANT",0,""))))</f>
        <v/>
      </c>
      <c r="AQ186" s="23">
        <f>IF(OR($AP186="",$AO186=""),"",$AP186-$AO186)</f>
        <v/>
      </c>
      <c r="AR186" s="24">
        <f>IF($S186="EXACT_COLLECTION_AMOUNT","BREAKDOWN_REQUIRED",IF($AQ186="","",IF($AQ186&gt;0,"CREDIT_TO_MERCHANT",IF($AQ186&lt;0,"DEDUCT_FROM_MERCHANT","NO_ADJUSTMENT"))))</f>
        <v/>
      </c>
      <c r="AS186" s="23">
        <f>IF(OR($AQ186="",$AR186="BREAKDOWN_REQUIRED"),"",$AQ186)</f>
        <v/>
      </c>
      <c r="AT186" s="23">
        <f>IF(OR($AR186="",$AR186="BREAKDOWN_REQUIRED"),"",SUM($J186,$AQ186,$Y186)-$X186)</f>
        <v/>
      </c>
      <c r="AU186" s="25">
        <f>IF(AND($A186="",$B186="",$F186="",$H186="",$J186="",$K186="",$M186="",$S186=""),"",IF(OR($H186="",$Q186="",$M186="",$S186=""),"ERROR",IF(OR($J186&lt;0,$K186&lt;0,$M186&lt;0,$T186&lt;0,$U186&lt;0,$V186&lt;0,$W186&lt;0,$X186&lt;0,$Y186&lt;0),"ERROR",IF($AE186="","ERROR",IF(AND(OR($S186="ITEM_PRICE_PLUS_DECLARED_DELIVERY",$S186="TOTAL_AMOUNT_INCLUDING_DELIVERY",$S186="ITEM_PRICE_ONLY_DELIVERY_PAID_BY_MERCHANT"),$J186=""),"ERROR",IF(AND(OR($S186="ITEM_PRICE_PLUS_DECLARED_DELIVERY",$S186="DELIVERY_CHARGE_ONLY"),$K186=""),"ERROR",IF(AND(OR($S186="TOTAL_AMOUNT_INCLUDING_DELIVERY",$S186="EXACT_COLLECTION_AMOUNT"),$T186=""),"ERROR",IF(AND($S186="TOTAL_AMOUNT_INCLUDING_DELIVERY",$T186&lt;SUM($J186,$U186)),"ERROR",IF($S186="EXACT_COLLECTION_AMOUNT","REVIEW","OK")))))))))</f>
        <v/>
      </c>
      <c r="AV186" s="25">
        <f>IF($AU186="","",IF($H186="","Township required",IF($Q186="","Customer tier required",IF($M186="","Weight required",IF($S186="","Amount entry type required",IF(OR($J186&lt;0,$K186&lt;0,$M186&lt;0,$T186&lt;0,$U186&lt;0,$V186&lt;0,$W186&lt;0,$X186&lt;0,$Y186&lt;0),"Negative amounts are not allowed",IF($AE186="","Tariff not found for township and tier",IF(AND(OR($S186="ITEM_PRICE_PLUS_DECLARED_DELIVERY",$S186="TOTAL_AMOUNT_INCLUDING_DELIVERY",$S186="ITEM_PRICE_ONLY_DELIVERY_PAID_BY_MERCHANT"),$J186=""),"Item price required for this amount type",IF(AND(OR($S186="ITEM_PRICE_PLUS_DECLARED_DELIVERY",$S186="DELIVERY_CHARGE_ONLY"),$K186=""),"Declared delivery charge required",IF(AND(OR($S186="TOTAL_AMOUNT_INCLUDING_DELIVERY",$S186="EXACT_COLLECTION_AMOUNT"),$T186=""),"Stated total amount required",IF(AND($S186="TOTAL_AMOUNT_INCLUDING_DELIVERY",$T186&lt;SUM($J186,$U186)),"Stated total is below item price plus additional charge",IF($S186="EXACT_COLLECTION_AMOUNT","Authorized amount breakdown required before settlement","Ready for collection and settlement"))))))))))))</f>
        <v/>
      </c>
      <c r="AW186" s="23">
        <f>IF($AU186="","","PARCEL_FINANCIAL_V2")</f>
        <v/>
      </c>
      <c r="AX186" s="17" t="n"/>
    </row>
    <row r="187">
      <c r="A187" s="8" t="n"/>
      <c r="B187" s="8" t="n"/>
      <c r="C187" s="8" t="n"/>
      <c r="D187" s="8" t="n"/>
      <c r="E187" s="9" t="n"/>
      <c r="F187" s="9" t="n"/>
      <c r="G187" s="8" t="n"/>
      <c r="H187" s="9" t="n"/>
      <c r="I187" s="9" t="n"/>
      <c r="J187" s="10" t="n"/>
      <c r="K187" s="10" t="n"/>
      <c r="L187" s="11">
        <f>IF($S187="","",IF($S187="ITEM_PRICE_PLUS_DECLARED_DELIVERY",IF(OR($J187="",$K187=""),"",SUM($J187,$K187,$U187)),IF($S187="TOTAL_AMOUNT_INCLUDING_DELIVERY",IF($T187="","",$T187),IF($S187="DELIVERY_CHARGE_ONLY",IF($K187="","",SUM($K187,$U187)),IF($S187="EXACT_COLLECTION_AMOUNT",IF($T187="","",$T187),IF($S187="ITEM_PRICE_ONLY_DELIVERY_PAID_BY_MERCHANT",IF($J187="","",SUM($J187,$U187)),""))))))</f>
        <v/>
      </c>
      <c r="M187" s="12" t="n"/>
      <c r="N187" s="13" t="n"/>
      <c r="O187" s="13" t="n"/>
      <c r="P187" s="9" t="n"/>
      <c r="Q187" s="14" t="n"/>
      <c r="R187" s="15" t="n"/>
      <c r="S187" s="14" t="n"/>
      <c r="T187" s="16" t="n"/>
      <c r="U187" s="16" t="n"/>
      <c r="V187" s="16" t="n"/>
      <c r="W187" s="16" t="n"/>
      <c r="X187" s="16" t="n"/>
      <c r="Y187" s="16" t="n"/>
      <c r="Z187" s="14" t="n"/>
      <c r="AA187" s="14" t="n"/>
      <c r="AB187" s="14" t="n"/>
      <c r="AC187" s="17">
        <f>IFERROR(VLOOKUP($H187&amp;"|"&amp;$Q187,Tariff_Master!$A$2:$L$169,3,FALSE),"")</f>
        <v/>
      </c>
      <c r="AD187" s="17">
        <f>IFERROR(VLOOKUP($H187&amp;"|"&amp;$Q187,Tariff_Master!$A$2:$L$169,4,FALSE),"")</f>
        <v/>
      </c>
      <c r="AE187" s="18">
        <f>IFERROR(VLOOKUP($H187&amp;"|"&amp;$Q187,Tariff_Master!$A$2:$L$169,6,FALSE),"")</f>
        <v/>
      </c>
      <c r="AF187" s="19">
        <f>IFERROR(VLOOKUP($H187&amp;"|"&amp;$Q187,Tariff_Master!$A$2:$L$169,7,FALSE),"")</f>
        <v/>
      </c>
      <c r="AG187" s="18">
        <f>IFERROR(VLOOKUP($H187&amp;"|"&amp;$Q187,Tariff_Master!$A$2:$L$169,8,FALSE),"")</f>
        <v/>
      </c>
      <c r="AH187" s="20">
        <f>IFERROR(VLOOKUP($H187&amp;"|"&amp;$Q187,Tariff_Master!$A$2:$L$169,9,FALSE),"")</f>
        <v/>
      </c>
      <c r="AI187" s="18">
        <f>IFERROR(VLOOKUP($H187&amp;"|"&amp;$Q187,Tariff_Master!$A$2:$L$169,10,FALSE),"")</f>
        <v/>
      </c>
      <c r="AJ187" s="21">
        <f>IF($M187="","",ROUNDUP(MAX(0,$M187),0))</f>
        <v/>
      </c>
      <c r="AK187" s="21">
        <f>IF(OR($AJ187="",$AF187=""),"",MAX(0,$AJ187-$AF187))</f>
        <v/>
      </c>
      <c r="AL187" s="22">
        <f>IF(OR($AK187="",$AG187=""),"",MAX(0,$AK187*$AG187))</f>
        <v/>
      </c>
      <c r="AM187" s="22">
        <f>IF($AE187="","",MAX(0,SUM($AE187,$AL187,$V187,$W187)))</f>
        <v/>
      </c>
      <c r="AN187" s="22">
        <f>IF($AM187="","",IF(AND($Q187="COMMITMENT",$R187&gt;=$AH187),$AI187,0))</f>
        <v/>
      </c>
      <c r="AO187" s="23">
        <f>IF($AM187="","",MAX(0,$AM187-$AN187))</f>
        <v/>
      </c>
      <c r="AP187" s="22">
        <f>IF($S187="","",IF(OR($S187="ITEM_PRICE_PLUS_DECLARED_DELIVERY",$S187="DELIVERY_CHARGE_ONLY"),$K187,IF($S187="TOTAL_AMOUNT_INCLUDING_DELIVERY",IF(OR($T187="",$J187=""),"",MAX(0,$T187-$J187-$U187)),IF($S187="ITEM_PRICE_ONLY_DELIVERY_PAID_BY_MERCHANT",0,""))))</f>
        <v/>
      </c>
      <c r="AQ187" s="23">
        <f>IF(OR($AP187="",$AO187=""),"",$AP187-$AO187)</f>
        <v/>
      </c>
      <c r="AR187" s="24">
        <f>IF($S187="EXACT_COLLECTION_AMOUNT","BREAKDOWN_REQUIRED",IF($AQ187="","",IF($AQ187&gt;0,"CREDIT_TO_MERCHANT",IF($AQ187&lt;0,"DEDUCT_FROM_MERCHANT","NO_ADJUSTMENT"))))</f>
        <v/>
      </c>
      <c r="AS187" s="23">
        <f>IF(OR($AQ187="",$AR187="BREAKDOWN_REQUIRED"),"",$AQ187)</f>
        <v/>
      </c>
      <c r="AT187" s="23">
        <f>IF(OR($AR187="",$AR187="BREAKDOWN_REQUIRED"),"",SUM($J187,$AQ187,$Y187)-$X187)</f>
        <v/>
      </c>
      <c r="AU187" s="25">
        <f>IF(AND($A187="",$B187="",$F187="",$H187="",$J187="",$K187="",$M187="",$S187=""),"",IF(OR($H187="",$Q187="",$M187="",$S187=""),"ERROR",IF(OR($J187&lt;0,$K187&lt;0,$M187&lt;0,$T187&lt;0,$U187&lt;0,$V187&lt;0,$W187&lt;0,$X187&lt;0,$Y187&lt;0),"ERROR",IF($AE187="","ERROR",IF(AND(OR($S187="ITEM_PRICE_PLUS_DECLARED_DELIVERY",$S187="TOTAL_AMOUNT_INCLUDING_DELIVERY",$S187="ITEM_PRICE_ONLY_DELIVERY_PAID_BY_MERCHANT"),$J187=""),"ERROR",IF(AND(OR($S187="ITEM_PRICE_PLUS_DECLARED_DELIVERY",$S187="DELIVERY_CHARGE_ONLY"),$K187=""),"ERROR",IF(AND(OR($S187="TOTAL_AMOUNT_INCLUDING_DELIVERY",$S187="EXACT_COLLECTION_AMOUNT"),$T187=""),"ERROR",IF(AND($S187="TOTAL_AMOUNT_INCLUDING_DELIVERY",$T187&lt;SUM($J187,$U187)),"ERROR",IF($S187="EXACT_COLLECTION_AMOUNT","REVIEW","OK")))))))))</f>
        <v/>
      </c>
      <c r="AV187" s="25">
        <f>IF($AU187="","",IF($H187="","Township required",IF($Q187="","Customer tier required",IF($M187="","Weight required",IF($S187="","Amount entry type required",IF(OR($J187&lt;0,$K187&lt;0,$M187&lt;0,$T187&lt;0,$U187&lt;0,$V187&lt;0,$W187&lt;0,$X187&lt;0,$Y187&lt;0),"Negative amounts are not allowed",IF($AE187="","Tariff not found for township and tier",IF(AND(OR($S187="ITEM_PRICE_PLUS_DECLARED_DELIVERY",$S187="TOTAL_AMOUNT_INCLUDING_DELIVERY",$S187="ITEM_PRICE_ONLY_DELIVERY_PAID_BY_MERCHANT"),$J187=""),"Item price required for this amount type",IF(AND(OR($S187="ITEM_PRICE_PLUS_DECLARED_DELIVERY",$S187="DELIVERY_CHARGE_ONLY"),$K187=""),"Declared delivery charge required",IF(AND(OR($S187="TOTAL_AMOUNT_INCLUDING_DELIVERY",$S187="EXACT_COLLECTION_AMOUNT"),$T187=""),"Stated total amount required",IF(AND($S187="TOTAL_AMOUNT_INCLUDING_DELIVERY",$T187&lt;SUM($J187,$U187)),"Stated total is below item price plus additional charge",IF($S187="EXACT_COLLECTION_AMOUNT","Authorized amount breakdown required before settlement","Ready for collection and settlement"))))))))))))</f>
        <v/>
      </c>
      <c r="AW187" s="23">
        <f>IF($AU187="","","PARCEL_FINANCIAL_V2")</f>
        <v/>
      </c>
      <c r="AX187" s="17" t="n"/>
    </row>
    <row r="188">
      <c r="A188" s="8" t="n"/>
      <c r="B188" s="8" t="n"/>
      <c r="C188" s="8" t="n"/>
      <c r="D188" s="8" t="n"/>
      <c r="E188" s="9" t="n"/>
      <c r="F188" s="9" t="n"/>
      <c r="G188" s="8" t="n"/>
      <c r="H188" s="9" t="n"/>
      <c r="I188" s="9" t="n"/>
      <c r="J188" s="10" t="n"/>
      <c r="K188" s="10" t="n"/>
      <c r="L188" s="11">
        <f>IF($S188="","",IF($S188="ITEM_PRICE_PLUS_DECLARED_DELIVERY",IF(OR($J188="",$K188=""),"",SUM($J188,$K188,$U188)),IF($S188="TOTAL_AMOUNT_INCLUDING_DELIVERY",IF($T188="","",$T188),IF($S188="DELIVERY_CHARGE_ONLY",IF($K188="","",SUM($K188,$U188)),IF($S188="EXACT_COLLECTION_AMOUNT",IF($T188="","",$T188),IF($S188="ITEM_PRICE_ONLY_DELIVERY_PAID_BY_MERCHANT",IF($J188="","",SUM($J188,$U188)),""))))))</f>
        <v/>
      </c>
      <c r="M188" s="12" t="n"/>
      <c r="N188" s="13" t="n"/>
      <c r="O188" s="13" t="n"/>
      <c r="P188" s="9" t="n"/>
      <c r="Q188" s="14" t="n"/>
      <c r="R188" s="15" t="n"/>
      <c r="S188" s="14" t="n"/>
      <c r="T188" s="16" t="n"/>
      <c r="U188" s="16" t="n"/>
      <c r="V188" s="16" t="n"/>
      <c r="W188" s="16" t="n"/>
      <c r="X188" s="16" t="n"/>
      <c r="Y188" s="16" t="n"/>
      <c r="Z188" s="14" t="n"/>
      <c r="AA188" s="14" t="n"/>
      <c r="AB188" s="14" t="n"/>
      <c r="AC188" s="17">
        <f>IFERROR(VLOOKUP($H188&amp;"|"&amp;$Q188,Tariff_Master!$A$2:$L$169,3,FALSE),"")</f>
        <v/>
      </c>
      <c r="AD188" s="17">
        <f>IFERROR(VLOOKUP($H188&amp;"|"&amp;$Q188,Tariff_Master!$A$2:$L$169,4,FALSE),"")</f>
        <v/>
      </c>
      <c r="AE188" s="18">
        <f>IFERROR(VLOOKUP($H188&amp;"|"&amp;$Q188,Tariff_Master!$A$2:$L$169,6,FALSE),"")</f>
        <v/>
      </c>
      <c r="AF188" s="19">
        <f>IFERROR(VLOOKUP($H188&amp;"|"&amp;$Q188,Tariff_Master!$A$2:$L$169,7,FALSE),"")</f>
        <v/>
      </c>
      <c r="AG188" s="18">
        <f>IFERROR(VLOOKUP($H188&amp;"|"&amp;$Q188,Tariff_Master!$A$2:$L$169,8,FALSE),"")</f>
        <v/>
      </c>
      <c r="AH188" s="20">
        <f>IFERROR(VLOOKUP($H188&amp;"|"&amp;$Q188,Tariff_Master!$A$2:$L$169,9,FALSE),"")</f>
        <v/>
      </c>
      <c r="AI188" s="18">
        <f>IFERROR(VLOOKUP($H188&amp;"|"&amp;$Q188,Tariff_Master!$A$2:$L$169,10,FALSE),"")</f>
        <v/>
      </c>
      <c r="AJ188" s="21">
        <f>IF($M188="","",ROUNDUP(MAX(0,$M188),0))</f>
        <v/>
      </c>
      <c r="AK188" s="21">
        <f>IF(OR($AJ188="",$AF188=""),"",MAX(0,$AJ188-$AF188))</f>
        <v/>
      </c>
      <c r="AL188" s="22">
        <f>IF(OR($AK188="",$AG188=""),"",MAX(0,$AK188*$AG188))</f>
        <v/>
      </c>
      <c r="AM188" s="22">
        <f>IF($AE188="","",MAX(0,SUM($AE188,$AL188,$V188,$W188)))</f>
        <v/>
      </c>
      <c r="AN188" s="22">
        <f>IF($AM188="","",IF(AND($Q188="COMMITMENT",$R188&gt;=$AH188),$AI188,0))</f>
        <v/>
      </c>
      <c r="AO188" s="23">
        <f>IF($AM188="","",MAX(0,$AM188-$AN188))</f>
        <v/>
      </c>
      <c r="AP188" s="22">
        <f>IF($S188="","",IF(OR($S188="ITEM_PRICE_PLUS_DECLARED_DELIVERY",$S188="DELIVERY_CHARGE_ONLY"),$K188,IF($S188="TOTAL_AMOUNT_INCLUDING_DELIVERY",IF(OR($T188="",$J188=""),"",MAX(0,$T188-$J188-$U188)),IF($S188="ITEM_PRICE_ONLY_DELIVERY_PAID_BY_MERCHANT",0,""))))</f>
        <v/>
      </c>
      <c r="AQ188" s="23">
        <f>IF(OR($AP188="",$AO188=""),"",$AP188-$AO188)</f>
        <v/>
      </c>
      <c r="AR188" s="24">
        <f>IF($S188="EXACT_COLLECTION_AMOUNT","BREAKDOWN_REQUIRED",IF($AQ188="","",IF($AQ188&gt;0,"CREDIT_TO_MERCHANT",IF($AQ188&lt;0,"DEDUCT_FROM_MERCHANT","NO_ADJUSTMENT"))))</f>
        <v/>
      </c>
      <c r="AS188" s="23">
        <f>IF(OR($AQ188="",$AR188="BREAKDOWN_REQUIRED"),"",$AQ188)</f>
        <v/>
      </c>
      <c r="AT188" s="23">
        <f>IF(OR($AR188="",$AR188="BREAKDOWN_REQUIRED"),"",SUM($J188,$AQ188,$Y188)-$X188)</f>
        <v/>
      </c>
      <c r="AU188" s="25">
        <f>IF(AND($A188="",$B188="",$F188="",$H188="",$J188="",$K188="",$M188="",$S188=""),"",IF(OR($H188="",$Q188="",$M188="",$S188=""),"ERROR",IF(OR($J188&lt;0,$K188&lt;0,$M188&lt;0,$T188&lt;0,$U188&lt;0,$V188&lt;0,$W188&lt;0,$X188&lt;0,$Y188&lt;0),"ERROR",IF($AE188="","ERROR",IF(AND(OR($S188="ITEM_PRICE_PLUS_DECLARED_DELIVERY",$S188="TOTAL_AMOUNT_INCLUDING_DELIVERY",$S188="ITEM_PRICE_ONLY_DELIVERY_PAID_BY_MERCHANT"),$J188=""),"ERROR",IF(AND(OR($S188="ITEM_PRICE_PLUS_DECLARED_DELIVERY",$S188="DELIVERY_CHARGE_ONLY"),$K188=""),"ERROR",IF(AND(OR($S188="TOTAL_AMOUNT_INCLUDING_DELIVERY",$S188="EXACT_COLLECTION_AMOUNT"),$T188=""),"ERROR",IF(AND($S188="TOTAL_AMOUNT_INCLUDING_DELIVERY",$T188&lt;SUM($J188,$U188)),"ERROR",IF($S188="EXACT_COLLECTION_AMOUNT","REVIEW","OK")))))))))</f>
        <v/>
      </c>
      <c r="AV188" s="25">
        <f>IF($AU188="","",IF($H188="","Township required",IF($Q188="","Customer tier required",IF($M188="","Weight required",IF($S188="","Amount entry type required",IF(OR($J188&lt;0,$K188&lt;0,$M188&lt;0,$T188&lt;0,$U188&lt;0,$V188&lt;0,$W188&lt;0,$X188&lt;0,$Y188&lt;0),"Negative amounts are not allowed",IF($AE188="","Tariff not found for township and tier",IF(AND(OR($S188="ITEM_PRICE_PLUS_DECLARED_DELIVERY",$S188="TOTAL_AMOUNT_INCLUDING_DELIVERY",$S188="ITEM_PRICE_ONLY_DELIVERY_PAID_BY_MERCHANT"),$J188=""),"Item price required for this amount type",IF(AND(OR($S188="ITEM_PRICE_PLUS_DECLARED_DELIVERY",$S188="DELIVERY_CHARGE_ONLY"),$K188=""),"Declared delivery charge required",IF(AND(OR($S188="TOTAL_AMOUNT_INCLUDING_DELIVERY",$S188="EXACT_COLLECTION_AMOUNT"),$T188=""),"Stated total amount required",IF(AND($S188="TOTAL_AMOUNT_INCLUDING_DELIVERY",$T188&lt;SUM($J188,$U188)),"Stated total is below item price plus additional charge",IF($S188="EXACT_COLLECTION_AMOUNT","Authorized amount breakdown required before settlement","Ready for collection and settlement"))))))))))))</f>
        <v/>
      </c>
      <c r="AW188" s="23">
        <f>IF($AU188="","","PARCEL_FINANCIAL_V2")</f>
        <v/>
      </c>
      <c r="AX188" s="17" t="n"/>
    </row>
    <row r="189">
      <c r="A189" s="8" t="n"/>
      <c r="B189" s="8" t="n"/>
      <c r="C189" s="8" t="n"/>
      <c r="D189" s="8" t="n"/>
      <c r="E189" s="9" t="n"/>
      <c r="F189" s="9" t="n"/>
      <c r="G189" s="8" t="n"/>
      <c r="H189" s="9" t="n"/>
      <c r="I189" s="9" t="n"/>
      <c r="J189" s="10" t="n"/>
      <c r="K189" s="10" t="n"/>
      <c r="L189" s="11">
        <f>IF($S189="","",IF($S189="ITEM_PRICE_PLUS_DECLARED_DELIVERY",IF(OR($J189="",$K189=""),"",SUM($J189,$K189,$U189)),IF($S189="TOTAL_AMOUNT_INCLUDING_DELIVERY",IF($T189="","",$T189),IF($S189="DELIVERY_CHARGE_ONLY",IF($K189="","",SUM($K189,$U189)),IF($S189="EXACT_COLLECTION_AMOUNT",IF($T189="","",$T189),IF($S189="ITEM_PRICE_ONLY_DELIVERY_PAID_BY_MERCHANT",IF($J189="","",SUM($J189,$U189)),""))))))</f>
        <v/>
      </c>
      <c r="M189" s="12" t="n"/>
      <c r="N189" s="13" t="n"/>
      <c r="O189" s="13" t="n"/>
      <c r="P189" s="9" t="n"/>
      <c r="Q189" s="14" t="n"/>
      <c r="R189" s="15" t="n"/>
      <c r="S189" s="14" t="n"/>
      <c r="T189" s="16" t="n"/>
      <c r="U189" s="16" t="n"/>
      <c r="V189" s="16" t="n"/>
      <c r="W189" s="16" t="n"/>
      <c r="X189" s="16" t="n"/>
      <c r="Y189" s="16" t="n"/>
      <c r="Z189" s="14" t="n"/>
      <c r="AA189" s="14" t="n"/>
      <c r="AB189" s="14" t="n"/>
      <c r="AC189" s="17">
        <f>IFERROR(VLOOKUP($H189&amp;"|"&amp;$Q189,Tariff_Master!$A$2:$L$169,3,FALSE),"")</f>
        <v/>
      </c>
      <c r="AD189" s="17">
        <f>IFERROR(VLOOKUP($H189&amp;"|"&amp;$Q189,Tariff_Master!$A$2:$L$169,4,FALSE),"")</f>
        <v/>
      </c>
      <c r="AE189" s="18">
        <f>IFERROR(VLOOKUP($H189&amp;"|"&amp;$Q189,Tariff_Master!$A$2:$L$169,6,FALSE),"")</f>
        <v/>
      </c>
      <c r="AF189" s="19">
        <f>IFERROR(VLOOKUP($H189&amp;"|"&amp;$Q189,Tariff_Master!$A$2:$L$169,7,FALSE),"")</f>
        <v/>
      </c>
      <c r="AG189" s="18">
        <f>IFERROR(VLOOKUP($H189&amp;"|"&amp;$Q189,Tariff_Master!$A$2:$L$169,8,FALSE),"")</f>
        <v/>
      </c>
      <c r="AH189" s="20">
        <f>IFERROR(VLOOKUP($H189&amp;"|"&amp;$Q189,Tariff_Master!$A$2:$L$169,9,FALSE),"")</f>
        <v/>
      </c>
      <c r="AI189" s="18">
        <f>IFERROR(VLOOKUP($H189&amp;"|"&amp;$Q189,Tariff_Master!$A$2:$L$169,10,FALSE),"")</f>
        <v/>
      </c>
      <c r="AJ189" s="21">
        <f>IF($M189="","",ROUNDUP(MAX(0,$M189),0))</f>
        <v/>
      </c>
      <c r="AK189" s="21">
        <f>IF(OR($AJ189="",$AF189=""),"",MAX(0,$AJ189-$AF189))</f>
        <v/>
      </c>
      <c r="AL189" s="22">
        <f>IF(OR($AK189="",$AG189=""),"",MAX(0,$AK189*$AG189))</f>
        <v/>
      </c>
      <c r="AM189" s="22">
        <f>IF($AE189="","",MAX(0,SUM($AE189,$AL189,$V189,$W189)))</f>
        <v/>
      </c>
      <c r="AN189" s="22">
        <f>IF($AM189="","",IF(AND($Q189="COMMITMENT",$R189&gt;=$AH189),$AI189,0))</f>
        <v/>
      </c>
      <c r="AO189" s="23">
        <f>IF($AM189="","",MAX(0,$AM189-$AN189))</f>
        <v/>
      </c>
      <c r="AP189" s="22">
        <f>IF($S189="","",IF(OR($S189="ITEM_PRICE_PLUS_DECLARED_DELIVERY",$S189="DELIVERY_CHARGE_ONLY"),$K189,IF($S189="TOTAL_AMOUNT_INCLUDING_DELIVERY",IF(OR($T189="",$J189=""),"",MAX(0,$T189-$J189-$U189)),IF($S189="ITEM_PRICE_ONLY_DELIVERY_PAID_BY_MERCHANT",0,""))))</f>
        <v/>
      </c>
      <c r="AQ189" s="23">
        <f>IF(OR($AP189="",$AO189=""),"",$AP189-$AO189)</f>
        <v/>
      </c>
      <c r="AR189" s="24">
        <f>IF($S189="EXACT_COLLECTION_AMOUNT","BREAKDOWN_REQUIRED",IF($AQ189="","",IF($AQ189&gt;0,"CREDIT_TO_MERCHANT",IF($AQ189&lt;0,"DEDUCT_FROM_MERCHANT","NO_ADJUSTMENT"))))</f>
        <v/>
      </c>
      <c r="AS189" s="23">
        <f>IF(OR($AQ189="",$AR189="BREAKDOWN_REQUIRED"),"",$AQ189)</f>
        <v/>
      </c>
      <c r="AT189" s="23">
        <f>IF(OR($AR189="",$AR189="BREAKDOWN_REQUIRED"),"",SUM($J189,$AQ189,$Y189)-$X189)</f>
        <v/>
      </c>
      <c r="AU189" s="25">
        <f>IF(AND($A189="",$B189="",$F189="",$H189="",$J189="",$K189="",$M189="",$S189=""),"",IF(OR($H189="",$Q189="",$M189="",$S189=""),"ERROR",IF(OR($J189&lt;0,$K189&lt;0,$M189&lt;0,$T189&lt;0,$U189&lt;0,$V189&lt;0,$W189&lt;0,$X189&lt;0,$Y189&lt;0),"ERROR",IF($AE189="","ERROR",IF(AND(OR($S189="ITEM_PRICE_PLUS_DECLARED_DELIVERY",$S189="TOTAL_AMOUNT_INCLUDING_DELIVERY",$S189="ITEM_PRICE_ONLY_DELIVERY_PAID_BY_MERCHANT"),$J189=""),"ERROR",IF(AND(OR($S189="ITEM_PRICE_PLUS_DECLARED_DELIVERY",$S189="DELIVERY_CHARGE_ONLY"),$K189=""),"ERROR",IF(AND(OR($S189="TOTAL_AMOUNT_INCLUDING_DELIVERY",$S189="EXACT_COLLECTION_AMOUNT"),$T189=""),"ERROR",IF(AND($S189="TOTAL_AMOUNT_INCLUDING_DELIVERY",$T189&lt;SUM($J189,$U189)),"ERROR",IF($S189="EXACT_COLLECTION_AMOUNT","REVIEW","OK")))))))))</f>
        <v/>
      </c>
      <c r="AV189" s="25">
        <f>IF($AU189="","",IF($H189="","Township required",IF($Q189="","Customer tier required",IF($M189="","Weight required",IF($S189="","Amount entry type required",IF(OR($J189&lt;0,$K189&lt;0,$M189&lt;0,$T189&lt;0,$U189&lt;0,$V189&lt;0,$W189&lt;0,$X189&lt;0,$Y189&lt;0),"Negative amounts are not allowed",IF($AE189="","Tariff not found for township and tier",IF(AND(OR($S189="ITEM_PRICE_PLUS_DECLARED_DELIVERY",$S189="TOTAL_AMOUNT_INCLUDING_DELIVERY",$S189="ITEM_PRICE_ONLY_DELIVERY_PAID_BY_MERCHANT"),$J189=""),"Item price required for this amount type",IF(AND(OR($S189="ITEM_PRICE_PLUS_DECLARED_DELIVERY",$S189="DELIVERY_CHARGE_ONLY"),$K189=""),"Declared delivery charge required",IF(AND(OR($S189="TOTAL_AMOUNT_INCLUDING_DELIVERY",$S189="EXACT_COLLECTION_AMOUNT"),$T189=""),"Stated total amount required",IF(AND($S189="TOTAL_AMOUNT_INCLUDING_DELIVERY",$T189&lt;SUM($J189,$U189)),"Stated total is below item price plus additional charge",IF($S189="EXACT_COLLECTION_AMOUNT","Authorized amount breakdown required before settlement","Ready for collection and settlement"))))))))))))</f>
        <v/>
      </c>
      <c r="AW189" s="23">
        <f>IF($AU189="","","PARCEL_FINANCIAL_V2")</f>
        <v/>
      </c>
      <c r="AX189" s="17" t="n"/>
    </row>
    <row r="190">
      <c r="A190" s="8" t="n"/>
      <c r="B190" s="8" t="n"/>
      <c r="C190" s="8" t="n"/>
      <c r="D190" s="8" t="n"/>
      <c r="E190" s="9" t="n"/>
      <c r="F190" s="9" t="n"/>
      <c r="G190" s="8" t="n"/>
      <c r="H190" s="9" t="n"/>
      <c r="I190" s="9" t="n"/>
      <c r="J190" s="10" t="n"/>
      <c r="K190" s="10" t="n"/>
      <c r="L190" s="11">
        <f>IF($S190="","",IF($S190="ITEM_PRICE_PLUS_DECLARED_DELIVERY",IF(OR($J190="",$K190=""),"",SUM($J190,$K190,$U190)),IF($S190="TOTAL_AMOUNT_INCLUDING_DELIVERY",IF($T190="","",$T190),IF($S190="DELIVERY_CHARGE_ONLY",IF($K190="","",SUM($K190,$U190)),IF($S190="EXACT_COLLECTION_AMOUNT",IF($T190="","",$T190),IF($S190="ITEM_PRICE_ONLY_DELIVERY_PAID_BY_MERCHANT",IF($J190="","",SUM($J190,$U190)),""))))))</f>
        <v/>
      </c>
      <c r="M190" s="12" t="n"/>
      <c r="N190" s="13" t="n"/>
      <c r="O190" s="13" t="n"/>
      <c r="P190" s="9" t="n"/>
      <c r="Q190" s="14" t="n"/>
      <c r="R190" s="15" t="n"/>
      <c r="S190" s="14" t="n"/>
      <c r="T190" s="16" t="n"/>
      <c r="U190" s="16" t="n"/>
      <c r="V190" s="16" t="n"/>
      <c r="W190" s="16" t="n"/>
      <c r="X190" s="16" t="n"/>
      <c r="Y190" s="16" t="n"/>
      <c r="Z190" s="14" t="n"/>
      <c r="AA190" s="14" t="n"/>
      <c r="AB190" s="14" t="n"/>
      <c r="AC190" s="17">
        <f>IFERROR(VLOOKUP($H190&amp;"|"&amp;$Q190,Tariff_Master!$A$2:$L$169,3,FALSE),"")</f>
        <v/>
      </c>
      <c r="AD190" s="17">
        <f>IFERROR(VLOOKUP($H190&amp;"|"&amp;$Q190,Tariff_Master!$A$2:$L$169,4,FALSE),"")</f>
        <v/>
      </c>
      <c r="AE190" s="18">
        <f>IFERROR(VLOOKUP($H190&amp;"|"&amp;$Q190,Tariff_Master!$A$2:$L$169,6,FALSE),"")</f>
        <v/>
      </c>
      <c r="AF190" s="19">
        <f>IFERROR(VLOOKUP($H190&amp;"|"&amp;$Q190,Tariff_Master!$A$2:$L$169,7,FALSE),"")</f>
        <v/>
      </c>
      <c r="AG190" s="18">
        <f>IFERROR(VLOOKUP($H190&amp;"|"&amp;$Q190,Tariff_Master!$A$2:$L$169,8,FALSE),"")</f>
        <v/>
      </c>
      <c r="AH190" s="20">
        <f>IFERROR(VLOOKUP($H190&amp;"|"&amp;$Q190,Tariff_Master!$A$2:$L$169,9,FALSE),"")</f>
        <v/>
      </c>
      <c r="AI190" s="18">
        <f>IFERROR(VLOOKUP($H190&amp;"|"&amp;$Q190,Tariff_Master!$A$2:$L$169,10,FALSE),"")</f>
        <v/>
      </c>
      <c r="AJ190" s="21">
        <f>IF($M190="","",ROUNDUP(MAX(0,$M190),0))</f>
        <v/>
      </c>
      <c r="AK190" s="21">
        <f>IF(OR($AJ190="",$AF190=""),"",MAX(0,$AJ190-$AF190))</f>
        <v/>
      </c>
      <c r="AL190" s="22">
        <f>IF(OR($AK190="",$AG190=""),"",MAX(0,$AK190*$AG190))</f>
        <v/>
      </c>
      <c r="AM190" s="22">
        <f>IF($AE190="","",MAX(0,SUM($AE190,$AL190,$V190,$W190)))</f>
        <v/>
      </c>
      <c r="AN190" s="22">
        <f>IF($AM190="","",IF(AND($Q190="COMMITMENT",$R190&gt;=$AH190),$AI190,0))</f>
        <v/>
      </c>
      <c r="AO190" s="23">
        <f>IF($AM190="","",MAX(0,$AM190-$AN190))</f>
        <v/>
      </c>
      <c r="AP190" s="22">
        <f>IF($S190="","",IF(OR($S190="ITEM_PRICE_PLUS_DECLARED_DELIVERY",$S190="DELIVERY_CHARGE_ONLY"),$K190,IF($S190="TOTAL_AMOUNT_INCLUDING_DELIVERY",IF(OR($T190="",$J190=""),"",MAX(0,$T190-$J190-$U190)),IF($S190="ITEM_PRICE_ONLY_DELIVERY_PAID_BY_MERCHANT",0,""))))</f>
        <v/>
      </c>
      <c r="AQ190" s="23">
        <f>IF(OR($AP190="",$AO190=""),"",$AP190-$AO190)</f>
        <v/>
      </c>
      <c r="AR190" s="24">
        <f>IF($S190="EXACT_COLLECTION_AMOUNT","BREAKDOWN_REQUIRED",IF($AQ190="","",IF($AQ190&gt;0,"CREDIT_TO_MERCHANT",IF($AQ190&lt;0,"DEDUCT_FROM_MERCHANT","NO_ADJUSTMENT"))))</f>
        <v/>
      </c>
      <c r="AS190" s="23">
        <f>IF(OR($AQ190="",$AR190="BREAKDOWN_REQUIRED"),"",$AQ190)</f>
        <v/>
      </c>
      <c r="AT190" s="23">
        <f>IF(OR($AR190="",$AR190="BREAKDOWN_REQUIRED"),"",SUM($J190,$AQ190,$Y190)-$X190)</f>
        <v/>
      </c>
      <c r="AU190" s="25">
        <f>IF(AND($A190="",$B190="",$F190="",$H190="",$J190="",$K190="",$M190="",$S190=""),"",IF(OR($H190="",$Q190="",$M190="",$S190=""),"ERROR",IF(OR($J190&lt;0,$K190&lt;0,$M190&lt;0,$T190&lt;0,$U190&lt;0,$V190&lt;0,$W190&lt;0,$X190&lt;0,$Y190&lt;0),"ERROR",IF($AE190="","ERROR",IF(AND(OR($S190="ITEM_PRICE_PLUS_DECLARED_DELIVERY",$S190="TOTAL_AMOUNT_INCLUDING_DELIVERY",$S190="ITEM_PRICE_ONLY_DELIVERY_PAID_BY_MERCHANT"),$J190=""),"ERROR",IF(AND(OR($S190="ITEM_PRICE_PLUS_DECLARED_DELIVERY",$S190="DELIVERY_CHARGE_ONLY"),$K190=""),"ERROR",IF(AND(OR($S190="TOTAL_AMOUNT_INCLUDING_DELIVERY",$S190="EXACT_COLLECTION_AMOUNT"),$T190=""),"ERROR",IF(AND($S190="TOTAL_AMOUNT_INCLUDING_DELIVERY",$T190&lt;SUM($J190,$U190)),"ERROR",IF($S190="EXACT_COLLECTION_AMOUNT","REVIEW","OK")))))))))</f>
        <v/>
      </c>
      <c r="AV190" s="25">
        <f>IF($AU190="","",IF($H190="","Township required",IF($Q190="","Customer tier required",IF($M190="","Weight required",IF($S190="","Amount entry type required",IF(OR($J190&lt;0,$K190&lt;0,$M190&lt;0,$T190&lt;0,$U190&lt;0,$V190&lt;0,$W190&lt;0,$X190&lt;0,$Y190&lt;0),"Negative amounts are not allowed",IF($AE190="","Tariff not found for township and tier",IF(AND(OR($S190="ITEM_PRICE_PLUS_DECLARED_DELIVERY",$S190="TOTAL_AMOUNT_INCLUDING_DELIVERY",$S190="ITEM_PRICE_ONLY_DELIVERY_PAID_BY_MERCHANT"),$J190=""),"Item price required for this amount type",IF(AND(OR($S190="ITEM_PRICE_PLUS_DECLARED_DELIVERY",$S190="DELIVERY_CHARGE_ONLY"),$K190=""),"Declared delivery charge required",IF(AND(OR($S190="TOTAL_AMOUNT_INCLUDING_DELIVERY",$S190="EXACT_COLLECTION_AMOUNT"),$T190=""),"Stated total amount required",IF(AND($S190="TOTAL_AMOUNT_INCLUDING_DELIVERY",$T190&lt;SUM($J190,$U190)),"Stated total is below item price plus additional charge",IF($S190="EXACT_COLLECTION_AMOUNT","Authorized amount breakdown required before settlement","Ready for collection and settlement"))))))))))))</f>
        <v/>
      </c>
      <c r="AW190" s="23">
        <f>IF($AU190="","","PARCEL_FINANCIAL_V2")</f>
        <v/>
      </c>
      <c r="AX190" s="17" t="n"/>
    </row>
    <row r="191">
      <c r="A191" s="8" t="n"/>
      <c r="B191" s="8" t="n"/>
      <c r="C191" s="8" t="n"/>
      <c r="D191" s="8" t="n"/>
      <c r="E191" s="9" t="n"/>
      <c r="F191" s="9" t="n"/>
      <c r="G191" s="8" t="n"/>
      <c r="H191" s="9" t="n"/>
      <c r="I191" s="9" t="n"/>
      <c r="J191" s="10" t="n"/>
      <c r="K191" s="10" t="n"/>
      <c r="L191" s="11">
        <f>IF($S191="","",IF($S191="ITEM_PRICE_PLUS_DECLARED_DELIVERY",IF(OR($J191="",$K191=""),"",SUM($J191,$K191,$U191)),IF($S191="TOTAL_AMOUNT_INCLUDING_DELIVERY",IF($T191="","",$T191),IF($S191="DELIVERY_CHARGE_ONLY",IF($K191="","",SUM($K191,$U191)),IF($S191="EXACT_COLLECTION_AMOUNT",IF($T191="","",$T191),IF($S191="ITEM_PRICE_ONLY_DELIVERY_PAID_BY_MERCHANT",IF($J191="","",SUM($J191,$U191)),""))))))</f>
        <v/>
      </c>
      <c r="M191" s="12" t="n"/>
      <c r="N191" s="13" t="n"/>
      <c r="O191" s="13" t="n"/>
      <c r="P191" s="9" t="n"/>
      <c r="Q191" s="14" t="n"/>
      <c r="R191" s="15" t="n"/>
      <c r="S191" s="14" t="n"/>
      <c r="T191" s="16" t="n"/>
      <c r="U191" s="16" t="n"/>
      <c r="V191" s="16" t="n"/>
      <c r="W191" s="16" t="n"/>
      <c r="X191" s="16" t="n"/>
      <c r="Y191" s="16" t="n"/>
      <c r="Z191" s="14" t="n"/>
      <c r="AA191" s="14" t="n"/>
      <c r="AB191" s="14" t="n"/>
      <c r="AC191" s="17">
        <f>IFERROR(VLOOKUP($H191&amp;"|"&amp;$Q191,Tariff_Master!$A$2:$L$169,3,FALSE),"")</f>
        <v/>
      </c>
      <c r="AD191" s="17">
        <f>IFERROR(VLOOKUP($H191&amp;"|"&amp;$Q191,Tariff_Master!$A$2:$L$169,4,FALSE),"")</f>
        <v/>
      </c>
      <c r="AE191" s="18">
        <f>IFERROR(VLOOKUP($H191&amp;"|"&amp;$Q191,Tariff_Master!$A$2:$L$169,6,FALSE),"")</f>
        <v/>
      </c>
      <c r="AF191" s="19">
        <f>IFERROR(VLOOKUP($H191&amp;"|"&amp;$Q191,Tariff_Master!$A$2:$L$169,7,FALSE),"")</f>
        <v/>
      </c>
      <c r="AG191" s="18">
        <f>IFERROR(VLOOKUP($H191&amp;"|"&amp;$Q191,Tariff_Master!$A$2:$L$169,8,FALSE),"")</f>
        <v/>
      </c>
      <c r="AH191" s="20">
        <f>IFERROR(VLOOKUP($H191&amp;"|"&amp;$Q191,Tariff_Master!$A$2:$L$169,9,FALSE),"")</f>
        <v/>
      </c>
      <c r="AI191" s="18">
        <f>IFERROR(VLOOKUP($H191&amp;"|"&amp;$Q191,Tariff_Master!$A$2:$L$169,10,FALSE),"")</f>
        <v/>
      </c>
      <c r="AJ191" s="21">
        <f>IF($M191="","",ROUNDUP(MAX(0,$M191),0))</f>
        <v/>
      </c>
      <c r="AK191" s="21">
        <f>IF(OR($AJ191="",$AF191=""),"",MAX(0,$AJ191-$AF191))</f>
        <v/>
      </c>
      <c r="AL191" s="22">
        <f>IF(OR($AK191="",$AG191=""),"",MAX(0,$AK191*$AG191))</f>
        <v/>
      </c>
      <c r="AM191" s="22">
        <f>IF($AE191="","",MAX(0,SUM($AE191,$AL191,$V191,$W191)))</f>
        <v/>
      </c>
      <c r="AN191" s="22">
        <f>IF($AM191="","",IF(AND($Q191="COMMITMENT",$R191&gt;=$AH191),$AI191,0))</f>
        <v/>
      </c>
      <c r="AO191" s="23">
        <f>IF($AM191="","",MAX(0,$AM191-$AN191))</f>
        <v/>
      </c>
      <c r="AP191" s="22">
        <f>IF($S191="","",IF(OR($S191="ITEM_PRICE_PLUS_DECLARED_DELIVERY",$S191="DELIVERY_CHARGE_ONLY"),$K191,IF($S191="TOTAL_AMOUNT_INCLUDING_DELIVERY",IF(OR($T191="",$J191=""),"",MAX(0,$T191-$J191-$U191)),IF($S191="ITEM_PRICE_ONLY_DELIVERY_PAID_BY_MERCHANT",0,""))))</f>
        <v/>
      </c>
      <c r="AQ191" s="23">
        <f>IF(OR($AP191="",$AO191=""),"",$AP191-$AO191)</f>
        <v/>
      </c>
      <c r="AR191" s="24">
        <f>IF($S191="EXACT_COLLECTION_AMOUNT","BREAKDOWN_REQUIRED",IF($AQ191="","",IF($AQ191&gt;0,"CREDIT_TO_MERCHANT",IF($AQ191&lt;0,"DEDUCT_FROM_MERCHANT","NO_ADJUSTMENT"))))</f>
        <v/>
      </c>
      <c r="AS191" s="23">
        <f>IF(OR($AQ191="",$AR191="BREAKDOWN_REQUIRED"),"",$AQ191)</f>
        <v/>
      </c>
      <c r="AT191" s="23">
        <f>IF(OR($AR191="",$AR191="BREAKDOWN_REQUIRED"),"",SUM($J191,$AQ191,$Y191)-$X191)</f>
        <v/>
      </c>
      <c r="AU191" s="25">
        <f>IF(AND($A191="",$B191="",$F191="",$H191="",$J191="",$K191="",$M191="",$S191=""),"",IF(OR($H191="",$Q191="",$M191="",$S191=""),"ERROR",IF(OR($J191&lt;0,$K191&lt;0,$M191&lt;0,$T191&lt;0,$U191&lt;0,$V191&lt;0,$W191&lt;0,$X191&lt;0,$Y191&lt;0),"ERROR",IF($AE191="","ERROR",IF(AND(OR($S191="ITEM_PRICE_PLUS_DECLARED_DELIVERY",$S191="TOTAL_AMOUNT_INCLUDING_DELIVERY",$S191="ITEM_PRICE_ONLY_DELIVERY_PAID_BY_MERCHANT"),$J191=""),"ERROR",IF(AND(OR($S191="ITEM_PRICE_PLUS_DECLARED_DELIVERY",$S191="DELIVERY_CHARGE_ONLY"),$K191=""),"ERROR",IF(AND(OR($S191="TOTAL_AMOUNT_INCLUDING_DELIVERY",$S191="EXACT_COLLECTION_AMOUNT"),$T191=""),"ERROR",IF(AND($S191="TOTAL_AMOUNT_INCLUDING_DELIVERY",$T191&lt;SUM($J191,$U191)),"ERROR",IF($S191="EXACT_COLLECTION_AMOUNT","REVIEW","OK")))))))))</f>
        <v/>
      </c>
      <c r="AV191" s="25">
        <f>IF($AU191="","",IF($H191="","Township required",IF($Q191="","Customer tier required",IF($M191="","Weight required",IF($S191="","Amount entry type required",IF(OR($J191&lt;0,$K191&lt;0,$M191&lt;0,$T191&lt;0,$U191&lt;0,$V191&lt;0,$W191&lt;0,$X191&lt;0,$Y191&lt;0),"Negative amounts are not allowed",IF($AE191="","Tariff not found for township and tier",IF(AND(OR($S191="ITEM_PRICE_PLUS_DECLARED_DELIVERY",$S191="TOTAL_AMOUNT_INCLUDING_DELIVERY",$S191="ITEM_PRICE_ONLY_DELIVERY_PAID_BY_MERCHANT"),$J191=""),"Item price required for this amount type",IF(AND(OR($S191="ITEM_PRICE_PLUS_DECLARED_DELIVERY",$S191="DELIVERY_CHARGE_ONLY"),$K191=""),"Declared delivery charge required",IF(AND(OR($S191="TOTAL_AMOUNT_INCLUDING_DELIVERY",$S191="EXACT_COLLECTION_AMOUNT"),$T191=""),"Stated total amount required",IF(AND($S191="TOTAL_AMOUNT_INCLUDING_DELIVERY",$T191&lt;SUM($J191,$U191)),"Stated total is below item price plus additional charge",IF($S191="EXACT_COLLECTION_AMOUNT","Authorized amount breakdown required before settlement","Ready for collection and settlement"))))))))))))</f>
        <v/>
      </c>
      <c r="AW191" s="23">
        <f>IF($AU191="","","PARCEL_FINANCIAL_V2")</f>
        <v/>
      </c>
      <c r="AX191" s="17" t="n"/>
    </row>
    <row r="192">
      <c r="A192" s="8" t="n"/>
      <c r="B192" s="8" t="n"/>
      <c r="C192" s="8" t="n"/>
      <c r="D192" s="8" t="n"/>
      <c r="E192" s="9" t="n"/>
      <c r="F192" s="9" t="n"/>
      <c r="G192" s="8" t="n"/>
      <c r="H192" s="9" t="n"/>
      <c r="I192" s="9" t="n"/>
      <c r="J192" s="10" t="n"/>
      <c r="K192" s="10" t="n"/>
      <c r="L192" s="11">
        <f>IF($S192="","",IF($S192="ITEM_PRICE_PLUS_DECLARED_DELIVERY",IF(OR($J192="",$K192=""),"",SUM($J192,$K192,$U192)),IF($S192="TOTAL_AMOUNT_INCLUDING_DELIVERY",IF($T192="","",$T192),IF($S192="DELIVERY_CHARGE_ONLY",IF($K192="","",SUM($K192,$U192)),IF($S192="EXACT_COLLECTION_AMOUNT",IF($T192="","",$T192),IF($S192="ITEM_PRICE_ONLY_DELIVERY_PAID_BY_MERCHANT",IF($J192="","",SUM($J192,$U192)),""))))))</f>
        <v/>
      </c>
      <c r="M192" s="12" t="n"/>
      <c r="N192" s="13" t="n"/>
      <c r="O192" s="13" t="n"/>
      <c r="P192" s="9" t="n"/>
      <c r="Q192" s="14" t="n"/>
      <c r="R192" s="15" t="n"/>
      <c r="S192" s="14" t="n"/>
      <c r="T192" s="16" t="n"/>
      <c r="U192" s="16" t="n"/>
      <c r="V192" s="16" t="n"/>
      <c r="W192" s="16" t="n"/>
      <c r="X192" s="16" t="n"/>
      <c r="Y192" s="16" t="n"/>
      <c r="Z192" s="14" t="n"/>
      <c r="AA192" s="14" t="n"/>
      <c r="AB192" s="14" t="n"/>
      <c r="AC192" s="17">
        <f>IFERROR(VLOOKUP($H192&amp;"|"&amp;$Q192,Tariff_Master!$A$2:$L$169,3,FALSE),"")</f>
        <v/>
      </c>
      <c r="AD192" s="17">
        <f>IFERROR(VLOOKUP($H192&amp;"|"&amp;$Q192,Tariff_Master!$A$2:$L$169,4,FALSE),"")</f>
        <v/>
      </c>
      <c r="AE192" s="18">
        <f>IFERROR(VLOOKUP($H192&amp;"|"&amp;$Q192,Tariff_Master!$A$2:$L$169,6,FALSE),"")</f>
        <v/>
      </c>
      <c r="AF192" s="19">
        <f>IFERROR(VLOOKUP($H192&amp;"|"&amp;$Q192,Tariff_Master!$A$2:$L$169,7,FALSE),"")</f>
        <v/>
      </c>
      <c r="AG192" s="18">
        <f>IFERROR(VLOOKUP($H192&amp;"|"&amp;$Q192,Tariff_Master!$A$2:$L$169,8,FALSE),"")</f>
        <v/>
      </c>
      <c r="AH192" s="20">
        <f>IFERROR(VLOOKUP($H192&amp;"|"&amp;$Q192,Tariff_Master!$A$2:$L$169,9,FALSE),"")</f>
        <v/>
      </c>
      <c r="AI192" s="18">
        <f>IFERROR(VLOOKUP($H192&amp;"|"&amp;$Q192,Tariff_Master!$A$2:$L$169,10,FALSE),"")</f>
        <v/>
      </c>
      <c r="AJ192" s="21">
        <f>IF($M192="","",ROUNDUP(MAX(0,$M192),0))</f>
        <v/>
      </c>
      <c r="AK192" s="21">
        <f>IF(OR($AJ192="",$AF192=""),"",MAX(0,$AJ192-$AF192))</f>
        <v/>
      </c>
      <c r="AL192" s="22">
        <f>IF(OR($AK192="",$AG192=""),"",MAX(0,$AK192*$AG192))</f>
        <v/>
      </c>
      <c r="AM192" s="22">
        <f>IF($AE192="","",MAX(0,SUM($AE192,$AL192,$V192,$W192)))</f>
        <v/>
      </c>
      <c r="AN192" s="22">
        <f>IF($AM192="","",IF(AND($Q192="COMMITMENT",$R192&gt;=$AH192),$AI192,0))</f>
        <v/>
      </c>
      <c r="AO192" s="23">
        <f>IF($AM192="","",MAX(0,$AM192-$AN192))</f>
        <v/>
      </c>
      <c r="AP192" s="22">
        <f>IF($S192="","",IF(OR($S192="ITEM_PRICE_PLUS_DECLARED_DELIVERY",$S192="DELIVERY_CHARGE_ONLY"),$K192,IF($S192="TOTAL_AMOUNT_INCLUDING_DELIVERY",IF(OR($T192="",$J192=""),"",MAX(0,$T192-$J192-$U192)),IF($S192="ITEM_PRICE_ONLY_DELIVERY_PAID_BY_MERCHANT",0,""))))</f>
        <v/>
      </c>
      <c r="AQ192" s="23">
        <f>IF(OR($AP192="",$AO192=""),"",$AP192-$AO192)</f>
        <v/>
      </c>
      <c r="AR192" s="24">
        <f>IF($S192="EXACT_COLLECTION_AMOUNT","BREAKDOWN_REQUIRED",IF($AQ192="","",IF($AQ192&gt;0,"CREDIT_TO_MERCHANT",IF($AQ192&lt;0,"DEDUCT_FROM_MERCHANT","NO_ADJUSTMENT"))))</f>
        <v/>
      </c>
      <c r="AS192" s="23">
        <f>IF(OR($AQ192="",$AR192="BREAKDOWN_REQUIRED"),"",$AQ192)</f>
        <v/>
      </c>
      <c r="AT192" s="23">
        <f>IF(OR($AR192="",$AR192="BREAKDOWN_REQUIRED"),"",SUM($J192,$AQ192,$Y192)-$X192)</f>
        <v/>
      </c>
      <c r="AU192" s="25">
        <f>IF(AND($A192="",$B192="",$F192="",$H192="",$J192="",$K192="",$M192="",$S192=""),"",IF(OR($H192="",$Q192="",$M192="",$S192=""),"ERROR",IF(OR($J192&lt;0,$K192&lt;0,$M192&lt;0,$T192&lt;0,$U192&lt;0,$V192&lt;0,$W192&lt;0,$X192&lt;0,$Y192&lt;0),"ERROR",IF($AE192="","ERROR",IF(AND(OR($S192="ITEM_PRICE_PLUS_DECLARED_DELIVERY",$S192="TOTAL_AMOUNT_INCLUDING_DELIVERY",$S192="ITEM_PRICE_ONLY_DELIVERY_PAID_BY_MERCHANT"),$J192=""),"ERROR",IF(AND(OR($S192="ITEM_PRICE_PLUS_DECLARED_DELIVERY",$S192="DELIVERY_CHARGE_ONLY"),$K192=""),"ERROR",IF(AND(OR($S192="TOTAL_AMOUNT_INCLUDING_DELIVERY",$S192="EXACT_COLLECTION_AMOUNT"),$T192=""),"ERROR",IF(AND($S192="TOTAL_AMOUNT_INCLUDING_DELIVERY",$T192&lt;SUM($J192,$U192)),"ERROR",IF($S192="EXACT_COLLECTION_AMOUNT","REVIEW","OK")))))))))</f>
        <v/>
      </c>
      <c r="AV192" s="25">
        <f>IF($AU192="","",IF($H192="","Township required",IF($Q192="","Customer tier required",IF($M192="","Weight required",IF($S192="","Amount entry type required",IF(OR($J192&lt;0,$K192&lt;0,$M192&lt;0,$T192&lt;0,$U192&lt;0,$V192&lt;0,$W192&lt;0,$X192&lt;0,$Y192&lt;0),"Negative amounts are not allowed",IF($AE192="","Tariff not found for township and tier",IF(AND(OR($S192="ITEM_PRICE_PLUS_DECLARED_DELIVERY",$S192="TOTAL_AMOUNT_INCLUDING_DELIVERY",$S192="ITEM_PRICE_ONLY_DELIVERY_PAID_BY_MERCHANT"),$J192=""),"Item price required for this amount type",IF(AND(OR($S192="ITEM_PRICE_PLUS_DECLARED_DELIVERY",$S192="DELIVERY_CHARGE_ONLY"),$K192=""),"Declared delivery charge required",IF(AND(OR($S192="TOTAL_AMOUNT_INCLUDING_DELIVERY",$S192="EXACT_COLLECTION_AMOUNT"),$T192=""),"Stated total amount required",IF(AND($S192="TOTAL_AMOUNT_INCLUDING_DELIVERY",$T192&lt;SUM($J192,$U192)),"Stated total is below item price plus additional charge",IF($S192="EXACT_COLLECTION_AMOUNT","Authorized amount breakdown required before settlement","Ready for collection and settlement"))))))))))))</f>
        <v/>
      </c>
      <c r="AW192" s="23">
        <f>IF($AU192="","","PARCEL_FINANCIAL_V2")</f>
        <v/>
      </c>
      <c r="AX192" s="17" t="n"/>
    </row>
    <row r="193">
      <c r="A193" s="8" t="n"/>
      <c r="B193" s="8" t="n"/>
      <c r="C193" s="8" t="n"/>
      <c r="D193" s="8" t="n"/>
      <c r="E193" s="9" t="n"/>
      <c r="F193" s="9" t="n"/>
      <c r="G193" s="8" t="n"/>
      <c r="H193" s="9" t="n"/>
      <c r="I193" s="9" t="n"/>
      <c r="J193" s="10" t="n"/>
      <c r="K193" s="10" t="n"/>
      <c r="L193" s="11">
        <f>IF($S193="","",IF($S193="ITEM_PRICE_PLUS_DECLARED_DELIVERY",IF(OR($J193="",$K193=""),"",SUM($J193,$K193,$U193)),IF($S193="TOTAL_AMOUNT_INCLUDING_DELIVERY",IF($T193="","",$T193),IF($S193="DELIVERY_CHARGE_ONLY",IF($K193="","",SUM($K193,$U193)),IF($S193="EXACT_COLLECTION_AMOUNT",IF($T193="","",$T193),IF($S193="ITEM_PRICE_ONLY_DELIVERY_PAID_BY_MERCHANT",IF($J193="","",SUM($J193,$U193)),""))))))</f>
        <v/>
      </c>
      <c r="M193" s="12" t="n"/>
      <c r="N193" s="13" t="n"/>
      <c r="O193" s="13" t="n"/>
      <c r="P193" s="9" t="n"/>
      <c r="Q193" s="14" t="n"/>
      <c r="R193" s="15" t="n"/>
      <c r="S193" s="14" t="n"/>
      <c r="T193" s="16" t="n"/>
      <c r="U193" s="16" t="n"/>
      <c r="V193" s="16" t="n"/>
      <c r="W193" s="16" t="n"/>
      <c r="X193" s="16" t="n"/>
      <c r="Y193" s="16" t="n"/>
      <c r="Z193" s="14" t="n"/>
      <c r="AA193" s="14" t="n"/>
      <c r="AB193" s="14" t="n"/>
      <c r="AC193" s="17">
        <f>IFERROR(VLOOKUP($H193&amp;"|"&amp;$Q193,Tariff_Master!$A$2:$L$169,3,FALSE),"")</f>
        <v/>
      </c>
      <c r="AD193" s="17">
        <f>IFERROR(VLOOKUP($H193&amp;"|"&amp;$Q193,Tariff_Master!$A$2:$L$169,4,FALSE),"")</f>
        <v/>
      </c>
      <c r="AE193" s="18">
        <f>IFERROR(VLOOKUP($H193&amp;"|"&amp;$Q193,Tariff_Master!$A$2:$L$169,6,FALSE),"")</f>
        <v/>
      </c>
      <c r="AF193" s="19">
        <f>IFERROR(VLOOKUP($H193&amp;"|"&amp;$Q193,Tariff_Master!$A$2:$L$169,7,FALSE),"")</f>
        <v/>
      </c>
      <c r="AG193" s="18">
        <f>IFERROR(VLOOKUP($H193&amp;"|"&amp;$Q193,Tariff_Master!$A$2:$L$169,8,FALSE),"")</f>
        <v/>
      </c>
      <c r="AH193" s="20">
        <f>IFERROR(VLOOKUP($H193&amp;"|"&amp;$Q193,Tariff_Master!$A$2:$L$169,9,FALSE),"")</f>
        <v/>
      </c>
      <c r="AI193" s="18">
        <f>IFERROR(VLOOKUP($H193&amp;"|"&amp;$Q193,Tariff_Master!$A$2:$L$169,10,FALSE),"")</f>
        <v/>
      </c>
      <c r="AJ193" s="21">
        <f>IF($M193="","",ROUNDUP(MAX(0,$M193),0))</f>
        <v/>
      </c>
      <c r="AK193" s="21">
        <f>IF(OR($AJ193="",$AF193=""),"",MAX(0,$AJ193-$AF193))</f>
        <v/>
      </c>
      <c r="AL193" s="22">
        <f>IF(OR($AK193="",$AG193=""),"",MAX(0,$AK193*$AG193))</f>
        <v/>
      </c>
      <c r="AM193" s="22">
        <f>IF($AE193="","",MAX(0,SUM($AE193,$AL193,$V193,$W193)))</f>
        <v/>
      </c>
      <c r="AN193" s="22">
        <f>IF($AM193="","",IF(AND($Q193="COMMITMENT",$R193&gt;=$AH193),$AI193,0))</f>
        <v/>
      </c>
      <c r="AO193" s="23">
        <f>IF($AM193="","",MAX(0,$AM193-$AN193))</f>
        <v/>
      </c>
      <c r="AP193" s="22">
        <f>IF($S193="","",IF(OR($S193="ITEM_PRICE_PLUS_DECLARED_DELIVERY",$S193="DELIVERY_CHARGE_ONLY"),$K193,IF($S193="TOTAL_AMOUNT_INCLUDING_DELIVERY",IF(OR($T193="",$J193=""),"",MAX(0,$T193-$J193-$U193)),IF($S193="ITEM_PRICE_ONLY_DELIVERY_PAID_BY_MERCHANT",0,""))))</f>
        <v/>
      </c>
      <c r="AQ193" s="23">
        <f>IF(OR($AP193="",$AO193=""),"",$AP193-$AO193)</f>
        <v/>
      </c>
      <c r="AR193" s="24">
        <f>IF($S193="EXACT_COLLECTION_AMOUNT","BREAKDOWN_REQUIRED",IF($AQ193="","",IF($AQ193&gt;0,"CREDIT_TO_MERCHANT",IF($AQ193&lt;0,"DEDUCT_FROM_MERCHANT","NO_ADJUSTMENT"))))</f>
        <v/>
      </c>
      <c r="AS193" s="23">
        <f>IF(OR($AQ193="",$AR193="BREAKDOWN_REQUIRED"),"",$AQ193)</f>
        <v/>
      </c>
      <c r="AT193" s="23">
        <f>IF(OR($AR193="",$AR193="BREAKDOWN_REQUIRED"),"",SUM($J193,$AQ193,$Y193)-$X193)</f>
        <v/>
      </c>
      <c r="AU193" s="25">
        <f>IF(AND($A193="",$B193="",$F193="",$H193="",$J193="",$K193="",$M193="",$S193=""),"",IF(OR($H193="",$Q193="",$M193="",$S193=""),"ERROR",IF(OR($J193&lt;0,$K193&lt;0,$M193&lt;0,$T193&lt;0,$U193&lt;0,$V193&lt;0,$W193&lt;0,$X193&lt;0,$Y193&lt;0),"ERROR",IF($AE193="","ERROR",IF(AND(OR($S193="ITEM_PRICE_PLUS_DECLARED_DELIVERY",$S193="TOTAL_AMOUNT_INCLUDING_DELIVERY",$S193="ITEM_PRICE_ONLY_DELIVERY_PAID_BY_MERCHANT"),$J193=""),"ERROR",IF(AND(OR($S193="ITEM_PRICE_PLUS_DECLARED_DELIVERY",$S193="DELIVERY_CHARGE_ONLY"),$K193=""),"ERROR",IF(AND(OR($S193="TOTAL_AMOUNT_INCLUDING_DELIVERY",$S193="EXACT_COLLECTION_AMOUNT"),$T193=""),"ERROR",IF(AND($S193="TOTAL_AMOUNT_INCLUDING_DELIVERY",$T193&lt;SUM($J193,$U193)),"ERROR",IF($S193="EXACT_COLLECTION_AMOUNT","REVIEW","OK")))))))))</f>
        <v/>
      </c>
      <c r="AV193" s="25">
        <f>IF($AU193="","",IF($H193="","Township required",IF($Q193="","Customer tier required",IF($M193="","Weight required",IF($S193="","Amount entry type required",IF(OR($J193&lt;0,$K193&lt;0,$M193&lt;0,$T193&lt;0,$U193&lt;0,$V193&lt;0,$W193&lt;0,$X193&lt;0,$Y193&lt;0),"Negative amounts are not allowed",IF($AE193="","Tariff not found for township and tier",IF(AND(OR($S193="ITEM_PRICE_PLUS_DECLARED_DELIVERY",$S193="TOTAL_AMOUNT_INCLUDING_DELIVERY",$S193="ITEM_PRICE_ONLY_DELIVERY_PAID_BY_MERCHANT"),$J193=""),"Item price required for this amount type",IF(AND(OR($S193="ITEM_PRICE_PLUS_DECLARED_DELIVERY",$S193="DELIVERY_CHARGE_ONLY"),$K193=""),"Declared delivery charge required",IF(AND(OR($S193="TOTAL_AMOUNT_INCLUDING_DELIVERY",$S193="EXACT_COLLECTION_AMOUNT"),$T193=""),"Stated total amount required",IF(AND($S193="TOTAL_AMOUNT_INCLUDING_DELIVERY",$T193&lt;SUM($J193,$U193)),"Stated total is below item price plus additional charge",IF($S193="EXACT_COLLECTION_AMOUNT","Authorized amount breakdown required before settlement","Ready for collection and settlement"))))))))))))</f>
        <v/>
      </c>
      <c r="AW193" s="23">
        <f>IF($AU193="","","PARCEL_FINANCIAL_V2")</f>
        <v/>
      </c>
      <c r="AX193" s="17" t="n"/>
    </row>
    <row r="194">
      <c r="A194" s="8" t="n"/>
      <c r="B194" s="8" t="n"/>
      <c r="C194" s="8" t="n"/>
      <c r="D194" s="8" t="n"/>
      <c r="E194" s="9" t="n"/>
      <c r="F194" s="9" t="n"/>
      <c r="G194" s="8" t="n"/>
      <c r="H194" s="9" t="n"/>
      <c r="I194" s="9" t="n"/>
      <c r="J194" s="10" t="n"/>
      <c r="K194" s="10" t="n"/>
      <c r="L194" s="11">
        <f>IF($S194="","",IF($S194="ITEM_PRICE_PLUS_DECLARED_DELIVERY",IF(OR($J194="",$K194=""),"",SUM($J194,$K194,$U194)),IF($S194="TOTAL_AMOUNT_INCLUDING_DELIVERY",IF($T194="","",$T194),IF($S194="DELIVERY_CHARGE_ONLY",IF($K194="","",SUM($K194,$U194)),IF($S194="EXACT_COLLECTION_AMOUNT",IF($T194="","",$T194),IF($S194="ITEM_PRICE_ONLY_DELIVERY_PAID_BY_MERCHANT",IF($J194="","",SUM($J194,$U194)),""))))))</f>
        <v/>
      </c>
      <c r="M194" s="12" t="n"/>
      <c r="N194" s="13" t="n"/>
      <c r="O194" s="13" t="n"/>
      <c r="P194" s="9" t="n"/>
      <c r="Q194" s="14" t="n"/>
      <c r="R194" s="15" t="n"/>
      <c r="S194" s="14" t="n"/>
      <c r="T194" s="16" t="n"/>
      <c r="U194" s="16" t="n"/>
      <c r="V194" s="16" t="n"/>
      <c r="W194" s="16" t="n"/>
      <c r="X194" s="16" t="n"/>
      <c r="Y194" s="16" t="n"/>
      <c r="Z194" s="14" t="n"/>
      <c r="AA194" s="14" t="n"/>
      <c r="AB194" s="14" t="n"/>
      <c r="AC194" s="17">
        <f>IFERROR(VLOOKUP($H194&amp;"|"&amp;$Q194,Tariff_Master!$A$2:$L$169,3,FALSE),"")</f>
        <v/>
      </c>
      <c r="AD194" s="17">
        <f>IFERROR(VLOOKUP($H194&amp;"|"&amp;$Q194,Tariff_Master!$A$2:$L$169,4,FALSE),"")</f>
        <v/>
      </c>
      <c r="AE194" s="18">
        <f>IFERROR(VLOOKUP($H194&amp;"|"&amp;$Q194,Tariff_Master!$A$2:$L$169,6,FALSE),"")</f>
        <v/>
      </c>
      <c r="AF194" s="19">
        <f>IFERROR(VLOOKUP($H194&amp;"|"&amp;$Q194,Tariff_Master!$A$2:$L$169,7,FALSE),"")</f>
        <v/>
      </c>
      <c r="AG194" s="18">
        <f>IFERROR(VLOOKUP($H194&amp;"|"&amp;$Q194,Tariff_Master!$A$2:$L$169,8,FALSE),"")</f>
        <v/>
      </c>
      <c r="AH194" s="20">
        <f>IFERROR(VLOOKUP($H194&amp;"|"&amp;$Q194,Tariff_Master!$A$2:$L$169,9,FALSE),"")</f>
        <v/>
      </c>
      <c r="AI194" s="18">
        <f>IFERROR(VLOOKUP($H194&amp;"|"&amp;$Q194,Tariff_Master!$A$2:$L$169,10,FALSE),"")</f>
        <v/>
      </c>
      <c r="AJ194" s="21">
        <f>IF($M194="","",ROUNDUP(MAX(0,$M194),0))</f>
        <v/>
      </c>
      <c r="AK194" s="21">
        <f>IF(OR($AJ194="",$AF194=""),"",MAX(0,$AJ194-$AF194))</f>
        <v/>
      </c>
      <c r="AL194" s="22">
        <f>IF(OR($AK194="",$AG194=""),"",MAX(0,$AK194*$AG194))</f>
        <v/>
      </c>
      <c r="AM194" s="22">
        <f>IF($AE194="","",MAX(0,SUM($AE194,$AL194,$V194,$W194)))</f>
        <v/>
      </c>
      <c r="AN194" s="22">
        <f>IF($AM194="","",IF(AND($Q194="COMMITMENT",$R194&gt;=$AH194),$AI194,0))</f>
        <v/>
      </c>
      <c r="AO194" s="23">
        <f>IF($AM194="","",MAX(0,$AM194-$AN194))</f>
        <v/>
      </c>
      <c r="AP194" s="22">
        <f>IF($S194="","",IF(OR($S194="ITEM_PRICE_PLUS_DECLARED_DELIVERY",$S194="DELIVERY_CHARGE_ONLY"),$K194,IF($S194="TOTAL_AMOUNT_INCLUDING_DELIVERY",IF(OR($T194="",$J194=""),"",MAX(0,$T194-$J194-$U194)),IF($S194="ITEM_PRICE_ONLY_DELIVERY_PAID_BY_MERCHANT",0,""))))</f>
        <v/>
      </c>
      <c r="AQ194" s="23">
        <f>IF(OR($AP194="",$AO194=""),"",$AP194-$AO194)</f>
        <v/>
      </c>
      <c r="AR194" s="24">
        <f>IF($S194="EXACT_COLLECTION_AMOUNT","BREAKDOWN_REQUIRED",IF($AQ194="","",IF($AQ194&gt;0,"CREDIT_TO_MERCHANT",IF($AQ194&lt;0,"DEDUCT_FROM_MERCHANT","NO_ADJUSTMENT"))))</f>
        <v/>
      </c>
      <c r="AS194" s="23">
        <f>IF(OR($AQ194="",$AR194="BREAKDOWN_REQUIRED"),"",$AQ194)</f>
        <v/>
      </c>
      <c r="AT194" s="23">
        <f>IF(OR($AR194="",$AR194="BREAKDOWN_REQUIRED"),"",SUM($J194,$AQ194,$Y194)-$X194)</f>
        <v/>
      </c>
      <c r="AU194" s="25">
        <f>IF(AND($A194="",$B194="",$F194="",$H194="",$J194="",$K194="",$M194="",$S194=""),"",IF(OR($H194="",$Q194="",$M194="",$S194=""),"ERROR",IF(OR($J194&lt;0,$K194&lt;0,$M194&lt;0,$T194&lt;0,$U194&lt;0,$V194&lt;0,$W194&lt;0,$X194&lt;0,$Y194&lt;0),"ERROR",IF($AE194="","ERROR",IF(AND(OR($S194="ITEM_PRICE_PLUS_DECLARED_DELIVERY",$S194="TOTAL_AMOUNT_INCLUDING_DELIVERY",$S194="ITEM_PRICE_ONLY_DELIVERY_PAID_BY_MERCHANT"),$J194=""),"ERROR",IF(AND(OR($S194="ITEM_PRICE_PLUS_DECLARED_DELIVERY",$S194="DELIVERY_CHARGE_ONLY"),$K194=""),"ERROR",IF(AND(OR($S194="TOTAL_AMOUNT_INCLUDING_DELIVERY",$S194="EXACT_COLLECTION_AMOUNT"),$T194=""),"ERROR",IF(AND($S194="TOTAL_AMOUNT_INCLUDING_DELIVERY",$T194&lt;SUM($J194,$U194)),"ERROR",IF($S194="EXACT_COLLECTION_AMOUNT","REVIEW","OK")))))))))</f>
        <v/>
      </c>
      <c r="AV194" s="25">
        <f>IF($AU194="","",IF($H194="","Township required",IF($Q194="","Customer tier required",IF($M194="","Weight required",IF($S194="","Amount entry type required",IF(OR($J194&lt;0,$K194&lt;0,$M194&lt;0,$T194&lt;0,$U194&lt;0,$V194&lt;0,$W194&lt;0,$X194&lt;0,$Y194&lt;0),"Negative amounts are not allowed",IF($AE194="","Tariff not found for township and tier",IF(AND(OR($S194="ITEM_PRICE_PLUS_DECLARED_DELIVERY",$S194="TOTAL_AMOUNT_INCLUDING_DELIVERY",$S194="ITEM_PRICE_ONLY_DELIVERY_PAID_BY_MERCHANT"),$J194=""),"Item price required for this amount type",IF(AND(OR($S194="ITEM_PRICE_PLUS_DECLARED_DELIVERY",$S194="DELIVERY_CHARGE_ONLY"),$K194=""),"Declared delivery charge required",IF(AND(OR($S194="TOTAL_AMOUNT_INCLUDING_DELIVERY",$S194="EXACT_COLLECTION_AMOUNT"),$T194=""),"Stated total amount required",IF(AND($S194="TOTAL_AMOUNT_INCLUDING_DELIVERY",$T194&lt;SUM($J194,$U194)),"Stated total is below item price plus additional charge",IF($S194="EXACT_COLLECTION_AMOUNT","Authorized amount breakdown required before settlement","Ready for collection and settlement"))))))))))))</f>
        <v/>
      </c>
      <c r="AW194" s="23">
        <f>IF($AU194="","","PARCEL_FINANCIAL_V2")</f>
        <v/>
      </c>
      <c r="AX194" s="17" t="n"/>
    </row>
    <row r="195">
      <c r="A195" s="8" t="n"/>
      <c r="B195" s="8" t="n"/>
      <c r="C195" s="8" t="n"/>
      <c r="D195" s="8" t="n"/>
      <c r="E195" s="9" t="n"/>
      <c r="F195" s="9" t="n"/>
      <c r="G195" s="8" t="n"/>
      <c r="H195" s="9" t="n"/>
      <c r="I195" s="9" t="n"/>
      <c r="J195" s="10" t="n"/>
      <c r="K195" s="10" t="n"/>
      <c r="L195" s="11">
        <f>IF($S195="","",IF($S195="ITEM_PRICE_PLUS_DECLARED_DELIVERY",IF(OR($J195="",$K195=""),"",SUM($J195,$K195,$U195)),IF($S195="TOTAL_AMOUNT_INCLUDING_DELIVERY",IF($T195="","",$T195),IF($S195="DELIVERY_CHARGE_ONLY",IF($K195="","",SUM($K195,$U195)),IF($S195="EXACT_COLLECTION_AMOUNT",IF($T195="","",$T195),IF($S195="ITEM_PRICE_ONLY_DELIVERY_PAID_BY_MERCHANT",IF($J195="","",SUM($J195,$U195)),""))))))</f>
        <v/>
      </c>
      <c r="M195" s="12" t="n"/>
      <c r="N195" s="13" t="n"/>
      <c r="O195" s="13" t="n"/>
      <c r="P195" s="9" t="n"/>
      <c r="Q195" s="14" t="n"/>
      <c r="R195" s="15" t="n"/>
      <c r="S195" s="14" t="n"/>
      <c r="T195" s="16" t="n"/>
      <c r="U195" s="16" t="n"/>
      <c r="V195" s="16" t="n"/>
      <c r="W195" s="16" t="n"/>
      <c r="X195" s="16" t="n"/>
      <c r="Y195" s="16" t="n"/>
      <c r="Z195" s="14" t="n"/>
      <c r="AA195" s="14" t="n"/>
      <c r="AB195" s="14" t="n"/>
      <c r="AC195" s="17">
        <f>IFERROR(VLOOKUP($H195&amp;"|"&amp;$Q195,Tariff_Master!$A$2:$L$169,3,FALSE),"")</f>
        <v/>
      </c>
      <c r="AD195" s="17">
        <f>IFERROR(VLOOKUP($H195&amp;"|"&amp;$Q195,Tariff_Master!$A$2:$L$169,4,FALSE),"")</f>
        <v/>
      </c>
      <c r="AE195" s="18">
        <f>IFERROR(VLOOKUP($H195&amp;"|"&amp;$Q195,Tariff_Master!$A$2:$L$169,6,FALSE),"")</f>
        <v/>
      </c>
      <c r="AF195" s="19">
        <f>IFERROR(VLOOKUP($H195&amp;"|"&amp;$Q195,Tariff_Master!$A$2:$L$169,7,FALSE),"")</f>
        <v/>
      </c>
      <c r="AG195" s="18">
        <f>IFERROR(VLOOKUP($H195&amp;"|"&amp;$Q195,Tariff_Master!$A$2:$L$169,8,FALSE),"")</f>
        <v/>
      </c>
      <c r="AH195" s="20">
        <f>IFERROR(VLOOKUP($H195&amp;"|"&amp;$Q195,Tariff_Master!$A$2:$L$169,9,FALSE),"")</f>
        <v/>
      </c>
      <c r="AI195" s="18">
        <f>IFERROR(VLOOKUP($H195&amp;"|"&amp;$Q195,Tariff_Master!$A$2:$L$169,10,FALSE),"")</f>
        <v/>
      </c>
      <c r="AJ195" s="21">
        <f>IF($M195="","",ROUNDUP(MAX(0,$M195),0))</f>
        <v/>
      </c>
      <c r="AK195" s="21">
        <f>IF(OR($AJ195="",$AF195=""),"",MAX(0,$AJ195-$AF195))</f>
        <v/>
      </c>
      <c r="AL195" s="22">
        <f>IF(OR($AK195="",$AG195=""),"",MAX(0,$AK195*$AG195))</f>
        <v/>
      </c>
      <c r="AM195" s="22">
        <f>IF($AE195="","",MAX(0,SUM($AE195,$AL195,$V195,$W195)))</f>
        <v/>
      </c>
      <c r="AN195" s="22">
        <f>IF($AM195="","",IF(AND($Q195="COMMITMENT",$R195&gt;=$AH195),$AI195,0))</f>
        <v/>
      </c>
      <c r="AO195" s="23">
        <f>IF($AM195="","",MAX(0,$AM195-$AN195))</f>
        <v/>
      </c>
      <c r="AP195" s="22">
        <f>IF($S195="","",IF(OR($S195="ITEM_PRICE_PLUS_DECLARED_DELIVERY",$S195="DELIVERY_CHARGE_ONLY"),$K195,IF($S195="TOTAL_AMOUNT_INCLUDING_DELIVERY",IF(OR($T195="",$J195=""),"",MAX(0,$T195-$J195-$U195)),IF($S195="ITEM_PRICE_ONLY_DELIVERY_PAID_BY_MERCHANT",0,""))))</f>
        <v/>
      </c>
      <c r="AQ195" s="23">
        <f>IF(OR($AP195="",$AO195=""),"",$AP195-$AO195)</f>
        <v/>
      </c>
      <c r="AR195" s="24">
        <f>IF($S195="EXACT_COLLECTION_AMOUNT","BREAKDOWN_REQUIRED",IF($AQ195="","",IF($AQ195&gt;0,"CREDIT_TO_MERCHANT",IF($AQ195&lt;0,"DEDUCT_FROM_MERCHANT","NO_ADJUSTMENT"))))</f>
        <v/>
      </c>
      <c r="AS195" s="23">
        <f>IF(OR($AQ195="",$AR195="BREAKDOWN_REQUIRED"),"",$AQ195)</f>
        <v/>
      </c>
      <c r="AT195" s="23">
        <f>IF(OR($AR195="",$AR195="BREAKDOWN_REQUIRED"),"",SUM($J195,$AQ195,$Y195)-$X195)</f>
        <v/>
      </c>
      <c r="AU195" s="25">
        <f>IF(AND($A195="",$B195="",$F195="",$H195="",$J195="",$K195="",$M195="",$S195=""),"",IF(OR($H195="",$Q195="",$M195="",$S195=""),"ERROR",IF(OR($J195&lt;0,$K195&lt;0,$M195&lt;0,$T195&lt;0,$U195&lt;0,$V195&lt;0,$W195&lt;0,$X195&lt;0,$Y195&lt;0),"ERROR",IF($AE195="","ERROR",IF(AND(OR($S195="ITEM_PRICE_PLUS_DECLARED_DELIVERY",$S195="TOTAL_AMOUNT_INCLUDING_DELIVERY",$S195="ITEM_PRICE_ONLY_DELIVERY_PAID_BY_MERCHANT"),$J195=""),"ERROR",IF(AND(OR($S195="ITEM_PRICE_PLUS_DECLARED_DELIVERY",$S195="DELIVERY_CHARGE_ONLY"),$K195=""),"ERROR",IF(AND(OR($S195="TOTAL_AMOUNT_INCLUDING_DELIVERY",$S195="EXACT_COLLECTION_AMOUNT"),$T195=""),"ERROR",IF(AND($S195="TOTAL_AMOUNT_INCLUDING_DELIVERY",$T195&lt;SUM($J195,$U195)),"ERROR",IF($S195="EXACT_COLLECTION_AMOUNT","REVIEW","OK")))))))))</f>
        <v/>
      </c>
      <c r="AV195" s="25">
        <f>IF($AU195="","",IF($H195="","Township required",IF($Q195="","Customer tier required",IF($M195="","Weight required",IF($S195="","Amount entry type required",IF(OR($J195&lt;0,$K195&lt;0,$M195&lt;0,$T195&lt;0,$U195&lt;0,$V195&lt;0,$W195&lt;0,$X195&lt;0,$Y195&lt;0),"Negative amounts are not allowed",IF($AE195="","Tariff not found for township and tier",IF(AND(OR($S195="ITEM_PRICE_PLUS_DECLARED_DELIVERY",$S195="TOTAL_AMOUNT_INCLUDING_DELIVERY",$S195="ITEM_PRICE_ONLY_DELIVERY_PAID_BY_MERCHANT"),$J195=""),"Item price required for this amount type",IF(AND(OR($S195="ITEM_PRICE_PLUS_DECLARED_DELIVERY",$S195="DELIVERY_CHARGE_ONLY"),$K195=""),"Declared delivery charge required",IF(AND(OR($S195="TOTAL_AMOUNT_INCLUDING_DELIVERY",$S195="EXACT_COLLECTION_AMOUNT"),$T195=""),"Stated total amount required",IF(AND($S195="TOTAL_AMOUNT_INCLUDING_DELIVERY",$T195&lt;SUM($J195,$U195)),"Stated total is below item price plus additional charge",IF($S195="EXACT_COLLECTION_AMOUNT","Authorized amount breakdown required before settlement","Ready for collection and settlement"))))))))))))</f>
        <v/>
      </c>
      <c r="AW195" s="23">
        <f>IF($AU195="","","PARCEL_FINANCIAL_V2")</f>
        <v/>
      </c>
      <c r="AX195" s="17" t="n"/>
    </row>
    <row r="196">
      <c r="A196" s="8" t="n"/>
      <c r="B196" s="8" t="n"/>
      <c r="C196" s="8" t="n"/>
      <c r="D196" s="8" t="n"/>
      <c r="E196" s="9" t="n"/>
      <c r="F196" s="9" t="n"/>
      <c r="G196" s="8" t="n"/>
      <c r="H196" s="9" t="n"/>
      <c r="I196" s="9" t="n"/>
      <c r="J196" s="10" t="n"/>
      <c r="K196" s="10" t="n"/>
      <c r="L196" s="11">
        <f>IF($S196="","",IF($S196="ITEM_PRICE_PLUS_DECLARED_DELIVERY",IF(OR($J196="",$K196=""),"",SUM($J196,$K196,$U196)),IF($S196="TOTAL_AMOUNT_INCLUDING_DELIVERY",IF($T196="","",$T196),IF($S196="DELIVERY_CHARGE_ONLY",IF($K196="","",SUM($K196,$U196)),IF($S196="EXACT_COLLECTION_AMOUNT",IF($T196="","",$T196),IF($S196="ITEM_PRICE_ONLY_DELIVERY_PAID_BY_MERCHANT",IF($J196="","",SUM($J196,$U196)),""))))))</f>
        <v/>
      </c>
      <c r="M196" s="12" t="n"/>
      <c r="N196" s="13" t="n"/>
      <c r="O196" s="13" t="n"/>
      <c r="P196" s="9" t="n"/>
      <c r="Q196" s="14" t="n"/>
      <c r="R196" s="15" t="n"/>
      <c r="S196" s="14" t="n"/>
      <c r="T196" s="16" t="n"/>
      <c r="U196" s="16" t="n"/>
      <c r="V196" s="16" t="n"/>
      <c r="W196" s="16" t="n"/>
      <c r="X196" s="16" t="n"/>
      <c r="Y196" s="16" t="n"/>
      <c r="Z196" s="14" t="n"/>
      <c r="AA196" s="14" t="n"/>
      <c r="AB196" s="14" t="n"/>
      <c r="AC196" s="17">
        <f>IFERROR(VLOOKUP($H196&amp;"|"&amp;$Q196,Tariff_Master!$A$2:$L$169,3,FALSE),"")</f>
        <v/>
      </c>
      <c r="AD196" s="17">
        <f>IFERROR(VLOOKUP($H196&amp;"|"&amp;$Q196,Tariff_Master!$A$2:$L$169,4,FALSE),"")</f>
        <v/>
      </c>
      <c r="AE196" s="18">
        <f>IFERROR(VLOOKUP($H196&amp;"|"&amp;$Q196,Tariff_Master!$A$2:$L$169,6,FALSE),"")</f>
        <v/>
      </c>
      <c r="AF196" s="19">
        <f>IFERROR(VLOOKUP($H196&amp;"|"&amp;$Q196,Tariff_Master!$A$2:$L$169,7,FALSE),"")</f>
        <v/>
      </c>
      <c r="AG196" s="18">
        <f>IFERROR(VLOOKUP($H196&amp;"|"&amp;$Q196,Tariff_Master!$A$2:$L$169,8,FALSE),"")</f>
        <v/>
      </c>
      <c r="AH196" s="20">
        <f>IFERROR(VLOOKUP($H196&amp;"|"&amp;$Q196,Tariff_Master!$A$2:$L$169,9,FALSE),"")</f>
        <v/>
      </c>
      <c r="AI196" s="18">
        <f>IFERROR(VLOOKUP($H196&amp;"|"&amp;$Q196,Tariff_Master!$A$2:$L$169,10,FALSE),"")</f>
        <v/>
      </c>
      <c r="AJ196" s="21">
        <f>IF($M196="","",ROUNDUP(MAX(0,$M196),0))</f>
        <v/>
      </c>
      <c r="AK196" s="21">
        <f>IF(OR($AJ196="",$AF196=""),"",MAX(0,$AJ196-$AF196))</f>
        <v/>
      </c>
      <c r="AL196" s="22">
        <f>IF(OR($AK196="",$AG196=""),"",MAX(0,$AK196*$AG196))</f>
        <v/>
      </c>
      <c r="AM196" s="22">
        <f>IF($AE196="","",MAX(0,SUM($AE196,$AL196,$V196,$W196)))</f>
        <v/>
      </c>
      <c r="AN196" s="22">
        <f>IF($AM196="","",IF(AND($Q196="COMMITMENT",$R196&gt;=$AH196),$AI196,0))</f>
        <v/>
      </c>
      <c r="AO196" s="23">
        <f>IF($AM196="","",MAX(0,$AM196-$AN196))</f>
        <v/>
      </c>
      <c r="AP196" s="22">
        <f>IF($S196="","",IF(OR($S196="ITEM_PRICE_PLUS_DECLARED_DELIVERY",$S196="DELIVERY_CHARGE_ONLY"),$K196,IF($S196="TOTAL_AMOUNT_INCLUDING_DELIVERY",IF(OR($T196="",$J196=""),"",MAX(0,$T196-$J196-$U196)),IF($S196="ITEM_PRICE_ONLY_DELIVERY_PAID_BY_MERCHANT",0,""))))</f>
        <v/>
      </c>
      <c r="AQ196" s="23">
        <f>IF(OR($AP196="",$AO196=""),"",$AP196-$AO196)</f>
        <v/>
      </c>
      <c r="AR196" s="24">
        <f>IF($S196="EXACT_COLLECTION_AMOUNT","BREAKDOWN_REQUIRED",IF($AQ196="","",IF($AQ196&gt;0,"CREDIT_TO_MERCHANT",IF($AQ196&lt;0,"DEDUCT_FROM_MERCHANT","NO_ADJUSTMENT"))))</f>
        <v/>
      </c>
      <c r="AS196" s="23">
        <f>IF(OR($AQ196="",$AR196="BREAKDOWN_REQUIRED"),"",$AQ196)</f>
        <v/>
      </c>
      <c r="AT196" s="23">
        <f>IF(OR($AR196="",$AR196="BREAKDOWN_REQUIRED"),"",SUM($J196,$AQ196,$Y196)-$X196)</f>
        <v/>
      </c>
      <c r="AU196" s="25">
        <f>IF(AND($A196="",$B196="",$F196="",$H196="",$J196="",$K196="",$M196="",$S196=""),"",IF(OR($H196="",$Q196="",$M196="",$S196=""),"ERROR",IF(OR($J196&lt;0,$K196&lt;0,$M196&lt;0,$T196&lt;0,$U196&lt;0,$V196&lt;0,$W196&lt;0,$X196&lt;0,$Y196&lt;0),"ERROR",IF($AE196="","ERROR",IF(AND(OR($S196="ITEM_PRICE_PLUS_DECLARED_DELIVERY",$S196="TOTAL_AMOUNT_INCLUDING_DELIVERY",$S196="ITEM_PRICE_ONLY_DELIVERY_PAID_BY_MERCHANT"),$J196=""),"ERROR",IF(AND(OR($S196="ITEM_PRICE_PLUS_DECLARED_DELIVERY",$S196="DELIVERY_CHARGE_ONLY"),$K196=""),"ERROR",IF(AND(OR($S196="TOTAL_AMOUNT_INCLUDING_DELIVERY",$S196="EXACT_COLLECTION_AMOUNT"),$T196=""),"ERROR",IF(AND($S196="TOTAL_AMOUNT_INCLUDING_DELIVERY",$T196&lt;SUM($J196,$U196)),"ERROR",IF($S196="EXACT_COLLECTION_AMOUNT","REVIEW","OK")))))))))</f>
        <v/>
      </c>
      <c r="AV196" s="25">
        <f>IF($AU196="","",IF($H196="","Township required",IF($Q196="","Customer tier required",IF($M196="","Weight required",IF($S196="","Amount entry type required",IF(OR($J196&lt;0,$K196&lt;0,$M196&lt;0,$T196&lt;0,$U196&lt;0,$V196&lt;0,$W196&lt;0,$X196&lt;0,$Y196&lt;0),"Negative amounts are not allowed",IF($AE196="","Tariff not found for township and tier",IF(AND(OR($S196="ITEM_PRICE_PLUS_DECLARED_DELIVERY",$S196="TOTAL_AMOUNT_INCLUDING_DELIVERY",$S196="ITEM_PRICE_ONLY_DELIVERY_PAID_BY_MERCHANT"),$J196=""),"Item price required for this amount type",IF(AND(OR($S196="ITEM_PRICE_PLUS_DECLARED_DELIVERY",$S196="DELIVERY_CHARGE_ONLY"),$K196=""),"Declared delivery charge required",IF(AND(OR($S196="TOTAL_AMOUNT_INCLUDING_DELIVERY",$S196="EXACT_COLLECTION_AMOUNT"),$T196=""),"Stated total amount required",IF(AND($S196="TOTAL_AMOUNT_INCLUDING_DELIVERY",$T196&lt;SUM($J196,$U196)),"Stated total is below item price plus additional charge",IF($S196="EXACT_COLLECTION_AMOUNT","Authorized amount breakdown required before settlement","Ready for collection and settlement"))))))))))))</f>
        <v/>
      </c>
      <c r="AW196" s="23">
        <f>IF($AU196="","","PARCEL_FINANCIAL_V2")</f>
        <v/>
      </c>
      <c r="AX196" s="17" t="n"/>
    </row>
    <row r="197">
      <c r="A197" s="8" t="n"/>
      <c r="B197" s="8" t="n"/>
      <c r="C197" s="8" t="n"/>
      <c r="D197" s="8" t="n"/>
      <c r="E197" s="9" t="n"/>
      <c r="F197" s="9" t="n"/>
      <c r="G197" s="8" t="n"/>
      <c r="H197" s="9" t="n"/>
      <c r="I197" s="9" t="n"/>
      <c r="J197" s="10" t="n"/>
      <c r="K197" s="10" t="n"/>
      <c r="L197" s="11">
        <f>IF($S197="","",IF($S197="ITEM_PRICE_PLUS_DECLARED_DELIVERY",IF(OR($J197="",$K197=""),"",SUM($J197,$K197,$U197)),IF($S197="TOTAL_AMOUNT_INCLUDING_DELIVERY",IF($T197="","",$T197),IF($S197="DELIVERY_CHARGE_ONLY",IF($K197="","",SUM($K197,$U197)),IF($S197="EXACT_COLLECTION_AMOUNT",IF($T197="","",$T197),IF($S197="ITEM_PRICE_ONLY_DELIVERY_PAID_BY_MERCHANT",IF($J197="","",SUM($J197,$U197)),""))))))</f>
        <v/>
      </c>
      <c r="M197" s="12" t="n"/>
      <c r="N197" s="13" t="n"/>
      <c r="O197" s="13" t="n"/>
      <c r="P197" s="9" t="n"/>
      <c r="Q197" s="14" t="n"/>
      <c r="R197" s="15" t="n"/>
      <c r="S197" s="14" t="n"/>
      <c r="T197" s="16" t="n"/>
      <c r="U197" s="16" t="n"/>
      <c r="V197" s="16" t="n"/>
      <c r="W197" s="16" t="n"/>
      <c r="X197" s="16" t="n"/>
      <c r="Y197" s="16" t="n"/>
      <c r="Z197" s="14" t="n"/>
      <c r="AA197" s="14" t="n"/>
      <c r="AB197" s="14" t="n"/>
      <c r="AC197" s="17">
        <f>IFERROR(VLOOKUP($H197&amp;"|"&amp;$Q197,Tariff_Master!$A$2:$L$169,3,FALSE),"")</f>
        <v/>
      </c>
      <c r="AD197" s="17">
        <f>IFERROR(VLOOKUP($H197&amp;"|"&amp;$Q197,Tariff_Master!$A$2:$L$169,4,FALSE),"")</f>
        <v/>
      </c>
      <c r="AE197" s="18">
        <f>IFERROR(VLOOKUP($H197&amp;"|"&amp;$Q197,Tariff_Master!$A$2:$L$169,6,FALSE),"")</f>
        <v/>
      </c>
      <c r="AF197" s="19">
        <f>IFERROR(VLOOKUP($H197&amp;"|"&amp;$Q197,Tariff_Master!$A$2:$L$169,7,FALSE),"")</f>
        <v/>
      </c>
      <c r="AG197" s="18">
        <f>IFERROR(VLOOKUP($H197&amp;"|"&amp;$Q197,Tariff_Master!$A$2:$L$169,8,FALSE),"")</f>
        <v/>
      </c>
      <c r="AH197" s="20">
        <f>IFERROR(VLOOKUP($H197&amp;"|"&amp;$Q197,Tariff_Master!$A$2:$L$169,9,FALSE),"")</f>
        <v/>
      </c>
      <c r="AI197" s="18">
        <f>IFERROR(VLOOKUP($H197&amp;"|"&amp;$Q197,Tariff_Master!$A$2:$L$169,10,FALSE),"")</f>
        <v/>
      </c>
      <c r="AJ197" s="21">
        <f>IF($M197="","",ROUNDUP(MAX(0,$M197),0))</f>
        <v/>
      </c>
      <c r="AK197" s="21">
        <f>IF(OR($AJ197="",$AF197=""),"",MAX(0,$AJ197-$AF197))</f>
        <v/>
      </c>
      <c r="AL197" s="22">
        <f>IF(OR($AK197="",$AG197=""),"",MAX(0,$AK197*$AG197))</f>
        <v/>
      </c>
      <c r="AM197" s="22">
        <f>IF($AE197="","",MAX(0,SUM($AE197,$AL197,$V197,$W197)))</f>
        <v/>
      </c>
      <c r="AN197" s="22">
        <f>IF($AM197="","",IF(AND($Q197="COMMITMENT",$R197&gt;=$AH197),$AI197,0))</f>
        <v/>
      </c>
      <c r="AO197" s="23">
        <f>IF($AM197="","",MAX(0,$AM197-$AN197))</f>
        <v/>
      </c>
      <c r="AP197" s="22">
        <f>IF($S197="","",IF(OR($S197="ITEM_PRICE_PLUS_DECLARED_DELIVERY",$S197="DELIVERY_CHARGE_ONLY"),$K197,IF($S197="TOTAL_AMOUNT_INCLUDING_DELIVERY",IF(OR($T197="",$J197=""),"",MAX(0,$T197-$J197-$U197)),IF($S197="ITEM_PRICE_ONLY_DELIVERY_PAID_BY_MERCHANT",0,""))))</f>
        <v/>
      </c>
      <c r="AQ197" s="23">
        <f>IF(OR($AP197="",$AO197=""),"",$AP197-$AO197)</f>
        <v/>
      </c>
      <c r="AR197" s="24">
        <f>IF($S197="EXACT_COLLECTION_AMOUNT","BREAKDOWN_REQUIRED",IF($AQ197="","",IF($AQ197&gt;0,"CREDIT_TO_MERCHANT",IF($AQ197&lt;0,"DEDUCT_FROM_MERCHANT","NO_ADJUSTMENT"))))</f>
        <v/>
      </c>
      <c r="AS197" s="23">
        <f>IF(OR($AQ197="",$AR197="BREAKDOWN_REQUIRED"),"",$AQ197)</f>
        <v/>
      </c>
      <c r="AT197" s="23">
        <f>IF(OR($AR197="",$AR197="BREAKDOWN_REQUIRED"),"",SUM($J197,$AQ197,$Y197)-$X197)</f>
        <v/>
      </c>
      <c r="AU197" s="25">
        <f>IF(AND($A197="",$B197="",$F197="",$H197="",$J197="",$K197="",$M197="",$S197=""),"",IF(OR($H197="",$Q197="",$M197="",$S197=""),"ERROR",IF(OR($J197&lt;0,$K197&lt;0,$M197&lt;0,$T197&lt;0,$U197&lt;0,$V197&lt;0,$W197&lt;0,$X197&lt;0,$Y197&lt;0),"ERROR",IF($AE197="","ERROR",IF(AND(OR($S197="ITEM_PRICE_PLUS_DECLARED_DELIVERY",$S197="TOTAL_AMOUNT_INCLUDING_DELIVERY",$S197="ITEM_PRICE_ONLY_DELIVERY_PAID_BY_MERCHANT"),$J197=""),"ERROR",IF(AND(OR($S197="ITEM_PRICE_PLUS_DECLARED_DELIVERY",$S197="DELIVERY_CHARGE_ONLY"),$K197=""),"ERROR",IF(AND(OR($S197="TOTAL_AMOUNT_INCLUDING_DELIVERY",$S197="EXACT_COLLECTION_AMOUNT"),$T197=""),"ERROR",IF(AND($S197="TOTAL_AMOUNT_INCLUDING_DELIVERY",$T197&lt;SUM($J197,$U197)),"ERROR",IF($S197="EXACT_COLLECTION_AMOUNT","REVIEW","OK")))))))))</f>
        <v/>
      </c>
      <c r="AV197" s="25">
        <f>IF($AU197="","",IF($H197="","Township required",IF($Q197="","Customer tier required",IF($M197="","Weight required",IF($S197="","Amount entry type required",IF(OR($J197&lt;0,$K197&lt;0,$M197&lt;0,$T197&lt;0,$U197&lt;0,$V197&lt;0,$W197&lt;0,$X197&lt;0,$Y197&lt;0),"Negative amounts are not allowed",IF($AE197="","Tariff not found for township and tier",IF(AND(OR($S197="ITEM_PRICE_PLUS_DECLARED_DELIVERY",$S197="TOTAL_AMOUNT_INCLUDING_DELIVERY",$S197="ITEM_PRICE_ONLY_DELIVERY_PAID_BY_MERCHANT"),$J197=""),"Item price required for this amount type",IF(AND(OR($S197="ITEM_PRICE_PLUS_DECLARED_DELIVERY",$S197="DELIVERY_CHARGE_ONLY"),$K197=""),"Declared delivery charge required",IF(AND(OR($S197="TOTAL_AMOUNT_INCLUDING_DELIVERY",$S197="EXACT_COLLECTION_AMOUNT"),$T197=""),"Stated total amount required",IF(AND($S197="TOTAL_AMOUNT_INCLUDING_DELIVERY",$T197&lt;SUM($J197,$U197)),"Stated total is below item price plus additional charge",IF($S197="EXACT_COLLECTION_AMOUNT","Authorized amount breakdown required before settlement","Ready for collection and settlement"))))))))))))</f>
        <v/>
      </c>
      <c r="AW197" s="23">
        <f>IF($AU197="","","PARCEL_FINANCIAL_V2")</f>
        <v/>
      </c>
      <c r="AX197" s="17" t="n"/>
    </row>
    <row r="198">
      <c r="A198" s="8" t="n"/>
      <c r="B198" s="8" t="n"/>
      <c r="C198" s="8" t="n"/>
      <c r="D198" s="8" t="n"/>
      <c r="E198" s="9" t="n"/>
      <c r="F198" s="9" t="n"/>
      <c r="G198" s="8" t="n"/>
      <c r="H198" s="9" t="n"/>
      <c r="I198" s="9" t="n"/>
      <c r="J198" s="10" t="n"/>
      <c r="K198" s="10" t="n"/>
      <c r="L198" s="11">
        <f>IF($S198="","",IF($S198="ITEM_PRICE_PLUS_DECLARED_DELIVERY",IF(OR($J198="",$K198=""),"",SUM($J198,$K198,$U198)),IF($S198="TOTAL_AMOUNT_INCLUDING_DELIVERY",IF($T198="","",$T198),IF($S198="DELIVERY_CHARGE_ONLY",IF($K198="","",SUM($K198,$U198)),IF($S198="EXACT_COLLECTION_AMOUNT",IF($T198="","",$T198),IF($S198="ITEM_PRICE_ONLY_DELIVERY_PAID_BY_MERCHANT",IF($J198="","",SUM($J198,$U198)),""))))))</f>
        <v/>
      </c>
      <c r="M198" s="12" t="n"/>
      <c r="N198" s="13" t="n"/>
      <c r="O198" s="13" t="n"/>
      <c r="P198" s="9" t="n"/>
      <c r="Q198" s="14" t="n"/>
      <c r="R198" s="15" t="n"/>
      <c r="S198" s="14" t="n"/>
      <c r="T198" s="16" t="n"/>
      <c r="U198" s="16" t="n"/>
      <c r="V198" s="16" t="n"/>
      <c r="W198" s="16" t="n"/>
      <c r="X198" s="16" t="n"/>
      <c r="Y198" s="16" t="n"/>
      <c r="Z198" s="14" t="n"/>
      <c r="AA198" s="14" t="n"/>
      <c r="AB198" s="14" t="n"/>
      <c r="AC198" s="17">
        <f>IFERROR(VLOOKUP($H198&amp;"|"&amp;$Q198,Tariff_Master!$A$2:$L$169,3,FALSE),"")</f>
        <v/>
      </c>
      <c r="AD198" s="17">
        <f>IFERROR(VLOOKUP($H198&amp;"|"&amp;$Q198,Tariff_Master!$A$2:$L$169,4,FALSE),"")</f>
        <v/>
      </c>
      <c r="AE198" s="18">
        <f>IFERROR(VLOOKUP($H198&amp;"|"&amp;$Q198,Tariff_Master!$A$2:$L$169,6,FALSE),"")</f>
        <v/>
      </c>
      <c r="AF198" s="19">
        <f>IFERROR(VLOOKUP($H198&amp;"|"&amp;$Q198,Tariff_Master!$A$2:$L$169,7,FALSE),"")</f>
        <v/>
      </c>
      <c r="AG198" s="18">
        <f>IFERROR(VLOOKUP($H198&amp;"|"&amp;$Q198,Tariff_Master!$A$2:$L$169,8,FALSE),"")</f>
        <v/>
      </c>
      <c r="AH198" s="20">
        <f>IFERROR(VLOOKUP($H198&amp;"|"&amp;$Q198,Tariff_Master!$A$2:$L$169,9,FALSE),"")</f>
        <v/>
      </c>
      <c r="AI198" s="18">
        <f>IFERROR(VLOOKUP($H198&amp;"|"&amp;$Q198,Tariff_Master!$A$2:$L$169,10,FALSE),"")</f>
        <v/>
      </c>
      <c r="AJ198" s="21">
        <f>IF($M198="","",ROUNDUP(MAX(0,$M198),0))</f>
        <v/>
      </c>
      <c r="AK198" s="21">
        <f>IF(OR($AJ198="",$AF198=""),"",MAX(0,$AJ198-$AF198))</f>
        <v/>
      </c>
      <c r="AL198" s="22">
        <f>IF(OR($AK198="",$AG198=""),"",MAX(0,$AK198*$AG198))</f>
        <v/>
      </c>
      <c r="AM198" s="22">
        <f>IF($AE198="","",MAX(0,SUM($AE198,$AL198,$V198,$W198)))</f>
        <v/>
      </c>
      <c r="AN198" s="22">
        <f>IF($AM198="","",IF(AND($Q198="COMMITMENT",$R198&gt;=$AH198),$AI198,0))</f>
        <v/>
      </c>
      <c r="AO198" s="23">
        <f>IF($AM198="","",MAX(0,$AM198-$AN198))</f>
        <v/>
      </c>
      <c r="AP198" s="22">
        <f>IF($S198="","",IF(OR($S198="ITEM_PRICE_PLUS_DECLARED_DELIVERY",$S198="DELIVERY_CHARGE_ONLY"),$K198,IF($S198="TOTAL_AMOUNT_INCLUDING_DELIVERY",IF(OR($T198="",$J198=""),"",MAX(0,$T198-$J198-$U198)),IF($S198="ITEM_PRICE_ONLY_DELIVERY_PAID_BY_MERCHANT",0,""))))</f>
        <v/>
      </c>
      <c r="AQ198" s="23">
        <f>IF(OR($AP198="",$AO198=""),"",$AP198-$AO198)</f>
        <v/>
      </c>
      <c r="AR198" s="24">
        <f>IF($S198="EXACT_COLLECTION_AMOUNT","BREAKDOWN_REQUIRED",IF($AQ198="","",IF($AQ198&gt;0,"CREDIT_TO_MERCHANT",IF($AQ198&lt;0,"DEDUCT_FROM_MERCHANT","NO_ADJUSTMENT"))))</f>
        <v/>
      </c>
      <c r="AS198" s="23">
        <f>IF(OR($AQ198="",$AR198="BREAKDOWN_REQUIRED"),"",$AQ198)</f>
        <v/>
      </c>
      <c r="AT198" s="23">
        <f>IF(OR($AR198="",$AR198="BREAKDOWN_REQUIRED"),"",SUM($J198,$AQ198,$Y198)-$X198)</f>
        <v/>
      </c>
      <c r="AU198" s="25">
        <f>IF(AND($A198="",$B198="",$F198="",$H198="",$J198="",$K198="",$M198="",$S198=""),"",IF(OR($H198="",$Q198="",$M198="",$S198=""),"ERROR",IF(OR($J198&lt;0,$K198&lt;0,$M198&lt;0,$T198&lt;0,$U198&lt;0,$V198&lt;0,$W198&lt;0,$X198&lt;0,$Y198&lt;0),"ERROR",IF($AE198="","ERROR",IF(AND(OR($S198="ITEM_PRICE_PLUS_DECLARED_DELIVERY",$S198="TOTAL_AMOUNT_INCLUDING_DELIVERY",$S198="ITEM_PRICE_ONLY_DELIVERY_PAID_BY_MERCHANT"),$J198=""),"ERROR",IF(AND(OR($S198="ITEM_PRICE_PLUS_DECLARED_DELIVERY",$S198="DELIVERY_CHARGE_ONLY"),$K198=""),"ERROR",IF(AND(OR($S198="TOTAL_AMOUNT_INCLUDING_DELIVERY",$S198="EXACT_COLLECTION_AMOUNT"),$T198=""),"ERROR",IF(AND($S198="TOTAL_AMOUNT_INCLUDING_DELIVERY",$T198&lt;SUM($J198,$U198)),"ERROR",IF($S198="EXACT_COLLECTION_AMOUNT","REVIEW","OK")))))))))</f>
        <v/>
      </c>
      <c r="AV198" s="25">
        <f>IF($AU198="","",IF($H198="","Township required",IF($Q198="","Customer tier required",IF($M198="","Weight required",IF($S198="","Amount entry type required",IF(OR($J198&lt;0,$K198&lt;0,$M198&lt;0,$T198&lt;0,$U198&lt;0,$V198&lt;0,$W198&lt;0,$X198&lt;0,$Y198&lt;0),"Negative amounts are not allowed",IF($AE198="","Tariff not found for township and tier",IF(AND(OR($S198="ITEM_PRICE_PLUS_DECLARED_DELIVERY",$S198="TOTAL_AMOUNT_INCLUDING_DELIVERY",$S198="ITEM_PRICE_ONLY_DELIVERY_PAID_BY_MERCHANT"),$J198=""),"Item price required for this amount type",IF(AND(OR($S198="ITEM_PRICE_PLUS_DECLARED_DELIVERY",$S198="DELIVERY_CHARGE_ONLY"),$K198=""),"Declared delivery charge required",IF(AND(OR($S198="TOTAL_AMOUNT_INCLUDING_DELIVERY",$S198="EXACT_COLLECTION_AMOUNT"),$T198=""),"Stated total amount required",IF(AND($S198="TOTAL_AMOUNT_INCLUDING_DELIVERY",$T198&lt;SUM($J198,$U198)),"Stated total is below item price plus additional charge",IF($S198="EXACT_COLLECTION_AMOUNT","Authorized amount breakdown required before settlement","Ready for collection and settlement"))))))))))))</f>
        <v/>
      </c>
      <c r="AW198" s="23">
        <f>IF($AU198="","","PARCEL_FINANCIAL_V2")</f>
        <v/>
      </c>
      <c r="AX198" s="17" t="n"/>
    </row>
    <row r="199">
      <c r="A199" s="8" t="n"/>
      <c r="B199" s="8" t="n"/>
      <c r="C199" s="8" t="n"/>
      <c r="D199" s="8" t="n"/>
      <c r="E199" s="9" t="n"/>
      <c r="F199" s="9" t="n"/>
      <c r="G199" s="8" t="n"/>
      <c r="H199" s="9" t="n"/>
      <c r="I199" s="9" t="n"/>
      <c r="J199" s="10" t="n"/>
      <c r="K199" s="10" t="n"/>
      <c r="L199" s="11">
        <f>IF($S199="","",IF($S199="ITEM_PRICE_PLUS_DECLARED_DELIVERY",IF(OR($J199="",$K199=""),"",SUM($J199,$K199,$U199)),IF($S199="TOTAL_AMOUNT_INCLUDING_DELIVERY",IF($T199="","",$T199),IF($S199="DELIVERY_CHARGE_ONLY",IF($K199="","",SUM($K199,$U199)),IF($S199="EXACT_COLLECTION_AMOUNT",IF($T199="","",$T199),IF($S199="ITEM_PRICE_ONLY_DELIVERY_PAID_BY_MERCHANT",IF($J199="","",SUM($J199,$U199)),""))))))</f>
        <v/>
      </c>
      <c r="M199" s="12" t="n"/>
      <c r="N199" s="13" t="n"/>
      <c r="O199" s="13" t="n"/>
      <c r="P199" s="9" t="n"/>
      <c r="Q199" s="14" t="n"/>
      <c r="R199" s="15" t="n"/>
      <c r="S199" s="14" t="n"/>
      <c r="T199" s="16" t="n"/>
      <c r="U199" s="16" t="n"/>
      <c r="V199" s="16" t="n"/>
      <c r="W199" s="16" t="n"/>
      <c r="X199" s="16" t="n"/>
      <c r="Y199" s="16" t="n"/>
      <c r="Z199" s="14" t="n"/>
      <c r="AA199" s="14" t="n"/>
      <c r="AB199" s="14" t="n"/>
      <c r="AC199" s="17">
        <f>IFERROR(VLOOKUP($H199&amp;"|"&amp;$Q199,Tariff_Master!$A$2:$L$169,3,FALSE),"")</f>
        <v/>
      </c>
      <c r="AD199" s="17">
        <f>IFERROR(VLOOKUP($H199&amp;"|"&amp;$Q199,Tariff_Master!$A$2:$L$169,4,FALSE),"")</f>
        <v/>
      </c>
      <c r="AE199" s="18">
        <f>IFERROR(VLOOKUP($H199&amp;"|"&amp;$Q199,Tariff_Master!$A$2:$L$169,6,FALSE),"")</f>
        <v/>
      </c>
      <c r="AF199" s="19">
        <f>IFERROR(VLOOKUP($H199&amp;"|"&amp;$Q199,Tariff_Master!$A$2:$L$169,7,FALSE),"")</f>
        <v/>
      </c>
      <c r="AG199" s="18">
        <f>IFERROR(VLOOKUP($H199&amp;"|"&amp;$Q199,Tariff_Master!$A$2:$L$169,8,FALSE),"")</f>
        <v/>
      </c>
      <c r="AH199" s="20">
        <f>IFERROR(VLOOKUP($H199&amp;"|"&amp;$Q199,Tariff_Master!$A$2:$L$169,9,FALSE),"")</f>
        <v/>
      </c>
      <c r="AI199" s="18">
        <f>IFERROR(VLOOKUP($H199&amp;"|"&amp;$Q199,Tariff_Master!$A$2:$L$169,10,FALSE),"")</f>
        <v/>
      </c>
      <c r="AJ199" s="21">
        <f>IF($M199="","",ROUNDUP(MAX(0,$M199),0))</f>
        <v/>
      </c>
      <c r="AK199" s="21">
        <f>IF(OR($AJ199="",$AF199=""),"",MAX(0,$AJ199-$AF199))</f>
        <v/>
      </c>
      <c r="AL199" s="22">
        <f>IF(OR($AK199="",$AG199=""),"",MAX(0,$AK199*$AG199))</f>
        <v/>
      </c>
      <c r="AM199" s="22">
        <f>IF($AE199="","",MAX(0,SUM($AE199,$AL199,$V199,$W199)))</f>
        <v/>
      </c>
      <c r="AN199" s="22">
        <f>IF($AM199="","",IF(AND($Q199="COMMITMENT",$R199&gt;=$AH199),$AI199,0))</f>
        <v/>
      </c>
      <c r="AO199" s="23">
        <f>IF($AM199="","",MAX(0,$AM199-$AN199))</f>
        <v/>
      </c>
      <c r="AP199" s="22">
        <f>IF($S199="","",IF(OR($S199="ITEM_PRICE_PLUS_DECLARED_DELIVERY",$S199="DELIVERY_CHARGE_ONLY"),$K199,IF($S199="TOTAL_AMOUNT_INCLUDING_DELIVERY",IF(OR($T199="",$J199=""),"",MAX(0,$T199-$J199-$U199)),IF($S199="ITEM_PRICE_ONLY_DELIVERY_PAID_BY_MERCHANT",0,""))))</f>
        <v/>
      </c>
      <c r="AQ199" s="23">
        <f>IF(OR($AP199="",$AO199=""),"",$AP199-$AO199)</f>
        <v/>
      </c>
      <c r="AR199" s="24">
        <f>IF($S199="EXACT_COLLECTION_AMOUNT","BREAKDOWN_REQUIRED",IF($AQ199="","",IF($AQ199&gt;0,"CREDIT_TO_MERCHANT",IF($AQ199&lt;0,"DEDUCT_FROM_MERCHANT","NO_ADJUSTMENT"))))</f>
        <v/>
      </c>
      <c r="AS199" s="23">
        <f>IF(OR($AQ199="",$AR199="BREAKDOWN_REQUIRED"),"",$AQ199)</f>
        <v/>
      </c>
      <c r="AT199" s="23">
        <f>IF(OR($AR199="",$AR199="BREAKDOWN_REQUIRED"),"",SUM($J199,$AQ199,$Y199)-$X199)</f>
        <v/>
      </c>
      <c r="AU199" s="25">
        <f>IF(AND($A199="",$B199="",$F199="",$H199="",$J199="",$K199="",$M199="",$S199=""),"",IF(OR($H199="",$Q199="",$M199="",$S199=""),"ERROR",IF(OR($J199&lt;0,$K199&lt;0,$M199&lt;0,$T199&lt;0,$U199&lt;0,$V199&lt;0,$W199&lt;0,$X199&lt;0,$Y199&lt;0),"ERROR",IF($AE199="","ERROR",IF(AND(OR($S199="ITEM_PRICE_PLUS_DECLARED_DELIVERY",$S199="TOTAL_AMOUNT_INCLUDING_DELIVERY",$S199="ITEM_PRICE_ONLY_DELIVERY_PAID_BY_MERCHANT"),$J199=""),"ERROR",IF(AND(OR($S199="ITEM_PRICE_PLUS_DECLARED_DELIVERY",$S199="DELIVERY_CHARGE_ONLY"),$K199=""),"ERROR",IF(AND(OR($S199="TOTAL_AMOUNT_INCLUDING_DELIVERY",$S199="EXACT_COLLECTION_AMOUNT"),$T199=""),"ERROR",IF(AND($S199="TOTAL_AMOUNT_INCLUDING_DELIVERY",$T199&lt;SUM($J199,$U199)),"ERROR",IF($S199="EXACT_COLLECTION_AMOUNT","REVIEW","OK")))))))))</f>
        <v/>
      </c>
      <c r="AV199" s="25">
        <f>IF($AU199="","",IF($H199="","Township required",IF($Q199="","Customer tier required",IF($M199="","Weight required",IF($S199="","Amount entry type required",IF(OR($J199&lt;0,$K199&lt;0,$M199&lt;0,$T199&lt;0,$U199&lt;0,$V199&lt;0,$W199&lt;0,$X199&lt;0,$Y199&lt;0),"Negative amounts are not allowed",IF($AE199="","Tariff not found for township and tier",IF(AND(OR($S199="ITEM_PRICE_PLUS_DECLARED_DELIVERY",$S199="TOTAL_AMOUNT_INCLUDING_DELIVERY",$S199="ITEM_PRICE_ONLY_DELIVERY_PAID_BY_MERCHANT"),$J199=""),"Item price required for this amount type",IF(AND(OR($S199="ITEM_PRICE_PLUS_DECLARED_DELIVERY",$S199="DELIVERY_CHARGE_ONLY"),$K199=""),"Declared delivery charge required",IF(AND(OR($S199="TOTAL_AMOUNT_INCLUDING_DELIVERY",$S199="EXACT_COLLECTION_AMOUNT"),$T199=""),"Stated total amount required",IF(AND($S199="TOTAL_AMOUNT_INCLUDING_DELIVERY",$T199&lt;SUM($J199,$U199)),"Stated total is below item price plus additional charge",IF($S199="EXACT_COLLECTION_AMOUNT","Authorized amount breakdown required before settlement","Ready for collection and settlement"))))))))))))</f>
        <v/>
      </c>
      <c r="AW199" s="23">
        <f>IF($AU199="","","PARCEL_FINANCIAL_V2")</f>
        <v/>
      </c>
      <c r="AX199" s="17" t="n"/>
    </row>
    <row r="200">
      <c r="A200" s="8" t="n"/>
      <c r="B200" s="8" t="n"/>
      <c r="C200" s="8" t="n"/>
      <c r="D200" s="8" t="n"/>
      <c r="E200" s="9" t="n"/>
      <c r="F200" s="9" t="n"/>
      <c r="G200" s="8" t="n"/>
      <c r="H200" s="9" t="n"/>
      <c r="I200" s="9" t="n"/>
      <c r="J200" s="10" t="n"/>
      <c r="K200" s="10" t="n"/>
      <c r="L200" s="11">
        <f>IF($S200="","",IF($S200="ITEM_PRICE_PLUS_DECLARED_DELIVERY",IF(OR($J200="",$K200=""),"",SUM($J200,$K200,$U200)),IF($S200="TOTAL_AMOUNT_INCLUDING_DELIVERY",IF($T200="","",$T200),IF($S200="DELIVERY_CHARGE_ONLY",IF($K200="","",SUM($K200,$U200)),IF($S200="EXACT_COLLECTION_AMOUNT",IF($T200="","",$T200),IF($S200="ITEM_PRICE_ONLY_DELIVERY_PAID_BY_MERCHANT",IF($J200="","",SUM($J200,$U200)),""))))))</f>
        <v/>
      </c>
      <c r="M200" s="12" t="n"/>
      <c r="N200" s="13" t="n"/>
      <c r="O200" s="13" t="n"/>
      <c r="P200" s="9" t="n"/>
      <c r="Q200" s="14" t="n"/>
      <c r="R200" s="15" t="n"/>
      <c r="S200" s="14" t="n"/>
      <c r="T200" s="16" t="n"/>
      <c r="U200" s="16" t="n"/>
      <c r="V200" s="16" t="n"/>
      <c r="W200" s="16" t="n"/>
      <c r="X200" s="16" t="n"/>
      <c r="Y200" s="16" t="n"/>
      <c r="Z200" s="14" t="n"/>
      <c r="AA200" s="14" t="n"/>
      <c r="AB200" s="14" t="n"/>
      <c r="AC200" s="17">
        <f>IFERROR(VLOOKUP($H200&amp;"|"&amp;$Q200,Tariff_Master!$A$2:$L$169,3,FALSE),"")</f>
        <v/>
      </c>
      <c r="AD200" s="17">
        <f>IFERROR(VLOOKUP($H200&amp;"|"&amp;$Q200,Tariff_Master!$A$2:$L$169,4,FALSE),"")</f>
        <v/>
      </c>
      <c r="AE200" s="18">
        <f>IFERROR(VLOOKUP($H200&amp;"|"&amp;$Q200,Tariff_Master!$A$2:$L$169,6,FALSE),"")</f>
        <v/>
      </c>
      <c r="AF200" s="19">
        <f>IFERROR(VLOOKUP($H200&amp;"|"&amp;$Q200,Tariff_Master!$A$2:$L$169,7,FALSE),"")</f>
        <v/>
      </c>
      <c r="AG200" s="18">
        <f>IFERROR(VLOOKUP($H200&amp;"|"&amp;$Q200,Tariff_Master!$A$2:$L$169,8,FALSE),"")</f>
        <v/>
      </c>
      <c r="AH200" s="20">
        <f>IFERROR(VLOOKUP($H200&amp;"|"&amp;$Q200,Tariff_Master!$A$2:$L$169,9,FALSE),"")</f>
        <v/>
      </c>
      <c r="AI200" s="18">
        <f>IFERROR(VLOOKUP($H200&amp;"|"&amp;$Q200,Tariff_Master!$A$2:$L$169,10,FALSE),"")</f>
        <v/>
      </c>
      <c r="AJ200" s="21">
        <f>IF($M200="","",ROUNDUP(MAX(0,$M200),0))</f>
        <v/>
      </c>
      <c r="AK200" s="21">
        <f>IF(OR($AJ200="",$AF200=""),"",MAX(0,$AJ200-$AF200))</f>
        <v/>
      </c>
      <c r="AL200" s="22">
        <f>IF(OR($AK200="",$AG200=""),"",MAX(0,$AK200*$AG200))</f>
        <v/>
      </c>
      <c r="AM200" s="22">
        <f>IF($AE200="","",MAX(0,SUM($AE200,$AL200,$V200,$W200)))</f>
        <v/>
      </c>
      <c r="AN200" s="22">
        <f>IF($AM200="","",IF(AND($Q200="COMMITMENT",$R200&gt;=$AH200),$AI200,0))</f>
        <v/>
      </c>
      <c r="AO200" s="23">
        <f>IF($AM200="","",MAX(0,$AM200-$AN200))</f>
        <v/>
      </c>
      <c r="AP200" s="22">
        <f>IF($S200="","",IF(OR($S200="ITEM_PRICE_PLUS_DECLARED_DELIVERY",$S200="DELIVERY_CHARGE_ONLY"),$K200,IF($S200="TOTAL_AMOUNT_INCLUDING_DELIVERY",IF(OR($T200="",$J200=""),"",MAX(0,$T200-$J200-$U200)),IF($S200="ITEM_PRICE_ONLY_DELIVERY_PAID_BY_MERCHANT",0,""))))</f>
        <v/>
      </c>
      <c r="AQ200" s="23">
        <f>IF(OR($AP200="",$AO200=""),"",$AP200-$AO200)</f>
        <v/>
      </c>
      <c r="AR200" s="24">
        <f>IF($S200="EXACT_COLLECTION_AMOUNT","BREAKDOWN_REQUIRED",IF($AQ200="","",IF($AQ200&gt;0,"CREDIT_TO_MERCHANT",IF($AQ200&lt;0,"DEDUCT_FROM_MERCHANT","NO_ADJUSTMENT"))))</f>
        <v/>
      </c>
      <c r="AS200" s="23">
        <f>IF(OR($AQ200="",$AR200="BREAKDOWN_REQUIRED"),"",$AQ200)</f>
        <v/>
      </c>
      <c r="AT200" s="23">
        <f>IF(OR($AR200="",$AR200="BREAKDOWN_REQUIRED"),"",SUM($J200,$AQ200,$Y200)-$X200)</f>
        <v/>
      </c>
      <c r="AU200" s="25">
        <f>IF(AND($A200="",$B200="",$F200="",$H200="",$J200="",$K200="",$M200="",$S200=""),"",IF(OR($H200="",$Q200="",$M200="",$S200=""),"ERROR",IF(OR($J200&lt;0,$K200&lt;0,$M200&lt;0,$T200&lt;0,$U200&lt;0,$V200&lt;0,$W200&lt;0,$X200&lt;0,$Y200&lt;0),"ERROR",IF($AE200="","ERROR",IF(AND(OR($S200="ITEM_PRICE_PLUS_DECLARED_DELIVERY",$S200="TOTAL_AMOUNT_INCLUDING_DELIVERY",$S200="ITEM_PRICE_ONLY_DELIVERY_PAID_BY_MERCHANT"),$J200=""),"ERROR",IF(AND(OR($S200="ITEM_PRICE_PLUS_DECLARED_DELIVERY",$S200="DELIVERY_CHARGE_ONLY"),$K200=""),"ERROR",IF(AND(OR($S200="TOTAL_AMOUNT_INCLUDING_DELIVERY",$S200="EXACT_COLLECTION_AMOUNT"),$T200=""),"ERROR",IF(AND($S200="TOTAL_AMOUNT_INCLUDING_DELIVERY",$T200&lt;SUM($J200,$U200)),"ERROR",IF($S200="EXACT_COLLECTION_AMOUNT","REVIEW","OK")))))))))</f>
        <v/>
      </c>
      <c r="AV200" s="25">
        <f>IF($AU200="","",IF($H200="","Township required",IF($Q200="","Customer tier required",IF($M200="","Weight required",IF($S200="","Amount entry type required",IF(OR($J200&lt;0,$K200&lt;0,$M200&lt;0,$T200&lt;0,$U200&lt;0,$V200&lt;0,$W200&lt;0,$X200&lt;0,$Y200&lt;0),"Negative amounts are not allowed",IF($AE200="","Tariff not found for township and tier",IF(AND(OR($S200="ITEM_PRICE_PLUS_DECLARED_DELIVERY",$S200="TOTAL_AMOUNT_INCLUDING_DELIVERY",$S200="ITEM_PRICE_ONLY_DELIVERY_PAID_BY_MERCHANT"),$J200=""),"Item price required for this amount type",IF(AND(OR($S200="ITEM_PRICE_PLUS_DECLARED_DELIVERY",$S200="DELIVERY_CHARGE_ONLY"),$K200=""),"Declared delivery charge required",IF(AND(OR($S200="TOTAL_AMOUNT_INCLUDING_DELIVERY",$S200="EXACT_COLLECTION_AMOUNT"),$T200=""),"Stated total amount required",IF(AND($S200="TOTAL_AMOUNT_INCLUDING_DELIVERY",$T200&lt;SUM($J200,$U200)),"Stated total is below item price plus additional charge",IF($S200="EXACT_COLLECTION_AMOUNT","Authorized amount breakdown required before settlement","Ready for collection and settlement"))))))))))))</f>
        <v/>
      </c>
      <c r="AW200" s="23">
        <f>IF($AU200="","","PARCEL_FINANCIAL_V2")</f>
        <v/>
      </c>
      <c r="AX200" s="17" t="n"/>
    </row>
    <row r="201">
      <c r="A201" s="8" t="n"/>
      <c r="B201" s="8" t="n"/>
      <c r="C201" s="8" t="n"/>
      <c r="D201" s="8" t="n"/>
      <c r="E201" s="9" t="n"/>
      <c r="F201" s="9" t="n"/>
      <c r="G201" s="8" t="n"/>
      <c r="H201" s="9" t="n"/>
      <c r="I201" s="9" t="n"/>
      <c r="J201" s="10" t="n"/>
      <c r="K201" s="10" t="n"/>
      <c r="L201" s="11">
        <f>IF($S201="","",IF($S201="ITEM_PRICE_PLUS_DECLARED_DELIVERY",IF(OR($J201="",$K201=""),"",SUM($J201,$K201,$U201)),IF($S201="TOTAL_AMOUNT_INCLUDING_DELIVERY",IF($T201="","",$T201),IF($S201="DELIVERY_CHARGE_ONLY",IF($K201="","",SUM($K201,$U201)),IF($S201="EXACT_COLLECTION_AMOUNT",IF($T201="","",$T201),IF($S201="ITEM_PRICE_ONLY_DELIVERY_PAID_BY_MERCHANT",IF($J201="","",SUM($J201,$U201)),""))))))</f>
        <v/>
      </c>
      <c r="M201" s="12" t="n"/>
      <c r="N201" s="13" t="n"/>
      <c r="O201" s="13" t="n"/>
      <c r="P201" s="9" t="n"/>
      <c r="Q201" s="14" t="n"/>
      <c r="R201" s="15" t="n"/>
      <c r="S201" s="14" t="n"/>
      <c r="T201" s="16" t="n"/>
      <c r="U201" s="16" t="n"/>
      <c r="V201" s="16" t="n"/>
      <c r="W201" s="16" t="n"/>
      <c r="X201" s="16" t="n"/>
      <c r="Y201" s="16" t="n"/>
      <c r="Z201" s="14" t="n"/>
      <c r="AA201" s="14" t="n"/>
      <c r="AB201" s="14" t="n"/>
      <c r="AC201" s="17">
        <f>IFERROR(VLOOKUP($H201&amp;"|"&amp;$Q201,Tariff_Master!$A$2:$L$169,3,FALSE),"")</f>
        <v/>
      </c>
      <c r="AD201" s="17">
        <f>IFERROR(VLOOKUP($H201&amp;"|"&amp;$Q201,Tariff_Master!$A$2:$L$169,4,FALSE),"")</f>
        <v/>
      </c>
      <c r="AE201" s="18">
        <f>IFERROR(VLOOKUP($H201&amp;"|"&amp;$Q201,Tariff_Master!$A$2:$L$169,6,FALSE),"")</f>
        <v/>
      </c>
      <c r="AF201" s="19">
        <f>IFERROR(VLOOKUP($H201&amp;"|"&amp;$Q201,Tariff_Master!$A$2:$L$169,7,FALSE),"")</f>
        <v/>
      </c>
      <c r="AG201" s="18">
        <f>IFERROR(VLOOKUP($H201&amp;"|"&amp;$Q201,Tariff_Master!$A$2:$L$169,8,FALSE),"")</f>
        <v/>
      </c>
      <c r="AH201" s="20">
        <f>IFERROR(VLOOKUP($H201&amp;"|"&amp;$Q201,Tariff_Master!$A$2:$L$169,9,FALSE),"")</f>
        <v/>
      </c>
      <c r="AI201" s="18">
        <f>IFERROR(VLOOKUP($H201&amp;"|"&amp;$Q201,Tariff_Master!$A$2:$L$169,10,FALSE),"")</f>
        <v/>
      </c>
      <c r="AJ201" s="21">
        <f>IF($M201="","",ROUNDUP(MAX(0,$M201),0))</f>
        <v/>
      </c>
      <c r="AK201" s="21">
        <f>IF(OR($AJ201="",$AF201=""),"",MAX(0,$AJ201-$AF201))</f>
        <v/>
      </c>
      <c r="AL201" s="22">
        <f>IF(OR($AK201="",$AG201=""),"",MAX(0,$AK201*$AG201))</f>
        <v/>
      </c>
      <c r="AM201" s="22">
        <f>IF($AE201="","",MAX(0,SUM($AE201,$AL201,$V201,$W201)))</f>
        <v/>
      </c>
      <c r="AN201" s="22">
        <f>IF($AM201="","",IF(AND($Q201="COMMITMENT",$R201&gt;=$AH201),$AI201,0))</f>
        <v/>
      </c>
      <c r="AO201" s="23">
        <f>IF($AM201="","",MAX(0,$AM201-$AN201))</f>
        <v/>
      </c>
      <c r="AP201" s="22">
        <f>IF($S201="","",IF(OR($S201="ITEM_PRICE_PLUS_DECLARED_DELIVERY",$S201="DELIVERY_CHARGE_ONLY"),$K201,IF($S201="TOTAL_AMOUNT_INCLUDING_DELIVERY",IF(OR($T201="",$J201=""),"",MAX(0,$T201-$J201-$U201)),IF($S201="ITEM_PRICE_ONLY_DELIVERY_PAID_BY_MERCHANT",0,""))))</f>
        <v/>
      </c>
      <c r="AQ201" s="23">
        <f>IF(OR($AP201="",$AO201=""),"",$AP201-$AO201)</f>
        <v/>
      </c>
      <c r="AR201" s="24">
        <f>IF($S201="EXACT_COLLECTION_AMOUNT","BREAKDOWN_REQUIRED",IF($AQ201="","",IF($AQ201&gt;0,"CREDIT_TO_MERCHANT",IF($AQ201&lt;0,"DEDUCT_FROM_MERCHANT","NO_ADJUSTMENT"))))</f>
        <v/>
      </c>
      <c r="AS201" s="23">
        <f>IF(OR($AQ201="",$AR201="BREAKDOWN_REQUIRED"),"",$AQ201)</f>
        <v/>
      </c>
      <c r="AT201" s="23">
        <f>IF(OR($AR201="",$AR201="BREAKDOWN_REQUIRED"),"",SUM($J201,$AQ201,$Y201)-$X201)</f>
        <v/>
      </c>
      <c r="AU201" s="25">
        <f>IF(AND($A201="",$B201="",$F201="",$H201="",$J201="",$K201="",$M201="",$S201=""),"",IF(OR($H201="",$Q201="",$M201="",$S201=""),"ERROR",IF(OR($J201&lt;0,$K201&lt;0,$M201&lt;0,$T201&lt;0,$U201&lt;0,$V201&lt;0,$W201&lt;0,$X201&lt;0,$Y201&lt;0),"ERROR",IF($AE201="","ERROR",IF(AND(OR($S201="ITEM_PRICE_PLUS_DECLARED_DELIVERY",$S201="TOTAL_AMOUNT_INCLUDING_DELIVERY",$S201="ITEM_PRICE_ONLY_DELIVERY_PAID_BY_MERCHANT"),$J201=""),"ERROR",IF(AND(OR($S201="ITEM_PRICE_PLUS_DECLARED_DELIVERY",$S201="DELIVERY_CHARGE_ONLY"),$K201=""),"ERROR",IF(AND(OR($S201="TOTAL_AMOUNT_INCLUDING_DELIVERY",$S201="EXACT_COLLECTION_AMOUNT"),$T201=""),"ERROR",IF(AND($S201="TOTAL_AMOUNT_INCLUDING_DELIVERY",$T201&lt;SUM($J201,$U201)),"ERROR",IF($S201="EXACT_COLLECTION_AMOUNT","REVIEW","OK")))))))))</f>
        <v/>
      </c>
      <c r="AV201" s="25">
        <f>IF($AU201="","",IF($H201="","Township required",IF($Q201="","Customer tier required",IF($M201="","Weight required",IF($S201="","Amount entry type required",IF(OR($J201&lt;0,$K201&lt;0,$M201&lt;0,$T201&lt;0,$U201&lt;0,$V201&lt;0,$W201&lt;0,$X201&lt;0,$Y201&lt;0),"Negative amounts are not allowed",IF($AE201="","Tariff not found for township and tier",IF(AND(OR($S201="ITEM_PRICE_PLUS_DECLARED_DELIVERY",$S201="TOTAL_AMOUNT_INCLUDING_DELIVERY",$S201="ITEM_PRICE_ONLY_DELIVERY_PAID_BY_MERCHANT"),$J201=""),"Item price required for this amount type",IF(AND(OR($S201="ITEM_PRICE_PLUS_DECLARED_DELIVERY",$S201="DELIVERY_CHARGE_ONLY"),$K201=""),"Declared delivery charge required",IF(AND(OR($S201="TOTAL_AMOUNT_INCLUDING_DELIVERY",$S201="EXACT_COLLECTION_AMOUNT"),$T201=""),"Stated total amount required",IF(AND($S201="TOTAL_AMOUNT_INCLUDING_DELIVERY",$T201&lt;SUM($J201,$U201)),"Stated total is below item price plus additional charge",IF($S201="EXACT_COLLECTION_AMOUNT","Authorized amount breakdown required before settlement","Ready for collection and settlement"))))))))))))</f>
        <v/>
      </c>
      <c r="AW201" s="23">
        <f>IF($AU201="","","PARCEL_FINANCIAL_V2")</f>
        <v/>
      </c>
      <c r="AX201" s="17" t="n"/>
    </row>
    <row r="202">
      <c r="A202" s="8" t="n"/>
      <c r="B202" s="8" t="n"/>
      <c r="C202" s="8" t="n"/>
      <c r="D202" s="8" t="n"/>
      <c r="E202" s="9" t="n"/>
      <c r="F202" s="9" t="n"/>
      <c r="G202" s="8" t="n"/>
      <c r="H202" s="9" t="n"/>
      <c r="I202" s="9" t="n"/>
      <c r="J202" s="10" t="n"/>
      <c r="K202" s="10" t="n"/>
      <c r="L202" s="11">
        <f>IF($S202="","",IF($S202="ITEM_PRICE_PLUS_DECLARED_DELIVERY",IF(OR($J202="",$K202=""),"",SUM($J202,$K202,$U202)),IF($S202="TOTAL_AMOUNT_INCLUDING_DELIVERY",IF($T202="","",$T202),IF($S202="DELIVERY_CHARGE_ONLY",IF($K202="","",SUM($K202,$U202)),IF($S202="EXACT_COLLECTION_AMOUNT",IF($T202="","",$T202),IF($S202="ITEM_PRICE_ONLY_DELIVERY_PAID_BY_MERCHANT",IF($J202="","",SUM($J202,$U202)),""))))))</f>
        <v/>
      </c>
      <c r="M202" s="12" t="n"/>
      <c r="N202" s="13" t="n"/>
      <c r="O202" s="13" t="n"/>
      <c r="P202" s="9" t="n"/>
      <c r="Q202" s="14" t="n"/>
      <c r="R202" s="15" t="n"/>
      <c r="S202" s="14" t="n"/>
      <c r="T202" s="16" t="n"/>
      <c r="U202" s="16" t="n"/>
      <c r="V202" s="16" t="n"/>
      <c r="W202" s="16" t="n"/>
      <c r="X202" s="16" t="n"/>
      <c r="Y202" s="16" t="n"/>
      <c r="Z202" s="14" t="n"/>
      <c r="AA202" s="14" t="n"/>
      <c r="AB202" s="14" t="n"/>
      <c r="AC202" s="17">
        <f>IFERROR(VLOOKUP($H202&amp;"|"&amp;$Q202,Tariff_Master!$A$2:$L$169,3,FALSE),"")</f>
        <v/>
      </c>
      <c r="AD202" s="17">
        <f>IFERROR(VLOOKUP($H202&amp;"|"&amp;$Q202,Tariff_Master!$A$2:$L$169,4,FALSE),"")</f>
        <v/>
      </c>
      <c r="AE202" s="18">
        <f>IFERROR(VLOOKUP($H202&amp;"|"&amp;$Q202,Tariff_Master!$A$2:$L$169,6,FALSE),"")</f>
        <v/>
      </c>
      <c r="AF202" s="19">
        <f>IFERROR(VLOOKUP($H202&amp;"|"&amp;$Q202,Tariff_Master!$A$2:$L$169,7,FALSE),"")</f>
        <v/>
      </c>
      <c r="AG202" s="18">
        <f>IFERROR(VLOOKUP($H202&amp;"|"&amp;$Q202,Tariff_Master!$A$2:$L$169,8,FALSE),"")</f>
        <v/>
      </c>
      <c r="AH202" s="20">
        <f>IFERROR(VLOOKUP($H202&amp;"|"&amp;$Q202,Tariff_Master!$A$2:$L$169,9,FALSE),"")</f>
        <v/>
      </c>
      <c r="AI202" s="18">
        <f>IFERROR(VLOOKUP($H202&amp;"|"&amp;$Q202,Tariff_Master!$A$2:$L$169,10,FALSE),"")</f>
        <v/>
      </c>
      <c r="AJ202" s="21">
        <f>IF($M202="","",ROUNDUP(MAX(0,$M202),0))</f>
        <v/>
      </c>
      <c r="AK202" s="21">
        <f>IF(OR($AJ202="",$AF202=""),"",MAX(0,$AJ202-$AF202))</f>
        <v/>
      </c>
      <c r="AL202" s="22">
        <f>IF(OR($AK202="",$AG202=""),"",MAX(0,$AK202*$AG202))</f>
        <v/>
      </c>
      <c r="AM202" s="22">
        <f>IF($AE202="","",MAX(0,SUM($AE202,$AL202,$V202,$W202)))</f>
        <v/>
      </c>
      <c r="AN202" s="22">
        <f>IF($AM202="","",IF(AND($Q202="COMMITMENT",$R202&gt;=$AH202),$AI202,0))</f>
        <v/>
      </c>
      <c r="AO202" s="23">
        <f>IF($AM202="","",MAX(0,$AM202-$AN202))</f>
        <v/>
      </c>
      <c r="AP202" s="22">
        <f>IF($S202="","",IF(OR($S202="ITEM_PRICE_PLUS_DECLARED_DELIVERY",$S202="DELIVERY_CHARGE_ONLY"),$K202,IF($S202="TOTAL_AMOUNT_INCLUDING_DELIVERY",IF(OR($T202="",$J202=""),"",MAX(0,$T202-$J202-$U202)),IF($S202="ITEM_PRICE_ONLY_DELIVERY_PAID_BY_MERCHANT",0,""))))</f>
        <v/>
      </c>
      <c r="AQ202" s="23">
        <f>IF(OR($AP202="",$AO202=""),"",$AP202-$AO202)</f>
        <v/>
      </c>
      <c r="AR202" s="24">
        <f>IF($S202="EXACT_COLLECTION_AMOUNT","BREAKDOWN_REQUIRED",IF($AQ202="","",IF($AQ202&gt;0,"CREDIT_TO_MERCHANT",IF($AQ202&lt;0,"DEDUCT_FROM_MERCHANT","NO_ADJUSTMENT"))))</f>
        <v/>
      </c>
      <c r="AS202" s="23">
        <f>IF(OR($AQ202="",$AR202="BREAKDOWN_REQUIRED"),"",$AQ202)</f>
        <v/>
      </c>
      <c r="AT202" s="23">
        <f>IF(OR($AR202="",$AR202="BREAKDOWN_REQUIRED"),"",SUM($J202,$AQ202,$Y202)-$X202)</f>
        <v/>
      </c>
      <c r="AU202" s="25">
        <f>IF(AND($A202="",$B202="",$F202="",$H202="",$J202="",$K202="",$M202="",$S202=""),"",IF(OR($H202="",$Q202="",$M202="",$S202=""),"ERROR",IF(OR($J202&lt;0,$K202&lt;0,$M202&lt;0,$T202&lt;0,$U202&lt;0,$V202&lt;0,$W202&lt;0,$X202&lt;0,$Y202&lt;0),"ERROR",IF($AE202="","ERROR",IF(AND(OR($S202="ITEM_PRICE_PLUS_DECLARED_DELIVERY",$S202="TOTAL_AMOUNT_INCLUDING_DELIVERY",$S202="ITEM_PRICE_ONLY_DELIVERY_PAID_BY_MERCHANT"),$J202=""),"ERROR",IF(AND(OR($S202="ITEM_PRICE_PLUS_DECLARED_DELIVERY",$S202="DELIVERY_CHARGE_ONLY"),$K202=""),"ERROR",IF(AND(OR($S202="TOTAL_AMOUNT_INCLUDING_DELIVERY",$S202="EXACT_COLLECTION_AMOUNT"),$T202=""),"ERROR",IF(AND($S202="TOTAL_AMOUNT_INCLUDING_DELIVERY",$T202&lt;SUM($J202,$U202)),"ERROR",IF($S202="EXACT_COLLECTION_AMOUNT","REVIEW","OK")))))))))</f>
        <v/>
      </c>
      <c r="AV202" s="25">
        <f>IF($AU202="","",IF($H202="","Township required",IF($Q202="","Customer tier required",IF($M202="","Weight required",IF($S202="","Amount entry type required",IF(OR($J202&lt;0,$K202&lt;0,$M202&lt;0,$T202&lt;0,$U202&lt;0,$V202&lt;0,$W202&lt;0,$X202&lt;0,$Y202&lt;0),"Negative amounts are not allowed",IF($AE202="","Tariff not found for township and tier",IF(AND(OR($S202="ITEM_PRICE_PLUS_DECLARED_DELIVERY",$S202="TOTAL_AMOUNT_INCLUDING_DELIVERY",$S202="ITEM_PRICE_ONLY_DELIVERY_PAID_BY_MERCHANT"),$J202=""),"Item price required for this amount type",IF(AND(OR($S202="ITEM_PRICE_PLUS_DECLARED_DELIVERY",$S202="DELIVERY_CHARGE_ONLY"),$K202=""),"Declared delivery charge required",IF(AND(OR($S202="TOTAL_AMOUNT_INCLUDING_DELIVERY",$S202="EXACT_COLLECTION_AMOUNT"),$T202=""),"Stated total amount required",IF(AND($S202="TOTAL_AMOUNT_INCLUDING_DELIVERY",$T202&lt;SUM($J202,$U202)),"Stated total is below item price plus additional charge",IF($S202="EXACT_COLLECTION_AMOUNT","Authorized amount breakdown required before settlement","Ready for collection and settlement"))))))))))))</f>
        <v/>
      </c>
      <c r="AW202" s="23">
        <f>IF($AU202="","","PARCEL_FINANCIAL_V2")</f>
        <v/>
      </c>
      <c r="AX202" s="17" t="n"/>
    </row>
    <row r="203">
      <c r="A203" s="8" t="n"/>
      <c r="B203" s="8" t="n"/>
      <c r="C203" s="8" t="n"/>
      <c r="D203" s="8" t="n"/>
      <c r="E203" s="9" t="n"/>
      <c r="F203" s="9" t="n"/>
      <c r="G203" s="8" t="n"/>
      <c r="H203" s="9" t="n"/>
      <c r="I203" s="9" t="n"/>
      <c r="J203" s="10" t="n"/>
      <c r="K203" s="10" t="n"/>
      <c r="L203" s="11">
        <f>IF($S203="","",IF($S203="ITEM_PRICE_PLUS_DECLARED_DELIVERY",IF(OR($J203="",$K203=""),"",SUM($J203,$K203,$U203)),IF($S203="TOTAL_AMOUNT_INCLUDING_DELIVERY",IF($T203="","",$T203),IF($S203="DELIVERY_CHARGE_ONLY",IF($K203="","",SUM($K203,$U203)),IF($S203="EXACT_COLLECTION_AMOUNT",IF($T203="","",$T203),IF($S203="ITEM_PRICE_ONLY_DELIVERY_PAID_BY_MERCHANT",IF($J203="","",SUM($J203,$U203)),""))))))</f>
        <v/>
      </c>
      <c r="M203" s="12" t="n"/>
      <c r="N203" s="13" t="n"/>
      <c r="O203" s="13" t="n"/>
      <c r="P203" s="9" t="n"/>
      <c r="Q203" s="14" t="n"/>
      <c r="R203" s="15" t="n"/>
      <c r="S203" s="14" t="n"/>
      <c r="T203" s="16" t="n"/>
      <c r="U203" s="16" t="n"/>
      <c r="V203" s="16" t="n"/>
      <c r="W203" s="16" t="n"/>
      <c r="X203" s="16" t="n"/>
      <c r="Y203" s="16" t="n"/>
      <c r="Z203" s="14" t="n"/>
      <c r="AA203" s="14" t="n"/>
      <c r="AB203" s="14" t="n"/>
      <c r="AC203" s="17">
        <f>IFERROR(VLOOKUP($H203&amp;"|"&amp;$Q203,Tariff_Master!$A$2:$L$169,3,FALSE),"")</f>
        <v/>
      </c>
      <c r="AD203" s="17">
        <f>IFERROR(VLOOKUP($H203&amp;"|"&amp;$Q203,Tariff_Master!$A$2:$L$169,4,FALSE),"")</f>
        <v/>
      </c>
      <c r="AE203" s="18">
        <f>IFERROR(VLOOKUP($H203&amp;"|"&amp;$Q203,Tariff_Master!$A$2:$L$169,6,FALSE),"")</f>
        <v/>
      </c>
      <c r="AF203" s="19">
        <f>IFERROR(VLOOKUP($H203&amp;"|"&amp;$Q203,Tariff_Master!$A$2:$L$169,7,FALSE),"")</f>
        <v/>
      </c>
      <c r="AG203" s="18">
        <f>IFERROR(VLOOKUP($H203&amp;"|"&amp;$Q203,Tariff_Master!$A$2:$L$169,8,FALSE),"")</f>
        <v/>
      </c>
      <c r="AH203" s="20">
        <f>IFERROR(VLOOKUP($H203&amp;"|"&amp;$Q203,Tariff_Master!$A$2:$L$169,9,FALSE),"")</f>
        <v/>
      </c>
      <c r="AI203" s="18">
        <f>IFERROR(VLOOKUP($H203&amp;"|"&amp;$Q203,Tariff_Master!$A$2:$L$169,10,FALSE),"")</f>
        <v/>
      </c>
      <c r="AJ203" s="21">
        <f>IF($M203="","",ROUNDUP(MAX(0,$M203),0))</f>
        <v/>
      </c>
      <c r="AK203" s="21">
        <f>IF(OR($AJ203="",$AF203=""),"",MAX(0,$AJ203-$AF203))</f>
        <v/>
      </c>
      <c r="AL203" s="22">
        <f>IF(OR($AK203="",$AG203=""),"",MAX(0,$AK203*$AG203))</f>
        <v/>
      </c>
      <c r="AM203" s="22">
        <f>IF($AE203="","",MAX(0,SUM($AE203,$AL203,$V203,$W203)))</f>
        <v/>
      </c>
      <c r="AN203" s="22">
        <f>IF($AM203="","",IF(AND($Q203="COMMITMENT",$R203&gt;=$AH203),$AI203,0))</f>
        <v/>
      </c>
      <c r="AO203" s="23">
        <f>IF($AM203="","",MAX(0,$AM203-$AN203))</f>
        <v/>
      </c>
      <c r="AP203" s="22">
        <f>IF($S203="","",IF(OR($S203="ITEM_PRICE_PLUS_DECLARED_DELIVERY",$S203="DELIVERY_CHARGE_ONLY"),$K203,IF($S203="TOTAL_AMOUNT_INCLUDING_DELIVERY",IF(OR($T203="",$J203=""),"",MAX(0,$T203-$J203-$U203)),IF($S203="ITEM_PRICE_ONLY_DELIVERY_PAID_BY_MERCHANT",0,""))))</f>
        <v/>
      </c>
      <c r="AQ203" s="23">
        <f>IF(OR($AP203="",$AO203=""),"",$AP203-$AO203)</f>
        <v/>
      </c>
      <c r="AR203" s="24">
        <f>IF($S203="EXACT_COLLECTION_AMOUNT","BREAKDOWN_REQUIRED",IF($AQ203="","",IF($AQ203&gt;0,"CREDIT_TO_MERCHANT",IF($AQ203&lt;0,"DEDUCT_FROM_MERCHANT","NO_ADJUSTMENT"))))</f>
        <v/>
      </c>
      <c r="AS203" s="23">
        <f>IF(OR($AQ203="",$AR203="BREAKDOWN_REQUIRED"),"",$AQ203)</f>
        <v/>
      </c>
      <c r="AT203" s="23">
        <f>IF(OR($AR203="",$AR203="BREAKDOWN_REQUIRED"),"",SUM($J203,$AQ203,$Y203)-$X203)</f>
        <v/>
      </c>
      <c r="AU203" s="25">
        <f>IF(AND($A203="",$B203="",$F203="",$H203="",$J203="",$K203="",$M203="",$S203=""),"",IF(OR($H203="",$Q203="",$M203="",$S203=""),"ERROR",IF(OR($J203&lt;0,$K203&lt;0,$M203&lt;0,$T203&lt;0,$U203&lt;0,$V203&lt;0,$W203&lt;0,$X203&lt;0,$Y203&lt;0),"ERROR",IF($AE203="","ERROR",IF(AND(OR($S203="ITEM_PRICE_PLUS_DECLARED_DELIVERY",$S203="TOTAL_AMOUNT_INCLUDING_DELIVERY",$S203="ITEM_PRICE_ONLY_DELIVERY_PAID_BY_MERCHANT"),$J203=""),"ERROR",IF(AND(OR($S203="ITEM_PRICE_PLUS_DECLARED_DELIVERY",$S203="DELIVERY_CHARGE_ONLY"),$K203=""),"ERROR",IF(AND(OR($S203="TOTAL_AMOUNT_INCLUDING_DELIVERY",$S203="EXACT_COLLECTION_AMOUNT"),$T203=""),"ERROR",IF(AND($S203="TOTAL_AMOUNT_INCLUDING_DELIVERY",$T203&lt;SUM($J203,$U203)),"ERROR",IF($S203="EXACT_COLLECTION_AMOUNT","REVIEW","OK")))))))))</f>
        <v/>
      </c>
      <c r="AV203" s="25">
        <f>IF($AU203="","",IF($H203="","Township required",IF($Q203="","Customer tier required",IF($M203="","Weight required",IF($S203="","Amount entry type required",IF(OR($J203&lt;0,$K203&lt;0,$M203&lt;0,$T203&lt;0,$U203&lt;0,$V203&lt;0,$W203&lt;0,$X203&lt;0,$Y203&lt;0),"Negative amounts are not allowed",IF($AE203="","Tariff not found for township and tier",IF(AND(OR($S203="ITEM_PRICE_PLUS_DECLARED_DELIVERY",$S203="TOTAL_AMOUNT_INCLUDING_DELIVERY",$S203="ITEM_PRICE_ONLY_DELIVERY_PAID_BY_MERCHANT"),$J203=""),"Item price required for this amount type",IF(AND(OR($S203="ITEM_PRICE_PLUS_DECLARED_DELIVERY",$S203="DELIVERY_CHARGE_ONLY"),$K203=""),"Declared delivery charge required",IF(AND(OR($S203="TOTAL_AMOUNT_INCLUDING_DELIVERY",$S203="EXACT_COLLECTION_AMOUNT"),$T203=""),"Stated total amount required",IF(AND($S203="TOTAL_AMOUNT_INCLUDING_DELIVERY",$T203&lt;SUM($J203,$U203)),"Stated total is below item price plus additional charge",IF($S203="EXACT_COLLECTION_AMOUNT","Authorized amount breakdown required before settlement","Ready for collection and settlement"))))))))))))</f>
        <v/>
      </c>
      <c r="AW203" s="23">
        <f>IF($AU203="","","PARCEL_FINANCIAL_V2")</f>
        <v/>
      </c>
      <c r="AX203" s="17" t="n"/>
    </row>
    <row r="204">
      <c r="A204" s="8" t="n"/>
      <c r="B204" s="8" t="n"/>
      <c r="C204" s="8" t="n"/>
      <c r="D204" s="8" t="n"/>
      <c r="E204" s="9" t="n"/>
      <c r="F204" s="9" t="n"/>
      <c r="G204" s="8" t="n"/>
      <c r="H204" s="9" t="n"/>
      <c r="I204" s="9" t="n"/>
      <c r="J204" s="10" t="n"/>
      <c r="K204" s="10" t="n"/>
      <c r="L204" s="11">
        <f>IF($S204="","",IF($S204="ITEM_PRICE_PLUS_DECLARED_DELIVERY",IF(OR($J204="",$K204=""),"",SUM($J204,$K204,$U204)),IF($S204="TOTAL_AMOUNT_INCLUDING_DELIVERY",IF($T204="","",$T204),IF($S204="DELIVERY_CHARGE_ONLY",IF($K204="","",SUM($K204,$U204)),IF($S204="EXACT_COLLECTION_AMOUNT",IF($T204="","",$T204),IF($S204="ITEM_PRICE_ONLY_DELIVERY_PAID_BY_MERCHANT",IF($J204="","",SUM($J204,$U204)),""))))))</f>
        <v/>
      </c>
      <c r="M204" s="12" t="n"/>
      <c r="N204" s="13" t="n"/>
      <c r="O204" s="13" t="n"/>
      <c r="P204" s="9" t="n"/>
      <c r="Q204" s="14" t="n"/>
      <c r="R204" s="15" t="n"/>
      <c r="S204" s="14" t="n"/>
      <c r="T204" s="16" t="n"/>
      <c r="U204" s="16" t="n"/>
      <c r="V204" s="16" t="n"/>
      <c r="W204" s="16" t="n"/>
      <c r="X204" s="16" t="n"/>
      <c r="Y204" s="16" t="n"/>
      <c r="Z204" s="14" t="n"/>
      <c r="AA204" s="14" t="n"/>
      <c r="AB204" s="14" t="n"/>
      <c r="AC204" s="17">
        <f>IFERROR(VLOOKUP($H204&amp;"|"&amp;$Q204,Tariff_Master!$A$2:$L$169,3,FALSE),"")</f>
        <v/>
      </c>
      <c r="AD204" s="17">
        <f>IFERROR(VLOOKUP($H204&amp;"|"&amp;$Q204,Tariff_Master!$A$2:$L$169,4,FALSE),"")</f>
        <v/>
      </c>
      <c r="AE204" s="18">
        <f>IFERROR(VLOOKUP($H204&amp;"|"&amp;$Q204,Tariff_Master!$A$2:$L$169,6,FALSE),"")</f>
        <v/>
      </c>
      <c r="AF204" s="19">
        <f>IFERROR(VLOOKUP($H204&amp;"|"&amp;$Q204,Tariff_Master!$A$2:$L$169,7,FALSE),"")</f>
        <v/>
      </c>
      <c r="AG204" s="18">
        <f>IFERROR(VLOOKUP($H204&amp;"|"&amp;$Q204,Tariff_Master!$A$2:$L$169,8,FALSE),"")</f>
        <v/>
      </c>
      <c r="AH204" s="20">
        <f>IFERROR(VLOOKUP($H204&amp;"|"&amp;$Q204,Tariff_Master!$A$2:$L$169,9,FALSE),"")</f>
        <v/>
      </c>
      <c r="AI204" s="18">
        <f>IFERROR(VLOOKUP($H204&amp;"|"&amp;$Q204,Tariff_Master!$A$2:$L$169,10,FALSE),"")</f>
        <v/>
      </c>
      <c r="AJ204" s="21">
        <f>IF($M204="","",ROUNDUP(MAX(0,$M204),0))</f>
        <v/>
      </c>
      <c r="AK204" s="21">
        <f>IF(OR($AJ204="",$AF204=""),"",MAX(0,$AJ204-$AF204))</f>
        <v/>
      </c>
      <c r="AL204" s="22">
        <f>IF(OR($AK204="",$AG204=""),"",MAX(0,$AK204*$AG204))</f>
        <v/>
      </c>
      <c r="AM204" s="22">
        <f>IF($AE204="","",MAX(0,SUM($AE204,$AL204,$V204,$W204)))</f>
        <v/>
      </c>
      <c r="AN204" s="22">
        <f>IF($AM204="","",IF(AND($Q204="COMMITMENT",$R204&gt;=$AH204),$AI204,0))</f>
        <v/>
      </c>
      <c r="AO204" s="23">
        <f>IF($AM204="","",MAX(0,$AM204-$AN204))</f>
        <v/>
      </c>
      <c r="AP204" s="22">
        <f>IF($S204="","",IF(OR($S204="ITEM_PRICE_PLUS_DECLARED_DELIVERY",$S204="DELIVERY_CHARGE_ONLY"),$K204,IF($S204="TOTAL_AMOUNT_INCLUDING_DELIVERY",IF(OR($T204="",$J204=""),"",MAX(0,$T204-$J204-$U204)),IF($S204="ITEM_PRICE_ONLY_DELIVERY_PAID_BY_MERCHANT",0,""))))</f>
        <v/>
      </c>
      <c r="AQ204" s="23">
        <f>IF(OR($AP204="",$AO204=""),"",$AP204-$AO204)</f>
        <v/>
      </c>
      <c r="AR204" s="24">
        <f>IF($S204="EXACT_COLLECTION_AMOUNT","BREAKDOWN_REQUIRED",IF($AQ204="","",IF($AQ204&gt;0,"CREDIT_TO_MERCHANT",IF($AQ204&lt;0,"DEDUCT_FROM_MERCHANT","NO_ADJUSTMENT"))))</f>
        <v/>
      </c>
      <c r="AS204" s="23">
        <f>IF(OR($AQ204="",$AR204="BREAKDOWN_REQUIRED"),"",$AQ204)</f>
        <v/>
      </c>
      <c r="AT204" s="23">
        <f>IF(OR($AR204="",$AR204="BREAKDOWN_REQUIRED"),"",SUM($J204,$AQ204,$Y204)-$X204)</f>
        <v/>
      </c>
      <c r="AU204" s="25">
        <f>IF(AND($A204="",$B204="",$F204="",$H204="",$J204="",$K204="",$M204="",$S204=""),"",IF(OR($H204="",$Q204="",$M204="",$S204=""),"ERROR",IF(OR($J204&lt;0,$K204&lt;0,$M204&lt;0,$T204&lt;0,$U204&lt;0,$V204&lt;0,$W204&lt;0,$X204&lt;0,$Y204&lt;0),"ERROR",IF($AE204="","ERROR",IF(AND(OR($S204="ITEM_PRICE_PLUS_DECLARED_DELIVERY",$S204="TOTAL_AMOUNT_INCLUDING_DELIVERY",$S204="ITEM_PRICE_ONLY_DELIVERY_PAID_BY_MERCHANT"),$J204=""),"ERROR",IF(AND(OR($S204="ITEM_PRICE_PLUS_DECLARED_DELIVERY",$S204="DELIVERY_CHARGE_ONLY"),$K204=""),"ERROR",IF(AND(OR($S204="TOTAL_AMOUNT_INCLUDING_DELIVERY",$S204="EXACT_COLLECTION_AMOUNT"),$T204=""),"ERROR",IF(AND($S204="TOTAL_AMOUNT_INCLUDING_DELIVERY",$T204&lt;SUM($J204,$U204)),"ERROR",IF($S204="EXACT_COLLECTION_AMOUNT","REVIEW","OK")))))))))</f>
        <v/>
      </c>
      <c r="AV204" s="25">
        <f>IF($AU204="","",IF($H204="","Township required",IF($Q204="","Customer tier required",IF($M204="","Weight required",IF($S204="","Amount entry type required",IF(OR($J204&lt;0,$K204&lt;0,$M204&lt;0,$T204&lt;0,$U204&lt;0,$V204&lt;0,$W204&lt;0,$X204&lt;0,$Y204&lt;0),"Negative amounts are not allowed",IF($AE204="","Tariff not found for township and tier",IF(AND(OR($S204="ITEM_PRICE_PLUS_DECLARED_DELIVERY",$S204="TOTAL_AMOUNT_INCLUDING_DELIVERY",$S204="ITEM_PRICE_ONLY_DELIVERY_PAID_BY_MERCHANT"),$J204=""),"Item price required for this amount type",IF(AND(OR($S204="ITEM_PRICE_PLUS_DECLARED_DELIVERY",$S204="DELIVERY_CHARGE_ONLY"),$K204=""),"Declared delivery charge required",IF(AND(OR($S204="TOTAL_AMOUNT_INCLUDING_DELIVERY",$S204="EXACT_COLLECTION_AMOUNT"),$T204=""),"Stated total amount required",IF(AND($S204="TOTAL_AMOUNT_INCLUDING_DELIVERY",$T204&lt;SUM($J204,$U204)),"Stated total is below item price plus additional charge",IF($S204="EXACT_COLLECTION_AMOUNT","Authorized amount breakdown required before settlement","Ready for collection and settlement"))))))))))))</f>
        <v/>
      </c>
      <c r="AW204" s="23">
        <f>IF($AU204="","","PARCEL_FINANCIAL_V2")</f>
        <v/>
      </c>
      <c r="AX204" s="17" t="n"/>
    </row>
    <row r="205">
      <c r="A205" s="8" t="n"/>
      <c r="B205" s="8" t="n"/>
      <c r="C205" s="8" t="n"/>
      <c r="D205" s="8" t="n"/>
      <c r="E205" s="9" t="n"/>
      <c r="F205" s="9" t="n"/>
      <c r="G205" s="8" t="n"/>
      <c r="H205" s="9" t="n"/>
      <c r="I205" s="9" t="n"/>
      <c r="J205" s="10" t="n"/>
      <c r="K205" s="10" t="n"/>
      <c r="L205" s="11">
        <f>IF($S205="","",IF($S205="ITEM_PRICE_PLUS_DECLARED_DELIVERY",IF(OR($J205="",$K205=""),"",SUM($J205,$K205,$U205)),IF($S205="TOTAL_AMOUNT_INCLUDING_DELIVERY",IF($T205="","",$T205),IF($S205="DELIVERY_CHARGE_ONLY",IF($K205="","",SUM($K205,$U205)),IF($S205="EXACT_COLLECTION_AMOUNT",IF($T205="","",$T205),IF($S205="ITEM_PRICE_ONLY_DELIVERY_PAID_BY_MERCHANT",IF($J205="","",SUM($J205,$U205)),""))))))</f>
        <v/>
      </c>
      <c r="M205" s="12" t="n"/>
      <c r="N205" s="13" t="n"/>
      <c r="O205" s="13" t="n"/>
      <c r="P205" s="9" t="n"/>
      <c r="Q205" s="14" t="n"/>
      <c r="R205" s="15" t="n"/>
      <c r="S205" s="14" t="n"/>
      <c r="T205" s="16" t="n"/>
      <c r="U205" s="16" t="n"/>
      <c r="V205" s="16" t="n"/>
      <c r="W205" s="16" t="n"/>
      <c r="X205" s="16" t="n"/>
      <c r="Y205" s="16" t="n"/>
      <c r="Z205" s="14" t="n"/>
      <c r="AA205" s="14" t="n"/>
      <c r="AB205" s="14" t="n"/>
      <c r="AC205" s="17">
        <f>IFERROR(VLOOKUP($H205&amp;"|"&amp;$Q205,Tariff_Master!$A$2:$L$169,3,FALSE),"")</f>
        <v/>
      </c>
      <c r="AD205" s="17">
        <f>IFERROR(VLOOKUP($H205&amp;"|"&amp;$Q205,Tariff_Master!$A$2:$L$169,4,FALSE),"")</f>
        <v/>
      </c>
      <c r="AE205" s="18">
        <f>IFERROR(VLOOKUP($H205&amp;"|"&amp;$Q205,Tariff_Master!$A$2:$L$169,6,FALSE),"")</f>
        <v/>
      </c>
      <c r="AF205" s="19">
        <f>IFERROR(VLOOKUP($H205&amp;"|"&amp;$Q205,Tariff_Master!$A$2:$L$169,7,FALSE),"")</f>
        <v/>
      </c>
      <c r="AG205" s="18">
        <f>IFERROR(VLOOKUP($H205&amp;"|"&amp;$Q205,Tariff_Master!$A$2:$L$169,8,FALSE),"")</f>
        <v/>
      </c>
      <c r="AH205" s="20">
        <f>IFERROR(VLOOKUP($H205&amp;"|"&amp;$Q205,Tariff_Master!$A$2:$L$169,9,FALSE),"")</f>
        <v/>
      </c>
      <c r="AI205" s="18">
        <f>IFERROR(VLOOKUP($H205&amp;"|"&amp;$Q205,Tariff_Master!$A$2:$L$169,10,FALSE),"")</f>
        <v/>
      </c>
      <c r="AJ205" s="21">
        <f>IF($M205="","",ROUNDUP(MAX(0,$M205),0))</f>
        <v/>
      </c>
      <c r="AK205" s="21">
        <f>IF(OR($AJ205="",$AF205=""),"",MAX(0,$AJ205-$AF205))</f>
        <v/>
      </c>
      <c r="AL205" s="22">
        <f>IF(OR($AK205="",$AG205=""),"",MAX(0,$AK205*$AG205))</f>
        <v/>
      </c>
      <c r="AM205" s="22">
        <f>IF($AE205="","",MAX(0,SUM($AE205,$AL205,$V205,$W205)))</f>
        <v/>
      </c>
      <c r="AN205" s="22">
        <f>IF($AM205="","",IF(AND($Q205="COMMITMENT",$R205&gt;=$AH205),$AI205,0))</f>
        <v/>
      </c>
      <c r="AO205" s="23">
        <f>IF($AM205="","",MAX(0,$AM205-$AN205))</f>
        <v/>
      </c>
      <c r="AP205" s="22">
        <f>IF($S205="","",IF(OR($S205="ITEM_PRICE_PLUS_DECLARED_DELIVERY",$S205="DELIVERY_CHARGE_ONLY"),$K205,IF($S205="TOTAL_AMOUNT_INCLUDING_DELIVERY",IF(OR($T205="",$J205=""),"",MAX(0,$T205-$J205-$U205)),IF($S205="ITEM_PRICE_ONLY_DELIVERY_PAID_BY_MERCHANT",0,""))))</f>
        <v/>
      </c>
      <c r="AQ205" s="23">
        <f>IF(OR($AP205="",$AO205=""),"",$AP205-$AO205)</f>
        <v/>
      </c>
      <c r="AR205" s="24">
        <f>IF($S205="EXACT_COLLECTION_AMOUNT","BREAKDOWN_REQUIRED",IF($AQ205="","",IF($AQ205&gt;0,"CREDIT_TO_MERCHANT",IF($AQ205&lt;0,"DEDUCT_FROM_MERCHANT","NO_ADJUSTMENT"))))</f>
        <v/>
      </c>
      <c r="AS205" s="23">
        <f>IF(OR($AQ205="",$AR205="BREAKDOWN_REQUIRED"),"",$AQ205)</f>
        <v/>
      </c>
      <c r="AT205" s="23">
        <f>IF(OR($AR205="",$AR205="BREAKDOWN_REQUIRED"),"",SUM($J205,$AQ205,$Y205)-$X205)</f>
        <v/>
      </c>
      <c r="AU205" s="25">
        <f>IF(AND($A205="",$B205="",$F205="",$H205="",$J205="",$K205="",$M205="",$S205=""),"",IF(OR($H205="",$Q205="",$M205="",$S205=""),"ERROR",IF(OR($J205&lt;0,$K205&lt;0,$M205&lt;0,$T205&lt;0,$U205&lt;0,$V205&lt;0,$W205&lt;0,$X205&lt;0,$Y205&lt;0),"ERROR",IF($AE205="","ERROR",IF(AND(OR($S205="ITEM_PRICE_PLUS_DECLARED_DELIVERY",$S205="TOTAL_AMOUNT_INCLUDING_DELIVERY",$S205="ITEM_PRICE_ONLY_DELIVERY_PAID_BY_MERCHANT"),$J205=""),"ERROR",IF(AND(OR($S205="ITEM_PRICE_PLUS_DECLARED_DELIVERY",$S205="DELIVERY_CHARGE_ONLY"),$K205=""),"ERROR",IF(AND(OR($S205="TOTAL_AMOUNT_INCLUDING_DELIVERY",$S205="EXACT_COLLECTION_AMOUNT"),$T205=""),"ERROR",IF(AND($S205="TOTAL_AMOUNT_INCLUDING_DELIVERY",$T205&lt;SUM($J205,$U205)),"ERROR",IF($S205="EXACT_COLLECTION_AMOUNT","REVIEW","OK")))))))))</f>
        <v/>
      </c>
      <c r="AV205" s="25">
        <f>IF($AU205="","",IF($H205="","Township required",IF($Q205="","Customer tier required",IF($M205="","Weight required",IF($S205="","Amount entry type required",IF(OR($J205&lt;0,$K205&lt;0,$M205&lt;0,$T205&lt;0,$U205&lt;0,$V205&lt;0,$W205&lt;0,$X205&lt;0,$Y205&lt;0),"Negative amounts are not allowed",IF($AE205="","Tariff not found for township and tier",IF(AND(OR($S205="ITEM_PRICE_PLUS_DECLARED_DELIVERY",$S205="TOTAL_AMOUNT_INCLUDING_DELIVERY",$S205="ITEM_PRICE_ONLY_DELIVERY_PAID_BY_MERCHANT"),$J205=""),"Item price required for this amount type",IF(AND(OR($S205="ITEM_PRICE_PLUS_DECLARED_DELIVERY",$S205="DELIVERY_CHARGE_ONLY"),$K205=""),"Declared delivery charge required",IF(AND(OR($S205="TOTAL_AMOUNT_INCLUDING_DELIVERY",$S205="EXACT_COLLECTION_AMOUNT"),$T205=""),"Stated total amount required",IF(AND($S205="TOTAL_AMOUNT_INCLUDING_DELIVERY",$T205&lt;SUM($J205,$U205)),"Stated total is below item price plus additional charge",IF($S205="EXACT_COLLECTION_AMOUNT","Authorized amount breakdown required before settlement","Ready for collection and settlement"))))))))))))</f>
        <v/>
      </c>
      <c r="AW205" s="23">
        <f>IF($AU205="","","PARCEL_FINANCIAL_V2")</f>
        <v/>
      </c>
      <c r="AX205" s="17" t="n"/>
    </row>
    <row r="206">
      <c r="A206" s="8" t="n"/>
      <c r="B206" s="8" t="n"/>
      <c r="C206" s="8" t="n"/>
      <c r="D206" s="8" t="n"/>
      <c r="E206" s="9" t="n"/>
      <c r="F206" s="9" t="n"/>
      <c r="G206" s="8" t="n"/>
      <c r="H206" s="9" t="n"/>
      <c r="I206" s="9" t="n"/>
      <c r="J206" s="10" t="n"/>
      <c r="K206" s="10" t="n"/>
      <c r="L206" s="11">
        <f>IF($S206="","",IF($S206="ITEM_PRICE_PLUS_DECLARED_DELIVERY",IF(OR($J206="",$K206=""),"",SUM($J206,$K206,$U206)),IF($S206="TOTAL_AMOUNT_INCLUDING_DELIVERY",IF($T206="","",$T206),IF($S206="DELIVERY_CHARGE_ONLY",IF($K206="","",SUM($K206,$U206)),IF($S206="EXACT_COLLECTION_AMOUNT",IF($T206="","",$T206),IF($S206="ITEM_PRICE_ONLY_DELIVERY_PAID_BY_MERCHANT",IF($J206="","",SUM($J206,$U206)),""))))))</f>
        <v/>
      </c>
      <c r="M206" s="12" t="n"/>
      <c r="N206" s="13" t="n"/>
      <c r="O206" s="13" t="n"/>
      <c r="P206" s="9" t="n"/>
      <c r="Q206" s="14" t="n"/>
      <c r="R206" s="15" t="n"/>
      <c r="S206" s="14" t="n"/>
      <c r="T206" s="16" t="n"/>
      <c r="U206" s="16" t="n"/>
      <c r="V206" s="16" t="n"/>
      <c r="W206" s="16" t="n"/>
      <c r="X206" s="16" t="n"/>
      <c r="Y206" s="16" t="n"/>
      <c r="Z206" s="14" t="n"/>
      <c r="AA206" s="14" t="n"/>
      <c r="AB206" s="14" t="n"/>
      <c r="AC206" s="17">
        <f>IFERROR(VLOOKUP($H206&amp;"|"&amp;$Q206,Tariff_Master!$A$2:$L$169,3,FALSE),"")</f>
        <v/>
      </c>
      <c r="AD206" s="17">
        <f>IFERROR(VLOOKUP($H206&amp;"|"&amp;$Q206,Tariff_Master!$A$2:$L$169,4,FALSE),"")</f>
        <v/>
      </c>
      <c r="AE206" s="18">
        <f>IFERROR(VLOOKUP($H206&amp;"|"&amp;$Q206,Tariff_Master!$A$2:$L$169,6,FALSE),"")</f>
        <v/>
      </c>
      <c r="AF206" s="19">
        <f>IFERROR(VLOOKUP($H206&amp;"|"&amp;$Q206,Tariff_Master!$A$2:$L$169,7,FALSE),"")</f>
        <v/>
      </c>
      <c r="AG206" s="18">
        <f>IFERROR(VLOOKUP($H206&amp;"|"&amp;$Q206,Tariff_Master!$A$2:$L$169,8,FALSE),"")</f>
        <v/>
      </c>
      <c r="AH206" s="20">
        <f>IFERROR(VLOOKUP($H206&amp;"|"&amp;$Q206,Tariff_Master!$A$2:$L$169,9,FALSE),"")</f>
        <v/>
      </c>
      <c r="AI206" s="18">
        <f>IFERROR(VLOOKUP($H206&amp;"|"&amp;$Q206,Tariff_Master!$A$2:$L$169,10,FALSE),"")</f>
        <v/>
      </c>
      <c r="AJ206" s="21">
        <f>IF($M206="","",ROUNDUP(MAX(0,$M206),0))</f>
        <v/>
      </c>
      <c r="AK206" s="21">
        <f>IF(OR($AJ206="",$AF206=""),"",MAX(0,$AJ206-$AF206))</f>
        <v/>
      </c>
      <c r="AL206" s="22">
        <f>IF(OR($AK206="",$AG206=""),"",MAX(0,$AK206*$AG206))</f>
        <v/>
      </c>
      <c r="AM206" s="22">
        <f>IF($AE206="","",MAX(0,SUM($AE206,$AL206,$V206,$W206)))</f>
        <v/>
      </c>
      <c r="AN206" s="22">
        <f>IF($AM206="","",IF(AND($Q206="COMMITMENT",$R206&gt;=$AH206),$AI206,0))</f>
        <v/>
      </c>
      <c r="AO206" s="23">
        <f>IF($AM206="","",MAX(0,$AM206-$AN206))</f>
        <v/>
      </c>
      <c r="AP206" s="22">
        <f>IF($S206="","",IF(OR($S206="ITEM_PRICE_PLUS_DECLARED_DELIVERY",$S206="DELIVERY_CHARGE_ONLY"),$K206,IF($S206="TOTAL_AMOUNT_INCLUDING_DELIVERY",IF(OR($T206="",$J206=""),"",MAX(0,$T206-$J206-$U206)),IF($S206="ITEM_PRICE_ONLY_DELIVERY_PAID_BY_MERCHANT",0,""))))</f>
        <v/>
      </c>
      <c r="AQ206" s="23">
        <f>IF(OR($AP206="",$AO206=""),"",$AP206-$AO206)</f>
        <v/>
      </c>
      <c r="AR206" s="24">
        <f>IF($S206="EXACT_COLLECTION_AMOUNT","BREAKDOWN_REQUIRED",IF($AQ206="","",IF($AQ206&gt;0,"CREDIT_TO_MERCHANT",IF($AQ206&lt;0,"DEDUCT_FROM_MERCHANT","NO_ADJUSTMENT"))))</f>
        <v/>
      </c>
      <c r="AS206" s="23">
        <f>IF(OR($AQ206="",$AR206="BREAKDOWN_REQUIRED"),"",$AQ206)</f>
        <v/>
      </c>
      <c r="AT206" s="23">
        <f>IF(OR($AR206="",$AR206="BREAKDOWN_REQUIRED"),"",SUM($J206,$AQ206,$Y206)-$X206)</f>
        <v/>
      </c>
      <c r="AU206" s="25">
        <f>IF(AND($A206="",$B206="",$F206="",$H206="",$J206="",$K206="",$M206="",$S206=""),"",IF(OR($H206="",$Q206="",$M206="",$S206=""),"ERROR",IF(OR($J206&lt;0,$K206&lt;0,$M206&lt;0,$T206&lt;0,$U206&lt;0,$V206&lt;0,$W206&lt;0,$X206&lt;0,$Y206&lt;0),"ERROR",IF($AE206="","ERROR",IF(AND(OR($S206="ITEM_PRICE_PLUS_DECLARED_DELIVERY",$S206="TOTAL_AMOUNT_INCLUDING_DELIVERY",$S206="ITEM_PRICE_ONLY_DELIVERY_PAID_BY_MERCHANT"),$J206=""),"ERROR",IF(AND(OR($S206="ITEM_PRICE_PLUS_DECLARED_DELIVERY",$S206="DELIVERY_CHARGE_ONLY"),$K206=""),"ERROR",IF(AND(OR($S206="TOTAL_AMOUNT_INCLUDING_DELIVERY",$S206="EXACT_COLLECTION_AMOUNT"),$T206=""),"ERROR",IF(AND($S206="TOTAL_AMOUNT_INCLUDING_DELIVERY",$T206&lt;SUM($J206,$U206)),"ERROR",IF($S206="EXACT_COLLECTION_AMOUNT","REVIEW","OK")))))))))</f>
        <v/>
      </c>
      <c r="AV206" s="25">
        <f>IF($AU206="","",IF($H206="","Township required",IF($Q206="","Customer tier required",IF($M206="","Weight required",IF($S206="","Amount entry type required",IF(OR($J206&lt;0,$K206&lt;0,$M206&lt;0,$T206&lt;0,$U206&lt;0,$V206&lt;0,$W206&lt;0,$X206&lt;0,$Y206&lt;0),"Negative amounts are not allowed",IF($AE206="","Tariff not found for township and tier",IF(AND(OR($S206="ITEM_PRICE_PLUS_DECLARED_DELIVERY",$S206="TOTAL_AMOUNT_INCLUDING_DELIVERY",$S206="ITEM_PRICE_ONLY_DELIVERY_PAID_BY_MERCHANT"),$J206=""),"Item price required for this amount type",IF(AND(OR($S206="ITEM_PRICE_PLUS_DECLARED_DELIVERY",$S206="DELIVERY_CHARGE_ONLY"),$K206=""),"Declared delivery charge required",IF(AND(OR($S206="TOTAL_AMOUNT_INCLUDING_DELIVERY",$S206="EXACT_COLLECTION_AMOUNT"),$T206=""),"Stated total amount required",IF(AND($S206="TOTAL_AMOUNT_INCLUDING_DELIVERY",$T206&lt;SUM($J206,$U206)),"Stated total is below item price plus additional charge",IF($S206="EXACT_COLLECTION_AMOUNT","Authorized amount breakdown required before settlement","Ready for collection and settlement"))))))))))))</f>
        <v/>
      </c>
      <c r="AW206" s="23">
        <f>IF($AU206="","","PARCEL_FINANCIAL_V2")</f>
        <v/>
      </c>
      <c r="AX206" s="17" t="n"/>
    </row>
    <row r="207">
      <c r="A207" s="8" t="n"/>
      <c r="B207" s="8" t="n"/>
      <c r="C207" s="8" t="n"/>
      <c r="D207" s="8" t="n"/>
      <c r="E207" s="9" t="n"/>
      <c r="F207" s="9" t="n"/>
      <c r="G207" s="8" t="n"/>
      <c r="H207" s="9" t="n"/>
      <c r="I207" s="9" t="n"/>
      <c r="J207" s="10" t="n"/>
      <c r="K207" s="10" t="n"/>
      <c r="L207" s="11">
        <f>IF($S207="","",IF($S207="ITEM_PRICE_PLUS_DECLARED_DELIVERY",IF(OR($J207="",$K207=""),"",SUM($J207,$K207,$U207)),IF($S207="TOTAL_AMOUNT_INCLUDING_DELIVERY",IF($T207="","",$T207),IF($S207="DELIVERY_CHARGE_ONLY",IF($K207="","",SUM($K207,$U207)),IF($S207="EXACT_COLLECTION_AMOUNT",IF($T207="","",$T207),IF($S207="ITEM_PRICE_ONLY_DELIVERY_PAID_BY_MERCHANT",IF($J207="","",SUM($J207,$U207)),""))))))</f>
        <v/>
      </c>
      <c r="M207" s="12" t="n"/>
      <c r="N207" s="13" t="n"/>
      <c r="O207" s="13" t="n"/>
      <c r="P207" s="9" t="n"/>
      <c r="Q207" s="14" t="n"/>
      <c r="R207" s="15" t="n"/>
      <c r="S207" s="14" t="n"/>
      <c r="T207" s="16" t="n"/>
      <c r="U207" s="16" t="n"/>
      <c r="V207" s="16" t="n"/>
      <c r="W207" s="16" t="n"/>
      <c r="X207" s="16" t="n"/>
      <c r="Y207" s="16" t="n"/>
      <c r="Z207" s="14" t="n"/>
      <c r="AA207" s="14" t="n"/>
      <c r="AB207" s="14" t="n"/>
      <c r="AC207" s="17">
        <f>IFERROR(VLOOKUP($H207&amp;"|"&amp;$Q207,Tariff_Master!$A$2:$L$169,3,FALSE),"")</f>
        <v/>
      </c>
      <c r="AD207" s="17">
        <f>IFERROR(VLOOKUP($H207&amp;"|"&amp;$Q207,Tariff_Master!$A$2:$L$169,4,FALSE),"")</f>
        <v/>
      </c>
      <c r="AE207" s="18">
        <f>IFERROR(VLOOKUP($H207&amp;"|"&amp;$Q207,Tariff_Master!$A$2:$L$169,6,FALSE),"")</f>
        <v/>
      </c>
      <c r="AF207" s="19">
        <f>IFERROR(VLOOKUP($H207&amp;"|"&amp;$Q207,Tariff_Master!$A$2:$L$169,7,FALSE),"")</f>
        <v/>
      </c>
      <c r="AG207" s="18">
        <f>IFERROR(VLOOKUP($H207&amp;"|"&amp;$Q207,Tariff_Master!$A$2:$L$169,8,FALSE),"")</f>
        <v/>
      </c>
      <c r="AH207" s="20">
        <f>IFERROR(VLOOKUP($H207&amp;"|"&amp;$Q207,Tariff_Master!$A$2:$L$169,9,FALSE),"")</f>
        <v/>
      </c>
      <c r="AI207" s="18">
        <f>IFERROR(VLOOKUP($H207&amp;"|"&amp;$Q207,Tariff_Master!$A$2:$L$169,10,FALSE),"")</f>
        <v/>
      </c>
      <c r="AJ207" s="21">
        <f>IF($M207="","",ROUNDUP(MAX(0,$M207),0))</f>
        <v/>
      </c>
      <c r="AK207" s="21">
        <f>IF(OR($AJ207="",$AF207=""),"",MAX(0,$AJ207-$AF207))</f>
        <v/>
      </c>
      <c r="AL207" s="22">
        <f>IF(OR($AK207="",$AG207=""),"",MAX(0,$AK207*$AG207))</f>
        <v/>
      </c>
      <c r="AM207" s="22">
        <f>IF($AE207="","",MAX(0,SUM($AE207,$AL207,$V207,$W207)))</f>
        <v/>
      </c>
      <c r="AN207" s="22">
        <f>IF($AM207="","",IF(AND($Q207="COMMITMENT",$R207&gt;=$AH207),$AI207,0))</f>
        <v/>
      </c>
      <c r="AO207" s="23">
        <f>IF($AM207="","",MAX(0,$AM207-$AN207))</f>
        <v/>
      </c>
      <c r="AP207" s="22">
        <f>IF($S207="","",IF(OR($S207="ITEM_PRICE_PLUS_DECLARED_DELIVERY",$S207="DELIVERY_CHARGE_ONLY"),$K207,IF($S207="TOTAL_AMOUNT_INCLUDING_DELIVERY",IF(OR($T207="",$J207=""),"",MAX(0,$T207-$J207-$U207)),IF($S207="ITEM_PRICE_ONLY_DELIVERY_PAID_BY_MERCHANT",0,""))))</f>
        <v/>
      </c>
      <c r="AQ207" s="23">
        <f>IF(OR($AP207="",$AO207=""),"",$AP207-$AO207)</f>
        <v/>
      </c>
      <c r="AR207" s="24">
        <f>IF($S207="EXACT_COLLECTION_AMOUNT","BREAKDOWN_REQUIRED",IF($AQ207="","",IF($AQ207&gt;0,"CREDIT_TO_MERCHANT",IF($AQ207&lt;0,"DEDUCT_FROM_MERCHANT","NO_ADJUSTMENT"))))</f>
        <v/>
      </c>
      <c r="AS207" s="23">
        <f>IF(OR($AQ207="",$AR207="BREAKDOWN_REQUIRED"),"",$AQ207)</f>
        <v/>
      </c>
      <c r="AT207" s="23">
        <f>IF(OR($AR207="",$AR207="BREAKDOWN_REQUIRED"),"",SUM($J207,$AQ207,$Y207)-$X207)</f>
        <v/>
      </c>
      <c r="AU207" s="25">
        <f>IF(AND($A207="",$B207="",$F207="",$H207="",$J207="",$K207="",$M207="",$S207=""),"",IF(OR($H207="",$Q207="",$M207="",$S207=""),"ERROR",IF(OR($J207&lt;0,$K207&lt;0,$M207&lt;0,$T207&lt;0,$U207&lt;0,$V207&lt;0,$W207&lt;0,$X207&lt;0,$Y207&lt;0),"ERROR",IF($AE207="","ERROR",IF(AND(OR($S207="ITEM_PRICE_PLUS_DECLARED_DELIVERY",$S207="TOTAL_AMOUNT_INCLUDING_DELIVERY",$S207="ITEM_PRICE_ONLY_DELIVERY_PAID_BY_MERCHANT"),$J207=""),"ERROR",IF(AND(OR($S207="ITEM_PRICE_PLUS_DECLARED_DELIVERY",$S207="DELIVERY_CHARGE_ONLY"),$K207=""),"ERROR",IF(AND(OR($S207="TOTAL_AMOUNT_INCLUDING_DELIVERY",$S207="EXACT_COLLECTION_AMOUNT"),$T207=""),"ERROR",IF(AND($S207="TOTAL_AMOUNT_INCLUDING_DELIVERY",$T207&lt;SUM($J207,$U207)),"ERROR",IF($S207="EXACT_COLLECTION_AMOUNT","REVIEW","OK")))))))))</f>
        <v/>
      </c>
      <c r="AV207" s="25">
        <f>IF($AU207="","",IF($H207="","Township required",IF($Q207="","Customer tier required",IF($M207="","Weight required",IF($S207="","Amount entry type required",IF(OR($J207&lt;0,$K207&lt;0,$M207&lt;0,$T207&lt;0,$U207&lt;0,$V207&lt;0,$W207&lt;0,$X207&lt;0,$Y207&lt;0),"Negative amounts are not allowed",IF($AE207="","Tariff not found for township and tier",IF(AND(OR($S207="ITEM_PRICE_PLUS_DECLARED_DELIVERY",$S207="TOTAL_AMOUNT_INCLUDING_DELIVERY",$S207="ITEM_PRICE_ONLY_DELIVERY_PAID_BY_MERCHANT"),$J207=""),"Item price required for this amount type",IF(AND(OR($S207="ITEM_PRICE_PLUS_DECLARED_DELIVERY",$S207="DELIVERY_CHARGE_ONLY"),$K207=""),"Declared delivery charge required",IF(AND(OR($S207="TOTAL_AMOUNT_INCLUDING_DELIVERY",$S207="EXACT_COLLECTION_AMOUNT"),$T207=""),"Stated total amount required",IF(AND($S207="TOTAL_AMOUNT_INCLUDING_DELIVERY",$T207&lt;SUM($J207,$U207)),"Stated total is below item price plus additional charge",IF($S207="EXACT_COLLECTION_AMOUNT","Authorized amount breakdown required before settlement","Ready for collection and settlement"))))))))))))</f>
        <v/>
      </c>
      <c r="AW207" s="23">
        <f>IF($AU207="","","PARCEL_FINANCIAL_V2")</f>
        <v/>
      </c>
      <c r="AX207" s="17" t="n"/>
    </row>
    <row r="208">
      <c r="A208" s="8" t="n"/>
      <c r="B208" s="8" t="n"/>
      <c r="C208" s="8" t="n"/>
      <c r="D208" s="8" t="n"/>
      <c r="E208" s="9" t="n"/>
      <c r="F208" s="9" t="n"/>
      <c r="G208" s="8" t="n"/>
      <c r="H208" s="9" t="n"/>
      <c r="I208" s="9" t="n"/>
      <c r="J208" s="10" t="n"/>
      <c r="K208" s="10" t="n"/>
      <c r="L208" s="11">
        <f>IF($S208="","",IF($S208="ITEM_PRICE_PLUS_DECLARED_DELIVERY",IF(OR($J208="",$K208=""),"",SUM($J208,$K208,$U208)),IF($S208="TOTAL_AMOUNT_INCLUDING_DELIVERY",IF($T208="","",$T208),IF($S208="DELIVERY_CHARGE_ONLY",IF($K208="","",SUM($K208,$U208)),IF($S208="EXACT_COLLECTION_AMOUNT",IF($T208="","",$T208),IF($S208="ITEM_PRICE_ONLY_DELIVERY_PAID_BY_MERCHANT",IF($J208="","",SUM($J208,$U208)),""))))))</f>
        <v/>
      </c>
      <c r="M208" s="12" t="n"/>
      <c r="N208" s="13" t="n"/>
      <c r="O208" s="13" t="n"/>
      <c r="P208" s="9" t="n"/>
      <c r="Q208" s="14" t="n"/>
      <c r="R208" s="15" t="n"/>
      <c r="S208" s="14" t="n"/>
      <c r="T208" s="16" t="n"/>
      <c r="U208" s="16" t="n"/>
      <c r="V208" s="16" t="n"/>
      <c r="W208" s="16" t="n"/>
      <c r="X208" s="16" t="n"/>
      <c r="Y208" s="16" t="n"/>
      <c r="Z208" s="14" t="n"/>
      <c r="AA208" s="14" t="n"/>
      <c r="AB208" s="14" t="n"/>
      <c r="AC208" s="17">
        <f>IFERROR(VLOOKUP($H208&amp;"|"&amp;$Q208,Tariff_Master!$A$2:$L$169,3,FALSE),"")</f>
        <v/>
      </c>
      <c r="AD208" s="17">
        <f>IFERROR(VLOOKUP($H208&amp;"|"&amp;$Q208,Tariff_Master!$A$2:$L$169,4,FALSE),"")</f>
        <v/>
      </c>
      <c r="AE208" s="18">
        <f>IFERROR(VLOOKUP($H208&amp;"|"&amp;$Q208,Tariff_Master!$A$2:$L$169,6,FALSE),"")</f>
        <v/>
      </c>
      <c r="AF208" s="19">
        <f>IFERROR(VLOOKUP($H208&amp;"|"&amp;$Q208,Tariff_Master!$A$2:$L$169,7,FALSE),"")</f>
        <v/>
      </c>
      <c r="AG208" s="18">
        <f>IFERROR(VLOOKUP($H208&amp;"|"&amp;$Q208,Tariff_Master!$A$2:$L$169,8,FALSE),"")</f>
        <v/>
      </c>
      <c r="AH208" s="20">
        <f>IFERROR(VLOOKUP($H208&amp;"|"&amp;$Q208,Tariff_Master!$A$2:$L$169,9,FALSE),"")</f>
        <v/>
      </c>
      <c r="AI208" s="18">
        <f>IFERROR(VLOOKUP($H208&amp;"|"&amp;$Q208,Tariff_Master!$A$2:$L$169,10,FALSE),"")</f>
        <v/>
      </c>
      <c r="AJ208" s="21">
        <f>IF($M208="","",ROUNDUP(MAX(0,$M208),0))</f>
        <v/>
      </c>
      <c r="AK208" s="21">
        <f>IF(OR($AJ208="",$AF208=""),"",MAX(0,$AJ208-$AF208))</f>
        <v/>
      </c>
      <c r="AL208" s="22">
        <f>IF(OR($AK208="",$AG208=""),"",MAX(0,$AK208*$AG208))</f>
        <v/>
      </c>
      <c r="AM208" s="22">
        <f>IF($AE208="","",MAX(0,SUM($AE208,$AL208,$V208,$W208)))</f>
        <v/>
      </c>
      <c r="AN208" s="22">
        <f>IF($AM208="","",IF(AND($Q208="COMMITMENT",$R208&gt;=$AH208),$AI208,0))</f>
        <v/>
      </c>
      <c r="AO208" s="23">
        <f>IF($AM208="","",MAX(0,$AM208-$AN208))</f>
        <v/>
      </c>
      <c r="AP208" s="22">
        <f>IF($S208="","",IF(OR($S208="ITEM_PRICE_PLUS_DECLARED_DELIVERY",$S208="DELIVERY_CHARGE_ONLY"),$K208,IF($S208="TOTAL_AMOUNT_INCLUDING_DELIVERY",IF(OR($T208="",$J208=""),"",MAX(0,$T208-$J208-$U208)),IF($S208="ITEM_PRICE_ONLY_DELIVERY_PAID_BY_MERCHANT",0,""))))</f>
        <v/>
      </c>
      <c r="AQ208" s="23">
        <f>IF(OR($AP208="",$AO208=""),"",$AP208-$AO208)</f>
        <v/>
      </c>
      <c r="AR208" s="24">
        <f>IF($S208="EXACT_COLLECTION_AMOUNT","BREAKDOWN_REQUIRED",IF($AQ208="","",IF($AQ208&gt;0,"CREDIT_TO_MERCHANT",IF($AQ208&lt;0,"DEDUCT_FROM_MERCHANT","NO_ADJUSTMENT"))))</f>
        <v/>
      </c>
      <c r="AS208" s="23">
        <f>IF(OR($AQ208="",$AR208="BREAKDOWN_REQUIRED"),"",$AQ208)</f>
        <v/>
      </c>
      <c r="AT208" s="23">
        <f>IF(OR($AR208="",$AR208="BREAKDOWN_REQUIRED"),"",SUM($J208,$AQ208,$Y208)-$X208)</f>
        <v/>
      </c>
      <c r="AU208" s="25">
        <f>IF(AND($A208="",$B208="",$F208="",$H208="",$J208="",$K208="",$M208="",$S208=""),"",IF(OR($H208="",$Q208="",$M208="",$S208=""),"ERROR",IF(OR($J208&lt;0,$K208&lt;0,$M208&lt;0,$T208&lt;0,$U208&lt;0,$V208&lt;0,$W208&lt;0,$X208&lt;0,$Y208&lt;0),"ERROR",IF($AE208="","ERROR",IF(AND(OR($S208="ITEM_PRICE_PLUS_DECLARED_DELIVERY",$S208="TOTAL_AMOUNT_INCLUDING_DELIVERY",$S208="ITEM_PRICE_ONLY_DELIVERY_PAID_BY_MERCHANT"),$J208=""),"ERROR",IF(AND(OR($S208="ITEM_PRICE_PLUS_DECLARED_DELIVERY",$S208="DELIVERY_CHARGE_ONLY"),$K208=""),"ERROR",IF(AND(OR($S208="TOTAL_AMOUNT_INCLUDING_DELIVERY",$S208="EXACT_COLLECTION_AMOUNT"),$T208=""),"ERROR",IF(AND($S208="TOTAL_AMOUNT_INCLUDING_DELIVERY",$T208&lt;SUM($J208,$U208)),"ERROR",IF($S208="EXACT_COLLECTION_AMOUNT","REVIEW","OK")))))))))</f>
        <v/>
      </c>
      <c r="AV208" s="25">
        <f>IF($AU208="","",IF($H208="","Township required",IF($Q208="","Customer tier required",IF($M208="","Weight required",IF($S208="","Amount entry type required",IF(OR($J208&lt;0,$K208&lt;0,$M208&lt;0,$T208&lt;0,$U208&lt;0,$V208&lt;0,$W208&lt;0,$X208&lt;0,$Y208&lt;0),"Negative amounts are not allowed",IF($AE208="","Tariff not found for township and tier",IF(AND(OR($S208="ITEM_PRICE_PLUS_DECLARED_DELIVERY",$S208="TOTAL_AMOUNT_INCLUDING_DELIVERY",$S208="ITEM_PRICE_ONLY_DELIVERY_PAID_BY_MERCHANT"),$J208=""),"Item price required for this amount type",IF(AND(OR($S208="ITEM_PRICE_PLUS_DECLARED_DELIVERY",$S208="DELIVERY_CHARGE_ONLY"),$K208=""),"Declared delivery charge required",IF(AND(OR($S208="TOTAL_AMOUNT_INCLUDING_DELIVERY",$S208="EXACT_COLLECTION_AMOUNT"),$T208=""),"Stated total amount required",IF(AND($S208="TOTAL_AMOUNT_INCLUDING_DELIVERY",$T208&lt;SUM($J208,$U208)),"Stated total is below item price plus additional charge",IF($S208="EXACT_COLLECTION_AMOUNT","Authorized amount breakdown required before settlement","Ready for collection and settlement"))))))))))))</f>
        <v/>
      </c>
      <c r="AW208" s="23">
        <f>IF($AU208="","","PARCEL_FINANCIAL_V2")</f>
        <v/>
      </c>
      <c r="AX208" s="17" t="n"/>
    </row>
    <row r="209">
      <c r="A209" s="8" t="n"/>
      <c r="B209" s="8" t="n"/>
      <c r="C209" s="8" t="n"/>
      <c r="D209" s="8" t="n"/>
      <c r="E209" s="9" t="n"/>
      <c r="F209" s="9" t="n"/>
      <c r="G209" s="8" t="n"/>
      <c r="H209" s="9" t="n"/>
      <c r="I209" s="9" t="n"/>
      <c r="J209" s="10" t="n"/>
      <c r="K209" s="10" t="n"/>
      <c r="L209" s="11">
        <f>IF($S209="","",IF($S209="ITEM_PRICE_PLUS_DECLARED_DELIVERY",IF(OR($J209="",$K209=""),"",SUM($J209,$K209,$U209)),IF($S209="TOTAL_AMOUNT_INCLUDING_DELIVERY",IF($T209="","",$T209),IF($S209="DELIVERY_CHARGE_ONLY",IF($K209="","",SUM($K209,$U209)),IF($S209="EXACT_COLLECTION_AMOUNT",IF($T209="","",$T209),IF($S209="ITEM_PRICE_ONLY_DELIVERY_PAID_BY_MERCHANT",IF($J209="","",SUM($J209,$U209)),""))))))</f>
        <v/>
      </c>
      <c r="M209" s="12" t="n"/>
      <c r="N209" s="13" t="n"/>
      <c r="O209" s="13" t="n"/>
      <c r="P209" s="9" t="n"/>
      <c r="Q209" s="14" t="n"/>
      <c r="R209" s="15" t="n"/>
      <c r="S209" s="14" t="n"/>
      <c r="T209" s="16" t="n"/>
      <c r="U209" s="16" t="n"/>
      <c r="V209" s="16" t="n"/>
      <c r="W209" s="16" t="n"/>
      <c r="X209" s="16" t="n"/>
      <c r="Y209" s="16" t="n"/>
      <c r="Z209" s="14" t="n"/>
      <c r="AA209" s="14" t="n"/>
      <c r="AB209" s="14" t="n"/>
      <c r="AC209" s="17">
        <f>IFERROR(VLOOKUP($H209&amp;"|"&amp;$Q209,Tariff_Master!$A$2:$L$169,3,FALSE),"")</f>
        <v/>
      </c>
      <c r="AD209" s="17">
        <f>IFERROR(VLOOKUP($H209&amp;"|"&amp;$Q209,Tariff_Master!$A$2:$L$169,4,FALSE),"")</f>
        <v/>
      </c>
      <c r="AE209" s="18">
        <f>IFERROR(VLOOKUP($H209&amp;"|"&amp;$Q209,Tariff_Master!$A$2:$L$169,6,FALSE),"")</f>
        <v/>
      </c>
      <c r="AF209" s="19">
        <f>IFERROR(VLOOKUP($H209&amp;"|"&amp;$Q209,Tariff_Master!$A$2:$L$169,7,FALSE),"")</f>
        <v/>
      </c>
      <c r="AG209" s="18">
        <f>IFERROR(VLOOKUP($H209&amp;"|"&amp;$Q209,Tariff_Master!$A$2:$L$169,8,FALSE),"")</f>
        <v/>
      </c>
      <c r="AH209" s="20">
        <f>IFERROR(VLOOKUP($H209&amp;"|"&amp;$Q209,Tariff_Master!$A$2:$L$169,9,FALSE),"")</f>
        <v/>
      </c>
      <c r="AI209" s="18">
        <f>IFERROR(VLOOKUP($H209&amp;"|"&amp;$Q209,Tariff_Master!$A$2:$L$169,10,FALSE),"")</f>
        <v/>
      </c>
      <c r="AJ209" s="21">
        <f>IF($M209="","",ROUNDUP(MAX(0,$M209),0))</f>
        <v/>
      </c>
      <c r="AK209" s="21">
        <f>IF(OR($AJ209="",$AF209=""),"",MAX(0,$AJ209-$AF209))</f>
        <v/>
      </c>
      <c r="AL209" s="22">
        <f>IF(OR($AK209="",$AG209=""),"",MAX(0,$AK209*$AG209))</f>
        <v/>
      </c>
      <c r="AM209" s="22">
        <f>IF($AE209="","",MAX(0,SUM($AE209,$AL209,$V209,$W209)))</f>
        <v/>
      </c>
      <c r="AN209" s="22">
        <f>IF($AM209="","",IF(AND($Q209="COMMITMENT",$R209&gt;=$AH209),$AI209,0))</f>
        <v/>
      </c>
      <c r="AO209" s="23">
        <f>IF($AM209="","",MAX(0,$AM209-$AN209))</f>
        <v/>
      </c>
      <c r="AP209" s="22">
        <f>IF($S209="","",IF(OR($S209="ITEM_PRICE_PLUS_DECLARED_DELIVERY",$S209="DELIVERY_CHARGE_ONLY"),$K209,IF($S209="TOTAL_AMOUNT_INCLUDING_DELIVERY",IF(OR($T209="",$J209=""),"",MAX(0,$T209-$J209-$U209)),IF($S209="ITEM_PRICE_ONLY_DELIVERY_PAID_BY_MERCHANT",0,""))))</f>
        <v/>
      </c>
      <c r="AQ209" s="23">
        <f>IF(OR($AP209="",$AO209=""),"",$AP209-$AO209)</f>
        <v/>
      </c>
      <c r="AR209" s="24">
        <f>IF($S209="EXACT_COLLECTION_AMOUNT","BREAKDOWN_REQUIRED",IF($AQ209="","",IF($AQ209&gt;0,"CREDIT_TO_MERCHANT",IF($AQ209&lt;0,"DEDUCT_FROM_MERCHANT","NO_ADJUSTMENT"))))</f>
        <v/>
      </c>
      <c r="AS209" s="23">
        <f>IF(OR($AQ209="",$AR209="BREAKDOWN_REQUIRED"),"",$AQ209)</f>
        <v/>
      </c>
      <c r="AT209" s="23">
        <f>IF(OR($AR209="",$AR209="BREAKDOWN_REQUIRED"),"",SUM($J209,$AQ209,$Y209)-$X209)</f>
        <v/>
      </c>
      <c r="AU209" s="25">
        <f>IF(AND($A209="",$B209="",$F209="",$H209="",$J209="",$K209="",$M209="",$S209=""),"",IF(OR($H209="",$Q209="",$M209="",$S209=""),"ERROR",IF(OR($J209&lt;0,$K209&lt;0,$M209&lt;0,$T209&lt;0,$U209&lt;0,$V209&lt;0,$W209&lt;0,$X209&lt;0,$Y209&lt;0),"ERROR",IF($AE209="","ERROR",IF(AND(OR($S209="ITEM_PRICE_PLUS_DECLARED_DELIVERY",$S209="TOTAL_AMOUNT_INCLUDING_DELIVERY",$S209="ITEM_PRICE_ONLY_DELIVERY_PAID_BY_MERCHANT"),$J209=""),"ERROR",IF(AND(OR($S209="ITEM_PRICE_PLUS_DECLARED_DELIVERY",$S209="DELIVERY_CHARGE_ONLY"),$K209=""),"ERROR",IF(AND(OR($S209="TOTAL_AMOUNT_INCLUDING_DELIVERY",$S209="EXACT_COLLECTION_AMOUNT"),$T209=""),"ERROR",IF(AND($S209="TOTAL_AMOUNT_INCLUDING_DELIVERY",$T209&lt;SUM($J209,$U209)),"ERROR",IF($S209="EXACT_COLLECTION_AMOUNT","REVIEW","OK")))))))))</f>
        <v/>
      </c>
      <c r="AV209" s="25">
        <f>IF($AU209="","",IF($H209="","Township required",IF($Q209="","Customer tier required",IF($M209="","Weight required",IF($S209="","Amount entry type required",IF(OR($J209&lt;0,$K209&lt;0,$M209&lt;0,$T209&lt;0,$U209&lt;0,$V209&lt;0,$W209&lt;0,$X209&lt;0,$Y209&lt;0),"Negative amounts are not allowed",IF($AE209="","Tariff not found for township and tier",IF(AND(OR($S209="ITEM_PRICE_PLUS_DECLARED_DELIVERY",$S209="TOTAL_AMOUNT_INCLUDING_DELIVERY",$S209="ITEM_PRICE_ONLY_DELIVERY_PAID_BY_MERCHANT"),$J209=""),"Item price required for this amount type",IF(AND(OR($S209="ITEM_PRICE_PLUS_DECLARED_DELIVERY",$S209="DELIVERY_CHARGE_ONLY"),$K209=""),"Declared delivery charge required",IF(AND(OR($S209="TOTAL_AMOUNT_INCLUDING_DELIVERY",$S209="EXACT_COLLECTION_AMOUNT"),$T209=""),"Stated total amount required",IF(AND($S209="TOTAL_AMOUNT_INCLUDING_DELIVERY",$T209&lt;SUM($J209,$U209)),"Stated total is below item price plus additional charge",IF($S209="EXACT_COLLECTION_AMOUNT","Authorized amount breakdown required before settlement","Ready for collection and settlement"))))))))))))</f>
        <v/>
      </c>
      <c r="AW209" s="23">
        <f>IF($AU209="","","PARCEL_FINANCIAL_V2")</f>
        <v/>
      </c>
      <c r="AX209" s="17" t="n"/>
    </row>
    <row r="210">
      <c r="A210" s="8" t="n"/>
      <c r="B210" s="8" t="n"/>
      <c r="C210" s="8" t="n"/>
      <c r="D210" s="8" t="n"/>
      <c r="E210" s="9" t="n"/>
      <c r="F210" s="9" t="n"/>
      <c r="G210" s="8" t="n"/>
      <c r="H210" s="9" t="n"/>
      <c r="I210" s="9" t="n"/>
      <c r="J210" s="10" t="n"/>
      <c r="K210" s="10" t="n"/>
      <c r="L210" s="11">
        <f>IF($S210="","",IF($S210="ITEM_PRICE_PLUS_DECLARED_DELIVERY",IF(OR($J210="",$K210=""),"",SUM($J210,$K210,$U210)),IF($S210="TOTAL_AMOUNT_INCLUDING_DELIVERY",IF($T210="","",$T210),IF($S210="DELIVERY_CHARGE_ONLY",IF($K210="","",SUM($K210,$U210)),IF($S210="EXACT_COLLECTION_AMOUNT",IF($T210="","",$T210),IF($S210="ITEM_PRICE_ONLY_DELIVERY_PAID_BY_MERCHANT",IF($J210="","",SUM($J210,$U210)),""))))))</f>
        <v/>
      </c>
      <c r="M210" s="12" t="n"/>
      <c r="N210" s="13" t="n"/>
      <c r="O210" s="13" t="n"/>
      <c r="P210" s="9" t="n"/>
      <c r="Q210" s="14" t="n"/>
      <c r="R210" s="15" t="n"/>
      <c r="S210" s="14" t="n"/>
      <c r="T210" s="16" t="n"/>
      <c r="U210" s="16" t="n"/>
      <c r="V210" s="16" t="n"/>
      <c r="W210" s="16" t="n"/>
      <c r="X210" s="16" t="n"/>
      <c r="Y210" s="16" t="n"/>
      <c r="Z210" s="14" t="n"/>
      <c r="AA210" s="14" t="n"/>
      <c r="AB210" s="14" t="n"/>
      <c r="AC210" s="17">
        <f>IFERROR(VLOOKUP($H210&amp;"|"&amp;$Q210,Tariff_Master!$A$2:$L$169,3,FALSE),"")</f>
        <v/>
      </c>
      <c r="AD210" s="17">
        <f>IFERROR(VLOOKUP($H210&amp;"|"&amp;$Q210,Tariff_Master!$A$2:$L$169,4,FALSE),"")</f>
        <v/>
      </c>
      <c r="AE210" s="18">
        <f>IFERROR(VLOOKUP($H210&amp;"|"&amp;$Q210,Tariff_Master!$A$2:$L$169,6,FALSE),"")</f>
        <v/>
      </c>
      <c r="AF210" s="19">
        <f>IFERROR(VLOOKUP($H210&amp;"|"&amp;$Q210,Tariff_Master!$A$2:$L$169,7,FALSE),"")</f>
        <v/>
      </c>
      <c r="AG210" s="18">
        <f>IFERROR(VLOOKUP($H210&amp;"|"&amp;$Q210,Tariff_Master!$A$2:$L$169,8,FALSE),"")</f>
        <v/>
      </c>
      <c r="AH210" s="20">
        <f>IFERROR(VLOOKUP($H210&amp;"|"&amp;$Q210,Tariff_Master!$A$2:$L$169,9,FALSE),"")</f>
        <v/>
      </c>
      <c r="AI210" s="18">
        <f>IFERROR(VLOOKUP($H210&amp;"|"&amp;$Q210,Tariff_Master!$A$2:$L$169,10,FALSE),"")</f>
        <v/>
      </c>
      <c r="AJ210" s="21">
        <f>IF($M210="","",ROUNDUP(MAX(0,$M210),0))</f>
        <v/>
      </c>
      <c r="AK210" s="21">
        <f>IF(OR($AJ210="",$AF210=""),"",MAX(0,$AJ210-$AF210))</f>
        <v/>
      </c>
      <c r="AL210" s="22">
        <f>IF(OR($AK210="",$AG210=""),"",MAX(0,$AK210*$AG210))</f>
        <v/>
      </c>
      <c r="AM210" s="22">
        <f>IF($AE210="","",MAX(0,SUM($AE210,$AL210,$V210,$W210)))</f>
        <v/>
      </c>
      <c r="AN210" s="22">
        <f>IF($AM210="","",IF(AND($Q210="COMMITMENT",$R210&gt;=$AH210),$AI210,0))</f>
        <v/>
      </c>
      <c r="AO210" s="23">
        <f>IF($AM210="","",MAX(0,$AM210-$AN210))</f>
        <v/>
      </c>
      <c r="AP210" s="22">
        <f>IF($S210="","",IF(OR($S210="ITEM_PRICE_PLUS_DECLARED_DELIVERY",$S210="DELIVERY_CHARGE_ONLY"),$K210,IF($S210="TOTAL_AMOUNT_INCLUDING_DELIVERY",IF(OR($T210="",$J210=""),"",MAX(0,$T210-$J210-$U210)),IF($S210="ITEM_PRICE_ONLY_DELIVERY_PAID_BY_MERCHANT",0,""))))</f>
        <v/>
      </c>
      <c r="AQ210" s="23">
        <f>IF(OR($AP210="",$AO210=""),"",$AP210-$AO210)</f>
        <v/>
      </c>
      <c r="AR210" s="24">
        <f>IF($S210="EXACT_COLLECTION_AMOUNT","BREAKDOWN_REQUIRED",IF($AQ210="","",IF($AQ210&gt;0,"CREDIT_TO_MERCHANT",IF($AQ210&lt;0,"DEDUCT_FROM_MERCHANT","NO_ADJUSTMENT"))))</f>
        <v/>
      </c>
      <c r="AS210" s="23">
        <f>IF(OR($AQ210="",$AR210="BREAKDOWN_REQUIRED"),"",$AQ210)</f>
        <v/>
      </c>
      <c r="AT210" s="23">
        <f>IF(OR($AR210="",$AR210="BREAKDOWN_REQUIRED"),"",SUM($J210,$AQ210,$Y210)-$X210)</f>
        <v/>
      </c>
      <c r="AU210" s="25">
        <f>IF(AND($A210="",$B210="",$F210="",$H210="",$J210="",$K210="",$M210="",$S210=""),"",IF(OR($H210="",$Q210="",$M210="",$S210=""),"ERROR",IF(OR($J210&lt;0,$K210&lt;0,$M210&lt;0,$T210&lt;0,$U210&lt;0,$V210&lt;0,$W210&lt;0,$X210&lt;0,$Y210&lt;0),"ERROR",IF($AE210="","ERROR",IF(AND(OR($S210="ITEM_PRICE_PLUS_DECLARED_DELIVERY",$S210="TOTAL_AMOUNT_INCLUDING_DELIVERY",$S210="ITEM_PRICE_ONLY_DELIVERY_PAID_BY_MERCHANT"),$J210=""),"ERROR",IF(AND(OR($S210="ITEM_PRICE_PLUS_DECLARED_DELIVERY",$S210="DELIVERY_CHARGE_ONLY"),$K210=""),"ERROR",IF(AND(OR($S210="TOTAL_AMOUNT_INCLUDING_DELIVERY",$S210="EXACT_COLLECTION_AMOUNT"),$T210=""),"ERROR",IF(AND($S210="TOTAL_AMOUNT_INCLUDING_DELIVERY",$T210&lt;SUM($J210,$U210)),"ERROR",IF($S210="EXACT_COLLECTION_AMOUNT","REVIEW","OK")))))))))</f>
        <v/>
      </c>
      <c r="AV210" s="25">
        <f>IF($AU210="","",IF($H210="","Township required",IF($Q210="","Customer tier required",IF($M210="","Weight required",IF($S210="","Amount entry type required",IF(OR($J210&lt;0,$K210&lt;0,$M210&lt;0,$T210&lt;0,$U210&lt;0,$V210&lt;0,$W210&lt;0,$X210&lt;0,$Y210&lt;0),"Negative amounts are not allowed",IF($AE210="","Tariff not found for township and tier",IF(AND(OR($S210="ITEM_PRICE_PLUS_DECLARED_DELIVERY",$S210="TOTAL_AMOUNT_INCLUDING_DELIVERY",$S210="ITEM_PRICE_ONLY_DELIVERY_PAID_BY_MERCHANT"),$J210=""),"Item price required for this amount type",IF(AND(OR($S210="ITEM_PRICE_PLUS_DECLARED_DELIVERY",$S210="DELIVERY_CHARGE_ONLY"),$K210=""),"Declared delivery charge required",IF(AND(OR($S210="TOTAL_AMOUNT_INCLUDING_DELIVERY",$S210="EXACT_COLLECTION_AMOUNT"),$T210=""),"Stated total amount required",IF(AND($S210="TOTAL_AMOUNT_INCLUDING_DELIVERY",$T210&lt;SUM($J210,$U210)),"Stated total is below item price plus additional charge",IF($S210="EXACT_COLLECTION_AMOUNT","Authorized amount breakdown required before settlement","Ready for collection and settlement"))))))))))))</f>
        <v/>
      </c>
      <c r="AW210" s="23">
        <f>IF($AU210="","","PARCEL_FINANCIAL_V2")</f>
        <v/>
      </c>
      <c r="AX210" s="17" t="n"/>
    </row>
    <row r="211">
      <c r="A211" s="8" t="n"/>
      <c r="B211" s="8" t="n"/>
      <c r="C211" s="8" t="n"/>
      <c r="D211" s="8" t="n"/>
      <c r="E211" s="9" t="n"/>
      <c r="F211" s="9" t="n"/>
      <c r="G211" s="8" t="n"/>
      <c r="H211" s="9" t="n"/>
      <c r="I211" s="9" t="n"/>
      <c r="J211" s="10" t="n"/>
      <c r="K211" s="10" t="n"/>
      <c r="L211" s="11">
        <f>IF($S211="","",IF($S211="ITEM_PRICE_PLUS_DECLARED_DELIVERY",IF(OR($J211="",$K211=""),"",SUM($J211,$K211,$U211)),IF($S211="TOTAL_AMOUNT_INCLUDING_DELIVERY",IF($T211="","",$T211),IF($S211="DELIVERY_CHARGE_ONLY",IF($K211="","",SUM($K211,$U211)),IF($S211="EXACT_COLLECTION_AMOUNT",IF($T211="","",$T211),IF($S211="ITEM_PRICE_ONLY_DELIVERY_PAID_BY_MERCHANT",IF($J211="","",SUM($J211,$U211)),""))))))</f>
        <v/>
      </c>
      <c r="M211" s="12" t="n"/>
      <c r="N211" s="13" t="n"/>
      <c r="O211" s="13" t="n"/>
      <c r="P211" s="9" t="n"/>
      <c r="Q211" s="14" t="n"/>
      <c r="R211" s="15" t="n"/>
      <c r="S211" s="14" t="n"/>
      <c r="T211" s="16" t="n"/>
      <c r="U211" s="16" t="n"/>
      <c r="V211" s="16" t="n"/>
      <c r="W211" s="16" t="n"/>
      <c r="X211" s="16" t="n"/>
      <c r="Y211" s="16" t="n"/>
      <c r="Z211" s="14" t="n"/>
      <c r="AA211" s="14" t="n"/>
      <c r="AB211" s="14" t="n"/>
      <c r="AC211" s="17">
        <f>IFERROR(VLOOKUP($H211&amp;"|"&amp;$Q211,Tariff_Master!$A$2:$L$169,3,FALSE),"")</f>
        <v/>
      </c>
      <c r="AD211" s="17">
        <f>IFERROR(VLOOKUP($H211&amp;"|"&amp;$Q211,Tariff_Master!$A$2:$L$169,4,FALSE),"")</f>
        <v/>
      </c>
      <c r="AE211" s="18">
        <f>IFERROR(VLOOKUP($H211&amp;"|"&amp;$Q211,Tariff_Master!$A$2:$L$169,6,FALSE),"")</f>
        <v/>
      </c>
      <c r="AF211" s="19">
        <f>IFERROR(VLOOKUP($H211&amp;"|"&amp;$Q211,Tariff_Master!$A$2:$L$169,7,FALSE),"")</f>
        <v/>
      </c>
      <c r="AG211" s="18">
        <f>IFERROR(VLOOKUP($H211&amp;"|"&amp;$Q211,Tariff_Master!$A$2:$L$169,8,FALSE),"")</f>
        <v/>
      </c>
      <c r="AH211" s="20">
        <f>IFERROR(VLOOKUP($H211&amp;"|"&amp;$Q211,Tariff_Master!$A$2:$L$169,9,FALSE),"")</f>
        <v/>
      </c>
      <c r="AI211" s="18">
        <f>IFERROR(VLOOKUP($H211&amp;"|"&amp;$Q211,Tariff_Master!$A$2:$L$169,10,FALSE),"")</f>
        <v/>
      </c>
      <c r="AJ211" s="21">
        <f>IF($M211="","",ROUNDUP(MAX(0,$M211),0))</f>
        <v/>
      </c>
      <c r="AK211" s="21">
        <f>IF(OR($AJ211="",$AF211=""),"",MAX(0,$AJ211-$AF211))</f>
        <v/>
      </c>
      <c r="AL211" s="22">
        <f>IF(OR($AK211="",$AG211=""),"",MAX(0,$AK211*$AG211))</f>
        <v/>
      </c>
      <c r="AM211" s="22">
        <f>IF($AE211="","",MAX(0,SUM($AE211,$AL211,$V211,$W211)))</f>
        <v/>
      </c>
      <c r="AN211" s="22">
        <f>IF($AM211="","",IF(AND($Q211="COMMITMENT",$R211&gt;=$AH211),$AI211,0))</f>
        <v/>
      </c>
      <c r="AO211" s="23">
        <f>IF($AM211="","",MAX(0,$AM211-$AN211))</f>
        <v/>
      </c>
      <c r="AP211" s="22">
        <f>IF($S211="","",IF(OR($S211="ITEM_PRICE_PLUS_DECLARED_DELIVERY",$S211="DELIVERY_CHARGE_ONLY"),$K211,IF($S211="TOTAL_AMOUNT_INCLUDING_DELIVERY",IF(OR($T211="",$J211=""),"",MAX(0,$T211-$J211-$U211)),IF($S211="ITEM_PRICE_ONLY_DELIVERY_PAID_BY_MERCHANT",0,""))))</f>
        <v/>
      </c>
      <c r="AQ211" s="23">
        <f>IF(OR($AP211="",$AO211=""),"",$AP211-$AO211)</f>
        <v/>
      </c>
      <c r="AR211" s="24">
        <f>IF($S211="EXACT_COLLECTION_AMOUNT","BREAKDOWN_REQUIRED",IF($AQ211="","",IF($AQ211&gt;0,"CREDIT_TO_MERCHANT",IF($AQ211&lt;0,"DEDUCT_FROM_MERCHANT","NO_ADJUSTMENT"))))</f>
        <v/>
      </c>
      <c r="AS211" s="23">
        <f>IF(OR($AQ211="",$AR211="BREAKDOWN_REQUIRED"),"",$AQ211)</f>
        <v/>
      </c>
      <c r="AT211" s="23">
        <f>IF(OR($AR211="",$AR211="BREAKDOWN_REQUIRED"),"",SUM($J211,$AQ211,$Y211)-$X211)</f>
        <v/>
      </c>
      <c r="AU211" s="25">
        <f>IF(AND($A211="",$B211="",$F211="",$H211="",$J211="",$K211="",$M211="",$S211=""),"",IF(OR($H211="",$Q211="",$M211="",$S211=""),"ERROR",IF(OR($J211&lt;0,$K211&lt;0,$M211&lt;0,$T211&lt;0,$U211&lt;0,$V211&lt;0,$W211&lt;0,$X211&lt;0,$Y211&lt;0),"ERROR",IF($AE211="","ERROR",IF(AND(OR($S211="ITEM_PRICE_PLUS_DECLARED_DELIVERY",$S211="TOTAL_AMOUNT_INCLUDING_DELIVERY",$S211="ITEM_PRICE_ONLY_DELIVERY_PAID_BY_MERCHANT"),$J211=""),"ERROR",IF(AND(OR($S211="ITEM_PRICE_PLUS_DECLARED_DELIVERY",$S211="DELIVERY_CHARGE_ONLY"),$K211=""),"ERROR",IF(AND(OR($S211="TOTAL_AMOUNT_INCLUDING_DELIVERY",$S211="EXACT_COLLECTION_AMOUNT"),$T211=""),"ERROR",IF(AND($S211="TOTAL_AMOUNT_INCLUDING_DELIVERY",$T211&lt;SUM($J211,$U211)),"ERROR",IF($S211="EXACT_COLLECTION_AMOUNT","REVIEW","OK")))))))))</f>
        <v/>
      </c>
      <c r="AV211" s="25">
        <f>IF($AU211="","",IF($H211="","Township required",IF($Q211="","Customer tier required",IF($M211="","Weight required",IF($S211="","Amount entry type required",IF(OR($J211&lt;0,$K211&lt;0,$M211&lt;0,$T211&lt;0,$U211&lt;0,$V211&lt;0,$W211&lt;0,$X211&lt;0,$Y211&lt;0),"Negative amounts are not allowed",IF($AE211="","Tariff not found for township and tier",IF(AND(OR($S211="ITEM_PRICE_PLUS_DECLARED_DELIVERY",$S211="TOTAL_AMOUNT_INCLUDING_DELIVERY",$S211="ITEM_PRICE_ONLY_DELIVERY_PAID_BY_MERCHANT"),$J211=""),"Item price required for this amount type",IF(AND(OR($S211="ITEM_PRICE_PLUS_DECLARED_DELIVERY",$S211="DELIVERY_CHARGE_ONLY"),$K211=""),"Declared delivery charge required",IF(AND(OR($S211="TOTAL_AMOUNT_INCLUDING_DELIVERY",$S211="EXACT_COLLECTION_AMOUNT"),$T211=""),"Stated total amount required",IF(AND($S211="TOTAL_AMOUNT_INCLUDING_DELIVERY",$T211&lt;SUM($J211,$U211)),"Stated total is below item price plus additional charge",IF($S211="EXACT_COLLECTION_AMOUNT","Authorized amount breakdown required before settlement","Ready for collection and settlement"))))))))))))</f>
        <v/>
      </c>
      <c r="AW211" s="23">
        <f>IF($AU211="","","PARCEL_FINANCIAL_V2")</f>
        <v/>
      </c>
      <c r="AX211" s="17" t="n"/>
    </row>
    <row r="212">
      <c r="A212" s="8" t="n"/>
      <c r="B212" s="8" t="n"/>
      <c r="C212" s="8" t="n"/>
      <c r="D212" s="8" t="n"/>
      <c r="E212" s="9" t="n"/>
      <c r="F212" s="9" t="n"/>
      <c r="G212" s="8" t="n"/>
      <c r="H212" s="9" t="n"/>
      <c r="I212" s="9" t="n"/>
      <c r="J212" s="10" t="n"/>
      <c r="K212" s="10" t="n"/>
      <c r="L212" s="11">
        <f>IF($S212="","",IF($S212="ITEM_PRICE_PLUS_DECLARED_DELIVERY",IF(OR($J212="",$K212=""),"",SUM($J212,$K212,$U212)),IF($S212="TOTAL_AMOUNT_INCLUDING_DELIVERY",IF($T212="","",$T212),IF($S212="DELIVERY_CHARGE_ONLY",IF($K212="","",SUM($K212,$U212)),IF($S212="EXACT_COLLECTION_AMOUNT",IF($T212="","",$T212),IF($S212="ITEM_PRICE_ONLY_DELIVERY_PAID_BY_MERCHANT",IF($J212="","",SUM($J212,$U212)),""))))))</f>
        <v/>
      </c>
      <c r="M212" s="12" t="n"/>
      <c r="N212" s="13" t="n"/>
      <c r="O212" s="13" t="n"/>
      <c r="P212" s="9" t="n"/>
      <c r="Q212" s="14" t="n"/>
      <c r="R212" s="15" t="n"/>
      <c r="S212" s="14" t="n"/>
      <c r="T212" s="16" t="n"/>
      <c r="U212" s="16" t="n"/>
      <c r="V212" s="16" t="n"/>
      <c r="W212" s="16" t="n"/>
      <c r="X212" s="16" t="n"/>
      <c r="Y212" s="16" t="n"/>
      <c r="Z212" s="14" t="n"/>
      <c r="AA212" s="14" t="n"/>
      <c r="AB212" s="14" t="n"/>
      <c r="AC212" s="17">
        <f>IFERROR(VLOOKUP($H212&amp;"|"&amp;$Q212,Tariff_Master!$A$2:$L$169,3,FALSE),"")</f>
        <v/>
      </c>
      <c r="AD212" s="17">
        <f>IFERROR(VLOOKUP($H212&amp;"|"&amp;$Q212,Tariff_Master!$A$2:$L$169,4,FALSE),"")</f>
        <v/>
      </c>
      <c r="AE212" s="18">
        <f>IFERROR(VLOOKUP($H212&amp;"|"&amp;$Q212,Tariff_Master!$A$2:$L$169,6,FALSE),"")</f>
        <v/>
      </c>
      <c r="AF212" s="19">
        <f>IFERROR(VLOOKUP($H212&amp;"|"&amp;$Q212,Tariff_Master!$A$2:$L$169,7,FALSE),"")</f>
        <v/>
      </c>
      <c r="AG212" s="18">
        <f>IFERROR(VLOOKUP($H212&amp;"|"&amp;$Q212,Tariff_Master!$A$2:$L$169,8,FALSE),"")</f>
        <v/>
      </c>
      <c r="AH212" s="20">
        <f>IFERROR(VLOOKUP($H212&amp;"|"&amp;$Q212,Tariff_Master!$A$2:$L$169,9,FALSE),"")</f>
        <v/>
      </c>
      <c r="AI212" s="18">
        <f>IFERROR(VLOOKUP($H212&amp;"|"&amp;$Q212,Tariff_Master!$A$2:$L$169,10,FALSE),"")</f>
        <v/>
      </c>
      <c r="AJ212" s="21">
        <f>IF($M212="","",ROUNDUP(MAX(0,$M212),0))</f>
        <v/>
      </c>
      <c r="AK212" s="21">
        <f>IF(OR($AJ212="",$AF212=""),"",MAX(0,$AJ212-$AF212))</f>
        <v/>
      </c>
      <c r="AL212" s="22">
        <f>IF(OR($AK212="",$AG212=""),"",MAX(0,$AK212*$AG212))</f>
        <v/>
      </c>
      <c r="AM212" s="22">
        <f>IF($AE212="","",MAX(0,SUM($AE212,$AL212,$V212,$W212)))</f>
        <v/>
      </c>
      <c r="AN212" s="22">
        <f>IF($AM212="","",IF(AND($Q212="COMMITMENT",$R212&gt;=$AH212),$AI212,0))</f>
        <v/>
      </c>
      <c r="AO212" s="23">
        <f>IF($AM212="","",MAX(0,$AM212-$AN212))</f>
        <v/>
      </c>
      <c r="AP212" s="22">
        <f>IF($S212="","",IF(OR($S212="ITEM_PRICE_PLUS_DECLARED_DELIVERY",$S212="DELIVERY_CHARGE_ONLY"),$K212,IF($S212="TOTAL_AMOUNT_INCLUDING_DELIVERY",IF(OR($T212="",$J212=""),"",MAX(0,$T212-$J212-$U212)),IF($S212="ITEM_PRICE_ONLY_DELIVERY_PAID_BY_MERCHANT",0,""))))</f>
        <v/>
      </c>
      <c r="AQ212" s="23">
        <f>IF(OR($AP212="",$AO212=""),"",$AP212-$AO212)</f>
        <v/>
      </c>
      <c r="AR212" s="24">
        <f>IF($S212="EXACT_COLLECTION_AMOUNT","BREAKDOWN_REQUIRED",IF($AQ212="","",IF($AQ212&gt;0,"CREDIT_TO_MERCHANT",IF($AQ212&lt;0,"DEDUCT_FROM_MERCHANT","NO_ADJUSTMENT"))))</f>
        <v/>
      </c>
      <c r="AS212" s="23">
        <f>IF(OR($AQ212="",$AR212="BREAKDOWN_REQUIRED"),"",$AQ212)</f>
        <v/>
      </c>
      <c r="AT212" s="23">
        <f>IF(OR($AR212="",$AR212="BREAKDOWN_REQUIRED"),"",SUM($J212,$AQ212,$Y212)-$X212)</f>
        <v/>
      </c>
      <c r="AU212" s="25">
        <f>IF(AND($A212="",$B212="",$F212="",$H212="",$J212="",$K212="",$M212="",$S212=""),"",IF(OR($H212="",$Q212="",$M212="",$S212=""),"ERROR",IF(OR($J212&lt;0,$K212&lt;0,$M212&lt;0,$T212&lt;0,$U212&lt;0,$V212&lt;0,$W212&lt;0,$X212&lt;0,$Y212&lt;0),"ERROR",IF($AE212="","ERROR",IF(AND(OR($S212="ITEM_PRICE_PLUS_DECLARED_DELIVERY",$S212="TOTAL_AMOUNT_INCLUDING_DELIVERY",$S212="ITEM_PRICE_ONLY_DELIVERY_PAID_BY_MERCHANT"),$J212=""),"ERROR",IF(AND(OR($S212="ITEM_PRICE_PLUS_DECLARED_DELIVERY",$S212="DELIVERY_CHARGE_ONLY"),$K212=""),"ERROR",IF(AND(OR($S212="TOTAL_AMOUNT_INCLUDING_DELIVERY",$S212="EXACT_COLLECTION_AMOUNT"),$T212=""),"ERROR",IF(AND($S212="TOTAL_AMOUNT_INCLUDING_DELIVERY",$T212&lt;SUM($J212,$U212)),"ERROR",IF($S212="EXACT_COLLECTION_AMOUNT","REVIEW","OK")))))))))</f>
        <v/>
      </c>
      <c r="AV212" s="25">
        <f>IF($AU212="","",IF($H212="","Township required",IF($Q212="","Customer tier required",IF($M212="","Weight required",IF($S212="","Amount entry type required",IF(OR($J212&lt;0,$K212&lt;0,$M212&lt;0,$T212&lt;0,$U212&lt;0,$V212&lt;0,$W212&lt;0,$X212&lt;0,$Y212&lt;0),"Negative amounts are not allowed",IF($AE212="","Tariff not found for township and tier",IF(AND(OR($S212="ITEM_PRICE_PLUS_DECLARED_DELIVERY",$S212="TOTAL_AMOUNT_INCLUDING_DELIVERY",$S212="ITEM_PRICE_ONLY_DELIVERY_PAID_BY_MERCHANT"),$J212=""),"Item price required for this amount type",IF(AND(OR($S212="ITEM_PRICE_PLUS_DECLARED_DELIVERY",$S212="DELIVERY_CHARGE_ONLY"),$K212=""),"Declared delivery charge required",IF(AND(OR($S212="TOTAL_AMOUNT_INCLUDING_DELIVERY",$S212="EXACT_COLLECTION_AMOUNT"),$T212=""),"Stated total amount required",IF(AND($S212="TOTAL_AMOUNT_INCLUDING_DELIVERY",$T212&lt;SUM($J212,$U212)),"Stated total is below item price plus additional charge",IF($S212="EXACT_COLLECTION_AMOUNT","Authorized amount breakdown required before settlement","Ready for collection and settlement"))))))))))))</f>
        <v/>
      </c>
      <c r="AW212" s="23">
        <f>IF($AU212="","","PARCEL_FINANCIAL_V2")</f>
        <v/>
      </c>
      <c r="AX212" s="17" t="n"/>
    </row>
    <row r="213">
      <c r="A213" s="8" t="n"/>
      <c r="B213" s="8" t="n"/>
      <c r="C213" s="8" t="n"/>
      <c r="D213" s="8" t="n"/>
      <c r="E213" s="9" t="n"/>
      <c r="F213" s="9" t="n"/>
      <c r="G213" s="8" t="n"/>
      <c r="H213" s="9" t="n"/>
      <c r="I213" s="9" t="n"/>
      <c r="J213" s="10" t="n"/>
      <c r="K213" s="10" t="n"/>
      <c r="L213" s="11">
        <f>IF($S213="","",IF($S213="ITEM_PRICE_PLUS_DECLARED_DELIVERY",IF(OR($J213="",$K213=""),"",SUM($J213,$K213,$U213)),IF($S213="TOTAL_AMOUNT_INCLUDING_DELIVERY",IF($T213="","",$T213),IF($S213="DELIVERY_CHARGE_ONLY",IF($K213="","",SUM($K213,$U213)),IF($S213="EXACT_COLLECTION_AMOUNT",IF($T213="","",$T213),IF($S213="ITEM_PRICE_ONLY_DELIVERY_PAID_BY_MERCHANT",IF($J213="","",SUM($J213,$U213)),""))))))</f>
        <v/>
      </c>
      <c r="M213" s="12" t="n"/>
      <c r="N213" s="13" t="n"/>
      <c r="O213" s="13" t="n"/>
      <c r="P213" s="9" t="n"/>
      <c r="Q213" s="14" t="n"/>
      <c r="R213" s="15" t="n"/>
      <c r="S213" s="14" t="n"/>
      <c r="T213" s="16" t="n"/>
      <c r="U213" s="16" t="n"/>
      <c r="V213" s="16" t="n"/>
      <c r="W213" s="16" t="n"/>
      <c r="X213" s="16" t="n"/>
      <c r="Y213" s="16" t="n"/>
      <c r="Z213" s="14" t="n"/>
      <c r="AA213" s="14" t="n"/>
      <c r="AB213" s="14" t="n"/>
      <c r="AC213" s="17">
        <f>IFERROR(VLOOKUP($H213&amp;"|"&amp;$Q213,Tariff_Master!$A$2:$L$169,3,FALSE),"")</f>
        <v/>
      </c>
      <c r="AD213" s="17">
        <f>IFERROR(VLOOKUP($H213&amp;"|"&amp;$Q213,Tariff_Master!$A$2:$L$169,4,FALSE),"")</f>
        <v/>
      </c>
      <c r="AE213" s="18">
        <f>IFERROR(VLOOKUP($H213&amp;"|"&amp;$Q213,Tariff_Master!$A$2:$L$169,6,FALSE),"")</f>
        <v/>
      </c>
      <c r="AF213" s="19">
        <f>IFERROR(VLOOKUP($H213&amp;"|"&amp;$Q213,Tariff_Master!$A$2:$L$169,7,FALSE),"")</f>
        <v/>
      </c>
      <c r="AG213" s="18">
        <f>IFERROR(VLOOKUP($H213&amp;"|"&amp;$Q213,Tariff_Master!$A$2:$L$169,8,FALSE),"")</f>
        <v/>
      </c>
      <c r="AH213" s="20">
        <f>IFERROR(VLOOKUP($H213&amp;"|"&amp;$Q213,Tariff_Master!$A$2:$L$169,9,FALSE),"")</f>
        <v/>
      </c>
      <c r="AI213" s="18">
        <f>IFERROR(VLOOKUP($H213&amp;"|"&amp;$Q213,Tariff_Master!$A$2:$L$169,10,FALSE),"")</f>
        <v/>
      </c>
      <c r="AJ213" s="21">
        <f>IF($M213="","",ROUNDUP(MAX(0,$M213),0))</f>
        <v/>
      </c>
      <c r="AK213" s="21">
        <f>IF(OR($AJ213="",$AF213=""),"",MAX(0,$AJ213-$AF213))</f>
        <v/>
      </c>
      <c r="AL213" s="22">
        <f>IF(OR($AK213="",$AG213=""),"",MAX(0,$AK213*$AG213))</f>
        <v/>
      </c>
      <c r="AM213" s="22">
        <f>IF($AE213="","",MAX(0,SUM($AE213,$AL213,$V213,$W213)))</f>
        <v/>
      </c>
      <c r="AN213" s="22">
        <f>IF($AM213="","",IF(AND($Q213="COMMITMENT",$R213&gt;=$AH213),$AI213,0))</f>
        <v/>
      </c>
      <c r="AO213" s="23">
        <f>IF($AM213="","",MAX(0,$AM213-$AN213))</f>
        <v/>
      </c>
      <c r="AP213" s="22">
        <f>IF($S213="","",IF(OR($S213="ITEM_PRICE_PLUS_DECLARED_DELIVERY",$S213="DELIVERY_CHARGE_ONLY"),$K213,IF($S213="TOTAL_AMOUNT_INCLUDING_DELIVERY",IF(OR($T213="",$J213=""),"",MAX(0,$T213-$J213-$U213)),IF($S213="ITEM_PRICE_ONLY_DELIVERY_PAID_BY_MERCHANT",0,""))))</f>
        <v/>
      </c>
      <c r="AQ213" s="23">
        <f>IF(OR($AP213="",$AO213=""),"",$AP213-$AO213)</f>
        <v/>
      </c>
      <c r="AR213" s="24">
        <f>IF($S213="EXACT_COLLECTION_AMOUNT","BREAKDOWN_REQUIRED",IF($AQ213="","",IF($AQ213&gt;0,"CREDIT_TO_MERCHANT",IF($AQ213&lt;0,"DEDUCT_FROM_MERCHANT","NO_ADJUSTMENT"))))</f>
        <v/>
      </c>
      <c r="AS213" s="23">
        <f>IF(OR($AQ213="",$AR213="BREAKDOWN_REQUIRED"),"",$AQ213)</f>
        <v/>
      </c>
      <c r="AT213" s="23">
        <f>IF(OR($AR213="",$AR213="BREAKDOWN_REQUIRED"),"",SUM($J213,$AQ213,$Y213)-$X213)</f>
        <v/>
      </c>
      <c r="AU213" s="25">
        <f>IF(AND($A213="",$B213="",$F213="",$H213="",$J213="",$K213="",$M213="",$S213=""),"",IF(OR($H213="",$Q213="",$M213="",$S213=""),"ERROR",IF(OR($J213&lt;0,$K213&lt;0,$M213&lt;0,$T213&lt;0,$U213&lt;0,$V213&lt;0,$W213&lt;0,$X213&lt;0,$Y213&lt;0),"ERROR",IF($AE213="","ERROR",IF(AND(OR($S213="ITEM_PRICE_PLUS_DECLARED_DELIVERY",$S213="TOTAL_AMOUNT_INCLUDING_DELIVERY",$S213="ITEM_PRICE_ONLY_DELIVERY_PAID_BY_MERCHANT"),$J213=""),"ERROR",IF(AND(OR($S213="ITEM_PRICE_PLUS_DECLARED_DELIVERY",$S213="DELIVERY_CHARGE_ONLY"),$K213=""),"ERROR",IF(AND(OR($S213="TOTAL_AMOUNT_INCLUDING_DELIVERY",$S213="EXACT_COLLECTION_AMOUNT"),$T213=""),"ERROR",IF(AND($S213="TOTAL_AMOUNT_INCLUDING_DELIVERY",$T213&lt;SUM($J213,$U213)),"ERROR",IF($S213="EXACT_COLLECTION_AMOUNT","REVIEW","OK")))))))))</f>
        <v/>
      </c>
      <c r="AV213" s="25">
        <f>IF($AU213="","",IF($H213="","Township required",IF($Q213="","Customer tier required",IF($M213="","Weight required",IF($S213="","Amount entry type required",IF(OR($J213&lt;0,$K213&lt;0,$M213&lt;0,$T213&lt;0,$U213&lt;0,$V213&lt;0,$W213&lt;0,$X213&lt;0,$Y213&lt;0),"Negative amounts are not allowed",IF($AE213="","Tariff not found for township and tier",IF(AND(OR($S213="ITEM_PRICE_PLUS_DECLARED_DELIVERY",$S213="TOTAL_AMOUNT_INCLUDING_DELIVERY",$S213="ITEM_PRICE_ONLY_DELIVERY_PAID_BY_MERCHANT"),$J213=""),"Item price required for this amount type",IF(AND(OR($S213="ITEM_PRICE_PLUS_DECLARED_DELIVERY",$S213="DELIVERY_CHARGE_ONLY"),$K213=""),"Declared delivery charge required",IF(AND(OR($S213="TOTAL_AMOUNT_INCLUDING_DELIVERY",$S213="EXACT_COLLECTION_AMOUNT"),$T213=""),"Stated total amount required",IF(AND($S213="TOTAL_AMOUNT_INCLUDING_DELIVERY",$T213&lt;SUM($J213,$U213)),"Stated total is below item price plus additional charge",IF($S213="EXACT_COLLECTION_AMOUNT","Authorized amount breakdown required before settlement","Ready for collection and settlement"))))))))))))</f>
        <v/>
      </c>
      <c r="AW213" s="23">
        <f>IF($AU213="","","PARCEL_FINANCIAL_V2")</f>
        <v/>
      </c>
      <c r="AX213" s="17" t="n"/>
    </row>
    <row r="214">
      <c r="A214" s="8" t="n"/>
      <c r="B214" s="8" t="n"/>
      <c r="C214" s="8" t="n"/>
      <c r="D214" s="8" t="n"/>
      <c r="E214" s="9" t="n"/>
      <c r="F214" s="9" t="n"/>
      <c r="G214" s="8" t="n"/>
      <c r="H214" s="9" t="n"/>
      <c r="I214" s="9" t="n"/>
      <c r="J214" s="10" t="n"/>
      <c r="K214" s="10" t="n"/>
      <c r="L214" s="11">
        <f>IF($S214="","",IF($S214="ITEM_PRICE_PLUS_DECLARED_DELIVERY",IF(OR($J214="",$K214=""),"",SUM($J214,$K214,$U214)),IF($S214="TOTAL_AMOUNT_INCLUDING_DELIVERY",IF($T214="","",$T214),IF($S214="DELIVERY_CHARGE_ONLY",IF($K214="","",SUM($K214,$U214)),IF($S214="EXACT_COLLECTION_AMOUNT",IF($T214="","",$T214),IF($S214="ITEM_PRICE_ONLY_DELIVERY_PAID_BY_MERCHANT",IF($J214="","",SUM($J214,$U214)),""))))))</f>
        <v/>
      </c>
      <c r="M214" s="12" t="n"/>
      <c r="N214" s="13" t="n"/>
      <c r="O214" s="13" t="n"/>
      <c r="P214" s="9" t="n"/>
      <c r="Q214" s="14" t="n"/>
      <c r="R214" s="15" t="n"/>
      <c r="S214" s="14" t="n"/>
      <c r="T214" s="16" t="n"/>
      <c r="U214" s="16" t="n"/>
      <c r="V214" s="16" t="n"/>
      <c r="W214" s="16" t="n"/>
      <c r="X214" s="16" t="n"/>
      <c r="Y214" s="16" t="n"/>
      <c r="Z214" s="14" t="n"/>
      <c r="AA214" s="14" t="n"/>
      <c r="AB214" s="14" t="n"/>
      <c r="AC214" s="17">
        <f>IFERROR(VLOOKUP($H214&amp;"|"&amp;$Q214,Tariff_Master!$A$2:$L$169,3,FALSE),"")</f>
        <v/>
      </c>
      <c r="AD214" s="17">
        <f>IFERROR(VLOOKUP($H214&amp;"|"&amp;$Q214,Tariff_Master!$A$2:$L$169,4,FALSE),"")</f>
        <v/>
      </c>
      <c r="AE214" s="18">
        <f>IFERROR(VLOOKUP($H214&amp;"|"&amp;$Q214,Tariff_Master!$A$2:$L$169,6,FALSE),"")</f>
        <v/>
      </c>
      <c r="AF214" s="19">
        <f>IFERROR(VLOOKUP($H214&amp;"|"&amp;$Q214,Tariff_Master!$A$2:$L$169,7,FALSE),"")</f>
        <v/>
      </c>
      <c r="AG214" s="18">
        <f>IFERROR(VLOOKUP($H214&amp;"|"&amp;$Q214,Tariff_Master!$A$2:$L$169,8,FALSE),"")</f>
        <v/>
      </c>
      <c r="AH214" s="20">
        <f>IFERROR(VLOOKUP($H214&amp;"|"&amp;$Q214,Tariff_Master!$A$2:$L$169,9,FALSE),"")</f>
        <v/>
      </c>
      <c r="AI214" s="18">
        <f>IFERROR(VLOOKUP($H214&amp;"|"&amp;$Q214,Tariff_Master!$A$2:$L$169,10,FALSE),"")</f>
        <v/>
      </c>
      <c r="AJ214" s="21">
        <f>IF($M214="","",ROUNDUP(MAX(0,$M214),0))</f>
        <v/>
      </c>
      <c r="AK214" s="21">
        <f>IF(OR($AJ214="",$AF214=""),"",MAX(0,$AJ214-$AF214))</f>
        <v/>
      </c>
      <c r="AL214" s="22">
        <f>IF(OR($AK214="",$AG214=""),"",MAX(0,$AK214*$AG214))</f>
        <v/>
      </c>
      <c r="AM214" s="22">
        <f>IF($AE214="","",MAX(0,SUM($AE214,$AL214,$V214,$W214)))</f>
        <v/>
      </c>
      <c r="AN214" s="22">
        <f>IF($AM214="","",IF(AND($Q214="COMMITMENT",$R214&gt;=$AH214),$AI214,0))</f>
        <v/>
      </c>
      <c r="AO214" s="23">
        <f>IF($AM214="","",MAX(0,$AM214-$AN214))</f>
        <v/>
      </c>
      <c r="AP214" s="22">
        <f>IF($S214="","",IF(OR($S214="ITEM_PRICE_PLUS_DECLARED_DELIVERY",$S214="DELIVERY_CHARGE_ONLY"),$K214,IF($S214="TOTAL_AMOUNT_INCLUDING_DELIVERY",IF(OR($T214="",$J214=""),"",MAX(0,$T214-$J214-$U214)),IF($S214="ITEM_PRICE_ONLY_DELIVERY_PAID_BY_MERCHANT",0,""))))</f>
        <v/>
      </c>
      <c r="AQ214" s="23">
        <f>IF(OR($AP214="",$AO214=""),"",$AP214-$AO214)</f>
        <v/>
      </c>
      <c r="AR214" s="24">
        <f>IF($S214="EXACT_COLLECTION_AMOUNT","BREAKDOWN_REQUIRED",IF($AQ214="","",IF($AQ214&gt;0,"CREDIT_TO_MERCHANT",IF($AQ214&lt;0,"DEDUCT_FROM_MERCHANT","NO_ADJUSTMENT"))))</f>
        <v/>
      </c>
      <c r="AS214" s="23">
        <f>IF(OR($AQ214="",$AR214="BREAKDOWN_REQUIRED"),"",$AQ214)</f>
        <v/>
      </c>
      <c r="AT214" s="23">
        <f>IF(OR($AR214="",$AR214="BREAKDOWN_REQUIRED"),"",SUM($J214,$AQ214,$Y214)-$X214)</f>
        <v/>
      </c>
      <c r="AU214" s="25">
        <f>IF(AND($A214="",$B214="",$F214="",$H214="",$J214="",$K214="",$M214="",$S214=""),"",IF(OR($H214="",$Q214="",$M214="",$S214=""),"ERROR",IF(OR($J214&lt;0,$K214&lt;0,$M214&lt;0,$T214&lt;0,$U214&lt;0,$V214&lt;0,$W214&lt;0,$X214&lt;0,$Y214&lt;0),"ERROR",IF($AE214="","ERROR",IF(AND(OR($S214="ITEM_PRICE_PLUS_DECLARED_DELIVERY",$S214="TOTAL_AMOUNT_INCLUDING_DELIVERY",$S214="ITEM_PRICE_ONLY_DELIVERY_PAID_BY_MERCHANT"),$J214=""),"ERROR",IF(AND(OR($S214="ITEM_PRICE_PLUS_DECLARED_DELIVERY",$S214="DELIVERY_CHARGE_ONLY"),$K214=""),"ERROR",IF(AND(OR($S214="TOTAL_AMOUNT_INCLUDING_DELIVERY",$S214="EXACT_COLLECTION_AMOUNT"),$T214=""),"ERROR",IF(AND($S214="TOTAL_AMOUNT_INCLUDING_DELIVERY",$T214&lt;SUM($J214,$U214)),"ERROR",IF($S214="EXACT_COLLECTION_AMOUNT","REVIEW","OK")))))))))</f>
        <v/>
      </c>
      <c r="AV214" s="25">
        <f>IF($AU214="","",IF($H214="","Township required",IF($Q214="","Customer tier required",IF($M214="","Weight required",IF($S214="","Amount entry type required",IF(OR($J214&lt;0,$K214&lt;0,$M214&lt;0,$T214&lt;0,$U214&lt;0,$V214&lt;0,$W214&lt;0,$X214&lt;0,$Y214&lt;0),"Negative amounts are not allowed",IF($AE214="","Tariff not found for township and tier",IF(AND(OR($S214="ITEM_PRICE_PLUS_DECLARED_DELIVERY",$S214="TOTAL_AMOUNT_INCLUDING_DELIVERY",$S214="ITEM_PRICE_ONLY_DELIVERY_PAID_BY_MERCHANT"),$J214=""),"Item price required for this amount type",IF(AND(OR($S214="ITEM_PRICE_PLUS_DECLARED_DELIVERY",$S214="DELIVERY_CHARGE_ONLY"),$K214=""),"Declared delivery charge required",IF(AND(OR($S214="TOTAL_AMOUNT_INCLUDING_DELIVERY",$S214="EXACT_COLLECTION_AMOUNT"),$T214=""),"Stated total amount required",IF(AND($S214="TOTAL_AMOUNT_INCLUDING_DELIVERY",$T214&lt;SUM($J214,$U214)),"Stated total is below item price plus additional charge",IF($S214="EXACT_COLLECTION_AMOUNT","Authorized amount breakdown required before settlement","Ready for collection and settlement"))))))))))))</f>
        <v/>
      </c>
      <c r="AW214" s="23">
        <f>IF($AU214="","","PARCEL_FINANCIAL_V2")</f>
        <v/>
      </c>
      <c r="AX214" s="17" t="n"/>
    </row>
    <row r="215">
      <c r="A215" s="8" t="n"/>
      <c r="B215" s="8" t="n"/>
      <c r="C215" s="8" t="n"/>
      <c r="D215" s="8" t="n"/>
      <c r="E215" s="9" t="n"/>
      <c r="F215" s="9" t="n"/>
      <c r="G215" s="8" t="n"/>
      <c r="H215" s="9" t="n"/>
      <c r="I215" s="9" t="n"/>
      <c r="J215" s="10" t="n"/>
      <c r="K215" s="10" t="n"/>
      <c r="L215" s="11">
        <f>IF($S215="","",IF($S215="ITEM_PRICE_PLUS_DECLARED_DELIVERY",IF(OR($J215="",$K215=""),"",SUM($J215,$K215,$U215)),IF($S215="TOTAL_AMOUNT_INCLUDING_DELIVERY",IF($T215="","",$T215),IF($S215="DELIVERY_CHARGE_ONLY",IF($K215="","",SUM($K215,$U215)),IF($S215="EXACT_COLLECTION_AMOUNT",IF($T215="","",$T215),IF($S215="ITEM_PRICE_ONLY_DELIVERY_PAID_BY_MERCHANT",IF($J215="","",SUM($J215,$U215)),""))))))</f>
        <v/>
      </c>
      <c r="M215" s="12" t="n"/>
      <c r="N215" s="13" t="n"/>
      <c r="O215" s="13" t="n"/>
      <c r="P215" s="9" t="n"/>
      <c r="Q215" s="14" t="n"/>
      <c r="R215" s="15" t="n"/>
      <c r="S215" s="14" t="n"/>
      <c r="T215" s="16" t="n"/>
      <c r="U215" s="16" t="n"/>
      <c r="V215" s="16" t="n"/>
      <c r="W215" s="16" t="n"/>
      <c r="X215" s="16" t="n"/>
      <c r="Y215" s="16" t="n"/>
      <c r="Z215" s="14" t="n"/>
      <c r="AA215" s="14" t="n"/>
      <c r="AB215" s="14" t="n"/>
      <c r="AC215" s="17">
        <f>IFERROR(VLOOKUP($H215&amp;"|"&amp;$Q215,Tariff_Master!$A$2:$L$169,3,FALSE),"")</f>
        <v/>
      </c>
      <c r="AD215" s="17">
        <f>IFERROR(VLOOKUP($H215&amp;"|"&amp;$Q215,Tariff_Master!$A$2:$L$169,4,FALSE),"")</f>
        <v/>
      </c>
      <c r="AE215" s="18">
        <f>IFERROR(VLOOKUP($H215&amp;"|"&amp;$Q215,Tariff_Master!$A$2:$L$169,6,FALSE),"")</f>
        <v/>
      </c>
      <c r="AF215" s="19">
        <f>IFERROR(VLOOKUP($H215&amp;"|"&amp;$Q215,Tariff_Master!$A$2:$L$169,7,FALSE),"")</f>
        <v/>
      </c>
      <c r="AG215" s="18">
        <f>IFERROR(VLOOKUP($H215&amp;"|"&amp;$Q215,Tariff_Master!$A$2:$L$169,8,FALSE),"")</f>
        <v/>
      </c>
      <c r="AH215" s="20">
        <f>IFERROR(VLOOKUP($H215&amp;"|"&amp;$Q215,Tariff_Master!$A$2:$L$169,9,FALSE),"")</f>
        <v/>
      </c>
      <c r="AI215" s="18">
        <f>IFERROR(VLOOKUP($H215&amp;"|"&amp;$Q215,Tariff_Master!$A$2:$L$169,10,FALSE),"")</f>
        <v/>
      </c>
      <c r="AJ215" s="21">
        <f>IF($M215="","",ROUNDUP(MAX(0,$M215),0))</f>
        <v/>
      </c>
      <c r="AK215" s="21">
        <f>IF(OR($AJ215="",$AF215=""),"",MAX(0,$AJ215-$AF215))</f>
        <v/>
      </c>
      <c r="AL215" s="22">
        <f>IF(OR($AK215="",$AG215=""),"",MAX(0,$AK215*$AG215))</f>
        <v/>
      </c>
      <c r="AM215" s="22">
        <f>IF($AE215="","",MAX(0,SUM($AE215,$AL215,$V215,$W215)))</f>
        <v/>
      </c>
      <c r="AN215" s="22">
        <f>IF($AM215="","",IF(AND($Q215="COMMITMENT",$R215&gt;=$AH215),$AI215,0))</f>
        <v/>
      </c>
      <c r="AO215" s="23">
        <f>IF($AM215="","",MAX(0,$AM215-$AN215))</f>
        <v/>
      </c>
      <c r="AP215" s="22">
        <f>IF($S215="","",IF(OR($S215="ITEM_PRICE_PLUS_DECLARED_DELIVERY",$S215="DELIVERY_CHARGE_ONLY"),$K215,IF($S215="TOTAL_AMOUNT_INCLUDING_DELIVERY",IF(OR($T215="",$J215=""),"",MAX(0,$T215-$J215-$U215)),IF($S215="ITEM_PRICE_ONLY_DELIVERY_PAID_BY_MERCHANT",0,""))))</f>
        <v/>
      </c>
      <c r="AQ215" s="23">
        <f>IF(OR($AP215="",$AO215=""),"",$AP215-$AO215)</f>
        <v/>
      </c>
      <c r="AR215" s="24">
        <f>IF($S215="EXACT_COLLECTION_AMOUNT","BREAKDOWN_REQUIRED",IF($AQ215="","",IF($AQ215&gt;0,"CREDIT_TO_MERCHANT",IF($AQ215&lt;0,"DEDUCT_FROM_MERCHANT","NO_ADJUSTMENT"))))</f>
        <v/>
      </c>
      <c r="AS215" s="23">
        <f>IF(OR($AQ215="",$AR215="BREAKDOWN_REQUIRED"),"",$AQ215)</f>
        <v/>
      </c>
      <c r="AT215" s="23">
        <f>IF(OR($AR215="",$AR215="BREAKDOWN_REQUIRED"),"",SUM($J215,$AQ215,$Y215)-$X215)</f>
        <v/>
      </c>
      <c r="AU215" s="25">
        <f>IF(AND($A215="",$B215="",$F215="",$H215="",$J215="",$K215="",$M215="",$S215=""),"",IF(OR($H215="",$Q215="",$M215="",$S215=""),"ERROR",IF(OR($J215&lt;0,$K215&lt;0,$M215&lt;0,$T215&lt;0,$U215&lt;0,$V215&lt;0,$W215&lt;0,$X215&lt;0,$Y215&lt;0),"ERROR",IF($AE215="","ERROR",IF(AND(OR($S215="ITEM_PRICE_PLUS_DECLARED_DELIVERY",$S215="TOTAL_AMOUNT_INCLUDING_DELIVERY",$S215="ITEM_PRICE_ONLY_DELIVERY_PAID_BY_MERCHANT"),$J215=""),"ERROR",IF(AND(OR($S215="ITEM_PRICE_PLUS_DECLARED_DELIVERY",$S215="DELIVERY_CHARGE_ONLY"),$K215=""),"ERROR",IF(AND(OR($S215="TOTAL_AMOUNT_INCLUDING_DELIVERY",$S215="EXACT_COLLECTION_AMOUNT"),$T215=""),"ERROR",IF(AND($S215="TOTAL_AMOUNT_INCLUDING_DELIVERY",$T215&lt;SUM($J215,$U215)),"ERROR",IF($S215="EXACT_COLLECTION_AMOUNT","REVIEW","OK")))))))))</f>
        <v/>
      </c>
      <c r="AV215" s="25">
        <f>IF($AU215="","",IF($H215="","Township required",IF($Q215="","Customer tier required",IF($M215="","Weight required",IF($S215="","Amount entry type required",IF(OR($J215&lt;0,$K215&lt;0,$M215&lt;0,$T215&lt;0,$U215&lt;0,$V215&lt;0,$W215&lt;0,$X215&lt;0,$Y215&lt;0),"Negative amounts are not allowed",IF($AE215="","Tariff not found for township and tier",IF(AND(OR($S215="ITEM_PRICE_PLUS_DECLARED_DELIVERY",$S215="TOTAL_AMOUNT_INCLUDING_DELIVERY",$S215="ITEM_PRICE_ONLY_DELIVERY_PAID_BY_MERCHANT"),$J215=""),"Item price required for this amount type",IF(AND(OR($S215="ITEM_PRICE_PLUS_DECLARED_DELIVERY",$S215="DELIVERY_CHARGE_ONLY"),$K215=""),"Declared delivery charge required",IF(AND(OR($S215="TOTAL_AMOUNT_INCLUDING_DELIVERY",$S215="EXACT_COLLECTION_AMOUNT"),$T215=""),"Stated total amount required",IF(AND($S215="TOTAL_AMOUNT_INCLUDING_DELIVERY",$T215&lt;SUM($J215,$U215)),"Stated total is below item price plus additional charge",IF($S215="EXACT_COLLECTION_AMOUNT","Authorized amount breakdown required before settlement","Ready for collection and settlement"))))))))))))</f>
        <v/>
      </c>
      <c r="AW215" s="23">
        <f>IF($AU215="","","PARCEL_FINANCIAL_V2")</f>
        <v/>
      </c>
      <c r="AX215" s="17" t="n"/>
    </row>
    <row r="216">
      <c r="A216" s="8" t="n"/>
      <c r="B216" s="8" t="n"/>
      <c r="C216" s="8" t="n"/>
      <c r="D216" s="8" t="n"/>
      <c r="E216" s="9" t="n"/>
      <c r="F216" s="9" t="n"/>
      <c r="G216" s="8" t="n"/>
      <c r="H216" s="9" t="n"/>
      <c r="I216" s="9" t="n"/>
      <c r="J216" s="10" t="n"/>
      <c r="K216" s="10" t="n"/>
      <c r="L216" s="11">
        <f>IF($S216="","",IF($S216="ITEM_PRICE_PLUS_DECLARED_DELIVERY",IF(OR($J216="",$K216=""),"",SUM($J216,$K216,$U216)),IF($S216="TOTAL_AMOUNT_INCLUDING_DELIVERY",IF($T216="","",$T216),IF($S216="DELIVERY_CHARGE_ONLY",IF($K216="","",SUM($K216,$U216)),IF($S216="EXACT_COLLECTION_AMOUNT",IF($T216="","",$T216),IF($S216="ITEM_PRICE_ONLY_DELIVERY_PAID_BY_MERCHANT",IF($J216="","",SUM($J216,$U216)),""))))))</f>
        <v/>
      </c>
      <c r="M216" s="12" t="n"/>
      <c r="N216" s="13" t="n"/>
      <c r="O216" s="13" t="n"/>
      <c r="P216" s="9" t="n"/>
      <c r="Q216" s="14" t="n"/>
      <c r="R216" s="15" t="n"/>
      <c r="S216" s="14" t="n"/>
      <c r="T216" s="16" t="n"/>
      <c r="U216" s="16" t="n"/>
      <c r="V216" s="16" t="n"/>
      <c r="W216" s="16" t="n"/>
      <c r="X216" s="16" t="n"/>
      <c r="Y216" s="16" t="n"/>
      <c r="Z216" s="14" t="n"/>
      <c r="AA216" s="14" t="n"/>
      <c r="AB216" s="14" t="n"/>
      <c r="AC216" s="17">
        <f>IFERROR(VLOOKUP($H216&amp;"|"&amp;$Q216,Tariff_Master!$A$2:$L$169,3,FALSE),"")</f>
        <v/>
      </c>
      <c r="AD216" s="17">
        <f>IFERROR(VLOOKUP($H216&amp;"|"&amp;$Q216,Tariff_Master!$A$2:$L$169,4,FALSE),"")</f>
        <v/>
      </c>
      <c r="AE216" s="18">
        <f>IFERROR(VLOOKUP($H216&amp;"|"&amp;$Q216,Tariff_Master!$A$2:$L$169,6,FALSE),"")</f>
        <v/>
      </c>
      <c r="AF216" s="19">
        <f>IFERROR(VLOOKUP($H216&amp;"|"&amp;$Q216,Tariff_Master!$A$2:$L$169,7,FALSE),"")</f>
        <v/>
      </c>
      <c r="AG216" s="18">
        <f>IFERROR(VLOOKUP($H216&amp;"|"&amp;$Q216,Tariff_Master!$A$2:$L$169,8,FALSE),"")</f>
        <v/>
      </c>
      <c r="AH216" s="20">
        <f>IFERROR(VLOOKUP($H216&amp;"|"&amp;$Q216,Tariff_Master!$A$2:$L$169,9,FALSE),"")</f>
        <v/>
      </c>
      <c r="AI216" s="18">
        <f>IFERROR(VLOOKUP($H216&amp;"|"&amp;$Q216,Tariff_Master!$A$2:$L$169,10,FALSE),"")</f>
        <v/>
      </c>
      <c r="AJ216" s="21">
        <f>IF($M216="","",ROUNDUP(MAX(0,$M216),0))</f>
        <v/>
      </c>
      <c r="AK216" s="21">
        <f>IF(OR($AJ216="",$AF216=""),"",MAX(0,$AJ216-$AF216))</f>
        <v/>
      </c>
      <c r="AL216" s="22">
        <f>IF(OR($AK216="",$AG216=""),"",MAX(0,$AK216*$AG216))</f>
        <v/>
      </c>
      <c r="AM216" s="22">
        <f>IF($AE216="","",MAX(0,SUM($AE216,$AL216,$V216,$W216)))</f>
        <v/>
      </c>
      <c r="AN216" s="22">
        <f>IF($AM216="","",IF(AND($Q216="COMMITMENT",$R216&gt;=$AH216),$AI216,0))</f>
        <v/>
      </c>
      <c r="AO216" s="23">
        <f>IF($AM216="","",MAX(0,$AM216-$AN216))</f>
        <v/>
      </c>
      <c r="AP216" s="22">
        <f>IF($S216="","",IF(OR($S216="ITEM_PRICE_PLUS_DECLARED_DELIVERY",$S216="DELIVERY_CHARGE_ONLY"),$K216,IF($S216="TOTAL_AMOUNT_INCLUDING_DELIVERY",IF(OR($T216="",$J216=""),"",MAX(0,$T216-$J216-$U216)),IF($S216="ITEM_PRICE_ONLY_DELIVERY_PAID_BY_MERCHANT",0,""))))</f>
        <v/>
      </c>
      <c r="AQ216" s="23">
        <f>IF(OR($AP216="",$AO216=""),"",$AP216-$AO216)</f>
        <v/>
      </c>
      <c r="AR216" s="24">
        <f>IF($S216="EXACT_COLLECTION_AMOUNT","BREAKDOWN_REQUIRED",IF($AQ216="","",IF($AQ216&gt;0,"CREDIT_TO_MERCHANT",IF($AQ216&lt;0,"DEDUCT_FROM_MERCHANT","NO_ADJUSTMENT"))))</f>
        <v/>
      </c>
      <c r="AS216" s="23">
        <f>IF(OR($AQ216="",$AR216="BREAKDOWN_REQUIRED"),"",$AQ216)</f>
        <v/>
      </c>
      <c r="AT216" s="23">
        <f>IF(OR($AR216="",$AR216="BREAKDOWN_REQUIRED"),"",SUM($J216,$AQ216,$Y216)-$X216)</f>
        <v/>
      </c>
      <c r="AU216" s="25">
        <f>IF(AND($A216="",$B216="",$F216="",$H216="",$J216="",$K216="",$M216="",$S216=""),"",IF(OR($H216="",$Q216="",$M216="",$S216=""),"ERROR",IF(OR($J216&lt;0,$K216&lt;0,$M216&lt;0,$T216&lt;0,$U216&lt;0,$V216&lt;0,$W216&lt;0,$X216&lt;0,$Y216&lt;0),"ERROR",IF($AE216="","ERROR",IF(AND(OR($S216="ITEM_PRICE_PLUS_DECLARED_DELIVERY",$S216="TOTAL_AMOUNT_INCLUDING_DELIVERY",$S216="ITEM_PRICE_ONLY_DELIVERY_PAID_BY_MERCHANT"),$J216=""),"ERROR",IF(AND(OR($S216="ITEM_PRICE_PLUS_DECLARED_DELIVERY",$S216="DELIVERY_CHARGE_ONLY"),$K216=""),"ERROR",IF(AND(OR($S216="TOTAL_AMOUNT_INCLUDING_DELIVERY",$S216="EXACT_COLLECTION_AMOUNT"),$T216=""),"ERROR",IF(AND($S216="TOTAL_AMOUNT_INCLUDING_DELIVERY",$T216&lt;SUM($J216,$U216)),"ERROR",IF($S216="EXACT_COLLECTION_AMOUNT","REVIEW","OK")))))))))</f>
        <v/>
      </c>
      <c r="AV216" s="25">
        <f>IF($AU216="","",IF($H216="","Township required",IF($Q216="","Customer tier required",IF($M216="","Weight required",IF($S216="","Amount entry type required",IF(OR($J216&lt;0,$K216&lt;0,$M216&lt;0,$T216&lt;0,$U216&lt;0,$V216&lt;0,$W216&lt;0,$X216&lt;0,$Y216&lt;0),"Negative amounts are not allowed",IF($AE216="","Tariff not found for township and tier",IF(AND(OR($S216="ITEM_PRICE_PLUS_DECLARED_DELIVERY",$S216="TOTAL_AMOUNT_INCLUDING_DELIVERY",$S216="ITEM_PRICE_ONLY_DELIVERY_PAID_BY_MERCHANT"),$J216=""),"Item price required for this amount type",IF(AND(OR($S216="ITEM_PRICE_PLUS_DECLARED_DELIVERY",$S216="DELIVERY_CHARGE_ONLY"),$K216=""),"Declared delivery charge required",IF(AND(OR($S216="TOTAL_AMOUNT_INCLUDING_DELIVERY",$S216="EXACT_COLLECTION_AMOUNT"),$T216=""),"Stated total amount required",IF(AND($S216="TOTAL_AMOUNT_INCLUDING_DELIVERY",$T216&lt;SUM($J216,$U216)),"Stated total is below item price plus additional charge",IF($S216="EXACT_COLLECTION_AMOUNT","Authorized amount breakdown required before settlement","Ready for collection and settlement"))))))))))))</f>
        <v/>
      </c>
      <c r="AW216" s="23">
        <f>IF($AU216="","","PARCEL_FINANCIAL_V2")</f>
        <v/>
      </c>
      <c r="AX216" s="17" t="n"/>
    </row>
    <row r="217">
      <c r="A217" s="8" t="n"/>
      <c r="B217" s="8" t="n"/>
      <c r="C217" s="8" t="n"/>
      <c r="D217" s="8" t="n"/>
      <c r="E217" s="9" t="n"/>
      <c r="F217" s="9" t="n"/>
      <c r="G217" s="8" t="n"/>
      <c r="H217" s="9" t="n"/>
      <c r="I217" s="9" t="n"/>
      <c r="J217" s="10" t="n"/>
      <c r="K217" s="10" t="n"/>
      <c r="L217" s="11">
        <f>IF($S217="","",IF($S217="ITEM_PRICE_PLUS_DECLARED_DELIVERY",IF(OR($J217="",$K217=""),"",SUM($J217,$K217,$U217)),IF($S217="TOTAL_AMOUNT_INCLUDING_DELIVERY",IF($T217="","",$T217),IF($S217="DELIVERY_CHARGE_ONLY",IF($K217="","",SUM($K217,$U217)),IF($S217="EXACT_COLLECTION_AMOUNT",IF($T217="","",$T217),IF($S217="ITEM_PRICE_ONLY_DELIVERY_PAID_BY_MERCHANT",IF($J217="","",SUM($J217,$U217)),""))))))</f>
        <v/>
      </c>
      <c r="M217" s="12" t="n"/>
      <c r="N217" s="13" t="n"/>
      <c r="O217" s="13" t="n"/>
      <c r="P217" s="9" t="n"/>
      <c r="Q217" s="14" t="n"/>
      <c r="R217" s="15" t="n"/>
      <c r="S217" s="14" t="n"/>
      <c r="T217" s="16" t="n"/>
      <c r="U217" s="16" t="n"/>
      <c r="V217" s="16" t="n"/>
      <c r="W217" s="16" t="n"/>
      <c r="X217" s="16" t="n"/>
      <c r="Y217" s="16" t="n"/>
      <c r="Z217" s="14" t="n"/>
      <c r="AA217" s="14" t="n"/>
      <c r="AB217" s="14" t="n"/>
      <c r="AC217" s="17">
        <f>IFERROR(VLOOKUP($H217&amp;"|"&amp;$Q217,Tariff_Master!$A$2:$L$169,3,FALSE),"")</f>
        <v/>
      </c>
      <c r="AD217" s="17">
        <f>IFERROR(VLOOKUP($H217&amp;"|"&amp;$Q217,Tariff_Master!$A$2:$L$169,4,FALSE),"")</f>
        <v/>
      </c>
      <c r="AE217" s="18">
        <f>IFERROR(VLOOKUP($H217&amp;"|"&amp;$Q217,Tariff_Master!$A$2:$L$169,6,FALSE),"")</f>
        <v/>
      </c>
      <c r="AF217" s="19">
        <f>IFERROR(VLOOKUP($H217&amp;"|"&amp;$Q217,Tariff_Master!$A$2:$L$169,7,FALSE),"")</f>
        <v/>
      </c>
      <c r="AG217" s="18">
        <f>IFERROR(VLOOKUP($H217&amp;"|"&amp;$Q217,Tariff_Master!$A$2:$L$169,8,FALSE),"")</f>
        <v/>
      </c>
      <c r="AH217" s="20">
        <f>IFERROR(VLOOKUP($H217&amp;"|"&amp;$Q217,Tariff_Master!$A$2:$L$169,9,FALSE),"")</f>
        <v/>
      </c>
      <c r="AI217" s="18">
        <f>IFERROR(VLOOKUP($H217&amp;"|"&amp;$Q217,Tariff_Master!$A$2:$L$169,10,FALSE),"")</f>
        <v/>
      </c>
      <c r="AJ217" s="21">
        <f>IF($M217="","",ROUNDUP(MAX(0,$M217),0))</f>
        <v/>
      </c>
      <c r="AK217" s="21">
        <f>IF(OR($AJ217="",$AF217=""),"",MAX(0,$AJ217-$AF217))</f>
        <v/>
      </c>
      <c r="AL217" s="22">
        <f>IF(OR($AK217="",$AG217=""),"",MAX(0,$AK217*$AG217))</f>
        <v/>
      </c>
      <c r="AM217" s="22">
        <f>IF($AE217="","",MAX(0,SUM($AE217,$AL217,$V217,$W217)))</f>
        <v/>
      </c>
      <c r="AN217" s="22">
        <f>IF($AM217="","",IF(AND($Q217="COMMITMENT",$R217&gt;=$AH217),$AI217,0))</f>
        <v/>
      </c>
      <c r="AO217" s="23">
        <f>IF($AM217="","",MAX(0,$AM217-$AN217))</f>
        <v/>
      </c>
      <c r="AP217" s="22">
        <f>IF($S217="","",IF(OR($S217="ITEM_PRICE_PLUS_DECLARED_DELIVERY",$S217="DELIVERY_CHARGE_ONLY"),$K217,IF($S217="TOTAL_AMOUNT_INCLUDING_DELIVERY",IF(OR($T217="",$J217=""),"",MAX(0,$T217-$J217-$U217)),IF($S217="ITEM_PRICE_ONLY_DELIVERY_PAID_BY_MERCHANT",0,""))))</f>
        <v/>
      </c>
      <c r="AQ217" s="23">
        <f>IF(OR($AP217="",$AO217=""),"",$AP217-$AO217)</f>
        <v/>
      </c>
      <c r="AR217" s="24">
        <f>IF($S217="EXACT_COLLECTION_AMOUNT","BREAKDOWN_REQUIRED",IF($AQ217="","",IF($AQ217&gt;0,"CREDIT_TO_MERCHANT",IF($AQ217&lt;0,"DEDUCT_FROM_MERCHANT","NO_ADJUSTMENT"))))</f>
        <v/>
      </c>
      <c r="AS217" s="23">
        <f>IF(OR($AQ217="",$AR217="BREAKDOWN_REQUIRED"),"",$AQ217)</f>
        <v/>
      </c>
      <c r="AT217" s="23">
        <f>IF(OR($AR217="",$AR217="BREAKDOWN_REQUIRED"),"",SUM($J217,$AQ217,$Y217)-$X217)</f>
        <v/>
      </c>
      <c r="AU217" s="25">
        <f>IF(AND($A217="",$B217="",$F217="",$H217="",$J217="",$K217="",$M217="",$S217=""),"",IF(OR($H217="",$Q217="",$M217="",$S217=""),"ERROR",IF(OR($J217&lt;0,$K217&lt;0,$M217&lt;0,$T217&lt;0,$U217&lt;0,$V217&lt;0,$W217&lt;0,$X217&lt;0,$Y217&lt;0),"ERROR",IF($AE217="","ERROR",IF(AND(OR($S217="ITEM_PRICE_PLUS_DECLARED_DELIVERY",$S217="TOTAL_AMOUNT_INCLUDING_DELIVERY",$S217="ITEM_PRICE_ONLY_DELIVERY_PAID_BY_MERCHANT"),$J217=""),"ERROR",IF(AND(OR($S217="ITEM_PRICE_PLUS_DECLARED_DELIVERY",$S217="DELIVERY_CHARGE_ONLY"),$K217=""),"ERROR",IF(AND(OR($S217="TOTAL_AMOUNT_INCLUDING_DELIVERY",$S217="EXACT_COLLECTION_AMOUNT"),$T217=""),"ERROR",IF(AND($S217="TOTAL_AMOUNT_INCLUDING_DELIVERY",$T217&lt;SUM($J217,$U217)),"ERROR",IF($S217="EXACT_COLLECTION_AMOUNT","REVIEW","OK")))))))))</f>
        <v/>
      </c>
      <c r="AV217" s="25">
        <f>IF($AU217="","",IF($H217="","Township required",IF($Q217="","Customer tier required",IF($M217="","Weight required",IF($S217="","Amount entry type required",IF(OR($J217&lt;0,$K217&lt;0,$M217&lt;0,$T217&lt;0,$U217&lt;0,$V217&lt;0,$W217&lt;0,$X217&lt;0,$Y217&lt;0),"Negative amounts are not allowed",IF($AE217="","Tariff not found for township and tier",IF(AND(OR($S217="ITEM_PRICE_PLUS_DECLARED_DELIVERY",$S217="TOTAL_AMOUNT_INCLUDING_DELIVERY",$S217="ITEM_PRICE_ONLY_DELIVERY_PAID_BY_MERCHANT"),$J217=""),"Item price required for this amount type",IF(AND(OR($S217="ITEM_PRICE_PLUS_DECLARED_DELIVERY",$S217="DELIVERY_CHARGE_ONLY"),$K217=""),"Declared delivery charge required",IF(AND(OR($S217="TOTAL_AMOUNT_INCLUDING_DELIVERY",$S217="EXACT_COLLECTION_AMOUNT"),$T217=""),"Stated total amount required",IF(AND($S217="TOTAL_AMOUNT_INCLUDING_DELIVERY",$T217&lt;SUM($J217,$U217)),"Stated total is below item price plus additional charge",IF($S217="EXACT_COLLECTION_AMOUNT","Authorized amount breakdown required before settlement","Ready for collection and settlement"))))))))))))</f>
        <v/>
      </c>
      <c r="AW217" s="23">
        <f>IF($AU217="","","PARCEL_FINANCIAL_V2")</f>
        <v/>
      </c>
      <c r="AX217" s="17" t="n"/>
    </row>
    <row r="218">
      <c r="A218" s="8" t="n"/>
      <c r="B218" s="8" t="n"/>
      <c r="C218" s="8" t="n"/>
      <c r="D218" s="8" t="n"/>
      <c r="E218" s="9" t="n"/>
      <c r="F218" s="9" t="n"/>
      <c r="G218" s="8" t="n"/>
      <c r="H218" s="9" t="n"/>
      <c r="I218" s="9" t="n"/>
      <c r="J218" s="10" t="n"/>
      <c r="K218" s="10" t="n"/>
      <c r="L218" s="11">
        <f>IF($S218="","",IF($S218="ITEM_PRICE_PLUS_DECLARED_DELIVERY",IF(OR($J218="",$K218=""),"",SUM($J218,$K218,$U218)),IF($S218="TOTAL_AMOUNT_INCLUDING_DELIVERY",IF($T218="","",$T218),IF($S218="DELIVERY_CHARGE_ONLY",IF($K218="","",SUM($K218,$U218)),IF($S218="EXACT_COLLECTION_AMOUNT",IF($T218="","",$T218),IF($S218="ITEM_PRICE_ONLY_DELIVERY_PAID_BY_MERCHANT",IF($J218="","",SUM($J218,$U218)),""))))))</f>
        <v/>
      </c>
      <c r="M218" s="12" t="n"/>
      <c r="N218" s="13" t="n"/>
      <c r="O218" s="13" t="n"/>
      <c r="P218" s="9" t="n"/>
      <c r="Q218" s="14" t="n"/>
      <c r="R218" s="15" t="n"/>
      <c r="S218" s="14" t="n"/>
      <c r="T218" s="16" t="n"/>
      <c r="U218" s="16" t="n"/>
      <c r="V218" s="16" t="n"/>
      <c r="W218" s="16" t="n"/>
      <c r="X218" s="16" t="n"/>
      <c r="Y218" s="16" t="n"/>
      <c r="Z218" s="14" t="n"/>
      <c r="AA218" s="14" t="n"/>
      <c r="AB218" s="14" t="n"/>
      <c r="AC218" s="17">
        <f>IFERROR(VLOOKUP($H218&amp;"|"&amp;$Q218,Tariff_Master!$A$2:$L$169,3,FALSE),"")</f>
        <v/>
      </c>
      <c r="AD218" s="17">
        <f>IFERROR(VLOOKUP($H218&amp;"|"&amp;$Q218,Tariff_Master!$A$2:$L$169,4,FALSE),"")</f>
        <v/>
      </c>
      <c r="AE218" s="18">
        <f>IFERROR(VLOOKUP($H218&amp;"|"&amp;$Q218,Tariff_Master!$A$2:$L$169,6,FALSE),"")</f>
        <v/>
      </c>
      <c r="AF218" s="19">
        <f>IFERROR(VLOOKUP($H218&amp;"|"&amp;$Q218,Tariff_Master!$A$2:$L$169,7,FALSE),"")</f>
        <v/>
      </c>
      <c r="AG218" s="18">
        <f>IFERROR(VLOOKUP($H218&amp;"|"&amp;$Q218,Tariff_Master!$A$2:$L$169,8,FALSE),"")</f>
        <v/>
      </c>
      <c r="AH218" s="20">
        <f>IFERROR(VLOOKUP($H218&amp;"|"&amp;$Q218,Tariff_Master!$A$2:$L$169,9,FALSE),"")</f>
        <v/>
      </c>
      <c r="AI218" s="18">
        <f>IFERROR(VLOOKUP($H218&amp;"|"&amp;$Q218,Tariff_Master!$A$2:$L$169,10,FALSE),"")</f>
        <v/>
      </c>
      <c r="AJ218" s="21">
        <f>IF($M218="","",ROUNDUP(MAX(0,$M218),0))</f>
        <v/>
      </c>
      <c r="AK218" s="21">
        <f>IF(OR($AJ218="",$AF218=""),"",MAX(0,$AJ218-$AF218))</f>
        <v/>
      </c>
      <c r="AL218" s="22">
        <f>IF(OR($AK218="",$AG218=""),"",MAX(0,$AK218*$AG218))</f>
        <v/>
      </c>
      <c r="AM218" s="22">
        <f>IF($AE218="","",MAX(0,SUM($AE218,$AL218,$V218,$W218)))</f>
        <v/>
      </c>
      <c r="AN218" s="22">
        <f>IF($AM218="","",IF(AND($Q218="COMMITMENT",$R218&gt;=$AH218),$AI218,0))</f>
        <v/>
      </c>
      <c r="AO218" s="23">
        <f>IF($AM218="","",MAX(0,$AM218-$AN218))</f>
        <v/>
      </c>
      <c r="AP218" s="22">
        <f>IF($S218="","",IF(OR($S218="ITEM_PRICE_PLUS_DECLARED_DELIVERY",$S218="DELIVERY_CHARGE_ONLY"),$K218,IF($S218="TOTAL_AMOUNT_INCLUDING_DELIVERY",IF(OR($T218="",$J218=""),"",MAX(0,$T218-$J218-$U218)),IF($S218="ITEM_PRICE_ONLY_DELIVERY_PAID_BY_MERCHANT",0,""))))</f>
        <v/>
      </c>
      <c r="AQ218" s="23">
        <f>IF(OR($AP218="",$AO218=""),"",$AP218-$AO218)</f>
        <v/>
      </c>
      <c r="AR218" s="24">
        <f>IF($S218="EXACT_COLLECTION_AMOUNT","BREAKDOWN_REQUIRED",IF($AQ218="","",IF($AQ218&gt;0,"CREDIT_TO_MERCHANT",IF($AQ218&lt;0,"DEDUCT_FROM_MERCHANT","NO_ADJUSTMENT"))))</f>
        <v/>
      </c>
      <c r="AS218" s="23">
        <f>IF(OR($AQ218="",$AR218="BREAKDOWN_REQUIRED"),"",$AQ218)</f>
        <v/>
      </c>
      <c r="AT218" s="23">
        <f>IF(OR($AR218="",$AR218="BREAKDOWN_REQUIRED"),"",SUM($J218,$AQ218,$Y218)-$X218)</f>
        <v/>
      </c>
      <c r="AU218" s="25">
        <f>IF(AND($A218="",$B218="",$F218="",$H218="",$J218="",$K218="",$M218="",$S218=""),"",IF(OR($H218="",$Q218="",$M218="",$S218=""),"ERROR",IF(OR($J218&lt;0,$K218&lt;0,$M218&lt;0,$T218&lt;0,$U218&lt;0,$V218&lt;0,$W218&lt;0,$X218&lt;0,$Y218&lt;0),"ERROR",IF($AE218="","ERROR",IF(AND(OR($S218="ITEM_PRICE_PLUS_DECLARED_DELIVERY",$S218="TOTAL_AMOUNT_INCLUDING_DELIVERY",$S218="ITEM_PRICE_ONLY_DELIVERY_PAID_BY_MERCHANT"),$J218=""),"ERROR",IF(AND(OR($S218="ITEM_PRICE_PLUS_DECLARED_DELIVERY",$S218="DELIVERY_CHARGE_ONLY"),$K218=""),"ERROR",IF(AND(OR($S218="TOTAL_AMOUNT_INCLUDING_DELIVERY",$S218="EXACT_COLLECTION_AMOUNT"),$T218=""),"ERROR",IF(AND($S218="TOTAL_AMOUNT_INCLUDING_DELIVERY",$T218&lt;SUM($J218,$U218)),"ERROR",IF($S218="EXACT_COLLECTION_AMOUNT","REVIEW","OK")))))))))</f>
        <v/>
      </c>
      <c r="AV218" s="25">
        <f>IF($AU218="","",IF($H218="","Township required",IF($Q218="","Customer tier required",IF($M218="","Weight required",IF($S218="","Amount entry type required",IF(OR($J218&lt;0,$K218&lt;0,$M218&lt;0,$T218&lt;0,$U218&lt;0,$V218&lt;0,$W218&lt;0,$X218&lt;0,$Y218&lt;0),"Negative amounts are not allowed",IF($AE218="","Tariff not found for township and tier",IF(AND(OR($S218="ITEM_PRICE_PLUS_DECLARED_DELIVERY",$S218="TOTAL_AMOUNT_INCLUDING_DELIVERY",$S218="ITEM_PRICE_ONLY_DELIVERY_PAID_BY_MERCHANT"),$J218=""),"Item price required for this amount type",IF(AND(OR($S218="ITEM_PRICE_PLUS_DECLARED_DELIVERY",$S218="DELIVERY_CHARGE_ONLY"),$K218=""),"Declared delivery charge required",IF(AND(OR($S218="TOTAL_AMOUNT_INCLUDING_DELIVERY",$S218="EXACT_COLLECTION_AMOUNT"),$T218=""),"Stated total amount required",IF(AND($S218="TOTAL_AMOUNT_INCLUDING_DELIVERY",$T218&lt;SUM($J218,$U218)),"Stated total is below item price plus additional charge",IF($S218="EXACT_COLLECTION_AMOUNT","Authorized amount breakdown required before settlement","Ready for collection and settlement"))))))))))))</f>
        <v/>
      </c>
      <c r="AW218" s="23">
        <f>IF($AU218="","","PARCEL_FINANCIAL_V2")</f>
        <v/>
      </c>
      <c r="AX218" s="17" t="n"/>
    </row>
    <row r="219">
      <c r="A219" s="8" t="n"/>
      <c r="B219" s="8" t="n"/>
      <c r="C219" s="8" t="n"/>
      <c r="D219" s="8" t="n"/>
      <c r="E219" s="9" t="n"/>
      <c r="F219" s="9" t="n"/>
      <c r="G219" s="8" t="n"/>
      <c r="H219" s="9" t="n"/>
      <c r="I219" s="9" t="n"/>
      <c r="J219" s="10" t="n"/>
      <c r="K219" s="10" t="n"/>
      <c r="L219" s="11">
        <f>IF($S219="","",IF($S219="ITEM_PRICE_PLUS_DECLARED_DELIVERY",IF(OR($J219="",$K219=""),"",SUM($J219,$K219,$U219)),IF($S219="TOTAL_AMOUNT_INCLUDING_DELIVERY",IF($T219="","",$T219),IF($S219="DELIVERY_CHARGE_ONLY",IF($K219="","",SUM($K219,$U219)),IF($S219="EXACT_COLLECTION_AMOUNT",IF($T219="","",$T219),IF($S219="ITEM_PRICE_ONLY_DELIVERY_PAID_BY_MERCHANT",IF($J219="","",SUM($J219,$U219)),""))))))</f>
        <v/>
      </c>
      <c r="M219" s="12" t="n"/>
      <c r="N219" s="13" t="n"/>
      <c r="O219" s="13" t="n"/>
      <c r="P219" s="9" t="n"/>
      <c r="Q219" s="14" t="n"/>
      <c r="R219" s="15" t="n"/>
      <c r="S219" s="14" t="n"/>
      <c r="T219" s="16" t="n"/>
      <c r="U219" s="16" t="n"/>
      <c r="V219" s="16" t="n"/>
      <c r="W219" s="16" t="n"/>
      <c r="X219" s="16" t="n"/>
      <c r="Y219" s="16" t="n"/>
      <c r="Z219" s="14" t="n"/>
      <c r="AA219" s="14" t="n"/>
      <c r="AB219" s="14" t="n"/>
      <c r="AC219" s="17">
        <f>IFERROR(VLOOKUP($H219&amp;"|"&amp;$Q219,Tariff_Master!$A$2:$L$169,3,FALSE),"")</f>
        <v/>
      </c>
      <c r="AD219" s="17">
        <f>IFERROR(VLOOKUP($H219&amp;"|"&amp;$Q219,Tariff_Master!$A$2:$L$169,4,FALSE),"")</f>
        <v/>
      </c>
      <c r="AE219" s="18">
        <f>IFERROR(VLOOKUP($H219&amp;"|"&amp;$Q219,Tariff_Master!$A$2:$L$169,6,FALSE),"")</f>
        <v/>
      </c>
      <c r="AF219" s="19">
        <f>IFERROR(VLOOKUP($H219&amp;"|"&amp;$Q219,Tariff_Master!$A$2:$L$169,7,FALSE),"")</f>
        <v/>
      </c>
      <c r="AG219" s="18">
        <f>IFERROR(VLOOKUP($H219&amp;"|"&amp;$Q219,Tariff_Master!$A$2:$L$169,8,FALSE),"")</f>
        <v/>
      </c>
      <c r="AH219" s="20">
        <f>IFERROR(VLOOKUP($H219&amp;"|"&amp;$Q219,Tariff_Master!$A$2:$L$169,9,FALSE),"")</f>
        <v/>
      </c>
      <c r="AI219" s="18">
        <f>IFERROR(VLOOKUP($H219&amp;"|"&amp;$Q219,Tariff_Master!$A$2:$L$169,10,FALSE),"")</f>
        <v/>
      </c>
      <c r="AJ219" s="21">
        <f>IF($M219="","",ROUNDUP(MAX(0,$M219),0))</f>
        <v/>
      </c>
      <c r="AK219" s="21">
        <f>IF(OR($AJ219="",$AF219=""),"",MAX(0,$AJ219-$AF219))</f>
        <v/>
      </c>
      <c r="AL219" s="22">
        <f>IF(OR($AK219="",$AG219=""),"",MAX(0,$AK219*$AG219))</f>
        <v/>
      </c>
      <c r="AM219" s="22">
        <f>IF($AE219="","",MAX(0,SUM($AE219,$AL219,$V219,$W219)))</f>
        <v/>
      </c>
      <c r="AN219" s="22">
        <f>IF($AM219="","",IF(AND($Q219="COMMITMENT",$R219&gt;=$AH219),$AI219,0))</f>
        <v/>
      </c>
      <c r="AO219" s="23">
        <f>IF($AM219="","",MAX(0,$AM219-$AN219))</f>
        <v/>
      </c>
      <c r="AP219" s="22">
        <f>IF($S219="","",IF(OR($S219="ITEM_PRICE_PLUS_DECLARED_DELIVERY",$S219="DELIVERY_CHARGE_ONLY"),$K219,IF($S219="TOTAL_AMOUNT_INCLUDING_DELIVERY",IF(OR($T219="",$J219=""),"",MAX(0,$T219-$J219-$U219)),IF($S219="ITEM_PRICE_ONLY_DELIVERY_PAID_BY_MERCHANT",0,""))))</f>
        <v/>
      </c>
      <c r="AQ219" s="23">
        <f>IF(OR($AP219="",$AO219=""),"",$AP219-$AO219)</f>
        <v/>
      </c>
      <c r="AR219" s="24">
        <f>IF($S219="EXACT_COLLECTION_AMOUNT","BREAKDOWN_REQUIRED",IF($AQ219="","",IF($AQ219&gt;0,"CREDIT_TO_MERCHANT",IF($AQ219&lt;0,"DEDUCT_FROM_MERCHANT","NO_ADJUSTMENT"))))</f>
        <v/>
      </c>
      <c r="AS219" s="23">
        <f>IF(OR($AQ219="",$AR219="BREAKDOWN_REQUIRED"),"",$AQ219)</f>
        <v/>
      </c>
      <c r="AT219" s="23">
        <f>IF(OR($AR219="",$AR219="BREAKDOWN_REQUIRED"),"",SUM($J219,$AQ219,$Y219)-$X219)</f>
        <v/>
      </c>
      <c r="AU219" s="25">
        <f>IF(AND($A219="",$B219="",$F219="",$H219="",$J219="",$K219="",$M219="",$S219=""),"",IF(OR($H219="",$Q219="",$M219="",$S219=""),"ERROR",IF(OR($J219&lt;0,$K219&lt;0,$M219&lt;0,$T219&lt;0,$U219&lt;0,$V219&lt;0,$W219&lt;0,$X219&lt;0,$Y219&lt;0),"ERROR",IF($AE219="","ERROR",IF(AND(OR($S219="ITEM_PRICE_PLUS_DECLARED_DELIVERY",$S219="TOTAL_AMOUNT_INCLUDING_DELIVERY",$S219="ITEM_PRICE_ONLY_DELIVERY_PAID_BY_MERCHANT"),$J219=""),"ERROR",IF(AND(OR($S219="ITEM_PRICE_PLUS_DECLARED_DELIVERY",$S219="DELIVERY_CHARGE_ONLY"),$K219=""),"ERROR",IF(AND(OR($S219="TOTAL_AMOUNT_INCLUDING_DELIVERY",$S219="EXACT_COLLECTION_AMOUNT"),$T219=""),"ERROR",IF(AND($S219="TOTAL_AMOUNT_INCLUDING_DELIVERY",$T219&lt;SUM($J219,$U219)),"ERROR",IF($S219="EXACT_COLLECTION_AMOUNT","REVIEW","OK")))))))))</f>
        <v/>
      </c>
      <c r="AV219" s="25">
        <f>IF($AU219="","",IF($H219="","Township required",IF($Q219="","Customer tier required",IF($M219="","Weight required",IF($S219="","Amount entry type required",IF(OR($J219&lt;0,$K219&lt;0,$M219&lt;0,$T219&lt;0,$U219&lt;0,$V219&lt;0,$W219&lt;0,$X219&lt;0,$Y219&lt;0),"Negative amounts are not allowed",IF($AE219="","Tariff not found for township and tier",IF(AND(OR($S219="ITEM_PRICE_PLUS_DECLARED_DELIVERY",$S219="TOTAL_AMOUNT_INCLUDING_DELIVERY",$S219="ITEM_PRICE_ONLY_DELIVERY_PAID_BY_MERCHANT"),$J219=""),"Item price required for this amount type",IF(AND(OR($S219="ITEM_PRICE_PLUS_DECLARED_DELIVERY",$S219="DELIVERY_CHARGE_ONLY"),$K219=""),"Declared delivery charge required",IF(AND(OR($S219="TOTAL_AMOUNT_INCLUDING_DELIVERY",$S219="EXACT_COLLECTION_AMOUNT"),$T219=""),"Stated total amount required",IF(AND($S219="TOTAL_AMOUNT_INCLUDING_DELIVERY",$T219&lt;SUM($J219,$U219)),"Stated total is below item price plus additional charge",IF($S219="EXACT_COLLECTION_AMOUNT","Authorized amount breakdown required before settlement","Ready for collection and settlement"))))))))))))</f>
        <v/>
      </c>
      <c r="AW219" s="23">
        <f>IF($AU219="","","PARCEL_FINANCIAL_V2")</f>
        <v/>
      </c>
      <c r="AX219" s="17" t="n"/>
    </row>
    <row r="220">
      <c r="A220" s="8" t="n"/>
      <c r="B220" s="8" t="n"/>
      <c r="C220" s="8" t="n"/>
      <c r="D220" s="8" t="n"/>
      <c r="E220" s="9" t="n"/>
      <c r="F220" s="9" t="n"/>
      <c r="G220" s="8" t="n"/>
      <c r="H220" s="9" t="n"/>
      <c r="I220" s="9" t="n"/>
      <c r="J220" s="10" t="n"/>
      <c r="K220" s="10" t="n"/>
      <c r="L220" s="11">
        <f>IF($S220="","",IF($S220="ITEM_PRICE_PLUS_DECLARED_DELIVERY",IF(OR($J220="",$K220=""),"",SUM($J220,$K220,$U220)),IF($S220="TOTAL_AMOUNT_INCLUDING_DELIVERY",IF($T220="","",$T220),IF($S220="DELIVERY_CHARGE_ONLY",IF($K220="","",SUM($K220,$U220)),IF($S220="EXACT_COLLECTION_AMOUNT",IF($T220="","",$T220),IF($S220="ITEM_PRICE_ONLY_DELIVERY_PAID_BY_MERCHANT",IF($J220="","",SUM($J220,$U220)),""))))))</f>
        <v/>
      </c>
      <c r="M220" s="12" t="n"/>
      <c r="N220" s="13" t="n"/>
      <c r="O220" s="13" t="n"/>
      <c r="P220" s="9" t="n"/>
      <c r="Q220" s="14" t="n"/>
      <c r="R220" s="15" t="n"/>
      <c r="S220" s="14" t="n"/>
      <c r="T220" s="16" t="n"/>
      <c r="U220" s="16" t="n"/>
      <c r="V220" s="16" t="n"/>
      <c r="W220" s="16" t="n"/>
      <c r="X220" s="16" t="n"/>
      <c r="Y220" s="16" t="n"/>
      <c r="Z220" s="14" t="n"/>
      <c r="AA220" s="14" t="n"/>
      <c r="AB220" s="14" t="n"/>
      <c r="AC220" s="17">
        <f>IFERROR(VLOOKUP($H220&amp;"|"&amp;$Q220,Tariff_Master!$A$2:$L$169,3,FALSE),"")</f>
        <v/>
      </c>
      <c r="AD220" s="17">
        <f>IFERROR(VLOOKUP($H220&amp;"|"&amp;$Q220,Tariff_Master!$A$2:$L$169,4,FALSE),"")</f>
        <v/>
      </c>
      <c r="AE220" s="18">
        <f>IFERROR(VLOOKUP($H220&amp;"|"&amp;$Q220,Tariff_Master!$A$2:$L$169,6,FALSE),"")</f>
        <v/>
      </c>
      <c r="AF220" s="19">
        <f>IFERROR(VLOOKUP($H220&amp;"|"&amp;$Q220,Tariff_Master!$A$2:$L$169,7,FALSE),"")</f>
        <v/>
      </c>
      <c r="AG220" s="18">
        <f>IFERROR(VLOOKUP($H220&amp;"|"&amp;$Q220,Tariff_Master!$A$2:$L$169,8,FALSE),"")</f>
        <v/>
      </c>
      <c r="AH220" s="20">
        <f>IFERROR(VLOOKUP($H220&amp;"|"&amp;$Q220,Tariff_Master!$A$2:$L$169,9,FALSE),"")</f>
        <v/>
      </c>
      <c r="AI220" s="18">
        <f>IFERROR(VLOOKUP($H220&amp;"|"&amp;$Q220,Tariff_Master!$A$2:$L$169,10,FALSE),"")</f>
        <v/>
      </c>
      <c r="AJ220" s="21">
        <f>IF($M220="","",ROUNDUP(MAX(0,$M220),0))</f>
        <v/>
      </c>
      <c r="AK220" s="21">
        <f>IF(OR($AJ220="",$AF220=""),"",MAX(0,$AJ220-$AF220))</f>
        <v/>
      </c>
      <c r="AL220" s="22">
        <f>IF(OR($AK220="",$AG220=""),"",MAX(0,$AK220*$AG220))</f>
        <v/>
      </c>
      <c r="AM220" s="22">
        <f>IF($AE220="","",MAX(0,SUM($AE220,$AL220,$V220,$W220)))</f>
        <v/>
      </c>
      <c r="AN220" s="22">
        <f>IF($AM220="","",IF(AND($Q220="COMMITMENT",$R220&gt;=$AH220),$AI220,0))</f>
        <v/>
      </c>
      <c r="AO220" s="23">
        <f>IF($AM220="","",MAX(0,$AM220-$AN220))</f>
        <v/>
      </c>
      <c r="AP220" s="22">
        <f>IF($S220="","",IF(OR($S220="ITEM_PRICE_PLUS_DECLARED_DELIVERY",$S220="DELIVERY_CHARGE_ONLY"),$K220,IF($S220="TOTAL_AMOUNT_INCLUDING_DELIVERY",IF(OR($T220="",$J220=""),"",MAX(0,$T220-$J220-$U220)),IF($S220="ITEM_PRICE_ONLY_DELIVERY_PAID_BY_MERCHANT",0,""))))</f>
        <v/>
      </c>
      <c r="AQ220" s="23">
        <f>IF(OR($AP220="",$AO220=""),"",$AP220-$AO220)</f>
        <v/>
      </c>
      <c r="AR220" s="24">
        <f>IF($S220="EXACT_COLLECTION_AMOUNT","BREAKDOWN_REQUIRED",IF($AQ220="","",IF($AQ220&gt;0,"CREDIT_TO_MERCHANT",IF($AQ220&lt;0,"DEDUCT_FROM_MERCHANT","NO_ADJUSTMENT"))))</f>
        <v/>
      </c>
      <c r="AS220" s="23">
        <f>IF(OR($AQ220="",$AR220="BREAKDOWN_REQUIRED"),"",$AQ220)</f>
        <v/>
      </c>
      <c r="AT220" s="23">
        <f>IF(OR($AR220="",$AR220="BREAKDOWN_REQUIRED"),"",SUM($J220,$AQ220,$Y220)-$X220)</f>
        <v/>
      </c>
      <c r="AU220" s="25">
        <f>IF(AND($A220="",$B220="",$F220="",$H220="",$J220="",$K220="",$M220="",$S220=""),"",IF(OR($H220="",$Q220="",$M220="",$S220=""),"ERROR",IF(OR($J220&lt;0,$K220&lt;0,$M220&lt;0,$T220&lt;0,$U220&lt;0,$V220&lt;0,$W220&lt;0,$X220&lt;0,$Y220&lt;0),"ERROR",IF($AE220="","ERROR",IF(AND(OR($S220="ITEM_PRICE_PLUS_DECLARED_DELIVERY",$S220="TOTAL_AMOUNT_INCLUDING_DELIVERY",$S220="ITEM_PRICE_ONLY_DELIVERY_PAID_BY_MERCHANT"),$J220=""),"ERROR",IF(AND(OR($S220="ITEM_PRICE_PLUS_DECLARED_DELIVERY",$S220="DELIVERY_CHARGE_ONLY"),$K220=""),"ERROR",IF(AND(OR($S220="TOTAL_AMOUNT_INCLUDING_DELIVERY",$S220="EXACT_COLLECTION_AMOUNT"),$T220=""),"ERROR",IF(AND($S220="TOTAL_AMOUNT_INCLUDING_DELIVERY",$T220&lt;SUM($J220,$U220)),"ERROR",IF($S220="EXACT_COLLECTION_AMOUNT","REVIEW","OK")))))))))</f>
        <v/>
      </c>
      <c r="AV220" s="25">
        <f>IF($AU220="","",IF($H220="","Township required",IF($Q220="","Customer tier required",IF($M220="","Weight required",IF($S220="","Amount entry type required",IF(OR($J220&lt;0,$K220&lt;0,$M220&lt;0,$T220&lt;0,$U220&lt;0,$V220&lt;0,$W220&lt;0,$X220&lt;0,$Y220&lt;0),"Negative amounts are not allowed",IF($AE220="","Tariff not found for township and tier",IF(AND(OR($S220="ITEM_PRICE_PLUS_DECLARED_DELIVERY",$S220="TOTAL_AMOUNT_INCLUDING_DELIVERY",$S220="ITEM_PRICE_ONLY_DELIVERY_PAID_BY_MERCHANT"),$J220=""),"Item price required for this amount type",IF(AND(OR($S220="ITEM_PRICE_PLUS_DECLARED_DELIVERY",$S220="DELIVERY_CHARGE_ONLY"),$K220=""),"Declared delivery charge required",IF(AND(OR($S220="TOTAL_AMOUNT_INCLUDING_DELIVERY",$S220="EXACT_COLLECTION_AMOUNT"),$T220=""),"Stated total amount required",IF(AND($S220="TOTAL_AMOUNT_INCLUDING_DELIVERY",$T220&lt;SUM($J220,$U220)),"Stated total is below item price plus additional charge",IF($S220="EXACT_COLLECTION_AMOUNT","Authorized amount breakdown required before settlement","Ready for collection and settlement"))))))))))))</f>
        <v/>
      </c>
      <c r="AW220" s="23">
        <f>IF($AU220="","","PARCEL_FINANCIAL_V2")</f>
        <v/>
      </c>
      <c r="AX220" s="17" t="n"/>
    </row>
    <row r="221">
      <c r="A221" s="8" t="n"/>
      <c r="B221" s="8" t="n"/>
      <c r="C221" s="8" t="n"/>
      <c r="D221" s="8" t="n"/>
      <c r="E221" s="9" t="n"/>
      <c r="F221" s="9" t="n"/>
      <c r="G221" s="8" t="n"/>
      <c r="H221" s="9" t="n"/>
      <c r="I221" s="9" t="n"/>
      <c r="J221" s="10" t="n"/>
      <c r="K221" s="10" t="n"/>
      <c r="L221" s="11">
        <f>IF($S221="","",IF($S221="ITEM_PRICE_PLUS_DECLARED_DELIVERY",IF(OR($J221="",$K221=""),"",SUM($J221,$K221,$U221)),IF($S221="TOTAL_AMOUNT_INCLUDING_DELIVERY",IF($T221="","",$T221),IF($S221="DELIVERY_CHARGE_ONLY",IF($K221="","",SUM($K221,$U221)),IF($S221="EXACT_COLLECTION_AMOUNT",IF($T221="","",$T221),IF($S221="ITEM_PRICE_ONLY_DELIVERY_PAID_BY_MERCHANT",IF($J221="","",SUM($J221,$U221)),""))))))</f>
        <v/>
      </c>
      <c r="M221" s="12" t="n"/>
      <c r="N221" s="13" t="n"/>
      <c r="O221" s="13" t="n"/>
      <c r="P221" s="9" t="n"/>
      <c r="Q221" s="14" t="n"/>
      <c r="R221" s="15" t="n"/>
      <c r="S221" s="14" t="n"/>
      <c r="T221" s="16" t="n"/>
      <c r="U221" s="16" t="n"/>
      <c r="V221" s="16" t="n"/>
      <c r="W221" s="16" t="n"/>
      <c r="X221" s="16" t="n"/>
      <c r="Y221" s="16" t="n"/>
      <c r="Z221" s="14" t="n"/>
      <c r="AA221" s="14" t="n"/>
      <c r="AB221" s="14" t="n"/>
      <c r="AC221" s="17">
        <f>IFERROR(VLOOKUP($H221&amp;"|"&amp;$Q221,Tariff_Master!$A$2:$L$169,3,FALSE),"")</f>
        <v/>
      </c>
      <c r="AD221" s="17">
        <f>IFERROR(VLOOKUP($H221&amp;"|"&amp;$Q221,Tariff_Master!$A$2:$L$169,4,FALSE),"")</f>
        <v/>
      </c>
      <c r="AE221" s="18">
        <f>IFERROR(VLOOKUP($H221&amp;"|"&amp;$Q221,Tariff_Master!$A$2:$L$169,6,FALSE),"")</f>
        <v/>
      </c>
      <c r="AF221" s="19">
        <f>IFERROR(VLOOKUP($H221&amp;"|"&amp;$Q221,Tariff_Master!$A$2:$L$169,7,FALSE),"")</f>
        <v/>
      </c>
      <c r="AG221" s="18">
        <f>IFERROR(VLOOKUP($H221&amp;"|"&amp;$Q221,Tariff_Master!$A$2:$L$169,8,FALSE),"")</f>
        <v/>
      </c>
      <c r="AH221" s="20">
        <f>IFERROR(VLOOKUP($H221&amp;"|"&amp;$Q221,Tariff_Master!$A$2:$L$169,9,FALSE),"")</f>
        <v/>
      </c>
      <c r="AI221" s="18">
        <f>IFERROR(VLOOKUP($H221&amp;"|"&amp;$Q221,Tariff_Master!$A$2:$L$169,10,FALSE),"")</f>
        <v/>
      </c>
      <c r="AJ221" s="21">
        <f>IF($M221="","",ROUNDUP(MAX(0,$M221),0))</f>
        <v/>
      </c>
      <c r="AK221" s="21">
        <f>IF(OR($AJ221="",$AF221=""),"",MAX(0,$AJ221-$AF221))</f>
        <v/>
      </c>
      <c r="AL221" s="22">
        <f>IF(OR($AK221="",$AG221=""),"",MAX(0,$AK221*$AG221))</f>
        <v/>
      </c>
      <c r="AM221" s="22">
        <f>IF($AE221="","",MAX(0,SUM($AE221,$AL221,$V221,$W221)))</f>
        <v/>
      </c>
      <c r="AN221" s="22">
        <f>IF($AM221="","",IF(AND($Q221="COMMITMENT",$R221&gt;=$AH221),$AI221,0))</f>
        <v/>
      </c>
      <c r="AO221" s="23">
        <f>IF($AM221="","",MAX(0,$AM221-$AN221))</f>
        <v/>
      </c>
      <c r="AP221" s="22">
        <f>IF($S221="","",IF(OR($S221="ITEM_PRICE_PLUS_DECLARED_DELIVERY",$S221="DELIVERY_CHARGE_ONLY"),$K221,IF($S221="TOTAL_AMOUNT_INCLUDING_DELIVERY",IF(OR($T221="",$J221=""),"",MAX(0,$T221-$J221-$U221)),IF($S221="ITEM_PRICE_ONLY_DELIVERY_PAID_BY_MERCHANT",0,""))))</f>
        <v/>
      </c>
      <c r="AQ221" s="23">
        <f>IF(OR($AP221="",$AO221=""),"",$AP221-$AO221)</f>
        <v/>
      </c>
      <c r="AR221" s="24">
        <f>IF($S221="EXACT_COLLECTION_AMOUNT","BREAKDOWN_REQUIRED",IF($AQ221="","",IF($AQ221&gt;0,"CREDIT_TO_MERCHANT",IF($AQ221&lt;0,"DEDUCT_FROM_MERCHANT","NO_ADJUSTMENT"))))</f>
        <v/>
      </c>
      <c r="AS221" s="23">
        <f>IF(OR($AQ221="",$AR221="BREAKDOWN_REQUIRED"),"",$AQ221)</f>
        <v/>
      </c>
      <c r="AT221" s="23">
        <f>IF(OR($AR221="",$AR221="BREAKDOWN_REQUIRED"),"",SUM($J221,$AQ221,$Y221)-$X221)</f>
        <v/>
      </c>
      <c r="AU221" s="25">
        <f>IF(AND($A221="",$B221="",$F221="",$H221="",$J221="",$K221="",$M221="",$S221=""),"",IF(OR($H221="",$Q221="",$M221="",$S221=""),"ERROR",IF(OR($J221&lt;0,$K221&lt;0,$M221&lt;0,$T221&lt;0,$U221&lt;0,$V221&lt;0,$W221&lt;0,$X221&lt;0,$Y221&lt;0),"ERROR",IF($AE221="","ERROR",IF(AND(OR($S221="ITEM_PRICE_PLUS_DECLARED_DELIVERY",$S221="TOTAL_AMOUNT_INCLUDING_DELIVERY",$S221="ITEM_PRICE_ONLY_DELIVERY_PAID_BY_MERCHANT"),$J221=""),"ERROR",IF(AND(OR($S221="ITEM_PRICE_PLUS_DECLARED_DELIVERY",$S221="DELIVERY_CHARGE_ONLY"),$K221=""),"ERROR",IF(AND(OR($S221="TOTAL_AMOUNT_INCLUDING_DELIVERY",$S221="EXACT_COLLECTION_AMOUNT"),$T221=""),"ERROR",IF(AND($S221="TOTAL_AMOUNT_INCLUDING_DELIVERY",$T221&lt;SUM($J221,$U221)),"ERROR",IF($S221="EXACT_COLLECTION_AMOUNT","REVIEW","OK")))))))))</f>
        <v/>
      </c>
      <c r="AV221" s="25">
        <f>IF($AU221="","",IF($H221="","Township required",IF($Q221="","Customer tier required",IF($M221="","Weight required",IF($S221="","Amount entry type required",IF(OR($J221&lt;0,$K221&lt;0,$M221&lt;0,$T221&lt;0,$U221&lt;0,$V221&lt;0,$W221&lt;0,$X221&lt;0,$Y221&lt;0),"Negative amounts are not allowed",IF($AE221="","Tariff not found for township and tier",IF(AND(OR($S221="ITEM_PRICE_PLUS_DECLARED_DELIVERY",$S221="TOTAL_AMOUNT_INCLUDING_DELIVERY",$S221="ITEM_PRICE_ONLY_DELIVERY_PAID_BY_MERCHANT"),$J221=""),"Item price required for this amount type",IF(AND(OR($S221="ITEM_PRICE_PLUS_DECLARED_DELIVERY",$S221="DELIVERY_CHARGE_ONLY"),$K221=""),"Declared delivery charge required",IF(AND(OR($S221="TOTAL_AMOUNT_INCLUDING_DELIVERY",$S221="EXACT_COLLECTION_AMOUNT"),$T221=""),"Stated total amount required",IF(AND($S221="TOTAL_AMOUNT_INCLUDING_DELIVERY",$T221&lt;SUM($J221,$U221)),"Stated total is below item price plus additional charge",IF($S221="EXACT_COLLECTION_AMOUNT","Authorized amount breakdown required before settlement","Ready for collection and settlement"))))))))))))</f>
        <v/>
      </c>
      <c r="AW221" s="23">
        <f>IF($AU221="","","PARCEL_FINANCIAL_V2")</f>
        <v/>
      </c>
      <c r="AX221" s="17" t="n"/>
    </row>
    <row r="222">
      <c r="A222" s="8" t="n"/>
      <c r="B222" s="8" t="n"/>
      <c r="C222" s="8" t="n"/>
      <c r="D222" s="8" t="n"/>
      <c r="E222" s="9" t="n"/>
      <c r="F222" s="9" t="n"/>
      <c r="G222" s="8" t="n"/>
      <c r="H222" s="9" t="n"/>
      <c r="I222" s="9" t="n"/>
      <c r="J222" s="10" t="n"/>
      <c r="K222" s="10" t="n"/>
      <c r="L222" s="11">
        <f>IF($S222="","",IF($S222="ITEM_PRICE_PLUS_DECLARED_DELIVERY",IF(OR($J222="",$K222=""),"",SUM($J222,$K222,$U222)),IF($S222="TOTAL_AMOUNT_INCLUDING_DELIVERY",IF($T222="","",$T222),IF($S222="DELIVERY_CHARGE_ONLY",IF($K222="","",SUM($K222,$U222)),IF($S222="EXACT_COLLECTION_AMOUNT",IF($T222="","",$T222),IF($S222="ITEM_PRICE_ONLY_DELIVERY_PAID_BY_MERCHANT",IF($J222="","",SUM($J222,$U222)),""))))))</f>
        <v/>
      </c>
      <c r="M222" s="12" t="n"/>
      <c r="N222" s="13" t="n"/>
      <c r="O222" s="13" t="n"/>
      <c r="P222" s="9" t="n"/>
      <c r="Q222" s="14" t="n"/>
      <c r="R222" s="15" t="n"/>
      <c r="S222" s="14" t="n"/>
      <c r="T222" s="16" t="n"/>
      <c r="U222" s="16" t="n"/>
      <c r="V222" s="16" t="n"/>
      <c r="W222" s="16" t="n"/>
      <c r="X222" s="16" t="n"/>
      <c r="Y222" s="16" t="n"/>
      <c r="Z222" s="14" t="n"/>
      <c r="AA222" s="14" t="n"/>
      <c r="AB222" s="14" t="n"/>
      <c r="AC222" s="17">
        <f>IFERROR(VLOOKUP($H222&amp;"|"&amp;$Q222,Tariff_Master!$A$2:$L$169,3,FALSE),"")</f>
        <v/>
      </c>
      <c r="AD222" s="17">
        <f>IFERROR(VLOOKUP($H222&amp;"|"&amp;$Q222,Tariff_Master!$A$2:$L$169,4,FALSE),"")</f>
        <v/>
      </c>
      <c r="AE222" s="18">
        <f>IFERROR(VLOOKUP($H222&amp;"|"&amp;$Q222,Tariff_Master!$A$2:$L$169,6,FALSE),"")</f>
        <v/>
      </c>
      <c r="AF222" s="19">
        <f>IFERROR(VLOOKUP($H222&amp;"|"&amp;$Q222,Tariff_Master!$A$2:$L$169,7,FALSE),"")</f>
        <v/>
      </c>
      <c r="AG222" s="18">
        <f>IFERROR(VLOOKUP($H222&amp;"|"&amp;$Q222,Tariff_Master!$A$2:$L$169,8,FALSE),"")</f>
        <v/>
      </c>
      <c r="AH222" s="20">
        <f>IFERROR(VLOOKUP($H222&amp;"|"&amp;$Q222,Tariff_Master!$A$2:$L$169,9,FALSE),"")</f>
        <v/>
      </c>
      <c r="AI222" s="18">
        <f>IFERROR(VLOOKUP($H222&amp;"|"&amp;$Q222,Tariff_Master!$A$2:$L$169,10,FALSE),"")</f>
        <v/>
      </c>
      <c r="AJ222" s="21">
        <f>IF($M222="","",ROUNDUP(MAX(0,$M222),0))</f>
        <v/>
      </c>
      <c r="AK222" s="21">
        <f>IF(OR($AJ222="",$AF222=""),"",MAX(0,$AJ222-$AF222))</f>
        <v/>
      </c>
      <c r="AL222" s="22">
        <f>IF(OR($AK222="",$AG222=""),"",MAX(0,$AK222*$AG222))</f>
        <v/>
      </c>
      <c r="AM222" s="22">
        <f>IF($AE222="","",MAX(0,SUM($AE222,$AL222,$V222,$W222)))</f>
        <v/>
      </c>
      <c r="AN222" s="22">
        <f>IF($AM222="","",IF(AND($Q222="COMMITMENT",$R222&gt;=$AH222),$AI222,0))</f>
        <v/>
      </c>
      <c r="AO222" s="23">
        <f>IF($AM222="","",MAX(0,$AM222-$AN222))</f>
        <v/>
      </c>
      <c r="AP222" s="22">
        <f>IF($S222="","",IF(OR($S222="ITEM_PRICE_PLUS_DECLARED_DELIVERY",$S222="DELIVERY_CHARGE_ONLY"),$K222,IF($S222="TOTAL_AMOUNT_INCLUDING_DELIVERY",IF(OR($T222="",$J222=""),"",MAX(0,$T222-$J222-$U222)),IF($S222="ITEM_PRICE_ONLY_DELIVERY_PAID_BY_MERCHANT",0,""))))</f>
        <v/>
      </c>
      <c r="AQ222" s="23">
        <f>IF(OR($AP222="",$AO222=""),"",$AP222-$AO222)</f>
        <v/>
      </c>
      <c r="AR222" s="24">
        <f>IF($S222="EXACT_COLLECTION_AMOUNT","BREAKDOWN_REQUIRED",IF($AQ222="","",IF($AQ222&gt;0,"CREDIT_TO_MERCHANT",IF($AQ222&lt;0,"DEDUCT_FROM_MERCHANT","NO_ADJUSTMENT"))))</f>
        <v/>
      </c>
      <c r="AS222" s="23">
        <f>IF(OR($AQ222="",$AR222="BREAKDOWN_REQUIRED"),"",$AQ222)</f>
        <v/>
      </c>
      <c r="AT222" s="23">
        <f>IF(OR($AR222="",$AR222="BREAKDOWN_REQUIRED"),"",SUM($J222,$AQ222,$Y222)-$X222)</f>
        <v/>
      </c>
      <c r="AU222" s="25">
        <f>IF(AND($A222="",$B222="",$F222="",$H222="",$J222="",$K222="",$M222="",$S222=""),"",IF(OR($H222="",$Q222="",$M222="",$S222=""),"ERROR",IF(OR($J222&lt;0,$K222&lt;0,$M222&lt;0,$T222&lt;0,$U222&lt;0,$V222&lt;0,$W222&lt;0,$X222&lt;0,$Y222&lt;0),"ERROR",IF($AE222="","ERROR",IF(AND(OR($S222="ITEM_PRICE_PLUS_DECLARED_DELIVERY",$S222="TOTAL_AMOUNT_INCLUDING_DELIVERY",$S222="ITEM_PRICE_ONLY_DELIVERY_PAID_BY_MERCHANT"),$J222=""),"ERROR",IF(AND(OR($S222="ITEM_PRICE_PLUS_DECLARED_DELIVERY",$S222="DELIVERY_CHARGE_ONLY"),$K222=""),"ERROR",IF(AND(OR($S222="TOTAL_AMOUNT_INCLUDING_DELIVERY",$S222="EXACT_COLLECTION_AMOUNT"),$T222=""),"ERROR",IF(AND($S222="TOTAL_AMOUNT_INCLUDING_DELIVERY",$T222&lt;SUM($J222,$U222)),"ERROR",IF($S222="EXACT_COLLECTION_AMOUNT","REVIEW","OK")))))))))</f>
        <v/>
      </c>
      <c r="AV222" s="25">
        <f>IF($AU222="","",IF($H222="","Township required",IF($Q222="","Customer tier required",IF($M222="","Weight required",IF($S222="","Amount entry type required",IF(OR($J222&lt;0,$K222&lt;0,$M222&lt;0,$T222&lt;0,$U222&lt;0,$V222&lt;0,$W222&lt;0,$X222&lt;0,$Y222&lt;0),"Negative amounts are not allowed",IF($AE222="","Tariff not found for township and tier",IF(AND(OR($S222="ITEM_PRICE_PLUS_DECLARED_DELIVERY",$S222="TOTAL_AMOUNT_INCLUDING_DELIVERY",$S222="ITEM_PRICE_ONLY_DELIVERY_PAID_BY_MERCHANT"),$J222=""),"Item price required for this amount type",IF(AND(OR($S222="ITEM_PRICE_PLUS_DECLARED_DELIVERY",$S222="DELIVERY_CHARGE_ONLY"),$K222=""),"Declared delivery charge required",IF(AND(OR($S222="TOTAL_AMOUNT_INCLUDING_DELIVERY",$S222="EXACT_COLLECTION_AMOUNT"),$T222=""),"Stated total amount required",IF(AND($S222="TOTAL_AMOUNT_INCLUDING_DELIVERY",$T222&lt;SUM($J222,$U222)),"Stated total is below item price plus additional charge",IF($S222="EXACT_COLLECTION_AMOUNT","Authorized amount breakdown required before settlement","Ready for collection and settlement"))))))))))))</f>
        <v/>
      </c>
      <c r="AW222" s="23">
        <f>IF($AU222="","","PARCEL_FINANCIAL_V2")</f>
        <v/>
      </c>
      <c r="AX222" s="17" t="n"/>
    </row>
    <row r="223">
      <c r="A223" s="8" t="n"/>
      <c r="B223" s="8" t="n"/>
      <c r="C223" s="8" t="n"/>
      <c r="D223" s="8" t="n"/>
      <c r="E223" s="9" t="n"/>
      <c r="F223" s="9" t="n"/>
      <c r="G223" s="8" t="n"/>
      <c r="H223" s="9" t="n"/>
      <c r="I223" s="9" t="n"/>
      <c r="J223" s="10" t="n"/>
      <c r="K223" s="10" t="n"/>
      <c r="L223" s="11">
        <f>IF($S223="","",IF($S223="ITEM_PRICE_PLUS_DECLARED_DELIVERY",IF(OR($J223="",$K223=""),"",SUM($J223,$K223,$U223)),IF($S223="TOTAL_AMOUNT_INCLUDING_DELIVERY",IF($T223="","",$T223),IF($S223="DELIVERY_CHARGE_ONLY",IF($K223="","",SUM($K223,$U223)),IF($S223="EXACT_COLLECTION_AMOUNT",IF($T223="","",$T223),IF($S223="ITEM_PRICE_ONLY_DELIVERY_PAID_BY_MERCHANT",IF($J223="","",SUM($J223,$U223)),""))))))</f>
        <v/>
      </c>
      <c r="M223" s="12" t="n"/>
      <c r="N223" s="13" t="n"/>
      <c r="O223" s="13" t="n"/>
      <c r="P223" s="9" t="n"/>
      <c r="Q223" s="14" t="n"/>
      <c r="R223" s="15" t="n"/>
      <c r="S223" s="14" t="n"/>
      <c r="T223" s="16" t="n"/>
      <c r="U223" s="16" t="n"/>
      <c r="V223" s="16" t="n"/>
      <c r="W223" s="16" t="n"/>
      <c r="X223" s="16" t="n"/>
      <c r="Y223" s="16" t="n"/>
      <c r="Z223" s="14" t="n"/>
      <c r="AA223" s="14" t="n"/>
      <c r="AB223" s="14" t="n"/>
      <c r="AC223" s="17">
        <f>IFERROR(VLOOKUP($H223&amp;"|"&amp;$Q223,Tariff_Master!$A$2:$L$169,3,FALSE),"")</f>
        <v/>
      </c>
      <c r="AD223" s="17">
        <f>IFERROR(VLOOKUP($H223&amp;"|"&amp;$Q223,Tariff_Master!$A$2:$L$169,4,FALSE),"")</f>
        <v/>
      </c>
      <c r="AE223" s="18">
        <f>IFERROR(VLOOKUP($H223&amp;"|"&amp;$Q223,Tariff_Master!$A$2:$L$169,6,FALSE),"")</f>
        <v/>
      </c>
      <c r="AF223" s="19">
        <f>IFERROR(VLOOKUP($H223&amp;"|"&amp;$Q223,Tariff_Master!$A$2:$L$169,7,FALSE),"")</f>
        <v/>
      </c>
      <c r="AG223" s="18">
        <f>IFERROR(VLOOKUP($H223&amp;"|"&amp;$Q223,Tariff_Master!$A$2:$L$169,8,FALSE),"")</f>
        <v/>
      </c>
      <c r="AH223" s="20">
        <f>IFERROR(VLOOKUP($H223&amp;"|"&amp;$Q223,Tariff_Master!$A$2:$L$169,9,FALSE),"")</f>
        <v/>
      </c>
      <c r="AI223" s="18">
        <f>IFERROR(VLOOKUP($H223&amp;"|"&amp;$Q223,Tariff_Master!$A$2:$L$169,10,FALSE),"")</f>
        <v/>
      </c>
      <c r="AJ223" s="21">
        <f>IF($M223="","",ROUNDUP(MAX(0,$M223),0))</f>
        <v/>
      </c>
      <c r="AK223" s="21">
        <f>IF(OR($AJ223="",$AF223=""),"",MAX(0,$AJ223-$AF223))</f>
        <v/>
      </c>
      <c r="AL223" s="22">
        <f>IF(OR($AK223="",$AG223=""),"",MAX(0,$AK223*$AG223))</f>
        <v/>
      </c>
      <c r="AM223" s="22">
        <f>IF($AE223="","",MAX(0,SUM($AE223,$AL223,$V223,$W223)))</f>
        <v/>
      </c>
      <c r="AN223" s="22">
        <f>IF($AM223="","",IF(AND($Q223="COMMITMENT",$R223&gt;=$AH223),$AI223,0))</f>
        <v/>
      </c>
      <c r="AO223" s="23">
        <f>IF($AM223="","",MAX(0,$AM223-$AN223))</f>
        <v/>
      </c>
      <c r="AP223" s="22">
        <f>IF($S223="","",IF(OR($S223="ITEM_PRICE_PLUS_DECLARED_DELIVERY",$S223="DELIVERY_CHARGE_ONLY"),$K223,IF($S223="TOTAL_AMOUNT_INCLUDING_DELIVERY",IF(OR($T223="",$J223=""),"",MAX(0,$T223-$J223-$U223)),IF($S223="ITEM_PRICE_ONLY_DELIVERY_PAID_BY_MERCHANT",0,""))))</f>
        <v/>
      </c>
      <c r="AQ223" s="23">
        <f>IF(OR($AP223="",$AO223=""),"",$AP223-$AO223)</f>
        <v/>
      </c>
      <c r="AR223" s="24">
        <f>IF($S223="EXACT_COLLECTION_AMOUNT","BREAKDOWN_REQUIRED",IF($AQ223="","",IF($AQ223&gt;0,"CREDIT_TO_MERCHANT",IF($AQ223&lt;0,"DEDUCT_FROM_MERCHANT","NO_ADJUSTMENT"))))</f>
        <v/>
      </c>
      <c r="AS223" s="23">
        <f>IF(OR($AQ223="",$AR223="BREAKDOWN_REQUIRED"),"",$AQ223)</f>
        <v/>
      </c>
      <c r="AT223" s="23">
        <f>IF(OR($AR223="",$AR223="BREAKDOWN_REQUIRED"),"",SUM($J223,$AQ223,$Y223)-$X223)</f>
        <v/>
      </c>
      <c r="AU223" s="25">
        <f>IF(AND($A223="",$B223="",$F223="",$H223="",$J223="",$K223="",$M223="",$S223=""),"",IF(OR($H223="",$Q223="",$M223="",$S223=""),"ERROR",IF(OR($J223&lt;0,$K223&lt;0,$M223&lt;0,$T223&lt;0,$U223&lt;0,$V223&lt;0,$W223&lt;0,$X223&lt;0,$Y223&lt;0),"ERROR",IF($AE223="","ERROR",IF(AND(OR($S223="ITEM_PRICE_PLUS_DECLARED_DELIVERY",$S223="TOTAL_AMOUNT_INCLUDING_DELIVERY",$S223="ITEM_PRICE_ONLY_DELIVERY_PAID_BY_MERCHANT"),$J223=""),"ERROR",IF(AND(OR($S223="ITEM_PRICE_PLUS_DECLARED_DELIVERY",$S223="DELIVERY_CHARGE_ONLY"),$K223=""),"ERROR",IF(AND(OR($S223="TOTAL_AMOUNT_INCLUDING_DELIVERY",$S223="EXACT_COLLECTION_AMOUNT"),$T223=""),"ERROR",IF(AND($S223="TOTAL_AMOUNT_INCLUDING_DELIVERY",$T223&lt;SUM($J223,$U223)),"ERROR",IF($S223="EXACT_COLLECTION_AMOUNT","REVIEW","OK")))))))))</f>
        <v/>
      </c>
      <c r="AV223" s="25">
        <f>IF($AU223="","",IF($H223="","Township required",IF($Q223="","Customer tier required",IF($M223="","Weight required",IF($S223="","Amount entry type required",IF(OR($J223&lt;0,$K223&lt;0,$M223&lt;0,$T223&lt;0,$U223&lt;0,$V223&lt;0,$W223&lt;0,$X223&lt;0,$Y223&lt;0),"Negative amounts are not allowed",IF($AE223="","Tariff not found for township and tier",IF(AND(OR($S223="ITEM_PRICE_PLUS_DECLARED_DELIVERY",$S223="TOTAL_AMOUNT_INCLUDING_DELIVERY",$S223="ITEM_PRICE_ONLY_DELIVERY_PAID_BY_MERCHANT"),$J223=""),"Item price required for this amount type",IF(AND(OR($S223="ITEM_PRICE_PLUS_DECLARED_DELIVERY",$S223="DELIVERY_CHARGE_ONLY"),$K223=""),"Declared delivery charge required",IF(AND(OR($S223="TOTAL_AMOUNT_INCLUDING_DELIVERY",$S223="EXACT_COLLECTION_AMOUNT"),$T223=""),"Stated total amount required",IF(AND($S223="TOTAL_AMOUNT_INCLUDING_DELIVERY",$T223&lt;SUM($J223,$U223)),"Stated total is below item price plus additional charge",IF($S223="EXACT_COLLECTION_AMOUNT","Authorized amount breakdown required before settlement","Ready for collection and settlement"))))))))))))</f>
        <v/>
      </c>
      <c r="AW223" s="23">
        <f>IF($AU223="","","PARCEL_FINANCIAL_V2")</f>
        <v/>
      </c>
      <c r="AX223" s="17" t="n"/>
    </row>
    <row r="224">
      <c r="A224" s="8" t="n"/>
      <c r="B224" s="8" t="n"/>
      <c r="C224" s="8" t="n"/>
      <c r="D224" s="8" t="n"/>
      <c r="E224" s="9" t="n"/>
      <c r="F224" s="9" t="n"/>
      <c r="G224" s="8" t="n"/>
      <c r="H224" s="9" t="n"/>
      <c r="I224" s="9" t="n"/>
      <c r="J224" s="10" t="n"/>
      <c r="K224" s="10" t="n"/>
      <c r="L224" s="11">
        <f>IF($S224="","",IF($S224="ITEM_PRICE_PLUS_DECLARED_DELIVERY",IF(OR($J224="",$K224=""),"",SUM($J224,$K224,$U224)),IF($S224="TOTAL_AMOUNT_INCLUDING_DELIVERY",IF($T224="","",$T224),IF($S224="DELIVERY_CHARGE_ONLY",IF($K224="","",SUM($K224,$U224)),IF($S224="EXACT_COLLECTION_AMOUNT",IF($T224="","",$T224),IF($S224="ITEM_PRICE_ONLY_DELIVERY_PAID_BY_MERCHANT",IF($J224="","",SUM($J224,$U224)),""))))))</f>
        <v/>
      </c>
      <c r="M224" s="12" t="n"/>
      <c r="N224" s="13" t="n"/>
      <c r="O224" s="13" t="n"/>
      <c r="P224" s="9" t="n"/>
      <c r="Q224" s="14" t="n"/>
      <c r="R224" s="15" t="n"/>
      <c r="S224" s="14" t="n"/>
      <c r="T224" s="16" t="n"/>
      <c r="U224" s="16" t="n"/>
      <c r="V224" s="16" t="n"/>
      <c r="W224" s="16" t="n"/>
      <c r="X224" s="16" t="n"/>
      <c r="Y224" s="16" t="n"/>
      <c r="Z224" s="14" t="n"/>
      <c r="AA224" s="14" t="n"/>
      <c r="AB224" s="14" t="n"/>
      <c r="AC224" s="17">
        <f>IFERROR(VLOOKUP($H224&amp;"|"&amp;$Q224,Tariff_Master!$A$2:$L$169,3,FALSE),"")</f>
        <v/>
      </c>
      <c r="AD224" s="17">
        <f>IFERROR(VLOOKUP($H224&amp;"|"&amp;$Q224,Tariff_Master!$A$2:$L$169,4,FALSE),"")</f>
        <v/>
      </c>
      <c r="AE224" s="18">
        <f>IFERROR(VLOOKUP($H224&amp;"|"&amp;$Q224,Tariff_Master!$A$2:$L$169,6,FALSE),"")</f>
        <v/>
      </c>
      <c r="AF224" s="19">
        <f>IFERROR(VLOOKUP($H224&amp;"|"&amp;$Q224,Tariff_Master!$A$2:$L$169,7,FALSE),"")</f>
        <v/>
      </c>
      <c r="AG224" s="18">
        <f>IFERROR(VLOOKUP($H224&amp;"|"&amp;$Q224,Tariff_Master!$A$2:$L$169,8,FALSE),"")</f>
        <v/>
      </c>
      <c r="AH224" s="20">
        <f>IFERROR(VLOOKUP($H224&amp;"|"&amp;$Q224,Tariff_Master!$A$2:$L$169,9,FALSE),"")</f>
        <v/>
      </c>
      <c r="AI224" s="18">
        <f>IFERROR(VLOOKUP($H224&amp;"|"&amp;$Q224,Tariff_Master!$A$2:$L$169,10,FALSE),"")</f>
        <v/>
      </c>
      <c r="AJ224" s="21">
        <f>IF($M224="","",ROUNDUP(MAX(0,$M224),0))</f>
        <v/>
      </c>
      <c r="AK224" s="21">
        <f>IF(OR($AJ224="",$AF224=""),"",MAX(0,$AJ224-$AF224))</f>
        <v/>
      </c>
      <c r="AL224" s="22">
        <f>IF(OR($AK224="",$AG224=""),"",MAX(0,$AK224*$AG224))</f>
        <v/>
      </c>
      <c r="AM224" s="22">
        <f>IF($AE224="","",MAX(0,SUM($AE224,$AL224,$V224,$W224)))</f>
        <v/>
      </c>
      <c r="AN224" s="22">
        <f>IF($AM224="","",IF(AND($Q224="COMMITMENT",$R224&gt;=$AH224),$AI224,0))</f>
        <v/>
      </c>
      <c r="AO224" s="23">
        <f>IF($AM224="","",MAX(0,$AM224-$AN224))</f>
        <v/>
      </c>
      <c r="AP224" s="22">
        <f>IF($S224="","",IF(OR($S224="ITEM_PRICE_PLUS_DECLARED_DELIVERY",$S224="DELIVERY_CHARGE_ONLY"),$K224,IF($S224="TOTAL_AMOUNT_INCLUDING_DELIVERY",IF(OR($T224="",$J224=""),"",MAX(0,$T224-$J224-$U224)),IF($S224="ITEM_PRICE_ONLY_DELIVERY_PAID_BY_MERCHANT",0,""))))</f>
        <v/>
      </c>
      <c r="AQ224" s="23">
        <f>IF(OR($AP224="",$AO224=""),"",$AP224-$AO224)</f>
        <v/>
      </c>
      <c r="AR224" s="24">
        <f>IF($S224="EXACT_COLLECTION_AMOUNT","BREAKDOWN_REQUIRED",IF($AQ224="","",IF($AQ224&gt;0,"CREDIT_TO_MERCHANT",IF($AQ224&lt;0,"DEDUCT_FROM_MERCHANT","NO_ADJUSTMENT"))))</f>
        <v/>
      </c>
      <c r="AS224" s="23">
        <f>IF(OR($AQ224="",$AR224="BREAKDOWN_REQUIRED"),"",$AQ224)</f>
        <v/>
      </c>
      <c r="AT224" s="23">
        <f>IF(OR($AR224="",$AR224="BREAKDOWN_REQUIRED"),"",SUM($J224,$AQ224,$Y224)-$X224)</f>
        <v/>
      </c>
      <c r="AU224" s="25">
        <f>IF(AND($A224="",$B224="",$F224="",$H224="",$J224="",$K224="",$M224="",$S224=""),"",IF(OR($H224="",$Q224="",$M224="",$S224=""),"ERROR",IF(OR($J224&lt;0,$K224&lt;0,$M224&lt;0,$T224&lt;0,$U224&lt;0,$V224&lt;0,$W224&lt;0,$X224&lt;0,$Y224&lt;0),"ERROR",IF($AE224="","ERROR",IF(AND(OR($S224="ITEM_PRICE_PLUS_DECLARED_DELIVERY",$S224="TOTAL_AMOUNT_INCLUDING_DELIVERY",$S224="ITEM_PRICE_ONLY_DELIVERY_PAID_BY_MERCHANT"),$J224=""),"ERROR",IF(AND(OR($S224="ITEM_PRICE_PLUS_DECLARED_DELIVERY",$S224="DELIVERY_CHARGE_ONLY"),$K224=""),"ERROR",IF(AND(OR($S224="TOTAL_AMOUNT_INCLUDING_DELIVERY",$S224="EXACT_COLLECTION_AMOUNT"),$T224=""),"ERROR",IF(AND($S224="TOTAL_AMOUNT_INCLUDING_DELIVERY",$T224&lt;SUM($J224,$U224)),"ERROR",IF($S224="EXACT_COLLECTION_AMOUNT","REVIEW","OK")))))))))</f>
        <v/>
      </c>
      <c r="AV224" s="25">
        <f>IF($AU224="","",IF($H224="","Township required",IF($Q224="","Customer tier required",IF($M224="","Weight required",IF($S224="","Amount entry type required",IF(OR($J224&lt;0,$K224&lt;0,$M224&lt;0,$T224&lt;0,$U224&lt;0,$V224&lt;0,$W224&lt;0,$X224&lt;0,$Y224&lt;0),"Negative amounts are not allowed",IF($AE224="","Tariff not found for township and tier",IF(AND(OR($S224="ITEM_PRICE_PLUS_DECLARED_DELIVERY",$S224="TOTAL_AMOUNT_INCLUDING_DELIVERY",$S224="ITEM_PRICE_ONLY_DELIVERY_PAID_BY_MERCHANT"),$J224=""),"Item price required for this amount type",IF(AND(OR($S224="ITEM_PRICE_PLUS_DECLARED_DELIVERY",$S224="DELIVERY_CHARGE_ONLY"),$K224=""),"Declared delivery charge required",IF(AND(OR($S224="TOTAL_AMOUNT_INCLUDING_DELIVERY",$S224="EXACT_COLLECTION_AMOUNT"),$T224=""),"Stated total amount required",IF(AND($S224="TOTAL_AMOUNT_INCLUDING_DELIVERY",$T224&lt;SUM($J224,$U224)),"Stated total is below item price plus additional charge",IF($S224="EXACT_COLLECTION_AMOUNT","Authorized amount breakdown required before settlement","Ready for collection and settlement"))))))))))))</f>
        <v/>
      </c>
      <c r="AW224" s="23">
        <f>IF($AU224="","","PARCEL_FINANCIAL_V2")</f>
        <v/>
      </c>
      <c r="AX224" s="17" t="n"/>
    </row>
    <row r="225">
      <c r="A225" s="8" t="n"/>
      <c r="B225" s="8" t="n"/>
      <c r="C225" s="8" t="n"/>
      <c r="D225" s="8" t="n"/>
      <c r="E225" s="9" t="n"/>
      <c r="F225" s="9" t="n"/>
      <c r="G225" s="8" t="n"/>
      <c r="H225" s="9" t="n"/>
      <c r="I225" s="9" t="n"/>
      <c r="J225" s="10" t="n"/>
      <c r="K225" s="10" t="n"/>
      <c r="L225" s="11">
        <f>IF($S225="","",IF($S225="ITEM_PRICE_PLUS_DECLARED_DELIVERY",IF(OR($J225="",$K225=""),"",SUM($J225,$K225,$U225)),IF($S225="TOTAL_AMOUNT_INCLUDING_DELIVERY",IF($T225="","",$T225),IF($S225="DELIVERY_CHARGE_ONLY",IF($K225="","",SUM($K225,$U225)),IF($S225="EXACT_COLLECTION_AMOUNT",IF($T225="","",$T225),IF($S225="ITEM_PRICE_ONLY_DELIVERY_PAID_BY_MERCHANT",IF($J225="","",SUM($J225,$U225)),""))))))</f>
        <v/>
      </c>
      <c r="M225" s="12" t="n"/>
      <c r="N225" s="13" t="n"/>
      <c r="O225" s="13" t="n"/>
      <c r="P225" s="9" t="n"/>
      <c r="Q225" s="14" t="n"/>
      <c r="R225" s="15" t="n"/>
      <c r="S225" s="14" t="n"/>
      <c r="T225" s="16" t="n"/>
      <c r="U225" s="16" t="n"/>
      <c r="V225" s="16" t="n"/>
      <c r="W225" s="16" t="n"/>
      <c r="X225" s="16" t="n"/>
      <c r="Y225" s="16" t="n"/>
      <c r="Z225" s="14" t="n"/>
      <c r="AA225" s="14" t="n"/>
      <c r="AB225" s="14" t="n"/>
      <c r="AC225" s="17">
        <f>IFERROR(VLOOKUP($H225&amp;"|"&amp;$Q225,Tariff_Master!$A$2:$L$169,3,FALSE),"")</f>
        <v/>
      </c>
      <c r="AD225" s="17">
        <f>IFERROR(VLOOKUP($H225&amp;"|"&amp;$Q225,Tariff_Master!$A$2:$L$169,4,FALSE),"")</f>
        <v/>
      </c>
      <c r="AE225" s="18">
        <f>IFERROR(VLOOKUP($H225&amp;"|"&amp;$Q225,Tariff_Master!$A$2:$L$169,6,FALSE),"")</f>
        <v/>
      </c>
      <c r="AF225" s="19">
        <f>IFERROR(VLOOKUP($H225&amp;"|"&amp;$Q225,Tariff_Master!$A$2:$L$169,7,FALSE),"")</f>
        <v/>
      </c>
      <c r="AG225" s="18">
        <f>IFERROR(VLOOKUP($H225&amp;"|"&amp;$Q225,Tariff_Master!$A$2:$L$169,8,FALSE),"")</f>
        <v/>
      </c>
      <c r="AH225" s="20">
        <f>IFERROR(VLOOKUP($H225&amp;"|"&amp;$Q225,Tariff_Master!$A$2:$L$169,9,FALSE),"")</f>
        <v/>
      </c>
      <c r="AI225" s="18">
        <f>IFERROR(VLOOKUP($H225&amp;"|"&amp;$Q225,Tariff_Master!$A$2:$L$169,10,FALSE),"")</f>
        <v/>
      </c>
      <c r="AJ225" s="21">
        <f>IF($M225="","",ROUNDUP(MAX(0,$M225),0))</f>
        <v/>
      </c>
      <c r="AK225" s="21">
        <f>IF(OR($AJ225="",$AF225=""),"",MAX(0,$AJ225-$AF225))</f>
        <v/>
      </c>
      <c r="AL225" s="22">
        <f>IF(OR($AK225="",$AG225=""),"",MAX(0,$AK225*$AG225))</f>
        <v/>
      </c>
      <c r="AM225" s="22">
        <f>IF($AE225="","",MAX(0,SUM($AE225,$AL225,$V225,$W225)))</f>
        <v/>
      </c>
      <c r="AN225" s="22">
        <f>IF($AM225="","",IF(AND($Q225="COMMITMENT",$R225&gt;=$AH225),$AI225,0))</f>
        <v/>
      </c>
      <c r="AO225" s="23">
        <f>IF($AM225="","",MAX(0,$AM225-$AN225))</f>
        <v/>
      </c>
      <c r="AP225" s="22">
        <f>IF($S225="","",IF(OR($S225="ITEM_PRICE_PLUS_DECLARED_DELIVERY",$S225="DELIVERY_CHARGE_ONLY"),$K225,IF($S225="TOTAL_AMOUNT_INCLUDING_DELIVERY",IF(OR($T225="",$J225=""),"",MAX(0,$T225-$J225-$U225)),IF($S225="ITEM_PRICE_ONLY_DELIVERY_PAID_BY_MERCHANT",0,""))))</f>
        <v/>
      </c>
      <c r="AQ225" s="23">
        <f>IF(OR($AP225="",$AO225=""),"",$AP225-$AO225)</f>
        <v/>
      </c>
      <c r="AR225" s="24">
        <f>IF($S225="EXACT_COLLECTION_AMOUNT","BREAKDOWN_REQUIRED",IF($AQ225="","",IF($AQ225&gt;0,"CREDIT_TO_MERCHANT",IF($AQ225&lt;0,"DEDUCT_FROM_MERCHANT","NO_ADJUSTMENT"))))</f>
        <v/>
      </c>
      <c r="AS225" s="23">
        <f>IF(OR($AQ225="",$AR225="BREAKDOWN_REQUIRED"),"",$AQ225)</f>
        <v/>
      </c>
      <c r="AT225" s="23">
        <f>IF(OR($AR225="",$AR225="BREAKDOWN_REQUIRED"),"",SUM($J225,$AQ225,$Y225)-$X225)</f>
        <v/>
      </c>
      <c r="AU225" s="25">
        <f>IF(AND($A225="",$B225="",$F225="",$H225="",$J225="",$K225="",$M225="",$S225=""),"",IF(OR($H225="",$Q225="",$M225="",$S225=""),"ERROR",IF(OR($J225&lt;0,$K225&lt;0,$M225&lt;0,$T225&lt;0,$U225&lt;0,$V225&lt;0,$W225&lt;0,$X225&lt;0,$Y225&lt;0),"ERROR",IF($AE225="","ERROR",IF(AND(OR($S225="ITEM_PRICE_PLUS_DECLARED_DELIVERY",$S225="TOTAL_AMOUNT_INCLUDING_DELIVERY",$S225="ITEM_PRICE_ONLY_DELIVERY_PAID_BY_MERCHANT"),$J225=""),"ERROR",IF(AND(OR($S225="ITEM_PRICE_PLUS_DECLARED_DELIVERY",$S225="DELIVERY_CHARGE_ONLY"),$K225=""),"ERROR",IF(AND(OR($S225="TOTAL_AMOUNT_INCLUDING_DELIVERY",$S225="EXACT_COLLECTION_AMOUNT"),$T225=""),"ERROR",IF(AND($S225="TOTAL_AMOUNT_INCLUDING_DELIVERY",$T225&lt;SUM($J225,$U225)),"ERROR",IF($S225="EXACT_COLLECTION_AMOUNT","REVIEW","OK")))))))))</f>
        <v/>
      </c>
      <c r="AV225" s="25">
        <f>IF($AU225="","",IF($H225="","Township required",IF($Q225="","Customer tier required",IF($M225="","Weight required",IF($S225="","Amount entry type required",IF(OR($J225&lt;0,$K225&lt;0,$M225&lt;0,$T225&lt;0,$U225&lt;0,$V225&lt;0,$W225&lt;0,$X225&lt;0,$Y225&lt;0),"Negative amounts are not allowed",IF($AE225="","Tariff not found for township and tier",IF(AND(OR($S225="ITEM_PRICE_PLUS_DECLARED_DELIVERY",$S225="TOTAL_AMOUNT_INCLUDING_DELIVERY",$S225="ITEM_PRICE_ONLY_DELIVERY_PAID_BY_MERCHANT"),$J225=""),"Item price required for this amount type",IF(AND(OR($S225="ITEM_PRICE_PLUS_DECLARED_DELIVERY",$S225="DELIVERY_CHARGE_ONLY"),$K225=""),"Declared delivery charge required",IF(AND(OR($S225="TOTAL_AMOUNT_INCLUDING_DELIVERY",$S225="EXACT_COLLECTION_AMOUNT"),$T225=""),"Stated total amount required",IF(AND($S225="TOTAL_AMOUNT_INCLUDING_DELIVERY",$T225&lt;SUM($J225,$U225)),"Stated total is below item price plus additional charge",IF($S225="EXACT_COLLECTION_AMOUNT","Authorized amount breakdown required before settlement","Ready for collection and settlement"))))))))))))</f>
        <v/>
      </c>
      <c r="AW225" s="23">
        <f>IF($AU225="","","PARCEL_FINANCIAL_V2")</f>
        <v/>
      </c>
      <c r="AX225" s="17" t="n"/>
    </row>
    <row r="226">
      <c r="A226" s="8" t="n"/>
      <c r="B226" s="8" t="n"/>
      <c r="C226" s="8" t="n"/>
      <c r="D226" s="8" t="n"/>
      <c r="E226" s="9" t="n"/>
      <c r="F226" s="9" t="n"/>
      <c r="G226" s="8" t="n"/>
      <c r="H226" s="9" t="n"/>
      <c r="I226" s="9" t="n"/>
      <c r="J226" s="10" t="n"/>
      <c r="K226" s="10" t="n"/>
      <c r="L226" s="11">
        <f>IF($S226="","",IF($S226="ITEM_PRICE_PLUS_DECLARED_DELIVERY",IF(OR($J226="",$K226=""),"",SUM($J226,$K226,$U226)),IF($S226="TOTAL_AMOUNT_INCLUDING_DELIVERY",IF($T226="","",$T226),IF($S226="DELIVERY_CHARGE_ONLY",IF($K226="","",SUM($K226,$U226)),IF($S226="EXACT_COLLECTION_AMOUNT",IF($T226="","",$T226),IF($S226="ITEM_PRICE_ONLY_DELIVERY_PAID_BY_MERCHANT",IF($J226="","",SUM($J226,$U226)),""))))))</f>
        <v/>
      </c>
      <c r="M226" s="12" t="n"/>
      <c r="N226" s="13" t="n"/>
      <c r="O226" s="13" t="n"/>
      <c r="P226" s="9" t="n"/>
      <c r="Q226" s="14" t="n"/>
      <c r="R226" s="15" t="n"/>
      <c r="S226" s="14" t="n"/>
      <c r="T226" s="16" t="n"/>
      <c r="U226" s="16" t="n"/>
      <c r="V226" s="16" t="n"/>
      <c r="W226" s="16" t="n"/>
      <c r="X226" s="16" t="n"/>
      <c r="Y226" s="16" t="n"/>
      <c r="Z226" s="14" t="n"/>
      <c r="AA226" s="14" t="n"/>
      <c r="AB226" s="14" t="n"/>
      <c r="AC226" s="17">
        <f>IFERROR(VLOOKUP($H226&amp;"|"&amp;$Q226,Tariff_Master!$A$2:$L$169,3,FALSE),"")</f>
        <v/>
      </c>
      <c r="AD226" s="17">
        <f>IFERROR(VLOOKUP($H226&amp;"|"&amp;$Q226,Tariff_Master!$A$2:$L$169,4,FALSE),"")</f>
        <v/>
      </c>
      <c r="AE226" s="18">
        <f>IFERROR(VLOOKUP($H226&amp;"|"&amp;$Q226,Tariff_Master!$A$2:$L$169,6,FALSE),"")</f>
        <v/>
      </c>
      <c r="AF226" s="19">
        <f>IFERROR(VLOOKUP($H226&amp;"|"&amp;$Q226,Tariff_Master!$A$2:$L$169,7,FALSE),"")</f>
        <v/>
      </c>
      <c r="AG226" s="18">
        <f>IFERROR(VLOOKUP($H226&amp;"|"&amp;$Q226,Tariff_Master!$A$2:$L$169,8,FALSE),"")</f>
        <v/>
      </c>
      <c r="AH226" s="20">
        <f>IFERROR(VLOOKUP($H226&amp;"|"&amp;$Q226,Tariff_Master!$A$2:$L$169,9,FALSE),"")</f>
        <v/>
      </c>
      <c r="AI226" s="18">
        <f>IFERROR(VLOOKUP($H226&amp;"|"&amp;$Q226,Tariff_Master!$A$2:$L$169,10,FALSE),"")</f>
        <v/>
      </c>
      <c r="AJ226" s="21">
        <f>IF($M226="","",ROUNDUP(MAX(0,$M226),0))</f>
        <v/>
      </c>
      <c r="AK226" s="21">
        <f>IF(OR($AJ226="",$AF226=""),"",MAX(0,$AJ226-$AF226))</f>
        <v/>
      </c>
      <c r="AL226" s="22">
        <f>IF(OR($AK226="",$AG226=""),"",MAX(0,$AK226*$AG226))</f>
        <v/>
      </c>
      <c r="AM226" s="22">
        <f>IF($AE226="","",MAX(0,SUM($AE226,$AL226,$V226,$W226)))</f>
        <v/>
      </c>
      <c r="AN226" s="22">
        <f>IF($AM226="","",IF(AND($Q226="COMMITMENT",$R226&gt;=$AH226),$AI226,0))</f>
        <v/>
      </c>
      <c r="AO226" s="23">
        <f>IF($AM226="","",MAX(0,$AM226-$AN226))</f>
        <v/>
      </c>
      <c r="AP226" s="22">
        <f>IF($S226="","",IF(OR($S226="ITEM_PRICE_PLUS_DECLARED_DELIVERY",$S226="DELIVERY_CHARGE_ONLY"),$K226,IF($S226="TOTAL_AMOUNT_INCLUDING_DELIVERY",IF(OR($T226="",$J226=""),"",MAX(0,$T226-$J226-$U226)),IF($S226="ITEM_PRICE_ONLY_DELIVERY_PAID_BY_MERCHANT",0,""))))</f>
        <v/>
      </c>
      <c r="AQ226" s="23">
        <f>IF(OR($AP226="",$AO226=""),"",$AP226-$AO226)</f>
        <v/>
      </c>
      <c r="AR226" s="24">
        <f>IF($S226="EXACT_COLLECTION_AMOUNT","BREAKDOWN_REQUIRED",IF($AQ226="","",IF($AQ226&gt;0,"CREDIT_TO_MERCHANT",IF($AQ226&lt;0,"DEDUCT_FROM_MERCHANT","NO_ADJUSTMENT"))))</f>
        <v/>
      </c>
      <c r="AS226" s="23">
        <f>IF(OR($AQ226="",$AR226="BREAKDOWN_REQUIRED"),"",$AQ226)</f>
        <v/>
      </c>
      <c r="AT226" s="23">
        <f>IF(OR($AR226="",$AR226="BREAKDOWN_REQUIRED"),"",SUM($J226,$AQ226,$Y226)-$X226)</f>
        <v/>
      </c>
      <c r="AU226" s="25">
        <f>IF(AND($A226="",$B226="",$F226="",$H226="",$J226="",$K226="",$M226="",$S226=""),"",IF(OR($H226="",$Q226="",$M226="",$S226=""),"ERROR",IF(OR($J226&lt;0,$K226&lt;0,$M226&lt;0,$T226&lt;0,$U226&lt;0,$V226&lt;0,$W226&lt;0,$X226&lt;0,$Y226&lt;0),"ERROR",IF($AE226="","ERROR",IF(AND(OR($S226="ITEM_PRICE_PLUS_DECLARED_DELIVERY",$S226="TOTAL_AMOUNT_INCLUDING_DELIVERY",$S226="ITEM_PRICE_ONLY_DELIVERY_PAID_BY_MERCHANT"),$J226=""),"ERROR",IF(AND(OR($S226="ITEM_PRICE_PLUS_DECLARED_DELIVERY",$S226="DELIVERY_CHARGE_ONLY"),$K226=""),"ERROR",IF(AND(OR($S226="TOTAL_AMOUNT_INCLUDING_DELIVERY",$S226="EXACT_COLLECTION_AMOUNT"),$T226=""),"ERROR",IF(AND($S226="TOTAL_AMOUNT_INCLUDING_DELIVERY",$T226&lt;SUM($J226,$U226)),"ERROR",IF($S226="EXACT_COLLECTION_AMOUNT","REVIEW","OK")))))))))</f>
        <v/>
      </c>
      <c r="AV226" s="25">
        <f>IF($AU226="","",IF($H226="","Township required",IF($Q226="","Customer tier required",IF($M226="","Weight required",IF($S226="","Amount entry type required",IF(OR($J226&lt;0,$K226&lt;0,$M226&lt;0,$T226&lt;0,$U226&lt;0,$V226&lt;0,$W226&lt;0,$X226&lt;0,$Y226&lt;0),"Negative amounts are not allowed",IF($AE226="","Tariff not found for township and tier",IF(AND(OR($S226="ITEM_PRICE_PLUS_DECLARED_DELIVERY",$S226="TOTAL_AMOUNT_INCLUDING_DELIVERY",$S226="ITEM_PRICE_ONLY_DELIVERY_PAID_BY_MERCHANT"),$J226=""),"Item price required for this amount type",IF(AND(OR($S226="ITEM_PRICE_PLUS_DECLARED_DELIVERY",$S226="DELIVERY_CHARGE_ONLY"),$K226=""),"Declared delivery charge required",IF(AND(OR($S226="TOTAL_AMOUNT_INCLUDING_DELIVERY",$S226="EXACT_COLLECTION_AMOUNT"),$T226=""),"Stated total amount required",IF(AND($S226="TOTAL_AMOUNT_INCLUDING_DELIVERY",$T226&lt;SUM($J226,$U226)),"Stated total is below item price plus additional charge",IF($S226="EXACT_COLLECTION_AMOUNT","Authorized amount breakdown required before settlement","Ready for collection and settlement"))))))))))))</f>
        <v/>
      </c>
      <c r="AW226" s="23">
        <f>IF($AU226="","","PARCEL_FINANCIAL_V2")</f>
        <v/>
      </c>
      <c r="AX226" s="17" t="n"/>
    </row>
    <row r="227">
      <c r="A227" s="8" t="n"/>
      <c r="B227" s="8" t="n"/>
      <c r="C227" s="8" t="n"/>
      <c r="D227" s="8" t="n"/>
      <c r="E227" s="9" t="n"/>
      <c r="F227" s="9" t="n"/>
      <c r="G227" s="8" t="n"/>
      <c r="H227" s="9" t="n"/>
      <c r="I227" s="9" t="n"/>
      <c r="J227" s="10" t="n"/>
      <c r="K227" s="10" t="n"/>
      <c r="L227" s="11">
        <f>IF($S227="","",IF($S227="ITEM_PRICE_PLUS_DECLARED_DELIVERY",IF(OR($J227="",$K227=""),"",SUM($J227,$K227,$U227)),IF($S227="TOTAL_AMOUNT_INCLUDING_DELIVERY",IF($T227="","",$T227),IF($S227="DELIVERY_CHARGE_ONLY",IF($K227="","",SUM($K227,$U227)),IF($S227="EXACT_COLLECTION_AMOUNT",IF($T227="","",$T227),IF($S227="ITEM_PRICE_ONLY_DELIVERY_PAID_BY_MERCHANT",IF($J227="","",SUM($J227,$U227)),""))))))</f>
        <v/>
      </c>
      <c r="M227" s="12" t="n"/>
      <c r="N227" s="13" t="n"/>
      <c r="O227" s="13" t="n"/>
      <c r="P227" s="9" t="n"/>
      <c r="Q227" s="14" t="n"/>
      <c r="R227" s="15" t="n"/>
      <c r="S227" s="14" t="n"/>
      <c r="T227" s="16" t="n"/>
      <c r="U227" s="16" t="n"/>
      <c r="V227" s="16" t="n"/>
      <c r="W227" s="16" t="n"/>
      <c r="X227" s="16" t="n"/>
      <c r="Y227" s="16" t="n"/>
      <c r="Z227" s="14" t="n"/>
      <c r="AA227" s="14" t="n"/>
      <c r="AB227" s="14" t="n"/>
      <c r="AC227" s="17">
        <f>IFERROR(VLOOKUP($H227&amp;"|"&amp;$Q227,Tariff_Master!$A$2:$L$169,3,FALSE),"")</f>
        <v/>
      </c>
      <c r="AD227" s="17">
        <f>IFERROR(VLOOKUP($H227&amp;"|"&amp;$Q227,Tariff_Master!$A$2:$L$169,4,FALSE),"")</f>
        <v/>
      </c>
      <c r="AE227" s="18">
        <f>IFERROR(VLOOKUP($H227&amp;"|"&amp;$Q227,Tariff_Master!$A$2:$L$169,6,FALSE),"")</f>
        <v/>
      </c>
      <c r="AF227" s="19">
        <f>IFERROR(VLOOKUP($H227&amp;"|"&amp;$Q227,Tariff_Master!$A$2:$L$169,7,FALSE),"")</f>
        <v/>
      </c>
      <c r="AG227" s="18">
        <f>IFERROR(VLOOKUP($H227&amp;"|"&amp;$Q227,Tariff_Master!$A$2:$L$169,8,FALSE),"")</f>
        <v/>
      </c>
      <c r="AH227" s="20">
        <f>IFERROR(VLOOKUP($H227&amp;"|"&amp;$Q227,Tariff_Master!$A$2:$L$169,9,FALSE),"")</f>
        <v/>
      </c>
      <c r="AI227" s="18">
        <f>IFERROR(VLOOKUP($H227&amp;"|"&amp;$Q227,Tariff_Master!$A$2:$L$169,10,FALSE),"")</f>
        <v/>
      </c>
      <c r="AJ227" s="21">
        <f>IF($M227="","",ROUNDUP(MAX(0,$M227),0))</f>
        <v/>
      </c>
      <c r="AK227" s="21">
        <f>IF(OR($AJ227="",$AF227=""),"",MAX(0,$AJ227-$AF227))</f>
        <v/>
      </c>
      <c r="AL227" s="22">
        <f>IF(OR($AK227="",$AG227=""),"",MAX(0,$AK227*$AG227))</f>
        <v/>
      </c>
      <c r="AM227" s="22">
        <f>IF($AE227="","",MAX(0,SUM($AE227,$AL227,$V227,$W227)))</f>
        <v/>
      </c>
      <c r="AN227" s="22">
        <f>IF($AM227="","",IF(AND($Q227="COMMITMENT",$R227&gt;=$AH227),$AI227,0))</f>
        <v/>
      </c>
      <c r="AO227" s="23">
        <f>IF($AM227="","",MAX(0,$AM227-$AN227))</f>
        <v/>
      </c>
      <c r="AP227" s="22">
        <f>IF($S227="","",IF(OR($S227="ITEM_PRICE_PLUS_DECLARED_DELIVERY",$S227="DELIVERY_CHARGE_ONLY"),$K227,IF($S227="TOTAL_AMOUNT_INCLUDING_DELIVERY",IF(OR($T227="",$J227=""),"",MAX(0,$T227-$J227-$U227)),IF($S227="ITEM_PRICE_ONLY_DELIVERY_PAID_BY_MERCHANT",0,""))))</f>
        <v/>
      </c>
      <c r="AQ227" s="23">
        <f>IF(OR($AP227="",$AO227=""),"",$AP227-$AO227)</f>
        <v/>
      </c>
      <c r="AR227" s="24">
        <f>IF($S227="EXACT_COLLECTION_AMOUNT","BREAKDOWN_REQUIRED",IF($AQ227="","",IF($AQ227&gt;0,"CREDIT_TO_MERCHANT",IF($AQ227&lt;0,"DEDUCT_FROM_MERCHANT","NO_ADJUSTMENT"))))</f>
        <v/>
      </c>
      <c r="AS227" s="23">
        <f>IF(OR($AQ227="",$AR227="BREAKDOWN_REQUIRED"),"",$AQ227)</f>
        <v/>
      </c>
      <c r="AT227" s="23">
        <f>IF(OR($AR227="",$AR227="BREAKDOWN_REQUIRED"),"",SUM($J227,$AQ227,$Y227)-$X227)</f>
        <v/>
      </c>
      <c r="AU227" s="25">
        <f>IF(AND($A227="",$B227="",$F227="",$H227="",$J227="",$K227="",$M227="",$S227=""),"",IF(OR($H227="",$Q227="",$M227="",$S227=""),"ERROR",IF(OR($J227&lt;0,$K227&lt;0,$M227&lt;0,$T227&lt;0,$U227&lt;0,$V227&lt;0,$W227&lt;0,$X227&lt;0,$Y227&lt;0),"ERROR",IF($AE227="","ERROR",IF(AND(OR($S227="ITEM_PRICE_PLUS_DECLARED_DELIVERY",$S227="TOTAL_AMOUNT_INCLUDING_DELIVERY",$S227="ITEM_PRICE_ONLY_DELIVERY_PAID_BY_MERCHANT"),$J227=""),"ERROR",IF(AND(OR($S227="ITEM_PRICE_PLUS_DECLARED_DELIVERY",$S227="DELIVERY_CHARGE_ONLY"),$K227=""),"ERROR",IF(AND(OR($S227="TOTAL_AMOUNT_INCLUDING_DELIVERY",$S227="EXACT_COLLECTION_AMOUNT"),$T227=""),"ERROR",IF(AND($S227="TOTAL_AMOUNT_INCLUDING_DELIVERY",$T227&lt;SUM($J227,$U227)),"ERROR",IF($S227="EXACT_COLLECTION_AMOUNT","REVIEW","OK")))))))))</f>
        <v/>
      </c>
      <c r="AV227" s="25">
        <f>IF($AU227="","",IF($H227="","Township required",IF($Q227="","Customer tier required",IF($M227="","Weight required",IF($S227="","Amount entry type required",IF(OR($J227&lt;0,$K227&lt;0,$M227&lt;0,$T227&lt;0,$U227&lt;0,$V227&lt;0,$W227&lt;0,$X227&lt;0,$Y227&lt;0),"Negative amounts are not allowed",IF($AE227="","Tariff not found for township and tier",IF(AND(OR($S227="ITEM_PRICE_PLUS_DECLARED_DELIVERY",$S227="TOTAL_AMOUNT_INCLUDING_DELIVERY",$S227="ITEM_PRICE_ONLY_DELIVERY_PAID_BY_MERCHANT"),$J227=""),"Item price required for this amount type",IF(AND(OR($S227="ITEM_PRICE_PLUS_DECLARED_DELIVERY",$S227="DELIVERY_CHARGE_ONLY"),$K227=""),"Declared delivery charge required",IF(AND(OR($S227="TOTAL_AMOUNT_INCLUDING_DELIVERY",$S227="EXACT_COLLECTION_AMOUNT"),$T227=""),"Stated total amount required",IF(AND($S227="TOTAL_AMOUNT_INCLUDING_DELIVERY",$T227&lt;SUM($J227,$U227)),"Stated total is below item price plus additional charge",IF($S227="EXACT_COLLECTION_AMOUNT","Authorized amount breakdown required before settlement","Ready for collection and settlement"))))))))))))</f>
        <v/>
      </c>
      <c r="AW227" s="23">
        <f>IF($AU227="","","PARCEL_FINANCIAL_V2")</f>
        <v/>
      </c>
      <c r="AX227" s="17" t="n"/>
    </row>
    <row r="228">
      <c r="A228" s="8" t="n"/>
      <c r="B228" s="8" t="n"/>
      <c r="C228" s="8" t="n"/>
      <c r="D228" s="8" t="n"/>
      <c r="E228" s="9" t="n"/>
      <c r="F228" s="9" t="n"/>
      <c r="G228" s="8" t="n"/>
      <c r="H228" s="9" t="n"/>
      <c r="I228" s="9" t="n"/>
      <c r="J228" s="10" t="n"/>
      <c r="K228" s="10" t="n"/>
      <c r="L228" s="11">
        <f>IF($S228="","",IF($S228="ITEM_PRICE_PLUS_DECLARED_DELIVERY",IF(OR($J228="",$K228=""),"",SUM($J228,$K228,$U228)),IF($S228="TOTAL_AMOUNT_INCLUDING_DELIVERY",IF($T228="","",$T228),IF($S228="DELIVERY_CHARGE_ONLY",IF($K228="","",SUM($K228,$U228)),IF($S228="EXACT_COLLECTION_AMOUNT",IF($T228="","",$T228),IF($S228="ITEM_PRICE_ONLY_DELIVERY_PAID_BY_MERCHANT",IF($J228="","",SUM($J228,$U228)),""))))))</f>
        <v/>
      </c>
      <c r="M228" s="12" t="n"/>
      <c r="N228" s="13" t="n"/>
      <c r="O228" s="13" t="n"/>
      <c r="P228" s="9" t="n"/>
      <c r="Q228" s="14" t="n"/>
      <c r="R228" s="15" t="n"/>
      <c r="S228" s="14" t="n"/>
      <c r="T228" s="16" t="n"/>
      <c r="U228" s="16" t="n"/>
      <c r="V228" s="16" t="n"/>
      <c r="W228" s="16" t="n"/>
      <c r="X228" s="16" t="n"/>
      <c r="Y228" s="16" t="n"/>
      <c r="Z228" s="14" t="n"/>
      <c r="AA228" s="14" t="n"/>
      <c r="AB228" s="14" t="n"/>
      <c r="AC228" s="17">
        <f>IFERROR(VLOOKUP($H228&amp;"|"&amp;$Q228,Tariff_Master!$A$2:$L$169,3,FALSE),"")</f>
        <v/>
      </c>
      <c r="AD228" s="17">
        <f>IFERROR(VLOOKUP($H228&amp;"|"&amp;$Q228,Tariff_Master!$A$2:$L$169,4,FALSE),"")</f>
        <v/>
      </c>
      <c r="AE228" s="18">
        <f>IFERROR(VLOOKUP($H228&amp;"|"&amp;$Q228,Tariff_Master!$A$2:$L$169,6,FALSE),"")</f>
        <v/>
      </c>
      <c r="AF228" s="19">
        <f>IFERROR(VLOOKUP($H228&amp;"|"&amp;$Q228,Tariff_Master!$A$2:$L$169,7,FALSE),"")</f>
        <v/>
      </c>
      <c r="AG228" s="18">
        <f>IFERROR(VLOOKUP($H228&amp;"|"&amp;$Q228,Tariff_Master!$A$2:$L$169,8,FALSE),"")</f>
        <v/>
      </c>
      <c r="AH228" s="20">
        <f>IFERROR(VLOOKUP($H228&amp;"|"&amp;$Q228,Tariff_Master!$A$2:$L$169,9,FALSE),"")</f>
        <v/>
      </c>
      <c r="AI228" s="18">
        <f>IFERROR(VLOOKUP($H228&amp;"|"&amp;$Q228,Tariff_Master!$A$2:$L$169,10,FALSE),"")</f>
        <v/>
      </c>
      <c r="AJ228" s="21">
        <f>IF($M228="","",ROUNDUP(MAX(0,$M228),0))</f>
        <v/>
      </c>
      <c r="AK228" s="21">
        <f>IF(OR($AJ228="",$AF228=""),"",MAX(0,$AJ228-$AF228))</f>
        <v/>
      </c>
      <c r="AL228" s="22">
        <f>IF(OR($AK228="",$AG228=""),"",MAX(0,$AK228*$AG228))</f>
        <v/>
      </c>
      <c r="AM228" s="22">
        <f>IF($AE228="","",MAX(0,SUM($AE228,$AL228,$V228,$W228)))</f>
        <v/>
      </c>
      <c r="AN228" s="22">
        <f>IF($AM228="","",IF(AND($Q228="COMMITMENT",$R228&gt;=$AH228),$AI228,0))</f>
        <v/>
      </c>
      <c r="AO228" s="23">
        <f>IF($AM228="","",MAX(0,$AM228-$AN228))</f>
        <v/>
      </c>
      <c r="AP228" s="22">
        <f>IF($S228="","",IF(OR($S228="ITEM_PRICE_PLUS_DECLARED_DELIVERY",$S228="DELIVERY_CHARGE_ONLY"),$K228,IF($S228="TOTAL_AMOUNT_INCLUDING_DELIVERY",IF(OR($T228="",$J228=""),"",MAX(0,$T228-$J228-$U228)),IF($S228="ITEM_PRICE_ONLY_DELIVERY_PAID_BY_MERCHANT",0,""))))</f>
        <v/>
      </c>
      <c r="AQ228" s="23">
        <f>IF(OR($AP228="",$AO228=""),"",$AP228-$AO228)</f>
        <v/>
      </c>
      <c r="AR228" s="24">
        <f>IF($S228="EXACT_COLLECTION_AMOUNT","BREAKDOWN_REQUIRED",IF($AQ228="","",IF($AQ228&gt;0,"CREDIT_TO_MERCHANT",IF($AQ228&lt;0,"DEDUCT_FROM_MERCHANT","NO_ADJUSTMENT"))))</f>
        <v/>
      </c>
      <c r="AS228" s="23">
        <f>IF(OR($AQ228="",$AR228="BREAKDOWN_REQUIRED"),"",$AQ228)</f>
        <v/>
      </c>
      <c r="AT228" s="23">
        <f>IF(OR($AR228="",$AR228="BREAKDOWN_REQUIRED"),"",SUM($J228,$AQ228,$Y228)-$X228)</f>
        <v/>
      </c>
      <c r="AU228" s="25">
        <f>IF(AND($A228="",$B228="",$F228="",$H228="",$J228="",$K228="",$M228="",$S228=""),"",IF(OR($H228="",$Q228="",$M228="",$S228=""),"ERROR",IF(OR($J228&lt;0,$K228&lt;0,$M228&lt;0,$T228&lt;0,$U228&lt;0,$V228&lt;0,$W228&lt;0,$X228&lt;0,$Y228&lt;0),"ERROR",IF($AE228="","ERROR",IF(AND(OR($S228="ITEM_PRICE_PLUS_DECLARED_DELIVERY",$S228="TOTAL_AMOUNT_INCLUDING_DELIVERY",$S228="ITEM_PRICE_ONLY_DELIVERY_PAID_BY_MERCHANT"),$J228=""),"ERROR",IF(AND(OR($S228="ITEM_PRICE_PLUS_DECLARED_DELIVERY",$S228="DELIVERY_CHARGE_ONLY"),$K228=""),"ERROR",IF(AND(OR($S228="TOTAL_AMOUNT_INCLUDING_DELIVERY",$S228="EXACT_COLLECTION_AMOUNT"),$T228=""),"ERROR",IF(AND($S228="TOTAL_AMOUNT_INCLUDING_DELIVERY",$T228&lt;SUM($J228,$U228)),"ERROR",IF($S228="EXACT_COLLECTION_AMOUNT","REVIEW","OK")))))))))</f>
        <v/>
      </c>
      <c r="AV228" s="25">
        <f>IF($AU228="","",IF($H228="","Township required",IF($Q228="","Customer tier required",IF($M228="","Weight required",IF($S228="","Amount entry type required",IF(OR($J228&lt;0,$K228&lt;0,$M228&lt;0,$T228&lt;0,$U228&lt;0,$V228&lt;0,$W228&lt;0,$X228&lt;0,$Y228&lt;0),"Negative amounts are not allowed",IF($AE228="","Tariff not found for township and tier",IF(AND(OR($S228="ITEM_PRICE_PLUS_DECLARED_DELIVERY",$S228="TOTAL_AMOUNT_INCLUDING_DELIVERY",$S228="ITEM_PRICE_ONLY_DELIVERY_PAID_BY_MERCHANT"),$J228=""),"Item price required for this amount type",IF(AND(OR($S228="ITEM_PRICE_PLUS_DECLARED_DELIVERY",$S228="DELIVERY_CHARGE_ONLY"),$K228=""),"Declared delivery charge required",IF(AND(OR($S228="TOTAL_AMOUNT_INCLUDING_DELIVERY",$S228="EXACT_COLLECTION_AMOUNT"),$T228=""),"Stated total amount required",IF(AND($S228="TOTAL_AMOUNT_INCLUDING_DELIVERY",$T228&lt;SUM($J228,$U228)),"Stated total is below item price plus additional charge",IF($S228="EXACT_COLLECTION_AMOUNT","Authorized amount breakdown required before settlement","Ready for collection and settlement"))))))))))))</f>
        <v/>
      </c>
      <c r="AW228" s="23">
        <f>IF($AU228="","","PARCEL_FINANCIAL_V2")</f>
        <v/>
      </c>
      <c r="AX228" s="17" t="n"/>
    </row>
    <row r="229">
      <c r="A229" s="8" t="n"/>
      <c r="B229" s="8" t="n"/>
      <c r="C229" s="8" t="n"/>
      <c r="D229" s="8" t="n"/>
      <c r="E229" s="9" t="n"/>
      <c r="F229" s="9" t="n"/>
      <c r="G229" s="8" t="n"/>
      <c r="H229" s="9" t="n"/>
      <c r="I229" s="9" t="n"/>
      <c r="J229" s="10" t="n"/>
      <c r="K229" s="10" t="n"/>
      <c r="L229" s="11">
        <f>IF($S229="","",IF($S229="ITEM_PRICE_PLUS_DECLARED_DELIVERY",IF(OR($J229="",$K229=""),"",SUM($J229,$K229,$U229)),IF($S229="TOTAL_AMOUNT_INCLUDING_DELIVERY",IF($T229="","",$T229),IF($S229="DELIVERY_CHARGE_ONLY",IF($K229="","",SUM($K229,$U229)),IF($S229="EXACT_COLLECTION_AMOUNT",IF($T229="","",$T229),IF($S229="ITEM_PRICE_ONLY_DELIVERY_PAID_BY_MERCHANT",IF($J229="","",SUM($J229,$U229)),""))))))</f>
        <v/>
      </c>
      <c r="M229" s="12" t="n"/>
      <c r="N229" s="13" t="n"/>
      <c r="O229" s="13" t="n"/>
      <c r="P229" s="9" t="n"/>
      <c r="Q229" s="14" t="n"/>
      <c r="R229" s="15" t="n"/>
      <c r="S229" s="14" t="n"/>
      <c r="T229" s="16" t="n"/>
      <c r="U229" s="16" t="n"/>
      <c r="V229" s="16" t="n"/>
      <c r="W229" s="16" t="n"/>
      <c r="X229" s="16" t="n"/>
      <c r="Y229" s="16" t="n"/>
      <c r="Z229" s="14" t="n"/>
      <c r="AA229" s="14" t="n"/>
      <c r="AB229" s="14" t="n"/>
      <c r="AC229" s="17">
        <f>IFERROR(VLOOKUP($H229&amp;"|"&amp;$Q229,Tariff_Master!$A$2:$L$169,3,FALSE),"")</f>
        <v/>
      </c>
      <c r="AD229" s="17">
        <f>IFERROR(VLOOKUP($H229&amp;"|"&amp;$Q229,Tariff_Master!$A$2:$L$169,4,FALSE),"")</f>
        <v/>
      </c>
      <c r="AE229" s="18">
        <f>IFERROR(VLOOKUP($H229&amp;"|"&amp;$Q229,Tariff_Master!$A$2:$L$169,6,FALSE),"")</f>
        <v/>
      </c>
      <c r="AF229" s="19">
        <f>IFERROR(VLOOKUP($H229&amp;"|"&amp;$Q229,Tariff_Master!$A$2:$L$169,7,FALSE),"")</f>
        <v/>
      </c>
      <c r="AG229" s="18">
        <f>IFERROR(VLOOKUP($H229&amp;"|"&amp;$Q229,Tariff_Master!$A$2:$L$169,8,FALSE),"")</f>
        <v/>
      </c>
      <c r="AH229" s="20">
        <f>IFERROR(VLOOKUP($H229&amp;"|"&amp;$Q229,Tariff_Master!$A$2:$L$169,9,FALSE),"")</f>
        <v/>
      </c>
      <c r="AI229" s="18">
        <f>IFERROR(VLOOKUP($H229&amp;"|"&amp;$Q229,Tariff_Master!$A$2:$L$169,10,FALSE),"")</f>
        <v/>
      </c>
      <c r="AJ229" s="21">
        <f>IF($M229="","",ROUNDUP(MAX(0,$M229),0))</f>
        <v/>
      </c>
      <c r="AK229" s="21">
        <f>IF(OR($AJ229="",$AF229=""),"",MAX(0,$AJ229-$AF229))</f>
        <v/>
      </c>
      <c r="AL229" s="22">
        <f>IF(OR($AK229="",$AG229=""),"",MAX(0,$AK229*$AG229))</f>
        <v/>
      </c>
      <c r="AM229" s="22">
        <f>IF($AE229="","",MAX(0,SUM($AE229,$AL229,$V229,$W229)))</f>
        <v/>
      </c>
      <c r="AN229" s="22">
        <f>IF($AM229="","",IF(AND($Q229="COMMITMENT",$R229&gt;=$AH229),$AI229,0))</f>
        <v/>
      </c>
      <c r="AO229" s="23">
        <f>IF($AM229="","",MAX(0,$AM229-$AN229))</f>
        <v/>
      </c>
      <c r="AP229" s="22">
        <f>IF($S229="","",IF(OR($S229="ITEM_PRICE_PLUS_DECLARED_DELIVERY",$S229="DELIVERY_CHARGE_ONLY"),$K229,IF($S229="TOTAL_AMOUNT_INCLUDING_DELIVERY",IF(OR($T229="",$J229=""),"",MAX(0,$T229-$J229-$U229)),IF($S229="ITEM_PRICE_ONLY_DELIVERY_PAID_BY_MERCHANT",0,""))))</f>
        <v/>
      </c>
      <c r="AQ229" s="23">
        <f>IF(OR($AP229="",$AO229=""),"",$AP229-$AO229)</f>
        <v/>
      </c>
      <c r="AR229" s="24">
        <f>IF($S229="EXACT_COLLECTION_AMOUNT","BREAKDOWN_REQUIRED",IF($AQ229="","",IF($AQ229&gt;0,"CREDIT_TO_MERCHANT",IF($AQ229&lt;0,"DEDUCT_FROM_MERCHANT","NO_ADJUSTMENT"))))</f>
        <v/>
      </c>
      <c r="AS229" s="23">
        <f>IF(OR($AQ229="",$AR229="BREAKDOWN_REQUIRED"),"",$AQ229)</f>
        <v/>
      </c>
      <c r="AT229" s="23">
        <f>IF(OR($AR229="",$AR229="BREAKDOWN_REQUIRED"),"",SUM($J229,$AQ229,$Y229)-$X229)</f>
        <v/>
      </c>
      <c r="AU229" s="25">
        <f>IF(AND($A229="",$B229="",$F229="",$H229="",$J229="",$K229="",$M229="",$S229=""),"",IF(OR($H229="",$Q229="",$M229="",$S229=""),"ERROR",IF(OR($J229&lt;0,$K229&lt;0,$M229&lt;0,$T229&lt;0,$U229&lt;0,$V229&lt;0,$W229&lt;0,$X229&lt;0,$Y229&lt;0),"ERROR",IF($AE229="","ERROR",IF(AND(OR($S229="ITEM_PRICE_PLUS_DECLARED_DELIVERY",$S229="TOTAL_AMOUNT_INCLUDING_DELIVERY",$S229="ITEM_PRICE_ONLY_DELIVERY_PAID_BY_MERCHANT"),$J229=""),"ERROR",IF(AND(OR($S229="ITEM_PRICE_PLUS_DECLARED_DELIVERY",$S229="DELIVERY_CHARGE_ONLY"),$K229=""),"ERROR",IF(AND(OR($S229="TOTAL_AMOUNT_INCLUDING_DELIVERY",$S229="EXACT_COLLECTION_AMOUNT"),$T229=""),"ERROR",IF(AND($S229="TOTAL_AMOUNT_INCLUDING_DELIVERY",$T229&lt;SUM($J229,$U229)),"ERROR",IF($S229="EXACT_COLLECTION_AMOUNT","REVIEW","OK")))))))))</f>
        <v/>
      </c>
      <c r="AV229" s="25">
        <f>IF($AU229="","",IF($H229="","Township required",IF($Q229="","Customer tier required",IF($M229="","Weight required",IF($S229="","Amount entry type required",IF(OR($J229&lt;0,$K229&lt;0,$M229&lt;0,$T229&lt;0,$U229&lt;0,$V229&lt;0,$W229&lt;0,$X229&lt;0,$Y229&lt;0),"Negative amounts are not allowed",IF($AE229="","Tariff not found for township and tier",IF(AND(OR($S229="ITEM_PRICE_PLUS_DECLARED_DELIVERY",$S229="TOTAL_AMOUNT_INCLUDING_DELIVERY",$S229="ITEM_PRICE_ONLY_DELIVERY_PAID_BY_MERCHANT"),$J229=""),"Item price required for this amount type",IF(AND(OR($S229="ITEM_PRICE_PLUS_DECLARED_DELIVERY",$S229="DELIVERY_CHARGE_ONLY"),$K229=""),"Declared delivery charge required",IF(AND(OR($S229="TOTAL_AMOUNT_INCLUDING_DELIVERY",$S229="EXACT_COLLECTION_AMOUNT"),$T229=""),"Stated total amount required",IF(AND($S229="TOTAL_AMOUNT_INCLUDING_DELIVERY",$T229&lt;SUM($J229,$U229)),"Stated total is below item price plus additional charge",IF($S229="EXACT_COLLECTION_AMOUNT","Authorized amount breakdown required before settlement","Ready for collection and settlement"))))))))))))</f>
        <v/>
      </c>
      <c r="AW229" s="23">
        <f>IF($AU229="","","PARCEL_FINANCIAL_V2")</f>
        <v/>
      </c>
      <c r="AX229" s="17" t="n"/>
    </row>
    <row r="230">
      <c r="A230" s="8" t="n"/>
      <c r="B230" s="8" t="n"/>
      <c r="C230" s="8" t="n"/>
      <c r="D230" s="8" t="n"/>
      <c r="E230" s="9" t="n"/>
      <c r="F230" s="9" t="n"/>
      <c r="G230" s="8" t="n"/>
      <c r="H230" s="9" t="n"/>
      <c r="I230" s="9" t="n"/>
      <c r="J230" s="10" t="n"/>
      <c r="K230" s="10" t="n"/>
      <c r="L230" s="11">
        <f>IF($S230="","",IF($S230="ITEM_PRICE_PLUS_DECLARED_DELIVERY",IF(OR($J230="",$K230=""),"",SUM($J230,$K230,$U230)),IF($S230="TOTAL_AMOUNT_INCLUDING_DELIVERY",IF($T230="","",$T230),IF($S230="DELIVERY_CHARGE_ONLY",IF($K230="","",SUM($K230,$U230)),IF($S230="EXACT_COLLECTION_AMOUNT",IF($T230="","",$T230),IF($S230="ITEM_PRICE_ONLY_DELIVERY_PAID_BY_MERCHANT",IF($J230="","",SUM($J230,$U230)),""))))))</f>
        <v/>
      </c>
      <c r="M230" s="12" t="n"/>
      <c r="N230" s="13" t="n"/>
      <c r="O230" s="13" t="n"/>
      <c r="P230" s="9" t="n"/>
      <c r="Q230" s="14" t="n"/>
      <c r="R230" s="15" t="n"/>
      <c r="S230" s="14" t="n"/>
      <c r="T230" s="16" t="n"/>
      <c r="U230" s="16" t="n"/>
      <c r="V230" s="16" t="n"/>
      <c r="W230" s="16" t="n"/>
      <c r="X230" s="16" t="n"/>
      <c r="Y230" s="16" t="n"/>
      <c r="Z230" s="14" t="n"/>
      <c r="AA230" s="14" t="n"/>
      <c r="AB230" s="14" t="n"/>
      <c r="AC230" s="17">
        <f>IFERROR(VLOOKUP($H230&amp;"|"&amp;$Q230,Tariff_Master!$A$2:$L$169,3,FALSE),"")</f>
        <v/>
      </c>
      <c r="AD230" s="17">
        <f>IFERROR(VLOOKUP($H230&amp;"|"&amp;$Q230,Tariff_Master!$A$2:$L$169,4,FALSE),"")</f>
        <v/>
      </c>
      <c r="AE230" s="18">
        <f>IFERROR(VLOOKUP($H230&amp;"|"&amp;$Q230,Tariff_Master!$A$2:$L$169,6,FALSE),"")</f>
        <v/>
      </c>
      <c r="AF230" s="19">
        <f>IFERROR(VLOOKUP($H230&amp;"|"&amp;$Q230,Tariff_Master!$A$2:$L$169,7,FALSE),"")</f>
        <v/>
      </c>
      <c r="AG230" s="18">
        <f>IFERROR(VLOOKUP($H230&amp;"|"&amp;$Q230,Tariff_Master!$A$2:$L$169,8,FALSE),"")</f>
        <v/>
      </c>
      <c r="AH230" s="20">
        <f>IFERROR(VLOOKUP($H230&amp;"|"&amp;$Q230,Tariff_Master!$A$2:$L$169,9,FALSE),"")</f>
        <v/>
      </c>
      <c r="AI230" s="18">
        <f>IFERROR(VLOOKUP($H230&amp;"|"&amp;$Q230,Tariff_Master!$A$2:$L$169,10,FALSE),"")</f>
        <v/>
      </c>
      <c r="AJ230" s="21">
        <f>IF($M230="","",ROUNDUP(MAX(0,$M230),0))</f>
        <v/>
      </c>
      <c r="AK230" s="21">
        <f>IF(OR($AJ230="",$AF230=""),"",MAX(0,$AJ230-$AF230))</f>
        <v/>
      </c>
      <c r="AL230" s="22">
        <f>IF(OR($AK230="",$AG230=""),"",MAX(0,$AK230*$AG230))</f>
        <v/>
      </c>
      <c r="AM230" s="22">
        <f>IF($AE230="","",MAX(0,SUM($AE230,$AL230,$V230,$W230)))</f>
        <v/>
      </c>
      <c r="AN230" s="22">
        <f>IF($AM230="","",IF(AND($Q230="COMMITMENT",$R230&gt;=$AH230),$AI230,0))</f>
        <v/>
      </c>
      <c r="AO230" s="23">
        <f>IF($AM230="","",MAX(0,$AM230-$AN230))</f>
        <v/>
      </c>
      <c r="AP230" s="22">
        <f>IF($S230="","",IF(OR($S230="ITEM_PRICE_PLUS_DECLARED_DELIVERY",$S230="DELIVERY_CHARGE_ONLY"),$K230,IF($S230="TOTAL_AMOUNT_INCLUDING_DELIVERY",IF(OR($T230="",$J230=""),"",MAX(0,$T230-$J230-$U230)),IF($S230="ITEM_PRICE_ONLY_DELIVERY_PAID_BY_MERCHANT",0,""))))</f>
        <v/>
      </c>
      <c r="AQ230" s="23">
        <f>IF(OR($AP230="",$AO230=""),"",$AP230-$AO230)</f>
        <v/>
      </c>
      <c r="AR230" s="24">
        <f>IF($S230="EXACT_COLLECTION_AMOUNT","BREAKDOWN_REQUIRED",IF($AQ230="","",IF($AQ230&gt;0,"CREDIT_TO_MERCHANT",IF($AQ230&lt;0,"DEDUCT_FROM_MERCHANT","NO_ADJUSTMENT"))))</f>
        <v/>
      </c>
      <c r="AS230" s="23">
        <f>IF(OR($AQ230="",$AR230="BREAKDOWN_REQUIRED"),"",$AQ230)</f>
        <v/>
      </c>
      <c r="AT230" s="23">
        <f>IF(OR($AR230="",$AR230="BREAKDOWN_REQUIRED"),"",SUM($J230,$AQ230,$Y230)-$X230)</f>
        <v/>
      </c>
      <c r="AU230" s="25">
        <f>IF(AND($A230="",$B230="",$F230="",$H230="",$J230="",$K230="",$M230="",$S230=""),"",IF(OR($H230="",$Q230="",$M230="",$S230=""),"ERROR",IF(OR($J230&lt;0,$K230&lt;0,$M230&lt;0,$T230&lt;0,$U230&lt;0,$V230&lt;0,$W230&lt;0,$X230&lt;0,$Y230&lt;0),"ERROR",IF($AE230="","ERROR",IF(AND(OR($S230="ITEM_PRICE_PLUS_DECLARED_DELIVERY",$S230="TOTAL_AMOUNT_INCLUDING_DELIVERY",$S230="ITEM_PRICE_ONLY_DELIVERY_PAID_BY_MERCHANT"),$J230=""),"ERROR",IF(AND(OR($S230="ITEM_PRICE_PLUS_DECLARED_DELIVERY",$S230="DELIVERY_CHARGE_ONLY"),$K230=""),"ERROR",IF(AND(OR($S230="TOTAL_AMOUNT_INCLUDING_DELIVERY",$S230="EXACT_COLLECTION_AMOUNT"),$T230=""),"ERROR",IF(AND($S230="TOTAL_AMOUNT_INCLUDING_DELIVERY",$T230&lt;SUM($J230,$U230)),"ERROR",IF($S230="EXACT_COLLECTION_AMOUNT","REVIEW","OK")))))))))</f>
        <v/>
      </c>
      <c r="AV230" s="25">
        <f>IF($AU230="","",IF($H230="","Township required",IF($Q230="","Customer tier required",IF($M230="","Weight required",IF($S230="","Amount entry type required",IF(OR($J230&lt;0,$K230&lt;0,$M230&lt;0,$T230&lt;0,$U230&lt;0,$V230&lt;0,$W230&lt;0,$X230&lt;0,$Y230&lt;0),"Negative amounts are not allowed",IF($AE230="","Tariff not found for township and tier",IF(AND(OR($S230="ITEM_PRICE_PLUS_DECLARED_DELIVERY",$S230="TOTAL_AMOUNT_INCLUDING_DELIVERY",$S230="ITEM_PRICE_ONLY_DELIVERY_PAID_BY_MERCHANT"),$J230=""),"Item price required for this amount type",IF(AND(OR($S230="ITEM_PRICE_PLUS_DECLARED_DELIVERY",$S230="DELIVERY_CHARGE_ONLY"),$K230=""),"Declared delivery charge required",IF(AND(OR($S230="TOTAL_AMOUNT_INCLUDING_DELIVERY",$S230="EXACT_COLLECTION_AMOUNT"),$T230=""),"Stated total amount required",IF(AND($S230="TOTAL_AMOUNT_INCLUDING_DELIVERY",$T230&lt;SUM($J230,$U230)),"Stated total is below item price plus additional charge",IF($S230="EXACT_COLLECTION_AMOUNT","Authorized amount breakdown required before settlement","Ready for collection and settlement"))))))))))))</f>
        <v/>
      </c>
      <c r="AW230" s="23">
        <f>IF($AU230="","","PARCEL_FINANCIAL_V2")</f>
        <v/>
      </c>
      <c r="AX230" s="17" t="n"/>
    </row>
    <row r="231">
      <c r="A231" s="8" t="n"/>
      <c r="B231" s="8" t="n"/>
      <c r="C231" s="8" t="n"/>
      <c r="D231" s="8" t="n"/>
      <c r="E231" s="9" t="n"/>
      <c r="F231" s="9" t="n"/>
      <c r="G231" s="8" t="n"/>
      <c r="H231" s="9" t="n"/>
      <c r="I231" s="9" t="n"/>
      <c r="J231" s="10" t="n"/>
      <c r="K231" s="10" t="n"/>
      <c r="L231" s="11">
        <f>IF($S231="","",IF($S231="ITEM_PRICE_PLUS_DECLARED_DELIVERY",IF(OR($J231="",$K231=""),"",SUM($J231,$K231,$U231)),IF($S231="TOTAL_AMOUNT_INCLUDING_DELIVERY",IF($T231="","",$T231),IF($S231="DELIVERY_CHARGE_ONLY",IF($K231="","",SUM($K231,$U231)),IF($S231="EXACT_COLLECTION_AMOUNT",IF($T231="","",$T231),IF($S231="ITEM_PRICE_ONLY_DELIVERY_PAID_BY_MERCHANT",IF($J231="","",SUM($J231,$U231)),""))))))</f>
        <v/>
      </c>
      <c r="M231" s="12" t="n"/>
      <c r="N231" s="13" t="n"/>
      <c r="O231" s="13" t="n"/>
      <c r="P231" s="9" t="n"/>
      <c r="Q231" s="14" t="n"/>
      <c r="R231" s="15" t="n"/>
      <c r="S231" s="14" t="n"/>
      <c r="T231" s="16" t="n"/>
      <c r="U231" s="16" t="n"/>
      <c r="V231" s="16" t="n"/>
      <c r="W231" s="16" t="n"/>
      <c r="X231" s="16" t="n"/>
      <c r="Y231" s="16" t="n"/>
      <c r="Z231" s="14" t="n"/>
      <c r="AA231" s="14" t="n"/>
      <c r="AB231" s="14" t="n"/>
      <c r="AC231" s="17">
        <f>IFERROR(VLOOKUP($H231&amp;"|"&amp;$Q231,Tariff_Master!$A$2:$L$169,3,FALSE),"")</f>
        <v/>
      </c>
      <c r="AD231" s="17">
        <f>IFERROR(VLOOKUP($H231&amp;"|"&amp;$Q231,Tariff_Master!$A$2:$L$169,4,FALSE),"")</f>
        <v/>
      </c>
      <c r="AE231" s="18">
        <f>IFERROR(VLOOKUP($H231&amp;"|"&amp;$Q231,Tariff_Master!$A$2:$L$169,6,FALSE),"")</f>
        <v/>
      </c>
      <c r="AF231" s="19">
        <f>IFERROR(VLOOKUP($H231&amp;"|"&amp;$Q231,Tariff_Master!$A$2:$L$169,7,FALSE),"")</f>
        <v/>
      </c>
      <c r="AG231" s="18">
        <f>IFERROR(VLOOKUP($H231&amp;"|"&amp;$Q231,Tariff_Master!$A$2:$L$169,8,FALSE),"")</f>
        <v/>
      </c>
      <c r="AH231" s="20">
        <f>IFERROR(VLOOKUP($H231&amp;"|"&amp;$Q231,Tariff_Master!$A$2:$L$169,9,FALSE),"")</f>
        <v/>
      </c>
      <c r="AI231" s="18">
        <f>IFERROR(VLOOKUP($H231&amp;"|"&amp;$Q231,Tariff_Master!$A$2:$L$169,10,FALSE),"")</f>
        <v/>
      </c>
      <c r="AJ231" s="21">
        <f>IF($M231="","",ROUNDUP(MAX(0,$M231),0))</f>
        <v/>
      </c>
      <c r="AK231" s="21">
        <f>IF(OR($AJ231="",$AF231=""),"",MAX(0,$AJ231-$AF231))</f>
        <v/>
      </c>
      <c r="AL231" s="22">
        <f>IF(OR($AK231="",$AG231=""),"",MAX(0,$AK231*$AG231))</f>
        <v/>
      </c>
      <c r="AM231" s="22">
        <f>IF($AE231="","",MAX(0,SUM($AE231,$AL231,$V231,$W231)))</f>
        <v/>
      </c>
      <c r="AN231" s="22">
        <f>IF($AM231="","",IF(AND($Q231="COMMITMENT",$R231&gt;=$AH231),$AI231,0))</f>
        <v/>
      </c>
      <c r="AO231" s="23">
        <f>IF($AM231="","",MAX(0,$AM231-$AN231))</f>
        <v/>
      </c>
      <c r="AP231" s="22">
        <f>IF($S231="","",IF(OR($S231="ITEM_PRICE_PLUS_DECLARED_DELIVERY",$S231="DELIVERY_CHARGE_ONLY"),$K231,IF($S231="TOTAL_AMOUNT_INCLUDING_DELIVERY",IF(OR($T231="",$J231=""),"",MAX(0,$T231-$J231-$U231)),IF($S231="ITEM_PRICE_ONLY_DELIVERY_PAID_BY_MERCHANT",0,""))))</f>
        <v/>
      </c>
      <c r="AQ231" s="23">
        <f>IF(OR($AP231="",$AO231=""),"",$AP231-$AO231)</f>
        <v/>
      </c>
      <c r="AR231" s="24">
        <f>IF($S231="EXACT_COLLECTION_AMOUNT","BREAKDOWN_REQUIRED",IF($AQ231="","",IF($AQ231&gt;0,"CREDIT_TO_MERCHANT",IF($AQ231&lt;0,"DEDUCT_FROM_MERCHANT","NO_ADJUSTMENT"))))</f>
        <v/>
      </c>
      <c r="AS231" s="23">
        <f>IF(OR($AQ231="",$AR231="BREAKDOWN_REQUIRED"),"",$AQ231)</f>
        <v/>
      </c>
      <c r="AT231" s="23">
        <f>IF(OR($AR231="",$AR231="BREAKDOWN_REQUIRED"),"",SUM($J231,$AQ231,$Y231)-$X231)</f>
        <v/>
      </c>
      <c r="AU231" s="25">
        <f>IF(AND($A231="",$B231="",$F231="",$H231="",$J231="",$K231="",$M231="",$S231=""),"",IF(OR($H231="",$Q231="",$M231="",$S231=""),"ERROR",IF(OR($J231&lt;0,$K231&lt;0,$M231&lt;0,$T231&lt;0,$U231&lt;0,$V231&lt;0,$W231&lt;0,$X231&lt;0,$Y231&lt;0),"ERROR",IF($AE231="","ERROR",IF(AND(OR($S231="ITEM_PRICE_PLUS_DECLARED_DELIVERY",$S231="TOTAL_AMOUNT_INCLUDING_DELIVERY",$S231="ITEM_PRICE_ONLY_DELIVERY_PAID_BY_MERCHANT"),$J231=""),"ERROR",IF(AND(OR($S231="ITEM_PRICE_PLUS_DECLARED_DELIVERY",$S231="DELIVERY_CHARGE_ONLY"),$K231=""),"ERROR",IF(AND(OR($S231="TOTAL_AMOUNT_INCLUDING_DELIVERY",$S231="EXACT_COLLECTION_AMOUNT"),$T231=""),"ERROR",IF(AND($S231="TOTAL_AMOUNT_INCLUDING_DELIVERY",$T231&lt;SUM($J231,$U231)),"ERROR",IF($S231="EXACT_COLLECTION_AMOUNT","REVIEW","OK")))))))))</f>
        <v/>
      </c>
      <c r="AV231" s="25">
        <f>IF($AU231="","",IF($H231="","Township required",IF($Q231="","Customer tier required",IF($M231="","Weight required",IF($S231="","Amount entry type required",IF(OR($J231&lt;0,$K231&lt;0,$M231&lt;0,$T231&lt;0,$U231&lt;0,$V231&lt;0,$W231&lt;0,$X231&lt;0,$Y231&lt;0),"Negative amounts are not allowed",IF($AE231="","Tariff not found for township and tier",IF(AND(OR($S231="ITEM_PRICE_PLUS_DECLARED_DELIVERY",$S231="TOTAL_AMOUNT_INCLUDING_DELIVERY",$S231="ITEM_PRICE_ONLY_DELIVERY_PAID_BY_MERCHANT"),$J231=""),"Item price required for this amount type",IF(AND(OR($S231="ITEM_PRICE_PLUS_DECLARED_DELIVERY",$S231="DELIVERY_CHARGE_ONLY"),$K231=""),"Declared delivery charge required",IF(AND(OR($S231="TOTAL_AMOUNT_INCLUDING_DELIVERY",$S231="EXACT_COLLECTION_AMOUNT"),$T231=""),"Stated total amount required",IF(AND($S231="TOTAL_AMOUNT_INCLUDING_DELIVERY",$T231&lt;SUM($J231,$U231)),"Stated total is below item price plus additional charge",IF($S231="EXACT_COLLECTION_AMOUNT","Authorized amount breakdown required before settlement","Ready for collection and settlement"))))))))))))</f>
        <v/>
      </c>
      <c r="AW231" s="23">
        <f>IF($AU231="","","PARCEL_FINANCIAL_V2")</f>
        <v/>
      </c>
      <c r="AX231" s="17" t="n"/>
    </row>
    <row r="232">
      <c r="A232" s="8" t="n"/>
      <c r="B232" s="8" t="n"/>
      <c r="C232" s="8" t="n"/>
      <c r="D232" s="8" t="n"/>
      <c r="E232" s="9" t="n"/>
      <c r="F232" s="9" t="n"/>
      <c r="G232" s="8" t="n"/>
      <c r="H232" s="9" t="n"/>
      <c r="I232" s="9" t="n"/>
      <c r="J232" s="10" t="n"/>
      <c r="K232" s="10" t="n"/>
      <c r="L232" s="11">
        <f>IF($S232="","",IF($S232="ITEM_PRICE_PLUS_DECLARED_DELIVERY",IF(OR($J232="",$K232=""),"",SUM($J232,$K232,$U232)),IF($S232="TOTAL_AMOUNT_INCLUDING_DELIVERY",IF($T232="","",$T232),IF($S232="DELIVERY_CHARGE_ONLY",IF($K232="","",SUM($K232,$U232)),IF($S232="EXACT_COLLECTION_AMOUNT",IF($T232="","",$T232),IF($S232="ITEM_PRICE_ONLY_DELIVERY_PAID_BY_MERCHANT",IF($J232="","",SUM($J232,$U232)),""))))))</f>
        <v/>
      </c>
      <c r="M232" s="12" t="n"/>
      <c r="N232" s="13" t="n"/>
      <c r="O232" s="13" t="n"/>
      <c r="P232" s="9" t="n"/>
      <c r="Q232" s="14" t="n"/>
      <c r="R232" s="15" t="n"/>
      <c r="S232" s="14" t="n"/>
      <c r="T232" s="16" t="n"/>
      <c r="U232" s="16" t="n"/>
      <c r="V232" s="16" t="n"/>
      <c r="W232" s="16" t="n"/>
      <c r="X232" s="16" t="n"/>
      <c r="Y232" s="16" t="n"/>
      <c r="Z232" s="14" t="n"/>
      <c r="AA232" s="14" t="n"/>
      <c r="AB232" s="14" t="n"/>
      <c r="AC232" s="17">
        <f>IFERROR(VLOOKUP($H232&amp;"|"&amp;$Q232,Tariff_Master!$A$2:$L$169,3,FALSE),"")</f>
        <v/>
      </c>
      <c r="AD232" s="17">
        <f>IFERROR(VLOOKUP($H232&amp;"|"&amp;$Q232,Tariff_Master!$A$2:$L$169,4,FALSE),"")</f>
        <v/>
      </c>
      <c r="AE232" s="18">
        <f>IFERROR(VLOOKUP($H232&amp;"|"&amp;$Q232,Tariff_Master!$A$2:$L$169,6,FALSE),"")</f>
        <v/>
      </c>
      <c r="AF232" s="19">
        <f>IFERROR(VLOOKUP($H232&amp;"|"&amp;$Q232,Tariff_Master!$A$2:$L$169,7,FALSE),"")</f>
        <v/>
      </c>
      <c r="AG232" s="18">
        <f>IFERROR(VLOOKUP($H232&amp;"|"&amp;$Q232,Tariff_Master!$A$2:$L$169,8,FALSE),"")</f>
        <v/>
      </c>
      <c r="AH232" s="20">
        <f>IFERROR(VLOOKUP($H232&amp;"|"&amp;$Q232,Tariff_Master!$A$2:$L$169,9,FALSE),"")</f>
        <v/>
      </c>
      <c r="AI232" s="18">
        <f>IFERROR(VLOOKUP($H232&amp;"|"&amp;$Q232,Tariff_Master!$A$2:$L$169,10,FALSE),"")</f>
        <v/>
      </c>
      <c r="AJ232" s="21">
        <f>IF($M232="","",ROUNDUP(MAX(0,$M232),0))</f>
        <v/>
      </c>
      <c r="AK232" s="21">
        <f>IF(OR($AJ232="",$AF232=""),"",MAX(0,$AJ232-$AF232))</f>
        <v/>
      </c>
      <c r="AL232" s="22">
        <f>IF(OR($AK232="",$AG232=""),"",MAX(0,$AK232*$AG232))</f>
        <v/>
      </c>
      <c r="AM232" s="22">
        <f>IF($AE232="","",MAX(0,SUM($AE232,$AL232,$V232,$W232)))</f>
        <v/>
      </c>
      <c r="AN232" s="22">
        <f>IF($AM232="","",IF(AND($Q232="COMMITMENT",$R232&gt;=$AH232),$AI232,0))</f>
        <v/>
      </c>
      <c r="AO232" s="23">
        <f>IF($AM232="","",MAX(0,$AM232-$AN232))</f>
        <v/>
      </c>
      <c r="AP232" s="22">
        <f>IF($S232="","",IF(OR($S232="ITEM_PRICE_PLUS_DECLARED_DELIVERY",$S232="DELIVERY_CHARGE_ONLY"),$K232,IF($S232="TOTAL_AMOUNT_INCLUDING_DELIVERY",IF(OR($T232="",$J232=""),"",MAX(0,$T232-$J232-$U232)),IF($S232="ITEM_PRICE_ONLY_DELIVERY_PAID_BY_MERCHANT",0,""))))</f>
        <v/>
      </c>
      <c r="AQ232" s="23">
        <f>IF(OR($AP232="",$AO232=""),"",$AP232-$AO232)</f>
        <v/>
      </c>
      <c r="AR232" s="24">
        <f>IF($S232="EXACT_COLLECTION_AMOUNT","BREAKDOWN_REQUIRED",IF($AQ232="","",IF($AQ232&gt;0,"CREDIT_TO_MERCHANT",IF($AQ232&lt;0,"DEDUCT_FROM_MERCHANT","NO_ADJUSTMENT"))))</f>
        <v/>
      </c>
      <c r="AS232" s="23">
        <f>IF(OR($AQ232="",$AR232="BREAKDOWN_REQUIRED"),"",$AQ232)</f>
        <v/>
      </c>
      <c r="AT232" s="23">
        <f>IF(OR($AR232="",$AR232="BREAKDOWN_REQUIRED"),"",SUM($J232,$AQ232,$Y232)-$X232)</f>
        <v/>
      </c>
      <c r="AU232" s="25">
        <f>IF(AND($A232="",$B232="",$F232="",$H232="",$J232="",$K232="",$M232="",$S232=""),"",IF(OR($H232="",$Q232="",$M232="",$S232=""),"ERROR",IF(OR($J232&lt;0,$K232&lt;0,$M232&lt;0,$T232&lt;0,$U232&lt;0,$V232&lt;0,$W232&lt;0,$X232&lt;0,$Y232&lt;0),"ERROR",IF($AE232="","ERROR",IF(AND(OR($S232="ITEM_PRICE_PLUS_DECLARED_DELIVERY",$S232="TOTAL_AMOUNT_INCLUDING_DELIVERY",$S232="ITEM_PRICE_ONLY_DELIVERY_PAID_BY_MERCHANT"),$J232=""),"ERROR",IF(AND(OR($S232="ITEM_PRICE_PLUS_DECLARED_DELIVERY",$S232="DELIVERY_CHARGE_ONLY"),$K232=""),"ERROR",IF(AND(OR($S232="TOTAL_AMOUNT_INCLUDING_DELIVERY",$S232="EXACT_COLLECTION_AMOUNT"),$T232=""),"ERROR",IF(AND($S232="TOTAL_AMOUNT_INCLUDING_DELIVERY",$T232&lt;SUM($J232,$U232)),"ERROR",IF($S232="EXACT_COLLECTION_AMOUNT","REVIEW","OK")))))))))</f>
        <v/>
      </c>
      <c r="AV232" s="25">
        <f>IF($AU232="","",IF($H232="","Township required",IF($Q232="","Customer tier required",IF($M232="","Weight required",IF($S232="","Amount entry type required",IF(OR($J232&lt;0,$K232&lt;0,$M232&lt;0,$T232&lt;0,$U232&lt;0,$V232&lt;0,$W232&lt;0,$X232&lt;0,$Y232&lt;0),"Negative amounts are not allowed",IF($AE232="","Tariff not found for township and tier",IF(AND(OR($S232="ITEM_PRICE_PLUS_DECLARED_DELIVERY",$S232="TOTAL_AMOUNT_INCLUDING_DELIVERY",$S232="ITEM_PRICE_ONLY_DELIVERY_PAID_BY_MERCHANT"),$J232=""),"Item price required for this amount type",IF(AND(OR($S232="ITEM_PRICE_PLUS_DECLARED_DELIVERY",$S232="DELIVERY_CHARGE_ONLY"),$K232=""),"Declared delivery charge required",IF(AND(OR($S232="TOTAL_AMOUNT_INCLUDING_DELIVERY",$S232="EXACT_COLLECTION_AMOUNT"),$T232=""),"Stated total amount required",IF(AND($S232="TOTAL_AMOUNT_INCLUDING_DELIVERY",$T232&lt;SUM($J232,$U232)),"Stated total is below item price plus additional charge",IF($S232="EXACT_COLLECTION_AMOUNT","Authorized amount breakdown required before settlement","Ready for collection and settlement"))))))))))))</f>
        <v/>
      </c>
      <c r="AW232" s="23">
        <f>IF($AU232="","","PARCEL_FINANCIAL_V2")</f>
        <v/>
      </c>
      <c r="AX232" s="17" t="n"/>
    </row>
    <row r="233">
      <c r="A233" s="8" t="n"/>
      <c r="B233" s="8" t="n"/>
      <c r="C233" s="8" t="n"/>
      <c r="D233" s="8" t="n"/>
      <c r="E233" s="9" t="n"/>
      <c r="F233" s="9" t="n"/>
      <c r="G233" s="8" t="n"/>
      <c r="H233" s="9" t="n"/>
      <c r="I233" s="9" t="n"/>
      <c r="J233" s="10" t="n"/>
      <c r="K233" s="10" t="n"/>
      <c r="L233" s="11">
        <f>IF($S233="","",IF($S233="ITEM_PRICE_PLUS_DECLARED_DELIVERY",IF(OR($J233="",$K233=""),"",SUM($J233,$K233,$U233)),IF($S233="TOTAL_AMOUNT_INCLUDING_DELIVERY",IF($T233="","",$T233),IF($S233="DELIVERY_CHARGE_ONLY",IF($K233="","",SUM($K233,$U233)),IF($S233="EXACT_COLLECTION_AMOUNT",IF($T233="","",$T233),IF($S233="ITEM_PRICE_ONLY_DELIVERY_PAID_BY_MERCHANT",IF($J233="","",SUM($J233,$U233)),""))))))</f>
        <v/>
      </c>
      <c r="M233" s="12" t="n"/>
      <c r="N233" s="13" t="n"/>
      <c r="O233" s="13" t="n"/>
      <c r="P233" s="9" t="n"/>
      <c r="Q233" s="14" t="n"/>
      <c r="R233" s="15" t="n"/>
      <c r="S233" s="14" t="n"/>
      <c r="T233" s="16" t="n"/>
      <c r="U233" s="16" t="n"/>
      <c r="V233" s="16" t="n"/>
      <c r="W233" s="16" t="n"/>
      <c r="X233" s="16" t="n"/>
      <c r="Y233" s="16" t="n"/>
      <c r="Z233" s="14" t="n"/>
      <c r="AA233" s="14" t="n"/>
      <c r="AB233" s="14" t="n"/>
      <c r="AC233" s="17">
        <f>IFERROR(VLOOKUP($H233&amp;"|"&amp;$Q233,Tariff_Master!$A$2:$L$169,3,FALSE),"")</f>
        <v/>
      </c>
      <c r="AD233" s="17">
        <f>IFERROR(VLOOKUP($H233&amp;"|"&amp;$Q233,Tariff_Master!$A$2:$L$169,4,FALSE),"")</f>
        <v/>
      </c>
      <c r="AE233" s="18">
        <f>IFERROR(VLOOKUP($H233&amp;"|"&amp;$Q233,Tariff_Master!$A$2:$L$169,6,FALSE),"")</f>
        <v/>
      </c>
      <c r="AF233" s="19">
        <f>IFERROR(VLOOKUP($H233&amp;"|"&amp;$Q233,Tariff_Master!$A$2:$L$169,7,FALSE),"")</f>
        <v/>
      </c>
      <c r="AG233" s="18">
        <f>IFERROR(VLOOKUP($H233&amp;"|"&amp;$Q233,Tariff_Master!$A$2:$L$169,8,FALSE),"")</f>
        <v/>
      </c>
      <c r="AH233" s="20">
        <f>IFERROR(VLOOKUP($H233&amp;"|"&amp;$Q233,Tariff_Master!$A$2:$L$169,9,FALSE),"")</f>
        <v/>
      </c>
      <c r="AI233" s="18">
        <f>IFERROR(VLOOKUP($H233&amp;"|"&amp;$Q233,Tariff_Master!$A$2:$L$169,10,FALSE),"")</f>
        <v/>
      </c>
      <c r="AJ233" s="21">
        <f>IF($M233="","",ROUNDUP(MAX(0,$M233),0))</f>
        <v/>
      </c>
      <c r="AK233" s="21">
        <f>IF(OR($AJ233="",$AF233=""),"",MAX(0,$AJ233-$AF233))</f>
        <v/>
      </c>
      <c r="AL233" s="22">
        <f>IF(OR($AK233="",$AG233=""),"",MAX(0,$AK233*$AG233))</f>
        <v/>
      </c>
      <c r="AM233" s="22">
        <f>IF($AE233="","",MAX(0,SUM($AE233,$AL233,$V233,$W233)))</f>
        <v/>
      </c>
      <c r="AN233" s="22">
        <f>IF($AM233="","",IF(AND($Q233="COMMITMENT",$R233&gt;=$AH233),$AI233,0))</f>
        <v/>
      </c>
      <c r="AO233" s="23">
        <f>IF($AM233="","",MAX(0,$AM233-$AN233))</f>
        <v/>
      </c>
      <c r="AP233" s="22">
        <f>IF($S233="","",IF(OR($S233="ITEM_PRICE_PLUS_DECLARED_DELIVERY",$S233="DELIVERY_CHARGE_ONLY"),$K233,IF($S233="TOTAL_AMOUNT_INCLUDING_DELIVERY",IF(OR($T233="",$J233=""),"",MAX(0,$T233-$J233-$U233)),IF($S233="ITEM_PRICE_ONLY_DELIVERY_PAID_BY_MERCHANT",0,""))))</f>
        <v/>
      </c>
      <c r="AQ233" s="23">
        <f>IF(OR($AP233="",$AO233=""),"",$AP233-$AO233)</f>
        <v/>
      </c>
      <c r="AR233" s="24">
        <f>IF($S233="EXACT_COLLECTION_AMOUNT","BREAKDOWN_REQUIRED",IF($AQ233="","",IF($AQ233&gt;0,"CREDIT_TO_MERCHANT",IF($AQ233&lt;0,"DEDUCT_FROM_MERCHANT","NO_ADJUSTMENT"))))</f>
        <v/>
      </c>
      <c r="AS233" s="23">
        <f>IF(OR($AQ233="",$AR233="BREAKDOWN_REQUIRED"),"",$AQ233)</f>
        <v/>
      </c>
      <c r="AT233" s="23">
        <f>IF(OR($AR233="",$AR233="BREAKDOWN_REQUIRED"),"",SUM($J233,$AQ233,$Y233)-$X233)</f>
        <v/>
      </c>
      <c r="AU233" s="25">
        <f>IF(AND($A233="",$B233="",$F233="",$H233="",$J233="",$K233="",$M233="",$S233=""),"",IF(OR($H233="",$Q233="",$M233="",$S233=""),"ERROR",IF(OR($J233&lt;0,$K233&lt;0,$M233&lt;0,$T233&lt;0,$U233&lt;0,$V233&lt;0,$W233&lt;0,$X233&lt;0,$Y233&lt;0),"ERROR",IF($AE233="","ERROR",IF(AND(OR($S233="ITEM_PRICE_PLUS_DECLARED_DELIVERY",$S233="TOTAL_AMOUNT_INCLUDING_DELIVERY",$S233="ITEM_PRICE_ONLY_DELIVERY_PAID_BY_MERCHANT"),$J233=""),"ERROR",IF(AND(OR($S233="ITEM_PRICE_PLUS_DECLARED_DELIVERY",$S233="DELIVERY_CHARGE_ONLY"),$K233=""),"ERROR",IF(AND(OR($S233="TOTAL_AMOUNT_INCLUDING_DELIVERY",$S233="EXACT_COLLECTION_AMOUNT"),$T233=""),"ERROR",IF(AND($S233="TOTAL_AMOUNT_INCLUDING_DELIVERY",$T233&lt;SUM($J233,$U233)),"ERROR",IF($S233="EXACT_COLLECTION_AMOUNT","REVIEW","OK")))))))))</f>
        <v/>
      </c>
      <c r="AV233" s="25">
        <f>IF($AU233="","",IF($H233="","Township required",IF($Q233="","Customer tier required",IF($M233="","Weight required",IF($S233="","Amount entry type required",IF(OR($J233&lt;0,$K233&lt;0,$M233&lt;0,$T233&lt;0,$U233&lt;0,$V233&lt;0,$W233&lt;0,$X233&lt;0,$Y233&lt;0),"Negative amounts are not allowed",IF($AE233="","Tariff not found for township and tier",IF(AND(OR($S233="ITEM_PRICE_PLUS_DECLARED_DELIVERY",$S233="TOTAL_AMOUNT_INCLUDING_DELIVERY",$S233="ITEM_PRICE_ONLY_DELIVERY_PAID_BY_MERCHANT"),$J233=""),"Item price required for this amount type",IF(AND(OR($S233="ITEM_PRICE_PLUS_DECLARED_DELIVERY",$S233="DELIVERY_CHARGE_ONLY"),$K233=""),"Declared delivery charge required",IF(AND(OR($S233="TOTAL_AMOUNT_INCLUDING_DELIVERY",$S233="EXACT_COLLECTION_AMOUNT"),$T233=""),"Stated total amount required",IF(AND($S233="TOTAL_AMOUNT_INCLUDING_DELIVERY",$T233&lt;SUM($J233,$U233)),"Stated total is below item price plus additional charge",IF($S233="EXACT_COLLECTION_AMOUNT","Authorized amount breakdown required before settlement","Ready for collection and settlement"))))))))))))</f>
        <v/>
      </c>
      <c r="AW233" s="23">
        <f>IF($AU233="","","PARCEL_FINANCIAL_V2")</f>
        <v/>
      </c>
      <c r="AX233" s="17" t="n"/>
    </row>
    <row r="234">
      <c r="A234" s="8" t="n"/>
      <c r="B234" s="8" t="n"/>
      <c r="C234" s="8" t="n"/>
      <c r="D234" s="8" t="n"/>
      <c r="E234" s="9" t="n"/>
      <c r="F234" s="9" t="n"/>
      <c r="G234" s="8" t="n"/>
      <c r="H234" s="9" t="n"/>
      <c r="I234" s="9" t="n"/>
      <c r="J234" s="10" t="n"/>
      <c r="K234" s="10" t="n"/>
      <c r="L234" s="11">
        <f>IF($S234="","",IF($S234="ITEM_PRICE_PLUS_DECLARED_DELIVERY",IF(OR($J234="",$K234=""),"",SUM($J234,$K234,$U234)),IF($S234="TOTAL_AMOUNT_INCLUDING_DELIVERY",IF($T234="","",$T234),IF($S234="DELIVERY_CHARGE_ONLY",IF($K234="","",SUM($K234,$U234)),IF($S234="EXACT_COLLECTION_AMOUNT",IF($T234="","",$T234),IF($S234="ITEM_PRICE_ONLY_DELIVERY_PAID_BY_MERCHANT",IF($J234="","",SUM($J234,$U234)),""))))))</f>
        <v/>
      </c>
      <c r="M234" s="12" t="n"/>
      <c r="N234" s="13" t="n"/>
      <c r="O234" s="13" t="n"/>
      <c r="P234" s="9" t="n"/>
      <c r="Q234" s="14" t="n"/>
      <c r="R234" s="15" t="n"/>
      <c r="S234" s="14" t="n"/>
      <c r="T234" s="16" t="n"/>
      <c r="U234" s="16" t="n"/>
      <c r="V234" s="16" t="n"/>
      <c r="W234" s="16" t="n"/>
      <c r="X234" s="16" t="n"/>
      <c r="Y234" s="16" t="n"/>
      <c r="Z234" s="14" t="n"/>
      <c r="AA234" s="14" t="n"/>
      <c r="AB234" s="14" t="n"/>
      <c r="AC234" s="17">
        <f>IFERROR(VLOOKUP($H234&amp;"|"&amp;$Q234,Tariff_Master!$A$2:$L$169,3,FALSE),"")</f>
        <v/>
      </c>
      <c r="AD234" s="17">
        <f>IFERROR(VLOOKUP($H234&amp;"|"&amp;$Q234,Tariff_Master!$A$2:$L$169,4,FALSE),"")</f>
        <v/>
      </c>
      <c r="AE234" s="18">
        <f>IFERROR(VLOOKUP($H234&amp;"|"&amp;$Q234,Tariff_Master!$A$2:$L$169,6,FALSE),"")</f>
        <v/>
      </c>
      <c r="AF234" s="19">
        <f>IFERROR(VLOOKUP($H234&amp;"|"&amp;$Q234,Tariff_Master!$A$2:$L$169,7,FALSE),"")</f>
        <v/>
      </c>
      <c r="AG234" s="18">
        <f>IFERROR(VLOOKUP($H234&amp;"|"&amp;$Q234,Tariff_Master!$A$2:$L$169,8,FALSE),"")</f>
        <v/>
      </c>
      <c r="AH234" s="20">
        <f>IFERROR(VLOOKUP($H234&amp;"|"&amp;$Q234,Tariff_Master!$A$2:$L$169,9,FALSE),"")</f>
        <v/>
      </c>
      <c r="AI234" s="18">
        <f>IFERROR(VLOOKUP($H234&amp;"|"&amp;$Q234,Tariff_Master!$A$2:$L$169,10,FALSE),"")</f>
        <v/>
      </c>
      <c r="AJ234" s="21">
        <f>IF($M234="","",ROUNDUP(MAX(0,$M234),0))</f>
        <v/>
      </c>
      <c r="AK234" s="21">
        <f>IF(OR($AJ234="",$AF234=""),"",MAX(0,$AJ234-$AF234))</f>
        <v/>
      </c>
      <c r="AL234" s="22">
        <f>IF(OR($AK234="",$AG234=""),"",MAX(0,$AK234*$AG234))</f>
        <v/>
      </c>
      <c r="AM234" s="22">
        <f>IF($AE234="","",MAX(0,SUM($AE234,$AL234,$V234,$W234)))</f>
        <v/>
      </c>
      <c r="AN234" s="22">
        <f>IF($AM234="","",IF(AND($Q234="COMMITMENT",$R234&gt;=$AH234),$AI234,0))</f>
        <v/>
      </c>
      <c r="AO234" s="23">
        <f>IF($AM234="","",MAX(0,$AM234-$AN234))</f>
        <v/>
      </c>
      <c r="AP234" s="22">
        <f>IF($S234="","",IF(OR($S234="ITEM_PRICE_PLUS_DECLARED_DELIVERY",$S234="DELIVERY_CHARGE_ONLY"),$K234,IF($S234="TOTAL_AMOUNT_INCLUDING_DELIVERY",IF(OR($T234="",$J234=""),"",MAX(0,$T234-$J234-$U234)),IF($S234="ITEM_PRICE_ONLY_DELIVERY_PAID_BY_MERCHANT",0,""))))</f>
        <v/>
      </c>
      <c r="AQ234" s="23">
        <f>IF(OR($AP234="",$AO234=""),"",$AP234-$AO234)</f>
        <v/>
      </c>
      <c r="AR234" s="24">
        <f>IF($S234="EXACT_COLLECTION_AMOUNT","BREAKDOWN_REQUIRED",IF($AQ234="","",IF($AQ234&gt;0,"CREDIT_TO_MERCHANT",IF($AQ234&lt;0,"DEDUCT_FROM_MERCHANT","NO_ADJUSTMENT"))))</f>
        <v/>
      </c>
      <c r="AS234" s="23">
        <f>IF(OR($AQ234="",$AR234="BREAKDOWN_REQUIRED"),"",$AQ234)</f>
        <v/>
      </c>
      <c r="AT234" s="23">
        <f>IF(OR($AR234="",$AR234="BREAKDOWN_REQUIRED"),"",SUM($J234,$AQ234,$Y234)-$X234)</f>
        <v/>
      </c>
      <c r="AU234" s="25">
        <f>IF(AND($A234="",$B234="",$F234="",$H234="",$J234="",$K234="",$M234="",$S234=""),"",IF(OR($H234="",$Q234="",$M234="",$S234=""),"ERROR",IF(OR($J234&lt;0,$K234&lt;0,$M234&lt;0,$T234&lt;0,$U234&lt;0,$V234&lt;0,$W234&lt;0,$X234&lt;0,$Y234&lt;0),"ERROR",IF($AE234="","ERROR",IF(AND(OR($S234="ITEM_PRICE_PLUS_DECLARED_DELIVERY",$S234="TOTAL_AMOUNT_INCLUDING_DELIVERY",$S234="ITEM_PRICE_ONLY_DELIVERY_PAID_BY_MERCHANT"),$J234=""),"ERROR",IF(AND(OR($S234="ITEM_PRICE_PLUS_DECLARED_DELIVERY",$S234="DELIVERY_CHARGE_ONLY"),$K234=""),"ERROR",IF(AND(OR($S234="TOTAL_AMOUNT_INCLUDING_DELIVERY",$S234="EXACT_COLLECTION_AMOUNT"),$T234=""),"ERROR",IF(AND($S234="TOTAL_AMOUNT_INCLUDING_DELIVERY",$T234&lt;SUM($J234,$U234)),"ERROR",IF($S234="EXACT_COLLECTION_AMOUNT","REVIEW","OK")))))))))</f>
        <v/>
      </c>
      <c r="AV234" s="25">
        <f>IF($AU234="","",IF($H234="","Township required",IF($Q234="","Customer tier required",IF($M234="","Weight required",IF($S234="","Amount entry type required",IF(OR($J234&lt;0,$K234&lt;0,$M234&lt;0,$T234&lt;0,$U234&lt;0,$V234&lt;0,$W234&lt;0,$X234&lt;0,$Y234&lt;0),"Negative amounts are not allowed",IF($AE234="","Tariff not found for township and tier",IF(AND(OR($S234="ITEM_PRICE_PLUS_DECLARED_DELIVERY",$S234="TOTAL_AMOUNT_INCLUDING_DELIVERY",$S234="ITEM_PRICE_ONLY_DELIVERY_PAID_BY_MERCHANT"),$J234=""),"Item price required for this amount type",IF(AND(OR($S234="ITEM_PRICE_PLUS_DECLARED_DELIVERY",$S234="DELIVERY_CHARGE_ONLY"),$K234=""),"Declared delivery charge required",IF(AND(OR($S234="TOTAL_AMOUNT_INCLUDING_DELIVERY",$S234="EXACT_COLLECTION_AMOUNT"),$T234=""),"Stated total amount required",IF(AND($S234="TOTAL_AMOUNT_INCLUDING_DELIVERY",$T234&lt;SUM($J234,$U234)),"Stated total is below item price plus additional charge",IF($S234="EXACT_COLLECTION_AMOUNT","Authorized amount breakdown required before settlement","Ready for collection and settlement"))))))))))))</f>
        <v/>
      </c>
      <c r="AW234" s="23">
        <f>IF($AU234="","","PARCEL_FINANCIAL_V2")</f>
        <v/>
      </c>
      <c r="AX234" s="17" t="n"/>
    </row>
    <row r="235">
      <c r="A235" s="8" t="n"/>
      <c r="B235" s="8" t="n"/>
      <c r="C235" s="8" t="n"/>
      <c r="D235" s="8" t="n"/>
      <c r="E235" s="9" t="n"/>
      <c r="F235" s="9" t="n"/>
      <c r="G235" s="8" t="n"/>
      <c r="H235" s="9" t="n"/>
      <c r="I235" s="9" t="n"/>
      <c r="J235" s="10" t="n"/>
      <c r="K235" s="10" t="n"/>
      <c r="L235" s="11">
        <f>IF($S235="","",IF($S235="ITEM_PRICE_PLUS_DECLARED_DELIVERY",IF(OR($J235="",$K235=""),"",SUM($J235,$K235,$U235)),IF($S235="TOTAL_AMOUNT_INCLUDING_DELIVERY",IF($T235="","",$T235),IF($S235="DELIVERY_CHARGE_ONLY",IF($K235="","",SUM($K235,$U235)),IF($S235="EXACT_COLLECTION_AMOUNT",IF($T235="","",$T235),IF($S235="ITEM_PRICE_ONLY_DELIVERY_PAID_BY_MERCHANT",IF($J235="","",SUM($J235,$U235)),""))))))</f>
        <v/>
      </c>
      <c r="M235" s="12" t="n"/>
      <c r="N235" s="13" t="n"/>
      <c r="O235" s="13" t="n"/>
      <c r="P235" s="9" t="n"/>
      <c r="Q235" s="14" t="n"/>
      <c r="R235" s="15" t="n"/>
      <c r="S235" s="14" t="n"/>
      <c r="T235" s="16" t="n"/>
      <c r="U235" s="16" t="n"/>
      <c r="V235" s="16" t="n"/>
      <c r="W235" s="16" t="n"/>
      <c r="X235" s="16" t="n"/>
      <c r="Y235" s="16" t="n"/>
      <c r="Z235" s="14" t="n"/>
      <c r="AA235" s="14" t="n"/>
      <c r="AB235" s="14" t="n"/>
      <c r="AC235" s="17">
        <f>IFERROR(VLOOKUP($H235&amp;"|"&amp;$Q235,Tariff_Master!$A$2:$L$169,3,FALSE),"")</f>
        <v/>
      </c>
      <c r="AD235" s="17">
        <f>IFERROR(VLOOKUP($H235&amp;"|"&amp;$Q235,Tariff_Master!$A$2:$L$169,4,FALSE),"")</f>
        <v/>
      </c>
      <c r="AE235" s="18">
        <f>IFERROR(VLOOKUP($H235&amp;"|"&amp;$Q235,Tariff_Master!$A$2:$L$169,6,FALSE),"")</f>
        <v/>
      </c>
      <c r="AF235" s="19">
        <f>IFERROR(VLOOKUP($H235&amp;"|"&amp;$Q235,Tariff_Master!$A$2:$L$169,7,FALSE),"")</f>
        <v/>
      </c>
      <c r="AG235" s="18">
        <f>IFERROR(VLOOKUP($H235&amp;"|"&amp;$Q235,Tariff_Master!$A$2:$L$169,8,FALSE),"")</f>
        <v/>
      </c>
      <c r="AH235" s="20">
        <f>IFERROR(VLOOKUP($H235&amp;"|"&amp;$Q235,Tariff_Master!$A$2:$L$169,9,FALSE),"")</f>
        <v/>
      </c>
      <c r="AI235" s="18">
        <f>IFERROR(VLOOKUP($H235&amp;"|"&amp;$Q235,Tariff_Master!$A$2:$L$169,10,FALSE),"")</f>
        <v/>
      </c>
      <c r="AJ235" s="21">
        <f>IF($M235="","",ROUNDUP(MAX(0,$M235),0))</f>
        <v/>
      </c>
      <c r="AK235" s="21">
        <f>IF(OR($AJ235="",$AF235=""),"",MAX(0,$AJ235-$AF235))</f>
        <v/>
      </c>
      <c r="AL235" s="22">
        <f>IF(OR($AK235="",$AG235=""),"",MAX(0,$AK235*$AG235))</f>
        <v/>
      </c>
      <c r="AM235" s="22">
        <f>IF($AE235="","",MAX(0,SUM($AE235,$AL235,$V235,$W235)))</f>
        <v/>
      </c>
      <c r="AN235" s="22">
        <f>IF($AM235="","",IF(AND($Q235="COMMITMENT",$R235&gt;=$AH235),$AI235,0))</f>
        <v/>
      </c>
      <c r="AO235" s="23">
        <f>IF($AM235="","",MAX(0,$AM235-$AN235))</f>
        <v/>
      </c>
      <c r="AP235" s="22">
        <f>IF($S235="","",IF(OR($S235="ITEM_PRICE_PLUS_DECLARED_DELIVERY",$S235="DELIVERY_CHARGE_ONLY"),$K235,IF($S235="TOTAL_AMOUNT_INCLUDING_DELIVERY",IF(OR($T235="",$J235=""),"",MAX(0,$T235-$J235-$U235)),IF($S235="ITEM_PRICE_ONLY_DELIVERY_PAID_BY_MERCHANT",0,""))))</f>
        <v/>
      </c>
      <c r="AQ235" s="23">
        <f>IF(OR($AP235="",$AO235=""),"",$AP235-$AO235)</f>
        <v/>
      </c>
      <c r="AR235" s="24">
        <f>IF($S235="EXACT_COLLECTION_AMOUNT","BREAKDOWN_REQUIRED",IF($AQ235="","",IF($AQ235&gt;0,"CREDIT_TO_MERCHANT",IF($AQ235&lt;0,"DEDUCT_FROM_MERCHANT","NO_ADJUSTMENT"))))</f>
        <v/>
      </c>
      <c r="AS235" s="23">
        <f>IF(OR($AQ235="",$AR235="BREAKDOWN_REQUIRED"),"",$AQ235)</f>
        <v/>
      </c>
      <c r="AT235" s="23">
        <f>IF(OR($AR235="",$AR235="BREAKDOWN_REQUIRED"),"",SUM($J235,$AQ235,$Y235)-$X235)</f>
        <v/>
      </c>
      <c r="AU235" s="25">
        <f>IF(AND($A235="",$B235="",$F235="",$H235="",$J235="",$K235="",$M235="",$S235=""),"",IF(OR($H235="",$Q235="",$M235="",$S235=""),"ERROR",IF(OR($J235&lt;0,$K235&lt;0,$M235&lt;0,$T235&lt;0,$U235&lt;0,$V235&lt;0,$W235&lt;0,$X235&lt;0,$Y235&lt;0),"ERROR",IF($AE235="","ERROR",IF(AND(OR($S235="ITEM_PRICE_PLUS_DECLARED_DELIVERY",$S235="TOTAL_AMOUNT_INCLUDING_DELIVERY",$S235="ITEM_PRICE_ONLY_DELIVERY_PAID_BY_MERCHANT"),$J235=""),"ERROR",IF(AND(OR($S235="ITEM_PRICE_PLUS_DECLARED_DELIVERY",$S235="DELIVERY_CHARGE_ONLY"),$K235=""),"ERROR",IF(AND(OR($S235="TOTAL_AMOUNT_INCLUDING_DELIVERY",$S235="EXACT_COLLECTION_AMOUNT"),$T235=""),"ERROR",IF(AND($S235="TOTAL_AMOUNT_INCLUDING_DELIVERY",$T235&lt;SUM($J235,$U235)),"ERROR",IF($S235="EXACT_COLLECTION_AMOUNT","REVIEW","OK")))))))))</f>
        <v/>
      </c>
      <c r="AV235" s="25">
        <f>IF($AU235="","",IF($H235="","Township required",IF($Q235="","Customer tier required",IF($M235="","Weight required",IF($S235="","Amount entry type required",IF(OR($J235&lt;0,$K235&lt;0,$M235&lt;0,$T235&lt;0,$U235&lt;0,$V235&lt;0,$W235&lt;0,$X235&lt;0,$Y235&lt;0),"Negative amounts are not allowed",IF($AE235="","Tariff not found for township and tier",IF(AND(OR($S235="ITEM_PRICE_PLUS_DECLARED_DELIVERY",$S235="TOTAL_AMOUNT_INCLUDING_DELIVERY",$S235="ITEM_PRICE_ONLY_DELIVERY_PAID_BY_MERCHANT"),$J235=""),"Item price required for this amount type",IF(AND(OR($S235="ITEM_PRICE_PLUS_DECLARED_DELIVERY",$S235="DELIVERY_CHARGE_ONLY"),$K235=""),"Declared delivery charge required",IF(AND(OR($S235="TOTAL_AMOUNT_INCLUDING_DELIVERY",$S235="EXACT_COLLECTION_AMOUNT"),$T235=""),"Stated total amount required",IF(AND($S235="TOTAL_AMOUNT_INCLUDING_DELIVERY",$T235&lt;SUM($J235,$U235)),"Stated total is below item price plus additional charge",IF($S235="EXACT_COLLECTION_AMOUNT","Authorized amount breakdown required before settlement","Ready for collection and settlement"))))))))))))</f>
        <v/>
      </c>
      <c r="AW235" s="23">
        <f>IF($AU235="","","PARCEL_FINANCIAL_V2")</f>
        <v/>
      </c>
      <c r="AX235" s="17" t="n"/>
    </row>
    <row r="236">
      <c r="A236" s="8" t="n"/>
      <c r="B236" s="8" t="n"/>
      <c r="C236" s="8" t="n"/>
      <c r="D236" s="8" t="n"/>
      <c r="E236" s="9" t="n"/>
      <c r="F236" s="9" t="n"/>
      <c r="G236" s="8" t="n"/>
      <c r="H236" s="9" t="n"/>
      <c r="I236" s="9" t="n"/>
      <c r="J236" s="10" t="n"/>
      <c r="K236" s="10" t="n"/>
      <c r="L236" s="11">
        <f>IF($S236="","",IF($S236="ITEM_PRICE_PLUS_DECLARED_DELIVERY",IF(OR($J236="",$K236=""),"",SUM($J236,$K236,$U236)),IF($S236="TOTAL_AMOUNT_INCLUDING_DELIVERY",IF($T236="","",$T236),IF($S236="DELIVERY_CHARGE_ONLY",IF($K236="","",SUM($K236,$U236)),IF($S236="EXACT_COLLECTION_AMOUNT",IF($T236="","",$T236),IF($S236="ITEM_PRICE_ONLY_DELIVERY_PAID_BY_MERCHANT",IF($J236="","",SUM($J236,$U236)),""))))))</f>
        <v/>
      </c>
      <c r="M236" s="12" t="n"/>
      <c r="N236" s="13" t="n"/>
      <c r="O236" s="13" t="n"/>
      <c r="P236" s="9" t="n"/>
      <c r="Q236" s="14" t="n"/>
      <c r="R236" s="15" t="n"/>
      <c r="S236" s="14" t="n"/>
      <c r="T236" s="16" t="n"/>
      <c r="U236" s="16" t="n"/>
      <c r="V236" s="16" t="n"/>
      <c r="W236" s="16" t="n"/>
      <c r="X236" s="16" t="n"/>
      <c r="Y236" s="16" t="n"/>
      <c r="Z236" s="14" t="n"/>
      <c r="AA236" s="14" t="n"/>
      <c r="AB236" s="14" t="n"/>
      <c r="AC236" s="17">
        <f>IFERROR(VLOOKUP($H236&amp;"|"&amp;$Q236,Tariff_Master!$A$2:$L$169,3,FALSE),"")</f>
        <v/>
      </c>
      <c r="AD236" s="17">
        <f>IFERROR(VLOOKUP($H236&amp;"|"&amp;$Q236,Tariff_Master!$A$2:$L$169,4,FALSE),"")</f>
        <v/>
      </c>
      <c r="AE236" s="18">
        <f>IFERROR(VLOOKUP($H236&amp;"|"&amp;$Q236,Tariff_Master!$A$2:$L$169,6,FALSE),"")</f>
        <v/>
      </c>
      <c r="AF236" s="19">
        <f>IFERROR(VLOOKUP($H236&amp;"|"&amp;$Q236,Tariff_Master!$A$2:$L$169,7,FALSE),"")</f>
        <v/>
      </c>
      <c r="AG236" s="18">
        <f>IFERROR(VLOOKUP($H236&amp;"|"&amp;$Q236,Tariff_Master!$A$2:$L$169,8,FALSE),"")</f>
        <v/>
      </c>
      <c r="AH236" s="20">
        <f>IFERROR(VLOOKUP($H236&amp;"|"&amp;$Q236,Tariff_Master!$A$2:$L$169,9,FALSE),"")</f>
        <v/>
      </c>
      <c r="AI236" s="18">
        <f>IFERROR(VLOOKUP($H236&amp;"|"&amp;$Q236,Tariff_Master!$A$2:$L$169,10,FALSE),"")</f>
        <v/>
      </c>
      <c r="AJ236" s="21">
        <f>IF($M236="","",ROUNDUP(MAX(0,$M236),0))</f>
        <v/>
      </c>
      <c r="AK236" s="21">
        <f>IF(OR($AJ236="",$AF236=""),"",MAX(0,$AJ236-$AF236))</f>
        <v/>
      </c>
      <c r="AL236" s="22">
        <f>IF(OR($AK236="",$AG236=""),"",MAX(0,$AK236*$AG236))</f>
        <v/>
      </c>
      <c r="AM236" s="22">
        <f>IF($AE236="","",MAX(0,SUM($AE236,$AL236,$V236,$W236)))</f>
        <v/>
      </c>
      <c r="AN236" s="22">
        <f>IF($AM236="","",IF(AND($Q236="COMMITMENT",$R236&gt;=$AH236),$AI236,0))</f>
        <v/>
      </c>
      <c r="AO236" s="23">
        <f>IF($AM236="","",MAX(0,$AM236-$AN236))</f>
        <v/>
      </c>
      <c r="AP236" s="22">
        <f>IF($S236="","",IF(OR($S236="ITEM_PRICE_PLUS_DECLARED_DELIVERY",$S236="DELIVERY_CHARGE_ONLY"),$K236,IF($S236="TOTAL_AMOUNT_INCLUDING_DELIVERY",IF(OR($T236="",$J236=""),"",MAX(0,$T236-$J236-$U236)),IF($S236="ITEM_PRICE_ONLY_DELIVERY_PAID_BY_MERCHANT",0,""))))</f>
        <v/>
      </c>
      <c r="AQ236" s="23">
        <f>IF(OR($AP236="",$AO236=""),"",$AP236-$AO236)</f>
        <v/>
      </c>
      <c r="AR236" s="24">
        <f>IF($S236="EXACT_COLLECTION_AMOUNT","BREAKDOWN_REQUIRED",IF($AQ236="","",IF($AQ236&gt;0,"CREDIT_TO_MERCHANT",IF($AQ236&lt;0,"DEDUCT_FROM_MERCHANT","NO_ADJUSTMENT"))))</f>
        <v/>
      </c>
      <c r="AS236" s="23">
        <f>IF(OR($AQ236="",$AR236="BREAKDOWN_REQUIRED"),"",$AQ236)</f>
        <v/>
      </c>
      <c r="AT236" s="23">
        <f>IF(OR($AR236="",$AR236="BREAKDOWN_REQUIRED"),"",SUM($J236,$AQ236,$Y236)-$X236)</f>
        <v/>
      </c>
      <c r="AU236" s="25">
        <f>IF(AND($A236="",$B236="",$F236="",$H236="",$J236="",$K236="",$M236="",$S236=""),"",IF(OR($H236="",$Q236="",$M236="",$S236=""),"ERROR",IF(OR($J236&lt;0,$K236&lt;0,$M236&lt;0,$T236&lt;0,$U236&lt;0,$V236&lt;0,$W236&lt;0,$X236&lt;0,$Y236&lt;0),"ERROR",IF($AE236="","ERROR",IF(AND(OR($S236="ITEM_PRICE_PLUS_DECLARED_DELIVERY",$S236="TOTAL_AMOUNT_INCLUDING_DELIVERY",$S236="ITEM_PRICE_ONLY_DELIVERY_PAID_BY_MERCHANT"),$J236=""),"ERROR",IF(AND(OR($S236="ITEM_PRICE_PLUS_DECLARED_DELIVERY",$S236="DELIVERY_CHARGE_ONLY"),$K236=""),"ERROR",IF(AND(OR($S236="TOTAL_AMOUNT_INCLUDING_DELIVERY",$S236="EXACT_COLLECTION_AMOUNT"),$T236=""),"ERROR",IF(AND($S236="TOTAL_AMOUNT_INCLUDING_DELIVERY",$T236&lt;SUM($J236,$U236)),"ERROR",IF($S236="EXACT_COLLECTION_AMOUNT","REVIEW","OK")))))))))</f>
        <v/>
      </c>
      <c r="AV236" s="25">
        <f>IF($AU236="","",IF($H236="","Township required",IF($Q236="","Customer tier required",IF($M236="","Weight required",IF($S236="","Amount entry type required",IF(OR($J236&lt;0,$K236&lt;0,$M236&lt;0,$T236&lt;0,$U236&lt;0,$V236&lt;0,$W236&lt;0,$X236&lt;0,$Y236&lt;0),"Negative amounts are not allowed",IF($AE236="","Tariff not found for township and tier",IF(AND(OR($S236="ITEM_PRICE_PLUS_DECLARED_DELIVERY",$S236="TOTAL_AMOUNT_INCLUDING_DELIVERY",$S236="ITEM_PRICE_ONLY_DELIVERY_PAID_BY_MERCHANT"),$J236=""),"Item price required for this amount type",IF(AND(OR($S236="ITEM_PRICE_PLUS_DECLARED_DELIVERY",$S236="DELIVERY_CHARGE_ONLY"),$K236=""),"Declared delivery charge required",IF(AND(OR($S236="TOTAL_AMOUNT_INCLUDING_DELIVERY",$S236="EXACT_COLLECTION_AMOUNT"),$T236=""),"Stated total amount required",IF(AND($S236="TOTAL_AMOUNT_INCLUDING_DELIVERY",$T236&lt;SUM($J236,$U236)),"Stated total is below item price plus additional charge",IF($S236="EXACT_COLLECTION_AMOUNT","Authorized amount breakdown required before settlement","Ready for collection and settlement"))))))))))))</f>
        <v/>
      </c>
      <c r="AW236" s="23">
        <f>IF($AU236="","","PARCEL_FINANCIAL_V2")</f>
        <v/>
      </c>
      <c r="AX236" s="17" t="n"/>
    </row>
    <row r="237">
      <c r="A237" s="8" t="n"/>
      <c r="B237" s="8" t="n"/>
      <c r="C237" s="8" t="n"/>
      <c r="D237" s="8" t="n"/>
      <c r="E237" s="9" t="n"/>
      <c r="F237" s="9" t="n"/>
      <c r="G237" s="8" t="n"/>
      <c r="H237" s="9" t="n"/>
      <c r="I237" s="9" t="n"/>
      <c r="J237" s="10" t="n"/>
      <c r="K237" s="10" t="n"/>
      <c r="L237" s="11">
        <f>IF($S237="","",IF($S237="ITEM_PRICE_PLUS_DECLARED_DELIVERY",IF(OR($J237="",$K237=""),"",SUM($J237,$K237,$U237)),IF($S237="TOTAL_AMOUNT_INCLUDING_DELIVERY",IF($T237="","",$T237),IF($S237="DELIVERY_CHARGE_ONLY",IF($K237="","",SUM($K237,$U237)),IF($S237="EXACT_COLLECTION_AMOUNT",IF($T237="","",$T237),IF($S237="ITEM_PRICE_ONLY_DELIVERY_PAID_BY_MERCHANT",IF($J237="","",SUM($J237,$U237)),""))))))</f>
        <v/>
      </c>
      <c r="M237" s="12" t="n"/>
      <c r="N237" s="13" t="n"/>
      <c r="O237" s="13" t="n"/>
      <c r="P237" s="9" t="n"/>
      <c r="Q237" s="14" t="n"/>
      <c r="R237" s="15" t="n"/>
      <c r="S237" s="14" t="n"/>
      <c r="T237" s="16" t="n"/>
      <c r="U237" s="16" t="n"/>
      <c r="V237" s="16" t="n"/>
      <c r="W237" s="16" t="n"/>
      <c r="X237" s="16" t="n"/>
      <c r="Y237" s="16" t="n"/>
      <c r="Z237" s="14" t="n"/>
      <c r="AA237" s="14" t="n"/>
      <c r="AB237" s="14" t="n"/>
      <c r="AC237" s="17">
        <f>IFERROR(VLOOKUP($H237&amp;"|"&amp;$Q237,Tariff_Master!$A$2:$L$169,3,FALSE),"")</f>
        <v/>
      </c>
      <c r="AD237" s="17">
        <f>IFERROR(VLOOKUP($H237&amp;"|"&amp;$Q237,Tariff_Master!$A$2:$L$169,4,FALSE),"")</f>
        <v/>
      </c>
      <c r="AE237" s="18">
        <f>IFERROR(VLOOKUP($H237&amp;"|"&amp;$Q237,Tariff_Master!$A$2:$L$169,6,FALSE),"")</f>
        <v/>
      </c>
      <c r="AF237" s="19">
        <f>IFERROR(VLOOKUP($H237&amp;"|"&amp;$Q237,Tariff_Master!$A$2:$L$169,7,FALSE),"")</f>
        <v/>
      </c>
      <c r="AG237" s="18">
        <f>IFERROR(VLOOKUP($H237&amp;"|"&amp;$Q237,Tariff_Master!$A$2:$L$169,8,FALSE),"")</f>
        <v/>
      </c>
      <c r="AH237" s="20">
        <f>IFERROR(VLOOKUP($H237&amp;"|"&amp;$Q237,Tariff_Master!$A$2:$L$169,9,FALSE),"")</f>
        <v/>
      </c>
      <c r="AI237" s="18">
        <f>IFERROR(VLOOKUP($H237&amp;"|"&amp;$Q237,Tariff_Master!$A$2:$L$169,10,FALSE),"")</f>
        <v/>
      </c>
      <c r="AJ237" s="21">
        <f>IF($M237="","",ROUNDUP(MAX(0,$M237),0))</f>
        <v/>
      </c>
      <c r="AK237" s="21">
        <f>IF(OR($AJ237="",$AF237=""),"",MAX(0,$AJ237-$AF237))</f>
        <v/>
      </c>
      <c r="AL237" s="22">
        <f>IF(OR($AK237="",$AG237=""),"",MAX(0,$AK237*$AG237))</f>
        <v/>
      </c>
      <c r="AM237" s="22">
        <f>IF($AE237="","",MAX(0,SUM($AE237,$AL237,$V237,$W237)))</f>
        <v/>
      </c>
      <c r="AN237" s="22">
        <f>IF($AM237="","",IF(AND($Q237="COMMITMENT",$R237&gt;=$AH237),$AI237,0))</f>
        <v/>
      </c>
      <c r="AO237" s="23">
        <f>IF($AM237="","",MAX(0,$AM237-$AN237))</f>
        <v/>
      </c>
      <c r="AP237" s="22">
        <f>IF($S237="","",IF(OR($S237="ITEM_PRICE_PLUS_DECLARED_DELIVERY",$S237="DELIVERY_CHARGE_ONLY"),$K237,IF($S237="TOTAL_AMOUNT_INCLUDING_DELIVERY",IF(OR($T237="",$J237=""),"",MAX(0,$T237-$J237-$U237)),IF($S237="ITEM_PRICE_ONLY_DELIVERY_PAID_BY_MERCHANT",0,""))))</f>
        <v/>
      </c>
      <c r="AQ237" s="23">
        <f>IF(OR($AP237="",$AO237=""),"",$AP237-$AO237)</f>
        <v/>
      </c>
      <c r="AR237" s="24">
        <f>IF($S237="EXACT_COLLECTION_AMOUNT","BREAKDOWN_REQUIRED",IF($AQ237="","",IF($AQ237&gt;0,"CREDIT_TO_MERCHANT",IF($AQ237&lt;0,"DEDUCT_FROM_MERCHANT","NO_ADJUSTMENT"))))</f>
        <v/>
      </c>
      <c r="AS237" s="23">
        <f>IF(OR($AQ237="",$AR237="BREAKDOWN_REQUIRED"),"",$AQ237)</f>
        <v/>
      </c>
      <c r="AT237" s="23">
        <f>IF(OR($AR237="",$AR237="BREAKDOWN_REQUIRED"),"",SUM($J237,$AQ237,$Y237)-$X237)</f>
        <v/>
      </c>
      <c r="AU237" s="25">
        <f>IF(AND($A237="",$B237="",$F237="",$H237="",$J237="",$K237="",$M237="",$S237=""),"",IF(OR($H237="",$Q237="",$M237="",$S237=""),"ERROR",IF(OR($J237&lt;0,$K237&lt;0,$M237&lt;0,$T237&lt;0,$U237&lt;0,$V237&lt;0,$W237&lt;0,$X237&lt;0,$Y237&lt;0),"ERROR",IF($AE237="","ERROR",IF(AND(OR($S237="ITEM_PRICE_PLUS_DECLARED_DELIVERY",$S237="TOTAL_AMOUNT_INCLUDING_DELIVERY",$S237="ITEM_PRICE_ONLY_DELIVERY_PAID_BY_MERCHANT"),$J237=""),"ERROR",IF(AND(OR($S237="ITEM_PRICE_PLUS_DECLARED_DELIVERY",$S237="DELIVERY_CHARGE_ONLY"),$K237=""),"ERROR",IF(AND(OR($S237="TOTAL_AMOUNT_INCLUDING_DELIVERY",$S237="EXACT_COLLECTION_AMOUNT"),$T237=""),"ERROR",IF(AND($S237="TOTAL_AMOUNT_INCLUDING_DELIVERY",$T237&lt;SUM($J237,$U237)),"ERROR",IF($S237="EXACT_COLLECTION_AMOUNT","REVIEW","OK")))))))))</f>
        <v/>
      </c>
      <c r="AV237" s="25">
        <f>IF($AU237="","",IF($H237="","Township required",IF($Q237="","Customer tier required",IF($M237="","Weight required",IF($S237="","Amount entry type required",IF(OR($J237&lt;0,$K237&lt;0,$M237&lt;0,$T237&lt;0,$U237&lt;0,$V237&lt;0,$W237&lt;0,$X237&lt;0,$Y237&lt;0),"Negative amounts are not allowed",IF($AE237="","Tariff not found for township and tier",IF(AND(OR($S237="ITEM_PRICE_PLUS_DECLARED_DELIVERY",$S237="TOTAL_AMOUNT_INCLUDING_DELIVERY",$S237="ITEM_PRICE_ONLY_DELIVERY_PAID_BY_MERCHANT"),$J237=""),"Item price required for this amount type",IF(AND(OR($S237="ITEM_PRICE_PLUS_DECLARED_DELIVERY",$S237="DELIVERY_CHARGE_ONLY"),$K237=""),"Declared delivery charge required",IF(AND(OR($S237="TOTAL_AMOUNT_INCLUDING_DELIVERY",$S237="EXACT_COLLECTION_AMOUNT"),$T237=""),"Stated total amount required",IF(AND($S237="TOTAL_AMOUNT_INCLUDING_DELIVERY",$T237&lt;SUM($J237,$U237)),"Stated total is below item price plus additional charge",IF($S237="EXACT_COLLECTION_AMOUNT","Authorized amount breakdown required before settlement","Ready for collection and settlement"))))))))))))</f>
        <v/>
      </c>
      <c r="AW237" s="23">
        <f>IF($AU237="","","PARCEL_FINANCIAL_V2")</f>
        <v/>
      </c>
      <c r="AX237" s="17" t="n"/>
    </row>
    <row r="238">
      <c r="A238" s="8" t="n"/>
      <c r="B238" s="8" t="n"/>
      <c r="C238" s="8" t="n"/>
      <c r="D238" s="8" t="n"/>
      <c r="E238" s="9" t="n"/>
      <c r="F238" s="9" t="n"/>
      <c r="G238" s="8" t="n"/>
      <c r="H238" s="9" t="n"/>
      <c r="I238" s="9" t="n"/>
      <c r="J238" s="10" t="n"/>
      <c r="K238" s="10" t="n"/>
      <c r="L238" s="11">
        <f>IF($S238="","",IF($S238="ITEM_PRICE_PLUS_DECLARED_DELIVERY",IF(OR($J238="",$K238=""),"",SUM($J238,$K238,$U238)),IF($S238="TOTAL_AMOUNT_INCLUDING_DELIVERY",IF($T238="","",$T238),IF($S238="DELIVERY_CHARGE_ONLY",IF($K238="","",SUM($K238,$U238)),IF($S238="EXACT_COLLECTION_AMOUNT",IF($T238="","",$T238),IF($S238="ITEM_PRICE_ONLY_DELIVERY_PAID_BY_MERCHANT",IF($J238="","",SUM($J238,$U238)),""))))))</f>
        <v/>
      </c>
      <c r="M238" s="12" t="n"/>
      <c r="N238" s="13" t="n"/>
      <c r="O238" s="13" t="n"/>
      <c r="P238" s="9" t="n"/>
      <c r="Q238" s="14" t="n"/>
      <c r="R238" s="15" t="n"/>
      <c r="S238" s="14" t="n"/>
      <c r="T238" s="16" t="n"/>
      <c r="U238" s="16" t="n"/>
      <c r="V238" s="16" t="n"/>
      <c r="W238" s="16" t="n"/>
      <c r="X238" s="16" t="n"/>
      <c r="Y238" s="16" t="n"/>
      <c r="Z238" s="14" t="n"/>
      <c r="AA238" s="14" t="n"/>
      <c r="AB238" s="14" t="n"/>
      <c r="AC238" s="17">
        <f>IFERROR(VLOOKUP($H238&amp;"|"&amp;$Q238,Tariff_Master!$A$2:$L$169,3,FALSE),"")</f>
        <v/>
      </c>
      <c r="AD238" s="17">
        <f>IFERROR(VLOOKUP($H238&amp;"|"&amp;$Q238,Tariff_Master!$A$2:$L$169,4,FALSE),"")</f>
        <v/>
      </c>
      <c r="AE238" s="18">
        <f>IFERROR(VLOOKUP($H238&amp;"|"&amp;$Q238,Tariff_Master!$A$2:$L$169,6,FALSE),"")</f>
        <v/>
      </c>
      <c r="AF238" s="19">
        <f>IFERROR(VLOOKUP($H238&amp;"|"&amp;$Q238,Tariff_Master!$A$2:$L$169,7,FALSE),"")</f>
        <v/>
      </c>
      <c r="AG238" s="18">
        <f>IFERROR(VLOOKUP($H238&amp;"|"&amp;$Q238,Tariff_Master!$A$2:$L$169,8,FALSE),"")</f>
        <v/>
      </c>
      <c r="AH238" s="20">
        <f>IFERROR(VLOOKUP($H238&amp;"|"&amp;$Q238,Tariff_Master!$A$2:$L$169,9,FALSE),"")</f>
        <v/>
      </c>
      <c r="AI238" s="18">
        <f>IFERROR(VLOOKUP($H238&amp;"|"&amp;$Q238,Tariff_Master!$A$2:$L$169,10,FALSE),"")</f>
        <v/>
      </c>
      <c r="AJ238" s="21">
        <f>IF($M238="","",ROUNDUP(MAX(0,$M238),0))</f>
        <v/>
      </c>
      <c r="AK238" s="21">
        <f>IF(OR($AJ238="",$AF238=""),"",MAX(0,$AJ238-$AF238))</f>
        <v/>
      </c>
      <c r="AL238" s="22">
        <f>IF(OR($AK238="",$AG238=""),"",MAX(0,$AK238*$AG238))</f>
        <v/>
      </c>
      <c r="AM238" s="22">
        <f>IF($AE238="","",MAX(0,SUM($AE238,$AL238,$V238,$W238)))</f>
        <v/>
      </c>
      <c r="AN238" s="22">
        <f>IF($AM238="","",IF(AND($Q238="COMMITMENT",$R238&gt;=$AH238),$AI238,0))</f>
        <v/>
      </c>
      <c r="AO238" s="23">
        <f>IF($AM238="","",MAX(0,$AM238-$AN238))</f>
        <v/>
      </c>
      <c r="AP238" s="22">
        <f>IF($S238="","",IF(OR($S238="ITEM_PRICE_PLUS_DECLARED_DELIVERY",$S238="DELIVERY_CHARGE_ONLY"),$K238,IF($S238="TOTAL_AMOUNT_INCLUDING_DELIVERY",IF(OR($T238="",$J238=""),"",MAX(0,$T238-$J238-$U238)),IF($S238="ITEM_PRICE_ONLY_DELIVERY_PAID_BY_MERCHANT",0,""))))</f>
        <v/>
      </c>
      <c r="AQ238" s="23">
        <f>IF(OR($AP238="",$AO238=""),"",$AP238-$AO238)</f>
        <v/>
      </c>
      <c r="AR238" s="24">
        <f>IF($S238="EXACT_COLLECTION_AMOUNT","BREAKDOWN_REQUIRED",IF($AQ238="","",IF($AQ238&gt;0,"CREDIT_TO_MERCHANT",IF($AQ238&lt;0,"DEDUCT_FROM_MERCHANT","NO_ADJUSTMENT"))))</f>
        <v/>
      </c>
      <c r="AS238" s="23">
        <f>IF(OR($AQ238="",$AR238="BREAKDOWN_REQUIRED"),"",$AQ238)</f>
        <v/>
      </c>
      <c r="AT238" s="23">
        <f>IF(OR($AR238="",$AR238="BREAKDOWN_REQUIRED"),"",SUM($J238,$AQ238,$Y238)-$X238)</f>
        <v/>
      </c>
      <c r="AU238" s="25">
        <f>IF(AND($A238="",$B238="",$F238="",$H238="",$J238="",$K238="",$M238="",$S238=""),"",IF(OR($H238="",$Q238="",$M238="",$S238=""),"ERROR",IF(OR($J238&lt;0,$K238&lt;0,$M238&lt;0,$T238&lt;0,$U238&lt;0,$V238&lt;0,$W238&lt;0,$X238&lt;0,$Y238&lt;0),"ERROR",IF($AE238="","ERROR",IF(AND(OR($S238="ITEM_PRICE_PLUS_DECLARED_DELIVERY",$S238="TOTAL_AMOUNT_INCLUDING_DELIVERY",$S238="ITEM_PRICE_ONLY_DELIVERY_PAID_BY_MERCHANT"),$J238=""),"ERROR",IF(AND(OR($S238="ITEM_PRICE_PLUS_DECLARED_DELIVERY",$S238="DELIVERY_CHARGE_ONLY"),$K238=""),"ERROR",IF(AND(OR($S238="TOTAL_AMOUNT_INCLUDING_DELIVERY",$S238="EXACT_COLLECTION_AMOUNT"),$T238=""),"ERROR",IF(AND($S238="TOTAL_AMOUNT_INCLUDING_DELIVERY",$T238&lt;SUM($J238,$U238)),"ERROR",IF($S238="EXACT_COLLECTION_AMOUNT","REVIEW","OK")))))))))</f>
        <v/>
      </c>
      <c r="AV238" s="25">
        <f>IF($AU238="","",IF($H238="","Township required",IF($Q238="","Customer tier required",IF($M238="","Weight required",IF($S238="","Amount entry type required",IF(OR($J238&lt;0,$K238&lt;0,$M238&lt;0,$T238&lt;0,$U238&lt;0,$V238&lt;0,$W238&lt;0,$X238&lt;0,$Y238&lt;0),"Negative amounts are not allowed",IF($AE238="","Tariff not found for township and tier",IF(AND(OR($S238="ITEM_PRICE_PLUS_DECLARED_DELIVERY",$S238="TOTAL_AMOUNT_INCLUDING_DELIVERY",$S238="ITEM_PRICE_ONLY_DELIVERY_PAID_BY_MERCHANT"),$J238=""),"Item price required for this amount type",IF(AND(OR($S238="ITEM_PRICE_PLUS_DECLARED_DELIVERY",$S238="DELIVERY_CHARGE_ONLY"),$K238=""),"Declared delivery charge required",IF(AND(OR($S238="TOTAL_AMOUNT_INCLUDING_DELIVERY",$S238="EXACT_COLLECTION_AMOUNT"),$T238=""),"Stated total amount required",IF(AND($S238="TOTAL_AMOUNT_INCLUDING_DELIVERY",$T238&lt;SUM($J238,$U238)),"Stated total is below item price plus additional charge",IF($S238="EXACT_COLLECTION_AMOUNT","Authorized amount breakdown required before settlement","Ready for collection and settlement"))))))))))))</f>
        <v/>
      </c>
      <c r="AW238" s="23">
        <f>IF($AU238="","","PARCEL_FINANCIAL_V2")</f>
        <v/>
      </c>
      <c r="AX238" s="17" t="n"/>
    </row>
    <row r="239">
      <c r="A239" s="8" t="n"/>
      <c r="B239" s="8" t="n"/>
      <c r="C239" s="8" t="n"/>
      <c r="D239" s="8" t="n"/>
      <c r="E239" s="9" t="n"/>
      <c r="F239" s="9" t="n"/>
      <c r="G239" s="8" t="n"/>
      <c r="H239" s="9" t="n"/>
      <c r="I239" s="9" t="n"/>
      <c r="J239" s="10" t="n"/>
      <c r="K239" s="10" t="n"/>
      <c r="L239" s="11">
        <f>IF($S239="","",IF($S239="ITEM_PRICE_PLUS_DECLARED_DELIVERY",IF(OR($J239="",$K239=""),"",SUM($J239,$K239,$U239)),IF($S239="TOTAL_AMOUNT_INCLUDING_DELIVERY",IF($T239="","",$T239),IF($S239="DELIVERY_CHARGE_ONLY",IF($K239="","",SUM($K239,$U239)),IF($S239="EXACT_COLLECTION_AMOUNT",IF($T239="","",$T239),IF($S239="ITEM_PRICE_ONLY_DELIVERY_PAID_BY_MERCHANT",IF($J239="","",SUM($J239,$U239)),""))))))</f>
        <v/>
      </c>
      <c r="M239" s="12" t="n"/>
      <c r="N239" s="13" t="n"/>
      <c r="O239" s="13" t="n"/>
      <c r="P239" s="9" t="n"/>
      <c r="Q239" s="14" t="n"/>
      <c r="R239" s="15" t="n"/>
      <c r="S239" s="14" t="n"/>
      <c r="T239" s="16" t="n"/>
      <c r="U239" s="16" t="n"/>
      <c r="V239" s="16" t="n"/>
      <c r="W239" s="16" t="n"/>
      <c r="X239" s="16" t="n"/>
      <c r="Y239" s="16" t="n"/>
      <c r="Z239" s="14" t="n"/>
      <c r="AA239" s="14" t="n"/>
      <c r="AB239" s="14" t="n"/>
      <c r="AC239" s="17">
        <f>IFERROR(VLOOKUP($H239&amp;"|"&amp;$Q239,Tariff_Master!$A$2:$L$169,3,FALSE),"")</f>
        <v/>
      </c>
      <c r="AD239" s="17">
        <f>IFERROR(VLOOKUP($H239&amp;"|"&amp;$Q239,Tariff_Master!$A$2:$L$169,4,FALSE),"")</f>
        <v/>
      </c>
      <c r="AE239" s="18">
        <f>IFERROR(VLOOKUP($H239&amp;"|"&amp;$Q239,Tariff_Master!$A$2:$L$169,6,FALSE),"")</f>
        <v/>
      </c>
      <c r="AF239" s="19">
        <f>IFERROR(VLOOKUP($H239&amp;"|"&amp;$Q239,Tariff_Master!$A$2:$L$169,7,FALSE),"")</f>
        <v/>
      </c>
      <c r="AG239" s="18">
        <f>IFERROR(VLOOKUP($H239&amp;"|"&amp;$Q239,Tariff_Master!$A$2:$L$169,8,FALSE),"")</f>
        <v/>
      </c>
      <c r="AH239" s="20">
        <f>IFERROR(VLOOKUP($H239&amp;"|"&amp;$Q239,Tariff_Master!$A$2:$L$169,9,FALSE),"")</f>
        <v/>
      </c>
      <c r="AI239" s="18">
        <f>IFERROR(VLOOKUP($H239&amp;"|"&amp;$Q239,Tariff_Master!$A$2:$L$169,10,FALSE),"")</f>
        <v/>
      </c>
      <c r="AJ239" s="21">
        <f>IF($M239="","",ROUNDUP(MAX(0,$M239),0))</f>
        <v/>
      </c>
      <c r="AK239" s="21">
        <f>IF(OR($AJ239="",$AF239=""),"",MAX(0,$AJ239-$AF239))</f>
        <v/>
      </c>
      <c r="AL239" s="22">
        <f>IF(OR($AK239="",$AG239=""),"",MAX(0,$AK239*$AG239))</f>
        <v/>
      </c>
      <c r="AM239" s="22">
        <f>IF($AE239="","",MAX(0,SUM($AE239,$AL239,$V239,$W239)))</f>
        <v/>
      </c>
      <c r="AN239" s="22">
        <f>IF($AM239="","",IF(AND($Q239="COMMITMENT",$R239&gt;=$AH239),$AI239,0))</f>
        <v/>
      </c>
      <c r="AO239" s="23">
        <f>IF($AM239="","",MAX(0,$AM239-$AN239))</f>
        <v/>
      </c>
      <c r="AP239" s="22">
        <f>IF($S239="","",IF(OR($S239="ITEM_PRICE_PLUS_DECLARED_DELIVERY",$S239="DELIVERY_CHARGE_ONLY"),$K239,IF($S239="TOTAL_AMOUNT_INCLUDING_DELIVERY",IF(OR($T239="",$J239=""),"",MAX(0,$T239-$J239-$U239)),IF($S239="ITEM_PRICE_ONLY_DELIVERY_PAID_BY_MERCHANT",0,""))))</f>
        <v/>
      </c>
      <c r="AQ239" s="23">
        <f>IF(OR($AP239="",$AO239=""),"",$AP239-$AO239)</f>
        <v/>
      </c>
      <c r="AR239" s="24">
        <f>IF($S239="EXACT_COLLECTION_AMOUNT","BREAKDOWN_REQUIRED",IF($AQ239="","",IF($AQ239&gt;0,"CREDIT_TO_MERCHANT",IF($AQ239&lt;0,"DEDUCT_FROM_MERCHANT","NO_ADJUSTMENT"))))</f>
        <v/>
      </c>
      <c r="AS239" s="23">
        <f>IF(OR($AQ239="",$AR239="BREAKDOWN_REQUIRED"),"",$AQ239)</f>
        <v/>
      </c>
      <c r="AT239" s="23">
        <f>IF(OR($AR239="",$AR239="BREAKDOWN_REQUIRED"),"",SUM($J239,$AQ239,$Y239)-$X239)</f>
        <v/>
      </c>
      <c r="AU239" s="25">
        <f>IF(AND($A239="",$B239="",$F239="",$H239="",$J239="",$K239="",$M239="",$S239=""),"",IF(OR($H239="",$Q239="",$M239="",$S239=""),"ERROR",IF(OR($J239&lt;0,$K239&lt;0,$M239&lt;0,$T239&lt;0,$U239&lt;0,$V239&lt;0,$W239&lt;0,$X239&lt;0,$Y239&lt;0),"ERROR",IF($AE239="","ERROR",IF(AND(OR($S239="ITEM_PRICE_PLUS_DECLARED_DELIVERY",$S239="TOTAL_AMOUNT_INCLUDING_DELIVERY",$S239="ITEM_PRICE_ONLY_DELIVERY_PAID_BY_MERCHANT"),$J239=""),"ERROR",IF(AND(OR($S239="ITEM_PRICE_PLUS_DECLARED_DELIVERY",$S239="DELIVERY_CHARGE_ONLY"),$K239=""),"ERROR",IF(AND(OR($S239="TOTAL_AMOUNT_INCLUDING_DELIVERY",$S239="EXACT_COLLECTION_AMOUNT"),$T239=""),"ERROR",IF(AND($S239="TOTAL_AMOUNT_INCLUDING_DELIVERY",$T239&lt;SUM($J239,$U239)),"ERROR",IF($S239="EXACT_COLLECTION_AMOUNT","REVIEW","OK")))))))))</f>
        <v/>
      </c>
      <c r="AV239" s="25">
        <f>IF($AU239="","",IF($H239="","Township required",IF($Q239="","Customer tier required",IF($M239="","Weight required",IF($S239="","Amount entry type required",IF(OR($J239&lt;0,$K239&lt;0,$M239&lt;0,$T239&lt;0,$U239&lt;0,$V239&lt;0,$W239&lt;0,$X239&lt;0,$Y239&lt;0),"Negative amounts are not allowed",IF($AE239="","Tariff not found for township and tier",IF(AND(OR($S239="ITEM_PRICE_PLUS_DECLARED_DELIVERY",$S239="TOTAL_AMOUNT_INCLUDING_DELIVERY",$S239="ITEM_PRICE_ONLY_DELIVERY_PAID_BY_MERCHANT"),$J239=""),"Item price required for this amount type",IF(AND(OR($S239="ITEM_PRICE_PLUS_DECLARED_DELIVERY",$S239="DELIVERY_CHARGE_ONLY"),$K239=""),"Declared delivery charge required",IF(AND(OR($S239="TOTAL_AMOUNT_INCLUDING_DELIVERY",$S239="EXACT_COLLECTION_AMOUNT"),$T239=""),"Stated total amount required",IF(AND($S239="TOTAL_AMOUNT_INCLUDING_DELIVERY",$T239&lt;SUM($J239,$U239)),"Stated total is below item price plus additional charge",IF($S239="EXACT_COLLECTION_AMOUNT","Authorized amount breakdown required before settlement","Ready for collection and settlement"))))))))))))</f>
        <v/>
      </c>
      <c r="AW239" s="23">
        <f>IF($AU239="","","PARCEL_FINANCIAL_V2")</f>
        <v/>
      </c>
      <c r="AX239" s="17" t="n"/>
    </row>
    <row r="240">
      <c r="A240" s="8" t="n"/>
      <c r="B240" s="8" t="n"/>
      <c r="C240" s="8" t="n"/>
      <c r="D240" s="8" t="n"/>
      <c r="E240" s="9" t="n"/>
      <c r="F240" s="9" t="n"/>
      <c r="G240" s="8" t="n"/>
      <c r="H240" s="9" t="n"/>
      <c r="I240" s="9" t="n"/>
      <c r="J240" s="10" t="n"/>
      <c r="K240" s="10" t="n"/>
      <c r="L240" s="11">
        <f>IF($S240="","",IF($S240="ITEM_PRICE_PLUS_DECLARED_DELIVERY",IF(OR($J240="",$K240=""),"",SUM($J240,$K240,$U240)),IF($S240="TOTAL_AMOUNT_INCLUDING_DELIVERY",IF($T240="","",$T240),IF($S240="DELIVERY_CHARGE_ONLY",IF($K240="","",SUM($K240,$U240)),IF($S240="EXACT_COLLECTION_AMOUNT",IF($T240="","",$T240),IF($S240="ITEM_PRICE_ONLY_DELIVERY_PAID_BY_MERCHANT",IF($J240="","",SUM($J240,$U240)),""))))))</f>
        <v/>
      </c>
      <c r="M240" s="12" t="n"/>
      <c r="N240" s="13" t="n"/>
      <c r="O240" s="13" t="n"/>
      <c r="P240" s="9" t="n"/>
      <c r="Q240" s="14" t="n"/>
      <c r="R240" s="15" t="n"/>
      <c r="S240" s="14" t="n"/>
      <c r="T240" s="16" t="n"/>
      <c r="U240" s="16" t="n"/>
      <c r="V240" s="16" t="n"/>
      <c r="W240" s="16" t="n"/>
      <c r="X240" s="16" t="n"/>
      <c r="Y240" s="16" t="n"/>
      <c r="Z240" s="14" t="n"/>
      <c r="AA240" s="14" t="n"/>
      <c r="AB240" s="14" t="n"/>
      <c r="AC240" s="17">
        <f>IFERROR(VLOOKUP($H240&amp;"|"&amp;$Q240,Tariff_Master!$A$2:$L$169,3,FALSE),"")</f>
        <v/>
      </c>
      <c r="AD240" s="17">
        <f>IFERROR(VLOOKUP($H240&amp;"|"&amp;$Q240,Tariff_Master!$A$2:$L$169,4,FALSE),"")</f>
        <v/>
      </c>
      <c r="AE240" s="18">
        <f>IFERROR(VLOOKUP($H240&amp;"|"&amp;$Q240,Tariff_Master!$A$2:$L$169,6,FALSE),"")</f>
        <v/>
      </c>
      <c r="AF240" s="19">
        <f>IFERROR(VLOOKUP($H240&amp;"|"&amp;$Q240,Tariff_Master!$A$2:$L$169,7,FALSE),"")</f>
        <v/>
      </c>
      <c r="AG240" s="18">
        <f>IFERROR(VLOOKUP($H240&amp;"|"&amp;$Q240,Tariff_Master!$A$2:$L$169,8,FALSE),"")</f>
        <v/>
      </c>
      <c r="AH240" s="20">
        <f>IFERROR(VLOOKUP($H240&amp;"|"&amp;$Q240,Tariff_Master!$A$2:$L$169,9,FALSE),"")</f>
        <v/>
      </c>
      <c r="AI240" s="18">
        <f>IFERROR(VLOOKUP($H240&amp;"|"&amp;$Q240,Tariff_Master!$A$2:$L$169,10,FALSE),"")</f>
        <v/>
      </c>
      <c r="AJ240" s="21">
        <f>IF($M240="","",ROUNDUP(MAX(0,$M240),0))</f>
        <v/>
      </c>
      <c r="AK240" s="21">
        <f>IF(OR($AJ240="",$AF240=""),"",MAX(0,$AJ240-$AF240))</f>
        <v/>
      </c>
      <c r="AL240" s="22">
        <f>IF(OR($AK240="",$AG240=""),"",MAX(0,$AK240*$AG240))</f>
        <v/>
      </c>
      <c r="AM240" s="22">
        <f>IF($AE240="","",MAX(0,SUM($AE240,$AL240,$V240,$W240)))</f>
        <v/>
      </c>
      <c r="AN240" s="22">
        <f>IF($AM240="","",IF(AND($Q240="COMMITMENT",$R240&gt;=$AH240),$AI240,0))</f>
        <v/>
      </c>
      <c r="AO240" s="23">
        <f>IF($AM240="","",MAX(0,$AM240-$AN240))</f>
        <v/>
      </c>
      <c r="AP240" s="22">
        <f>IF($S240="","",IF(OR($S240="ITEM_PRICE_PLUS_DECLARED_DELIVERY",$S240="DELIVERY_CHARGE_ONLY"),$K240,IF($S240="TOTAL_AMOUNT_INCLUDING_DELIVERY",IF(OR($T240="",$J240=""),"",MAX(0,$T240-$J240-$U240)),IF($S240="ITEM_PRICE_ONLY_DELIVERY_PAID_BY_MERCHANT",0,""))))</f>
        <v/>
      </c>
      <c r="AQ240" s="23">
        <f>IF(OR($AP240="",$AO240=""),"",$AP240-$AO240)</f>
        <v/>
      </c>
      <c r="AR240" s="24">
        <f>IF($S240="EXACT_COLLECTION_AMOUNT","BREAKDOWN_REQUIRED",IF($AQ240="","",IF($AQ240&gt;0,"CREDIT_TO_MERCHANT",IF($AQ240&lt;0,"DEDUCT_FROM_MERCHANT","NO_ADJUSTMENT"))))</f>
        <v/>
      </c>
      <c r="AS240" s="23">
        <f>IF(OR($AQ240="",$AR240="BREAKDOWN_REQUIRED"),"",$AQ240)</f>
        <v/>
      </c>
      <c r="AT240" s="23">
        <f>IF(OR($AR240="",$AR240="BREAKDOWN_REQUIRED"),"",SUM($J240,$AQ240,$Y240)-$X240)</f>
        <v/>
      </c>
      <c r="AU240" s="25">
        <f>IF(AND($A240="",$B240="",$F240="",$H240="",$J240="",$K240="",$M240="",$S240=""),"",IF(OR($H240="",$Q240="",$M240="",$S240=""),"ERROR",IF(OR($J240&lt;0,$K240&lt;0,$M240&lt;0,$T240&lt;0,$U240&lt;0,$V240&lt;0,$W240&lt;0,$X240&lt;0,$Y240&lt;0),"ERROR",IF($AE240="","ERROR",IF(AND(OR($S240="ITEM_PRICE_PLUS_DECLARED_DELIVERY",$S240="TOTAL_AMOUNT_INCLUDING_DELIVERY",$S240="ITEM_PRICE_ONLY_DELIVERY_PAID_BY_MERCHANT"),$J240=""),"ERROR",IF(AND(OR($S240="ITEM_PRICE_PLUS_DECLARED_DELIVERY",$S240="DELIVERY_CHARGE_ONLY"),$K240=""),"ERROR",IF(AND(OR($S240="TOTAL_AMOUNT_INCLUDING_DELIVERY",$S240="EXACT_COLLECTION_AMOUNT"),$T240=""),"ERROR",IF(AND($S240="TOTAL_AMOUNT_INCLUDING_DELIVERY",$T240&lt;SUM($J240,$U240)),"ERROR",IF($S240="EXACT_COLLECTION_AMOUNT","REVIEW","OK")))))))))</f>
        <v/>
      </c>
      <c r="AV240" s="25">
        <f>IF($AU240="","",IF($H240="","Township required",IF($Q240="","Customer tier required",IF($M240="","Weight required",IF($S240="","Amount entry type required",IF(OR($J240&lt;0,$K240&lt;0,$M240&lt;0,$T240&lt;0,$U240&lt;0,$V240&lt;0,$W240&lt;0,$X240&lt;0,$Y240&lt;0),"Negative amounts are not allowed",IF($AE240="","Tariff not found for township and tier",IF(AND(OR($S240="ITEM_PRICE_PLUS_DECLARED_DELIVERY",$S240="TOTAL_AMOUNT_INCLUDING_DELIVERY",$S240="ITEM_PRICE_ONLY_DELIVERY_PAID_BY_MERCHANT"),$J240=""),"Item price required for this amount type",IF(AND(OR($S240="ITEM_PRICE_PLUS_DECLARED_DELIVERY",$S240="DELIVERY_CHARGE_ONLY"),$K240=""),"Declared delivery charge required",IF(AND(OR($S240="TOTAL_AMOUNT_INCLUDING_DELIVERY",$S240="EXACT_COLLECTION_AMOUNT"),$T240=""),"Stated total amount required",IF(AND($S240="TOTAL_AMOUNT_INCLUDING_DELIVERY",$T240&lt;SUM($J240,$U240)),"Stated total is below item price plus additional charge",IF($S240="EXACT_COLLECTION_AMOUNT","Authorized amount breakdown required before settlement","Ready for collection and settlement"))))))))))))</f>
        <v/>
      </c>
      <c r="AW240" s="23">
        <f>IF($AU240="","","PARCEL_FINANCIAL_V2")</f>
        <v/>
      </c>
      <c r="AX240" s="17" t="n"/>
    </row>
    <row r="241">
      <c r="A241" s="8" t="n"/>
      <c r="B241" s="8" t="n"/>
      <c r="C241" s="8" t="n"/>
      <c r="D241" s="8" t="n"/>
      <c r="E241" s="9" t="n"/>
      <c r="F241" s="9" t="n"/>
      <c r="G241" s="8" t="n"/>
      <c r="H241" s="9" t="n"/>
      <c r="I241" s="9" t="n"/>
      <c r="J241" s="10" t="n"/>
      <c r="K241" s="10" t="n"/>
      <c r="L241" s="11">
        <f>IF($S241="","",IF($S241="ITEM_PRICE_PLUS_DECLARED_DELIVERY",IF(OR($J241="",$K241=""),"",SUM($J241,$K241,$U241)),IF($S241="TOTAL_AMOUNT_INCLUDING_DELIVERY",IF($T241="","",$T241),IF($S241="DELIVERY_CHARGE_ONLY",IF($K241="","",SUM($K241,$U241)),IF($S241="EXACT_COLLECTION_AMOUNT",IF($T241="","",$T241),IF($S241="ITEM_PRICE_ONLY_DELIVERY_PAID_BY_MERCHANT",IF($J241="","",SUM($J241,$U241)),""))))))</f>
        <v/>
      </c>
      <c r="M241" s="12" t="n"/>
      <c r="N241" s="13" t="n"/>
      <c r="O241" s="13" t="n"/>
      <c r="P241" s="9" t="n"/>
      <c r="Q241" s="14" t="n"/>
      <c r="R241" s="15" t="n"/>
      <c r="S241" s="14" t="n"/>
      <c r="T241" s="16" t="n"/>
      <c r="U241" s="16" t="n"/>
      <c r="V241" s="16" t="n"/>
      <c r="W241" s="16" t="n"/>
      <c r="X241" s="16" t="n"/>
      <c r="Y241" s="16" t="n"/>
      <c r="Z241" s="14" t="n"/>
      <c r="AA241" s="14" t="n"/>
      <c r="AB241" s="14" t="n"/>
      <c r="AC241" s="17">
        <f>IFERROR(VLOOKUP($H241&amp;"|"&amp;$Q241,Tariff_Master!$A$2:$L$169,3,FALSE),"")</f>
        <v/>
      </c>
      <c r="AD241" s="17">
        <f>IFERROR(VLOOKUP($H241&amp;"|"&amp;$Q241,Tariff_Master!$A$2:$L$169,4,FALSE),"")</f>
        <v/>
      </c>
      <c r="AE241" s="18">
        <f>IFERROR(VLOOKUP($H241&amp;"|"&amp;$Q241,Tariff_Master!$A$2:$L$169,6,FALSE),"")</f>
        <v/>
      </c>
      <c r="AF241" s="19">
        <f>IFERROR(VLOOKUP($H241&amp;"|"&amp;$Q241,Tariff_Master!$A$2:$L$169,7,FALSE),"")</f>
        <v/>
      </c>
      <c r="AG241" s="18">
        <f>IFERROR(VLOOKUP($H241&amp;"|"&amp;$Q241,Tariff_Master!$A$2:$L$169,8,FALSE),"")</f>
        <v/>
      </c>
      <c r="AH241" s="20">
        <f>IFERROR(VLOOKUP($H241&amp;"|"&amp;$Q241,Tariff_Master!$A$2:$L$169,9,FALSE),"")</f>
        <v/>
      </c>
      <c r="AI241" s="18">
        <f>IFERROR(VLOOKUP($H241&amp;"|"&amp;$Q241,Tariff_Master!$A$2:$L$169,10,FALSE),"")</f>
        <v/>
      </c>
      <c r="AJ241" s="21">
        <f>IF($M241="","",ROUNDUP(MAX(0,$M241),0))</f>
        <v/>
      </c>
      <c r="AK241" s="21">
        <f>IF(OR($AJ241="",$AF241=""),"",MAX(0,$AJ241-$AF241))</f>
        <v/>
      </c>
      <c r="AL241" s="22">
        <f>IF(OR($AK241="",$AG241=""),"",MAX(0,$AK241*$AG241))</f>
        <v/>
      </c>
      <c r="AM241" s="22">
        <f>IF($AE241="","",MAX(0,SUM($AE241,$AL241,$V241,$W241)))</f>
        <v/>
      </c>
      <c r="AN241" s="22">
        <f>IF($AM241="","",IF(AND($Q241="COMMITMENT",$R241&gt;=$AH241),$AI241,0))</f>
        <v/>
      </c>
      <c r="AO241" s="23">
        <f>IF($AM241="","",MAX(0,$AM241-$AN241))</f>
        <v/>
      </c>
      <c r="AP241" s="22">
        <f>IF($S241="","",IF(OR($S241="ITEM_PRICE_PLUS_DECLARED_DELIVERY",$S241="DELIVERY_CHARGE_ONLY"),$K241,IF($S241="TOTAL_AMOUNT_INCLUDING_DELIVERY",IF(OR($T241="",$J241=""),"",MAX(0,$T241-$J241-$U241)),IF($S241="ITEM_PRICE_ONLY_DELIVERY_PAID_BY_MERCHANT",0,""))))</f>
        <v/>
      </c>
      <c r="AQ241" s="23">
        <f>IF(OR($AP241="",$AO241=""),"",$AP241-$AO241)</f>
        <v/>
      </c>
      <c r="AR241" s="24">
        <f>IF($S241="EXACT_COLLECTION_AMOUNT","BREAKDOWN_REQUIRED",IF($AQ241="","",IF($AQ241&gt;0,"CREDIT_TO_MERCHANT",IF($AQ241&lt;0,"DEDUCT_FROM_MERCHANT","NO_ADJUSTMENT"))))</f>
        <v/>
      </c>
      <c r="AS241" s="23">
        <f>IF(OR($AQ241="",$AR241="BREAKDOWN_REQUIRED"),"",$AQ241)</f>
        <v/>
      </c>
      <c r="AT241" s="23">
        <f>IF(OR($AR241="",$AR241="BREAKDOWN_REQUIRED"),"",SUM($J241,$AQ241,$Y241)-$X241)</f>
        <v/>
      </c>
      <c r="AU241" s="25">
        <f>IF(AND($A241="",$B241="",$F241="",$H241="",$J241="",$K241="",$M241="",$S241=""),"",IF(OR($H241="",$Q241="",$M241="",$S241=""),"ERROR",IF(OR($J241&lt;0,$K241&lt;0,$M241&lt;0,$T241&lt;0,$U241&lt;0,$V241&lt;0,$W241&lt;0,$X241&lt;0,$Y241&lt;0),"ERROR",IF($AE241="","ERROR",IF(AND(OR($S241="ITEM_PRICE_PLUS_DECLARED_DELIVERY",$S241="TOTAL_AMOUNT_INCLUDING_DELIVERY",$S241="ITEM_PRICE_ONLY_DELIVERY_PAID_BY_MERCHANT"),$J241=""),"ERROR",IF(AND(OR($S241="ITEM_PRICE_PLUS_DECLARED_DELIVERY",$S241="DELIVERY_CHARGE_ONLY"),$K241=""),"ERROR",IF(AND(OR($S241="TOTAL_AMOUNT_INCLUDING_DELIVERY",$S241="EXACT_COLLECTION_AMOUNT"),$T241=""),"ERROR",IF(AND($S241="TOTAL_AMOUNT_INCLUDING_DELIVERY",$T241&lt;SUM($J241,$U241)),"ERROR",IF($S241="EXACT_COLLECTION_AMOUNT","REVIEW","OK")))))))))</f>
        <v/>
      </c>
      <c r="AV241" s="25">
        <f>IF($AU241="","",IF($H241="","Township required",IF($Q241="","Customer tier required",IF($M241="","Weight required",IF($S241="","Amount entry type required",IF(OR($J241&lt;0,$K241&lt;0,$M241&lt;0,$T241&lt;0,$U241&lt;0,$V241&lt;0,$W241&lt;0,$X241&lt;0,$Y241&lt;0),"Negative amounts are not allowed",IF($AE241="","Tariff not found for township and tier",IF(AND(OR($S241="ITEM_PRICE_PLUS_DECLARED_DELIVERY",$S241="TOTAL_AMOUNT_INCLUDING_DELIVERY",$S241="ITEM_PRICE_ONLY_DELIVERY_PAID_BY_MERCHANT"),$J241=""),"Item price required for this amount type",IF(AND(OR($S241="ITEM_PRICE_PLUS_DECLARED_DELIVERY",$S241="DELIVERY_CHARGE_ONLY"),$K241=""),"Declared delivery charge required",IF(AND(OR($S241="TOTAL_AMOUNT_INCLUDING_DELIVERY",$S241="EXACT_COLLECTION_AMOUNT"),$T241=""),"Stated total amount required",IF(AND($S241="TOTAL_AMOUNT_INCLUDING_DELIVERY",$T241&lt;SUM($J241,$U241)),"Stated total is below item price plus additional charge",IF($S241="EXACT_COLLECTION_AMOUNT","Authorized amount breakdown required before settlement","Ready for collection and settlement"))))))))))))</f>
        <v/>
      </c>
      <c r="AW241" s="23">
        <f>IF($AU241="","","PARCEL_FINANCIAL_V2")</f>
        <v/>
      </c>
      <c r="AX241" s="17" t="n"/>
    </row>
    <row r="242">
      <c r="A242" s="8" t="n"/>
      <c r="B242" s="8" t="n"/>
      <c r="C242" s="8" t="n"/>
      <c r="D242" s="8" t="n"/>
      <c r="E242" s="9" t="n"/>
      <c r="F242" s="9" t="n"/>
      <c r="G242" s="8" t="n"/>
      <c r="H242" s="9" t="n"/>
      <c r="I242" s="9" t="n"/>
      <c r="J242" s="10" t="n"/>
      <c r="K242" s="10" t="n"/>
      <c r="L242" s="11">
        <f>IF($S242="","",IF($S242="ITEM_PRICE_PLUS_DECLARED_DELIVERY",IF(OR($J242="",$K242=""),"",SUM($J242,$K242,$U242)),IF($S242="TOTAL_AMOUNT_INCLUDING_DELIVERY",IF($T242="","",$T242),IF($S242="DELIVERY_CHARGE_ONLY",IF($K242="","",SUM($K242,$U242)),IF($S242="EXACT_COLLECTION_AMOUNT",IF($T242="","",$T242),IF($S242="ITEM_PRICE_ONLY_DELIVERY_PAID_BY_MERCHANT",IF($J242="","",SUM($J242,$U242)),""))))))</f>
        <v/>
      </c>
      <c r="M242" s="12" t="n"/>
      <c r="N242" s="13" t="n"/>
      <c r="O242" s="13" t="n"/>
      <c r="P242" s="9" t="n"/>
      <c r="Q242" s="14" t="n"/>
      <c r="R242" s="15" t="n"/>
      <c r="S242" s="14" t="n"/>
      <c r="T242" s="16" t="n"/>
      <c r="U242" s="16" t="n"/>
      <c r="V242" s="16" t="n"/>
      <c r="W242" s="16" t="n"/>
      <c r="X242" s="16" t="n"/>
      <c r="Y242" s="16" t="n"/>
      <c r="Z242" s="14" t="n"/>
      <c r="AA242" s="14" t="n"/>
      <c r="AB242" s="14" t="n"/>
      <c r="AC242" s="17">
        <f>IFERROR(VLOOKUP($H242&amp;"|"&amp;$Q242,Tariff_Master!$A$2:$L$169,3,FALSE),"")</f>
        <v/>
      </c>
      <c r="AD242" s="17">
        <f>IFERROR(VLOOKUP($H242&amp;"|"&amp;$Q242,Tariff_Master!$A$2:$L$169,4,FALSE),"")</f>
        <v/>
      </c>
      <c r="AE242" s="18">
        <f>IFERROR(VLOOKUP($H242&amp;"|"&amp;$Q242,Tariff_Master!$A$2:$L$169,6,FALSE),"")</f>
        <v/>
      </c>
      <c r="AF242" s="19">
        <f>IFERROR(VLOOKUP($H242&amp;"|"&amp;$Q242,Tariff_Master!$A$2:$L$169,7,FALSE),"")</f>
        <v/>
      </c>
      <c r="AG242" s="18">
        <f>IFERROR(VLOOKUP($H242&amp;"|"&amp;$Q242,Tariff_Master!$A$2:$L$169,8,FALSE),"")</f>
        <v/>
      </c>
      <c r="AH242" s="20">
        <f>IFERROR(VLOOKUP($H242&amp;"|"&amp;$Q242,Tariff_Master!$A$2:$L$169,9,FALSE),"")</f>
        <v/>
      </c>
      <c r="AI242" s="18">
        <f>IFERROR(VLOOKUP($H242&amp;"|"&amp;$Q242,Tariff_Master!$A$2:$L$169,10,FALSE),"")</f>
        <v/>
      </c>
      <c r="AJ242" s="21">
        <f>IF($M242="","",ROUNDUP(MAX(0,$M242),0))</f>
        <v/>
      </c>
      <c r="AK242" s="21">
        <f>IF(OR($AJ242="",$AF242=""),"",MAX(0,$AJ242-$AF242))</f>
        <v/>
      </c>
      <c r="AL242" s="22">
        <f>IF(OR($AK242="",$AG242=""),"",MAX(0,$AK242*$AG242))</f>
        <v/>
      </c>
      <c r="AM242" s="22">
        <f>IF($AE242="","",MAX(0,SUM($AE242,$AL242,$V242,$W242)))</f>
        <v/>
      </c>
      <c r="AN242" s="22">
        <f>IF($AM242="","",IF(AND($Q242="COMMITMENT",$R242&gt;=$AH242),$AI242,0))</f>
        <v/>
      </c>
      <c r="AO242" s="23">
        <f>IF($AM242="","",MAX(0,$AM242-$AN242))</f>
        <v/>
      </c>
      <c r="AP242" s="22">
        <f>IF($S242="","",IF(OR($S242="ITEM_PRICE_PLUS_DECLARED_DELIVERY",$S242="DELIVERY_CHARGE_ONLY"),$K242,IF($S242="TOTAL_AMOUNT_INCLUDING_DELIVERY",IF(OR($T242="",$J242=""),"",MAX(0,$T242-$J242-$U242)),IF($S242="ITEM_PRICE_ONLY_DELIVERY_PAID_BY_MERCHANT",0,""))))</f>
        <v/>
      </c>
      <c r="AQ242" s="23">
        <f>IF(OR($AP242="",$AO242=""),"",$AP242-$AO242)</f>
        <v/>
      </c>
      <c r="AR242" s="24">
        <f>IF($S242="EXACT_COLLECTION_AMOUNT","BREAKDOWN_REQUIRED",IF($AQ242="","",IF($AQ242&gt;0,"CREDIT_TO_MERCHANT",IF($AQ242&lt;0,"DEDUCT_FROM_MERCHANT","NO_ADJUSTMENT"))))</f>
        <v/>
      </c>
      <c r="AS242" s="23">
        <f>IF(OR($AQ242="",$AR242="BREAKDOWN_REQUIRED"),"",$AQ242)</f>
        <v/>
      </c>
      <c r="AT242" s="23">
        <f>IF(OR($AR242="",$AR242="BREAKDOWN_REQUIRED"),"",SUM($J242,$AQ242,$Y242)-$X242)</f>
        <v/>
      </c>
      <c r="AU242" s="25">
        <f>IF(AND($A242="",$B242="",$F242="",$H242="",$J242="",$K242="",$M242="",$S242=""),"",IF(OR($H242="",$Q242="",$M242="",$S242=""),"ERROR",IF(OR($J242&lt;0,$K242&lt;0,$M242&lt;0,$T242&lt;0,$U242&lt;0,$V242&lt;0,$W242&lt;0,$X242&lt;0,$Y242&lt;0),"ERROR",IF($AE242="","ERROR",IF(AND(OR($S242="ITEM_PRICE_PLUS_DECLARED_DELIVERY",$S242="TOTAL_AMOUNT_INCLUDING_DELIVERY",$S242="ITEM_PRICE_ONLY_DELIVERY_PAID_BY_MERCHANT"),$J242=""),"ERROR",IF(AND(OR($S242="ITEM_PRICE_PLUS_DECLARED_DELIVERY",$S242="DELIVERY_CHARGE_ONLY"),$K242=""),"ERROR",IF(AND(OR($S242="TOTAL_AMOUNT_INCLUDING_DELIVERY",$S242="EXACT_COLLECTION_AMOUNT"),$T242=""),"ERROR",IF(AND($S242="TOTAL_AMOUNT_INCLUDING_DELIVERY",$T242&lt;SUM($J242,$U242)),"ERROR",IF($S242="EXACT_COLLECTION_AMOUNT","REVIEW","OK")))))))))</f>
        <v/>
      </c>
      <c r="AV242" s="25">
        <f>IF($AU242="","",IF($H242="","Township required",IF($Q242="","Customer tier required",IF($M242="","Weight required",IF($S242="","Amount entry type required",IF(OR($J242&lt;0,$K242&lt;0,$M242&lt;0,$T242&lt;0,$U242&lt;0,$V242&lt;0,$W242&lt;0,$X242&lt;0,$Y242&lt;0),"Negative amounts are not allowed",IF($AE242="","Tariff not found for township and tier",IF(AND(OR($S242="ITEM_PRICE_PLUS_DECLARED_DELIVERY",$S242="TOTAL_AMOUNT_INCLUDING_DELIVERY",$S242="ITEM_PRICE_ONLY_DELIVERY_PAID_BY_MERCHANT"),$J242=""),"Item price required for this amount type",IF(AND(OR($S242="ITEM_PRICE_PLUS_DECLARED_DELIVERY",$S242="DELIVERY_CHARGE_ONLY"),$K242=""),"Declared delivery charge required",IF(AND(OR($S242="TOTAL_AMOUNT_INCLUDING_DELIVERY",$S242="EXACT_COLLECTION_AMOUNT"),$T242=""),"Stated total amount required",IF(AND($S242="TOTAL_AMOUNT_INCLUDING_DELIVERY",$T242&lt;SUM($J242,$U242)),"Stated total is below item price plus additional charge",IF($S242="EXACT_COLLECTION_AMOUNT","Authorized amount breakdown required before settlement","Ready for collection and settlement"))))))))))))</f>
        <v/>
      </c>
      <c r="AW242" s="23">
        <f>IF($AU242="","","PARCEL_FINANCIAL_V2")</f>
        <v/>
      </c>
      <c r="AX242" s="17" t="n"/>
    </row>
    <row r="243">
      <c r="A243" s="8" t="n"/>
      <c r="B243" s="8" t="n"/>
      <c r="C243" s="8" t="n"/>
      <c r="D243" s="8" t="n"/>
      <c r="E243" s="9" t="n"/>
      <c r="F243" s="9" t="n"/>
      <c r="G243" s="8" t="n"/>
      <c r="H243" s="9" t="n"/>
      <c r="I243" s="9" t="n"/>
      <c r="J243" s="10" t="n"/>
      <c r="K243" s="10" t="n"/>
      <c r="L243" s="11">
        <f>IF($S243="","",IF($S243="ITEM_PRICE_PLUS_DECLARED_DELIVERY",IF(OR($J243="",$K243=""),"",SUM($J243,$K243,$U243)),IF($S243="TOTAL_AMOUNT_INCLUDING_DELIVERY",IF($T243="","",$T243),IF($S243="DELIVERY_CHARGE_ONLY",IF($K243="","",SUM($K243,$U243)),IF($S243="EXACT_COLLECTION_AMOUNT",IF($T243="","",$T243),IF($S243="ITEM_PRICE_ONLY_DELIVERY_PAID_BY_MERCHANT",IF($J243="","",SUM($J243,$U243)),""))))))</f>
        <v/>
      </c>
      <c r="M243" s="12" t="n"/>
      <c r="N243" s="13" t="n"/>
      <c r="O243" s="13" t="n"/>
      <c r="P243" s="9" t="n"/>
      <c r="Q243" s="14" t="n"/>
      <c r="R243" s="15" t="n"/>
      <c r="S243" s="14" t="n"/>
      <c r="T243" s="16" t="n"/>
      <c r="U243" s="16" t="n"/>
      <c r="V243" s="16" t="n"/>
      <c r="W243" s="16" t="n"/>
      <c r="X243" s="16" t="n"/>
      <c r="Y243" s="16" t="n"/>
      <c r="Z243" s="14" t="n"/>
      <c r="AA243" s="14" t="n"/>
      <c r="AB243" s="14" t="n"/>
      <c r="AC243" s="17">
        <f>IFERROR(VLOOKUP($H243&amp;"|"&amp;$Q243,Tariff_Master!$A$2:$L$169,3,FALSE),"")</f>
        <v/>
      </c>
      <c r="AD243" s="17">
        <f>IFERROR(VLOOKUP($H243&amp;"|"&amp;$Q243,Tariff_Master!$A$2:$L$169,4,FALSE),"")</f>
        <v/>
      </c>
      <c r="AE243" s="18">
        <f>IFERROR(VLOOKUP($H243&amp;"|"&amp;$Q243,Tariff_Master!$A$2:$L$169,6,FALSE),"")</f>
        <v/>
      </c>
      <c r="AF243" s="19">
        <f>IFERROR(VLOOKUP($H243&amp;"|"&amp;$Q243,Tariff_Master!$A$2:$L$169,7,FALSE),"")</f>
        <v/>
      </c>
      <c r="AG243" s="18">
        <f>IFERROR(VLOOKUP($H243&amp;"|"&amp;$Q243,Tariff_Master!$A$2:$L$169,8,FALSE),"")</f>
        <v/>
      </c>
      <c r="AH243" s="20">
        <f>IFERROR(VLOOKUP($H243&amp;"|"&amp;$Q243,Tariff_Master!$A$2:$L$169,9,FALSE),"")</f>
        <v/>
      </c>
      <c r="AI243" s="18">
        <f>IFERROR(VLOOKUP($H243&amp;"|"&amp;$Q243,Tariff_Master!$A$2:$L$169,10,FALSE),"")</f>
        <v/>
      </c>
      <c r="AJ243" s="21">
        <f>IF($M243="","",ROUNDUP(MAX(0,$M243),0))</f>
        <v/>
      </c>
      <c r="AK243" s="21">
        <f>IF(OR($AJ243="",$AF243=""),"",MAX(0,$AJ243-$AF243))</f>
        <v/>
      </c>
      <c r="AL243" s="22">
        <f>IF(OR($AK243="",$AG243=""),"",MAX(0,$AK243*$AG243))</f>
        <v/>
      </c>
      <c r="AM243" s="22">
        <f>IF($AE243="","",MAX(0,SUM($AE243,$AL243,$V243,$W243)))</f>
        <v/>
      </c>
      <c r="AN243" s="22">
        <f>IF($AM243="","",IF(AND($Q243="COMMITMENT",$R243&gt;=$AH243),$AI243,0))</f>
        <v/>
      </c>
      <c r="AO243" s="23">
        <f>IF($AM243="","",MAX(0,$AM243-$AN243))</f>
        <v/>
      </c>
      <c r="AP243" s="22">
        <f>IF($S243="","",IF(OR($S243="ITEM_PRICE_PLUS_DECLARED_DELIVERY",$S243="DELIVERY_CHARGE_ONLY"),$K243,IF($S243="TOTAL_AMOUNT_INCLUDING_DELIVERY",IF(OR($T243="",$J243=""),"",MAX(0,$T243-$J243-$U243)),IF($S243="ITEM_PRICE_ONLY_DELIVERY_PAID_BY_MERCHANT",0,""))))</f>
        <v/>
      </c>
      <c r="AQ243" s="23">
        <f>IF(OR($AP243="",$AO243=""),"",$AP243-$AO243)</f>
        <v/>
      </c>
      <c r="AR243" s="24">
        <f>IF($S243="EXACT_COLLECTION_AMOUNT","BREAKDOWN_REQUIRED",IF($AQ243="","",IF($AQ243&gt;0,"CREDIT_TO_MERCHANT",IF($AQ243&lt;0,"DEDUCT_FROM_MERCHANT","NO_ADJUSTMENT"))))</f>
        <v/>
      </c>
      <c r="AS243" s="23">
        <f>IF(OR($AQ243="",$AR243="BREAKDOWN_REQUIRED"),"",$AQ243)</f>
        <v/>
      </c>
      <c r="AT243" s="23">
        <f>IF(OR($AR243="",$AR243="BREAKDOWN_REQUIRED"),"",SUM($J243,$AQ243,$Y243)-$X243)</f>
        <v/>
      </c>
      <c r="AU243" s="25">
        <f>IF(AND($A243="",$B243="",$F243="",$H243="",$J243="",$K243="",$M243="",$S243=""),"",IF(OR($H243="",$Q243="",$M243="",$S243=""),"ERROR",IF(OR($J243&lt;0,$K243&lt;0,$M243&lt;0,$T243&lt;0,$U243&lt;0,$V243&lt;0,$W243&lt;0,$X243&lt;0,$Y243&lt;0),"ERROR",IF($AE243="","ERROR",IF(AND(OR($S243="ITEM_PRICE_PLUS_DECLARED_DELIVERY",$S243="TOTAL_AMOUNT_INCLUDING_DELIVERY",$S243="ITEM_PRICE_ONLY_DELIVERY_PAID_BY_MERCHANT"),$J243=""),"ERROR",IF(AND(OR($S243="ITEM_PRICE_PLUS_DECLARED_DELIVERY",$S243="DELIVERY_CHARGE_ONLY"),$K243=""),"ERROR",IF(AND(OR($S243="TOTAL_AMOUNT_INCLUDING_DELIVERY",$S243="EXACT_COLLECTION_AMOUNT"),$T243=""),"ERROR",IF(AND($S243="TOTAL_AMOUNT_INCLUDING_DELIVERY",$T243&lt;SUM($J243,$U243)),"ERROR",IF($S243="EXACT_COLLECTION_AMOUNT","REVIEW","OK")))))))))</f>
        <v/>
      </c>
      <c r="AV243" s="25">
        <f>IF($AU243="","",IF($H243="","Township required",IF($Q243="","Customer tier required",IF($M243="","Weight required",IF($S243="","Amount entry type required",IF(OR($J243&lt;0,$K243&lt;0,$M243&lt;0,$T243&lt;0,$U243&lt;0,$V243&lt;0,$W243&lt;0,$X243&lt;0,$Y243&lt;0),"Negative amounts are not allowed",IF($AE243="","Tariff not found for township and tier",IF(AND(OR($S243="ITEM_PRICE_PLUS_DECLARED_DELIVERY",$S243="TOTAL_AMOUNT_INCLUDING_DELIVERY",$S243="ITEM_PRICE_ONLY_DELIVERY_PAID_BY_MERCHANT"),$J243=""),"Item price required for this amount type",IF(AND(OR($S243="ITEM_PRICE_PLUS_DECLARED_DELIVERY",$S243="DELIVERY_CHARGE_ONLY"),$K243=""),"Declared delivery charge required",IF(AND(OR($S243="TOTAL_AMOUNT_INCLUDING_DELIVERY",$S243="EXACT_COLLECTION_AMOUNT"),$T243=""),"Stated total amount required",IF(AND($S243="TOTAL_AMOUNT_INCLUDING_DELIVERY",$T243&lt;SUM($J243,$U243)),"Stated total is below item price plus additional charge",IF($S243="EXACT_COLLECTION_AMOUNT","Authorized amount breakdown required before settlement","Ready for collection and settlement"))))))))))))</f>
        <v/>
      </c>
      <c r="AW243" s="23">
        <f>IF($AU243="","","PARCEL_FINANCIAL_V2")</f>
        <v/>
      </c>
      <c r="AX243" s="17" t="n"/>
    </row>
    <row r="244">
      <c r="A244" s="8" t="n"/>
      <c r="B244" s="8" t="n"/>
      <c r="C244" s="8" t="n"/>
      <c r="D244" s="8" t="n"/>
      <c r="E244" s="9" t="n"/>
      <c r="F244" s="9" t="n"/>
      <c r="G244" s="8" t="n"/>
      <c r="H244" s="9" t="n"/>
      <c r="I244" s="9" t="n"/>
      <c r="J244" s="10" t="n"/>
      <c r="K244" s="10" t="n"/>
      <c r="L244" s="11">
        <f>IF($S244="","",IF($S244="ITEM_PRICE_PLUS_DECLARED_DELIVERY",IF(OR($J244="",$K244=""),"",SUM($J244,$K244,$U244)),IF($S244="TOTAL_AMOUNT_INCLUDING_DELIVERY",IF($T244="","",$T244),IF($S244="DELIVERY_CHARGE_ONLY",IF($K244="","",SUM($K244,$U244)),IF($S244="EXACT_COLLECTION_AMOUNT",IF($T244="","",$T244),IF($S244="ITEM_PRICE_ONLY_DELIVERY_PAID_BY_MERCHANT",IF($J244="","",SUM($J244,$U244)),""))))))</f>
        <v/>
      </c>
      <c r="M244" s="12" t="n"/>
      <c r="N244" s="13" t="n"/>
      <c r="O244" s="13" t="n"/>
      <c r="P244" s="9" t="n"/>
      <c r="Q244" s="14" t="n"/>
      <c r="R244" s="15" t="n"/>
      <c r="S244" s="14" t="n"/>
      <c r="T244" s="16" t="n"/>
      <c r="U244" s="16" t="n"/>
      <c r="V244" s="16" t="n"/>
      <c r="W244" s="16" t="n"/>
      <c r="X244" s="16" t="n"/>
      <c r="Y244" s="16" t="n"/>
      <c r="Z244" s="14" t="n"/>
      <c r="AA244" s="14" t="n"/>
      <c r="AB244" s="14" t="n"/>
      <c r="AC244" s="17">
        <f>IFERROR(VLOOKUP($H244&amp;"|"&amp;$Q244,Tariff_Master!$A$2:$L$169,3,FALSE),"")</f>
        <v/>
      </c>
      <c r="AD244" s="17">
        <f>IFERROR(VLOOKUP($H244&amp;"|"&amp;$Q244,Tariff_Master!$A$2:$L$169,4,FALSE),"")</f>
        <v/>
      </c>
      <c r="AE244" s="18">
        <f>IFERROR(VLOOKUP($H244&amp;"|"&amp;$Q244,Tariff_Master!$A$2:$L$169,6,FALSE),"")</f>
        <v/>
      </c>
      <c r="AF244" s="19">
        <f>IFERROR(VLOOKUP($H244&amp;"|"&amp;$Q244,Tariff_Master!$A$2:$L$169,7,FALSE),"")</f>
        <v/>
      </c>
      <c r="AG244" s="18">
        <f>IFERROR(VLOOKUP($H244&amp;"|"&amp;$Q244,Tariff_Master!$A$2:$L$169,8,FALSE),"")</f>
        <v/>
      </c>
      <c r="AH244" s="20">
        <f>IFERROR(VLOOKUP($H244&amp;"|"&amp;$Q244,Tariff_Master!$A$2:$L$169,9,FALSE),"")</f>
        <v/>
      </c>
      <c r="AI244" s="18">
        <f>IFERROR(VLOOKUP($H244&amp;"|"&amp;$Q244,Tariff_Master!$A$2:$L$169,10,FALSE),"")</f>
        <v/>
      </c>
      <c r="AJ244" s="21">
        <f>IF($M244="","",ROUNDUP(MAX(0,$M244),0))</f>
        <v/>
      </c>
      <c r="AK244" s="21">
        <f>IF(OR($AJ244="",$AF244=""),"",MAX(0,$AJ244-$AF244))</f>
        <v/>
      </c>
      <c r="AL244" s="22">
        <f>IF(OR($AK244="",$AG244=""),"",MAX(0,$AK244*$AG244))</f>
        <v/>
      </c>
      <c r="AM244" s="22">
        <f>IF($AE244="","",MAX(0,SUM($AE244,$AL244,$V244,$W244)))</f>
        <v/>
      </c>
      <c r="AN244" s="22">
        <f>IF($AM244="","",IF(AND($Q244="COMMITMENT",$R244&gt;=$AH244),$AI244,0))</f>
        <v/>
      </c>
      <c r="AO244" s="23">
        <f>IF($AM244="","",MAX(0,$AM244-$AN244))</f>
        <v/>
      </c>
      <c r="AP244" s="22">
        <f>IF($S244="","",IF(OR($S244="ITEM_PRICE_PLUS_DECLARED_DELIVERY",$S244="DELIVERY_CHARGE_ONLY"),$K244,IF($S244="TOTAL_AMOUNT_INCLUDING_DELIVERY",IF(OR($T244="",$J244=""),"",MAX(0,$T244-$J244-$U244)),IF($S244="ITEM_PRICE_ONLY_DELIVERY_PAID_BY_MERCHANT",0,""))))</f>
        <v/>
      </c>
      <c r="AQ244" s="23">
        <f>IF(OR($AP244="",$AO244=""),"",$AP244-$AO244)</f>
        <v/>
      </c>
      <c r="AR244" s="24">
        <f>IF($S244="EXACT_COLLECTION_AMOUNT","BREAKDOWN_REQUIRED",IF($AQ244="","",IF($AQ244&gt;0,"CREDIT_TO_MERCHANT",IF($AQ244&lt;0,"DEDUCT_FROM_MERCHANT","NO_ADJUSTMENT"))))</f>
        <v/>
      </c>
      <c r="AS244" s="23">
        <f>IF(OR($AQ244="",$AR244="BREAKDOWN_REQUIRED"),"",$AQ244)</f>
        <v/>
      </c>
      <c r="AT244" s="23">
        <f>IF(OR($AR244="",$AR244="BREAKDOWN_REQUIRED"),"",SUM($J244,$AQ244,$Y244)-$X244)</f>
        <v/>
      </c>
      <c r="AU244" s="25">
        <f>IF(AND($A244="",$B244="",$F244="",$H244="",$J244="",$K244="",$M244="",$S244=""),"",IF(OR($H244="",$Q244="",$M244="",$S244=""),"ERROR",IF(OR($J244&lt;0,$K244&lt;0,$M244&lt;0,$T244&lt;0,$U244&lt;0,$V244&lt;0,$W244&lt;0,$X244&lt;0,$Y244&lt;0),"ERROR",IF($AE244="","ERROR",IF(AND(OR($S244="ITEM_PRICE_PLUS_DECLARED_DELIVERY",$S244="TOTAL_AMOUNT_INCLUDING_DELIVERY",$S244="ITEM_PRICE_ONLY_DELIVERY_PAID_BY_MERCHANT"),$J244=""),"ERROR",IF(AND(OR($S244="ITEM_PRICE_PLUS_DECLARED_DELIVERY",$S244="DELIVERY_CHARGE_ONLY"),$K244=""),"ERROR",IF(AND(OR($S244="TOTAL_AMOUNT_INCLUDING_DELIVERY",$S244="EXACT_COLLECTION_AMOUNT"),$T244=""),"ERROR",IF(AND($S244="TOTAL_AMOUNT_INCLUDING_DELIVERY",$T244&lt;SUM($J244,$U244)),"ERROR",IF($S244="EXACT_COLLECTION_AMOUNT","REVIEW","OK")))))))))</f>
        <v/>
      </c>
      <c r="AV244" s="25">
        <f>IF($AU244="","",IF($H244="","Township required",IF($Q244="","Customer tier required",IF($M244="","Weight required",IF($S244="","Amount entry type required",IF(OR($J244&lt;0,$K244&lt;0,$M244&lt;0,$T244&lt;0,$U244&lt;0,$V244&lt;0,$W244&lt;0,$X244&lt;0,$Y244&lt;0),"Negative amounts are not allowed",IF($AE244="","Tariff not found for township and tier",IF(AND(OR($S244="ITEM_PRICE_PLUS_DECLARED_DELIVERY",$S244="TOTAL_AMOUNT_INCLUDING_DELIVERY",$S244="ITEM_PRICE_ONLY_DELIVERY_PAID_BY_MERCHANT"),$J244=""),"Item price required for this amount type",IF(AND(OR($S244="ITEM_PRICE_PLUS_DECLARED_DELIVERY",$S244="DELIVERY_CHARGE_ONLY"),$K244=""),"Declared delivery charge required",IF(AND(OR($S244="TOTAL_AMOUNT_INCLUDING_DELIVERY",$S244="EXACT_COLLECTION_AMOUNT"),$T244=""),"Stated total amount required",IF(AND($S244="TOTAL_AMOUNT_INCLUDING_DELIVERY",$T244&lt;SUM($J244,$U244)),"Stated total is below item price plus additional charge",IF($S244="EXACT_COLLECTION_AMOUNT","Authorized amount breakdown required before settlement","Ready for collection and settlement"))))))))))))</f>
        <v/>
      </c>
      <c r="AW244" s="23">
        <f>IF($AU244="","","PARCEL_FINANCIAL_V2")</f>
        <v/>
      </c>
      <c r="AX244" s="17" t="n"/>
    </row>
    <row r="245">
      <c r="A245" s="8" t="n"/>
      <c r="B245" s="8" t="n"/>
      <c r="C245" s="8" t="n"/>
      <c r="D245" s="8" t="n"/>
      <c r="E245" s="9" t="n"/>
      <c r="F245" s="9" t="n"/>
      <c r="G245" s="8" t="n"/>
      <c r="H245" s="9" t="n"/>
      <c r="I245" s="9" t="n"/>
      <c r="J245" s="10" t="n"/>
      <c r="K245" s="10" t="n"/>
      <c r="L245" s="11">
        <f>IF($S245="","",IF($S245="ITEM_PRICE_PLUS_DECLARED_DELIVERY",IF(OR($J245="",$K245=""),"",SUM($J245,$K245,$U245)),IF($S245="TOTAL_AMOUNT_INCLUDING_DELIVERY",IF($T245="","",$T245),IF($S245="DELIVERY_CHARGE_ONLY",IF($K245="","",SUM($K245,$U245)),IF($S245="EXACT_COLLECTION_AMOUNT",IF($T245="","",$T245),IF($S245="ITEM_PRICE_ONLY_DELIVERY_PAID_BY_MERCHANT",IF($J245="","",SUM($J245,$U245)),""))))))</f>
        <v/>
      </c>
      <c r="M245" s="12" t="n"/>
      <c r="N245" s="13" t="n"/>
      <c r="O245" s="13" t="n"/>
      <c r="P245" s="9" t="n"/>
      <c r="Q245" s="14" t="n"/>
      <c r="R245" s="15" t="n"/>
      <c r="S245" s="14" t="n"/>
      <c r="T245" s="16" t="n"/>
      <c r="U245" s="16" t="n"/>
      <c r="V245" s="16" t="n"/>
      <c r="W245" s="16" t="n"/>
      <c r="X245" s="16" t="n"/>
      <c r="Y245" s="16" t="n"/>
      <c r="Z245" s="14" t="n"/>
      <c r="AA245" s="14" t="n"/>
      <c r="AB245" s="14" t="n"/>
      <c r="AC245" s="17">
        <f>IFERROR(VLOOKUP($H245&amp;"|"&amp;$Q245,Tariff_Master!$A$2:$L$169,3,FALSE),"")</f>
        <v/>
      </c>
      <c r="AD245" s="17">
        <f>IFERROR(VLOOKUP($H245&amp;"|"&amp;$Q245,Tariff_Master!$A$2:$L$169,4,FALSE),"")</f>
        <v/>
      </c>
      <c r="AE245" s="18">
        <f>IFERROR(VLOOKUP($H245&amp;"|"&amp;$Q245,Tariff_Master!$A$2:$L$169,6,FALSE),"")</f>
        <v/>
      </c>
      <c r="AF245" s="19">
        <f>IFERROR(VLOOKUP($H245&amp;"|"&amp;$Q245,Tariff_Master!$A$2:$L$169,7,FALSE),"")</f>
        <v/>
      </c>
      <c r="AG245" s="18">
        <f>IFERROR(VLOOKUP($H245&amp;"|"&amp;$Q245,Tariff_Master!$A$2:$L$169,8,FALSE),"")</f>
        <v/>
      </c>
      <c r="AH245" s="20">
        <f>IFERROR(VLOOKUP($H245&amp;"|"&amp;$Q245,Tariff_Master!$A$2:$L$169,9,FALSE),"")</f>
        <v/>
      </c>
      <c r="AI245" s="18">
        <f>IFERROR(VLOOKUP($H245&amp;"|"&amp;$Q245,Tariff_Master!$A$2:$L$169,10,FALSE),"")</f>
        <v/>
      </c>
      <c r="AJ245" s="21">
        <f>IF($M245="","",ROUNDUP(MAX(0,$M245),0))</f>
        <v/>
      </c>
      <c r="AK245" s="21">
        <f>IF(OR($AJ245="",$AF245=""),"",MAX(0,$AJ245-$AF245))</f>
        <v/>
      </c>
      <c r="AL245" s="22">
        <f>IF(OR($AK245="",$AG245=""),"",MAX(0,$AK245*$AG245))</f>
        <v/>
      </c>
      <c r="AM245" s="22">
        <f>IF($AE245="","",MAX(0,SUM($AE245,$AL245,$V245,$W245)))</f>
        <v/>
      </c>
      <c r="AN245" s="22">
        <f>IF($AM245="","",IF(AND($Q245="COMMITMENT",$R245&gt;=$AH245),$AI245,0))</f>
        <v/>
      </c>
      <c r="AO245" s="23">
        <f>IF($AM245="","",MAX(0,$AM245-$AN245))</f>
        <v/>
      </c>
      <c r="AP245" s="22">
        <f>IF($S245="","",IF(OR($S245="ITEM_PRICE_PLUS_DECLARED_DELIVERY",$S245="DELIVERY_CHARGE_ONLY"),$K245,IF($S245="TOTAL_AMOUNT_INCLUDING_DELIVERY",IF(OR($T245="",$J245=""),"",MAX(0,$T245-$J245-$U245)),IF($S245="ITEM_PRICE_ONLY_DELIVERY_PAID_BY_MERCHANT",0,""))))</f>
        <v/>
      </c>
      <c r="AQ245" s="23">
        <f>IF(OR($AP245="",$AO245=""),"",$AP245-$AO245)</f>
        <v/>
      </c>
      <c r="AR245" s="24">
        <f>IF($S245="EXACT_COLLECTION_AMOUNT","BREAKDOWN_REQUIRED",IF($AQ245="","",IF($AQ245&gt;0,"CREDIT_TO_MERCHANT",IF($AQ245&lt;0,"DEDUCT_FROM_MERCHANT","NO_ADJUSTMENT"))))</f>
        <v/>
      </c>
      <c r="AS245" s="23">
        <f>IF(OR($AQ245="",$AR245="BREAKDOWN_REQUIRED"),"",$AQ245)</f>
        <v/>
      </c>
      <c r="AT245" s="23">
        <f>IF(OR($AR245="",$AR245="BREAKDOWN_REQUIRED"),"",SUM($J245,$AQ245,$Y245)-$X245)</f>
        <v/>
      </c>
      <c r="AU245" s="25">
        <f>IF(AND($A245="",$B245="",$F245="",$H245="",$J245="",$K245="",$M245="",$S245=""),"",IF(OR($H245="",$Q245="",$M245="",$S245=""),"ERROR",IF(OR($J245&lt;0,$K245&lt;0,$M245&lt;0,$T245&lt;0,$U245&lt;0,$V245&lt;0,$W245&lt;0,$X245&lt;0,$Y245&lt;0),"ERROR",IF($AE245="","ERROR",IF(AND(OR($S245="ITEM_PRICE_PLUS_DECLARED_DELIVERY",$S245="TOTAL_AMOUNT_INCLUDING_DELIVERY",$S245="ITEM_PRICE_ONLY_DELIVERY_PAID_BY_MERCHANT"),$J245=""),"ERROR",IF(AND(OR($S245="ITEM_PRICE_PLUS_DECLARED_DELIVERY",$S245="DELIVERY_CHARGE_ONLY"),$K245=""),"ERROR",IF(AND(OR($S245="TOTAL_AMOUNT_INCLUDING_DELIVERY",$S245="EXACT_COLLECTION_AMOUNT"),$T245=""),"ERROR",IF(AND($S245="TOTAL_AMOUNT_INCLUDING_DELIVERY",$T245&lt;SUM($J245,$U245)),"ERROR",IF($S245="EXACT_COLLECTION_AMOUNT","REVIEW","OK")))))))))</f>
        <v/>
      </c>
      <c r="AV245" s="25">
        <f>IF($AU245="","",IF($H245="","Township required",IF($Q245="","Customer tier required",IF($M245="","Weight required",IF($S245="","Amount entry type required",IF(OR($J245&lt;0,$K245&lt;0,$M245&lt;0,$T245&lt;0,$U245&lt;0,$V245&lt;0,$W245&lt;0,$X245&lt;0,$Y245&lt;0),"Negative amounts are not allowed",IF($AE245="","Tariff not found for township and tier",IF(AND(OR($S245="ITEM_PRICE_PLUS_DECLARED_DELIVERY",$S245="TOTAL_AMOUNT_INCLUDING_DELIVERY",$S245="ITEM_PRICE_ONLY_DELIVERY_PAID_BY_MERCHANT"),$J245=""),"Item price required for this amount type",IF(AND(OR($S245="ITEM_PRICE_PLUS_DECLARED_DELIVERY",$S245="DELIVERY_CHARGE_ONLY"),$K245=""),"Declared delivery charge required",IF(AND(OR($S245="TOTAL_AMOUNT_INCLUDING_DELIVERY",$S245="EXACT_COLLECTION_AMOUNT"),$T245=""),"Stated total amount required",IF(AND($S245="TOTAL_AMOUNT_INCLUDING_DELIVERY",$T245&lt;SUM($J245,$U245)),"Stated total is below item price plus additional charge",IF($S245="EXACT_COLLECTION_AMOUNT","Authorized amount breakdown required before settlement","Ready for collection and settlement"))))))))))))</f>
        <v/>
      </c>
      <c r="AW245" s="23">
        <f>IF($AU245="","","PARCEL_FINANCIAL_V2")</f>
        <v/>
      </c>
      <c r="AX245" s="17" t="n"/>
    </row>
    <row r="246">
      <c r="A246" s="8" t="n"/>
      <c r="B246" s="8" t="n"/>
      <c r="C246" s="8" t="n"/>
      <c r="D246" s="8" t="n"/>
      <c r="E246" s="9" t="n"/>
      <c r="F246" s="9" t="n"/>
      <c r="G246" s="8" t="n"/>
      <c r="H246" s="9" t="n"/>
      <c r="I246" s="9" t="n"/>
      <c r="J246" s="10" t="n"/>
      <c r="K246" s="10" t="n"/>
      <c r="L246" s="11">
        <f>IF($S246="","",IF($S246="ITEM_PRICE_PLUS_DECLARED_DELIVERY",IF(OR($J246="",$K246=""),"",SUM($J246,$K246,$U246)),IF($S246="TOTAL_AMOUNT_INCLUDING_DELIVERY",IF($T246="","",$T246),IF($S246="DELIVERY_CHARGE_ONLY",IF($K246="","",SUM($K246,$U246)),IF($S246="EXACT_COLLECTION_AMOUNT",IF($T246="","",$T246),IF($S246="ITEM_PRICE_ONLY_DELIVERY_PAID_BY_MERCHANT",IF($J246="","",SUM($J246,$U246)),""))))))</f>
        <v/>
      </c>
      <c r="M246" s="12" t="n"/>
      <c r="N246" s="13" t="n"/>
      <c r="O246" s="13" t="n"/>
      <c r="P246" s="9" t="n"/>
      <c r="Q246" s="14" t="n"/>
      <c r="R246" s="15" t="n"/>
      <c r="S246" s="14" t="n"/>
      <c r="T246" s="16" t="n"/>
      <c r="U246" s="16" t="n"/>
      <c r="V246" s="16" t="n"/>
      <c r="W246" s="16" t="n"/>
      <c r="X246" s="16" t="n"/>
      <c r="Y246" s="16" t="n"/>
      <c r="Z246" s="14" t="n"/>
      <c r="AA246" s="14" t="n"/>
      <c r="AB246" s="14" t="n"/>
      <c r="AC246" s="17">
        <f>IFERROR(VLOOKUP($H246&amp;"|"&amp;$Q246,Tariff_Master!$A$2:$L$169,3,FALSE),"")</f>
        <v/>
      </c>
      <c r="AD246" s="17">
        <f>IFERROR(VLOOKUP($H246&amp;"|"&amp;$Q246,Tariff_Master!$A$2:$L$169,4,FALSE),"")</f>
        <v/>
      </c>
      <c r="AE246" s="18">
        <f>IFERROR(VLOOKUP($H246&amp;"|"&amp;$Q246,Tariff_Master!$A$2:$L$169,6,FALSE),"")</f>
        <v/>
      </c>
      <c r="AF246" s="19">
        <f>IFERROR(VLOOKUP($H246&amp;"|"&amp;$Q246,Tariff_Master!$A$2:$L$169,7,FALSE),"")</f>
        <v/>
      </c>
      <c r="AG246" s="18">
        <f>IFERROR(VLOOKUP($H246&amp;"|"&amp;$Q246,Tariff_Master!$A$2:$L$169,8,FALSE),"")</f>
        <v/>
      </c>
      <c r="AH246" s="20">
        <f>IFERROR(VLOOKUP($H246&amp;"|"&amp;$Q246,Tariff_Master!$A$2:$L$169,9,FALSE),"")</f>
        <v/>
      </c>
      <c r="AI246" s="18">
        <f>IFERROR(VLOOKUP($H246&amp;"|"&amp;$Q246,Tariff_Master!$A$2:$L$169,10,FALSE),"")</f>
        <v/>
      </c>
      <c r="AJ246" s="21">
        <f>IF($M246="","",ROUNDUP(MAX(0,$M246),0))</f>
        <v/>
      </c>
      <c r="AK246" s="21">
        <f>IF(OR($AJ246="",$AF246=""),"",MAX(0,$AJ246-$AF246))</f>
        <v/>
      </c>
      <c r="AL246" s="22">
        <f>IF(OR($AK246="",$AG246=""),"",MAX(0,$AK246*$AG246))</f>
        <v/>
      </c>
      <c r="AM246" s="22">
        <f>IF($AE246="","",MAX(0,SUM($AE246,$AL246,$V246,$W246)))</f>
        <v/>
      </c>
      <c r="AN246" s="22">
        <f>IF($AM246="","",IF(AND($Q246="COMMITMENT",$R246&gt;=$AH246),$AI246,0))</f>
        <v/>
      </c>
      <c r="AO246" s="23">
        <f>IF($AM246="","",MAX(0,$AM246-$AN246))</f>
        <v/>
      </c>
      <c r="AP246" s="22">
        <f>IF($S246="","",IF(OR($S246="ITEM_PRICE_PLUS_DECLARED_DELIVERY",$S246="DELIVERY_CHARGE_ONLY"),$K246,IF($S246="TOTAL_AMOUNT_INCLUDING_DELIVERY",IF(OR($T246="",$J246=""),"",MAX(0,$T246-$J246-$U246)),IF($S246="ITEM_PRICE_ONLY_DELIVERY_PAID_BY_MERCHANT",0,""))))</f>
        <v/>
      </c>
      <c r="AQ246" s="23">
        <f>IF(OR($AP246="",$AO246=""),"",$AP246-$AO246)</f>
        <v/>
      </c>
      <c r="AR246" s="24">
        <f>IF($S246="EXACT_COLLECTION_AMOUNT","BREAKDOWN_REQUIRED",IF($AQ246="","",IF($AQ246&gt;0,"CREDIT_TO_MERCHANT",IF($AQ246&lt;0,"DEDUCT_FROM_MERCHANT","NO_ADJUSTMENT"))))</f>
        <v/>
      </c>
      <c r="AS246" s="23">
        <f>IF(OR($AQ246="",$AR246="BREAKDOWN_REQUIRED"),"",$AQ246)</f>
        <v/>
      </c>
      <c r="AT246" s="23">
        <f>IF(OR($AR246="",$AR246="BREAKDOWN_REQUIRED"),"",SUM($J246,$AQ246,$Y246)-$X246)</f>
        <v/>
      </c>
      <c r="AU246" s="25">
        <f>IF(AND($A246="",$B246="",$F246="",$H246="",$J246="",$K246="",$M246="",$S246=""),"",IF(OR($H246="",$Q246="",$M246="",$S246=""),"ERROR",IF(OR($J246&lt;0,$K246&lt;0,$M246&lt;0,$T246&lt;0,$U246&lt;0,$V246&lt;0,$W246&lt;0,$X246&lt;0,$Y246&lt;0),"ERROR",IF($AE246="","ERROR",IF(AND(OR($S246="ITEM_PRICE_PLUS_DECLARED_DELIVERY",$S246="TOTAL_AMOUNT_INCLUDING_DELIVERY",$S246="ITEM_PRICE_ONLY_DELIVERY_PAID_BY_MERCHANT"),$J246=""),"ERROR",IF(AND(OR($S246="ITEM_PRICE_PLUS_DECLARED_DELIVERY",$S246="DELIVERY_CHARGE_ONLY"),$K246=""),"ERROR",IF(AND(OR($S246="TOTAL_AMOUNT_INCLUDING_DELIVERY",$S246="EXACT_COLLECTION_AMOUNT"),$T246=""),"ERROR",IF(AND($S246="TOTAL_AMOUNT_INCLUDING_DELIVERY",$T246&lt;SUM($J246,$U246)),"ERROR",IF($S246="EXACT_COLLECTION_AMOUNT","REVIEW","OK")))))))))</f>
        <v/>
      </c>
      <c r="AV246" s="25">
        <f>IF($AU246="","",IF($H246="","Township required",IF($Q246="","Customer tier required",IF($M246="","Weight required",IF($S246="","Amount entry type required",IF(OR($J246&lt;0,$K246&lt;0,$M246&lt;0,$T246&lt;0,$U246&lt;0,$V246&lt;0,$W246&lt;0,$X246&lt;0,$Y246&lt;0),"Negative amounts are not allowed",IF($AE246="","Tariff not found for township and tier",IF(AND(OR($S246="ITEM_PRICE_PLUS_DECLARED_DELIVERY",$S246="TOTAL_AMOUNT_INCLUDING_DELIVERY",$S246="ITEM_PRICE_ONLY_DELIVERY_PAID_BY_MERCHANT"),$J246=""),"Item price required for this amount type",IF(AND(OR($S246="ITEM_PRICE_PLUS_DECLARED_DELIVERY",$S246="DELIVERY_CHARGE_ONLY"),$K246=""),"Declared delivery charge required",IF(AND(OR($S246="TOTAL_AMOUNT_INCLUDING_DELIVERY",$S246="EXACT_COLLECTION_AMOUNT"),$T246=""),"Stated total amount required",IF(AND($S246="TOTAL_AMOUNT_INCLUDING_DELIVERY",$T246&lt;SUM($J246,$U246)),"Stated total is below item price plus additional charge",IF($S246="EXACT_COLLECTION_AMOUNT","Authorized amount breakdown required before settlement","Ready for collection and settlement"))))))))))))</f>
        <v/>
      </c>
      <c r="AW246" s="23">
        <f>IF($AU246="","","PARCEL_FINANCIAL_V2")</f>
        <v/>
      </c>
      <c r="AX246" s="17" t="n"/>
    </row>
    <row r="247">
      <c r="A247" s="8" t="n"/>
      <c r="B247" s="8" t="n"/>
      <c r="C247" s="8" t="n"/>
      <c r="D247" s="8" t="n"/>
      <c r="E247" s="9" t="n"/>
      <c r="F247" s="9" t="n"/>
      <c r="G247" s="8" t="n"/>
      <c r="H247" s="9" t="n"/>
      <c r="I247" s="9" t="n"/>
      <c r="J247" s="10" t="n"/>
      <c r="K247" s="10" t="n"/>
      <c r="L247" s="11">
        <f>IF($S247="","",IF($S247="ITEM_PRICE_PLUS_DECLARED_DELIVERY",IF(OR($J247="",$K247=""),"",SUM($J247,$K247,$U247)),IF($S247="TOTAL_AMOUNT_INCLUDING_DELIVERY",IF($T247="","",$T247),IF($S247="DELIVERY_CHARGE_ONLY",IF($K247="","",SUM($K247,$U247)),IF($S247="EXACT_COLLECTION_AMOUNT",IF($T247="","",$T247),IF($S247="ITEM_PRICE_ONLY_DELIVERY_PAID_BY_MERCHANT",IF($J247="","",SUM($J247,$U247)),""))))))</f>
        <v/>
      </c>
      <c r="M247" s="12" t="n"/>
      <c r="N247" s="13" t="n"/>
      <c r="O247" s="13" t="n"/>
      <c r="P247" s="9" t="n"/>
      <c r="Q247" s="14" t="n"/>
      <c r="R247" s="15" t="n"/>
      <c r="S247" s="14" t="n"/>
      <c r="T247" s="16" t="n"/>
      <c r="U247" s="16" t="n"/>
      <c r="V247" s="16" t="n"/>
      <c r="W247" s="16" t="n"/>
      <c r="X247" s="16" t="n"/>
      <c r="Y247" s="16" t="n"/>
      <c r="Z247" s="14" t="n"/>
      <c r="AA247" s="14" t="n"/>
      <c r="AB247" s="14" t="n"/>
      <c r="AC247" s="17">
        <f>IFERROR(VLOOKUP($H247&amp;"|"&amp;$Q247,Tariff_Master!$A$2:$L$169,3,FALSE),"")</f>
        <v/>
      </c>
      <c r="AD247" s="17">
        <f>IFERROR(VLOOKUP($H247&amp;"|"&amp;$Q247,Tariff_Master!$A$2:$L$169,4,FALSE),"")</f>
        <v/>
      </c>
      <c r="AE247" s="18">
        <f>IFERROR(VLOOKUP($H247&amp;"|"&amp;$Q247,Tariff_Master!$A$2:$L$169,6,FALSE),"")</f>
        <v/>
      </c>
      <c r="AF247" s="19">
        <f>IFERROR(VLOOKUP($H247&amp;"|"&amp;$Q247,Tariff_Master!$A$2:$L$169,7,FALSE),"")</f>
        <v/>
      </c>
      <c r="AG247" s="18">
        <f>IFERROR(VLOOKUP($H247&amp;"|"&amp;$Q247,Tariff_Master!$A$2:$L$169,8,FALSE),"")</f>
        <v/>
      </c>
      <c r="AH247" s="20">
        <f>IFERROR(VLOOKUP($H247&amp;"|"&amp;$Q247,Tariff_Master!$A$2:$L$169,9,FALSE),"")</f>
        <v/>
      </c>
      <c r="AI247" s="18">
        <f>IFERROR(VLOOKUP($H247&amp;"|"&amp;$Q247,Tariff_Master!$A$2:$L$169,10,FALSE),"")</f>
        <v/>
      </c>
      <c r="AJ247" s="21">
        <f>IF($M247="","",ROUNDUP(MAX(0,$M247),0))</f>
        <v/>
      </c>
      <c r="AK247" s="21">
        <f>IF(OR($AJ247="",$AF247=""),"",MAX(0,$AJ247-$AF247))</f>
        <v/>
      </c>
      <c r="AL247" s="22">
        <f>IF(OR($AK247="",$AG247=""),"",MAX(0,$AK247*$AG247))</f>
        <v/>
      </c>
      <c r="AM247" s="22">
        <f>IF($AE247="","",MAX(0,SUM($AE247,$AL247,$V247,$W247)))</f>
        <v/>
      </c>
      <c r="AN247" s="22">
        <f>IF($AM247="","",IF(AND($Q247="COMMITMENT",$R247&gt;=$AH247),$AI247,0))</f>
        <v/>
      </c>
      <c r="AO247" s="23">
        <f>IF($AM247="","",MAX(0,$AM247-$AN247))</f>
        <v/>
      </c>
      <c r="AP247" s="22">
        <f>IF($S247="","",IF(OR($S247="ITEM_PRICE_PLUS_DECLARED_DELIVERY",$S247="DELIVERY_CHARGE_ONLY"),$K247,IF($S247="TOTAL_AMOUNT_INCLUDING_DELIVERY",IF(OR($T247="",$J247=""),"",MAX(0,$T247-$J247-$U247)),IF($S247="ITEM_PRICE_ONLY_DELIVERY_PAID_BY_MERCHANT",0,""))))</f>
        <v/>
      </c>
      <c r="AQ247" s="23">
        <f>IF(OR($AP247="",$AO247=""),"",$AP247-$AO247)</f>
        <v/>
      </c>
      <c r="AR247" s="24">
        <f>IF($S247="EXACT_COLLECTION_AMOUNT","BREAKDOWN_REQUIRED",IF($AQ247="","",IF($AQ247&gt;0,"CREDIT_TO_MERCHANT",IF($AQ247&lt;0,"DEDUCT_FROM_MERCHANT","NO_ADJUSTMENT"))))</f>
        <v/>
      </c>
      <c r="AS247" s="23">
        <f>IF(OR($AQ247="",$AR247="BREAKDOWN_REQUIRED"),"",$AQ247)</f>
        <v/>
      </c>
      <c r="AT247" s="23">
        <f>IF(OR($AR247="",$AR247="BREAKDOWN_REQUIRED"),"",SUM($J247,$AQ247,$Y247)-$X247)</f>
        <v/>
      </c>
      <c r="AU247" s="25">
        <f>IF(AND($A247="",$B247="",$F247="",$H247="",$J247="",$K247="",$M247="",$S247=""),"",IF(OR($H247="",$Q247="",$M247="",$S247=""),"ERROR",IF(OR($J247&lt;0,$K247&lt;0,$M247&lt;0,$T247&lt;0,$U247&lt;0,$V247&lt;0,$W247&lt;0,$X247&lt;0,$Y247&lt;0),"ERROR",IF($AE247="","ERROR",IF(AND(OR($S247="ITEM_PRICE_PLUS_DECLARED_DELIVERY",$S247="TOTAL_AMOUNT_INCLUDING_DELIVERY",$S247="ITEM_PRICE_ONLY_DELIVERY_PAID_BY_MERCHANT"),$J247=""),"ERROR",IF(AND(OR($S247="ITEM_PRICE_PLUS_DECLARED_DELIVERY",$S247="DELIVERY_CHARGE_ONLY"),$K247=""),"ERROR",IF(AND(OR($S247="TOTAL_AMOUNT_INCLUDING_DELIVERY",$S247="EXACT_COLLECTION_AMOUNT"),$T247=""),"ERROR",IF(AND($S247="TOTAL_AMOUNT_INCLUDING_DELIVERY",$T247&lt;SUM($J247,$U247)),"ERROR",IF($S247="EXACT_COLLECTION_AMOUNT","REVIEW","OK")))))))))</f>
        <v/>
      </c>
      <c r="AV247" s="25">
        <f>IF($AU247="","",IF($H247="","Township required",IF($Q247="","Customer tier required",IF($M247="","Weight required",IF($S247="","Amount entry type required",IF(OR($J247&lt;0,$K247&lt;0,$M247&lt;0,$T247&lt;0,$U247&lt;0,$V247&lt;0,$W247&lt;0,$X247&lt;0,$Y247&lt;0),"Negative amounts are not allowed",IF($AE247="","Tariff not found for township and tier",IF(AND(OR($S247="ITEM_PRICE_PLUS_DECLARED_DELIVERY",$S247="TOTAL_AMOUNT_INCLUDING_DELIVERY",$S247="ITEM_PRICE_ONLY_DELIVERY_PAID_BY_MERCHANT"),$J247=""),"Item price required for this amount type",IF(AND(OR($S247="ITEM_PRICE_PLUS_DECLARED_DELIVERY",$S247="DELIVERY_CHARGE_ONLY"),$K247=""),"Declared delivery charge required",IF(AND(OR($S247="TOTAL_AMOUNT_INCLUDING_DELIVERY",$S247="EXACT_COLLECTION_AMOUNT"),$T247=""),"Stated total amount required",IF(AND($S247="TOTAL_AMOUNT_INCLUDING_DELIVERY",$T247&lt;SUM($J247,$U247)),"Stated total is below item price plus additional charge",IF($S247="EXACT_COLLECTION_AMOUNT","Authorized amount breakdown required before settlement","Ready for collection and settlement"))))))))))))</f>
        <v/>
      </c>
      <c r="AW247" s="23">
        <f>IF($AU247="","","PARCEL_FINANCIAL_V2")</f>
        <v/>
      </c>
      <c r="AX247" s="17" t="n"/>
    </row>
    <row r="248">
      <c r="A248" s="8" t="n"/>
      <c r="B248" s="8" t="n"/>
      <c r="C248" s="8" t="n"/>
      <c r="D248" s="8" t="n"/>
      <c r="E248" s="9" t="n"/>
      <c r="F248" s="9" t="n"/>
      <c r="G248" s="8" t="n"/>
      <c r="H248" s="9" t="n"/>
      <c r="I248" s="9" t="n"/>
      <c r="J248" s="10" t="n"/>
      <c r="K248" s="10" t="n"/>
      <c r="L248" s="11">
        <f>IF($S248="","",IF($S248="ITEM_PRICE_PLUS_DECLARED_DELIVERY",IF(OR($J248="",$K248=""),"",SUM($J248,$K248,$U248)),IF($S248="TOTAL_AMOUNT_INCLUDING_DELIVERY",IF($T248="","",$T248),IF($S248="DELIVERY_CHARGE_ONLY",IF($K248="","",SUM($K248,$U248)),IF($S248="EXACT_COLLECTION_AMOUNT",IF($T248="","",$T248),IF($S248="ITEM_PRICE_ONLY_DELIVERY_PAID_BY_MERCHANT",IF($J248="","",SUM($J248,$U248)),""))))))</f>
        <v/>
      </c>
      <c r="M248" s="12" t="n"/>
      <c r="N248" s="13" t="n"/>
      <c r="O248" s="13" t="n"/>
      <c r="P248" s="9" t="n"/>
      <c r="Q248" s="14" t="n"/>
      <c r="R248" s="15" t="n"/>
      <c r="S248" s="14" t="n"/>
      <c r="T248" s="16" t="n"/>
      <c r="U248" s="16" t="n"/>
      <c r="V248" s="16" t="n"/>
      <c r="W248" s="16" t="n"/>
      <c r="X248" s="16" t="n"/>
      <c r="Y248" s="16" t="n"/>
      <c r="Z248" s="14" t="n"/>
      <c r="AA248" s="14" t="n"/>
      <c r="AB248" s="14" t="n"/>
      <c r="AC248" s="17">
        <f>IFERROR(VLOOKUP($H248&amp;"|"&amp;$Q248,Tariff_Master!$A$2:$L$169,3,FALSE),"")</f>
        <v/>
      </c>
      <c r="AD248" s="17">
        <f>IFERROR(VLOOKUP($H248&amp;"|"&amp;$Q248,Tariff_Master!$A$2:$L$169,4,FALSE),"")</f>
        <v/>
      </c>
      <c r="AE248" s="18">
        <f>IFERROR(VLOOKUP($H248&amp;"|"&amp;$Q248,Tariff_Master!$A$2:$L$169,6,FALSE),"")</f>
        <v/>
      </c>
      <c r="AF248" s="19">
        <f>IFERROR(VLOOKUP($H248&amp;"|"&amp;$Q248,Tariff_Master!$A$2:$L$169,7,FALSE),"")</f>
        <v/>
      </c>
      <c r="AG248" s="18">
        <f>IFERROR(VLOOKUP($H248&amp;"|"&amp;$Q248,Tariff_Master!$A$2:$L$169,8,FALSE),"")</f>
        <v/>
      </c>
      <c r="AH248" s="20">
        <f>IFERROR(VLOOKUP($H248&amp;"|"&amp;$Q248,Tariff_Master!$A$2:$L$169,9,FALSE),"")</f>
        <v/>
      </c>
      <c r="AI248" s="18">
        <f>IFERROR(VLOOKUP($H248&amp;"|"&amp;$Q248,Tariff_Master!$A$2:$L$169,10,FALSE),"")</f>
        <v/>
      </c>
      <c r="AJ248" s="21">
        <f>IF($M248="","",ROUNDUP(MAX(0,$M248),0))</f>
        <v/>
      </c>
      <c r="AK248" s="21">
        <f>IF(OR($AJ248="",$AF248=""),"",MAX(0,$AJ248-$AF248))</f>
        <v/>
      </c>
      <c r="AL248" s="22">
        <f>IF(OR($AK248="",$AG248=""),"",MAX(0,$AK248*$AG248))</f>
        <v/>
      </c>
      <c r="AM248" s="22">
        <f>IF($AE248="","",MAX(0,SUM($AE248,$AL248,$V248,$W248)))</f>
        <v/>
      </c>
      <c r="AN248" s="22">
        <f>IF($AM248="","",IF(AND($Q248="COMMITMENT",$R248&gt;=$AH248),$AI248,0))</f>
        <v/>
      </c>
      <c r="AO248" s="23">
        <f>IF($AM248="","",MAX(0,$AM248-$AN248))</f>
        <v/>
      </c>
      <c r="AP248" s="22">
        <f>IF($S248="","",IF(OR($S248="ITEM_PRICE_PLUS_DECLARED_DELIVERY",$S248="DELIVERY_CHARGE_ONLY"),$K248,IF($S248="TOTAL_AMOUNT_INCLUDING_DELIVERY",IF(OR($T248="",$J248=""),"",MAX(0,$T248-$J248-$U248)),IF($S248="ITEM_PRICE_ONLY_DELIVERY_PAID_BY_MERCHANT",0,""))))</f>
        <v/>
      </c>
      <c r="AQ248" s="23">
        <f>IF(OR($AP248="",$AO248=""),"",$AP248-$AO248)</f>
        <v/>
      </c>
      <c r="AR248" s="24">
        <f>IF($S248="EXACT_COLLECTION_AMOUNT","BREAKDOWN_REQUIRED",IF($AQ248="","",IF($AQ248&gt;0,"CREDIT_TO_MERCHANT",IF($AQ248&lt;0,"DEDUCT_FROM_MERCHANT","NO_ADJUSTMENT"))))</f>
        <v/>
      </c>
      <c r="AS248" s="23">
        <f>IF(OR($AQ248="",$AR248="BREAKDOWN_REQUIRED"),"",$AQ248)</f>
        <v/>
      </c>
      <c r="AT248" s="23">
        <f>IF(OR($AR248="",$AR248="BREAKDOWN_REQUIRED"),"",SUM($J248,$AQ248,$Y248)-$X248)</f>
        <v/>
      </c>
      <c r="AU248" s="25">
        <f>IF(AND($A248="",$B248="",$F248="",$H248="",$J248="",$K248="",$M248="",$S248=""),"",IF(OR($H248="",$Q248="",$M248="",$S248=""),"ERROR",IF(OR($J248&lt;0,$K248&lt;0,$M248&lt;0,$T248&lt;0,$U248&lt;0,$V248&lt;0,$W248&lt;0,$X248&lt;0,$Y248&lt;0),"ERROR",IF($AE248="","ERROR",IF(AND(OR($S248="ITEM_PRICE_PLUS_DECLARED_DELIVERY",$S248="TOTAL_AMOUNT_INCLUDING_DELIVERY",$S248="ITEM_PRICE_ONLY_DELIVERY_PAID_BY_MERCHANT"),$J248=""),"ERROR",IF(AND(OR($S248="ITEM_PRICE_PLUS_DECLARED_DELIVERY",$S248="DELIVERY_CHARGE_ONLY"),$K248=""),"ERROR",IF(AND(OR($S248="TOTAL_AMOUNT_INCLUDING_DELIVERY",$S248="EXACT_COLLECTION_AMOUNT"),$T248=""),"ERROR",IF(AND($S248="TOTAL_AMOUNT_INCLUDING_DELIVERY",$T248&lt;SUM($J248,$U248)),"ERROR",IF($S248="EXACT_COLLECTION_AMOUNT","REVIEW","OK")))))))))</f>
        <v/>
      </c>
      <c r="AV248" s="25">
        <f>IF($AU248="","",IF($H248="","Township required",IF($Q248="","Customer tier required",IF($M248="","Weight required",IF($S248="","Amount entry type required",IF(OR($J248&lt;0,$K248&lt;0,$M248&lt;0,$T248&lt;0,$U248&lt;0,$V248&lt;0,$W248&lt;0,$X248&lt;0,$Y248&lt;0),"Negative amounts are not allowed",IF($AE248="","Tariff not found for township and tier",IF(AND(OR($S248="ITEM_PRICE_PLUS_DECLARED_DELIVERY",$S248="TOTAL_AMOUNT_INCLUDING_DELIVERY",$S248="ITEM_PRICE_ONLY_DELIVERY_PAID_BY_MERCHANT"),$J248=""),"Item price required for this amount type",IF(AND(OR($S248="ITEM_PRICE_PLUS_DECLARED_DELIVERY",$S248="DELIVERY_CHARGE_ONLY"),$K248=""),"Declared delivery charge required",IF(AND(OR($S248="TOTAL_AMOUNT_INCLUDING_DELIVERY",$S248="EXACT_COLLECTION_AMOUNT"),$T248=""),"Stated total amount required",IF(AND($S248="TOTAL_AMOUNT_INCLUDING_DELIVERY",$T248&lt;SUM($J248,$U248)),"Stated total is below item price plus additional charge",IF($S248="EXACT_COLLECTION_AMOUNT","Authorized amount breakdown required before settlement","Ready for collection and settlement"))))))))))))</f>
        <v/>
      </c>
      <c r="AW248" s="23">
        <f>IF($AU248="","","PARCEL_FINANCIAL_V2")</f>
        <v/>
      </c>
      <c r="AX248" s="17" t="n"/>
    </row>
    <row r="249">
      <c r="A249" s="8" t="n"/>
      <c r="B249" s="8" t="n"/>
      <c r="C249" s="8" t="n"/>
      <c r="D249" s="8" t="n"/>
      <c r="E249" s="9" t="n"/>
      <c r="F249" s="9" t="n"/>
      <c r="G249" s="8" t="n"/>
      <c r="H249" s="9" t="n"/>
      <c r="I249" s="9" t="n"/>
      <c r="J249" s="10" t="n"/>
      <c r="K249" s="10" t="n"/>
      <c r="L249" s="11">
        <f>IF($S249="","",IF($S249="ITEM_PRICE_PLUS_DECLARED_DELIVERY",IF(OR($J249="",$K249=""),"",SUM($J249,$K249,$U249)),IF($S249="TOTAL_AMOUNT_INCLUDING_DELIVERY",IF($T249="","",$T249),IF($S249="DELIVERY_CHARGE_ONLY",IF($K249="","",SUM($K249,$U249)),IF($S249="EXACT_COLLECTION_AMOUNT",IF($T249="","",$T249),IF($S249="ITEM_PRICE_ONLY_DELIVERY_PAID_BY_MERCHANT",IF($J249="","",SUM($J249,$U249)),""))))))</f>
        <v/>
      </c>
      <c r="M249" s="12" t="n"/>
      <c r="N249" s="13" t="n"/>
      <c r="O249" s="13" t="n"/>
      <c r="P249" s="9" t="n"/>
      <c r="Q249" s="14" t="n"/>
      <c r="R249" s="15" t="n"/>
      <c r="S249" s="14" t="n"/>
      <c r="T249" s="16" t="n"/>
      <c r="U249" s="16" t="n"/>
      <c r="V249" s="16" t="n"/>
      <c r="W249" s="16" t="n"/>
      <c r="X249" s="16" t="n"/>
      <c r="Y249" s="16" t="n"/>
      <c r="Z249" s="14" t="n"/>
      <c r="AA249" s="14" t="n"/>
      <c r="AB249" s="14" t="n"/>
      <c r="AC249" s="17">
        <f>IFERROR(VLOOKUP($H249&amp;"|"&amp;$Q249,Tariff_Master!$A$2:$L$169,3,FALSE),"")</f>
        <v/>
      </c>
      <c r="AD249" s="17">
        <f>IFERROR(VLOOKUP($H249&amp;"|"&amp;$Q249,Tariff_Master!$A$2:$L$169,4,FALSE),"")</f>
        <v/>
      </c>
      <c r="AE249" s="18">
        <f>IFERROR(VLOOKUP($H249&amp;"|"&amp;$Q249,Tariff_Master!$A$2:$L$169,6,FALSE),"")</f>
        <v/>
      </c>
      <c r="AF249" s="19">
        <f>IFERROR(VLOOKUP($H249&amp;"|"&amp;$Q249,Tariff_Master!$A$2:$L$169,7,FALSE),"")</f>
        <v/>
      </c>
      <c r="AG249" s="18">
        <f>IFERROR(VLOOKUP($H249&amp;"|"&amp;$Q249,Tariff_Master!$A$2:$L$169,8,FALSE),"")</f>
        <v/>
      </c>
      <c r="AH249" s="20">
        <f>IFERROR(VLOOKUP($H249&amp;"|"&amp;$Q249,Tariff_Master!$A$2:$L$169,9,FALSE),"")</f>
        <v/>
      </c>
      <c r="AI249" s="18">
        <f>IFERROR(VLOOKUP($H249&amp;"|"&amp;$Q249,Tariff_Master!$A$2:$L$169,10,FALSE),"")</f>
        <v/>
      </c>
      <c r="AJ249" s="21">
        <f>IF($M249="","",ROUNDUP(MAX(0,$M249),0))</f>
        <v/>
      </c>
      <c r="AK249" s="21">
        <f>IF(OR($AJ249="",$AF249=""),"",MAX(0,$AJ249-$AF249))</f>
        <v/>
      </c>
      <c r="AL249" s="22">
        <f>IF(OR($AK249="",$AG249=""),"",MAX(0,$AK249*$AG249))</f>
        <v/>
      </c>
      <c r="AM249" s="22">
        <f>IF($AE249="","",MAX(0,SUM($AE249,$AL249,$V249,$W249)))</f>
        <v/>
      </c>
      <c r="AN249" s="22">
        <f>IF($AM249="","",IF(AND($Q249="COMMITMENT",$R249&gt;=$AH249),$AI249,0))</f>
        <v/>
      </c>
      <c r="AO249" s="23">
        <f>IF($AM249="","",MAX(0,$AM249-$AN249))</f>
        <v/>
      </c>
      <c r="AP249" s="22">
        <f>IF($S249="","",IF(OR($S249="ITEM_PRICE_PLUS_DECLARED_DELIVERY",$S249="DELIVERY_CHARGE_ONLY"),$K249,IF($S249="TOTAL_AMOUNT_INCLUDING_DELIVERY",IF(OR($T249="",$J249=""),"",MAX(0,$T249-$J249-$U249)),IF($S249="ITEM_PRICE_ONLY_DELIVERY_PAID_BY_MERCHANT",0,""))))</f>
        <v/>
      </c>
      <c r="AQ249" s="23">
        <f>IF(OR($AP249="",$AO249=""),"",$AP249-$AO249)</f>
        <v/>
      </c>
      <c r="AR249" s="24">
        <f>IF($S249="EXACT_COLLECTION_AMOUNT","BREAKDOWN_REQUIRED",IF($AQ249="","",IF($AQ249&gt;0,"CREDIT_TO_MERCHANT",IF($AQ249&lt;0,"DEDUCT_FROM_MERCHANT","NO_ADJUSTMENT"))))</f>
        <v/>
      </c>
      <c r="AS249" s="23">
        <f>IF(OR($AQ249="",$AR249="BREAKDOWN_REQUIRED"),"",$AQ249)</f>
        <v/>
      </c>
      <c r="AT249" s="23">
        <f>IF(OR($AR249="",$AR249="BREAKDOWN_REQUIRED"),"",SUM($J249,$AQ249,$Y249)-$X249)</f>
        <v/>
      </c>
      <c r="AU249" s="25">
        <f>IF(AND($A249="",$B249="",$F249="",$H249="",$J249="",$K249="",$M249="",$S249=""),"",IF(OR($H249="",$Q249="",$M249="",$S249=""),"ERROR",IF(OR($J249&lt;0,$K249&lt;0,$M249&lt;0,$T249&lt;0,$U249&lt;0,$V249&lt;0,$W249&lt;0,$X249&lt;0,$Y249&lt;0),"ERROR",IF($AE249="","ERROR",IF(AND(OR($S249="ITEM_PRICE_PLUS_DECLARED_DELIVERY",$S249="TOTAL_AMOUNT_INCLUDING_DELIVERY",$S249="ITEM_PRICE_ONLY_DELIVERY_PAID_BY_MERCHANT"),$J249=""),"ERROR",IF(AND(OR($S249="ITEM_PRICE_PLUS_DECLARED_DELIVERY",$S249="DELIVERY_CHARGE_ONLY"),$K249=""),"ERROR",IF(AND(OR($S249="TOTAL_AMOUNT_INCLUDING_DELIVERY",$S249="EXACT_COLLECTION_AMOUNT"),$T249=""),"ERROR",IF(AND($S249="TOTAL_AMOUNT_INCLUDING_DELIVERY",$T249&lt;SUM($J249,$U249)),"ERROR",IF($S249="EXACT_COLLECTION_AMOUNT","REVIEW","OK")))))))))</f>
        <v/>
      </c>
      <c r="AV249" s="25">
        <f>IF($AU249="","",IF($H249="","Township required",IF($Q249="","Customer tier required",IF($M249="","Weight required",IF($S249="","Amount entry type required",IF(OR($J249&lt;0,$K249&lt;0,$M249&lt;0,$T249&lt;0,$U249&lt;0,$V249&lt;0,$W249&lt;0,$X249&lt;0,$Y249&lt;0),"Negative amounts are not allowed",IF($AE249="","Tariff not found for township and tier",IF(AND(OR($S249="ITEM_PRICE_PLUS_DECLARED_DELIVERY",$S249="TOTAL_AMOUNT_INCLUDING_DELIVERY",$S249="ITEM_PRICE_ONLY_DELIVERY_PAID_BY_MERCHANT"),$J249=""),"Item price required for this amount type",IF(AND(OR($S249="ITEM_PRICE_PLUS_DECLARED_DELIVERY",$S249="DELIVERY_CHARGE_ONLY"),$K249=""),"Declared delivery charge required",IF(AND(OR($S249="TOTAL_AMOUNT_INCLUDING_DELIVERY",$S249="EXACT_COLLECTION_AMOUNT"),$T249=""),"Stated total amount required",IF(AND($S249="TOTAL_AMOUNT_INCLUDING_DELIVERY",$T249&lt;SUM($J249,$U249)),"Stated total is below item price plus additional charge",IF($S249="EXACT_COLLECTION_AMOUNT","Authorized amount breakdown required before settlement","Ready for collection and settlement"))))))))))))</f>
        <v/>
      </c>
      <c r="AW249" s="23">
        <f>IF($AU249="","","PARCEL_FINANCIAL_V2")</f>
        <v/>
      </c>
      <c r="AX249" s="17" t="n"/>
    </row>
    <row r="250">
      <c r="A250" s="8" t="n"/>
      <c r="B250" s="8" t="n"/>
      <c r="C250" s="8" t="n"/>
      <c r="D250" s="8" t="n"/>
      <c r="E250" s="9" t="n"/>
      <c r="F250" s="9" t="n"/>
      <c r="G250" s="8" t="n"/>
      <c r="H250" s="9" t="n"/>
      <c r="I250" s="9" t="n"/>
      <c r="J250" s="10" t="n"/>
      <c r="K250" s="10" t="n"/>
      <c r="L250" s="11">
        <f>IF($S250="","",IF($S250="ITEM_PRICE_PLUS_DECLARED_DELIVERY",IF(OR($J250="",$K250=""),"",SUM($J250,$K250,$U250)),IF($S250="TOTAL_AMOUNT_INCLUDING_DELIVERY",IF($T250="","",$T250),IF($S250="DELIVERY_CHARGE_ONLY",IF($K250="","",SUM($K250,$U250)),IF($S250="EXACT_COLLECTION_AMOUNT",IF($T250="","",$T250),IF($S250="ITEM_PRICE_ONLY_DELIVERY_PAID_BY_MERCHANT",IF($J250="","",SUM($J250,$U250)),""))))))</f>
        <v/>
      </c>
      <c r="M250" s="12" t="n"/>
      <c r="N250" s="13" t="n"/>
      <c r="O250" s="13" t="n"/>
      <c r="P250" s="9" t="n"/>
      <c r="Q250" s="14" t="n"/>
      <c r="R250" s="15" t="n"/>
      <c r="S250" s="14" t="n"/>
      <c r="T250" s="16" t="n"/>
      <c r="U250" s="16" t="n"/>
      <c r="V250" s="16" t="n"/>
      <c r="W250" s="16" t="n"/>
      <c r="X250" s="16" t="n"/>
      <c r="Y250" s="16" t="n"/>
      <c r="Z250" s="14" t="n"/>
      <c r="AA250" s="14" t="n"/>
      <c r="AB250" s="14" t="n"/>
      <c r="AC250" s="17">
        <f>IFERROR(VLOOKUP($H250&amp;"|"&amp;$Q250,Tariff_Master!$A$2:$L$169,3,FALSE),"")</f>
        <v/>
      </c>
      <c r="AD250" s="17">
        <f>IFERROR(VLOOKUP($H250&amp;"|"&amp;$Q250,Tariff_Master!$A$2:$L$169,4,FALSE),"")</f>
        <v/>
      </c>
      <c r="AE250" s="18">
        <f>IFERROR(VLOOKUP($H250&amp;"|"&amp;$Q250,Tariff_Master!$A$2:$L$169,6,FALSE),"")</f>
        <v/>
      </c>
      <c r="AF250" s="19">
        <f>IFERROR(VLOOKUP($H250&amp;"|"&amp;$Q250,Tariff_Master!$A$2:$L$169,7,FALSE),"")</f>
        <v/>
      </c>
      <c r="AG250" s="18">
        <f>IFERROR(VLOOKUP($H250&amp;"|"&amp;$Q250,Tariff_Master!$A$2:$L$169,8,FALSE),"")</f>
        <v/>
      </c>
      <c r="AH250" s="20">
        <f>IFERROR(VLOOKUP($H250&amp;"|"&amp;$Q250,Tariff_Master!$A$2:$L$169,9,FALSE),"")</f>
        <v/>
      </c>
      <c r="AI250" s="18">
        <f>IFERROR(VLOOKUP($H250&amp;"|"&amp;$Q250,Tariff_Master!$A$2:$L$169,10,FALSE),"")</f>
        <v/>
      </c>
      <c r="AJ250" s="21">
        <f>IF($M250="","",ROUNDUP(MAX(0,$M250),0))</f>
        <v/>
      </c>
      <c r="AK250" s="21">
        <f>IF(OR($AJ250="",$AF250=""),"",MAX(0,$AJ250-$AF250))</f>
        <v/>
      </c>
      <c r="AL250" s="22">
        <f>IF(OR($AK250="",$AG250=""),"",MAX(0,$AK250*$AG250))</f>
        <v/>
      </c>
      <c r="AM250" s="22">
        <f>IF($AE250="","",MAX(0,SUM($AE250,$AL250,$V250,$W250)))</f>
        <v/>
      </c>
      <c r="AN250" s="22">
        <f>IF($AM250="","",IF(AND($Q250="COMMITMENT",$R250&gt;=$AH250),$AI250,0))</f>
        <v/>
      </c>
      <c r="AO250" s="23">
        <f>IF($AM250="","",MAX(0,$AM250-$AN250))</f>
        <v/>
      </c>
      <c r="AP250" s="22">
        <f>IF($S250="","",IF(OR($S250="ITEM_PRICE_PLUS_DECLARED_DELIVERY",$S250="DELIVERY_CHARGE_ONLY"),$K250,IF($S250="TOTAL_AMOUNT_INCLUDING_DELIVERY",IF(OR($T250="",$J250=""),"",MAX(0,$T250-$J250-$U250)),IF($S250="ITEM_PRICE_ONLY_DELIVERY_PAID_BY_MERCHANT",0,""))))</f>
        <v/>
      </c>
      <c r="AQ250" s="23">
        <f>IF(OR($AP250="",$AO250=""),"",$AP250-$AO250)</f>
        <v/>
      </c>
      <c r="AR250" s="24">
        <f>IF($S250="EXACT_COLLECTION_AMOUNT","BREAKDOWN_REQUIRED",IF($AQ250="","",IF($AQ250&gt;0,"CREDIT_TO_MERCHANT",IF($AQ250&lt;0,"DEDUCT_FROM_MERCHANT","NO_ADJUSTMENT"))))</f>
        <v/>
      </c>
      <c r="AS250" s="23">
        <f>IF(OR($AQ250="",$AR250="BREAKDOWN_REQUIRED"),"",$AQ250)</f>
        <v/>
      </c>
      <c r="AT250" s="23">
        <f>IF(OR($AR250="",$AR250="BREAKDOWN_REQUIRED"),"",SUM($J250,$AQ250,$Y250)-$X250)</f>
        <v/>
      </c>
      <c r="AU250" s="25">
        <f>IF(AND($A250="",$B250="",$F250="",$H250="",$J250="",$K250="",$M250="",$S250=""),"",IF(OR($H250="",$Q250="",$M250="",$S250=""),"ERROR",IF(OR($J250&lt;0,$K250&lt;0,$M250&lt;0,$T250&lt;0,$U250&lt;0,$V250&lt;0,$W250&lt;0,$X250&lt;0,$Y250&lt;0),"ERROR",IF($AE250="","ERROR",IF(AND(OR($S250="ITEM_PRICE_PLUS_DECLARED_DELIVERY",$S250="TOTAL_AMOUNT_INCLUDING_DELIVERY",$S250="ITEM_PRICE_ONLY_DELIVERY_PAID_BY_MERCHANT"),$J250=""),"ERROR",IF(AND(OR($S250="ITEM_PRICE_PLUS_DECLARED_DELIVERY",$S250="DELIVERY_CHARGE_ONLY"),$K250=""),"ERROR",IF(AND(OR($S250="TOTAL_AMOUNT_INCLUDING_DELIVERY",$S250="EXACT_COLLECTION_AMOUNT"),$T250=""),"ERROR",IF(AND($S250="TOTAL_AMOUNT_INCLUDING_DELIVERY",$T250&lt;SUM($J250,$U250)),"ERROR",IF($S250="EXACT_COLLECTION_AMOUNT","REVIEW","OK")))))))))</f>
        <v/>
      </c>
      <c r="AV250" s="25">
        <f>IF($AU250="","",IF($H250="","Township required",IF($Q250="","Customer tier required",IF($M250="","Weight required",IF($S250="","Amount entry type required",IF(OR($J250&lt;0,$K250&lt;0,$M250&lt;0,$T250&lt;0,$U250&lt;0,$V250&lt;0,$W250&lt;0,$X250&lt;0,$Y250&lt;0),"Negative amounts are not allowed",IF($AE250="","Tariff not found for township and tier",IF(AND(OR($S250="ITEM_PRICE_PLUS_DECLARED_DELIVERY",$S250="TOTAL_AMOUNT_INCLUDING_DELIVERY",$S250="ITEM_PRICE_ONLY_DELIVERY_PAID_BY_MERCHANT"),$J250=""),"Item price required for this amount type",IF(AND(OR($S250="ITEM_PRICE_PLUS_DECLARED_DELIVERY",$S250="DELIVERY_CHARGE_ONLY"),$K250=""),"Declared delivery charge required",IF(AND(OR($S250="TOTAL_AMOUNT_INCLUDING_DELIVERY",$S250="EXACT_COLLECTION_AMOUNT"),$T250=""),"Stated total amount required",IF(AND($S250="TOTAL_AMOUNT_INCLUDING_DELIVERY",$T250&lt;SUM($J250,$U250)),"Stated total is below item price plus additional charge",IF($S250="EXACT_COLLECTION_AMOUNT","Authorized amount breakdown required before settlement","Ready for collection and settlement"))))))))))))</f>
        <v/>
      </c>
      <c r="AW250" s="23">
        <f>IF($AU250="","","PARCEL_FINANCIAL_V2")</f>
        <v/>
      </c>
      <c r="AX250" s="17" t="n"/>
    </row>
    <row r="251">
      <c r="A251" s="8" t="n"/>
      <c r="B251" s="8" t="n"/>
      <c r="C251" s="8" t="n"/>
      <c r="D251" s="8" t="n"/>
      <c r="E251" s="9" t="n"/>
      <c r="F251" s="9" t="n"/>
      <c r="G251" s="8" t="n"/>
      <c r="H251" s="9" t="n"/>
      <c r="I251" s="9" t="n"/>
      <c r="J251" s="10" t="n"/>
      <c r="K251" s="10" t="n"/>
      <c r="L251" s="11">
        <f>IF($S251="","",IF($S251="ITEM_PRICE_PLUS_DECLARED_DELIVERY",IF(OR($J251="",$K251=""),"",SUM($J251,$K251,$U251)),IF($S251="TOTAL_AMOUNT_INCLUDING_DELIVERY",IF($T251="","",$T251),IF($S251="DELIVERY_CHARGE_ONLY",IF($K251="","",SUM($K251,$U251)),IF($S251="EXACT_COLLECTION_AMOUNT",IF($T251="","",$T251),IF($S251="ITEM_PRICE_ONLY_DELIVERY_PAID_BY_MERCHANT",IF($J251="","",SUM($J251,$U251)),""))))))</f>
        <v/>
      </c>
      <c r="M251" s="12" t="n"/>
      <c r="N251" s="13" t="n"/>
      <c r="O251" s="13" t="n"/>
      <c r="P251" s="9" t="n"/>
      <c r="Q251" s="14" t="n"/>
      <c r="R251" s="15" t="n"/>
      <c r="S251" s="14" t="n"/>
      <c r="T251" s="16" t="n"/>
      <c r="U251" s="16" t="n"/>
      <c r="V251" s="16" t="n"/>
      <c r="W251" s="16" t="n"/>
      <c r="X251" s="16" t="n"/>
      <c r="Y251" s="16" t="n"/>
      <c r="Z251" s="14" t="n"/>
      <c r="AA251" s="14" t="n"/>
      <c r="AB251" s="14" t="n"/>
      <c r="AC251" s="17">
        <f>IFERROR(VLOOKUP($H251&amp;"|"&amp;$Q251,Tariff_Master!$A$2:$L$169,3,FALSE),"")</f>
        <v/>
      </c>
      <c r="AD251" s="17">
        <f>IFERROR(VLOOKUP($H251&amp;"|"&amp;$Q251,Tariff_Master!$A$2:$L$169,4,FALSE),"")</f>
        <v/>
      </c>
      <c r="AE251" s="18">
        <f>IFERROR(VLOOKUP($H251&amp;"|"&amp;$Q251,Tariff_Master!$A$2:$L$169,6,FALSE),"")</f>
        <v/>
      </c>
      <c r="AF251" s="19">
        <f>IFERROR(VLOOKUP($H251&amp;"|"&amp;$Q251,Tariff_Master!$A$2:$L$169,7,FALSE),"")</f>
        <v/>
      </c>
      <c r="AG251" s="18">
        <f>IFERROR(VLOOKUP($H251&amp;"|"&amp;$Q251,Tariff_Master!$A$2:$L$169,8,FALSE),"")</f>
        <v/>
      </c>
      <c r="AH251" s="20">
        <f>IFERROR(VLOOKUP($H251&amp;"|"&amp;$Q251,Tariff_Master!$A$2:$L$169,9,FALSE),"")</f>
        <v/>
      </c>
      <c r="AI251" s="18">
        <f>IFERROR(VLOOKUP($H251&amp;"|"&amp;$Q251,Tariff_Master!$A$2:$L$169,10,FALSE),"")</f>
        <v/>
      </c>
      <c r="AJ251" s="21">
        <f>IF($M251="","",ROUNDUP(MAX(0,$M251),0))</f>
        <v/>
      </c>
      <c r="AK251" s="21">
        <f>IF(OR($AJ251="",$AF251=""),"",MAX(0,$AJ251-$AF251))</f>
        <v/>
      </c>
      <c r="AL251" s="22">
        <f>IF(OR($AK251="",$AG251=""),"",MAX(0,$AK251*$AG251))</f>
        <v/>
      </c>
      <c r="AM251" s="22">
        <f>IF($AE251="","",MAX(0,SUM($AE251,$AL251,$V251,$W251)))</f>
        <v/>
      </c>
      <c r="AN251" s="22">
        <f>IF($AM251="","",IF(AND($Q251="COMMITMENT",$R251&gt;=$AH251),$AI251,0))</f>
        <v/>
      </c>
      <c r="AO251" s="23">
        <f>IF($AM251="","",MAX(0,$AM251-$AN251))</f>
        <v/>
      </c>
      <c r="AP251" s="22">
        <f>IF($S251="","",IF(OR($S251="ITEM_PRICE_PLUS_DECLARED_DELIVERY",$S251="DELIVERY_CHARGE_ONLY"),$K251,IF($S251="TOTAL_AMOUNT_INCLUDING_DELIVERY",IF(OR($T251="",$J251=""),"",MAX(0,$T251-$J251-$U251)),IF($S251="ITEM_PRICE_ONLY_DELIVERY_PAID_BY_MERCHANT",0,""))))</f>
        <v/>
      </c>
      <c r="AQ251" s="23">
        <f>IF(OR($AP251="",$AO251=""),"",$AP251-$AO251)</f>
        <v/>
      </c>
      <c r="AR251" s="24">
        <f>IF($S251="EXACT_COLLECTION_AMOUNT","BREAKDOWN_REQUIRED",IF($AQ251="","",IF($AQ251&gt;0,"CREDIT_TO_MERCHANT",IF($AQ251&lt;0,"DEDUCT_FROM_MERCHANT","NO_ADJUSTMENT"))))</f>
        <v/>
      </c>
      <c r="AS251" s="23">
        <f>IF(OR($AQ251="",$AR251="BREAKDOWN_REQUIRED"),"",$AQ251)</f>
        <v/>
      </c>
      <c r="AT251" s="23">
        <f>IF(OR($AR251="",$AR251="BREAKDOWN_REQUIRED"),"",SUM($J251,$AQ251,$Y251)-$X251)</f>
        <v/>
      </c>
      <c r="AU251" s="25">
        <f>IF(AND($A251="",$B251="",$F251="",$H251="",$J251="",$K251="",$M251="",$S251=""),"",IF(OR($H251="",$Q251="",$M251="",$S251=""),"ERROR",IF(OR($J251&lt;0,$K251&lt;0,$M251&lt;0,$T251&lt;0,$U251&lt;0,$V251&lt;0,$W251&lt;0,$X251&lt;0,$Y251&lt;0),"ERROR",IF($AE251="","ERROR",IF(AND(OR($S251="ITEM_PRICE_PLUS_DECLARED_DELIVERY",$S251="TOTAL_AMOUNT_INCLUDING_DELIVERY",$S251="ITEM_PRICE_ONLY_DELIVERY_PAID_BY_MERCHANT"),$J251=""),"ERROR",IF(AND(OR($S251="ITEM_PRICE_PLUS_DECLARED_DELIVERY",$S251="DELIVERY_CHARGE_ONLY"),$K251=""),"ERROR",IF(AND(OR($S251="TOTAL_AMOUNT_INCLUDING_DELIVERY",$S251="EXACT_COLLECTION_AMOUNT"),$T251=""),"ERROR",IF(AND($S251="TOTAL_AMOUNT_INCLUDING_DELIVERY",$T251&lt;SUM($J251,$U251)),"ERROR",IF($S251="EXACT_COLLECTION_AMOUNT","REVIEW","OK")))))))))</f>
        <v/>
      </c>
      <c r="AV251" s="25">
        <f>IF($AU251="","",IF($H251="","Township required",IF($Q251="","Customer tier required",IF($M251="","Weight required",IF($S251="","Amount entry type required",IF(OR($J251&lt;0,$K251&lt;0,$M251&lt;0,$T251&lt;0,$U251&lt;0,$V251&lt;0,$W251&lt;0,$X251&lt;0,$Y251&lt;0),"Negative amounts are not allowed",IF($AE251="","Tariff not found for township and tier",IF(AND(OR($S251="ITEM_PRICE_PLUS_DECLARED_DELIVERY",$S251="TOTAL_AMOUNT_INCLUDING_DELIVERY",$S251="ITEM_PRICE_ONLY_DELIVERY_PAID_BY_MERCHANT"),$J251=""),"Item price required for this amount type",IF(AND(OR($S251="ITEM_PRICE_PLUS_DECLARED_DELIVERY",$S251="DELIVERY_CHARGE_ONLY"),$K251=""),"Declared delivery charge required",IF(AND(OR($S251="TOTAL_AMOUNT_INCLUDING_DELIVERY",$S251="EXACT_COLLECTION_AMOUNT"),$T251=""),"Stated total amount required",IF(AND($S251="TOTAL_AMOUNT_INCLUDING_DELIVERY",$T251&lt;SUM($J251,$U251)),"Stated total is below item price plus additional charge",IF($S251="EXACT_COLLECTION_AMOUNT","Authorized amount breakdown required before settlement","Ready for collection and settlement"))))))))))))</f>
        <v/>
      </c>
      <c r="AW251" s="23">
        <f>IF($AU251="","","PARCEL_FINANCIAL_V2")</f>
        <v/>
      </c>
      <c r="AX251" s="17" t="n"/>
    </row>
    <row r="252">
      <c r="A252" s="8" t="n"/>
      <c r="B252" s="8" t="n"/>
      <c r="C252" s="8" t="n"/>
      <c r="D252" s="8" t="n"/>
      <c r="E252" s="9" t="n"/>
      <c r="F252" s="9" t="n"/>
      <c r="G252" s="8" t="n"/>
      <c r="H252" s="9" t="n"/>
      <c r="I252" s="9" t="n"/>
      <c r="J252" s="10" t="n"/>
      <c r="K252" s="10" t="n"/>
      <c r="L252" s="11">
        <f>IF($S252="","",IF($S252="ITEM_PRICE_PLUS_DECLARED_DELIVERY",IF(OR($J252="",$K252=""),"",SUM($J252,$K252,$U252)),IF($S252="TOTAL_AMOUNT_INCLUDING_DELIVERY",IF($T252="","",$T252),IF($S252="DELIVERY_CHARGE_ONLY",IF($K252="","",SUM($K252,$U252)),IF($S252="EXACT_COLLECTION_AMOUNT",IF($T252="","",$T252),IF($S252="ITEM_PRICE_ONLY_DELIVERY_PAID_BY_MERCHANT",IF($J252="","",SUM($J252,$U252)),""))))))</f>
        <v/>
      </c>
      <c r="M252" s="12" t="n"/>
      <c r="N252" s="13" t="n"/>
      <c r="O252" s="13" t="n"/>
      <c r="P252" s="9" t="n"/>
      <c r="Q252" s="14" t="n"/>
      <c r="R252" s="15" t="n"/>
      <c r="S252" s="14" t="n"/>
      <c r="T252" s="16" t="n"/>
      <c r="U252" s="16" t="n"/>
      <c r="V252" s="16" t="n"/>
      <c r="W252" s="16" t="n"/>
      <c r="X252" s="16" t="n"/>
      <c r="Y252" s="16" t="n"/>
      <c r="Z252" s="14" t="n"/>
      <c r="AA252" s="14" t="n"/>
      <c r="AB252" s="14" t="n"/>
      <c r="AC252" s="17">
        <f>IFERROR(VLOOKUP($H252&amp;"|"&amp;$Q252,Tariff_Master!$A$2:$L$169,3,FALSE),"")</f>
        <v/>
      </c>
      <c r="AD252" s="17">
        <f>IFERROR(VLOOKUP($H252&amp;"|"&amp;$Q252,Tariff_Master!$A$2:$L$169,4,FALSE),"")</f>
        <v/>
      </c>
      <c r="AE252" s="18">
        <f>IFERROR(VLOOKUP($H252&amp;"|"&amp;$Q252,Tariff_Master!$A$2:$L$169,6,FALSE),"")</f>
        <v/>
      </c>
      <c r="AF252" s="19">
        <f>IFERROR(VLOOKUP($H252&amp;"|"&amp;$Q252,Tariff_Master!$A$2:$L$169,7,FALSE),"")</f>
        <v/>
      </c>
      <c r="AG252" s="18">
        <f>IFERROR(VLOOKUP($H252&amp;"|"&amp;$Q252,Tariff_Master!$A$2:$L$169,8,FALSE),"")</f>
        <v/>
      </c>
      <c r="AH252" s="20">
        <f>IFERROR(VLOOKUP($H252&amp;"|"&amp;$Q252,Tariff_Master!$A$2:$L$169,9,FALSE),"")</f>
        <v/>
      </c>
      <c r="AI252" s="18">
        <f>IFERROR(VLOOKUP($H252&amp;"|"&amp;$Q252,Tariff_Master!$A$2:$L$169,10,FALSE),"")</f>
        <v/>
      </c>
      <c r="AJ252" s="21">
        <f>IF($M252="","",ROUNDUP(MAX(0,$M252),0))</f>
        <v/>
      </c>
      <c r="AK252" s="21">
        <f>IF(OR($AJ252="",$AF252=""),"",MAX(0,$AJ252-$AF252))</f>
        <v/>
      </c>
      <c r="AL252" s="22">
        <f>IF(OR($AK252="",$AG252=""),"",MAX(0,$AK252*$AG252))</f>
        <v/>
      </c>
      <c r="AM252" s="22">
        <f>IF($AE252="","",MAX(0,SUM($AE252,$AL252,$V252,$W252)))</f>
        <v/>
      </c>
      <c r="AN252" s="22">
        <f>IF($AM252="","",IF(AND($Q252="COMMITMENT",$R252&gt;=$AH252),$AI252,0))</f>
        <v/>
      </c>
      <c r="AO252" s="23">
        <f>IF($AM252="","",MAX(0,$AM252-$AN252))</f>
        <v/>
      </c>
      <c r="AP252" s="22">
        <f>IF($S252="","",IF(OR($S252="ITEM_PRICE_PLUS_DECLARED_DELIVERY",$S252="DELIVERY_CHARGE_ONLY"),$K252,IF($S252="TOTAL_AMOUNT_INCLUDING_DELIVERY",IF(OR($T252="",$J252=""),"",MAX(0,$T252-$J252-$U252)),IF($S252="ITEM_PRICE_ONLY_DELIVERY_PAID_BY_MERCHANT",0,""))))</f>
        <v/>
      </c>
      <c r="AQ252" s="23">
        <f>IF(OR($AP252="",$AO252=""),"",$AP252-$AO252)</f>
        <v/>
      </c>
      <c r="AR252" s="24">
        <f>IF($S252="EXACT_COLLECTION_AMOUNT","BREAKDOWN_REQUIRED",IF($AQ252="","",IF($AQ252&gt;0,"CREDIT_TO_MERCHANT",IF($AQ252&lt;0,"DEDUCT_FROM_MERCHANT","NO_ADJUSTMENT"))))</f>
        <v/>
      </c>
      <c r="AS252" s="23">
        <f>IF(OR($AQ252="",$AR252="BREAKDOWN_REQUIRED"),"",$AQ252)</f>
        <v/>
      </c>
      <c r="AT252" s="23">
        <f>IF(OR($AR252="",$AR252="BREAKDOWN_REQUIRED"),"",SUM($J252,$AQ252,$Y252)-$X252)</f>
        <v/>
      </c>
      <c r="AU252" s="25">
        <f>IF(AND($A252="",$B252="",$F252="",$H252="",$J252="",$K252="",$M252="",$S252=""),"",IF(OR($H252="",$Q252="",$M252="",$S252=""),"ERROR",IF(OR($J252&lt;0,$K252&lt;0,$M252&lt;0,$T252&lt;0,$U252&lt;0,$V252&lt;0,$W252&lt;0,$X252&lt;0,$Y252&lt;0),"ERROR",IF($AE252="","ERROR",IF(AND(OR($S252="ITEM_PRICE_PLUS_DECLARED_DELIVERY",$S252="TOTAL_AMOUNT_INCLUDING_DELIVERY",$S252="ITEM_PRICE_ONLY_DELIVERY_PAID_BY_MERCHANT"),$J252=""),"ERROR",IF(AND(OR($S252="ITEM_PRICE_PLUS_DECLARED_DELIVERY",$S252="DELIVERY_CHARGE_ONLY"),$K252=""),"ERROR",IF(AND(OR($S252="TOTAL_AMOUNT_INCLUDING_DELIVERY",$S252="EXACT_COLLECTION_AMOUNT"),$T252=""),"ERROR",IF(AND($S252="TOTAL_AMOUNT_INCLUDING_DELIVERY",$T252&lt;SUM($J252,$U252)),"ERROR",IF($S252="EXACT_COLLECTION_AMOUNT","REVIEW","OK")))))))))</f>
        <v/>
      </c>
      <c r="AV252" s="25">
        <f>IF($AU252="","",IF($H252="","Township required",IF($Q252="","Customer tier required",IF($M252="","Weight required",IF($S252="","Amount entry type required",IF(OR($J252&lt;0,$K252&lt;0,$M252&lt;0,$T252&lt;0,$U252&lt;0,$V252&lt;0,$W252&lt;0,$X252&lt;0,$Y252&lt;0),"Negative amounts are not allowed",IF($AE252="","Tariff not found for township and tier",IF(AND(OR($S252="ITEM_PRICE_PLUS_DECLARED_DELIVERY",$S252="TOTAL_AMOUNT_INCLUDING_DELIVERY",$S252="ITEM_PRICE_ONLY_DELIVERY_PAID_BY_MERCHANT"),$J252=""),"Item price required for this amount type",IF(AND(OR($S252="ITEM_PRICE_PLUS_DECLARED_DELIVERY",$S252="DELIVERY_CHARGE_ONLY"),$K252=""),"Declared delivery charge required",IF(AND(OR($S252="TOTAL_AMOUNT_INCLUDING_DELIVERY",$S252="EXACT_COLLECTION_AMOUNT"),$T252=""),"Stated total amount required",IF(AND($S252="TOTAL_AMOUNT_INCLUDING_DELIVERY",$T252&lt;SUM($J252,$U252)),"Stated total is below item price plus additional charge",IF($S252="EXACT_COLLECTION_AMOUNT","Authorized amount breakdown required before settlement","Ready for collection and settlement"))))))))))))</f>
        <v/>
      </c>
      <c r="AW252" s="23">
        <f>IF($AU252="","","PARCEL_FINANCIAL_V2")</f>
        <v/>
      </c>
      <c r="AX252" s="17" t="n"/>
    </row>
    <row r="253">
      <c r="A253" s="8" t="n"/>
      <c r="B253" s="8" t="n"/>
      <c r="C253" s="8" t="n"/>
      <c r="D253" s="8" t="n"/>
      <c r="E253" s="9" t="n"/>
      <c r="F253" s="9" t="n"/>
      <c r="G253" s="8" t="n"/>
      <c r="H253" s="9" t="n"/>
      <c r="I253" s="9" t="n"/>
      <c r="J253" s="10" t="n"/>
      <c r="K253" s="10" t="n"/>
      <c r="L253" s="11">
        <f>IF($S253="","",IF($S253="ITEM_PRICE_PLUS_DECLARED_DELIVERY",IF(OR($J253="",$K253=""),"",SUM($J253,$K253,$U253)),IF($S253="TOTAL_AMOUNT_INCLUDING_DELIVERY",IF($T253="","",$T253),IF($S253="DELIVERY_CHARGE_ONLY",IF($K253="","",SUM($K253,$U253)),IF($S253="EXACT_COLLECTION_AMOUNT",IF($T253="","",$T253),IF($S253="ITEM_PRICE_ONLY_DELIVERY_PAID_BY_MERCHANT",IF($J253="","",SUM($J253,$U253)),""))))))</f>
        <v/>
      </c>
      <c r="M253" s="12" t="n"/>
      <c r="N253" s="13" t="n"/>
      <c r="O253" s="13" t="n"/>
      <c r="P253" s="9" t="n"/>
      <c r="Q253" s="14" t="n"/>
      <c r="R253" s="15" t="n"/>
      <c r="S253" s="14" t="n"/>
      <c r="T253" s="16" t="n"/>
      <c r="U253" s="16" t="n"/>
      <c r="V253" s="16" t="n"/>
      <c r="W253" s="16" t="n"/>
      <c r="X253" s="16" t="n"/>
      <c r="Y253" s="16" t="n"/>
      <c r="Z253" s="14" t="n"/>
      <c r="AA253" s="14" t="n"/>
      <c r="AB253" s="14" t="n"/>
      <c r="AC253" s="17">
        <f>IFERROR(VLOOKUP($H253&amp;"|"&amp;$Q253,Tariff_Master!$A$2:$L$169,3,FALSE),"")</f>
        <v/>
      </c>
      <c r="AD253" s="17">
        <f>IFERROR(VLOOKUP($H253&amp;"|"&amp;$Q253,Tariff_Master!$A$2:$L$169,4,FALSE),"")</f>
        <v/>
      </c>
      <c r="AE253" s="18">
        <f>IFERROR(VLOOKUP($H253&amp;"|"&amp;$Q253,Tariff_Master!$A$2:$L$169,6,FALSE),"")</f>
        <v/>
      </c>
      <c r="AF253" s="19">
        <f>IFERROR(VLOOKUP($H253&amp;"|"&amp;$Q253,Tariff_Master!$A$2:$L$169,7,FALSE),"")</f>
        <v/>
      </c>
      <c r="AG253" s="18">
        <f>IFERROR(VLOOKUP($H253&amp;"|"&amp;$Q253,Tariff_Master!$A$2:$L$169,8,FALSE),"")</f>
        <v/>
      </c>
      <c r="AH253" s="20">
        <f>IFERROR(VLOOKUP($H253&amp;"|"&amp;$Q253,Tariff_Master!$A$2:$L$169,9,FALSE),"")</f>
        <v/>
      </c>
      <c r="AI253" s="18">
        <f>IFERROR(VLOOKUP($H253&amp;"|"&amp;$Q253,Tariff_Master!$A$2:$L$169,10,FALSE),"")</f>
        <v/>
      </c>
      <c r="AJ253" s="21">
        <f>IF($M253="","",ROUNDUP(MAX(0,$M253),0))</f>
        <v/>
      </c>
      <c r="AK253" s="21">
        <f>IF(OR($AJ253="",$AF253=""),"",MAX(0,$AJ253-$AF253))</f>
        <v/>
      </c>
      <c r="AL253" s="22">
        <f>IF(OR($AK253="",$AG253=""),"",MAX(0,$AK253*$AG253))</f>
        <v/>
      </c>
      <c r="AM253" s="22">
        <f>IF($AE253="","",MAX(0,SUM($AE253,$AL253,$V253,$W253)))</f>
        <v/>
      </c>
      <c r="AN253" s="22">
        <f>IF($AM253="","",IF(AND($Q253="COMMITMENT",$R253&gt;=$AH253),$AI253,0))</f>
        <v/>
      </c>
      <c r="AO253" s="23">
        <f>IF($AM253="","",MAX(0,$AM253-$AN253))</f>
        <v/>
      </c>
      <c r="AP253" s="22">
        <f>IF($S253="","",IF(OR($S253="ITEM_PRICE_PLUS_DECLARED_DELIVERY",$S253="DELIVERY_CHARGE_ONLY"),$K253,IF($S253="TOTAL_AMOUNT_INCLUDING_DELIVERY",IF(OR($T253="",$J253=""),"",MAX(0,$T253-$J253-$U253)),IF($S253="ITEM_PRICE_ONLY_DELIVERY_PAID_BY_MERCHANT",0,""))))</f>
        <v/>
      </c>
      <c r="AQ253" s="23">
        <f>IF(OR($AP253="",$AO253=""),"",$AP253-$AO253)</f>
        <v/>
      </c>
      <c r="AR253" s="24">
        <f>IF($S253="EXACT_COLLECTION_AMOUNT","BREAKDOWN_REQUIRED",IF($AQ253="","",IF($AQ253&gt;0,"CREDIT_TO_MERCHANT",IF($AQ253&lt;0,"DEDUCT_FROM_MERCHANT","NO_ADJUSTMENT"))))</f>
        <v/>
      </c>
      <c r="AS253" s="23">
        <f>IF(OR($AQ253="",$AR253="BREAKDOWN_REQUIRED"),"",$AQ253)</f>
        <v/>
      </c>
      <c r="AT253" s="23">
        <f>IF(OR($AR253="",$AR253="BREAKDOWN_REQUIRED"),"",SUM($J253,$AQ253,$Y253)-$X253)</f>
        <v/>
      </c>
      <c r="AU253" s="25">
        <f>IF(AND($A253="",$B253="",$F253="",$H253="",$J253="",$K253="",$M253="",$S253=""),"",IF(OR($H253="",$Q253="",$M253="",$S253=""),"ERROR",IF(OR($J253&lt;0,$K253&lt;0,$M253&lt;0,$T253&lt;0,$U253&lt;0,$V253&lt;0,$W253&lt;0,$X253&lt;0,$Y253&lt;0),"ERROR",IF($AE253="","ERROR",IF(AND(OR($S253="ITEM_PRICE_PLUS_DECLARED_DELIVERY",$S253="TOTAL_AMOUNT_INCLUDING_DELIVERY",$S253="ITEM_PRICE_ONLY_DELIVERY_PAID_BY_MERCHANT"),$J253=""),"ERROR",IF(AND(OR($S253="ITEM_PRICE_PLUS_DECLARED_DELIVERY",$S253="DELIVERY_CHARGE_ONLY"),$K253=""),"ERROR",IF(AND(OR($S253="TOTAL_AMOUNT_INCLUDING_DELIVERY",$S253="EXACT_COLLECTION_AMOUNT"),$T253=""),"ERROR",IF(AND($S253="TOTAL_AMOUNT_INCLUDING_DELIVERY",$T253&lt;SUM($J253,$U253)),"ERROR",IF($S253="EXACT_COLLECTION_AMOUNT","REVIEW","OK")))))))))</f>
        <v/>
      </c>
      <c r="AV253" s="25">
        <f>IF($AU253="","",IF($H253="","Township required",IF($Q253="","Customer tier required",IF($M253="","Weight required",IF($S253="","Amount entry type required",IF(OR($J253&lt;0,$K253&lt;0,$M253&lt;0,$T253&lt;0,$U253&lt;0,$V253&lt;0,$W253&lt;0,$X253&lt;0,$Y253&lt;0),"Negative amounts are not allowed",IF($AE253="","Tariff not found for township and tier",IF(AND(OR($S253="ITEM_PRICE_PLUS_DECLARED_DELIVERY",$S253="TOTAL_AMOUNT_INCLUDING_DELIVERY",$S253="ITEM_PRICE_ONLY_DELIVERY_PAID_BY_MERCHANT"),$J253=""),"Item price required for this amount type",IF(AND(OR($S253="ITEM_PRICE_PLUS_DECLARED_DELIVERY",$S253="DELIVERY_CHARGE_ONLY"),$K253=""),"Declared delivery charge required",IF(AND(OR($S253="TOTAL_AMOUNT_INCLUDING_DELIVERY",$S253="EXACT_COLLECTION_AMOUNT"),$T253=""),"Stated total amount required",IF(AND($S253="TOTAL_AMOUNT_INCLUDING_DELIVERY",$T253&lt;SUM($J253,$U253)),"Stated total is below item price plus additional charge",IF($S253="EXACT_COLLECTION_AMOUNT","Authorized amount breakdown required before settlement","Ready for collection and settlement"))))))))))))</f>
        <v/>
      </c>
      <c r="AW253" s="23">
        <f>IF($AU253="","","PARCEL_FINANCIAL_V2")</f>
        <v/>
      </c>
      <c r="AX253" s="17" t="n"/>
    </row>
    <row r="254">
      <c r="A254" s="8" t="n"/>
      <c r="B254" s="8" t="n"/>
      <c r="C254" s="8" t="n"/>
      <c r="D254" s="8" t="n"/>
      <c r="E254" s="9" t="n"/>
      <c r="F254" s="9" t="n"/>
      <c r="G254" s="8" t="n"/>
      <c r="H254" s="9" t="n"/>
      <c r="I254" s="9" t="n"/>
      <c r="J254" s="10" t="n"/>
      <c r="K254" s="10" t="n"/>
      <c r="L254" s="11">
        <f>IF($S254="","",IF($S254="ITEM_PRICE_PLUS_DECLARED_DELIVERY",IF(OR($J254="",$K254=""),"",SUM($J254,$K254,$U254)),IF($S254="TOTAL_AMOUNT_INCLUDING_DELIVERY",IF($T254="","",$T254),IF($S254="DELIVERY_CHARGE_ONLY",IF($K254="","",SUM($K254,$U254)),IF($S254="EXACT_COLLECTION_AMOUNT",IF($T254="","",$T254),IF($S254="ITEM_PRICE_ONLY_DELIVERY_PAID_BY_MERCHANT",IF($J254="","",SUM($J254,$U254)),""))))))</f>
        <v/>
      </c>
      <c r="M254" s="12" t="n"/>
      <c r="N254" s="13" t="n"/>
      <c r="O254" s="13" t="n"/>
      <c r="P254" s="9" t="n"/>
      <c r="Q254" s="14" t="n"/>
      <c r="R254" s="15" t="n"/>
      <c r="S254" s="14" t="n"/>
      <c r="T254" s="16" t="n"/>
      <c r="U254" s="16" t="n"/>
      <c r="V254" s="16" t="n"/>
      <c r="W254" s="16" t="n"/>
      <c r="X254" s="16" t="n"/>
      <c r="Y254" s="16" t="n"/>
      <c r="Z254" s="14" t="n"/>
      <c r="AA254" s="14" t="n"/>
      <c r="AB254" s="14" t="n"/>
      <c r="AC254" s="17">
        <f>IFERROR(VLOOKUP($H254&amp;"|"&amp;$Q254,Tariff_Master!$A$2:$L$169,3,FALSE),"")</f>
        <v/>
      </c>
      <c r="AD254" s="17">
        <f>IFERROR(VLOOKUP($H254&amp;"|"&amp;$Q254,Tariff_Master!$A$2:$L$169,4,FALSE),"")</f>
        <v/>
      </c>
      <c r="AE254" s="18">
        <f>IFERROR(VLOOKUP($H254&amp;"|"&amp;$Q254,Tariff_Master!$A$2:$L$169,6,FALSE),"")</f>
        <v/>
      </c>
      <c r="AF254" s="19">
        <f>IFERROR(VLOOKUP($H254&amp;"|"&amp;$Q254,Tariff_Master!$A$2:$L$169,7,FALSE),"")</f>
        <v/>
      </c>
      <c r="AG254" s="18">
        <f>IFERROR(VLOOKUP($H254&amp;"|"&amp;$Q254,Tariff_Master!$A$2:$L$169,8,FALSE),"")</f>
        <v/>
      </c>
      <c r="AH254" s="20">
        <f>IFERROR(VLOOKUP($H254&amp;"|"&amp;$Q254,Tariff_Master!$A$2:$L$169,9,FALSE),"")</f>
        <v/>
      </c>
      <c r="AI254" s="18">
        <f>IFERROR(VLOOKUP($H254&amp;"|"&amp;$Q254,Tariff_Master!$A$2:$L$169,10,FALSE),"")</f>
        <v/>
      </c>
      <c r="AJ254" s="21">
        <f>IF($M254="","",ROUNDUP(MAX(0,$M254),0))</f>
        <v/>
      </c>
      <c r="AK254" s="21">
        <f>IF(OR($AJ254="",$AF254=""),"",MAX(0,$AJ254-$AF254))</f>
        <v/>
      </c>
      <c r="AL254" s="22">
        <f>IF(OR($AK254="",$AG254=""),"",MAX(0,$AK254*$AG254))</f>
        <v/>
      </c>
      <c r="AM254" s="22">
        <f>IF($AE254="","",MAX(0,SUM($AE254,$AL254,$V254,$W254)))</f>
        <v/>
      </c>
      <c r="AN254" s="22">
        <f>IF($AM254="","",IF(AND($Q254="COMMITMENT",$R254&gt;=$AH254),$AI254,0))</f>
        <v/>
      </c>
      <c r="AO254" s="23">
        <f>IF($AM254="","",MAX(0,$AM254-$AN254))</f>
        <v/>
      </c>
      <c r="AP254" s="22">
        <f>IF($S254="","",IF(OR($S254="ITEM_PRICE_PLUS_DECLARED_DELIVERY",$S254="DELIVERY_CHARGE_ONLY"),$K254,IF($S254="TOTAL_AMOUNT_INCLUDING_DELIVERY",IF(OR($T254="",$J254=""),"",MAX(0,$T254-$J254-$U254)),IF($S254="ITEM_PRICE_ONLY_DELIVERY_PAID_BY_MERCHANT",0,""))))</f>
        <v/>
      </c>
      <c r="AQ254" s="23">
        <f>IF(OR($AP254="",$AO254=""),"",$AP254-$AO254)</f>
        <v/>
      </c>
      <c r="AR254" s="24">
        <f>IF($S254="EXACT_COLLECTION_AMOUNT","BREAKDOWN_REQUIRED",IF($AQ254="","",IF($AQ254&gt;0,"CREDIT_TO_MERCHANT",IF($AQ254&lt;0,"DEDUCT_FROM_MERCHANT","NO_ADJUSTMENT"))))</f>
        <v/>
      </c>
      <c r="AS254" s="23">
        <f>IF(OR($AQ254="",$AR254="BREAKDOWN_REQUIRED"),"",$AQ254)</f>
        <v/>
      </c>
      <c r="AT254" s="23">
        <f>IF(OR($AR254="",$AR254="BREAKDOWN_REQUIRED"),"",SUM($J254,$AQ254,$Y254)-$X254)</f>
        <v/>
      </c>
      <c r="AU254" s="25">
        <f>IF(AND($A254="",$B254="",$F254="",$H254="",$J254="",$K254="",$M254="",$S254=""),"",IF(OR($H254="",$Q254="",$M254="",$S254=""),"ERROR",IF(OR($J254&lt;0,$K254&lt;0,$M254&lt;0,$T254&lt;0,$U254&lt;0,$V254&lt;0,$W254&lt;0,$X254&lt;0,$Y254&lt;0),"ERROR",IF($AE254="","ERROR",IF(AND(OR($S254="ITEM_PRICE_PLUS_DECLARED_DELIVERY",$S254="TOTAL_AMOUNT_INCLUDING_DELIVERY",$S254="ITEM_PRICE_ONLY_DELIVERY_PAID_BY_MERCHANT"),$J254=""),"ERROR",IF(AND(OR($S254="ITEM_PRICE_PLUS_DECLARED_DELIVERY",$S254="DELIVERY_CHARGE_ONLY"),$K254=""),"ERROR",IF(AND(OR($S254="TOTAL_AMOUNT_INCLUDING_DELIVERY",$S254="EXACT_COLLECTION_AMOUNT"),$T254=""),"ERROR",IF(AND($S254="TOTAL_AMOUNT_INCLUDING_DELIVERY",$T254&lt;SUM($J254,$U254)),"ERROR",IF($S254="EXACT_COLLECTION_AMOUNT","REVIEW","OK")))))))))</f>
        <v/>
      </c>
      <c r="AV254" s="25">
        <f>IF($AU254="","",IF($H254="","Township required",IF($Q254="","Customer tier required",IF($M254="","Weight required",IF($S254="","Amount entry type required",IF(OR($J254&lt;0,$K254&lt;0,$M254&lt;0,$T254&lt;0,$U254&lt;0,$V254&lt;0,$W254&lt;0,$X254&lt;0,$Y254&lt;0),"Negative amounts are not allowed",IF($AE254="","Tariff not found for township and tier",IF(AND(OR($S254="ITEM_PRICE_PLUS_DECLARED_DELIVERY",$S254="TOTAL_AMOUNT_INCLUDING_DELIVERY",$S254="ITEM_PRICE_ONLY_DELIVERY_PAID_BY_MERCHANT"),$J254=""),"Item price required for this amount type",IF(AND(OR($S254="ITEM_PRICE_PLUS_DECLARED_DELIVERY",$S254="DELIVERY_CHARGE_ONLY"),$K254=""),"Declared delivery charge required",IF(AND(OR($S254="TOTAL_AMOUNT_INCLUDING_DELIVERY",$S254="EXACT_COLLECTION_AMOUNT"),$T254=""),"Stated total amount required",IF(AND($S254="TOTAL_AMOUNT_INCLUDING_DELIVERY",$T254&lt;SUM($J254,$U254)),"Stated total is below item price plus additional charge",IF($S254="EXACT_COLLECTION_AMOUNT","Authorized amount breakdown required before settlement","Ready for collection and settlement"))))))))))))</f>
        <v/>
      </c>
      <c r="AW254" s="23">
        <f>IF($AU254="","","PARCEL_FINANCIAL_V2")</f>
        <v/>
      </c>
      <c r="AX254" s="17" t="n"/>
    </row>
    <row r="255">
      <c r="A255" s="8" t="n"/>
      <c r="B255" s="8" t="n"/>
      <c r="C255" s="8" t="n"/>
      <c r="D255" s="8" t="n"/>
      <c r="E255" s="9" t="n"/>
      <c r="F255" s="9" t="n"/>
      <c r="G255" s="8" t="n"/>
      <c r="H255" s="9" t="n"/>
      <c r="I255" s="9" t="n"/>
      <c r="J255" s="10" t="n"/>
      <c r="K255" s="10" t="n"/>
      <c r="L255" s="11">
        <f>IF($S255="","",IF($S255="ITEM_PRICE_PLUS_DECLARED_DELIVERY",IF(OR($J255="",$K255=""),"",SUM($J255,$K255,$U255)),IF($S255="TOTAL_AMOUNT_INCLUDING_DELIVERY",IF($T255="","",$T255),IF($S255="DELIVERY_CHARGE_ONLY",IF($K255="","",SUM($K255,$U255)),IF($S255="EXACT_COLLECTION_AMOUNT",IF($T255="","",$T255),IF($S255="ITEM_PRICE_ONLY_DELIVERY_PAID_BY_MERCHANT",IF($J255="","",SUM($J255,$U255)),""))))))</f>
        <v/>
      </c>
      <c r="M255" s="12" t="n"/>
      <c r="N255" s="13" t="n"/>
      <c r="O255" s="13" t="n"/>
      <c r="P255" s="9" t="n"/>
      <c r="Q255" s="14" t="n"/>
      <c r="R255" s="15" t="n"/>
      <c r="S255" s="14" t="n"/>
      <c r="T255" s="16" t="n"/>
      <c r="U255" s="16" t="n"/>
      <c r="V255" s="16" t="n"/>
      <c r="W255" s="16" t="n"/>
      <c r="X255" s="16" t="n"/>
      <c r="Y255" s="16" t="n"/>
      <c r="Z255" s="14" t="n"/>
      <c r="AA255" s="14" t="n"/>
      <c r="AB255" s="14" t="n"/>
      <c r="AC255" s="17">
        <f>IFERROR(VLOOKUP($H255&amp;"|"&amp;$Q255,Tariff_Master!$A$2:$L$169,3,FALSE),"")</f>
        <v/>
      </c>
      <c r="AD255" s="17">
        <f>IFERROR(VLOOKUP($H255&amp;"|"&amp;$Q255,Tariff_Master!$A$2:$L$169,4,FALSE),"")</f>
        <v/>
      </c>
      <c r="AE255" s="18">
        <f>IFERROR(VLOOKUP($H255&amp;"|"&amp;$Q255,Tariff_Master!$A$2:$L$169,6,FALSE),"")</f>
        <v/>
      </c>
      <c r="AF255" s="19">
        <f>IFERROR(VLOOKUP($H255&amp;"|"&amp;$Q255,Tariff_Master!$A$2:$L$169,7,FALSE),"")</f>
        <v/>
      </c>
      <c r="AG255" s="18">
        <f>IFERROR(VLOOKUP($H255&amp;"|"&amp;$Q255,Tariff_Master!$A$2:$L$169,8,FALSE),"")</f>
        <v/>
      </c>
      <c r="AH255" s="20">
        <f>IFERROR(VLOOKUP($H255&amp;"|"&amp;$Q255,Tariff_Master!$A$2:$L$169,9,FALSE),"")</f>
        <v/>
      </c>
      <c r="AI255" s="18">
        <f>IFERROR(VLOOKUP($H255&amp;"|"&amp;$Q255,Tariff_Master!$A$2:$L$169,10,FALSE),"")</f>
        <v/>
      </c>
      <c r="AJ255" s="21">
        <f>IF($M255="","",ROUNDUP(MAX(0,$M255),0))</f>
        <v/>
      </c>
      <c r="AK255" s="21">
        <f>IF(OR($AJ255="",$AF255=""),"",MAX(0,$AJ255-$AF255))</f>
        <v/>
      </c>
      <c r="AL255" s="22">
        <f>IF(OR($AK255="",$AG255=""),"",MAX(0,$AK255*$AG255))</f>
        <v/>
      </c>
      <c r="AM255" s="22">
        <f>IF($AE255="","",MAX(0,SUM($AE255,$AL255,$V255,$W255)))</f>
        <v/>
      </c>
      <c r="AN255" s="22">
        <f>IF($AM255="","",IF(AND($Q255="COMMITMENT",$R255&gt;=$AH255),$AI255,0))</f>
        <v/>
      </c>
      <c r="AO255" s="23">
        <f>IF($AM255="","",MAX(0,$AM255-$AN255))</f>
        <v/>
      </c>
      <c r="AP255" s="22">
        <f>IF($S255="","",IF(OR($S255="ITEM_PRICE_PLUS_DECLARED_DELIVERY",$S255="DELIVERY_CHARGE_ONLY"),$K255,IF($S255="TOTAL_AMOUNT_INCLUDING_DELIVERY",IF(OR($T255="",$J255=""),"",MAX(0,$T255-$J255-$U255)),IF($S255="ITEM_PRICE_ONLY_DELIVERY_PAID_BY_MERCHANT",0,""))))</f>
        <v/>
      </c>
      <c r="AQ255" s="23">
        <f>IF(OR($AP255="",$AO255=""),"",$AP255-$AO255)</f>
        <v/>
      </c>
      <c r="AR255" s="24">
        <f>IF($S255="EXACT_COLLECTION_AMOUNT","BREAKDOWN_REQUIRED",IF($AQ255="","",IF($AQ255&gt;0,"CREDIT_TO_MERCHANT",IF($AQ255&lt;0,"DEDUCT_FROM_MERCHANT","NO_ADJUSTMENT"))))</f>
        <v/>
      </c>
      <c r="AS255" s="23">
        <f>IF(OR($AQ255="",$AR255="BREAKDOWN_REQUIRED"),"",$AQ255)</f>
        <v/>
      </c>
      <c r="AT255" s="23">
        <f>IF(OR($AR255="",$AR255="BREAKDOWN_REQUIRED"),"",SUM($J255,$AQ255,$Y255)-$X255)</f>
        <v/>
      </c>
      <c r="AU255" s="25">
        <f>IF(AND($A255="",$B255="",$F255="",$H255="",$J255="",$K255="",$M255="",$S255=""),"",IF(OR($H255="",$Q255="",$M255="",$S255=""),"ERROR",IF(OR($J255&lt;0,$K255&lt;0,$M255&lt;0,$T255&lt;0,$U255&lt;0,$V255&lt;0,$W255&lt;0,$X255&lt;0,$Y255&lt;0),"ERROR",IF($AE255="","ERROR",IF(AND(OR($S255="ITEM_PRICE_PLUS_DECLARED_DELIVERY",$S255="TOTAL_AMOUNT_INCLUDING_DELIVERY",$S255="ITEM_PRICE_ONLY_DELIVERY_PAID_BY_MERCHANT"),$J255=""),"ERROR",IF(AND(OR($S255="ITEM_PRICE_PLUS_DECLARED_DELIVERY",$S255="DELIVERY_CHARGE_ONLY"),$K255=""),"ERROR",IF(AND(OR($S255="TOTAL_AMOUNT_INCLUDING_DELIVERY",$S255="EXACT_COLLECTION_AMOUNT"),$T255=""),"ERROR",IF(AND($S255="TOTAL_AMOUNT_INCLUDING_DELIVERY",$T255&lt;SUM($J255,$U255)),"ERROR",IF($S255="EXACT_COLLECTION_AMOUNT","REVIEW","OK")))))))))</f>
        <v/>
      </c>
      <c r="AV255" s="25">
        <f>IF($AU255="","",IF($H255="","Township required",IF($Q255="","Customer tier required",IF($M255="","Weight required",IF($S255="","Amount entry type required",IF(OR($J255&lt;0,$K255&lt;0,$M255&lt;0,$T255&lt;0,$U255&lt;0,$V255&lt;0,$W255&lt;0,$X255&lt;0,$Y255&lt;0),"Negative amounts are not allowed",IF($AE255="","Tariff not found for township and tier",IF(AND(OR($S255="ITEM_PRICE_PLUS_DECLARED_DELIVERY",$S255="TOTAL_AMOUNT_INCLUDING_DELIVERY",$S255="ITEM_PRICE_ONLY_DELIVERY_PAID_BY_MERCHANT"),$J255=""),"Item price required for this amount type",IF(AND(OR($S255="ITEM_PRICE_PLUS_DECLARED_DELIVERY",$S255="DELIVERY_CHARGE_ONLY"),$K255=""),"Declared delivery charge required",IF(AND(OR($S255="TOTAL_AMOUNT_INCLUDING_DELIVERY",$S255="EXACT_COLLECTION_AMOUNT"),$T255=""),"Stated total amount required",IF(AND($S255="TOTAL_AMOUNT_INCLUDING_DELIVERY",$T255&lt;SUM($J255,$U255)),"Stated total is below item price plus additional charge",IF($S255="EXACT_COLLECTION_AMOUNT","Authorized amount breakdown required before settlement","Ready for collection and settlement"))))))))))))</f>
        <v/>
      </c>
      <c r="AW255" s="23">
        <f>IF($AU255="","","PARCEL_FINANCIAL_V2")</f>
        <v/>
      </c>
      <c r="AX255" s="17" t="n"/>
    </row>
    <row r="256">
      <c r="A256" s="8" t="n"/>
      <c r="B256" s="8" t="n"/>
      <c r="C256" s="8" t="n"/>
      <c r="D256" s="8" t="n"/>
      <c r="E256" s="9" t="n"/>
      <c r="F256" s="9" t="n"/>
      <c r="G256" s="8" t="n"/>
      <c r="H256" s="9" t="n"/>
      <c r="I256" s="9" t="n"/>
      <c r="J256" s="10" t="n"/>
      <c r="K256" s="10" t="n"/>
      <c r="L256" s="11">
        <f>IF($S256="","",IF($S256="ITEM_PRICE_PLUS_DECLARED_DELIVERY",IF(OR($J256="",$K256=""),"",SUM($J256,$K256,$U256)),IF($S256="TOTAL_AMOUNT_INCLUDING_DELIVERY",IF($T256="","",$T256),IF($S256="DELIVERY_CHARGE_ONLY",IF($K256="","",SUM($K256,$U256)),IF($S256="EXACT_COLLECTION_AMOUNT",IF($T256="","",$T256),IF($S256="ITEM_PRICE_ONLY_DELIVERY_PAID_BY_MERCHANT",IF($J256="","",SUM($J256,$U256)),""))))))</f>
        <v/>
      </c>
      <c r="M256" s="12" t="n"/>
      <c r="N256" s="13" t="n"/>
      <c r="O256" s="13" t="n"/>
      <c r="P256" s="9" t="n"/>
      <c r="Q256" s="14" t="n"/>
      <c r="R256" s="15" t="n"/>
      <c r="S256" s="14" t="n"/>
      <c r="T256" s="16" t="n"/>
      <c r="U256" s="16" t="n"/>
      <c r="V256" s="16" t="n"/>
      <c r="W256" s="16" t="n"/>
      <c r="X256" s="16" t="n"/>
      <c r="Y256" s="16" t="n"/>
      <c r="Z256" s="14" t="n"/>
      <c r="AA256" s="14" t="n"/>
      <c r="AB256" s="14" t="n"/>
      <c r="AC256" s="17">
        <f>IFERROR(VLOOKUP($H256&amp;"|"&amp;$Q256,Tariff_Master!$A$2:$L$169,3,FALSE),"")</f>
        <v/>
      </c>
      <c r="AD256" s="17">
        <f>IFERROR(VLOOKUP($H256&amp;"|"&amp;$Q256,Tariff_Master!$A$2:$L$169,4,FALSE),"")</f>
        <v/>
      </c>
      <c r="AE256" s="18">
        <f>IFERROR(VLOOKUP($H256&amp;"|"&amp;$Q256,Tariff_Master!$A$2:$L$169,6,FALSE),"")</f>
        <v/>
      </c>
      <c r="AF256" s="19">
        <f>IFERROR(VLOOKUP($H256&amp;"|"&amp;$Q256,Tariff_Master!$A$2:$L$169,7,FALSE),"")</f>
        <v/>
      </c>
      <c r="AG256" s="18">
        <f>IFERROR(VLOOKUP($H256&amp;"|"&amp;$Q256,Tariff_Master!$A$2:$L$169,8,FALSE),"")</f>
        <v/>
      </c>
      <c r="AH256" s="20">
        <f>IFERROR(VLOOKUP($H256&amp;"|"&amp;$Q256,Tariff_Master!$A$2:$L$169,9,FALSE),"")</f>
        <v/>
      </c>
      <c r="AI256" s="18">
        <f>IFERROR(VLOOKUP($H256&amp;"|"&amp;$Q256,Tariff_Master!$A$2:$L$169,10,FALSE),"")</f>
        <v/>
      </c>
      <c r="AJ256" s="21">
        <f>IF($M256="","",ROUNDUP(MAX(0,$M256),0))</f>
        <v/>
      </c>
      <c r="AK256" s="21">
        <f>IF(OR($AJ256="",$AF256=""),"",MAX(0,$AJ256-$AF256))</f>
        <v/>
      </c>
      <c r="AL256" s="22">
        <f>IF(OR($AK256="",$AG256=""),"",MAX(0,$AK256*$AG256))</f>
        <v/>
      </c>
      <c r="AM256" s="22">
        <f>IF($AE256="","",MAX(0,SUM($AE256,$AL256,$V256,$W256)))</f>
        <v/>
      </c>
      <c r="AN256" s="22">
        <f>IF($AM256="","",IF(AND($Q256="COMMITMENT",$R256&gt;=$AH256),$AI256,0))</f>
        <v/>
      </c>
      <c r="AO256" s="23">
        <f>IF($AM256="","",MAX(0,$AM256-$AN256))</f>
        <v/>
      </c>
      <c r="AP256" s="22">
        <f>IF($S256="","",IF(OR($S256="ITEM_PRICE_PLUS_DECLARED_DELIVERY",$S256="DELIVERY_CHARGE_ONLY"),$K256,IF($S256="TOTAL_AMOUNT_INCLUDING_DELIVERY",IF(OR($T256="",$J256=""),"",MAX(0,$T256-$J256-$U256)),IF($S256="ITEM_PRICE_ONLY_DELIVERY_PAID_BY_MERCHANT",0,""))))</f>
        <v/>
      </c>
      <c r="AQ256" s="23">
        <f>IF(OR($AP256="",$AO256=""),"",$AP256-$AO256)</f>
        <v/>
      </c>
      <c r="AR256" s="24">
        <f>IF($S256="EXACT_COLLECTION_AMOUNT","BREAKDOWN_REQUIRED",IF($AQ256="","",IF($AQ256&gt;0,"CREDIT_TO_MERCHANT",IF($AQ256&lt;0,"DEDUCT_FROM_MERCHANT","NO_ADJUSTMENT"))))</f>
        <v/>
      </c>
      <c r="AS256" s="23">
        <f>IF(OR($AQ256="",$AR256="BREAKDOWN_REQUIRED"),"",$AQ256)</f>
        <v/>
      </c>
      <c r="AT256" s="23">
        <f>IF(OR($AR256="",$AR256="BREAKDOWN_REQUIRED"),"",SUM($J256,$AQ256,$Y256)-$X256)</f>
        <v/>
      </c>
      <c r="AU256" s="25">
        <f>IF(AND($A256="",$B256="",$F256="",$H256="",$J256="",$K256="",$M256="",$S256=""),"",IF(OR($H256="",$Q256="",$M256="",$S256=""),"ERROR",IF(OR($J256&lt;0,$K256&lt;0,$M256&lt;0,$T256&lt;0,$U256&lt;0,$V256&lt;0,$W256&lt;0,$X256&lt;0,$Y256&lt;0),"ERROR",IF($AE256="","ERROR",IF(AND(OR($S256="ITEM_PRICE_PLUS_DECLARED_DELIVERY",$S256="TOTAL_AMOUNT_INCLUDING_DELIVERY",$S256="ITEM_PRICE_ONLY_DELIVERY_PAID_BY_MERCHANT"),$J256=""),"ERROR",IF(AND(OR($S256="ITEM_PRICE_PLUS_DECLARED_DELIVERY",$S256="DELIVERY_CHARGE_ONLY"),$K256=""),"ERROR",IF(AND(OR($S256="TOTAL_AMOUNT_INCLUDING_DELIVERY",$S256="EXACT_COLLECTION_AMOUNT"),$T256=""),"ERROR",IF(AND($S256="TOTAL_AMOUNT_INCLUDING_DELIVERY",$T256&lt;SUM($J256,$U256)),"ERROR",IF($S256="EXACT_COLLECTION_AMOUNT","REVIEW","OK")))))))))</f>
        <v/>
      </c>
      <c r="AV256" s="25">
        <f>IF($AU256="","",IF($H256="","Township required",IF($Q256="","Customer tier required",IF($M256="","Weight required",IF($S256="","Amount entry type required",IF(OR($J256&lt;0,$K256&lt;0,$M256&lt;0,$T256&lt;0,$U256&lt;0,$V256&lt;0,$W256&lt;0,$X256&lt;0,$Y256&lt;0),"Negative amounts are not allowed",IF($AE256="","Tariff not found for township and tier",IF(AND(OR($S256="ITEM_PRICE_PLUS_DECLARED_DELIVERY",$S256="TOTAL_AMOUNT_INCLUDING_DELIVERY",$S256="ITEM_PRICE_ONLY_DELIVERY_PAID_BY_MERCHANT"),$J256=""),"Item price required for this amount type",IF(AND(OR($S256="ITEM_PRICE_PLUS_DECLARED_DELIVERY",$S256="DELIVERY_CHARGE_ONLY"),$K256=""),"Declared delivery charge required",IF(AND(OR($S256="TOTAL_AMOUNT_INCLUDING_DELIVERY",$S256="EXACT_COLLECTION_AMOUNT"),$T256=""),"Stated total amount required",IF(AND($S256="TOTAL_AMOUNT_INCLUDING_DELIVERY",$T256&lt;SUM($J256,$U256)),"Stated total is below item price plus additional charge",IF($S256="EXACT_COLLECTION_AMOUNT","Authorized amount breakdown required before settlement","Ready for collection and settlement"))))))))))))</f>
        <v/>
      </c>
      <c r="AW256" s="23">
        <f>IF($AU256="","","PARCEL_FINANCIAL_V2")</f>
        <v/>
      </c>
      <c r="AX256" s="17" t="n"/>
    </row>
    <row r="257">
      <c r="A257" s="8" t="n"/>
      <c r="B257" s="8" t="n"/>
      <c r="C257" s="8" t="n"/>
      <c r="D257" s="8" t="n"/>
      <c r="E257" s="9" t="n"/>
      <c r="F257" s="9" t="n"/>
      <c r="G257" s="8" t="n"/>
      <c r="H257" s="9" t="n"/>
      <c r="I257" s="9" t="n"/>
      <c r="J257" s="10" t="n"/>
      <c r="K257" s="10" t="n"/>
      <c r="L257" s="11">
        <f>IF($S257="","",IF($S257="ITEM_PRICE_PLUS_DECLARED_DELIVERY",IF(OR($J257="",$K257=""),"",SUM($J257,$K257,$U257)),IF($S257="TOTAL_AMOUNT_INCLUDING_DELIVERY",IF($T257="","",$T257),IF($S257="DELIVERY_CHARGE_ONLY",IF($K257="","",SUM($K257,$U257)),IF($S257="EXACT_COLLECTION_AMOUNT",IF($T257="","",$T257),IF($S257="ITEM_PRICE_ONLY_DELIVERY_PAID_BY_MERCHANT",IF($J257="","",SUM($J257,$U257)),""))))))</f>
        <v/>
      </c>
      <c r="M257" s="12" t="n"/>
      <c r="N257" s="13" t="n"/>
      <c r="O257" s="13" t="n"/>
      <c r="P257" s="9" t="n"/>
      <c r="Q257" s="14" t="n"/>
      <c r="R257" s="15" t="n"/>
      <c r="S257" s="14" t="n"/>
      <c r="T257" s="16" t="n"/>
      <c r="U257" s="16" t="n"/>
      <c r="V257" s="16" t="n"/>
      <c r="W257" s="16" t="n"/>
      <c r="X257" s="16" t="n"/>
      <c r="Y257" s="16" t="n"/>
      <c r="Z257" s="14" t="n"/>
      <c r="AA257" s="14" t="n"/>
      <c r="AB257" s="14" t="n"/>
      <c r="AC257" s="17">
        <f>IFERROR(VLOOKUP($H257&amp;"|"&amp;$Q257,Tariff_Master!$A$2:$L$169,3,FALSE),"")</f>
        <v/>
      </c>
      <c r="AD257" s="17">
        <f>IFERROR(VLOOKUP($H257&amp;"|"&amp;$Q257,Tariff_Master!$A$2:$L$169,4,FALSE),"")</f>
        <v/>
      </c>
      <c r="AE257" s="18">
        <f>IFERROR(VLOOKUP($H257&amp;"|"&amp;$Q257,Tariff_Master!$A$2:$L$169,6,FALSE),"")</f>
        <v/>
      </c>
      <c r="AF257" s="19">
        <f>IFERROR(VLOOKUP($H257&amp;"|"&amp;$Q257,Tariff_Master!$A$2:$L$169,7,FALSE),"")</f>
        <v/>
      </c>
      <c r="AG257" s="18">
        <f>IFERROR(VLOOKUP($H257&amp;"|"&amp;$Q257,Tariff_Master!$A$2:$L$169,8,FALSE),"")</f>
        <v/>
      </c>
      <c r="AH257" s="20">
        <f>IFERROR(VLOOKUP($H257&amp;"|"&amp;$Q257,Tariff_Master!$A$2:$L$169,9,FALSE),"")</f>
        <v/>
      </c>
      <c r="AI257" s="18">
        <f>IFERROR(VLOOKUP($H257&amp;"|"&amp;$Q257,Tariff_Master!$A$2:$L$169,10,FALSE),"")</f>
        <v/>
      </c>
      <c r="AJ257" s="21">
        <f>IF($M257="","",ROUNDUP(MAX(0,$M257),0))</f>
        <v/>
      </c>
      <c r="AK257" s="21">
        <f>IF(OR($AJ257="",$AF257=""),"",MAX(0,$AJ257-$AF257))</f>
        <v/>
      </c>
      <c r="AL257" s="22">
        <f>IF(OR($AK257="",$AG257=""),"",MAX(0,$AK257*$AG257))</f>
        <v/>
      </c>
      <c r="AM257" s="22">
        <f>IF($AE257="","",MAX(0,SUM($AE257,$AL257,$V257,$W257)))</f>
        <v/>
      </c>
      <c r="AN257" s="22">
        <f>IF($AM257="","",IF(AND($Q257="COMMITMENT",$R257&gt;=$AH257),$AI257,0))</f>
        <v/>
      </c>
      <c r="AO257" s="23">
        <f>IF($AM257="","",MAX(0,$AM257-$AN257))</f>
        <v/>
      </c>
      <c r="AP257" s="22">
        <f>IF($S257="","",IF(OR($S257="ITEM_PRICE_PLUS_DECLARED_DELIVERY",$S257="DELIVERY_CHARGE_ONLY"),$K257,IF($S257="TOTAL_AMOUNT_INCLUDING_DELIVERY",IF(OR($T257="",$J257=""),"",MAX(0,$T257-$J257-$U257)),IF($S257="ITEM_PRICE_ONLY_DELIVERY_PAID_BY_MERCHANT",0,""))))</f>
        <v/>
      </c>
      <c r="AQ257" s="23">
        <f>IF(OR($AP257="",$AO257=""),"",$AP257-$AO257)</f>
        <v/>
      </c>
      <c r="AR257" s="24">
        <f>IF($S257="EXACT_COLLECTION_AMOUNT","BREAKDOWN_REQUIRED",IF($AQ257="","",IF($AQ257&gt;0,"CREDIT_TO_MERCHANT",IF($AQ257&lt;0,"DEDUCT_FROM_MERCHANT","NO_ADJUSTMENT"))))</f>
        <v/>
      </c>
      <c r="AS257" s="23">
        <f>IF(OR($AQ257="",$AR257="BREAKDOWN_REQUIRED"),"",$AQ257)</f>
        <v/>
      </c>
      <c r="AT257" s="23">
        <f>IF(OR($AR257="",$AR257="BREAKDOWN_REQUIRED"),"",SUM($J257,$AQ257,$Y257)-$X257)</f>
        <v/>
      </c>
      <c r="AU257" s="25">
        <f>IF(AND($A257="",$B257="",$F257="",$H257="",$J257="",$K257="",$M257="",$S257=""),"",IF(OR($H257="",$Q257="",$M257="",$S257=""),"ERROR",IF(OR($J257&lt;0,$K257&lt;0,$M257&lt;0,$T257&lt;0,$U257&lt;0,$V257&lt;0,$W257&lt;0,$X257&lt;0,$Y257&lt;0),"ERROR",IF($AE257="","ERROR",IF(AND(OR($S257="ITEM_PRICE_PLUS_DECLARED_DELIVERY",$S257="TOTAL_AMOUNT_INCLUDING_DELIVERY",$S257="ITEM_PRICE_ONLY_DELIVERY_PAID_BY_MERCHANT"),$J257=""),"ERROR",IF(AND(OR($S257="ITEM_PRICE_PLUS_DECLARED_DELIVERY",$S257="DELIVERY_CHARGE_ONLY"),$K257=""),"ERROR",IF(AND(OR($S257="TOTAL_AMOUNT_INCLUDING_DELIVERY",$S257="EXACT_COLLECTION_AMOUNT"),$T257=""),"ERROR",IF(AND($S257="TOTAL_AMOUNT_INCLUDING_DELIVERY",$T257&lt;SUM($J257,$U257)),"ERROR",IF($S257="EXACT_COLLECTION_AMOUNT","REVIEW","OK")))))))))</f>
        <v/>
      </c>
      <c r="AV257" s="25">
        <f>IF($AU257="","",IF($H257="","Township required",IF($Q257="","Customer tier required",IF($M257="","Weight required",IF($S257="","Amount entry type required",IF(OR($J257&lt;0,$K257&lt;0,$M257&lt;0,$T257&lt;0,$U257&lt;0,$V257&lt;0,$W257&lt;0,$X257&lt;0,$Y257&lt;0),"Negative amounts are not allowed",IF($AE257="","Tariff not found for township and tier",IF(AND(OR($S257="ITEM_PRICE_PLUS_DECLARED_DELIVERY",$S257="TOTAL_AMOUNT_INCLUDING_DELIVERY",$S257="ITEM_PRICE_ONLY_DELIVERY_PAID_BY_MERCHANT"),$J257=""),"Item price required for this amount type",IF(AND(OR($S257="ITEM_PRICE_PLUS_DECLARED_DELIVERY",$S257="DELIVERY_CHARGE_ONLY"),$K257=""),"Declared delivery charge required",IF(AND(OR($S257="TOTAL_AMOUNT_INCLUDING_DELIVERY",$S257="EXACT_COLLECTION_AMOUNT"),$T257=""),"Stated total amount required",IF(AND($S257="TOTAL_AMOUNT_INCLUDING_DELIVERY",$T257&lt;SUM($J257,$U257)),"Stated total is below item price plus additional charge",IF($S257="EXACT_COLLECTION_AMOUNT","Authorized amount breakdown required before settlement","Ready for collection and settlement"))))))))))))</f>
        <v/>
      </c>
      <c r="AW257" s="23">
        <f>IF($AU257="","","PARCEL_FINANCIAL_V2")</f>
        <v/>
      </c>
      <c r="AX257" s="17" t="n"/>
    </row>
    <row r="258">
      <c r="A258" s="8" t="n"/>
      <c r="B258" s="8" t="n"/>
      <c r="C258" s="8" t="n"/>
      <c r="D258" s="8" t="n"/>
      <c r="E258" s="9" t="n"/>
      <c r="F258" s="9" t="n"/>
      <c r="G258" s="8" t="n"/>
      <c r="H258" s="9" t="n"/>
      <c r="I258" s="9" t="n"/>
      <c r="J258" s="10" t="n"/>
      <c r="K258" s="10" t="n"/>
      <c r="L258" s="11">
        <f>IF($S258="","",IF($S258="ITEM_PRICE_PLUS_DECLARED_DELIVERY",IF(OR($J258="",$K258=""),"",SUM($J258,$K258,$U258)),IF($S258="TOTAL_AMOUNT_INCLUDING_DELIVERY",IF($T258="","",$T258),IF($S258="DELIVERY_CHARGE_ONLY",IF($K258="","",SUM($K258,$U258)),IF($S258="EXACT_COLLECTION_AMOUNT",IF($T258="","",$T258),IF($S258="ITEM_PRICE_ONLY_DELIVERY_PAID_BY_MERCHANT",IF($J258="","",SUM($J258,$U258)),""))))))</f>
        <v/>
      </c>
      <c r="M258" s="12" t="n"/>
      <c r="N258" s="13" t="n"/>
      <c r="O258" s="13" t="n"/>
      <c r="P258" s="9" t="n"/>
      <c r="Q258" s="14" t="n"/>
      <c r="R258" s="15" t="n"/>
      <c r="S258" s="14" t="n"/>
      <c r="T258" s="16" t="n"/>
      <c r="U258" s="16" t="n"/>
      <c r="V258" s="16" t="n"/>
      <c r="W258" s="16" t="n"/>
      <c r="X258" s="16" t="n"/>
      <c r="Y258" s="16" t="n"/>
      <c r="Z258" s="14" t="n"/>
      <c r="AA258" s="14" t="n"/>
      <c r="AB258" s="14" t="n"/>
      <c r="AC258" s="17">
        <f>IFERROR(VLOOKUP($H258&amp;"|"&amp;$Q258,Tariff_Master!$A$2:$L$169,3,FALSE),"")</f>
        <v/>
      </c>
      <c r="AD258" s="17">
        <f>IFERROR(VLOOKUP($H258&amp;"|"&amp;$Q258,Tariff_Master!$A$2:$L$169,4,FALSE),"")</f>
        <v/>
      </c>
      <c r="AE258" s="18">
        <f>IFERROR(VLOOKUP($H258&amp;"|"&amp;$Q258,Tariff_Master!$A$2:$L$169,6,FALSE),"")</f>
        <v/>
      </c>
      <c r="AF258" s="19">
        <f>IFERROR(VLOOKUP($H258&amp;"|"&amp;$Q258,Tariff_Master!$A$2:$L$169,7,FALSE),"")</f>
        <v/>
      </c>
      <c r="AG258" s="18">
        <f>IFERROR(VLOOKUP($H258&amp;"|"&amp;$Q258,Tariff_Master!$A$2:$L$169,8,FALSE),"")</f>
        <v/>
      </c>
      <c r="AH258" s="20">
        <f>IFERROR(VLOOKUP($H258&amp;"|"&amp;$Q258,Tariff_Master!$A$2:$L$169,9,FALSE),"")</f>
        <v/>
      </c>
      <c r="AI258" s="18">
        <f>IFERROR(VLOOKUP($H258&amp;"|"&amp;$Q258,Tariff_Master!$A$2:$L$169,10,FALSE),"")</f>
        <v/>
      </c>
      <c r="AJ258" s="21">
        <f>IF($M258="","",ROUNDUP(MAX(0,$M258),0))</f>
        <v/>
      </c>
      <c r="AK258" s="21">
        <f>IF(OR($AJ258="",$AF258=""),"",MAX(0,$AJ258-$AF258))</f>
        <v/>
      </c>
      <c r="AL258" s="22">
        <f>IF(OR($AK258="",$AG258=""),"",MAX(0,$AK258*$AG258))</f>
        <v/>
      </c>
      <c r="AM258" s="22">
        <f>IF($AE258="","",MAX(0,SUM($AE258,$AL258,$V258,$W258)))</f>
        <v/>
      </c>
      <c r="AN258" s="22">
        <f>IF($AM258="","",IF(AND($Q258="COMMITMENT",$R258&gt;=$AH258),$AI258,0))</f>
        <v/>
      </c>
      <c r="AO258" s="23">
        <f>IF($AM258="","",MAX(0,$AM258-$AN258))</f>
        <v/>
      </c>
      <c r="AP258" s="22">
        <f>IF($S258="","",IF(OR($S258="ITEM_PRICE_PLUS_DECLARED_DELIVERY",$S258="DELIVERY_CHARGE_ONLY"),$K258,IF($S258="TOTAL_AMOUNT_INCLUDING_DELIVERY",IF(OR($T258="",$J258=""),"",MAX(0,$T258-$J258-$U258)),IF($S258="ITEM_PRICE_ONLY_DELIVERY_PAID_BY_MERCHANT",0,""))))</f>
        <v/>
      </c>
      <c r="AQ258" s="23">
        <f>IF(OR($AP258="",$AO258=""),"",$AP258-$AO258)</f>
        <v/>
      </c>
      <c r="AR258" s="24">
        <f>IF($S258="EXACT_COLLECTION_AMOUNT","BREAKDOWN_REQUIRED",IF($AQ258="","",IF($AQ258&gt;0,"CREDIT_TO_MERCHANT",IF($AQ258&lt;0,"DEDUCT_FROM_MERCHANT","NO_ADJUSTMENT"))))</f>
        <v/>
      </c>
      <c r="AS258" s="23">
        <f>IF(OR($AQ258="",$AR258="BREAKDOWN_REQUIRED"),"",$AQ258)</f>
        <v/>
      </c>
      <c r="AT258" s="23">
        <f>IF(OR($AR258="",$AR258="BREAKDOWN_REQUIRED"),"",SUM($J258,$AQ258,$Y258)-$X258)</f>
        <v/>
      </c>
      <c r="AU258" s="25">
        <f>IF(AND($A258="",$B258="",$F258="",$H258="",$J258="",$K258="",$M258="",$S258=""),"",IF(OR($H258="",$Q258="",$M258="",$S258=""),"ERROR",IF(OR($J258&lt;0,$K258&lt;0,$M258&lt;0,$T258&lt;0,$U258&lt;0,$V258&lt;0,$W258&lt;0,$X258&lt;0,$Y258&lt;0),"ERROR",IF($AE258="","ERROR",IF(AND(OR($S258="ITEM_PRICE_PLUS_DECLARED_DELIVERY",$S258="TOTAL_AMOUNT_INCLUDING_DELIVERY",$S258="ITEM_PRICE_ONLY_DELIVERY_PAID_BY_MERCHANT"),$J258=""),"ERROR",IF(AND(OR($S258="ITEM_PRICE_PLUS_DECLARED_DELIVERY",$S258="DELIVERY_CHARGE_ONLY"),$K258=""),"ERROR",IF(AND(OR($S258="TOTAL_AMOUNT_INCLUDING_DELIVERY",$S258="EXACT_COLLECTION_AMOUNT"),$T258=""),"ERROR",IF(AND($S258="TOTAL_AMOUNT_INCLUDING_DELIVERY",$T258&lt;SUM($J258,$U258)),"ERROR",IF($S258="EXACT_COLLECTION_AMOUNT","REVIEW","OK")))))))))</f>
        <v/>
      </c>
      <c r="AV258" s="25">
        <f>IF($AU258="","",IF($H258="","Township required",IF($Q258="","Customer tier required",IF($M258="","Weight required",IF($S258="","Amount entry type required",IF(OR($J258&lt;0,$K258&lt;0,$M258&lt;0,$T258&lt;0,$U258&lt;0,$V258&lt;0,$W258&lt;0,$X258&lt;0,$Y258&lt;0),"Negative amounts are not allowed",IF($AE258="","Tariff not found for township and tier",IF(AND(OR($S258="ITEM_PRICE_PLUS_DECLARED_DELIVERY",$S258="TOTAL_AMOUNT_INCLUDING_DELIVERY",$S258="ITEM_PRICE_ONLY_DELIVERY_PAID_BY_MERCHANT"),$J258=""),"Item price required for this amount type",IF(AND(OR($S258="ITEM_PRICE_PLUS_DECLARED_DELIVERY",$S258="DELIVERY_CHARGE_ONLY"),$K258=""),"Declared delivery charge required",IF(AND(OR($S258="TOTAL_AMOUNT_INCLUDING_DELIVERY",$S258="EXACT_COLLECTION_AMOUNT"),$T258=""),"Stated total amount required",IF(AND($S258="TOTAL_AMOUNT_INCLUDING_DELIVERY",$T258&lt;SUM($J258,$U258)),"Stated total is below item price plus additional charge",IF($S258="EXACT_COLLECTION_AMOUNT","Authorized amount breakdown required before settlement","Ready for collection and settlement"))))))))))))</f>
        <v/>
      </c>
      <c r="AW258" s="23">
        <f>IF($AU258="","","PARCEL_FINANCIAL_V2")</f>
        <v/>
      </c>
      <c r="AX258" s="17" t="n"/>
    </row>
    <row r="259">
      <c r="A259" s="8" t="n"/>
      <c r="B259" s="8" t="n"/>
      <c r="C259" s="8" t="n"/>
      <c r="D259" s="8" t="n"/>
      <c r="E259" s="9" t="n"/>
      <c r="F259" s="9" t="n"/>
      <c r="G259" s="8" t="n"/>
      <c r="H259" s="9" t="n"/>
      <c r="I259" s="9" t="n"/>
      <c r="J259" s="10" t="n"/>
      <c r="K259" s="10" t="n"/>
      <c r="L259" s="11">
        <f>IF($S259="","",IF($S259="ITEM_PRICE_PLUS_DECLARED_DELIVERY",IF(OR($J259="",$K259=""),"",SUM($J259,$K259,$U259)),IF($S259="TOTAL_AMOUNT_INCLUDING_DELIVERY",IF($T259="","",$T259),IF($S259="DELIVERY_CHARGE_ONLY",IF($K259="","",SUM($K259,$U259)),IF($S259="EXACT_COLLECTION_AMOUNT",IF($T259="","",$T259),IF($S259="ITEM_PRICE_ONLY_DELIVERY_PAID_BY_MERCHANT",IF($J259="","",SUM($J259,$U259)),""))))))</f>
        <v/>
      </c>
      <c r="M259" s="12" t="n"/>
      <c r="N259" s="13" t="n"/>
      <c r="O259" s="13" t="n"/>
      <c r="P259" s="9" t="n"/>
      <c r="Q259" s="14" t="n"/>
      <c r="R259" s="15" t="n"/>
      <c r="S259" s="14" t="n"/>
      <c r="T259" s="16" t="n"/>
      <c r="U259" s="16" t="n"/>
      <c r="V259" s="16" t="n"/>
      <c r="W259" s="16" t="n"/>
      <c r="X259" s="16" t="n"/>
      <c r="Y259" s="16" t="n"/>
      <c r="Z259" s="14" t="n"/>
      <c r="AA259" s="14" t="n"/>
      <c r="AB259" s="14" t="n"/>
      <c r="AC259" s="17">
        <f>IFERROR(VLOOKUP($H259&amp;"|"&amp;$Q259,Tariff_Master!$A$2:$L$169,3,FALSE),"")</f>
        <v/>
      </c>
      <c r="AD259" s="17">
        <f>IFERROR(VLOOKUP($H259&amp;"|"&amp;$Q259,Tariff_Master!$A$2:$L$169,4,FALSE),"")</f>
        <v/>
      </c>
      <c r="AE259" s="18">
        <f>IFERROR(VLOOKUP($H259&amp;"|"&amp;$Q259,Tariff_Master!$A$2:$L$169,6,FALSE),"")</f>
        <v/>
      </c>
      <c r="AF259" s="19">
        <f>IFERROR(VLOOKUP($H259&amp;"|"&amp;$Q259,Tariff_Master!$A$2:$L$169,7,FALSE),"")</f>
        <v/>
      </c>
      <c r="AG259" s="18">
        <f>IFERROR(VLOOKUP($H259&amp;"|"&amp;$Q259,Tariff_Master!$A$2:$L$169,8,FALSE),"")</f>
        <v/>
      </c>
      <c r="AH259" s="20">
        <f>IFERROR(VLOOKUP($H259&amp;"|"&amp;$Q259,Tariff_Master!$A$2:$L$169,9,FALSE),"")</f>
        <v/>
      </c>
      <c r="AI259" s="18">
        <f>IFERROR(VLOOKUP($H259&amp;"|"&amp;$Q259,Tariff_Master!$A$2:$L$169,10,FALSE),"")</f>
        <v/>
      </c>
      <c r="AJ259" s="21">
        <f>IF($M259="","",ROUNDUP(MAX(0,$M259),0))</f>
        <v/>
      </c>
      <c r="AK259" s="21">
        <f>IF(OR($AJ259="",$AF259=""),"",MAX(0,$AJ259-$AF259))</f>
        <v/>
      </c>
      <c r="AL259" s="22">
        <f>IF(OR($AK259="",$AG259=""),"",MAX(0,$AK259*$AG259))</f>
        <v/>
      </c>
      <c r="AM259" s="22">
        <f>IF($AE259="","",MAX(0,SUM($AE259,$AL259,$V259,$W259)))</f>
        <v/>
      </c>
      <c r="AN259" s="22">
        <f>IF($AM259="","",IF(AND($Q259="COMMITMENT",$R259&gt;=$AH259),$AI259,0))</f>
        <v/>
      </c>
      <c r="AO259" s="23">
        <f>IF($AM259="","",MAX(0,$AM259-$AN259))</f>
        <v/>
      </c>
      <c r="AP259" s="22">
        <f>IF($S259="","",IF(OR($S259="ITEM_PRICE_PLUS_DECLARED_DELIVERY",$S259="DELIVERY_CHARGE_ONLY"),$K259,IF($S259="TOTAL_AMOUNT_INCLUDING_DELIVERY",IF(OR($T259="",$J259=""),"",MAX(0,$T259-$J259-$U259)),IF($S259="ITEM_PRICE_ONLY_DELIVERY_PAID_BY_MERCHANT",0,""))))</f>
        <v/>
      </c>
      <c r="AQ259" s="23">
        <f>IF(OR($AP259="",$AO259=""),"",$AP259-$AO259)</f>
        <v/>
      </c>
      <c r="AR259" s="24">
        <f>IF($S259="EXACT_COLLECTION_AMOUNT","BREAKDOWN_REQUIRED",IF($AQ259="","",IF($AQ259&gt;0,"CREDIT_TO_MERCHANT",IF($AQ259&lt;0,"DEDUCT_FROM_MERCHANT","NO_ADJUSTMENT"))))</f>
        <v/>
      </c>
      <c r="AS259" s="23">
        <f>IF(OR($AQ259="",$AR259="BREAKDOWN_REQUIRED"),"",$AQ259)</f>
        <v/>
      </c>
      <c r="AT259" s="23">
        <f>IF(OR($AR259="",$AR259="BREAKDOWN_REQUIRED"),"",SUM($J259,$AQ259,$Y259)-$X259)</f>
        <v/>
      </c>
      <c r="AU259" s="25">
        <f>IF(AND($A259="",$B259="",$F259="",$H259="",$J259="",$K259="",$M259="",$S259=""),"",IF(OR($H259="",$Q259="",$M259="",$S259=""),"ERROR",IF(OR($J259&lt;0,$K259&lt;0,$M259&lt;0,$T259&lt;0,$U259&lt;0,$V259&lt;0,$W259&lt;0,$X259&lt;0,$Y259&lt;0),"ERROR",IF($AE259="","ERROR",IF(AND(OR($S259="ITEM_PRICE_PLUS_DECLARED_DELIVERY",$S259="TOTAL_AMOUNT_INCLUDING_DELIVERY",$S259="ITEM_PRICE_ONLY_DELIVERY_PAID_BY_MERCHANT"),$J259=""),"ERROR",IF(AND(OR($S259="ITEM_PRICE_PLUS_DECLARED_DELIVERY",$S259="DELIVERY_CHARGE_ONLY"),$K259=""),"ERROR",IF(AND(OR($S259="TOTAL_AMOUNT_INCLUDING_DELIVERY",$S259="EXACT_COLLECTION_AMOUNT"),$T259=""),"ERROR",IF(AND($S259="TOTAL_AMOUNT_INCLUDING_DELIVERY",$T259&lt;SUM($J259,$U259)),"ERROR",IF($S259="EXACT_COLLECTION_AMOUNT","REVIEW","OK")))))))))</f>
        <v/>
      </c>
      <c r="AV259" s="25">
        <f>IF($AU259="","",IF($H259="","Township required",IF($Q259="","Customer tier required",IF($M259="","Weight required",IF($S259="","Amount entry type required",IF(OR($J259&lt;0,$K259&lt;0,$M259&lt;0,$T259&lt;0,$U259&lt;0,$V259&lt;0,$W259&lt;0,$X259&lt;0,$Y259&lt;0),"Negative amounts are not allowed",IF($AE259="","Tariff not found for township and tier",IF(AND(OR($S259="ITEM_PRICE_PLUS_DECLARED_DELIVERY",$S259="TOTAL_AMOUNT_INCLUDING_DELIVERY",$S259="ITEM_PRICE_ONLY_DELIVERY_PAID_BY_MERCHANT"),$J259=""),"Item price required for this amount type",IF(AND(OR($S259="ITEM_PRICE_PLUS_DECLARED_DELIVERY",$S259="DELIVERY_CHARGE_ONLY"),$K259=""),"Declared delivery charge required",IF(AND(OR($S259="TOTAL_AMOUNT_INCLUDING_DELIVERY",$S259="EXACT_COLLECTION_AMOUNT"),$T259=""),"Stated total amount required",IF(AND($S259="TOTAL_AMOUNT_INCLUDING_DELIVERY",$T259&lt;SUM($J259,$U259)),"Stated total is below item price plus additional charge",IF($S259="EXACT_COLLECTION_AMOUNT","Authorized amount breakdown required before settlement","Ready for collection and settlement"))))))))))))</f>
        <v/>
      </c>
      <c r="AW259" s="23">
        <f>IF($AU259="","","PARCEL_FINANCIAL_V2")</f>
        <v/>
      </c>
      <c r="AX259" s="17" t="n"/>
    </row>
    <row r="260">
      <c r="A260" s="8" t="n"/>
      <c r="B260" s="8" t="n"/>
      <c r="C260" s="8" t="n"/>
      <c r="D260" s="8" t="n"/>
      <c r="E260" s="9" t="n"/>
      <c r="F260" s="9" t="n"/>
      <c r="G260" s="8" t="n"/>
      <c r="H260" s="9" t="n"/>
      <c r="I260" s="9" t="n"/>
      <c r="J260" s="10" t="n"/>
      <c r="K260" s="10" t="n"/>
      <c r="L260" s="11">
        <f>IF($S260="","",IF($S260="ITEM_PRICE_PLUS_DECLARED_DELIVERY",IF(OR($J260="",$K260=""),"",SUM($J260,$K260,$U260)),IF($S260="TOTAL_AMOUNT_INCLUDING_DELIVERY",IF($T260="","",$T260),IF($S260="DELIVERY_CHARGE_ONLY",IF($K260="","",SUM($K260,$U260)),IF($S260="EXACT_COLLECTION_AMOUNT",IF($T260="","",$T260),IF($S260="ITEM_PRICE_ONLY_DELIVERY_PAID_BY_MERCHANT",IF($J260="","",SUM($J260,$U260)),""))))))</f>
        <v/>
      </c>
      <c r="M260" s="12" t="n"/>
      <c r="N260" s="13" t="n"/>
      <c r="O260" s="13" t="n"/>
      <c r="P260" s="9" t="n"/>
      <c r="Q260" s="14" t="n"/>
      <c r="R260" s="15" t="n"/>
      <c r="S260" s="14" t="n"/>
      <c r="T260" s="16" t="n"/>
      <c r="U260" s="16" t="n"/>
      <c r="V260" s="16" t="n"/>
      <c r="W260" s="16" t="n"/>
      <c r="X260" s="16" t="n"/>
      <c r="Y260" s="16" t="n"/>
      <c r="Z260" s="14" t="n"/>
      <c r="AA260" s="14" t="n"/>
      <c r="AB260" s="14" t="n"/>
      <c r="AC260" s="17">
        <f>IFERROR(VLOOKUP($H260&amp;"|"&amp;$Q260,Tariff_Master!$A$2:$L$169,3,FALSE),"")</f>
        <v/>
      </c>
      <c r="AD260" s="17">
        <f>IFERROR(VLOOKUP($H260&amp;"|"&amp;$Q260,Tariff_Master!$A$2:$L$169,4,FALSE),"")</f>
        <v/>
      </c>
      <c r="AE260" s="18">
        <f>IFERROR(VLOOKUP($H260&amp;"|"&amp;$Q260,Tariff_Master!$A$2:$L$169,6,FALSE),"")</f>
        <v/>
      </c>
      <c r="AF260" s="19">
        <f>IFERROR(VLOOKUP($H260&amp;"|"&amp;$Q260,Tariff_Master!$A$2:$L$169,7,FALSE),"")</f>
        <v/>
      </c>
      <c r="AG260" s="18">
        <f>IFERROR(VLOOKUP($H260&amp;"|"&amp;$Q260,Tariff_Master!$A$2:$L$169,8,FALSE),"")</f>
        <v/>
      </c>
      <c r="AH260" s="20">
        <f>IFERROR(VLOOKUP($H260&amp;"|"&amp;$Q260,Tariff_Master!$A$2:$L$169,9,FALSE),"")</f>
        <v/>
      </c>
      <c r="AI260" s="18">
        <f>IFERROR(VLOOKUP($H260&amp;"|"&amp;$Q260,Tariff_Master!$A$2:$L$169,10,FALSE),"")</f>
        <v/>
      </c>
      <c r="AJ260" s="21">
        <f>IF($M260="","",ROUNDUP(MAX(0,$M260),0))</f>
        <v/>
      </c>
      <c r="AK260" s="21">
        <f>IF(OR($AJ260="",$AF260=""),"",MAX(0,$AJ260-$AF260))</f>
        <v/>
      </c>
      <c r="AL260" s="22">
        <f>IF(OR($AK260="",$AG260=""),"",MAX(0,$AK260*$AG260))</f>
        <v/>
      </c>
      <c r="AM260" s="22">
        <f>IF($AE260="","",MAX(0,SUM($AE260,$AL260,$V260,$W260)))</f>
        <v/>
      </c>
      <c r="AN260" s="22">
        <f>IF($AM260="","",IF(AND($Q260="COMMITMENT",$R260&gt;=$AH260),$AI260,0))</f>
        <v/>
      </c>
      <c r="AO260" s="23">
        <f>IF($AM260="","",MAX(0,$AM260-$AN260))</f>
        <v/>
      </c>
      <c r="AP260" s="22">
        <f>IF($S260="","",IF(OR($S260="ITEM_PRICE_PLUS_DECLARED_DELIVERY",$S260="DELIVERY_CHARGE_ONLY"),$K260,IF($S260="TOTAL_AMOUNT_INCLUDING_DELIVERY",IF(OR($T260="",$J260=""),"",MAX(0,$T260-$J260-$U260)),IF($S260="ITEM_PRICE_ONLY_DELIVERY_PAID_BY_MERCHANT",0,""))))</f>
        <v/>
      </c>
      <c r="AQ260" s="23">
        <f>IF(OR($AP260="",$AO260=""),"",$AP260-$AO260)</f>
        <v/>
      </c>
      <c r="AR260" s="24">
        <f>IF($S260="EXACT_COLLECTION_AMOUNT","BREAKDOWN_REQUIRED",IF($AQ260="","",IF($AQ260&gt;0,"CREDIT_TO_MERCHANT",IF($AQ260&lt;0,"DEDUCT_FROM_MERCHANT","NO_ADJUSTMENT"))))</f>
        <v/>
      </c>
      <c r="AS260" s="23">
        <f>IF(OR($AQ260="",$AR260="BREAKDOWN_REQUIRED"),"",$AQ260)</f>
        <v/>
      </c>
      <c r="AT260" s="23">
        <f>IF(OR($AR260="",$AR260="BREAKDOWN_REQUIRED"),"",SUM($J260,$AQ260,$Y260)-$X260)</f>
        <v/>
      </c>
      <c r="AU260" s="25">
        <f>IF(AND($A260="",$B260="",$F260="",$H260="",$J260="",$K260="",$M260="",$S260=""),"",IF(OR($H260="",$Q260="",$M260="",$S260=""),"ERROR",IF(OR($J260&lt;0,$K260&lt;0,$M260&lt;0,$T260&lt;0,$U260&lt;0,$V260&lt;0,$W260&lt;0,$X260&lt;0,$Y260&lt;0),"ERROR",IF($AE260="","ERROR",IF(AND(OR($S260="ITEM_PRICE_PLUS_DECLARED_DELIVERY",$S260="TOTAL_AMOUNT_INCLUDING_DELIVERY",$S260="ITEM_PRICE_ONLY_DELIVERY_PAID_BY_MERCHANT"),$J260=""),"ERROR",IF(AND(OR($S260="ITEM_PRICE_PLUS_DECLARED_DELIVERY",$S260="DELIVERY_CHARGE_ONLY"),$K260=""),"ERROR",IF(AND(OR($S260="TOTAL_AMOUNT_INCLUDING_DELIVERY",$S260="EXACT_COLLECTION_AMOUNT"),$T260=""),"ERROR",IF(AND($S260="TOTAL_AMOUNT_INCLUDING_DELIVERY",$T260&lt;SUM($J260,$U260)),"ERROR",IF($S260="EXACT_COLLECTION_AMOUNT","REVIEW","OK")))))))))</f>
        <v/>
      </c>
      <c r="AV260" s="25">
        <f>IF($AU260="","",IF($H260="","Township required",IF($Q260="","Customer tier required",IF($M260="","Weight required",IF($S260="","Amount entry type required",IF(OR($J260&lt;0,$K260&lt;0,$M260&lt;0,$T260&lt;0,$U260&lt;0,$V260&lt;0,$W260&lt;0,$X260&lt;0,$Y260&lt;0),"Negative amounts are not allowed",IF($AE260="","Tariff not found for township and tier",IF(AND(OR($S260="ITEM_PRICE_PLUS_DECLARED_DELIVERY",$S260="TOTAL_AMOUNT_INCLUDING_DELIVERY",$S260="ITEM_PRICE_ONLY_DELIVERY_PAID_BY_MERCHANT"),$J260=""),"Item price required for this amount type",IF(AND(OR($S260="ITEM_PRICE_PLUS_DECLARED_DELIVERY",$S260="DELIVERY_CHARGE_ONLY"),$K260=""),"Declared delivery charge required",IF(AND(OR($S260="TOTAL_AMOUNT_INCLUDING_DELIVERY",$S260="EXACT_COLLECTION_AMOUNT"),$T260=""),"Stated total amount required",IF(AND($S260="TOTAL_AMOUNT_INCLUDING_DELIVERY",$T260&lt;SUM($J260,$U260)),"Stated total is below item price plus additional charge",IF($S260="EXACT_COLLECTION_AMOUNT","Authorized amount breakdown required before settlement","Ready for collection and settlement"))))))))))))</f>
        <v/>
      </c>
      <c r="AW260" s="23">
        <f>IF($AU260="","","PARCEL_FINANCIAL_V2")</f>
        <v/>
      </c>
      <c r="AX260" s="17" t="n"/>
    </row>
    <row r="261">
      <c r="A261" s="8" t="n"/>
      <c r="B261" s="8" t="n"/>
      <c r="C261" s="8" t="n"/>
      <c r="D261" s="8" t="n"/>
      <c r="E261" s="9" t="n"/>
      <c r="F261" s="9" t="n"/>
      <c r="G261" s="8" t="n"/>
      <c r="H261" s="9" t="n"/>
      <c r="I261" s="9" t="n"/>
      <c r="J261" s="10" t="n"/>
      <c r="K261" s="10" t="n"/>
      <c r="L261" s="11">
        <f>IF($S261="","",IF($S261="ITEM_PRICE_PLUS_DECLARED_DELIVERY",IF(OR($J261="",$K261=""),"",SUM($J261,$K261,$U261)),IF($S261="TOTAL_AMOUNT_INCLUDING_DELIVERY",IF($T261="","",$T261),IF($S261="DELIVERY_CHARGE_ONLY",IF($K261="","",SUM($K261,$U261)),IF($S261="EXACT_COLLECTION_AMOUNT",IF($T261="","",$T261),IF($S261="ITEM_PRICE_ONLY_DELIVERY_PAID_BY_MERCHANT",IF($J261="","",SUM($J261,$U261)),""))))))</f>
        <v/>
      </c>
      <c r="M261" s="12" t="n"/>
      <c r="N261" s="13" t="n"/>
      <c r="O261" s="13" t="n"/>
      <c r="P261" s="9" t="n"/>
      <c r="Q261" s="14" t="n"/>
      <c r="R261" s="15" t="n"/>
      <c r="S261" s="14" t="n"/>
      <c r="T261" s="16" t="n"/>
      <c r="U261" s="16" t="n"/>
      <c r="V261" s="16" t="n"/>
      <c r="W261" s="16" t="n"/>
      <c r="X261" s="16" t="n"/>
      <c r="Y261" s="16" t="n"/>
      <c r="Z261" s="14" t="n"/>
      <c r="AA261" s="14" t="n"/>
      <c r="AB261" s="14" t="n"/>
      <c r="AC261" s="17">
        <f>IFERROR(VLOOKUP($H261&amp;"|"&amp;$Q261,Tariff_Master!$A$2:$L$169,3,FALSE),"")</f>
        <v/>
      </c>
      <c r="AD261" s="17">
        <f>IFERROR(VLOOKUP($H261&amp;"|"&amp;$Q261,Tariff_Master!$A$2:$L$169,4,FALSE),"")</f>
        <v/>
      </c>
      <c r="AE261" s="18">
        <f>IFERROR(VLOOKUP($H261&amp;"|"&amp;$Q261,Tariff_Master!$A$2:$L$169,6,FALSE),"")</f>
        <v/>
      </c>
      <c r="AF261" s="19">
        <f>IFERROR(VLOOKUP($H261&amp;"|"&amp;$Q261,Tariff_Master!$A$2:$L$169,7,FALSE),"")</f>
        <v/>
      </c>
      <c r="AG261" s="18">
        <f>IFERROR(VLOOKUP($H261&amp;"|"&amp;$Q261,Tariff_Master!$A$2:$L$169,8,FALSE),"")</f>
        <v/>
      </c>
      <c r="AH261" s="20">
        <f>IFERROR(VLOOKUP($H261&amp;"|"&amp;$Q261,Tariff_Master!$A$2:$L$169,9,FALSE),"")</f>
        <v/>
      </c>
      <c r="AI261" s="18">
        <f>IFERROR(VLOOKUP($H261&amp;"|"&amp;$Q261,Tariff_Master!$A$2:$L$169,10,FALSE),"")</f>
        <v/>
      </c>
      <c r="AJ261" s="21">
        <f>IF($M261="","",ROUNDUP(MAX(0,$M261),0))</f>
        <v/>
      </c>
      <c r="AK261" s="21">
        <f>IF(OR($AJ261="",$AF261=""),"",MAX(0,$AJ261-$AF261))</f>
        <v/>
      </c>
      <c r="AL261" s="22">
        <f>IF(OR($AK261="",$AG261=""),"",MAX(0,$AK261*$AG261))</f>
        <v/>
      </c>
      <c r="AM261" s="22">
        <f>IF($AE261="","",MAX(0,SUM($AE261,$AL261,$V261,$W261)))</f>
        <v/>
      </c>
      <c r="AN261" s="22">
        <f>IF($AM261="","",IF(AND($Q261="COMMITMENT",$R261&gt;=$AH261),$AI261,0))</f>
        <v/>
      </c>
      <c r="AO261" s="23">
        <f>IF($AM261="","",MAX(0,$AM261-$AN261))</f>
        <v/>
      </c>
      <c r="AP261" s="22">
        <f>IF($S261="","",IF(OR($S261="ITEM_PRICE_PLUS_DECLARED_DELIVERY",$S261="DELIVERY_CHARGE_ONLY"),$K261,IF($S261="TOTAL_AMOUNT_INCLUDING_DELIVERY",IF(OR($T261="",$J261=""),"",MAX(0,$T261-$J261-$U261)),IF($S261="ITEM_PRICE_ONLY_DELIVERY_PAID_BY_MERCHANT",0,""))))</f>
        <v/>
      </c>
      <c r="AQ261" s="23">
        <f>IF(OR($AP261="",$AO261=""),"",$AP261-$AO261)</f>
        <v/>
      </c>
      <c r="AR261" s="24">
        <f>IF($S261="EXACT_COLLECTION_AMOUNT","BREAKDOWN_REQUIRED",IF($AQ261="","",IF($AQ261&gt;0,"CREDIT_TO_MERCHANT",IF($AQ261&lt;0,"DEDUCT_FROM_MERCHANT","NO_ADJUSTMENT"))))</f>
        <v/>
      </c>
      <c r="AS261" s="23">
        <f>IF(OR($AQ261="",$AR261="BREAKDOWN_REQUIRED"),"",$AQ261)</f>
        <v/>
      </c>
      <c r="AT261" s="23">
        <f>IF(OR($AR261="",$AR261="BREAKDOWN_REQUIRED"),"",SUM($J261,$AQ261,$Y261)-$X261)</f>
        <v/>
      </c>
      <c r="AU261" s="25">
        <f>IF(AND($A261="",$B261="",$F261="",$H261="",$J261="",$K261="",$M261="",$S261=""),"",IF(OR($H261="",$Q261="",$M261="",$S261=""),"ERROR",IF(OR($J261&lt;0,$K261&lt;0,$M261&lt;0,$T261&lt;0,$U261&lt;0,$V261&lt;0,$W261&lt;0,$X261&lt;0,$Y261&lt;0),"ERROR",IF($AE261="","ERROR",IF(AND(OR($S261="ITEM_PRICE_PLUS_DECLARED_DELIVERY",$S261="TOTAL_AMOUNT_INCLUDING_DELIVERY",$S261="ITEM_PRICE_ONLY_DELIVERY_PAID_BY_MERCHANT"),$J261=""),"ERROR",IF(AND(OR($S261="ITEM_PRICE_PLUS_DECLARED_DELIVERY",$S261="DELIVERY_CHARGE_ONLY"),$K261=""),"ERROR",IF(AND(OR($S261="TOTAL_AMOUNT_INCLUDING_DELIVERY",$S261="EXACT_COLLECTION_AMOUNT"),$T261=""),"ERROR",IF(AND($S261="TOTAL_AMOUNT_INCLUDING_DELIVERY",$T261&lt;SUM($J261,$U261)),"ERROR",IF($S261="EXACT_COLLECTION_AMOUNT","REVIEW","OK")))))))))</f>
        <v/>
      </c>
      <c r="AV261" s="25">
        <f>IF($AU261="","",IF($H261="","Township required",IF($Q261="","Customer tier required",IF($M261="","Weight required",IF($S261="","Amount entry type required",IF(OR($J261&lt;0,$K261&lt;0,$M261&lt;0,$T261&lt;0,$U261&lt;0,$V261&lt;0,$W261&lt;0,$X261&lt;0,$Y261&lt;0),"Negative amounts are not allowed",IF($AE261="","Tariff not found for township and tier",IF(AND(OR($S261="ITEM_PRICE_PLUS_DECLARED_DELIVERY",$S261="TOTAL_AMOUNT_INCLUDING_DELIVERY",$S261="ITEM_PRICE_ONLY_DELIVERY_PAID_BY_MERCHANT"),$J261=""),"Item price required for this amount type",IF(AND(OR($S261="ITEM_PRICE_PLUS_DECLARED_DELIVERY",$S261="DELIVERY_CHARGE_ONLY"),$K261=""),"Declared delivery charge required",IF(AND(OR($S261="TOTAL_AMOUNT_INCLUDING_DELIVERY",$S261="EXACT_COLLECTION_AMOUNT"),$T261=""),"Stated total amount required",IF(AND($S261="TOTAL_AMOUNT_INCLUDING_DELIVERY",$T261&lt;SUM($J261,$U261)),"Stated total is below item price plus additional charge",IF($S261="EXACT_COLLECTION_AMOUNT","Authorized amount breakdown required before settlement","Ready for collection and settlement"))))))))))))</f>
        <v/>
      </c>
      <c r="AW261" s="23">
        <f>IF($AU261="","","PARCEL_FINANCIAL_V2")</f>
        <v/>
      </c>
      <c r="AX261" s="17" t="n"/>
    </row>
    <row r="262">
      <c r="A262" s="8" t="n"/>
      <c r="B262" s="8" t="n"/>
      <c r="C262" s="8" t="n"/>
      <c r="D262" s="8" t="n"/>
      <c r="E262" s="9" t="n"/>
      <c r="F262" s="9" t="n"/>
      <c r="G262" s="8" t="n"/>
      <c r="H262" s="9" t="n"/>
      <c r="I262" s="9" t="n"/>
      <c r="J262" s="10" t="n"/>
      <c r="K262" s="10" t="n"/>
      <c r="L262" s="11">
        <f>IF($S262="","",IF($S262="ITEM_PRICE_PLUS_DECLARED_DELIVERY",IF(OR($J262="",$K262=""),"",SUM($J262,$K262,$U262)),IF($S262="TOTAL_AMOUNT_INCLUDING_DELIVERY",IF($T262="","",$T262),IF($S262="DELIVERY_CHARGE_ONLY",IF($K262="","",SUM($K262,$U262)),IF($S262="EXACT_COLLECTION_AMOUNT",IF($T262="","",$T262),IF($S262="ITEM_PRICE_ONLY_DELIVERY_PAID_BY_MERCHANT",IF($J262="","",SUM($J262,$U262)),""))))))</f>
        <v/>
      </c>
      <c r="M262" s="12" t="n"/>
      <c r="N262" s="13" t="n"/>
      <c r="O262" s="13" t="n"/>
      <c r="P262" s="9" t="n"/>
      <c r="Q262" s="14" t="n"/>
      <c r="R262" s="15" t="n"/>
      <c r="S262" s="14" t="n"/>
      <c r="T262" s="16" t="n"/>
      <c r="U262" s="16" t="n"/>
      <c r="V262" s="16" t="n"/>
      <c r="W262" s="16" t="n"/>
      <c r="X262" s="16" t="n"/>
      <c r="Y262" s="16" t="n"/>
      <c r="Z262" s="14" t="n"/>
      <c r="AA262" s="14" t="n"/>
      <c r="AB262" s="14" t="n"/>
      <c r="AC262" s="17">
        <f>IFERROR(VLOOKUP($H262&amp;"|"&amp;$Q262,Tariff_Master!$A$2:$L$169,3,FALSE),"")</f>
        <v/>
      </c>
      <c r="AD262" s="17">
        <f>IFERROR(VLOOKUP($H262&amp;"|"&amp;$Q262,Tariff_Master!$A$2:$L$169,4,FALSE),"")</f>
        <v/>
      </c>
      <c r="AE262" s="18">
        <f>IFERROR(VLOOKUP($H262&amp;"|"&amp;$Q262,Tariff_Master!$A$2:$L$169,6,FALSE),"")</f>
        <v/>
      </c>
      <c r="AF262" s="19">
        <f>IFERROR(VLOOKUP($H262&amp;"|"&amp;$Q262,Tariff_Master!$A$2:$L$169,7,FALSE),"")</f>
        <v/>
      </c>
      <c r="AG262" s="18">
        <f>IFERROR(VLOOKUP($H262&amp;"|"&amp;$Q262,Tariff_Master!$A$2:$L$169,8,FALSE),"")</f>
        <v/>
      </c>
      <c r="AH262" s="20">
        <f>IFERROR(VLOOKUP($H262&amp;"|"&amp;$Q262,Tariff_Master!$A$2:$L$169,9,FALSE),"")</f>
        <v/>
      </c>
      <c r="AI262" s="18">
        <f>IFERROR(VLOOKUP($H262&amp;"|"&amp;$Q262,Tariff_Master!$A$2:$L$169,10,FALSE),"")</f>
        <v/>
      </c>
      <c r="AJ262" s="21">
        <f>IF($M262="","",ROUNDUP(MAX(0,$M262),0))</f>
        <v/>
      </c>
      <c r="AK262" s="21">
        <f>IF(OR($AJ262="",$AF262=""),"",MAX(0,$AJ262-$AF262))</f>
        <v/>
      </c>
      <c r="AL262" s="22">
        <f>IF(OR($AK262="",$AG262=""),"",MAX(0,$AK262*$AG262))</f>
        <v/>
      </c>
      <c r="AM262" s="22">
        <f>IF($AE262="","",MAX(0,SUM($AE262,$AL262,$V262,$W262)))</f>
        <v/>
      </c>
      <c r="AN262" s="22">
        <f>IF($AM262="","",IF(AND($Q262="COMMITMENT",$R262&gt;=$AH262),$AI262,0))</f>
        <v/>
      </c>
      <c r="AO262" s="23">
        <f>IF($AM262="","",MAX(0,$AM262-$AN262))</f>
        <v/>
      </c>
      <c r="AP262" s="22">
        <f>IF($S262="","",IF(OR($S262="ITEM_PRICE_PLUS_DECLARED_DELIVERY",$S262="DELIVERY_CHARGE_ONLY"),$K262,IF($S262="TOTAL_AMOUNT_INCLUDING_DELIVERY",IF(OR($T262="",$J262=""),"",MAX(0,$T262-$J262-$U262)),IF($S262="ITEM_PRICE_ONLY_DELIVERY_PAID_BY_MERCHANT",0,""))))</f>
        <v/>
      </c>
      <c r="AQ262" s="23">
        <f>IF(OR($AP262="",$AO262=""),"",$AP262-$AO262)</f>
        <v/>
      </c>
      <c r="AR262" s="24">
        <f>IF($S262="EXACT_COLLECTION_AMOUNT","BREAKDOWN_REQUIRED",IF($AQ262="","",IF($AQ262&gt;0,"CREDIT_TO_MERCHANT",IF($AQ262&lt;0,"DEDUCT_FROM_MERCHANT","NO_ADJUSTMENT"))))</f>
        <v/>
      </c>
      <c r="AS262" s="23">
        <f>IF(OR($AQ262="",$AR262="BREAKDOWN_REQUIRED"),"",$AQ262)</f>
        <v/>
      </c>
      <c r="AT262" s="23">
        <f>IF(OR($AR262="",$AR262="BREAKDOWN_REQUIRED"),"",SUM($J262,$AQ262,$Y262)-$X262)</f>
        <v/>
      </c>
      <c r="AU262" s="25">
        <f>IF(AND($A262="",$B262="",$F262="",$H262="",$J262="",$K262="",$M262="",$S262=""),"",IF(OR($H262="",$Q262="",$M262="",$S262=""),"ERROR",IF(OR($J262&lt;0,$K262&lt;0,$M262&lt;0,$T262&lt;0,$U262&lt;0,$V262&lt;0,$W262&lt;0,$X262&lt;0,$Y262&lt;0),"ERROR",IF($AE262="","ERROR",IF(AND(OR($S262="ITEM_PRICE_PLUS_DECLARED_DELIVERY",$S262="TOTAL_AMOUNT_INCLUDING_DELIVERY",$S262="ITEM_PRICE_ONLY_DELIVERY_PAID_BY_MERCHANT"),$J262=""),"ERROR",IF(AND(OR($S262="ITEM_PRICE_PLUS_DECLARED_DELIVERY",$S262="DELIVERY_CHARGE_ONLY"),$K262=""),"ERROR",IF(AND(OR($S262="TOTAL_AMOUNT_INCLUDING_DELIVERY",$S262="EXACT_COLLECTION_AMOUNT"),$T262=""),"ERROR",IF(AND($S262="TOTAL_AMOUNT_INCLUDING_DELIVERY",$T262&lt;SUM($J262,$U262)),"ERROR",IF($S262="EXACT_COLLECTION_AMOUNT","REVIEW","OK")))))))))</f>
        <v/>
      </c>
      <c r="AV262" s="25">
        <f>IF($AU262="","",IF($H262="","Township required",IF($Q262="","Customer tier required",IF($M262="","Weight required",IF($S262="","Amount entry type required",IF(OR($J262&lt;0,$K262&lt;0,$M262&lt;0,$T262&lt;0,$U262&lt;0,$V262&lt;0,$W262&lt;0,$X262&lt;0,$Y262&lt;0),"Negative amounts are not allowed",IF($AE262="","Tariff not found for township and tier",IF(AND(OR($S262="ITEM_PRICE_PLUS_DECLARED_DELIVERY",$S262="TOTAL_AMOUNT_INCLUDING_DELIVERY",$S262="ITEM_PRICE_ONLY_DELIVERY_PAID_BY_MERCHANT"),$J262=""),"Item price required for this amount type",IF(AND(OR($S262="ITEM_PRICE_PLUS_DECLARED_DELIVERY",$S262="DELIVERY_CHARGE_ONLY"),$K262=""),"Declared delivery charge required",IF(AND(OR($S262="TOTAL_AMOUNT_INCLUDING_DELIVERY",$S262="EXACT_COLLECTION_AMOUNT"),$T262=""),"Stated total amount required",IF(AND($S262="TOTAL_AMOUNT_INCLUDING_DELIVERY",$T262&lt;SUM($J262,$U262)),"Stated total is below item price plus additional charge",IF($S262="EXACT_COLLECTION_AMOUNT","Authorized amount breakdown required before settlement","Ready for collection and settlement"))))))))))))</f>
        <v/>
      </c>
      <c r="AW262" s="23">
        <f>IF($AU262="","","PARCEL_FINANCIAL_V2")</f>
        <v/>
      </c>
      <c r="AX262" s="17" t="n"/>
    </row>
    <row r="263">
      <c r="A263" s="8" t="n"/>
      <c r="B263" s="8" t="n"/>
      <c r="C263" s="8" t="n"/>
      <c r="D263" s="8" t="n"/>
      <c r="E263" s="9" t="n"/>
      <c r="F263" s="9" t="n"/>
      <c r="G263" s="8" t="n"/>
      <c r="H263" s="9" t="n"/>
      <c r="I263" s="9" t="n"/>
      <c r="J263" s="10" t="n"/>
      <c r="K263" s="10" t="n"/>
      <c r="L263" s="11">
        <f>IF($S263="","",IF($S263="ITEM_PRICE_PLUS_DECLARED_DELIVERY",IF(OR($J263="",$K263=""),"",SUM($J263,$K263,$U263)),IF($S263="TOTAL_AMOUNT_INCLUDING_DELIVERY",IF($T263="","",$T263),IF($S263="DELIVERY_CHARGE_ONLY",IF($K263="","",SUM($K263,$U263)),IF($S263="EXACT_COLLECTION_AMOUNT",IF($T263="","",$T263),IF($S263="ITEM_PRICE_ONLY_DELIVERY_PAID_BY_MERCHANT",IF($J263="","",SUM($J263,$U263)),""))))))</f>
        <v/>
      </c>
      <c r="M263" s="12" t="n"/>
      <c r="N263" s="13" t="n"/>
      <c r="O263" s="13" t="n"/>
      <c r="P263" s="9" t="n"/>
      <c r="Q263" s="14" t="n"/>
      <c r="R263" s="15" t="n"/>
      <c r="S263" s="14" t="n"/>
      <c r="T263" s="16" t="n"/>
      <c r="U263" s="16" t="n"/>
      <c r="V263" s="16" t="n"/>
      <c r="W263" s="16" t="n"/>
      <c r="X263" s="16" t="n"/>
      <c r="Y263" s="16" t="n"/>
      <c r="Z263" s="14" t="n"/>
      <c r="AA263" s="14" t="n"/>
      <c r="AB263" s="14" t="n"/>
      <c r="AC263" s="17">
        <f>IFERROR(VLOOKUP($H263&amp;"|"&amp;$Q263,Tariff_Master!$A$2:$L$169,3,FALSE),"")</f>
        <v/>
      </c>
      <c r="AD263" s="17">
        <f>IFERROR(VLOOKUP($H263&amp;"|"&amp;$Q263,Tariff_Master!$A$2:$L$169,4,FALSE),"")</f>
        <v/>
      </c>
      <c r="AE263" s="18">
        <f>IFERROR(VLOOKUP($H263&amp;"|"&amp;$Q263,Tariff_Master!$A$2:$L$169,6,FALSE),"")</f>
        <v/>
      </c>
      <c r="AF263" s="19">
        <f>IFERROR(VLOOKUP($H263&amp;"|"&amp;$Q263,Tariff_Master!$A$2:$L$169,7,FALSE),"")</f>
        <v/>
      </c>
      <c r="AG263" s="18">
        <f>IFERROR(VLOOKUP($H263&amp;"|"&amp;$Q263,Tariff_Master!$A$2:$L$169,8,FALSE),"")</f>
        <v/>
      </c>
      <c r="AH263" s="20">
        <f>IFERROR(VLOOKUP($H263&amp;"|"&amp;$Q263,Tariff_Master!$A$2:$L$169,9,FALSE),"")</f>
        <v/>
      </c>
      <c r="AI263" s="18">
        <f>IFERROR(VLOOKUP($H263&amp;"|"&amp;$Q263,Tariff_Master!$A$2:$L$169,10,FALSE),"")</f>
        <v/>
      </c>
      <c r="AJ263" s="21">
        <f>IF($M263="","",ROUNDUP(MAX(0,$M263),0))</f>
        <v/>
      </c>
      <c r="AK263" s="21">
        <f>IF(OR($AJ263="",$AF263=""),"",MAX(0,$AJ263-$AF263))</f>
        <v/>
      </c>
      <c r="AL263" s="22">
        <f>IF(OR($AK263="",$AG263=""),"",MAX(0,$AK263*$AG263))</f>
        <v/>
      </c>
      <c r="AM263" s="22">
        <f>IF($AE263="","",MAX(0,SUM($AE263,$AL263,$V263,$W263)))</f>
        <v/>
      </c>
      <c r="AN263" s="22">
        <f>IF($AM263="","",IF(AND($Q263="COMMITMENT",$R263&gt;=$AH263),$AI263,0))</f>
        <v/>
      </c>
      <c r="AO263" s="23">
        <f>IF($AM263="","",MAX(0,$AM263-$AN263))</f>
        <v/>
      </c>
      <c r="AP263" s="22">
        <f>IF($S263="","",IF(OR($S263="ITEM_PRICE_PLUS_DECLARED_DELIVERY",$S263="DELIVERY_CHARGE_ONLY"),$K263,IF($S263="TOTAL_AMOUNT_INCLUDING_DELIVERY",IF(OR($T263="",$J263=""),"",MAX(0,$T263-$J263-$U263)),IF($S263="ITEM_PRICE_ONLY_DELIVERY_PAID_BY_MERCHANT",0,""))))</f>
        <v/>
      </c>
      <c r="AQ263" s="23">
        <f>IF(OR($AP263="",$AO263=""),"",$AP263-$AO263)</f>
        <v/>
      </c>
      <c r="AR263" s="24">
        <f>IF($S263="EXACT_COLLECTION_AMOUNT","BREAKDOWN_REQUIRED",IF($AQ263="","",IF($AQ263&gt;0,"CREDIT_TO_MERCHANT",IF($AQ263&lt;0,"DEDUCT_FROM_MERCHANT","NO_ADJUSTMENT"))))</f>
        <v/>
      </c>
      <c r="AS263" s="23">
        <f>IF(OR($AQ263="",$AR263="BREAKDOWN_REQUIRED"),"",$AQ263)</f>
        <v/>
      </c>
      <c r="AT263" s="23">
        <f>IF(OR($AR263="",$AR263="BREAKDOWN_REQUIRED"),"",SUM($J263,$AQ263,$Y263)-$X263)</f>
        <v/>
      </c>
      <c r="AU263" s="25">
        <f>IF(AND($A263="",$B263="",$F263="",$H263="",$J263="",$K263="",$M263="",$S263=""),"",IF(OR($H263="",$Q263="",$M263="",$S263=""),"ERROR",IF(OR($J263&lt;0,$K263&lt;0,$M263&lt;0,$T263&lt;0,$U263&lt;0,$V263&lt;0,$W263&lt;0,$X263&lt;0,$Y263&lt;0),"ERROR",IF($AE263="","ERROR",IF(AND(OR($S263="ITEM_PRICE_PLUS_DECLARED_DELIVERY",$S263="TOTAL_AMOUNT_INCLUDING_DELIVERY",$S263="ITEM_PRICE_ONLY_DELIVERY_PAID_BY_MERCHANT"),$J263=""),"ERROR",IF(AND(OR($S263="ITEM_PRICE_PLUS_DECLARED_DELIVERY",$S263="DELIVERY_CHARGE_ONLY"),$K263=""),"ERROR",IF(AND(OR($S263="TOTAL_AMOUNT_INCLUDING_DELIVERY",$S263="EXACT_COLLECTION_AMOUNT"),$T263=""),"ERROR",IF(AND($S263="TOTAL_AMOUNT_INCLUDING_DELIVERY",$T263&lt;SUM($J263,$U263)),"ERROR",IF($S263="EXACT_COLLECTION_AMOUNT","REVIEW","OK")))))))))</f>
        <v/>
      </c>
      <c r="AV263" s="25">
        <f>IF($AU263="","",IF($H263="","Township required",IF($Q263="","Customer tier required",IF($M263="","Weight required",IF($S263="","Amount entry type required",IF(OR($J263&lt;0,$K263&lt;0,$M263&lt;0,$T263&lt;0,$U263&lt;0,$V263&lt;0,$W263&lt;0,$X263&lt;0,$Y263&lt;0),"Negative amounts are not allowed",IF($AE263="","Tariff not found for township and tier",IF(AND(OR($S263="ITEM_PRICE_PLUS_DECLARED_DELIVERY",$S263="TOTAL_AMOUNT_INCLUDING_DELIVERY",$S263="ITEM_PRICE_ONLY_DELIVERY_PAID_BY_MERCHANT"),$J263=""),"Item price required for this amount type",IF(AND(OR($S263="ITEM_PRICE_PLUS_DECLARED_DELIVERY",$S263="DELIVERY_CHARGE_ONLY"),$K263=""),"Declared delivery charge required",IF(AND(OR($S263="TOTAL_AMOUNT_INCLUDING_DELIVERY",$S263="EXACT_COLLECTION_AMOUNT"),$T263=""),"Stated total amount required",IF(AND($S263="TOTAL_AMOUNT_INCLUDING_DELIVERY",$T263&lt;SUM($J263,$U263)),"Stated total is below item price plus additional charge",IF($S263="EXACT_COLLECTION_AMOUNT","Authorized amount breakdown required before settlement","Ready for collection and settlement"))))))))))))</f>
        <v/>
      </c>
      <c r="AW263" s="23">
        <f>IF($AU263="","","PARCEL_FINANCIAL_V2")</f>
        <v/>
      </c>
      <c r="AX263" s="17" t="n"/>
    </row>
    <row r="264">
      <c r="A264" s="8" t="n"/>
      <c r="B264" s="8" t="n"/>
      <c r="C264" s="8" t="n"/>
      <c r="D264" s="8" t="n"/>
      <c r="E264" s="9" t="n"/>
      <c r="F264" s="9" t="n"/>
      <c r="G264" s="8" t="n"/>
      <c r="H264" s="9" t="n"/>
      <c r="I264" s="9" t="n"/>
      <c r="J264" s="10" t="n"/>
      <c r="K264" s="10" t="n"/>
      <c r="L264" s="11">
        <f>IF($S264="","",IF($S264="ITEM_PRICE_PLUS_DECLARED_DELIVERY",IF(OR($J264="",$K264=""),"",SUM($J264,$K264,$U264)),IF($S264="TOTAL_AMOUNT_INCLUDING_DELIVERY",IF($T264="","",$T264),IF($S264="DELIVERY_CHARGE_ONLY",IF($K264="","",SUM($K264,$U264)),IF($S264="EXACT_COLLECTION_AMOUNT",IF($T264="","",$T264),IF($S264="ITEM_PRICE_ONLY_DELIVERY_PAID_BY_MERCHANT",IF($J264="","",SUM($J264,$U264)),""))))))</f>
        <v/>
      </c>
      <c r="M264" s="12" t="n"/>
      <c r="N264" s="13" t="n"/>
      <c r="O264" s="13" t="n"/>
      <c r="P264" s="9" t="n"/>
      <c r="Q264" s="14" t="n"/>
      <c r="R264" s="15" t="n"/>
      <c r="S264" s="14" t="n"/>
      <c r="T264" s="16" t="n"/>
      <c r="U264" s="16" t="n"/>
      <c r="V264" s="16" t="n"/>
      <c r="W264" s="16" t="n"/>
      <c r="X264" s="16" t="n"/>
      <c r="Y264" s="16" t="n"/>
      <c r="Z264" s="14" t="n"/>
      <c r="AA264" s="14" t="n"/>
      <c r="AB264" s="14" t="n"/>
      <c r="AC264" s="17">
        <f>IFERROR(VLOOKUP($H264&amp;"|"&amp;$Q264,Tariff_Master!$A$2:$L$169,3,FALSE),"")</f>
        <v/>
      </c>
      <c r="AD264" s="17">
        <f>IFERROR(VLOOKUP($H264&amp;"|"&amp;$Q264,Tariff_Master!$A$2:$L$169,4,FALSE),"")</f>
        <v/>
      </c>
      <c r="AE264" s="18">
        <f>IFERROR(VLOOKUP($H264&amp;"|"&amp;$Q264,Tariff_Master!$A$2:$L$169,6,FALSE),"")</f>
        <v/>
      </c>
      <c r="AF264" s="19">
        <f>IFERROR(VLOOKUP($H264&amp;"|"&amp;$Q264,Tariff_Master!$A$2:$L$169,7,FALSE),"")</f>
        <v/>
      </c>
      <c r="AG264" s="18">
        <f>IFERROR(VLOOKUP($H264&amp;"|"&amp;$Q264,Tariff_Master!$A$2:$L$169,8,FALSE),"")</f>
        <v/>
      </c>
      <c r="AH264" s="20">
        <f>IFERROR(VLOOKUP($H264&amp;"|"&amp;$Q264,Tariff_Master!$A$2:$L$169,9,FALSE),"")</f>
        <v/>
      </c>
      <c r="AI264" s="18">
        <f>IFERROR(VLOOKUP($H264&amp;"|"&amp;$Q264,Tariff_Master!$A$2:$L$169,10,FALSE),"")</f>
        <v/>
      </c>
      <c r="AJ264" s="21">
        <f>IF($M264="","",ROUNDUP(MAX(0,$M264),0))</f>
        <v/>
      </c>
      <c r="AK264" s="21">
        <f>IF(OR($AJ264="",$AF264=""),"",MAX(0,$AJ264-$AF264))</f>
        <v/>
      </c>
      <c r="AL264" s="22">
        <f>IF(OR($AK264="",$AG264=""),"",MAX(0,$AK264*$AG264))</f>
        <v/>
      </c>
      <c r="AM264" s="22">
        <f>IF($AE264="","",MAX(0,SUM($AE264,$AL264,$V264,$W264)))</f>
        <v/>
      </c>
      <c r="AN264" s="22">
        <f>IF($AM264="","",IF(AND($Q264="COMMITMENT",$R264&gt;=$AH264),$AI264,0))</f>
        <v/>
      </c>
      <c r="AO264" s="23">
        <f>IF($AM264="","",MAX(0,$AM264-$AN264))</f>
        <v/>
      </c>
      <c r="AP264" s="22">
        <f>IF($S264="","",IF(OR($S264="ITEM_PRICE_PLUS_DECLARED_DELIVERY",$S264="DELIVERY_CHARGE_ONLY"),$K264,IF($S264="TOTAL_AMOUNT_INCLUDING_DELIVERY",IF(OR($T264="",$J264=""),"",MAX(0,$T264-$J264-$U264)),IF($S264="ITEM_PRICE_ONLY_DELIVERY_PAID_BY_MERCHANT",0,""))))</f>
        <v/>
      </c>
      <c r="AQ264" s="23">
        <f>IF(OR($AP264="",$AO264=""),"",$AP264-$AO264)</f>
        <v/>
      </c>
      <c r="AR264" s="24">
        <f>IF($S264="EXACT_COLLECTION_AMOUNT","BREAKDOWN_REQUIRED",IF($AQ264="","",IF($AQ264&gt;0,"CREDIT_TO_MERCHANT",IF($AQ264&lt;0,"DEDUCT_FROM_MERCHANT","NO_ADJUSTMENT"))))</f>
        <v/>
      </c>
      <c r="AS264" s="23">
        <f>IF(OR($AQ264="",$AR264="BREAKDOWN_REQUIRED"),"",$AQ264)</f>
        <v/>
      </c>
      <c r="AT264" s="23">
        <f>IF(OR($AR264="",$AR264="BREAKDOWN_REQUIRED"),"",SUM($J264,$AQ264,$Y264)-$X264)</f>
        <v/>
      </c>
      <c r="AU264" s="25">
        <f>IF(AND($A264="",$B264="",$F264="",$H264="",$J264="",$K264="",$M264="",$S264=""),"",IF(OR($H264="",$Q264="",$M264="",$S264=""),"ERROR",IF(OR($J264&lt;0,$K264&lt;0,$M264&lt;0,$T264&lt;0,$U264&lt;0,$V264&lt;0,$W264&lt;0,$X264&lt;0,$Y264&lt;0),"ERROR",IF($AE264="","ERROR",IF(AND(OR($S264="ITEM_PRICE_PLUS_DECLARED_DELIVERY",$S264="TOTAL_AMOUNT_INCLUDING_DELIVERY",$S264="ITEM_PRICE_ONLY_DELIVERY_PAID_BY_MERCHANT"),$J264=""),"ERROR",IF(AND(OR($S264="ITEM_PRICE_PLUS_DECLARED_DELIVERY",$S264="DELIVERY_CHARGE_ONLY"),$K264=""),"ERROR",IF(AND(OR($S264="TOTAL_AMOUNT_INCLUDING_DELIVERY",$S264="EXACT_COLLECTION_AMOUNT"),$T264=""),"ERROR",IF(AND($S264="TOTAL_AMOUNT_INCLUDING_DELIVERY",$T264&lt;SUM($J264,$U264)),"ERROR",IF($S264="EXACT_COLLECTION_AMOUNT","REVIEW","OK")))))))))</f>
        <v/>
      </c>
      <c r="AV264" s="25">
        <f>IF($AU264="","",IF($H264="","Township required",IF($Q264="","Customer tier required",IF($M264="","Weight required",IF($S264="","Amount entry type required",IF(OR($J264&lt;0,$K264&lt;0,$M264&lt;0,$T264&lt;0,$U264&lt;0,$V264&lt;0,$W264&lt;0,$X264&lt;0,$Y264&lt;0),"Negative amounts are not allowed",IF($AE264="","Tariff not found for township and tier",IF(AND(OR($S264="ITEM_PRICE_PLUS_DECLARED_DELIVERY",$S264="TOTAL_AMOUNT_INCLUDING_DELIVERY",$S264="ITEM_PRICE_ONLY_DELIVERY_PAID_BY_MERCHANT"),$J264=""),"Item price required for this amount type",IF(AND(OR($S264="ITEM_PRICE_PLUS_DECLARED_DELIVERY",$S264="DELIVERY_CHARGE_ONLY"),$K264=""),"Declared delivery charge required",IF(AND(OR($S264="TOTAL_AMOUNT_INCLUDING_DELIVERY",$S264="EXACT_COLLECTION_AMOUNT"),$T264=""),"Stated total amount required",IF(AND($S264="TOTAL_AMOUNT_INCLUDING_DELIVERY",$T264&lt;SUM($J264,$U264)),"Stated total is below item price plus additional charge",IF($S264="EXACT_COLLECTION_AMOUNT","Authorized amount breakdown required before settlement","Ready for collection and settlement"))))))))))))</f>
        <v/>
      </c>
      <c r="AW264" s="23">
        <f>IF($AU264="","","PARCEL_FINANCIAL_V2")</f>
        <v/>
      </c>
      <c r="AX264" s="17" t="n"/>
    </row>
    <row r="265">
      <c r="A265" s="8" t="n"/>
      <c r="B265" s="8" t="n"/>
      <c r="C265" s="8" t="n"/>
      <c r="D265" s="8" t="n"/>
      <c r="E265" s="9" t="n"/>
      <c r="F265" s="9" t="n"/>
      <c r="G265" s="8" t="n"/>
      <c r="H265" s="9" t="n"/>
      <c r="I265" s="9" t="n"/>
      <c r="J265" s="10" t="n"/>
      <c r="K265" s="10" t="n"/>
      <c r="L265" s="11">
        <f>IF($S265="","",IF($S265="ITEM_PRICE_PLUS_DECLARED_DELIVERY",IF(OR($J265="",$K265=""),"",SUM($J265,$K265,$U265)),IF($S265="TOTAL_AMOUNT_INCLUDING_DELIVERY",IF($T265="","",$T265),IF($S265="DELIVERY_CHARGE_ONLY",IF($K265="","",SUM($K265,$U265)),IF($S265="EXACT_COLLECTION_AMOUNT",IF($T265="","",$T265),IF($S265="ITEM_PRICE_ONLY_DELIVERY_PAID_BY_MERCHANT",IF($J265="","",SUM($J265,$U265)),""))))))</f>
        <v/>
      </c>
      <c r="M265" s="12" t="n"/>
      <c r="N265" s="13" t="n"/>
      <c r="O265" s="13" t="n"/>
      <c r="P265" s="9" t="n"/>
      <c r="Q265" s="14" t="n"/>
      <c r="R265" s="15" t="n"/>
      <c r="S265" s="14" t="n"/>
      <c r="T265" s="16" t="n"/>
      <c r="U265" s="16" t="n"/>
      <c r="V265" s="16" t="n"/>
      <c r="W265" s="16" t="n"/>
      <c r="X265" s="16" t="n"/>
      <c r="Y265" s="16" t="n"/>
      <c r="Z265" s="14" t="n"/>
      <c r="AA265" s="14" t="n"/>
      <c r="AB265" s="14" t="n"/>
      <c r="AC265" s="17">
        <f>IFERROR(VLOOKUP($H265&amp;"|"&amp;$Q265,Tariff_Master!$A$2:$L$169,3,FALSE),"")</f>
        <v/>
      </c>
      <c r="AD265" s="17">
        <f>IFERROR(VLOOKUP($H265&amp;"|"&amp;$Q265,Tariff_Master!$A$2:$L$169,4,FALSE),"")</f>
        <v/>
      </c>
      <c r="AE265" s="18">
        <f>IFERROR(VLOOKUP($H265&amp;"|"&amp;$Q265,Tariff_Master!$A$2:$L$169,6,FALSE),"")</f>
        <v/>
      </c>
      <c r="AF265" s="19">
        <f>IFERROR(VLOOKUP($H265&amp;"|"&amp;$Q265,Tariff_Master!$A$2:$L$169,7,FALSE),"")</f>
        <v/>
      </c>
      <c r="AG265" s="18">
        <f>IFERROR(VLOOKUP($H265&amp;"|"&amp;$Q265,Tariff_Master!$A$2:$L$169,8,FALSE),"")</f>
        <v/>
      </c>
      <c r="AH265" s="20">
        <f>IFERROR(VLOOKUP($H265&amp;"|"&amp;$Q265,Tariff_Master!$A$2:$L$169,9,FALSE),"")</f>
        <v/>
      </c>
      <c r="AI265" s="18">
        <f>IFERROR(VLOOKUP($H265&amp;"|"&amp;$Q265,Tariff_Master!$A$2:$L$169,10,FALSE),"")</f>
        <v/>
      </c>
      <c r="AJ265" s="21">
        <f>IF($M265="","",ROUNDUP(MAX(0,$M265),0))</f>
        <v/>
      </c>
      <c r="AK265" s="21">
        <f>IF(OR($AJ265="",$AF265=""),"",MAX(0,$AJ265-$AF265))</f>
        <v/>
      </c>
      <c r="AL265" s="22">
        <f>IF(OR($AK265="",$AG265=""),"",MAX(0,$AK265*$AG265))</f>
        <v/>
      </c>
      <c r="AM265" s="22">
        <f>IF($AE265="","",MAX(0,SUM($AE265,$AL265,$V265,$W265)))</f>
        <v/>
      </c>
      <c r="AN265" s="22">
        <f>IF($AM265="","",IF(AND($Q265="COMMITMENT",$R265&gt;=$AH265),$AI265,0))</f>
        <v/>
      </c>
      <c r="AO265" s="23">
        <f>IF($AM265="","",MAX(0,$AM265-$AN265))</f>
        <v/>
      </c>
      <c r="AP265" s="22">
        <f>IF($S265="","",IF(OR($S265="ITEM_PRICE_PLUS_DECLARED_DELIVERY",$S265="DELIVERY_CHARGE_ONLY"),$K265,IF($S265="TOTAL_AMOUNT_INCLUDING_DELIVERY",IF(OR($T265="",$J265=""),"",MAX(0,$T265-$J265-$U265)),IF($S265="ITEM_PRICE_ONLY_DELIVERY_PAID_BY_MERCHANT",0,""))))</f>
        <v/>
      </c>
      <c r="AQ265" s="23">
        <f>IF(OR($AP265="",$AO265=""),"",$AP265-$AO265)</f>
        <v/>
      </c>
      <c r="AR265" s="24">
        <f>IF($S265="EXACT_COLLECTION_AMOUNT","BREAKDOWN_REQUIRED",IF($AQ265="","",IF($AQ265&gt;0,"CREDIT_TO_MERCHANT",IF($AQ265&lt;0,"DEDUCT_FROM_MERCHANT","NO_ADJUSTMENT"))))</f>
        <v/>
      </c>
      <c r="AS265" s="23">
        <f>IF(OR($AQ265="",$AR265="BREAKDOWN_REQUIRED"),"",$AQ265)</f>
        <v/>
      </c>
      <c r="AT265" s="23">
        <f>IF(OR($AR265="",$AR265="BREAKDOWN_REQUIRED"),"",SUM($J265,$AQ265,$Y265)-$X265)</f>
        <v/>
      </c>
      <c r="AU265" s="25">
        <f>IF(AND($A265="",$B265="",$F265="",$H265="",$J265="",$K265="",$M265="",$S265=""),"",IF(OR($H265="",$Q265="",$M265="",$S265=""),"ERROR",IF(OR($J265&lt;0,$K265&lt;0,$M265&lt;0,$T265&lt;0,$U265&lt;0,$V265&lt;0,$W265&lt;0,$X265&lt;0,$Y265&lt;0),"ERROR",IF($AE265="","ERROR",IF(AND(OR($S265="ITEM_PRICE_PLUS_DECLARED_DELIVERY",$S265="TOTAL_AMOUNT_INCLUDING_DELIVERY",$S265="ITEM_PRICE_ONLY_DELIVERY_PAID_BY_MERCHANT"),$J265=""),"ERROR",IF(AND(OR($S265="ITEM_PRICE_PLUS_DECLARED_DELIVERY",$S265="DELIVERY_CHARGE_ONLY"),$K265=""),"ERROR",IF(AND(OR($S265="TOTAL_AMOUNT_INCLUDING_DELIVERY",$S265="EXACT_COLLECTION_AMOUNT"),$T265=""),"ERROR",IF(AND($S265="TOTAL_AMOUNT_INCLUDING_DELIVERY",$T265&lt;SUM($J265,$U265)),"ERROR",IF($S265="EXACT_COLLECTION_AMOUNT","REVIEW","OK")))))))))</f>
        <v/>
      </c>
      <c r="AV265" s="25">
        <f>IF($AU265="","",IF($H265="","Township required",IF($Q265="","Customer tier required",IF($M265="","Weight required",IF($S265="","Amount entry type required",IF(OR($J265&lt;0,$K265&lt;0,$M265&lt;0,$T265&lt;0,$U265&lt;0,$V265&lt;0,$W265&lt;0,$X265&lt;0,$Y265&lt;0),"Negative amounts are not allowed",IF($AE265="","Tariff not found for township and tier",IF(AND(OR($S265="ITEM_PRICE_PLUS_DECLARED_DELIVERY",$S265="TOTAL_AMOUNT_INCLUDING_DELIVERY",$S265="ITEM_PRICE_ONLY_DELIVERY_PAID_BY_MERCHANT"),$J265=""),"Item price required for this amount type",IF(AND(OR($S265="ITEM_PRICE_PLUS_DECLARED_DELIVERY",$S265="DELIVERY_CHARGE_ONLY"),$K265=""),"Declared delivery charge required",IF(AND(OR($S265="TOTAL_AMOUNT_INCLUDING_DELIVERY",$S265="EXACT_COLLECTION_AMOUNT"),$T265=""),"Stated total amount required",IF(AND($S265="TOTAL_AMOUNT_INCLUDING_DELIVERY",$T265&lt;SUM($J265,$U265)),"Stated total is below item price plus additional charge",IF($S265="EXACT_COLLECTION_AMOUNT","Authorized amount breakdown required before settlement","Ready for collection and settlement"))))))))))))</f>
        <v/>
      </c>
      <c r="AW265" s="23">
        <f>IF($AU265="","","PARCEL_FINANCIAL_V2")</f>
        <v/>
      </c>
      <c r="AX265" s="17" t="n"/>
    </row>
    <row r="266">
      <c r="A266" s="8" t="n"/>
      <c r="B266" s="8" t="n"/>
      <c r="C266" s="8" t="n"/>
      <c r="D266" s="8" t="n"/>
      <c r="E266" s="9" t="n"/>
      <c r="F266" s="9" t="n"/>
      <c r="G266" s="8" t="n"/>
      <c r="H266" s="9" t="n"/>
      <c r="I266" s="9" t="n"/>
      <c r="J266" s="10" t="n"/>
      <c r="K266" s="10" t="n"/>
      <c r="L266" s="11">
        <f>IF($S266="","",IF($S266="ITEM_PRICE_PLUS_DECLARED_DELIVERY",IF(OR($J266="",$K266=""),"",SUM($J266,$K266,$U266)),IF($S266="TOTAL_AMOUNT_INCLUDING_DELIVERY",IF($T266="","",$T266),IF($S266="DELIVERY_CHARGE_ONLY",IF($K266="","",SUM($K266,$U266)),IF($S266="EXACT_COLLECTION_AMOUNT",IF($T266="","",$T266),IF($S266="ITEM_PRICE_ONLY_DELIVERY_PAID_BY_MERCHANT",IF($J266="","",SUM($J266,$U266)),""))))))</f>
        <v/>
      </c>
      <c r="M266" s="12" t="n"/>
      <c r="N266" s="13" t="n"/>
      <c r="O266" s="13" t="n"/>
      <c r="P266" s="9" t="n"/>
      <c r="Q266" s="14" t="n"/>
      <c r="R266" s="15" t="n"/>
      <c r="S266" s="14" t="n"/>
      <c r="T266" s="16" t="n"/>
      <c r="U266" s="16" t="n"/>
      <c r="V266" s="16" t="n"/>
      <c r="W266" s="16" t="n"/>
      <c r="X266" s="16" t="n"/>
      <c r="Y266" s="16" t="n"/>
      <c r="Z266" s="14" t="n"/>
      <c r="AA266" s="14" t="n"/>
      <c r="AB266" s="14" t="n"/>
      <c r="AC266" s="17">
        <f>IFERROR(VLOOKUP($H266&amp;"|"&amp;$Q266,Tariff_Master!$A$2:$L$169,3,FALSE),"")</f>
        <v/>
      </c>
      <c r="AD266" s="17">
        <f>IFERROR(VLOOKUP($H266&amp;"|"&amp;$Q266,Tariff_Master!$A$2:$L$169,4,FALSE),"")</f>
        <v/>
      </c>
      <c r="AE266" s="18">
        <f>IFERROR(VLOOKUP($H266&amp;"|"&amp;$Q266,Tariff_Master!$A$2:$L$169,6,FALSE),"")</f>
        <v/>
      </c>
      <c r="AF266" s="19">
        <f>IFERROR(VLOOKUP($H266&amp;"|"&amp;$Q266,Tariff_Master!$A$2:$L$169,7,FALSE),"")</f>
        <v/>
      </c>
      <c r="AG266" s="18">
        <f>IFERROR(VLOOKUP($H266&amp;"|"&amp;$Q266,Tariff_Master!$A$2:$L$169,8,FALSE),"")</f>
        <v/>
      </c>
      <c r="AH266" s="20">
        <f>IFERROR(VLOOKUP($H266&amp;"|"&amp;$Q266,Tariff_Master!$A$2:$L$169,9,FALSE),"")</f>
        <v/>
      </c>
      <c r="AI266" s="18">
        <f>IFERROR(VLOOKUP($H266&amp;"|"&amp;$Q266,Tariff_Master!$A$2:$L$169,10,FALSE),"")</f>
        <v/>
      </c>
      <c r="AJ266" s="21">
        <f>IF($M266="","",ROUNDUP(MAX(0,$M266),0))</f>
        <v/>
      </c>
      <c r="AK266" s="21">
        <f>IF(OR($AJ266="",$AF266=""),"",MAX(0,$AJ266-$AF266))</f>
        <v/>
      </c>
      <c r="AL266" s="22">
        <f>IF(OR($AK266="",$AG266=""),"",MAX(0,$AK266*$AG266))</f>
        <v/>
      </c>
      <c r="AM266" s="22">
        <f>IF($AE266="","",MAX(0,SUM($AE266,$AL266,$V266,$W266)))</f>
        <v/>
      </c>
      <c r="AN266" s="22">
        <f>IF($AM266="","",IF(AND($Q266="COMMITMENT",$R266&gt;=$AH266),$AI266,0))</f>
        <v/>
      </c>
      <c r="AO266" s="23">
        <f>IF($AM266="","",MAX(0,$AM266-$AN266))</f>
        <v/>
      </c>
      <c r="AP266" s="22">
        <f>IF($S266="","",IF(OR($S266="ITEM_PRICE_PLUS_DECLARED_DELIVERY",$S266="DELIVERY_CHARGE_ONLY"),$K266,IF($S266="TOTAL_AMOUNT_INCLUDING_DELIVERY",IF(OR($T266="",$J266=""),"",MAX(0,$T266-$J266-$U266)),IF($S266="ITEM_PRICE_ONLY_DELIVERY_PAID_BY_MERCHANT",0,""))))</f>
        <v/>
      </c>
      <c r="AQ266" s="23">
        <f>IF(OR($AP266="",$AO266=""),"",$AP266-$AO266)</f>
        <v/>
      </c>
      <c r="AR266" s="24">
        <f>IF($S266="EXACT_COLLECTION_AMOUNT","BREAKDOWN_REQUIRED",IF($AQ266="","",IF($AQ266&gt;0,"CREDIT_TO_MERCHANT",IF($AQ266&lt;0,"DEDUCT_FROM_MERCHANT","NO_ADJUSTMENT"))))</f>
        <v/>
      </c>
      <c r="AS266" s="23">
        <f>IF(OR($AQ266="",$AR266="BREAKDOWN_REQUIRED"),"",$AQ266)</f>
        <v/>
      </c>
      <c r="AT266" s="23">
        <f>IF(OR($AR266="",$AR266="BREAKDOWN_REQUIRED"),"",SUM($J266,$AQ266,$Y266)-$X266)</f>
        <v/>
      </c>
      <c r="AU266" s="25">
        <f>IF(AND($A266="",$B266="",$F266="",$H266="",$J266="",$K266="",$M266="",$S266=""),"",IF(OR($H266="",$Q266="",$M266="",$S266=""),"ERROR",IF(OR($J266&lt;0,$K266&lt;0,$M266&lt;0,$T266&lt;0,$U266&lt;0,$V266&lt;0,$W266&lt;0,$X266&lt;0,$Y266&lt;0),"ERROR",IF($AE266="","ERROR",IF(AND(OR($S266="ITEM_PRICE_PLUS_DECLARED_DELIVERY",$S266="TOTAL_AMOUNT_INCLUDING_DELIVERY",$S266="ITEM_PRICE_ONLY_DELIVERY_PAID_BY_MERCHANT"),$J266=""),"ERROR",IF(AND(OR($S266="ITEM_PRICE_PLUS_DECLARED_DELIVERY",$S266="DELIVERY_CHARGE_ONLY"),$K266=""),"ERROR",IF(AND(OR($S266="TOTAL_AMOUNT_INCLUDING_DELIVERY",$S266="EXACT_COLLECTION_AMOUNT"),$T266=""),"ERROR",IF(AND($S266="TOTAL_AMOUNT_INCLUDING_DELIVERY",$T266&lt;SUM($J266,$U266)),"ERROR",IF($S266="EXACT_COLLECTION_AMOUNT","REVIEW","OK")))))))))</f>
        <v/>
      </c>
      <c r="AV266" s="25">
        <f>IF($AU266="","",IF($H266="","Township required",IF($Q266="","Customer tier required",IF($M266="","Weight required",IF($S266="","Amount entry type required",IF(OR($J266&lt;0,$K266&lt;0,$M266&lt;0,$T266&lt;0,$U266&lt;0,$V266&lt;0,$W266&lt;0,$X266&lt;0,$Y266&lt;0),"Negative amounts are not allowed",IF($AE266="","Tariff not found for township and tier",IF(AND(OR($S266="ITEM_PRICE_PLUS_DECLARED_DELIVERY",$S266="TOTAL_AMOUNT_INCLUDING_DELIVERY",$S266="ITEM_PRICE_ONLY_DELIVERY_PAID_BY_MERCHANT"),$J266=""),"Item price required for this amount type",IF(AND(OR($S266="ITEM_PRICE_PLUS_DECLARED_DELIVERY",$S266="DELIVERY_CHARGE_ONLY"),$K266=""),"Declared delivery charge required",IF(AND(OR($S266="TOTAL_AMOUNT_INCLUDING_DELIVERY",$S266="EXACT_COLLECTION_AMOUNT"),$T266=""),"Stated total amount required",IF(AND($S266="TOTAL_AMOUNT_INCLUDING_DELIVERY",$T266&lt;SUM($J266,$U266)),"Stated total is below item price plus additional charge",IF($S266="EXACT_COLLECTION_AMOUNT","Authorized amount breakdown required before settlement","Ready for collection and settlement"))))))))))))</f>
        <v/>
      </c>
      <c r="AW266" s="23">
        <f>IF($AU266="","","PARCEL_FINANCIAL_V2")</f>
        <v/>
      </c>
      <c r="AX266" s="17" t="n"/>
    </row>
    <row r="267">
      <c r="A267" s="8" t="n"/>
      <c r="B267" s="8" t="n"/>
      <c r="C267" s="8" t="n"/>
      <c r="D267" s="8" t="n"/>
      <c r="E267" s="9" t="n"/>
      <c r="F267" s="9" t="n"/>
      <c r="G267" s="8" t="n"/>
      <c r="H267" s="9" t="n"/>
      <c r="I267" s="9" t="n"/>
      <c r="J267" s="10" t="n"/>
      <c r="K267" s="10" t="n"/>
      <c r="L267" s="11">
        <f>IF($S267="","",IF($S267="ITEM_PRICE_PLUS_DECLARED_DELIVERY",IF(OR($J267="",$K267=""),"",SUM($J267,$K267,$U267)),IF($S267="TOTAL_AMOUNT_INCLUDING_DELIVERY",IF($T267="","",$T267),IF($S267="DELIVERY_CHARGE_ONLY",IF($K267="","",SUM($K267,$U267)),IF($S267="EXACT_COLLECTION_AMOUNT",IF($T267="","",$T267),IF($S267="ITEM_PRICE_ONLY_DELIVERY_PAID_BY_MERCHANT",IF($J267="","",SUM($J267,$U267)),""))))))</f>
        <v/>
      </c>
      <c r="M267" s="12" t="n"/>
      <c r="N267" s="13" t="n"/>
      <c r="O267" s="13" t="n"/>
      <c r="P267" s="9" t="n"/>
      <c r="Q267" s="14" t="n"/>
      <c r="R267" s="15" t="n"/>
      <c r="S267" s="14" t="n"/>
      <c r="T267" s="16" t="n"/>
      <c r="U267" s="16" t="n"/>
      <c r="V267" s="16" t="n"/>
      <c r="W267" s="16" t="n"/>
      <c r="X267" s="16" t="n"/>
      <c r="Y267" s="16" t="n"/>
      <c r="Z267" s="14" t="n"/>
      <c r="AA267" s="14" t="n"/>
      <c r="AB267" s="14" t="n"/>
      <c r="AC267" s="17">
        <f>IFERROR(VLOOKUP($H267&amp;"|"&amp;$Q267,Tariff_Master!$A$2:$L$169,3,FALSE),"")</f>
        <v/>
      </c>
      <c r="AD267" s="17">
        <f>IFERROR(VLOOKUP($H267&amp;"|"&amp;$Q267,Tariff_Master!$A$2:$L$169,4,FALSE),"")</f>
        <v/>
      </c>
      <c r="AE267" s="18">
        <f>IFERROR(VLOOKUP($H267&amp;"|"&amp;$Q267,Tariff_Master!$A$2:$L$169,6,FALSE),"")</f>
        <v/>
      </c>
      <c r="AF267" s="19">
        <f>IFERROR(VLOOKUP($H267&amp;"|"&amp;$Q267,Tariff_Master!$A$2:$L$169,7,FALSE),"")</f>
        <v/>
      </c>
      <c r="AG267" s="18">
        <f>IFERROR(VLOOKUP($H267&amp;"|"&amp;$Q267,Tariff_Master!$A$2:$L$169,8,FALSE),"")</f>
        <v/>
      </c>
      <c r="AH267" s="20">
        <f>IFERROR(VLOOKUP($H267&amp;"|"&amp;$Q267,Tariff_Master!$A$2:$L$169,9,FALSE),"")</f>
        <v/>
      </c>
      <c r="AI267" s="18">
        <f>IFERROR(VLOOKUP($H267&amp;"|"&amp;$Q267,Tariff_Master!$A$2:$L$169,10,FALSE),"")</f>
        <v/>
      </c>
      <c r="AJ267" s="21">
        <f>IF($M267="","",ROUNDUP(MAX(0,$M267),0))</f>
        <v/>
      </c>
      <c r="AK267" s="21">
        <f>IF(OR($AJ267="",$AF267=""),"",MAX(0,$AJ267-$AF267))</f>
        <v/>
      </c>
      <c r="AL267" s="22">
        <f>IF(OR($AK267="",$AG267=""),"",MAX(0,$AK267*$AG267))</f>
        <v/>
      </c>
      <c r="AM267" s="22">
        <f>IF($AE267="","",MAX(0,SUM($AE267,$AL267,$V267,$W267)))</f>
        <v/>
      </c>
      <c r="AN267" s="22">
        <f>IF($AM267="","",IF(AND($Q267="COMMITMENT",$R267&gt;=$AH267),$AI267,0))</f>
        <v/>
      </c>
      <c r="AO267" s="23">
        <f>IF($AM267="","",MAX(0,$AM267-$AN267))</f>
        <v/>
      </c>
      <c r="AP267" s="22">
        <f>IF($S267="","",IF(OR($S267="ITEM_PRICE_PLUS_DECLARED_DELIVERY",$S267="DELIVERY_CHARGE_ONLY"),$K267,IF($S267="TOTAL_AMOUNT_INCLUDING_DELIVERY",IF(OR($T267="",$J267=""),"",MAX(0,$T267-$J267-$U267)),IF($S267="ITEM_PRICE_ONLY_DELIVERY_PAID_BY_MERCHANT",0,""))))</f>
        <v/>
      </c>
      <c r="AQ267" s="23">
        <f>IF(OR($AP267="",$AO267=""),"",$AP267-$AO267)</f>
        <v/>
      </c>
      <c r="AR267" s="24">
        <f>IF($S267="EXACT_COLLECTION_AMOUNT","BREAKDOWN_REQUIRED",IF($AQ267="","",IF($AQ267&gt;0,"CREDIT_TO_MERCHANT",IF($AQ267&lt;0,"DEDUCT_FROM_MERCHANT","NO_ADJUSTMENT"))))</f>
        <v/>
      </c>
      <c r="AS267" s="23">
        <f>IF(OR($AQ267="",$AR267="BREAKDOWN_REQUIRED"),"",$AQ267)</f>
        <v/>
      </c>
      <c r="AT267" s="23">
        <f>IF(OR($AR267="",$AR267="BREAKDOWN_REQUIRED"),"",SUM($J267,$AQ267,$Y267)-$X267)</f>
        <v/>
      </c>
      <c r="AU267" s="25">
        <f>IF(AND($A267="",$B267="",$F267="",$H267="",$J267="",$K267="",$M267="",$S267=""),"",IF(OR($H267="",$Q267="",$M267="",$S267=""),"ERROR",IF(OR($J267&lt;0,$K267&lt;0,$M267&lt;0,$T267&lt;0,$U267&lt;0,$V267&lt;0,$W267&lt;0,$X267&lt;0,$Y267&lt;0),"ERROR",IF($AE267="","ERROR",IF(AND(OR($S267="ITEM_PRICE_PLUS_DECLARED_DELIVERY",$S267="TOTAL_AMOUNT_INCLUDING_DELIVERY",$S267="ITEM_PRICE_ONLY_DELIVERY_PAID_BY_MERCHANT"),$J267=""),"ERROR",IF(AND(OR($S267="ITEM_PRICE_PLUS_DECLARED_DELIVERY",$S267="DELIVERY_CHARGE_ONLY"),$K267=""),"ERROR",IF(AND(OR($S267="TOTAL_AMOUNT_INCLUDING_DELIVERY",$S267="EXACT_COLLECTION_AMOUNT"),$T267=""),"ERROR",IF(AND($S267="TOTAL_AMOUNT_INCLUDING_DELIVERY",$T267&lt;SUM($J267,$U267)),"ERROR",IF($S267="EXACT_COLLECTION_AMOUNT","REVIEW","OK")))))))))</f>
        <v/>
      </c>
      <c r="AV267" s="25">
        <f>IF($AU267="","",IF($H267="","Township required",IF($Q267="","Customer tier required",IF($M267="","Weight required",IF($S267="","Amount entry type required",IF(OR($J267&lt;0,$K267&lt;0,$M267&lt;0,$T267&lt;0,$U267&lt;0,$V267&lt;0,$W267&lt;0,$X267&lt;0,$Y267&lt;0),"Negative amounts are not allowed",IF($AE267="","Tariff not found for township and tier",IF(AND(OR($S267="ITEM_PRICE_PLUS_DECLARED_DELIVERY",$S267="TOTAL_AMOUNT_INCLUDING_DELIVERY",$S267="ITEM_PRICE_ONLY_DELIVERY_PAID_BY_MERCHANT"),$J267=""),"Item price required for this amount type",IF(AND(OR($S267="ITEM_PRICE_PLUS_DECLARED_DELIVERY",$S267="DELIVERY_CHARGE_ONLY"),$K267=""),"Declared delivery charge required",IF(AND(OR($S267="TOTAL_AMOUNT_INCLUDING_DELIVERY",$S267="EXACT_COLLECTION_AMOUNT"),$T267=""),"Stated total amount required",IF(AND($S267="TOTAL_AMOUNT_INCLUDING_DELIVERY",$T267&lt;SUM($J267,$U267)),"Stated total is below item price plus additional charge",IF($S267="EXACT_COLLECTION_AMOUNT","Authorized amount breakdown required before settlement","Ready for collection and settlement"))))))))))))</f>
        <v/>
      </c>
      <c r="AW267" s="23">
        <f>IF($AU267="","","PARCEL_FINANCIAL_V2")</f>
        <v/>
      </c>
      <c r="AX267" s="17" t="n"/>
    </row>
    <row r="268">
      <c r="A268" s="8" t="n"/>
      <c r="B268" s="8" t="n"/>
      <c r="C268" s="8" t="n"/>
      <c r="D268" s="8" t="n"/>
      <c r="E268" s="9" t="n"/>
      <c r="F268" s="9" t="n"/>
      <c r="G268" s="8" t="n"/>
      <c r="H268" s="9" t="n"/>
      <c r="I268" s="9" t="n"/>
      <c r="J268" s="10" t="n"/>
      <c r="K268" s="10" t="n"/>
      <c r="L268" s="11">
        <f>IF($S268="","",IF($S268="ITEM_PRICE_PLUS_DECLARED_DELIVERY",IF(OR($J268="",$K268=""),"",SUM($J268,$K268,$U268)),IF($S268="TOTAL_AMOUNT_INCLUDING_DELIVERY",IF($T268="","",$T268),IF($S268="DELIVERY_CHARGE_ONLY",IF($K268="","",SUM($K268,$U268)),IF($S268="EXACT_COLLECTION_AMOUNT",IF($T268="","",$T268),IF($S268="ITEM_PRICE_ONLY_DELIVERY_PAID_BY_MERCHANT",IF($J268="","",SUM($J268,$U268)),""))))))</f>
        <v/>
      </c>
      <c r="M268" s="12" t="n"/>
      <c r="N268" s="13" t="n"/>
      <c r="O268" s="13" t="n"/>
      <c r="P268" s="9" t="n"/>
      <c r="Q268" s="14" t="n"/>
      <c r="R268" s="15" t="n"/>
      <c r="S268" s="14" t="n"/>
      <c r="T268" s="16" t="n"/>
      <c r="U268" s="16" t="n"/>
      <c r="V268" s="16" t="n"/>
      <c r="W268" s="16" t="n"/>
      <c r="X268" s="16" t="n"/>
      <c r="Y268" s="16" t="n"/>
      <c r="Z268" s="14" t="n"/>
      <c r="AA268" s="14" t="n"/>
      <c r="AB268" s="14" t="n"/>
      <c r="AC268" s="17">
        <f>IFERROR(VLOOKUP($H268&amp;"|"&amp;$Q268,Tariff_Master!$A$2:$L$169,3,FALSE),"")</f>
        <v/>
      </c>
      <c r="AD268" s="17">
        <f>IFERROR(VLOOKUP($H268&amp;"|"&amp;$Q268,Tariff_Master!$A$2:$L$169,4,FALSE),"")</f>
        <v/>
      </c>
      <c r="AE268" s="18">
        <f>IFERROR(VLOOKUP($H268&amp;"|"&amp;$Q268,Tariff_Master!$A$2:$L$169,6,FALSE),"")</f>
        <v/>
      </c>
      <c r="AF268" s="19">
        <f>IFERROR(VLOOKUP($H268&amp;"|"&amp;$Q268,Tariff_Master!$A$2:$L$169,7,FALSE),"")</f>
        <v/>
      </c>
      <c r="AG268" s="18">
        <f>IFERROR(VLOOKUP($H268&amp;"|"&amp;$Q268,Tariff_Master!$A$2:$L$169,8,FALSE),"")</f>
        <v/>
      </c>
      <c r="AH268" s="20">
        <f>IFERROR(VLOOKUP($H268&amp;"|"&amp;$Q268,Tariff_Master!$A$2:$L$169,9,FALSE),"")</f>
        <v/>
      </c>
      <c r="AI268" s="18">
        <f>IFERROR(VLOOKUP($H268&amp;"|"&amp;$Q268,Tariff_Master!$A$2:$L$169,10,FALSE),"")</f>
        <v/>
      </c>
      <c r="AJ268" s="21">
        <f>IF($M268="","",ROUNDUP(MAX(0,$M268),0))</f>
        <v/>
      </c>
      <c r="AK268" s="21">
        <f>IF(OR($AJ268="",$AF268=""),"",MAX(0,$AJ268-$AF268))</f>
        <v/>
      </c>
      <c r="AL268" s="22">
        <f>IF(OR($AK268="",$AG268=""),"",MAX(0,$AK268*$AG268))</f>
        <v/>
      </c>
      <c r="AM268" s="22">
        <f>IF($AE268="","",MAX(0,SUM($AE268,$AL268,$V268,$W268)))</f>
        <v/>
      </c>
      <c r="AN268" s="22">
        <f>IF($AM268="","",IF(AND($Q268="COMMITMENT",$R268&gt;=$AH268),$AI268,0))</f>
        <v/>
      </c>
      <c r="AO268" s="23">
        <f>IF($AM268="","",MAX(0,$AM268-$AN268))</f>
        <v/>
      </c>
      <c r="AP268" s="22">
        <f>IF($S268="","",IF(OR($S268="ITEM_PRICE_PLUS_DECLARED_DELIVERY",$S268="DELIVERY_CHARGE_ONLY"),$K268,IF($S268="TOTAL_AMOUNT_INCLUDING_DELIVERY",IF(OR($T268="",$J268=""),"",MAX(0,$T268-$J268-$U268)),IF($S268="ITEM_PRICE_ONLY_DELIVERY_PAID_BY_MERCHANT",0,""))))</f>
        <v/>
      </c>
      <c r="AQ268" s="23">
        <f>IF(OR($AP268="",$AO268=""),"",$AP268-$AO268)</f>
        <v/>
      </c>
      <c r="AR268" s="24">
        <f>IF($S268="EXACT_COLLECTION_AMOUNT","BREAKDOWN_REQUIRED",IF($AQ268="","",IF($AQ268&gt;0,"CREDIT_TO_MERCHANT",IF($AQ268&lt;0,"DEDUCT_FROM_MERCHANT","NO_ADJUSTMENT"))))</f>
        <v/>
      </c>
      <c r="AS268" s="23">
        <f>IF(OR($AQ268="",$AR268="BREAKDOWN_REQUIRED"),"",$AQ268)</f>
        <v/>
      </c>
      <c r="AT268" s="23">
        <f>IF(OR($AR268="",$AR268="BREAKDOWN_REQUIRED"),"",SUM($J268,$AQ268,$Y268)-$X268)</f>
        <v/>
      </c>
      <c r="AU268" s="25">
        <f>IF(AND($A268="",$B268="",$F268="",$H268="",$J268="",$K268="",$M268="",$S268=""),"",IF(OR($H268="",$Q268="",$M268="",$S268=""),"ERROR",IF(OR($J268&lt;0,$K268&lt;0,$M268&lt;0,$T268&lt;0,$U268&lt;0,$V268&lt;0,$W268&lt;0,$X268&lt;0,$Y268&lt;0),"ERROR",IF($AE268="","ERROR",IF(AND(OR($S268="ITEM_PRICE_PLUS_DECLARED_DELIVERY",$S268="TOTAL_AMOUNT_INCLUDING_DELIVERY",$S268="ITEM_PRICE_ONLY_DELIVERY_PAID_BY_MERCHANT"),$J268=""),"ERROR",IF(AND(OR($S268="ITEM_PRICE_PLUS_DECLARED_DELIVERY",$S268="DELIVERY_CHARGE_ONLY"),$K268=""),"ERROR",IF(AND(OR($S268="TOTAL_AMOUNT_INCLUDING_DELIVERY",$S268="EXACT_COLLECTION_AMOUNT"),$T268=""),"ERROR",IF(AND($S268="TOTAL_AMOUNT_INCLUDING_DELIVERY",$T268&lt;SUM($J268,$U268)),"ERROR",IF($S268="EXACT_COLLECTION_AMOUNT","REVIEW","OK")))))))))</f>
        <v/>
      </c>
      <c r="AV268" s="25">
        <f>IF($AU268="","",IF($H268="","Township required",IF($Q268="","Customer tier required",IF($M268="","Weight required",IF($S268="","Amount entry type required",IF(OR($J268&lt;0,$K268&lt;0,$M268&lt;0,$T268&lt;0,$U268&lt;0,$V268&lt;0,$W268&lt;0,$X268&lt;0,$Y268&lt;0),"Negative amounts are not allowed",IF($AE268="","Tariff not found for township and tier",IF(AND(OR($S268="ITEM_PRICE_PLUS_DECLARED_DELIVERY",$S268="TOTAL_AMOUNT_INCLUDING_DELIVERY",$S268="ITEM_PRICE_ONLY_DELIVERY_PAID_BY_MERCHANT"),$J268=""),"Item price required for this amount type",IF(AND(OR($S268="ITEM_PRICE_PLUS_DECLARED_DELIVERY",$S268="DELIVERY_CHARGE_ONLY"),$K268=""),"Declared delivery charge required",IF(AND(OR($S268="TOTAL_AMOUNT_INCLUDING_DELIVERY",$S268="EXACT_COLLECTION_AMOUNT"),$T268=""),"Stated total amount required",IF(AND($S268="TOTAL_AMOUNT_INCLUDING_DELIVERY",$T268&lt;SUM($J268,$U268)),"Stated total is below item price plus additional charge",IF($S268="EXACT_COLLECTION_AMOUNT","Authorized amount breakdown required before settlement","Ready for collection and settlement"))))))))))))</f>
        <v/>
      </c>
      <c r="AW268" s="23">
        <f>IF($AU268="","","PARCEL_FINANCIAL_V2")</f>
        <v/>
      </c>
      <c r="AX268" s="17" t="n"/>
    </row>
    <row r="269">
      <c r="A269" s="8" t="n"/>
      <c r="B269" s="8" t="n"/>
      <c r="C269" s="8" t="n"/>
      <c r="D269" s="8" t="n"/>
      <c r="E269" s="9" t="n"/>
      <c r="F269" s="9" t="n"/>
      <c r="G269" s="8" t="n"/>
      <c r="H269" s="9" t="n"/>
      <c r="I269" s="9" t="n"/>
      <c r="J269" s="10" t="n"/>
      <c r="K269" s="10" t="n"/>
      <c r="L269" s="11">
        <f>IF($S269="","",IF($S269="ITEM_PRICE_PLUS_DECLARED_DELIVERY",IF(OR($J269="",$K269=""),"",SUM($J269,$K269,$U269)),IF($S269="TOTAL_AMOUNT_INCLUDING_DELIVERY",IF($T269="","",$T269),IF($S269="DELIVERY_CHARGE_ONLY",IF($K269="","",SUM($K269,$U269)),IF($S269="EXACT_COLLECTION_AMOUNT",IF($T269="","",$T269),IF($S269="ITEM_PRICE_ONLY_DELIVERY_PAID_BY_MERCHANT",IF($J269="","",SUM($J269,$U269)),""))))))</f>
        <v/>
      </c>
      <c r="M269" s="12" t="n"/>
      <c r="N269" s="13" t="n"/>
      <c r="O269" s="13" t="n"/>
      <c r="P269" s="9" t="n"/>
      <c r="Q269" s="14" t="n"/>
      <c r="R269" s="15" t="n"/>
      <c r="S269" s="14" t="n"/>
      <c r="T269" s="16" t="n"/>
      <c r="U269" s="16" t="n"/>
      <c r="V269" s="16" t="n"/>
      <c r="W269" s="16" t="n"/>
      <c r="X269" s="16" t="n"/>
      <c r="Y269" s="16" t="n"/>
      <c r="Z269" s="14" t="n"/>
      <c r="AA269" s="14" t="n"/>
      <c r="AB269" s="14" t="n"/>
      <c r="AC269" s="17">
        <f>IFERROR(VLOOKUP($H269&amp;"|"&amp;$Q269,Tariff_Master!$A$2:$L$169,3,FALSE),"")</f>
        <v/>
      </c>
      <c r="AD269" s="17">
        <f>IFERROR(VLOOKUP($H269&amp;"|"&amp;$Q269,Tariff_Master!$A$2:$L$169,4,FALSE),"")</f>
        <v/>
      </c>
      <c r="AE269" s="18">
        <f>IFERROR(VLOOKUP($H269&amp;"|"&amp;$Q269,Tariff_Master!$A$2:$L$169,6,FALSE),"")</f>
        <v/>
      </c>
      <c r="AF269" s="19">
        <f>IFERROR(VLOOKUP($H269&amp;"|"&amp;$Q269,Tariff_Master!$A$2:$L$169,7,FALSE),"")</f>
        <v/>
      </c>
      <c r="AG269" s="18">
        <f>IFERROR(VLOOKUP($H269&amp;"|"&amp;$Q269,Tariff_Master!$A$2:$L$169,8,FALSE),"")</f>
        <v/>
      </c>
      <c r="AH269" s="20">
        <f>IFERROR(VLOOKUP($H269&amp;"|"&amp;$Q269,Tariff_Master!$A$2:$L$169,9,FALSE),"")</f>
        <v/>
      </c>
      <c r="AI269" s="18">
        <f>IFERROR(VLOOKUP($H269&amp;"|"&amp;$Q269,Tariff_Master!$A$2:$L$169,10,FALSE),"")</f>
        <v/>
      </c>
      <c r="AJ269" s="21">
        <f>IF($M269="","",ROUNDUP(MAX(0,$M269),0))</f>
        <v/>
      </c>
      <c r="AK269" s="21">
        <f>IF(OR($AJ269="",$AF269=""),"",MAX(0,$AJ269-$AF269))</f>
        <v/>
      </c>
      <c r="AL269" s="22">
        <f>IF(OR($AK269="",$AG269=""),"",MAX(0,$AK269*$AG269))</f>
        <v/>
      </c>
      <c r="AM269" s="22">
        <f>IF($AE269="","",MAX(0,SUM($AE269,$AL269,$V269,$W269)))</f>
        <v/>
      </c>
      <c r="AN269" s="22">
        <f>IF($AM269="","",IF(AND($Q269="COMMITMENT",$R269&gt;=$AH269),$AI269,0))</f>
        <v/>
      </c>
      <c r="AO269" s="23">
        <f>IF($AM269="","",MAX(0,$AM269-$AN269))</f>
        <v/>
      </c>
      <c r="AP269" s="22">
        <f>IF($S269="","",IF(OR($S269="ITEM_PRICE_PLUS_DECLARED_DELIVERY",$S269="DELIVERY_CHARGE_ONLY"),$K269,IF($S269="TOTAL_AMOUNT_INCLUDING_DELIVERY",IF(OR($T269="",$J269=""),"",MAX(0,$T269-$J269-$U269)),IF($S269="ITEM_PRICE_ONLY_DELIVERY_PAID_BY_MERCHANT",0,""))))</f>
        <v/>
      </c>
      <c r="AQ269" s="23">
        <f>IF(OR($AP269="",$AO269=""),"",$AP269-$AO269)</f>
        <v/>
      </c>
      <c r="AR269" s="24">
        <f>IF($S269="EXACT_COLLECTION_AMOUNT","BREAKDOWN_REQUIRED",IF($AQ269="","",IF($AQ269&gt;0,"CREDIT_TO_MERCHANT",IF($AQ269&lt;0,"DEDUCT_FROM_MERCHANT","NO_ADJUSTMENT"))))</f>
        <v/>
      </c>
      <c r="AS269" s="23">
        <f>IF(OR($AQ269="",$AR269="BREAKDOWN_REQUIRED"),"",$AQ269)</f>
        <v/>
      </c>
      <c r="AT269" s="23">
        <f>IF(OR($AR269="",$AR269="BREAKDOWN_REQUIRED"),"",SUM($J269,$AQ269,$Y269)-$X269)</f>
        <v/>
      </c>
      <c r="AU269" s="25">
        <f>IF(AND($A269="",$B269="",$F269="",$H269="",$J269="",$K269="",$M269="",$S269=""),"",IF(OR($H269="",$Q269="",$M269="",$S269=""),"ERROR",IF(OR($J269&lt;0,$K269&lt;0,$M269&lt;0,$T269&lt;0,$U269&lt;0,$V269&lt;0,$W269&lt;0,$X269&lt;0,$Y269&lt;0),"ERROR",IF($AE269="","ERROR",IF(AND(OR($S269="ITEM_PRICE_PLUS_DECLARED_DELIVERY",$S269="TOTAL_AMOUNT_INCLUDING_DELIVERY",$S269="ITEM_PRICE_ONLY_DELIVERY_PAID_BY_MERCHANT"),$J269=""),"ERROR",IF(AND(OR($S269="ITEM_PRICE_PLUS_DECLARED_DELIVERY",$S269="DELIVERY_CHARGE_ONLY"),$K269=""),"ERROR",IF(AND(OR($S269="TOTAL_AMOUNT_INCLUDING_DELIVERY",$S269="EXACT_COLLECTION_AMOUNT"),$T269=""),"ERROR",IF(AND($S269="TOTAL_AMOUNT_INCLUDING_DELIVERY",$T269&lt;SUM($J269,$U269)),"ERROR",IF($S269="EXACT_COLLECTION_AMOUNT","REVIEW","OK")))))))))</f>
        <v/>
      </c>
      <c r="AV269" s="25">
        <f>IF($AU269="","",IF($H269="","Township required",IF($Q269="","Customer tier required",IF($M269="","Weight required",IF($S269="","Amount entry type required",IF(OR($J269&lt;0,$K269&lt;0,$M269&lt;0,$T269&lt;0,$U269&lt;0,$V269&lt;0,$W269&lt;0,$X269&lt;0,$Y269&lt;0),"Negative amounts are not allowed",IF($AE269="","Tariff not found for township and tier",IF(AND(OR($S269="ITEM_PRICE_PLUS_DECLARED_DELIVERY",$S269="TOTAL_AMOUNT_INCLUDING_DELIVERY",$S269="ITEM_PRICE_ONLY_DELIVERY_PAID_BY_MERCHANT"),$J269=""),"Item price required for this amount type",IF(AND(OR($S269="ITEM_PRICE_PLUS_DECLARED_DELIVERY",$S269="DELIVERY_CHARGE_ONLY"),$K269=""),"Declared delivery charge required",IF(AND(OR($S269="TOTAL_AMOUNT_INCLUDING_DELIVERY",$S269="EXACT_COLLECTION_AMOUNT"),$T269=""),"Stated total amount required",IF(AND($S269="TOTAL_AMOUNT_INCLUDING_DELIVERY",$T269&lt;SUM($J269,$U269)),"Stated total is below item price plus additional charge",IF($S269="EXACT_COLLECTION_AMOUNT","Authorized amount breakdown required before settlement","Ready for collection and settlement"))))))))))))</f>
        <v/>
      </c>
      <c r="AW269" s="23">
        <f>IF($AU269="","","PARCEL_FINANCIAL_V2")</f>
        <v/>
      </c>
      <c r="AX269" s="17" t="n"/>
    </row>
    <row r="270">
      <c r="A270" s="8" t="n"/>
      <c r="B270" s="8" t="n"/>
      <c r="C270" s="8" t="n"/>
      <c r="D270" s="8" t="n"/>
      <c r="E270" s="9" t="n"/>
      <c r="F270" s="9" t="n"/>
      <c r="G270" s="8" t="n"/>
      <c r="H270" s="9" t="n"/>
      <c r="I270" s="9" t="n"/>
      <c r="J270" s="10" t="n"/>
      <c r="K270" s="10" t="n"/>
      <c r="L270" s="11">
        <f>IF($S270="","",IF($S270="ITEM_PRICE_PLUS_DECLARED_DELIVERY",IF(OR($J270="",$K270=""),"",SUM($J270,$K270,$U270)),IF($S270="TOTAL_AMOUNT_INCLUDING_DELIVERY",IF($T270="","",$T270),IF($S270="DELIVERY_CHARGE_ONLY",IF($K270="","",SUM($K270,$U270)),IF($S270="EXACT_COLLECTION_AMOUNT",IF($T270="","",$T270),IF($S270="ITEM_PRICE_ONLY_DELIVERY_PAID_BY_MERCHANT",IF($J270="","",SUM($J270,$U270)),""))))))</f>
        <v/>
      </c>
      <c r="M270" s="12" t="n"/>
      <c r="N270" s="13" t="n"/>
      <c r="O270" s="13" t="n"/>
      <c r="P270" s="9" t="n"/>
      <c r="Q270" s="14" t="n"/>
      <c r="R270" s="15" t="n"/>
      <c r="S270" s="14" t="n"/>
      <c r="T270" s="16" t="n"/>
      <c r="U270" s="16" t="n"/>
      <c r="V270" s="16" t="n"/>
      <c r="W270" s="16" t="n"/>
      <c r="X270" s="16" t="n"/>
      <c r="Y270" s="16" t="n"/>
      <c r="Z270" s="14" t="n"/>
      <c r="AA270" s="14" t="n"/>
      <c r="AB270" s="14" t="n"/>
      <c r="AC270" s="17">
        <f>IFERROR(VLOOKUP($H270&amp;"|"&amp;$Q270,Tariff_Master!$A$2:$L$169,3,FALSE),"")</f>
        <v/>
      </c>
      <c r="AD270" s="17">
        <f>IFERROR(VLOOKUP($H270&amp;"|"&amp;$Q270,Tariff_Master!$A$2:$L$169,4,FALSE),"")</f>
        <v/>
      </c>
      <c r="AE270" s="18">
        <f>IFERROR(VLOOKUP($H270&amp;"|"&amp;$Q270,Tariff_Master!$A$2:$L$169,6,FALSE),"")</f>
        <v/>
      </c>
      <c r="AF270" s="19">
        <f>IFERROR(VLOOKUP($H270&amp;"|"&amp;$Q270,Tariff_Master!$A$2:$L$169,7,FALSE),"")</f>
        <v/>
      </c>
      <c r="AG270" s="18">
        <f>IFERROR(VLOOKUP($H270&amp;"|"&amp;$Q270,Tariff_Master!$A$2:$L$169,8,FALSE),"")</f>
        <v/>
      </c>
      <c r="AH270" s="20">
        <f>IFERROR(VLOOKUP($H270&amp;"|"&amp;$Q270,Tariff_Master!$A$2:$L$169,9,FALSE),"")</f>
        <v/>
      </c>
      <c r="AI270" s="18">
        <f>IFERROR(VLOOKUP($H270&amp;"|"&amp;$Q270,Tariff_Master!$A$2:$L$169,10,FALSE),"")</f>
        <v/>
      </c>
      <c r="AJ270" s="21">
        <f>IF($M270="","",ROUNDUP(MAX(0,$M270),0))</f>
        <v/>
      </c>
      <c r="AK270" s="21">
        <f>IF(OR($AJ270="",$AF270=""),"",MAX(0,$AJ270-$AF270))</f>
        <v/>
      </c>
      <c r="AL270" s="22">
        <f>IF(OR($AK270="",$AG270=""),"",MAX(0,$AK270*$AG270))</f>
        <v/>
      </c>
      <c r="AM270" s="22">
        <f>IF($AE270="","",MAX(0,SUM($AE270,$AL270,$V270,$W270)))</f>
        <v/>
      </c>
      <c r="AN270" s="22">
        <f>IF($AM270="","",IF(AND($Q270="COMMITMENT",$R270&gt;=$AH270),$AI270,0))</f>
        <v/>
      </c>
      <c r="AO270" s="23">
        <f>IF($AM270="","",MAX(0,$AM270-$AN270))</f>
        <v/>
      </c>
      <c r="AP270" s="22">
        <f>IF($S270="","",IF(OR($S270="ITEM_PRICE_PLUS_DECLARED_DELIVERY",$S270="DELIVERY_CHARGE_ONLY"),$K270,IF($S270="TOTAL_AMOUNT_INCLUDING_DELIVERY",IF(OR($T270="",$J270=""),"",MAX(0,$T270-$J270-$U270)),IF($S270="ITEM_PRICE_ONLY_DELIVERY_PAID_BY_MERCHANT",0,""))))</f>
        <v/>
      </c>
      <c r="AQ270" s="23">
        <f>IF(OR($AP270="",$AO270=""),"",$AP270-$AO270)</f>
        <v/>
      </c>
      <c r="AR270" s="24">
        <f>IF($S270="EXACT_COLLECTION_AMOUNT","BREAKDOWN_REQUIRED",IF($AQ270="","",IF($AQ270&gt;0,"CREDIT_TO_MERCHANT",IF($AQ270&lt;0,"DEDUCT_FROM_MERCHANT","NO_ADJUSTMENT"))))</f>
        <v/>
      </c>
      <c r="AS270" s="23">
        <f>IF(OR($AQ270="",$AR270="BREAKDOWN_REQUIRED"),"",$AQ270)</f>
        <v/>
      </c>
      <c r="AT270" s="23">
        <f>IF(OR($AR270="",$AR270="BREAKDOWN_REQUIRED"),"",SUM($J270,$AQ270,$Y270)-$X270)</f>
        <v/>
      </c>
      <c r="AU270" s="25">
        <f>IF(AND($A270="",$B270="",$F270="",$H270="",$J270="",$K270="",$M270="",$S270=""),"",IF(OR($H270="",$Q270="",$M270="",$S270=""),"ERROR",IF(OR($J270&lt;0,$K270&lt;0,$M270&lt;0,$T270&lt;0,$U270&lt;0,$V270&lt;0,$W270&lt;0,$X270&lt;0,$Y270&lt;0),"ERROR",IF($AE270="","ERROR",IF(AND(OR($S270="ITEM_PRICE_PLUS_DECLARED_DELIVERY",$S270="TOTAL_AMOUNT_INCLUDING_DELIVERY",$S270="ITEM_PRICE_ONLY_DELIVERY_PAID_BY_MERCHANT"),$J270=""),"ERROR",IF(AND(OR($S270="ITEM_PRICE_PLUS_DECLARED_DELIVERY",$S270="DELIVERY_CHARGE_ONLY"),$K270=""),"ERROR",IF(AND(OR($S270="TOTAL_AMOUNT_INCLUDING_DELIVERY",$S270="EXACT_COLLECTION_AMOUNT"),$T270=""),"ERROR",IF(AND($S270="TOTAL_AMOUNT_INCLUDING_DELIVERY",$T270&lt;SUM($J270,$U270)),"ERROR",IF($S270="EXACT_COLLECTION_AMOUNT","REVIEW","OK")))))))))</f>
        <v/>
      </c>
      <c r="AV270" s="25">
        <f>IF($AU270="","",IF($H270="","Township required",IF($Q270="","Customer tier required",IF($M270="","Weight required",IF($S270="","Amount entry type required",IF(OR($J270&lt;0,$K270&lt;0,$M270&lt;0,$T270&lt;0,$U270&lt;0,$V270&lt;0,$W270&lt;0,$X270&lt;0,$Y270&lt;0),"Negative amounts are not allowed",IF($AE270="","Tariff not found for township and tier",IF(AND(OR($S270="ITEM_PRICE_PLUS_DECLARED_DELIVERY",$S270="TOTAL_AMOUNT_INCLUDING_DELIVERY",$S270="ITEM_PRICE_ONLY_DELIVERY_PAID_BY_MERCHANT"),$J270=""),"Item price required for this amount type",IF(AND(OR($S270="ITEM_PRICE_PLUS_DECLARED_DELIVERY",$S270="DELIVERY_CHARGE_ONLY"),$K270=""),"Declared delivery charge required",IF(AND(OR($S270="TOTAL_AMOUNT_INCLUDING_DELIVERY",$S270="EXACT_COLLECTION_AMOUNT"),$T270=""),"Stated total amount required",IF(AND($S270="TOTAL_AMOUNT_INCLUDING_DELIVERY",$T270&lt;SUM($J270,$U270)),"Stated total is below item price plus additional charge",IF($S270="EXACT_COLLECTION_AMOUNT","Authorized amount breakdown required before settlement","Ready for collection and settlement"))))))))))))</f>
        <v/>
      </c>
      <c r="AW270" s="23">
        <f>IF($AU270="","","PARCEL_FINANCIAL_V2")</f>
        <v/>
      </c>
      <c r="AX270" s="17" t="n"/>
    </row>
    <row r="271">
      <c r="A271" s="8" t="n"/>
      <c r="B271" s="8" t="n"/>
      <c r="C271" s="8" t="n"/>
      <c r="D271" s="8" t="n"/>
      <c r="E271" s="9" t="n"/>
      <c r="F271" s="9" t="n"/>
      <c r="G271" s="8" t="n"/>
      <c r="H271" s="9" t="n"/>
      <c r="I271" s="9" t="n"/>
      <c r="J271" s="10" t="n"/>
      <c r="K271" s="10" t="n"/>
      <c r="L271" s="11">
        <f>IF($S271="","",IF($S271="ITEM_PRICE_PLUS_DECLARED_DELIVERY",IF(OR($J271="",$K271=""),"",SUM($J271,$K271,$U271)),IF($S271="TOTAL_AMOUNT_INCLUDING_DELIVERY",IF($T271="","",$T271),IF($S271="DELIVERY_CHARGE_ONLY",IF($K271="","",SUM($K271,$U271)),IF($S271="EXACT_COLLECTION_AMOUNT",IF($T271="","",$T271),IF($S271="ITEM_PRICE_ONLY_DELIVERY_PAID_BY_MERCHANT",IF($J271="","",SUM($J271,$U271)),""))))))</f>
        <v/>
      </c>
      <c r="M271" s="12" t="n"/>
      <c r="N271" s="13" t="n"/>
      <c r="O271" s="13" t="n"/>
      <c r="P271" s="9" t="n"/>
      <c r="Q271" s="14" t="n"/>
      <c r="R271" s="15" t="n"/>
      <c r="S271" s="14" t="n"/>
      <c r="T271" s="16" t="n"/>
      <c r="U271" s="16" t="n"/>
      <c r="V271" s="16" t="n"/>
      <c r="W271" s="16" t="n"/>
      <c r="X271" s="16" t="n"/>
      <c r="Y271" s="16" t="n"/>
      <c r="Z271" s="14" t="n"/>
      <c r="AA271" s="14" t="n"/>
      <c r="AB271" s="14" t="n"/>
      <c r="AC271" s="17">
        <f>IFERROR(VLOOKUP($H271&amp;"|"&amp;$Q271,Tariff_Master!$A$2:$L$169,3,FALSE),"")</f>
        <v/>
      </c>
      <c r="AD271" s="17">
        <f>IFERROR(VLOOKUP($H271&amp;"|"&amp;$Q271,Tariff_Master!$A$2:$L$169,4,FALSE),"")</f>
        <v/>
      </c>
      <c r="AE271" s="18">
        <f>IFERROR(VLOOKUP($H271&amp;"|"&amp;$Q271,Tariff_Master!$A$2:$L$169,6,FALSE),"")</f>
        <v/>
      </c>
      <c r="AF271" s="19">
        <f>IFERROR(VLOOKUP($H271&amp;"|"&amp;$Q271,Tariff_Master!$A$2:$L$169,7,FALSE),"")</f>
        <v/>
      </c>
      <c r="AG271" s="18">
        <f>IFERROR(VLOOKUP($H271&amp;"|"&amp;$Q271,Tariff_Master!$A$2:$L$169,8,FALSE),"")</f>
        <v/>
      </c>
      <c r="AH271" s="20">
        <f>IFERROR(VLOOKUP($H271&amp;"|"&amp;$Q271,Tariff_Master!$A$2:$L$169,9,FALSE),"")</f>
        <v/>
      </c>
      <c r="AI271" s="18">
        <f>IFERROR(VLOOKUP($H271&amp;"|"&amp;$Q271,Tariff_Master!$A$2:$L$169,10,FALSE),"")</f>
        <v/>
      </c>
      <c r="AJ271" s="21">
        <f>IF($M271="","",ROUNDUP(MAX(0,$M271),0))</f>
        <v/>
      </c>
      <c r="AK271" s="21">
        <f>IF(OR($AJ271="",$AF271=""),"",MAX(0,$AJ271-$AF271))</f>
        <v/>
      </c>
      <c r="AL271" s="22">
        <f>IF(OR($AK271="",$AG271=""),"",MAX(0,$AK271*$AG271))</f>
        <v/>
      </c>
      <c r="AM271" s="22">
        <f>IF($AE271="","",MAX(0,SUM($AE271,$AL271,$V271,$W271)))</f>
        <v/>
      </c>
      <c r="AN271" s="22">
        <f>IF($AM271="","",IF(AND($Q271="COMMITMENT",$R271&gt;=$AH271),$AI271,0))</f>
        <v/>
      </c>
      <c r="AO271" s="23">
        <f>IF($AM271="","",MAX(0,$AM271-$AN271))</f>
        <v/>
      </c>
      <c r="AP271" s="22">
        <f>IF($S271="","",IF(OR($S271="ITEM_PRICE_PLUS_DECLARED_DELIVERY",$S271="DELIVERY_CHARGE_ONLY"),$K271,IF($S271="TOTAL_AMOUNT_INCLUDING_DELIVERY",IF(OR($T271="",$J271=""),"",MAX(0,$T271-$J271-$U271)),IF($S271="ITEM_PRICE_ONLY_DELIVERY_PAID_BY_MERCHANT",0,""))))</f>
        <v/>
      </c>
      <c r="AQ271" s="23">
        <f>IF(OR($AP271="",$AO271=""),"",$AP271-$AO271)</f>
        <v/>
      </c>
      <c r="AR271" s="24">
        <f>IF($S271="EXACT_COLLECTION_AMOUNT","BREAKDOWN_REQUIRED",IF($AQ271="","",IF($AQ271&gt;0,"CREDIT_TO_MERCHANT",IF($AQ271&lt;0,"DEDUCT_FROM_MERCHANT","NO_ADJUSTMENT"))))</f>
        <v/>
      </c>
      <c r="AS271" s="23">
        <f>IF(OR($AQ271="",$AR271="BREAKDOWN_REQUIRED"),"",$AQ271)</f>
        <v/>
      </c>
      <c r="AT271" s="23">
        <f>IF(OR($AR271="",$AR271="BREAKDOWN_REQUIRED"),"",SUM($J271,$AQ271,$Y271)-$X271)</f>
        <v/>
      </c>
      <c r="AU271" s="25">
        <f>IF(AND($A271="",$B271="",$F271="",$H271="",$J271="",$K271="",$M271="",$S271=""),"",IF(OR($H271="",$Q271="",$M271="",$S271=""),"ERROR",IF(OR($J271&lt;0,$K271&lt;0,$M271&lt;0,$T271&lt;0,$U271&lt;0,$V271&lt;0,$W271&lt;0,$X271&lt;0,$Y271&lt;0),"ERROR",IF($AE271="","ERROR",IF(AND(OR($S271="ITEM_PRICE_PLUS_DECLARED_DELIVERY",$S271="TOTAL_AMOUNT_INCLUDING_DELIVERY",$S271="ITEM_PRICE_ONLY_DELIVERY_PAID_BY_MERCHANT"),$J271=""),"ERROR",IF(AND(OR($S271="ITEM_PRICE_PLUS_DECLARED_DELIVERY",$S271="DELIVERY_CHARGE_ONLY"),$K271=""),"ERROR",IF(AND(OR($S271="TOTAL_AMOUNT_INCLUDING_DELIVERY",$S271="EXACT_COLLECTION_AMOUNT"),$T271=""),"ERROR",IF(AND($S271="TOTAL_AMOUNT_INCLUDING_DELIVERY",$T271&lt;SUM($J271,$U271)),"ERROR",IF($S271="EXACT_COLLECTION_AMOUNT","REVIEW","OK")))))))))</f>
        <v/>
      </c>
      <c r="AV271" s="25">
        <f>IF($AU271="","",IF($H271="","Township required",IF($Q271="","Customer tier required",IF($M271="","Weight required",IF($S271="","Amount entry type required",IF(OR($J271&lt;0,$K271&lt;0,$M271&lt;0,$T271&lt;0,$U271&lt;0,$V271&lt;0,$W271&lt;0,$X271&lt;0,$Y271&lt;0),"Negative amounts are not allowed",IF($AE271="","Tariff not found for township and tier",IF(AND(OR($S271="ITEM_PRICE_PLUS_DECLARED_DELIVERY",$S271="TOTAL_AMOUNT_INCLUDING_DELIVERY",$S271="ITEM_PRICE_ONLY_DELIVERY_PAID_BY_MERCHANT"),$J271=""),"Item price required for this amount type",IF(AND(OR($S271="ITEM_PRICE_PLUS_DECLARED_DELIVERY",$S271="DELIVERY_CHARGE_ONLY"),$K271=""),"Declared delivery charge required",IF(AND(OR($S271="TOTAL_AMOUNT_INCLUDING_DELIVERY",$S271="EXACT_COLLECTION_AMOUNT"),$T271=""),"Stated total amount required",IF(AND($S271="TOTAL_AMOUNT_INCLUDING_DELIVERY",$T271&lt;SUM($J271,$U271)),"Stated total is below item price plus additional charge",IF($S271="EXACT_COLLECTION_AMOUNT","Authorized amount breakdown required before settlement","Ready for collection and settlement"))))))))))))</f>
        <v/>
      </c>
      <c r="AW271" s="23">
        <f>IF($AU271="","","PARCEL_FINANCIAL_V2")</f>
        <v/>
      </c>
      <c r="AX271" s="17" t="n"/>
    </row>
    <row r="272">
      <c r="A272" s="8" t="n"/>
      <c r="B272" s="8" t="n"/>
      <c r="C272" s="8" t="n"/>
      <c r="D272" s="8" t="n"/>
      <c r="E272" s="9" t="n"/>
      <c r="F272" s="9" t="n"/>
      <c r="G272" s="8" t="n"/>
      <c r="H272" s="9" t="n"/>
      <c r="I272" s="9" t="n"/>
      <c r="J272" s="10" t="n"/>
      <c r="K272" s="10" t="n"/>
      <c r="L272" s="11">
        <f>IF($S272="","",IF($S272="ITEM_PRICE_PLUS_DECLARED_DELIVERY",IF(OR($J272="",$K272=""),"",SUM($J272,$K272,$U272)),IF($S272="TOTAL_AMOUNT_INCLUDING_DELIVERY",IF($T272="","",$T272),IF($S272="DELIVERY_CHARGE_ONLY",IF($K272="","",SUM($K272,$U272)),IF($S272="EXACT_COLLECTION_AMOUNT",IF($T272="","",$T272),IF($S272="ITEM_PRICE_ONLY_DELIVERY_PAID_BY_MERCHANT",IF($J272="","",SUM($J272,$U272)),""))))))</f>
        <v/>
      </c>
      <c r="M272" s="12" t="n"/>
      <c r="N272" s="13" t="n"/>
      <c r="O272" s="13" t="n"/>
      <c r="P272" s="9" t="n"/>
      <c r="Q272" s="14" t="n"/>
      <c r="R272" s="15" t="n"/>
      <c r="S272" s="14" t="n"/>
      <c r="T272" s="16" t="n"/>
      <c r="U272" s="16" t="n"/>
      <c r="V272" s="16" t="n"/>
      <c r="W272" s="16" t="n"/>
      <c r="X272" s="16" t="n"/>
      <c r="Y272" s="16" t="n"/>
      <c r="Z272" s="14" t="n"/>
      <c r="AA272" s="14" t="n"/>
      <c r="AB272" s="14" t="n"/>
      <c r="AC272" s="17">
        <f>IFERROR(VLOOKUP($H272&amp;"|"&amp;$Q272,Tariff_Master!$A$2:$L$169,3,FALSE),"")</f>
        <v/>
      </c>
      <c r="AD272" s="17">
        <f>IFERROR(VLOOKUP($H272&amp;"|"&amp;$Q272,Tariff_Master!$A$2:$L$169,4,FALSE),"")</f>
        <v/>
      </c>
      <c r="AE272" s="18">
        <f>IFERROR(VLOOKUP($H272&amp;"|"&amp;$Q272,Tariff_Master!$A$2:$L$169,6,FALSE),"")</f>
        <v/>
      </c>
      <c r="AF272" s="19">
        <f>IFERROR(VLOOKUP($H272&amp;"|"&amp;$Q272,Tariff_Master!$A$2:$L$169,7,FALSE),"")</f>
        <v/>
      </c>
      <c r="AG272" s="18">
        <f>IFERROR(VLOOKUP($H272&amp;"|"&amp;$Q272,Tariff_Master!$A$2:$L$169,8,FALSE),"")</f>
        <v/>
      </c>
      <c r="AH272" s="20">
        <f>IFERROR(VLOOKUP($H272&amp;"|"&amp;$Q272,Tariff_Master!$A$2:$L$169,9,FALSE),"")</f>
        <v/>
      </c>
      <c r="AI272" s="18">
        <f>IFERROR(VLOOKUP($H272&amp;"|"&amp;$Q272,Tariff_Master!$A$2:$L$169,10,FALSE),"")</f>
        <v/>
      </c>
      <c r="AJ272" s="21">
        <f>IF($M272="","",ROUNDUP(MAX(0,$M272),0))</f>
        <v/>
      </c>
      <c r="AK272" s="21">
        <f>IF(OR($AJ272="",$AF272=""),"",MAX(0,$AJ272-$AF272))</f>
        <v/>
      </c>
      <c r="AL272" s="22">
        <f>IF(OR($AK272="",$AG272=""),"",MAX(0,$AK272*$AG272))</f>
        <v/>
      </c>
      <c r="AM272" s="22">
        <f>IF($AE272="","",MAX(0,SUM($AE272,$AL272,$V272,$W272)))</f>
        <v/>
      </c>
      <c r="AN272" s="22">
        <f>IF($AM272="","",IF(AND($Q272="COMMITMENT",$R272&gt;=$AH272),$AI272,0))</f>
        <v/>
      </c>
      <c r="AO272" s="23">
        <f>IF($AM272="","",MAX(0,$AM272-$AN272))</f>
        <v/>
      </c>
      <c r="AP272" s="22">
        <f>IF($S272="","",IF(OR($S272="ITEM_PRICE_PLUS_DECLARED_DELIVERY",$S272="DELIVERY_CHARGE_ONLY"),$K272,IF($S272="TOTAL_AMOUNT_INCLUDING_DELIVERY",IF(OR($T272="",$J272=""),"",MAX(0,$T272-$J272-$U272)),IF($S272="ITEM_PRICE_ONLY_DELIVERY_PAID_BY_MERCHANT",0,""))))</f>
        <v/>
      </c>
      <c r="AQ272" s="23">
        <f>IF(OR($AP272="",$AO272=""),"",$AP272-$AO272)</f>
        <v/>
      </c>
      <c r="AR272" s="24">
        <f>IF($S272="EXACT_COLLECTION_AMOUNT","BREAKDOWN_REQUIRED",IF($AQ272="","",IF($AQ272&gt;0,"CREDIT_TO_MERCHANT",IF($AQ272&lt;0,"DEDUCT_FROM_MERCHANT","NO_ADJUSTMENT"))))</f>
        <v/>
      </c>
      <c r="AS272" s="23">
        <f>IF(OR($AQ272="",$AR272="BREAKDOWN_REQUIRED"),"",$AQ272)</f>
        <v/>
      </c>
      <c r="AT272" s="23">
        <f>IF(OR($AR272="",$AR272="BREAKDOWN_REQUIRED"),"",SUM($J272,$AQ272,$Y272)-$X272)</f>
        <v/>
      </c>
      <c r="AU272" s="25">
        <f>IF(AND($A272="",$B272="",$F272="",$H272="",$J272="",$K272="",$M272="",$S272=""),"",IF(OR($H272="",$Q272="",$M272="",$S272=""),"ERROR",IF(OR($J272&lt;0,$K272&lt;0,$M272&lt;0,$T272&lt;0,$U272&lt;0,$V272&lt;0,$W272&lt;0,$X272&lt;0,$Y272&lt;0),"ERROR",IF($AE272="","ERROR",IF(AND(OR($S272="ITEM_PRICE_PLUS_DECLARED_DELIVERY",$S272="TOTAL_AMOUNT_INCLUDING_DELIVERY",$S272="ITEM_PRICE_ONLY_DELIVERY_PAID_BY_MERCHANT"),$J272=""),"ERROR",IF(AND(OR($S272="ITEM_PRICE_PLUS_DECLARED_DELIVERY",$S272="DELIVERY_CHARGE_ONLY"),$K272=""),"ERROR",IF(AND(OR($S272="TOTAL_AMOUNT_INCLUDING_DELIVERY",$S272="EXACT_COLLECTION_AMOUNT"),$T272=""),"ERROR",IF(AND($S272="TOTAL_AMOUNT_INCLUDING_DELIVERY",$T272&lt;SUM($J272,$U272)),"ERROR",IF($S272="EXACT_COLLECTION_AMOUNT","REVIEW","OK")))))))))</f>
        <v/>
      </c>
      <c r="AV272" s="25">
        <f>IF($AU272="","",IF($H272="","Township required",IF($Q272="","Customer tier required",IF($M272="","Weight required",IF($S272="","Amount entry type required",IF(OR($J272&lt;0,$K272&lt;0,$M272&lt;0,$T272&lt;0,$U272&lt;0,$V272&lt;0,$W272&lt;0,$X272&lt;0,$Y272&lt;0),"Negative amounts are not allowed",IF($AE272="","Tariff not found for township and tier",IF(AND(OR($S272="ITEM_PRICE_PLUS_DECLARED_DELIVERY",$S272="TOTAL_AMOUNT_INCLUDING_DELIVERY",$S272="ITEM_PRICE_ONLY_DELIVERY_PAID_BY_MERCHANT"),$J272=""),"Item price required for this amount type",IF(AND(OR($S272="ITEM_PRICE_PLUS_DECLARED_DELIVERY",$S272="DELIVERY_CHARGE_ONLY"),$K272=""),"Declared delivery charge required",IF(AND(OR($S272="TOTAL_AMOUNT_INCLUDING_DELIVERY",$S272="EXACT_COLLECTION_AMOUNT"),$T272=""),"Stated total amount required",IF(AND($S272="TOTAL_AMOUNT_INCLUDING_DELIVERY",$T272&lt;SUM($J272,$U272)),"Stated total is below item price plus additional charge",IF($S272="EXACT_COLLECTION_AMOUNT","Authorized amount breakdown required before settlement","Ready for collection and settlement"))))))))))))</f>
        <v/>
      </c>
      <c r="AW272" s="23">
        <f>IF($AU272="","","PARCEL_FINANCIAL_V2")</f>
        <v/>
      </c>
      <c r="AX272" s="17" t="n"/>
    </row>
    <row r="273">
      <c r="A273" s="8" t="n"/>
      <c r="B273" s="8" t="n"/>
      <c r="C273" s="8" t="n"/>
      <c r="D273" s="8" t="n"/>
      <c r="E273" s="9" t="n"/>
      <c r="F273" s="9" t="n"/>
      <c r="G273" s="8" t="n"/>
      <c r="H273" s="9" t="n"/>
      <c r="I273" s="9" t="n"/>
      <c r="J273" s="10" t="n"/>
      <c r="K273" s="10" t="n"/>
      <c r="L273" s="11">
        <f>IF($S273="","",IF($S273="ITEM_PRICE_PLUS_DECLARED_DELIVERY",IF(OR($J273="",$K273=""),"",SUM($J273,$K273,$U273)),IF($S273="TOTAL_AMOUNT_INCLUDING_DELIVERY",IF($T273="","",$T273),IF($S273="DELIVERY_CHARGE_ONLY",IF($K273="","",SUM($K273,$U273)),IF($S273="EXACT_COLLECTION_AMOUNT",IF($T273="","",$T273),IF($S273="ITEM_PRICE_ONLY_DELIVERY_PAID_BY_MERCHANT",IF($J273="","",SUM($J273,$U273)),""))))))</f>
        <v/>
      </c>
      <c r="M273" s="12" t="n"/>
      <c r="N273" s="13" t="n"/>
      <c r="O273" s="13" t="n"/>
      <c r="P273" s="9" t="n"/>
      <c r="Q273" s="14" t="n"/>
      <c r="R273" s="15" t="n"/>
      <c r="S273" s="14" t="n"/>
      <c r="T273" s="16" t="n"/>
      <c r="U273" s="16" t="n"/>
      <c r="V273" s="16" t="n"/>
      <c r="W273" s="16" t="n"/>
      <c r="X273" s="16" t="n"/>
      <c r="Y273" s="16" t="n"/>
      <c r="Z273" s="14" t="n"/>
      <c r="AA273" s="14" t="n"/>
      <c r="AB273" s="14" t="n"/>
      <c r="AC273" s="17">
        <f>IFERROR(VLOOKUP($H273&amp;"|"&amp;$Q273,Tariff_Master!$A$2:$L$169,3,FALSE),"")</f>
        <v/>
      </c>
      <c r="AD273" s="17">
        <f>IFERROR(VLOOKUP($H273&amp;"|"&amp;$Q273,Tariff_Master!$A$2:$L$169,4,FALSE),"")</f>
        <v/>
      </c>
      <c r="AE273" s="18">
        <f>IFERROR(VLOOKUP($H273&amp;"|"&amp;$Q273,Tariff_Master!$A$2:$L$169,6,FALSE),"")</f>
        <v/>
      </c>
      <c r="AF273" s="19">
        <f>IFERROR(VLOOKUP($H273&amp;"|"&amp;$Q273,Tariff_Master!$A$2:$L$169,7,FALSE),"")</f>
        <v/>
      </c>
      <c r="AG273" s="18">
        <f>IFERROR(VLOOKUP($H273&amp;"|"&amp;$Q273,Tariff_Master!$A$2:$L$169,8,FALSE),"")</f>
        <v/>
      </c>
      <c r="AH273" s="20">
        <f>IFERROR(VLOOKUP($H273&amp;"|"&amp;$Q273,Tariff_Master!$A$2:$L$169,9,FALSE),"")</f>
        <v/>
      </c>
      <c r="AI273" s="18">
        <f>IFERROR(VLOOKUP($H273&amp;"|"&amp;$Q273,Tariff_Master!$A$2:$L$169,10,FALSE),"")</f>
        <v/>
      </c>
      <c r="AJ273" s="21">
        <f>IF($M273="","",ROUNDUP(MAX(0,$M273),0))</f>
        <v/>
      </c>
      <c r="AK273" s="21">
        <f>IF(OR($AJ273="",$AF273=""),"",MAX(0,$AJ273-$AF273))</f>
        <v/>
      </c>
      <c r="AL273" s="22">
        <f>IF(OR($AK273="",$AG273=""),"",MAX(0,$AK273*$AG273))</f>
        <v/>
      </c>
      <c r="AM273" s="22">
        <f>IF($AE273="","",MAX(0,SUM($AE273,$AL273,$V273,$W273)))</f>
        <v/>
      </c>
      <c r="AN273" s="22">
        <f>IF($AM273="","",IF(AND($Q273="COMMITMENT",$R273&gt;=$AH273),$AI273,0))</f>
        <v/>
      </c>
      <c r="AO273" s="23">
        <f>IF($AM273="","",MAX(0,$AM273-$AN273))</f>
        <v/>
      </c>
      <c r="AP273" s="22">
        <f>IF($S273="","",IF(OR($S273="ITEM_PRICE_PLUS_DECLARED_DELIVERY",$S273="DELIVERY_CHARGE_ONLY"),$K273,IF($S273="TOTAL_AMOUNT_INCLUDING_DELIVERY",IF(OR($T273="",$J273=""),"",MAX(0,$T273-$J273-$U273)),IF($S273="ITEM_PRICE_ONLY_DELIVERY_PAID_BY_MERCHANT",0,""))))</f>
        <v/>
      </c>
      <c r="AQ273" s="23">
        <f>IF(OR($AP273="",$AO273=""),"",$AP273-$AO273)</f>
        <v/>
      </c>
      <c r="AR273" s="24">
        <f>IF($S273="EXACT_COLLECTION_AMOUNT","BREAKDOWN_REQUIRED",IF($AQ273="","",IF($AQ273&gt;0,"CREDIT_TO_MERCHANT",IF($AQ273&lt;0,"DEDUCT_FROM_MERCHANT","NO_ADJUSTMENT"))))</f>
        <v/>
      </c>
      <c r="AS273" s="23">
        <f>IF(OR($AQ273="",$AR273="BREAKDOWN_REQUIRED"),"",$AQ273)</f>
        <v/>
      </c>
      <c r="AT273" s="23">
        <f>IF(OR($AR273="",$AR273="BREAKDOWN_REQUIRED"),"",SUM($J273,$AQ273,$Y273)-$X273)</f>
        <v/>
      </c>
      <c r="AU273" s="25">
        <f>IF(AND($A273="",$B273="",$F273="",$H273="",$J273="",$K273="",$M273="",$S273=""),"",IF(OR($H273="",$Q273="",$M273="",$S273=""),"ERROR",IF(OR($J273&lt;0,$K273&lt;0,$M273&lt;0,$T273&lt;0,$U273&lt;0,$V273&lt;0,$W273&lt;0,$X273&lt;0,$Y273&lt;0),"ERROR",IF($AE273="","ERROR",IF(AND(OR($S273="ITEM_PRICE_PLUS_DECLARED_DELIVERY",$S273="TOTAL_AMOUNT_INCLUDING_DELIVERY",$S273="ITEM_PRICE_ONLY_DELIVERY_PAID_BY_MERCHANT"),$J273=""),"ERROR",IF(AND(OR($S273="ITEM_PRICE_PLUS_DECLARED_DELIVERY",$S273="DELIVERY_CHARGE_ONLY"),$K273=""),"ERROR",IF(AND(OR($S273="TOTAL_AMOUNT_INCLUDING_DELIVERY",$S273="EXACT_COLLECTION_AMOUNT"),$T273=""),"ERROR",IF(AND($S273="TOTAL_AMOUNT_INCLUDING_DELIVERY",$T273&lt;SUM($J273,$U273)),"ERROR",IF($S273="EXACT_COLLECTION_AMOUNT","REVIEW","OK")))))))))</f>
        <v/>
      </c>
      <c r="AV273" s="25">
        <f>IF($AU273="","",IF($H273="","Township required",IF($Q273="","Customer tier required",IF($M273="","Weight required",IF($S273="","Amount entry type required",IF(OR($J273&lt;0,$K273&lt;0,$M273&lt;0,$T273&lt;0,$U273&lt;0,$V273&lt;0,$W273&lt;0,$X273&lt;0,$Y273&lt;0),"Negative amounts are not allowed",IF($AE273="","Tariff not found for township and tier",IF(AND(OR($S273="ITEM_PRICE_PLUS_DECLARED_DELIVERY",$S273="TOTAL_AMOUNT_INCLUDING_DELIVERY",$S273="ITEM_PRICE_ONLY_DELIVERY_PAID_BY_MERCHANT"),$J273=""),"Item price required for this amount type",IF(AND(OR($S273="ITEM_PRICE_PLUS_DECLARED_DELIVERY",$S273="DELIVERY_CHARGE_ONLY"),$K273=""),"Declared delivery charge required",IF(AND(OR($S273="TOTAL_AMOUNT_INCLUDING_DELIVERY",$S273="EXACT_COLLECTION_AMOUNT"),$T273=""),"Stated total amount required",IF(AND($S273="TOTAL_AMOUNT_INCLUDING_DELIVERY",$T273&lt;SUM($J273,$U273)),"Stated total is below item price plus additional charge",IF($S273="EXACT_COLLECTION_AMOUNT","Authorized amount breakdown required before settlement","Ready for collection and settlement"))))))))))))</f>
        <v/>
      </c>
      <c r="AW273" s="23">
        <f>IF($AU273="","","PARCEL_FINANCIAL_V2")</f>
        <v/>
      </c>
      <c r="AX273" s="17" t="n"/>
    </row>
    <row r="274">
      <c r="A274" s="8" t="n"/>
      <c r="B274" s="8" t="n"/>
      <c r="C274" s="8" t="n"/>
      <c r="D274" s="8" t="n"/>
      <c r="E274" s="9" t="n"/>
      <c r="F274" s="9" t="n"/>
      <c r="G274" s="8" t="n"/>
      <c r="H274" s="9" t="n"/>
      <c r="I274" s="9" t="n"/>
      <c r="J274" s="10" t="n"/>
      <c r="K274" s="10" t="n"/>
      <c r="L274" s="11">
        <f>IF($S274="","",IF($S274="ITEM_PRICE_PLUS_DECLARED_DELIVERY",IF(OR($J274="",$K274=""),"",SUM($J274,$K274,$U274)),IF($S274="TOTAL_AMOUNT_INCLUDING_DELIVERY",IF($T274="","",$T274),IF($S274="DELIVERY_CHARGE_ONLY",IF($K274="","",SUM($K274,$U274)),IF($S274="EXACT_COLLECTION_AMOUNT",IF($T274="","",$T274),IF($S274="ITEM_PRICE_ONLY_DELIVERY_PAID_BY_MERCHANT",IF($J274="","",SUM($J274,$U274)),""))))))</f>
        <v/>
      </c>
      <c r="M274" s="12" t="n"/>
      <c r="N274" s="13" t="n"/>
      <c r="O274" s="13" t="n"/>
      <c r="P274" s="9" t="n"/>
      <c r="Q274" s="14" t="n"/>
      <c r="R274" s="15" t="n"/>
      <c r="S274" s="14" t="n"/>
      <c r="T274" s="16" t="n"/>
      <c r="U274" s="16" t="n"/>
      <c r="V274" s="16" t="n"/>
      <c r="W274" s="16" t="n"/>
      <c r="X274" s="16" t="n"/>
      <c r="Y274" s="16" t="n"/>
      <c r="Z274" s="14" t="n"/>
      <c r="AA274" s="14" t="n"/>
      <c r="AB274" s="14" t="n"/>
      <c r="AC274" s="17">
        <f>IFERROR(VLOOKUP($H274&amp;"|"&amp;$Q274,Tariff_Master!$A$2:$L$169,3,FALSE),"")</f>
        <v/>
      </c>
      <c r="AD274" s="17">
        <f>IFERROR(VLOOKUP($H274&amp;"|"&amp;$Q274,Tariff_Master!$A$2:$L$169,4,FALSE),"")</f>
        <v/>
      </c>
      <c r="AE274" s="18">
        <f>IFERROR(VLOOKUP($H274&amp;"|"&amp;$Q274,Tariff_Master!$A$2:$L$169,6,FALSE),"")</f>
        <v/>
      </c>
      <c r="AF274" s="19">
        <f>IFERROR(VLOOKUP($H274&amp;"|"&amp;$Q274,Tariff_Master!$A$2:$L$169,7,FALSE),"")</f>
        <v/>
      </c>
      <c r="AG274" s="18">
        <f>IFERROR(VLOOKUP($H274&amp;"|"&amp;$Q274,Tariff_Master!$A$2:$L$169,8,FALSE),"")</f>
        <v/>
      </c>
      <c r="AH274" s="20">
        <f>IFERROR(VLOOKUP($H274&amp;"|"&amp;$Q274,Tariff_Master!$A$2:$L$169,9,FALSE),"")</f>
        <v/>
      </c>
      <c r="AI274" s="18">
        <f>IFERROR(VLOOKUP($H274&amp;"|"&amp;$Q274,Tariff_Master!$A$2:$L$169,10,FALSE),"")</f>
        <v/>
      </c>
      <c r="AJ274" s="21">
        <f>IF($M274="","",ROUNDUP(MAX(0,$M274),0))</f>
        <v/>
      </c>
      <c r="AK274" s="21">
        <f>IF(OR($AJ274="",$AF274=""),"",MAX(0,$AJ274-$AF274))</f>
        <v/>
      </c>
      <c r="AL274" s="22">
        <f>IF(OR($AK274="",$AG274=""),"",MAX(0,$AK274*$AG274))</f>
        <v/>
      </c>
      <c r="AM274" s="22">
        <f>IF($AE274="","",MAX(0,SUM($AE274,$AL274,$V274,$W274)))</f>
        <v/>
      </c>
      <c r="AN274" s="22">
        <f>IF($AM274="","",IF(AND($Q274="COMMITMENT",$R274&gt;=$AH274),$AI274,0))</f>
        <v/>
      </c>
      <c r="AO274" s="23">
        <f>IF($AM274="","",MAX(0,$AM274-$AN274))</f>
        <v/>
      </c>
      <c r="AP274" s="22">
        <f>IF($S274="","",IF(OR($S274="ITEM_PRICE_PLUS_DECLARED_DELIVERY",$S274="DELIVERY_CHARGE_ONLY"),$K274,IF($S274="TOTAL_AMOUNT_INCLUDING_DELIVERY",IF(OR($T274="",$J274=""),"",MAX(0,$T274-$J274-$U274)),IF($S274="ITEM_PRICE_ONLY_DELIVERY_PAID_BY_MERCHANT",0,""))))</f>
        <v/>
      </c>
      <c r="AQ274" s="23">
        <f>IF(OR($AP274="",$AO274=""),"",$AP274-$AO274)</f>
        <v/>
      </c>
      <c r="AR274" s="24">
        <f>IF($S274="EXACT_COLLECTION_AMOUNT","BREAKDOWN_REQUIRED",IF($AQ274="","",IF($AQ274&gt;0,"CREDIT_TO_MERCHANT",IF($AQ274&lt;0,"DEDUCT_FROM_MERCHANT","NO_ADJUSTMENT"))))</f>
        <v/>
      </c>
      <c r="AS274" s="23">
        <f>IF(OR($AQ274="",$AR274="BREAKDOWN_REQUIRED"),"",$AQ274)</f>
        <v/>
      </c>
      <c r="AT274" s="23">
        <f>IF(OR($AR274="",$AR274="BREAKDOWN_REQUIRED"),"",SUM($J274,$AQ274,$Y274)-$X274)</f>
        <v/>
      </c>
      <c r="AU274" s="25">
        <f>IF(AND($A274="",$B274="",$F274="",$H274="",$J274="",$K274="",$M274="",$S274=""),"",IF(OR($H274="",$Q274="",$M274="",$S274=""),"ERROR",IF(OR($J274&lt;0,$K274&lt;0,$M274&lt;0,$T274&lt;0,$U274&lt;0,$V274&lt;0,$W274&lt;0,$X274&lt;0,$Y274&lt;0),"ERROR",IF($AE274="","ERROR",IF(AND(OR($S274="ITEM_PRICE_PLUS_DECLARED_DELIVERY",$S274="TOTAL_AMOUNT_INCLUDING_DELIVERY",$S274="ITEM_PRICE_ONLY_DELIVERY_PAID_BY_MERCHANT"),$J274=""),"ERROR",IF(AND(OR($S274="ITEM_PRICE_PLUS_DECLARED_DELIVERY",$S274="DELIVERY_CHARGE_ONLY"),$K274=""),"ERROR",IF(AND(OR($S274="TOTAL_AMOUNT_INCLUDING_DELIVERY",$S274="EXACT_COLLECTION_AMOUNT"),$T274=""),"ERROR",IF(AND($S274="TOTAL_AMOUNT_INCLUDING_DELIVERY",$T274&lt;SUM($J274,$U274)),"ERROR",IF($S274="EXACT_COLLECTION_AMOUNT","REVIEW","OK")))))))))</f>
        <v/>
      </c>
      <c r="AV274" s="25">
        <f>IF($AU274="","",IF($H274="","Township required",IF($Q274="","Customer tier required",IF($M274="","Weight required",IF($S274="","Amount entry type required",IF(OR($J274&lt;0,$K274&lt;0,$M274&lt;0,$T274&lt;0,$U274&lt;0,$V274&lt;0,$W274&lt;0,$X274&lt;0,$Y274&lt;0),"Negative amounts are not allowed",IF($AE274="","Tariff not found for township and tier",IF(AND(OR($S274="ITEM_PRICE_PLUS_DECLARED_DELIVERY",$S274="TOTAL_AMOUNT_INCLUDING_DELIVERY",$S274="ITEM_PRICE_ONLY_DELIVERY_PAID_BY_MERCHANT"),$J274=""),"Item price required for this amount type",IF(AND(OR($S274="ITEM_PRICE_PLUS_DECLARED_DELIVERY",$S274="DELIVERY_CHARGE_ONLY"),$K274=""),"Declared delivery charge required",IF(AND(OR($S274="TOTAL_AMOUNT_INCLUDING_DELIVERY",$S274="EXACT_COLLECTION_AMOUNT"),$T274=""),"Stated total amount required",IF(AND($S274="TOTAL_AMOUNT_INCLUDING_DELIVERY",$T274&lt;SUM($J274,$U274)),"Stated total is below item price plus additional charge",IF($S274="EXACT_COLLECTION_AMOUNT","Authorized amount breakdown required before settlement","Ready for collection and settlement"))))))))))))</f>
        <v/>
      </c>
      <c r="AW274" s="23">
        <f>IF($AU274="","","PARCEL_FINANCIAL_V2")</f>
        <v/>
      </c>
      <c r="AX274" s="17" t="n"/>
    </row>
    <row r="275">
      <c r="A275" s="8" t="n"/>
      <c r="B275" s="8" t="n"/>
      <c r="C275" s="8" t="n"/>
      <c r="D275" s="8" t="n"/>
      <c r="E275" s="9" t="n"/>
      <c r="F275" s="9" t="n"/>
      <c r="G275" s="8" t="n"/>
      <c r="H275" s="9" t="n"/>
      <c r="I275" s="9" t="n"/>
      <c r="J275" s="10" t="n"/>
      <c r="K275" s="10" t="n"/>
      <c r="L275" s="11">
        <f>IF($S275="","",IF($S275="ITEM_PRICE_PLUS_DECLARED_DELIVERY",IF(OR($J275="",$K275=""),"",SUM($J275,$K275,$U275)),IF($S275="TOTAL_AMOUNT_INCLUDING_DELIVERY",IF($T275="","",$T275),IF($S275="DELIVERY_CHARGE_ONLY",IF($K275="","",SUM($K275,$U275)),IF($S275="EXACT_COLLECTION_AMOUNT",IF($T275="","",$T275),IF($S275="ITEM_PRICE_ONLY_DELIVERY_PAID_BY_MERCHANT",IF($J275="","",SUM($J275,$U275)),""))))))</f>
        <v/>
      </c>
      <c r="M275" s="12" t="n"/>
      <c r="N275" s="13" t="n"/>
      <c r="O275" s="13" t="n"/>
      <c r="P275" s="9" t="n"/>
      <c r="Q275" s="14" t="n"/>
      <c r="R275" s="15" t="n"/>
      <c r="S275" s="14" t="n"/>
      <c r="T275" s="16" t="n"/>
      <c r="U275" s="16" t="n"/>
      <c r="V275" s="16" t="n"/>
      <c r="W275" s="16" t="n"/>
      <c r="X275" s="16" t="n"/>
      <c r="Y275" s="16" t="n"/>
      <c r="Z275" s="14" t="n"/>
      <c r="AA275" s="14" t="n"/>
      <c r="AB275" s="14" t="n"/>
      <c r="AC275" s="17">
        <f>IFERROR(VLOOKUP($H275&amp;"|"&amp;$Q275,Tariff_Master!$A$2:$L$169,3,FALSE),"")</f>
        <v/>
      </c>
      <c r="AD275" s="17">
        <f>IFERROR(VLOOKUP($H275&amp;"|"&amp;$Q275,Tariff_Master!$A$2:$L$169,4,FALSE),"")</f>
        <v/>
      </c>
      <c r="AE275" s="18">
        <f>IFERROR(VLOOKUP($H275&amp;"|"&amp;$Q275,Tariff_Master!$A$2:$L$169,6,FALSE),"")</f>
        <v/>
      </c>
      <c r="AF275" s="19">
        <f>IFERROR(VLOOKUP($H275&amp;"|"&amp;$Q275,Tariff_Master!$A$2:$L$169,7,FALSE),"")</f>
        <v/>
      </c>
      <c r="AG275" s="18">
        <f>IFERROR(VLOOKUP($H275&amp;"|"&amp;$Q275,Tariff_Master!$A$2:$L$169,8,FALSE),"")</f>
        <v/>
      </c>
      <c r="AH275" s="20">
        <f>IFERROR(VLOOKUP($H275&amp;"|"&amp;$Q275,Tariff_Master!$A$2:$L$169,9,FALSE),"")</f>
        <v/>
      </c>
      <c r="AI275" s="18">
        <f>IFERROR(VLOOKUP($H275&amp;"|"&amp;$Q275,Tariff_Master!$A$2:$L$169,10,FALSE),"")</f>
        <v/>
      </c>
      <c r="AJ275" s="21">
        <f>IF($M275="","",ROUNDUP(MAX(0,$M275),0))</f>
        <v/>
      </c>
      <c r="AK275" s="21">
        <f>IF(OR($AJ275="",$AF275=""),"",MAX(0,$AJ275-$AF275))</f>
        <v/>
      </c>
      <c r="AL275" s="22">
        <f>IF(OR($AK275="",$AG275=""),"",MAX(0,$AK275*$AG275))</f>
        <v/>
      </c>
      <c r="AM275" s="22">
        <f>IF($AE275="","",MAX(0,SUM($AE275,$AL275,$V275,$W275)))</f>
        <v/>
      </c>
      <c r="AN275" s="22">
        <f>IF($AM275="","",IF(AND($Q275="COMMITMENT",$R275&gt;=$AH275),$AI275,0))</f>
        <v/>
      </c>
      <c r="AO275" s="23">
        <f>IF($AM275="","",MAX(0,$AM275-$AN275))</f>
        <v/>
      </c>
      <c r="AP275" s="22">
        <f>IF($S275="","",IF(OR($S275="ITEM_PRICE_PLUS_DECLARED_DELIVERY",$S275="DELIVERY_CHARGE_ONLY"),$K275,IF($S275="TOTAL_AMOUNT_INCLUDING_DELIVERY",IF(OR($T275="",$J275=""),"",MAX(0,$T275-$J275-$U275)),IF($S275="ITEM_PRICE_ONLY_DELIVERY_PAID_BY_MERCHANT",0,""))))</f>
        <v/>
      </c>
      <c r="AQ275" s="23">
        <f>IF(OR($AP275="",$AO275=""),"",$AP275-$AO275)</f>
        <v/>
      </c>
      <c r="AR275" s="24">
        <f>IF($S275="EXACT_COLLECTION_AMOUNT","BREAKDOWN_REQUIRED",IF($AQ275="","",IF($AQ275&gt;0,"CREDIT_TO_MERCHANT",IF($AQ275&lt;0,"DEDUCT_FROM_MERCHANT","NO_ADJUSTMENT"))))</f>
        <v/>
      </c>
      <c r="AS275" s="23">
        <f>IF(OR($AQ275="",$AR275="BREAKDOWN_REQUIRED"),"",$AQ275)</f>
        <v/>
      </c>
      <c r="AT275" s="23">
        <f>IF(OR($AR275="",$AR275="BREAKDOWN_REQUIRED"),"",SUM($J275,$AQ275,$Y275)-$X275)</f>
        <v/>
      </c>
      <c r="AU275" s="25">
        <f>IF(AND($A275="",$B275="",$F275="",$H275="",$J275="",$K275="",$M275="",$S275=""),"",IF(OR($H275="",$Q275="",$M275="",$S275=""),"ERROR",IF(OR($J275&lt;0,$K275&lt;0,$M275&lt;0,$T275&lt;0,$U275&lt;0,$V275&lt;0,$W275&lt;0,$X275&lt;0,$Y275&lt;0),"ERROR",IF($AE275="","ERROR",IF(AND(OR($S275="ITEM_PRICE_PLUS_DECLARED_DELIVERY",$S275="TOTAL_AMOUNT_INCLUDING_DELIVERY",$S275="ITEM_PRICE_ONLY_DELIVERY_PAID_BY_MERCHANT"),$J275=""),"ERROR",IF(AND(OR($S275="ITEM_PRICE_PLUS_DECLARED_DELIVERY",$S275="DELIVERY_CHARGE_ONLY"),$K275=""),"ERROR",IF(AND(OR($S275="TOTAL_AMOUNT_INCLUDING_DELIVERY",$S275="EXACT_COLLECTION_AMOUNT"),$T275=""),"ERROR",IF(AND($S275="TOTAL_AMOUNT_INCLUDING_DELIVERY",$T275&lt;SUM($J275,$U275)),"ERROR",IF($S275="EXACT_COLLECTION_AMOUNT","REVIEW","OK")))))))))</f>
        <v/>
      </c>
      <c r="AV275" s="25">
        <f>IF($AU275="","",IF($H275="","Township required",IF($Q275="","Customer tier required",IF($M275="","Weight required",IF($S275="","Amount entry type required",IF(OR($J275&lt;0,$K275&lt;0,$M275&lt;0,$T275&lt;0,$U275&lt;0,$V275&lt;0,$W275&lt;0,$X275&lt;0,$Y275&lt;0),"Negative amounts are not allowed",IF($AE275="","Tariff not found for township and tier",IF(AND(OR($S275="ITEM_PRICE_PLUS_DECLARED_DELIVERY",$S275="TOTAL_AMOUNT_INCLUDING_DELIVERY",$S275="ITEM_PRICE_ONLY_DELIVERY_PAID_BY_MERCHANT"),$J275=""),"Item price required for this amount type",IF(AND(OR($S275="ITEM_PRICE_PLUS_DECLARED_DELIVERY",$S275="DELIVERY_CHARGE_ONLY"),$K275=""),"Declared delivery charge required",IF(AND(OR($S275="TOTAL_AMOUNT_INCLUDING_DELIVERY",$S275="EXACT_COLLECTION_AMOUNT"),$T275=""),"Stated total amount required",IF(AND($S275="TOTAL_AMOUNT_INCLUDING_DELIVERY",$T275&lt;SUM($J275,$U275)),"Stated total is below item price plus additional charge",IF($S275="EXACT_COLLECTION_AMOUNT","Authorized amount breakdown required before settlement","Ready for collection and settlement"))))))))))))</f>
        <v/>
      </c>
      <c r="AW275" s="23">
        <f>IF($AU275="","","PARCEL_FINANCIAL_V2")</f>
        <v/>
      </c>
      <c r="AX275" s="17" t="n"/>
    </row>
    <row r="276">
      <c r="A276" s="8" t="n"/>
      <c r="B276" s="8" t="n"/>
      <c r="C276" s="8" t="n"/>
      <c r="D276" s="8" t="n"/>
      <c r="E276" s="9" t="n"/>
      <c r="F276" s="9" t="n"/>
      <c r="G276" s="8" t="n"/>
      <c r="H276" s="9" t="n"/>
      <c r="I276" s="9" t="n"/>
      <c r="J276" s="10" t="n"/>
      <c r="K276" s="10" t="n"/>
      <c r="L276" s="11">
        <f>IF($S276="","",IF($S276="ITEM_PRICE_PLUS_DECLARED_DELIVERY",IF(OR($J276="",$K276=""),"",SUM($J276,$K276,$U276)),IF($S276="TOTAL_AMOUNT_INCLUDING_DELIVERY",IF($T276="","",$T276),IF($S276="DELIVERY_CHARGE_ONLY",IF($K276="","",SUM($K276,$U276)),IF($S276="EXACT_COLLECTION_AMOUNT",IF($T276="","",$T276),IF($S276="ITEM_PRICE_ONLY_DELIVERY_PAID_BY_MERCHANT",IF($J276="","",SUM($J276,$U276)),""))))))</f>
        <v/>
      </c>
      <c r="M276" s="12" t="n"/>
      <c r="N276" s="13" t="n"/>
      <c r="O276" s="13" t="n"/>
      <c r="P276" s="9" t="n"/>
      <c r="Q276" s="14" t="n"/>
      <c r="R276" s="15" t="n"/>
      <c r="S276" s="14" t="n"/>
      <c r="T276" s="16" t="n"/>
      <c r="U276" s="16" t="n"/>
      <c r="V276" s="16" t="n"/>
      <c r="W276" s="16" t="n"/>
      <c r="X276" s="16" t="n"/>
      <c r="Y276" s="16" t="n"/>
      <c r="Z276" s="14" t="n"/>
      <c r="AA276" s="14" t="n"/>
      <c r="AB276" s="14" t="n"/>
      <c r="AC276" s="17">
        <f>IFERROR(VLOOKUP($H276&amp;"|"&amp;$Q276,Tariff_Master!$A$2:$L$169,3,FALSE),"")</f>
        <v/>
      </c>
      <c r="AD276" s="17">
        <f>IFERROR(VLOOKUP($H276&amp;"|"&amp;$Q276,Tariff_Master!$A$2:$L$169,4,FALSE),"")</f>
        <v/>
      </c>
      <c r="AE276" s="18">
        <f>IFERROR(VLOOKUP($H276&amp;"|"&amp;$Q276,Tariff_Master!$A$2:$L$169,6,FALSE),"")</f>
        <v/>
      </c>
      <c r="AF276" s="19">
        <f>IFERROR(VLOOKUP($H276&amp;"|"&amp;$Q276,Tariff_Master!$A$2:$L$169,7,FALSE),"")</f>
        <v/>
      </c>
      <c r="AG276" s="18">
        <f>IFERROR(VLOOKUP($H276&amp;"|"&amp;$Q276,Tariff_Master!$A$2:$L$169,8,FALSE),"")</f>
        <v/>
      </c>
      <c r="AH276" s="20">
        <f>IFERROR(VLOOKUP($H276&amp;"|"&amp;$Q276,Tariff_Master!$A$2:$L$169,9,FALSE),"")</f>
        <v/>
      </c>
      <c r="AI276" s="18">
        <f>IFERROR(VLOOKUP($H276&amp;"|"&amp;$Q276,Tariff_Master!$A$2:$L$169,10,FALSE),"")</f>
        <v/>
      </c>
      <c r="AJ276" s="21">
        <f>IF($M276="","",ROUNDUP(MAX(0,$M276),0))</f>
        <v/>
      </c>
      <c r="AK276" s="21">
        <f>IF(OR($AJ276="",$AF276=""),"",MAX(0,$AJ276-$AF276))</f>
        <v/>
      </c>
      <c r="AL276" s="22">
        <f>IF(OR($AK276="",$AG276=""),"",MAX(0,$AK276*$AG276))</f>
        <v/>
      </c>
      <c r="AM276" s="22">
        <f>IF($AE276="","",MAX(0,SUM($AE276,$AL276,$V276,$W276)))</f>
        <v/>
      </c>
      <c r="AN276" s="22">
        <f>IF($AM276="","",IF(AND($Q276="COMMITMENT",$R276&gt;=$AH276),$AI276,0))</f>
        <v/>
      </c>
      <c r="AO276" s="23">
        <f>IF($AM276="","",MAX(0,$AM276-$AN276))</f>
        <v/>
      </c>
      <c r="AP276" s="22">
        <f>IF($S276="","",IF(OR($S276="ITEM_PRICE_PLUS_DECLARED_DELIVERY",$S276="DELIVERY_CHARGE_ONLY"),$K276,IF($S276="TOTAL_AMOUNT_INCLUDING_DELIVERY",IF(OR($T276="",$J276=""),"",MAX(0,$T276-$J276-$U276)),IF($S276="ITEM_PRICE_ONLY_DELIVERY_PAID_BY_MERCHANT",0,""))))</f>
        <v/>
      </c>
      <c r="AQ276" s="23">
        <f>IF(OR($AP276="",$AO276=""),"",$AP276-$AO276)</f>
        <v/>
      </c>
      <c r="AR276" s="24">
        <f>IF($S276="EXACT_COLLECTION_AMOUNT","BREAKDOWN_REQUIRED",IF($AQ276="","",IF($AQ276&gt;0,"CREDIT_TO_MERCHANT",IF($AQ276&lt;0,"DEDUCT_FROM_MERCHANT","NO_ADJUSTMENT"))))</f>
        <v/>
      </c>
      <c r="AS276" s="23">
        <f>IF(OR($AQ276="",$AR276="BREAKDOWN_REQUIRED"),"",$AQ276)</f>
        <v/>
      </c>
      <c r="AT276" s="23">
        <f>IF(OR($AR276="",$AR276="BREAKDOWN_REQUIRED"),"",SUM($J276,$AQ276,$Y276)-$X276)</f>
        <v/>
      </c>
      <c r="AU276" s="25">
        <f>IF(AND($A276="",$B276="",$F276="",$H276="",$J276="",$K276="",$M276="",$S276=""),"",IF(OR($H276="",$Q276="",$M276="",$S276=""),"ERROR",IF(OR($J276&lt;0,$K276&lt;0,$M276&lt;0,$T276&lt;0,$U276&lt;0,$V276&lt;0,$W276&lt;0,$X276&lt;0,$Y276&lt;0),"ERROR",IF($AE276="","ERROR",IF(AND(OR($S276="ITEM_PRICE_PLUS_DECLARED_DELIVERY",$S276="TOTAL_AMOUNT_INCLUDING_DELIVERY",$S276="ITEM_PRICE_ONLY_DELIVERY_PAID_BY_MERCHANT"),$J276=""),"ERROR",IF(AND(OR($S276="ITEM_PRICE_PLUS_DECLARED_DELIVERY",$S276="DELIVERY_CHARGE_ONLY"),$K276=""),"ERROR",IF(AND(OR($S276="TOTAL_AMOUNT_INCLUDING_DELIVERY",$S276="EXACT_COLLECTION_AMOUNT"),$T276=""),"ERROR",IF(AND($S276="TOTAL_AMOUNT_INCLUDING_DELIVERY",$T276&lt;SUM($J276,$U276)),"ERROR",IF($S276="EXACT_COLLECTION_AMOUNT","REVIEW","OK")))))))))</f>
        <v/>
      </c>
      <c r="AV276" s="25">
        <f>IF($AU276="","",IF($H276="","Township required",IF($Q276="","Customer tier required",IF($M276="","Weight required",IF($S276="","Amount entry type required",IF(OR($J276&lt;0,$K276&lt;0,$M276&lt;0,$T276&lt;0,$U276&lt;0,$V276&lt;0,$W276&lt;0,$X276&lt;0,$Y276&lt;0),"Negative amounts are not allowed",IF($AE276="","Tariff not found for township and tier",IF(AND(OR($S276="ITEM_PRICE_PLUS_DECLARED_DELIVERY",$S276="TOTAL_AMOUNT_INCLUDING_DELIVERY",$S276="ITEM_PRICE_ONLY_DELIVERY_PAID_BY_MERCHANT"),$J276=""),"Item price required for this amount type",IF(AND(OR($S276="ITEM_PRICE_PLUS_DECLARED_DELIVERY",$S276="DELIVERY_CHARGE_ONLY"),$K276=""),"Declared delivery charge required",IF(AND(OR($S276="TOTAL_AMOUNT_INCLUDING_DELIVERY",$S276="EXACT_COLLECTION_AMOUNT"),$T276=""),"Stated total amount required",IF(AND($S276="TOTAL_AMOUNT_INCLUDING_DELIVERY",$T276&lt;SUM($J276,$U276)),"Stated total is below item price plus additional charge",IF($S276="EXACT_COLLECTION_AMOUNT","Authorized amount breakdown required before settlement","Ready for collection and settlement"))))))))))))</f>
        <v/>
      </c>
      <c r="AW276" s="23">
        <f>IF($AU276="","","PARCEL_FINANCIAL_V2")</f>
        <v/>
      </c>
      <c r="AX276" s="17" t="n"/>
    </row>
    <row r="277">
      <c r="A277" s="8" t="n"/>
      <c r="B277" s="8" t="n"/>
      <c r="C277" s="8" t="n"/>
      <c r="D277" s="8" t="n"/>
      <c r="E277" s="9" t="n"/>
      <c r="F277" s="9" t="n"/>
      <c r="G277" s="8" t="n"/>
      <c r="H277" s="9" t="n"/>
      <c r="I277" s="9" t="n"/>
      <c r="J277" s="10" t="n"/>
      <c r="K277" s="10" t="n"/>
      <c r="L277" s="11">
        <f>IF($S277="","",IF($S277="ITEM_PRICE_PLUS_DECLARED_DELIVERY",IF(OR($J277="",$K277=""),"",SUM($J277,$K277,$U277)),IF($S277="TOTAL_AMOUNT_INCLUDING_DELIVERY",IF($T277="","",$T277),IF($S277="DELIVERY_CHARGE_ONLY",IF($K277="","",SUM($K277,$U277)),IF($S277="EXACT_COLLECTION_AMOUNT",IF($T277="","",$T277),IF($S277="ITEM_PRICE_ONLY_DELIVERY_PAID_BY_MERCHANT",IF($J277="","",SUM($J277,$U277)),""))))))</f>
        <v/>
      </c>
      <c r="M277" s="12" t="n"/>
      <c r="N277" s="13" t="n"/>
      <c r="O277" s="13" t="n"/>
      <c r="P277" s="9" t="n"/>
      <c r="Q277" s="14" t="n"/>
      <c r="R277" s="15" t="n"/>
      <c r="S277" s="14" t="n"/>
      <c r="T277" s="16" t="n"/>
      <c r="U277" s="16" t="n"/>
      <c r="V277" s="16" t="n"/>
      <c r="W277" s="16" t="n"/>
      <c r="X277" s="16" t="n"/>
      <c r="Y277" s="16" t="n"/>
      <c r="Z277" s="14" t="n"/>
      <c r="AA277" s="14" t="n"/>
      <c r="AB277" s="14" t="n"/>
      <c r="AC277" s="17">
        <f>IFERROR(VLOOKUP($H277&amp;"|"&amp;$Q277,Tariff_Master!$A$2:$L$169,3,FALSE),"")</f>
        <v/>
      </c>
      <c r="AD277" s="17">
        <f>IFERROR(VLOOKUP($H277&amp;"|"&amp;$Q277,Tariff_Master!$A$2:$L$169,4,FALSE),"")</f>
        <v/>
      </c>
      <c r="AE277" s="18">
        <f>IFERROR(VLOOKUP($H277&amp;"|"&amp;$Q277,Tariff_Master!$A$2:$L$169,6,FALSE),"")</f>
        <v/>
      </c>
      <c r="AF277" s="19">
        <f>IFERROR(VLOOKUP($H277&amp;"|"&amp;$Q277,Tariff_Master!$A$2:$L$169,7,FALSE),"")</f>
        <v/>
      </c>
      <c r="AG277" s="18">
        <f>IFERROR(VLOOKUP($H277&amp;"|"&amp;$Q277,Tariff_Master!$A$2:$L$169,8,FALSE),"")</f>
        <v/>
      </c>
      <c r="AH277" s="20">
        <f>IFERROR(VLOOKUP($H277&amp;"|"&amp;$Q277,Tariff_Master!$A$2:$L$169,9,FALSE),"")</f>
        <v/>
      </c>
      <c r="AI277" s="18">
        <f>IFERROR(VLOOKUP($H277&amp;"|"&amp;$Q277,Tariff_Master!$A$2:$L$169,10,FALSE),"")</f>
        <v/>
      </c>
      <c r="AJ277" s="21">
        <f>IF($M277="","",ROUNDUP(MAX(0,$M277),0))</f>
        <v/>
      </c>
      <c r="AK277" s="21">
        <f>IF(OR($AJ277="",$AF277=""),"",MAX(0,$AJ277-$AF277))</f>
        <v/>
      </c>
      <c r="AL277" s="22">
        <f>IF(OR($AK277="",$AG277=""),"",MAX(0,$AK277*$AG277))</f>
        <v/>
      </c>
      <c r="AM277" s="22">
        <f>IF($AE277="","",MAX(0,SUM($AE277,$AL277,$V277,$W277)))</f>
        <v/>
      </c>
      <c r="AN277" s="22">
        <f>IF($AM277="","",IF(AND($Q277="COMMITMENT",$R277&gt;=$AH277),$AI277,0))</f>
        <v/>
      </c>
      <c r="AO277" s="23">
        <f>IF($AM277="","",MAX(0,$AM277-$AN277))</f>
        <v/>
      </c>
      <c r="AP277" s="22">
        <f>IF($S277="","",IF(OR($S277="ITEM_PRICE_PLUS_DECLARED_DELIVERY",$S277="DELIVERY_CHARGE_ONLY"),$K277,IF($S277="TOTAL_AMOUNT_INCLUDING_DELIVERY",IF(OR($T277="",$J277=""),"",MAX(0,$T277-$J277-$U277)),IF($S277="ITEM_PRICE_ONLY_DELIVERY_PAID_BY_MERCHANT",0,""))))</f>
        <v/>
      </c>
      <c r="AQ277" s="23">
        <f>IF(OR($AP277="",$AO277=""),"",$AP277-$AO277)</f>
        <v/>
      </c>
      <c r="AR277" s="24">
        <f>IF($S277="EXACT_COLLECTION_AMOUNT","BREAKDOWN_REQUIRED",IF($AQ277="","",IF($AQ277&gt;0,"CREDIT_TO_MERCHANT",IF($AQ277&lt;0,"DEDUCT_FROM_MERCHANT","NO_ADJUSTMENT"))))</f>
        <v/>
      </c>
      <c r="AS277" s="23">
        <f>IF(OR($AQ277="",$AR277="BREAKDOWN_REQUIRED"),"",$AQ277)</f>
        <v/>
      </c>
      <c r="AT277" s="23">
        <f>IF(OR($AR277="",$AR277="BREAKDOWN_REQUIRED"),"",SUM($J277,$AQ277,$Y277)-$X277)</f>
        <v/>
      </c>
      <c r="AU277" s="25">
        <f>IF(AND($A277="",$B277="",$F277="",$H277="",$J277="",$K277="",$M277="",$S277=""),"",IF(OR($H277="",$Q277="",$M277="",$S277=""),"ERROR",IF(OR($J277&lt;0,$K277&lt;0,$M277&lt;0,$T277&lt;0,$U277&lt;0,$V277&lt;0,$W277&lt;0,$X277&lt;0,$Y277&lt;0),"ERROR",IF($AE277="","ERROR",IF(AND(OR($S277="ITEM_PRICE_PLUS_DECLARED_DELIVERY",$S277="TOTAL_AMOUNT_INCLUDING_DELIVERY",$S277="ITEM_PRICE_ONLY_DELIVERY_PAID_BY_MERCHANT"),$J277=""),"ERROR",IF(AND(OR($S277="ITEM_PRICE_PLUS_DECLARED_DELIVERY",$S277="DELIVERY_CHARGE_ONLY"),$K277=""),"ERROR",IF(AND(OR($S277="TOTAL_AMOUNT_INCLUDING_DELIVERY",$S277="EXACT_COLLECTION_AMOUNT"),$T277=""),"ERROR",IF(AND($S277="TOTAL_AMOUNT_INCLUDING_DELIVERY",$T277&lt;SUM($J277,$U277)),"ERROR",IF($S277="EXACT_COLLECTION_AMOUNT","REVIEW","OK")))))))))</f>
        <v/>
      </c>
      <c r="AV277" s="25">
        <f>IF($AU277="","",IF($H277="","Township required",IF($Q277="","Customer tier required",IF($M277="","Weight required",IF($S277="","Amount entry type required",IF(OR($J277&lt;0,$K277&lt;0,$M277&lt;0,$T277&lt;0,$U277&lt;0,$V277&lt;0,$W277&lt;0,$X277&lt;0,$Y277&lt;0),"Negative amounts are not allowed",IF($AE277="","Tariff not found for township and tier",IF(AND(OR($S277="ITEM_PRICE_PLUS_DECLARED_DELIVERY",$S277="TOTAL_AMOUNT_INCLUDING_DELIVERY",$S277="ITEM_PRICE_ONLY_DELIVERY_PAID_BY_MERCHANT"),$J277=""),"Item price required for this amount type",IF(AND(OR($S277="ITEM_PRICE_PLUS_DECLARED_DELIVERY",$S277="DELIVERY_CHARGE_ONLY"),$K277=""),"Declared delivery charge required",IF(AND(OR($S277="TOTAL_AMOUNT_INCLUDING_DELIVERY",$S277="EXACT_COLLECTION_AMOUNT"),$T277=""),"Stated total amount required",IF(AND($S277="TOTAL_AMOUNT_INCLUDING_DELIVERY",$T277&lt;SUM($J277,$U277)),"Stated total is below item price plus additional charge",IF($S277="EXACT_COLLECTION_AMOUNT","Authorized amount breakdown required before settlement","Ready for collection and settlement"))))))))))))</f>
        <v/>
      </c>
      <c r="AW277" s="23">
        <f>IF($AU277="","","PARCEL_FINANCIAL_V2")</f>
        <v/>
      </c>
      <c r="AX277" s="17" t="n"/>
    </row>
    <row r="278">
      <c r="A278" s="8" t="n"/>
      <c r="B278" s="8" t="n"/>
      <c r="C278" s="8" t="n"/>
      <c r="D278" s="8" t="n"/>
      <c r="E278" s="9" t="n"/>
      <c r="F278" s="9" t="n"/>
      <c r="G278" s="8" t="n"/>
      <c r="H278" s="9" t="n"/>
      <c r="I278" s="9" t="n"/>
      <c r="J278" s="10" t="n"/>
      <c r="K278" s="10" t="n"/>
      <c r="L278" s="11">
        <f>IF($S278="","",IF($S278="ITEM_PRICE_PLUS_DECLARED_DELIVERY",IF(OR($J278="",$K278=""),"",SUM($J278,$K278,$U278)),IF($S278="TOTAL_AMOUNT_INCLUDING_DELIVERY",IF($T278="","",$T278),IF($S278="DELIVERY_CHARGE_ONLY",IF($K278="","",SUM($K278,$U278)),IF($S278="EXACT_COLLECTION_AMOUNT",IF($T278="","",$T278),IF($S278="ITEM_PRICE_ONLY_DELIVERY_PAID_BY_MERCHANT",IF($J278="","",SUM($J278,$U278)),""))))))</f>
        <v/>
      </c>
      <c r="M278" s="12" t="n"/>
      <c r="N278" s="13" t="n"/>
      <c r="O278" s="13" t="n"/>
      <c r="P278" s="9" t="n"/>
      <c r="Q278" s="14" t="n"/>
      <c r="R278" s="15" t="n"/>
      <c r="S278" s="14" t="n"/>
      <c r="T278" s="16" t="n"/>
      <c r="U278" s="16" t="n"/>
      <c r="V278" s="16" t="n"/>
      <c r="W278" s="16" t="n"/>
      <c r="X278" s="16" t="n"/>
      <c r="Y278" s="16" t="n"/>
      <c r="Z278" s="14" t="n"/>
      <c r="AA278" s="14" t="n"/>
      <c r="AB278" s="14" t="n"/>
      <c r="AC278" s="17">
        <f>IFERROR(VLOOKUP($H278&amp;"|"&amp;$Q278,Tariff_Master!$A$2:$L$169,3,FALSE),"")</f>
        <v/>
      </c>
      <c r="AD278" s="17">
        <f>IFERROR(VLOOKUP($H278&amp;"|"&amp;$Q278,Tariff_Master!$A$2:$L$169,4,FALSE),"")</f>
        <v/>
      </c>
      <c r="AE278" s="18">
        <f>IFERROR(VLOOKUP($H278&amp;"|"&amp;$Q278,Tariff_Master!$A$2:$L$169,6,FALSE),"")</f>
        <v/>
      </c>
      <c r="AF278" s="19">
        <f>IFERROR(VLOOKUP($H278&amp;"|"&amp;$Q278,Tariff_Master!$A$2:$L$169,7,FALSE),"")</f>
        <v/>
      </c>
      <c r="AG278" s="18">
        <f>IFERROR(VLOOKUP($H278&amp;"|"&amp;$Q278,Tariff_Master!$A$2:$L$169,8,FALSE),"")</f>
        <v/>
      </c>
      <c r="AH278" s="20">
        <f>IFERROR(VLOOKUP($H278&amp;"|"&amp;$Q278,Tariff_Master!$A$2:$L$169,9,FALSE),"")</f>
        <v/>
      </c>
      <c r="AI278" s="18">
        <f>IFERROR(VLOOKUP($H278&amp;"|"&amp;$Q278,Tariff_Master!$A$2:$L$169,10,FALSE),"")</f>
        <v/>
      </c>
      <c r="AJ278" s="21">
        <f>IF($M278="","",ROUNDUP(MAX(0,$M278),0))</f>
        <v/>
      </c>
      <c r="AK278" s="21">
        <f>IF(OR($AJ278="",$AF278=""),"",MAX(0,$AJ278-$AF278))</f>
        <v/>
      </c>
      <c r="AL278" s="22">
        <f>IF(OR($AK278="",$AG278=""),"",MAX(0,$AK278*$AG278))</f>
        <v/>
      </c>
      <c r="AM278" s="22">
        <f>IF($AE278="","",MAX(0,SUM($AE278,$AL278,$V278,$W278)))</f>
        <v/>
      </c>
      <c r="AN278" s="22">
        <f>IF($AM278="","",IF(AND($Q278="COMMITMENT",$R278&gt;=$AH278),$AI278,0))</f>
        <v/>
      </c>
      <c r="AO278" s="23">
        <f>IF($AM278="","",MAX(0,$AM278-$AN278))</f>
        <v/>
      </c>
      <c r="AP278" s="22">
        <f>IF($S278="","",IF(OR($S278="ITEM_PRICE_PLUS_DECLARED_DELIVERY",$S278="DELIVERY_CHARGE_ONLY"),$K278,IF($S278="TOTAL_AMOUNT_INCLUDING_DELIVERY",IF(OR($T278="",$J278=""),"",MAX(0,$T278-$J278-$U278)),IF($S278="ITEM_PRICE_ONLY_DELIVERY_PAID_BY_MERCHANT",0,""))))</f>
        <v/>
      </c>
      <c r="AQ278" s="23">
        <f>IF(OR($AP278="",$AO278=""),"",$AP278-$AO278)</f>
        <v/>
      </c>
      <c r="AR278" s="24">
        <f>IF($S278="EXACT_COLLECTION_AMOUNT","BREAKDOWN_REQUIRED",IF($AQ278="","",IF($AQ278&gt;0,"CREDIT_TO_MERCHANT",IF($AQ278&lt;0,"DEDUCT_FROM_MERCHANT","NO_ADJUSTMENT"))))</f>
        <v/>
      </c>
      <c r="AS278" s="23">
        <f>IF(OR($AQ278="",$AR278="BREAKDOWN_REQUIRED"),"",$AQ278)</f>
        <v/>
      </c>
      <c r="AT278" s="23">
        <f>IF(OR($AR278="",$AR278="BREAKDOWN_REQUIRED"),"",SUM($J278,$AQ278,$Y278)-$X278)</f>
        <v/>
      </c>
      <c r="AU278" s="25">
        <f>IF(AND($A278="",$B278="",$F278="",$H278="",$J278="",$K278="",$M278="",$S278=""),"",IF(OR($H278="",$Q278="",$M278="",$S278=""),"ERROR",IF(OR($J278&lt;0,$K278&lt;0,$M278&lt;0,$T278&lt;0,$U278&lt;0,$V278&lt;0,$W278&lt;0,$X278&lt;0,$Y278&lt;0),"ERROR",IF($AE278="","ERROR",IF(AND(OR($S278="ITEM_PRICE_PLUS_DECLARED_DELIVERY",$S278="TOTAL_AMOUNT_INCLUDING_DELIVERY",$S278="ITEM_PRICE_ONLY_DELIVERY_PAID_BY_MERCHANT"),$J278=""),"ERROR",IF(AND(OR($S278="ITEM_PRICE_PLUS_DECLARED_DELIVERY",$S278="DELIVERY_CHARGE_ONLY"),$K278=""),"ERROR",IF(AND(OR($S278="TOTAL_AMOUNT_INCLUDING_DELIVERY",$S278="EXACT_COLLECTION_AMOUNT"),$T278=""),"ERROR",IF(AND($S278="TOTAL_AMOUNT_INCLUDING_DELIVERY",$T278&lt;SUM($J278,$U278)),"ERROR",IF($S278="EXACT_COLLECTION_AMOUNT","REVIEW","OK")))))))))</f>
        <v/>
      </c>
      <c r="AV278" s="25">
        <f>IF($AU278="","",IF($H278="","Township required",IF($Q278="","Customer tier required",IF($M278="","Weight required",IF($S278="","Amount entry type required",IF(OR($J278&lt;0,$K278&lt;0,$M278&lt;0,$T278&lt;0,$U278&lt;0,$V278&lt;0,$W278&lt;0,$X278&lt;0,$Y278&lt;0),"Negative amounts are not allowed",IF($AE278="","Tariff not found for township and tier",IF(AND(OR($S278="ITEM_PRICE_PLUS_DECLARED_DELIVERY",$S278="TOTAL_AMOUNT_INCLUDING_DELIVERY",$S278="ITEM_PRICE_ONLY_DELIVERY_PAID_BY_MERCHANT"),$J278=""),"Item price required for this amount type",IF(AND(OR($S278="ITEM_PRICE_PLUS_DECLARED_DELIVERY",$S278="DELIVERY_CHARGE_ONLY"),$K278=""),"Declared delivery charge required",IF(AND(OR($S278="TOTAL_AMOUNT_INCLUDING_DELIVERY",$S278="EXACT_COLLECTION_AMOUNT"),$T278=""),"Stated total amount required",IF(AND($S278="TOTAL_AMOUNT_INCLUDING_DELIVERY",$T278&lt;SUM($J278,$U278)),"Stated total is below item price plus additional charge",IF($S278="EXACT_COLLECTION_AMOUNT","Authorized amount breakdown required before settlement","Ready for collection and settlement"))))))))))))</f>
        <v/>
      </c>
      <c r="AW278" s="23">
        <f>IF($AU278="","","PARCEL_FINANCIAL_V2")</f>
        <v/>
      </c>
      <c r="AX278" s="17" t="n"/>
    </row>
    <row r="279">
      <c r="A279" s="8" t="n"/>
      <c r="B279" s="8" t="n"/>
      <c r="C279" s="8" t="n"/>
      <c r="D279" s="8" t="n"/>
      <c r="E279" s="9" t="n"/>
      <c r="F279" s="9" t="n"/>
      <c r="G279" s="8" t="n"/>
      <c r="H279" s="9" t="n"/>
      <c r="I279" s="9" t="n"/>
      <c r="J279" s="10" t="n"/>
      <c r="K279" s="10" t="n"/>
      <c r="L279" s="11">
        <f>IF($S279="","",IF($S279="ITEM_PRICE_PLUS_DECLARED_DELIVERY",IF(OR($J279="",$K279=""),"",SUM($J279,$K279,$U279)),IF($S279="TOTAL_AMOUNT_INCLUDING_DELIVERY",IF($T279="","",$T279),IF($S279="DELIVERY_CHARGE_ONLY",IF($K279="","",SUM($K279,$U279)),IF($S279="EXACT_COLLECTION_AMOUNT",IF($T279="","",$T279),IF($S279="ITEM_PRICE_ONLY_DELIVERY_PAID_BY_MERCHANT",IF($J279="","",SUM($J279,$U279)),""))))))</f>
        <v/>
      </c>
      <c r="M279" s="12" t="n"/>
      <c r="N279" s="13" t="n"/>
      <c r="O279" s="13" t="n"/>
      <c r="P279" s="9" t="n"/>
      <c r="Q279" s="14" t="n"/>
      <c r="R279" s="15" t="n"/>
      <c r="S279" s="14" t="n"/>
      <c r="T279" s="16" t="n"/>
      <c r="U279" s="16" t="n"/>
      <c r="V279" s="16" t="n"/>
      <c r="W279" s="16" t="n"/>
      <c r="X279" s="16" t="n"/>
      <c r="Y279" s="16" t="n"/>
      <c r="Z279" s="14" t="n"/>
      <c r="AA279" s="14" t="n"/>
      <c r="AB279" s="14" t="n"/>
      <c r="AC279" s="17">
        <f>IFERROR(VLOOKUP($H279&amp;"|"&amp;$Q279,Tariff_Master!$A$2:$L$169,3,FALSE),"")</f>
        <v/>
      </c>
      <c r="AD279" s="17">
        <f>IFERROR(VLOOKUP($H279&amp;"|"&amp;$Q279,Tariff_Master!$A$2:$L$169,4,FALSE),"")</f>
        <v/>
      </c>
      <c r="AE279" s="18">
        <f>IFERROR(VLOOKUP($H279&amp;"|"&amp;$Q279,Tariff_Master!$A$2:$L$169,6,FALSE),"")</f>
        <v/>
      </c>
      <c r="AF279" s="19">
        <f>IFERROR(VLOOKUP($H279&amp;"|"&amp;$Q279,Tariff_Master!$A$2:$L$169,7,FALSE),"")</f>
        <v/>
      </c>
      <c r="AG279" s="18">
        <f>IFERROR(VLOOKUP($H279&amp;"|"&amp;$Q279,Tariff_Master!$A$2:$L$169,8,FALSE),"")</f>
        <v/>
      </c>
      <c r="AH279" s="20">
        <f>IFERROR(VLOOKUP($H279&amp;"|"&amp;$Q279,Tariff_Master!$A$2:$L$169,9,FALSE),"")</f>
        <v/>
      </c>
      <c r="AI279" s="18">
        <f>IFERROR(VLOOKUP($H279&amp;"|"&amp;$Q279,Tariff_Master!$A$2:$L$169,10,FALSE),"")</f>
        <v/>
      </c>
      <c r="AJ279" s="21">
        <f>IF($M279="","",ROUNDUP(MAX(0,$M279),0))</f>
        <v/>
      </c>
      <c r="AK279" s="21">
        <f>IF(OR($AJ279="",$AF279=""),"",MAX(0,$AJ279-$AF279))</f>
        <v/>
      </c>
      <c r="AL279" s="22">
        <f>IF(OR($AK279="",$AG279=""),"",MAX(0,$AK279*$AG279))</f>
        <v/>
      </c>
      <c r="AM279" s="22">
        <f>IF($AE279="","",MAX(0,SUM($AE279,$AL279,$V279,$W279)))</f>
        <v/>
      </c>
      <c r="AN279" s="22">
        <f>IF($AM279="","",IF(AND($Q279="COMMITMENT",$R279&gt;=$AH279),$AI279,0))</f>
        <v/>
      </c>
      <c r="AO279" s="23">
        <f>IF($AM279="","",MAX(0,$AM279-$AN279))</f>
        <v/>
      </c>
      <c r="AP279" s="22">
        <f>IF($S279="","",IF(OR($S279="ITEM_PRICE_PLUS_DECLARED_DELIVERY",$S279="DELIVERY_CHARGE_ONLY"),$K279,IF($S279="TOTAL_AMOUNT_INCLUDING_DELIVERY",IF(OR($T279="",$J279=""),"",MAX(0,$T279-$J279-$U279)),IF($S279="ITEM_PRICE_ONLY_DELIVERY_PAID_BY_MERCHANT",0,""))))</f>
        <v/>
      </c>
      <c r="AQ279" s="23">
        <f>IF(OR($AP279="",$AO279=""),"",$AP279-$AO279)</f>
        <v/>
      </c>
      <c r="AR279" s="24">
        <f>IF($S279="EXACT_COLLECTION_AMOUNT","BREAKDOWN_REQUIRED",IF($AQ279="","",IF($AQ279&gt;0,"CREDIT_TO_MERCHANT",IF($AQ279&lt;0,"DEDUCT_FROM_MERCHANT","NO_ADJUSTMENT"))))</f>
        <v/>
      </c>
      <c r="AS279" s="23">
        <f>IF(OR($AQ279="",$AR279="BREAKDOWN_REQUIRED"),"",$AQ279)</f>
        <v/>
      </c>
      <c r="AT279" s="23">
        <f>IF(OR($AR279="",$AR279="BREAKDOWN_REQUIRED"),"",SUM($J279,$AQ279,$Y279)-$X279)</f>
        <v/>
      </c>
      <c r="AU279" s="25">
        <f>IF(AND($A279="",$B279="",$F279="",$H279="",$J279="",$K279="",$M279="",$S279=""),"",IF(OR($H279="",$Q279="",$M279="",$S279=""),"ERROR",IF(OR($J279&lt;0,$K279&lt;0,$M279&lt;0,$T279&lt;0,$U279&lt;0,$V279&lt;0,$W279&lt;0,$X279&lt;0,$Y279&lt;0),"ERROR",IF($AE279="","ERROR",IF(AND(OR($S279="ITEM_PRICE_PLUS_DECLARED_DELIVERY",$S279="TOTAL_AMOUNT_INCLUDING_DELIVERY",$S279="ITEM_PRICE_ONLY_DELIVERY_PAID_BY_MERCHANT"),$J279=""),"ERROR",IF(AND(OR($S279="ITEM_PRICE_PLUS_DECLARED_DELIVERY",$S279="DELIVERY_CHARGE_ONLY"),$K279=""),"ERROR",IF(AND(OR($S279="TOTAL_AMOUNT_INCLUDING_DELIVERY",$S279="EXACT_COLLECTION_AMOUNT"),$T279=""),"ERROR",IF(AND($S279="TOTAL_AMOUNT_INCLUDING_DELIVERY",$T279&lt;SUM($J279,$U279)),"ERROR",IF($S279="EXACT_COLLECTION_AMOUNT","REVIEW","OK")))))))))</f>
        <v/>
      </c>
      <c r="AV279" s="25">
        <f>IF($AU279="","",IF($H279="","Township required",IF($Q279="","Customer tier required",IF($M279="","Weight required",IF($S279="","Amount entry type required",IF(OR($J279&lt;0,$K279&lt;0,$M279&lt;0,$T279&lt;0,$U279&lt;0,$V279&lt;0,$W279&lt;0,$X279&lt;0,$Y279&lt;0),"Negative amounts are not allowed",IF($AE279="","Tariff not found for township and tier",IF(AND(OR($S279="ITEM_PRICE_PLUS_DECLARED_DELIVERY",$S279="TOTAL_AMOUNT_INCLUDING_DELIVERY",$S279="ITEM_PRICE_ONLY_DELIVERY_PAID_BY_MERCHANT"),$J279=""),"Item price required for this amount type",IF(AND(OR($S279="ITEM_PRICE_PLUS_DECLARED_DELIVERY",$S279="DELIVERY_CHARGE_ONLY"),$K279=""),"Declared delivery charge required",IF(AND(OR($S279="TOTAL_AMOUNT_INCLUDING_DELIVERY",$S279="EXACT_COLLECTION_AMOUNT"),$T279=""),"Stated total amount required",IF(AND($S279="TOTAL_AMOUNT_INCLUDING_DELIVERY",$T279&lt;SUM($J279,$U279)),"Stated total is below item price plus additional charge",IF($S279="EXACT_COLLECTION_AMOUNT","Authorized amount breakdown required before settlement","Ready for collection and settlement"))))))))))))</f>
        <v/>
      </c>
      <c r="AW279" s="23">
        <f>IF($AU279="","","PARCEL_FINANCIAL_V2")</f>
        <v/>
      </c>
      <c r="AX279" s="17" t="n"/>
    </row>
    <row r="280">
      <c r="A280" s="8" t="n"/>
      <c r="B280" s="8" t="n"/>
      <c r="C280" s="8" t="n"/>
      <c r="D280" s="8" t="n"/>
      <c r="E280" s="9" t="n"/>
      <c r="F280" s="9" t="n"/>
      <c r="G280" s="8" t="n"/>
      <c r="H280" s="9" t="n"/>
      <c r="I280" s="9" t="n"/>
      <c r="J280" s="10" t="n"/>
      <c r="K280" s="10" t="n"/>
      <c r="L280" s="11">
        <f>IF($S280="","",IF($S280="ITEM_PRICE_PLUS_DECLARED_DELIVERY",IF(OR($J280="",$K280=""),"",SUM($J280,$K280,$U280)),IF($S280="TOTAL_AMOUNT_INCLUDING_DELIVERY",IF($T280="","",$T280),IF($S280="DELIVERY_CHARGE_ONLY",IF($K280="","",SUM($K280,$U280)),IF($S280="EXACT_COLLECTION_AMOUNT",IF($T280="","",$T280),IF($S280="ITEM_PRICE_ONLY_DELIVERY_PAID_BY_MERCHANT",IF($J280="","",SUM($J280,$U280)),""))))))</f>
        <v/>
      </c>
      <c r="M280" s="12" t="n"/>
      <c r="N280" s="13" t="n"/>
      <c r="O280" s="13" t="n"/>
      <c r="P280" s="9" t="n"/>
      <c r="Q280" s="14" t="n"/>
      <c r="R280" s="15" t="n"/>
      <c r="S280" s="14" t="n"/>
      <c r="T280" s="16" t="n"/>
      <c r="U280" s="16" t="n"/>
      <c r="V280" s="16" t="n"/>
      <c r="W280" s="16" t="n"/>
      <c r="X280" s="16" t="n"/>
      <c r="Y280" s="16" t="n"/>
      <c r="Z280" s="14" t="n"/>
      <c r="AA280" s="14" t="n"/>
      <c r="AB280" s="14" t="n"/>
      <c r="AC280" s="17">
        <f>IFERROR(VLOOKUP($H280&amp;"|"&amp;$Q280,Tariff_Master!$A$2:$L$169,3,FALSE),"")</f>
        <v/>
      </c>
      <c r="AD280" s="17">
        <f>IFERROR(VLOOKUP($H280&amp;"|"&amp;$Q280,Tariff_Master!$A$2:$L$169,4,FALSE),"")</f>
        <v/>
      </c>
      <c r="AE280" s="18">
        <f>IFERROR(VLOOKUP($H280&amp;"|"&amp;$Q280,Tariff_Master!$A$2:$L$169,6,FALSE),"")</f>
        <v/>
      </c>
      <c r="AF280" s="19">
        <f>IFERROR(VLOOKUP($H280&amp;"|"&amp;$Q280,Tariff_Master!$A$2:$L$169,7,FALSE),"")</f>
        <v/>
      </c>
      <c r="AG280" s="18">
        <f>IFERROR(VLOOKUP($H280&amp;"|"&amp;$Q280,Tariff_Master!$A$2:$L$169,8,FALSE),"")</f>
        <v/>
      </c>
      <c r="AH280" s="20">
        <f>IFERROR(VLOOKUP($H280&amp;"|"&amp;$Q280,Tariff_Master!$A$2:$L$169,9,FALSE),"")</f>
        <v/>
      </c>
      <c r="AI280" s="18">
        <f>IFERROR(VLOOKUP($H280&amp;"|"&amp;$Q280,Tariff_Master!$A$2:$L$169,10,FALSE),"")</f>
        <v/>
      </c>
      <c r="AJ280" s="21">
        <f>IF($M280="","",ROUNDUP(MAX(0,$M280),0))</f>
        <v/>
      </c>
      <c r="AK280" s="21">
        <f>IF(OR($AJ280="",$AF280=""),"",MAX(0,$AJ280-$AF280))</f>
        <v/>
      </c>
      <c r="AL280" s="22">
        <f>IF(OR($AK280="",$AG280=""),"",MAX(0,$AK280*$AG280))</f>
        <v/>
      </c>
      <c r="AM280" s="22">
        <f>IF($AE280="","",MAX(0,SUM($AE280,$AL280,$V280,$W280)))</f>
        <v/>
      </c>
      <c r="AN280" s="22">
        <f>IF($AM280="","",IF(AND($Q280="COMMITMENT",$R280&gt;=$AH280),$AI280,0))</f>
        <v/>
      </c>
      <c r="AO280" s="23">
        <f>IF($AM280="","",MAX(0,$AM280-$AN280))</f>
        <v/>
      </c>
      <c r="AP280" s="22">
        <f>IF($S280="","",IF(OR($S280="ITEM_PRICE_PLUS_DECLARED_DELIVERY",$S280="DELIVERY_CHARGE_ONLY"),$K280,IF($S280="TOTAL_AMOUNT_INCLUDING_DELIVERY",IF(OR($T280="",$J280=""),"",MAX(0,$T280-$J280-$U280)),IF($S280="ITEM_PRICE_ONLY_DELIVERY_PAID_BY_MERCHANT",0,""))))</f>
        <v/>
      </c>
      <c r="AQ280" s="23">
        <f>IF(OR($AP280="",$AO280=""),"",$AP280-$AO280)</f>
        <v/>
      </c>
      <c r="AR280" s="24">
        <f>IF($S280="EXACT_COLLECTION_AMOUNT","BREAKDOWN_REQUIRED",IF($AQ280="","",IF($AQ280&gt;0,"CREDIT_TO_MERCHANT",IF($AQ280&lt;0,"DEDUCT_FROM_MERCHANT","NO_ADJUSTMENT"))))</f>
        <v/>
      </c>
      <c r="AS280" s="23">
        <f>IF(OR($AQ280="",$AR280="BREAKDOWN_REQUIRED"),"",$AQ280)</f>
        <v/>
      </c>
      <c r="AT280" s="23">
        <f>IF(OR($AR280="",$AR280="BREAKDOWN_REQUIRED"),"",SUM($J280,$AQ280,$Y280)-$X280)</f>
        <v/>
      </c>
      <c r="AU280" s="25">
        <f>IF(AND($A280="",$B280="",$F280="",$H280="",$J280="",$K280="",$M280="",$S280=""),"",IF(OR($H280="",$Q280="",$M280="",$S280=""),"ERROR",IF(OR($J280&lt;0,$K280&lt;0,$M280&lt;0,$T280&lt;0,$U280&lt;0,$V280&lt;0,$W280&lt;0,$X280&lt;0,$Y280&lt;0),"ERROR",IF($AE280="","ERROR",IF(AND(OR($S280="ITEM_PRICE_PLUS_DECLARED_DELIVERY",$S280="TOTAL_AMOUNT_INCLUDING_DELIVERY",$S280="ITEM_PRICE_ONLY_DELIVERY_PAID_BY_MERCHANT"),$J280=""),"ERROR",IF(AND(OR($S280="ITEM_PRICE_PLUS_DECLARED_DELIVERY",$S280="DELIVERY_CHARGE_ONLY"),$K280=""),"ERROR",IF(AND(OR($S280="TOTAL_AMOUNT_INCLUDING_DELIVERY",$S280="EXACT_COLLECTION_AMOUNT"),$T280=""),"ERROR",IF(AND($S280="TOTAL_AMOUNT_INCLUDING_DELIVERY",$T280&lt;SUM($J280,$U280)),"ERROR",IF($S280="EXACT_COLLECTION_AMOUNT","REVIEW","OK")))))))))</f>
        <v/>
      </c>
      <c r="AV280" s="25">
        <f>IF($AU280="","",IF($H280="","Township required",IF($Q280="","Customer tier required",IF($M280="","Weight required",IF($S280="","Amount entry type required",IF(OR($J280&lt;0,$K280&lt;0,$M280&lt;0,$T280&lt;0,$U280&lt;0,$V280&lt;0,$W280&lt;0,$X280&lt;0,$Y280&lt;0),"Negative amounts are not allowed",IF($AE280="","Tariff not found for township and tier",IF(AND(OR($S280="ITEM_PRICE_PLUS_DECLARED_DELIVERY",$S280="TOTAL_AMOUNT_INCLUDING_DELIVERY",$S280="ITEM_PRICE_ONLY_DELIVERY_PAID_BY_MERCHANT"),$J280=""),"Item price required for this amount type",IF(AND(OR($S280="ITEM_PRICE_PLUS_DECLARED_DELIVERY",$S280="DELIVERY_CHARGE_ONLY"),$K280=""),"Declared delivery charge required",IF(AND(OR($S280="TOTAL_AMOUNT_INCLUDING_DELIVERY",$S280="EXACT_COLLECTION_AMOUNT"),$T280=""),"Stated total amount required",IF(AND($S280="TOTAL_AMOUNT_INCLUDING_DELIVERY",$T280&lt;SUM($J280,$U280)),"Stated total is below item price plus additional charge",IF($S280="EXACT_COLLECTION_AMOUNT","Authorized amount breakdown required before settlement","Ready for collection and settlement"))))))))))))</f>
        <v/>
      </c>
      <c r="AW280" s="23">
        <f>IF($AU280="","","PARCEL_FINANCIAL_V2")</f>
        <v/>
      </c>
      <c r="AX280" s="17" t="n"/>
    </row>
    <row r="281">
      <c r="A281" s="8" t="n"/>
      <c r="B281" s="8" t="n"/>
      <c r="C281" s="8" t="n"/>
      <c r="D281" s="8" t="n"/>
      <c r="E281" s="9" t="n"/>
      <c r="F281" s="9" t="n"/>
      <c r="G281" s="8" t="n"/>
      <c r="H281" s="9" t="n"/>
      <c r="I281" s="9" t="n"/>
      <c r="J281" s="10" t="n"/>
      <c r="K281" s="10" t="n"/>
      <c r="L281" s="11">
        <f>IF($S281="","",IF($S281="ITEM_PRICE_PLUS_DECLARED_DELIVERY",IF(OR($J281="",$K281=""),"",SUM($J281,$K281,$U281)),IF($S281="TOTAL_AMOUNT_INCLUDING_DELIVERY",IF($T281="","",$T281),IF($S281="DELIVERY_CHARGE_ONLY",IF($K281="","",SUM($K281,$U281)),IF($S281="EXACT_COLLECTION_AMOUNT",IF($T281="","",$T281),IF($S281="ITEM_PRICE_ONLY_DELIVERY_PAID_BY_MERCHANT",IF($J281="","",SUM($J281,$U281)),""))))))</f>
        <v/>
      </c>
      <c r="M281" s="12" t="n"/>
      <c r="N281" s="13" t="n"/>
      <c r="O281" s="13" t="n"/>
      <c r="P281" s="9" t="n"/>
      <c r="Q281" s="14" t="n"/>
      <c r="R281" s="15" t="n"/>
      <c r="S281" s="14" t="n"/>
      <c r="T281" s="16" t="n"/>
      <c r="U281" s="16" t="n"/>
      <c r="V281" s="16" t="n"/>
      <c r="W281" s="16" t="n"/>
      <c r="X281" s="16" t="n"/>
      <c r="Y281" s="16" t="n"/>
      <c r="Z281" s="14" t="n"/>
      <c r="AA281" s="14" t="n"/>
      <c r="AB281" s="14" t="n"/>
      <c r="AC281" s="17">
        <f>IFERROR(VLOOKUP($H281&amp;"|"&amp;$Q281,Tariff_Master!$A$2:$L$169,3,FALSE),"")</f>
        <v/>
      </c>
      <c r="AD281" s="17">
        <f>IFERROR(VLOOKUP($H281&amp;"|"&amp;$Q281,Tariff_Master!$A$2:$L$169,4,FALSE),"")</f>
        <v/>
      </c>
      <c r="AE281" s="18">
        <f>IFERROR(VLOOKUP($H281&amp;"|"&amp;$Q281,Tariff_Master!$A$2:$L$169,6,FALSE),"")</f>
        <v/>
      </c>
      <c r="AF281" s="19">
        <f>IFERROR(VLOOKUP($H281&amp;"|"&amp;$Q281,Tariff_Master!$A$2:$L$169,7,FALSE),"")</f>
        <v/>
      </c>
      <c r="AG281" s="18">
        <f>IFERROR(VLOOKUP($H281&amp;"|"&amp;$Q281,Tariff_Master!$A$2:$L$169,8,FALSE),"")</f>
        <v/>
      </c>
      <c r="AH281" s="20">
        <f>IFERROR(VLOOKUP($H281&amp;"|"&amp;$Q281,Tariff_Master!$A$2:$L$169,9,FALSE),"")</f>
        <v/>
      </c>
      <c r="AI281" s="18">
        <f>IFERROR(VLOOKUP($H281&amp;"|"&amp;$Q281,Tariff_Master!$A$2:$L$169,10,FALSE),"")</f>
        <v/>
      </c>
      <c r="AJ281" s="21">
        <f>IF($M281="","",ROUNDUP(MAX(0,$M281),0))</f>
        <v/>
      </c>
      <c r="AK281" s="21">
        <f>IF(OR($AJ281="",$AF281=""),"",MAX(0,$AJ281-$AF281))</f>
        <v/>
      </c>
      <c r="AL281" s="22">
        <f>IF(OR($AK281="",$AG281=""),"",MAX(0,$AK281*$AG281))</f>
        <v/>
      </c>
      <c r="AM281" s="22">
        <f>IF($AE281="","",MAX(0,SUM($AE281,$AL281,$V281,$W281)))</f>
        <v/>
      </c>
      <c r="AN281" s="22">
        <f>IF($AM281="","",IF(AND($Q281="COMMITMENT",$R281&gt;=$AH281),$AI281,0))</f>
        <v/>
      </c>
      <c r="AO281" s="23">
        <f>IF($AM281="","",MAX(0,$AM281-$AN281))</f>
        <v/>
      </c>
      <c r="AP281" s="22">
        <f>IF($S281="","",IF(OR($S281="ITEM_PRICE_PLUS_DECLARED_DELIVERY",$S281="DELIVERY_CHARGE_ONLY"),$K281,IF($S281="TOTAL_AMOUNT_INCLUDING_DELIVERY",IF(OR($T281="",$J281=""),"",MAX(0,$T281-$J281-$U281)),IF($S281="ITEM_PRICE_ONLY_DELIVERY_PAID_BY_MERCHANT",0,""))))</f>
        <v/>
      </c>
      <c r="AQ281" s="23">
        <f>IF(OR($AP281="",$AO281=""),"",$AP281-$AO281)</f>
        <v/>
      </c>
      <c r="AR281" s="24">
        <f>IF($S281="EXACT_COLLECTION_AMOUNT","BREAKDOWN_REQUIRED",IF($AQ281="","",IF($AQ281&gt;0,"CREDIT_TO_MERCHANT",IF($AQ281&lt;0,"DEDUCT_FROM_MERCHANT","NO_ADJUSTMENT"))))</f>
        <v/>
      </c>
      <c r="AS281" s="23">
        <f>IF(OR($AQ281="",$AR281="BREAKDOWN_REQUIRED"),"",$AQ281)</f>
        <v/>
      </c>
      <c r="AT281" s="23">
        <f>IF(OR($AR281="",$AR281="BREAKDOWN_REQUIRED"),"",SUM($J281,$AQ281,$Y281)-$X281)</f>
        <v/>
      </c>
      <c r="AU281" s="25">
        <f>IF(AND($A281="",$B281="",$F281="",$H281="",$J281="",$K281="",$M281="",$S281=""),"",IF(OR($H281="",$Q281="",$M281="",$S281=""),"ERROR",IF(OR($J281&lt;0,$K281&lt;0,$M281&lt;0,$T281&lt;0,$U281&lt;0,$V281&lt;0,$W281&lt;0,$X281&lt;0,$Y281&lt;0),"ERROR",IF($AE281="","ERROR",IF(AND(OR($S281="ITEM_PRICE_PLUS_DECLARED_DELIVERY",$S281="TOTAL_AMOUNT_INCLUDING_DELIVERY",$S281="ITEM_PRICE_ONLY_DELIVERY_PAID_BY_MERCHANT"),$J281=""),"ERROR",IF(AND(OR($S281="ITEM_PRICE_PLUS_DECLARED_DELIVERY",$S281="DELIVERY_CHARGE_ONLY"),$K281=""),"ERROR",IF(AND(OR($S281="TOTAL_AMOUNT_INCLUDING_DELIVERY",$S281="EXACT_COLLECTION_AMOUNT"),$T281=""),"ERROR",IF(AND($S281="TOTAL_AMOUNT_INCLUDING_DELIVERY",$T281&lt;SUM($J281,$U281)),"ERROR",IF($S281="EXACT_COLLECTION_AMOUNT","REVIEW","OK")))))))))</f>
        <v/>
      </c>
      <c r="AV281" s="25">
        <f>IF($AU281="","",IF($H281="","Township required",IF($Q281="","Customer tier required",IF($M281="","Weight required",IF($S281="","Amount entry type required",IF(OR($J281&lt;0,$K281&lt;0,$M281&lt;0,$T281&lt;0,$U281&lt;0,$V281&lt;0,$W281&lt;0,$X281&lt;0,$Y281&lt;0),"Negative amounts are not allowed",IF($AE281="","Tariff not found for township and tier",IF(AND(OR($S281="ITEM_PRICE_PLUS_DECLARED_DELIVERY",$S281="TOTAL_AMOUNT_INCLUDING_DELIVERY",$S281="ITEM_PRICE_ONLY_DELIVERY_PAID_BY_MERCHANT"),$J281=""),"Item price required for this amount type",IF(AND(OR($S281="ITEM_PRICE_PLUS_DECLARED_DELIVERY",$S281="DELIVERY_CHARGE_ONLY"),$K281=""),"Declared delivery charge required",IF(AND(OR($S281="TOTAL_AMOUNT_INCLUDING_DELIVERY",$S281="EXACT_COLLECTION_AMOUNT"),$T281=""),"Stated total amount required",IF(AND($S281="TOTAL_AMOUNT_INCLUDING_DELIVERY",$T281&lt;SUM($J281,$U281)),"Stated total is below item price plus additional charge",IF($S281="EXACT_COLLECTION_AMOUNT","Authorized amount breakdown required before settlement","Ready for collection and settlement"))))))))))))</f>
        <v/>
      </c>
      <c r="AW281" s="23">
        <f>IF($AU281="","","PARCEL_FINANCIAL_V2")</f>
        <v/>
      </c>
      <c r="AX281" s="17" t="n"/>
    </row>
    <row r="282">
      <c r="A282" s="8" t="n"/>
      <c r="B282" s="8" t="n"/>
      <c r="C282" s="8" t="n"/>
      <c r="D282" s="8" t="n"/>
      <c r="E282" s="9" t="n"/>
      <c r="F282" s="9" t="n"/>
      <c r="G282" s="8" t="n"/>
      <c r="H282" s="9" t="n"/>
      <c r="I282" s="9" t="n"/>
      <c r="J282" s="10" t="n"/>
      <c r="K282" s="10" t="n"/>
      <c r="L282" s="11">
        <f>IF($S282="","",IF($S282="ITEM_PRICE_PLUS_DECLARED_DELIVERY",IF(OR($J282="",$K282=""),"",SUM($J282,$K282,$U282)),IF($S282="TOTAL_AMOUNT_INCLUDING_DELIVERY",IF($T282="","",$T282),IF($S282="DELIVERY_CHARGE_ONLY",IF($K282="","",SUM($K282,$U282)),IF($S282="EXACT_COLLECTION_AMOUNT",IF($T282="","",$T282),IF($S282="ITEM_PRICE_ONLY_DELIVERY_PAID_BY_MERCHANT",IF($J282="","",SUM($J282,$U282)),""))))))</f>
        <v/>
      </c>
      <c r="M282" s="12" t="n"/>
      <c r="N282" s="13" t="n"/>
      <c r="O282" s="13" t="n"/>
      <c r="P282" s="9" t="n"/>
      <c r="Q282" s="14" t="n"/>
      <c r="R282" s="15" t="n"/>
      <c r="S282" s="14" t="n"/>
      <c r="T282" s="16" t="n"/>
      <c r="U282" s="16" t="n"/>
      <c r="V282" s="16" t="n"/>
      <c r="W282" s="16" t="n"/>
      <c r="X282" s="16" t="n"/>
      <c r="Y282" s="16" t="n"/>
      <c r="Z282" s="14" t="n"/>
      <c r="AA282" s="14" t="n"/>
      <c r="AB282" s="14" t="n"/>
      <c r="AC282" s="17">
        <f>IFERROR(VLOOKUP($H282&amp;"|"&amp;$Q282,Tariff_Master!$A$2:$L$169,3,FALSE),"")</f>
        <v/>
      </c>
      <c r="AD282" s="17">
        <f>IFERROR(VLOOKUP($H282&amp;"|"&amp;$Q282,Tariff_Master!$A$2:$L$169,4,FALSE),"")</f>
        <v/>
      </c>
      <c r="AE282" s="18">
        <f>IFERROR(VLOOKUP($H282&amp;"|"&amp;$Q282,Tariff_Master!$A$2:$L$169,6,FALSE),"")</f>
        <v/>
      </c>
      <c r="AF282" s="19">
        <f>IFERROR(VLOOKUP($H282&amp;"|"&amp;$Q282,Tariff_Master!$A$2:$L$169,7,FALSE),"")</f>
        <v/>
      </c>
      <c r="AG282" s="18">
        <f>IFERROR(VLOOKUP($H282&amp;"|"&amp;$Q282,Tariff_Master!$A$2:$L$169,8,FALSE),"")</f>
        <v/>
      </c>
      <c r="AH282" s="20">
        <f>IFERROR(VLOOKUP($H282&amp;"|"&amp;$Q282,Tariff_Master!$A$2:$L$169,9,FALSE),"")</f>
        <v/>
      </c>
      <c r="AI282" s="18">
        <f>IFERROR(VLOOKUP($H282&amp;"|"&amp;$Q282,Tariff_Master!$A$2:$L$169,10,FALSE),"")</f>
        <v/>
      </c>
      <c r="AJ282" s="21">
        <f>IF($M282="","",ROUNDUP(MAX(0,$M282),0))</f>
        <v/>
      </c>
      <c r="AK282" s="21">
        <f>IF(OR($AJ282="",$AF282=""),"",MAX(0,$AJ282-$AF282))</f>
        <v/>
      </c>
      <c r="AL282" s="22">
        <f>IF(OR($AK282="",$AG282=""),"",MAX(0,$AK282*$AG282))</f>
        <v/>
      </c>
      <c r="AM282" s="22">
        <f>IF($AE282="","",MAX(0,SUM($AE282,$AL282,$V282,$W282)))</f>
        <v/>
      </c>
      <c r="AN282" s="22">
        <f>IF($AM282="","",IF(AND($Q282="COMMITMENT",$R282&gt;=$AH282),$AI282,0))</f>
        <v/>
      </c>
      <c r="AO282" s="23">
        <f>IF($AM282="","",MAX(0,$AM282-$AN282))</f>
        <v/>
      </c>
      <c r="AP282" s="22">
        <f>IF($S282="","",IF(OR($S282="ITEM_PRICE_PLUS_DECLARED_DELIVERY",$S282="DELIVERY_CHARGE_ONLY"),$K282,IF($S282="TOTAL_AMOUNT_INCLUDING_DELIVERY",IF(OR($T282="",$J282=""),"",MAX(0,$T282-$J282-$U282)),IF($S282="ITEM_PRICE_ONLY_DELIVERY_PAID_BY_MERCHANT",0,""))))</f>
        <v/>
      </c>
      <c r="AQ282" s="23">
        <f>IF(OR($AP282="",$AO282=""),"",$AP282-$AO282)</f>
        <v/>
      </c>
      <c r="AR282" s="24">
        <f>IF($S282="EXACT_COLLECTION_AMOUNT","BREAKDOWN_REQUIRED",IF($AQ282="","",IF($AQ282&gt;0,"CREDIT_TO_MERCHANT",IF($AQ282&lt;0,"DEDUCT_FROM_MERCHANT","NO_ADJUSTMENT"))))</f>
        <v/>
      </c>
      <c r="AS282" s="23">
        <f>IF(OR($AQ282="",$AR282="BREAKDOWN_REQUIRED"),"",$AQ282)</f>
        <v/>
      </c>
      <c r="AT282" s="23">
        <f>IF(OR($AR282="",$AR282="BREAKDOWN_REQUIRED"),"",SUM($J282,$AQ282,$Y282)-$X282)</f>
        <v/>
      </c>
      <c r="AU282" s="25">
        <f>IF(AND($A282="",$B282="",$F282="",$H282="",$J282="",$K282="",$M282="",$S282=""),"",IF(OR($H282="",$Q282="",$M282="",$S282=""),"ERROR",IF(OR($J282&lt;0,$K282&lt;0,$M282&lt;0,$T282&lt;0,$U282&lt;0,$V282&lt;0,$W282&lt;0,$X282&lt;0,$Y282&lt;0),"ERROR",IF($AE282="","ERROR",IF(AND(OR($S282="ITEM_PRICE_PLUS_DECLARED_DELIVERY",$S282="TOTAL_AMOUNT_INCLUDING_DELIVERY",$S282="ITEM_PRICE_ONLY_DELIVERY_PAID_BY_MERCHANT"),$J282=""),"ERROR",IF(AND(OR($S282="ITEM_PRICE_PLUS_DECLARED_DELIVERY",$S282="DELIVERY_CHARGE_ONLY"),$K282=""),"ERROR",IF(AND(OR($S282="TOTAL_AMOUNT_INCLUDING_DELIVERY",$S282="EXACT_COLLECTION_AMOUNT"),$T282=""),"ERROR",IF(AND($S282="TOTAL_AMOUNT_INCLUDING_DELIVERY",$T282&lt;SUM($J282,$U282)),"ERROR",IF($S282="EXACT_COLLECTION_AMOUNT","REVIEW","OK")))))))))</f>
        <v/>
      </c>
      <c r="AV282" s="25">
        <f>IF($AU282="","",IF($H282="","Township required",IF($Q282="","Customer tier required",IF($M282="","Weight required",IF($S282="","Amount entry type required",IF(OR($J282&lt;0,$K282&lt;0,$M282&lt;0,$T282&lt;0,$U282&lt;0,$V282&lt;0,$W282&lt;0,$X282&lt;0,$Y282&lt;0),"Negative amounts are not allowed",IF($AE282="","Tariff not found for township and tier",IF(AND(OR($S282="ITEM_PRICE_PLUS_DECLARED_DELIVERY",$S282="TOTAL_AMOUNT_INCLUDING_DELIVERY",$S282="ITEM_PRICE_ONLY_DELIVERY_PAID_BY_MERCHANT"),$J282=""),"Item price required for this amount type",IF(AND(OR($S282="ITEM_PRICE_PLUS_DECLARED_DELIVERY",$S282="DELIVERY_CHARGE_ONLY"),$K282=""),"Declared delivery charge required",IF(AND(OR($S282="TOTAL_AMOUNT_INCLUDING_DELIVERY",$S282="EXACT_COLLECTION_AMOUNT"),$T282=""),"Stated total amount required",IF(AND($S282="TOTAL_AMOUNT_INCLUDING_DELIVERY",$T282&lt;SUM($J282,$U282)),"Stated total is below item price plus additional charge",IF($S282="EXACT_COLLECTION_AMOUNT","Authorized amount breakdown required before settlement","Ready for collection and settlement"))))))))))))</f>
        <v/>
      </c>
      <c r="AW282" s="23">
        <f>IF($AU282="","","PARCEL_FINANCIAL_V2")</f>
        <v/>
      </c>
      <c r="AX282" s="17" t="n"/>
    </row>
    <row r="283">
      <c r="A283" s="8" t="n"/>
      <c r="B283" s="8" t="n"/>
      <c r="C283" s="8" t="n"/>
      <c r="D283" s="8" t="n"/>
      <c r="E283" s="9" t="n"/>
      <c r="F283" s="9" t="n"/>
      <c r="G283" s="8" t="n"/>
      <c r="H283" s="9" t="n"/>
      <c r="I283" s="9" t="n"/>
      <c r="J283" s="10" t="n"/>
      <c r="K283" s="10" t="n"/>
      <c r="L283" s="11">
        <f>IF($S283="","",IF($S283="ITEM_PRICE_PLUS_DECLARED_DELIVERY",IF(OR($J283="",$K283=""),"",SUM($J283,$K283,$U283)),IF($S283="TOTAL_AMOUNT_INCLUDING_DELIVERY",IF($T283="","",$T283),IF($S283="DELIVERY_CHARGE_ONLY",IF($K283="","",SUM($K283,$U283)),IF($S283="EXACT_COLLECTION_AMOUNT",IF($T283="","",$T283),IF($S283="ITEM_PRICE_ONLY_DELIVERY_PAID_BY_MERCHANT",IF($J283="","",SUM($J283,$U283)),""))))))</f>
        <v/>
      </c>
      <c r="M283" s="12" t="n"/>
      <c r="N283" s="13" t="n"/>
      <c r="O283" s="13" t="n"/>
      <c r="P283" s="9" t="n"/>
      <c r="Q283" s="14" t="n"/>
      <c r="R283" s="15" t="n"/>
      <c r="S283" s="14" t="n"/>
      <c r="T283" s="16" t="n"/>
      <c r="U283" s="16" t="n"/>
      <c r="V283" s="16" t="n"/>
      <c r="W283" s="16" t="n"/>
      <c r="X283" s="16" t="n"/>
      <c r="Y283" s="16" t="n"/>
      <c r="Z283" s="14" t="n"/>
      <c r="AA283" s="14" t="n"/>
      <c r="AB283" s="14" t="n"/>
      <c r="AC283" s="17">
        <f>IFERROR(VLOOKUP($H283&amp;"|"&amp;$Q283,Tariff_Master!$A$2:$L$169,3,FALSE),"")</f>
        <v/>
      </c>
      <c r="AD283" s="17">
        <f>IFERROR(VLOOKUP($H283&amp;"|"&amp;$Q283,Tariff_Master!$A$2:$L$169,4,FALSE),"")</f>
        <v/>
      </c>
      <c r="AE283" s="18">
        <f>IFERROR(VLOOKUP($H283&amp;"|"&amp;$Q283,Tariff_Master!$A$2:$L$169,6,FALSE),"")</f>
        <v/>
      </c>
      <c r="AF283" s="19">
        <f>IFERROR(VLOOKUP($H283&amp;"|"&amp;$Q283,Tariff_Master!$A$2:$L$169,7,FALSE),"")</f>
        <v/>
      </c>
      <c r="AG283" s="18">
        <f>IFERROR(VLOOKUP($H283&amp;"|"&amp;$Q283,Tariff_Master!$A$2:$L$169,8,FALSE),"")</f>
        <v/>
      </c>
      <c r="AH283" s="20">
        <f>IFERROR(VLOOKUP($H283&amp;"|"&amp;$Q283,Tariff_Master!$A$2:$L$169,9,FALSE),"")</f>
        <v/>
      </c>
      <c r="AI283" s="18">
        <f>IFERROR(VLOOKUP($H283&amp;"|"&amp;$Q283,Tariff_Master!$A$2:$L$169,10,FALSE),"")</f>
        <v/>
      </c>
      <c r="AJ283" s="21">
        <f>IF($M283="","",ROUNDUP(MAX(0,$M283),0))</f>
        <v/>
      </c>
      <c r="AK283" s="21">
        <f>IF(OR($AJ283="",$AF283=""),"",MAX(0,$AJ283-$AF283))</f>
        <v/>
      </c>
      <c r="AL283" s="22">
        <f>IF(OR($AK283="",$AG283=""),"",MAX(0,$AK283*$AG283))</f>
        <v/>
      </c>
      <c r="AM283" s="22">
        <f>IF($AE283="","",MAX(0,SUM($AE283,$AL283,$V283,$W283)))</f>
        <v/>
      </c>
      <c r="AN283" s="22">
        <f>IF($AM283="","",IF(AND($Q283="COMMITMENT",$R283&gt;=$AH283),$AI283,0))</f>
        <v/>
      </c>
      <c r="AO283" s="23">
        <f>IF($AM283="","",MAX(0,$AM283-$AN283))</f>
        <v/>
      </c>
      <c r="AP283" s="22">
        <f>IF($S283="","",IF(OR($S283="ITEM_PRICE_PLUS_DECLARED_DELIVERY",$S283="DELIVERY_CHARGE_ONLY"),$K283,IF($S283="TOTAL_AMOUNT_INCLUDING_DELIVERY",IF(OR($T283="",$J283=""),"",MAX(0,$T283-$J283-$U283)),IF($S283="ITEM_PRICE_ONLY_DELIVERY_PAID_BY_MERCHANT",0,""))))</f>
        <v/>
      </c>
      <c r="AQ283" s="23">
        <f>IF(OR($AP283="",$AO283=""),"",$AP283-$AO283)</f>
        <v/>
      </c>
      <c r="AR283" s="24">
        <f>IF($S283="EXACT_COLLECTION_AMOUNT","BREAKDOWN_REQUIRED",IF($AQ283="","",IF($AQ283&gt;0,"CREDIT_TO_MERCHANT",IF($AQ283&lt;0,"DEDUCT_FROM_MERCHANT","NO_ADJUSTMENT"))))</f>
        <v/>
      </c>
      <c r="AS283" s="23">
        <f>IF(OR($AQ283="",$AR283="BREAKDOWN_REQUIRED"),"",$AQ283)</f>
        <v/>
      </c>
      <c r="AT283" s="23">
        <f>IF(OR($AR283="",$AR283="BREAKDOWN_REQUIRED"),"",SUM($J283,$AQ283,$Y283)-$X283)</f>
        <v/>
      </c>
      <c r="AU283" s="25">
        <f>IF(AND($A283="",$B283="",$F283="",$H283="",$J283="",$K283="",$M283="",$S283=""),"",IF(OR($H283="",$Q283="",$M283="",$S283=""),"ERROR",IF(OR($J283&lt;0,$K283&lt;0,$M283&lt;0,$T283&lt;0,$U283&lt;0,$V283&lt;0,$W283&lt;0,$X283&lt;0,$Y283&lt;0),"ERROR",IF($AE283="","ERROR",IF(AND(OR($S283="ITEM_PRICE_PLUS_DECLARED_DELIVERY",$S283="TOTAL_AMOUNT_INCLUDING_DELIVERY",$S283="ITEM_PRICE_ONLY_DELIVERY_PAID_BY_MERCHANT"),$J283=""),"ERROR",IF(AND(OR($S283="ITEM_PRICE_PLUS_DECLARED_DELIVERY",$S283="DELIVERY_CHARGE_ONLY"),$K283=""),"ERROR",IF(AND(OR($S283="TOTAL_AMOUNT_INCLUDING_DELIVERY",$S283="EXACT_COLLECTION_AMOUNT"),$T283=""),"ERROR",IF(AND($S283="TOTAL_AMOUNT_INCLUDING_DELIVERY",$T283&lt;SUM($J283,$U283)),"ERROR",IF($S283="EXACT_COLLECTION_AMOUNT","REVIEW","OK")))))))))</f>
        <v/>
      </c>
      <c r="AV283" s="25">
        <f>IF($AU283="","",IF($H283="","Township required",IF($Q283="","Customer tier required",IF($M283="","Weight required",IF($S283="","Amount entry type required",IF(OR($J283&lt;0,$K283&lt;0,$M283&lt;0,$T283&lt;0,$U283&lt;0,$V283&lt;0,$W283&lt;0,$X283&lt;0,$Y283&lt;0),"Negative amounts are not allowed",IF($AE283="","Tariff not found for township and tier",IF(AND(OR($S283="ITEM_PRICE_PLUS_DECLARED_DELIVERY",$S283="TOTAL_AMOUNT_INCLUDING_DELIVERY",$S283="ITEM_PRICE_ONLY_DELIVERY_PAID_BY_MERCHANT"),$J283=""),"Item price required for this amount type",IF(AND(OR($S283="ITEM_PRICE_PLUS_DECLARED_DELIVERY",$S283="DELIVERY_CHARGE_ONLY"),$K283=""),"Declared delivery charge required",IF(AND(OR($S283="TOTAL_AMOUNT_INCLUDING_DELIVERY",$S283="EXACT_COLLECTION_AMOUNT"),$T283=""),"Stated total amount required",IF(AND($S283="TOTAL_AMOUNT_INCLUDING_DELIVERY",$T283&lt;SUM($J283,$U283)),"Stated total is below item price plus additional charge",IF($S283="EXACT_COLLECTION_AMOUNT","Authorized amount breakdown required before settlement","Ready for collection and settlement"))))))))))))</f>
        <v/>
      </c>
      <c r="AW283" s="23">
        <f>IF($AU283="","","PARCEL_FINANCIAL_V2")</f>
        <v/>
      </c>
      <c r="AX283" s="17" t="n"/>
    </row>
    <row r="284">
      <c r="A284" s="8" t="n"/>
      <c r="B284" s="8" t="n"/>
      <c r="C284" s="8" t="n"/>
      <c r="D284" s="8" t="n"/>
      <c r="E284" s="9" t="n"/>
      <c r="F284" s="9" t="n"/>
      <c r="G284" s="8" t="n"/>
      <c r="H284" s="9" t="n"/>
      <c r="I284" s="9" t="n"/>
      <c r="J284" s="10" t="n"/>
      <c r="K284" s="10" t="n"/>
      <c r="L284" s="11">
        <f>IF($S284="","",IF($S284="ITEM_PRICE_PLUS_DECLARED_DELIVERY",IF(OR($J284="",$K284=""),"",SUM($J284,$K284,$U284)),IF($S284="TOTAL_AMOUNT_INCLUDING_DELIVERY",IF($T284="","",$T284),IF($S284="DELIVERY_CHARGE_ONLY",IF($K284="","",SUM($K284,$U284)),IF($S284="EXACT_COLLECTION_AMOUNT",IF($T284="","",$T284),IF($S284="ITEM_PRICE_ONLY_DELIVERY_PAID_BY_MERCHANT",IF($J284="","",SUM($J284,$U284)),""))))))</f>
        <v/>
      </c>
      <c r="M284" s="12" t="n"/>
      <c r="N284" s="13" t="n"/>
      <c r="O284" s="13" t="n"/>
      <c r="P284" s="9" t="n"/>
      <c r="Q284" s="14" t="n"/>
      <c r="R284" s="15" t="n"/>
      <c r="S284" s="14" t="n"/>
      <c r="T284" s="16" t="n"/>
      <c r="U284" s="16" t="n"/>
      <c r="V284" s="16" t="n"/>
      <c r="W284" s="16" t="n"/>
      <c r="X284" s="16" t="n"/>
      <c r="Y284" s="16" t="n"/>
      <c r="Z284" s="14" t="n"/>
      <c r="AA284" s="14" t="n"/>
      <c r="AB284" s="14" t="n"/>
      <c r="AC284" s="17">
        <f>IFERROR(VLOOKUP($H284&amp;"|"&amp;$Q284,Tariff_Master!$A$2:$L$169,3,FALSE),"")</f>
        <v/>
      </c>
      <c r="AD284" s="17">
        <f>IFERROR(VLOOKUP($H284&amp;"|"&amp;$Q284,Tariff_Master!$A$2:$L$169,4,FALSE),"")</f>
        <v/>
      </c>
      <c r="AE284" s="18">
        <f>IFERROR(VLOOKUP($H284&amp;"|"&amp;$Q284,Tariff_Master!$A$2:$L$169,6,FALSE),"")</f>
        <v/>
      </c>
      <c r="AF284" s="19">
        <f>IFERROR(VLOOKUP($H284&amp;"|"&amp;$Q284,Tariff_Master!$A$2:$L$169,7,FALSE),"")</f>
        <v/>
      </c>
      <c r="AG284" s="18">
        <f>IFERROR(VLOOKUP($H284&amp;"|"&amp;$Q284,Tariff_Master!$A$2:$L$169,8,FALSE),"")</f>
        <v/>
      </c>
      <c r="AH284" s="20">
        <f>IFERROR(VLOOKUP($H284&amp;"|"&amp;$Q284,Tariff_Master!$A$2:$L$169,9,FALSE),"")</f>
        <v/>
      </c>
      <c r="AI284" s="18">
        <f>IFERROR(VLOOKUP($H284&amp;"|"&amp;$Q284,Tariff_Master!$A$2:$L$169,10,FALSE),"")</f>
        <v/>
      </c>
      <c r="AJ284" s="21">
        <f>IF($M284="","",ROUNDUP(MAX(0,$M284),0))</f>
        <v/>
      </c>
      <c r="AK284" s="21">
        <f>IF(OR($AJ284="",$AF284=""),"",MAX(0,$AJ284-$AF284))</f>
        <v/>
      </c>
      <c r="AL284" s="22">
        <f>IF(OR($AK284="",$AG284=""),"",MAX(0,$AK284*$AG284))</f>
        <v/>
      </c>
      <c r="AM284" s="22">
        <f>IF($AE284="","",MAX(0,SUM($AE284,$AL284,$V284,$W284)))</f>
        <v/>
      </c>
      <c r="AN284" s="22">
        <f>IF($AM284="","",IF(AND($Q284="COMMITMENT",$R284&gt;=$AH284),$AI284,0))</f>
        <v/>
      </c>
      <c r="AO284" s="23">
        <f>IF($AM284="","",MAX(0,$AM284-$AN284))</f>
        <v/>
      </c>
      <c r="AP284" s="22">
        <f>IF($S284="","",IF(OR($S284="ITEM_PRICE_PLUS_DECLARED_DELIVERY",$S284="DELIVERY_CHARGE_ONLY"),$K284,IF($S284="TOTAL_AMOUNT_INCLUDING_DELIVERY",IF(OR($T284="",$J284=""),"",MAX(0,$T284-$J284-$U284)),IF($S284="ITEM_PRICE_ONLY_DELIVERY_PAID_BY_MERCHANT",0,""))))</f>
        <v/>
      </c>
      <c r="AQ284" s="23">
        <f>IF(OR($AP284="",$AO284=""),"",$AP284-$AO284)</f>
        <v/>
      </c>
      <c r="AR284" s="24">
        <f>IF($S284="EXACT_COLLECTION_AMOUNT","BREAKDOWN_REQUIRED",IF($AQ284="","",IF($AQ284&gt;0,"CREDIT_TO_MERCHANT",IF($AQ284&lt;0,"DEDUCT_FROM_MERCHANT","NO_ADJUSTMENT"))))</f>
        <v/>
      </c>
      <c r="AS284" s="23">
        <f>IF(OR($AQ284="",$AR284="BREAKDOWN_REQUIRED"),"",$AQ284)</f>
        <v/>
      </c>
      <c r="AT284" s="23">
        <f>IF(OR($AR284="",$AR284="BREAKDOWN_REQUIRED"),"",SUM($J284,$AQ284,$Y284)-$X284)</f>
        <v/>
      </c>
      <c r="AU284" s="25">
        <f>IF(AND($A284="",$B284="",$F284="",$H284="",$J284="",$K284="",$M284="",$S284=""),"",IF(OR($H284="",$Q284="",$M284="",$S284=""),"ERROR",IF(OR($J284&lt;0,$K284&lt;0,$M284&lt;0,$T284&lt;0,$U284&lt;0,$V284&lt;0,$W284&lt;0,$X284&lt;0,$Y284&lt;0),"ERROR",IF($AE284="","ERROR",IF(AND(OR($S284="ITEM_PRICE_PLUS_DECLARED_DELIVERY",$S284="TOTAL_AMOUNT_INCLUDING_DELIVERY",$S284="ITEM_PRICE_ONLY_DELIVERY_PAID_BY_MERCHANT"),$J284=""),"ERROR",IF(AND(OR($S284="ITEM_PRICE_PLUS_DECLARED_DELIVERY",$S284="DELIVERY_CHARGE_ONLY"),$K284=""),"ERROR",IF(AND(OR($S284="TOTAL_AMOUNT_INCLUDING_DELIVERY",$S284="EXACT_COLLECTION_AMOUNT"),$T284=""),"ERROR",IF(AND($S284="TOTAL_AMOUNT_INCLUDING_DELIVERY",$T284&lt;SUM($J284,$U284)),"ERROR",IF($S284="EXACT_COLLECTION_AMOUNT","REVIEW","OK")))))))))</f>
        <v/>
      </c>
      <c r="AV284" s="25">
        <f>IF($AU284="","",IF($H284="","Township required",IF($Q284="","Customer tier required",IF($M284="","Weight required",IF($S284="","Amount entry type required",IF(OR($J284&lt;0,$K284&lt;0,$M284&lt;0,$T284&lt;0,$U284&lt;0,$V284&lt;0,$W284&lt;0,$X284&lt;0,$Y284&lt;0),"Negative amounts are not allowed",IF($AE284="","Tariff not found for township and tier",IF(AND(OR($S284="ITEM_PRICE_PLUS_DECLARED_DELIVERY",$S284="TOTAL_AMOUNT_INCLUDING_DELIVERY",$S284="ITEM_PRICE_ONLY_DELIVERY_PAID_BY_MERCHANT"),$J284=""),"Item price required for this amount type",IF(AND(OR($S284="ITEM_PRICE_PLUS_DECLARED_DELIVERY",$S284="DELIVERY_CHARGE_ONLY"),$K284=""),"Declared delivery charge required",IF(AND(OR($S284="TOTAL_AMOUNT_INCLUDING_DELIVERY",$S284="EXACT_COLLECTION_AMOUNT"),$T284=""),"Stated total amount required",IF(AND($S284="TOTAL_AMOUNT_INCLUDING_DELIVERY",$T284&lt;SUM($J284,$U284)),"Stated total is below item price plus additional charge",IF($S284="EXACT_COLLECTION_AMOUNT","Authorized amount breakdown required before settlement","Ready for collection and settlement"))))))))))))</f>
        <v/>
      </c>
      <c r="AW284" s="23">
        <f>IF($AU284="","","PARCEL_FINANCIAL_V2")</f>
        <v/>
      </c>
      <c r="AX284" s="17" t="n"/>
    </row>
    <row r="285">
      <c r="A285" s="8" t="n"/>
      <c r="B285" s="8" t="n"/>
      <c r="C285" s="8" t="n"/>
      <c r="D285" s="8" t="n"/>
      <c r="E285" s="9" t="n"/>
      <c r="F285" s="9" t="n"/>
      <c r="G285" s="8" t="n"/>
      <c r="H285" s="9" t="n"/>
      <c r="I285" s="9" t="n"/>
      <c r="J285" s="10" t="n"/>
      <c r="K285" s="10" t="n"/>
      <c r="L285" s="11">
        <f>IF($S285="","",IF($S285="ITEM_PRICE_PLUS_DECLARED_DELIVERY",IF(OR($J285="",$K285=""),"",SUM($J285,$K285,$U285)),IF($S285="TOTAL_AMOUNT_INCLUDING_DELIVERY",IF($T285="","",$T285),IF($S285="DELIVERY_CHARGE_ONLY",IF($K285="","",SUM($K285,$U285)),IF($S285="EXACT_COLLECTION_AMOUNT",IF($T285="","",$T285),IF($S285="ITEM_PRICE_ONLY_DELIVERY_PAID_BY_MERCHANT",IF($J285="","",SUM($J285,$U285)),""))))))</f>
        <v/>
      </c>
      <c r="M285" s="12" t="n"/>
      <c r="N285" s="13" t="n"/>
      <c r="O285" s="13" t="n"/>
      <c r="P285" s="9" t="n"/>
      <c r="Q285" s="14" t="n"/>
      <c r="R285" s="15" t="n"/>
      <c r="S285" s="14" t="n"/>
      <c r="T285" s="16" t="n"/>
      <c r="U285" s="16" t="n"/>
      <c r="V285" s="16" t="n"/>
      <c r="W285" s="16" t="n"/>
      <c r="X285" s="16" t="n"/>
      <c r="Y285" s="16" t="n"/>
      <c r="Z285" s="14" t="n"/>
      <c r="AA285" s="14" t="n"/>
      <c r="AB285" s="14" t="n"/>
      <c r="AC285" s="17">
        <f>IFERROR(VLOOKUP($H285&amp;"|"&amp;$Q285,Tariff_Master!$A$2:$L$169,3,FALSE),"")</f>
        <v/>
      </c>
      <c r="AD285" s="17">
        <f>IFERROR(VLOOKUP($H285&amp;"|"&amp;$Q285,Tariff_Master!$A$2:$L$169,4,FALSE),"")</f>
        <v/>
      </c>
      <c r="AE285" s="18">
        <f>IFERROR(VLOOKUP($H285&amp;"|"&amp;$Q285,Tariff_Master!$A$2:$L$169,6,FALSE),"")</f>
        <v/>
      </c>
      <c r="AF285" s="19">
        <f>IFERROR(VLOOKUP($H285&amp;"|"&amp;$Q285,Tariff_Master!$A$2:$L$169,7,FALSE),"")</f>
        <v/>
      </c>
      <c r="AG285" s="18">
        <f>IFERROR(VLOOKUP($H285&amp;"|"&amp;$Q285,Tariff_Master!$A$2:$L$169,8,FALSE),"")</f>
        <v/>
      </c>
      <c r="AH285" s="20">
        <f>IFERROR(VLOOKUP($H285&amp;"|"&amp;$Q285,Tariff_Master!$A$2:$L$169,9,FALSE),"")</f>
        <v/>
      </c>
      <c r="AI285" s="18">
        <f>IFERROR(VLOOKUP($H285&amp;"|"&amp;$Q285,Tariff_Master!$A$2:$L$169,10,FALSE),"")</f>
        <v/>
      </c>
      <c r="AJ285" s="21">
        <f>IF($M285="","",ROUNDUP(MAX(0,$M285),0))</f>
        <v/>
      </c>
      <c r="AK285" s="21">
        <f>IF(OR($AJ285="",$AF285=""),"",MAX(0,$AJ285-$AF285))</f>
        <v/>
      </c>
      <c r="AL285" s="22">
        <f>IF(OR($AK285="",$AG285=""),"",MAX(0,$AK285*$AG285))</f>
        <v/>
      </c>
      <c r="AM285" s="22">
        <f>IF($AE285="","",MAX(0,SUM($AE285,$AL285,$V285,$W285)))</f>
        <v/>
      </c>
      <c r="AN285" s="22">
        <f>IF($AM285="","",IF(AND($Q285="COMMITMENT",$R285&gt;=$AH285),$AI285,0))</f>
        <v/>
      </c>
      <c r="AO285" s="23">
        <f>IF($AM285="","",MAX(0,$AM285-$AN285))</f>
        <v/>
      </c>
      <c r="AP285" s="22">
        <f>IF($S285="","",IF(OR($S285="ITEM_PRICE_PLUS_DECLARED_DELIVERY",$S285="DELIVERY_CHARGE_ONLY"),$K285,IF($S285="TOTAL_AMOUNT_INCLUDING_DELIVERY",IF(OR($T285="",$J285=""),"",MAX(0,$T285-$J285-$U285)),IF($S285="ITEM_PRICE_ONLY_DELIVERY_PAID_BY_MERCHANT",0,""))))</f>
        <v/>
      </c>
      <c r="AQ285" s="23">
        <f>IF(OR($AP285="",$AO285=""),"",$AP285-$AO285)</f>
        <v/>
      </c>
      <c r="AR285" s="24">
        <f>IF($S285="EXACT_COLLECTION_AMOUNT","BREAKDOWN_REQUIRED",IF($AQ285="","",IF($AQ285&gt;0,"CREDIT_TO_MERCHANT",IF($AQ285&lt;0,"DEDUCT_FROM_MERCHANT","NO_ADJUSTMENT"))))</f>
        <v/>
      </c>
      <c r="AS285" s="23">
        <f>IF(OR($AQ285="",$AR285="BREAKDOWN_REQUIRED"),"",$AQ285)</f>
        <v/>
      </c>
      <c r="AT285" s="23">
        <f>IF(OR($AR285="",$AR285="BREAKDOWN_REQUIRED"),"",SUM($J285,$AQ285,$Y285)-$X285)</f>
        <v/>
      </c>
      <c r="AU285" s="25">
        <f>IF(AND($A285="",$B285="",$F285="",$H285="",$J285="",$K285="",$M285="",$S285=""),"",IF(OR($H285="",$Q285="",$M285="",$S285=""),"ERROR",IF(OR($J285&lt;0,$K285&lt;0,$M285&lt;0,$T285&lt;0,$U285&lt;0,$V285&lt;0,$W285&lt;0,$X285&lt;0,$Y285&lt;0),"ERROR",IF($AE285="","ERROR",IF(AND(OR($S285="ITEM_PRICE_PLUS_DECLARED_DELIVERY",$S285="TOTAL_AMOUNT_INCLUDING_DELIVERY",$S285="ITEM_PRICE_ONLY_DELIVERY_PAID_BY_MERCHANT"),$J285=""),"ERROR",IF(AND(OR($S285="ITEM_PRICE_PLUS_DECLARED_DELIVERY",$S285="DELIVERY_CHARGE_ONLY"),$K285=""),"ERROR",IF(AND(OR($S285="TOTAL_AMOUNT_INCLUDING_DELIVERY",$S285="EXACT_COLLECTION_AMOUNT"),$T285=""),"ERROR",IF(AND($S285="TOTAL_AMOUNT_INCLUDING_DELIVERY",$T285&lt;SUM($J285,$U285)),"ERROR",IF($S285="EXACT_COLLECTION_AMOUNT","REVIEW","OK")))))))))</f>
        <v/>
      </c>
      <c r="AV285" s="25">
        <f>IF($AU285="","",IF($H285="","Township required",IF($Q285="","Customer tier required",IF($M285="","Weight required",IF($S285="","Amount entry type required",IF(OR($J285&lt;0,$K285&lt;0,$M285&lt;0,$T285&lt;0,$U285&lt;0,$V285&lt;0,$W285&lt;0,$X285&lt;0,$Y285&lt;0),"Negative amounts are not allowed",IF($AE285="","Tariff not found for township and tier",IF(AND(OR($S285="ITEM_PRICE_PLUS_DECLARED_DELIVERY",$S285="TOTAL_AMOUNT_INCLUDING_DELIVERY",$S285="ITEM_PRICE_ONLY_DELIVERY_PAID_BY_MERCHANT"),$J285=""),"Item price required for this amount type",IF(AND(OR($S285="ITEM_PRICE_PLUS_DECLARED_DELIVERY",$S285="DELIVERY_CHARGE_ONLY"),$K285=""),"Declared delivery charge required",IF(AND(OR($S285="TOTAL_AMOUNT_INCLUDING_DELIVERY",$S285="EXACT_COLLECTION_AMOUNT"),$T285=""),"Stated total amount required",IF(AND($S285="TOTAL_AMOUNT_INCLUDING_DELIVERY",$T285&lt;SUM($J285,$U285)),"Stated total is below item price plus additional charge",IF($S285="EXACT_COLLECTION_AMOUNT","Authorized amount breakdown required before settlement","Ready for collection and settlement"))))))))))))</f>
        <v/>
      </c>
      <c r="AW285" s="23">
        <f>IF($AU285="","","PARCEL_FINANCIAL_V2")</f>
        <v/>
      </c>
      <c r="AX285" s="17" t="n"/>
    </row>
    <row r="286">
      <c r="A286" s="8" t="n"/>
      <c r="B286" s="8" t="n"/>
      <c r="C286" s="8" t="n"/>
      <c r="D286" s="8" t="n"/>
      <c r="E286" s="9" t="n"/>
      <c r="F286" s="9" t="n"/>
      <c r="G286" s="8" t="n"/>
      <c r="H286" s="9" t="n"/>
      <c r="I286" s="9" t="n"/>
      <c r="J286" s="10" t="n"/>
      <c r="K286" s="10" t="n"/>
      <c r="L286" s="11">
        <f>IF($S286="","",IF($S286="ITEM_PRICE_PLUS_DECLARED_DELIVERY",IF(OR($J286="",$K286=""),"",SUM($J286,$K286,$U286)),IF($S286="TOTAL_AMOUNT_INCLUDING_DELIVERY",IF($T286="","",$T286),IF($S286="DELIVERY_CHARGE_ONLY",IF($K286="","",SUM($K286,$U286)),IF($S286="EXACT_COLLECTION_AMOUNT",IF($T286="","",$T286),IF($S286="ITEM_PRICE_ONLY_DELIVERY_PAID_BY_MERCHANT",IF($J286="","",SUM($J286,$U286)),""))))))</f>
        <v/>
      </c>
      <c r="M286" s="12" t="n"/>
      <c r="N286" s="13" t="n"/>
      <c r="O286" s="13" t="n"/>
      <c r="P286" s="9" t="n"/>
      <c r="Q286" s="14" t="n"/>
      <c r="R286" s="15" t="n"/>
      <c r="S286" s="14" t="n"/>
      <c r="T286" s="16" t="n"/>
      <c r="U286" s="16" t="n"/>
      <c r="V286" s="16" t="n"/>
      <c r="W286" s="16" t="n"/>
      <c r="X286" s="16" t="n"/>
      <c r="Y286" s="16" t="n"/>
      <c r="Z286" s="14" t="n"/>
      <c r="AA286" s="14" t="n"/>
      <c r="AB286" s="14" t="n"/>
      <c r="AC286" s="17">
        <f>IFERROR(VLOOKUP($H286&amp;"|"&amp;$Q286,Tariff_Master!$A$2:$L$169,3,FALSE),"")</f>
        <v/>
      </c>
      <c r="AD286" s="17">
        <f>IFERROR(VLOOKUP($H286&amp;"|"&amp;$Q286,Tariff_Master!$A$2:$L$169,4,FALSE),"")</f>
        <v/>
      </c>
      <c r="AE286" s="18">
        <f>IFERROR(VLOOKUP($H286&amp;"|"&amp;$Q286,Tariff_Master!$A$2:$L$169,6,FALSE),"")</f>
        <v/>
      </c>
      <c r="AF286" s="19">
        <f>IFERROR(VLOOKUP($H286&amp;"|"&amp;$Q286,Tariff_Master!$A$2:$L$169,7,FALSE),"")</f>
        <v/>
      </c>
      <c r="AG286" s="18">
        <f>IFERROR(VLOOKUP($H286&amp;"|"&amp;$Q286,Tariff_Master!$A$2:$L$169,8,FALSE),"")</f>
        <v/>
      </c>
      <c r="AH286" s="20">
        <f>IFERROR(VLOOKUP($H286&amp;"|"&amp;$Q286,Tariff_Master!$A$2:$L$169,9,FALSE),"")</f>
        <v/>
      </c>
      <c r="AI286" s="18">
        <f>IFERROR(VLOOKUP($H286&amp;"|"&amp;$Q286,Tariff_Master!$A$2:$L$169,10,FALSE),"")</f>
        <v/>
      </c>
      <c r="AJ286" s="21">
        <f>IF($M286="","",ROUNDUP(MAX(0,$M286),0))</f>
        <v/>
      </c>
      <c r="AK286" s="21">
        <f>IF(OR($AJ286="",$AF286=""),"",MAX(0,$AJ286-$AF286))</f>
        <v/>
      </c>
      <c r="AL286" s="22">
        <f>IF(OR($AK286="",$AG286=""),"",MAX(0,$AK286*$AG286))</f>
        <v/>
      </c>
      <c r="AM286" s="22">
        <f>IF($AE286="","",MAX(0,SUM($AE286,$AL286,$V286,$W286)))</f>
        <v/>
      </c>
      <c r="AN286" s="22">
        <f>IF($AM286="","",IF(AND($Q286="COMMITMENT",$R286&gt;=$AH286),$AI286,0))</f>
        <v/>
      </c>
      <c r="AO286" s="23">
        <f>IF($AM286="","",MAX(0,$AM286-$AN286))</f>
        <v/>
      </c>
      <c r="AP286" s="22">
        <f>IF($S286="","",IF(OR($S286="ITEM_PRICE_PLUS_DECLARED_DELIVERY",$S286="DELIVERY_CHARGE_ONLY"),$K286,IF($S286="TOTAL_AMOUNT_INCLUDING_DELIVERY",IF(OR($T286="",$J286=""),"",MAX(0,$T286-$J286-$U286)),IF($S286="ITEM_PRICE_ONLY_DELIVERY_PAID_BY_MERCHANT",0,""))))</f>
        <v/>
      </c>
      <c r="AQ286" s="23">
        <f>IF(OR($AP286="",$AO286=""),"",$AP286-$AO286)</f>
        <v/>
      </c>
      <c r="AR286" s="24">
        <f>IF($S286="EXACT_COLLECTION_AMOUNT","BREAKDOWN_REQUIRED",IF($AQ286="","",IF($AQ286&gt;0,"CREDIT_TO_MERCHANT",IF($AQ286&lt;0,"DEDUCT_FROM_MERCHANT","NO_ADJUSTMENT"))))</f>
        <v/>
      </c>
      <c r="AS286" s="23">
        <f>IF(OR($AQ286="",$AR286="BREAKDOWN_REQUIRED"),"",$AQ286)</f>
        <v/>
      </c>
      <c r="AT286" s="23">
        <f>IF(OR($AR286="",$AR286="BREAKDOWN_REQUIRED"),"",SUM($J286,$AQ286,$Y286)-$X286)</f>
        <v/>
      </c>
      <c r="AU286" s="25">
        <f>IF(AND($A286="",$B286="",$F286="",$H286="",$J286="",$K286="",$M286="",$S286=""),"",IF(OR($H286="",$Q286="",$M286="",$S286=""),"ERROR",IF(OR($J286&lt;0,$K286&lt;0,$M286&lt;0,$T286&lt;0,$U286&lt;0,$V286&lt;0,$W286&lt;0,$X286&lt;0,$Y286&lt;0),"ERROR",IF($AE286="","ERROR",IF(AND(OR($S286="ITEM_PRICE_PLUS_DECLARED_DELIVERY",$S286="TOTAL_AMOUNT_INCLUDING_DELIVERY",$S286="ITEM_PRICE_ONLY_DELIVERY_PAID_BY_MERCHANT"),$J286=""),"ERROR",IF(AND(OR($S286="ITEM_PRICE_PLUS_DECLARED_DELIVERY",$S286="DELIVERY_CHARGE_ONLY"),$K286=""),"ERROR",IF(AND(OR($S286="TOTAL_AMOUNT_INCLUDING_DELIVERY",$S286="EXACT_COLLECTION_AMOUNT"),$T286=""),"ERROR",IF(AND($S286="TOTAL_AMOUNT_INCLUDING_DELIVERY",$T286&lt;SUM($J286,$U286)),"ERROR",IF($S286="EXACT_COLLECTION_AMOUNT","REVIEW","OK")))))))))</f>
        <v/>
      </c>
      <c r="AV286" s="25">
        <f>IF($AU286="","",IF($H286="","Township required",IF($Q286="","Customer tier required",IF($M286="","Weight required",IF($S286="","Amount entry type required",IF(OR($J286&lt;0,$K286&lt;0,$M286&lt;0,$T286&lt;0,$U286&lt;0,$V286&lt;0,$W286&lt;0,$X286&lt;0,$Y286&lt;0),"Negative amounts are not allowed",IF($AE286="","Tariff not found for township and tier",IF(AND(OR($S286="ITEM_PRICE_PLUS_DECLARED_DELIVERY",$S286="TOTAL_AMOUNT_INCLUDING_DELIVERY",$S286="ITEM_PRICE_ONLY_DELIVERY_PAID_BY_MERCHANT"),$J286=""),"Item price required for this amount type",IF(AND(OR($S286="ITEM_PRICE_PLUS_DECLARED_DELIVERY",$S286="DELIVERY_CHARGE_ONLY"),$K286=""),"Declared delivery charge required",IF(AND(OR($S286="TOTAL_AMOUNT_INCLUDING_DELIVERY",$S286="EXACT_COLLECTION_AMOUNT"),$T286=""),"Stated total amount required",IF(AND($S286="TOTAL_AMOUNT_INCLUDING_DELIVERY",$T286&lt;SUM($J286,$U286)),"Stated total is below item price plus additional charge",IF($S286="EXACT_COLLECTION_AMOUNT","Authorized amount breakdown required before settlement","Ready for collection and settlement"))))))))))))</f>
        <v/>
      </c>
      <c r="AW286" s="23">
        <f>IF($AU286="","","PARCEL_FINANCIAL_V2")</f>
        <v/>
      </c>
      <c r="AX286" s="17" t="n"/>
    </row>
    <row r="287">
      <c r="A287" s="8" t="n"/>
      <c r="B287" s="8" t="n"/>
      <c r="C287" s="8" t="n"/>
      <c r="D287" s="8" t="n"/>
      <c r="E287" s="9" t="n"/>
      <c r="F287" s="9" t="n"/>
      <c r="G287" s="8" t="n"/>
      <c r="H287" s="9" t="n"/>
      <c r="I287" s="9" t="n"/>
      <c r="J287" s="10" t="n"/>
      <c r="K287" s="10" t="n"/>
      <c r="L287" s="11">
        <f>IF($S287="","",IF($S287="ITEM_PRICE_PLUS_DECLARED_DELIVERY",IF(OR($J287="",$K287=""),"",SUM($J287,$K287,$U287)),IF($S287="TOTAL_AMOUNT_INCLUDING_DELIVERY",IF($T287="","",$T287),IF($S287="DELIVERY_CHARGE_ONLY",IF($K287="","",SUM($K287,$U287)),IF($S287="EXACT_COLLECTION_AMOUNT",IF($T287="","",$T287),IF($S287="ITEM_PRICE_ONLY_DELIVERY_PAID_BY_MERCHANT",IF($J287="","",SUM($J287,$U287)),""))))))</f>
        <v/>
      </c>
      <c r="M287" s="12" t="n"/>
      <c r="N287" s="13" t="n"/>
      <c r="O287" s="13" t="n"/>
      <c r="P287" s="9" t="n"/>
      <c r="Q287" s="14" t="n"/>
      <c r="R287" s="15" t="n"/>
      <c r="S287" s="14" t="n"/>
      <c r="T287" s="16" t="n"/>
      <c r="U287" s="16" t="n"/>
      <c r="V287" s="16" t="n"/>
      <c r="W287" s="16" t="n"/>
      <c r="X287" s="16" t="n"/>
      <c r="Y287" s="16" t="n"/>
      <c r="Z287" s="14" t="n"/>
      <c r="AA287" s="14" t="n"/>
      <c r="AB287" s="14" t="n"/>
      <c r="AC287" s="17">
        <f>IFERROR(VLOOKUP($H287&amp;"|"&amp;$Q287,Tariff_Master!$A$2:$L$169,3,FALSE),"")</f>
        <v/>
      </c>
      <c r="AD287" s="17">
        <f>IFERROR(VLOOKUP($H287&amp;"|"&amp;$Q287,Tariff_Master!$A$2:$L$169,4,FALSE),"")</f>
        <v/>
      </c>
      <c r="AE287" s="18">
        <f>IFERROR(VLOOKUP($H287&amp;"|"&amp;$Q287,Tariff_Master!$A$2:$L$169,6,FALSE),"")</f>
        <v/>
      </c>
      <c r="AF287" s="19">
        <f>IFERROR(VLOOKUP($H287&amp;"|"&amp;$Q287,Tariff_Master!$A$2:$L$169,7,FALSE),"")</f>
        <v/>
      </c>
      <c r="AG287" s="18">
        <f>IFERROR(VLOOKUP($H287&amp;"|"&amp;$Q287,Tariff_Master!$A$2:$L$169,8,FALSE),"")</f>
        <v/>
      </c>
      <c r="AH287" s="20">
        <f>IFERROR(VLOOKUP($H287&amp;"|"&amp;$Q287,Tariff_Master!$A$2:$L$169,9,FALSE),"")</f>
        <v/>
      </c>
      <c r="AI287" s="18">
        <f>IFERROR(VLOOKUP($H287&amp;"|"&amp;$Q287,Tariff_Master!$A$2:$L$169,10,FALSE),"")</f>
        <v/>
      </c>
      <c r="AJ287" s="21">
        <f>IF($M287="","",ROUNDUP(MAX(0,$M287),0))</f>
        <v/>
      </c>
      <c r="AK287" s="21">
        <f>IF(OR($AJ287="",$AF287=""),"",MAX(0,$AJ287-$AF287))</f>
        <v/>
      </c>
      <c r="AL287" s="22">
        <f>IF(OR($AK287="",$AG287=""),"",MAX(0,$AK287*$AG287))</f>
        <v/>
      </c>
      <c r="AM287" s="22">
        <f>IF($AE287="","",MAX(0,SUM($AE287,$AL287,$V287,$W287)))</f>
        <v/>
      </c>
      <c r="AN287" s="22">
        <f>IF($AM287="","",IF(AND($Q287="COMMITMENT",$R287&gt;=$AH287),$AI287,0))</f>
        <v/>
      </c>
      <c r="AO287" s="23">
        <f>IF($AM287="","",MAX(0,$AM287-$AN287))</f>
        <v/>
      </c>
      <c r="AP287" s="22">
        <f>IF($S287="","",IF(OR($S287="ITEM_PRICE_PLUS_DECLARED_DELIVERY",$S287="DELIVERY_CHARGE_ONLY"),$K287,IF($S287="TOTAL_AMOUNT_INCLUDING_DELIVERY",IF(OR($T287="",$J287=""),"",MAX(0,$T287-$J287-$U287)),IF($S287="ITEM_PRICE_ONLY_DELIVERY_PAID_BY_MERCHANT",0,""))))</f>
        <v/>
      </c>
      <c r="AQ287" s="23">
        <f>IF(OR($AP287="",$AO287=""),"",$AP287-$AO287)</f>
        <v/>
      </c>
      <c r="AR287" s="24">
        <f>IF($S287="EXACT_COLLECTION_AMOUNT","BREAKDOWN_REQUIRED",IF($AQ287="","",IF($AQ287&gt;0,"CREDIT_TO_MERCHANT",IF($AQ287&lt;0,"DEDUCT_FROM_MERCHANT","NO_ADJUSTMENT"))))</f>
        <v/>
      </c>
      <c r="AS287" s="23">
        <f>IF(OR($AQ287="",$AR287="BREAKDOWN_REQUIRED"),"",$AQ287)</f>
        <v/>
      </c>
      <c r="AT287" s="23">
        <f>IF(OR($AR287="",$AR287="BREAKDOWN_REQUIRED"),"",SUM($J287,$AQ287,$Y287)-$X287)</f>
        <v/>
      </c>
      <c r="AU287" s="25">
        <f>IF(AND($A287="",$B287="",$F287="",$H287="",$J287="",$K287="",$M287="",$S287=""),"",IF(OR($H287="",$Q287="",$M287="",$S287=""),"ERROR",IF(OR($J287&lt;0,$K287&lt;0,$M287&lt;0,$T287&lt;0,$U287&lt;0,$V287&lt;0,$W287&lt;0,$X287&lt;0,$Y287&lt;0),"ERROR",IF($AE287="","ERROR",IF(AND(OR($S287="ITEM_PRICE_PLUS_DECLARED_DELIVERY",$S287="TOTAL_AMOUNT_INCLUDING_DELIVERY",$S287="ITEM_PRICE_ONLY_DELIVERY_PAID_BY_MERCHANT"),$J287=""),"ERROR",IF(AND(OR($S287="ITEM_PRICE_PLUS_DECLARED_DELIVERY",$S287="DELIVERY_CHARGE_ONLY"),$K287=""),"ERROR",IF(AND(OR($S287="TOTAL_AMOUNT_INCLUDING_DELIVERY",$S287="EXACT_COLLECTION_AMOUNT"),$T287=""),"ERROR",IF(AND($S287="TOTAL_AMOUNT_INCLUDING_DELIVERY",$T287&lt;SUM($J287,$U287)),"ERROR",IF($S287="EXACT_COLLECTION_AMOUNT","REVIEW","OK")))))))))</f>
        <v/>
      </c>
      <c r="AV287" s="25">
        <f>IF($AU287="","",IF($H287="","Township required",IF($Q287="","Customer tier required",IF($M287="","Weight required",IF($S287="","Amount entry type required",IF(OR($J287&lt;0,$K287&lt;0,$M287&lt;0,$T287&lt;0,$U287&lt;0,$V287&lt;0,$W287&lt;0,$X287&lt;0,$Y287&lt;0),"Negative amounts are not allowed",IF($AE287="","Tariff not found for township and tier",IF(AND(OR($S287="ITEM_PRICE_PLUS_DECLARED_DELIVERY",$S287="TOTAL_AMOUNT_INCLUDING_DELIVERY",$S287="ITEM_PRICE_ONLY_DELIVERY_PAID_BY_MERCHANT"),$J287=""),"Item price required for this amount type",IF(AND(OR($S287="ITEM_PRICE_PLUS_DECLARED_DELIVERY",$S287="DELIVERY_CHARGE_ONLY"),$K287=""),"Declared delivery charge required",IF(AND(OR($S287="TOTAL_AMOUNT_INCLUDING_DELIVERY",$S287="EXACT_COLLECTION_AMOUNT"),$T287=""),"Stated total amount required",IF(AND($S287="TOTAL_AMOUNT_INCLUDING_DELIVERY",$T287&lt;SUM($J287,$U287)),"Stated total is below item price plus additional charge",IF($S287="EXACT_COLLECTION_AMOUNT","Authorized amount breakdown required before settlement","Ready for collection and settlement"))))))))))))</f>
        <v/>
      </c>
      <c r="AW287" s="23">
        <f>IF($AU287="","","PARCEL_FINANCIAL_V2")</f>
        <v/>
      </c>
      <c r="AX287" s="17" t="n"/>
    </row>
    <row r="288">
      <c r="A288" s="8" t="n"/>
      <c r="B288" s="8" t="n"/>
      <c r="C288" s="8" t="n"/>
      <c r="D288" s="8" t="n"/>
      <c r="E288" s="9" t="n"/>
      <c r="F288" s="9" t="n"/>
      <c r="G288" s="8" t="n"/>
      <c r="H288" s="9" t="n"/>
      <c r="I288" s="9" t="n"/>
      <c r="J288" s="10" t="n"/>
      <c r="K288" s="10" t="n"/>
      <c r="L288" s="11">
        <f>IF($S288="","",IF($S288="ITEM_PRICE_PLUS_DECLARED_DELIVERY",IF(OR($J288="",$K288=""),"",SUM($J288,$K288,$U288)),IF($S288="TOTAL_AMOUNT_INCLUDING_DELIVERY",IF($T288="","",$T288),IF($S288="DELIVERY_CHARGE_ONLY",IF($K288="","",SUM($K288,$U288)),IF($S288="EXACT_COLLECTION_AMOUNT",IF($T288="","",$T288),IF($S288="ITEM_PRICE_ONLY_DELIVERY_PAID_BY_MERCHANT",IF($J288="","",SUM($J288,$U288)),""))))))</f>
        <v/>
      </c>
      <c r="M288" s="12" t="n"/>
      <c r="N288" s="13" t="n"/>
      <c r="O288" s="13" t="n"/>
      <c r="P288" s="9" t="n"/>
      <c r="Q288" s="14" t="n"/>
      <c r="R288" s="15" t="n"/>
      <c r="S288" s="14" t="n"/>
      <c r="T288" s="16" t="n"/>
      <c r="U288" s="16" t="n"/>
      <c r="V288" s="16" t="n"/>
      <c r="W288" s="16" t="n"/>
      <c r="X288" s="16" t="n"/>
      <c r="Y288" s="16" t="n"/>
      <c r="Z288" s="14" t="n"/>
      <c r="AA288" s="14" t="n"/>
      <c r="AB288" s="14" t="n"/>
      <c r="AC288" s="17">
        <f>IFERROR(VLOOKUP($H288&amp;"|"&amp;$Q288,Tariff_Master!$A$2:$L$169,3,FALSE),"")</f>
        <v/>
      </c>
      <c r="AD288" s="17">
        <f>IFERROR(VLOOKUP($H288&amp;"|"&amp;$Q288,Tariff_Master!$A$2:$L$169,4,FALSE),"")</f>
        <v/>
      </c>
      <c r="AE288" s="18">
        <f>IFERROR(VLOOKUP($H288&amp;"|"&amp;$Q288,Tariff_Master!$A$2:$L$169,6,FALSE),"")</f>
        <v/>
      </c>
      <c r="AF288" s="19">
        <f>IFERROR(VLOOKUP($H288&amp;"|"&amp;$Q288,Tariff_Master!$A$2:$L$169,7,FALSE),"")</f>
        <v/>
      </c>
      <c r="AG288" s="18">
        <f>IFERROR(VLOOKUP($H288&amp;"|"&amp;$Q288,Tariff_Master!$A$2:$L$169,8,FALSE),"")</f>
        <v/>
      </c>
      <c r="AH288" s="20">
        <f>IFERROR(VLOOKUP($H288&amp;"|"&amp;$Q288,Tariff_Master!$A$2:$L$169,9,FALSE),"")</f>
        <v/>
      </c>
      <c r="AI288" s="18">
        <f>IFERROR(VLOOKUP($H288&amp;"|"&amp;$Q288,Tariff_Master!$A$2:$L$169,10,FALSE),"")</f>
        <v/>
      </c>
      <c r="AJ288" s="21">
        <f>IF($M288="","",ROUNDUP(MAX(0,$M288),0))</f>
        <v/>
      </c>
      <c r="AK288" s="21">
        <f>IF(OR($AJ288="",$AF288=""),"",MAX(0,$AJ288-$AF288))</f>
        <v/>
      </c>
      <c r="AL288" s="22">
        <f>IF(OR($AK288="",$AG288=""),"",MAX(0,$AK288*$AG288))</f>
        <v/>
      </c>
      <c r="AM288" s="22">
        <f>IF($AE288="","",MAX(0,SUM($AE288,$AL288,$V288,$W288)))</f>
        <v/>
      </c>
      <c r="AN288" s="22">
        <f>IF($AM288="","",IF(AND($Q288="COMMITMENT",$R288&gt;=$AH288),$AI288,0))</f>
        <v/>
      </c>
      <c r="AO288" s="23">
        <f>IF($AM288="","",MAX(0,$AM288-$AN288))</f>
        <v/>
      </c>
      <c r="AP288" s="22">
        <f>IF($S288="","",IF(OR($S288="ITEM_PRICE_PLUS_DECLARED_DELIVERY",$S288="DELIVERY_CHARGE_ONLY"),$K288,IF($S288="TOTAL_AMOUNT_INCLUDING_DELIVERY",IF(OR($T288="",$J288=""),"",MAX(0,$T288-$J288-$U288)),IF($S288="ITEM_PRICE_ONLY_DELIVERY_PAID_BY_MERCHANT",0,""))))</f>
        <v/>
      </c>
      <c r="AQ288" s="23">
        <f>IF(OR($AP288="",$AO288=""),"",$AP288-$AO288)</f>
        <v/>
      </c>
      <c r="AR288" s="24">
        <f>IF($S288="EXACT_COLLECTION_AMOUNT","BREAKDOWN_REQUIRED",IF($AQ288="","",IF($AQ288&gt;0,"CREDIT_TO_MERCHANT",IF($AQ288&lt;0,"DEDUCT_FROM_MERCHANT","NO_ADJUSTMENT"))))</f>
        <v/>
      </c>
      <c r="AS288" s="23">
        <f>IF(OR($AQ288="",$AR288="BREAKDOWN_REQUIRED"),"",$AQ288)</f>
        <v/>
      </c>
      <c r="AT288" s="23">
        <f>IF(OR($AR288="",$AR288="BREAKDOWN_REQUIRED"),"",SUM($J288,$AQ288,$Y288)-$X288)</f>
        <v/>
      </c>
      <c r="AU288" s="25">
        <f>IF(AND($A288="",$B288="",$F288="",$H288="",$J288="",$K288="",$M288="",$S288=""),"",IF(OR($H288="",$Q288="",$M288="",$S288=""),"ERROR",IF(OR($J288&lt;0,$K288&lt;0,$M288&lt;0,$T288&lt;0,$U288&lt;0,$V288&lt;0,$W288&lt;0,$X288&lt;0,$Y288&lt;0),"ERROR",IF($AE288="","ERROR",IF(AND(OR($S288="ITEM_PRICE_PLUS_DECLARED_DELIVERY",$S288="TOTAL_AMOUNT_INCLUDING_DELIVERY",$S288="ITEM_PRICE_ONLY_DELIVERY_PAID_BY_MERCHANT"),$J288=""),"ERROR",IF(AND(OR($S288="ITEM_PRICE_PLUS_DECLARED_DELIVERY",$S288="DELIVERY_CHARGE_ONLY"),$K288=""),"ERROR",IF(AND(OR($S288="TOTAL_AMOUNT_INCLUDING_DELIVERY",$S288="EXACT_COLLECTION_AMOUNT"),$T288=""),"ERROR",IF(AND($S288="TOTAL_AMOUNT_INCLUDING_DELIVERY",$T288&lt;SUM($J288,$U288)),"ERROR",IF($S288="EXACT_COLLECTION_AMOUNT","REVIEW","OK")))))))))</f>
        <v/>
      </c>
      <c r="AV288" s="25">
        <f>IF($AU288="","",IF($H288="","Township required",IF($Q288="","Customer tier required",IF($M288="","Weight required",IF($S288="","Amount entry type required",IF(OR($J288&lt;0,$K288&lt;0,$M288&lt;0,$T288&lt;0,$U288&lt;0,$V288&lt;0,$W288&lt;0,$X288&lt;0,$Y288&lt;0),"Negative amounts are not allowed",IF($AE288="","Tariff not found for township and tier",IF(AND(OR($S288="ITEM_PRICE_PLUS_DECLARED_DELIVERY",$S288="TOTAL_AMOUNT_INCLUDING_DELIVERY",$S288="ITEM_PRICE_ONLY_DELIVERY_PAID_BY_MERCHANT"),$J288=""),"Item price required for this amount type",IF(AND(OR($S288="ITEM_PRICE_PLUS_DECLARED_DELIVERY",$S288="DELIVERY_CHARGE_ONLY"),$K288=""),"Declared delivery charge required",IF(AND(OR($S288="TOTAL_AMOUNT_INCLUDING_DELIVERY",$S288="EXACT_COLLECTION_AMOUNT"),$T288=""),"Stated total amount required",IF(AND($S288="TOTAL_AMOUNT_INCLUDING_DELIVERY",$T288&lt;SUM($J288,$U288)),"Stated total is below item price plus additional charge",IF($S288="EXACT_COLLECTION_AMOUNT","Authorized amount breakdown required before settlement","Ready for collection and settlement"))))))))))))</f>
        <v/>
      </c>
      <c r="AW288" s="23">
        <f>IF($AU288="","","PARCEL_FINANCIAL_V2")</f>
        <v/>
      </c>
      <c r="AX288" s="17" t="n"/>
    </row>
    <row r="289">
      <c r="A289" s="8" t="n"/>
      <c r="B289" s="8" t="n"/>
      <c r="C289" s="8" t="n"/>
      <c r="D289" s="8" t="n"/>
      <c r="E289" s="9" t="n"/>
      <c r="F289" s="9" t="n"/>
      <c r="G289" s="8" t="n"/>
      <c r="H289" s="9" t="n"/>
      <c r="I289" s="9" t="n"/>
      <c r="J289" s="10" t="n"/>
      <c r="K289" s="10" t="n"/>
      <c r="L289" s="11">
        <f>IF($S289="","",IF($S289="ITEM_PRICE_PLUS_DECLARED_DELIVERY",IF(OR($J289="",$K289=""),"",SUM($J289,$K289,$U289)),IF($S289="TOTAL_AMOUNT_INCLUDING_DELIVERY",IF($T289="","",$T289),IF($S289="DELIVERY_CHARGE_ONLY",IF($K289="","",SUM($K289,$U289)),IF($S289="EXACT_COLLECTION_AMOUNT",IF($T289="","",$T289),IF($S289="ITEM_PRICE_ONLY_DELIVERY_PAID_BY_MERCHANT",IF($J289="","",SUM($J289,$U289)),""))))))</f>
        <v/>
      </c>
      <c r="M289" s="12" t="n"/>
      <c r="N289" s="13" t="n"/>
      <c r="O289" s="13" t="n"/>
      <c r="P289" s="9" t="n"/>
      <c r="Q289" s="14" t="n"/>
      <c r="R289" s="15" t="n"/>
      <c r="S289" s="14" t="n"/>
      <c r="T289" s="16" t="n"/>
      <c r="U289" s="16" t="n"/>
      <c r="V289" s="16" t="n"/>
      <c r="W289" s="16" t="n"/>
      <c r="X289" s="16" t="n"/>
      <c r="Y289" s="16" t="n"/>
      <c r="Z289" s="14" t="n"/>
      <c r="AA289" s="14" t="n"/>
      <c r="AB289" s="14" t="n"/>
      <c r="AC289" s="17">
        <f>IFERROR(VLOOKUP($H289&amp;"|"&amp;$Q289,Tariff_Master!$A$2:$L$169,3,FALSE),"")</f>
        <v/>
      </c>
      <c r="AD289" s="17">
        <f>IFERROR(VLOOKUP($H289&amp;"|"&amp;$Q289,Tariff_Master!$A$2:$L$169,4,FALSE),"")</f>
        <v/>
      </c>
      <c r="AE289" s="18">
        <f>IFERROR(VLOOKUP($H289&amp;"|"&amp;$Q289,Tariff_Master!$A$2:$L$169,6,FALSE),"")</f>
        <v/>
      </c>
      <c r="AF289" s="19">
        <f>IFERROR(VLOOKUP($H289&amp;"|"&amp;$Q289,Tariff_Master!$A$2:$L$169,7,FALSE),"")</f>
        <v/>
      </c>
      <c r="AG289" s="18">
        <f>IFERROR(VLOOKUP($H289&amp;"|"&amp;$Q289,Tariff_Master!$A$2:$L$169,8,FALSE),"")</f>
        <v/>
      </c>
      <c r="AH289" s="20">
        <f>IFERROR(VLOOKUP($H289&amp;"|"&amp;$Q289,Tariff_Master!$A$2:$L$169,9,FALSE),"")</f>
        <v/>
      </c>
      <c r="AI289" s="18">
        <f>IFERROR(VLOOKUP($H289&amp;"|"&amp;$Q289,Tariff_Master!$A$2:$L$169,10,FALSE),"")</f>
        <v/>
      </c>
      <c r="AJ289" s="21">
        <f>IF($M289="","",ROUNDUP(MAX(0,$M289),0))</f>
        <v/>
      </c>
      <c r="AK289" s="21">
        <f>IF(OR($AJ289="",$AF289=""),"",MAX(0,$AJ289-$AF289))</f>
        <v/>
      </c>
      <c r="AL289" s="22">
        <f>IF(OR($AK289="",$AG289=""),"",MAX(0,$AK289*$AG289))</f>
        <v/>
      </c>
      <c r="AM289" s="22">
        <f>IF($AE289="","",MAX(0,SUM($AE289,$AL289,$V289,$W289)))</f>
        <v/>
      </c>
      <c r="AN289" s="22">
        <f>IF($AM289="","",IF(AND($Q289="COMMITMENT",$R289&gt;=$AH289),$AI289,0))</f>
        <v/>
      </c>
      <c r="AO289" s="23">
        <f>IF($AM289="","",MAX(0,$AM289-$AN289))</f>
        <v/>
      </c>
      <c r="AP289" s="22">
        <f>IF($S289="","",IF(OR($S289="ITEM_PRICE_PLUS_DECLARED_DELIVERY",$S289="DELIVERY_CHARGE_ONLY"),$K289,IF($S289="TOTAL_AMOUNT_INCLUDING_DELIVERY",IF(OR($T289="",$J289=""),"",MAX(0,$T289-$J289-$U289)),IF($S289="ITEM_PRICE_ONLY_DELIVERY_PAID_BY_MERCHANT",0,""))))</f>
        <v/>
      </c>
      <c r="AQ289" s="23">
        <f>IF(OR($AP289="",$AO289=""),"",$AP289-$AO289)</f>
        <v/>
      </c>
      <c r="AR289" s="24">
        <f>IF($S289="EXACT_COLLECTION_AMOUNT","BREAKDOWN_REQUIRED",IF($AQ289="","",IF($AQ289&gt;0,"CREDIT_TO_MERCHANT",IF($AQ289&lt;0,"DEDUCT_FROM_MERCHANT","NO_ADJUSTMENT"))))</f>
        <v/>
      </c>
      <c r="AS289" s="23">
        <f>IF(OR($AQ289="",$AR289="BREAKDOWN_REQUIRED"),"",$AQ289)</f>
        <v/>
      </c>
      <c r="AT289" s="23">
        <f>IF(OR($AR289="",$AR289="BREAKDOWN_REQUIRED"),"",SUM($J289,$AQ289,$Y289)-$X289)</f>
        <v/>
      </c>
      <c r="AU289" s="25">
        <f>IF(AND($A289="",$B289="",$F289="",$H289="",$J289="",$K289="",$M289="",$S289=""),"",IF(OR($H289="",$Q289="",$M289="",$S289=""),"ERROR",IF(OR($J289&lt;0,$K289&lt;0,$M289&lt;0,$T289&lt;0,$U289&lt;0,$V289&lt;0,$W289&lt;0,$X289&lt;0,$Y289&lt;0),"ERROR",IF($AE289="","ERROR",IF(AND(OR($S289="ITEM_PRICE_PLUS_DECLARED_DELIVERY",$S289="TOTAL_AMOUNT_INCLUDING_DELIVERY",$S289="ITEM_PRICE_ONLY_DELIVERY_PAID_BY_MERCHANT"),$J289=""),"ERROR",IF(AND(OR($S289="ITEM_PRICE_PLUS_DECLARED_DELIVERY",$S289="DELIVERY_CHARGE_ONLY"),$K289=""),"ERROR",IF(AND(OR($S289="TOTAL_AMOUNT_INCLUDING_DELIVERY",$S289="EXACT_COLLECTION_AMOUNT"),$T289=""),"ERROR",IF(AND($S289="TOTAL_AMOUNT_INCLUDING_DELIVERY",$T289&lt;SUM($J289,$U289)),"ERROR",IF($S289="EXACT_COLLECTION_AMOUNT","REVIEW","OK")))))))))</f>
        <v/>
      </c>
      <c r="AV289" s="25">
        <f>IF($AU289="","",IF($H289="","Township required",IF($Q289="","Customer tier required",IF($M289="","Weight required",IF($S289="","Amount entry type required",IF(OR($J289&lt;0,$K289&lt;0,$M289&lt;0,$T289&lt;0,$U289&lt;0,$V289&lt;0,$W289&lt;0,$X289&lt;0,$Y289&lt;0),"Negative amounts are not allowed",IF($AE289="","Tariff not found for township and tier",IF(AND(OR($S289="ITEM_PRICE_PLUS_DECLARED_DELIVERY",$S289="TOTAL_AMOUNT_INCLUDING_DELIVERY",$S289="ITEM_PRICE_ONLY_DELIVERY_PAID_BY_MERCHANT"),$J289=""),"Item price required for this amount type",IF(AND(OR($S289="ITEM_PRICE_PLUS_DECLARED_DELIVERY",$S289="DELIVERY_CHARGE_ONLY"),$K289=""),"Declared delivery charge required",IF(AND(OR($S289="TOTAL_AMOUNT_INCLUDING_DELIVERY",$S289="EXACT_COLLECTION_AMOUNT"),$T289=""),"Stated total amount required",IF(AND($S289="TOTAL_AMOUNT_INCLUDING_DELIVERY",$T289&lt;SUM($J289,$U289)),"Stated total is below item price plus additional charge",IF($S289="EXACT_COLLECTION_AMOUNT","Authorized amount breakdown required before settlement","Ready for collection and settlement"))))))))))))</f>
        <v/>
      </c>
      <c r="AW289" s="23">
        <f>IF($AU289="","","PARCEL_FINANCIAL_V2")</f>
        <v/>
      </c>
      <c r="AX289" s="17" t="n"/>
    </row>
    <row r="290">
      <c r="A290" s="8" t="n"/>
      <c r="B290" s="8" t="n"/>
      <c r="C290" s="8" t="n"/>
      <c r="D290" s="8" t="n"/>
      <c r="E290" s="9" t="n"/>
      <c r="F290" s="9" t="n"/>
      <c r="G290" s="8" t="n"/>
      <c r="H290" s="9" t="n"/>
      <c r="I290" s="9" t="n"/>
      <c r="J290" s="10" t="n"/>
      <c r="K290" s="10" t="n"/>
      <c r="L290" s="11">
        <f>IF($S290="","",IF($S290="ITEM_PRICE_PLUS_DECLARED_DELIVERY",IF(OR($J290="",$K290=""),"",SUM($J290,$K290,$U290)),IF($S290="TOTAL_AMOUNT_INCLUDING_DELIVERY",IF($T290="","",$T290),IF($S290="DELIVERY_CHARGE_ONLY",IF($K290="","",SUM($K290,$U290)),IF($S290="EXACT_COLLECTION_AMOUNT",IF($T290="","",$T290),IF($S290="ITEM_PRICE_ONLY_DELIVERY_PAID_BY_MERCHANT",IF($J290="","",SUM($J290,$U290)),""))))))</f>
        <v/>
      </c>
      <c r="M290" s="12" t="n"/>
      <c r="N290" s="13" t="n"/>
      <c r="O290" s="13" t="n"/>
      <c r="P290" s="9" t="n"/>
      <c r="Q290" s="14" t="n"/>
      <c r="R290" s="15" t="n"/>
      <c r="S290" s="14" t="n"/>
      <c r="T290" s="16" t="n"/>
      <c r="U290" s="16" t="n"/>
      <c r="V290" s="16" t="n"/>
      <c r="W290" s="16" t="n"/>
      <c r="X290" s="16" t="n"/>
      <c r="Y290" s="16" t="n"/>
      <c r="Z290" s="14" t="n"/>
      <c r="AA290" s="14" t="n"/>
      <c r="AB290" s="14" t="n"/>
      <c r="AC290" s="17">
        <f>IFERROR(VLOOKUP($H290&amp;"|"&amp;$Q290,Tariff_Master!$A$2:$L$169,3,FALSE),"")</f>
        <v/>
      </c>
      <c r="AD290" s="17">
        <f>IFERROR(VLOOKUP($H290&amp;"|"&amp;$Q290,Tariff_Master!$A$2:$L$169,4,FALSE),"")</f>
        <v/>
      </c>
      <c r="AE290" s="18">
        <f>IFERROR(VLOOKUP($H290&amp;"|"&amp;$Q290,Tariff_Master!$A$2:$L$169,6,FALSE),"")</f>
        <v/>
      </c>
      <c r="AF290" s="19">
        <f>IFERROR(VLOOKUP($H290&amp;"|"&amp;$Q290,Tariff_Master!$A$2:$L$169,7,FALSE),"")</f>
        <v/>
      </c>
      <c r="AG290" s="18">
        <f>IFERROR(VLOOKUP($H290&amp;"|"&amp;$Q290,Tariff_Master!$A$2:$L$169,8,FALSE),"")</f>
        <v/>
      </c>
      <c r="AH290" s="20">
        <f>IFERROR(VLOOKUP($H290&amp;"|"&amp;$Q290,Tariff_Master!$A$2:$L$169,9,FALSE),"")</f>
        <v/>
      </c>
      <c r="AI290" s="18">
        <f>IFERROR(VLOOKUP($H290&amp;"|"&amp;$Q290,Tariff_Master!$A$2:$L$169,10,FALSE),"")</f>
        <v/>
      </c>
      <c r="AJ290" s="21">
        <f>IF($M290="","",ROUNDUP(MAX(0,$M290),0))</f>
        <v/>
      </c>
      <c r="AK290" s="21">
        <f>IF(OR($AJ290="",$AF290=""),"",MAX(0,$AJ290-$AF290))</f>
        <v/>
      </c>
      <c r="AL290" s="22">
        <f>IF(OR($AK290="",$AG290=""),"",MAX(0,$AK290*$AG290))</f>
        <v/>
      </c>
      <c r="AM290" s="22">
        <f>IF($AE290="","",MAX(0,SUM($AE290,$AL290,$V290,$W290)))</f>
        <v/>
      </c>
      <c r="AN290" s="22">
        <f>IF($AM290="","",IF(AND($Q290="COMMITMENT",$R290&gt;=$AH290),$AI290,0))</f>
        <v/>
      </c>
      <c r="AO290" s="23">
        <f>IF($AM290="","",MAX(0,$AM290-$AN290))</f>
        <v/>
      </c>
      <c r="AP290" s="22">
        <f>IF($S290="","",IF(OR($S290="ITEM_PRICE_PLUS_DECLARED_DELIVERY",$S290="DELIVERY_CHARGE_ONLY"),$K290,IF($S290="TOTAL_AMOUNT_INCLUDING_DELIVERY",IF(OR($T290="",$J290=""),"",MAX(0,$T290-$J290-$U290)),IF($S290="ITEM_PRICE_ONLY_DELIVERY_PAID_BY_MERCHANT",0,""))))</f>
        <v/>
      </c>
      <c r="AQ290" s="23">
        <f>IF(OR($AP290="",$AO290=""),"",$AP290-$AO290)</f>
        <v/>
      </c>
      <c r="AR290" s="24">
        <f>IF($S290="EXACT_COLLECTION_AMOUNT","BREAKDOWN_REQUIRED",IF($AQ290="","",IF($AQ290&gt;0,"CREDIT_TO_MERCHANT",IF($AQ290&lt;0,"DEDUCT_FROM_MERCHANT","NO_ADJUSTMENT"))))</f>
        <v/>
      </c>
      <c r="AS290" s="23">
        <f>IF(OR($AQ290="",$AR290="BREAKDOWN_REQUIRED"),"",$AQ290)</f>
        <v/>
      </c>
      <c r="AT290" s="23">
        <f>IF(OR($AR290="",$AR290="BREAKDOWN_REQUIRED"),"",SUM($J290,$AQ290,$Y290)-$X290)</f>
        <v/>
      </c>
      <c r="AU290" s="25">
        <f>IF(AND($A290="",$B290="",$F290="",$H290="",$J290="",$K290="",$M290="",$S290=""),"",IF(OR($H290="",$Q290="",$M290="",$S290=""),"ERROR",IF(OR($J290&lt;0,$K290&lt;0,$M290&lt;0,$T290&lt;0,$U290&lt;0,$V290&lt;0,$W290&lt;0,$X290&lt;0,$Y290&lt;0),"ERROR",IF($AE290="","ERROR",IF(AND(OR($S290="ITEM_PRICE_PLUS_DECLARED_DELIVERY",$S290="TOTAL_AMOUNT_INCLUDING_DELIVERY",$S290="ITEM_PRICE_ONLY_DELIVERY_PAID_BY_MERCHANT"),$J290=""),"ERROR",IF(AND(OR($S290="ITEM_PRICE_PLUS_DECLARED_DELIVERY",$S290="DELIVERY_CHARGE_ONLY"),$K290=""),"ERROR",IF(AND(OR($S290="TOTAL_AMOUNT_INCLUDING_DELIVERY",$S290="EXACT_COLLECTION_AMOUNT"),$T290=""),"ERROR",IF(AND($S290="TOTAL_AMOUNT_INCLUDING_DELIVERY",$T290&lt;SUM($J290,$U290)),"ERROR",IF($S290="EXACT_COLLECTION_AMOUNT","REVIEW","OK")))))))))</f>
        <v/>
      </c>
      <c r="AV290" s="25">
        <f>IF($AU290="","",IF($H290="","Township required",IF($Q290="","Customer tier required",IF($M290="","Weight required",IF($S290="","Amount entry type required",IF(OR($J290&lt;0,$K290&lt;0,$M290&lt;0,$T290&lt;0,$U290&lt;0,$V290&lt;0,$W290&lt;0,$X290&lt;0,$Y290&lt;0),"Negative amounts are not allowed",IF($AE290="","Tariff not found for township and tier",IF(AND(OR($S290="ITEM_PRICE_PLUS_DECLARED_DELIVERY",$S290="TOTAL_AMOUNT_INCLUDING_DELIVERY",$S290="ITEM_PRICE_ONLY_DELIVERY_PAID_BY_MERCHANT"),$J290=""),"Item price required for this amount type",IF(AND(OR($S290="ITEM_PRICE_PLUS_DECLARED_DELIVERY",$S290="DELIVERY_CHARGE_ONLY"),$K290=""),"Declared delivery charge required",IF(AND(OR($S290="TOTAL_AMOUNT_INCLUDING_DELIVERY",$S290="EXACT_COLLECTION_AMOUNT"),$T290=""),"Stated total amount required",IF(AND($S290="TOTAL_AMOUNT_INCLUDING_DELIVERY",$T290&lt;SUM($J290,$U290)),"Stated total is below item price plus additional charge",IF($S290="EXACT_COLLECTION_AMOUNT","Authorized amount breakdown required before settlement","Ready for collection and settlement"))))))))))))</f>
        <v/>
      </c>
      <c r="AW290" s="23">
        <f>IF($AU290="","","PARCEL_FINANCIAL_V2")</f>
        <v/>
      </c>
      <c r="AX290" s="17" t="n"/>
    </row>
    <row r="291">
      <c r="A291" s="8" t="n"/>
      <c r="B291" s="8" t="n"/>
      <c r="C291" s="8" t="n"/>
      <c r="D291" s="8" t="n"/>
      <c r="E291" s="9" t="n"/>
      <c r="F291" s="9" t="n"/>
      <c r="G291" s="8" t="n"/>
      <c r="H291" s="9" t="n"/>
      <c r="I291" s="9" t="n"/>
      <c r="J291" s="10" t="n"/>
      <c r="K291" s="10" t="n"/>
      <c r="L291" s="11">
        <f>IF($S291="","",IF($S291="ITEM_PRICE_PLUS_DECLARED_DELIVERY",IF(OR($J291="",$K291=""),"",SUM($J291,$K291,$U291)),IF($S291="TOTAL_AMOUNT_INCLUDING_DELIVERY",IF($T291="","",$T291),IF($S291="DELIVERY_CHARGE_ONLY",IF($K291="","",SUM($K291,$U291)),IF($S291="EXACT_COLLECTION_AMOUNT",IF($T291="","",$T291),IF($S291="ITEM_PRICE_ONLY_DELIVERY_PAID_BY_MERCHANT",IF($J291="","",SUM($J291,$U291)),""))))))</f>
        <v/>
      </c>
      <c r="M291" s="12" t="n"/>
      <c r="N291" s="13" t="n"/>
      <c r="O291" s="13" t="n"/>
      <c r="P291" s="9" t="n"/>
      <c r="Q291" s="14" t="n"/>
      <c r="R291" s="15" t="n"/>
      <c r="S291" s="14" t="n"/>
      <c r="T291" s="16" t="n"/>
      <c r="U291" s="16" t="n"/>
      <c r="V291" s="16" t="n"/>
      <c r="W291" s="16" t="n"/>
      <c r="X291" s="16" t="n"/>
      <c r="Y291" s="16" t="n"/>
      <c r="Z291" s="14" t="n"/>
      <c r="AA291" s="14" t="n"/>
      <c r="AB291" s="14" t="n"/>
      <c r="AC291" s="17">
        <f>IFERROR(VLOOKUP($H291&amp;"|"&amp;$Q291,Tariff_Master!$A$2:$L$169,3,FALSE),"")</f>
        <v/>
      </c>
      <c r="AD291" s="17">
        <f>IFERROR(VLOOKUP($H291&amp;"|"&amp;$Q291,Tariff_Master!$A$2:$L$169,4,FALSE),"")</f>
        <v/>
      </c>
      <c r="AE291" s="18">
        <f>IFERROR(VLOOKUP($H291&amp;"|"&amp;$Q291,Tariff_Master!$A$2:$L$169,6,FALSE),"")</f>
        <v/>
      </c>
      <c r="AF291" s="19">
        <f>IFERROR(VLOOKUP($H291&amp;"|"&amp;$Q291,Tariff_Master!$A$2:$L$169,7,FALSE),"")</f>
        <v/>
      </c>
      <c r="AG291" s="18">
        <f>IFERROR(VLOOKUP($H291&amp;"|"&amp;$Q291,Tariff_Master!$A$2:$L$169,8,FALSE),"")</f>
        <v/>
      </c>
      <c r="AH291" s="20">
        <f>IFERROR(VLOOKUP($H291&amp;"|"&amp;$Q291,Tariff_Master!$A$2:$L$169,9,FALSE),"")</f>
        <v/>
      </c>
      <c r="AI291" s="18">
        <f>IFERROR(VLOOKUP($H291&amp;"|"&amp;$Q291,Tariff_Master!$A$2:$L$169,10,FALSE),"")</f>
        <v/>
      </c>
      <c r="AJ291" s="21">
        <f>IF($M291="","",ROUNDUP(MAX(0,$M291),0))</f>
        <v/>
      </c>
      <c r="AK291" s="21">
        <f>IF(OR($AJ291="",$AF291=""),"",MAX(0,$AJ291-$AF291))</f>
        <v/>
      </c>
      <c r="AL291" s="22">
        <f>IF(OR($AK291="",$AG291=""),"",MAX(0,$AK291*$AG291))</f>
        <v/>
      </c>
      <c r="AM291" s="22">
        <f>IF($AE291="","",MAX(0,SUM($AE291,$AL291,$V291,$W291)))</f>
        <v/>
      </c>
      <c r="AN291" s="22">
        <f>IF($AM291="","",IF(AND($Q291="COMMITMENT",$R291&gt;=$AH291),$AI291,0))</f>
        <v/>
      </c>
      <c r="AO291" s="23">
        <f>IF($AM291="","",MAX(0,$AM291-$AN291))</f>
        <v/>
      </c>
      <c r="AP291" s="22">
        <f>IF($S291="","",IF(OR($S291="ITEM_PRICE_PLUS_DECLARED_DELIVERY",$S291="DELIVERY_CHARGE_ONLY"),$K291,IF($S291="TOTAL_AMOUNT_INCLUDING_DELIVERY",IF(OR($T291="",$J291=""),"",MAX(0,$T291-$J291-$U291)),IF($S291="ITEM_PRICE_ONLY_DELIVERY_PAID_BY_MERCHANT",0,""))))</f>
        <v/>
      </c>
      <c r="AQ291" s="23">
        <f>IF(OR($AP291="",$AO291=""),"",$AP291-$AO291)</f>
        <v/>
      </c>
      <c r="AR291" s="24">
        <f>IF($S291="EXACT_COLLECTION_AMOUNT","BREAKDOWN_REQUIRED",IF($AQ291="","",IF($AQ291&gt;0,"CREDIT_TO_MERCHANT",IF($AQ291&lt;0,"DEDUCT_FROM_MERCHANT","NO_ADJUSTMENT"))))</f>
        <v/>
      </c>
      <c r="AS291" s="23">
        <f>IF(OR($AQ291="",$AR291="BREAKDOWN_REQUIRED"),"",$AQ291)</f>
        <v/>
      </c>
      <c r="AT291" s="23">
        <f>IF(OR($AR291="",$AR291="BREAKDOWN_REQUIRED"),"",SUM($J291,$AQ291,$Y291)-$X291)</f>
        <v/>
      </c>
      <c r="AU291" s="25">
        <f>IF(AND($A291="",$B291="",$F291="",$H291="",$J291="",$K291="",$M291="",$S291=""),"",IF(OR($H291="",$Q291="",$M291="",$S291=""),"ERROR",IF(OR($J291&lt;0,$K291&lt;0,$M291&lt;0,$T291&lt;0,$U291&lt;0,$V291&lt;0,$W291&lt;0,$X291&lt;0,$Y291&lt;0),"ERROR",IF($AE291="","ERROR",IF(AND(OR($S291="ITEM_PRICE_PLUS_DECLARED_DELIVERY",$S291="TOTAL_AMOUNT_INCLUDING_DELIVERY",$S291="ITEM_PRICE_ONLY_DELIVERY_PAID_BY_MERCHANT"),$J291=""),"ERROR",IF(AND(OR($S291="ITEM_PRICE_PLUS_DECLARED_DELIVERY",$S291="DELIVERY_CHARGE_ONLY"),$K291=""),"ERROR",IF(AND(OR($S291="TOTAL_AMOUNT_INCLUDING_DELIVERY",$S291="EXACT_COLLECTION_AMOUNT"),$T291=""),"ERROR",IF(AND($S291="TOTAL_AMOUNT_INCLUDING_DELIVERY",$T291&lt;SUM($J291,$U291)),"ERROR",IF($S291="EXACT_COLLECTION_AMOUNT","REVIEW","OK")))))))))</f>
        <v/>
      </c>
      <c r="AV291" s="25">
        <f>IF($AU291="","",IF($H291="","Township required",IF($Q291="","Customer tier required",IF($M291="","Weight required",IF($S291="","Amount entry type required",IF(OR($J291&lt;0,$K291&lt;0,$M291&lt;0,$T291&lt;0,$U291&lt;0,$V291&lt;0,$W291&lt;0,$X291&lt;0,$Y291&lt;0),"Negative amounts are not allowed",IF($AE291="","Tariff not found for township and tier",IF(AND(OR($S291="ITEM_PRICE_PLUS_DECLARED_DELIVERY",$S291="TOTAL_AMOUNT_INCLUDING_DELIVERY",$S291="ITEM_PRICE_ONLY_DELIVERY_PAID_BY_MERCHANT"),$J291=""),"Item price required for this amount type",IF(AND(OR($S291="ITEM_PRICE_PLUS_DECLARED_DELIVERY",$S291="DELIVERY_CHARGE_ONLY"),$K291=""),"Declared delivery charge required",IF(AND(OR($S291="TOTAL_AMOUNT_INCLUDING_DELIVERY",$S291="EXACT_COLLECTION_AMOUNT"),$T291=""),"Stated total amount required",IF(AND($S291="TOTAL_AMOUNT_INCLUDING_DELIVERY",$T291&lt;SUM($J291,$U291)),"Stated total is below item price plus additional charge",IF($S291="EXACT_COLLECTION_AMOUNT","Authorized amount breakdown required before settlement","Ready for collection and settlement"))))))))))))</f>
        <v/>
      </c>
      <c r="AW291" s="23">
        <f>IF($AU291="","","PARCEL_FINANCIAL_V2")</f>
        <v/>
      </c>
      <c r="AX291" s="17" t="n"/>
    </row>
    <row r="292">
      <c r="A292" s="8" t="n"/>
      <c r="B292" s="8" t="n"/>
      <c r="C292" s="8" t="n"/>
      <c r="D292" s="8" t="n"/>
      <c r="E292" s="9" t="n"/>
      <c r="F292" s="9" t="n"/>
      <c r="G292" s="8" t="n"/>
      <c r="H292" s="9" t="n"/>
      <c r="I292" s="9" t="n"/>
      <c r="J292" s="10" t="n"/>
      <c r="K292" s="10" t="n"/>
      <c r="L292" s="11">
        <f>IF($S292="","",IF($S292="ITEM_PRICE_PLUS_DECLARED_DELIVERY",IF(OR($J292="",$K292=""),"",SUM($J292,$K292,$U292)),IF($S292="TOTAL_AMOUNT_INCLUDING_DELIVERY",IF($T292="","",$T292),IF($S292="DELIVERY_CHARGE_ONLY",IF($K292="","",SUM($K292,$U292)),IF($S292="EXACT_COLLECTION_AMOUNT",IF($T292="","",$T292),IF($S292="ITEM_PRICE_ONLY_DELIVERY_PAID_BY_MERCHANT",IF($J292="","",SUM($J292,$U292)),""))))))</f>
        <v/>
      </c>
      <c r="M292" s="12" t="n"/>
      <c r="N292" s="13" t="n"/>
      <c r="O292" s="13" t="n"/>
      <c r="P292" s="9" t="n"/>
      <c r="Q292" s="14" t="n"/>
      <c r="R292" s="15" t="n"/>
      <c r="S292" s="14" t="n"/>
      <c r="T292" s="16" t="n"/>
      <c r="U292" s="16" t="n"/>
      <c r="V292" s="16" t="n"/>
      <c r="W292" s="16" t="n"/>
      <c r="X292" s="16" t="n"/>
      <c r="Y292" s="16" t="n"/>
      <c r="Z292" s="14" t="n"/>
      <c r="AA292" s="14" t="n"/>
      <c r="AB292" s="14" t="n"/>
      <c r="AC292" s="17">
        <f>IFERROR(VLOOKUP($H292&amp;"|"&amp;$Q292,Tariff_Master!$A$2:$L$169,3,FALSE),"")</f>
        <v/>
      </c>
      <c r="AD292" s="17">
        <f>IFERROR(VLOOKUP($H292&amp;"|"&amp;$Q292,Tariff_Master!$A$2:$L$169,4,FALSE),"")</f>
        <v/>
      </c>
      <c r="AE292" s="18">
        <f>IFERROR(VLOOKUP($H292&amp;"|"&amp;$Q292,Tariff_Master!$A$2:$L$169,6,FALSE),"")</f>
        <v/>
      </c>
      <c r="AF292" s="19">
        <f>IFERROR(VLOOKUP($H292&amp;"|"&amp;$Q292,Tariff_Master!$A$2:$L$169,7,FALSE),"")</f>
        <v/>
      </c>
      <c r="AG292" s="18">
        <f>IFERROR(VLOOKUP($H292&amp;"|"&amp;$Q292,Tariff_Master!$A$2:$L$169,8,FALSE),"")</f>
        <v/>
      </c>
      <c r="AH292" s="20">
        <f>IFERROR(VLOOKUP($H292&amp;"|"&amp;$Q292,Tariff_Master!$A$2:$L$169,9,FALSE),"")</f>
        <v/>
      </c>
      <c r="AI292" s="18">
        <f>IFERROR(VLOOKUP($H292&amp;"|"&amp;$Q292,Tariff_Master!$A$2:$L$169,10,FALSE),"")</f>
        <v/>
      </c>
      <c r="AJ292" s="21">
        <f>IF($M292="","",ROUNDUP(MAX(0,$M292),0))</f>
        <v/>
      </c>
      <c r="AK292" s="21">
        <f>IF(OR($AJ292="",$AF292=""),"",MAX(0,$AJ292-$AF292))</f>
        <v/>
      </c>
      <c r="AL292" s="22">
        <f>IF(OR($AK292="",$AG292=""),"",MAX(0,$AK292*$AG292))</f>
        <v/>
      </c>
      <c r="AM292" s="22">
        <f>IF($AE292="","",MAX(0,SUM($AE292,$AL292,$V292,$W292)))</f>
        <v/>
      </c>
      <c r="AN292" s="22">
        <f>IF($AM292="","",IF(AND($Q292="COMMITMENT",$R292&gt;=$AH292),$AI292,0))</f>
        <v/>
      </c>
      <c r="AO292" s="23">
        <f>IF($AM292="","",MAX(0,$AM292-$AN292))</f>
        <v/>
      </c>
      <c r="AP292" s="22">
        <f>IF($S292="","",IF(OR($S292="ITEM_PRICE_PLUS_DECLARED_DELIVERY",$S292="DELIVERY_CHARGE_ONLY"),$K292,IF($S292="TOTAL_AMOUNT_INCLUDING_DELIVERY",IF(OR($T292="",$J292=""),"",MAX(0,$T292-$J292-$U292)),IF($S292="ITEM_PRICE_ONLY_DELIVERY_PAID_BY_MERCHANT",0,""))))</f>
        <v/>
      </c>
      <c r="AQ292" s="23">
        <f>IF(OR($AP292="",$AO292=""),"",$AP292-$AO292)</f>
        <v/>
      </c>
      <c r="AR292" s="24">
        <f>IF($S292="EXACT_COLLECTION_AMOUNT","BREAKDOWN_REQUIRED",IF($AQ292="","",IF($AQ292&gt;0,"CREDIT_TO_MERCHANT",IF($AQ292&lt;0,"DEDUCT_FROM_MERCHANT","NO_ADJUSTMENT"))))</f>
        <v/>
      </c>
      <c r="AS292" s="23">
        <f>IF(OR($AQ292="",$AR292="BREAKDOWN_REQUIRED"),"",$AQ292)</f>
        <v/>
      </c>
      <c r="AT292" s="23">
        <f>IF(OR($AR292="",$AR292="BREAKDOWN_REQUIRED"),"",SUM($J292,$AQ292,$Y292)-$X292)</f>
        <v/>
      </c>
      <c r="AU292" s="25">
        <f>IF(AND($A292="",$B292="",$F292="",$H292="",$J292="",$K292="",$M292="",$S292=""),"",IF(OR($H292="",$Q292="",$M292="",$S292=""),"ERROR",IF(OR($J292&lt;0,$K292&lt;0,$M292&lt;0,$T292&lt;0,$U292&lt;0,$V292&lt;0,$W292&lt;0,$X292&lt;0,$Y292&lt;0),"ERROR",IF($AE292="","ERROR",IF(AND(OR($S292="ITEM_PRICE_PLUS_DECLARED_DELIVERY",$S292="TOTAL_AMOUNT_INCLUDING_DELIVERY",$S292="ITEM_PRICE_ONLY_DELIVERY_PAID_BY_MERCHANT"),$J292=""),"ERROR",IF(AND(OR($S292="ITEM_PRICE_PLUS_DECLARED_DELIVERY",$S292="DELIVERY_CHARGE_ONLY"),$K292=""),"ERROR",IF(AND(OR($S292="TOTAL_AMOUNT_INCLUDING_DELIVERY",$S292="EXACT_COLLECTION_AMOUNT"),$T292=""),"ERROR",IF(AND($S292="TOTAL_AMOUNT_INCLUDING_DELIVERY",$T292&lt;SUM($J292,$U292)),"ERROR",IF($S292="EXACT_COLLECTION_AMOUNT","REVIEW","OK")))))))))</f>
        <v/>
      </c>
      <c r="AV292" s="25">
        <f>IF($AU292="","",IF($H292="","Township required",IF($Q292="","Customer tier required",IF($M292="","Weight required",IF($S292="","Amount entry type required",IF(OR($J292&lt;0,$K292&lt;0,$M292&lt;0,$T292&lt;0,$U292&lt;0,$V292&lt;0,$W292&lt;0,$X292&lt;0,$Y292&lt;0),"Negative amounts are not allowed",IF($AE292="","Tariff not found for township and tier",IF(AND(OR($S292="ITEM_PRICE_PLUS_DECLARED_DELIVERY",$S292="TOTAL_AMOUNT_INCLUDING_DELIVERY",$S292="ITEM_PRICE_ONLY_DELIVERY_PAID_BY_MERCHANT"),$J292=""),"Item price required for this amount type",IF(AND(OR($S292="ITEM_PRICE_PLUS_DECLARED_DELIVERY",$S292="DELIVERY_CHARGE_ONLY"),$K292=""),"Declared delivery charge required",IF(AND(OR($S292="TOTAL_AMOUNT_INCLUDING_DELIVERY",$S292="EXACT_COLLECTION_AMOUNT"),$T292=""),"Stated total amount required",IF(AND($S292="TOTAL_AMOUNT_INCLUDING_DELIVERY",$T292&lt;SUM($J292,$U292)),"Stated total is below item price plus additional charge",IF($S292="EXACT_COLLECTION_AMOUNT","Authorized amount breakdown required before settlement","Ready for collection and settlement"))))))))))))</f>
        <v/>
      </c>
      <c r="AW292" s="23">
        <f>IF($AU292="","","PARCEL_FINANCIAL_V2")</f>
        <v/>
      </c>
      <c r="AX292" s="17" t="n"/>
    </row>
    <row r="293">
      <c r="A293" s="8" t="n"/>
      <c r="B293" s="8" t="n"/>
      <c r="C293" s="8" t="n"/>
      <c r="D293" s="8" t="n"/>
      <c r="E293" s="9" t="n"/>
      <c r="F293" s="9" t="n"/>
      <c r="G293" s="8" t="n"/>
      <c r="H293" s="9" t="n"/>
      <c r="I293" s="9" t="n"/>
      <c r="J293" s="10" t="n"/>
      <c r="K293" s="10" t="n"/>
      <c r="L293" s="11">
        <f>IF($S293="","",IF($S293="ITEM_PRICE_PLUS_DECLARED_DELIVERY",IF(OR($J293="",$K293=""),"",SUM($J293,$K293,$U293)),IF($S293="TOTAL_AMOUNT_INCLUDING_DELIVERY",IF($T293="","",$T293),IF($S293="DELIVERY_CHARGE_ONLY",IF($K293="","",SUM($K293,$U293)),IF($S293="EXACT_COLLECTION_AMOUNT",IF($T293="","",$T293),IF($S293="ITEM_PRICE_ONLY_DELIVERY_PAID_BY_MERCHANT",IF($J293="","",SUM($J293,$U293)),""))))))</f>
        <v/>
      </c>
      <c r="M293" s="12" t="n"/>
      <c r="N293" s="13" t="n"/>
      <c r="O293" s="13" t="n"/>
      <c r="P293" s="9" t="n"/>
      <c r="Q293" s="14" t="n"/>
      <c r="R293" s="15" t="n"/>
      <c r="S293" s="14" t="n"/>
      <c r="T293" s="16" t="n"/>
      <c r="U293" s="16" t="n"/>
      <c r="V293" s="16" t="n"/>
      <c r="W293" s="16" t="n"/>
      <c r="X293" s="16" t="n"/>
      <c r="Y293" s="16" t="n"/>
      <c r="Z293" s="14" t="n"/>
      <c r="AA293" s="14" t="n"/>
      <c r="AB293" s="14" t="n"/>
      <c r="AC293" s="17">
        <f>IFERROR(VLOOKUP($H293&amp;"|"&amp;$Q293,Tariff_Master!$A$2:$L$169,3,FALSE),"")</f>
        <v/>
      </c>
      <c r="AD293" s="17">
        <f>IFERROR(VLOOKUP($H293&amp;"|"&amp;$Q293,Tariff_Master!$A$2:$L$169,4,FALSE),"")</f>
        <v/>
      </c>
      <c r="AE293" s="18">
        <f>IFERROR(VLOOKUP($H293&amp;"|"&amp;$Q293,Tariff_Master!$A$2:$L$169,6,FALSE),"")</f>
        <v/>
      </c>
      <c r="AF293" s="19">
        <f>IFERROR(VLOOKUP($H293&amp;"|"&amp;$Q293,Tariff_Master!$A$2:$L$169,7,FALSE),"")</f>
        <v/>
      </c>
      <c r="AG293" s="18">
        <f>IFERROR(VLOOKUP($H293&amp;"|"&amp;$Q293,Tariff_Master!$A$2:$L$169,8,FALSE),"")</f>
        <v/>
      </c>
      <c r="AH293" s="20">
        <f>IFERROR(VLOOKUP($H293&amp;"|"&amp;$Q293,Tariff_Master!$A$2:$L$169,9,FALSE),"")</f>
        <v/>
      </c>
      <c r="AI293" s="18">
        <f>IFERROR(VLOOKUP($H293&amp;"|"&amp;$Q293,Tariff_Master!$A$2:$L$169,10,FALSE),"")</f>
        <v/>
      </c>
      <c r="AJ293" s="21">
        <f>IF($M293="","",ROUNDUP(MAX(0,$M293),0))</f>
        <v/>
      </c>
      <c r="AK293" s="21">
        <f>IF(OR($AJ293="",$AF293=""),"",MAX(0,$AJ293-$AF293))</f>
        <v/>
      </c>
      <c r="AL293" s="22">
        <f>IF(OR($AK293="",$AG293=""),"",MAX(0,$AK293*$AG293))</f>
        <v/>
      </c>
      <c r="AM293" s="22">
        <f>IF($AE293="","",MAX(0,SUM($AE293,$AL293,$V293,$W293)))</f>
        <v/>
      </c>
      <c r="AN293" s="22">
        <f>IF($AM293="","",IF(AND($Q293="COMMITMENT",$R293&gt;=$AH293),$AI293,0))</f>
        <v/>
      </c>
      <c r="AO293" s="23">
        <f>IF($AM293="","",MAX(0,$AM293-$AN293))</f>
        <v/>
      </c>
      <c r="AP293" s="22">
        <f>IF($S293="","",IF(OR($S293="ITEM_PRICE_PLUS_DECLARED_DELIVERY",$S293="DELIVERY_CHARGE_ONLY"),$K293,IF($S293="TOTAL_AMOUNT_INCLUDING_DELIVERY",IF(OR($T293="",$J293=""),"",MAX(0,$T293-$J293-$U293)),IF($S293="ITEM_PRICE_ONLY_DELIVERY_PAID_BY_MERCHANT",0,""))))</f>
        <v/>
      </c>
      <c r="AQ293" s="23">
        <f>IF(OR($AP293="",$AO293=""),"",$AP293-$AO293)</f>
        <v/>
      </c>
      <c r="AR293" s="24">
        <f>IF($S293="EXACT_COLLECTION_AMOUNT","BREAKDOWN_REQUIRED",IF($AQ293="","",IF($AQ293&gt;0,"CREDIT_TO_MERCHANT",IF($AQ293&lt;0,"DEDUCT_FROM_MERCHANT","NO_ADJUSTMENT"))))</f>
        <v/>
      </c>
      <c r="AS293" s="23">
        <f>IF(OR($AQ293="",$AR293="BREAKDOWN_REQUIRED"),"",$AQ293)</f>
        <v/>
      </c>
      <c r="AT293" s="23">
        <f>IF(OR($AR293="",$AR293="BREAKDOWN_REQUIRED"),"",SUM($J293,$AQ293,$Y293)-$X293)</f>
        <v/>
      </c>
      <c r="AU293" s="25">
        <f>IF(AND($A293="",$B293="",$F293="",$H293="",$J293="",$K293="",$M293="",$S293=""),"",IF(OR($H293="",$Q293="",$M293="",$S293=""),"ERROR",IF(OR($J293&lt;0,$K293&lt;0,$M293&lt;0,$T293&lt;0,$U293&lt;0,$V293&lt;0,$W293&lt;0,$X293&lt;0,$Y293&lt;0),"ERROR",IF($AE293="","ERROR",IF(AND(OR($S293="ITEM_PRICE_PLUS_DECLARED_DELIVERY",$S293="TOTAL_AMOUNT_INCLUDING_DELIVERY",$S293="ITEM_PRICE_ONLY_DELIVERY_PAID_BY_MERCHANT"),$J293=""),"ERROR",IF(AND(OR($S293="ITEM_PRICE_PLUS_DECLARED_DELIVERY",$S293="DELIVERY_CHARGE_ONLY"),$K293=""),"ERROR",IF(AND(OR($S293="TOTAL_AMOUNT_INCLUDING_DELIVERY",$S293="EXACT_COLLECTION_AMOUNT"),$T293=""),"ERROR",IF(AND($S293="TOTAL_AMOUNT_INCLUDING_DELIVERY",$T293&lt;SUM($J293,$U293)),"ERROR",IF($S293="EXACT_COLLECTION_AMOUNT","REVIEW","OK")))))))))</f>
        <v/>
      </c>
      <c r="AV293" s="25">
        <f>IF($AU293="","",IF($H293="","Township required",IF($Q293="","Customer tier required",IF($M293="","Weight required",IF($S293="","Amount entry type required",IF(OR($J293&lt;0,$K293&lt;0,$M293&lt;0,$T293&lt;0,$U293&lt;0,$V293&lt;0,$W293&lt;0,$X293&lt;0,$Y293&lt;0),"Negative amounts are not allowed",IF($AE293="","Tariff not found for township and tier",IF(AND(OR($S293="ITEM_PRICE_PLUS_DECLARED_DELIVERY",$S293="TOTAL_AMOUNT_INCLUDING_DELIVERY",$S293="ITEM_PRICE_ONLY_DELIVERY_PAID_BY_MERCHANT"),$J293=""),"Item price required for this amount type",IF(AND(OR($S293="ITEM_PRICE_PLUS_DECLARED_DELIVERY",$S293="DELIVERY_CHARGE_ONLY"),$K293=""),"Declared delivery charge required",IF(AND(OR($S293="TOTAL_AMOUNT_INCLUDING_DELIVERY",$S293="EXACT_COLLECTION_AMOUNT"),$T293=""),"Stated total amount required",IF(AND($S293="TOTAL_AMOUNT_INCLUDING_DELIVERY",$T293&lt;SUM($J293,$U293)),"Stated total is below item price plus additional charge",IF($S293="EXACT_COLLECTION_AMOUNT","Authorized amount breakdown required before settlement","Ready for collection and settlement"))))))))))))</f>
        <v/>
      </c>
      <c r="AW293" s="23">
        <f>IF($AU293="","","PARCEL_FINANCIAL_V2")</f>
        <v/>
      </c>
      <c r="AX293" s="17" t="n"/>
    </row>
    <row r="294">
      <c r="A294" s="8" t="n"/>
      <c r="B294" s="8" t="n"/>
      <c r="C294" s="8" t="n"/>
      <c r="D294" s="8" t="n"/>
      <c r="E294" s="9" t="n"/>
      <c r="F294" s="9" t="n"/>
      <c r="G294" s="8" t="n"/>
      <c r="H294" s="9" t="n"/>
      <c r="I294" s="9" t="n"/>
      <c r="J294" s="10" t="n"/>
      <c r="K294" s="10" t="n"/>
      <c r="L294" s="11">
        <f>IF($S294="","",IF($S294="ITEM_PRICE_PLUS_DECLARED_DELIVERY",IF(OR($J294="",$K294=""),"",SUM($J294,$K294,$U294)),IF($S294="TOTAL_AMOUNT_INCLUDING_DELIVERY",IF($T294="","",$T294),IF($S294="DELIVERY_CHARGE_ONLY",IF($K294="","",SUM($K294,$U294)),IF($S294="EXACT_COLLECTION_AMOUNT",IF($T294="","",$T294),IF($S294="ITEM_PRICE_ONLY_DELIVERY_PAID_BY_MERCHANT",IF($J294="","",SUM($J294,$U294)),""))))))</f>
        <v/>
      </c>
      <c r="M294" s="12" t="n"/>
      <c r="N294" s="13" t="n"/>
      <c r="O294" s="13" t="n"/>
      <c r="P294" s="9" t="n"/>
      <c r="Q294" s="14" t="n"/>
      <c r="R294" s="15" t="n"/>
      <c r="S294" s="14" t="n"/>
      <c r="T294" s="16" t="n"/>
      <c r="U294" s="16" t="n"/>
      <c r="V294" s="16" t="n"/>
      <c r="W294" s="16" t="n"/>
      <c r="X294" s="16" t="n"/>
      <c r="Y294" s="16" t="n"/>
      <c r="Z294" s="14" t="n"/>
      <c r="AA294" s="14" t="n"/>
      <c r="AB294" s="14" t="n"/>
      <c r="AC294" s="17">
        <f>IFERROR(VLOOKUP($H294&amp;"|"&amp;$Q294,Tariff_Master!$A$2:$L$169,3,FALSE),"")</f>
        <v/>
      </c>
      <c r="AD294" s="17">
        <f>IFERROR(VLOOKUP($H294&amp;"|"&amp;$Q294,Tariff_Master!$A$2:$L$169,4,FALSE),"")</f>
        <v/>
      </c>
      <c r="AE294" s="18">
        <f>IFERROR(VLOOKUP($H294&amp;"|"&amp;$Q294,Tariff_Master!$A$2:$L$169,6,FALSE),"")</f>
        <v/>
      </c>
      <c r="AF294" s="19">
        <f>IFERROR(VLOOKUP($H294&amp;"|"&amp;$Q294,Tariff_Master!$A$2:$L$169,7,FALSE),"")</f>
        <v/>
      </c>
      <c r="AG294" s="18">
        <f>IFERROR(VLOOKUP($H294&amp;"|"&amp;$Q294,Tariff_Master!$A$2:$L$169,8,FALSE),"")</f>
        <v/>
      </c>
      <c r="AH294" s="20">
        <f>IFERROR(VLOOKUP($H294&amp;"|"&amp;$Q294,Tariff_Master!$A$2:$L$169,9,FALSE),"")</f>
        <v/>
      </c>
      <c r="AI294" s="18">
        <f>IFERROR(VLOOKUP($H294&amp;"|"&amp;$Q294,Tariff_Master!$A$2:$L$169,10,FALSE),"")</f>
        <v/>
      </c>
      <c r="AJ294" s="21">
        <f>IF($M294="","",ROUNDUP(MAX(0,$M294),0))</f>
        <v/>
      </c>
      <c r="AK294" s="21">
        <f>IF(OR($AJ294="",$AF294=""),"",MAX(0,$AJ294-$AF294))</f>
        <v/>
      </c>
      <c r="AL294" s="22">
        <f>IF(OR($AK294="",$AG294=""),"",MAX(0,$AK294*$AG294))</f>
        <v/>
      </c>
      <c r="AM294" s="22">
        <f>IF($AE294="","",MAX(0,SUM($AE294,$AL294,$V294,$W294)))</f>
        <v/>
      </c>
      <c r="AN294" s="22">
        <f>IF($AM294="","",IF(AND($Q294="COMMITMENT",$R294&gt;=$AH294),$AI294,0))</f>
        <v/>
      </c>
      <c r="AO294" s="23">
        <f>IF($AM294="","",MAX(0,$AM294-$AN294))</f>
        <v/>
      </c>
      <c r="AP294" s="22">
        <f>IF($S294="","",IF(OR($S294="ITEM_PRICE_PLUS_DECLARED_DELIVERY",$S294="DELIVERY_CHARGE_ONLY"),$K294,IF($S294="TOTAL_AMOUNT_INCLUDING_DELIVERY",IF(OR($T294="",$J294=""),"",MAX(0,$T294-$J294-$U294)),IF($S294="ITEM_PRICE_ONLY_DELIVERY_PAID_BY_MERCHANT",0,""))))</f>
        <v/>
      </c>
      <c r="AQ294" s="23">
        <f>IF(OR($AP294="",$AO294=""),"",$AP294-$AO294)</f>
        <v/>
      </c>
      <c r="AR294" s="24">
        <f>IF($S294="EXACT_COLLECTION_AMOUNT","BREAKDOWN_REQUIRED",IF($AQ294="","",IF($AQ294&gt;0,"CREDIT_TO_MERCHANT",IF($AQ294&lt;0,"DEDUCT_FROM_MERCHANT","NO_ADJUSTMENT"))))</f>
        <v/>
      </c>
      <c r="AS294" s="23">
        <f>IF(OR($AQ294="",$AR294="BREAKDOWN_REQUIRED"),"",$AQ294)</f>
        <v/>
      </c>
      <c r="AT294" s="23">
        <f>IF(OR($AR294="",$AR294="BREAKDOWN_REQUIRED"),"",SUM($J294,$AQ294,$Y294)-$X294)</f>
        <v/>
      </c>
      <c r="AU294" s="25">
        <f>IF(AND($A294="",$B294="",$F294="",$H294="",$J294="",$K294="",$M294="",$S294=""),"",IF(OR($H294="",$Q294="",$M294="",$S294=""),"ERROR",IF(OR($J294&lt;0,$K294&lt;0,$M294&lt;0,$T294&lt;0,$U294&lt;0,$V294&lt;0,$W294&lt;0,$X294&lt;0,$Y294&lt;0),"ERROR",IF($AE294="","ERROR",IF(AND(OR($S294="ITEM_PRICE_PLUS_DECLARED_DELIVERY",$S294="TOTAL_AMOUNT_INCLUDING_DELIVERY",$S294="ITEM_PRICE_ONLY_DELIVERY_PAID_BY_MERCHANT"),$J294=""),"ERROR",IF(AND(OR($S294="ITEM_PRICE_PLUS_DECLARED_DELIVERY",$S294="DELIVERY_CHARGE_ONLY"),$K294=""),"ERROR",IF(AND(OR($S294="TOTAL_AMOUNT_INCLUDING_DELIVERY",$S294="EXACT_COLLECTION_AMOUNT"),$T294=""),"ERROR",IF(AND($S294="TOTAL_AMOUNT_INCLUDING_DELIVERY",$T294&lt;SUM($J294,$U294)),"ERROR",IF($S294="EXACT_COLLECTION_AMOUNT","REVIEW","OK")))))))))</f>
        <v/>
      </c>
      <c r="AV294" s="25">
        <f>IF($AU294="","",IF($H294="","Township required",IF($Q294="","Customer tier required",IF($M294="","Weight required",IF($S294="","Amount entry type required",IF(OR($J294&lt;0,$K294&lt;0,$M294&lt;0,$T294&lt;0,$U294&lt;0,$V294&lt;0,$W294&lt;0,$X294&lt;0,$Y294&lt;0),"Negative amounts are not allowed",IF($AE294="","Tariff not found for township and tier",IF(AND(OR($S294="ITEM_PRICE_PLUS_DECLARED_DELIVERY",$S294="TOTAL_AMOUNT_INCLUDING_DELIVERY",$S294="ITEM_PRICE_ONLY_DELIVERY_PAID_BY_MERCHANT"),$J294=""),"Item price required for this amount type",IF(AND(OR($S294="ITEM_PRICE_PLUS_DECLARED_DELIVERY",$S294="DELIVERY_CHARGE_ONLY"),$K294=""),"Declared delivery charge required",IF(AND(OR($S294="TOTAL_AMOUNT_INCLUDING_DELIVERY",$S294="EXACT_COLLECTION_AMOUNT"),$T294=""),"Stated total amount required",IF(AND($S294="TOTAL_AMOUNT_INCLUDING_DELIVERY",$T294&lt;SUM($J294,$U294)),"Stated total is below item price plus additional charge",IF($S294="EXACT_COLLECTION_AMOUNT","Authorized amount breakdown required before settlement","Ready for collection and settlement"))))))))))))</f>
        <v/>
      </c>
      <c r="AW294" s="23">
        <f>IF($AU294="","","PARCEL_FINANCIAL_V2")</f>
        <v/>
      </c>
      <c r="AX294" s="17" t="n"/>
    </row>
    <row r="295">
      <c r="A295" s="8" t="n"/>
      <c r="B295" s="8" t="n"/>
      <c r="C295" s="8" t="n"/>
      <c r="D295" s="8" t="n"/>
      <c r="E295" s="9" t="n"/>
      <c r="F295" s="9" t="n"/>
      <c r="G295" s="8" t="n"/>
      <c r="H295" s="9" t="n"/>
      <c r="I295" s="9" t="n"/>
      <c r="J295" s="10" t="n"/>
      <c r="K295" s="10" t="n"/>
      <c r="L295" s="11">
        <f>IF($S295="","",IF($S295="ITEM_PRICE_PLUS_DECLARED_DELIVERY",IF(OR($J295="",$K295=""),"",SUM($J295,$K295,$U295)),IF($S295="TOTAL_AMOUNT_INCLUDING_DELIVERY",IF($T295="","",$T295),IF($S295="DELIVERY_CHARGE_ONLY",IF($K295="","",SUM($K295,$U295)),IF($S295="EXACT_COLLECTION_AMOUNT",IF($T295="","",$T295),IF($S295="ITEM_PRICE_ONLY_DELIVERY_PAID_BY_MERCHANT",IF($J295="","",SUM($J295,$U295)),""))))))</f>
        <v/>
      </c>
      <c r="M295" s="12" t="n"/>
      <c r="N295" s="13" t="n"/>
      <c r="O295" s="13" t="n"/>
      <c r="P295" s="9" t="n"/>
      <c r="Q295" s="14" t="n"/>
      <c r="R295" s="15" t="n"/>
      <c r="S295" s="14" t="n"/>
      <c r="T295" s="16" t="n"/>
      <c r="U295" s="16" t="n"/>
      <c r="V295" s="16" t="n"/>
      <c r="W295" s="16" t="n"/>
      <c r="X295" s="16" t="n"/>
      <c r="Y295" s="16" t="n"/>
      <c r="Z295" s="14" t="n"/>
      <c r="AA295" s="14" t="n"/>
      <c r="AB295" s="14" t="n"/>
      <c r="AC295" s="17">
        <f>IFERROR(VLOOKUP($H295&amp;"|"&amp;$Q295,Tariff_Master!$A$2:$L$169,3,FALSE),"")</f>
        <v/>
      </c>
      <c r="AD295" s="17">
        <f>IFERROR(VLOOKUP($H295&amp;"|"&amp;$Q295,Tariff_Master!$A$2:$L$169,4,FALSE),"")</f>
        <v/>
      </c>
      <c r="AE295" s="18">
        <f>IFERROR(VLOOKUP($H295&amp;"|"&amp;$Q295,Tariff_Master!$A$2:$L$169,6,FALSE),"")</f>
        <v/>
      </c>
      <c r="AF295" s="19">
        <f>IFERROR(VLOOKUP($H295&amp;"|"&amp;$Q295,Tariff_Master!$A$2:$L$169,7,FALSE),"")</f>
        <v/>
      </c>
      <c r="AG295" s="18">
        <f>IFERROR(VLOOKUP($H295&amp;"|"&amp;$Q295,Tariff_Master!$A$2:$L$169,8,FALSE),"")</f>
        <v/>
      </c>
      <c r="AH295" s="20">
        <f>IFERROR(VLOOKUP($H295&amp;"|"&amp;$Q295,Tariff_Master!$A$2:$L$169,9,FALSE),"")</f>
        <v/>
      </c>
      <c r="AI295" s="18">
        <f>IFERROR(VLOOKUP($H295&amp;"|"&amp;$Q295,Tariff_Master!$A$2:$L$169,10,FALSE),"")</f>
        <v/>
      </c>
      <c r="AJ295" s="21">
        <f>IF($M295="","",ROUNDUP(MAX(0,$M295),0))</f>
        <v/>
      </c>
      <c r="AK295" s="21">
        <f>IF(OR($AJ295="",$AF295=""),"",MAX(0,$AJ295-$AF295))</f>
        <v/>
      </c>
      <c r="AL295" s="22">
        <f>IF(OR($AK295="",$AG295=""),"",MAX(0,$AK295*$AG295))</f>
        <v/>
      </c>
      <c r="AM295" s="22">
        <f>IF($AE295="","",MAX(0,SUM($AE295,$AL295,$V295,$W295)))</f>
        <v/>
      </c>
      <c r="AN295" s="22">
        <f>IF($AM295="","",IF(AND($Q295="COMMITMENT",$R295&gt;=$AH295),$AI295,0))</f>
        <v/>
      </c>
      <c r="AO295" s="23">
        <f>IF($AM295="","",MAX(0,$AM295-$AN295))</f>
        <v/>
      </c>
      <c r="AP295" s="22">
        <f>IF($S295="","",IF(OR($S295="ITEM_PRICE_PLUS_DECLARED_DELIVERY",$S295="DELIVERY_CHARGE_ONLY"),$K295,IF($S295="TOTAL_AMOUNT_INCLUDING_DELIVERY",IF(OR($T295="",$J295=""),"",MAX(0,$T295-$J295-$U295)),IF($S295="ITEM_PRICE_ONLY_DELIVERY_PAID_BY_MERCHANT",0,""))))</f>
        <v/>
      </c>
      <c r="AQ295" s="23">
        <f>IF(OR($AP295="",$AO295=""),"",$AP295-$AO295)</f>
        <v/>
      </c>
      <c r="AR295" s="24">
        <f>IF($S295="EXACT_COLLECTION_AMOUNT","BREAKDOWN_REQUIRED",IF($AQ295="","",IF($AQ295&gt;0,"CREDIT_TO_MERCHANT",IF($AQ295&lt;0,"DEDUCT_FROM_MERCHANT","NO_ADJUSTMENT"))))</f>
        <v/>
      </c>
      <c r="AS295" s="23">
        <f>IF(OR($AQ295="",$AR295="BREAKDOWN_REQUIRED"),"",$AQ295)</f>
        <v/>
      </c>
      <c r="AT295" s="23">
        <f>IF(OR($AR295="",$AR295="BREAKDOWN_REQUIRED"),"",SUM($J295,$AQ295,$Y295)-$X295)</f>
        <v/>
      </c>
      <c r="AU295" s="25">
        <f>IF(AND($A295="",$B295="",$F295="",$H295="",$J295="",$K295="",$M295="",$S295=""),"",IF(OR($H295="",$Q295="",$M295="",$S295=""),"ERROR",IF(OR($J295&lt;0,$K295&lt;0,$M295&lt;0,$T295&lt;0,$U295&lt;0,$V295&lt;0,$W295&lt;0,$X295&lt;0,$Y295&lt;0),"ERROR",IF($AE295="","ERROR",IF(AND(OR($S295="ITEM_PRICE_PLUS_DECLARED_DELIVERY",$S295="TOTAL_AMOUNT_INCLUDING_DELIVERY",$S295="ITEM_PRICE_ONLY_DELIVERY_PAID_BY_MERCHANT"),$J295=""),"ERROR",IF(AND(OR($S295="ITEM_PRICE_PLUS_DECLARED_DELIVERY",$S295="DELIVERY_CHARGE_ONLY"),$K295=""),"ERROR",IF(AND(OR($S295="TOTAL_AMOUNT_INCLUDING_DELIVERY",$S295="EXACT_COLLECTION_AMOUNT"),$T295=""),"ERROR",IF(AND($S295="TOTAL_AMOUNT_INCLUDING_DELIVERY",$T295&lt;SUM($J295,$U295)),"ERROR",IF($S295="EXACT_COLLECTION_AMOUNT","REVIEW","OK")))))))))</f>
        <v/>
      </c>
      <c r="AV295" s="25">
        <f>IF($AU295="","",IF($H295="","Township required",IF($Q295="","Customer tier required",IF($M295="","Weight required",IF($S295="","Amount entry type required",IF(OR($J295&lt;0,$K295&lt;0,$M295&lt;0,$T295&lt;0,$U295&lt;0,$V295&lt;0,$W295&lt;0,$X295&lt;0,$Y295&lt;0),"Negative amounts are not allowed",IF($AE295="","Tariff not found for township and tier",IF(AND(OR($S295="ITEM_PRICE_PLUS_DECLARED_DELIVERY",$S295="TOTAL_AMOUNT_INCLUDING_DELIVERY",$S295="ITEM_PRICE_ONLY_DELIVERY_PAID_BY_MERCHANT"),$J295=""),"Item price required for this amount type",IF(AND(OR($S295="ITEM_PRICE_PLUS_DECLARED_DELIVERY",$S295="DELIVERY_CHARGE_ONLY"),$K295=""),"Declared delivery charge required",IF(AND(OR($S295="TOTAL_AMOUNT_INCLUDING_DELIVERY",$S295="EXACT_COLLECTION_AMOUNT"),$T295=""),"Stated total amount required",IF(AND($S295="TOTAL_AMOUNT_INCLUDING_DELIVERY",$T295&lt;SUM($J295,$U295)),"Stated total is below item price plus additional charge",IF($S295="EXACT_COLLECTION_AMOUNT","Authorized amount breakdown required before settlement","Ready for collection and settlement"))))))))))))</f>
        <v/>
      </c>
      <c r="AW295" s="23">
        <f>IF($AU295="","","PARCEL_FINANCIAL_V2")</f>
        <v/>
      </c>
      <c r="AX295" s="17" t="n"/>
    </row>
    <row r="296">
      <c r="A296" s="8" t="n"/>
      <c r="B296" s="8" t="n"/>
      <c r="C296" s="8" t="n"/>
      <c r="D296" s="8" t="n"/>
      <c r="E296" s="9" t="n"/>
      <c r="F296" s="9" t="n"/>
      <c r="G296" s="8" t="n"/>
      <c r="H296" s="9" t="n"/>
      <c r="I296" s="9" t="n"/>
      <c r="J296" s="10" t="n"/>
      <c r="K296" s="10" t="n"/>
      <c r="L296" s="11">
        <f>IF($S296="","",IF($S296="ITEM_PRICE_PLUS_DECLARED_DELIVERY",IF(OR($J296="",$K296=""),"",SUM($J296,$K296,$U296)),IF($S296="TOTAL_AMOUNT_INCLUDING_DELIVERY",IF($T296="","",$T296),IF($S296="DELIVERY_CHARGE_ONLY",IF($K296="","",SUM($K296,$U296)),IF($S296="EXACT_COLLECTION_AMOUNT",IF($T296="","",$T296),IF($S296="ITEM_PRICE_ONLY_DELIVERY_PAID_BY_MERCHANT",IF($J296="","",SUM($J296,$U296)),""))))))</f>
        <v/>
      </c>
      <c r="M296" s="12" t="n"/>
      <c r="N296" s="13" t="n"/>
      <c r="O296" s="13" t="n"/>
      <c r="P296" s="9" t="n"/>
      <c r="Q296" s="14" t="n"/>
      <c r="R296" s="15" t="n"/>
      <c r="S296" s="14" t="n"/>
      <c r="T296" s="16" t="n"/>
      <c r="U296" s="16" t="n"/>
      <c r="V296" s="16" t="n"/>
      <c r="W296" s="16" t="n"/>
      <c r="X296" s="16" t="n"/>
      <c r="Y296" s="16" t="n"/>
      <c r="Z296" s="14" t="n"/>
      <c r="AA296" s="14" t="n"/>
      <c r="AB296" s="14" t="n"/>
      <c r="AC296" s="17">
        <f>IFERROR(VLOOKUP($H296&amp;"|"&amp;$Q296,Tariff_Master!$A$2:$L$169,3,FALSE),"")</f>
        <v/>
      </c>
      <c r="AD296" s="17">
        <f>IFERROR(VLOOKUP($H296&amp;"|"&amp;$Q296,Tariff_Master!$A$2:$L$169,4,FALSE),"")</f>
        <v/>
      </c>
      <c r="AE296" s="18">
        <f>IFERROR(VLOOKUP($H296&amp;"|"&amp;$Q296,Tariff_Master!$A$2:$L$169,6,FALSE),"")</f>
        <v/>
      </c>
      <c r="AF296" s="19">
        <f>IFERROR(VLOOKUP($H296&amp;"|"&amp;$Q296,Tariff_Master!$A$2:$L$169,7,FALSE),"")</f>
        <v/>
      </c>
      <c r="AG296" s="18">
        <f>IFERROR(VLOOKUP($H296&amp;"|"&amp;$Q296,Tariff_Master!$A$2:$L$169,8,FALSE),"")</f>
        <v/>
      </c>
      <c r="AH296" s="20">
        <f>IFERROR(VLOOKUP($H296&amp;"|"&amp;$Q296,Tariff_Master!$A$2:$L$169,9,FALSE),"")</f>
        <v/>
      </c>
      <c r="AI296" s="18">
        <f>IFERROR(VLOOKUP($H296&amp;"|"&amp;$Q296,Tariff_Master!$A$2:$L$169,10,FALSE),"")</f>
        <v/>
      </c>
      <c r="AJ296" s="21">
        <f>IF($M296="","",ROUNDUP(MAX(0,$M296),0))</f>
        <v/>
      </c>
      <c r="AK296" s="21">
        <f>IF(OR($AJ296="",$AF296=""),"",MAX(0,$AJ296-$AF296))</f>
        <v/>
      </c>
      <c r="AL296" s="22">
        <f>IF(OR($AK296="",$AG296=""),"",MAX(0,$AK296*$AG296))</f>
        <v/>
      </c>
      <c r="AM296" s="22">
        <f>IF($AE296="","",MAX(0,SUM($AE296,$AL296,$V296,$W296)))</f>
        <v/>
      </c>
      <c r="AN296" s="22">
        <f>IF($AM296="","",IF(AND($Q296="COMMITMENT",$R296&gt;=$AH296),$AI296,0))</f>
        <v/>
      </c>
      <c r="AO296" s="23">
        <f>IF($AM296="","",MAX(0,$AM296-$AN296))</f>
        <v/>
      </c>
      <c r="AP296" s="22">
        <f>IF($S296="","",IF(OR($S296="ITEM_PRICE_PLUS_DECLARED_DELIVERY",$S296="DELIVERY_CHARGE_ONLY"),$K296,IF($S296="TOTAL_AMOUNT_INCLUDING_DELIVERY",IF(OR($T296="",$J296=""),"",MAX(0,$T296-$J296-$U296)),IF($S296="ITEM_PRICE_ONLY_DELIVERY_PAID_BY_MERCHANT",0,""))))</f>
        <v/>
      </c>
      <c r="AQ296" s="23">
        <f>IF(OR($AP296="",$AO296=""),"",$AP296-$AO296)</f>
        <v/>
      </c>
      <c r="AR296" s="24">
        <f>IF($S296="EXACT_COLLECTION_AMOUNT","BREAKDOWN_REQUIRED",IF($AQ296="","",IF($AQ296&gt;0,"CREDIT_TO_MERCHANT",IF($AQ296&lt;0,"DEDUCT_FROM_MERCHANT","NO_ADJUSTMENT"))))</f>
        <v/>
      </c>
      <c r="AS296" s="23">
        <f>IF(OR($AQ296="",$AR296="BREAKDOWN_REQUIRED"),"",$AQ296)</f>
        <v/>
      </c>
      <c r="AT296" s="23">
        <f>IF(OR($AR296="",$AR296="BREAKDOWN_REQUIRED"),"",SUM($J296,$AQ296,$Y296)-$X296)</f>
        <v/>
      </c>
      <c r="AU296" s="25">
        <f>IF(AND($A296="",$B296="",$F296="",$H296="",$J296="",$K296="",$M296="",$S296=""),"",IF(OR($H296="",$Q296="",$M296="",$S296=""),"ERROR",IF(OR($J296&lt;0,$K296&lt;0,$M296&lt;0,$T296&lt;0,$U296&lt;0,$V296&lt;0,$W296&lt;0,$X296&lt;0,$Y296&lt;0),"ERROR",IF($AE296="","ERROR",IF(AND(OR($S296="ITEM_PRICE_PLUS_DECLARED_DELIVERY",$S296="TOTAL_AMOUNT_INCLUDING_DELIVERY",$S296="ITEM_PRICE_ONLY_DELIVERY_PAID_BY_MERCHANT"),$J296=""),"ERROR",IF(AND(OR($S296="ITEM_PRICE_PLUS_DECLARED_DELIVERY",$S296="DELIVERY_CHARGE_ONLY"),$K296=""),"ERROR",IF(AND(OR($S296="TOTAL_AMOUNT_INCLUDING_DELIVERY",$S296="EXACT_COLLECTION_AMOUNT"),$T296=""),"ERROR",IF(AND($S296="TOTAL_AMOUNT_INCLUDING_DELIVERY",$T296&lt;SUM($J296,$U296)),"ERROR",IF($S296="EXACT_COLLECTION_AMOUNT","REVIEW","OK")))))))))</f>
        <v/>
      </c>
      <c r="AV296" s="25">
        <f>IF($AU296="","",IF($H296="","Township required",IF($Q296="","Customer tier required",IF($M296="","Weight required",IF($S296="","Amount entry type required",IF(OR($J296&lt;0,$K296&lt;0,$M296&lt;0,$T296&lt;0,$U296&lt;0,$V296&lt;0,$W296&lt;0,$X296&lt;0,$Y296&lt;0),"Negative amounts are not allowed",IF($AE296="","Tariff not found for township and tier",IF(AND(OR($S296="ITEM_PRICE_PLUS_DECLARED_DELIVERY",$S296="TOTAL_AMOUNT_INCLUDING_DELIVERY",$S296="ITEM_PRICE_ONLY_DELIVERY_PAID_BY_MERCHANT"),$J296=""),"Item price required for this amount type",IF(AND(OR($S296="ITEM_PRICE_PLUS_DECLARED_DELIVERY",$S296="DELIVERY_CHARGE_ONLY"),$K296=""),"Declared delivery charge required",IF(AND(OR($S296="TOTAL_AMOUNT_INCLUDING_DELIVERY",$S296="EXACT_COLLECTION_AMOUNT"),$T296=""),"Stated total amount required",IF(AND($S296="TOTAL_AMOUNT_INCLUDING_DELIVERY",$T296&lt;SUM($J296,$U296)),"Stated total is below item price plus additional charge",IF($S296="EXACT_COLLECTION_AMOUNT","Authorized amount breakdown required before settlement","Ready for collection and settlement"))))))))))))</f>
        <v/>
      </c>
      <c r="AW296" s="23">
        <f>IF($AU296="","","PARCEL_FINANCIAL_V2")</f>
        <v/>
      </c>
      <c r="AX296" s="17" t="n"/>
    </row>
    <row r="297">
      <c r="A297" s="8" t="n"/>
      <c r="B297" s="8" t="n"/>
      <c r="C297" s="8" t="n"/>
      <c r="D297" s="8" t="n"/>
      <c r="E297" s="9" t="n"/>
      <c r="F297" s="9" t="n"/>
      <c r="G297" s="8" t="n"/>
      <c r="H297" s="9" t="n"/>
      <c r="I297" s="9" t="n"/>
      <c r="J297" s="10" t="n"/>
      <c r="K297" s="10" t="n"/>
      <c r="L297" s="11">
        <f>IF($S297="","",IF($S297="ITEM_PRICE_PLUS_DECLARED_DELIVERY",IF(OR($J297="",$K297=""),"",SUM($J297,$K297,$U297)),IF($S297="TOTAL_AMOUNT_INCLUDING_DELIVERY",IF($T297="","",$T297),IF($S297="DELIVERY_CHARGE_ONLY",IF($K297="","",SUM($K297,$U297)),IF($S297="EXACT_COLLECTION_AMOUNT",IF($T297="","",$T297),IF($S297="ITEM_PRICE_ONLY_DELIVERY_PAID_BY_MERCHANT",IF($J297="","",SUM($J297,$U297)),""))))))</f>
        <v/>
      </c>
      <c r="M297" s="12" t="n"/>
      <c r="N297" s="13" t="n"/>
      <c r="O297" s="13" t="n"/>
      <c r="P297" s="9" t="n"/>
      <c r="Q297" s="14" t="n"/>
      <c r="R297" s="15" t="n"/>
      <c r="S297" s="14" t="n"/>
      <c r="T297" s="16" t="n"/>
      <c r="U297" s="16" t="n"/>
      <c r="V297" s="16" t="n"/>
      <c r="W297" s="16" t="n"/>
      <c r="X297" s="16" t="n"/>
      <c r="Y297" s="16" t="n"/>
      <c r="Z297" s="14" t="n"/>
      <c r="AA297" s="14" t="n"/>
      <c r="AB297" s="14" t="n"/>
      <c r="AC297" s="17">
        <f>IFERROR(VLOOKUP($H297&amp;"|"&amp;$Q297,Tariff_Master!$A$2:$L$169,3,FALSE),"")</f>
        <v/>
      </c>
      <c r="AD297" s="17">
        <f>IFERROR(VLOOKUP($H297&amp;"|"&amp;$Q297,Tariff_Master!$A$2:$L$169,4,FALSE),"")</f>
        <v/>
      </c>
      <c r="AE297" s="18">
        <f>IFERROR(VLOOKUP($H297&amp;"|"&amp;$Q297,Tariff_Master!$A$2:$L$169,6,FALSE),"")</f>
        <v/>
      </c>
      <c r="AF297" s="19">
        <f>IFERROR(VLOOKUP($H297&amp;"|"&amp;$Q297,Tariff_Master!$A$2:$L$169,7,FALSE),"")</f>
        <v/>
      </c>
      <c r="AG297" s="18">
        <f>IFERROR(VLOOKUP($H297&amp;"|"&amp;$Q297,Tariff_Master!$A$2:$L$169,8,FALSE),"")</f>
        <v/>
      </c>
      <c r="AH297" s="20">
        <f>IFERROR(VLOOKUP($H297&amp;"|"&amp;$Q297,Tariff_Master!$A$2:$L$169,9,FALSE),"")</f>
        <v/>
      </c>
      <c r="AI297" s="18">
        <f>IFERROR(VLOOKUP($H297&amp;"|"&amp;$Q297,Tariff_Master!$A$2:$L$169,10,FALSE),"")</f>
        <v/>
      </c>
      <c r="AJ297" s="21">
        <f>IF($M297="","",ROUNDUP(MAX(0,$M297),0))</f>
        <v/>
      </c>
      <c r="AK297" s="21">
        <f>IF(OR($AJ297="",$AF297=""),"",MAX(0,$AJ297-$AF297))</f>
        <v/>
      </c>
      <c r="AL297" s="22">
        <f>IF(OR($AK297="",$AG297=""),"",MAX(0,$AK297*$AG297))</f>
        <v/>
      </c>
      <c r="AM297" s="22">
        <f>IF($AE297="","",MAX(0,SUM($AE297,$AL297,$V297,$W297)))</f>
        <v/>
      </c>
      <c r="AN297" s="22">
        <f>IF($AM297="","",IF(AND($Q297="COMMITMENT",$R297&gt;=$AH297),$AI297,0))</f>
        <v/>
      </c>
      <c r="AO297" s="23">
        <f>IF($AM297="","",MAX(0,$AM297-$AN297))</f>
        <v/>
      </c>
      <c r="AP297" s="22">
        <f>IF($S297="","",IF(OR($S297="ITEM_PRICE_PLUS_DECLARED_DELIVERY",$S297="DELIVERY_CHARGE_ONLY"),$K297,IF($S297="TOTAL_AMOUNT_INCLUDING_DELIVERY",IF(OR($T297="",$J297=""),"",MAX(0,$T297-$J297-$U297)),IF($S297="ITEM_PRICE_ONLY_DELIVERY_PAID_BY_MERCHANT",0,""))))</f>
        <v/>
      </c>
      <c r="AQ297" s="23">
        <f>IF(OR($AP297="",$AO297=""),"",$AP297-$AO297)</f>
        <v/>
      </c>
      <c r="AR297" s="24">
        <f>IF($S297="EXACT_COLLECTION_AMOUNT","BREAKDOWN_REQUIRED",IF($AQ297="","",IF($AQ297&gt;0,"CREDIT_TO_MERCHANT",IF($AQ297&lt;0,"DEDUCT_FROM_MERCHANT","NO_ADJUSTMENT"))))</f>
        <v/>
      </c>
      <c r="AS297" s="23">
        <f>IF(OR($AQ297="",$AR297="BREAKDOWN_REQUIRED"),"",$AQ297)</f>
        <v/>
      </c>
      <c r="AT297" s="23">
        <f>IF(OR($AR297="",$AR297="BREAKDOWN_REQUIRED"),"",SUM($J297,$AQ297,$Y297)-$X297)</f>
        <v/>
      </c>
      <c r="AU297" s="25">
        <f>IF(AND($A297="",$B297="",$F297="",$H297="",$J297="",$K297="",$M297="",$S297=""),"",IF(OR($H297="",$Q297="",$M297="",$S297=""),"ERROR",IF(OR($J297&lt;0,$K297&lt;0,$M297&lt;0,$T297&lt;0,$U297&lt;0,$V297&lt;0,$W297&lt;0,$X297&lt;0,$Y297&lt;0),"ERROR",IF($AE297="","ERROR",IF(AND(OR($S297="ITEM_PRICE_PLUS_DECLARED_DELIVERY",$S297="TOTAL_AMOUNT_INCLUDING_DELIVERY",$S297="ITEM_PRICE_ONLY_DELIVERY_PAID_BY_MERCHANT"),$J297=""),"ERROR",IF(AND(OR($S297="ITEM_PRICE_PLUS_DECLARED_DELIVERY",$S297="DELIVERY_CHARGE_ONLY"),$K297=""),"ERROR",IF(AND(OR($S297="TOTAL_AMOUNT_INCLUDING_DELIVERY",$S297="EXACT_COLLECTION_AMOUNT"),$T297=""),"ERROR",IF(AND($S297="TOTAL_AMOUNT_INCLUDING_DELIVERY",$T297&lt;SUM($J297,$U297)),"ERROR",IF($S297="EXACT_COLLECTION_AMOUNT","REVIEW","OK")))))))))</f>
        <v/>
      </c>
      <c r="AV297" s="25">
        <f>IF($AU297="","",IF($H297="","Township required",IF($Q297="","Customer tier required",IF($M297="","Weight required",IF($S297="","Amount entry type required",IF(OR($J297&lt;0,$K297&lt;0,$M297&lt;0,$T297&lt;0,$U297&lt;0,$V297&lt;0,$W297&lt;0,$X297&lt;0,$Y297&lt;0),"Negative amounts are not allowed",IF($AE297="","Tariff not found for township and tier",IF(AND(OR($S297="ITEM_PRICE_PLUS_DECLARED_DELIVERY",$S297="TOTAL_AMOUNT_INCLUDING_DELIVERY",$S297="ITEM_PRICE_ONLY_DELIVERY_PAID_BY_MERCHANT"),$J297=""),"Item price required for this amount type",IF(AND(OR($S297="ITEM_PRICE_PLUS_DECLARED_DELIVERY",$S297="DELIVERY_CHARGE_ONLY"),$K297=""),"Declared delivery charge required",IF(AND(OR($S297="TOTAL_AMOUNT_INCLUDING_DELIVERY",$S297="EXACT_COLLECTION_AMOUNT"),$T297=""),"Stated total amount required",IF(AND($S297="TOTAL_AMOUNT_INCLUDING_DELIVERY",$T297&lt;SUM($J297,$U297)),"Stated total is below item price plus additional charge",IF($S297="EXACT_COLLECTION_AMOUNT","Authorized amount breakdown required before settlement","Ready for collection and settlement"))))))))))))</f>
        <v/>
      </c>
      <c r="AW297" s="23">
        <f>IF($AU297="","","PARCEL_FINANCIAL_V2")</f>
        <v/>
      </c>
      <c r="AX297" s="17" t="n"/>
    </row>
    <row r="298">
      <c r="A298" s="8" t="n"/>
      <c r="B298" s="8" t="n"/>
      <c r="C298" s="8" t="n"/>
      <c r="D298" s="8" t="n"/>
      <c r="E298" s="9" t="n"/>
      <c r="F298" s="9" t="n"/>
      <c r="G298" s="8" t="n"/>
      <c r="H298" s="9" t="n"/>
      <c r="I298" s="9" t="n"/>
      <c r="J298" s="10" t="n"/>
      <c r="K298" s="10" t="n"/>
      <c r="L298" s="11">
        <f>IF($S298="","",IF($S298="ITEM_PRICE_PLUS_DECLARED_DELIVERY",IF(OR($J298="",$K298=""),"",SUM($J298,$K298,$U298)),IF($S298="TOTAL_AMOUNT_INCLUDING_DELIVERY",IF($T298="","",$T298),IF($S298="DELIVERY_CHARGE_ONLY",IF($K298="","",SUM($K298,$U298)),IF($S298="EXACT_COLLECTION_AMOUNT",IF($T298="","",$T298),IF($S298="ITEM_PRICE_ONLY_DELIVERY_PAID_BY_MERCHANT",IF($J298="","",SUM($J298,$U298)),""))))))</f>
        <v/>
      </c>
      <c r="M298" s="12" t="n"/>
      <c r="N298" s="13" t="n"/>
      <c r="O298" s="13" t="n"/>
      <c r="P298" s="9" t="n"/>
      <c r="Q298" s="14" t="n"/>
      <c r="R298" s="15" t="n"/>
      <c r="S298" s="14" t="n"/>
      <c r="T298" s="16" t="n"/>
      <c r="U298" s="16" t="n"/>
      <c r="V298" s="16" t="n"/>
      <c r="W298" s="16" t="n"/>
      <c r="X298" s="16" t="n"/>
      <c r="Y298" s="16" t="n"/>
      <c r="Z298" s="14" t="n"/>
      <c r="AA298" s="14" t="n"/>
      <c r="AB298" s="14" t="n"/>
      <c r="AC298" s="17">
        <f>IFERROR(VLOOKUP($H298&amp;"|"&amp;$Q298,Tariff_Master!$A$2:$L$169,3,FALSE),"")</f>
        <v/>
      </c>
      <c r="AD298" s="17">
        <f>IFERROR(VLOOKUP($H298&amp;"|"&amp;$Q298,Tariff_Master!$A$2:$L$169,4,FALSE),"")</f>
        <v/>
      </c>
      <c r="AE298" s="18">
        <f>IFERROR(VLOOKUP($H298&amp;"|"&amp;$Q298,Tariff_Master!$A$2:$L$169,6,FALSE),"")</f>
        <v/>
      </c>
      <c r="AF298" s="19">
        <f>IFERROR(VLOOKUP($H298&amp;"|"&amp;$Q298,Tariff_Master!$A$2:$L$169,7,FALSE),"")</f>
        <v/>
      </c>
      <c r="AG298" s="18">
        <f>IFERROR(VLOOKUP($H298&amp;"|"&amp;$Q298,Tariff_Master!$A$2:$L$169,8,FALSE),"")</f>
        <v/>
      </c>
      <c r="AH298" s="20">
        <f>IFERROR(VLOOKUP($H298&amp;"|"&amp;$Q298,Tariff_Master!$A$2:$L$169,9,FALSE),"")</f>
        <v/>
      </c>
      <c r="AI298" s="18">
        <f>IFERROR(VLOOKUP($H298&amp;"|"&amp;$Q298,Tariff_Master!$A$2:$L$169,10,FALSE),"")</f>
        <v/>
      </c>
      <c r="AJ298" s="21">
        <f>IF($M298="","",ROUNDUP(MAX(0,$M298),0))</f>
        <v/>
      </c>
      <c r="AK298" s="21">
        <f>IF(OR($AJ298="",$AF298=""),"",MAX(0,$AJ298-$AF298))</f>
        <v/>
      </c>
      <c r="AL298" s="22">
        <f>IF(OR($AK298="",$AG298=""),"",MAX(0,$AK298*$AG298))</f>
        <v/>
      </c>
      <c r="AM298" s="22">
        <f>IF($AE298="","",MAX(0,SUM($AE298,$AL298,$V298,$W298)))</f>
        <v/>
      </c>
      <c r="AN298" s="22">
        <f>IF($AM298="","",IF(AND($Q298="COMMITMENT",$R298&gt;=$AH298),$AI298,0))</f>
        <v/>
      </c>
      <c r="AO298" s="23">
        <f>IF($AM298="","",MAX(0,$AM298-$AN298))</f>
        <v/>
      </c>
      <c r="AP298" s="22">
        <f>IF($S298="","",IF(OR($S298="ITEM_PRICE_PLUS_DECLARED_DELIVERY",$S298="DELIVERY_CHARGE_ONLY"),$K298,IF($S298="TOTAL_AMOUNT_INCLUDING_DELIVERY",IF(OR($T298="",$J298=""),"",MAX(0,$T298-$J298-$U298)),IF($S298="ITEM_PRICE_ONLY_DELIVERY_PAID_BY_MERCHANT",0,""))))</f>
        <v/>
      </c>
      <c r="AQ298" s="23">
        <f>IF(OR($AP298="",$AO298=""),"",$AP298-$AO298)</f>
        <v/>
      </c>
      <c r="AR298" s="24">
        <f>IF($S298="EXACT_COLLECTION_AMOUNT","BREAKDOWN_REQUIRED",IF($AQ298="","",IF($AQ298&gt;0,"CREDIT_TO_MERCHANT",IF($AQ298&lt;0,"DEDUCT_FROM_MERCHANT","NO_ADJUSTMENT"))))</f>
        <v/>
      </c>
      <c r="AS298" s="23">
        <f>IF(OR($AQ298="",$AR298="BREAKDOWN_REQUIRED"),"",$AQ298)</f>
        <v/>
      </c>
      <c r="AT298" s="23">
        <f>IF(OR($AR298="",$AR298="BREAKDOWN_REQUIRED"),"",SUM($J298,$AQ298,$Y298)-$X298)</f>
        <v/>
      </c>
      <c r="AU298" s="25">
        <f>IF(AND($A298="",$B298="",$F298="",$H298="",$J298="",$K298="",$M298="",$S298=""),"",IF(OR($H298="",$Q298="",$M298="",$S298=""),"ERROR",IF(OR($J298&lt;0,$K298&lt;0,$M298&lt;0,$T298&lt;0,$U298&lt;0,$V298&lt;0,$W298&lt;0,$X298&lt;0,$Y298&lt;0),"ERROR",IF($AE298="","ERROR",IF(AND(OR($S298="ITEM_PRICE_PLUS_DECLARED_DELIVERY",$S298="TOTAL_AMOUNT_INCLUDING_DELIVERY",$S298="ITEM_PRICE_ONLY_DELIVERY_PAID_BY_MERCHANT"),$J298=""),"ERROR",IF(AND(OR($S298="ITEM_PRICE_PLUS_DECLARED_DELIVERY",$S298="DELIVERY_CHARGE_ONLY"),$K298=""),"ERROR",IF(AND(OR($S298="TOTAL_AMOUNT_INCLUDING_DELIVERY",$S298="EXACT_COLLECTION_AMOUNT"),$T298=""),"ERROR",IF(AND($S298="TOTAL_AMOUNT_INCLUDING_DELIVERY",$T298&lt;SUM($J298,$U298)),"ERROR",IF($S298="EXACT_COLLECTION_AMOUNT","REVIEW","OK")))))))))</f>
        <v/>
      </c>
      <c r="AV298" s="25">
        <f>IF($AU298="","",IF($H298="","Township required",IF($Q298="","Customer tier required",IF($M298="","Weight required",IF($S298="","Amount entry type required",IF(OR($J298&lt;0,$K298&lt;0,$M298&lt;0,$T298&lt;0,$U298&lt;0,$V298&lt;0,$W298&lt;0,$X298&lt;0,$Y298&lt;0),"Negative amounts are not allowed",IF($AE298="","Tariff not found for township and tier",IF(AND(OR($S298="ITEM_PRICE_PLUS_DECLARED_DELIVERY",$S298="TOTAL_AMOUNT_INCLUDING_DELIVERY",$S298="ITEM_PRICE_ONLY_DELIVERY_PAID_BY_MERCHANT"),$J298=""),"Item price required for this amount type",IF(AND(OR($S298="ITEM_PRICE_PLUS_DECLARED_DELIVERY",$S298="DELIVERY_CHARGE_ONLY"),$K298=""),"Declared delivery charge required",IF(AND(OR($S298="TOTAL_AMOUNT_INCLUDING_DELIVERY",$S298="EXACT_COLLECTION_AMOUNT"),$T298=""),"Stated total amount required",IF(AND($S298="TOTAL_AMOUNT_INCLUDING_DELIVERY",$T298&lt;SUM($J298,$U298)),"Stated total is below item price plus additional charge",IF($S298="EXACT_COLLECTION_AMOUNT","Authorized amount breakdown required before settlement","Ready for collection and settlement"))))))))))))</f>
        <v/>
      </c>
      <c r="AW298" s="23">
        <f>IF($AU298="","","PARCEL_FINANCIAL_V2")</f>
        <v/>
      </c>
      <c r="AX298" s="17" t="n"/>
    </row>
    <row r="299">
      <c r="A299" s="8" t="n"/>
      <c r="B299" s="8" t="n"/>
      <c r="C299" s="8" t="n"/>
      <c r="D299" s="8" t="n"/>
      <c r="E299" s="9" t="n"/>
      <c r="F299" s="9" t="n"/>
      <c r="G299" s="8" t="n"/>
      <c r="H299" s="9" t="n"/>
      <c r="I299" s="9" t="n"/>
      <c r="J299" s="10" t="n"/>
      <c r="K299" s="10" t="n"/>
      <c r="L299" s="11">
        <f>IF($S299="","",IF($S299="ITEM_PRICE_PLUS_DECLARED_DELIVERY",IF(OR($J299="",$K299=""),"",SUM($J299,$K299,$U299)),IF($S299="TOTAL_AMOUNT_INCLUDING_DELIVERY",IF($T299="","",$T299),IF($S299="DELIVERY_CHARGE_ONLY",IF($K299="","",SUM($K299,$U299)),IF($S299="EXACT_COLLECTION_AMOUNT",IF($T299="","",$T299),IF($S299="ITEM_PRICE_ONLY_DELIVERY_PAID_BY_MERCHANT",IF($J299="","",SUM($J299,$U299)),""))))))</f>
        <v/>
      </c>
      <c r="M299" s="12" t="n"/>
      <c r="N299" s="13" t="n"/>
      <c r="O299" s="13" t="n"/>
      <c r="P299" s="9" t="n"/>
      <c r="Q299" s="14" t="n"/>
      <c r="R299" s="15" t="n"/>
      <c r="S299" s="14" t="n"/>
      <c r="T299" s="16" t="n"/>
      <c r="U299" s="16" t="n"/>
      <c r="V299" s="16" t="n"/>
      <c r="W299" s="16" t="n"/>
      <c r="X299" s="16" t="n"/>
      <c r="Y299" s="16" t="n"/>
      <c r="Z299" s="14" t="n"/>
      <c r="AA299" s="14" t="n"/>
      <c r="AB299" s="14" t="n"/>
      <c r="AC299" s="17">
        <f>IFERROR(VLOOKUP($H299&amp;"|"&amp;$Q299,Tariff_Master!$A$2:$L$169,3,FALSE),"")</f>
        <v/>
      </c>
      <c r="AD299" s="17">
        <f>IFERROR(VLOOKUP($H299&amp;"|"&amp;$Q299,Tariff_Master!$A$2:$L$169,4,FALSE),"")</f>
        <v/>
      </c>
      <c r="AE299" s="18">
        <f>IFERROR(VLOOKUP($H299&amp;"|"&amp;$Q299,Tariff_Master!$A$2:$L$169,6,FALSE),"")</f>
        <v/>
      </c>
      <c r="AF299" s="19">
        <f>IFERROR(VLOOKUP($H299&amp;"|"&amp;$Q299,Tariff_Master!$A$2:$L$169,7,FALSE),"")</f>
        <v/>
      </c>
      <c r="AG299" s="18">
        <f>IFERROR(VLOOKUP($H299&amp;"|"&amp;$Q299,Tariff_Master!$A$2:$L$169,8,FALSE),"")</f>
        <v/>
      </c>
      <c r="AH299" s="20">
        <f>IFERROR(VLOOKUP($H299&amp;"|"&amp;$Q299,Tariff_Master!$A$2:$L$169,9,FALSE),"")</f>
        <v/>
      </c>
      <c r="AI299" s="18">
        <f>IFERROR(VLOOKUP($H299&amp;"|"&amp;$Q299,Tariff_Master!$A$2:$L$169,10,FALSE),"")</f>
        <v/>
      </c>
      <c r="AJ299" s="21">
        <f>IF($M299="","",ROUNDUP(MAX(0,$M299),0))</f>
        <v/>
      </c>
      <c r="AK299" s="21">
        <f>IF(OR($AJ299="",$AF299=""),"",MAX(0,$AJ299-$AF299))</f>
        <v/>
      </c>
      <c r="AL299" s="22">
        <f>IF(OR($AK299="",$AG299=""),"",MAX(0,$AK299*$AG299))</f>
        <v/>
      </c>
      <c r="AM299" s="22">
        <f>IF($AE299="","",MAX(0,SUM($AE299,$AL299,$V299,$W299)))</f>
        <v/>
      </c>
      <c r="AN299" s="22">
        <f>IF($AM299="","",IF(AND($Q299="COMMITMENT",$R299&gt;=$AH299),$AI299,0))</f>
        <v/>
      </c>
      <c r="AO299" s="23">
        <f>IF($AM299="","",MAX(0,$AM299-$AN299))</f>
        <v/>
      </c>
      <c r="AP299" s="22">
        <f>IF($S299="","",IF(OR($S299="ITEM_PRICE_PLUS_DECLARED_DELIVERY",$S299="DELIVERY_CHARGE_ONLY"),$K299,IF($S299="TOTAL_AMOUNT_INCLUDING_DELIVERY",IF(OR($T299="",$J299=""),"",MAX(0,$T299-$J299-$U299)),IF($S299="ITEM_PRICE_ONLY_DELIVERY_PAID_BY_MERCHANT",0,""))))</f>
        <v/>
      </c>
      <c r="AQ299" s="23">
        <f>IF(OR($AP299="",$AO299=""),"",$AP299-$AO299)</f>
        <v/>
      </c>
      <c r="AR299" s="24">
        <f>IF($S299="EXACT_COLLECTION_AMOUNT","BREAKDOWN_REQUIRED",IF($AQ299="","",IF($AQ299&gt;0,"CREDIT_TO_MERCHANT",IF($AQ299&lt;0,"DEDUCT_FROM_MERCHANT","NO_ADJUSTMENT"))))</f>
        <v/>
      </c>
      <c r="AS299" s="23">
        <f>IF(OR($AQ299="",$AR299="BREAKDOWN_REQUIRED"),"",$AQ299)</f>
        <v/>
      </c>
      <c r="AT299" s="23">
        <f>IF(OR($AR299="",$AR299="BREAKDOWN_REQUIRED"),"",SUM($J299,$AQ299,$Y299)-$X299)</f>
        <v/>
      </c>
      <c r="AU299" s="25">
        <f>IF(AND($A299="",$B299="",$F299="",$H299="",$J299="",$K299="",$M299="",$S299=""),"",IF(OR($H299="",$Q299="",$M299="",$S299=""),"ERROR",IF(OR($J299&lt;0,$K299&lt;0,$M299&lt;0,$T299&lt;0,$U299&lt;0,$V299&lt;0,$W299&lt;0,$X299&lt;0,$Y299&lt;0),"ERROR",IF($AE299="","ERROR",IF(AND(OR($S299="ITEM_PRICE_PLUS_DECLARED_DELIVERY",$S299="TOTAL_AMOUNT_INCLUDING_DELIVERY",$S299="ITEM_PRICE_ONLY_DELIVERY_PAID_BY_MERCHANT"),$J299=""),"ERROR",IF(AND(OR($S299="ITEM_PRICE_PLUS_DECLARED_DELIVERY",$S299="DELIVERY_CHARGE_ONLY"),$K299=""),"ERROR",IF(AND(OR($S299="TOTAL_AMOUNT_INCLUDING_DELIVERY",$S299="EXACT_COLLECTION_AMOUNT"),$T299=""),"ERROR",IF(AND($S299="TOTAL_AMOUNT_INCLUDING_DELIVERY",$T299&lt;SUM($J299,$U299)),"ERROR",IF($S299="EXACT_COLLECTION_AMOUNT","REVIEW","OK")))))))))</f>
        <v/>
      </c>
      <c r="AV299" s="25">
        <f>IF($AU299="","",IF($H299="","Township required",IF($Q299="","Customer tier required",IF($M299="","Weight required",IF($S299="","Amount entry type required",IF(OR($J299&lt;0,$K299&lt;0,$M299&lt;0,$T299&lt;0,$U299&lt;0,$V299&lt;0,$W299&lt;0,$X299&lt;0,$Y299&lt;0),"Negative amounts are not allowed",IF($AE299="","Tariff not found for township and tier",IF(AND(OR($S299="ITEM_PRICE_PLUS_DECLARED_DELIVERY",$S299="TOTAL_AMOUNT_INCLUDING_DELIVERY",$S299="ITEM_PRICE_ONLY_DELIVERY_PAID_BY_MERCHANT"),$J299=""),"Item price required for this amount type",IF(AND(OR($S299="ITEM_PRICE_PLUS_DECLARED_DELIVERY",$S299="DELIVERY_CHARGE_ONLY"),$K299=""),"Declared delivery charge required",IF(AND(OR($S299="TOTAL_AMOUNT_INCLUDING_DELIVERY",$S299="EXACT_COLLECTION_AMOUNT"),$T299=""),"Stated total amount required",IF(AND($S299="TOTAL_AMOUNT_INCLUDING_DELIVERY",$T299&lt;SUM($J299,$U299)),"Stated total is below item price plus additional charge",IF($S299="EXACT_COLLECTION_AMOUNT","Authorized amount breakdown required before settlement","Ready for collection and settlement"))))))))))))</f>
        <v/>
      </c>
      <c r="AW299" s="23">
        <f>IF($AU299="","","PARCEL_FINANCIAL_V2")</f>
        <v/>
      </c>
      <c r="AX299" s="17" t="n"/>
    </row>
    <row r="300">
      <c r="A300" s="8" t="n"/>
      <c r="B300" s="8" t="n"/>
      <c r="C300" s="8" t="n"/>
      <c r="D300" s="8" t="n"/>
      <c r="E300" s="9" t="n"/>
      <c r="F300" s="9" t="n"/>
      <c r="G300" s="8" t="n"/>
      <c r="H300" s="9" t="n"/>
      <c r="I300" s="9" t="n"/>
      <c r="J300" s="10" t="n"/>
      <c r="K300" s="10" t="n"/>
      <c r="L300" s="11">
        <f>IF($S300="","",IF($S300="ITEM_PRICE_PLUS_DECLARED_DELIVERY",IF(OR($J300="",$K300=""),"",SUM($J300,$K300,$U300)),IF($S300="TOTAL_AMOUNT_INCLUDING_DELIVERY",IF($T300="","",$T300),IF($S300="DELIVERY_CHARGE_ONLY",IF($K300="","",SUM($K300,$U300)),IF($S300="EXACT_COLLECTION_AMOUNT",IF($T300="","",$T300),IF($S300="ITEM_PRICE_ONLY_DELIVERY_PAID_BY_MERCHANT",IF($J300="","",SUM($J300,$U300)),""))))))</f>
        <v/>
      </c>
      <c r="M300" s="12" t="n"/>
      <c r="N300" s="13" t="n"/>
      <c r="O300" s="13" t="n"/>
      <c r="P300" s="9" t="n"/>
      <c r="Q300" s="14" t="n"/>
      <c r="R300" s="15" t="n"/>
      <c r="S300" s="14" t="n"/>
      <c r="T300" s="16" t="n"/>
      <c r="U300" s="16" t="n"/>
      <c r="V300" s="16" t="n"/>
      <c r="W300" s="16" t="n"/>
      <c r="X300" s="16" t="n"/>
      <c r="Y300" s="16" t="n"/>
      <c r="Z300" s="14" t="n"/>
      <c r="AA300" s="14" t="n"/>
      <c r="AB300" s="14" t="n"/>
      <c r="AC300" s="17">
        <f>IFERROR(VLOOKUP($H300&amp;"|"&amp;$Q300,Tariff_Master!$A$2:$L$169,3,FALSE),"")</f>
        <v/>
      </c>
      <c r="AD300" s="17">
        <f>IFERROR(VLOOKUP($H300&amp;"|"&amp;$Q300,Tariff_Master!$A$2:$L$169,4,FALSE),"")</f>
        <v/>
      </c>
      <c r="AE300" s="18">
        <f>IFERROR(VLOOKUP($H300&amp;"|"&amp;$Q300,Tariff_Master!$A$2:$L$169,6,FALSE),"")</f>
        <v/>
      </c>
      <c r="AF300" s="19">
        <f>IFERROR(VLOOKUP($H300&amp;"|"&amp;$Q300,Tariff_Master!$A$2:$L$169,7,FALSE),"")</f>
        <v/>
      </c>
      <c r="AG300" s="18">
        <f>IFERROR(VLOOKUP($H300&amp;"|"&amp;$Q300,Tariff_Master!$A$2:$L$169,8,FALSE),"")</f>
        <v/>
      </c>
      <c r="AH300" s="20">
        <f>IFERROR(VLOOKUP($H300&amp;"|"&amp;$Q300,Tariff_Master!$A$2:$L$169,9,FALSE),"")</f>
        <v/>
      </c>
      <c r="AI300" s="18">
        <f>IFERROR(VLOOKUP($H300&amp;"|"&amp;$Q300,Tariff_Master!$A$2:$L$169,10,FALSE),"")</f>
        <v/>
      </c>
      <c r="AJ300" s="21">
        <f>IF($M300="","",ROUNDUP(MAX(0,$M300),0))</f>
        <v/>
      </c>
      <c r="AK300" s="21">
        <f>IF(OR($AJ300="",$AF300=""),"",MAX(0,$AJ300-$AF300))</f>
        <v/>
      </c>
      <c r="AL300" s="22">
        <f>IF(OR($AK300="",$AG300=""),"",MAX(0,$AK300*$AG300))</f>
        <v/>
      </c>
      <c r="AM300" s="22">
        <f>IF($AE300="","",MAX(0,SUM($AE300,$AL300,$V300,$W300)))</f>
        <v/>
      </c>
      <c r="AN300" s="22">
        <f>IF($AM300="","",IF(AND($Q300="COMMITMENT",$R300&gt;=$AH300),$AI300,0))</f>
        <v/>
      </c>
      <c r="AO300" s="23">
        <f>IF($AM300="","",MAX(0,$AM300-$AN300))</f>
        <v/>
      </c>
      <c r="AP300" s="22">
        <f>IF($S300="","",IF(OR($S300="ITEM_PRICE_PLUS_DECLARED_DELIVERY",$S300="DELIVERY_CHARGE_ONLY"),$K300,IF($S300="TOTAL_AMOUNT_INCLUDING_DELIVERY",IF(OR($T300="",$J300=""),"",MAX(0,$T300-$J300-$U300)),IF($S300="ITEM_PRICE_ONLY_DELIVERY_PAID_BY_MERCHANT",0,""))))</f>
        <v/>
      </c>
      <c r="AQ300" s="23">
        <f>IF(OR($AP300="",$AO300=""),"",$AP300-$AO300)</f>
        <v/>
      </c>
      <c r="AR300" s="24">
        <f>IF($S300="EXACT_COLLECTION_AMOUNT","BREAKDOWN_REQUIRED",IF($AQ300="","",IF($AQ300&gt;0,"CREDIT_TO_MERCHANT",IF($AQ300&lt;0,"DEDUCT_FROM_MERCHANT","NO_ADJUSTMENT"))))</f>
        <v/>
      </c>
      <c r="AS300" s="23">
        <f>IF(OR($AQ300="",$AR300="BREAKDOWN_REQUIRED"),"",$AQ300)</f>
        <v/>
      </c>
      <c r="AT300" s="23">
        <f>IF(OR($AR300="",$AR300="BREAKDOWN_REQUIRED"),"",SUM($J300,$AQ300,$Y300)-$X300)</f>
        <v/>
      </c>
      <c r="AU300" s="25">
        <f>IF(AND($A300="",$B300="",$F300="",$H300="",$J300="",$K300="",$M300="",$S300=""),"",IF(OR($H300="",$Q300="",$M300="",$S300=""),"ERROR",IF(OR($J300&lt;0,$K300&lt;0,$M300&lt;0,$T300&lt;0,$U300&lt;0,$V300&lt;0,$W300&lt;0,$X300&lt;0,$Y300&lt;0),"ERROR",IF($AE300="","ERROR",IF(AND(OR($S300="ITEM_PRICE_PLUS_DECLARED_DELIVERY",$S300="TOTAL_AMOUNT_INCLUDING_DELIVERY",$S300="ITEM_PRICE_ONLY_DELIVERY_PAID_BY_MERCHANT"),$J300=""),"ERROR",IF(AND(OR($S300="ITEM_PRICE_PLUS_DECLARED_DELIVERY",$S300="DELIVERY_CHARGE_ONLY"),$K300=""),"ERROR",IF(AND(OR($S300="TOTAL_AMOUNT_INCLUDING_DELIVERY",$S300="EXACT_COLLECTION_AMOUNT"),$T300=""),"ERROR",IF(AND($S300="TOTAL_AMOUNT_INCLUDING_DELIVERY",$T300&lt;SUM($J300,$U300)),"ERROR",IF($S300="EXACT_COLLECTION_AMOUNT","REVIEW","OK")))))))))</f>
        <v/>
      </c>
      <c r="AV300" s="25">
        <f>IF($AU300="","",IF($H300="","Township required",IF($Q300="","Customer tier required",IF($M300="","Weight required",IF($S300="","Amount entry type required",IF(OR($J300&lt;0,$K300&lt;0,$M300&lt;0,$T300&lt;0,$U300&lt;0,$V300&lt;0,$W300&lt;0,$X300&lt;0,$Y300&lt;0),"Negative amounts are not allowed",IF($AE300="","Tariff not found for township and tier",IF(AND(OR($S300="ITEM_PRICE_PLUS_DECLARED_DELIVERY",$S300="TOTAL_AMOUNT_INCLUDING_DELIVERY",$S300="ITEM_PRICE_ONLY_DELIVERY_PAID_BY_MERCHANT"),$J300=""),"Item price required for this amount type",IF(AND(OR($S300="ITEM_PRICE_PLUS_DECLARED_DELIVERY",$S300="DELIVERY_CHARGE_ONLY"),$K300=""),"Declared delivery charge required",IF(AND(OR($S300="TOTAL_AMOUNT_INCLUDING_DELIVERY",$S300="EXACT_COLLECTION_AMOUNT"),$T300=""),"Stated total amount required",IF(AND($S300="TOTAL_AMOUNT_INCLUDING_DELIVERY",$T300&lt;SUM($J300,$U300)),"Stated total is below item price plus additional charge",IF($S300="EXACT_COLLECTION_AMOUNT","Authorized amount breakdown required before settlement","Ready for collection and settlement"))))))))))))</f>
        <v/>
      </c>
      <c r="AW300" s="23">
        <f>IF($AU300="","","PARCEL_FINANCIAL_V2")</f>
        <v/>
      </c>
      <c r="AX300" s="17" t="n"/>
    </row>
    <row r="301">
      <c r="A301" s="8" t="n"/>
      <c r="B301" s="8" t="n"/>
      <c r="C301" s="8" t="n"/>
      <c r="D301" s="8" t="n"/>
      <c r="E301" s="9" t="n"/>
      <c r="F301" s="9" t="n"/>
      <c r="G301" s="8" t="n"/>
      <c r="H301" s="9" t="n"/>
      <c r="I301" s="9" t="n"/>
      <c r="J301" s="10" t="n"/>
      <c r="K301" s="10" t="n"/>
      <c r="L301" s="11">
        <f>IF($S301="","",IF($S301="ITEM_PRICE_PLUS_DECLARED_DELIVERY",IF(OR($J301="",$K301=""),"",SUM($J301,$K301,$U301)),IF($S301="TOTAL_AMOUNT_INCLUDING_DELIVERY",IF($T301="","",$T301),IF($S301="DELIVERY_CHARGE_ONLY",IF($K301="","",SUM($K301,$U301)),IF($S301="EXACT_COLLECTION_AMOUNT",IF($T301="","",$T301),IF($S301="ITEM_PRICE_ONLY_DELIVERY_PAID_BY_MERCHANT",IF($J301="","",SUM($J301,$U301)),""))))))</f>
        <v/>
      </c>
      <c r="M301" s="12" t="n"/>
      <c r="N301" s="13" t="n"/>
      <c r="O301" s="13" t="n"/>
      <c r="P301" s="9" t="n"/>
      <c r="Q301" s="14" t="n"/>
      <c r="R301" s="15" t="n"/>
      <c r="S301" s="14" t="n"/>
      <c r="T301" s="16" t="n"/>
      <c r="U301" s="16" t="n"/>
      <c r="V301" s="16" t="n"/>
      <c r="W301" s="16" t="n"/>
      <c r="X301" s="16" t="n"/>
      <c r="Y301" s="16" t="n"/>
      <c r="Z301" s="14" t="n"/>
      <c r="AA301" s="14" t="n"/>
      <c r="AB301" s="14" t="n"/>
      <c r="AC301" s="17">
        <f>IFERROR(VLOOKUP($H301&amp;"|"&amp;$Q301,Tariff_Master!$A$2:$L$169,3,FALSE),"")</f>
        <v/>
      </c>
      <c r="AD301" s="17">
        <f>IFERROR(VLOOKUP($H301&amp;"|"&amp;$Q301,Tariff_Master!$A$2:$L$169,4,FALSE),"")</f>
        <v/>
      </c>
      <c r="AE301" s="18">
        <f>IFERROR(VLOOKUP($H301&amp;"|"&amp;$Q301,Tariff_Master!$A$2:$L$169,6,FALSE),"")</f>
        <v/>
      </c>
      <c r="AF301" s="19">
        <f>IFERROR(VLOOKUP($H301&amp;"|"&amp;$Q301,Tariff_Master!$A$2:$L$169,7,FALSE),"")</f>
        <v/>
      </c>
      <c r="AG301" s="18">
        <f>IFERROR(VLOOKUP($H301&amp;"|"&amp;$Q301,Tariff_Master!$A$2:$L$169,8,FALSE),"")</f>
        <v/>
      </c>
      <c r="AH301" s="20">
        <f>IFERROR(VLOOKUP($H301&amp;"|"&amp;$Q301,Tariff_Master!$A$2:$L$169,9,FALSE),"")</f>
        <v/>
      </c>
      <c r="AI301" s="18">
        <f>IFERROR(VLOOKUP($H301&amp;"|"&amp;$Q301,Tariff_Master!$A$2:$L$169,10,FALSE),"")</f>
        <v/>
      </c>
      <c r="AJ301" s="21">
        <f>IF($M301="","",ROUNDUP(MAX(0,$M301),0))</f>
        <v/>
      </c>
      <c r="AK301" s="21">
        <f>IF(OR($AJ301="",$AF301=""),"",MAX(0,$AJ301-$AF301))</f>
        <v/>
      </c>
      <c r="AL301" s="22">
        <f>IF(OR($AK301="",$AG301=""),"",MAX(0,$AK301*$AG301))</f>
        <v/>
      </c>
      <c r="AM301" s="22">
        <f>IF($AE301="","",MAX(0,SUM($AE301,$AL301,$V301,$W301)))</f>
        <v/>
      </c>
      <c r="AN301" s="22">
        <f>IF($AM301="","",IF(AND($Q301="COMMITMENT",$R301&gt;=$AH301),$AI301,0))</f>
        <v/>
      </c>
      <c r="AO301" s="23">
        <f>IF($AM301="","",MAX(0,$AM301-$AN301))</f>
        <v/>
      </c>
      <c r="AP301" s="22">
        <f>IF($S301="","",IF(OR($S301="ITEM_PRICE_PLUS_DECLARED_DELIVERY",$S301="DELIVERY_CHARGE_ONLY"),$K301,IF($S301="TOTAL_AMOUNT_INCLUDING_DELIVERY",IF(OR($T301="",$J301=""),"",MAX(0,$T301-$J301-$U301)),IF($S301="ITEM_PRICE_ONLY_DELIVERY_PAID_BY_MERCHANT",0,""))))</f>
        <v/>
      </c>
      <c r="AQ301" s="23">
        <f>IF(OR($AP301="",$AO301=""),"",$AP301-$AO301)</f>
        <v/>
      </c>
      <c r="AR301" s="24">
        <f>IF($S301="EXACT_COLLECTION_AMOUNT","BREAKDOWN_REQUIRED",IF($AQ301="","",IF($AQ301&gt;0,"CREDIT_TO_MERCHANT",IF($AQ301&lt;0,"DEDUCT_FROM_MERCHANT","NO_ADJUSTMENT"))))</f>
        <v/>
      </c>
      <c r="AS301" s="23">
        <f>IF(OR($AQ301="",$AR301="BREAKDOWN_REQUIRED"),"",$AQ301)</f>
        <v/>
      </c>
      <c r="AT301" s="23">
        <f>IF(OR($AR301="",$AR301="BREAKDOWN_REQUIRED"),"",SUM($J301,$AQ301,$Y301)-$X301)</f>
        <v/>
      </c>
      <c r="AU301" s="25">
        <f>IF(AND($A301="",$B301="",$F301="",$H301="",$J301="",$K301="",$M301="",$S301=""),"",IF(OR($H301="",$Q301="",$M301="",$S301=""),"ERROR",IF(OR($J301&lt;0,$K301&lt;0,$M301&lt;0,$T301&lt;0,$U301&lt;0,$V301&lt;0,$W301&lt;0,$X301&lt;0,$Y301&lt;0),"ERROR",IF($AE301="","ERROR",IF(AND(OR($S301="ITEM_PRICE_PLUS_DECLARED_DELIVERY",$S301="TOTAL_AMOUNT_INCLUDING_DELIVERY",$S301="ITEM_PRICE_ONLY_DELIVERY_PAID_BY_MERCHANT"),$J301=""),"ERROR",IF(AND(OR($S301="ITEM_PRICE_PLUS_DECLARED_DELIVERY",$S301="DELIVERY_CHARGE_ONLY"),$K301=""),"ERROR",IF(AND(OR($S301="TOTAL_AMOUNT_INCLUDING_DELIVERY",$S301="EXACT_COLLECTION_AMOUNT"),$T301=""),"ERROR",IF(AND($S301="TOTAL_AMOUNT_INCLUDING_DELIVERY",$T301&lt;SUM($J301,$U301)),"ERROR",IF($S301="EXACT_COLLECTION_AMOUNT","REVIEW","OK")))))))))</f>
        <v/>
      </c>
      <c r="AV301" s="25">
        <f>IF($AU301="","",IF($H301="","Township required",IF($Q301="","Customer tier required",IF($M301="","Weight required",IF($S301="","Amount entry type required",IF(OR($J301&lt;0,$K301&lt;0,$M301&lt;0,$T301&lt;0,$U301&lt;0,$V301&lt;0,$W301&lt;0,$X301&lt;0,$Y301&lt;0),"Negative amounts are not allowed",IF($AE301="","Tariff not found for township and tier",IF(AND(OR($S301="ITEM_PRICE_PLUS_DECLARED_DELIVERY",$S301="TOTAL_AMOUNT_INCLUDING_DELIVERY",$S301="ITEM_PRICE_ONLY_DELIVERY_PAID_BY_MERCHANT"),$J301=""),"Item price required for this amount type",IF(AND(OR($S301="ITEM_PRICE_PLUS_DECLARED_DELIVERY",$S301="DELIVERY_CHARGE_ONLY"),$K301=""),"Declared delivery charge required",IF(AND(OR($S301="TOTAL_AMOUNT_INCLUDING_DELIVERY",$S301="EXACT_COLLECTION_AMOUNT"),$T301=""),"Stated total amount required",IF(AND($S301="TOTAL_AMOUNT_INCLUDING_DELIVERY",$T301&lt;SUM($J301,$U301)),"Stated total is below item price plus additional charge",IF($S301="EXACT_COLLECTION_AMOUNT","Authorized amount breakdown required before settlement","Ready for collection and settlement"))))))))))))</f>
        <v/>
      </c>
      <c r="AW301" s="23">
        <f>IF($AU301="","","PARCEL_FINANCIAL_V2")</f>
        <v/>
      </c>
      <c r="AX301" s="17" t="n"/>
    </row>
    <row r="302">
      <c r="A302" s="8" t="n"/>
      <c r="B302" s="8" t="n"/>
      <c r="C302" s="8" t="n"/>
      <c r="D302" s="8" t="n"/>
      <c r="E302" s="9" t="n"/>
      <c r="F302" s="9" t="n"/>
      <c r="G302" s="8" t="n"/>
      <c r="H302" s="9" t="n"/>
      <c r="I302" s="9" t="n"/>
      <c r="J302" s="10" t="n"/>
      <c r="K302" s="10" t="n"/>
      <c r="L302" s="11">
        <f>IF($S302="","",IF($S302="ITEM_PRICE_PLUS_DECLARED_DELIVERY",IF(OR($J302="",$K302=""),"",SUM($J302,$K302,$U302)),IF($S302="TOTAL_AMOUNT_INCLUDING_DELIVERY",IF($T302="","",$T302),IF($S302="DELIVERY_CHARGE_ONLY",IF($K302="","",SUM($K302,$U302)),IF($S302="EXACT_COLLECTION_AMOUNT",IF($T302="","",$T302),IF($S302="ITEM_PRICE_ONLY_DELIVERY_PAID_BY_MERCHANT",IF($J302="","",SUM($J302,$U302)),""))))))</f>
        <v/>
      </c>
      <c r="M302" s="12" t="n"/>
      <c r="N302" s="13" t="n"/>
      <c r="O302" s="13" t="n"/>
      <c r="P302" s="9" t="n"/>
      <c r="Q302" s="14" t="n"/>
      <c r="R302" s="15" t="n"/>
      <c r="S302" s="14" t="n"/>
      <c r="T302" s="16" t="n"/>
      <c r="U302" s="16" t="n"/>
      <c r="V302" s="16" t="n"/>
      <c r="W302" s="16" t="n"/>
      <c r="X302" s="16" t="n"/>
      <c r="Y302" s="16" t="n"/>
      <c r="Z302" s="14" t="n"/>
      <c r="AA302" s="14" t="n"/>
      <c r="AB302" s="14" t="n"/>
      <c r="AC302" s="17">
        <f>IFERROR(VLOOKUP($H302&amp;"|"&amp;$Q302,Tariff_Master!$A$2:$L$169,3,FALSE),"")</f>
        <v/>
      </c>
      <c r="AD302" s="17">
        <f>IFERROR(VLOOKUP($H302&amp;"|"&amp;$Q302,Tariff_Master!$A$2:$L$169,4,FALSE),"")</f>
        <v/>
      </c>
      <c r="AE302" s="18">
        <f>IFERROR(VLOOKUP($H302&amp;"|"&amp;$Q302,Tariff_Master!$A$2:$L$169,6,FALSE),"")</f>
        <v/>
      </c>
      <c r="AF302" s="19">
        <f>IFERROR(VLOOKUP($H302&amp;"|"&amp;$Q302,Tariff_Master!$A$2:$L$169,7,FALSE),"")</f>
        <v/>
      </c>
      <c r="AG302" s="18">
        <f>IFERROR(VLOOKUP($H302&amp;"|"&amp;$Q302,Tariff_Master!$A$2:$L$169,8,FALSE),"")</f>
        <v/>
      </c>
      <c r="AH302" s="20">
        <f>IFERROR(VLOOKUP($H302&amp;"|"&amp;$Q302,Tariff_Master!$A$2:$L$169,9,FALSE),"")</f>
        <v/>
      </c>
      <c r="AI302" s="18">
        <f>IFERROR(VLOOKUP($H302&amp;"|"&amp;$Q302,Tariff_Master!$A$2:$L$169,10,FALSE),"")</f>
        <v/>
      </c>
      <c r="AJ302" s="21">
        <f>IF($M302="","",ROUNDUP(MAX(0,$M302),0))</f>
        <v/>
      </c>
      <c r="AK302" s="21">
        <f>IF(OR($AJ302="",$AF302=""),"",MAX(0,$AJ302-$AF302))</f>
        <v/>
      </c>
      <c r="AL302" s="22">
        <f>IF(OR($AK302="",$AG302=""),"",MAX(0,$AK302*$AG302))</f>
        <v/>
      </c>
      <c r="AM302" s="22">
        <f>IF($AE302="","",MAX(0,SUM($AE302,$AL302,$V302,$W302)))</f>
        <v/>
      </c>
      <c r="AN302" s="22">
        <f>IF($AM302="","",IF(AND($Q302="COMMITMENT",$R302&gt;=$AH302),$AI302,0))</f>
        <v/>
      </c>
      <c r="AO302" s="23">
        <f>IF($AM302="","",MAX(0,$AM302-$AN302))</f>
        <v/>
      </c>
      <c r="AP302" s="22">
        <f>IF($S302="","",IF(OR($S302="ITEM_PRICE_PLUS_DECLARED_DELIVERY",$S302="DELIVERY_CHARGE_ONLY"),$K302,IF($S302="TOTAL_AMOUNT_INCLUDING_DELIVERY",IF(OR($T302="",$J302=""),"",MAX(0,$T302-$J302-$U302)),IF($S302="ITEM_PRICE_ONLY_DELIVERY_PAID_BY_MERCHANT",0,""))))</f>
        <v/>
      </c>
      <c r="AQ302" s="23">
        <f>IF(OR($AP302="",$AO302=""),"",$AP302-$AO302)</f>
        <v/>
      </c>
      <c r="AR302" s="24">
        <f>IF($S302="EXACT_COLLECTION_AMOUNT","BREAKDOWN_REQUIRED",IF($AQ302="","",IF($AQ302&gt;0,"CREDIT_TO_MERCHANT",IF($AQ302&lt;0,"DEDUCT_FROM_MERCHANT","NO_ADJUSTMENT"))))</f>
        <v/>
      </c>
      <c r="AS302" s="23">
        <f>IF(OR($AQ302="",$AR302="BREAKDOWN_REQUIRED"),"",$AQ302)</f>
        <v/>
      </c>
      <c r="AT302" s="23">
        <f>IF(OR($AR302="",$AR302="BREAKDOWN_REQUIRED"),"",SUM($J302,$AQ302,$Y302)-$X302)</f>
        <v/>
      </c>
      <c r="AU302" s="25">
        <f>IF(AND($A302="",$B302="",$F302="",$H302="",$J302="",$K302="",$M302="",$S302=""),"",IF(OR($H302="",$Q302="",$M302="",$S302=""),"ERROR",IF(OR($J302&lt;0,$K302&lt;0,$M302&lt;0,$T302&lt;0,$U302&lt;0,$V302&lt;0,$W302&lt;0,$X302&lt;0,$Y302&lt;0),"ERROR",IF($AE302="","ERROR",IF(AND(OR($S302="ITEM_PRICE_PLUS_DECLARED_DELIVERY",$S302="TOTAL_AMOUNT_INCLUDING_DELIVERY",$S302="ITEM_PRICE_ONLY_DELIVERY_PAID_BY_MERCHANT"),$J302=""),"ERROR",IF(AND(OR($S302="ITEM_PRICE_PLUS_DECLARED_DELIVERY",$S302="DELIVERY_CHARGE_ONLY"),$K302=""),"ERROR",IF(AND(OR($S302="TOTAL_AMOUNT_INCLUDING_DELIVERY",$S302="EXACT_COLLECTION_AMOUNT"),$T302=""),"ERROR",IF(AND($S302="TOTAL_AMOUNT_INCLUDING_DELIVERY",$T302&lt;SUM($J302,$U302)),"ERROR",IF($S302="EXACT_COLLECTION_AMOUNT","REVIEW","OK")))))))))</f>
        <v/>
      </c>
      <c r="AV302" s="25">
        <f>IF($AU302="","",IF($H302="","Township required",IF($Q302="","Customer tier required",IF($M302="","Weight required",IF($S302="","Amount entry type required",IF(OR($J302&lt;0,$K302&lt;0,$M302&lt;0,$T302&lt;0,$U302&lt;0,$V302&lt;0,$W302&lt;0,$X302&lt;0,$Y302&lt;0),"Negative amounts are not allowed",IF($AE302="","Tariff not found for township and tier",IF(AND(OR($S302="ITEM_PRICE_PLUS_DECLARED_DELIVERY",$S302="TOTAL_AMOUNT_INCLUDING_DELIVERY",$S302="ITEM_PRICE_ONLY_DELIVERY_PAID_BY_MERCHANT"),$J302=""),"Item price required for this amount type",IF(AND(OR($S302="ITEM_PRICE_PLUS_DECLARED_DELIVERY",$S302="DELIVERY_CHARGE_ONLY"),$K302=""),"Declared delivery charge required",IF(AND(OR($S302="TOTAL_AMOUNT_INCLUDING_DELIVERY",$S302="EXACT_COLLECTION_AMOUNT"),$T302=""),"Stated total amount required",IF(AND($S302="TOTAL_AMOUNT_INCLUDING_DELIVERY",$T302&lt;SUM($J302,$U302)),"Stated total is below item price plus additional charge",IF($S302="EXACT_COLLECTION_AMOUNT","Authorized amount breakdown required before settlement","Ready for collection and settlement"))))))))))))</f>
        <v/>
      </c>
      <c r="AW302" s="23">
        <f>IF($AU302="","","PARCEL_FINANCIAL_V2")</f>
        <v/>
      </c>
      <c r="AX302" s="17" t="n"/>
    </row>
    <row r="303">
      <c r="A303" s="8" t="n"/>
      <c r="B303" s="8" t="n"/>
      <c r="C303" s="8" t="n"/>
      <c r="D303" s="8" t="n"/>
      <c r="E303" s="9" t="n"/>
      <c r="F303" s="9" t="n"/>
      <c r="G303" s="8" t="n"/>
      <c r="H303" s="9" t="n"/>
      <c r="I303" s="9" t="n"/>
      <c r="J303" s="10" t="n"/>
      <c r="K303" s="10" t="n"/>
      <c r="L303" s="11">
        <f>IF($S303="","",IF($S303="ITEM_PRICE_PLUS_DECLARED_DELIVERY",IF(OR($J303="",$K303=""),"",SUM($J303,$K303,$U303)),IF($S303="TOTAL_AMOUNT_INCLUDING_DELIVERY",IF($T303="","",$T303),IF($S303="DELIVERY_CHARGE_ONLY",IF($K303="","",SUM($K303,$U303)),IF($S303="EXACT_COLLECTION_AMOUNT",IF($T303="","",$T303),IF($S303="ITEM_PRICE_ONLY_DELIVERY_PAID_BY_MERCHANT",IF($J303="","",SUM($J303,$U303)),""))))))</f>
        <v/>
      </c>
      <c r="M303" s="12" t="n"/>
      <c r="N303" s="13" t="n"/>
      <c r="O303" s="13" t="n"/>
      <c r="P303" s="9" t="n"/>
      <c r="Q303" s="14" t="n"/>
      <c r="R303" s="15" t="n"/>
      <c r="S303" s="14" t="n"/>
      <c r="T303" s="16" t="n"/>
      <c r="U303" s="16" t="n"/>
      <c r="V303" s="16" t="n"/>
      <c r="W303" s="16" t="n"/>
      <c r="X303" s="16" t="n"/>
      <c r="Y303" s="16" t="n"/>
      <c r="Z303" s="14" t="n"/>
      <c r="AA303" s="14" t="n"/>
      <c r="AB303" s="14" t="n"/>
      <c r="AC303" s="17">
        <f>IFERROR(VLOOKUP($H303&amp;"|"&amp;$Q303,Tariff_Master!$A$2:$L$169,3,FALSE),"")</f>
        <v/>
      </c>
      <c r="AD303" s="17">
        <f>IFERROR(VLOOKUP($H303&amp;"|"&amp;$Q303,Tariff_Master!$A$2:$L$169,4,FALSE),"")</f>
        <v/>
      </c>
      <c r="AE303" s="18">
        <f>IFERROR(VLOOKUP($H303&amp;"|"&amp;$Q303,Tariff_Master!$A$2:$L$169,6,FALSE),"")</f>
        <v/>
      </c>
      <c r="AF303" s="19">
        <f>IFERROR(VLOOKUP($H303&amp;"|"&amp;$Q303,Tariff_Master!$A$2:$L$169,7,FALSE),"")</f>
        <v/>
      </c>
      <c r="AG303" s="18">
        <f>IFERROR(VLOOKUP($H303&amp;"|"&amp;$Q303,Tariff_Master!$A$2:$L$169,8,FALSE),"")</f>
        <v/>
      </c>
      <c r="AH303" s="20">
        <f>IFERROR(VLOOKUP($H303&amp;"|"&amp;$Q303,Tariff_Master!$A$2:$L$169,9,FALSE),"")</f>
        <v/>
      </c>
      <c r="AI303" s="18">
        <f>IFERROR(VLOOKUP($H303&amp;"|"&amp;$Q303,Tariff_Master!$A$2:$L$169,10,FALSE),"")</f>
        <v/>
      </c>
      <c r="AJ303" s="21">
        <f>IF($M303="","",ROUNDUP(MAX(0,$M303),0))</f>
        <v/>
      </c>
      <c r="AK303" s="21">
        <f>IF(OR($AJ303="",$AF303=""),"",MAX(0,$AJ303-$AF303))</f>
        <v/>
      </c>
      <c r="AL303" s="22">
        <f>IF(OR($AK303="",$AG303=""),"",MAX(0,$AK303*$AG303))</f>
        <v/>
      </c>
      <c r="AM303" s="22">
        <f>IF($AE303="","",MAX(0,SUM($AE303,$AL303,$V303,$W303)))</f>
        <v/>
      </c>
      <c r="AN303" s="22">
        <f>IF($AM303="","",IF(AND($Q303="COMMITMENT",$R303&gt;=$AH303),$AI303,0))</f>
        <v/>
      </c>
      <c r="AO303" s="23">
        <f>IF($AM303="","",MAX(0,$AM303-$AN303))</f>
        <v/>
      </c>
      <c r="AP303" s="22">
        <f>IF($S303="","",IF(OR($S303="ITEM_PRICE_PLUS_DECLARED_DELIVERY",$S303="DELIVERY_CHARGE_ONLY"),$K303,IF($S303="TOTAL_AMOUNT_INCLUDING_DELIVERY",IF(OR($T303="",$J303=""),"",MAX(0,$T303-$J303-$U303)),IF($S303="ITEM_PRICE_ONLY_DELIVERY_PAID_BY_MERCHANT",0,""))))</f>
        <v/>
      </c>
      <c r="AQ303" s="23">
        <f>IF(OR($AP303="",$AO303=""),"",$AP303-$AO303)</f>
        <v/>
      </c>
      <c r="AR303" s="24">
        <f>IF($S303="EXACT_COLLECTION_AMOUNT","BREAKDOWN_REQUIRED",IF($AQ303="","",IF($AQ303&gt;0,"CREDIT_TO_MERCHANT",IF($AQ303&lt;0,"DEDUCT_FROM_MERCHANT","NO_ADJUSTMENT"))))</f>
        <v/>
      </c>
      <c r="AS303" s="23">
        <f>IF(OR($AQ303="",$AR303="BREAKDOWN_REQUIRED"),"",$AQ303)</f>
        <v/>
      </c>
      <c r="AT303" s="23">
        <f>IF(OR($AR303="",$AR303="BREAKDOWN_REQUIRED"),"",SUM($J303,$AQ303,$Y303)-$X303)</f>
        <v/>
      </c>
      <c r="AU303" s="25">
        <f>IF(AND($A303="",$B303="",$F303="",$H303="",$J303="",$K303="",$M303="",$S303=""),"",IF(OR($H303="",$Q303="",$M303="",$S303=""),"ERROR",IF(OR($J303&lt;0,$K303&lt;0,$M303&lt;0,$T303&lt;0,$U303&lt;0,$V303&lt;0,$W303&lt;0,$X303&lt;0,$Y303&lt;0),"ERROR",IF($AE303="","ERROR",IF(AND(OR($S303="ITEM_PRICE_PLUS_DECLARED_DELIVERY",$S303="TOTAL_AMOUNT_INCLUDING_DELIVERY",$S303="ITEM_PRICE_ONLY_DELIVERY_PAID_BY_MERCHANT"),$J303=""),"ERROR",IF(AND(OR($S303="ITEM_PRICE_PLUS_DECLARED_DELIVERY",$S303="DELIVERY_CHARGE_ONLY"),$K303=""),"ERROR",IF(AND(OR($S303="TOTAL_AMOUNT_INCLUDING_DELIVERY",$S303="EXACT_COLLECTION_AMOUNT"),$T303=""),"ERROR",IF(AND($S303="TOTAL_AMOUNT_INCLUDING_DELIVERY",$T303&lt;SUM($J303,$U303)),"ERROR",IF($S303="EXACT_COLLECTION_AMOUNT","REVIEW","OK")))))))))</f>
        <v/>
      </c>
      <c r="AV303" s="25">
        <f>IF($AU303="","",IF($H303="","Township required",IF($Q303="","Customer tier required",IF($M303="","Weight required",IF($S303="","Amount entry type required",IF(OR($J303&lt;0,$K303&lt;0,$M303&lt;0,$T303&lt;0,$U303&lt;0,$V303&lt;0,$W303&lt;0,$X303&lt;0,$Y303&lt;0),"Negative amounts are not allowed",IF($AE303="","Tariff not found for township and tier",IF(AND(OR($S303="ITEM_PRICE_PLUS_DECLARED_DELIVERY",$S303="TOTAL_AMOUNT_INCLUDING_DELIVERY",$S303="ITEM_PRICE_ONLY_DELIVERY_PAID_BY_MERCHANT"),$J303=""),"Item price required for this amount type",IF(AND(OR($S303="ITEM_PRICE_PLUS_DECLARED_DELIVERY",$S303="DELIVERY_CHARGE_ONLY"),$K303=""),"Declared delivery charge required",IF(AND(OR($S303="TOTAL_AMOUNT_INCLUDING_DELIVERY",$S303="EXACT_COLLECTION_AMOUNT"),$T303=""),"Stated total amount required",IF(AND($S303="TOTAL_AMOUNT_INCLUDING_DELIVERY",$T303&lt;SUM($J303,$U303)),"Stated total is below item price plus additional charge",IF($S303="EXACT_COLLECTION_AMOUNT","Authorized amount breakdown required before settlement","Ready for collection and settlement"))))))))))))</f>
        <v/>
      </c>
      <c r="AW303" s="23">
        <f>IF($AU303="","","PARCEL_FINANCIAL_V2")</f>
        <v/>
      </c>
      <c r="AX303" s="17" t="n"/>
    </row>
    <row r="304">
      <c r="A304" s="8" t="n"/>
      <c r="B304" s="8" t="n"/>
      <c r="C304" s="8" t="n"/>
      <c r="D304" s="8" t="n"/>
      <c r="E304" s="9" t="n"/>
      <c r="F304" s="9" t="n"/>
      <c r="G304" s="8" t="n"/>
      <c r="H304" s="9" t="n"/>
      <c r="I304" s="9" t="n"/>
      <c r="J304" s="10" t="n"/>
      <c r="K304" s="10" t="n"/>
      <c r="L304" s="11">
        <f>IF($S304="","",IF($S304="ITEM_PRICE_PLUS_DECLARED_DELIVERY",IF(OR($J304="",$K304=""),"",SUM($J304,$K304,$U304)),IF($S304="TOTAL_AMOUNT_INCLUDING_DELIVERY",IF($T304="","",$T304),IF($S304="DELIVERY_CHARGE_ONLY",IF($K304="","",SUM($K304,$U304)),IF($S304="EXACT_COLLECTION_AMOUNT",IF($T304="","",$T304),IF($S304="ITEM_PRICE_ONLY_DELIVERY_PAID_BY_MERCHANT",IF($J304="","",SUM($J304,$U304)),""))))))</f>
        <v/>
      </c>
      <c r="M304" s="12" t="n"/>
      <c r="N304" s="13" t="n"/>
      <c r="O304" s="13" t="n"/>
      <c r="P304" s="9" t="n"/>
      <c r="Q304" s="14" t="n"/>
      <c r="R304" s="15" t="n"/>
      <c r="S304" s="14" t="n"/>
      <c r="T304" s="16" t="n"/>
      <c r="U304" s="16" t="n"/>
      <c r="V304" s="16" t="n"/>
      <c r="W304" s="16" t="n"/>
      <c r="X304" s="16" t="n"/>
      <c r="Y304" s="16" t="n"/>
      <c r="Z304" s="14" t="n"/>
      <c r="AA304" s="14" t="n"/>
      <c r="AB304" s="14" t="n"/>
      <c r="AC304" s="17">
        <f>IFERROR(VLOOKUP($H304&amp;"|"&amp;$Q304,Tariff_Master!$A$2:$L$169,3,FALSE),"")</f>
        <v/>
      </c>
      <c r="AD304" s="17">
        <f>IFERROR(VLOOKUP($H304&amp;"|"&amp;$Q304,Tariff_Master!$A$2:$L$169,4,FALSE),"")</f>
        <v/>
      </c>
      <c r="AE304" s="18">
        <f>IFERROR(VLOOKUP($H304&amp;"|"&amp;$Q304,Tariff_Master!$A$2:$L$169,6,FALSE),"")</f>
        <v/>
      </c>
      <c r="AF304" s="19">
        <f>IFERROR(VLOOKUP($H304&amp;"|"&amp;$Q304,Tariff_Master!$A$2:$L$169,7,FALSE),"")</f>
        <v/>
      </c>
      <c r="AG304" s="18">
        <f>IFERROR(VLOOKUP($H304&amp;"|"&amp;$Q304,Tariff_Master!$A$2:$L$169,8,FALSE),"")</f>
        <v/>
      </c>
      <c r="AH304" s="20">
        <f>IFERROR(VLOOKUP($H304&amp;"|"&amp;$Q304,Tariff_Master!$A$2:$L$169,9,FALSE),"")</f>
        <v/>
      </c>
      <c r="AI304" s="18">
        <f>IFERROR(VLOOKUP($H304&amp;"|"&amp;$Q304,Tariff_Master!$A$2:$L$169,10,FALSE),"")</f>
        <v/>
      </c>
      <c r="AJ304" s="21">
        <f>IF($M304="","",ROUNDUP(MAX(0,$M304),0))</f>
        <v/>
      </c>
      <c r="AK304" s="21">
        <f>IF(OR($AJ304="",$AF304=""),"",MAX(0,$AJ304-$AF304))</f>
        <v/>
      </c>
      <c r="AL304" s="22">
        <f>IF(OR($AK304="",$AG304=""),"",MAX(0,$AK304*$AG304))</f>
        <v/>
      </c>
      <c r="AM304" s="22">
        <f>IF($AE304="","",MAX(0,SUM($AE304,$AL304,$V304,$W304)))</f>
        <v/>
      </c>
      <c r="AN304" s="22">
        <f>IF($AM304="","",IF(AND($Q304="COMMITMENT",$R304&gt;=$AH304),$AI304,0))</f>
        <v/>
      </c>
      <c r="AO304" s="23">
        <f>IF($AM304="","",MAX(0,$AM304-$AN304))</f>
        <v/>
      </c>
      <c r="AP304" s="22">
        <f>IF($S304="","",IF(OR($S304="ITEM_PRICE_PLUS_DECLARED_DELIVERY",$S304="DELIVERY_CHARGE_ONLY"),$K304,IF($S304="TOTAL_AMOUNT_INCLUDING_DELIVERY",IF(OR($T304="",$J304=""),"",MAX(0,$T304-$J304-$U304)),IF($S304="ITEM_PRICE_ONLY_DELIVERY_PAID_BY_MERCHANT",0,""))))</f>
        <v/>
      </c>
      <c r="AQ304" s="23">
        <f>IF(OR($AP304="",$AO304=""),"",$AP304-$AO304)</f>
        <v/>
      </c>
      <c r="AR304" s="24">
        <f>IF($S304="EXACT_COLLECTION_AMOUNT","BREAKDOWN_REQUIRED",IF($AQ304="","",IF($AQ304&gt;0,"CREDIT_TO_MERCHANT",IF($AQ304&lt;0,"DEDUCT_FROM_MERCHANT","NO_ADJUSTMENT"))))</f>
        <v/>
      </c>
      <c r="AS304" s="23">
        <f>IF(OR($AQ304="",$AR304="BREAKDOWN_REQUIRED"),"",$AQ304)</f>
        <v/>
      </c>
      <c r="AT304" s="23">
        <f>IF(OR($AR304="",$AR304="BREAKDOWN_REQUIRED"),"",SUM($J304,$AQ304,$Y304)-$X304)</f>
        <v/>
      </c>
      <c r="AU304" s="25">
        <f>IF(AND($A304="",$B304="",$F304="",$H304="",$J304="",$K304="",$M304="",$S304=""),"",IF(OR($H304="",$Q304="",$M304="",$S304=""),"ERROR",IF(OR($J304&lt;0,$K304&lt;0,$M304&lt;0,$T304&lt;0,$U304&lt;0,$V304&lt;0,$W304&lt;0,$X304&lt;0,$Y304&lt;0),"ERROR",IF($AE304="","ERROR",IF(AND(OR($S304="ITEM_PRICE_PLUS_DECLARED_DELIVERY",$S304="TOTAL_AMOUNT_INCLUDING_DELIVERY",$S304="ITEM_PRICE_ONLY_DELIVERY_PAID_BY_MERCHANT"),$J304=""),"ERROR",IF(AND(OR($S304="ITEM_PRICE_PLUS_DECLARED_DELIVERY",$S304="DELIVERY_CHARGE_ONLY"),$K304=""),"ERROR",IF(AND(OR($S304="TOTAL_AMOUNT_INCLUDING_DELIVERY",$S304="EXACT_COLLECTION_AMOUNT"),$T304=""),"ERROR",IF(AND($S304="TOTAL_AMOUNT_INCLUDING_DELIVERY",$T304&lt;SUM($J304,$U304)),"ERROR",IF($S304="EXACT_COLLECTION_AMOUNT","REVIEW","OK")))))))))</f>
        <v/>
      </c>
      <c r="AV304" s="25">
        <f>IF($AU304="","",IF($H304="","Township required",IF($Q304="","Customer tier required",IF($M304="","Weight required",IF($S304="","Amount entry type required",IF(OR($J304&lt;0,$K304&lt;0,$M304&lt;0,$T304&lt;0,$U304&lt;0,$V304&lt;0,$W304&lt;0,$X304&lt;0,$Y304&lt;0),"Negative amounts are not allowed",IF($AE304="","Tariff not found for township and tier",IF(AND(OR($S304="ITEM_PRICE_PLUS_DECLARED_DELIVERY",$S304="TOTAL_AMOUNT_INCLUDING_DELIVERY",$S304="ITEM_PRICE_ONLY_DELIVERY_PAID_BY_MERCHANT"),$J304=""),"Item price required for this amount type",IF(AND(OR($S304="ITEM_PRICE_PLUS_DECLARED_DELIVERY",$S304="DELIVERY_CHARGE_ONLY"),$K304=""),"Declared delivery charge required",IF(AND(OR($S304="TOTAL_AMOUNT_INCLUDING_DELIVERY",$S304="EXACT_COLLECTION_AMOUNT"),$T304=""),"Stated total amount required",IF(AND($S304="TOTAL_AMOUNT_INCLUDING_DELIVERY",$T304&lt;SUM($J304,$U304)),"Stated total is below item price plus additional charge",IF($S304="EXACT_COLLECTION_AMOUNT","Authorized amount breakdown required before settlement","Ready for collection and settlement"))))))))))))</f>
        <v/>
      </c>
      <c r="AW304" s="23">
        <f>IF($AU304="","","PARCEL_FINANCIAL_V2")</f>
        <v/>
      </c>
      <c r="AX304" s="17" t="n"/>
    </row>
    <row r="305">
      <c r="A305" s="8" t="n"/>
      <c r="B305" s="8" t="n"/>
      <c r="C305" s="8" t="n"/>
      <c r="D305" s="8" t="n"/>
      <c r="E305" s="9" t="n"/>
      <c r="F305" s="9" t="n"/>
      <c r="G305" s="8" t="n"/>
      <c r="H305" s="9" t="n"/>
      <c r="I305" s="9" t="n"/>
      <c r="J305" s="10" t="n"/>
      <c r="K305" s="10" t="n"/>
      <c r="L305" s="11">
        <f>IF($S305="","",IF($S305="ITEM_PRICE_PLUS_DECLARED_DELIVERY",IF(OR($J305="",$K305=""),"",SUM($J305,$K305,$U305)),IF($S305="TOTAL_AMOUNT_INCLUDING_DELIVERY",IF($T305="","",$T305),IF($S305="DELIVERY_CHARGE_ONLY",IF($K305="","",SUM($K305,$U305)),IF($S305="EXACT_COLLECTION_AMOUNT",IF($T305="","",$T305),IF($S305="ITEM_PRICE_ONLY_DELIVERY_PAID_BY_MERCHANT",IF($J305="","",SUM($J305,$U305)),""))))))</f>
        <v/>
      </c>
      <c r="M305" s="12" t="n"/>
      <c r="N305" s="13" t="n"/>
      <c r="O305" s="13" t="n"/>
      <c r="P305" s="9" t="n"/>
      <c r="Q305" s="14" t="n"/>
      <c r="R305" s="15" t="n"/>
      <c r="S305" s="14" t="n"/>
      <c r="T305" s="16" t="n"/>
      <c r="U305" s="16" t="n"/>
      <c r="V305" s="16" t="n"/>
      <c r="W305" s="16" t="n"/>
      <c r="X305" s="16" t="n"/>
      <c r="Y305" s="16" t="n"/>
      <c r="Z305" s="14" t="n"/>
      <c r="AA305" s="14" t="n"/>
      <c r="AB305" s="14" t="n"/>
      <c r="AC305" s="17">
        <f>IFERROR(VLOOKUP($H305&amp;"|"&amp;$Q305,Tariff_Master!$A$2:$L$169,3,FALSE),"")</f>
        <v/>
      </c>
      <c r="AD305" s="17">
        <f>IFERROR(VLOOKUP($H305&amp;"|"&amp;$Q305,Tariff_Master!$A$2:$L$169,4,FALSE),"")</f>
        <v/>
      </c>
      <c r="AE305" s="18">
        <f>IFERROR(VLOOKUP($H305&amp;"|"&amp;$Q305,Tariff_Master!$A$2:$L$169,6,FALSE),"")</f>
        <v/>
      </c>
      <c r="AF305" s="19">
        <f>IFERROR(VLOOKUP($H305&amp;"|"&amp;$Q305,Tariff_Master!$A$2:$L$169,7,FALSE),"")</f>
        <v/>
      </c>
      <c r="AG305" s="18">
        <f>IFERROR(VLOOKUP($H305&amp;"|"&amp;$Q305,Tariff_Master!$A$2:$L$169,8,FALSE),"")</f>
        <v/>
      </c>
      <c r="AH305" s="20">
        <f>IFERROR(VLOOKUP($H305&amp;"|"&amp;$Q305,Tariff_Master!$A$2:$L$169,9,FALSE),"")</f>
        <v/>
      </c>
      <c r="AI305" s="18">
        <f>IFERROR(VLOOKUP($H305&amp;"|"&amp;$Q305,Tariff_Master!$A$2:$L$169,10,FALSE),"")</f>
        <v/>
      </c>
      <c r="AJ305" s="21">
        <f>IF($M305="","",ROUNDUP(MAX(0,$M305),0))</f>
        <v/>
      </c>
      <c r="AK305" s="21">
        <f>IF(OR($AJ305="",$AF305=""),"",MAX(0,$AJ305-$AF305))</f>
        <v/>
      </c>
      <c r="AL305" s="22">
        <f>IF(OR($AK305="",$AG305=""),"",MAX(0,$AK305*$AG305))</f>
        <v/>
      </c>
      <c r="AM305" s="22">
        <f>IF($AE305="","",MAX(0,SUM($AE305,$AL305,$V305,$W305)))</f>
        <v/>
      </c>
      <c r="AN305" s="22">
        <f>IF($AM305="","",IF(AND($Q305="COMMITMENT",$R305&gt;=$AH305),$AI305,0))</f>
        <v/>
      </c>
      <c r="AO305" s="23">
        <f>IF($AM305="","",MAX(0,$AM305-$AN305))</f>
        <v/>
      </c>
      <c r="AP305" s="22">
        <f>IF($S305="","",IF(OR($S305="ITEM_PRICE_PLUS_DECLARED_DELIVERY",$S305="DELIVERY_CHARGE_ONLY"),$K305,IF($S305="TOTAL_AMOUNT_INCLUDING_DELIVERY",IF(OR($T305="",$J305=""),"",MAX(0,$T305-$J305-$U305)),IF($S305="ITEM_PRICE_ONLY_DELIVERY_PAID_BY_MERCHANT",0,""))))</f>
        <v/>
      </c>
      <c r="AQ305" s="23">
        <f>IF(OR($AP305="",$AO305=""),"",$AP305-$AO305)</f>
        <v/>
      </c>
      <c r="AR305" s="24">
        <f>IF($S305="EXACT_COLLECTION_AMOUNT","BREAKDOWN_REQUIRED",IF($AQ305="","",IF($AQ305&gt;0,"CREDIT_TO_MERCHANT",IF($AQ305&lt;0,"DEDUCT_FROM_MERCHANT","NO_ADJUSTMENT"))))</f>
        <v/>
      </c>
      <c r="AS305" s="23">
        <f>IF(OR($AQ305="",$AR305="BREAKDOWN_REQUIRED"),"",$AQ305)</f>
        <v/>
      </c>
      <c r="AT305" s="23">
        <f>IF(OR($AR305="",$AR305="BREAKDOWN_REQUIRED"),"",SUM($J305,$AQ305,$Y305)-$X305)</f>
        <v/>
      </c>
      <c r="AU305" s="25">
        <f>IF(AND($A305="",$B305="",$F305="",$H305="",$J305="",$K305="",$M305="",$S305=""),"",IF(OR($H305="",$Q305="",$M305="",$S305=""),"ERROR",IF(OR($J305&lt;0,$K305&lt;0,$M305&lt;0,$T305&lt;0,$U305&lt;0,$V305&lt;0,$W305&lt;0,$X305&lt;0,$Y305&lt;0),"ERROR",IF($AE305="","ERROR",IF(AND(OR($S305="ITEM_PRICE_PLUS_DECLARED_DELIVERY",$S305="TOTAL_AMOUNT_INCLUDING_DELIVERY",$S305="ITEM_PRICE_ONLY_DELIVERY_PAID_BY_MERCHANT"),$J305=""),"ERROR",IF(AND(OR($S305="ITEM_PRICE_PLUS_DECLARED_DELIVERY",$S305="DELIVERY_CHARGE_ONLY"),$K305=""),"ERROR",IF(AND(OR($S305="TOTAL_AMOUNT_INCLUDING_DELIVERY",$S305="EXACT_COLLECTION_AMOUNT"),$T305=""),"ERROR",IF(AND($S305="TOTAL_AMOUNT_INCLUDING_DELIVERY",$T305&lt;SUM($J305,$U305)),"ERROR",IF($S305="EXACT_COLLECTION_AMOUNT","REVIEW","OK")))))))))</f>
        <v/>
      </c>
      <c r="AV305" s="25">
        <f>IF($AU305="","",IF($H305="","Township required",IF($Q305="","Customer tier required",IF($M305="","Weight required",IF($S305="","Amount entry type required",IF(OR($J305&lt;0,$K305&lt;0,$M305&lt;0,$T305&lt;0,$U305&lt;0,$V305&lt;0,$W305&lt;0,$X305&lt;0,$Y305&lt;0),"Negative amounts are not allowed",IF($AE305="","Tariff not found for township and tier",IF(AND(OR($S305="ITEM_PRICE_PLUS_DECLARED_DELIVERY",$S305="TOTAL_AMOUNT_INCLUDING_DELIVERY",$S305="ITEM_PRICE_ONLY_DELIVERY_PAID_BY_MERCHANT"),$J305=""),"Item price required for this amount type",IF(AND(OR($S305="ITEM_PRICE_PLUS_DECLARED_DELIVERY",$S305="DELIVERY_CHARGE_ONLY"),$K305=""),"Declared delivery charge required",IF(AND(OR($S305="TOTAL_AMOUNT_INCLUDING_DELIVERY",$S305="EXACT_COLLECTION_AMOUNT"),$T305=""),"Stated total amount required",IF(AND($S305="TOTAL_AMOUNT_INCLUDING_DELIVERY",$T305&lt;SUM($J305,$U305)),"Stated total is below item price plus additional charge",IF($S305="EXACT_COLLECTION_AMOUNT","Authorized amount breakdown required before settlement","Ready for collection and settlement"))))))))))))</f>
        <v/>
      </c>
      <c r="AW305" s="23">
        <f>IF($AU305="","","PARCEL_FINANCIAL_V2")</f>
        <v/>
      </c>
      <c r="AX305" s="17" t="n"/>
    </row>
    <row r="306">
      <c r="A306" s="8" t="n"/>
      <c r="B306" s="8" t="n"/>
      <c r="C306" s="8" t="n"/>
      <c r="D306" s="8" t="n"/>
      <c r="E306" s="9" t="n"/>
      <c r="F306" s="9" t="n"/>
      <c r="G306" s="8" t="n"/>
      <c r="H306" s="9" t="n"/>
      <c r="I306" s="9" t="n"/>
      <c r="J306" s="10" t="n"/>
      <c r="K306" s="10" t="n"/>
      <c r="L306" s="11">
        <f>IF($S306="","",IF($S306="ITEM_PRICE_PLUS_DECLARED_DELIVERY",IF(OR($J306="",$K306=""),"",SUM($J306,$K306,$U306)),IF($S306="TOTAL_AMOUNT_INCLUDING_DELIVERY",IF($T306="","",$T306),IF($S306="DELIVERY_CHARGE_ONLY",IF($K306="","",SUM($K306,$U306)),IF($S306="EXACT_COLLECTION_AMOUNT",IF($T306="","",$T306),IF($S306="ITEM_PRICE_ONLY_DELIVERY_PAID_BY_MERCHANT",IF($J306="","",SUM($J306,$U306)),""))))))</f>
        <v/>
      </c>
      <c r="M306" s="12" t="n"/>
      <c r="N306" s="13" t="n"/>
      <c r="O306" s="13" t="n"/>
      <c r="P306" s="9" t="n"/>
      <c r="Q306" s="14" t="n"/>
      <c r="R306" s="15" t="n"/>
      <c r="S306" s="14" t="n"/>
      <c r="T306" s="16" t="n"/>
      <c r="U306" s="16" t="n"/>
      <c r="V306" s="16" t="n"/>
      <c r="W306" s="16" t="n"/>
      <c r="X306" s="16" t="n"/>
      <c r="Y306" s="16" t="n"/>
      <c r="Z306" s="14" t="n"/>
      <c r="AA306" s="14" t="n"/>
      <c r="AB306" s="14" t="n"/>
      <c r="AC306" s="17">
        <f>IFERROR(VLOOKUP($H306&amp;"|"&amp;$Q306,Tariff_Master!$A$2:$L$169,3,FALSE),"")</f>
        <v/>
      </c>
      <c r="AD306" s="17">
        <f>IFERROR(VLOOKUP($H306&amp;"|"&amp;$Q306,Tariff_Master!$A$2:$L$169,4,FALSE),"")</f>
        <v/>
      </c>
      <c r="AE306" s="18">
        <f>IFERROR(VLOOKUP($H306&amp;"|"&amp;$Q306,Tariff_Master!$A$2:$L$169,6,FALSE),"")</f>
        <v/>
      </c>
      <c r="AF306" s="19">
        <f>IFERROR(VLOOKUP($H306&amp;"|"&amp;$Q306,Tariff_Master!$A$2:$L$169,7,FALSE),"")</f>
        <v/>
      </c>
      <c r="AG306" s="18">
        <f>IFERROR(VLOOKUP($H306&amp;"|"&amp;$Q306,Tariff_Master!$A$2:$L$169,8,FALSE),"")</f>
        <v/>
      </c>
      <c r="AH306" s="20">
        <f>IFERROR(VLOOKUP($H306&amp;"|"&amp;$Q306,Tariff_Master!$A$2:$L$169,9,FALSE),"")</f>
        <v/>
      </c>
      <c r="AI306" s="18">
        <f>IFERROR(VLOOKUP($H306&amp;"|"&amp;$Q306,Tariff_Master!$A$2:$L$169,10,FALSE),"")</f>
        <v/>
      </c>
      <c r="AJ306" s="21">
        <f>IF($M306="","",ROUNDUP(MAX(0,$M306),0))</f>
        <v/>
      </c>
      <c r="AK306" s="21">
        <f>IF(OR($AJ306="",$AF306=""),"",MAX(0,$AJ306-$AF306))</f>
        <v/>
      </c>
      <c r="AL306" s="22">
        <f>IF(OR($AK306="",$AG306=""),"",MAX(0,$AK306*$AG306))</f>
        <v/>
      </c>
      <c r="AM306" s="22">
        <f>IF($AE306="","",MAX(0,SUM($AE306,$AL306,$V306,$W306)))</f>
        <v/>
      </c>
      <c r="AN306" s="22">
        <f>IF($AM306="","",IF(AND($Q306="COMMITMENT",$R306&gt;=$AH306),$AI306,0))</f>
        <v/>
      </c>
      <c r="AO306" s="23">
        <f>IF($AM306="","",MAX(0,$AM306-$AN306))</f>
        <v/>
      </c>
      <c r="AP306" s="22">
        <f>IF($S306="","",IF(OR($S306="ITEM_PRICE_PLUS_DECLARED_DELIVERY",$S306="DELIVERY_CHARGE_ONLY"),$K306,IF($S306="TOTAL_AMOUNT_INCLUDING_DELIVERY",IF(OR($T306="",$J306=""),"",MAX(0,$T306-$J306-$U306)),IF($S306="ITEM_PRICE_ONLY_DELIVERY_PAID_BY_MERCHANT",0,""))))</f>
        <v/>
      </c>
      <c r="AQ306" s="23">
        <f>IF(OR($AP306="",$AO306=""),"",$AP306-$AO306)</f>
        <v/>
      </c>
      <c r="AR306" s="24">
        <f>IF($S306="EXACT_COLLECTION_AMOUNT","BREAKDOWN_REQUIRED",IF($AQ306="","",IF($AQ306&gt;0,"CREDIT_TO_MERCHANT",IF($AQ306&lt;0,"DEDUCT_FROM_MERCHANT","NO_ADJUSTMENT"))))</f>
        <v/>
      </c>
      <c r="AS306" s="23">
        <f>IF(OR($AQ306="",$AR306="BREAKDOWN_REQUIRED"),"",$AQ306)</f>
        <v/>
      </c>
      <c r="AT306" s="23">
        <f>IF(OR($AR306="",$AR306="BREAKDOWN_REQUIRED"),"",SUM($J306,$AQ306,$Y306)-$X306)</f>
        <v/>
      </c>
      <c r="AU306" s="25">
        <f>IF(AND($A306="",$B306="",$F306="",$H306="",$J306="",$K306="",$M306="",$S306=""),"",IF(OR($H306="",$Q306="",$M306="",$S306=""),"ERROR",IF(OR($J306&lt;0,$K306&lt;0,$M306&lt;0,$T306&lt;0,$U306&lt;0,$V306&lt;0,$W306&lt;0,$X306&lt;0,$Y306&lt;0),"ERROR",IF($AE306="","ERROR",IF(AND(OR($S306="ITEM_PRICE_PLUS_DECLARED_DELIVERY",$S306="TOTAL_AMOUNT_INCLUDING_DELIVERY",$S306="ITEM_PRICE_ONLY_DELIVERY_PAID_BY_MERCHANT"),$J306=""),"ERROR",IF(AND(OR($S306="ITEM_PRICE_PLUS_DECLARED_DELIVERY",$S306="DELIVERY_CHARGE_ONLY"),$K306=""),"ERROR",IF(AND(OR($S306="TOTAL_AMOUNT_INCLUDING_DELIVERY",$S306="EXACT_COLLECTION_AMOUNT"),$T306=""),"ERROR",IF(AND($S306="TOTAL_AMOUNT_INCLUDING_DELIVERY",$T306&lt;SUM($J306,$U306)),"ERROR",IF($S306="EXACT_COLLECTION_AMOUNT","REVIEW","OK")))))))))</f>
        <v/>
      </c>
      <c r="AV306" s="25">
        <f>IF($AU306="","",IF($H306="","Township required",IF($Q306="","Customer tier required",IF($M306="","Weight required",IF($S306="","Amount entry type required",IF(OR($J306&lt;0,$K306&lt;0,$M306&lt;0,$T306&lt;0,$U306&lt;0,$V306&lt;0,$W306&lt;0,$X306&lt;0,$Y306&lt;0),"Negative amounts are not allowed",IF($AE306="","Tariff not found for township and tier",IF(AND(OR($S306="ITEM_PRICE_PLUS_DECLARED_DELIVERY",$S306="TOTAL_AMOUNT_INCLUDING_DELIVERY",$S306="ITEM_PRICE_ONLY_DELIVERY_PAID_BY_MERCHANT"),$J306=""),"Item price required for this amount type",IF(AND(OR($S306="ITEM_PRICE_PLUS_DECLARED_DELIVERY",$S306="DELIVERY_CHARGE_ONLY"),$K306=""),"Declared delivery charge required",IF(AND(OR($S306="TOTAL_AMOUNT_INCLUDING_DELIVERY",$S306="EXACT_COLLECTION_AMOUNT"),$T306=""),"Stated total amount required",IF(AND($S306="TOTAL_AMOUNT_INCLUDING_DELIVERY",$T306&lt;SUM($J306,$U306)),"Stated total is below item price plus additional charge",IF($S306="EXACT_COLLECTION_AMOUNT","Authorized amount breakdown required before settlement","Ready for collection and settlement"))))))))))))</f>
        <v/>
      </c>
      <c r="AW306" s="23">
        <f>IF($AU306="","","PARCEL_FINANCIAL_V2")</f>
        <v/>
      </c>
      <c r="AX306" s="17" t="n"/>
    </row>
    <row r="307">
      <c r="A307" s="8" t="n"/>
      <c r="B307" s="8" t="n"/>
      <c r="C307" s="8" t="n"/>
      <c r="D307" s="8" t="n"/>
      <c r="E307" s="9" t="n"/>
      <c r="F307" s="9" t="n"/>
      <c r="G307" s="8" t="n"/>
      <c r="H307" s="9" t="n"/>
      <c r="I307" s="9" t="n"/>
      <c r="J307" s="10" t="n"/>
      <c r="K307" s="10" t="n"/>
      <c r="L307" s="11">
        <f>IF($S307="","",IF($S307="ITEM_PRICE_PLUS_DECLARED_DELIVERY",IF(OR($J307="",$K307=""),"",SUM($J307,$K307,$U307)),IF($S307="TOTAL_AMOUNT_INCLUDING_DELIVERY",IF($T307="","",$T307),IF($S307="DELIVERY_CHARGE_ONLY",IF($K307="","",SUM($K307,$U307)),IF($S307="EXACT_COLLECTION_AMOUNT",IF($T307="","",$T307),IF($S307="ITEM_PRICE_ONLY_DELIVERY_PAID_BY_MERCHANT",IF($J307="","",SUM($J307,$U307)),""))))))</f>
        <v/>
      </c>
      <c r="M307" s="12" t="n"/>
      <c r="N307" s="13" t="n"/>
      <c r="O307" s="13" t="n"/>
      <c r="P307" s="9" t="n"/>
      <c r="Q307" s="14" t="n"/>
      <c r="R307" s="15" t="n"/>
      <c r="S307" s="14" t="n"/>
      <c r="T307" s="16" t="n"/>
      <c r="U307" s="16" t="n"/>
      <c r="V307" s="16" t="n"/>
      <c r="W307" s="16" t="n"/>
      <c r="X307" s="16" t="n"/>
      <c r="Y307" s="16" t="n"/>
      <c r="Z307" s="14" t="n"/>
      <c r="AA307" s="14" t="n"/>
      <c r="AB307" s="14" t="n"/>
      <c r="AC307" s="17">
        <f>IFERROR(VLOOKUP($H307&amp;"|"&amp;$Q307,Tariff_Master!$A$2:$L$169,3,FALSE),"")</f>
        <v/>
      </c>
      <c r="AD307" s="17">
        <f>IFERROR(VLOOKUP($H307&amp;"|"&amp;$Q307,Tariff_Master!$A$2:$L$169,4,FALSE),"")</f>
        <v/>
      </c>
      <c r="AE307" s="18">
        <f>IFERROR(VLOOKUP($H307&amp;"|"&amp;$Q307,Tariff_Master!$A$2:$L$169,6,FALSE),"")</f>
        <v/>
      </c>
      <c r="AF307" s="19">
        <f>IFERROR(VLOOKUP($H307&amp;"|"&amp;$Q307,Tariff_Master!$A$2:$L$169,7,FALSE),"")</f>
        <v/>
      </c>
      <c r="AG307" s="18">
        <f>IFERROR(VLOOKUP($H307&amp;"|"&amp;$Q307,Tariff_Master!$A$2:$L$169,8,FALSE),"")</f>
        <v/>
      </c>
      <c r="AH307" s="20">
        <f>IFERROR(VLOOKUP($H307&amp;"|"&amp;$Q307,Tariff_Master!$A$2:$L$169,9,FALSE),"")</f>
        <v/>
      </c>
      <c r="AI307" s="18">
        <f>IFERROR(VLOOKUP($H307&amp;"|"&amp;$Q307,Tariff_Master!$A$2:$L$169,10,FALSE),"")</f>
        <v/>
      </c>
      <c r="AJ307" s="21">
        <f>IF($M307="","",ROUNDUP(MAX(0,$M307),0))</f>
        <v/>
      </c>
      <c r="AK307" s="21">
        <f>IF(OR($AJ307="",$AF307=""),"",MAX(0,$AJ307-$AF307))</f>
        <v/>
      </c>
      <c r="AL307" s="22">
        <f>IF(OR($AK307="",$AG307=""),"",MAX(0,$AK307*$AG307))</f>
        <v/>
      </c>
      <c r="AM307" s="22">
        <f>IF($AE307="","",MAX(0,SUM($AE307,$AL307,$V307,$W307)))</f>
        <v/>
      </c>
      <c r="AN307" s="22">
        <f>IF($AM307="","",IF(AND($Q307="COMMITMENT",$R307&gt;=$AH307),$AI307,0))</f>
        <v/>
      </c>
      <c r="AO307" s="23">
        <f>IF($AM307="","",MAX(0,$AM307-$AN307))</f>
        <v/>
      </c>
      <c r="AP307" s="22">
        <f>IF($S307="","",IF(OR($S307="ITEM_PRICE_PLUS_DECLARED_DELIVERY",$S307="DELIVERY_CHARGE_ONLY"),$K307,IF($S307="TOTAL_AMOUNT_INCLUDING_DELIVERY",IF(OR($T307="",$J307=""),"",MAX(0,$T307-$J307-$U307)),IF($S307="ITEM_PRICE_ONLY_DELIVERY_PAID_BY_MERCHANT",0,""))))</f>
        <v/>
      </c>
      <c r="AQ307" s="23">
        <f>IF(OR($AP307="",$AO307=""),"",$AP307-$AO307)</f>
        <v/>
      </c>
      <c r="AR307" s="24">
        <f>IF($S307="EXACT_COLLECTION_AMOUNT","BREAKDOWN_REQUIRED",IF($AQ307="","",IF($AQ307&gt;0,"CREDIT_TO_MERCHANT",IF($AQ307&lt;0,"DEDUCT_FROM_MERCHANT","NO_ADJUSTMENT"))))</f>
        <v/>
      </c>
      <c r="AS307" s="23">
        <f>IF(OR($AQ307="",$AR307="BREAKDOWN_REQUIRED"),"",$AQ307)</f>
        <v/>
      </c>
      <c r="AT307" s="23">
        <f>IF(OR($AR307="",$AR307="BREAKDOWN_REQUIRED"),"",SUM($J307,$AQ307,$Y307)-$X307)</f>
        <v/>
      </c>
      <c r="AU307" s="25">
        <f>IF(AND($A307="",$B307="",$F307="",$H307="",$J307="",$K307="",$M307="",$S307=""),"",IF(OR($H307="",$Q307="",$M307="",$S307=""),"ERROR",IF(OR($J307&lt;0,$K307&lt;0,$M307&lt;0,$T307&lt;0,$U307&lt;0,$V307&lt;0,$W307&lt;0,$X307&lt;0,$Y307&lt;0),"ERROR",IF($AE307="","ERROR",IF(AND(OR($S307="ITEM_PRICE_PLUS_DECLARED_DELIVERY",$S307="TOTAL_AMOUNT_INCLUDING_DELIVERY",$S307="ITEM_PRICE_ONLY_DELIVERY_PAID_BY_MERCHANT"),$J307=""),"ERROR",IF(AND(OR($S307="ITEM_PRICE_PLUS_DECLARED_DELIVERY",$S307="DELIVERY_CHARGE_ONLY"),$K307=""),"ERROR",IF(AND(OR($S307="TOTAL_AMOUNT_INCLUDING_DELIVERY",$S307="EXACT_COLLECTION_AMOUNT"),$T307=""),"ERROR",IF(AND($S307="TOTAL_AMOUNT_INCLUDING_DELIVERY",$T307&lt;SUM($J307,$U307)),"ERROR",IF($S307="EXACT_COLLECTION_AMOUNT","REVIEW","OK")))))))))</f>
        <v/>
      </c>
      <c r="AV307" s="25">
        <f>IF($AU307="","",IF($H307="","Township required",IF($Q307="","Customer tier required",IF($M307="","Weight required",IF($S307="","Amount entry type required",IF(OR($J307&lt;0,$K307&lt;0,$M307&lt;0,$T307&lt;0,$U307&lt;0,$V307&lt;0,$W307&lt;0,$X307&lt;0,$Y307&lt;0),"Negative amounts are not allowed",IF($AE307="","Tariff not found for township and tier",IF(AND(OR($S307="ITEM_PRICE_PLUS_DECLARED_DELIVERY",$S307="TOTAL_AMOUNT_INCLUDING_DELIVERY",$S307="ITEM_PRICE_ONLY_DELIVERY_PAID_BY_MERCHANT"),$J307=""),"Item price required for this amount type",IF(AND(OR($S307="ITEM_PRICE_PLUS_DECLARED_DELIVERY",$S307="DELIVERY_CHARGE_ONLY"),$K307=""),"Declared delivery charge required",IF(AND(OR($S307="TOTAL_AMOUNT_INCLUDING_DELIVERY",$S307="EXACT_COLLECTION_AMOUNT"),$T307=""),"Stated total amount required",IF(AND($S307="TOTAL_AMOUNT_INCLUDING_DELIVERY",$T307&lt;SUM($J307,$U307)),"Stated total is below item price plus additional charge",IF($S307="EXACT_COLLECTION_AMOUNT","Authorized amount breakdown required before settlement","Ready for collection and settlement"))))))))))))</f>
        <v/>
      </c>
      <c r="AW307" s="23">
        <f>IF($AU307="","","PARCEL_FINANCIAL_V2")</f>
        <v/>
      </c>
      <c r="AX307" s="17" t="n"/>
    </row>
    <row r="308">
      <c r="A308" s="8" t="n"/>
      <c r="B308" s="8" t="n"/>
      <c r="C308" s="8" t="n"/>
      <c r="D308" s="8" t="n"/>
      <c r="E308" s="9" t="n"/>
      <c r="F308" s="9" t="n"/>
      <c r="G308" s="8" t="n"/>
      <c r="H308" s="9" t="n"/>
      <c r="I308" s="9" t="n"/>
      <c r="J308" s="10" t="n"/>
      <c r="K308" s="10" t="n"/>
      <c r="L308" s="11">
        <f>IF($S308="","",IF($S308="ITEM_PRICE_PLUS_DECLARED_DELIVERY",IF(OR($J308="",$K308=""),"",SUM($J308,$K308,$U308)),IF($S308="TOTAL_AMOUNT_INCLUDING_DELIVERY",IF($T308="","",$T308),IF($S308="DELIVERY_CHARGE_ONLY",IF($K308="","",SUM($K308,$U308)),IF($S308="EXACT_COLLECTION_AMOUNT",IF($T308="","",$T308),IF($S308="ITEM_PRICE_ONLY_DELIVERY_PAID_BY_MERCHANT",IF($J308="","",SUM($J308,$U308)),""))))))</f>
        <v/>
      </c>
      <c r="M308" s="12" t="n"/>
      <c r="N308" s="13" t="n"/>
      <c r="O308" s="13" t="n"/>
      <c r="P308" s="9" t="n"/>
      <c r="Q308" s="14" t="n"/>
      <c r="R308" s="15" t="n"/>
      <c r="S308" s="14" t="n"/>
      <c r="T308" s="16" t="n"/>
      <c r="U308" s="16" t="n"/>
      <c r="V308" s="16" t="n"/>
      <c r="W308" s="16" t="n"/>
      <c r="X308" s="16" t="n"/>
      <c r="Y308" s="16" t="n"/>
      <c r="Z308" s="14" t="n"/>
      <c r="AA308" s="14" t="n"/>
      <c r="AB308" s="14" t="n"/>
      <c r="AC308" s="17">
        <f>IFERROR(VLOOKUP($H308&amp;"|"&amp;$Q308,Tariff_Master!$A$2:$L$169,3,FALSE),"")</f>
        <v/>
      </c>
      <c r="AD308" s="17">
        <f>IFERROR(VLOOKUP($H308&amp;"|"&amp;$Q308,Tariff_Master!$A$2:$L$169,4,FALSE),"")</f>
        <v/>
      </c>
      <c r="AE308" s="18">
        <f>IFERROR(VLOOKUP($H308&amp;"|"&amp;$Q308,Tariff_Master!$A$2:$L$169,6,FALSE),"")</f>
        <v/>
      </c>
      <c r="AF308" s="19">
        <f>IFERROR(VLOOKUP($H308&amp;"|"&amp;$Q308,Tariff_Master!$A$2:$L$169,7,FALSE),"")</f>
        <v/>
      </c>
      <c r="AG308" s="18">
        <f>IFERROR(VLOOKUP($H308&amp;"|"&amp;$Q308,Tariff_Master!$A$2:$L$169,8,FALSE),"")</f>
        <v/>
      </c>
      <c r="AH308" s="20">
        <f>IFERROR(VLOOKUP($H308&amp;"|"&amp;$Q308,Tariff_Master!$A$2:$L$169,9,FALSE),"")</f>
        <v/>
      </c>
      <c r="AI308" s="18">
        <f>IFERROR(VLOOKUP($H308&amp;"|"&amp;$Q308,Tariff_Master!$A$2:$L$169,10,FALSE),"")</f>
        <v/>
      </c>
      <c r="AJ308" s="21">
        <f>IF($M308="","",ROUNDUP(MAX(0,$M308),0))</f>
        <v/>
      </c>
      <c r="AK308" s="21">
        <f>IF(OR($AJ308="",$AF308=""),"",MAX(0,$AJ308-$AF308))</f>
        <v/>
      </c>
      <c r="AL308" s="22">
        <f>IF(OR($AK308="",$AG308=""),"",MAX(0,$AK308*$AG308))</f>
        <v/>
      </c>
      <c r="AM308" s="22">
        <f>IF($AE308="","",MAX(0,SUM($AE308,$AL308,$V308,$W308)))</f>
        <v/>
      </c>
      <c r="AN308" s="22">
        <f>IF($AM308="","",IF(AND($Q308="COMMITMENT",$R308&gt;=$AH308),$AI308,0))</f>
        <v/>
      </c>
      <c r="AO308" s="23">
        <f>IF($AM308="","",MAX(0,$AM308-$AN308))</f>
        <v/>
      </c>
      <c r="AP308" s="22">
        <f>IF($S308="","",IF(OR($S308="ITEM_PRICE_PLUS_DECLARED_DELIVERY",$S308="DELIVERY_CHARGE_ONLY"),$K308,IF($S308="TOTAL_AMOUNT_INCLUDING_DELIVERY",IF(OR($T308="",$J308=""),"",MAX(0,$T308-$J308-$U308)),IF($S308="ITEM_PRICE_ONLY_DELIVERY_PAID_BY_MERCHANT",0,""))))</f>
        <v/>
      </c>
      <c r="AQ308" s="23">
        <f>IF(OR($AP308="",$AO308=""),"",$AP308-$AO308)</f>
        <v/>
      </c>
      <c r="AR308" s="24">
        <f>IF($S308="EXACT_COLLECTION_AMOUNT","BREAKDOWN_REQUIRED",IF($AQ308="","",IF($AQ308&gt;0,"CREDIT_TO_MERCHANT",IF($AQ308&lt;0,"DEDUCT_FROM_MERCHANT","NO_ADJUSTMENT"))))</f>
        <v/>
      </c>
      <c r="AS308" s="23">
        <f>IF(OR($AQ308="",$AR308="BREAKDOWN_REQUIRED"),"",$AQ308)</f>
        <v/>
      </c>
      <c r="AT308" s="23">
        <f>IF(OR($AR308="",$AR308="BREAKDOWN_REQUIRED"),"",SUM($J308,$AQ308,$Y308)-$X308)</f>
        <v/>
      </c>
      <c r="AU308" s="25">
        <f>IF(AND($A308="",$B308="",$F308="",$H308="",$J308="",$K308="",$M308="",$S308=""),"",IF(OR($H308="",$Q308="",$M308="",$S308=""),"ERROR",IF(OR($J308&lt;0,$K308&lt;0,$M308&lt;0,$T308&lt;0,$U308&lt;0,$V308&lt;0,$W308&lt;0,$X308&lt;0,$Y308&lt;0),"ERROR",IF($AE308="","ERROR",IF(AND(OR($S308="ITEM_PRICE_PLUS_DECLARED_DELIVERY",$S308="TOTAL_AMOUNT_INCLUDING_DELIVERY",$S308="ITEM_PRICE_ONLY_DELIVERY_PAID_BY_MERCHANT"),$J308=""),"ERROR",IF(AND(OR($S308="ITEM_PRICE_PLUS_DECLARED_DELIVERY",$S308="DELIVERY_CHARGE_ONLY"),$K308=""),"ERROR",IF(AND(OR($S308="TOTAL_AMOUNT_INCLUDING_DELIVERY",$S308="EXACT_COLLECTION_AMOUNT"),$T308=""),"ERROR",IF(AND($S308="TOTAL_AMOUNT_INCLUDING_DELIVERY",$T308&lt;SUM($J308,$U308)),"ERROR",IF($S308="EXACT_COLLECTION_AMOUNT","REVIEW","OK")))))))))</f>
        <v/>
      </c>
      <c r="AV308" s="25">
        <f>IF($AU308="","",IF($H308="","Township required",IF($Q308="","Customer tier required",IF($M308="","Weight required",IF($S308="","Amount entry type required",IF(OR($J308&lt;0,$K308&lt;0,$M308&lt;0,$T308&lt;0,$U308&lt;0,$V308&lt;0,$W308&lt;0,$X308&lt;0,$Y308&lt;0),"Negative amounts are not allowed",IF($AE308="","Tariff not found for township and tier",IF(AND(OR($S308="ITEM_PRICE_PLUS_DECLARED_DELIVERY",$S308="TOTAL_AMOUNT_INCLUDING_DELIVERY",$S308="ITEM_PRICE_ONLY_DELIVERY_PAID_BY_MERCHANT"),$J308=""),"Item price required for this amount type",IF(AND(OR($S308="ITEM_PRICE_PLUS_DECLARED_DELIVERY",$S308="DELIVERY_CHARGE_ONLY"),$K308=""),"Declared delivery charge required",IF(AND(OR($S308="TOTAL_AMOUNT_INCLUDING_DELIVERY",$S308="EXACT_COLLECTION_AMOUNT"),$T308=""),"Stated total amount required",IF(AND($S308="TOTAL_AMOUNT_INCLUDING_DELIVERY",$T308&lt;SUM($J308,$U308)),"Stated total is below item price plus additional charge",IF($S308="EXACT_COLLECTION_AMOUNT","Authorized amount breakdown required before settlement","Ready for collection and settlement"))))))))))))</f>
        <v/>
      </c>
      <c r="AW308" s="23">
        <f>IF($AU308="","","PARCEL_FINANCIAL_V2")</f>
        <v/>
      </c>
      <c r="AX308" s="17" t="n"/>
    </row>
    <row r="309">
      <c r="A309" s="8" t="n"/>
      <c r="B309" s="8" t="n"/>
      <c r="C309" s="8" t="n"/>
      <c r="D309" s="8" t="n"/>
      <c r="E309" s="9" t="n"/>
      <c r="F309" s="9" t="n"/>
      <c r="G309" s="8" t="n"/>
      <c r="H309" s="9" t="n"/>
      <c r="I309" s="9" t="n"/>
      <c r="J309" s="10" t="n"/>
      <c r="K309" s="10" t="n"/>
      <c r="L309" s="11">
        <f>IF($S309="","",IF($S309="ITEM_PRICE_PLUS_DECLARED_DELIVERY",IF(OR($J309="",$K309=""),"",SUM($J309,$K309,$U309)),IF($S309="TOTAL_AMOUNT_INCLUDING_DELIVERY",IF($T309="","",$T309),IF($S309="DELIVERY_CHARGE_ONLY",IF($K309="","",SUM($K309,$U309)),IF($S309="EXACT_COLLECTION_AMOUNT",IF($T309="","",$T309),IF($S309="ITEM_PRICE_ONLY_DELIVERY_PAID_BY_MERCHANT",IF($J309="","",SUM($J309,$U309)),""))))))</f>
        <v/>
      </c>
      <c r="M309" s="12" t="n"/>
      <c r="N309" s="13" t="n"/>
      <c r="O309" s="13" t="n"/>
      <c r="P309" s="9" t="n"/>
      <c r="Q309" s="14" t="n"/>
      <c r="R309" s="15" t="n"/>
      <c r="S309" s="14" t="n"/>
      <c r="T309" s="16" t="n"/>
      <c r="U309" s="16" t="n"/>
      <c r="V309" s="16" t="n"/>
      <c r="W309" s="16" t="n"/>
      <c r="X309" s="16" t="n"/>
      <c r="Y309" s="16" t="n"/>
      <c r="Z309" s="14" t="n"/>
      <c r="AA309" s="14" t="n"/>
      <c r="AB309" s="14" t="n"/>
      <c r="AC309" s="17">
        <f>IFERROR(VLOOKUP($H309&amp;"|"&amp;$Q309,Tariff_Master!$A$2:$L$169,3,FALSE),"")</f>
        <v/>
      </c>
      <c r="AD309" s="17">
        <f>IFERROR(VLOOKUP($H309&amp;"|"&amp;$Q309,Tariff_Master!$A$2:$L$169,4,FALSE),"")</f>
        <v/>
      </c>
      <c r="AE309" s="18">
        <f>IFERROR(VLOOKUP($H309&amp;"|"&amp;$Q309,Tariff_Master!$A$2:$L$169,6,FALSE),"")</f>
        <v/>
      </c>
      <c r="AF309" s="19">
        <f>IFERROR(VLOOKUP($H309&amp;"|"&amp;$Q309,Tariff_Master!$A$2:$L$169,7,FALSE),"")</f>
        <v/>
      </c>
      <c r="AG309" s="18">
        <f>IFERROR(VLOOKUP($H309&amp;"|"&amp;$Q309,Tariff_Master!$A$2:$L$169,8,FALSE),"")</f>
        <v/>
      </c>
      <c r="AH309" s="20">
        <f>IFERROR(VLOOKUP($H309&amp;"|"&amp;$Q309,Tariff_Master!$A$2:$L$169,9,FALSE),"")</f>
        <v/>
      </c>
      <c r="AI309" s="18">
        <f>IFERROR(VLOOKUP($H309&amp;"|"&amp;$Q309,Tariff_Master!$A$2:$L$169,10,FALSE),"")</f>
        <v/>
      </c>
      <c r="AJ309" s="21">
        <f>IF($M309="","",ROUNDUP(MAX(0,$M309),0))</f>
        <v/>
      </c>
      <c r="AK309" s="21">
        <f>IF(OR($AJ309="",$AF309=""),"",MAX(0,$AJ309-$AF309))</f>
        <v/>
      </c>
      <c r="AL309" s="22">
        <f>IF(OR($AK309="",$AG309=""),"",MAX(0,$AK309*$AG309))</f>
        <v/>
      </c>
      <c r="AM309" s="22">
        <f>IF($AE309="","",MAX(0,SUM($AE309,$AL309,$V309,$W309)))</f>
        <v/>
      </c>
      <c r="AN309" s="22">
        <f>IF($AM309="","",IF(AND($Q309="COMMITMENT",$R309&gt;=$AH309),$AI309,0))</f>
        <v/>
      </c>
      <c r="AO309" s="23">
        <f>IF($AM309="","",MAX(0,$AM309-$AN309))</f>
        <v/>
      </c>
      <c r="AP309" s="22">
        <f>IF($S309="","",IF(OR($S309="ITEM_PRICE_PLUS_DECLARED_DELIVERY",$S309="DELIVERY_CHARGE_ONLY"),$K309,IF($S309="TOTAL_AMOUNT_INCLUDING_DELIVERY",IF(OR($T309="",$J309=""),"",MAX(0,$T309-$J309-$U309)),IF($S309="ITEM_PRICE_ONLY_DELIVERY_PAID_BY_MERCHANT",0,""))))</f>
        <v/>
      </c>
      <c r="AQ309" s="23">
        <f>IF(OR($AP309="",$AO309=""),"",$AP309-$AO309)</f>
        <v/>
      </c>
      <c r="AR309" s="24">
        <f>IF($S309="EXACT_COLLECTION_AMOUNT","BREAKDOWN_REQUIRED",IF($AQ309="","",IF($AQ309&gt;0,"CREDIT_TO_MERCHANT",IF($AQ309&lt;0,"DEDUCT_FROM_MERCHANT","NO_ADJUSTMENT"))))</f>
        <v/>
      </c>
      <c r="AS309" s="23">
        <f>IF(OR($AQ309="",$AR309="BREAKDOWN_REQUIRED"),"",$AQ309)</f>
        <v/>
      </c>
      <c r="AT309" s="23">
        <f>IF(OR($AR309="",$AR309="BREAKDOWN_REQUIRED"),"",SUM($J309,$AQ309,$Y309)-$X309)</f>
        <v/>
      </c>
      <c r="AU309" s="25">
        <f>IF(AND($A309="",$B309="",$F309="",$H309="",$J309="",$K309="",$M309="",$S309=""),"",IF(OR($H309="",$Q309="",$M309="",$S309=""),"ERROR",IF(OR($J309&lt;0,$K309&lt;0,$M309&lt;0,$T309&lt;0,$U309&lt;0,$V309&lt;0,$W309&lt;0,$X309&lt;0,$Y309&lt;0),"ERROR",IF($AE309="","ERROR",IF(AND(OR($S309="ITEM_PRICE_PLUS_DECLARED_DELIVERY",$S309="TOTAL_AMOUNT_INCLUDING_DELIVERY",$S309="ITEM_PRICE_ONLY_DELIVERY_PAID_BY_MERCHANT"),$J309=""),"ERROR",IF(AND(OR($S309="ITEM_PRICE_PLUS_DECLARED_DELIVERY",$S309="DELIVERY_CHARGE_ONLY"),$K309=""),"ERROR",IF(AND(OR($S309="TOTAL_AMOUNT_INCLUDING_DELIVERY",$S309="EXACT_COLLECTION_AMOUNT"),$T309=""),"ERROR",IF(AND($S309="TOTAL_AMOUNT_INCLUDING_DELIVERY",$T309&lt;SUM($J309,$U309)),"ERROR",IF($S309="EXACT_COLLECTION_AMOUNT","REVIEW","OK")))))))))</f>
        <v/>
      </c>
      <c r="AV309" s="25">
        <f>IF($AU309="","",IF($H309="","Township required",IF($Q309="","Customer tier required",IF($M309="","Weight required",IF($S309="","Amount entry type required",IF(OR($J309&lt;0,$K309&lt;0,$M309&lt;0,$T309&lt;0,$U309&lt;0,$V309&lt;0,$W309&lt;0,$X309&lt;0,$Y309&lt;0),"Negative amounts are not allowed",IF($AE309="","Tariff not found for township and tier",IF(AND(OR($S309="ITEM_PRICE_PLUS_DECLARED_DELIVERY",$S309="TOTAL_AMOUNT_INCLUDING_DELIVERY",$S309="ITEM_PRICE_ONLY_DELIVERY_PAID_BY_MERCHANT"),$J309=""),"Item price required for this amount type",IF(AND(OR($S309="ITEM_PRICE_PLUS_DECLARED_DELIVERY",$S309="DELIVERY_CHARGE_ONLY"),$K309=""),"Declared delivery charge required",IF(AND(OR($S309="TOTAL_AMOUNT_INCLUDING_DELIVERY",$S309="EXACT_COLLECTION_AMOUNT"),$T309=""),"Stated total amount required",IF(AND($S309="TOTAL_AMOUNT_INCLUDING_DELIVERY",$T309&lt;SUM($J309,$U309)),"Stated total is below item price plus additional charge",IF($S309="EXACT_COLLECTION_AMOUNT","Authorized amount breakdown required before settlement","Ready for collection and settlement"))))))))))))</f>
        <v/>
      </c>
      <c r="AW309" s="23">
        <f>IF($AU309="","","PARCEL_FINANCIAL_V2")</f>
        <v/>
      </c>
      <c r="AX309" s="17" t="n"/>
    </row>
    <row r="310">
      <c r="A310" s="8" t="n"/>
      <c r="B310" s="8" t="n"/>
      <c r="C310" s="8" t="n"/>
      <c r="D310" s="8" t="n"/>
      <c r="E310" s="9" t="n"/>
      <c r="F310" s="9" t="n"/>
      <c r="G310" s="8" t="n"/>
      <c r="H310" s="9" t="n"/>
      <c r="I310" s="9" t="n"/>
      <c r="J310" s="10" t="n"/>
      <c r="K310" s="10" t="n"/>
      <c r="L310" s="11">
        <f>IF($S310="","",IF($S310="ITEM_PRICE_PLUS_DECLARED_DELIVERY",IF(OR($J310="",$K310=""),"",SUM($J310,$K310,$U310)),IF($S310="TOTAL_AMOUNT_INCLUDING_DELIVERY",IF($T310="","",$T310),IF($S310="DELIVERY_CHARGE_ONLY",IF($K310="","",SUM($K310,$U310)),IF($S310="EXACT_COLLECTION_AMOUNT",IF($T310="","",$T310),IF($S310="ITEM_PRICE_ONLY_DELIVERY_PAID_BY_MERCHANT",IF($J310="","",SUM($J310,$U310)),""))))))</f>
        <v/>
      </c>
      <c r="M310" s="12" t="n"/>
      <c r="N310" s="13" t="n"/>
      <c r="O310" s="13" t="n"/>
      <c r="P310" s="9" t="n"/>
      <c r="Q310" s="14" t="n"/>
      <c r="R310" s="15" t="n"/>
      <c r="S310" s="14" t="n"/>
      <c r="T310" s="16" t="n"/>
      <c r="U310" s="16" t="n"/>
      <c r="V310" s="16" t="n"/>
      <c r="W310" s="16" t="n"/>
      <c r="X310" s="16" t="n"/>
      <c r="Y310" s="16" t="n"/>
      <c r="Z310" s="14" t="n"/>
      <c r="AA310" s="14" t="n"/>
      <c r="AB310" s="14" t="n"/>
      <c r="AC310" s="17">
        <f>IFERROR(VLOOKUP($H310&amp;"|"&amp;$Q310,Tariff_Master!$A$2:$L$169,3,FALSE),"")</f>
        <v/>
      </c>
      <c r="AD310" s="17">
        <f>IFERROR(VLOOKUP($H310&amp;"|"&amp;$Q310,Tariff_Master!$A$2:$L$169,4,FALSE),"")</f>
        <v/>
      </c>
      <c r="AE310" s="18">
        <f>IFERROR(VLOOKUP($H310&amp;"|"&amp;$Q310,Tariff_Master!$A$2:$L$169,6,FALSE),"")</f>
        <v/>
      </c>
      <c r="AF310" s="19">
        <f>IFERROR(VLOOKUP($H310&amp;"|"&amp;$Q310,Tariff_Master!$A$2:$L$169,7,FALSE),"")</f>
        <v/>
      </c>
      <c r="AG310" s="18">
        <f>IFERROR(VLOOKUP($H310&amp;"|"&amp;$Q310,Tariff_Master!$A$2:$L$169,8,FALSE),"")</f>
        <v/>
      </c>
      <c r="AH310" s="20">
        <f>IFERROR(VLOOKUP($H310&amp;"|"&amp;$Q310,Tariff_Master!$A$2:$L$169,9,FALSE),"")</f>
        <v/>
      </c>
      <c r="AI310" s="18">
        <f>IFERROR(VLOOKUP($H310&amp;"|"&amp;$Q310,Tariff_Master!$A$2:$L$169,10,FALSE),"")</f>
        <v/>
      </c>
      <c r="AJ310" s="21">
        <f>IF($M310="","",ROUNDUP(MAX(0,$M310),0))</f>
        <v/>
      </c>
      <c r="AK310" s="21">
        <f>IF(OR($AJ310="",$AF310=""),"",MAX(0,$AJ310-$AF310))</f>
        <v/>
      </c>
      <c r="AL310" s="22">
        <f>IF(OR($AK310="",$AG310=""),"",MAX(0,$AK310*$AG310))</f>
        <v/>
      </c>
      <c r="AM310" s="22">
        <f>IF($AE310="","",MAX(0,SUM($AE310,$AL310,$V310,$W310)))</f>
        <v/>
      </c>
      <c r="AN310" s="22">
        <f>IF($AM310="","",IF(AND($Q310="COMMITMENT",$R310&gt;=$AH310),$AI310,0))</f>
        <v/>
      </c>
      <c r="AO310" s="23">
        <f>IF($AM310="","",MAX(0,$AM310-$AN310))</f>
        <v/>
      </c>
      <c r="AP310" s="22">
        <f>IF($S310="","",IF(OR($S310="ITEM_PRICE_PLUS_DECLARED_DELIVERY",$S310="DELIVERY_CHARGE_ONLY"),$K310,IF($S310="TOTAL_AMOUNT_INCLUDING_DELIVERY",IF(OR($T310="",$J310=""),"",MAX(0,$T310-$J310-$U310)),IF($S310="ITEM_PRICE_ONLY_DELIVERY_PAID_BY_MERCHANT",0,""))))</f>
        <v/>
      </c>
      <c r="AQ310" s="23">
        <f>IF(OR($AP310="",$AO310=""),"",$AP310-$AO310)</f>
        <v/>
      </c>
      <c r="AR310" s="24">
        <f>IF($S310="EXACT_COLLECTION_AMOUNT","BREAKDOWN_REQUIRED",IF($AQ310="","",IF($AQ310&gt;0,"CREDIT_TO_MERCHANT",IF($AQ310&lt;0,"DEDUCT_FROM_MERCHANT","NO_ADJUSTMENT"))))</f>
        <v/>
      </c>
      <c r="AS310" s="23">
        <f>IF(OR($AQ310="",$AR310="BREAKDOWN_REQUIRED"),"",$AQ310)</f>
        <v/>
      </c>
      <c r="AT310" s="23">
        <f>IF(OR($AR310="",$AR310="BREAKDOWN_REQUIRED"),"",SUM($J310,$AQ310,$Y310)-$X310)</f>
        <v/>
      </c>
      <c r="AU310" s="25">
        <f>IF(AND($A310="",$B310="",$F310="",$H310="",$J310="",$K310="",$M310="",$S310=""),"",IF(OR($H310="",$Q310="",$M310="",$S310=""),"ERROR",IF(OR($J310&lt;0,$K310&lt;0,$M310&lt;0,$T310&lt;0,$U310&lt;0,$V310&lt;0,$W310&lt;0,$X310&lt;0,$Y310&lt;0),"ERROR",IF($AE310="","ERROR",IF(AND(OR($S310="ITEM_PRICE_PLUS_DECLARED_DELIVERY",$S310="TOTAL_AMOUNT_INCLUDING_DELIVERY",$S310="ITEM_PRICE_ONLY_DELIVERY_PAID_BY_MERCHANT"),$J310=""),"ERROR",IF(AND(OR($S310="ITEM_PRICE_PLUS_DECLARED_DELIVERY",$S310="DELIVERY_CHARGE_ONLY"),$K310=""),"ERROR",IF(AND(OR($S310="TOTAL_AMOUNT_INCLUDING_DELIVERY",$S310="EXACT_COLLECTION_AMOUNT"),$T310=""),"ERROR",IF(AND($S310="TOTAL_AMOUNT_INCLUDING_DELIVERY",$T310&lt;SUM($J310,$U310)),"ERROR",IF($S310="EXACT_COLLECTION_AMOUNT","REVIEW","OK")))))))))</f>
        <v/>
      </c>
      <c r="AV310" s="25">
        <f>IF($AU310="","",IF($H310="","Township required",IF($Q310="","Customer tier required",IF($M310="","Weight required",IF($S310="","Amount entry type required",IF(OR($J310&lt;0,$K310&lt;0,$M310&lt;0,$T310&lt;0,$U310&lt;0,$V310&lt;0,$W310&lt;0,$X310&lt;0,$Y310&lt;0),"Negative amounts are not allowed",IF($AE310="","Tariff not found for township and tier",IF(AND(OR($S310="ITEM_PRICE_PLUS_DECLARED_DELIVERY",$S310="TOTAL_AMOUNT_INCLUDING_DELIVERY",$S310="ITEM_PRICE_ONLY_DELIVERY_PAID_BY_MERCHANT"),$J310=""),"Item price required for this amount type",IF(AND(OR($S310="ITEM_PRICE_PLUS_DECLARED_DELIVERY",$S310="DELIVERY_CHARGE_ONLY"),$K310=""),"Declared delivery charge required",IF(AND(OR($S310="TOTAL_AMOUNT_INCLUDING_DELIVERY",$S310="EXACT_COLLECTION_AMOUNT"),$T310=""),"Stated total amount required",IF(AND($S310="TOTAL_AMOUNT_INCLUDING_DELIVERY",$T310&lt;SUM($J310,$U310)),"Stated total is below item price plus additional charge",IF($S310="EXACT_COLLECTION_AMOUNT","Authorized amount breakdown required before settlement","Ready for collection and settlement"))))))))))))</f>
        <v/>
      </c>
      <c r="AW310" s="23">
        <f>IF($AU310="","","PARCEL_FINANCIAL_V2")</f>
        <v/>
      </c>
      <c r="AX310" s="17" t="n"/>
    </row>
    <row r="311">
      <c r="A311" s="8" t="n"/>
      <c r="B311" s="8" t="n"/>
      <c r="C311" s="8" t="n"/>
      <c r="D311" s="8" t="n"/>
      <c r="E311" s="9" t="n"/>
      <c r="F311" s="9" t="n"/>
      <c r="G311" s="8" t="n"/>
      <c r="H311" s="9" t="n"/>
      <c r="I311" s="9" t="n"/>
      <c r="J311" s="10" t="n"/>
      <c r="K311" s="10" t="n"/>
      <c r="L311" s="11">
        <f>IF($S311="","",IF($S311="ITEM_PRICE_PLUS_DECLARED_DELIVERY",IF(OR($J311="",$K311=""),"",SUM($J311,$K311,$U311)),IF($S311="TOTAL_AMOUNT_INCLUDING_DELIVERY",IF($T311="","",$T311),IF($S311="DELIVERY_CHARGE_ONLY",IF($K311="","",SUM($K311,$U311)),IF($S311="EXACT_COLLECTION_AMOUNT",IF($T311="","",$T311),IF($S311="ITEM_PRICE_ONLY_DELIVERY_PAID_BY_MERCHANT",IF($J311="","",SUM($J311,$U311)),""))))))</f>
        <v/>
      </c>
      <c r="M311" s="12" t="n"/>
      <c r="N311" s="13" t="n"/>
      <c r="O311" s="13" t="n"/>
      <c r="P311" s="9" t="n"/>
      <c r="Q311" s="14" t="n"/>
      <c r="R311" s="15" t="n"/>
      <c r="S311" s="14" t="n"/>
      <c r="T311" s="16" t="n"/>
      <c r="U311" s="16" t="n"/>
      <c r="V311" s="16" t="n"/>
      <c r="W311" s="16" t="n"/>
      <c r="X311" s="16" t="n"/>
      <c r="Y311" s="16" t="n"/>
      <c r="Z311" s="14" t="n"/>
      <c r="AA311" s="14" t="n"/>
      <c r="AB311" s="14" t="n"/>
      <c r="AC311" s="17">
        <f>IFERROR(VLOOKUP($H311&amp;"|"&amp;$Q311,Tariff_Master!$A$2:$L$169,3,FALSE),"")</f>
        <v/>
      </c>
      <c r="AD311" s="17">
        <f>IFERROR(VLOOKUP($H311&amp;"|"&amp;$Q311,Tariff_Master!$A$2:$L$169,4,FALSE),"")</f>
        <v/>
      </c>
      <c r="AE311" s="18">
        <f>IFERROR(VLOOKUP($H311&amp;"|"&amp;$Q311,Tariff_Master!$A$2:$L$169,6,FALSE),"")</f>
        <v/>
      </c>
      <c r="AF311" s="19">
        <f>IFERROR(VLOOKUP($H311&amp;"|"&amp;$Q311,Tariff_Master!$A$2:$L$169,7,FALSE),"")</f>
        <v/>
      </c>
      <c r="AG311" s="18">
        <f>IFERROR(VLOOKUP($H311&amp;"|"&amp;$Q311,Tariff_Master!$A$2:$L$169,8,FALSE),"")</f>
        <v/>
      </c>
      <c r="AH311" s="20">
        <f>IFERROR(VLOOKUP($H311&amp;"|"&amp;$Q311,Tariff_Master!$A$2:$L$169,9,FALSE),"")</f>
        <v/>
      </c>
      <c r="AI311" s="18">
        <f>IFERROR(VLOOKUP($H311&amp;"|"&amp;$Q311,Tariff_Master!$A$2:$L$169,10,FALSE),"")</f>
        <v/>
      </c>
      <c r="AJ311" s="21">
        <f>IF($M311="","",ROUNDUP(MAX(0,$M311),0))</f>
        <v/>
      </c>
      <c r="AK311" s="21">
        <f>IF(OR($AJ311="",$AF311=""),"",MAX(0,$AJ311-$AF311))</f>
        <v/>
      </c>
      <c r="AL311" s="22">
        <f>IF(OR($AK311="",$AG311=""),"",MAX(0,$AK311*$AG311))</f>
        <v/>
      </c>
      <c r="AM311" s="22">
        <f>IF($AE311="","",MAX(0,SUM($AE311,$AL311,$V311,$W311)))</f>
        <v/>
      </c>
      <c r="AN311" s="22">
        <f>IF($AM311="","",IF(AND($Q311="COMMITMENT",$R311&gt;=$AH311),$AI311,0))</f>
        <v/>
      </c>
      <c r="AO311" s="23">
        <f>IF($AM311="","",MAX(0,$AM311-$AN311))</f>
        <v/>
      </c>
      <c r="AP311" s="22">
        <f>IF($S311="","",IF(OR($S311="ITEM_PRICE_PLUS_DECLARED_DELIVERY",$S311="DELIVERY_CHARGE_ONLY"),$K311,IF($S311="TOTAL_AMOUNT_INCLUDING_DELIVERY",IF(OR($T311="",$J311=""),"",MAX(0,$T311-$J311-$U311)),IF($S311="ITEM_PRICE_ONLY_DELIVERY_PAID_BY_MERCHANT",0,""))))</f>
        <v/>
      </c>
      <c r="AQ311" s="23">
        <f>IF(OR($AP311="",$AO311=""),"",$AP311-$AO311)</f>
        <v/>
      </c>
      <c r="AR311" s="24">
        <f>IF($S311="EXACT_COLLECTION_AMOUNT","BREAKDOWN_REQUIRED",IF($AQ311="","",IF($AQ311&gt;0,"CREDIT_TO_MERCHANT",IF($AQ311&lt;0,"DEDUCT_FROM_MERCHANT","NO_ADJUSTMENT"))))</f>
        <v/>
      </c>
      <c r="AS311" s="23">
        <f>IF(OR($AQ311="",$AR311="BREAKDOWN_REQUIRED"),"",$AQ311)</f>
        <v/>
      </c>
      <c r="AT311" s="23">
        <f>IF(OR($AR311="",$AR311="BREAKDOWN_REQUIRED"),"",SUM($J311,$AQ311,$Y311)-$X311)</f>
        <v/>
      </c>
      <c r="AU311" s="25">
        <f>IF(AND($A311="",$B311="",$F311="",$H311="",$J311="",$K311="",$M311="",$S311=""),"",IF(OR($H311="",$Q311="",$M311="",$S311=""),"ERROR",IF(OR($J311&lt;0,$K311&lt;0,$M311&lt;0,$T311&lt;0,$U311&lt;0,$V311&lt;0,$W311&lt;0,$X311&lt;0,$Y311&lt;0),"ERROR",IF($AE311="","ERROR",IF(AND(OR($S311="ITEM_PRICE_PLUS_DECLARED_DELIVERY",$S311="TOTAL_AMOUNT_INCLUDING_DELIVERY",$S311="ITEM_PRICE_ONLY_DELIVERY_PAID_BY_MERCHANT"),$J311=""),"ERROR",IF(AND(OR($S311="ITEM_PRICE_PLUS_DECLARED_DELIVERY",$S311="DELIVERY_CHARGE_ONLY"),$K311=""),"ERROR",IF(AND(OR($S311="TOTAL_AMOUNT_INCLUDING_DELIVERY",$S311="EXACT_COLLECTION_AMOUNT"),$T311=""),"ERROR",IF(AND($S311="TOTAL_AMOUNT_INCLUDING_DELIVERY",$T311&lt;SUM($J311,$U311)),"ERROR",IF($S311="EXACT_COLLECTION_AMOUNT","REVIEW","OK")))))))))</f>
        <v/>
      </c>
      <c r="AV311" s="25">
        <f>IF($AU311="","",IF($H311="","Township required",IF($Q311="","Customer tier required",IF($M311="","Weight required",IF($S311="","Amount entry type required",IF(OR($J311&lt;0,$K311&lt;0,$M311&lt;0,$T311&lt;0,$U311&lt;0,$V311&lt;0,$W311&lt;0,$X311&lt;0,$Y311&lt;0),"Negative amounts are not allowed",IF($AE311="","Tariff not found for township and tier",IF(AND(OR($S311="ITEM_PRICE_PLUS_DECLARED_DELIVERY",$S311="TOTAL_AMOUNT_INCLUDING_DELIVERY",$S311="ITEM_PRICE_ONLY_DELIVERY_PAID_BY_MERCHANT"),$J311=""),"Item price required for this amount type",IF(AND(OR($S311="ITEM_PRICE_PLUS_DECLARED_DELIVERY",$S311="DELIVERY_CHARGE_ONLY"),$K311=""),"Declared delivery charge required",IF(AND(OR($S311="TOTAL_AMOUNT_INCLUDING_DELIVERY",$S311="EXACT_COLLECTION_AMOUNT"),$T311=""),"Stated total amount required",IF(AND($S311="TOTAL_AMOUNT_INCLUDING_DELIVERY",$T311&lt;SUM($J311,$U311)),"Stated total is below item price plus additional charge",IF($S311="EXACT_COLLECTION_AMOUNT","Authorized amount breakdown required before settlement","Ready for collection and settlement"))))))))))))</f>
        <v/>
      </c>
      <c r="AW311" s="23">
        <f>IF($AU311="","","PARCEL_FINANCIAL_V2")</f>
        <v/>
      </c>
      <c r="AX311" s="17" t="n"/>
    </row>
    <row r="312">
      <c r="A312" s="8" t="n"/>
      <c r="B312" s="8" t="n"/>
      <c r="C312" s="8" t="n"/>
      <c r="D312" s="8" t="n"/>
      <c r="E312" s="9" t="n"/>
      <c r="F312" s="9" t="n"/>
      <c r="G312" s="8" t="n"/>
      <c r="H312" s="9" t="n"/>
      <c r="I312" s="9" t="n"/>
      <c r="J312" s="10" t="n"/>
      <c r="K312" s="10" t="n"/>
      <c r="L312" s="11">
        <f>IF($S312="","",IF($S312="ITEM_PRICE_PLUS_DECLARED_DELIVERY",IF(OR($J312="",$K312=""),"",SUM($J312,$K312,$U312)),IF($S312="TOTAL_AMOUNT_INCLUDING_DELIVERY",IF($T312="","",$T312),IF($S312="DELIVERY_CHARGE_ONLY",IF($K312="","",SUM($K312,$U312)),IF($S312="EXACT_COLLECTION_AMOUNT",IF($T312="","",$T312),IF($S312="ITEM_PRICE_ONLY_DELIVERY_PAID_BY_MERCHANT",IF($J312="","",SUM($J312,$U312)),""))))))</f>
        <v/>
      </c>
      <c r="M312" s="12" t="n"/>
      <c r="N312" s="13" t="n"/>
      <c r="O312" s="13" t="n"/>
      <c r="P312" s="9" t="n"/>
      <c r="Q312" s="14" t="n"/>
      <c r="R312" s="15" t="n"/>
      <c r="S312" s="14" t="n"/>
      <c r="T312" s="16" t="n"/>
      <c r="U312" s="16" t="n"/>
      <c r="V312" s="16" t="n"/>
      <c r="W312" s="16" t="n"/>
      <c r="X312" s="16" t="n"/>
      <c r="Y312" s="16" t="n"/>
      <c r="Z312" s="14" t="n"/>
      <c r="AA312" s="14" t="n"/>
      <c r="AB312" s="14" t="n"/>
      <c r="AC312" s="17">
        <f>IFERROR(VLOOKUP($H312&amp;"|"&amp;$Q312,Tariff_Master!$A$2:$L$169,3,FALSE),"")</f>
        <v/>
      </c>
      <c r="AD312" s="17">
        <f>IFERROR(VLOOKUP($H312&amp;"|"&amp;$Q312,Tariff_Master!$A$2:$L$169,4,FALSE),"")</f>
        <v/>
      </c>
      <c r="AE312" s="18">
        <f>IFERROR(VLOOKUP($H312&amp;"|"&amp;$Q312,Tariff_Master!$A$2:$L$169,6,FALSE),"")</f>
        <v/>
      </c>
      <c r="AF312" s="19">
        <f>IFERROR(VLOOKUP($H312&amp;"|"&amp;$Q312,Tariff_Master!$A$2:$L$169,7,FALSE),"")</f>
        <v/>
      </c>
      <c r="AG312" s="18">
        <f>IFERROR(VLOOKUP($H312&amp;"|"&amp;$Q312,Tariff_Master!$A$2:$L$169,8,FALSE),"")</f>
        <v/>
      </c>
      <c r="AH312" s="20">
        <f>IFERROR(VLOOKUP($H312&amp;"|"&amp;$Q312,Tariff_Master!$A$2:$L$169,9,FALSE),"")</f>
        <v/>
      </c>
      <c r="AI312" s="18">
        <f>IFERROR(VLOOKUP($H312&amp;"|"&amp;$Q312,Tariff_Master!$A$2:$L$169,10,FALSE),"")</f>
        <v/>
      </c>
      <c r="AJ312" s="21">
        <f>IF($M312="","",ROUNDUP(MAX(0,$M312),0))</f>
        <v/>
      </c>
      <c r="AK312" s="21">
        <f>IF(OR($AJ312="",$AF312=""),"",MAX(0,$AJ312-$AF312))</f>
        <v/>
      </c>
      <c r="AL312" s="22">
        <f>IF(OR($AK312="",$AG312=""),"",MAX(0,$AK312*$AG312))</f>
        <v/>
      </c>
      <c r="AM312" s="22">
        <f>IF($AE312="","",MAX(0,SUM($AE312,$AL312,$V312,$W312)))</f>
        <v/>
      </c>
      <c r="AN312" s="22">
        <f>IF($AM312="","",IF(AND($Q312="COMMITMENT",$R312&gt;=$AH312),$AI312,0))</f>
        <v/>
      </c>
      <c r="AO312" s="23">
        <f>IF($AM312="","",MAX(0,$AM312-$AN312))</f>
        <v/>
      </c>
      <c r="AP312" s="22">
        <f>IF($S312="","",IF(OR($S312="ITEM_PRICE_PLUS_DECLARED_DELIVERY",$S312="DELIVERY_CHARGE_ONLY"),$K312,IF($S312="TOTAL_AMOUNT_INCLUDING_DELIVERY",IF(OR($T312="",$J312=""),"",MAX(0,$T312-$J312-$U312)),IF($S312="ITEM_PRICE_ONLY_DELIVERY_PAID_BY_MERCHANT",0,""))))</f>
        <v/>
      </c>
      <c r="AQ312" s="23">
        <f>IF(OR($AP312="",$AO312=""),"",$AP312-$AO312)</f>
        <v/>
      </c>
      <c r="AR312" s="24">
        <f>IF($S312="EXACT_COLLECTION_AMOUNT","BREAKDOWN_REQUIRED",IF($AQ312="","",IF($AQ312&gt;0,"CREDIT_TO_MERCHANT",IF($AQ312&lt;0,"DEDUCT_FROM_MERCHANT","NO_ADJUSTMENT"))))</f>
        <v/>
      </c>
      <c r="AS312" s="23">
        <f>IF(OR($AQ312="",$AR312="BREAKDOWN_REQUIRED"),"",$AQ312)</f>
        <v/>
      </c>
      <c r="AT312" s="23">
        <f>IF(OR($AR312="",$AR312="BREAKDOWN_REQUIRED"),"",SUM($J312,$AQ312,$Y312)-$X312)</f>
        <v/>
      </c>
      <c r="AU312" s="25">
        <f>IF(AND($A312="",$B312="",$F312="",$H312="",$J312="",$K312="",$M312="",$S312=""),"",IF(OR($H312="",$Q312="",$M312="",$S312=""),"ERROR",IF(OR($J312&lt;0,$K312&lt;0,$M312&lt;0,$T312&lt;0,$U312&lt;0,$V312&lt;0,$W312&lt;0,$X312&lt;0,$Y312&lt;0),"ERROR",IF($AE312="","ERROR",IF(AND(OR($S312="ITEM_PRICE_PLUS_DECLARED_DELIVERY",$S312="TOTAL_AMOUNT_INCLUDING_DELIVERY",$S312="ITEM_PRICE_ONLY_DELIVERY_PAID_BY_MERCHANT"),$J312=""),"ERROR",IF(AND(OR($S312="ITEM_PRICE_PLUS_DECLARED_DELIVERY",$S312="DELIVERY_CHARGE_ONLY"),$K312=""),"ERROR",IF(AND(OR($S312="TOTAL_AMOUNT_INCLUDING_DELIVERY",$S312="EXACT_COLLECTION_AMOUNT"),$T312=""),"ERROR",IF(AND($S312="TOTAL_AMOUNT_INCLUDING_DELIVERY",$T312&lt;SUM($J312,$U312)),"ERROR",IF($S312="EXACT_COLLECTION_AMOUNT","REVIEW","OK")))))))))</f>
        <v/>
      </c>
      <c r="AV312" s="25">
        <f>IF($AU312="","",IF($H312="","Township required",IF($Q312="","Customer tier required",IF($M312="","Weight required",IF($S312="","Amount entry type required",IF(OR($J312&lt;0,$K312&lt;0,$M312&lt;0,$T312&lt;0,$U312&lt;0,$V312&lt;0,$W312&lt;0,$X312&lt;0,$Y312&lt;0),"Negative amounts are not allowed",IF($AE312="","Tariff not found for township and tier",IF(AND(OR($S312="ITEM_PRICE_PLUS_DECLARED_DELIVERY",$S312="TOTAL_AMOUNT_INCLUDING_DELIVERY",$S312="ITEM_PRICE_ONLY_DELIVERY_PAID_BY_MERCHANT"),$J312=""),"Item price required for this amount type",IF(AND(OR($S312="ITEM_PRICE_PLUS_DECLARED_DELIVERY",$S312="DELIVERY_CHARGE_ONLY"),$K312=""),"Declared delivery charge required",IF(AND(OR($S312="TOTAL_AMOUNT_INCLUDING_DELIVERY",$S312="EXACT_COLLECTION_AMOUNT"),$T312=""),"Stated total amount required",IF(AND($S312="TOTAL_AMOUNT_INCLUDING_DELIVERY",$T312&lt;SUM($J312,$U312)),"Stated total is below item price plus additional charge",IF($S312="EXACT_COLLECTION_AMOUNT","Authorized amount breakdown required before settlement","Ready for collection and settlement"))))))))))))</f>
        <v/>
      </c>
      <c r="AW312" s="23">
        <f>IF($AU312="","","PARCEL_FINANCIAL_V2")</f>
        <v/>
      </c>
      <c r="AX312" s="17" t="n"/>
    </row>
    <row r="313">
      <c r="A313" s="8" t="n"/>
      <c r="B313" s="8" t="n"/>
      <c r="C313" s="8" t="n"/>
      <c r="D313" s="8" t="n"/>
      <c r="E313" s="9" t="n"/>
      <c r="F313" s="9" t="n"/>
      <c r="G313" s="8" t="n"/>
      <c r="H313" s="9" t="n"/>
      <c r="I313" s="9" t="n"/>
      <c r="J313" s="10" t="n"/>
      <c r="K313" s="10" t="n"/>
      <c r="L313" s="11">
        <f>IF($S313="","",IF($S313="ITEM_PRICE_PLUS_DECLARED_DELIVERY",IF(OR($J313="",$K313=""),"",SUM($J313,$K313,$U313)),IF($S313="TOTAL_AMOUNT_INCLUDING_DELIVERY",IF($T313="","",$T313),IF($S313="DELIVERY_CHARGE_ONLY",IF($K313="","",SUM($K313,$U313)),IF($S313="EXACT_COLLECTION_AMOUNT",IF($T313="","",$T313),IF($S313="ITEM_PRICE_ONLY_DELIVERY_PAID_BY_MERCHANT",IF($J313="","",SUM($J313,$U313)),""))))))</f>
        <v/>
      </c>
      <c r="M313" s="12" t="n"/>
      <c r="N313" s="13" t="n"/>
      <c r="O313" s="13" t="n"/>
      <c r="P313" s="9" t="n"/>
      <c r="Q313" s="14" t="n"/>
      <c r="R313" s="15" t="n"/>
      <c r="S313" s="14" t="n"/>
      <c r="T313" s="16" t="n"/>
      <c r="U313" s="16" t="n"/>
      <c r="V313" s="16" t="n"/>
      <c r="W313" s="16" t="n"/>
      <c r="X313" s="16" t="n"/>
      <c r="Y313" s="16" t="n"/>
      <c r="Z313" s="14" t="n"/>
      <c r="AA313" s="14" t="n"/>
      <c r="AB313" s="14" t="n"/>
      <c r="AC313" s="17">
        <f>IFERROR(VLOOKUP($H313&amp;"|"&amp;$Q313,Tariff_Master!$A$2:$L$169,3,FALSE),"")</f>
        <v/>
      </c>
      <c r="AD313" s="17">
        <f>IFERROR(VLOOKUP($H313&amp;"|"&amp;$Q313,Tariff_Master!$A$2:$L$169,4,FALSE),"")</f>
        <v/>
      </c>
      <c r="AE313" s="18">
        <f>IFERROR(VLOOKUP($H313&amp;"|"&amp;$Q313,Tariff_Master!$A$2:$L$169,6,FALSE),"")</f>
        <v/>
      </c>
      <c r="AF313" s="19">
        <f>IFERROR(VLOOKUP($H313&amp;"|"&amp;$Q313,Tariff_Master!$A$2:$L$169,7,FALSE),"")</f>
        <v/>
      </c>
      <c r="AG313" s="18">
        <f>IFERROR(VLOOKUP($H313&amp;"|"&amp;$Q313,Tariff_Master!$A$2:$L$169,8,FALSE),"")</f>
        <v/>
      </c>
      <c r="AH313" s="20">
        <f>IFERROR(VLOOKUP($H313&amp;"|"&amp;$Q313,Tariff_Master!$A$2:$L$169,9,FALSE),"")</f>
        <v/>
      </c>
      <c r="AI313" s="18">
        <f>IFERROR(VLOOKUP($H313&amp;"|"&amp;$Q313,Tariff_Master!$A$2:$L$169,10,FALSE),"")</f>
        <v/>
      </c>
      <c r="AJ313" s="21">
        <f>IF($M313="","",ROUNDUP(MAX(0,$M313),0))</f>
        <v/>
      </c>
      <c r="AK313" s="21">
        <f>IF(OR($AJ313="",$AF313=""),"",MAX(0,$AJ313-$AF313))</f>
        <v/>
      </c>
      <c r="AL313" s="22">
        <f>IF(OR($AK313="",$AG313=""),"",MAX(0,$AK313*$AG313))</f>
        <v/>
      </c>
      <c r="AM313" s="22">
        <f>IF($AE313="","",MAX(0,SUM($AE313,$AL313,$V313,$W313)))</f>
        <v/>
      </c>
      <c r="AN313" s="22">
        <f>IF($AM313="","",IF(AND($Q313="COMMITMENT",$R313&gt;=$AH313),$AI313,0))</f>
        <v/>
      </c>
      <c r="AO313" s="23">
        <f>IF($AM313="","",MAX(0,$AM313-$AN313))</f>
        <v/>
      </c>
      <c r="AP313" s="22">
        <f>IF($S313="","",IF(OR($S313="ITEM_PRICE_PLUS_DECLARED_DELIVERY",$S313="DELIVERY_CHARGE_ONLY"),$K313,IF($S313="TOTAL_AMOUNT_INCLUDING_DELIVERY",IF(OR($T313="",$J313=""),"",MAX(0,$T313-$J313-$U313)),IF($S313="ITEM_PRICE_ONLY_DELIVERY_PAID_BY_MERCHANT",0,""))))</f>
        <v/>
      </c>
      <c r="AQ313" s="23">
        <f>IF(OR($AP313="",$AO313=""),"",$AP313-$AO313)</f>
        <v/>
      </c>
      <c r="AR313" s="24">
        <f>IF($S313="EXACT_COLLECTION_AMOUNT","BREAKDOWN_REQUIRED",IF($AQ313="","",IF($AQ313&gt;0,"CREDIT_TO_MERCHANT",IF($AQ313&lt;0,"DEDUCT_FROM_MERCHANT","NO_ADJUSTMENT"))))</f>
        <v/>
      </c>
      <c r="AS313" s="23">
        <f>IF(OR($AQ313="",$AR313="BREAKDOWN_REQUIRED"),"",$AQ313)</f>
        <v/>
      </c>
      <c r="AT313" s="23">
        <f>IF(OR($AR313="",$AR313="BREAKDOWN_REQUIRED"),"",SUM($J313,$AQ313,$Y313)-$X313)</f>
        <v/>
      </c>
      <c r="AU313" s="25">
        <f>IF(AND($A313="",$B313="",$F313="",$H313="",$J313="",$K313="",$M313="",$S313=""),"",IF(OR($H313="",$Q313="",$M313="",$S313=""),"ERROR",IF(OR($J313&lt;0,$K313&lt;0,$M313&lt;0,$T313&lt;0,$U313&lt;0,$V313&lt;0,$W313&lt;0,$X313&lt;0,$Y313&lt;0),"ERROR",IF($AE313="","ERROR",IF(AND(OR($S313="ITEM_PRICE_PLUS_DECLARED_DELIVERY",$S313="TOTAL_AMOUNT_INCLUDING_DELIVERY",$S313="ITEM_PRICE_ONLY_DELIVERY_PAID_BY_MERCHANT"),$J313=""),"ERROR",IF(AND(OR($S313="ITEM_PRICE_PLUS_DECLARED_DELIVERY",$S313="DELIVERY_CHARGE_ONLY"),$K313=""),"ERROR",IF(AND(OR($S313="TOTAL_AMOUNT_INCLUDING_DELIVERY",$S313="EXACT_COLLECTION_AMOUNT"),$T313=""),"ERROR",IF(AND($S313="TOTAL_AMOUNT_INCLUDING_DELIVERY",$T313&lt;SUM($J313,$U313)),"ERROR",IF($S313="EXACT_COLLECTION_AMOUNT","REVIEW","OK")))))))))</f>
        <v/>
      </c>
      <c r="AV313" s="25">
        <f>IF($AU313="","",IF($H313="","Township required",IF($Q313="","Customer tier required",IF($M313="","Weight required",IF($S313="","Amount entry type required",IF(OR($J313&lt;0,$K313&lt;0,$M313&lt;0,$T313&lt;0,$U313&lt;0,$V313&lt;0,$W313&lt;0,$X313&lt;0,$Y313&lt;0),"Negative amounts are not allowed",IF($AE313="","Tariff not found for township and tier",IF(AND(OR($S313="ITEM_PRICE_PLUS_DECLARED_DELIVERY",$S313="TOTAL_AMOUNT_INCLUDING_DELIVERY",$S313="ITEM_PRICE_ONLY_DELIVERY_PAID_BY_MERCHANT"),$J313=""),"Item price required for this amount type",IF(AND(OR($S313="ITEM_PRICE_PLUS_DECLARED_DELIVERY",$S313="DELIVERY_CHARGE_ONLY"),$K313=""),"Declared delivery charge required",IF(AND(OR($S313="TOTAL_AMOUNT_INCLUDING_DELIVERY",$S313="EXACT_COLLECTION_AMOUNT"),$T313=""),"Stated total amount required",IF(AND($S313="TOTAL_AMOUNT_INCLUDING_DELIVERY",$T313&lt;SUM($J313,$U313)),"Stated total is below item price plus additional charge",IF($S313="EXACT_COLLECTION_AMOUNT","Authorized amount breakdown required before settlement","Ready for collection and settlement"))))))))))))</f>
        <v/>
      </c>
      <c r="AW313" s="23">
        <f>IF($AU313="","","PARCEL_FINANCIAL_V2")</f>
        <v/>
      </c>
      <c r="AX313" s="17" t="n"/>
    </row>
    <row r="314">
      <c r="A314" s="8" t="n"/>
      <c r="B314" s="8" t="n"/>
      <c r="C314" s="8" t="n"/>
      <c r="D314" s="8" t="n"/>
      <c r="E314" s="9" t="n"/>
      <c r="F314" s="9" t="n"/>
      <c r="G314" s="8" t="n"/>
      <c r="H314" s="9" t="n"/>
      <c r="I314" s="9" t="n"/>
      <c r="J314" s="10" t="n"/>
      <c r="K314" s="10" t="n"/>
      <c r="L314" s="11">
        <f>IF($S314="","",IF($S314="ITEM_PRICE_PLUS_DECLARED_DELIVERY",IF(OR($J314="",$K314=""),"",SUM($J314,$K314,$U314)),IF($S314="TOTAL_AMOUNT_INCLUDING_DELIVERY",IF($T314="","",$T314),IF($S314="DELIVERY_CHARGE_ONLY",IF($K314="","",SUM($K314,$U314)),IF($S314="EXACT_COLLECTION_AMOUNT",IF($T314="","",$T314),IF($S314="ITEM_PRICE_ONLY_DELIVERY_PAID_BY_MERCHANT",IF($J314="","",SUM($J314,$U314)),""))))))</f>
        <v/>
      </c>
      <c r="M314" s="12" t="n"/>
      <c r="N314" s="13" t="n"/>
      <c r="O314" s="13" t="n"/>
      <c r="P314" s="9" t="n"/>
      <c r="Q314" s="14" t="n"/>
      <c r="R314" s="15" t="n"/>
      <c r="S314" s="14" t="n"/>
      <c r="T314" s="16" t="n"/>
      <c r="U314" s="16" t="n"/>
      <c r="V314" s="16" t="n"/>
      <c r="W314" s="16" t="n"/>
      <c r="X314" s="16" t="n"/>
      <c r="Y314" s="16" t="n"/>
      <c r="Z314" s="14" t="n"/>
      <c r="AA314" s="14" t="n"/>
      <c r="AB314" s="14" t="n"/>
      <c r="AC314" s="17">
        <f>IFERROR(VLOOKUP($H314&amp;"|"&amp;$Q314,Tariff_Master!$A$2:$L$169,3,FALSE),"")</f>
        <v/>
      </c>
      <c r="AD314" s="17">
        <f>IFERROR(VLOOKUP($H314&amp;"|"&amp;$Q314,Tariff_Master!$A$2:$L$169,4,FALSE),"")</f>
        <v/>
      </c>
      <c r="AE314" s="18">
        <f>IFERROR(VLOOKUP($H314&amp;"|"&amp;$Q314,Tariff_Master!$A$2:$L$169,6,FALSE),"")</f>
        <v/>
      </c>
      <c r="AF314" s="19">
        <f>IFERROR(VLOOKUP($H314&amp;"|"&amp;$Q314,Tariff_Master!$A$2:$L$169,7,FALSE),"")</f>
        <v/>
      </c>
      <c r="AG314" s="18">
        <f>IFERROR(VLOOKUP($H314&amp;"|"&amp;$Q314,Tariff_Master!$A$2:$L$169,8,FALSE),"")</f>
        <v/>
      </c>
      <c r="AH314" s="20">
        <f>IFERROR(VLOOKUP($H314&amp;"|"&amp;$Q314,Tariff_Master!$A$2:$L$169,9,FALSE),"")</f>
        <v/>
      </c>
      <c r="AI314" s="18">
        <f>IFERROR(VLOOKUP($H314&amp;"|"&amp;$Q314,Tariff_Master!$A$2:$L$169,10,FALSE),"")</f>
        <v/>
      </c>
      <c r="AJ314" s="21">
        <f>IF($M314="","",ROUNDUP(MAX(0,$M314),0))</f>
        <v/>
      </c>
      <c r="AK314" s="21">
        <f>IF(OR($AJ314="",$AF314=""),"",MAX(0,$AJ314-$AF314))</f>
        <v/>
      </c>
      <c r="AL314" s="22">
        <f>IF(OR($AK314="",$AG314=""),"",MAX(0,$AK314*$AG314))</f>
        <v/>
      </c>
      <c r="AM314" s="22">
        <f>IF($AE314="","",MAX(0,SUM($AE314,$AL314,$V314,$W314)))</f>
        <v/>
      </c>
      <c r="AN314" s="22">
        <f>IF($AM314="","",IF(AND($Q314="COMMITMENT",$R314&gt;=$AH314),$AI314,0))</f>
        <v/>
      </c>
      <c r="AO314" s="23">
        <f>IF($AM314="","",MAX(0,$AM314-$AN314))</f>
        <v/>
      </c>
      <c r="AP314" s="22">
        <f>IF($S314="","",IF(OR($S314="ITEM_PRICE_PLUS_DECLARED_DELIVERY",$S314="DELIVERY_CHARGE_ONLY"),$K314,IF($S314="TOTAL_AMOUNT_INCLUDING_DELIVERY",IF(OR($T314="",$J314=""),"",MAX(0,$T314-$J314-$U314)),IF($S314="ITEM_PRICE_ONLY_DELIVERY_PAID_BY_MERCHANT",0,""))))</f>
        <v/>
      </c>
      <c r="AQ314" s="23">
        <f>IF(OR($AP314="",$AO314=""),"",$AP314-$AO314)</f>
        <v/>
      </c>
      <c r="AR314" s="24">
        <f>IF($S314="EXACT_COLLECTION_AMOUNT","BREAKDOWN_REQUIRED",IF($AQ314="","",IF($AQ314&gt;0,"CREDIT_TO_MERCHANT",IF($AQ314&lt;0,"DEDUCT_FROM_MERCHANT","NO_ADJUSTMENT"))))</f>
        <v/>
      </c>
      <c r="AS314" s="23">
        <f>IF(OR($AQ314="",$AR314="BREAKDOWN_REQUIRED"),"",$AQ314)</f>
        <v/>
      </c>
      <c r="AT314" s="23">
        <f>IF(OR($AR314="",$AR314="BREAKDOWN_REQUIRED"),"",SUM($J314,$AQ314,$Y314)-$X314)</f>
        <v/>
      </c>
      <c r="AU314" s="25">
        <f>IF(AND($A314="",$B314="",$F314="",$H314="",$J314="",$K314="",$M314="",$S314=""),"",IF(OR($H314="",$Q314="",$M314="",$S314=""),"ERROR",IF(OR($J314&lt;0,$K314&lt;0,$M314&lt;0,$T314&lt;0,$U314&lt;0,$V314&lt;0,$W314&lt;0,$X314&lt;0,$Y314&lt;0),"ERROR",IF($AE314="","ERROR",IF(AND(OR($S314="ITEM_PRICE_PLUS_DECLARED_DELIVERY",$S314="TOTAL_AMOUNT_INCLUDING_DELIVERY",$S314="ITEM_PRICE_ONLY_DELIVERY_PAID_BY_MERCHANT"),$J314=""),"ERROR",IF(AND(OR($S314="ITEM_PRICE_PLUS_DECLARED_DELIVERY",$S314="DELIVERY_CHARGE_ONLY"),$K314=""),"ERROR",IF(AND(OR($S314="TOTAL_AMOUNT_INCLUDING_DELIVERY",$S314="EXACT_COLLECTION_AMOUNT"),$T314=""),"ERROR",IF(AND($S314="TOTAL_AMOUNT_INCLUDING_DELIVERY",$T314&lt;SUM($J314,$U314)),"ERROR",IF($S314="EXACT_COLLECTION_AMOUNT","REVIEW","OK")))))))))</f>
        <v/>
      </c>
      <c r="AV314" s="25">
        <f>IF($AU314="","",IF($H314="","Township required",IF($Q314="","Customer tier required",IF($M314="","Weight required",IF($S314="","Amount entry type required",IF(OR($J314&lt;0,$K314&lt;0,$M314&lt;0,$T314&lt;0,$U314&lt;0,$V314&lt;0,$W314&lt;0,$X314&lt;0,$Y314&lt;0),"Negative amounts are not allowed",IF($AE314="","Tariff not found for township and tier",IF(AND(OR($S314="ITEM_PRICE_PLUS_DECLARED_DELIVERY",$S314="TOTAL_AMOUNT_INCLUDING_DELIVERY",$S314="ITEM_PRICE_ONLY_DELIVERY_PAID_BY_MERCHANT"),$J314=""),"Item price required for this amount type",IF(AND(OR($S314="ITEM_PRICE_PLUS_DECLARED_DELIVERY",$S314="DELIVERY_CHARGE_ONLY"),$K314=""),"Declared delivery charge required",IF(AND(OR($S314="TOTAL_AMOUNT_INCLUDING_DELIVERY",$S314="EXACT_COLLECTION_AMOUNT"),$T314=""),"Stated total amount required",IF(AND($S314="TOTAL_AMOUNT_INCLUDING_DELIVERY",$T314&lt;SUM($J314,$U314)),"Stated total is below item price plus additional charge",IF($S314="EXACT_COLLECTION_AMOUNT","Authorized amount breakdown required before settlement","Ready for collection and settlement"))))))))))))</f>
        <v/>
      </c>
      <c r="AW314" s="23">
        <f>IF($AU314="","","PARCEL_FINANCIAL_V2")</f>
        <v/>
      </c>
      <c r="AX314" s="17" t="n"/>
    </row>
    <row r="315">
      <c r="A315" s="8" t="n"/>
      <c r="B315" s="8" t="n"/>
      <c r="C315" s="8" t="n"/>
      <c r="D315" s="8" t="n"/>
      <c r="E315" s="9" t="n"/>
      <c r="F315" s="9" t="n"/>
      <c r="G315" s="8" t="n"/>
      <c r="H315" s="9" t="n"/>
      <c r="I315" s="9" t="n"/>
      <c r="J315" s="10" t="n"/>
      <c r="K315" s="10" t="n"/>
      <c r="L315" s="11">
        <f>IF($S315="","",IF($S315="ITEM_PRICE_PLUS_DECLARED_DELIVERY",IF(OR($J315="",$K315=""),"",SUM($J315,$K315,$U315)),IF($S315="TOTAL_AMOUNT_INCLUDING_DELIVERY",IF($T315="","",$T315),IF($S315="DELIVERY_CHARGE_ONLY",IF($K315="","",SUM($K315,$U315)),IF($S315="EXACT_COLLECTION_AMOUNT",IF($T315="","",$T315),IF($S315="ITEM_PRICE_ONLY_DELIVERY_PAID_BY_MERCHANT",IF($J315="","",SUM($J315,$U315)),""))))))</f>
        <v/>
      </c>
      <c r="M315" s="12" t="n"/>
      <c r="N315" s="13" t="n"/>
      <c r="O315" s="13" t="n"/>
      <c r="P315" s="9" t="n"/>
      <c r="Q315" s="14" t="n"/>
      <c r="R315" s="15" t="n"/>
      <c r="S315" s="14" t="n"/>
      <c r="T315" s="16" t="n"/>
      <c r="U315" s="16" t="n"/>
      <c r="V315" s="16" t="n"/>
      <c r="W315" s="16" t="n"/>
      <c r="X315" s="16" t="n"/>
      <c r="Y315" s="16" t="n"/>
      <c r="Z315" s="14" t="n"/>
      <c r="AA315" s="14" t="n"/>
      <c r="AB315" s="14" t="n"/>
      <c r="AC315" s="17">
        <f>IFERROR(VLOOKUP($H315&amp;"|"&amp;$Q315,Tariff_Master!$A$2:$L$169,3,FALSE),"")</f>
        <v/>
      </c>
      <c r="AD315" s="17">
        <f>IFERROR(VLOOKUP($H315&amp;"|"&amp;$Q315,Tariff_Master!$A$2:$L$169,4,FALSE),"")</f>
        <v/>
      </c>
      <c r="AE315" s="18">
        <f>IFERROR(VLOOKUP($H315&amp;"|"&amp;$Q315,Tariff_Master!$A$2:$L$169,6,FALSE),"")</f>
        <v/>
      </c>
      <c r="AF315" s="19">
        <f>IFERROR(VLOOKUP($H315&amp;"|"&amp;$Q315,Tariff_Master!$A$2:$L$169,7,FALSE),"")</f>
        <v/>
      </c>
      <c r="AG315" s="18">
        <f>IFERROR(VLOOKUP($H315&amp;"|"&amp;$Q315,Tariff_Master!$A$2:$L$169,8,FALSE),"")</f>
        <v/>
      </c>
      <c r="AH315" s="20">
        <f>IFERROR(VLOOKUP($H315&amp;"|"&amp;$Q315,Tariff_Master!$A$2:$L$169,9,FALSE),"")</f>
        <v/>
      </c>
      <c r="AI315" s="18">
        <f>IFERROR(VLOOKUP($H315&amp;"|"&amp;$Q315,Tariff_Master!$A$2:$L$169,10,FALSE),"")</f>
        <v/>
      </c>
      <c r="AJ315" s="21">
        <f>IF($M315="","",ROUNDUP(MAX(0,$M315),0))</f>
        <v/>
      </c>
      <c r="AK315" s="21">
        <f>IF(OR($AJ315="",$AF315=""),"",MAX(0,$AJ315-$AF315))</f>
        <v/>
      </c>
      <c r="AL315" s="22">
        <f>IF(OR($AK315="",$AG315=""),"",MAX(0,$AK315*$AG315))</f>
        <v/>
      </c>
      <c r="AM315" s="22">
        <f>IF($AE315="","",MAX(0,SUM($AE315,$AL315,$V315,$W315)))</f>
        <v/>
      </c>
      <c r="AN315" s="22">
        <f>IF($AM315="","",IF(AND($Q315="COMMITMENT",$R315&gt;=$AH315),$AI315,0))</f>
        <v/>
      </c>
      <c r="AO315" s="23">
        <f>IF($AM315="","",MAX(0,$AM315-$AN315))</f>
        <v/>
      </c>
      <c r="AP315" s="22">
        <f>IF($S315="","",IF(OR($S315="ITEM_PRICE_PLUS_DECLARED_DELIVERY",$S315="DELIVERY_CHARGE_ONLY"),$K315,IF($S315="TOTAL_AMOUNT_INCLUDING_DELIVERY",IF(OR($T315="",$J315=""),"",MAX(0,$T315-$J315-$U315)),IF($S315="ITEM_PRICE_ONLY_DELIVERY_PAID_BY_MERCHANT",0,""))))</f>
        <v/>
      </c>
      <c r="AQ315" s="23">
        <f>IF(OR($AP315="",$AO315=""),"",$AP315-$AO315)</f>
        <v/>
      </c>
      <c r="AR315" s="24">
        <f>IF($S315="EXACT_COLLECTION_AMOUNT","BREAKDOWN_REQUIRED",IF($AQ315="","",IF($AQ315&gt;0,"CREDIT_TO_MERCHANT",IF($AQ315&lt;0,"DEDUCT_FROM_MERCHANT","NO_ADJUSTMENT"))))</f>
        <v/>
      </c>
      <c r="AS315" s="23">
        <f>IF(OR($AQ315="",$AR315="BREAKDOWN_REQUIRED"),"",$AQ315)</f>
        <v/>
      </c>
      <c r="AT315" s="23">
        <f>IF(OR($AR315="",$AR315="BREAKDOWN_REQUIRED"),"",SUM($J315,$AQ315,$Y315)-$X315)</f>
        <v/>
      </c>
      <c r="AU315" s="25">
        <f>IF(AND($A315="",$B315="",$F315="",$H315="",$J315="",$K315="",$M315="",$S315=""),"",IF(OR($H315="",$Q315="",$M315="",$S315=""),"ERROR",IF(OR($J315&lt;0,$K315&lt;0,$M315&lt;0,$T315&lt;0,$U315&lt;0,$V315&lt;0,$W315&lt;0,$X315&lt;0,$Y315&lt;0),"ERROR",IF($AE315="","ERROR",IF(AND(OR($S315="ITEM_PRICE_PLUS_DECLARED_DELIVERY",$S315="TOTAL_AMOUNT_INCLUDING_DELIVERY",$S315="ITEM_PRICE_ONLY_DELIVERY_PAID_BY_MERCHANT"),$J315=""),"ERROR",IF(AND(OR($S315="ITEM_PRICE_PLUS_DECLARED_DELIVERY",$S315="DELIVERY_CHARGE_ONLY"),$K315=""),"ERROR",IF(AND(OR($S315="TOTAL_AMOUNT_INCLUDING_DELIVERY",$S315="EXACT_COLLECTION_AMOUNT"),$T315=""),"ERROR",IF(AND($S315="TOTAL_AMOUNT_INCLUDING_DELIVERY",$T315&lt;SUM($J315,$U315)),"ERROR",IF($S315="EXACT_COLLECTION_AMOUNT","REVIEW","OK")))))))))</f>
        <v/>
      </c>
      <c r="AV315" s="25">
        <f>IF($AU315="","",IF($H315="","Township required",IF($Q315="","Customer tier required",IF($M315="","Weight required",IF($S315="","Amount entry type required",IF(OR($J315&lt;0,$K315&lt;0,$M315&lt;0,$T315&lt;0,$U315&lt;0,$V315&lt;0,$W315&lt;0,$X315&lt;0,$Y315&lt;0),"Negative amounts are not allowed",IF($AE315="","Tariff not found for township and tier",IF(AND(OR($S315="ITEM_PRICE_PLUS_DECLARED_DELIVERY",$S315="TOTAL_AMOUNT_INCLUDING_DELIVERY",$S315="ITEM_PRICE_ONLY_DELIVERY_PAID_BY_MERCHANT"),$J315=""),"Item price required for this amount type",IF(AND(OR($S315="ITEM_PRICE_PLUS_DECLARED_DELIVERY",$S315="DELIVERY_CHARGE_ONLY"),$K315=""),"Declared delivery charge required",IF(AND(OR($S315="TOTAL_AMOUNT_INCLUDING_DELIVERY",$S315="EXACT_COLLECTION_AMOUNT"),$T315=""),"Stated total amount required",IF(AND($S315="TOTAL_AMOUNT_INCLUDING_DELIVERY",$T315&lt;SUM($J315,$U315)),"Stated total is below item price plus additional charge",IF($S315="EXACT_COLLECTION_AMOUNT","Authorized amount breakdown required before settlement","Ready for collection and settlement"))))))))))))</f>
        <v/>
      </c>
      <c r="AW315" s="23">
        <f>IF($AU315="","","PARCEL_FINANCIAL_V2")</f>
        <v/>
      </c>
      <c r="AX315" s="17" t="n"/>
    </row>
    <row r="316">
      <c r="A316" s="8" t="n"/>
      <c r="B316" s="8" t="n"/>
      <c r="C316" s="8" t="n"/>
      <c r="D316" s="8" t="n"/>
      <c r="E316" s="9" t="n"/>
      <c r="F316" s="9" t="n"/>
      <c r="G316" s="8" t="n"/>
      <c r="H316" s="9" t="n"/>
      <c r="I316" s="9" t="n"/>
      <c r="J316" s="10" t="n"/>
      <c r="K316" s="10" t="n"/>
      <c r="L316" s="11">
        <f>IF($S316="","",IF($S316="ITEM_PRICE_PLUS_DECLARED_DELIVERY",IF(OR($J316="",$K316=""),"",SUM($J316,$K316,$U316)),IF($S316="TOTAL_AMOUNT_INCLUDING_DELIVERY",IF($T316="","",$T316),IF($S316="DELIVERY_CHARGE_ONLY",IF($K316="","",SUM($K316,$U316)),IF($S316="EXACT_COLLECTION_AMOUNT",IF($T316="","",$T316),IF($S316="ITEM_PRICE_ONLY_DELIVERY_PAID_BY_MERCHANT",IF($J316="","",SUM($J316,$U316)),""))))))</f>
        <v/>
      </c>
      <c r="M316" s="12" t="n"/>
      <c r="N316" s="13" t="n"/>
      <c r="O316" s="13" t="n"/>
      <c r="P316" s="9" t="n"/>
      <c r="Q316" s="14" t="n"/>
      <c r="R316" s="15" t="n"/>
      <c r="S316" s="14" t="n"/>
      <c r="T316" s="16" t="n"/>
      <c r="U316" s="16" t="n"/>
      <c r="V316" s="16" t="n"/>
      <c r="W316" s="16" t="n"/>
      <c r="X316" s="16" t="n"/>
      <c r="Y316" s="16" t="n"/>
      <c r="Z316" s="14" t="n"/>
      <c r="AA316" s="14" t="n"/>
      <c r="AB316" s="14" t="n"/>
      <c r="AC316" s="17">
        <f>IFERROR(VLOOKUP($H316&amp;"|"&amp;$Q316,Tariff_Master!$A$2:$L$169,3,FALSE),"")</f>
        <v/>
      </c>
      <c r="AD316" s="17">
        <f>IFERROR(VLOOKUP($H316&amp;"|"&amp;$Q316,Tariff_Master!$A$2:$L$169,4,FALSE),"")</f>
        <v/>
      </c>
      <c r="AE316" s="18">
        <f>IFERROR(VLOOKUP($H316&amp;"|"&amp;$Q316,Tariff_Master!$A$2:$L$169,6,FALSE),"")</f>
        <v/>
      </c>
      <c r="AF316" s="19">
        <f>IFERROR(VLOOKUP($H316&amp;"|"&amp;$Q316,Tariff_Master!$A$2:$L$169,7,FALSE),"")</f>
        <v/>
      </c>
      <c r="AG316" s="18">
        <f>IFERROR(VLOOKUP($H316&amp;"|"&amp;$Q316,Tariff_Master!$A$2:$L$169,8,FALSE),"")</f>
        <v/>
      </c>
      <c r="AH316" s="20">
        <f>IFERROR(VLOOKUP($H316&amp;"|"&amp;$Q316,Tariff_Master!$A$2:$L$169,9,FALSE),"")</f>
        <v/>
      </c>
      <c r="AI316" s="18">
        <f>IFERROR(VLOOKUP($H316&amp;"|"&amp;$Q316,Tariff_Master!$A$2:$L$169,10,FALSE),"")</f>
        <v/>
      </c>
      <c r="AJ316" s="21">
        <f>IF($M316="","",ROUNDUP(MAX(0,$M316),0))</f>
        <v/>
      </c>
      <c r="AK316" s="21">
        <f>IF(OR($AJ316="",$AF316=""),"",MAX(0,$AJ316-$AF316))</f>
        <v/>
      </c>
      <c r="AL316" s="22">
        <f>IF(OR($AK316="",$AG316=""),"",MAX(0,$AK316*$AG316))</f>
        <v/>
      </c>
      <c r="AM316" s="22">
        <f>IF($AE316="","",MAX(0,SUM($AE316,$AL316,$V316,$W316)))</f>
        <v/>
      </c>
      <c r="AN316" s="22">
        <f>IF($AM316="","",IF(AND($Q316="COMMITMENT",$R316&gt;=$AH316),$AI316,0))</f>
        <v/>
      </c>
      <c r="AO316" s="23">
        <f>IF($AM316="","",MAX(0,$AM316-$AN316))</f>
        <v/>
      </c>
      <c r="AP316" s="22">
        <f>IF($S316="","",IF(OR($S316="ITEM_PRICE_PLUS_DECLARED_DELIVERY",$S316="DELIVERY_CHARGE_ONLY"),$K316,IF($S316="TOTAL_AMOUNT_INCLUDING_DELIVERY",IF(OR($T316="",$J316=""),"",MAX(0,$T316-$J316-$U316)),IF($S316="ITEM_PRICE_ONLY_DELIVERY_PAID_BY_MERCHANT",0,""))))</f>
        <v/>
      </c>
      <c r="AQ316" s="23">
        <f>IF(OR($AP316="",$AO316=""),"",$AP316-$AO316)</f>
        <v/>
      </c>
      <c r="AR316" s="24">
        <f>IF($S316="EXACT_COLLECTION_AMOUNT","BREAKDOWN_REQUIRED",IF($AQ316="","",IF($AQ316&gt;0,"CREDIT_TO_MERCHANT",IF($AQ316&lt;0,"DEDUCT_FROM_MERCHANT","NO_ADJUSTMENT"))))</f>
        <v/>
      </c>
      <c r="AS316" s="23">
        <f>IF(OR($AQ316="",$AR316="BREAKDOWN_REQUIRED"),"",$AQ316)</f>
        <v/>
      </c>
      <c r="AT316" s="23">
        <f>IF(OR($AR316="",$AR316="BREAKDOWN_REQUIRED"),"",SUM($J316,$AQ316,$Y316)-$X316)</f>
        <v/>
      </c>
      <c r="AU316" s="25">
        <f>IF(AND($A316="",$B316="",$F316="",$H316="",$J316="",$K316="",$M316="",$S316=""),"",IF(OR($H316="",$Q316="",$M316="",$S316=""),"ERROR",IF(OR($J316&lt;0,$K316&lt;0,$M316&lt;0,$T316&lt;0,$U316&lt;0,$V316&lt;0,$W316&lt;0,$X316&lt;0,$Y316&lt;0),"ERROR",IF($AE316="","ERROR",IF(AND(OR($S316="ITEM_PRICE_PLUS_DECLARED_DELIVERY",$S316="TOTAL_AMOUNT_INCLUDING_DELIVERY",$S316="ITEM_PRICE_ONLY_DELIVERY_PAID_BY_MERCHANT"),$J316=""),"ERROR",IF(AND(OR($S316="ITEM_PRICE_PLUS_DECLARED_DELIVERY",$S316="DELIVERY_CHARGE_ONLY"),$K316=""),"ERROR",IF(AND(OR($S316="TOTAL_AMOUNT_INCLUDING_DELIVERY",$S316="EXACT_COLLECTION_AMOUNT"),$T316=""),"ERROR",IF(AND($S316="TOTAL_AMOUNT_INCLUDING_DELIVERY",$T316&lt;SUM($J316,$U316)),"ERROR",IF($S316="EXACT_COLLECTION_AMOUNT","REVIEW","OK")))))))))</f>
        <v/>
      </c>
      <c r="AV316" s="25">
        <f>IF($AU316="","",IF($H316="","Township required",IF($Q316="","Customer tier required",IF($M316="","Weight required",IF($S316="","Amount entry type required",IF(OR($J316&lt;0,$K316&lt;0,$M316&lt;0,$T316&lt;0,$U316&lt;0,$V316&lt;0,$W316&lt;0,$X316&lt;0,$Y316&lt;0),"Negative amounts are not allowed",IF($AE316="","Tariff not found for township and tier",IF(AND(OR($S316="ITEM_PRICE_PLUS_DECLARED_DELIVERY",$S316="TOTAL_AMOUNT_INCLUDING_DELIVERY",$S316="ITEM_PRICE_ONLY_DELIVERY_PAID_BY_MERCHANT"),$J316=""),"Item price required for this amount type",IF(AND(OR($S316="ITEM_PRICE_PLUS_DECLARED_DELIVERY",$S316="DELIVERY_CHARGE_ONLY"),$K316=""),"Declared delivery charge required",IF(AND(OR($S316="TOTAL_AMOUNT_INCLUDING_DELIVERY",$S316="EXACT_COLLECTION_AMOUNT"),$T316=""),"Stated total amount required",IF(AND($S316="TOTAL_AMOUNT_INCLUDING_DELIVERY",$T316&lt;SUM($J316,$U316)),"Stated total is below item price plus additional charge",IF($S316="EXACT_COLLECTION_AMOUNT","Authorized amount breakdown required before settlement","Ready for collection and settlement"))))))))))))</f>
        <v/>
      </c>
      <c r="AW316" s="23">
        <f>IF($AU316="","","PARCEL_FINANCIAL_V2")</f>
        <v/>
      </c>
      <c r="AX316" s="17" t="n"/>
    </row>
    <row r="317">
      <c r="A317" s="8" t="n"/>
      <c r="B317" s="8" t="n"/>
      <c r="C317" s="8" t="n"/>
      <c r="D317" s="8" t="n"/>
      <c r="E317" s="9" t="n"/>
      <c r="F317" s="9" t="n"/>
      <c r="G317" s="8" t="n"/>
      <c r="H317" s="9" t="n"/>
      <c r="I317" s="9" t="n"/>
      <c r="J317" s="10" t="n"/>
      <c r="K317" s="10" t="n"/>
      <c r="L317" s="11">
        <f>IF($S317="","",IF($S317="ITEM_PRICE_PLUS_DECLARED_DELIVERY",IF(OR($J317="",$K317=""),"",SUM($J317,$K317,$U317)),IF($S317="TOTAL_AMOUNT_INCLUDING_DELIVERY",IF($T317="","",$T317),IF($S317="DELIVERY_CHARGE_ONLY",IF($K317="","",SUM($K317,$U317)),IF($S317="EXACT_COLLECTION_AMOUNT",IF($T317="","",$T317),IF($S317="ITEM_PRICE_ONLY_DELIVERY_PAID_BY_MERCHANT",IF($J317="","",SUM($J317,$U317)),""))))))</f>
        <v/>
      </c>
      <c r="M317" s="12" t="n"/>
      <c r="N317" s="13" t="n"/>
      <c r="O317" s="13" t="n"/>
      <c r="P317" s="9" t="n"/>
      <c r="Q317" s="14" t="n"/>
      <c r="R317" s="15" t="n"/>
      <c r="S317" s="14" t="n"/>
      <c r="T317" s="16" t="n"/>
      <c r="U317" s="16" t="n"/>
      <c r="V317" s="16" t="n"/>
      <c r="W317" s="16" t="n"/>
      <c r="X317" s="16" t="n"/>
      <c r="Y317" s="16" t="n"/>
      <c r="Z317" s="14" t="n"/>
      <c r="AA317" s="14" t="n"/>
      <c r="AB317" s="14" t="n"/>
      <c r="AC317" s="17">
        <f>IFERROR(VLOOKUP($H317&amp;"|"&amp;$Q317,Tariff_Master!$A$2:$L$169,3,FALSE),"")</f>
        <v/>
      </c>
      <c r="AD317" s="17">
        <f>IFERROR(VLOOKUP($H317&amp;"|"&amp;$Q317,Tariff_Master!$A$2:$L$169,4,FALSE),"")</f>
        <v/>
      </c>
      <c r="AE317" s="18">
        <f>IFERROR(VLOOKUP($H317&amp;"|"&amp;$Q317,Tariff_Master!$A$2:$L$169,6,FALSE),"")</f>
        <v/>
      </c>
      <c r="AF317" s="19">
        <f>IFERROR(VLOOKUP($H317&amp;"|"&amp;$Q317,Tariff_Master!$A$2:$L$169,7,FALSE),"")</f>
        <v/>
      </c>
      <c r="AG317" s="18">
        <f>IFERROR(VLOOKUP($H317&amp;"|"&amp;$Q317,Tariff_Master!$A$2:$L$169,8,FALSE),"")</f>
        <v/>
      </c>
      <c r="AH317" s="20">
        <f>IFERROR(VLOOKUP($H317&amp;"|"&amp;$Q317,Tariff_Master!$A$2:$L$169,9,FALSE),"")</f>
        <v/>
      </c>
      <c r="AI317" s="18">
        <f>IFERROR(VLOOKUP($H317&amp;"|"&amp;$Q317,Tariff_Master!$A$2:$L$169,10,FALSE),"")</f>
        <v/>
      </c>
      <c r="AJ317" s="21">
        <f>IF($M317="","",ROUNDUP(MAX(0,$M317),0))</f>
        <v/>
      </c>
      <c r="AK317" s="21">
        <f>IF(OR($AJ317="",$AF317=""),"",MAX(0,$AJ317-$AF317))</f>
        <v/>
      </c>
      <c r="AL317" s="22">
        <f>IF(OR($AK317="",$AG317=""),"",MAX(0,$AK317*$AG317))</f>
        <v/>
      </c>
      <c r="AM317" s="22">
        <f>IF($AE317="","",MAX(0,SUM($AE317,$AL317,$V317,$W317)))</f>
        <v/>
      </c>
      <c r="AN317" s="22">
        <f>IF($AM317="","",IF(AND($Q317="COMMITMENT",$R317&gt;=$AH317),$AI317,0))</f>
        <v/>
      </c>
      <c r="AO317" s="23">
        <f>IF($AM317="","",MAX(0,$AM317-$AN317))</f>
        <v/>
      </c>
      <c r="AP317" s="22">
        <f>IF($S317="","",IF(OR($S317="ITEM_PRICE_PLUS_DECLARED_DELIVERY",$S317="DELIVERY_CHARGE_ONLY"),$K317,IF($S317="TOTAL_AMOUNT_INCLUDING_DELIVERY",IF(OR($T317="",$J317=""),"",MAX(0,$T317-$J317-$U317)),IF($S317="ITEM_PRICE_ONLY_DELIVERY_PAID_BY_MERCHANT",0,""))))</f>
        <v/>
      </c>
      <c r="AQ317" s="23">
        <f>IF(OR($AP317="",$AO317=""),"",$AP317-$AO317)</f>
        <v/>
      </c>
      <c r="AR317" s="24">
        <f>IF($S317="EXACT_COLLECTION_AMOUNT","BREAKDOWN_REQUIRED",IF($AQ317="","",IF($AQ317&gt;0,"CREDIT_TO_MERCHANT",IF($AQ317&lt;0,"DEDUCT_FROM_MERCHANT","NO_ADJUSTMENT"))))</f>
        <v/>
      </c>
      <c r="AS317" s="23">
        <f>IF(OR($AQ317="",$AR317="BREAKDOWN_REQUIRED"),"",$AQ317)</f>
        <v/>
      </c>
      <c r="AT317" s="23">
        <f>IF(OR($AR317="",$AR317="BREAKDOWN_REQUIRED"),"",SUM($J317,$AQ317,$Y317)-$X317)</f>
        <v/>
      </c>
      <c r="AU317" s="25">
        <f>IF(AND($A317="",$B317="",$F317="",$H317="",$J317="",$K317="",$M317="",$S317=""),"",IF(OR($H317="",$Q317="",$M317="",$S317=""),"ERROR",IF(OR($J317&lt;0,$K317&lt;0,$M317&lt;0,$T317&lt;0,$U317&lt;0,$V317&lt;0,$W317&lt;0,$X317&lt;0,$Y317&lt;0),"ERROR",IF($AE317="","ERROR",IF(AND(OR($S317="ITEM_PRICE_PLUS_DECLARED_DELIVERY",$S317="TOTAL_AMOUNT_INCLUDING_DELIVERY",$S317="ITEM_PRICE_ONLY_DELIVERY_PAID_BY_MERCHANT"),$J317=""),"ERROR",IF(AND(OR($S317="ITEM_PRICE_PLUS_DECLARED_DELIVERY",$S317="DELIVERY_CHARGE_ONLY"),$K317=""),"ERROR",IF(AND(OR($S317="TOTAL_AMOUNT_INCLUDING_DELIVERY",$S317="EXACT_COLLECTION_AMOUNT"),$T317=""),"ERROR",IF(AND($S317="TOTAL_AMOUNT_INCLUDING_DELIVERY",$T317&lt;SUM($J317,$U317)),"ERROR",IF($S317="EXACT_COLLECTION_AMOUNT","REVIEW","OK")))))))))</f>
        <v/>
      </c>
      <c r="AV317" s="25">
        <f>IF($AU317="","",IF($H317="","Township required",IF($Q317="","Customer tier required",IF($M317="","Weight required",IF($S317="","Amount entry type required",IF(OR($J317&lt;0,$K317&lt;0,$M317&lt;0,$T317&lt;0,$U317&lt;0,$V317&lt;0,$W317&lt;0,$X317&lt;0,$Y317&lt;0),"Negative amounts are not allowed",IF($AE317="","Tariff not found for township and tier",IF(AND(OR($S317="ITEM_PRICE_PLUS_DECLARED_DELIVERY",$S317="TOTAL_AMOUNT_INCLUDING_DELIVERY",$S317="ITEM_PRICE_ONLY_DELIVERY_PAID_BY_MERCHANT"),$J317=""),"Item price required for this amount type",IF(AND(OR($S317="ITEM_PRICE_PLUS_DECLARED_DELIVERY",$S317="DELIVERY_CHARGE_ONLY"),$K317=""),"Declared delivery charge required",IF(AND(OR($S317="TOTAL_AMOUNT_INCLUDING_DELIVERY",$S317="EXACT_COLLECTION_AMOUNT"),$T317=""),"Stated total amount required",IF(AND($S317="TOTAL_AMOUNT_INCLUDING_DELIVERY",$T317&lt;SUM($J317,$U317)),"Stated total is below item price plus additional charge",IF($S317="EXACT_COLLECTION_AMOUNT","Authorized amount breakdown required before settlement","Ready for collection and settlement"))))))))))))</f>
        <v/>
      </c>
      <c r="AW317" s="23">
        <f>IF($AU317="","","PARCEL_FINANCIAL_V2")</f>
        <v/>
      </c>
      <c r="AX317" s="17" t="n"/>
    </row>
    <row r="318">
      <c r="A318" s="8" t="n"/>
      <c r="B318" s="8" t="n"/>
      <c r="C318" s="8" t="n"/>
      <c r="D318" s="8" t="n"/>
      <c r="E318" s="9" t="n"/>
      <c r="F318" s="9" t="n"/>
      <c r="G318" s="8" t="n"/>
      <c r="H318" s="9" t="n"/>
      <c r="I318" s="9" t="n"/>
      <c r="J318" s="10" t="n"/>
      <c r="K318" s="10" t="n"/>
      <c r="L318" s="11">
        <f>IF($S318="","",IF($S318="ITEM_PRICE_PLUS_DECLARED_DELIVERY",IF(OR($J318="",$K318=""),"",SUM($J318,$K318,$U318)),IF($S318="TOTAL_AMOUNT_INCLUDING_DELIVERY",IF($T318="","",$T318),IF($S318="DELIVERY_CHARGE_ONLY",IF($K318="","",SUM($K318,$U318)),IF($S318="EXACT_COLLECTION_AMOUNT",IF($T318="","",$T318),IF($S318="ITEM_PRICE_ONLY_DELIVERY_PAID_BY_MERCHANT",IF($J318="","",SUM($J318,$U318)),""))))))</f>
        <v/>
      </c>
      <c r="M318" s="12" t="n"/>
      <c r="N318" s="13" t="n"/>
      <c r="O318" s="13" t="n"/>
      <c r="P318" s="9" t="n"/>
      <c r="Q318" s="14" t="n"/>
      <c r="R318" s="15" t="n"/>
      <c r="S318" s="14" t="n"/>
      <c r="T318" s="16" t="n"/>
      <c r="U318" s="16" t="n"/>
      <c r="V318" s="16" t="n"/>
      <c r="W318" s="16" t="n"/>
      <c r="X318" s="16" t="n"/>
      <c r="Y318" s="16" t="n"/>
      <c r="Z318" s="14" t="n"/>
      <c r="AA318" s="14" t="n"/>
      <c r="AB318" s="14" t="n"/>
      <c r="AC318" s="17">
        <f>IFERROR(VLOOKUP($H318&amp;"|"&amp;$Q318,Tariff_Master!$A$2:$L$169,3,FALSE),"")</f>
        <v/>
      </c>
      <c r="AD318" s="17">
        <f>IFERROR(VLOOKUP($H318&amp;"|"&amp;$Q318,Tariff_Master!$A$2:$L$169,4,FALSE),"")</f>
        <v/>
      </c>
      <c r="AE318" s="18">
        <f>IFERROR(VLOOKUP($H318&amp;"|"&amp;$Q318,Tariff_Master!$A$2:$L$169,6,FALSE),"")</f>
        <v/>
      </c>
      <c r="AF318" s="19">
        <f>IFERROR(VLOOKUP($H318&amp;"|"&amp;$Q318,Tariff_Master!$A$2:$L$169,7,FALSE),"")</f>
        <v/>
      </c>
      <c r="AG318" s="18">
        <f>IFERROR(VLOOKUP($H318&amp;"|"&amp;$Q318,Tariff_Master!$A$2:$L$169,8,FALSE),"")</f>
        <v/>
      </c>
      <c r="AH318" s="20">
        <f>IFERROR(VLOOKUP($H318&amp;"|"&amp;$Q318,Tariff_Master!$A$2:$L$169,9,FALSE),"")</f>
        <v/>
      </c>
      <c r="AI318" s="18">
        <f>IFERROR(VLOOKUP($H318&amp;"|"&amp;$Q318,Tariff_Master!$A$2:$L$169,10,FALSE),"")</f>
        <v/>
      </c>
      <c r="AJ318" s="21">
        <f>IF($M318="","",ROUNDUP(MAX(0,$M318),0))</f>
        <v/>
      </c>
      <c r="AK318" s="21">
        <f>IF(OR($AJ318="",$AF318=""),"",MAX(0,$AJ318-$AF318))</f>
        <v/>
      </c>
      <c r="AL318" s="22">
        <f>IF(OR($AK318="",$AG318=""),"",MAX(0,$AK318*$AG318))</f>
        <v/>
      </c>
      <c r="AM318" s="22">
        <f>IF($AE318="","",MAX(0,SUM($AE318,$AL318,$V318,$W318)))</f>
        <v/>
      </c>
      <c r="AN318" s="22">
        <f>IF($AM318="","",IF(AND($Q318="COMMITMENT",$R318&gt;=$AH318),$AI318,0))</f>
        <v/>
      </c>
      <c r="AO318" s="23">
        <f>IF($AM318="","",MAX(0,$AM318-$AN318))</f>
        <v/>
      </c>
      <c r="AP318" s="22">
        <f>IF($S318="","",IF(OR($S318="ITEM_PRICE_PLUS_DECLARED_DELIVERY",$S318="DELIVERY_CHARGE_ONLY"),$K318,IF($S318="TOTAL_AMOUNT_INCLUDING_DELIVERY",IF(OR($T318="",$J318=""),"",MAX(0,$T318-$J318-$U318)),IF($S318="ITEM_PRICE_ONLY_DELIVERY_PAID_BY_MERCHANT",0,""))))</f>
        <v/>
      </c>
      <c r="AQ318" s="23">
        <f>IF(OR($AP318="",$AO318=""),"",$AP318-$AO318)</f>
        <v/>
      </c>
      <c r="AR318" s="24">
        <f>IF($S318="EXACT_COLLECTION_AMOUNT","BREAKDOWN_REQUIRED",IF($AQ318="","",IF($AQ318&gt;0,"CREDIT_TO_MERCHANT",IF($AQ318&lt;0,"DEDUCT_FROM_MERCHANT","NO_ADJUSTMENT"))))</f>
        <v/>
      </c>
      <c r="AS318" s="23">
        <f>IF(OR($AQ318="",$AR318="BREAKDOWN_REQUIRED"),"",$AQ318)</f>
        <v/>
      </c>
      <c r="AT318" s="23">
        <f>IF(OR($AR318="",$AR318="BREAKDOWN_REQUIRED"),"",SUM($J318,$AQ318,$Y318)-$X318)</f>
        <v/>
      </c>
      <c r="AU318" s="25">
        <f>IF(AND($A318="",$B318="",$F318="",$H318="",$J318="",$K318="",$M318="",$S318=""),"",IF(OR($H318="",$Q318="",$M318="",$S318=""),"ERROR",IF(OR($J318&lt;0,$K318&lt;0,$M318&lt;0,$T318&lt;0,$U318&lt;0,$V318&lt;0,$W318&lt;0,$X318&lt;0,$Y318&lt;0),"ERROR",IF($AE318="","ERROR",IF(AND(OR($S318="ITEM_PRICE_PLUS_DECLARED_DELIVERY",$S318="TOTAL_AMOUNT_INCLUDING_DELIVERY",$S318="ITEM_PRICE_ONLY_DELIVERY_PAID_BY_MERCHANT"),$J318=""),"ERROR",IF(AND(OR($S318="ITEM_PRICE_PLUS_DECLARED_DELIVERY",$S318="DELIVERY_CHARGE_ONLY"),$K318=""),"ERROR",IF(AND(OR($S318="TOTAL_AMOUNT_INCLUDING_DELIVERY",$S318="EXACT_COLLECTION_AMOUNT"),$T318=""),"ERROR",IF(AND($S318="TOTAL_AMOUNT_INCLUDING_DELIVERY",$T318&lt;SUM($J318,$U318)),"ERROR",IF($S318="EXACT_COLLECTION_AMOUNT","REVIEW","OK")))))))))</f>
        <v/>
      </c>
      <c r="AV318" s="25">
        <f>IF($AU318="","",IF($H318="","Township required",IF($Q318="","Customer tier required",IF($M318="","Weight required",IF($S318="","Amount entry type required",IF(OR($J318&lt;0,$K318&lt;0,$M318&lt;0,$T318&lt;0,$U318&lt;0,$V318&lt;0,$W318&lt;0,$X318&lt;0,$Y318&lt;0),"Negative amounts are not allowed",IF($AE318="","Tariff not found for township and tier",IF(AND(OR($S318="ITEM_PRICE_PLUS_DECLARED_DELIVERY",$S318="TOTAL_AMOUNT_INCLUDING_DELIVERY",$S318="ITEM_PRICE_ONLY_DELIVERY_PAID_BY_MERCHANT"),$J318=""),"Item price required for this amount type",IF(AND(OR($S318="ITEM_PRICE_PLUS_DECLARED_DELIVERY",$S318="DELIVERY_CHARGE_ONLY"),$K318=""),"Declared delivery charge required",IF(AND(OR($S318="TOTAL_AMOUNT_INCLUDING_DELIVERY",$S318="EXACT_COLLECTION_AMOUNT"),$T318=""),"Stated total amount required",IF(AND($S318="TOTAL_AMOUNT_INCLUDING_DELIVERY",$T318&lt;SUM($J318,$U318)),"Stated total is below item price plus additional charge",IF($S318="EXACT_COLLECTION_AMOUNT","Authorized amount breakdown required before settlement","Ready for collection and settlement"))))))))))))</f>
        <v/>
      </c>
      <c r="AW318" s="23">
        <f>IF($AU318="","","PARCEL_FINANCIAL_V2")</f>
        <v/>
      </c>
      <c r="AX318" s="17" t="n"/>
    </row>
    <row r="319">
      <c r="A319" s="8" t="n"/>
      <c r="B319" s="8" t="n"/>
      <c r="C319" s="8" t="n"/>
      <c r="D319" s="8" t="n"/>
      <c r="E319" s="9" t="n"/>
      <c r="F319" s="9" t="n"/>
      <c r="G319" s="8" t="n"/>
      <c r="H319" s="9" t="n"/>
      <c r="I319" s="9" t="n"/>
      <c r="J319" s="10" t="n"/>
      <c r="K319" s="10" t="n"/>
      <c r="L319" s="11">
        <f>IF($S319="","",IF($S319="ITEM_PRICE_PLUS_DECLARED_DELIVERY",IF(OR($J319="",$K319=""),"",SUM($J319,$K319,$U319)),IF($S319="TOTAL_AMOUNT_INCLUDING_DELIVERY",IF($T319="","",$T319),IF($S319="DELIVERY_CHARGE_ONLY",IF($K319="","",SUM($K319,$U319)),IF($S319="EXACT_COLLECTION_AMOUNT",IF($T319="","",$T319),IF($S319="ITEM_PRICE_ONLY_DELIVERY_PAID_BY_MERCHANT",IF($J319="","",SUM($J319,$U319)),""))))))</f>
        <v/>
      </c>
      <c r="M319" s="12" t="n"/>
      <c r="N319" s="13" t="n"/>
      <c r="O319" s="13" t="n"/>
      <c r="P319" s="9" t="n"/>
      <c r="Q319" s="14" t="n"/>
      <c r="R319" s="15" t="n"/>
      <c r="S319" s="14" t="n"/>
      <c r="T319" s="16" t="n"/>
      <c r="U319" s="16" t="n"/>
      <c r="V319" s="16" t="n"/>
      <c r="W319" s="16" t="n"/>
      <c r="X319" s="16" t="n"/>
      <c r="Y319" s="16" t="n"/>
      <c r="Z319" s="14" t="n"/>
      <c r="AA319" s="14" t="n"/>
      <c r="AB319" s="14" t="n"/>
      <c r="AC319" s="17">
        <f>IFERROR(VLOOKUP($H319&amp;"|"&amp;$Q319,Tariff_Master!$A$2:$L$169,3,FALSE),"")</f>
        <v/>
      </c>
      <c r="AD319" s="17">
        <f>IFERROR(VLOOKUP($H319&amp;"|"&amp;$Q319,Tariff_Master!$A$2:$L$169,4,FALSE),"")</f>
        <v/>
      </c>
      <c r="AE319" s="18">
        <f>IFERROR(VLOOKUP($H319&amp;"|"&amp;$Q319,Tariff_Master!$A$2:$L$169,6,FALSE),"")</f>
        <v/>
      </c>
      <c r="AF319" s="19">
        <f>IFERROR(VLOOKUP($H319&amp;"|"&amp;$Q319,Tariff_Master!$A$2:$L$169,7,FALSE),"")</f>
        <v/>
      </c>
      <c r="AG319" s="18">
        <f>IFERROR(VLOOKUP($H319&amp;"|"&amp;$Q319,Tariff_Master!$A$2:$L$169,8,FALSE),"")</f>
        <v/>
      </c>
      <c r="AH319" s="20">
        <f>IFERROR(VLOOKUP($H319&amp;"|"&amp;$Q319,Tariff_Master!$A$2:$L$169,9,FALSE),"")</f>
        <v/>
      </c>
      <c r="AI319" s="18">
        <f>IFERROR(VLOOKUP($H319&amp;"|"&amp;$Q319,Tariff_Master!$A$2:$L$169,10,FALSE),"")</f>
        <v/>
      </c>
      <c r="AJ319" s="21">
        <f>IF($M319="","",ROUNDUP(MAX(0,$M319),0))</f>
        <v/>
      </c>
      <c r="AK319" s="21">
        <f>IF(OR($AJ319="",$AF319=""),"",MAX(0,$AJ319-$AF319))</f>
        <v/>
      </c>
      <c r="AL319" s="22">
        <f>IF(OR($AK319="",$AG319=""),"",MAX(0,$AK319*$AG319))</f>
        <v/>
      </c>
      <c r="AM319" s="22">
        <f>IF($AE319="","",MAX(0,SUM($AE319,$AL319,$V319,$W319)))</f>
        <v/>
      </c>
      <c r="AN319" s="22">
        <f>IF($AM319="","",IF(AND($Q319="COMMITMENT",$R319&gt;=$AH319),$AI319,0))</f>
        <v/>
      </c>
      <c r="AO319" s="23">
        <f>IF($AM319="","",MAX(0,$AM319-$AN319))</f>
        <v/>
      </c>
      <c r="AP319" s="22">
        <f>IF($S319="","",IF(OR($S319="ITEM_PRICE_PLUS_DECLARED_DELIVERY",$S319="DELIVERY_CHARGE_ONLY"),$K319,IF($S319="TOTAL_AMOUNT_INCLUDING_DELIVERY",IF(OR($T319="",$J319=""),"",MAX(0,$T319-$J319-$U319)),IF($S319="ITEM_PRICE_ONLY_DELIVERY_PAID_BY_MERCHANT",0,""))))</f>
        <v/>
      </c>
      <c r="AQ319" s="23">
        <f>IF(OR($AP319="",$AO319=""),"",$AP319-$AO319)</f>
        <v/>
      </c>
      <c r="AR319" s="24">
        <f>IF($S319="EXACT_COLLECTION_AMOUNT","BREAKDOWN_REQUIRED",IF($AQ319="","",IF($AQ319&gt;0,"CREDIT_TO_MERCHANT",IF($AQ319&lt;0,"DEDUCT_FROM_MERCHANT","NO_ADJUSTMENT"))))</f>
        <v/>
      </c>
      <c r="AS319" s="23">
        <f>IF(OR($AQ319="",$AR319="BREAKDOWN_REQUIRED"),"",$AQ319)</f>
        <v/>
      </c>
      <c r="AT319" s="23">
        <f>IF(OR($AR319="",$AR319="BREAKDOWN_REQUIRED"),"",SUM($J319,$AQ319,$Y319)-$X319)</f>
        <v/>
      </c>
      <c r="AU319" s="25">
        <f>IF(AND($A319="",$B319="",$F319="",$H319="",$J319="",$K319="",$M319="",$S319=""),"",IF(OR($H319="",$Q319="",$M319="",$S319=""),"ERROR",IF(OR($J319&lt;0,$K319&lt;0,$M319&lt;0,$T319&lt;0,$U319&lt;0,$V319&lt;0,$W319&lt;0,$X319&lt;0,$Y319&lt;0),"ERROR",IF($AE319="","ERROR",IF(AND(OR($S319="ITEM_PRICE_PLUS_DECLARED_DELIVERY",$S319="TOTAL_AMOUNT_INCLUDING_DELIVERY",$S319="ITEM_PRICE_ONLY_DELIVERY_PAID_BY_MERCHANT"),$J319=""),"ERROR",IF(AND(OR($S319="ITEM_PRICE_PLUS_DECLARED_DELIVERY",$S319="DELIVERY_CHARGE_ONLY"),$K319=""),"ERROR",IF(AND(OR($S319="TOTAL_AMOUNT_INCLUDING_DELIVERY",$S319="EXACT_COLLECTION_AMOUNT"),$T319=""),"ERROR",IF(AND($S319="TOTAL_AMOUNT_INCLUDING_DELIVERY",$T319&lt;SUM($J319,$U319)),"ERROR",IF($S319="EXACT_COLLECTION_AMOUNT","REVIEW","OK")))))))))</f>
        <v/>
      </c>
      <c r="AV319" s="25">
        <f>IF($AU319="","",IF($H319="","Township required",IF($Q319="","Customer tier required",IF($M319="","Weight required",IF($S319="","Amount entry type required",IF(OR($J319&lt;0,$K319&lt;0,$M319&lt;0,$T319&lt;0,$U319&lt;0,$V319&lt;0,$W319&lt;0,$X319&lt;0,$Y319&lt;0),"Negative amounts are not allowed",IF($AE319="","Tariff not found for township and tier",IF(AND(OR($S319="ITEM_PRICE_PLUS_DECLARED_DELIVERY",$S319="TOTAL_AMOUNT_INCLUDING_DELIVERY",$S319="ITEM_PRICE_ONLY_DELIVERY_PAID_BY_MERCHANT"),$J319=""),"Item price required for this amount type",IF(AND(OR($S319="ITEM_PRICE_PLUS_DECLARED_DELIVERY",$S319="DELIVERY_CHARGE_ONLY"),$K319=""),"Declared delivery charge required",IF(AND(OR($S319="TOTAL_AMOUNT_INCLUDING_DELIVERY",$S319="EXACT_COLLECTION_AMOUNT"),$T319=""),"Stated total amount required",IF(AND($S319="TOTAL_AMOUNT_INCLUDING_DELIVERY",$T319&lt;SUM($J319,$U319)),"Stated total is below item price plus additional charge",IF($S319="EXACT_COLLECTION_AMOUNT","Authorized amount breakdown required before settlement","Ready for collection and settlement"))))))))))))</f>
        <v/>
      </c>
      <c r="AW319" s="23">
        <f>IF($AU319="","","PARCEL_FINANCIAL_V2")</f>
        <v/>
      </c>
      <c r="AX319" s="17" t="n"/>
    </row>
    <row r="320">
      <c r="A320" s="8" t="n"/>
      <c r="B320" s="8" t="n"/>
      <c r="C320" s="8" t="n"/>
      <c r="D320" s="8" t="n"/>
      <c r="E320" s="9" t="n"/>
      <c r="F320" s="9" t="n"/>
      <c r="G320" s="8" t="n"/>
      <c r="H320" s="9" t="n"/>
      <c r="I320" s="9" t="n"/>
      <c r="J320" s="10" t="n"/>
      <c r="K320" s="10" t="n"/>
      <c r="L320" s="11">
        <f>IF($S320="","",IF($S320="ITEM_PRICE_PLUS_DECLARED_DELIVERY",IF(OR($J320="",$K320=""),"",SUM($J320,$K320,$U320)),IF($S320="TOTAL_AMOUNT_INCLUDING_DELIVERY",IF($T320="","",$T320),IF($S320="DELIVERY_CHARGE_ONLY",IF($K320="","",SUM($K320,$U320)),IF($S320="EXACT_COLLECTION_AMOUNT",IF($T320="","",$T320),IF($S320="ITEM_PRICE_ONLY_DELIVERY_PAID_BY_MERCHANT",IF($J320="","",SUM($J320,$U320)),""))))))</f>
        <v/>
      </c>
      <c r="M320" s="12" t="n"/>
      <c r="N320" s="13" t="n"/>
      <c r="O320" s="13" t="n"/>
      <c r="P320" s="9" t="n"/>
      <c r="Q320" s="14" t="n"/>
      <c r="R320" s="15" t="n"/>
      <c r="S320" s="14" t="n"/>
      <c r="T320" s="16" t="n"/>
      <c r="U320" s="16" t="n"/>
      <c r="V320" s="16" t="n"/>
      <c r="W320" s="16" t="n"/>
      <c r="X320" s="16" t="n"/>
      <c r="Y320" s="16" t="n"/>
      <c r="Z320" s="14" t="n"/>
      <c r="AA320" s="14" t="n"/>
      <c r="AB320" s="14" t="n"/>
      <c r="AC320" s="17">
        <f>IFERROR(VLOOKUP($H320&amp;"|"&amp;$Q320,Tariff_Master!$A$2:$L$169,3,FALSE),"")</f>
        <v/>
      </c>
      <c r="AD320" s="17">
        <f>IFERROR(VLOOKUP($H320&amp;"|"&amp;$Q320,Tariff_Master!$A$2:$L$169,4,FALSE),"")</f>
        <v/>
      </c>
      <c r="AE320" s="18">
        <f>IFERROR(VLOOKUP($H320&amp;"|"&amp;$Q320,Tariff_Master!$A$2:$L$169,6,FALSE),"")</f>
        <v/>
      </c>
      <c r="AF320" s="19">
        <f>IFERROR(VLOOKUP($H320&amp;"|"&amp;$Q320,Tariff_Master!$A$2:$L$169,7,FALSE),"")</f>
        <v/>
      </c>
      <c r="AG320" s="18">
        <f>IFERROR(VLOOKUP($H320&amp;"|"&amp;$Q320,Tariff_Master!$A$2:$L$169,8,FALSE),"")</f>
        <v/>
      </c>
      <c r="AH320" s="20">
        <f>IFERROR(VLOOKUP($H320&amp;"|"&amp;$Q320,Tariff_Master!$A$2:$L$169,9,FALSE),"")</f>
        <v/>
      </c>
      <c r="AI320" s="18">
        <f>IFERROR(VLOOKUP($H320&amp;"|"&amp;$Q320,Tariff_Master!$A$2:$L$169,10,FALSE),"")</f>
        <v/>
      </c>
      <c r="AJ320" s="21">
        <f>IF($M320="","",ROUNDUP(MAX(0,$M320),0))</f>
        <v/>
      </c>
      <c r="AK320" s="21">
        <f>IF(OR($AJ320="",$AF320=""),"",MAX(0,$AJ320-$AF320))</f>
        <v/>
      </c>
      <c r="AL320" s="22">
        <f>IF(OR($AK320="",$AG320=""),"",MAX(0,$AK320*$AG320))</f>
        <v/>
      </c>
      <c r="AM320" s="22">
        <f>IF($AE320="","",MAX(0,SUM($AE320,$AL320,$V320,$W320)))</f>
        <v/>
      </c>
      <c r="AN320" s="22">
        <f>IF($AM320="","",IF(AND($Q320="COMMITMENT",$R320&gt;=$AH320),$AI320,0))</f>
        <v/>
      </c>
      <c r="AO320" s="23">
        <f>IF($AM320="","",MAX(0,$AM320-$AN320))</f>
        <v/>
      </c>
      <c r="AP320" s="22">
        <f>IF($S320="","",IF(OR($S320="ITEM_PRICE_PLUS_DECLARED_DELIVERY",$S320="DELIVERY_CHARGE_ONLY"),$K320,IF($S320="TOTAL_AMOUNT_INCLUDING_DELIVERY",IF(OR($T320="",$J320=""),"",MAX(0,$T320-$J320-$U320)),IF($S320="ITEM_PRICE_ONLY_DELIVERY_PAID_BY_MERCHANT",0,""))))</f>
        <v/>
      </c>
      <c r="AQ320" s="23">
        <f>IF(OR($AP320="",$AO320=""),"",$AP320-$AO320)</f>
        <v/>
      </c>
      <c r="AR320" s="24">
        <f>IF($S320="EXACT_COLLECTION_AMOUNT","BREAKDOWN_REQUIRED",IF($AQ320="","",IF($AQ320&gt;0,"CREDIT_TO_MERCHANT",IF($AQ320&lt;0,"DEDUCT_FROM_MERCHANT","NO_ADJUSTMENT"))))</f>
        <v/>
      </c>
      <c r="AS320" s="23">
        <f>IF(OR($AQ320="",$AR320="BREAKDOWN_REQUIRED"),"",$AQ320)</f>
        <v/>
      </c>
      <c r="AT320" s="23">
        <f>IF(OR($AR320="",$AR320="BREAKDOWN_REQUIRED"),"",SUM($J320,$AQ320,$Y320)-$X320)</f>
        <v/>
      </c>
      <c r="AU320" s="25">
        <f>IF(AND($A320="",$B320="",$F320="",$H320="",$J320="",$K320="",$M320="",$S320=""),"",IF(OR($H320="",$Q320="",$M320="",$S320=""),"ERROR",IF(OR($J320&lt;0,$K320&lt;0,$M320&lt;0,$T320&lt;0,$U320&lt;0,$V320&lt;0,$W320&lt;0,$X320&lt;0,$Y320&lt;0),"ERROR",IF($AE320="","ERROR",IF(AND(OR($S320="ITEM_PRICE_PLUS_DECLARED_DELIVERY",$S320="TOTAL_AMOUNT_INCLUDING_DELIVERY",$S320="ITEM_PRICE_ONLY_DELIVERY_PAID_BY_MERCHANT"),$J320=""),"ERROR",IF(AND(OR($S320="ITEM_PRICE_PLUS_DECLARED_DELIVERY",$S320="DELIVERY_CHARGE_ONLY"),$K320=""),"ERROR",IF(AND(OR($S320="TOTAL_AMOUNT_INCLUDING_DELIVERY",$S320="EXACT_COLLECTION_AMOUNT"),$T320=""),"ERROR",IF(AND($S320="TOTAL_AMOUNT_INCLUDING_DELIVERY",$T320&lt;SUM($J320,$U320)),"ERROR",IF($S320="EXACT_COLLECTION_AMOUNT","REVIEW","OK")))))))))</f>
        <v/>
      </c>
      <c r="AV320" s="25">
        <f>IF($AU320="","",IF($H320="","Township required",IF($Q320="","Customer tier required",IF($M320="","Weight required",IF($S320="","Amount entry type required",IF(OR($J320&lt;0,$K320&lt;0,$M320&lt;0,$T320&lt;0,$U320&lt;0,$V320&lt;0,$W320&lt;0,$X320&lt;0,$Y320&lt;0),"Negative amounts are not allowed",IF($AE320="","Tariff not found for township and tier",IF(AND(OR($S320="ITEM_PRICE_PLUS_DECLARED_DELIVERY",$S320="TOTAL_AMOUNT_INCLUDING_DELIVERY",$S320="ITEM_PRICE_ONLY_DELIVERY_PAID_BY_MERCHANT"),$J320=""),"Item price required for this amount type",IF(AND(OR($S320="ITEM_PRICE_PLUS_DECLARED_DELIVERY",$S320="DELIVERY_CHARGE_ONLY"),$K320=""),"Declared delivery charge required",IF(AND(OR($S320="TOTAL_AMOUNT_INCLUDING_DELIVERY",$S320="EXACT_COLLECTION_AMOUNT"),$T320=""),"Stated total amount required",IF(AND($S320="TOTAL_AMOUNT_INCLUDING_DELIVERY",$T320&lt;SUM($J320,$U320)),"Stated total is below item price plus additional charge",IF($S320="EXACT_COLLECTION_AMOUNT","Authorized amount breakdown required before settlement","Ready for collection and settlement"))))))))))))</f>
        <v/>
      </c>
      <c r="AW320" s="23">
        <f>IF($AU320="","","PARCEL_FINANCIAL_V2")</f>
        <v/>
      </c>
      <c r="AX320" s="17" t="n"/>
    </row>
    <row r="321">
      <c r="A321" s="8" t="n"/>
      <c r="B321" s="8" t="n"/>
      <c r="C321" s="8" t="n"/>
      <c r="D321" s="8" t="n"/>
      <c r="E321" s="9" t="n"/>
      <c r="F321" s="9" t="n"/>
      <c r="G321" s="8" t="n"/>
      <c r="H321" s="9" t="n"/>
      <c r="I321" s="9" t="n"/>
      <c r="J321" s="10" t="n"/>
      <c r="K321" s="10" t="n"/>
      <c r="L321" s="11">
        <f>IF($S321="","",IF($S321="ITEM_PRICE_PLUS_DECLARED_DELIVERY",IF(OR($J321="",$K321=""),"",SUM($J321,$K321,$U321)),IF($S321="TOTAL_AMOUNT_INCLUDING_DELIVERY",IF($T321="","",$T321),IF($S321="DELIVERY_CHARGE_ONLY",IF($K321="","",SUM($K321,$U321)),IF($S321="EXACT_COLLECTION_AMOUNT",IF($T321="","",$T321),IF($S321="ITEM_PRICE_ONLY_DELIVERY_PAID_BY_MERCHANT",IF($J321="","",SUM($J321,$U321)),""))))))</f>
        <v/>
      </c>
      <c r="M321" s="12" t="n"/>
      <c r="N321" s="13" t="n"/>
      <c r="O321" s="13" t="n"/>
      <c r="P321" s="9" t="n"/>
      <c r="Q321" s="14" t="n"/>
      <c r="R321" s="15" t="n"/>
      <c r="S321" s="14" t="n"/>
      <c r="T321" s="16" t="n"/>
      <c r="U321" s="16" t="n"/>
      <c r="V321" s="16" t="n"/>
      <c r="W321" s="16" t="n"/>
      <c r="X321" s="16" t="n"/>
      <c r="Y321" s="16" t="n"/>
      <c r="Z321" s="14" t="n"/>
      <c r="AA321" s="14" t="n"/>
      <c r="AB321" s="14" t="n"/>
      <c r="AC321" s="17">
        <f>IFERROR(VLOOKUP($H321&amp;"|"&amp;$Q321,Tariff_Master!$A$2:$L$169,3,FALSE),"")</f>
        <v/>
      </c>
      <c r="AD321" s="17">
        <f>IFERROR(VLOOKUP($H321&amp;"|"&amp;$Q321,Tariff_Master!$A$2:$L$169,4,FALSE),"")</f>
        <v/>
      </c>
      <c r="AE321" s="18">
        <f>IFERROR(VLOOKUP($H321&amp;"|"&amp;$Q321,Tariff_Master!$A$2:$L$169,6,FALSE),"")</f>
        <v/>
      </c>
      <c r="AF321" s="19">
        <f>IFERROR(VLOOKUP($H321&amp;"|"&amp;$Q321,Tariff_Master!$A$2:$L$169,7,FALSE),"")</f>
        <v/>
      </c>
      <c r="AG321" s="18">
        <f>IFERROR(VLOOKUP($H321&amp;"|"&amp;$Q321,Tariff_Master!$A$2:$L$169,8,FALSE),"")</f>
        <v/>
      </c>
      <c r="AH321" s="20">
        <f>IFERROR(VLOOKUP($H321&amp;"|"&amp;$Q321,Tariff_Master!$A$2:$L$169,9,FALSE),"")</f>
        <v/>
      </c>
      <c r="AI321" s="18">
        <f>IFERROR(VLOOKUP($H321&amp;"|"&amp;$Q321,Tariff_Master!$A$2:$L$169,10,FALSE),"")</f>
        <v/>
      </c>
      <c r="AJ321" s="21">
        <f>IF($M321="","",ROUNDUP(MAX(0,$M321),0))</f>
        <v/>
      </c>
      <c r="AK321" s="21">
        <f>IF(OR($AJ321="",$AF321=""),"",MAX(0,$AJ321-$AF321))</f>
        <v/>
      </c>
      <c r="AL321" s="22">
        <f>IF(OR($AK321="",$AG321=""),"",MAX(0,$AK321*$AG321))</f>
        <v/>
      </c>
      <c r="AM321" s="22">
        <f>IF($AE321="","",MAX(0,SUM($AE321,$AL321,$V321,$W321)))</f>
        <v/>
      </c>
      <c r="AN321" s="22">
        <f>IF($AM321="","",IF(AND($Q321="COMMITMENT",$R321&gt;=$AH321),$AI321,0))</f>
        <v/>
      </c>
      <c r="AO321" s="23">
        <f>IF($AM321="","",MAX(0,$AM321-$AN321))</f>
        <v/>
      </c>
      <c r="AP321" s="22">
        <f>IF($S321="","",IF(OR($S321="ITEM_PRICE_PLUS_DECLARED_DELIVERY",$S321="DELIVERY_CHARGE_ONLY"),$K321,IF($S321="TOTAL_AMOUNT_INCLUDING_DELIVERY",IF(OR($T321="",$J321=""),"",MAX(0,$T321-$J321-$U321)),IF($S321="ITEM_PRICE_ONLY_DELIVERY_PAID_BY_MERCHANT",0,""))))</f>
        <v/>
      </c>
      <c r="AQ321" s="23">
        <f>IF(OR($AP321="",$AO321=""),"",$AP321-$AO321)</f>
        <v/>
      </c>
      <c r="AR321" s="24">
        <f>IF($S321="EXACT_COLLECTION_AMOUNT","BREAKDOWN_REQUIRED",IF($AQ321="","",IF($AQ321&gt;0,"CREDIT_TO_MERCHANT",IF($AQ321&lt;0,"DEDUCT_FROM_MERCHANT","NO_ADJUSTMENT"))))</f>
        <v/>
      </c>
      <c r="AS321" s="23">
        <f>IF(OR($AQ321="",$AR321="BREAKDOWN_REQUIRED"),"",$AQ321)</f>
        <v/>
      </c>
      <c r="AT321" s="23">
        <f>IF(OR($AR321="",$AR321="BREAKDOWN_REQUIRED"),"",SUM($J321,$AQ321,$Y321)-$X321)</f>
        <v/>
      </c>
      <c r="AU321" s="25">
        <f>IF(AND($A321="",$B321="",$F321="",$H321="",$J321="",$K321="",$M321="",$S321=""),"",IF(OR($H321="",$Q321="",$M321="",$S321=""),"ERROR",IF(OR($J321&lt;0,$K321&lt;0,$M321&lt;0,$T321&lt;0,$U321&lt;0,$V321&lt;0,$W321&lt;0,$X321&lt;0,$Y321&lt;0),"ERROR",IF($AE321="","ERROR",IF(AND(OR($S321="ITEM_PRICE_PLUS_DECLARED_DELIVERY",$S321="TOTAL_AMOUNT_INCLUDING_DELIVERY",$S321="ITEM_PRICE_ONLY_DELIVERY_PAID_BY_MERCHANT"),$J321=""),"ERROR",IF(AND(OR($S321="ITEM_PRICE_PLUS_DECLARED_DELIVERY",$S321="DELIVERY_CHARGE_ONLY"),$K321=""),"ERROR",IF(AND(OR($S321="TOTAL_AMOUNT_INCLUDING_DELIVERY",$S321="EXACT_COLLECTION_AMOUNT"),$T321=""),"ERROR",IF(AND($S321="TOTAL_AMOUNT_INCLUDING_DELIVERY",$T321&lt;SUM($J321,$U321)),"ERROR",IF($S321="EXACT_COLLECTION_AMOUNT","REVIEW","OK")))))))))</f>
        <v/>
      </c>
      <c r="AV321" s="25">
        <f>IF($AU321="","",IF($H321="","Township required",IF($Q321="","Customer tier required",IF($M321="","Weight required",IF($S321="","Amount entry type required",IF(OR($J321&lt;0,$K321&lt;0,$M321&lt;0,$T321&lt;0,$U321&lt;0,$V321&lt;0,$W321&lt;0,$X321&lt;0,$Y321&lt;0),"Negative amounts are not allowed",IF($AE321="","Tariff not found for township and tier",IF(AND(OR($S321="ITEM_PRICE_PLUS_DECLARED_DELIVERY",$S321="TOTAL_AMOUNT_INCLUDING_DELIVERY",$S321="ITEM_PRICE_ONLY_DELIVERY_PAID_BY_MERCHANT"),$J321=""),"Item price required for this amount type",IF(AND(OR($S321="ITEM_PRICE_PLUS_DECLARED_DELIVERY",$S321="DELIVERY_CHARGE_ONLY"),$K321=""),"Declared delivery charge required",IF(AND(OR($S321="TOTAL_AMOUNT_INCLUDING_DELIVERY",$S321="EXACT_COLLECTION_AMOUNT"),$T321=""),"Stated total amount required",IF(AND($S321="TOTAL_AMOUNT_INCLUDING_DELIVERY",$T321&lt;SUM($J321,$U321)),"Stated total is below item price plus additional charge",IF($S321="EXACT_COLLECTION_AMOUNT","Authorized amount breakdown required before settlement","Ready for collection and settlement"))))))))))))</f>
        <v/>
      </c>
      <c r="AW321" s="23">
        <f>IF($AU321="","","PARCEL_FINANCIAL_V2")</f>
        <v/>
      </c>
      <c r="AX321" s="17" t="n"/>
    </row>
    <row r="322">
      <c r="A322" s="8" t="n"/>
      <c r="B322" s="8" t="n"/>
      <c r="C322" s="8" t="n"/>
      <c r="D322" s="8" t="n"/>
      <c r="E322" s="9" t="n"/>
      <c r="F322" s="9" t="n"/>
      <c r="G322" s="8" t="n"/>
      <c r="H322" s="9" t="n"/>
      <c r="I322" s="9" t="n"/>
      <c r="J322" s="10" t="n"/>
      <c r="K322" s="10" t="n"/>
      <c r="L322" s="11">
        <f>IF($S322="","",IF($S322="ITEM_PRICE_PLUS_DECLARED_DELIVERY",IF(OR($J322="",$K322=""),"",SUM($J322,$K322,$U322)),IF($S322="TOTAL_AMOUNT_INCLUDING_DELIVERY",IF($T322="","",$T322),IF($S322="DELIVERY_CHARGE_ONLY",IF($K322="","",SUM($K322,$U322)),IF($S322="EXACT_COLLECTION_AMOUNT",IF($T322="","",$T322),IF($S322="ITEM_PRICE_ONLY_DELIVERY_PAID_BY_MERCHANT",IF($J322="","",SUM($J322,$U322)),""))))))</f>
        <v/>
      </c>
      <c r="M322" s="12" t="n"/>
      <c r="N322" s="13" t="n"/>
      <c r="O322" s="13" t="n"/>
      <c r="P322" s="9" t="n"/>
      <c r="Q322" s="14" t="n"/>
      <c r="R322" s="15" t="n"/>
      <c r="S322" s="14" t="n"/>
      <c r="T322" s="16" t="n"/>
      <c r="U322" s="16" t="n"/>
      <c r="V322" s="16" t="n"/>
      <c r="W322" s="16" t="n"/>
      <c r="X322" s="16" t="n"/>
      <c r="Y322" s="16" t="n"/>
      <c r="Z322" s="14" t="n"/>
      <c r="AA322" s="14" t="n"/>
      <c r="AB322" s="14" t="n"/>
      <c r="AC322" s="17">
        <f>IFERROR(VLOOKUP($H322&amp;"|"&amp;$Q322,Tariff_Master!$A$2:$L$169,3,FALSE),"")</f>
        <v/>
      </c>
      <c r="AD322" s="17">
        <f>IFERROR(VLOOKUP($H322&amp;"|"&amp;$Q322,Tariff_Master!$A$2:$L$169,4,FALSE),"")</f>
        <v/>
      </c>
      <c r="AE322" s="18">
        <f>IFERROR(VLOOKUP($H322&amp;"|"&amp;$Q322,Tariff_Master!$A$2:$L$169,6,FALSE),"")</f>
        <v/>
      </c>
      <c r="AF322" s="19">
        <f>IFERROR(VLOOKUP($H322&amp;"|"&amp;$Q322,Tariff_Master!$A$2:$L$169,7,FALSE),"")</f>
        <v/>
      </c>
      <c r="AG322" s="18">
        <f>IFERROR(VLOOKUP($H322&amp;"|"&amp;$Q322,Tariff_Master!$A$2:$L$169,8,FALSE),"")</f>
        <v/>
      </c>
      <c r="AH322" s="20">
        <f>IFERROR(VLOOKUP($H322&amp;"|"&amp;$Q322,Tariff_Master!$A$2:$L$169,9,FALSE),"")</f>
        <v/>
      </c>
      <c r="AI322" s="18">
        <f>IFERROR(VLOOKUP($H322&amp;"|"&amp;$Q322,Tariff_Master!$A$2:$L$169,10,FALSE),"")</f>
        <v/>
      </c>
      <c r="AJ322" s="21">
        <f>IF($M322="","",ROUNDUP(MAX(0,$M322),0))</f>
        <v/>
      </c>
      <c r="AK322" s="21">
        <f>IF(OR($AJ322="",$AF322=""),"",MAX(0,$AJ322-$AF322))</f>
        <v/>
      </c>
      <c r="AL322" s="22">
        <f>IF(OR($AK322="",$AG322=""),"",MAX(0,$AK322*$AG322))</f>
        <v/>
      </c>
      <c r="AM322" s="22">
        <f>IF($AE322="","",MAX(0,SUM($AE322,$AL322,$V322,$W322)))</f>
        <v/>
      </c>
      <c r="AN322" s="22">
        <f>IF($AM322="","",IF(AND($Q322="COMMITMENT",$R322&gt;=$AH322),$AI322,0))</f>
        <v/>
      </c>
      <c r="AO322" s="23">
        <f>IF($AM322="","",MAX(0,$AM322-$AN322))</f>
        <v/>
      </c>
      <c r="AP322" s="22">
        <f>IF($S322="","",IF(OR($S322="ITEM_PRICE_PLUS_DECLARED_DELIVERY",$S322="DELIVERY_CHARGE_ONLY"),$K322,IF($S322="TOTAL_AMOUNT_INCLUDING_DELIVERY",IF(OR($T322="",$J322=""),"",MAX(0,$T322-$J322-$U322)),IF($S322="ITEM_PRICE_ONLY_DELIVERY_PAID_BY_MERCHANT",0,""))))</f>
        <v/>
      </c>
      <c r="AQ322" s="23">
        <f>IF(OR($AP322="",$AO322=""),"",$AP322-$AO322)</f>
        <v/>
      </c>
      <c r="AR322" s="24">
        <f>IF($S322="EXACT_COLLECTION_AMOUNT","BREAKDOWN_REQUIRED",IF($AQ322="","",IF($AQ322&gt;0,"CREDIT_TO_MERCHANT",IF($AQ322&lt;0,"DEDUCT_FROM_MERCHANT","NO_ADJUSTMENT"))))</f>
        <v/>
      </c>
      <c r="AS322" s="23">
        <f>IF(OR($AQ322="",$AR322="BREAKDOWN_REQUIRED"),"",$AQ322)</f>
        <v/>
      </c>
      <c r="AT322" s="23">
        <f>IF(OR($AR322="",$AR322="BREAKDOWN_REQUIRED"),"",SUM($J322,$AQ322,$Y322)-$X322)</f>
        <v/>
      </c>
      <c r="AU322" s="25">
        <f>IF(AND($A322="",$B322="",$F322="",$H322="",$J322="",$K322="",$M322="",$S322=""),"",IF(OR($H322="",$Q322="",$M322="",$S322=""),"ERROR",IF(OR($J322&lt;0,$K322&lt;0,$M322&lt;0,$T322&lt;0,$U322&lt;0,$V322&lt;0,$W322&lt;0,$X322&lt;0,$Y322&lt;0),"ERROR",IF($AE322="","ERROR",IF(AND(OR($S322="ITEM_PRICE_PLUS_DECLARED_DELIVERY",$S322="TOTAL_AMOUNT_INCLUDING_DELIVERY",$S322="ITEM_PRICE_ONLY_DELIVERY_PAID_BY_MERCHANT"),$J322=""),"ERROR",IF(AND(OR($S322="ITEM_PRICE_PLUS_DECLARED_DELIVERY",$S322="DELIVERY_CHARGE_ONLY"),$K322=""),"ERROR",IF(AND(OR($S322="TOTAL_AMOUNT_INCLUDING_DELIVERY",$S322="EXACT_COLLECTION_AMOUNT"),$T322=""),"ERROR",IF(AND($S322="TOTAL_AMOUNT_INCLUDING_DELIVERY",$T322&lt;SUM($J322,$U322)),"ERROR",IF($S322="EXACT_COLLECTION_AMOUNT","REVIEW","OK")))))))))</f>
        <v/>
      </c>
      <c r="AV322" s="25">
        <f>IF($AU322="","",IF($H322="","Township required",IF($Q322="","Customer tier required",IF($M322="","Weight required",IF($S322="","Amount entry type required",IF(OR($J322&lt;0,$K322&lt;0,$M322&lt;0,$T322&lt;0,$U322&lt;0,$V322&lt;0,$W322&lt;0,$X322&lt;0,$Y322&lt;0),"Negative amounts are not allowed",IF($AE322="","Tariff not found for township and tier",IF(AND(OR($S322="ITEM_PRICE_PLUS_DECLARED_DELIVERY",$S322="TOTAL_AMOUNT_INCLUDING_DELIVERY",$S322="ITEM_PRICE_ONLY_DELIVERY_PAID_BY_MERCHANT"),$J322=""),"Item price required for this amount type",IF(AND(OR($S322="ITEM_PRICE_PLUS_DECLARED_DELIVERY",$S322="DELIVERY_CHARGE_ONLY"),$K322=""),"Declared delivery charge required",IF(AND(OR($S322="TOTAL_AMOUNT_INCLUDING_DELIVERY",$S322="EXACT_COLLECTION_AMOUNT"),$T322=""),"Stated total amount required",IF(AND($S322="TOTAL_AMOUNT_INCLUDING_DELIVERY",$T322&lt;SUM($J322,$U322)),"Stated total is below item price plus additional charge",IF($S322="EXACT_COLLECTION_AMOUNT","Authorized amount breakdown required before settlement","Ready for collection and settlement"))))))))))))</f>
        <v/>
      </c>
      <c r="AW322" s="23">
        <f>IF($AU322="","","PARCEL_FINANCIAL_V2")</f>
        <v/>
      </c>
      <c r="AX322" s="17" t="n"/>
    </row>
    <row r="323">
      <c r="A323" s="8" t="n"/>
      <c r="B323" s="8" t="n"/>
      <c r="C323" s="8" t="n"/>
      <c r="D323" s="8" t="n"/>
      <c r="E323" s="9" t="n"/>
      <c r="F323" s="9" t="n"/>
      <c r="G323" s="8" t="n"/>
      <c r="H323" s="9" t="n"/>
      <c r="I323" s="9" t="n"/>
      <c r="J323" s="10" t="n"/>
      <c r="K323" s="10" t="n"/>
      <c r="L323" s="11">
        <f>IF($S323="","",IF($S323="ITEM_PRICE_PLUS_DECLARED_DELIVERY",IF(OR($J323="",$K323=""),"",SUM($J323,$K323,$U323)),IF($S323="TOTAL_AMOUNT_INCLUDING_DELIVERY",IF($T323="","",$T323),IF($S323="DELIVERY_CHARGE_ONLY",IF($K323="","",SUM($K323,$U323)),IF($S323="EXACT_COLLECTION_AMOUNT",IF($T323="","",$T323),IF($S323="ITEM_PRICE_ONLY_DELIVERY_PAID_BY_MERCHANT",IF($J323="","",SUM($J323,$U323)),""))))))</f>
        <v/>
      </c>
      <c r="M323" s="12" t="n"/>
      <c r="N323" s="13" t="n"/>
      <c r="O323" s="13" t="n"/>
      <c r="P323" s="9" t="n"/>
      <c r="Q323" s="14" t="n"/>
      <c r="R323" s="15" t="n"/>
      <c r="S323" s="14" t="n"/>
      <c r="T323" s="16" t="n"/>
      <c r="U323" s="16" t="n"/>
      <c r="V323" s="16" t="n"/>
      <c r="W323" s="16" t="n"/>
      <c r="X323" s="16" t="n"/>
      <c r="Y323" s="16" t="n"/>
      <c r="Z323" s="14" t="n"/>
      <c r="AA323" s="14" t="n"/>
      <c r="AB323" s="14" t="n"/>
      <c r="AC323" s="17">
        <f>IFERROR(VLOOKUP($H323&amp;"|"&amp;$Q323,Tariff_Master!$A$2:$L$169,3,FALSE),"")</f>
        <v/>
      </c>
      <c r="AD323" s="17">
        <f>IFERROR(VLOOKUP($H323&amp;"|"&amp;$Q323,Tariff_Master!$A$2:$L$169,4,FALSE),"")</f>
        <v/>
      </c>
      <c r="AE323" s="18">
        <f>IFERROR(VLOOKUP($H323&amp;"|"&amp;$Q323,Tariff_Master!$A$2:$L$169,6,FALSE),"")</f>
        <v/>
      </c>
      <c r="AF323" s="19">
        <f>IFERROR(VLOOKUP($H323&amp;"|"&amp;$Q323,Tariff_Master!$A$2:$L$169,7,FALSE),"")</f>
        <v/>
      </c>
      <c r="AG323" s="18">
        <f>IFERROR(VLOOKUP($H323&amp;"|"&amp;$Q323,Tariff_Master!$A$2:$L$169,8,FALSE),"")</f>
        <v/>
      </c>
      <c r="AH323" s="20">
        <f>IFERROR(VLOOKUP($H323&amp;"|"&amp;$Q323,Tariff_Master!$A$2:$L$169,9,FALSE),"")</f>
        <v/>
      </c>
      <c r="AI323" s="18">
        <f>IFERROR(VLOOKUP($H323&amp;"|"&amp;$Q323,Tariff_Master!$A$2:$L$169,10,FALSE),"")</f>
        <v/>
      </c>
      <c r="AJ323" s="21">
        <f>IF($M323="","",ROUNDUP(MAX(0,$M323),0))</f>
        <v/>
      </c>
      <c r="AK323" s="21">
        <f>IF(OR($AJ323="",$AF323=""),"",MAX(0,$AJ323-$AF323))</f>
        <v/>
      </c>
      <c r="AL323" s="22">
        <f>IF(OR($AK323="",$AG323=""),"",MAX(0,$AK323*$AG323))</f>
        <v/>
      </c>
      <c r="AM323" s="22">
        <f>IF($AE323="","",MAX(0,SUM($AE323,$AL323,$V323,$W323)))</f>
        <v/>
      </c>
      <c r="AN323" s="22">
        <f>IF($AM323="","",IF(AND($Q323="COMMITMENT",$R323&gt;=$AH323),$AI323,0))</f>
        <v/>
      </c>
      <c r="AO323" s="23">
        <f>IF($AM323="","",MAX(0,$AM323-$AN323))</f>
        <v/>
      </c>
      <c r="AP323" s="22">
        <f>IF($S323="","",IF(OR($S323="ITEM_PRICE_PLUS_DECLARED_DELIVERY",$S323="DELIVERY_CHARGE_ONLY"),$K323,IF($S323="TOTAL_AMOUNT_INCLUDING_DELIVERY",IF(OR($T323="",$J323=""),"",MAX(0,$T323-$J323-$U323)),IF($S323="ITEM_PRICE_ONLY_DELIVERY_PAID_BY_MERCHANT",0,""))))</f>
        <v/>
      </c>
      <c r="AQ323" s="23">
        <f>IF(OR($AP323="",$AO323=""),"",$AP323-$AO323)</f>
        <v/>
      </c>
      <c r="AR323" s="24">
        <f>IF($S323="EXACT_COLLECTION_AMOUNT","BREAKDOWN_REQUIRED",IF($AQ323="","",IF($AQ323&gt;0,"CREDIT_TO_MERCHANT",IF($AQ323&lt;0,"DEDUCT_FROM_MERCHANT","NO_ADJUSTMENT"))))</f>
        <v/>
      </c>
      <c r="AS323" s="23">
        <f>IF(OR($AQ323="",$AR323="BREAKDOWN_REQUIRED"),"",$AQ323)</f>
        <v/>
      </c>
      <c r="AT323" s="23">
        <f>IF(OR($AR323="",$AR323="BREAKDOWN_REQUIRED"),"",SUM($J323,$AQ323,$Y323)-$X323)</f>
        <v/>
      </c>
      <c r="AU323" s="25">
        <f>IF(AND($A323="",$B323="",$F323="",$H323="",$J323="",$K323="",$M323="",$S323=""),"",IF(OR($H323="",$Q323="",$M323="",$S323=""),"ERROR",IF(OR($J323&lt;0,$K323&lt;0,$M323&lt;0,$T323&lt;0,$U323&lt;0,$V323&lt;0,$W323&lt;0,$X323&lt;0,$Y323&lt;0),"ERROR",IF($AE323="","ERROR",IF(AND(OR($S323="ITEM_PRICE_PLUS_DECLARED_DELIVERY",$S323="TOTAL_AMOUNT_INCLUDING_DELIVERY",$S323="ITEM_PRICE_ONLY_DELIVERY_PAID_BY_MERCHANT"),$J323=""),"ERROR",IF(AND(OR($S323="ITEM_PRICE_PLUS_DECLARED_DELIVERY",$S323="DELIVERY_CHARGE_ONLY"),$K323=""),"ERROR",IF(AND(OR($S323="TOTAL_AMOUNT_INCLUDING_DELIVERY",$S323="EXACT_COLLECTION_AMOUNT"),$T323=""),"ERROR",IF(AND($S323="TOTAL_AMOUNT_INCLUDING_DELIVERY",$T323&lt;SUM($J323,$U323)),"ERROR",IF($S323="EXACT_COLLECTION_AMOUNT","REVIEW","OK")))))))))</f>
        <v/>
      </c>
      <c r="AV323" s="25">
        <f>IF($AU323="","",IF($H323="","Township required",IF($Q323="","Customer tier required",IF($M323="","Weight required",IF($S323="","Amount entry type required",IF(OR($J323&lt;0,$K323&lt;0,$M323&lt;0,$T323&lt;0,$U323&lt;0,$V323&lt;0,$W323&lt;0,$X323&lt;0,$Y323&lt;0),"Negative amounts are not allowed",IF($AE323="","Tariff not found for township and tier",IF(AND(OR($S323="ITEM_PRICE_PLUS_DECLARED_DELIVERY",$S323="TOTAL_AMOUNT_INCLUDING_DELIVERY",$S323="ITEM_PRICE_ONLY_DELIVERY_PAID_BY_MERCHANT"),$J323=""),"Item price required for this amount type",IF(AND(OR($S323="ITEM_PRICE_PLUS_DECLARED_DELIVERY",$S323="DELIVERY_CHARGE_ONLY"),$K323=""),"Declared delivery charge required",IF(AND(OR($S323="TOTAL_AMOUNT_INCLUDING_DELIVERY",$S323="EXACT_COLLECTION_AMOUNT"),$T323=""),"Stated total amount required",IF(AND($S323="TOTAL_AMOUNT_INCLUDING_DELIVERY",$T323&lt;SUM($J323,$U323)),"Stated total is below item price plus additional charge",IF($S323="EXACT_COLLECTION_AMOUNT","Authorized amount breakdown required before settlement","Ready for collection and settlement"))))))))))))</f>
        <v/>
      </c>
      <c r="AW323" s="23">
        <f>IF($AU323="","","PARCEL_FINANCIAL_V2")</f>
        <v/>
      </c>
      <c r="AX323" s="17" t="n"/>
    </row>
    <row r="324">
      <c r="A324" s="8" t="n"/>
      <c r="B324" s="8" t="n"/>
      <c r="C324" s="8" t="n"/>
      <c r="D324" s="8" t="n"/>
      <c r="E324" s="9" t="n"/>
      <c r="F324" s="9" t="n"/>
      <c r="G324" s="8" t="n"/>
      <c r="H324" s="9" t="n"/>
      <c r="I324" s="9" t="n"/>
      <c r="J324" s="10" t="n"/>
      <c r="K324" s="10" t="n"/>
      <c r="L324" s="11">
        <f>IF($S324="","",IF($S324="ITEM_PRICE_PLUS_DECLARED_DELIVERY",IF(OR($J324="",$K324=""),"",SUM($J324,$K324,$U324)),IF($S324="TOTAL_AMOUNT_INCLUDING_DELIVERY",IF($T324="","",$T324),IF($S324="DELIVERY_CHARGE_ONLY",IF($K324="","",SUM($K324,$U324)),IF($S324="EXACT_COLLECTION_AMOUNT",IF($T324="","",$T324),IF($S324="ITEM_PRICE_ONLY_DELIVERY_PAID_BY_MERCHANT",IF($J324="","",SUM($J324,$U324)),""))))))</f>
        <v/>
      </c>
      <c r="M324" s="12" t="n"/>
      <c r="N324" s="13" t="n"/>
      <c r="O324" s="13" t="n"/>
      <c r="P324" s="9" t="n"/>
      <c r="Q324" s="14" t="n"/>
      <c r="R324" s="15" t="n"/>
      <c r="S324" s="14" t="n"/>
      <c r="T324" s="16" t="n"/>
      <c r="U324" s="16" t="n"/>
      <c r="V324" s="16" t="n"/>
      <c r="W324" s="16" t="n"/>
      <c r="X324" s="16" t="n"/>
      <c r="Y324" s="16" t="n"/>
      <c r="Z324" s="14" t="n"/>
      <c r="AA324" s="14" t="n"/>
      <c r="AB324" s="14" t="n"/>
      <c r="AC324" s="17">
        <f>IFERROR(VLOOKUP($H324&amp;"|"&amp;$Q324,Tariff_Master!$A$2:$L$169,3,FALSE),"")</f>
        <v/>
      </c>
      <c r="AD324" s="17">
        <f>IFERROR(VLOOKUP($H324&amp;"|"&amp;$Q324,Tariff_Master!$A$2:$L$169,4,FALSE),"")</f>
        <v/>
      </c>
      <c r="AE324" s="18">
        <f>IFERROR(VLOOKUP($H324&amp;"|"&amp;$Q324,Tariff_Master!$A$2:$L$169,6,FALSE),"")</f>
        <v/>
      </c>
      <c r="AF324" s="19">
        <f>IFERROR(VLOOKUP($H324&amp;"|"&amp;$Q324,Tariff_Master!$A$2:$L$169,7,FALSE),"")</f>
        <v/>
      </c>
      <c r="AG324" s="18">
        <f>IFERROR(VLOOKUP($H324&amp;"|"&amp;$Q324,Tariff_Master!$A$2:$L$169,8,FALSE),"")</f>
        <v/>
      </c>
      <c r="AH324" s="20">
        <f>IFERROR(VLOOKUP($H324&amp;"|"&amp;$Q324,Tariff_Master!$A$2:$L$169,9,FALSE),"")</f>
        <v/>
      </c>
      <c r="AI324" s="18">
        <f>IFERROR(VLOOKUP($H324&amp;"|"&amp;$Q324,Tariff_Master!$A$2:$L$169,10,FALSE),"")</f>
        <v/>
      </c>
      <c r="AJ324" s="21">
        <f>IF($M324="","",ROUNDUP(MAX(0,$M324),0))</f>
        <v/>
      </c>
      <c r="AK324" s="21">
        <f>IF(OR($AJ324="",$AF324=""),"",MAX(0,$AJ324-$AF324))</f>
        <v/>
      </c>
      <c r="AL324" s="22">
        <f>IF(OR($AK324="",$AG324=""),"",MAX(0,$AK324*$AG324))</f>
        <v/>
      </c>
      <c r="AM324" s="22">
        <f>IF($AE324="","",MAX(0,SUM($AE324,$AL324,$V324,$W324)))</f>
        <v/>
      </c>
      <c r="AN324" s="22">
        <f>IF($AM324="","",IF(AND($Q324="COMMITMENT",$R324&gt;=$AH324),$AI324,0))</f>
        <v/>
      </c>
      <c r="AO324" s="23">
        <f>IF($AM324="","",MAX(0,$AM324-$AN324))</f>
        <v/>
      </c>
      <c r="AP324" s="22">
        <f>IF($S324="","",IF(OR($S324="ITEM_PRICE_PLUS_DECLARED_DELIVERY",$S324="DELIVERY_CHARGE_ONLY"),$K324,IF($S324="TOTAL_AMOUNT_INCLUDING_DELIVERY",IF(OR($T324="",$J324=""),"",MAX(0,$T324-$J324-$U324)),IF($S324="ITEM_PRICE_ONLY_DELIVERY_PAID_BY_MERCHANT",0,""))))</f>
        <v/>
      </c>
      <c r="AQ324" s="23">
        <f>IF(OR($AP324="",$AO324=""),"",$AP324-$AO324)</f>
        <v/>
      </c>
      <c r="AR324" s="24">
        <f>IF($S324="EXACT_COLLECTION_AMOUNT","BREAKDOWN_REQUIRED",IF($AQ324="","",IF($AQ324&gt;0,"CREDIT_TO_MERCHANT",IF($AQ324&lt;0,"DEDUCT_FROM_MERCHANT","NO_ADJUSTMENT"))))</f>
        <v/>
      </c>
      <c r="AS324" s="23">
        <f>IF(OR($AQ324="",$AR324="BREAKDOWN_REQUIRED"),"",$AQ324)</f>
        <v/>
      </c>
      <c r="AT324" s="23">
        <f>IF(OR($AR324="",$AR324="BREAKDOWN_REQUIRED"),"",SUM($J324,$AQ324,$Y324)-$X324)</f>
        <v/>
      </c>
      <c r="AU324" s="25">
        <f>IF(AND($A324="",$B324="",$F324="",$H324="",$J324="",$K324="",$M324="",$S324=""),"",IF(OR($H324="",$Q324="",$M324="",$S324=""),"ERROR",IF(OR($J324&lt;0,$K324&lt;0,$M324&lt;0,$T324&lt;0,$U324&lt;0,$V324&lt;0,$W324&lt;0,$X324&lt;0,$Y324&lt;0),"ERROR",IF($AE324="","ERROR",IF(AND(OR($S324="ITEM_PRICE_PLUS_DECLARED_DELIVERY",$S324="TOTAL_AMOUNT_INCLUDING_DELIVERY",$S324="ITEM_PRICE_ONLY_DELIVERY_PAID_BY_MERCHANT"),$J324=""),"ERROR",IF(AND(OR($S324="ITEM_PRICE_PLUS_DECLARED_DELIVERY",$S324="DELIVERY_CHARGE_ONLY"),$K324=""),"ERROR",IF(AND(OR($S324="TOTAL_AMOUNT_INCLUDING_DELIVERY",$S324="EXACT_COLLECTION_AMOUNT"),$T324=""),"ERROR",IF(AND($S324="TOTAL_AMOUNT_INCLUDING_DELIVERY",$T324&lt;SUM($J324,$U324)),"ERROR",IF($S324="EXACT_COLLECTION_AMOUNT","REVIEW","OK")))))))))</f>
        <v/>
      </c>
      <c r="AV324" s="25">
        <f>IF($AU324="","",IF($H324="","Township required",IF($Q324="","Customer tier required",IF($M324="","Weight required",IF($S324="","Amount entry type required",IF(OR($J324&lt;0,$K324&lt;0,$M324&lt;0,$T324&lt;0,$U324&lt;0,$V324&lt;0,$W324&lt;0,$X324&lt;0,$Y324&lt;0),"Negative amounts are not allowed",IF($AE324="","Tariff not found for township and tier",IF(AND(OR($S324="ITEM_PRICE_PLUS_DECLARED_DELIVERY",$S324="TOTAL_AMOUNT_INCLUDING_DELIVERY",$S324="ITEM_PRICE_ONLY_DELIVERY_PAID_BY_MERCHANT"),$J324=""),"Item price required for this amount type",IF(AND(OR($S324="ITEM_PRICE_PLUS_DECLARED_DELIVERY",$S324="DELIVERY_CHARGE_ONLY"),$K324=""),"Declared delivery charge required",IF(AND(OR($S324="TOTAL_AMOUNT_INCLUDING_DELIVERY",$S324="EXACT_COLLECTION_AMOUNT"),$T324=""),"Stated total amount required",IF(AND($S324="TOTAL_AMOUNT_INCLUDING_DELIVERY",$T324&lt;SUM($J324,$U324)),"Stated total is below item price plus additional charge",IF($S324="EXACT_COLLECTION_AMOUNT","Authorized amount breakdown required before settlement","Ready for collection and settlement"))))))))))))</f>
        <v/>
      </c>
      <c r="AW324" s="23">
        <f>IF($AU324="","","PARCEL_FINANCIAL_V2")</f>
        <v/>
      </c>
      <c r="AX324" s="17" t="n"/>
    </row>
    <row r="325">
      <c r="A325" s="8" t="n"/>
      <c r="B325" s="8" t="n"/>
      <c r="C325" s="8" t="n"/>
      <c r="D325" s="8" t="n"/>
      <c r="E325" s="9" t="n"/>
      <c r="F325" s="9" t="n"/>
      <c r="G325" s="8" t="n"/>
      <c r="H325" s="9" t="n"/>
      <c r="I325" s="9" t="n"/>
      <c r="J325" s="10" t="n"/>
      <c r="K325" s="10" t="n"/>
      <c r="L325" s="11">
        <f>IF($S325="","",IF($S325="ITEM_PRICE_PLUS_DECLARED_DELIVERY",IF(OR($J325="",$K325=""),"",SUM($J325,$K325,$U325)),IF($S325="TOTAL_AMOUNT_INCLUDING_DELIVERY",IF($T325="","",$T325),IF($S325="DELIVERY_CHARGE_ONLY",IF($K325="","",SUM($K325,$U325)),IF($S325="EXACT_COLLECTION_AMOUNT",IF($T325="","",$T325),IF($S325="ITEM_PRICE_ONLY_DELIVERY_PAID_BY_MERCHANT",IF($J325="","",SUM($J325,$U325)),""))))))</f>
        <v/>
      </c>
      <c r="M325" s="12" t="n"/>
      <c r="N325" s="13" t="n"/>
      <c r="O325" s="13" t="n"/>
      <c r="P325" s="9" t="n"/>
      <c r="Q325" s="14" t="n"/>
      <c r="R325" s="15" t="n"/>
      <c r="S325" s="14" t="n"/>
      <c r="T325" s="16" t="n"/>
      <c r="U325" s="16" t="n"/>
      <c r="V325" s="16" t="n"/>
      <c r="W325" s="16" t="n"/>
      <c r="X325" s="16" t="n"/>
      <c r="Y325" s="16" t="n"/>
      <c r="Z325" s="14" t="n"/>
      <c r="AA325" s="14" t="n"/>
      <c r="AB325" s="14" t="n"/>
      <c r="AC325" s="17">
        <f>IFERROR(VLOOKUP($H325&amp;"|"&amp;$Q325,Tariff_Master!$A$2:$L$169,3,FALSE),"")</f>
        <v/>
      </c>
      <c r="AD325" s="17">
        <f>IFERROR(VLOOKUP($H325&amp;"|"&amp;$Q325,Tariff_Master!$A$2:$L$169,4,FALSE),"")</f>
        <v/>
      </c>
      <c r="AE325" s="18">
        <f>IFERROR(VLOOKUP($H325&amp;"|"&amp;$Q325,Tariff_Master!$A$2:$L$169,6,FALSE),"")</f>
        <v/>
      </c>
      <c r="AF325" s="19">
        <f>IFERROR(VLOOKUP($H325&amp;"|"&amp;$Q325,Tariff_Master!$A$2:$L$169,7,FALSE),"")</f>
        <v/>
      </c>
      <c r="AG325" s="18">
        <f>IFERROR(VLOOKUP($H325&amp;"|"&amp;$Q325,Tariff_Master!$A$2:$L$169,8,FALSE),"")</f>
        <v/>
      </c>
      <c r="AH325" s="20">
        <f>IFERROR(VLOOKUP($H325&amp;"|"&amp;$Q325,Tariff_Master!$A$2:$L$169,9,FALSE),"")</f>
        <v/>
      </c>
      <c r="AI325" s="18">
        <f>IFERROR(VLOOKUP($H325&amp;"|"&amp;$Q325,Tariff_Master!$A$2:$L$169,10,FALSE),"")</f>
        <v/>
      </c>
      <c r="AJ325" s="21">
        <f>IF($M325="","",ROUNDUP(MAX(0,$M325),0))</f>
        <v/>
      </c>
      <c r="AK325" s="21">
        <f>IF(OR($AJ325="",$AF325=""),"",MAX(0,$AJ325-$AF325))</f>
        <v/>
      </c>
      <c r="AL325" s="22">
        <f>IF(OR($AK325="",$AG325=""),"",MAX(0,$AK325*$AG325))</f>
        <v/>
      </c>
      <c r="AM325" s="22">
        <f>IF($AE325="","",MAX(0,SUM($AE325,$AL325,$V325,$W325)))</f>
        <v/>
      </c>
      <c r="AN325" s="22">
        <f>IF($AM325="","",IF(AND($Q325="COMMITMENT",$R325&gt;=$AH325),$AI325,0))</f>
        <v/>
      </c>
      <c r="AO325" s="23">
        <f>IF($AM325="","",MAX(0,$AM325-$AN325))</f>
        <v/>
      </c>
      <c r="AP325" s="22">
        <f>IF($S325="","",IF(OR($S325="ITEM_PRICE_PLUS_DECLARED_DELIVERY",$S325="DELIVERY_CHARGE_ONLY"),$K325,IF($S325="TOTAL_AMOUNT_INCLUDING_DELIVERY",IF(OR($T325="",$J325=""),"",MAX(0,$T325-$J325-$U325)),IF($S325="ITEM_PRICE_ONLY_DELIVERY_PAID_BY_MERCHANT",0,""))))</f>
        <v/>
      </c>
      <c r="AQ325" s="23">
        <f>IF(OR($AP325="",$AO325=""),"",$AP325-$AO325)</f>
        <v/>
      </c>
      <c r="AR325" s="24">
        <f>IF($S325="EXACT_COLLECTION_AMOUNT","BREAKDOWN_REQUIRED",IF($AQ325="","",IF($AQ325&gt;0,"CREDIT_TO_MERCHANT",IF($AQ325&lt;0,"DEDUCT_FROM_MERCHANT","NO_ADJUSTMENT"))))</f>
        <v/>
      </c>
      <c r="AS325" s="23">
        <f>IF(OR($AQ325="",$AR325="BREAKDOWN_REQUIRED"),"",$AQ325)</f>
        <v/>
      </c>
      <c r="AT325" s="23">
        <f>IF(OR($AR325="",$AR325="BREAKDOWN_REQUIRED"),"",SUM($J325,$AQ325,$Y325)-$X325)</f>
        <v/>
      </c>
      <c r="AU325" s="25">
        <f>IF(AND($A325="",$B325="",$F325="",$H325="",$J325="",$K325="",$M325="",$S325=""),"",IF(OR($H325="",$Q325="",$M325="",$S325=""),"ERROR",IF(OR($J325&lt;0,$K325&lt;0,$M325&lt;0,$T325&lt;0,$U325&lt;0,$V325&lt;0,$W325&lt;0,$X325&lt;0,$Y325&lt;0),"ERROR",IF($AE325="","ERROR",IF(AND(OR($S325="ITEM_PRICE_PLUS_DECLARED_DELIVERY",$S325="TOTAL_AMOUNT_INCLUDING_DELIVERY",$S325="ITEM_PRICE_ONLY_DELIVERY_PAID_BY_MERCHANT"),$J325=""),"ERROR",IF(AND(OR($S325="ITEM_PRICE_PLUS_DECLARED_DELIVERY",$S325="DELIVERY_CHARGE_ONLY"),$K325=""),"ERROR",IF(AND(OR($S325="TOTAL_AMOUNT_INCLUDING_DELIVERY",$S325="EXACT_COLLECTION_AMOUNT"),$T325=""),"ERROR",IF(AND($S325="TOTAL_AMOUNT_INCLUDING_DELIVERY",$T325&lt;SUM($J325,$U325)),"ERROR",IF($S325="EXACT_COLLECTION_AMOUNT","REVIEW","OK")))))))))</f>
        <v/>
      </c>
      <c r="AV325" s="25">
        <f>IF($AU325="","",IF($H325="","Township required",IF($Q325="","Customer tier required",IF($M325="","Weight required",IF($S325="","Amount entry type required",IF(OR($J325&lt;0,$K325&lt;0,$M325&lt;0,$T325&lt;0,$U325&lt;0,$V325&lt;0,$W325&lt;0,$X325&lt;0,$Y325&lt;0),"Negative amounts are not allowed",IF($AE325="","Tariff not found for township and tier",IF(AND(OR($S325="ITEM_PRICE_PLUS_DECLARED_DELIVERY",$S325="TOTAL_AMOUNT_INCLUDING_DELIVERY",$S325="ITEM_PRICE_ONLY_DELIVERY_PAID_BY_MERCHANT"),$J325=""),"Item price required for this amount type",IF(AND(OR($S325="ITEM_PRICE_PLUS_DECLARED_DELIVERY",$S325="DELIVERY_CHARGE_ONLY"),$K325=""),"Declared delivery charge required",IF(AND(OR($S325="TOTAL_AMOUNT_INCLUDING_DELIVERY",$S325="EXACT_COLLECTION_AMOUNT"),$T325=""),"Stated total amount required",IF(AND($S325="TOTAL_AMOUNT_INCLUDING_DELIVERY",$T325&lt;SUM($J325,$U325)),"Stated total is below item price plus additional charge",IF($S325="EXACT_COLLECTION_AMOUNT","Authorized amount breakdown required before settlement","Ready for collection and settlement"))))))))))))</f>
        <v/>
      </c>
      <c r="AW325" s="23">
        <f>IF($AU325="","","PARCEL_FINANCIAL_V2")</f>
        <v/>
      </c>
      <c r="AX325" s="17" t="n"/>
    </row>
    <row r="326">
      <c r="A326" s="8" t="n"/>
      <c r="B326" s="8" t="n"/>
      <c r="C326" s="8" t="n"/>
      <c r="D326" s="8" t="n"/>
      <c r="E326" s="9" t="n"/>
      <c r="F326" s="9" t="n"/>
      <c r="G326" s="8" t="n"/>
      <c r="H326" s="9" t="n"/>
      <c r="I326" s="9" t="n"/>
      <c r="J326" s="10" t="n"/>
      <c r="K326" s="10" t="n"/>
      <c r="L326" s="11">
        <f>IF($S326="","",IF($S326="ITEM_PRICE_PLUS_DECLARED_DELIVERY",IF(OR($J326="",$K326=""),"",SUM($J326,$K326,$U326)),IF($S326="TOTAL_AMOUNT_INCLUDING_DELIVERY",IF($T326="","",$T326),IF($S326="DELIVERY_CHARGE_ONLY",IF($K326="","",SUM($K326,$U326)),IF($S326="EXACT_COLLECTION_AMOUNT",IF($T326="","",$T326),IF($S326="ITEM_PRICE_ONLY_DELIVERY_PAID_BY_MERCHANT",IF($J326="","",SUM($J326,$U326)),""))))))</f>
        <v/>
      </c>
      <c r="M326" s="12" t="n"/>
      <c r="N326" s="13" t="n"/>
      <c r="O326" s="13" t="n"/>
      <c r="P326" s="9" t="n"/>
      <c r="Q326" s="14" t="n"/>
      <c r="R326" s="15" t="n"/>
      <c r="S326" s="14" t="n"/>
      <c r="T326" s="16" t="n"/>
      <c r="U326" s="16" t="n"/>
      <c r="V326" s="16" t="n"/>
      <c r="W326" s="16" t="n"/>
      <c r="X326" s="16" t="n"/>
      <c r="Y326" s="16" t="n"/>
      <c r="Z326" s="14" t="n"/>
      <c r="AA326" s="14" t="n"/>
      <c r="AB326" s="14" t="n"/>
      <c r="AC326" s="17">
        <f>IFERROR(VLOOKUP($H326&amp;"|"&amp;$Q326,Tariff_Master!$A$2:$L$169,3,FALSE),"")</f>
        <v/>
      </c>
      <c r="AD326" s="17">
        <f>IFERROR(VLOOKUP($H326&amp;"|"&amp;$Q326,Tariff_Master!$A$2:$L$169,4,FALSE),"")</f>
        <v/>
      </c>
      <c r="AE326" s="18">
        <f>IFERROR(VLOOKUP($H326&amp;"|"&amp;$Q326,Tariff_Master!$A$2:$L$169,6,FALSE),"")</f>
        <v/>
      </c>
      <c r="AF326" s="19">
        <f>IFERROR(VLOOKUP($H326&amp;"|"&amp;$Q326,Tariff_Master!$A$2:$L$169,7,FALSE),"")</f>
        <v/>
      </c>
      <c r="AG326" s="18">
        <f>IFERROR(VLOOKUP($H326&amp;"|"&amp;$Q326,Tariff_Master!$A$2:$L$169,8,FALSE),"")</f>
        <v/>
      </c>
      <c r="AH326" s="20">
        <f>IFERROR(VLOOKUP($H326&amp;"|"&amp;$Q326,Tariff_Master!$A$2:$L$169,9,FALSE),"")</f>
        <v/>
      </c>
      <c r="AI326" s="18">
        <f>IFERROR(VLOOKUP($H326&amp;"|"&amp;$Q326,Tariff_Master!$A$2:$L$169,10,FALSE),"")</f>
        <v/>
      </c>
      <c r="AJ326" s="21">
        <f>IF($M326="","",ROUNDUP(MAX(0,$M326),0))</f>
        <v/>
      </c>
      <c r="AK326" s="21">
        <f>IF(OR($AJ326="",$AF326=""),"",MAX(0,$AJ326-$AF326))</f>
        <v/>
      </c>
      <c r="AL326" s="22">
        <f>IF(OR($AK326="",$AG326=""),"",MAX(0,$AK326*$AG326))</f>
        <v/>
      </c>
      <c r="AM326" s="22">
        <f>IF($AE326="","",MAX(0,SUM($AE326,$AL326,$V326,$W326)))</f>
        <v/>
      </c>
      <c r="AN326" s="22">
        <f>IF($AM326="","",IF(AND($Q326="COMMITMENT",$R326&gt;=$AH326),$AI326,0))</f>
        <v/>
      </c>
      <c r="AO326" s="23">
        <f>IF($AM326="","",MAX(0,$AM326-$AN326))</f>
        <v/>
      </c>
      <c r="AP326" s="22">
        <f>IF($S326="","",IF(OR($S326="ITEM_PRICE_PLUS_DECLARED_DELIVERY",$S326="DELIVERY_CHARGE_ONLY"),$K326,IF($S326="TOTAL_AMOUNT_INCLUDING_DELIVERY",IF(OR($T326="",$J326=""),"",MAX(0,$T326-$J326-$U326)),IF($S326="ITEM_PRICE_ONLY_DELIVERY_PAID_BY_MERCHANT",0,""))))</f>
        <v/>
      </c>
      <c r="AQ326" s="23">
        <f>IF(OR($AP326="",$AO326=""),"",$AP326-$AO326)</f>
        <v/>
      </c>
      <c r="AR326" s="24">
        <f>IF($S326="EXACT_COLLECTION_AMOUNT","BREAKDOWN_REQUIRED",IF($AQ326="","",IF($AQ326&gt;0,"CREDIT_TO_MERCHANT",IF($AQ326&lt;0,"DEDUCT_FROM_MERCHANT","NO_ADJUSTMENT"))))</f>
        <v/>
      </c>
      <c r="AS326" s="23">
        <f>IF(OR($AQ326="",$AR326="BREAKDOWN_REQUIRED"),"",$AQ326)</f>
        <v/>
      </c>
      <c r="AT326" s="23">
        <f>IF(OR($AR326="",$AR326="BREAKDOWN_REQUIRED"),"",SUM($J326,$AQ326,$Y326)-$X326)</f>
        <v/>
      </c>
      <c r="AU326" s="25">
        <f>IF(AND($A326="",$B326="",$F326="",$H326="",$J326="",$K326="",$M326="",$S326=""),"",IF(OR($H326="",$Q326="",$M326="",$S326=""),"ERROR",IF(OR($J326&lt;0,$K326&lt;0,$M326&lt;0,$T326&lt;0,$U326&lt;0,$V326&lt;0,$W326&lt;0,$X326&lt;0,$Y326&lt;0),"ERROR",IF($AE326="","ERROR",IF(AND(OR($S326="ITEM_PRICE_PLUS_DECLARED_DELIVERY",$S326="TOTAL_AMOUNT_INCLUDING_DELIVERY",$S326="ITEM_PRICE_ONLY_DELIVERY_PAID_BY_MERCHANT"),$J326=""),"ERROR",IF(AND(OR($S326="ITEM_PRICE_PLUS_DECLARED_DELIVERY",$S326="DELIVERY_CHARGE_ONLY"),$K326=""),"ERROR",IF(AND(OR($S326="TOTAL_AMOUNT_INCLUDING_DELIVERY",$S326="EXACT_COLLECTION_AMOUNT"),$T326=""),"ERROR",IF(AND($S326="TOTAL_AMOUNT_INCLUDING_DELIVERY",$T326&lt;SUM($J326,$U326)),"ERROR",IF($S326="EXACT_COLLECTION_AMOUNT","REVIEW","OK")))))))))</f>
        <v/>
      </c>
      <c r="AV326" s="25">
        <f>IF($AU326="","",IF($H326="","Township required",IF($Q326="","Customer tier required",IF($M326="","Weight required",IF($S326="","Amount entry type required",IF(OR($J326&lt;0,$K326&lt;0,$M326&lt;0,$T326&lt;0,$U326&lt;0,$V326&lt;0,$W326&lt;0,$X326&lt;0,$Y326&lt;0),"Negative amounts are not allowed",IF($AE326="","Tariff not found for township and tier",IF(AND(OR($S326="ITEM_PRICE_PLUS_DECLARED_DELIVERY",$S326="TOTAL_AMOUNT_INCLUDING_DELIVERY",$S326="ITEM_PRICE_ONLY_DELIVERY_PAID_BY_MERCHANT"),$J326=""),"Item price required for this amount type",IF(AND(OR($S326="ITEM_PRICE_PLUS_DECLARED_DELIVERY",$S326="DELIVERY_CHARGE_ONLY"),$K326=""),"Declared delivery charge required",IF(AND(OR($S326="TOTAL_AMOUNT_INCLUDING_DELIVERY",$S326="EXACT_COLLECTION_AMOUNT"),$T326=""),"Stated total amount required",IF(AND($S326="TOTAL_AMOUNT_INCLUDING_DELIVERY",$T326&lt;SUM($J326,$U326)),"Stated total is below item price plus additional charge",IF($S326="EXACT_COLLECTION_AMOUNT","Authorized amount breakdown required before settlement","Ready for collection and settlement"))))))))))))</f>
        <v/>
      </c>
      <c r="AW326" s="23">
        <f>IF($AU326="","","PARCEL_FINANCIAL_V2")</f>
        <v/>
      </c>
      <c r="AX326" s="17" t="n"/>
    </row>
    <row r="327">
      <c r="A327" s="8" t="n"/>
      <c r="B327" s="8" t="n"/>
      <c r="C327" s="8" t="n"/>
      <c r="D327" s="8" t="n"/>
      <c r="E327" s="9" t="n"/>
      <c r="F327" s="9" t="n"/>
      <c r="G327" s="8" t="n"/>
      <c r="H327" s="9" t="n"/>
      <c r="I327" s="9" t="n"/>
      <c r="J327" s="10" t="n"/>
      <c r="K327" s="10" t="n"/>
      <c r="L327" s="11">
        <f>IF($S327="","",IF($S327="ITEM_PRICE_PLUS_DECLARED_DELIVERY",IF(OR($J327="",$K327=""),"",SUM($J327,$K327,$U327)),IF($S327="TOTAL_AMOUNT_INCLUDING_DELIVERY",IF($T327="","",$T327),IF($S327="DELIVERY_CHARGE_ONLY",IF($K327="","",SUM($K327,$U327)),IF($S327="EXACT_COLLECTION_AMOUNT",IF($T327="","",$T327),IF($S327="ITEM_PRICE_ONLY_DELIVERY_PAID_BY_MERCHANT",IF($J327="","",SUM($J327,$U327)),""))))))</f>
        <v/>
      </c>
      <c r="M327" s="12" t="n"/>
      <c r="N327" s="13" t="n"/>
      <c r="O327" s="13" t="n"/>
      <c r="P327" s="9" t="n"/>
      <c r="Q327" s="14" t="n"/>
      <c r="R327" s="15" t="n"/>
      <c r="S327" s="14" t="n"/>
      <c r="T327" s="16" t="n"/>
      <c r="U327" s="16" t="n"/>
      <c r="V327" s="16" t="n"/>
      <c r="W327" s="16" t="n"/>
      <c r="X327" s="16" t="n"/>
      <c r="Y327" s="16" t="n"/>
      <c r="Z327" s="14" t="n"/>
      <c r="AA327" s="14" t="n"/>
      <c r="AB327" s="14" t="n"/>
      <c r="AC327" s="17">
        <f>IFERROR(VLOOKUP($H327&amp;"|"&amp;$Q327,Tariff_Master!$A$2:$L$169,3,FALSE),"")</f>
        <v/>
      </c>
      <c r="AD327" s="17">
        <f>IFERROR(VLOOKUP($H327&amp;"|"&amp;$Q327,Tariff_Master!$A$2:$L$169,4,FALSE),"")</f>
        <v/>
      </c>
      <c r="AE327" s="18">
        <f>IFERROR(VLOOKUP($H327&amp;"|"&amp;$Q327,Tariff_Master!$A$2:$L$169,6,FALSE),"")</f>
        <v/>
      </c>
      <c r="AF327" s="19">
        <f>IFERROR(VLOOKUP($H327&amp;"|"&amp;$Q327,Tariff_Master!$A$2:$L$169,7,FALSE),"")</f>
        <v/>
      </c>
      <c r="AG327" s="18">
        <f>IFERROR(VLOOKUP($H327&amp;"|"&amp;$Q327,Tariff_Master!$A$2:$L$169,8,FALSE),"")</f>
        <v/>
      </c>
      <c r="AH327" s="20">
        <f>IFERROR(VLOOKUP($H327&amp;"|"&amp;$Q327,Tariff_Master!$A$2:$L$169,9,FALSE),"")</f>
        <v/>
      </c>
      <c r="AI327" s="18">
        <f>IFERROR(VLOOKUP($H327&amp;"|"&amp;$Q327,Tariff_Master!$A$2:$L$169,10,FALSE),"")</f>
        <v/>
      </c>
      <c r="AJ327" s="21">
        <f>IF($M327="","",ROUNDUP(MAX(0,$M327),0))</f>
        <v/>
      </c>
      <c r="AK327" s="21">
        <f>IF(OR($AJ327="",$AF327=""),"",MAX(0,$AJ327-$AF327))</f>
        <v/>
      </c>
      <c r="AL327" s="22">
        <f>IF(OR($AK327="",$AG327=""),"",MAX(0,$AK327*$AG327))</f>
        <v/>
      </c>
      <c r="AM327" s="22">
        <f>IF($AE327="","",MAX(0,SUM($AE327,$AL327,$V327,$W327)))</f>
        <v/>
      </c>
      <c r="AN327" s="22">
        <f>IF($AM327="","",IF(AND($Q327="COMMITMENT",$R327&gt;=$AH327),$AI327,0))</f>
        <v/>
      </c>
      <c r="AO327" s="23">
        <f>IF($AM327="","",MAX(0,$AM327-$AN327))</f>
        <v/>
      </c>
      <c r="AP327" s="22">
        <f>IF($S327="","",IF(OR($S327="ITEM_PRICE_PLUS_DECLARED_DELIVERY",$S327="DELIVERY_CHARGE_ONLY"),$K327,IF($S327="TOTAL_AMOUNT_INCLUDING_DELIVERY",IF(OR($T327="",$J327=""),"",MAX(0,$T327-$J327-$U327)),IF($S327="ITEM_PRICE_ONLY_DELIVERY_PAID_BY_MERCHANT",0,""))))</f>
        <v/>
      </c>
      <c r="AQ327" s="23">
        <f>IF(OR($AP327="",$AO327=""),"",$AP327-$AO327)</f>
        <v/>
      </c>
      <c r="AR327" s="24">
        <f>IF($S327="EXACT_COLLECTION_AMOUNT","BREAKDOWN_REQUIRED",IF($AQ327="","",IF($AQ327&gt;0,"CREDIT_TO_MERCHANT",IF($AQ327&lt;0,"DEDUCT_FROM_MERCHANT","NO_ADJUSTMENT"))))</f>
        <v/>
      </c>
      <c r="AS327" s="23">
        <f>IF(OR($AQ327="",$AR327="BREAKDOWN_REQUIRED"),"",$AQ327)</f>
        <v/>
      </c>
      <c r="AT327" s="23">
        <f>IF(OR($AR327="",$AR327="BREAKDOWN_REQUIRED"),"",SUM($J327,$AQ327,$Y327)-$X327)</f>
        <v/>
      </c>
      <c r="AU327" s="25">
        <f>IF(AND($A327="",$B327="",$F327="",$H327="",$J327="",$K327="",$M327="",$S327=""),"",IF(OR($H327="",$Q327="",$M327="",$S327=""),"ERROR",IF(OR($J327&lt;0,$K327&lt;0,$M327&lt;0,$T327&lt;0,$U327&lt;0,$V327&lt;0,$W327&lt;0,$X327&lt;0,$Y327&lt;0),"ERROR",IF($AE327="","ERROR",IF(AND(OR($S327="ITEM_PRICE_PLUS_DECLARED_DELIVERY",$S327="TOTAL_AMOUNT_INCLUDING_DELIVERY",$S327="ITEM_PRICE_ONLY_DELIVERY_PAID_BY_MERCHANT"),$J327=""),"ERROR",IF(AND(OR($S327="ITEM_PRICE_PLUS_DECLARED_DELIVERY",$S327="DELIVERY_CHARGE_ONLY"),$K327=""),"ERROR",IF(AND(OR($S327="TOTAL_AMOUNT_INCLUDING_DELIVERY",$S327="EXACT_COLLECTION_AMOUNT"),$T327=""),"ERROR",IF(AND($S327="TOTAL_AMOUNT_INCLUDING_DELIVERY",$T327&lt;SUM($J327,$U327)),"ERROR",IF($S327="EXACT_COLLECTION_AMOUNT","REVIEW","OK")))))))))</f>
        <v/>
      </c>
      <c r="AV327" s="25">
        <f>IF($AU327="","",IF($H327="","Township required",IF($Q327="","Customer tier required",IF($M327="","Weight required",IF($S327="","Amount entry type required",IF(OR($J327&lt;0,$K327&lt;0,$M327&lt;0,$T327&lt;0,$U327&lt;0,$V327&lt;0,$W327&lt;0,$X327&lt;0,$Y327&lt;0),"Negative amounts are not allowed",IF($AE327="","Tariff not found for township and tier",IF(AND(OR($S327="ITEM_PRICE_PLUS_DECLARED_DELIVERY",$S327="TOTAL_AMOUNT_INCLUDING_DELIVERY",$S327="ITEM_PRICE_ONLY_DELIVERY_PAID_BY_MERCHANT"),$J327=""),"Item price required for this amount type",IF(AND(OR($S327="ITEM_PRICE_PLUS_DECLARED_DELIVERY",$S327="DELIVERY_CHARGE_ONLY"),$K327=""),"Declared delivery charge required",IF(AND(OR($S327="TOTAL_AMOUNT_INCLUDING_DELIVERY",$S327="EXACT_COLLECTION_AMOUNT"),$T327=""),"Stated total amount required",IF(AND($S327="TOTAL_AMOUNT_INCLUDING_DELIVERY",$T327&lt;SUM($J327,$U327)),"Stated total is below item price plus additional charge",IF($S327="EXACT_COLLECTION_AMOUNT","Authorized amount breakdown required before settlement","Ready for collection and settlement"))))))))))))</f>
        <v/>
      </c>
      <c r="AW327" s="23">
        <f>IF($AU327="","","PARCEL_FINANCIAL_V2")</f>
        <v/>
      </c>
      <c r="AX327" s="17" t="n"/>
    </row>
    <row r="328">
      <c r="A328" s="8" t="n"/>
      <c r="B328" s="8" t="n"/>
      <c r="C328" s="8" t="n"/>
      <c r="D328" s="8" t="n"/>
      <c r="E328" s="9" t="n"/>
      <c r="F328" s="9" t="n"/>
      <c r="G328" s="8" t="n"/>
      <c r="H328" s="9" t="n"/>
      <c r="I328" s="9" t="n"/>
      <c r="J328" s="10" t="n"/>
      <c r="K328" s="10" t="n"/>
      <c r="L328" s="11">
        <f>IF($S328="","",IF($S328="ITEM_PRICE_PLUS_DECLARED_DELIVERY",IF(OR($J328="",$K328=""),"",SUM($J328,$K328,$U328)),IF($S328="TOTAL_AMOUNT_INCLUDING_DELIVERY",IF($T328="","",$T328),IF($S328="DELIVERY_CHARGE_ONLY",IF($K328="","",SUM($K328,$U328)),IF($S328="EXACT_COLLECTION_AMOUNT",IF($T328="","",$T328),IF($S328="ITEM_PRICE_ONLY_DELIVERY_PAID_BY_MERCHANT",IF($J328="","",SUM($J328,$U328)),""))))))</f>
        <v/>
      </c>
      <c r="M328" s="12" t="n"/>
      <c r="N328" s="13" t="n"/>
      <c r="O328" s="13" t="n"/>
      <c r="P328" s="9" t="n"/>
      <c r="Q328" s="14" t="n"/>
      <c r="R328" s="15" t="n"/>
      <c r="S328" s="14" t="n"/>
      <c r="T328" s="16" t="n"/>
      <c r="U328" s="16" t="n"/>
      <c r="V328" s="16" t="n"/>
      <c r="W328" s="16" t="n"/>
      <c r="X328" s="16" t="n"/>
      <c r="Y328" s="16" t="n"/>
      <c r="Z328" s="14" t="n"/>
      <c r="AA328" s="14" t="n"/>
      <c r="AB328" s="14" t="n"/>
      <c r="AC328" s="17">
        <f>IFERROR(VLOOKUP($H328&amp;"|"&amp;$Q328,Tariff_Master!$A$2:$L$169,3,FALSE),"")</f>
        <v/>
      </c>
      <c r="AD328" s="17">
        <f>IFERROR(VLOOKUP($H328&amp;"|"&amp;$Q328,Tariff_Master!$A$2:$L$169,4,FALSE),"")</f>
        <v/>
      </c>
      <c r="AE328" s="18">
        <f>IFERROR(VLOOKUP($H328&amp;"|"&amp;$Q328,Tariff_Master!$A$2:$L$169,6,FALSE),"")</f>
        <v/>
      </c>
      <c r="AF328" s="19">
        <f>IFERROR(VLOOKUP($H328&amp;"|"&amp;$Q328,Tariff_Master!$A$2:$L$169,7,FALSE),"")</f>
        <v/>
      </c>
      <c r="AG328" s="18">
        <f>IFERROR(VLOOKUP($H328&amp;"|"&amp;$Q328,Tariff_Master!$A$2:$L$169,8,FALSE),"")</f>
        <v/>
      </c>
      <c r="AH328" s="20">
        <f>IFERROR(VLOOKUP($H328&amp;"|"&amp;$Q328,Tariff_Master!$A$2:$L$169,9,FALSE),"")</f>
        <v/>
      </c>
      <c r="AI328" s="18">
        <f>IFERROR(VLOOKUP($H328&amp;"|"&amp;$Q328,Tariff_Master!$A$2:$L$169,10,FALSE),"")</f>
        <v/>
      </c>
      <c r="AJ328" s="21">
        <f>IF($M328="","",ROUNDUP(MAX(0,$M328),0))</f>
        <v/>
      </c>
      <c r="AK328" s="21">
        <f>IF(OR($AJ328="",$AF328=""),"",MAX(0,$AJ328-$AF328))</f>
        <v/>
      </c>
      <c r="AL328" s="22">
        <f>IF(OR($AK328="",$AG328=""),"",MAX(0,$AK328*$AG328))</f>
        <v/>
      </c>
      <c r="AM328" s="22">
        <f>IF($AE328="","",MAX(0,SUM($AE328,$AL328,$V328,$W328)))</f>
        <v/>
      </c>
      <c r="AN328" s="22">
        <f>IF($AM328="","",IF(AND($Q328="COMMITMENT",$R328&gt;=$AH328),$AI328,0))</f>
        <v/>
      </c>
      <c r="AO328" s="23">
        <f>IF($AM328="","",MAX(0,$AM328-$AN328))</f>
        <v/>
      </c>
      <c r="AP328" s="22">
        <f>IF($S328="","",IF(OR($S328="ITEM_PRICE_PLUS_DECLARED_DELIVERY",$S328="DELIVERY_CHARGE_ONLY"),$K328,IF($S328="TOTAL_AMOUNT_INCLUDING_DELIVERY",IF(OR($T328="",$J328=""),"",MAX(0,$T328-$J328-$U328)),IF($S328="ITEM_PRICE_ONLY_DELIVERY_PAID_BY_MERCHANT",0,""))))</f>
        <v/>
      </c>
      <c r="AQ328" s="23">
        <f>IF(OR($AP328="",$AO328=""),"",$AP328-$AO328)</f>
        <v/>
      </c>
      <c r="AR328" s="24">
        <f>IF($S328="EXACT_COLLECTION_AMOUNT","BREAKDOWN_REQUIRED",IF($AQ328="","",IF($AQ328&gt;0,"CREDIT_TO_MERCHANT",IF($AQ328&lt;0,"DEDUCT_FROM_MERCHANT","NO_ADJUSTMENT"))))</f>
        <v/>
      </c>
      <c r="AS328" s="23">
        <f>IF(OR($AQ328="",$AR328="BREAKDOWN_REQUIRED"),"",$AQ328)</f>
        <v/>
      </c>
      <c r="AT328" s="23">
        <f>IF(OR($AR328="",$AR328="BREAKDOWN_REQUIRED"),"",SUM($J328,$AQ328,$Y328)-$X328)</f>
        <v/>
      </c>
      <c r="AU328" s="25">
        <f>IF(AND($A328="",$B328="",$F328="",$H328="",$J328="",$K328="",$M328="",$S328=""),"",IF(OR($H328="",$Q328="",$M328="",$S328=""),"ERROR",IF(OR($J328&lt;0,$K328&lt;0,$M328&lt;0,$T328&lt;0,$U328&lt;0,$V328&lt;0,$W328&lt;0,$X328&lt;0,$Y328&lt;0),"ERROR",IF($AE328="","ERROR",IF(AND(OR($S328="ITEM_PRICE_PLUS_DECLARED_DELIVERY",$S328="TOTAL_AMOUNT_INCLUDING_DELIVERY",$S328="ITEM_PRICE_ONLY_DELIVERY_PAID_BY_MERCHANT"),$J328=""),"ERROR",IF(AND(OR($S328="ITEM_PRICE_PLUS_DECLARED_DELIVERY",$S328="DELIVERY_CHARGE_ONLY"),$K328=""),"ERROR",IF(AND(OR($S328="TOTAL_AMOUNT_INCLUDING_DELIVERY",$S328="EXACT_COLLECTION_AMOUNT"),$T328=""),"ERROR",IF(AND($S328="TOTAL_AMOUNT_INCLUDING_DELIVERY",$T328&lt;SUM($J328,$U328)),"ERROR",IF($S328="EXACT_COLLECTION_AMOUNT","REVIEW","OK")))))))))</f>
        <v/>
      </c>
      <c r="AV328" s="25">
        <f>IF($AU328="","",IF($H328="","Township required",IF($Q328="","Customer tier required",IF($M328="","Weight required",IF($S328="","Amount entry type required",IF(OR($J328&lt;0,$K328&lt;0,$M328&lt;0,$T328&lt;0,$U328&lt;0,$V328&lt;0,$W328&lt;0,$X328&lt;0,$Y328&lt;0),"Negative amounts are not allowed",IF($AE328="","Tariff not found for township and tier",IF(AND(OR($S328="ITEM_PRICE_PLUS_DECLARED_DELIVERY",$S328="TOTAL_AMOUNT_INCLUDING_DELIVERY",$S328="ITEM_PRICE_ONLY_DELIVERY_PAID_BY_MERCHANT"),$J328=""),"Item price required for this amount type",IF(AND(OR($S328="ITEM_PRICE_PLUS_DECLARED_DELIVERY",$S328="DELIVERY_CHARGE_ONLY"),$K328=""),"Declared delivery charge required",IF(AND(OR($S328="TOTAL_AMOUNT_INCLUDING_DELIVERY",$S328="EXACT_COLLECTION_AMOUNT"),$T328=""),"Stated total amount required",IF(AND($S328="TOTAL_AMOUNT_INCLUDING_DELIVERY",$T328&lt;SUM($J328,$U328)),"Stated total is below item price plus additional charge",IF($S328="EXACT_COLLECTION_AMOUNT","Authorized amount breakdown required before settlement","Ready for collection and settlement"))))))))))))</f>
        <v/>
      </c>
      <c r="AW328" s="23">
        <f>IF($AU328="","","PARCEL_FINANCIAL_V2")</f>
        <v/>
      </c>
      <c r="AX328" s="17" t="n"/>
    </row>
    <row r="329">
      <c r="A329" s="8" t="n"/>
      <c r="B329" s="8" t="n"/>
      <c r="C329" s="8" t="n"/>
      <c r="D329" s="8" t="n"/>
      <c r="E329" s="9" t="n"/>
      <c r="F329" s="9" t="n"/>
      <c r="G329" s="8" t="n"/>
      <c r="H329" s="9" t="n"/>
      <c r="I329" s="9" t="n"/>
      <c r="J329" s="10" t="n"/>
      <c r="K329" s="10" t="n"/>
      <c r="L329" s="11">
        <f>IF($S329="","",IF($S329="ITEM_PRICE_PLUS_DECLARED_DELIVERY",IF(OR($J329="",$K329=""),"",SUM($J329,$K329,$U329)),IF($S329="TOTAL_AMOUNT_INCLUDING_DELIVERY",IF($T329="","",$T329),IF($S329="DELIVERY_CHARGE_ONLY",IF($K329="","",SUM($K329,$U329)),IF($S329="EXACT_COLLECTION_AMOUNT",IF($T329="","",$T329),IF($S329="ITEM_PRICE_ONLY_DELIVERY_PAID_BY_MERCHANT",IF($J329="","",SUM($J329,$U329)),""))))))</f>
        <v/>
      </c>
      <c r="M329" s="12" t="n"/>
      <c r="N329" s="13" t="n"/>
      <c r="O329" s="13" t="n"/>
      <c r="P329" s="9" t="n"/>
      <c r="Q329" s="14" t="n"/>
      <c r="R329" s="15" t="n"/>
      <c r="S329" s="14" t="n"/>
      <c r="T329" s="16" t="n"/>
      <c r="U329" s="16" t="n"/>
      <c r="V329" s="16" t="n"/>
      <c r="W329" s="16" t="n"/>
      <c r="X329" s="16" t="n"/>
      <c r="Y329" s="16" t="n"/>
      <c r="Z329" s="14" t="n"/>
      <c r="AA329" s="14" t="n"/>
      <c r="AB329" s="14" t="n"/>
      <c r="AC329" s="17">
        <f>IFERROR(VLOOKUP($H329&amp;"|"&amp;$Q329,Tariff_Master!$A$2:$L$169,3,FALSE),"")</f>
        <v/>
      </c>
      <c r="AD329" s="17">
        <f>IFERROR(VLOOKUP($H329&amp;"|"&amp;$Q329,Tariff_Master!$A$2:$L$169,4,FALSE),"")</f>
        <v/>
      </c>
      <c r="AE329" s="18">
        <f>IFERROR(VLOOKUP($H329&amp;"|"&amp;$Q329,Tariff_Master!$A$2:$L$169,6,FALSE),"")</f>
        <v/>
      </c>
      <c r="AF329" s="19">
        <f>IFERROR(VLOOKUP($H329&amp;"|"&amp;$Q329,Tariff_Master!$A$2:$L$169,7,FALSE),"")</f>
        <v/>
      </c>
      <c r="AG329" s="18">
        <f>IFERROR(VLOOKUP($H329&amp;"|"&amp;$Q329,Tariff_Master!$A$2:$L$169,8,FALSE),"")</f>
        <v/>
      </c>
      <c r="AH329" s="20">
        <f>IFERROR(VLOOKUP($H329&amp;"|"&amp;$Q329,Tariff_Master!$A$2:$L$169,9,FALSE),"")</f>
        <v/>
      </c>
      <c r="AI329" s="18">
        <f>IFERROR(VLOOKUP($H329&amp;"|"&amp;$Q329,Tariff_Master!$A$2:$L$169,10,FALSE),"")</f>
        <v/>
      </c>
      <c r="AJ329" s="21">
        <f>IF($M329="","",ROUNDUP(MAX(0,$M329),0))</f>
        <v/>
      </c>
      <c r="AK329" s="21">
        <f>IF(OR($AJ329="",$AF329=""),"",MAX(0,$AJ329-$AF329))</f>
        <v/>
      </c>
      <c r="AL329" s="22">
        <f>IF(OR($AK329="",$AG329=""),"",MAX(0,$AK329*$AG329))</f>
        <v/>
      </c>
      <c r="AM329" s="22">
        <f>IF($AE329="","",MAX(0,SUM($AE329,$AL329,$V329,$W329)))</f>
        <v/>
      </c>
      <c r="AN329" s="22">
        <f>IF($AM329="","",IF(AND($Q329="COMMITMENT",$R329&gt;=$AH329),$AI329,0))</f>
        <v/>
      </c>
      <c r="AO329" s="23">
        <f>IF($AM329="","",MAX(0,$AM329-$AN329))</f>
        <v/>
      </c>
      <c r="AP329" s="22">
        <f>IF($S329="","",IF(OR($S329="ITEM_PRICE_PLUS_DECLARED_DELIVERY",$S329="DELIVERY_CHARGE_ONLY"),$K329,IF($S329="TOTAL_AMOUNT_INCLUDING_DELIVERY",IF(OR($T329="",$J329=""),"",MAX(0,$T329-$J329-$U329)),IF($S329="ITEM_PRICE_ONLY_DELIVERY_PAID_BY_MERCHANT",0,""))))</f>
        <v/>
      </c>
      <c r="AQ329" s="23">
        <f>IF(OR($AP329="",$AO329=""),"",$AP329-$AO329)</f>
        <v/>
      </c>
      <c r="AR329" s="24">
        <f>IF($S329="EXACT_COLLECTION_AMOUNT","BREAKDOWN_REQUIRED",IF($AQ329="","",IF($AQ329&gt;0,"CREDIT_TO_MERCHANT",IF($AQ329&lt;0,"DEDUCT_FROM_MERCHANT","NO_ADJUSTMENT"))))</f>
        <v/>
      </c>
      <c r="AS329" s="23">
        <f>IF(OR($AQ329="",$AR329="BREAKDOWN_REQUIRED"),"",$AQ329)</f>
        <v/>
      </c>
      <c r="AT329" s="23">
        <f>IF(OR($AR329="",$AR329="BREAKDOWN_REQUIRED"),"",SUM($J329,$AQ329,$Y329)-$X329)</f>
        <v/>
      </c>
      <c r="AU329" s="25">
        <f>IF(AND($A329="",$B329="",$F329="",$H329="",$J329="",$K329="",$M329="",$S329=""),"",IF(OR($H329="",$Q329="",$M329="",$S329=""),"ERROR",IF(OR($J329&lt;0,$K329&lt;0,$M329&lt;0,$T329&lt;0,$U329&lt;0,$V329&lt;0,$W329&lt;0,$X329&lt;0,$Y329&lt;0),"ERROR",IF($AE329="","ERROR",IF(AND(OR($S329="ITEM_PRICE_PLUS_DECLARED_DELIVERY",$S329="TOTAL_AMOUNT_INCLUDING_DELIVERY",$S329="ITEM_PRICE_ONLY_DELIVERY_PAID_BY_MERCHANT"),$J329=""),"ERROR",IF(AND(OR($S329="ITEM_PRICE_PLUS_DECLARED_DELIVERY",$S329="DELIVERY_CHARGE_ONLY"),$K329=""),"ERROR",IF(AND(OR($S329="TOTAL_AMOUNT_INCLUDING_DELIVERY",$S329="EXACT_COLLECTION_AMOUNT"),$T329=""),"ERROR",IF(AND($S329="TOTAL_AMOUNT_INCLUDING_DELIVERY",$T329&lt;SUM($J329,$U329)),"ERROR",IF($S329="EXACT_COLLECTION_AMOUNT","REVIEW","OK")))))))))</f>
        <v/>
      </c>
      <c r="AV329" s="25">
        <f>IF($AU329="","",IF($H329="","Township required",IF($Q329="","Customer tier required",IF($M329="","Weight required",IF($S329="","Amount entry type required",IF(OR($J329&lt;0,$K329&lt;0,$M329&lt;0,$T329&lt;0,$U329&lt;0,$V329&lt;0,$W329&lt;0,$X329&lt;0,$Y329&lt;0),"Negative amounts are not allowed",IF($AE329="","Tariff not found for township and tier",IF(AND(OR($S329="ITEM_PRICE_PLUS_DECLARED_DELIVERY",$S329="TOTAL_AMOUNT_INCLUDING_DELIVERY",$S329="ITEM_PRICE_ONLY_DELIVERY_PAID_BY_MERCHANT"),$J329=""),"Item price required for this amount type",IF(AND(OR($S329="ITEM_PRICE_PLUS_DECLARED_DELIVERY",$S329="DELIVERY_CHARGE_ONLY"),$K329=""),"Declared delivery charge required",IF(AND(OR($S329="TOTAL_AMOUNT_INCLUDING_DELIVERY",$S329="EXACT_COLLECTION_AMOUNT"),$T329=""),"Stated total amount required",IF(AND($S329="TOTAL_AMOUNT_INCLUDING_DELIVERY",$T329&lt;SUM($J329,$U329)),"Stated total is below item price plus additional charge",IF($S329="EXACT_COLLECTION_AMOUNT","Authorized amount breakdown required before settlement","Ready for collection and settlement"))))))))))))</f>
        <v/>
      </c>
      <c r="AW329" s="23">
        <f>IF($AU329="","","PARCEL_FINANCIAL_V2")</f>
        <v/>
      </c>
      <c r="AX329" s="17" t="n"/>
    </row>
    <row r="330">
      <c r="A330" s="8" t="n"/>
      <c r="B330" s="8" t="n"/>
      <c r="C330" s="8" t="n"/>
      <c r="D330" s="8" t="n"/>
      <c r="E330" s="9" t="n"/>
      <c r="F330" s="9" t="n"/>
      <c r="G330" s="8" t="n"/>
      <c r="H330" s="9" t="n"/>
      <c r="I330" s="9" t="n"/>
      <c r="J330" s="10" t="n"/>
      <c r="K330" s="10" t="n"/>
      <c r="L330" s="11">
        <f>IF($S330="","",IF($S330="ITEM_PRICE_PLUS_DECLARED_DELIVERY",IF(OR($J330="",$K330=""),"",SUM($J330,$K330,$U330)),IF($S330="TOTAL_AMOUNT_INCLUDING_DELIVERY",IF($T330="","",$T330),IF($S330="DELIVERY_CHARGE_ONLY",IF($K330="","",SUM($K330,$U330)),IF($S330="EXACT_COLLECTION_AMOUNT",IF($T330="","",$T330),IF($S330="ITEM_PRICE_ONLY_DELIVERY_PAID_BY_MERCHANT",IF($J330="","",SUM($J330,$U330)),""))))))</f>
        <v/>
      </c>
      <c r="M330" s="12" t="n"/>
      <c r="N330" s="13" t="n"/>
      <c r="O330" s="13" t="n"/>
      <c r="P330" s="9" t="n"/>
      <c r="Q330" s="14" t="n"/>
      <c r="R330" s="15" t="n"/>
      <c r="S330" s="14" t="n"/>
      <c r="T330" s="16" t="n"/>
      <c r="U330" s="16" t="n"/>
      <c r="V330" s="16" t="n"/>
      <c r="W330" s="16" t="n"/>
      <c r="X330" s="16" t="n"/>
      <c r="Y330" s="16" t="n"/>
      <c r="Z330" s="14" t="n"/>
      <c r="AA330" s="14" t="n"/>
      <c r="AB330" s="14" t="n"/>
      <c r="AC330" s="17">
        <f>IFERROR(VLOOKUP($H330&amp;"|"&amp;$Q330,Tariff_Master!$A$2:$L$169,3,FALSE),"")</f>
        <v/>
      </c>
      <c r="AD330" s="17">
        <f>IFERROR(VLOOKUP($H330&amp;"|"&amp;$Q330,Tariff_Master!$A$2:$L$169,4,FALSE),"")</f>
        <v/>
      </c>
      <c r="AE330" s="18">
        <f>IFERROR(VLOOKUP($H330&amp;"|"&amp;$Q330,Tariff_Master!$A$2:$L$169,6,FALSE),"")</f>
        <v/>
      </c>
      <c r="AF330" s="19">
        <f>IFERROR(VLOOKUP($H330&amp;"|"&amp;$Q330,Tariff_Master!$A$2:$L$169,7,FALSE),"")</f>
        <v/>
      </c>
      <c r="AG330" s="18">
        <f>IFERROR(VLOOKUP($H330&amp;"|"&amp;$Q330,Tariff_Master!$A$2:$L$169,8,FALSE),"")</f>
        <v/>
      </c>
      <c r="AH330" s="20">
        <f>IFERROR(VLOOKUP($H330&amp;"|"&amp;$Q330,Tariff_Master!$A$2:$L$169,9,FALSE),"")</f>
        <v/>
      </c>
      <c r="AI330" s="18">
        <f>IFERROR(VLOOKUP($H330&amp;"|"&amp;$Q330,Tariff_Master!$A$2:$L$169,10,FALSE),"")</f>
        <v/>
      </c>
      <c r="AJ330" s="21">
        <f>IF($M330="","",ROUNDUP(MAX(0,$M330),0))</f>
        <v/>
      </c>
      <c r="AK330" s="21">
        <f>IF(OR($AJ330="",$AF330=""),"",MAX(0,$AJ330-$AF330))</f>
        <v/>
      </c>
      <c r="AL330" s="22">
        <f>IF(OR($AK330="",$AG330=""),"",MAX(0,$AK330*$AG330))</f>
        <v/>
      </c>
      <c r="AM330" s="22">
        <f>IF($AE330="","",MAX(0,SUM($AE330,$AL330,$V330,$W330)))</f>
        <v/>
      </c>
      <c r="AN330" s="22">
        <f>IF($AM330="","",IF(AND($Q330="COMMITMENT",$R330&gt;=$AH330),$AI330,0))</f>
        <v/>
      </c>
      <c r="AO330" s="23">
        <f>IF($AM330="","",MAX(0,$AM330-$AN330))</f>
        <v/>
      </c>
      <c r="AP330" s="22">
        <f>IF($S330="","",IF(OR($S330="ITEM_PRICE_PLUS_DECLARED_DELIVERY",$S330="DELIVERY_CHARGE_ONLY"),$K330,IF($S330="TOTAL_AMOUNT_INCLUDING_DELIVERY",IF(OR($T330="",$J330=""),"",MAX(0,$T330-$J330-$U330)),IF($S330="ITEM_PRICE_ONLY_DELIVERY_PAID_BY_MERCHANT",0,""))))</f>
        <v/>
      </c>
      <c r="AQ330" s="23">
        <f>IF(OR($AP330="",$AO330=""),"",$AP330-$AO330)</f>
        <v/>
      </c>
      <c r="AR330" s="24">
        <f>IF($S330="EXACT_COLLECTION_AMOUNT","BREAKDOWN_REQUIRED",IF($AQ330="","",IF($AQ330&gt;0,"CREDIT_TO_MERCHANT",IF($AQ330&lt;0,"DEDUCT_FROM_MERCHANT","NO_ADJUSTMENT"))))</f>
        <v/>
      </c>
      <c r="AS330" s="23">
        <f>IF(OR($AQ330="",$AR330="BREAKDOWN_REQUIRED"),"",$AQ330)</f>
        <v/>
      </c>
      <c r="AT330" s="23">
        <f>IF(OR($AR330="",$AR330="BREAKDOWN_REQUIRED"),"",SUM($J330,$AQ330,$Y330)-$X330)</f>
        <v/>
      </c>
      <c r="AU330" s="25">
        <f>IF(AND($A330="",$B330="",$F330="",$H330="",$J330="",$K330="",$M330="",$S330=""),"",IF(OR($H330="",$Q330="",$M330="",$S330=""),"ERROR",IF(OR($J330&lt;0,$K330&lt;0,$M330&lt;0,$T330&lt;0,$U330&lt;0,$V330&lt;0,$W330&lt;0,$X330&lt;0,$Y330&lt;0),"ERROR",IF($AE330="","ERROR",IF(AND(OR($S330="ITEM_PRICE_PLUS_DECLARED_DELIVERY",$S330="TOTAL_AMOUNT_INCLUDING_DELIVERY",$S330="ITEM_PRICE_ONLY_DELIVERY_PAID_BY_MERCHANT"),$J330=""),"ERROR",IF(AND(OR($S330="ITEM_PRICE_PLUS_DECLARED_DELIVERY",$S330="DELIVERY_CHARGE_ONLY"),$K330=""),"ERROR",IF(AND(OR($S330="TOTAL_AMOUNT_INCLUDING_DELIVERY",$S330="EXACT_COLLECTION_AMOUNT"),$T330=""),"ERROR",IF(AND($S330="TOTAL_AMOUNT_INCLUDING_DELIVERY",$T330&lt;SUM($J330,$U330)),"ERROR",IF($S330="EXACT_COLLECTION_AMOUNT","REVIEW","OK")))))))))</f>
        <v/>
      </c>
      <c r="AV330" s="25">
        <f>IF($AU330="","",IF($H330="","Township required",IF($Q330="","Customer tier required",IF($M330="","Weight required",IF($S330="","Amount entry type required",IF(OR($J330&lt;0,$K330&lt;0,$M330&lt;0,$T330&lt;0,$U330&lt;0,$V330&lt;0,$W330&lt;0,$X330&lt;0,$Y330&lt;0),"Negative amounts are not allowed",IF($AE330="","Tariff not found for township and tier",IF(AND(OR($S330="ITEM_PRICE_PLUS_DECLARED_DELIVERY",$S330="TOTAL_AMOUNT_INCLUDING_DELIVERY",$S330="ITEM_PRICE_ONLY_DELIVERY_PAID_BY_MERCHANT"),$J330=""),"Item price required for this amount type",IF(AND(OR($S330="ITEM_PRICE_PLUS_DECLARED_DELIVERY",$S330="DELIVERY_CHARGE_ONLY"),$K330=""),"Declared delivery charge required",IF(AND(OR($S330="TOTAL_AMOUNT_INCLUDING_DELIVERY",$S330="EXACT_COLLECTION_AMOUNT"),$T330=""),"Stated total amount required",IF(AND($S330="TOTAL_AMOUNT_INCLUDING_DELIVERY",$T330&lt;SUM($J330,$U330)),"Stated total is below item price plus additional charge",IF($S330="EXACT_COLLECTION_AMOUNT","Authorized amount breakdown required before settlement","Ready for collection and settlement"))))))))))))</f>
        <v/>
      </c>
      <c r="AW330" s="23">
        <f>IF($AU330="","","PARCEL_FINANCIAL_V2")</f>
        <v/>
      </c>
      <c r="AX330" s="17" t="n"/>
    </row>
    <row r="331">
      <c r="A331" s="8" t="n"/>
      <c r="B331" s="8" t="n"/>
      <c r="C331" s="8" t="n"/>
      <c r="D331" s="8" t="n"/>
      <c r="E331" s="9" t="n"/>
      <c r="F331" s="9" t="n"/>
      <c r="G331" s="8" t="n"/>
      <c r="H331" s="9" t="n"/>
      <c r="I331" s="9" t="n"/>
      <c r="J331" s="10" t="n"/>
      <c r="K331" s="10" t="n"/>
      <c r="L331" s="11">
        <f>IF($S331="","",IF($S331="ITEM_PRICE_PLUS_DECLARED_DELIVERY",IF(OR($J331="",$K331=""),"",SUM($J331,$K331,$U331)),IF($S331="TOTAL_AMOUNT_INCLUDING_DELIVERY",IF($T331="","",$T331),IF($S331="DELIVERY_CHARGE_ONLY",IF($K331="","",SUM($K331,$U331)),IF($S331="EXACT_COLLECTION_AMOUNT",IF($T331="","",$T331),IF($S331="ITEM_PRICE_ONLY_DELIVERY_PAID_BY_MERCHANT",IF($J331="","",SUM($J331,$U331)),""))))))</f>
        <v/>
      </c>
      <c r="M331" s="12" t="n"/>
      <c r="N331" s="13" t="n"/>
      <c r="O331" s="13" t="n"/>
      <c r="P331" s="9" t="n"/>
      <c r="Q331" s="14" t="n"/>
      <c r="R331" s="15" t="n"/>
      <c r="S331" s="14" t="n"/>
      <c r="T331" s="16" t="n"/>
      <c r="U331" s="16" t="n"/>
      <c r="V331" s="16" t="n"/>
      <c r="W331" s="16" t="n"/>
      <c r="X331" s="16" t="n"/>
      <c r="Y331" s="16" t="n"/>
      <c r="Z331" s="14" t="n"/>
      <c r="AA331" s="14" t="n"/>
      <c r="AB331" s="14" t="n"/>
      <c r="AC331" s="17">
        <f>IFERROR(VLOOKUP($H331&amp;"|"&amp;$Q331,Tariff_Master!$A$2:$L$169,3,FALSE),"")</f>
        <v/>
      </c>
      <c r="AD331" s="17">
        <f>IFERROR(VLOOKUP($H331&amp;"|"&amp;$Q331,Tariff_Master!$A$2:$L$169,4,FALSE),"")</f>
        <v/>
      </c>
      <c r="AE331" s="18">
        <f>IFERROR(VLOOKUP($H331&amp;"|"&amp;$Q331,Tariff_Master!$A$2:$L$169,6,FALSE),"")</f>
        <v/>
      </c>
      <c r="AF331" s="19">
        <f>IFERROR(VLOOKUP($H331&amp;"|"&amp;$Q331,Tariff_Master!$A$2:$L$169,7,FALSE),"")</f>
        <v/>
      </c>
      <c r="AG331" s="18">
        <f>IFERROR(VLOOKUP($H331&amp;"|"&amp;$Q331,Tariff_Master!$A$2:$L$169,8,FALSE),"")</f>
        <v/>
      </c>
      <c r="AH331" s="20">
        <f>IFERROR(VLOOKUP($H331&amp;"|"&amp;$Q331,Tariff_Master!$A$2:$L$169,9,FALSE),"")</f>
        <v/>
      </c>
      <c r="AI331" s="18">
        <f>IFERROR(VLOOKUP($H331&amp;"|"&amp;$Q331,Tariff_Master!$A$2:$L$169,10,FALSE),"")</f>
        <v/>
      </c>
      <c r="AJ331" s="21">
        <f>IF($M331="","",ROUNDUP(MAX(0,$M331),0))</f>
        <v/>
      </c>
      <c r="AK331" s="21">
        <f>IF(OR($AJ331="",$AF331=""),"",MAX(0,$AJ331-$AF331))</f>
        <v/>
      </c>
      <c r="AL331" s="22">
        <f>IF(OR($AK331="",$AG331=""),"",MAX(0,$AK331*$AG331))</f>
        <v/>
      </c>
      <c r="AM331" s="22">
        <f>IF($AE331="","",MAX(0,SUM($AE331,$AL331,$V331,$W331)))</f>
        <v/>
      </c>
      <c r="AN331" s="22">
        <f>IF($AM331="","",IF(AND($Q331="COMMITMENT",$R331&gt;=$AH331),$AI331,0))</f>
        <v/>
      </c>
      <c r="AO331" s="23">
        <f>IF($AM331="","",MAX(0,$AM331-$AN331))</f>
        <v/>
      </c>
      <c r="AP331" s="22">
        <f>IF($S331="","",IF(OR($S331="ITEM_PRICE_PLUS_DECLARED_DELIVERY",$S331="DELIVERY_CHARGE_ONLY"),$K331,IF($S331="TOTAL_AMOUNT_INCLUDING_DELIVERY",IF(OR($T331="",$J331=""),"",MAX(0,$T331-$J331-$U331)),IF($S331="ITEM_PRICE_ONLY_DELIVERY_PAID_BY_MERCHANT",0,""))))</f>
        <v/>
      </c>
      <c r="AQ331" s="23">
        <f>IF(OR($AP331="",$AO331=""),"",$AP331-$AO331)</f>
        <v/>
      </c>
      <c r="AR331" s="24">
        <f>IF($S331="EXACT_COLLECTION_AMOUNT","BREAKDOWN_REQUIRED",IF($AQ331="","",IF($AQ331&gt;0,"CREDIT_TO_MERCHANT",IF($AQ331&lt;0,"DEDUCT_FROM_MERCHANT","NO_ADJUSTMENT"))))</f>
        <v/>
      </c>
      <c r="AS331" s="23">
        <f>IF(OR($AQ331="",$AR331="BREAKDOWN_REQUIRED"),"",$AQ331)</f>
        <v/>
      </c>
      <c r="AT331" s="23">
        <f>IF(OR($AR331="",$AR331="BREAKDOWN_REQUIRED"),"",SUM($J331,$AQ331,$Y331)-$X331)</f>
        <v/>
      </c>
      <c r="AU331" s="25">
        <f>IF(AND($A331="",$B331="",$F331="",$H331="",$J331="",$K331="",$M331="",$S331=""),"",IF(OR($H331="",$Q331="",$M331="",$S331=""),"ERROR",IF(OR($J331&lt;0,$K331&lt;0,$M331&lt;0,$T331&lt;0,$U331&lt;0,$V331&lt;0,$W331&lt;0,$X331&lt;0,$Y331&lt;0),"ERROR",IF($AE331="","ERROR",IF(AND(OR($S331="ITEM_PRICE_PLUS_DECLARED_DELIVERY",$S331="TOTAL_AMOUNT_INCLUDING_DELIVERY",$S331="ITEM_PRICE_ONLY_DELIVERY_PAID_BY_MERCHANT"),$J331=""),"ERROR",IF(AND(OR($S331="ITEM_PRICE_PLUS_DECLARED_DELIVERY",$S331="DELIVERY_CHARGE_ONLY"),$K331=""),"ERROR",IF(AND(OR($S331="TOTAL_AMOUNT_INCLUDING_DELIVERY",$S331="EXACT_COLLECTION_AMOUNT"),$T331=""),"ERROR",IF(AND($S331="TOTAL_AMOUNT_INCLUDING_DELIVERY",$T331&lt;SUM($J331,$U331)),"ERROR",IF($S331="EXACT_COLLECTION_AMOUNT","REVIEW","OK")))))))))</f>
        <v/>
      </c>
      <c r="AV331" s="25">
        <f>IF($AU331="","",IF($H331="","Township required",IF($Q331="","Customer tier required",IF($M331="","Weight required",IF($S331="","Amount entry type required",IF(OR($J331&lt;0,$K331&lt;0,$M331&lt;0,$T331&lt;0,$U331&lt;0,$V331&lt;0,$W331&lt;0,$X331&lt;0,$Y331&lt;0),"Negative amounts are not allowed",IF($AE331="","Tariff not found for township and tier",IF(AND(OR($S331="ITEM_PRICE_PLUS_DECLARED_DELIVERY",$S331="TOTAL_AMOUNT_INCLUDING_DELIVERY",$S331="ITEM_PRICE_ONLY_DELIVERY_PAID_BY_MERCHANT"),$J331=""),"Item price required for this amount type",IF(AND(OR($S331="ITEM_PRICE_PLUS_DECLARED_DELIVERY",$S331="DELIVERY_CHARGE_ONLY"),$K331=""),"Declared delivery charge required",IF(AND(OR($S331="TOTAL_AMOUNT_INCLUDING_DELIVERY",$S331="EXACT_COLLECTION_AMOUNT"),$T331=""),"Stated total amount required",IF(AND($S331="TOTAL_AMOUNT_INCLUDING_DELIVERY",$T331&lt;SUM($J331,$U331)),"Stated total is below item price plus additional charge",IF($S331="EXACT_COLLECTION_AMOUNT","Authorized amount breakdown required before settlement","Ready for collection and settlement"))))))))))))</f>
        <v/>
      </c>
      <c r="AW331" s="23">
        <f>IF($AU331="","","PARCEL_FINANCIAL_V2")</f>
        <v/>
      </c>
      <c r="AX331" s="17" t="n"/>
    </row>
    <row r="332">
      <c r="A332" s="8" t="n"/>
      <c r="B332" s="8" t="n"/>
      <c r="C332" s="8" t="n"/>
      <c r="D332" s="8" t="n"/>
      <c r="E332" s="9" t="n"/>
      <c r="F332" s="9" t="n"/>
      <c r="G332" s="8" t="n"/>
      <c r="H332" s="9" t="n"/>
      <c r="I332" s="9" t="n"/>
      <c r="J332" s="10" t="n"/>
      <c r="K332" s="10" t="n"/>
      <c r="L332" s="11">
        <f>IF($S332="","",IF($S332="ITEM_PRICE_PLUS_DECLARED_DELIVERY",IF(OR($J332="",$K332=""),"",SUM($J332,$K332,$U332)),IF($S332="TOTAL_AMOUNT_INCLUDING_DELIVERY",IF($T332="","",$T332),IF($S332="DELIVERY_CHARGE_ONLY",IF($K332="","",SUM($K332,$U332)),IF($S332="EXACT_COLLECTION_AMOUNT",IF($T332="","",$T332),IF($S332="ITEM_PRICE_ONLY_DELIVERY_PAID_BY_MERCHANT",IF($J332="","",SUM($J332,$U332)),""))))))</f>
        <v/>
      </c>
      <c r="M332" s="12" t="n"/>
      <c r="N332" s="13" t="n"/>
      <c r="O332" s="13" t="n"/>
      <c r="P332" s="9" t="n"/>
      <c r="Q332" s="14" t="n"/>
      <c r="R332" s="15" t="n"/>
      <c r="S332" s="14" t="n"/>
      <c r="T332" s="16" t="n"/>
      <c r="U332" s="16" t="n"/>
      <c r="V332" s="16" t="n"/>
      <c r="W332" s="16" t="n"/>
      <c r="X332" s="16" t="n"/>
      <c r="Y332" s="16" t="n"/>
      <c r="Z332" s="14" t="n"/>
      <c r="AA332" s="14" t="n"/>
      <c r="AB332" s="14" t="n"/>
      <c r="AC332" s="17">
        <f>IFERROR(VLOOKUP($H332&amp;"|"&amp;$Q332,Tariff_Master!$A$2:$L$169,3,FALSE),"")</f>
        <v/>
      </c>
      <c r="AD332" s="17">
        <f>IFERROR(VLOOKUP($H332&amp;"|"&amp;$Q332,Tariff_Master!$A$2:$L$169,4,FALSE),"")</f>
        <v/>
      </c>
      <c r="AE332" s="18">
        <f>IFERROR(VLOOKUP($H332&amp;"|"&amp;$Q332,Tariff_Master!$A$2:$L$169,6,FALSE),"")</f>
        <v/>
      </c>
      <c r="AF332" s="19">
        <f>IFERROR(VLOOKUP($H332&amp;"|"&amp;$Q332,Tariff_Master!$A$2:$L$169,7,FALSE),"")</f>
        <v/>
      </c>
      <c r="AG332" s="18">
        <f>IFERROR(VLOOKUP($H332&amp;"|"&amp;$Q332,Tariff_Master!$A$2:$L$169,8,FALSE),"")</f>
        <v/>
      </c>
      <c r="AH332" s="20">
        <f>IFERROR(VLOOKUP($H332&amp;"|"&amp;$Q332,Tariff_Master!$A$2:$L$169,9,FALSE),"")</f>
        <v/>
      </c>
      <c r="AI332" s="18">
        <f>IFERROR(VLOOKUP($H332&amp;"|"&amp;$Q332,Tariff_Master!$A$2:$L$169,10,FALSE),"")</f>
        <v/>
      </c>
      <c r="AJ332" s="21">
        <f>IF($M332="","",ROUNDUP(MAX(0,$M332),0))</f>
        <v/>
      </c>
      <c r="AK332" s="21">
        <f>IF(OR($AJ332="",$AF332=""),"",MAX(0,$AJ332-$AF332))</f>
        <v/>
      </c>
      <c r="AL332" s="22">
        <f>IF(OR($AK332="",$AG332=""),"",MAX(0,$AK332*$AG332))</f>
        <v/>
      </c>
      <c r="AM332" s="22">
        <f>IF($AE332="","",MAX(0,SUM($AE332,$AL332,$V332,$W332)))</f>
        <v/>
      </c>
      <c r="AN332" s="22">
        <f>IF($AM332="","",IF(AND($Q332="COMMITMENT",$R332&gt;=$AH332),$AI332,0))</f>
        <v/>
      </c>
      <c r="AO332" s="23">
        <f>IF($AM332="","",MAX(0,$AM332-$AN332))</f>
        <v/>
      </c>
      <c r="AP332" s="22">
        <f>IF($S332="","",IF(OR($S332="ITEM_PRICE_PLUS_DECLARED_DELIVERY",$S332="DELIVERY_CHARGE_ONLY"),$K332,IF($S332="TOTAL_AMOUNT_INCLUDING_DELIVERY",IF(OR($T332="",$J332=""),"",MAX(0,$T332-$J332-$U332)),IF($S332="ITEM_PRICE_ONLY_DELIVERY_PAID_BY_MERCHANT",0,""))))</f>
        <v/>
      </c>
      <c r="AQ332" s="23">
        <f>IF(OR($AP332="",$AO332=""),"",$AP332-$AO332)</f>
        <v/>
      </c>
      <c r="AR332" s="24">
        <f>IF($S332="EXACT_COLLECTION_AMOUNT","BREAKDOWN_REQUIRED",IF($AQ332="","",IF($AQ332&gt;0,"CREDIT_TO_MERCHANT",IF($AQ332&lt;0,"DEDUCT_FROM_MERCHANT","NO_ADJUSTMENT"))))</f>
        <v/>
      </c>
      <c r="AS332" s="23">
        <f>IF(OR($AQ332="",$AR332="BREAKDOWN_REQUIRED"),"",$AQ332)</f>
        <v/>
      </c>
      <c r="AT332" s="23">
        <f>IF(OR($AR332="",$AR332="BREAKDOWN_REQUIRED"),"",SUM($J332,$AQ332,$Y332)-$X332)</f>
        <v/>
      </c>
      <c r="AU332" s="25">
        <f>IF(AND($A332="",$B332="",$F332="",$H332="",$J332="",$K332="",$M332="",$S332=""),"",IF(OR($H332="",$Q332="",$M332="",$S332=""),"ERROR",IF(OR($J332&lt;0,$K332&lt;0,$M332&lt;0,$T332&lt;0,$U332&lt;0,$V332&lt;0,$W332&lt;0,$X332&lt;0,$Y332&lt;0),"ERROR",IF($AE332="","ERROR",IF(AND(OR($S332="ITEM_PRICE_PLUS_DECLARED_DELIVERY",$S332="TOTAL_AMOUNT_INCLUDING_DELIVERY",$S332="ITEM_PRICE_ONLY_DELIVERY_PAID_BY_MERCHANT"),$J332=""),"ERROR",IF(AND(OR($S332="ITEM_PRICE_PLUS_DECLARED_DELIVERY",$S332="DELIVERY_CHARGE_ONLY"),$K332=""),"ERROR",IF(AND(OR($S332="TOTAL_AMOUNT_INCLUDING_DELIVERY",$S332="EXACT_COLLECTION_AMOUNT"),$T332=""),"ERROR",IF(AND($S332="TOTAL_AMOUNT_INCLUDING_DELIVERY",$T332&lt;SUM($J332,$U332)),"ERROR",IF($S332="EXACT_COLLECTION_AMOUNT","REVIEW","OK")))))))))</f>
        <v/>
      </c>
      <c r="AV332" s="25">
        <f>IF($AU332="","",IF($H332="","Township required",IF($Q332="","Customer tier required",IF($M332="","Weight required",IF($S332="","Amount entry type required",IF(OR($J332&lt;0,$K332&lt;0,$M332&lt;0,$T332&lt;0,$U332&lt;0,$V332&lt;0,$W332&lt;0,$X332&lt;0,$Y332&lt;0),"Negative amounts are not allowed",IF($AE332="","Tariff not found for township and tier",IF(AND(OR($S332="ITEM_PRICE_PLUS_DECLARED_DELIVERY",$S332="TOTAL_AMOUNT_INCLUDING_DELIVERY",$S332="ITEM_PRICE_ONLY_DELIVERY_PAID_BY_MERCHANT"),$J332=""),"Item price required for this amount type",IF(AND(OR($S332="ITEM_PRICE_PLUS_DECLARED_DELIVERY",$S332="DELIVERY_CHARGE_ONLY"),$K332=""),"Declared delivery charge required",IF(AND(OR($S332="TOTAL_AMOUNT_INCLUDING_DELIVERY",$S332="EXACT_COLLECTION_AMOUNT"),$T332=""),"Stated total amount required",IF(AND($S332="TOTAL_AMOUNT_INCLUDING_DELIVERY",$T332&lt;SUM($J332,$U332)),"Stated total is below item price plus additional charge",IF($S332="EXACT_COLLECTION_AMOUNT","Authorized amount breakdown required before settlement","Ready for collection and settlement"))))))))))))</f>
        <v/>
      </c>
      <c r="AW332" s="23">
        <f>IF($AU332="","","PARCEL_FINANCIAL_V2")</f>
        <v/>
      </c>
      <c r="AX332" s="17" t="n"/>
    </row>
    <row r="333">
      <c r="A333" s="8" t="n"/>
      <c r="B333" s="8" t="n"/>
      <c r="C333" s="8" t="n"/>
      <c r="D333" s="8" t="n"/>
      <c r="E333" s="9" t="n"/>
      <c r="F333" s="9" t="n"/>
      <c r="G333" s="8" t="n"/>
      <c r="H333" s="9" t="n"/>
      <c r="I333" s="9" t="n"/>
      <c r="J333" s="10" t="n"/>
      <c r="K333" s="10" t="n"/>
      <c r="L333" s="11">
        <f>IF($S333="","",IF($S333="ITEM_PRICE_PLUS_DECLARED_DELIVERY",IF(OR($J333="",$K333=""),"",SUM($J333,$K333,$U333)),IF($S333="TOTAL_AMOUNT_INCLUDING_DELIVERY",IF($T333="","",$T333),IF($S333="DELIVERY_CHARGE_ONLY",IF($K333="","",SUM($K333,$U333)),IF($S333="EXACT_COLLECTION_AMOUNT",IF($T333="","",$T333),IF($S333="ITEM_PRICE_ONLY_DELIVERY_PAID_BY_MERCHANT",IF($J333="","",SUM($J333,$U333)),""))))))</f>
        <v/>
      </c>
      <c r="M333" s="12" t="n"/>
      <c r="N333" s="13" t="n"/>
      <c r="O333" s="13" t="n"/>
      <c r="P333" s="9" t="n"/>
      <c r="Q333" s="14" t="n"/>
      <c r="R333" s="15" t="n"/>
      <c r="S333" s="14" t="n"/>
      <c r="T333" s="16" t="n"/>
      <c r="U333" s="16" t="n"/>
      <c r="V333" s="16" t="n"/>
      <c r="W333" s="16" t="n"/>
      <c r="X333" s="16" t="n"/>
      <c r="Y333" s="16" t="n"/>
      <c r="Z333" s="14" t="n"/>
      <c r="AA333" s="14" t="n"/>
      <c r="AB333" s="14" t="n"/>
      <c r="AC333" s="17">
        <f>IFERROR(VLOOKUP($H333&amp;"|"&amp;$Q333,Tariff_Master!$A$2:$L$169,3,FALSE),"")</f>
        <v/>
      </c>
      <c r="AD333" s="17">
        <f>IFERROR(VLOOKUP($H333&amp;"|"&amp;$Q333,Tariff_Master!$A$2:$L$169,4,FALSE),"")</f>
        <v/>
      </c>
      <c r="AE333" s="18">
        <f>IFERROR(VLOOKUP($H333&amp;"|"&amp;$Q333,Tariff_Master!$A$2:$L$169,6,FALSE),"")</f>
        <v/>
      </c>
      <c r="AF333" s="19">
        <f>IFERROR(VLOOKUP($H333&amp;"|"&amp;$Q333,Tariff_Master!$A$2:$L$169,7,FALSE),"")</f>
        <v/>
      </c>
      <c r="AG333" s="18">
        <f>IFERROR(VLOOKUP($H333&amp;"|"&amp;$Q333,Tariff_Master!$A$2:$L$169,8,FALSE),"")</f>
        <v/>
      </c>
      <c r="AH333" s="20">
        <f>IFERROR(VLOOKUP($H333&amp;"|"&amp;$Q333,Tariff_Master!$A$2:$L$169,9,FALSE),"")</f>
        <v/>
      </c>
      <c r="AI333" s="18">
        <f>IFERROR(VLOOKUP($H333&amp;"|"&amp;$Q333,Tariff_Master!$A$2:$L$169,10,FALSE),"")</f>
        <v/>
      </c>
      <c r="AJ333" s="21">
        <f>IF($M333="","",ROUNDUP(MAX(0,$M333),0))</f>
        <v/>
      </c>
      <c r="AK333" s="21">
        <f>IF(OR($AJ333="",$AF333=""),"",MAX(0,$AJ333-$AF333))</f>
        <v/>
      </c>
      <c r="AL333" s="22">
        <f>IF(OR($AK333="",$AG333=""),"",MAX(0,$AK333*$AG333))</f>
        <v/>
      </c>
      <c r="AM333" s="22">
        <f>IF($AE333="","",MAX(0,SUM($AE333,$AL333,$V333,$W333)))</f>
        <v/>
      </c>
      <c r="AN333" s="22">
        <f>IF($AM333="","",IF(AND($Q333="COMMITMENT",$R333&gt;=$AH333),$AI333,0))</f>
        <v/>
      </c>
      <c r="AO333" s="23">
        <f>IF($AM333="","",MAX(0,$AM333-$AN333))</f>
        <v/>
      </c>
      <c r="AP333" s="22">
        <f>IF($S333="","",IF(OR($S333="ITEM_PRICE_PLUS_DECLARED_DELIVERY",$S333="DELIVERY_CHARGE_ONLY"),$K333,IF($S333="TOTAL_AMOUNT_INCLUDING_DELIVERY",IF(OR($T333="",$J333=""),"",MAX(0,$T333-$J333-$U333)),IF($S333="ITEM_PRICE_ONLY_DELIVERY_PAID_BY_MERCHANT",0,""))))</f>
        <v/>
      </c>
      <c r="AQ333" s="23">
        <f>IF(OR($AP333="",$AO333=""),"",$AP333-$AO333)</f>
        <v/>
      </c>
      <c r="AR333" s="24">
        <f>IF($S333="EXACT_COLLECTION_AMOUNT","BREAKDOWN_REQUIRED",IF($AQ333="","",IF($AQ333&gt;0,"CREDIT_TO_MERCHANT",IF($AQ333&lt;0,"DEDUCT_FROM_MERCHANT","NO_ADJUSTMENT"))))</f>
        <v/>
      </c>
      <c r="AS333" s="23">
        <f>IF(OR($AQ333="",$AR333="BREAKDOWN_REQUIRED"),"",$AQ333)</f>
        <v/>
      </c>
      <c r="AT333" s="23">
        <f>IF(OR($AR333="",$AR333="BREAKDOWN_REQUIRED"),"",SUM($J333,$AQ333,$Y333)-$X333)</f>
        <v/>
      </c>
      <c r="AU333" s="25">
        <f>IF(AND($A333="",$B333="",$F333="",$H333="",$J333="",$K333="",$M333="",$S333=""),"",IF(OR($H333="",$Q333="",$M333="",$S333=""),"ERROR",IF(OR($J333&lt;0,$K333&lt;0,$M333&lt;0,$T333&lt;0,$U333&lt;0,$V333&lt;0,$W333&lt;0,$X333&lt;0,$Y333&lt;0),"ERROR",IF($AE333="","ERROR",IF(AND(OR($S333="ITEM_PRICE_PLUS_DECLARED_DELIVERY",$S333="TOTAL_AMOUNT_INCLUDING_DELIVERY",$S333="ITEM_PRICE_ONLY_DELIVERY_PAID_BY_MERCHANT"),$J333=""),"ERROR",IF(AND(OR($S333="ITEM_PRICE_PLUS_DECLARED_DELIVERY",$S333="DELIVERY_CHARGE_ONLY"),$K333=""),"ERROR",IF(AND(OR($S333="TOTAL_AMOUNT_INCLUDING_DELIVERY",$S333="EXACT_COLLECTION_AMOUNT"),$T333=""),"ERROR",IF(AND($S333="TOTAL_AMOUNT_INCLUDING_DELIVERY",$T333&lt;SUM($J333,$U333)),"ERROR",IF($S333="EXACT_COLLECTION_AMOUNT","REVIEW","OK")))))))))</f>
        <v/>
      </c>
      <c r="AV333" s="25">
        <f>IF($AU333="","",IF($H333="","Township required",IF($Q333="","Customer tier required",IF($M333="","Weight required",IF($S333="","Amount entry type required",IF(OR($J333&lt;0,$K333&lt;0,$M333&lt;0,$T333&lt;0,$U333&lt;0,$V333&lt;0,$W333&lt;0,$X333&lt;0,$Y333&lt;0),"Negative amounts are not allowed",IF($AE333="","Tariff not found for township and tier",IF(AND(OR($S333="ITEM_PRICE_PLUS_DECLARED_DELIVERY",$S333="TOTAL_AMOUNT_INCLUDING_DELIVERY",$S333="ITEM_PRICE_ONLY_DELIVERY_PAID_BY_MERCHANT"),$J333=""),"Item price required for this amount type",IF(AND(OR($S333="ITEM_PRICE_PLUS_DECLARED_DELIVERY",$S333="DELIVERY_CHARGE_ONLY"),$K333=""),"Declared delivery charge required",IF(AND(OR($S333="TOTAL_AMOUNT_INCLUDING_DELIVERY",$S333="EXACT_COLLECTION_AMOUNT"),$T333=""),"Stated total amount required",IF(AND($S333="TOTAL_AMOUNT_INCLUDING_DELIVERY",$T333&lt;SUM($J333,$U333)),"Stated total is below item price plus additional charge",IF($S333="EXACT_COLLECTION_AMOUNT","Authorized amount breakdown required before settlement","Ready for collection and settlement"))))))))))))</f>
        <v/>
      </c>
      <c r="AW333" s="23">
        <f>IF($AU333="","","PARCEL_FINANCIAL_V2")</f>
        <v/>
      </c>
      <c r="AX333" s="17" t="n"/>
    </row>
    <row r="334">
      <c r="A334" s="8" t="n"/>
      <c r="B334" s="8" t="n"/>
      <c r="C334" s="8" t="n"/>
      <c r="D334" s="8" t="n"/>
      <c r="E334" s="9" t="n"/>
      <c r="F334" s="9" t="n"/>
      <c r="G334" s="8" t="n"/>
      <c r="H334" s="9" t="n"/>
      <c r="I334" s="9" t="n"/>
      <c r="J334" s="10" t="n"/>
      <c r="K334" s="10" t="n"/>
      <c r="L334" s="11">
        <f>IF($S334="","",IF($S334="ITEM_PRICE_PLUS_DECLARED_DELIVERY",IF(OR($J334="",$K334=""),"",SUM($J334,$K334,$U334)),IF($S334="TOTAL_AMOUNT_INCLUDING_DELIVERY",IF($T334="","",$T334),IF($S334="DELIVERY_CHARGE_ONLY",IF($K334="","",SUM($K334,$U334)),IF($S334="EXACT_COLLECTION_AMOUNT",IF($T334="","",$T334),IF($S334="ITEM_PRICE_ONLY_DELIVERY_PAID_BY_MERCHANT",IF($J334="","",SUM($J334,$U334)),""))))))</f>
        <v/>
      </c>
      <c r="M334" s="12" t="n"/>
      <c r="N334" s="13" t="n"/>
      <c r="O334" s="13" t="n"/>
      <c r="P334" s="9" t="n"/>
      <c r="Q334" s="14" t="n"/>
      <c r="R334" s="15" t="n"/>
      <c r="S334" s="14" t="n"/>
      <c r="T334" s="16" t="n"/>
      <c r="U334" s="16" t="n"/>
      <c r="V334" s="16" t="n"/>
      <c r="W334" s="16" t="n"/>
      <c r="X334" s="16" t="n"/>
      <c r="Y334" s="16" t="n"/>
      <c r="Z334" s="14" t="n"/>
      <c r="AA334" s="14" t="n"/>
      <c r="AB334" s="14" t="n"/>
      <c r="AC334" s="17">
        <f>IFERROR(VLOOKUP($H334&amp;"|"&amp;$Q334,Tariff_Master!$A$2:$L$169,3,FALSE),"")</f>
        <v/>
      </c>
      <c r="AD334" s="17">
        <f>IFERROR(VLOOKUP($H334&amp;"|"&amp;$Q334,Tariff_Master!$A$2:$L$169,4,FALSE),"")</f>
        <v/>
      </c>
      <c r="AE334" s="18">
        <f>IFERROR(VLOOKUP($H334&amp;"|"&amp;$Q334,Tariff_Master!$A$2:$L$169,6,FALSE),"")</f>
        <v/>
      </c>
      <c r="AF334" s="19">
        <f>IFERROR(VLOOKUP($H334&amp;"|"&amp;$Q334,Tariff_Master!$A$2:$L$169,7,FALSE),"")</f>
        <v/>
      </c>
      <c r="AG334" s="18">
        <f>IFERROR(VLOOKUP($H334&amp;"|"&amp;$Q334,Tariff_Master!$A$2:$L$169,8,FALSE),"")</f>
        <v/>
      </c>
      <c r="AH334" s="20">
        <f>IFERROR(VLOOKUP($H334&amp;"|"&amp;$Q334,Tariff_Master!$A$2:$L$169,9,FALSE),"")</f>
        <v/>
      </c>
      <c r="AI334" s="18">
        <f>IFERROR(VLOOKUP($H334&amp;"|"&amp;$Q334,Tariff_Master!$A$2:$L$169,10,FALSE),"")</f>
        <v/>
      </c>
      <c r="AJ334" s="21">
        <f>IF($M334="","",ROUNDUP(MAX(0,$M334),0))</f>
        <v/>
      </c>
      <c r="AK334" s="21">
        <f>IF(OR($AJ334="",$AF334=""),"",MAX(0,$AJ334-$AF334))</f>
        <v/>
      </c>
      <c r="AL334" s="22">
        <f>IF(OR($AK334="",$AG334=""),"",MAX(0,$AK334*$AG334))</f>
        <v/>
      </c>
      <c r="AM334" s="22">
        <f>IF($AE334="","",MAX(0,SUM($AE334,$AL334,$V334,$W334)))</f>
        <v/>
      </c>
      <c r="AN334" s="22">
        <f>IF($AM334="","",IF(AND($Q334="COMMITMENT",$R334&gt;=$AH334),$AI334,0))</f>
        <v/>
      </c>
      <c r="AO334" s="23">
        <f>IF($AM334="","",MAX(0,$AM334-$AN334))</f>
        <v/>
      </c>
      <c r="AP334" s="22">
        <f>IF($S334="","",IF(OR($S334="ITEM_PRICE_PLUS_DECLARED_DELIVERY",$S334="DELIVERY_CHARGE_ONLY"),$K334,IF($S334="TOTAL_AMOUNT_INCLUDING_DELIVERY",IF(OR($T334="",$J334=""),"",MAX(0,$T334-$J334-$U334)),IF($S334="ITEM_PRICE_ONLY_DELIVERY_PAID_BY_MERCHANT",0,""))))</f>
        <v/>
      </c>
      <c r="AQ334" s="23">
        <f>IF(OR($AP334="",$AO334=""),"",$AP334-$AO334)</f>
        <v/>
      </c>
      <c r="AR334" s="24">
        <f>IF($S334="EXACT_COLLECTION_AMOUNT","BREAKDOWN_REQUIRED",IF($AQ334="","",IF($AQ334&gt;0,"CREDIT_TO_MERCHANT",IF($AQ334&lt;0,"DEDUCT_FROM_MERCHANT","NO_ADJUSTMENT"))))</f>
        <v/>
      </c>
      <c r="AS334" s="23">
        <f>IF(OR($AQ334="",$AR334="BREAKDOWN_REQUIRED"),"",$AQ334)</f>
        <v/>
      </c>
      <c r="AT334" s="23">
        <f>IF(OR($AR334="",$AR334="BREAKDOWN_REQUIRED"),"",SUM($J334,$AQ334,$Y334)-$X334)</f>
        <v/>
      </c>
      <c r="AU334" s="25">
        <f>IF(AND($A334="",$B334="",$F334="",$H334="",$J334="",$K334="",$M334="",$S334=""),"",IF(OR($H334="",$Q334="",$M334="",$S334=""),"ERROR",IF(OR($J334&lt;0,$K334&lt;0,$M334&lt;0,$T334&lt;0,$U334&lt;0,$V334&lt;0,$W334&lt;0,$X334&lt;0,$Y334&lt;0),"ERROR",IF($AE334="","ERROR",IF(AND(OR($S334="ITEM_PRICE_PLUS_DECLARED_DELIVERY",$S334="TOTAL_AMOUNT_INCLUDING_DELIVERY",$S334="ITEM_PRICE_ONLY_DELIVERY_PAID_BY_MERCHANT"),$J334=""),"ERROR",IF(AND(OR($S334="ITEM_PRICE_PLUS_DECLARED_DELIVERY",$S334="DELIVERY_CHARGE_ONLY"),$K334=""),"ERROR",IF(AND(OR($S334="TOTAL_AMOUNT_INCLUDING_DELIVERY",$S334="EXACT_COLLECTION_AMOUNT"),$T334=""),"ERROR",IF(AND($S334="TOTAL_AMOUNT_INCLUDING_DELIVERY",$T334&lt;SUM($J334,$U334)),"ERROR",IF($S334="EXACT_COLLECTION_AMOUNT","REVIEW","OK")))))))))</f>
        <v/>
      </c>
      <c r="AV334" s="25">
        <f>IF($AU334="","",IF($H334="","Township required",IF($Q334="","Customer tier required",IF($M334="","Weight required",IF($S334="","Amount entry type required",IF(OR($J334&lt;0,$K334&lt;0,$M334&lt;0,$T334&lt;0,$U334&lt;0,$V334&lt;0,$W334&lt;0,$X334&lt;0,$Y334&lt;0),"Negative amounts are not allowed",IF($AE334="","Tariff not found for township and tier",IF(AND(OR($S334="ITEM_PRICE_PLUS_DECLARED_DELIVERY",$S334="TOTAL_AMOUNT_INCLUDING_DELIVERY",$S334="ITEM_PRICE_ONLY_DELIVERY_PAID_BY_MERCHANT"),$J334=""),"Item price required for this amount type",IF(AND(OR($S334="ITEM_PRICE_PLUS_DECLARED_DELIVERY",$S334="DELIVERY_CHARGE_ONLY"),$K334=""),"Declared delivery charge required",IF(AND(OR($S334="TOTAL_AMOUNT_INCLUDING_DELIVERY",$S334="EXACT_COLLECTION_AMOUNT"),$T334=""),"Stated total amount required",IF(AND($S334="TOTAL_AMOUNT_INCLUDING_DELIVERY",$T334&lt;SUM($J334,$U334)),"Stated total is below item price plus additional charge",IF($S334="EXACT_COLLECTION_AMOUNT","Authorized amount breakdown required before settlement","Ready for collection and settlement"))))))))))))</f>
        <v/>
      </c>
      <c r="AW334" s="23">
        <f>IF($AU334="","","PARCEL_FINANCIAL_V2")</f>
        <v/>
      </c>
      <c r="AX334" s="17" t="n"/>
    </row>
    <row r="335">
      <c r="A335" s="8" t="n"/>
      <c r="B335" s="8" t="n"/>
      <c r="C335" s="8" t="n"/>
      <c r="D335" s="8" t="n"/>
      <c r="E335" s="9" t="n"/>
      <c r="F335" s="9" t="n"/>
      <c r="G335" s="8" t="n"/>
      <c r="H335" s="9" t="n"/>
      <c r="I335" s="9" t="n"/>
      <c r="J335" s="10" t="n"/>
      <c r="K335" s="10" t="n"/>
      <c r="L335" s="11">
        <f>IF($S335="","",IF($S335="ITEM_PRICE_PLUS_DECLARED_DELIVERY",IF(OR($J335="",$K335=""),"",SUM($J335,$K335,$U335)),IF($S335="TOTAL_AMOUNT_INCLUDING_DELIVERY",IF($T335="","",$T335),IF($S335="DELIVERY_CHARGE_ONLY",IF($K335="","",SUM($K335,$U335)),IF($S335="EXACT_COLLECTION_AMOUNT",IF($T335="","",$T335),IF($S335="ITEM_PRICE_ONLY_DELIVERY_PAID_BY_MERCHANT",IF($J335="","",SUM($J335,$U335)),""))))))</f>
        <v/>
      </c>
      <c r="M335" s="12" t="n"/>
      <c r="N335" s="13" t="n"/>
      <c r="O335" s="13" t="n"/>
      <c r="P335" s="9" t="n"/>
      <c r="Q335" s="14" t="n"/>
      <c r="R335" s="15" t="n"/>
      <c r="S335" s="14" t="n"/>
      <c r="T335" s="16" t="n"/>
      <c r="U335" s="16" t="n"/>
      <c r="V335" s="16" t="n"/>
      <c r="W335" s="16" t="n"/>
      <c r="X335" s="16" t="n"/>
      <c r="Y335" s="16" t="n"/>
      <c r="Z335" s="14" t="n"/>
      <c r="AA335" s="14" t="n"/>
      <c r="AB335" s="14" t="n"/>
      <c r="AC335" s="17">
        <f>IFERROR(VLOOKUP($H335&amp;"|"&amp;$Q335,Tariff_Master!$A$2:$L$169,3,FALSE),"")</f>
        <v/>
      </c>
      <c r="AD335" s="17">
        <f>IFERROR(VLOOKUP($H335&amp;"|"&amp;$Q335,Tariff_Master!$A$2:$L$169,4,FALSE),"")</f>
        <v/>
      </c>
      <c r="AE335" s="18">
        <f>IFERROR(VLOOKUP($H335&amp;"|"&amp;$Q335,Tariff_Master!$A$2:$L$169,6,FALSE),"")</f>
        <v/>
      </c>
      <c r="AF335" s="19">
        <f>IFERROR(VLOOKUP($H335&amp;"|"&amp;$Q335,Tariff_Master!$A$2:$L$169,7,FALSE),"")</f>
        <v/>
      </c>
      <c r="AG335" s="18">
        <f>IFERROR(VLOOKUP($H335&amp;"|"&amp;$Q335,Tariff_Master!$A$2:$L$169,8,FALSE),"")</f>
        <v/>
      </c>
      <c r="AH335" s="20">
        <f>IFERROR(VLOOKUP($H335&amp;"|"&amp;$Q335,Tariff_Master!$A$2:$L$169,9,FALSE),"")</f>
        <v/>
      </c>
      <c r="AI335" s="18">
        <f>IFERROR(VLOOKUP($H335&amp;"|"&amp;$Q335,Tariff_Master!$A$2:$L$169,10,FALSE),"")</f>
        <v/>
      </c>
      <c r="AJ335" s="21">
        <f>IF($M335="","",ROUNDUP(MAX(0,$M335),0))</f>
        <v/>
      </c>
      <c r="AK335" s="21">
        <f>IF(OR($AJ335="",$AF335=""),"",MAX(0,$AJ335-$AF335))</f>
        <v/>
      </c>
      <c r="AL335" s="22">
        <f>IF(OR($AK335="",$AG335=""),"",MAX(0,$AK335*$AG335))</f>
        <v/>
      </c>
      <c r="AM335" s="22">
        <f>IF($AE335="","",MAX(0,SUM($AE335,$AL335,$V335,$W335)))</f>
        <v/>
      </c>
      <c r="AN335" s="22">
        <f>IF($AM335="","",IF(AND($Q335="COMMITMENT",$R335&gt;=$AH335),$AI335,0))</f>
        <v/>
      </c>
      <c r="AO335" s="23">
        <f>IF($AM335="","",MAX(0,$AM335-$AN335))</f>
        <v/>
      </c>
      <c r="AP335" s="22">
        <f>IF($S335="","",IF(OR($S335="ITEM_PRICE_PLUS_DECLARED_DELIVERY",$S335="DELIVERY_CHARGE_ONLY"),$K335,IF($S335="TOTAL_AMOUNT_INCLUDING_DELIVERY",IF(OR($T335="",$J335=""),"",MAX(0,$T335-$J335-$U335)),IF($S335="ITEM_PRICE_ONLY_DELIVERY_PAID_BY_MERCHANT",0,""))))</f>
        <v/>
      </c>
      <c r="AQ335" s="23">
        <f>IF(OR($AP335="",$AO335=""),"",$AP335-$AO335)</f>
        <v/>
      </c>
      <c r="AR335" s="24">
        <f>IF($S335="EXACT_COLLECTION_AMOUNT","BREAKDOWN_REQUIRED",IF($AQ335="","",IF($AQ335&gt;0,"CREDIT_TO_MERCHANT",IF($AQ335&lt;0,"DEDUCT_FROM_MERCHANT","NO_ADJUSTMENT"))))</f>
        <v/>
      </c>
      <c r="AS335" s="23">
        <f>IF(OR($AQ335="",$AR335="BREAKDOWN_REQUIRED"),"",$AQ335)</f>
        <v/>
      </c>
      <c r="AT335" s="23">
        <f>IF(OR($AR335="",$AR335="BREAKDOWN_REQUIRED"),"",SUM($J335,$AQ335,$Y335)-$X335)</f>
        <v/>
      </c>
      <c r="AU335" s="25">
        <f>IF(AND($A335="",$B335="",$F335="",$H335="",$J335="",$K335="",$M335="",$S335=""),"",IF(OR($H335="",$Q335="",$M335="",$S335=""),"ERROR",IF(OR($J335&lt;0,$K335&lt;0,$M335&lt;0,$T335&lt;0,$U335&lt;0,$V335&lt;0,$W335&lt;0,$X335&lt;0,$Y335&lt;0),"ERROR",IF($AE335="","ERROR",IF(AND(OR($S335="ITEM_PRICE_PLUS_DECLARED_DELIVERY",$S335="TOTAL_AMOUNT_INCLUDING_DELIVERY",$S335="ITEM_PRICE_ONLY_DELIVERY_PAID_BY_MERCHANT"),$J335=""),"ERROR",IF(AND(OR($S335="ITEM_PRICE_PLUS_DECLARED_DELIVERY",$S335="DELIVERY_CHARGE_ONLY"),$K335=""),"ERROR",IF(AND(OR($S335="TOTAL_AMOUNT_INCLUDING_DELIVERY",$S335="EXACT_COLLECTION_AMOUNT"),$T335=""),"ERROR",IF(AND($S335="TOTAL_AMOUNT_INCLUDING_DELIVERY",$T335&lt;SUM($J335,$U335)),"ERROR",IF($S335="EXACT_COLLECTION_AMOUNT","REVIEW","OK")))))))))</f>
        <v/>
      </c>
      <c r="AV335" s="25">
        <f>IF($AU335="","",IF($H335="","Township required",IF($Q335="","Customer tier required",IF($M335="","Weight required",IF($S335="","Amount entry type required",IF(OR($J335&lt;0,$K335&lt;0,$M335&lt;0,$T335&lt;0,$U335&lt;0,$V335&lt;0,$W335&lt;0,$X335&lt;0,$Y335&lt;0),"Negative amounts are not allowed",IF($AE335="","Tariff not found for township and tier",IF(AND(OR($S335="ITEM_PRICE_PLUS_DECLARED_DELIVERY",$S335="TOTAL_AMOUNT_INCLUDING_DELIVERY",$S335="ITEM_PRICE_ONLY_DELIVERY_PAID_BY_MERCHANT"),$J335=""),"Item price required for this amount type",IF(AND(OR($S335="ITEM_PRICE_PLUS_DECLARED_DELIVERY",$S335="DELIVERY_CHARGE_ONLY"),$K335=""),"Declared delivery charge required",IF(AND(OR($S335="TOTAL_AMOUNT_INCLUDING_DELIVERY",$S335="EXACT_COLLECTION_AMOUNT"),$T335=""),"Stated total amount required",IF(AND($S335="TOTAL_AMOUNT_INCLUDING_DELIVERY",$T335&lt;SUM($J335,$U335)),"Stated total is below item price plus additional charge",IF($S335="EXACT_COLLECTION_AMOUNT","Authorized amount breakdown required before settlement","Ready for collection and settlement"))))))))))))</f>
        <v/>
      </c>
      <c r="AW335" s="23">
        <f>IF($AU335="","","PARCEL_FINANCIAL_V2")</f>
        <v/>
      </c>
      <c r="AX335" s="17" t="n"/>
    </row>
    <row r="336">
      <c r="A336" s="8" t="n"/>
      <c r="B336" s="8" t="n"/>
      <c r="C336" s="8" t="n"/>
      <c r="D336" s="8" t="n"/>
      <c r="E336" s="9" t="n"/>
      <c r="F336" s="9" t="n"/>
      <c r="G336" s="8" t="n"/>
      <c r="H336" s="9" t="n"/>
      <c r="I336" s="9" t="n"/>
      <c r="J336" s="10" t="n"/>
      <c r="K336" s="10" t="n"/>
      <c r="L336" s="11">
        <f>IF($S336="","",IF($S336="ITEM_PRICE_PLUS_DECLARED_DELIVERY",IF(OR($J336="",$K336=""),"",SUM($J336,$K336,$U336)),IF($S336="TOTAL_AMOUNT_INCLUDING_DELIVERY",IF($T336="","",$T336),IF($S336="DELIVERY_CHARGE_ONLY",IF($K336="","",SUM($K336,$U336)),IF($S336="EXACT_COLLECTION_AMOUNT",IF($T336="","",$T336),IF($S336="ITEM_PRICE_ONLY_DELIVERY_PAID_BY_MERCHANT",IF($J336="","",SUM($J336,$U336)),""))))))</f>
        <v/>
      </c>
      <c r="M336" s="12" t="n"/>
      <c r="N336" s="13" t="n"/>
      <c r="O336" s="13" t="n"/>
      <c r="P336" s="9" t="n"/>
      <c r="Q336" s="14" t="n"/>
      <c r="R336" s="15" t="n"/>
      <c r="S336" s="14" t="n"/>
      <c r="T336" s="16" t="n"/>
      <c r="U336" s="16" t="n"/>
      <c r="V336" s="16" t="n"/>
      <c r="W336" s="16" t="n"/>
      <c r="X336" s="16" t="n"/>
      <c r="Y336" s="16" t="n"/>
      <c r="Z336" s="14" t="n"/>
      <c r="AA336" s="14" t="n"/>
      <c r="AB336" s="14" t="n"/>
      <c r="AC336" s="17">
        <f>IFERROR(VLOOKUP($H336&amp;"|"&amp;$Q336,Tariff_Master!$A$2:$L$169,3,FALSE),"")</f>
        <v/>
      </c>
      <c r="AD336" s="17">
        <f>IFERROR(VLOOKUP($H336&amp;"|"&amp;$Q336,Tariff_Master!$A$2:$L$169,4,FALSE),"")</f>
        <v/>
      </c>
      <c r="AE336" s="18">
        <f>IFERROR(VLOOKUP($H336&amp;"|"&amp;$Q336,Tariff_Master!$A$2:$L$169,6,FALSE),"")</f>
        <v/>
      </c>
      <c r="AF336" s="19">
        <f>IFERROR(VLOOKUP($H336&amp;"|"&amp;$Q336,Tariff_Master!$A$2:$L$169,7,FALSE),"")</f>
        <v/>
      </c>
      <c r="AG336" s="18">
        <f>IFERROR(VLOOKUP($H336&amp;"|"&amp;$Q336,Tariff_Master!$A$2:$L$169,8,FALSE),"")</f>
        <v/>
      </c>
      <c r="AH336" s="20">
        <f>IFERROR(VLOOKUP($H336&amp;"|"&amp;$Q336,Tariff_Master!$A$2:$L$169,9,FALSE),"")</f>
        <v/>
      </c>
      <c r="AI336" s="18">
        <f>IFERROR(VLOOKUP($H336&amp;"|"&amp;$Q336,Tariff_Master!$A$2:$L$169,10,FALSE),"")</f>
        <v/>
      </c>
      <c r="AJ336" s="21">
        <f>IF($M336="","",ROUNDUP(MAX(0,$M336),0))</f>
        <v/>
      </c>
      <c r="AK336" s="21">
        <f>IF(OR($AJ336="",$AF336=""),"",MAX(0,$AJ336-$AF336))</f>
        <v/>
      </c>
      <c r="AL336" s="22">
        <f>IF(OR($AK336="",$AG336=""),"",MAX(0,$AK336*$AG336))</f>
        <v/>
      </c>
      <c r="AM336" s="22">
        <f>IF($AE336="","",MAX(0,SUM($AE336,$AL336,$V336,$W336)))</f>
        <v/>
      </c>
      <c r="AN336" s="22">
        <f>IF($AM336="","",IF(AND($Q336="COMMITMENT",$R336&gt;=$AH336),$AI336,0))</f>
        <v/>
      </c>
      <c r="AO336" s="23">
        <f>IF($AM336="","",MAX(0,$AM336-$AN336))</f>
        <v/>
      </c>
      <c r="AP336" s="22">
        <f>IF($S336="","",IF(OR($S336="ITEM_PRICE_PLUS_DECLARED_DELIVERY",$S336="DELIVERY_CHARGE_ONLY"),$K336,IF($S336="TOTAL_AMOUNT_INCLUDING_DELIVERY",IF(OR($T336="",$J336=""),"",MAX(0,$T336-$J336-$U336)),IF($S336="ITEM_PRICE_ONLY_DELIVERY_PAID_BY_MERCHANT",0,""))))</f>
        <v/>
      </c>
      <c r="AQ336" s="23">
        <f>IF(OR($AP336="",$AO336=""),"",$AP336-$AO336)</f>
        <v/>
      </c>
      <c r="AR336" s="24">
        <f>IF($S336="EXACT_COLLECTION_AMOUNT","BREAKDOWN_REQUIRED",IF($AQ336="","",IF($AQ336&gt;0,"CREDIT_TO_MERCHANT",IF($AQ336&lt;0,"DEDUCT_FROM_MERCHANT","NO_ADJUSTMENT"))))</f>
        <v/>
      </c>
      <c r="AS336" s="23">
        <f>IF(OR($AQ336="",$AR336="BREAKDOWN_REQUIRED"),"",$AQ336)</f>
        <v/>
      </c>
      <c r="AT336" s="23">
        <f>IF(OR($AR336="",$AR336="BREAKDOWN_REQUIRED"),"",SUM($J336,$AQ336,$Y336)-$X336)</f>
        <v/>
      </c>
      <c r="AU336" s="25">
        <f>IF(AND($A336="",$B336="",$F336="",$H336="",$J336="",$K336="",$M336="",$S336=""),"",IF(OR($H336="",$Q336="",$M336="",$S336=""),"ERROR",IF(OR($J336&lt;0,$K336&lt;0,$M336&lt;0,$T336&lt;0,$U336&lt;0,$V336&lt;0,$W336&lt;0,$X336&lt;0,$Y336&lt;0),"ERROR",IF($AE336="","ERROR",IF(AND(OR($S336="ITEM_PRICE_PLUS_DECLARED_DELIVERY",$S336="TOTAL_AMOUNT_INCLUDING_DELIVERY",$S336="ITEM_PRICE_ONLY_DELIVERY_PAID_BY_MERCHANT"),$J336=""),"ERROR",IF(AND(OR($S336="ITEM_PRICE_PLUS_DECLARED_DELIVERY",$S336="DELIVERY_CHARGE_ONLY"),$K336=""),"ERROR",IF(AND(OR($S336="TOTAL_AMOUNT_INCLUDING_DELIVERY",$S336="EXACT_COLLECTION_AMOUNT"),$T336=""),"ERROR",IF(AND($S336="TOTAL_AMOUNT_INCLUDING_DELIVERY",$T336&lt;SUM($J336,$U336)),"ERROR",IF($S336="EXACT_COLLECTION_AMOUNT","REVIEW","OK")))))))))</f>
        <v/>
      </c>
      <c r="AV336" s="25">
        <f>IF($AU336="","",IF($H336="","Township required",IF($Q336="","Customer tier required",IF($M336="","Weight required",IF($S336="","Amount entry type required",IF(OR($J336&lt;0,$K336&lt;0,$M336&lt;0,$T336&lt;0,$U336&lt;0,$V336&lt;0,$W336&lt;0,$X336&lt;0,$Y336&lt;0),"Negative amounts are not allowed",IF($AE336="","Tariff not found for township and tier",IF(AND(OR($S336="ITEM_PRICE_PLUS_DECLARED_DELIVERY",$S336="TOTAL_AMOUNT_INCLUDING_DELIVERY",$S336="ITEM_PRICE_ONLY_DELIVERY_PAID_BY_MERCHANT"),$J336=""),"Item price required for this amount type",IF(AND(OR($S336="ITEM_PRICE_PLUS_DECLARED_DELIVERY",$S336="DELIVERY_CHARGE_ONLY"),$K336=""),"Declared delivery charge required",IF(AND(OR($S336="TOTAL_AMOUNT_INCLUDING_DELIVERY",$S336="EXACT_COLLECTION_AMOUNT"),$T336=""),"Stated total amount required",IF(AND($S336="TOTAL_AMOUNT_INCLUDING_DELIVERY",$T336&lt;SUM($J336,$U336)),"Stated total is below item price plus additional charge",IF($S336="EXACT_COLLECTION_AMOUNT","Authorized amount breakdown required before settlement","Ready for collection and settlement"))))))))))))</f>
        <v/>
      </c>
      <c r="AW336" s="23">
        <f>IF($AU336="","","PARCEL_FINANCIAL_V2")</f>
        <v/>
      </c>
      <c r="AX336" s="17" t="n"/>
    </row>
    <row r="337">
      <c r="A337" s="8" t="n"/>
      <c r="B337" s="8" t="n"/>
      <c r="C337" s="8" t="n"/>
      <c r="D337" s="8" t="n"/>
      <c r="E337" s="9" t="n"/>
      <c r="F337" s="9" t="n"/>
      <c r="G337" s="8" t="n"/>
      <c r="H337" s="9" t="n"/>
      <c r="I337" s="9" t="n"/>
      <c r="J337" s="10" t="n"/>
      <c r="K337" s="10" t="n"/>
      <c r="L337" s="11">
        <f>IF($S337="","",IF($S337="ITEM_PRICE_PLUS_DECLARED_DELIVERY",IF(OR($J337="",$K337=""),"",SUM($J337,$K337,$U337)),IF($S337="TOTAL_AMOUNT_INCLUDING_DELIVERY",IF($T337="","",$T337),IF($S337="DELIVERY_CHARGE_ONLY",IF($K337="","",SUM($K337,$U337)),IF($S337="EXACT_COLLECTION_AMOUNT",IF($T337="","",$T337),IF($S337="ITEM_PRICE_ONLY_DELIVERY_PAID_BY_MERCHANT",IF($J337="","",SUM($J337,$U337)),""))))))</f>
        <v/>
      </c>
      <c r="M337" s="12" t="n"/>
      <c r="N337" s="13" t="n"/>
      <c r="O337" s="13" t="n"/>
      <c r="P337" s="9" t="n"/>
      <c r="Q337" s="14" t="n"/>
      <c r="R337" s="15" t="n"/>
      <c r="S337" s="14" t="n"/>
      <c r="T337" s="16" t="n"/>
      <c r="U337" s="16" t="n"/>
      <c r="V337" s="16" t="n"/>
      <c r="W337" s="16" t="n"/>
      <c r="X337" s="16" t="n"/>
      <c r="Y337" s="16" t="n"/>
      <c r="Z337" s="14" t="n"/>
      <c r="AA337" s="14" t="n"/>
      <c r="AB337" s="14" t="n"/>
      <c r="AC337" s="17">
        <f>IFERROR(VLOOKUP($H337&amp;"|"&amp;$Q337,Tariff_Master!$A$2:$L$169,3,FALSE),"")</f>
        <v/>
      </c>
      <c r="AD337" s="17">
        <f>IFERROR(VLOOKUP($H337&amp;"|"&amp;$Q337,Tariff_Master!$A$2:$L$169,4,FALSE),"")</f>
        <v/>
      </c>
      <c r="AE337" s="18">
        <f>IFERROR(VLOOKUP($H337&amp;"|"&amp;$Q337,Tariff_Master!$A$2:$L$169,6,FALSE),"")</f>
        <v/>
      </c>
      <c r="AF337" s="19">
        <f>IFERROR(VLOOKUP($H337&amp;"|"&amp;$Q337,Tariff_Master!$A$2:$L$169,7,FALSE),"")</f>
        <v/>
      </c>
      <c r="AG337" s="18">
        <f>IFERROR(VLOOKUP($H337&amp;"|"&amp;$Q337,Tariff_Master!$A$2:$L$169,8,FALSE),"")</f>
        <v/>
      </c>
      <c r="AH337" s="20">
        <f>IFERROR(VLOOKUP($H337&amp;"|"&amp;$Q337,Tariff_Master!$A$2:$L$169,9,FALSE),"")</f>
        <v/>
      </c>
      <c r="AI337" s="18">
        <f>IFERROR(VLOOKUP($H337&amp;"|"&amp;$Q337,Tariff_Master!$A$2:$L$169,10,FALSE),"")</f>
        <v/>
      </c>
      <c r="AJ337" s="21">
        <f>IF($M337="","",ROUNDUP(MAX(0,$M337),0))</f>
        <v/>
      </c>
      <c r="AK337" s="21">
        <f>IF(OR($AJ337="",$AF337=""),"",MAX(0,$AJ337-$AF337))</f>
        <v/>
      </c>
      <c r="AL337" s="22">
        <f>IF(OR($AK337="",$AG337=""),"",MAX(0,$AK337*$AG337))</f>
        <v/>
      </c>
      <c r="AM337" s="22">
        <f>IF($AE337="","",MAX(0,SUM($AE337,$AL337,$V337,$W337)))</f>
        <v/>
      </c>
      <c r="AN337" s="22">
        <f>IF($AM337="","",IF(AND($Q337="COMMITMENT",$R337&gt;=$AH337),$AI337,0))</f>
        <v/>
      </c>
      <c r="AO337" s="23">
        <f>IF($AM337="","",MAX(0,$AM337-$AN337))</f>
        <v/>
      </c>
      <c r="AP337" s="22">
        <f>IF($S337="","",IF(OR($S337="ITEM_PRICE_PLUS_DECLARED_DELIVERY",$S337="DELIVERY_CHARGE_ONLY"),$K337,IF($S337="TOTAL_AMOUNT_INCLUDING_DELIVERY",IF(OR($T337="",$J337=""),"",MAX(0,$T337-$J337-$U337)),IF($S337="ITEM_PRICE_ONLY_DELIVERY_PAID_BY_MERCHANT",0,""))))</f>
        <v/>
      </c>
      <c r="AQ337" s="23">
        <f>IF(OR($AP337="",$AO337=""),"",$AP337-$AO337)</f>
        <v/>
      </c>
      <c r="AR337" s="24">
        <f>IF($S337="EXACT_COLLECTION_AMOUNT","BREAKDOWN_REQUIRED",IF($AQ337="","",IF($AQ337&gt;0,"CREDIT_TO_MERCHANT",IF($AQ337&lt;0,"DEDUCT_FROM_MERCHANT","NO_ADJUSTMENT"))))</f>
        <v/>
      </c>
      <c r="AS337" s="23">
        <f>IF(OR($AQ337="",$AR337="BREAKDOWN_REQUIRED"),"",$AQ337)</f>
        <v/>
      </c>
      <c r="AT337" s="23">
        <f>IF(OR($AR337="",$AR337="BREAKDOWN_REQUIRED"),"",SUM($J337,$AQ337,$Y337)-$X337)</f>
        <v/>
      </c>
      <c r="AU337" s="25">
        <f>IF(AND($A337="",$B337="",$F337="",$H337="",$J337="",$K337="",$M337="",$S337=""),"",IF(OR($H337="",$Q337="",$M337="",$S337=""),"ERROR",IF(OR($J337&lt;0,$K337&lt;0,$M337&lt;0,$T337&lt;0,$U337&lt;0,$V337&lt;0,$W337&lt;0,$X337&lt;0,$Y337&lt;0),"ERROR",IF($AE337="","ERROR",IF(AND(OR($S337="ITEM_PRICE_PLUS_DECLARED_DELIVERY",$S337="TOTAL_AMOUNT_INCLUDING_DELIVERY",$S337="ITEM_PRICE_ONLY_DELIVERY_PAID_BY_MERCHANT"),$J337=""),"ERROR",IF(AND(OR($S337="ITEM_PRICE_PLUS_DECLARED_DELIVERY",$S337="DELIVERY_CHARGE_ONLY"),$K337=""),"ERROR",IF(AND(OR($S337="TOTAL_AMOUNT_INCLUDING_DELIVERY",$S337="EXACT_COLLECTION_AMOUNT"),$T337=""),"ERROR",IF(AND($S337="TOTAL_AMOUNT_INCLUDING_DELIVERY",$T337&lt;SUM($J337,$U337)),"ERROR",IF($S337="EXACT_COLLECTION_AMOUNT","REVIEW","OK")))))))))</f>
        <v/>
      </c>
      <c r="AV337" s="25">
        <f>IF($AU337="","",IF($H337="","Township required",IF($Q337="","Customer tier required",IF($M337="","Weight required",IF($S337="","Amount entry type required",IF(OR($J337&lt;0,$K337&lt;0,$M337&lt;0,$T337&lt;0,$U337&lt;0,$V337&lt;0,$W337&lt;0,$X337&lt;0,$Y337&lt;0),"Negative amounts are not allowed",IF($AE337="","Tariff not found for township and tier",IF(AND(OR($S337="ITEM_PRICE_PLUS_DECLARED_DELIVERY",$S337="TOTAL_AMOUNT_INCLUDING_DELIVERY",$S337="ITEM_PRICE_ONLY_DELIVERY_PAID_BY_MERCHANT"),$J337=""),"Item price required for this amount type",IF(AND(OR($S337="ITEM_PRICE_PLUS_DECLARED_DELIVERY",$S337="DELIVERY_CHARGE_ONLY"),$K337=""),"Declared delivery charge required",IF(AND(OR($S337="TOTAL_AMOUNT_INCLUDING_DELIVERY",$S337="EXACT_COLLECTION_AMOUNT"),$T337=""),"Stated total amount required",IF(AND($S337="TOTAL_AMOUNT_INCLUDING_DELIVERY",$T337&lt;SUM($J337,$U337)),"Stated total is below item price plus additional charge",IF($S337="EXACT_COLLECTION_AMOUNT","Authorized amount breakdown required before settlement","Ready for collection and settlement"))))))))))))</f>
        <v/>
      </c>
      <c r="AW337" s="23">
        <f>IF($AU337="","","PARCEL_FINANCIAL_V2")</f>
        <v/>
      </c>
      <c r="AX337" s="17" t="n"/>
    </row>
    <row r="338">
      <c r="A338" s="8" t="n"/>
      <c r="B338" s="8" t="n"/>
      <c r="C338" s="8" t="n"/>
      <c r="D338" s="8" t="n"/>
      <c r="E338" s="9" t="n"/>
      <c r="F338" s="9" t="n"/>
      <c r="G338" s="8" t="n"/>
      <c r="H338" s="9" t="n"/>
      <c r="I338" s="9" t="n"/>
      <c r="J338" s="10" t="n"/>
      <c r="K338" s="10" t="n"/>
      <c r="L338" s="11">
        <f>IF($S338="","",IF($S338="ITEM_PRICE_PLUS_DECLARED_DELIVERY",IF(OR($J338="",$K338=""),"",SUM($J338,$K338,$U338)),IF($S338="TOTAL_AMOUNT_INCLUDING_DELIVERY",IF($T338="","",$T338),IF($S338="DELIVERY_CHARGE_ONLY",IF($K338="","",SUM($K338,$U338)),IF($S338="EXACT_COLLECTION_AMOUNT",IF($T338="","",$T338),IF($S338="ITEM_PRICE_ONLY_DELIVERY_PAID_BY_MERCHANT",IF($J338="","",SUM($J338,$U338)),""))))))</f>
        <v/>
      </c>
      <c r="M338" s="12" t="n"/>
      <c r="N338" s="13" t="n"/>
      <c r="O338" s="13" t="n"/>
      <c r="P338" s="9" t="n"/>
      <c r="Q338" s="14" t="n"/>
      <c r="R338" s="15" t="n"/>
      <c r="S338" s="14" t="n"/>
      <c r="T338" s="16" t="n"/>
      <c r="U338" s="16" t="n"/>
      <c r="V338" s="16" t="n"/>
      <c r="W338" s="16" t="n"/>
      <c r="X338" s="16" t="n"/>
      <c r="Y338" s="16" t="n"/>
      <c r="Z338" s="14" t="n"/>
      <c r="AA338" s="14" t="n"/>
      <c r="AB338" s="14" t="n"/>
      <c r="AC338" s="17">
        <f>IFERROR(VLOOKUP($H338&amp;"|"&amp;$Q338,Tariff_Master!$A$2:$L$169,3,FALSE),"")</f>
        <v/>
      </c>
      <c r="AD338" s="17">
        <f>IFERROR(VLOOKUP($H338&amp;"|"&amp;$Q338,Tariff_Master!$A$2:$L$169,4,FALSE),"")</f>
        <v/>
      </c>
      <c r="AE338" s="18">
        <f>IFERROR(VLOOKUP($H338&amp;"|"&amp;$Q338,Tariff_Master!$A$2:$L$169,6,FALSE),"")</f>
        <v/>
      </c>
      <c r="AF338" s="19">
        <f>IFERROR(VLOOKUP($H338&amp;"|"&amp;$Q338,Tariff_Master!$A$2:$L$169,7,FALSE),"")</f>
        <v/>
      </c>
      <c r="AG338" s="18">
        <f>IFERROR(VLOOKUP($H338&amp;"|"&amp;$Q338,Tariff_Master!$A$2:$L$169,8,FALSE),"")</f>
        <v/>
      </c>
      <c r="AH338" s="20">
        <f>IFERROR(VLOOKUP($H338&amp;"|"&amp;$Q338,Tariff_Master!$A$2:$L$169,9,FALSE),"")</f>
        <v/>
      </c>
      <c r="AI338" s="18">
        <f>IFERROR(VLOOKUP($H338&amp;"|"&amp;$Q338,Tariff_Master!$A$2:$L$169,10,FALSE),"")</f>
        <v/>
      </c>
      <c r="AJ338" s="21">
        <f>IF($M338="","",ROUNDUP(MAX(0,$M338),0))</f>
        <v/>
      </c>
      <c r="AK338" s="21">
        <f>IF(OR($AJ338="",$AF338=""),"",MAX(0,$AJ338-$AF338))</f>
        <v/>
      </c>
      <c r="AL338" s="22">
        <f>IF(OR($AK338="",$AG338=""),"",MAX(0,$AK338*$AG338))</f>
        <v/>
      </c>
      <c r="AM338" s="22">
        <f>IF($AE338="","",MAX(0,SUM($AE338,$AL338,$V338,$W338)))</f>
        <v/>
      </c>
      <c r="AN338" s="22">
        <f>IF($AM338="","",IF(AND($Q338="COMMITMENT",$R338&gt;=$AH338),$AI338,0))</f>
        <v/>
      </c>
      <c r="AO338" s="23">
        <f>IF($AM338="","",MAX(0,$AM338-$AN338))</f>
        <v/>
      </c>
      <c r="AP338" s="22">
        <f>IF($S338="","",IF(OR($S338="ITEM_PRICE_PLUS_DECLARED_DELIVERY",$S338="DELIVERY_CHARGE_ONLY"),$K338,IF($S338="TOTAL_AMOUNT_INCLUDING_DELIVERY",IF(OR($T338="",$J338=""),"",MAX(0,$T338-$J338-$U338)),IF($S338="ITEM_PRICE_ONLY_DELIVERY_PAID_BY_MERCHANT",0,""))))</f>
        <v/>
      </c>
      <c r="AQ338" s="23">
        <f>IF(OR($AP338="",$AO338=""),"",$AP338-$AO338)</f>
        <v/>
      </c>
      <c r="AR338" s="24">
        <f>IF($S338="EXACT_COLLECTION_AMOUNT","BREAKDOWN_REQUIRED",IF($AQ338="","",IF($AQ338&gt;0,"CREDIT_TO_MERCHANT",IF($AQ338&lt;0,"DEDUCT_FROM_MERCHANT","NO_ADJUSTMENT"))))</f>
        <v/>
      </c>
      <c r="AS338" s="23">
        <f>IF(OR($AQ338="",$AR338="BREAKDOWN_REQUIRED"),"",$AQ338)</f>
        <v/>
      </c>
      <c r="AT338" s="23">
        <f>IF(OR($AR338="",$AR338="BREAKDOWN_REQUIRED"),"",SUM($J338,$AQ338,$Y338)-$X338)</f>
        <v/>
      </c>
      <c r="AU338" s="25">
        <f>IF(AND($A338="",$B338="",$F338="",$H338="",$J338="",$K338="",$M338="",$S338=""),"",IF(OR($H338="",$Q338="",$M338="",$S338=""),"ERROR",IF(OR($J338&lt;0,$K338&lt;0,$M338&lt;0,$T338&lt;0,$U338&lt;0,$V338&lt;0,$W338&lt;0,$X338&lt;0,$Y338&lt;0),"ERROR",IF($AE338="","ERROR",IF(AND(OR($S338="ITEM_PRICE_PLUS_DECLARED_DELIVERY",$S338="TOTAL_AMOUNT_INCLUDING_DELIVERY",$S338="ITEM_PRICE_ONLY_DELIVERY_PAID_BY_MERCHANT"),$J338=""),"ERROR",IF(AND(OR($S338="ITEM_PRICE_PLUS_DECLARED_DELIVERY",$S338="DELIVERY_CHARGE_ONLY"),$K338=""),"ERROR",IF(AND(OR($S338="TOTAL_AMOUNT_INCLUDING_DELIVERY",$S338="EXACT_COLLECTION_AMOUNT"),$T338=""),"ERROR",IF(AND($S338="TOTAL_AMOUNT_INCLUDING_DELIVERY",$T338&lt;SUM($J338,$U338)),"ERROR",IF($S338="EXACT_COLLECTION_AMOUNT","REVIEW","OK")))))))))</f>
        <v/>
      </c>
      <c r="AV338" s="25">
        <f>IF($AU338="","",IF($H338="","Township required",IF($Q338="","Customer tier required",IF($M338="","Weight required",IF($S338="","Amount entry type required",IF(OR($J338&lt;0,$K338&lt;0,$M338&lt;0,$T338&lt;0,$U338&lt;0,$V338&lt;0,$W338&lt;0,$X338&lt;0,$Y338&lt;0),"Negative amounts are not allowed",IF($AE338="","Tariff not found for township and tier",IF(AND(OR($S338="ITEM_PRICE_PLUS_DECLARED_DELIVERY",$S338="TOTAL_AMOUNT_INCLUDING_DELIVERY",$S338="ITEM_PRICE_ONLY_DELIVERY_PAID_BY_MERCHANT"),$J338=""),"Item price required for this amount type",IF(AND(OR($S338="ITEM_PRICE_PLUS_DECLARED_DELIVERY",$S338="DELIVERY_CHARGE_ONLY"),$K338=""),"Declared delivery charge required",IF(AND(OR($S338="TOTAL_AMOUNT_INCLUDING_DELIVERY",$S338="EXACT_COLLECTION_AMOUNT"),$T338=""),"Stated total amount required",IF(AND($S338="TOTAL_AMOUNT_INCLUDING_DELIVERY",$T338&lt;SUM($J338,$U338)),"Stated total is below item price plus additional charge",IF($S338="EXACT_COLLECTION_AMOUNT","Authorized amount breakdown required before settlement","Ready for collection and settlement"))))))))))))</f>
        <v/>
      </c>
      <c r="AW338" s="23">
        <f>IF($AU338="","","PARCEL_FINANCIAL_V2")</f>
        <v/>
      </c>
      <c r="AX338" s="17" t="n"/>
    </row>
    <row r="339">
      <c r="A339" s="8" t="n"/>
      <c r="B339" s="8" t="n"/>
      <c r="C339" s="8" t="n"/>
      <c r="D339" s="8" t="n"/>
      <c r="E339" s="9" t="n"/>
      <c r="F339" s="9" t="n"/>
      <c r="G339" s="8" t="n"/>
      <c r="H339" s="9" t="n"/>
      <c r="I339" s="9" t="n"/>
      <c r="J339" s="10" t="n"/>
      <c r="K339" s="10" t="n"/>
      <c r="L339" s="11">
        <f>IF($S339="","",IF($S339="ITEM_PRICE_PLUS_DECLARED_DELIVERY",IF(OR($J339="",$K339=""),"",SUM($J339,$K339,$U339)),IF($S339="TOTAL_AMOUNT_INCLUDING_DELIVERY",IF($T339="","",$T339),IF($S339="DELIVERY_CHARGE_ONLY",IF($K339="","",SUM($K339,$U339)),IF($S339="EXACT_COLLECTION_AMOUNT",IF($T339="","",$T339),IF($S339="ITEM_PRICE_ONLY_DELIVERY_PAID_BY_MERCHANT",IF($J339="","",SUM($J339,$U339)),""))))))</f>
        <v/>
      </c>
      <c r="M339" s="12" t="n"/>
      <c r="N339" s="13" t="n"/>
      <c r="O339" s="13" t="n"/>
      <c r="P339" s="9" t="n"/>
      <c r="Q339" s="14" t="n"/>
      <c r="R339" s="15" t="n"/>
      <c r="S339" s="14" t="n"/>
      <c r="T339" s="16" t="n"/>
      <c r="U339" s="16" t="n"/>
      <c r="V339" s="16" t="n"/>
      <c r="W339" s="16" t="n"/>
      <c r="X339" s="16" t="n"/>
      <c r="Y339" s="16" t="n"/>
      <c r="Z339" s="14" t="n"/>
      <c r="AA339" s="14" t="n"/>
      <c r="AB339" s="14" t="n"/>
      <c r="AC339" s="17">
        <f>IFERROR(VLOOKUP($H339&amp;"|"&amp;$Q339,Tariff_Master!$A$2:$L$169,3,FALSE),"")</f>
        <v/>
      </c>
      <c r="AD339" s="17">
        <f>IFERROR(VLOOKUP($H339&amp;"|"&amp;$Q339,Tariff_Master!$A$2:$L$169,4,FALSE),"")</f>
        <v/>
      </c>
      <c r="AE339" s="18">
        <f>IFERROR(VLOOKUP($H339&amp;"|"&amp;$Q339,Tariff_Master!$A$2:$L$169,6,FALSE),"")</f>
        <v/>
      </c>
      <c r="AF339" s="19">
        <f>IFERROR(VLOOKUP($H339&amp;"|"&amp;$Q339,Tariff_Master!$A$2:$L$169,7,FALSE),"")</f>
        <v/>
      </c>
      <c r="AG339" s="18">
        <f>IFERROR(VLOOKUP($H339&amp;"|"&amp;$Q339,Tariff_Master!$A$2:$L$169,8,FALSE),"")</f>
        <v/>
      </c>
      <c r="AH339" s="20">
        <f>IFERROR(VLOOKUP($H339&amp;"|"&amp;$Q339,Tariff_Master!$A$2:$L$169,9,FALSE),"")</f>
        <v/>
      </c>
      <c r="AI339" s="18">
        <f>IFERROR(VLOOKUP($H339&amp;"|"&amp;$Q339,Tariff_Master!$A$2:$L$169,10,FALSE),"")</f>
        <v/>
      </c>
      <c r="AJ339" s="21">
        <f>IF($M339="","",ROUNDUP(MAX(0,$M339),0))</f>
        <v/>
      </c>
      <c r="AK339" s="21">
        <f>IF(OR($AJ339="",$AF339=""),"",MAX(0,$AJ339-$AF339))</f>
        <v/>
      </c>
      <c r="AL339" s="22">
        <f>IF(OR($AK339="",$AG339=""),"",MAX(0,$AK339*$AG339))</f>
        <v/>
      </c>
      <c r="AM339" s="22">
        <f>IF($AE339="","",MAX(0,SUM($AE339,$AL339,$V339,$W339)))</f>
        <v/>
      </c>
      <c r="AN339" s="22">
        <f>IF($AM339="","",IF(AND($Q339="COMMITMENT",$R339&gt;=$AH339),$AI339,0))</f>
        <v/>
      </c>
      <c r="AO339" s="23">
        <f>IF($AM339="","",MAX(0,$AM339-$AN339))</f>
        <v/>
      </c>
      <c r="AP339" s="22">
        <f>IF($S339="","",IF(OR($S339="ITEM_PRICE_PLUS_DECLARED_DELIVERY",$S339="DELIVERY_CHARGE_ONLY"),$K339,IF($S339="TOTAL_AMOUNT_INCLUDING_DELIVERY",IF(OR($T339="",$J339=""),"",MAX(0,$T339-$J339-$U339)),IF($S339="ITEM_PRICE_ONLY_DELIVERY_PAID_BY_MERCHANT",0,""))))</f>
        <v/>
      </c>
      <c r="AQ339" s="23">
        <f>IF(OR($AP339="",$AO339=""),"",$AP339-$AO339)</f>
        <v/>
      </c>
      <c r="AR339" s="24">
        <f>IF($S339="EXACT_COLLECTION_AMOUNT","BREAKDOWN_REQUIRED",IF($AQ339="","",IF($AQ339&gt;0,"CREDIT_TO_MERCHANT",IF($AQ339&lt;0,"DEDUCT_FROM_MERCHANT","NO_ADJUSTMENT"))))</f>
        <v/>
      </c>
      <c r="AS339" s="23">
        <f>IF(OR($AQ339="",$AR339="BREAKDOWN_REQUIRED"),"",$AQ339)</f>
        <v/>
      </c>
      <c r="AT339" s="23">
        <f>IF(OR($AR339="",$AR339="BREAKDOWN_REQUIRED"),"",SUM($J339,$AQ339,$Y339)-$X339)</f>
        <v/>
      </c>
      <c r="AU339" s="25">
        <f>IF(AND($A339="",$B339="",$F339="",$H339="",$J339="",$K339="",$M339="",$S339=""),"",IF(OR($H339="",$Q339="",$M339="",$S339=""),"ERROR",IF(OR($J339&lt;0,$K339&lt;0,$M339&lt;0,$T339&lt;0,$U339&lt;0,$V339&lt;0,$W339&lt;0,$X339&lt;0,$Y339&lt;0),"ERROR",IF($AE339="","ERROR",IF(AND(OR($S339="ITEM_PRICE_PLUS_DECLARED_DELIVERY",$S339="TOTAL_AMOUNT_INCLUDING_DELIVERY",$S339="ITEM_PRICE_ONLY_DELIVERY_PAID_BY_MERCHANT"),$J339=""),"ERROR",IF(AND(OR($S339="ITEM_PRICE_PLUS_DECLARED_DELIVERY",$S339="DELIVERY_CHARGE_ONLY"),$K339=""),"ERROR",IF(AND(OR($S339="TOTAL_AMOUNT_INCLUDING_DELIVERY",$S339="EXACT_COLLECTION_AMOUNT"),$T339=""),"ERROR",IF(AND($S339="TOTAL_AMOUNT_INCLUDING_DELIVERY",$T339&lt;SUM($J339,$U339)),"ERROR",IF($S339="EXACT_COLLECTION_AMOUNT","REVIEW","OK")))))))))</f>
        <v/>
      </c>
      <c r="AV339" s="25">
        <f>IF($AU339="","",IF($H339="","Township required",IF($Q339="","Customer tier required",IF($M339="","Weight required",IF($S339="","Amount entry type required",IF(OR($J339&lt;0,$K339&lt;0,$M339&lt;0,$T339&lt;0,$U339&lt;0,$V339&lt;0,$W339&lt;0,$X339&lt;0,$Y339&lt;0),"Negative amounts are not allowed",IF($AE339="","Tariff not found for township and tier",IF(AND(OR($S339="ITEM_PRICE_PLUS_DECLARED_DELIVERY",$S339="TOTAL_AMOUNT_INCLUDING_DELIVERY",$S339="ITEM_PRICE_ONLY_DELIVERY_PAID_BY_MERCHANT"),$J339=""),"Item price required for this amount type",IF(AND(OR($S339="ITEM_PRICE_PLUS_DECLARED_DELIVERY",$S339="DELIVERY_CHARGE_ONLY"),$K339=""),"Declared delivery charge required",IF(AND(OR($S339="TOTAL_AMOUNT_INCLUDING_DELIVERY",$S339="EXACT_COLLECTION_AMOUNT"),$T339=""),"Stated total amount required",IF(AND($S339="TOTAL_AMOUNT_INCLUDING_DELIVERY",$T339&lt;SUM($J339,$U339)),"Stated total is below item price plus additional charge",IF($S339="EXACT_COLLECTION_AMOUNT","Authorized amount breakdown required before settlement","Ready for collection and settlement"))))))))))))</f>
        <v/>
      </c>
      <c r="AW339" s="23">
        <f>IF($AU339="","","PARCEL_FINANCIAL_V2")</f>
        <v/>
      </c>
      <c r="AX339" s="17" t="n"/>
    </row>
    <row r="340">
      <c r="A340" s="8" t="n"/>
      <c r="B340" s="8" t="n"/>
      <c r="C340" s="8" t="n"/>
      <c r="D340" s="8" t="n"/>
      <c r="E340" s="9" t="n"/>
      <c r="F340" s="9" t="n"/>
      <c r="G340" s="8" t="n"/>
      <c r="H340" s="9" t="n"/>
      <c r="I340" s="9" t="n"/>
      <c r="J340" s="10" t="n"/>
      <c r="K340" s="10" t="n"/>
      <c r="L340" s="11">
        <f>IF($S340="","",IF($S340="ITEM_PRICE_PLUS_DECLARED_DELIVERY",IF(OR($J340="",$K340=""),"",SUM($J340,$K340,$U340)),IF($S340="TOTAL_AMOUNT_INCLUDING_DELIVERY",IF($T340="","",$T340),IF($S340="DELIVERY_CHARGE_ONLY",IF($K340="","",SUM($K340,$U340)),IF($S340="EXACT_COLLECTION_AMOUNT",IF($T340="","",$T340),IF($S340="ITEM_PRICE_ONLY_DELIVERY_PAID_BY_MERCHANT",IF($J340="","",SUM($J340,$U340)),""))))))</f>
        <v/>
      </c>
      <c r="M340" s="12" t="n"/>
      <c r="N340" s="13" t="n"/>
      <c r="O340" s="13" t="n"/>
      <c r="P340" s="9" t="n"/>
      <c r="Q340" s="14" t="n"/>
      <c r="R340" s="15" t="n"/>
      <c r="S340" s="14" t="n"/>
      <c r="T340" s="16" t="n"/>
      <c r="U340" s="16" t="n"/>
      <c r="V340" s="16" t="n"/>
      <c r="W340" s="16" t="n"/>
      <c r="X340" s="16" t="n"/>
      <c r="Y340" s="16" t="n"/>
      <c r="Z340" s="14" t="n"/>
      <c r="AA340" s="14" t="n"/>
      <c r="AB340" s="14" t="n"/>
      <c r="AC340" s="17">
        <f>IFERROR(VLOOKUP($H340&amp;"|"&amp;$Q340,Tariff_Master!$A$2:$L$169,3,FALSE),"")</f>
        <v/>
      </c>
      <c r="AD340" s="17">
        <f>IFERROR(VLOOKUP($H340&amp;"|"&amp;$Q340,Tariff_Master!$A$2:$L$169,4,FALSE),"")</f>
        <v/>
      </c>
      <c r="AE340" s="18">
        <f>IFERROR(VLOOKUP($H340&amp;"|"&amp;$Q340,Tariff_Master!$A$2:$L$169,6,FALSE),"")</f>
        <v/>
      </c>
      <c r="AF340" s="19">
        <f>IFERROR(VLOOKUP($H340&amp;"|"&amp;$Q340,Tariff_Master!$A$2:$L$169,7,FALSE),"")</f>
        <v/>
      </c>
      <c r="AG340" s="18">
        <f>IFERROR(VLOOKUP($H340&amp;"|"&amp;$Q340,Tariff_Master!$A$2:$L$169,8,FALSE),"")</f>
        <v/>
      </c>
      <c r="AH340" s="20">
        <f>IFERROR(VLOOKUP($H340&amp;"|"&amp;$Q340,Tariff_Master!$A$2:$L$169,9,FALSE),"")</f>
        <v/>
      </c>
      <c r="AI340" s="18">
        <f>IFERROR(VLOOKUP($H340&amp;"|"&amp;$Q340,Tariff_Master!$A$2:$L$169,10,FALSE),"")</f>
        <v/>
      </c>
      <c r="AJ340" s="21">
        <f>IF($M340="","",ROUNDUP(MAX(0,$M340),0))</f>
        <v/>
      </c>
      <c r="AK340" s="21">
        <f>IF(OR($AJ340="",$AF340=""),"",MAX(0,$AJ340-$AF340))</f>
        <v/>
      </c>
      <c r="AL340" s="22">
        <f>IF(OR($AK340="",$AG340=""),"",MAX(0,$AK340*$AG340))</f>
        <v/>
      </c>
      <c r="AM340" s="22">
        <f>IF($AE340="","",MAX(0,SUM($AE340,$AL340,$V340,$W340)))</f>
        <v/>
      </c>
      <c r="AN340" s="22">
        <f>IF($AM340="","",IF(AND($Q340="COMMITMENT",$R340&gt;=$AH340),$AI340,0))</f>
        <v/>
      </c>
      <c r="AO340" s="23">
        <f>IF($AM340="","",MAX(0,$AM340-$AN340))</f>
        <v/>
      </c>
      <c r="AP340" s="22">
        <f>IF($S340="","",IF(OR($S340="ITEM_PRICE_PLUS_DECLARED_DELIVERY",$S340="DELIVERY_CHARGE_ONLY"),$K340,IF($S340="TOTAL_AMOUNT_INCLUDING_DELIVERY",IF(OR($T340="",$J340=""),"",MAX(0,$T340-$J340-$U340)),IF($S340="ITEM_PRICE_ONLY_DELIVERY_PAID_BY_MERCHANT",0,""))))</f>
        <v/>
      </c>
      <c r="AQ340" s="23">
        <f>IF(OR($AP340="",$AO340=""),"",$AP340-$AO340)</f>
        <v/>
      </c>
      <c r="AR340" s="24">
        <f>IF($S340="EXACT_COLLECTION_AMOUNT","BREAKDOWN_REQUIRED",IF($AQ340="","",IF($AQ340&gt;0,"CREDIT_TO_MERCHANT",IF($AQ340&lt;0,"DEDUCT_FROM_MERCHANT","NO_ADJUSTMENT"))))</f>
        <v/>
      </c>
      <c r="AS340" s="23">
        <f>IF(OR($AQ340="",$AR340="BREAKDOWN_REQUIRED"),"",$AQ340)</f>
        <v/>
      </c>
      <c r="AT340" s="23">
        <f>IF(OR($AR340="",$AR340="BREAKDOWN_REQUIRED"),"",SUM($J340,$AQ340,$Y340)-$X340)</f>
        <v/>
      </c>
      <c r="AU340" s="25">
        <f>IF(AND($A340="",$B340="",$F340="",$H340="",$J340="",$K340="",$M340="",$S340=""),"",IF(OR($H340="",$Q340="",$M340="",$S340=""),"ERROR",IF(OR($J340&lt;0,$K340&lt;0,$M340&lt;0,$T340&lt;0,$U340&lt;0,$V340&lt;0,$W340&lt;0,$X340&lt;0,$Y340&lt;0),"ERROR",IF($AE340="","ERROR",IF(AND(OR($S340="ITEM_PRICE_PLUS_DECLARED_DELIVERY",$S340="TOTAL_AMOUNT_INCLUDING_DELIVERY",$S340="ITEM_PRICE_ONLY_DELIVERY_PAID_BY_MERCHANT"),$J340=""),"ERROR",IF(AND(OR($S340="ITEM_PRICE_PLUS_DECLARED_DELIVERY",$S340="DELIVERY_CHARGE_ONLY"),$K340=""),"ERROR",IF(AND(OR($S340="TOTAL_AMOUNT_INCLUDING_DELIVERY",$S340="EXACT_COLLECTION_AMOUNT"),$T340=""),"ERROR",IF(AND($S340="TOTAL_AMOUNT_INCLUDING_DELIVERY",$T340&lt;SUM($J340,$U340)),"ERROR",IF($S340="EXACT_COLLECTION_AMOUNT","REVIEW","OK")))))))))</f>
        <v/>
      </c>
      <c r="AV340" s="25">
        <f>IF($AU340="","",IF($H340="","Township required",IF($Q340="","Customer tier required",IF($M340="","Weight required",IF($S340="","Amount entry type required",IF(OR($J340&lt;0,$K340&lt;0,$M340&lt;0,$T340&lt;0,$U340&lt;0,$V340&lt;0,$W340&lt;0,$X340&lt;0,$Y340&lt;0),"Negative amounts are not allowed",IF($AE340="","Tariff not found for township and tier",IF(AND(OR($S340="ITEM_PRICE_PLUS_DECLARED_DELIVERY",$S340="TOTAL_AMOUNT_INCLUDING_DELIVERY",$S340="ITEM_PRICE_ONLY_DELIVERY_PAID_BY_MERCHANT"),$J340=""),"Item price required for this amount type",IF(AND(OR($S340="ITEM_PRICE_PLUS_DECLARED_DELIVERY",$S340="DELIVERY_CHARGE_ONLY"),$K340=""),"Declared delivery charge required",IF(AND(OR($S340="TOTAL_AMOUNT_INCLUDING_DELIVERY",$S340="EXACT_COLLECTION_AMOUNT"),$T340=""),"Stated total amount required",IF(AND($S340="TOTAL_AMOUNT_INCLUDING_DELIVERY",$T340&lt;SUM($J340,$U340)),"Stated total is below item price plus additional charge",IF($S340="EXACT_COLLECTION_AMOUNT","Authorized amount breakdown required before settlement","Ready for collection and settlement"))))))))))))</f>
        <v/>
      </c>
      <c r="AW340" s="23">
        <f>IF($AU340="","","PARCEL_FINANCIAL_V2")</f>
        <v/>
      </c>
      <c r="AX340" s="17" t="n"/>
    </row>
    <row r="341">
      <c r="A341" s="8" t="n"/>
      <c r="B341" s="8" t="n"/>
      <c r="C341" s="8" t="n"/>
      <c r="D341" s="8" t="n"/>
      <c r="E341" s="9" t="n"/>
      <c r="F341" s="9" t="n"/>
      <c r="G341" s="8" t="n"/>
      <c r="H341" s="9" t="n"/>
      <c r="I341" s="9" t="n"/>
      <c r="J341" s="10" t="n"/>
      <c r="K341" s="10" t="n"/>
      <c r="L341" s="11">
        <f>IF($S341="","",IF($S341="ITEM_PRICE_PLUS_DECLARED_DELIVERY",IF(OR($J341="",$K341=""),"",SUM($J341,$K341,$U341)),IF($S341="TOTAL_AMOUNT_INCLUDING_DELIVERY",IF($T341="","",$T341),IF($S341="DELIVERY_CHARGE_ONLY",IF($K341="","",SUM($K341,$U341)),IF($S341="EXACT_COLLECTION_AMOUNT",IF($T341="","",$T341),IF($S341="ITEM_PRICE_ONLY_DELIVERY_PAID_BY_MERCHANT",IF($J341="","",SUM($J341,$U341)),""))))))</f>
        <v/>
      </c>
      <c r="M341" s="12" t="n"/>
      <c r="N341" s="13" t="n"/>
      <c r="O341" s="13" t="n"/>
      <c r="P341" s="9" t="n"/>
      <c r="Q341" s="14" t="n"/>
      <c r="R341" s="15" t="n"/>
      <c r="S341" s="14" t="n"/>
      <c r="T341" s="16" t="n"/>
      <c r="U341" s="16" t="n"/>
      <c r="V341" s="16" t="n"/>
      <c r="W341" s="16" t="n"/>
      <c r="X341" s="16" t="n"/>
      <c r="Y341" s="16" t="n"/>
      <c r="Z341" s="14" t="n"/>
      <c r="AA341" s="14" t="n"/>
      <c r="AB341" s="14" t="n"/>
      <c r="AC341" s="17">
        <f>IFERROR(VLOOKUP($H341&amp;"|"&amp;$Q341,Tariff_Master!$A$2:$L$169,3,FALSE),"")</f>
        <v/>
      </c>
      <c r="AD341" s="17">
        <f>IFERROR(VLOOKUP($H341&amp;"|"&amp;$Q341,Tariff_Master!$A$2:$L$169,4,FALSE),"")</f>
        <v/>
      </c>
      <c r="AE341" s="18">
        <f>IFERROR(VLOOKUP($H341&amp;"|"&amp;$Q341,Tariff_Master!$A$2:$L$169,6,FALSE),"")</f>
        <v/>
      </c>
      <c r="AF341" s="19">
        <f>IFERROR(VLOOKUP($H341&amp;"|"&amp;$Q341,Tariff_Master!$A$2:$L$169,7,FALSE),"")</f>
        <v/>
      </c>
      <c r="AG341" s="18">
        <f>IFERROR(VLOOKUP($H341&amp;"|"&amp;$Q341,Tariff_Master!$A$2:$L$169,8,FALSE),"")</f>
        <v/>
      </c>
      <c r="AH341" s="20">
        <f>IFERROR(VLOOKUP($H341&amp;"|"&amp;$Q341,Tariff_Master!$A$2:$L$169,9,FALSE),"")</f>
        <v/>
      </c>
      <c r="AI341" s="18">
        <f>IFERROR(VLOOKUP($H341&amp;"|"&amp;$Q341,Tariff_Master!$A$2:$L$169,10,FALSE),"")</f>
        <v/>
      </c>
      <c r="AJ341" s="21">
        <f>IF($M341="","",ROUNDUP(MAX(0,$M341),0))</f>
        <v/>
      </c>
      <c r="AK341" s="21">
        <f>IF(OR($AJ341="",$AF341=""),"",MAX(0,$AJ341-$AF341))</f>
        <v/>
      </c>
      <c r="AL341" s="22">
        <f>IF(OR($AK341="",$AG341=""),"",MAX(0,$AK341*$AG341))</f>
        <v/>
      </c>
      <c r="AM341" s="22">
        <f>IF($AE341="","",MAX(0,SUM($AE341,$AL341,$V341,$W341)))</f>
        <v/>
      </c>
      <c r="AN341" s="22">
        <f>IF($AM341="","",IF(AND($Q341="COMMITMENT",$R341&gt;=$AH341),$AI341,0))</f>
        <v/>
      </c>
      <c r="AO341" s="23">
        <f>IF($AM341="","",MAX(0,$AM341-$AN341))</f>
        <v/>
      </c>
      <c r="AP341" s="22">
        <f>IF($S341="","",IF(OR($S341="ITEM_PRICE_PLUS_DECLARED_DELIVERY",$S341="DELIVERY_CHARGE_ONLY"),$K341,IF($S341="TOTAL_AMOUNT_INCLUDING_DELIVERY",IF(OR($T341="",$J341=""),"",MAX(0,$T341-$J341-$U341)),IF($S341="ITEM_PRICE_ONLY_DELIVERY_PAID_BY_MERCHANT",0,""))))</f>
        <v/>
      </c>
      <c r="AQ341" s="23">
        <f>IF(OR($AP341="",$AO341=""),"",$AP341-$AO341)</f>
        <v/>
      </c>
      <c r="AR341" s="24">
        <f>IF($S341="EXACT_COLLECTION_AMOUNT","BREAKDOWN_REQUIRED",IF($AQ341="","",IF($AQ341&gt;0,"CREDIT_TO_MERCHANT",IF($AQ341&lt;0,"DEDUCT_FROM_MERCHANT","NO_ADJUSTMENT"))))</f>
        <v/>
      </c>
      <c r="AS341" s="23">
        <f>IF(OR($AQ341="",$AR341="BREAKDOWN_REQUIRED"),"",$AQ341)</f>
        <v/>
      </c>
      <c r="AT341" s="23">
        <f>IF(OR($AR341="",$AR341="BREAKDOWN_REQUIRED"),"",SUM($J341,$AQ341,$Y341)-$X341)</f>
        <v/>
      </c>
      <c r="AU341" s="25">
        <f>IF(AND($A341="",$B341="",$F341="",$H341="",$J341="",$K341="",$M341="",$S341=""),"",IF(OR($H341="",$Q341="",$M341="",$S341=""),"ERROR",IF(OR($J341&lt;0,$K341&lt;0,$M341&lt;0,$T341&lt;0,$U341&lt;0,$V341&lt;0,$W341&lt;0,$X341&lt;0,$Y341&lt;0),"ERROR",IF($AE341="","ERROR",IF(AND(OR($S341="ITEM_PRICE_PLUS_DECLARED_DELIVERY",$S341="TOTAL_AMOUNT_INCLUDING_DELIVERY",$S341="ITEM_PRICE_ONLY_DELIVERY_PAID_BY_MERCHANT"),$J341=""),"ERROR",IF(AND(OR($S341="ITEM_PRICE_PLUS_DECLARED_DELIVERY",$S341="DELIVERY_CHARGE_ONLY"),$K341=""),"ERROR",IF(AND(OR($S341="TOTAL_AMOUNT_INCLUDING_DELIVERY",$S341="EXACT_COLLECTION_AMOUNT"),$T341=""),"ERROR",IF(AND($S341="TOTAL_AMOUNT_INCLUDING_DELIVERY",$T341&lt;SUM($J341,$U341)),"ERROR",IF($S341="EXACT_COLLECTION_AMOUNT","REVIEW","OK")))))))))</f>
        <v/>
      </c>
      <c r="AV341" s="25">
        <f>IF($AU341="","",IF($H341="","Township required",IF($Q341="","Customer tier required",IF($M341="","Weight required",IF($S341="","Amount entry type required",IF(OR($J341&lt;0,$K341&lt;0,$M341&lt;0,$T341&lt;0,$U341&lt;0,$V341&lt;0,$W341&lt;0,$X341&lt;0,$Y341&lt;0),"Negative amounts are not allowed",IF($AE341="","Tariff not found for township and tier",IF(AND(OR($S341="ITEM_PRICE_PLUS_DECLARED_DELIVERY",$S341="TOTAL_AMOUNT_INCLUDING_DELIVERY",$S341="ITEM_PRICE_ONLY_DELIVERY_PAID_BY_MERCHANT"),$J341=""),"Item price required for this amount type",IF(AND(OR($S341="ITEM_PRICE_PLUS_DECLARED_DELIVERY",$S341="DELIVERY_CHARGE_ONLY"),$K341=""),"Declared delivery charge required",IF(AND(OR($S341="TOTAL_AMOUNT_INCLUDING_DELIVERY",$S341="EXACT_COLLECTION_AMOUNT"),$T341=""),"Stated total amount required",IF(AND($S341="TOTAL_AMOUNT_INCLUDING_DELIVERY",$T341&lt;SUM($J341,$U341)),"Stated total is below item price plus additional charge",IF($S341="EXACT_COLLECTION_AMOUNT","Authorized amount breakdown required before settlement","Ready for collection and settlement"))))))))))))</f>
        <v/>
      </c>
      <c r="AW341" s="23">
        <f>IF($AU341="","","PARCEL_FINANCIAL_V2")</f>
        <v/>
      </c>
      <c r="AX341" s="17" t="n"/>
    </row>
    <row r="342">
      <c r="A342" s="8" t="n"/>
      <c r="B342" s="8" t="n"/>
      <c r="C342" s="8" t="n"/>
      <c r="D342" s="8" t="n"/>
      <c r="E342" s="9" t="n"/>
      <c r="F342" s="9" t="n"/>
      <c r="G342" s="8" t="n"/>
      <c r="H342" s="9" t="n"/>
      <c r="I342" s="9" t="n"/>
      <c r="J342" s="10" t="n"/>
      <c r="K342" s="10" t="n"/>
      <c r="L342" s="11">
        <f>IF($S342="","",IF($S342="ITEM_PRICE_PLUS_DECLARED_DELIVERY",IF(OR($J342="",$K342=""),"",SUM($J342,$K342,$U342)),IF($S342="TOTAL_AMOUNT_INCLUDING_DELIVERY",IF($T342="","",$T342),IF($S342="DELIVERY_CHARGE_ONLY",IF($K342="","",SUM($K342,$U342)),IF($S342="EXACT_COLLECTION_AMOUNT",IF($T342="","",$T342),IF($S342="ITEM_PRICE_ONLY_DELIVERY_PAID_BY_MERCHANT",IF($J342="","",SUM($J342,$U342)),""))))))</f>
        <v/>
      </c>
      <c r="M342" s="12" t="n"/>
      <c r="N342" s="13" t="n"/>
      <c r="O342" s="13" t="n"/>
      <c r="P342" s="9" t="n"/>
      <c r="Q342" s="14" t="n"/>
      <c r="R342" s="15" t="n"/>
      <c r="S342" s="14" t="n"/>
      <c r="T342" s="16" t="n"/>
      <c r="U342" s="16" t="n"/>
      <c r="V342" s="16" t="n"/>
      <c r="W342" s="16" t="n"/>
      <c r="X342" s="16" t="n"/>
      <c r="Y342" s="16" t="n"/>
      <c r="Z342" s="14" t="n"/>
      <c r="AA342" s="14" t="n"/>
      <c r="AB342" s="14" t="n"/>
      <c r="AC342" s="17">
        <f>IFERROR(VLOOKUP($H342&amp;"|"&amp;$Q342,Tariff_Master!$A$2:$L$169,3,FALSE),"")</f>
        <v/>
      </c>
      <c r="AD342" s="17">
        <f>IFERROR(VLOOKUP($H342&amp;"|"&amp;$Q342,Tariff_Master!$A$2:$L$169,4,FALSE),"")</f>
        <v/>
      </c>
      <c r="AE342" s="18">
        <f>IFERROR(VLOOKUP($H342&amp;"|"&amp;$Q342,Tariff_Master!$A$2:$L$169,6,FALSE),"")</f>
        <v/>
      </c>
      <c r="AF342" s="19">
        <f>IFERROR(VLOOKUP($H342&amp;"|"&amp;$Q342,Tariff_Master!$A$2:$L$169,7,FALSE),"")</f>
        <v/>
      </c>
      <c r="AG342" s="18">
        <f>IFERROR(VLOOKUP($H342&amp;"|"&amp;$Q342,Tariff_Master!$A$2:$L$169,8,FALSE),"")</f>
        <v/>
      </c>
      <c r="AH342" s="20">
        <f>IFERROR(VLOOKUP($H342&amp;"|"&amp;$Q342,Tariff_Master!$A$2:$L$169,9,FALSE),"")</f>
        <v/>
      </c>
      <c r="AI342" s="18">
        <f>IFERROR(VLOOKUP($H342&amp;"|"&amp;$Q342,Tariff_Master!$A$2:$L$169,10,FALSE),"")</f>
        <v/>
      </c>
      <c r="AJ342" s="21">
        <f>IF($M342="","",ROUNDUP(MAX(0,$M342),0))</f>
        <v/>
      </c>
      <c r="AK342" s="21">
        <f>IF(OR($AJ342="",$AF342=""),"",MAX(0,$AJ342-$AF342))</f>
        <v/>
      </c>
      <c r="AL342" s="22">
        <f>IF(OR($AK342="",$AG342=""),"",MAX(0,$AK342*$AG342))</f>
        <v/>
      </c>
      <c r="AM342" s="22">
        <f>IF($AE342="","",MAX(0,SUM($AE342,$AL342,$V342,$W342)))</f>
        <v/>
      </c>
      <c r="AN342" s="22">
        <f>IF($AM342="","",IF(AND($Q342="COMMITMENT",$R342&gt;=$AH342),$AI342,0))</f>
        <v/>
      </c>
      <c r="AO342" s="23">
        <f>IF($AM342="","",MAX(0,$AM342-$AN342))</f>
        <v/>
      </c>
      <c r="AP342" s="22">
        <f>IF($S342="","",IF(OR($S342="ITEM_PRICE_PLUS_DECLARED_DELIVERY",$S342="DELIVERY_CHARGE_ONLY"),$K342,IF($S342="TOTAL_AMOUNT_INCLUDING_DELIVERY",IF(OR($T342="",$J342=""),"",MAX(0,$T342-$J342-$U342)),IF($S342="ITEM_PRICE_ONLY_DELIVERY_PAID_BY_MERCHANT",0,""))))</f>
        <v/>
      </c>
      <c r="AQ342" s="23">
        <f>IF(OR($AP342="",$AO342=""),"",$AP342-$AO342)</f>
        <v/>
      </c>
      <c r="AR342" s="24">
        <f>IF($S342="EXACT_COLLECTION_AMOUNT","BREAKDOWN_REQUIRED",IF($AQ342="","",IF($AQ342&gt;0,"CREDIT_TO_MERCHANT",IF($AQ342&lt;0,"DEDUCT_FROM_MERCHANT","NO_ADJUSTMENT"))))</f>
        <v/>
      </c>
      <c r="AS342" s="23">
        <f>IF(OR($AQ342="",$AR342="BREAKDOWN_REQUIRED"),"",$AQ342)</f>
        <v/>
      </c>
      <c r="AT342" s="23">
        <f>IF(OR($AR342="",$AR342="BREAKDOWN_REQUIRED"),"",SUM($J342,$AQ342,$Y342)-$X342)</f>
        <v/>
      </c>
      <c r="AU342" s="25">
        <f>IF(AND($A342="",$B342="",$F342="",$H342="",$J342="",$K342="",$M342="",$S342=""),"",IF(OR($H342="",$Q342="",$M342="",$S342=""),"ERROR",IF(OR($J342&lt;0,$K342&lt;0,$M342&lt;0,$T342&lt;0,$U342&lt;0,$V342&lt;0,$W342&lt;0,$X342&lt;0,$Y342&lt;0),"ERROR",IF($AE342="","ERROR",IF(AND(OR($S342="ITEM_PRICE_PLUS_DECLARED_DELIVERY",$S342="TOTAL_AMOUNT_INCLUDING_DELIVERY",$S342="ITEM_PRICE_ONLY_DELIVERY_PAID_BY_MERCHANT"),$J342=""),"ERROR",IF(AND(OR($S342="ITEM_PRICE_PLUS_DECLARED_DELIVERY",$S342="DELIVERY_CHARGE_ONLY"),$K342=""),"ERROR",IF(AND(OR($S342="TOTAL_AMOUNT_INCLUDING_DELIVERY",$S342="EXACT_COLLECTION_AMOUNT"),$T342=""),"ERROR",IF(AND($S342="TOTAL_AMOUNT_INCLUDING_DELIVERY",$T342&lt;SUM($J342,$U342)),"ERROR",IF($S342="EXACT_COLLECTION_AMOUNT","REVIEW","OK")))))))))</f>
        <v/>
      </c>
      <c r="AV342" s="25">
        <f>IF($AU342="","",IF($H342="","Township required",IF($Q342="","Customer tier required",IF($M342="","Weight required",IF($S342="","Amount entry type required",IF(OR($J342&lt;0,$K342&lt;0,$M342&lt;0,$T342&lt;0,$U342&lt;0,$V342&lt;0,$W342&lt;0,$X342&lt;0,$Y342&lt;0),"Negative amounts are not allowed",IF($AE342="","Tariff not found for township and tier",IF(AND(OR($S342="ITEM_PRICE_PLUS_DECLARED_DELIVERY",$S342="TOTAL_AMOUNT_INCLUDING_DELIVERY",$S342="ITEM_PRICE_ONLY_DELIVERY_PAID_BY_MERCHANT"),$J342=""),"Item price required for this amount type",IF(AND(OR($S342="ITEM_PRICE_PLUS_DECLARED_DELIVERY",$S342="DELIVERY_CHARGE_ONLY"),$K342=""),"Declared delivery charge required",IF(AND(OR($S342="TOTAL_AMOUNT_INCLUDING_DELIVERY",$S342="EXACT_COLLECTION_AMOUNT"),$T342=""),"Stated total amount required",IF(AND($S342="TOTAL_AMOUNT_INCLUDING_DELIVERY",$T342&lt;SUM($J342,$U342)),"Stated total is below item price plus additional charge",IF($S342="EXACT_COLLECTION_AMOUNT","Authorized amount breakdown required before settlement","Ready for collection and settlement"))))))))))))</f>
        <v/>
      </c>
      <c r="AW342" s="23">
        <f>IF($AU342="","","PARCEL_FINANCIAL_V2")</f>
        <v/>
      </c>
      <c r="AX342" s="17" t="n"/>
    </row>
    <row r="343">
      <c r="A343" s="8" t="n"/>
      <c r="B343" s="8" t="n"/>
      <c r="C343" s="8" t="n"/>
      <c r="D343" s="8" t="n"/>
      <c r="E343" s="9" t="n"/>
      <c r="F343" s="9" t="n"/>
      <c r="G343" s="8" t="n"/>
      <c r="H343" s="9" t="n"/>
      <c r="I343" s="9" t="n"/>
      <c r="J343" s="10" t="n"/>
      <c r="K343" s="10" t="n"/>
      <c r="L343" s="11">
        <f>IF($S343="","",IF($S343="ITEM_PRICE_PLUS_DECLARED_DELIVERY",IF(OR($J343="",$K343=""),"",SUM($J343,$K343,$U343)),IF($S343="TOTAL_AMOUNT_INCLUDING_DELIVERY",IF($T343="","",$T343),IF($S343="DELIVERY_CHARGE_ONLY",IF($K343="","",SUM($K343,$U343)),IF($S343="EXACT_COLLECTION_AMOUNT",IF($T343="","",$T343),IF($S343="ITEM_PRICE_ONLY_DELIVERY_PAID_BY_MERCHANT",IF($J343="","",SUM($J343,$U343)),""))))))</f>
        <v/>
      </c>
      <c r="M343" s="12" t="n"/>
      <c r="N343" s="13" t="n"/>
      <c r="O343" s="13" t="n"/>
      <c r="P343" s="9" t="n"/>
      <c r="Q343" s="14" t="n"/>
      <c r="R343" s="15" t="n"/>
      <c r="S343" s="14" t="n"/>
      <c r="T343" s="16" t="n"/>
      <c r="U343" s="16" t="n"/>
      <c r="V343" s="16" t="n"/>
      <c r="W343" s="16" t="n"/>
      <c r="X343" s="16" t="n"/>
      <c r="Y343" s="16" t="n"/>
      <c r="Z343" s="14" t="n"/>
      <c r="AA343" s="14" t="n"/>
      <c r="AB343" s="14" t="n"/>
      <c r="AC343" s="17">
        <f>IFERROR(VLOOKUP($H343&amp;"|"&amp;$Q343,Tariff_Master!$A$2:$L$169,3,FALSE),"")</f>
        <v/>
      </c>
      <c r="AD343" s="17">
        <f>IFERROR(VLOOKUP($H343&amp;"|"&amp;$Q343,Tariff_Master!$A$2:$L$169,4,FALSE),"")</f>
        <v/>
      </c>
      <c r="AE343" s="18">
        <f>IFERROR(VLOOKUP($H343&amp;"|"&amp;$Q343,Tariff_Master!$A$2:$L$169,6,FALSE),"")</f>
        <v/>
      </c>
      <c r="AF343" s="19">
        <f>IFERROR(VLOOKUP($H343&amp;"|"&amp;$Q343,Tariff_Master!$A$2:$L$169,7,FALSE),"")</f>
        <v/>
      </c>
      <c r="AG343" s="18">
        <f>IFERROR(VLOOKUP($H343&amp;"|"&amp;$Q343,Tariff_Master!$A$2:$L$169,8,FALSE),"")</f>
        <v/>
      </c>
      <c r="AH343" s="20">
        <f>IFERROR(VLOOKUP($H343&amp;"|"&amp;$Q343,Tariff_Master!$A$2:$L$169,9,FALSE),"")</f>
        <v/>
      </c>
      <c r="AI343" s="18">
        <f>IFERROR(VLOOKUP($H343&amp;"|"&amp;$Q343,Tariff_Master!$A$2:$L$169,10,FALSE),"")</f>
        <v/>
      </c>
      <c r="AJ343" s="21">
        <f>IF($M343="","",ROUNDUP(MAX(0,$M343),0))</f>
        <v/>
      </c>
      <c r="AK343" s="21">
        <f>IF(OR($AJ343="",$AF343=""),"",MAX(0,$AJ343-$AF343))</f>
        <v/>
      </c>
      <c r="AL343" s="22">
        <f>IF(OR($AK343="",$AG343=""),"",MAX(0,$AK343*$AG343))</f>
        <v/>
      </c>
      <c r="AM343" s="22">
        <f>IF($AE343="","",MAX(0,SUM($AE343,$AL343,$V343,$W343)))</f>
        <v/>
      </c>
      <c r="AN343" s="22">
        <f>IF($AM343="","",IF(AND($Q343="COMMITMENT",$R343&gt;=$AH343),$AI343,0))</f>
        <v/>
      </c>
      <c r="AO343" s="23">
        <f>IF($AM343="","",MAX(0,$AM343-$AN343))</f>
        <v/>
      </c>
      <c r="AP343" s="22">
        <f>IF($S343="","",IF(OR($S343="ITEM_PRICE_PLUS_DECLARED_DELIVERY",$S343="DELIVERY_CHARGE_ONLY"),$K343,IF($S343="TOTAL_AMOUNT_INCLUDING_DELIVERY",IF(OR($T343="",$J343=""),"",MAX(0,$T343-$J343-$U343)),IF($S343="ITEM_PRICE_ONLY_DELIVERY_PAID_BY_MERCHANT",0,""))))</f>
        <v/>
      </c>
      <c r="AQ343" s="23">
        <f>IF(OR($AP343="",$AO343=""),"",$AP343-$AO343)</f>
        <v/>
      </c>
      <c r="AR343" s="24">
        <f>IF($S343="EXACT_COLLECTION_AMOUNT","BREAKDOWN_REQUIRED",IF($AQ343="","",IF($AQ343&gt;0,"CREDIT_TO_MERCHANT",IF($AQ343&lt;0,"DEDUCT_FROM_MERCHANT","NO_ADJUSTMENT"))))</f>
        <v/>
      </c>
      <c r="AS343" s="23">
        <f>IF(OR($AQ343="",$AR343="BREAKDOWN_REQUIRED"),"",$AQ343)</f>
        <v/>
      </c>
      <c r="AT343" s="23">
        <f>IF(OR($AR343="",$AR343="BREAKDOWN_REQUIRED"),"",SUM($J343,$AQ343,$Y343)-$X343)</f>
        <v/>
      </c>
      <c r="AU343" s="25">
        <f>IF(AND($A343="",$B343="",$F343="",$H343="",$J343="",$K343="",$M343="",$S343=""),"",IF(OR($H343="",$Q343="",$M343="",$S343=""),"ERROR",IF(OR($J343&lt;0,$K343&lt;0,$M343&lt;0,$T343&lt;0,$U343&lt;0,$V343&lt;0,$W343&lt;0,$X343&lt;0,$Y343&lt;0),"ERROR",IF($AE343="","ERROR",IF(AND(OR($S343="ITEM_PRICE_PLUS_DECLARED_DELIVERY",$S343="TOTAL_AMOUNT_INCLUDING_DELIVERY",$S343="ITEM_PRICE_ONLY_DELIVERY_PAID_BY_MERCHANT"),$J343=""),"ERROR",IF(AND(OR($S343="ITEM_PRICE_PLUS_DECLARED_DELIVERY",$S343="DELIVERY_CHARGE_ONLY"),$K343=""),"ERROR",IF(AND(OR($S343="TOTAL_AMOUNT_INCLUDING_DELIVERY",$S343="EXACT_COLLECTION_AMOUNT"),$T343=""),"ERROR",IF(AND($S343="TOTAL_AMOUNT_INCLUDING_DELIVERY",$T343&lt;SUM($J343,$U343)),"ERROR",IF($S343="EXACT_COLLECTION_AMOUNT","REVIEW","OK")))))))))</f>
        <v/>
      </c>
      <c r="AV343" s="25">
        <f>IF($AU343="","",IF($H343="","Township required",IF($Q343="","Customer tier required",IF($M343="","Weight required",IF($S343="","Amount entry type required",IF(OR($J343&lt;0,$K343&lt;0,$M343&lt;0,$T343&lt;0,$U343&lt;0,$V343&lt;0,$W343&lt;0,$X343&lt;0,$Y343&lt;0),"Negative amounts are not allowed",IF($AE343="","Tariff not found for township and tier",IF(AND(OR($S343="ITEM_PRICE_PLUS_DECLARED_DELIVERY",$S343="TOTAL_AMOUNT_INCLUDING_DELIVERY",$S343="ITEM_PRICE_ONLY_DELIVERY_PAID_BY_MERCHANT"),$J343=""),"Item price required for this amount type",IF(AND(OR($S343="ITEM_PRICE_PLUS_DECLARED_DELIVERY",$S343="DELIVERY_CHARGE_ONLY"),$K343=""),"Declared delivery charge required",IF(AND(OR($S343="TOTAL_AMOUNT_INCLUDING_DELIVERY",$S343="EXACT_COLLECTION_AMOUNT"),$T343=""),"Stated total amount required",IF(AND($S343="TOTAL_AMOUNT_INCLUDING_DELIVERY",$T343&lt;SUM($J343,$U343)),"Stated total is below item price plus additional charge",IF($S343="EXACT_COLLECTION_AMOUNT","Authorized amount breakdown required before settlement","Ready for collection and settlement"))))))))))))</f>
        <v/>
      </c>
      <c r="AW343" s="23">
        <f>IF($AU343="","","PARCEL_FINANCIAL_V2")</f>
        <v/>
      </c>
      <c r="AX343" s="17" t="n"/>
    </row>
    <row r="344">
      <c r="A344" s="8" t="n"/>
      <c r="B344" s="8" t="n"/>
      <c r="C344" s="8" t="n"/>
      <c r="D344" s="8" t="n"/>
      <c r="E344" s="9" t="n"/>
      <c r="F344" s="9" t="n"/>
      <c r="G344" s="8" t="n"/>
      <c r="H344" s="9" t="n"/>
      <c r="I344" s="9" t="n"/>
      <c r="J344" s="10" t="n"/>
      <c r="K344" s="10" t="n"/>
      <c r="L344" s="11">
        <f>IF($S344="","",IF($S344="ITEM_PRICE_PLUS_DECLARED_DELIVERY",IF(OR($J344="",$K344=""),"",SUM($J344,$K344,$U344)),IF($S344="TOTAL_AMOUNT_INCLUDING_DELIVERY",IF($T344="","",$T344),IF($S344="DELIVERY_CHARGE_ONLY",IF($K344="","",SUM($K344,$U344)),IF($S344="EXACT_COLLECTION_AMOUNT",IF($T344="","",$T344),IF($S344="ITEM_PRICE_ONLY_DELIVERY_PAID_BY_MERCHANT",IF($J344="","",SUM($J344,$U344)),""))))))</f>
        <v/>
      </c>
      <c r="M344" s="12" t="n"/>
      <c r="N344" s="13" t="n"/>
      <c r="O344" s="13" t="n"/>
      <c r="P344" s="9" t="n"/>
      <c r="Q344" s="14" t="n"/>
      <c r="R344" s="15" t="n"/>
      <c r="S344" s="14" t="n"/>
      <c r="T344" s="16" t="n"/>
      <c r="U344" s="16" t="n"/>
      <c r="V344" s="16" t="n"/>
      <c r="W344" s="16" t="n"/>
      <c r="X344" s="16" t="n"/>
      <c r="Y344" s="16" t="n"/>
      <c r="Z344" s="14" t="n"/>
      <c r="AA344" s="14" t="n"/>
      <c r="AB344" s="14" t="n"/>
      <c r="AC344" s="17">
        <f>IFERROR(VLOOKUP($H344&amp;"|"&amp;$Q344,Tariff_Master!$A$2:$L$169,3,FALSE),"")</f>
        <v/>
      </c>
      <c r="AD344" s="17">
        <f>IFERROR(VLOOKUP($H344&amp;"|"&amp;$Q344,Tariff_Master!$A$2:$L$169,4,FALSE),"")</f>
        <v/>
      </c>
      <c r="AE344" s="18">
        <f>IFERROR(VLOOKUP($H344&amp;"|"&amp;$Q344,Tariff_Master!$A$2:$L$169,6,FALSE),"")</f>
        <v/>
      </c>
      <c r="AF344" s="19">
        <f>IFERROR(VLOOKUP($H344&amp;"|"&amp;$Q344,Tariff_Master!$A$2:$L$169,7,FALSE),"")</f>
        <v/>
      </c>
      <c r="AG344" s="18">
        <f>IFERROR(VLOOKUP($H344&amp;"|"&amp;$Q344,Tariff_Master!$A$2:$L$169,8,FALSE),"")</f>
        <v/>
      </c>
      <c r="AH344" s="20">
        <f>IFERROR(VLOOKUP($H344&amp;"|"&amp;$Q344,Tariff_Master!$A$2:$L$169,9,FALSE),"")</f>
        <v/>
      </c>
      <c r="AI344" s="18">
        <f>IFERROR(VLOOKUP($H344&amp;"|"&amp;$Q344,Tariff_Master!$A$2:$L$169,10,FALSE),"")</f>
        <v/>
      </c>
      <c r="AJ344" s="21">
        <f>IF($M344="","",ROUNDUP(MAX(0,$M344),0))</f>
        <v/>
      </c>
      <c r="AK344" s="21">
        <f>IF(OR($AJ344="",$AF344=""),"",MAX(0,$AJ344-$AF344))</f>
        <v/>
      </c>
      <c r="AL344" s="22">
        <f>IF(OR($AK344="",$AG344=""),"",MAX(0,$AK344*$AG344))</f>
        <v/>
      </c>
      <c r="AM344" s="22">
        <f>IF($AE344="","",MAX(0,SUM($AE344,$AL344,$V344,$W344)))</f>
        <v/>
      </c>
      <c r="AN344" s="22">
        <f>IF($AM344="","",IF(AND($Q344="COMMITMENT",$R344&gt;=$AH344),$AI344,0))</f>
        <v/>
      </c>
      <c r="AO344" s="23">
        <f>IF($AM344="","",MAX(0,$AM344-$AN344))</f>
        <v/>
      </c>
      <c r="AP344" s="22">
        <f>IF($S344="","",IF(OR($S344="ITEM_PRICE_PLUS_DECLARED_DELIVERY",$S344="DELIVERY_CHARGE_ONLY"),$K344,IF($S344="TOTAL_AMOUNT_INCLUDING_DELIVERY",IF(OR($T344="",$J344=""),"",MAX(0,$T344-$J344-$U344)),IF($S344="ITEM_PRICE_ONLY_DELIVERY_PAID_BY_MERCHANT",0,""))))</f>
        <v/>
      </c>
      <c r="AQ344" s="23">
        <f>IF(OR($AP344="",$AO344=""),"",$AP344-$AO344)</f>
        <v/>
      </c>
      <c r="AR344" s="24">
        <f>IF($S344="EXACT_COLLECTION_AMOUNT","BREAKDOWN_REQUIRED",IF($AQ344="","",IF($AQ344&gt;0,"CREDIT_TO_MERCHANT",IF($AQ344&lt;0,"DEDUCT_FROM_MERCHANT","NO_ADJUSTMENT"))))</f>
        <v/>
      </c>
      <c r="AS344" s="23">
        <f>IF(OR($AQ344="",$AR344="BREAKDOWN_REQUIRED"),"",$AQ344)</f>
        <v/>
      </c>
      <c r="AT344" s="23">
        <f>IF(OR($AR344="",$AR344="BREAKDOWN_REQUIRED"),"",SUM($J344,$AQ344,$Y344)-$X344)</f>
        <v/>
      </c>
      <c r="AU344" s="25">
        <f>IF(AND($A344="",$B344="",$F344="",$H344="",$J344="",$K344="",$M344="",$S344=""),"",IF(OR($H344="",$Q344="",$M344="",$S344=""),"ERROR",IF(OR($J344&lt;0,$K344&lt;0,$M344&lt;0,$T344&lt;0,$U344&lt;0,$V344&lt;0,$W344&lt;0,$X344&lt;0,$Y344&lt;0),"ERROR",IF($AE344="","ERROR",IF(AND(OR($S344="ITEM_PRICE_PLUS_DECLARED_DELIVERY",$S344="TOTAL_AMOUNT_INCLUDING_DELIVERY",$S344="ITEM_PRICE_ONLY_DELIVERY_PAID_BY_MERCHANT"),$J344=""),"ERROR",IF(AND(OR($S344="ITEM_PRICE_PLUS_DECLARED_DELIVERY",$S344="DELIVERY_CHARGE_ONLY"),$K344=""),"ERROR",IF(AND(OR($S344="TOTAL_AMOUNT_INCLUDING_DELIVERY",$S344="EXACT_COLLECTION_AMOUNT"),$T344=""),"ERROR",IF(AND($S344="TOTAL_AMOUNT_INCLUDING_DELIVERY",$T344&lt;SUM($J344,$U344)),"ERROR",IF($S344="EXACT_COLLECTION_AMOUNT","REVIEW","OK")))))))))</f>
        <v/>
      </c>
      <c r="AV344" s="25">
        <f>IF($AU344="","",IF($H344="","Township required",IF($Q344="","Customer tier required",IF($M344="","Weight required",IF($S344="","Amount entry type required",IF(OR($J344&lt;0,$K344&lt;0,$M344&lt;0,$T344&lt;0,$U344&lt;0,$V344&lt;0,$W344&lt;0,$X344&lt;0,$Y344&lt;0),"Negative amounts are not allowed",IF($AE344="","Tariff not found for township and tier",IF(AND(OR($S344="ITEM_PRICE_PLUS_DECLARED_DELIVERY",$S344="TOTAL_AMOUNT_INCLUDING_DELIVERY",$S344="ITEM_PRICE_ONLY_DELIVERY_PAID_BY_MERCHANT"),$J344=""),"Item price required for this amount type",IF(AND(OR($S344="ITEM_PRICE_PLUS_DECLARED_DELIVERY",$S344="DELIVERY_CHARGE_ONLY"),$K344=""),"Declared delivery charge required",IF(AND(OR($S344="TOTAL_AMOUNT_INCLUDING_DELIVERY",$S344="EXACT_COLLECTION_AMOUNT"),$T344=""),"Stated total amount required",IF(AND($S344="TOTAL_AMOUNT_INCLUDING_DELIVERY",$T344&lt;SUM($J344,$U344)),"Stated total is below item price plus additional charge",IF($S344="EXACT_COLLECTION_AMOUNT","Authorized amount breakdown required before settlement","Ready for collection and settlement"))))))))))))</f>
        <v/>
      </c>
      <c r="AW344" s="23">
        <f>IF($AU344="","","PARCEL_FINANCIAL_V2")</f>
        <v/>
      </c>
      <c r="AX344" s="17" t="n"/>
    </row>
    <row r="345">
      <c r="A345" s="8" t="n"/>
      <c r="B345" s="8" t="n"/>
      <c r="C345" s="8" t="n"/>
      <c r="D345" s="8" t="n"/>
      <c r="E345" s="9" t="n"/>
      <c r="F345" s="9" t="n"/>
      <c r="G345" s="8" t="n"/>
      <c r="H345" s="9" t="n"/>
      <c r="I345" s="9" t="n"/>
      <c r="J345" s="10" t="n"/>
      <c r="K345" s="10" t="n"/>
      <c r="L345" s="11">
        <f>IF($S345="","",IF($S345="ITEM_PRICE_PLUS_DECLARED_DELIVERY",IF(OR($J345="",$K345=""),"",SUM($J345,$K345,$U345)),IF($S345="TOTAL_AMOUNT_INCLUDING_DELIVERY",IF($T345="","",$T345),IF($S345="DELIVERY_CHARGE_ONLY",IF($K345="","",SUM($K345,$U345)),IF($S345="EXACT_COLLECTION_AMOUNT",IF($T345="","",$T345),IF($S345="ITEM_PRICE_ONLY_DELIVERY_PAID_BY_MERCHANT",IF($J345="","",SUM($J345,$U345)),""))))))</f>
        <v/>
      </c>
      <c r="M345" s="12" t="n"/>
      <c r="N345" s="13" t="n"/>
      <c r="O345" s="13" t="n"/>
      <c r="P345" s="9" t="n"/>
      <c r="Q345" s="14" t="n"/>
      <c r="R345" s="15" t="n"/>
      <c r="S345" s="14" t="n"/>
      <c r="T345" s="16" t="n"/>
      <c r="U345" s="16" t="n"/>
      <c r="V345" s="16" t="n"/>
      <c r="W345" s="16" t="n"/>
      <c r="X345" s="16" t="n"/>
      <c r="Y345" s="16" t="n"/>
      <c r="Z345" s="14" t="n"/>
      <c r="AA345" s="14" t="n"/>
      <c r="AB345" s="14" t="n"/>
      <c r="AC345" s="17">
        <f>IFERROR(VLOOKUP($H345&amp;"|"&amp;$Q345,Tariff_Master!$A$2:$L$169,3,FALSE),"")</f>
        <v/>
      </c>
      <c r="AD345" s="17">
        <f>IFERROR(VLOOKUP($H345&amp;"|"&amp;$Q345,Tariff_Master!$A$2:$L$169,4,FALSE),"")</f>
        <v/>
      </c>
      <c r="AE345" s="18">
        <f>IFERROR(VLOOKUP($H345&amp;"|"&amp;$Q345,Tariff_Master!$A$2:$L$169,6,FALSE),"")</f>
        <v/>
      </c>
      <c r="AF345" s="19">
        <f>IFERROR(VLOOKUP($H345&amp;"|"&amp;$Q345,Tariff_Master!$A$2:$L$169,7,FALSE),"")</f>
        <v/>
      </c>
      <c r="AG345" s="18">
        <f>IFERROR(VLOOKUP($H345&amp;"|"&amp;$Q345,Tariff_Master!$A$2:$L$169,8,FALSE),"")</f>
        <v/>
      </c>
      <c r="AH345" s="20">
        <f>IFERROR(VLOOKUP($H345&amp;"|"&amp;$Q345,Tariff_Master!$A$2:$L$169,9,FALSE),"")</f>
        <v/>
      </c>
      <c r="AI345" s="18">
        <f>IFERROR(VLOOKUP($H345&amp;"|"&amp;$Q345,Tariff_Master!$A$2:$L$169,10,FALSE),"")</f>
        <v/>
      </c>
      <c r="AJ345" s="21">
        <f>IF($M345="","",ROUNDUP(MAX(0,$M345),0))</f>
        <v/>
      </c>
      <c r="AK345" s="21">
        <f>IF(OR($AJ345="",$AF345=""),"",MAX(0,$AJ345-$AF345))</f>
        <v/>
      </c>
      <c r="AL345" s="22">
        <f>IF(OR($AK345="",$AG345=""),"",MAX(0,$AK345*$AG345))</f>
        <v/>
      </c>
      <c r="AM345" s="22">
        <f>IF($AE345="","",MAX(0,SUM($AE345,$AL345,$V345,$W345)))</f>
        <v/>
      </c>
      <c r="AN345" s="22">
        <f>IF($AM345="","",IF(AND($Q345="COMMITMENT",$R345&gt;=$AH345),$AI345,0))</f>
        <v/>
      </c>
      <c r="AO345" s="23">
        <f>IF($AM345="","",MAX(0,$AM345-$AN345))</f>
        <v/>
      </c>
      <c r="AP345" s="22">
        <f>IF($S345="","",IF(OR($S345="ITEM_PRICE_PLUS_DECLARED_DELIVERY",$S345="DELIVERY_CHARGE_ONLY"),$K345,IF($S345="TOTAL_AMOUNT_INCLUDING_DELIVERY",IF(OR($T345="",$J345=""),"",MAX(0,$T345-$J345-$U345)),IF($S345="ITEM_PRICE_ONLY_DELIVERY_PAID_BY_MERCHANT",0,""))))</f>
        <v/>
      </c>
      <c r="AQ345" s="23">
        <f>IF(OR($AP345="",$AO345=""),"",$AP345-$AO345)</f>
        <v/>
      </c>
      <c r="AR345" s="24">
        <f>IF($S345="EXACT_COLLECTION_AMOUNT","BREAKDOWN_REQUIRED",IF($AQ345="","",IF($AQ345&gt;0,"CREDIT_TO_MERCHANT",IF($AQ345&lt;0,"DEDUCT_FROM_MERCHANT","NO_ADJUSTMENT"))))</f>
        <v/>
      </c>
      <c r="AS345" s="23">
        <f>IF(OR($AQ345="",$AR345="BREAKDOWN_REQUIRED"),"",$AQ345)</f>
        <v/>
      </c>
      <c r="AT345" s="23">
        <f>IF(OR($AR345="",$AR345="BREAKDOWN_REQUIRED"),"",SUM($J345,$AQ345,$Y345)-$X345)</f>
        <v/>
      </c>
      <c r="AU345" s="25">
        <f>IF(AND($A345="",$B345="",$F345="",$H345="",$J345="",$K345="",$M345="",$S345=""),"",IF(OR($H345="",$Q345="",$M345="",$S345=""),"ERROR",IF(OR($J345&lt;0,$K345&lt;0,$M345&lt;0,$T345&lt;0,$U345&lt;0,$V345&lt;0,$W345&lt;0,$X345&lt;0,$Y345&lt;0),"ERROR",IF($AE345="","ERROR",IF(AND(OR($S345="ITEM_PRICE_PLUS_DECLARED_DELIVERY",$S345="TOTAL_AMOUNT_INCLUDING_DELIVERY",$S345="ITEM_PRICE_ONLY_DELIVERY_PAID_BY_MERCHANT"),$J345=""),"ERROR",IF(AND(OR($S345="ITEM_PRICE_PLUS_DECLARED_DELIVERY",$S345="DELIVERY_CHARGE_ONLY"),$K345=""),"ERROR",IF(AND(OR($S345="TOTAL_AMOUNT_INCLUDING_DELIVERY",$S345="EXACT_COLLECTION_AMOUNT"),$T345=""),"ERROR",IF(AND($S345="TOTAL_AMOUNT_INCLUDING_DELIVERY",$T345&lt;SUM($J345,$U345)),"ERROR",IF($S345="EXACT_COLLECTION_AMOUNT","REVIEW","OK")))))))))</f>
        <v/>
      </c>
      <c r="AV345" s="25">
        <f>IF($AU345="","",IF($H345="","Township required",IF($Q345="","Customer tier required",IF($M345="","Weight required",IF($S345="","Amount entry type required",IF(OR($J345&lt;0,$K345&lt;0,$M345&lt;0,$T345&lt;0,$U345&lt;0,$V345&lt;0,$W345&lt;0,$X345&lt;0,$Y345&lt;0),"Negative amounts are not allowed",IF($AE345="","Tariff not found for township and tier",IF(AND(OR($S345="ITEM_PRICE_PLUS_DECLARED_DELIVERY",$S345="TOTAL_AMOUNT_INCLUDING_DELIVERY",$S345="ITEM_PRICE_ONLY_DELIVERY_PAID_BY_MERCHANT"),$J345=""),"Item price required for this amount type",IF(AND(OR($S345="ITEM_PRICE_PLUS_DECLARED_DELIVERY",$S345="DELIVERY_CHARGE_ONLY"),$K345=""),"Declared delivery charge required",IF(AND(OR($S345="TOTAL_AMOUNT_INCLUDING_DELIVERY",$S345="EXACT_COLLECTION_AMOUNT"),$T345=""),"Stated total amount required",IF(AND($S345="TOTAL_AMOUNT_INCLUDING_DELIVERY",$T345&lt;SUM($J345,$U345)),"Stated total is below item price plus additional charge",IF($S345="EXACT_COLLECTION_AMOUNT","Authorized amount breakdown required before settlement","Ready for collection and settlement"))))))))))))</f>
        <v/>
      </c>
      <c r="AW345" s="23">
        <f>IF($AU345="","","PARCEL_FINANCIAL_V2")</f>
        <v/>
      </c>
      <c r="AX345" s="17" t="n"/>
    </row>
    <row r="346">
      <c r="A346" s="8" t="n"/>
      <c r="B346" s="8" t="n"/>
      <c r="C346" s="8" t="n"/>
      <c r="D346" s="8" t="n"/>
      <c r="E346" s="9" t="n"/>
      <c r="F346" s="9" t="n"/>
      <c r="G346" s="8" t="n"/>
      <c r="H346" s="9" t="n"/>
      <c r="I346" s="9" t="n"/>
      <c r="J346" s="10" t="n"/>
      <c r="K346" s="10" t="n"/>
      <c r="L346" s="11">
        <f>IF($S346="","",IF($S346="ITEM_PRICE_PLUS_DECLARED_DELIVERY",IF(OR($J346="",$K346=""),"",SUM($J346,$K346,$U346)),IF($S346="TOTAL_AMOUNT_INCLUDING_DELIVERY",IF($T346="","",$T346),IF($S346="DELIVERY_CHARGE_ONLY",IF($K346="","",SUM($K346,$U346)),IF($S346="EXACT_COLLECTION_AMOUNT",IF($T346="","",$T346),IF($S346="ITEM_PRICE_ONLY_DELIVERY_PAID_BY_MERCHANT",IF($J346="","",SUM($J346,$U346)),""))))))</f>
        <v/>
      </c>
      <c r="M346" s="12" t="n"/>
      <c r="N346" s="13" t="n"/>
      <c r="O346" s="13" t="n"/>
      <c r="P346" s="9" t="n"/>
      <c r="Q346" s="14" t="n"/>
      <c r="R346" s="15" t="n"/>
      <c r="S346" s="14" t="n"/>
      <c r="T346" s="16" t="n"/>
      <c r="U346" s="16" t="n"/>
      <c r="V346" s="16" t="n"/>
      <c r="W346" s="16" t="n"/>
      <c r="X346" s="16" t="n"/>
      <c r="Y346" s="16" t="n"/>
      <c r="Z346" s="14" t="n"/>
      <c r="AA346" s="14" t="n"/>
      <c r="AB346" s="14" t="n"/>
      <c r="AC346" s="17">
        <f>IFERROR(VLOOKUP($H346&amp;"|"&amp;$Q346,Tariff_Master!$A$2:$L$169,3,FALSE),"")</f>
        <v/>
      </c>
      <c r="AD346" s="17">
        <f>IFERROR(VLOOKUP($H346&amp;"|"&amp;$Q346,Tariff_Master!$A$2:$L$169,4,FALSE),"")</f>
        <v/>
      </c>
      <c r="AE346" s="18">
        <f>IFERROR(VLOOKUP($H346&amp;"|"&amp;$Q346,Tariff_Master!$A$2:$L$169,6,FALSE),"")</f>
        <v/>
      </c>
      <c r="AF346" s="19">
        <f>IFERROR(VLOOKUP($H346&amp;"|"&amp;$Q346,Tariff_Master!$A$2:$L$169,7,FALSE),"")</f>
        <v/>
      </c>
      <c r="AG346" s="18">
        <f>IFERROR(VLOOKUP($H346&amp;"|"&amp;$Q346,Tariff_Master!$A$2:$L$169,8,FALSE),"")</f>
        <v/>
      </c>
      <c r="AH346" s="20">
        <f>IFERROR(VLOOKUP($H346&amp;"|"&amp;$Q346,Tariff_Master!$A$2:$L$169,9,FALSE),"")</f>
        <v/>
      </c>
      <c r="AI346" s="18">
        <f>IFERROR(VLOOKUP($H346&amp;"|"&amp;$Q346,Tariff_Master!$A$2:$L$169,10,FALSE),"")</f>
        <v/>
      </c>
      <c r="AJ346" s="21">
        <f>IF($M346="","",ROUNDUP(MAX(0,$M346),0))</f>
        <v/>
      </c>
      <c r="AK346" s="21">
        <f>IF(OR($AJ346="",$AF346=""),"",MAX(0,$AJ346-$AF346))</f>
        <v/>
      </c>
      <c r="AL346" s="22">
        <f>IF(OR($AK346="",$AG346=""),"",MAX(0,$AK346*$AG346))</f>
        <v/>
      </c>
      <c r="AM346" s="22">
        <f>IF($AE346="","",MAX(0,SUM($AE346,$AL346,$V346,$W346)))</f>
        <v/>
      </c>
      <c r="AN346" s="22">
        <f>IF($AM346="","",IF(AND($Q346="COMMITMENT",$R346&gt;=$AH346),$AI346,0))</f>
        <v/>
      </c>
      <c r="AO346" s="23">
        <f>IF($AM346="","",MAX(0,$AM346-$AN346))</f>
        <v/>
      </c>
      <c r="AP346" s="22">
        <f>IF($S346="","",IF(OR($S346="ITEM_PRICE_PLUS_DECLARED_DELIVERY",$S346="DELIVERY_CHARGE_ONLY"),$K346,IF($S346="TOTAL_AMOUNT_INCLUDING_DELIVERY",IF(OR($T346="",$J346=""),"",MAX(0,$T346-$J346-$U346)),IF($S346="ITEM_PRICE_ONLY_DELIVERY_PAID_BY_MERCHANT",0,""))))</f>
        <v/>
      </c>
      <c r="AQ346" s="23">
        <f>IF(OR($AP346="",$AO346=""),"",$AP346-$AO346)</f>
        <v/>
      </c>
      <c r="AR346" s="24">
        <f>IF($S346="EXACT_COLLECTION_AMOUNT","BREAKDOWN_REQUIRED",IF($AQ346="","",IF($AQ346&gt;0,"CREDIT_TO_MERCHANT",IF($AQ346&lt;0,"DEDUCT_FROM_MERCHANT","NO_ADJUSTMENT"))))</f>
        <v/>
      </c>
      <c r="AS346" s="23">
        <f>IF(OR($AQ346="",$AR346="BREAKDOWN_REQUIRED"),"",$AQ346)</f>
        <v/>
      </c>
      <c r="AT346" s="23">
        <f>IF(OR($AR346="",$AR346="BREAKDOWN_REQUIRED"),"",SUM($J346,$AQ346,$Y346)-$X346)</f>
        <v/>
      </c>
      <c r="AU346" s="25">
        <f>IF(AND($A346="",$B346="",$F346="",$H346="",$J346="",$K346="",$M346="",$S346=""),"",IF(OR($H346="",$Q346="",$M346="",$S346=""),"ERROR",IF(OR($J346&lt;0,$K346&lt;0,$M346&lt;0,$T346&lt;0,$U346&lt;0,$V346&lt;0,$W346&lt;0,$X346&lt;0,$Y346&lt;0),"ERROR",IF($AE346="","ERROR",IF(AND(OR($S346="ITEM_PRICE_PLUS_DECLARED_DELIVERY",$S346="TOTAL_AMOUNT_INCLUDING_DELIVERY",$S346="ITEM_PRICE_ONLY_DELIVERY_PAID_BY_MERCHANT"),$J346=""),"ERROR",IF(AND(OR($S346="ITEM_PRICE_PLUS_DECLARED_DELIVERY",$S346="DELIVERY_CHARGE_ONLY"),$K346=""),"ERROR",IF(AND(OR($S346="TOTAL_AMOUNT_INCLUDING_DELIVERY",$S346="EXACT_COLLECTION_AMOUNT"),$T346=""),"ERROR",IF(AND($S346="TOTAL_AMOUNT_INCLUDING_DELIVERY",$T346&lt;SUM($J346,$U346)),"ERROR",IF($S346="EXACT_COLLECTION_AMOUNT","REVIEW","OK")))))))))</f>
        <v/>
      </c>
      <c r="AV346" s="25">
        <f>IF($AU346="","",IF($H346="","Township required",IF($Q346="","Customer tier required",IF($M346="","Weight required",IF($S346="","Amount entry type required",IF(OR($J346&lt;0,$K346&lt;0,$M346&lt;0,$T346&lt;0,$U346&lt;0,$V346&lt;0,$W346&lt;0,$X346&lt;0,$Y346&lt;0),"Negative amounts are not allowed",IF($AE346="","Tariff not found for township and tier",IF(AND(OR($S346="ITEM_PRICE_PLUS_DECLARED_DELIVERY",$S346="TOTAL_AMOUNT_INCLUDING_DELIVERY",$S346="ITEM_PRICE_ONLY_DELIVERY_PAID_BY_MERCHANT"),$J346=""),"Item price required for this amount type",IF(AND(OR($S346="ITEM_PRICE_PLUS_DECLARED_DELIVERY",$S346="DELIVERY_CHARGE_ONLY"),$K346=""),"Declared delivery charge required",IF(AND(OR($S346="TOTAL_AMOUNT_INCLUDING_DELIVERY",$S346="EXACT_COLLECTION_AMOUNT"),$T346=""),"Stated total amount required",IF(AND($S346="TOTAL_AMOUNT_INCLUDING_DELIVERY",$T346&lt;SUM($J346,$U346)),"Stated total is below item price plus additional charge",IF($S346="EXACT_COLLECTION_AMOUNT","Authorized amount breakdown required before settlement","Ready for collection and settlement"))))))))))))</f>
        <v/>
      </c>
      <c r="AW346" s="23">
        <f>IF($AU346="","","PARCEL_FINANCIAL_V2")</f>
        <v/>
      </c>
      <c r="AX346" s="17" t="n"/>
    </row>
    <row r="347">
      <c r="A347" s="8" t="n"/>
      <c r="B347" s="8" t="n"/>
      <c r="C347" s="8" t="n"/>
      <c r="D347" s="8" t="n"/>
      <c r="E347" s="9" t="n"/>
      <c r="F347" s="9" t="n"/>
      <c r="G347" s="8" t="n"/>
      <c r="H347" s="9" t="n"/>
      <c r="I347" s="9" t="n"/>
      <c r="J347" s="10" t="n"/>
      <c r="K347" s="10" t="n"/>
      <c r="L347" s="11">
        <f>IF($S347="","",IF($S347="ITEM_PRICE_PLUS_DECLARED_DELIVERY",IF(OR($J347="",$K347=""),"",SUM($J347,$K347,$U347)),IF($S347="TOTAL_AMOUNT_INCLUDING_DELIVERY",IF($T347="","",$T347),IF($S347="DELIVERY_CHARGE_ONLY",IF($K347="","",SUM($K347,$U347)),IF($S347="EXACT_COLLECTION_AMOUNT",IF($T347="","",$T347),IF($S347="ITEM_PRICE_ONLY_DELIVERY_PAID_BY_MERCHANT",IF($J347="","",SUM($J347,$U347)),""))))))</f>
        <v/>
      </c>
      <c r="M347" s="12" t="n"/>
      <c r="N347" s="13" t="n"/>
      <c r="O347" s="13" t="n"/>
      <c r="P347" s="9" t="n"/>
      <c r="Q347" s="14" t="n"/>
      <c r="R347" s="15" t="n"/>
      <c r="S347" s="14" t="n"/>
      <c r="T347" s="16" t="n"/>
      <c r="U347" s="16" t="n"/>
      <c r="V347" s="16" t="n"/>
      <c r="W347" s="16" t="n"/>
      <c r="X347" s="16" t="n"/>
      <c r="Y347" s="16" t="n"/>
      <c r="Z347" s="14" t="n"/>
      <c r="AA347" s="14" t="n"/>
      <c r="AB347" s="14" t="n"/>
      <c r="AC347" s="17">
        <f>IFERROR(VLOOKUP($H347&amp;"|"&amp;$Q347,Tariff_Master!$A$2:$L$169,3,FALSE),"")</f>
        <v/>
      </c>
      <c r="AD347" s="17">
        <f>IFERROR(VLOOKUP($H347&amp;"|"&amp;$Q347,Tariff_Master!$A$2:$L$169,4,FALSE),"")</f>
        <v/>
      </c>
      <c r="AE347" s="18">
        <f>IFERROR(VLOOKUP($H347&amp;"|"&amp;$Q347,Tariff_Master!$A$2:$L$169,6,FALSE),"")</f>
        <v/>
      </c>
      <c r="AF347" s="19">
        <f>IFERROR(VLOOKUP($H347&amp;"|"&amp;$Q347,Tariff_Master!$A$2:$L$169,7,FALSE),"")</f>
        <v/>
      </c>
      <c r="AG347" s="18">
        <f>IFERROR(VLOOKUP($H347&amp;"|"&amp;$Q347,Tariff_Master!$A$2:$L$169,8,FALSE),"")</f>
        <v/>
      </c>
      <c r="AH347" s="20">
        <f>IFERROR(VLOOKUP($H347&amp;"|"&amp;$Q347,Tariff_Master!$A$2:$L$169,9,FALSE),"")</f>
        <v/>
      </c>
      <c r="AI347" s="18">
        <f>IFERROR(VLOOKUP($H347&amp;"|"&amp;$Q347,Tariff_Master!$A$2:$L$169,10,FALSE),"")</f>
        <v/>
      </c>
      <c r="AJ347" s="21">
        <f>IF($M347="","",ROUNDUP(MAX(0,$M347),0))</f>
        <v/>
      </c>
      <c r="AK347" s="21">
        <f>IF(OR($AJ347="",$AF347=""),"",MAX(0,$AJ347-$AF347))</f>
        <v/>
      </c>
      <c r="AL347" s="22">
        <f>IF(OR($AK347="",$AG347=""),"",MAX(0,$AK347*$AG347))</f>
        <v/>
      </c>
      <c r="AM347" s="22">
        <f>IF($AE347="","",MAX(0,SUM($AE347,$AL347,$V347,$W347)))</f>
        <v/>
      </c>
      <c r="AN347" s="22">
        <f>IF($AM347="","",IF(AND($Q347="COMMITMENT",$R347&gt;=$AH347),$AI347,0))</f>
        <v/>
      </c>
      <c r="AO347" s="23">
        <f>IF($AM347="","",MAX(0,$AM347-$AN347))</f>
        <v/>
      </c>
      <c r="AP347" s="22">
        <f>IF($S347="","",IF(OR($S347="ITEM_PRICE_PLUS_DECLARED_DELIVERY",$S347="DELIVERY_CHARGE_ONLY"),$K347,IF($S347="TOTAL_AMOUNT_INCLUDING_DELIVERY",IF(OR($T347="",$J347=""),"",MAX(0,$T347-$J347-$U347)),IF($S347="ITEM_PRICE_ONLY_DELIVERY_PAID_BY_MERCHANT",0,""))))</f>
        <v/>
      </c>
      <c r="AQ347" s="23">
        <f>IF(OR($AP347="",$AO347=""),"",$AP347-$AO347)</f>
        <v/>
      </c>
      <c r="AR347" s="24">
        <f>IF($S347="EXACT_COLLECTION_AMOUNT","BREAKDOWN_REQUIRED",IF($AQ347="","",IF($AQ347&gt;0,"CREDIT_TO_MERCHANT",IF($AQ347&lt;0,"DEDUCT_FROM_MERCHANT","NO_ADJUSTMENT"))))</f>
        <v/>
      </c>
      <c r="AS347" s="23">
        <f>IF(OR($AQ347="",$AR347="BREAKDOWN_REQUIRED"),"",$AQ347)</f>
        <v/>
      </c>
      <c r="AT347" s="23">
        <f>IF(OR($AR347="",$AR347="BREAKDOWN_REQUIRED"),"",SUM($J347,$AQ347,$Y347)-$X347)</f>
        <v/>
      </c>
      <c r="AU347" s="25">
        <f>IF(AND($A347="",$B347="",$F347="",$H347="",$J347="",$K347="",$M347="",$S347=""),"",IF(OR($H347="",$Q347="",$M347="",$S347=""),"ERROR",IF(OR($J347&lt;0,$K347&lt;0,$M347&lt;0,$T347&lt;0,$U347&lt;0,$V347&lt;0,$W347&lt;0,$X347&lt;0,$Y347&lt;0),"ERROR",IF($AE347="","ERROR",IF(AND(OR($S347="ITEM_PRICE_PLUS_DECLARED_DELIVERY",$S347="TOTAL_AMOUNT_INCLUDING_DELIVERY",$S347="ITEM_PRICE_ONLY_DELIVERY_PAID_BY_MERCHANT"),$J347=""),"ERROR",IF(AND(OR($S347="ITEM_PRICE_PLUS_DECLARED_DELIVERY",$S347="DELIVERY_CHARGE_ONLY"),$K347=""),"ERROR",IF(AND(OR($S347="TOTAL_AMOUNT_INCLUDING_DELIVERY",$S347="EXACT_COLLECTION_AMOUNT"),$T347=""),"ERROR",IF(AND($S347="TOTAL_AMOUNT_INCLUDING_DELIVERY",$T347&lt;SUM($J347,$U347)),"ERROR",IF($S347="EXACT_COLLECTION_AMOUNT","REVIEW","OK")))))))))</f>
        <v/>
      </c>
      <c r="AV347" s="25">
        <f>IF($AU347="","",IF($H347="","Township required",IF($Q347="","Customer tier required",IF($M347="","Weight required",IF($S347="","Amount entry type required",IF(OR($J347&lt;0,$K347&lt;0,$M347&lt;0,$T347&lt;0,$U347&lt;0,$V347&lt;0,$W347&lt;0,$X347&lt;0,$Y347&lt;0),"Negative amounts are not allowed",IF($AE347="","Tariff not found for township and tier",IF(AND(OR($S347="ITEM_PRICE_PLUS_DECLARED_DELIVERY",$S347="TOTAL_AMOUNT_INCLUDING_DELIVERY",$S347="ITEM_PRICE_ONLY_DELIVERY_PAID_BY_MERCHANT"),$J347=""),"Item price required for this amount type",IF(AND(OR($S347="ITEM_PRICE_PLUS_DECLARED_DELIVERY",$S347="DELIVERY_CHARGE_ONLY"),$K347=""),"Declared delivery charge required",IF(AND(OR($S347="TOTAL_AMOUNT_INCLUDING_DELIVERY",$S347="EXACT_COLLECTION_AMOUNT"),$T347=""),"Stated total amount required",IF(AND($S347="TOTAL_AMOUNT_INCLUDING_DELIVERY",$T347&lt;SUM($J347,$U347)),"Stated total is below item price plus additional charge",IF($S347="EXACT_COLLECTION_AMOUNT","Authorized amount breakdown required before settlement","Ready for collection and settlement"))))))))))))</f>
        <v/>
      </c>
      <c r="AW347" s="23">
        <f>IF($AU347="","","PARCEL_FINANCIAL_V2")</f>
        <v/>
      </c>
      <c r="AX347" s="17" t="n"/>
    </row>
    <row r="348">
      <c r="A348" s="8" t="n"/>
      <c r="B348" s="8" t="n"/>
      <c r="C348" s="8" t="n"/>
      <c r="D348" s="8" t="n"/>
      <c r="E348" s="9" t="n"/>
      <c r="F348" s="9" t="n"/>
      <c r="G348" s="8" t="n"/>
      <c r="H348" s="9" t="n"/>
      <c r="I348" s="9" t="n"/>
      <c r="J348" s="10" t="n"/>
      <c r="K348" s="10" t="n"/>
      <c r="L348" s="11">
        <f>IF($S348="","",IF($S348="ITEM_PRICE_PLUS_DECLARED_DELIVERY",IF(OR($J348="",$K348=""),"",SUM($J348,$K348,$U348)),IF($S348="TOTAL_AMOUNT_INCLUDING_DELIVERY",IF($T348="","",$T348),IF($S348="DELIVERY_CHARGE_ONLY",IF($K348="","",SUM($K348,$U348)),IF($S348="EXACT_COLLECTION_AMOUNT",IF($T348="","",$T348),IF($S348="ITEM_PRICE_ONLY_DELIVERY_PAID_BY_MERCHANT",IF($J348="","",SUM($J348,$U348)),""))))))</f>
        <v/>
      </c>
      <c r="M348" s="12" t="n"/>
      <c r="N348" s="13" t="n"/>
      <c r="O348" s="13" t="n"/>
      <c r="P348" s="9" t="n"/>
      <c r="Q348" s="14" t="n"/>
      <c r="R348" s="15" t="n"/>
      <c r="S348" s="14" t="n"/>
      <c r="T348" s="16" t="n"/>
      <c r="U348" s="16" t="n"/>
      <c r="V348" s="16" t="n"/>
      <c r="W348" s="16" t="n"/>
      <c r="X348" s="16" t="n"/>
      <c r="Y348" s="16" t="n"/>
      <c r="Z348" s="14" t="n"/>
      <c r="AA348" s="14" t="n"/>
      <c r="AB348" s="14" t="n"/>
      <c r="AC348" s="17">
        <f>IFERROR(VLOOKUP($H348&amp;"|"&amp;$Q348,Tariff_Master!$A$2:$L$169,3,FALSE),"")</f>
        <v/>
      </c>
      <c r="AD348" s="17">
        <f>IFERROR(VLOOKUP($H348&amp;"|"&amp;$Q348,Tariff_Master!$A$2:$L$169,4,FALSE),"")</f>
        <v/>
      </c>
      <c r="AE348" s="18">
        <f>IFERROR(VLOOKUP($H348&amp;"|"&amp;$Q348,Tariff_Master!$A$2:$L$169,6,FALSE),"")</f>
        <v/>
      </c>
      <c r="AF348" s="19">
        <f>IFERROR(VLOOKUP($H348&amp;"|"&amp;$Q348,Tariff_Master!$A$2:$L$169,7,FALSE),"")</f>
        <v/>
      </c>
      <c r="AG348" s="18">
        <f>IFERROR(VLOOKUP($H348&amp;"|"&amp;$Q348,Tariff_Master!$A$2:$L$169,8,FALSE),"")</f>
        <v/>
      </c>
      <c r="AH348" s="20">
        <f>IFERROR(VLOOKUP($H348&amp;"|"&amp;$Q348,Tariff_Master!$A$2:$L$169,9,FALSE),"")</f>
        <v/>
      </c>
      <c r="AI348" s="18">
        <f>IFERROR(VLOOKUP($H348&amp;"|"&amp;$Q348,Tariff_Master!$A$2:$L$169,10,FALSE),"")</f>
        <v/>
      </c>
      <c r="AJ348" s="21">
        <f>IF($M348="","",ROUNDUP(MAX(0,$M348),0))</f>
        <v/>
      </c>
      <c r="AK348" s="21">
        <f>IF(OR($AJ348="",$AF348=""),"",MAX(0,$AJ348-$AF348))</f>
        <v/>
      </c>
      <c r="AL348" s="22">
        <f>IF(OR($AK348="",$AG348=""),"",MAX(0,$AK348*$AG348))</f>
        <v/>
      </c>
      <c r="AM348" s="22">
        <f>IF($AE348="","",MAX(0,SUM($AE348,$AL348,$V348,$W348)))</f>
        <v/>
      </c>
      <c r="AN348" s="22">
        <f>IF($AM348="","",IF(AND($Q348="COMMITMENT",$R348&gt;=$AH348),$AI348,0))</f>
        <v/>
      </c>
      <c r="AO348" s="23">
        <f>IF($AM348="","",MAX(0,$AM348-$AN348))</f>
        <v/>
      </c>
      <c r="AP348" s="22">
        <f>IF($S348="","",IF(OR($S348="ITEM_PRICE_PLUS_DECLARED_DELIVERY",$S348="DELIVERY_CHARGE_ONLY"),$K348,IF($S348="TOTAL_AMOUNT_INCLUDING_DELIVERY",IF(OR($T348="",$J348=""),"",MAX(0,$T348-$J348-$U348)),IF($S348="ITEM_PRICE_ONLY_DELIVERY_PAID_BY_MERCHANT",0,""))))</f>
        <v/>
      </c>
      <c r="AQ348" s="23">
        <f>IF(OR($AP348="",$AO348=""),"",$AP348-$AO348)</f>
        <v/>
      </c>
      <c r="AR348" s="24">
        <f>IF($S348="EXACT_COLLECTION_AMOUNT","BREAKDOWN_REQUIRED",IF($AQ348="","",IF($AQ348&gt;0,"CREDIT_TO_MERCHANT",IF($AQ348&lt;0,"DEDUCT_FROM_MERCHANT","NO_ADJUSTMENT"))))</f>
        <v/>
      </c>
      <c r="AS348" s="23">
        <f>IF(OR($AQ348="",$AR348="BREAKDOWN_REQUIRED"),"",$AQ348)</f>
        <v/>
      </c>
      <c r="AT348" s="23">
        <f>IF(OR($AR348="",$AR348="BREAKDOWN_REQUIRED"),"",SUM($J348,$AQ348,$Y348)-$X348)</f>
        <v/>
      </c>
      <c r="AU348" s="25">
        <f>IF(AND($A348="",$B348="",$F348="",$H348="",$J348="",$K348="",$M348="",$S348=""),"",IF(OR($H348="",$Q348="",$M348="",$S348=""),"ERROR",IF(OR($J348&lt;0,$K348&lt;0,$M348&lt;0,$T348&lt;0,$U348&lt;0,$V348&lt;0,$W348&lt;0,$X348&lt;0,$Y348&lt;0),"ERROR",IF($AE348="","ERROR",IF(AND(OR($S348="ITEM_PRICE_PLUS_DECLARED_DELIVERY",$S348="TOTAL_AMOUNT_INCLUDING_DELIVERY",$S348="ITEM_PRICE_ONLY_DELIVERY_PAID_BY_MERCHANT"),$J348=""),"ERROR",IF(AND(OR($S348="ITEM_PRICE_PLUS_DECLARED_DELIVERY",$S348="DELIVERY_CHARGE_ONLY"),$K348=""),"ERROR",IF(AND(OR($S348="TOTAL_AMOUNT_INCLUDING_DELIVERY",$S348="EXACT_COLLECTION_AMOUNT"),$T348=""),"ERROR",IF(AND($S348="TOTAL_AMOUNT_INCLUDING_DELIVERY",$T348&lt;SUM($J348,$U348)),"ERROR",IF($S348="EXACT_COLLECTION_AMOUNT","REVIEW","OK")))))))))</f>
        <v/>
      </c>
      <c r="AV348" s="25">
        <f>IF($AU348="","",IF($H348="","Township required",IF($Q348="","Customer tier required",IF($M348="","Weight required",IF($S348="","Amount entry type required",IF(OR($J348&lt;0,$K348&lt;0,$M348&lt;0,$T348&lt;0,$U348&lt;0,$V348&lt;0,$W348&lt;0,$X348&lt;0,$Y348&lt;0),"Negative amounts are not allowed",IF($AE348="","Tariff not found for township and tier",IF(AND(OR($S348="ITEM_PRICE_PLUS_DECLARED_DELIVERY",$S348="TOTAL_AMOUNT_INCLUDING_DELIVERY",$S348="ITEM_PRICE_ONLY_DELIVERY_PAID_BY_MERCHANT"),$J348=""),"Item price required for this amount type",IF(AND(OR($S348="ITEM_PRICE_PLUS_DECLARED_DELIVERY",$S348="DELIVERY_CHARGE_ONLY"),$K348=""),"Declared delivery charge required",IF(AND(OR($S348="TOTAL_AMOUNT_INCLUDING_DELIVERY",$S348="EXACT_COLLECTION_AMOUNT"),$T348=""),"Stated total amount required",IF(AND($S348="TOTAL_AMOUNT_INCLUDING_DELIVERY",$T348&lt;SUM($J348,$U348)),"Stated total is below item price plus additional charge",IF($S348="EXACT_COLLECTION_AMOUNT","Authorized amount breakdown required before settlement","Ready for collection and settlement"))))))))))))</f>
        <v/>
      </c>
      <c r="AW348" s="23">
        <f>IF($AU348="","","PARCEL_FINANCIAL_V2")</f>
        <v/>
      </c>
      <c r="AX348" s="17" t="n"/>
    </row>
    <row r="349">
      <c r="A349" s="8" t="n"/>
      <c r="B349" s="8" t="n"/>
      <c r="C349" s="8" t="n"/>
      <c r="D349" s="8" t="n"/>
      <c r="E349" s="9" t="n"/>
      <c r="F349" s="9" t="n"/>
      <c r="G349" s="8" t="n"/>
      <c r="H349" s="9" t="n"/>
      <c r="I349" s="9" t="n"/>
      <c r="J349" s="10" t="n"/>
      <c r="K349" s="10" t="n"/>
      <c r="L349" s="11">
        <f>IF($S349="","",IF($S349="ITEM_PRICE_PLUS_DECLARED_DELIVERY",IF(OR($J349="",$K349=""),"",SUM($J349,$K349,$U349)),IF($S349="TOTAL_AMOUNT_INCLUDING_DELIVERY",IF($T349="","",$T349),IF($S349="DELIVERY_CHARGE_ONLY",IF($K349="","",SUM($K349,$U349)),IF($S349="EXACT_COLLECTION_AMOUNT",IF($T349="","",$T349),IF($S349="ITEM_PRICE_ONLY_DELIVERY_PAID_BY_MERCHANT",IF($J349="","",SUM($J349,$U349)),""))))))</f>
        <v/>
      </c>
      <c r="M349" s="12" t="n"/>
      <c r="N349" s="13" t="n"/>
      <c r="O349" s="13" t="n"/>
      <c r="P349" s="9" t="n"/>
      <c r="Q349" s="14" t="n"/>
      <c r="R349" s="15" t="n"/>
      <c r="S349" s="14" t="n"/>
      <c r="T349" s="16" t="n"/>
      <c r="U349" s="16" t="n"/>
      <c r="V349" s="16" t="n"/>
      <c r="W349" s="16" t="n"/>
      <c r="X349" s="16" t="n"/>
      <c r="Y349" s="16" t="n"/>
      <c r="Z349" s="14" t="n"/>
      <c r="AA349" s="14" t="n"/>
      <c r="AB349" s="14" t="n"/>
      <c r="AC349" s="17">
        <f>IFERROR(VLOOKUP($H349&amp;"|"&amp;$Q349,Tariff_Master!$A$2:$L$169,3,FALSE),"")</f>
        <v/>
      </c>
      <c r="AD349" s="17">
        <f>IFERROR(VLOOKUP($H349&amp;"|"&amp;$Q349,Tariff_Master!$A$2:$L$169,4,FALSE),"")</f>
        <v/>
      </c>
      <c r="AE349" s="18">
        <f>IFERROR(VLOOKUP($H349&amp;"|"&amp;$Q349,Tariff_Master!$A$2:$L$169,6,FALSE),"")</f>
        <v/>
      </c>
      <c r="AF349" s="19">
        <f>IFERROR(VLOOKUP($H349&amp;"|"&amp;$Q349,Tariff_Master!$A$2:$L$169,7,FALSE),"")</f>
        <v/>
      </c>
      <c r="AG349" s="18">
        <f>IFERROR(VLOOKUP($H349&amp;"|"&amp;$Q349,Tariff_Master!$A$2:$L$169,8,FALSE),"")</f>
        <v/>
      </c>
      <c r="AH349" s="20">
        <f>IFERROR(VLOOKUP($H349&amp;"|"&amp;$Q349,Tariff_Master!$A$2:$L$169,9,FALSE),"")</f>
        <v/>
      </c>
      <c r="AI349" s="18">
        <f>IFERROR(VLOOKUP($H349&amp;"|"&amp;$Q349,Tariff_Master!$A$2:$L$169,10,FALSE),"")</f>
        <v/>
      </c>
      <c r="AJ349" s="21">
        <f>IF($M349="","",ROUNDUP(MAX(0,$M349),0))</f>
        <v/>
      </c>
      <c r="AK349" s="21">
        <f>IF(OR($AJ349="",$AF349=""),"",MAX(0,$AJ349-$AF349))</f>
        <v/>
      </c>
      <c r="AL349" s="22">
        <f>IF(OR($AK349="",$AG349=""),"",MAX(0,$AK349*$AG349))</f>
        <v/>
      </c>
      <c r="AM349" s="22">
        <f>IF($AE349="","",MAX(0,SUM($AE349,$AL349,$V349,$W349)))</f>
        <v/>
      </c>
      <c r="AN349" s="22">
        <f>IF($AM349="","",IF(AND($Q349="COMMITMENT",$R349&gt;=$AH349),$AI349,0))</f>
        <v/>
      </c>
      <c r="AO349" s="23">
        <f>IF($AM349="","",MAX(0,$AM349-$AN349))</f>
        <v/>
      </c>
      <c r="AP349" s="22">
        <f>IF($S349="","",IF(OR($S349="ITEM_PRICE_PLUS_DECLARED_DELIVERY",$S349="DELIVERY_CHARGE_ONLY"),$K349,IF($S349="TOTAL_AMOUNT_INCLUDING_DELIVERY",IF(OR($T349="",$J349=""),"",MAX(0,$T349-$J349-$U349)),IF($S349="ITEM_PRICE_ONLY_DELIVERY_PAID_BY_MERCHANT",0,""))))</f>
        <v/>
      </c>
      <c r="AQ349" s="23">
        <f>IF(OR($AP349="",$AO349=""),"",$AP349-$AO349)</f>
        <v/>
      </c>
      <c r="AR349" s="24">
        <f>IF($S349="EXACT_COLLECTION_AMOUNT","BREAKDOWN_REQUIRED",IF($AQ349="","",IF($AQ349&gt;0,"CREDIT_TO_MERCHANT",IF($AQ349&lt;0,"DEDUCT_FROM_MERCHANT","NO_ADJUSTMENT"))))</f>
        <v/>
      </c>
      <c r="AS349" s="23">
        <f>IF(OR($AQ349="",$AR349="BREAKDOWN_REQUIRED"),"",$AQ349)</f>
        <v/>
      </c>
      <c r="AT349" s="23">
        <f>IF(OR($AR349="",$AR349="BREAKDOWN_REQUIRED"),"",SUM($J349,$AQ349,$Y349)-$X349)</f>
        <v/>
      </c>
      <c r="AU349" s="25">
        <f>IF(AND($A349="",$B349="",$F349="",$H349="",$J349="",$K349="",$M349="",$S349=""),"",IF(OR($H349="",$Q349="",$M349="",$S349=""),"ERROR",IF(OR($J349&lt;0,$K349&lt;0,$M349&lt;0,$T349&lt;0,$U349&lt;0,$V349&lt;0,$W349&lt;0,$X349&lt;0,$Y349&lt;0),"ERROR",IF($AE349="","ERROR",IF(AND(OR($S349="ITEM_PRICE_PLUS_DECLARED_DELIVERY",$S349="TOTAL_AMOUNT_INCLUDING_DELIVERY",$S349="ITEM_PRICE_ONLY_DELIVERY_PAID_BY_MERCHANT"),$J349=""),"ERROR",IF(AND(OR($S349="ITEM_PRICE_PLUS_DECLARED_DELIVERY",$S349="DELIVERY_CHARGE_ONLY"),$K349=""),"ERROR",IF(AND(OR($S349="TOTAL_AMOUNT_INCLUDING_DELIVERY",$S349="EXACT_COLLECTION_AMOUNT"),$T349=""),"ERROR",IF(AND($S349="TOTAL_AMOUNT_INCLUDING_DELIVERY",$T349&lt;SUM($J349,$U349)),"ERROR",IF($S349="EXACT_COLLECTION_AMOUNT","REVIEW","OK")))))))))</f>
        <v/>
      </c>
      <c r="AV349" s="25">
        <f>IF($AU349="","",IF($H349="","Township required",IF($Q349="","Customer tier required",IF($M349="","Weight required",IF($S349="","Amount entry type required",IF(OR($J349&lt;0,$K349&lt;0,$M349&lt;0,$T349&lt;0,$U349&lt;0,$V349&lt;0,$W349&lt;0,$X349&lt;0,$Y349&lt;0),"Negative amounts are not allowed",IF($AE349="","Tariff not found for township and tier",IF(AND(OR($S349="ITEM_PRICE_PLUS_DECLARED_DELIVERY",$S349="TOTAL_AMOUNT_INCLUDING_DELIVERY",$S349="ITEM_PRICE_ONLY_DELIVERY_PAID_BY_MERCHANT"),$J349=""),"Item price required for this amount type",IF(AND(OR($S349="ITEM_PRICE_PLUS_DECLARED_DELIVERY",$S349="DELIVERY_CHARGE_ONLY"),$K349=""),"Declared delivery charge required",IF(AND(OR($S349="TOTAL_AMOUNT_INCLUDING_DELIVERY",$S349="EXACT_COLLECTION_AMOUNT"),$T349=""),"Stated total amount required",IF(AND($S349="TOTAL_AMOUNT_INCLUDING_DELIVERY",$T349&lt;SUM($J349,$U349)),"Stated total is below item price plus additional charge",IF($S349="EXACT_COLLECTION_AMOUNT","Authorized amount breakdown required before settlement","Ready for collection and settlement"))))))))))))</f>
        <v/>
      </c>
      <c r="AW349" s="23">
        <f>IF($AU349="","","PARCEL_FINANCIAL_V2")</f>
        <v/>
      </c>
      <c r="AX349" s="17" t="n"/>
    </row>
    <row r="350">
      <c r="A350" s="8" t="n"/>
      <c r="B350" s="8" t="n"/>
      <c r="C350" s="8" t="n"/>
      <c r="D350" s="8" t="n"/>
      <c r="E350" s="9" t="n"/>
      <c r="F350" s="9" t="n"/>
      <c r="G350" s="8" t="n"/>
      <c r="H350" s="9" t="n"/>
      <c r="I350" s="9" t="n"/>
      <c r="J350" s="10" t="n"/>
      <c r="K350" s="10" t="n"/>
      <c r="L350" s="11">
        <f>IF($S350="","",IF($S350="ITEM_PRICE_PLUS_DECLARED_DELIVERY",IF(OR($J350="",$K350=""),"",SUM($J350,$K350,$U350)),IF($S350="TOTAL_AMOUNT_INCLUDING_DELIVERY",IF($T350="","",$T350),IF($S350="DELIVERY_CHARGE_ONLY",IF($K350="","",SUM($K350,$U350)),IF($S350="EXACT_COLLECTION_AMOUNT",IF($T350="","",$T350),IF($S350="ITEM_PRICE_ONLY_DELIVERY_PAID_BY_MERCHANT",IF($J350="","",SUM($J350,$U350)),""))))))</f>
        <v/>
      </c>
      <c r="M350" s="12" t="n"/>
      <c r="N350" s="13" t="n"/>
      <c r="O350" s="13" t="n"/>
      <c r="P350" s="9" t="n"/>
      <c r="Q350" s="14" t="n"/>
      <c r="R350" s="15" t="n"/>
      <c r="S350" s="14" t="n"/>
      <c r="T350" s="16" t="n"/>
      <c r="U350" s="16" t="n"/>
      <c r="V350" s="16" t="n"/>
      <c r="W350" s="16" t="n"/>
      <c r="X350" s="16" t="n"/>
      <c r="Y350" s="16" t="n"/>
      <c r="Z350" s="14" t="n"/>
      <c r="AA350" s="14" t="n"/>
      <c r="AB350" s="14" t="n"/>
      <c r="AC350" s="17">
        <f>IFERROR(VLOOKUP($H350&amp;"|"&amp;$Q350,Tariff_Master!$A$2:$L$169,3,FALSE),"")</f>
        <v/>
      </c>
      <c r="AD350" s="17">
        <f>IFERROR(VLOOKUP($H350&amp;"|"&amp;$Q350,Tariff_Master!$A$2:$L$169,4,FALSE),"")</f>
        <v/>
      </c>
      <c r="AE350" s="18">
        <f>IFERROR(VLOOKUP($H350&amp;"|"&amp;$Q350,Tariff_Master!$A$2:$L$169,6,FALSE),"")</f>
        <v/>
      </c>
      <c r="AF350" s="19">
        <f>IFERROR(VLOOKUP($H350&amp;"|"&amp;$Q350,Tariff_Master!$A$2:$L$169,7,FALSE),"")</f>
        <v/>
      </c>
      <c r="AG350" s="18">
        <f>IFERROR(VLOOKUP($H350&amp;"|"&amp;$Q350,Tariff_Master!$A$2:$L$169,8,FALSE),"")</f>
        <v/>
      </c>
      <c r="AH350" s="20">
        <f>IFERROR(VLOOKUP($H350&amp;"|"&amp;$Q350,Tariff_Master!$A$2:$L$169,9,FALSE),"")</f>
        <v/>
      </c>
      <c r="AI350" s="18">
        <f>IFERROR(VLOOKUP($H350&amp;"|"&amp;$Q350,Tariff_Master!$A$2:$L$169,10,FALSE),"")</f>
        <v/>
      </c>
      <c r="AJ350" s="21">
        <f>IF($M350="","",ROUNDUP(MAX(0,$M350),0))</f>
        <v/>
      </c>
      <c r="AK350" s="21">
        <f>IF(OR($AJ350="",$AF350=""),"",MAX(0,$AJ350-$AF350))</f>
        <v/>
      </c>
      <c r="AL350" s="22">
        <f>IF(OR($AK350="",$AG350=""),"",MAX(0,$AK350*$AG350))</f>
        <v/>
      </c>
      <c r="AM350" s="22">
        <f>IF($AE350="","",MAX(0,SUM($AE350,$AL350,$V350,$W350)))</f>
        <v/>
      </c>
      <c r="AN350" s="22">
        <f>IF($AM350="","",IF(AND($Q350="COMMITMENT",$R350&gt;=$AH350),$AI350,0))</f>
        <v/>
      </c>
      <c r="AO350" s="23">
        <f>IF($AM350="","",MAX(0,$AM350-$AN350))</f>
        <v/>
      </c>
      <c r="AP350" s="22">
        <f>IF($S350="","",IF(OR($S350="ITEM_PRICE_PLUS_DECLARED_DELIVERY",$S350="DELIVERY_CHARGE_ONLY"),$K350,IF($S350="TOTAL_AMOUNT_INCLUDING_DELIVERY",IF(OR($T350="",$J350=""),"",MAX(0,$T350-$J350-$U350)),IF($S350="ITEM_PRICE_ONLY_DELIVERY_PAID_BY_MERCHANT",0,""))))</f>
        <v/>
      </c>
      <c r="AQ350" s="23">
        <f>IF(OR($AP350="",$AO350=""),"",$AP350-$AO350)</f>
        <v/>
      </c>
      <c r="AR350" s="24">
        <f>IF($S350="EXACT_COLLECTION_AMOUNT","BREAKDOWN_REQUIRED",IF($AQ350="","",IF($AQ350&gt;0,"CREDIT_TO_MERCHANT",IF($AQ350&lt;0,"DEDUCT_FROM_MERCHANT","NO_ADJUSTMENT"))))</f>
        <v/>
      </c>
      <c r="AS350" s="23">
        <f>IF(OR($AQ350="",$AR350="BREAKDOWN_REQUIRED"),"",$AQ350)</f>
        <v/>
      </c>
      <c r="AT350" s="23">
        <f>IF(OR($AR350="",$AR350="BREAKDOWN_REQUIRED"),"",SUM($J350,$AQ350,$Y350)-$X350)</f>
        <v/>
      </c>
      <c r="AU350" s="25">
        <f>IF(AND($A350="",$B350="",$F350="",$H350="",$J350="",$K350="",$M350="",$S350=""),"",IF(OR($H350="",$Q350="",$M350="",$S350=""),"ERROR",IF(OR($J350&lt;0,$K350&lt;0,$M350&lt;0,$T350&lt;0,$U350&lt;0,$V350&lt;0,$W350&lt;0,$X350&lt;0,$Y350&lt;0),"ERROR",IF($AE350="","ERROR",IF(AND(OR($S350="ITEM_PRICE_PLUS_DECLARED_DELIVERY",$S350="TOTAL_AMOUNT_INCLUDING_DELIVERY",$S350="ITEM_PRICE_ONLY_DELIVERY_PAID_BY_MERCHANT"),$J350=""),"ERROR",IF(AND(OR($S350="ITEM_PRICE_PLUS_DECLARED_DELIVERY",$S350="DELIVERY_CHARGE_ONLY"),$K350=""),"ERROR",IF(AND(OR($S350="TOTAL_AMOUNT_INCLUDING_DELIVERY",$S350="EXACT_COLLECTION_AMOUNT"),$T350=""),"ERROR",IF(AND($S350="TOTAL_AMOUNT_INCLUDING_DELIVERY",$T350&lt;SUM($J350,$U350)),"ERROR",IF($S350="EXACT_COLLECTION_AMOUNT","REVIEW","OK")))))))))</f>
        <v/>
      </c>
      <c r="AV350" s="25">
        <f>IF($AU350="","",IF($H350="","Township required",IF($Q350="","Customer tier required",IF($M350="","Weight required",IF($S350="","Amount entry type required",IF(OR($J350&lt;0,$K350&lt;0,$M350&lt;0,$T350&lt;0,$U350&lt;0,$V350&lt;0,$W350&lt;0,$X350&lt;0,$Y350&lt;0),"Negative amounts are not allowed",IF($AE350="","Tariff not found for township and tier",IF(AND(OR($S350="ITEM_PRICE_PLUS_DECLARED_DELIVERY",$S350="TOTAL_AMOUNT_INCLUDING_DELIVERY",$S350="ITEM_PRICE_ONLY_DELIVERY_PAID_BY_MERCHANT"),$J350=""),"Item price required for this amount type",IF(AND(OR($S350="ITEM_PRICE_PLUS_DECLARED_DELIVERY",$S350="DELIVERY_CHARGE_ONLY"),$K350=""),"Declared delivery charge required",IF(AND(OR($S350="TOTAL_AMOUNT_INCLUDING_DELIVERY",$S350="EXACT_COLLECTION_AMOUNT"),$T350=""),"Stated total amount required",IF(AND($S350="TOTAL_AMOUNT_INCLUDING_DELIVERY",$T350&lt;SUM($J350,$U350)),"Stated total is below item price plus additional charge",IF($S350="EXACT_COLLECTION_AMOUNT","Authorized amount breakdown required before settlement","Ready for collection and settlement"))))))))))))</f>
        <v/>
      </c>
      <c r="AW350" s="23">
        <f>IF($AU350="","","PARCEL_FINANCIAL_V2")</f>
        <v/>
      </c>
      <c r="AX350" s="17" t="n"/>
    </row>
    <row r="351">
      <c r="A351" s="8" t="n"/>
      <c r="B351" s="8" t="n"/>
      <c r="C351" s="8" t="n"/>
      <c r="D351" s="8" t="n"/>
      <c r="E351" s="9" t="n"/>
      <c r="F351" s="9" t="n"/>
      <c r="G351" s="8" t="n"/>
      <c r="H351" s="9" t="n"/>
      <c r="I351" s="9" t="n"/>
      <c r="J351" s="10" t="n"/>
      <c r="K351" s="10" t="n"/>
      <c r="L351" s="11">
        <f>IF($S351="","",IF($S351="ITEM_PRICE_PLUS_DECLARED_DELIVERY",IF(OR($J351="",$K351=""),"",SUM($J351,$K351,$U351)),IF($S351="TOTAL_AMOUNT_INCLUDING_DELIVERY",IF($T351="","",$T351),IF($S351="DELIVERY_CHARGE_ONLY",IF($K351="","",SUM($K351,$U351)),IF($S351="EXACT_COLLECTION_AMOUNT",IF($T351="","",$T351),IF($S351="ITEM_PRICE_ONLY_DELIVERY_PAID_BY_MERCHANT",IF($J351="","",SUM($J351,$U351)),""))))))</f>
        <v/>
      </c>
      <c r="M351" s="12" t="n"/>
      <c r="N351" s="13" t="n"/>
      <c r="O351" s="13" t="n"/>
      <c r="P351" s="9" t="n"/>
      <c r="Q351" s="14" t="n"/>
      <c r="R351" s="15" t="n"/>
      <c r="S351" s="14" t="n"/>
      <c r="T351" s="16" t="n"/>
      <c r="U351" s="16" t="n"/>
      <c r="V351" s="16" t="n"/>
      <c r="W351" s="16" t="n"/>
      <c r="X351" s="16" t="n"/>
      <c r="Y351" s="16" t="n"/>
      <c r="Z351" s="14" t="n"/>
      <c r="AA351" s="14" t="n"/>
      <c r="AB351" s="14" t="n"/>
      <c r="AC351" s="17">
        <f>IFERROR(VLOOKUP($H351&amp;"|"&amp;$Q351,Tariff_Master!$A$2:$L$169,3,FALSE),"")</f>
        <v/>
      </c>
      <c r="AD351" s="17">
        <f>IFERROR(VLOOKUP($H351&amp;"|"&amp;$Q351,Tariff_Master!$A$2:$L$169,4,FALSE),"")</f>
        <v/>
      </c>
      <c r="AE351" s="18">
        <f>IFERROR(VLOOKUP($H351&amp;"|"&amp;$Q351,Tariff_Master!$A$2:$L$169,6,FALSE),"")</f>
        <v/>
      </c>
      <c r="AF351" s="19">
        <f>IFERROR(VLOOKUP($H351&amp;"|"&amp;$Q351,Tariff_Master!$A$2:$L$169,7,FALSE),"")</f>
        <v/>
      </c>
      <c r="AG351" s="18">
        <f>IFERROR(VLOOKUP($H351&amp;"|"&amp;$Q351,Tariff_Master!$A$2:$L$169,8,FALSE),"")</f>
        <v/>
      </c>
      <c r="AH351" s="20">
        <f>IFERROR(VLOOKUP($H351&amp;"|"&amp;$Q351,Tariff_Master!$A$2:$L$169,9,FALSE),"")</f>
        <v/>
      </c>
      <c r="AI351" s="18">
        <f>IFERROR(VLOOKUP($H351&amp;"|"&amp;$Q351,Tariff_Master!$A$2:$L$169,10,FALSE),"")</f>
        <v/>
      </c>
      <c r="AJ351" s="21">
        <f>IF($M351="","",ROUNDUP(MAX(0,$M351),0))</f>
        <v/>
      </c>
      <c r="AK351" s="21">
        <f>IF(OR($AJ351="",$AF351=""),"",MAX(0,$AJ351-$AF351))</f>
        <v/>
      </c>
      <c r="AL351" s="22">
        <f>IF(OR($AK351="",$AG351=""),"",MAX(0,$AK351*$AG351))</f>
        <v/>
      </c>
      <c r="AM351" s="22">
        <f>IF($AE351="","",MAX(0,SUM($AE351,$AL351,$V351,$W351)))</f>
        <v/>
      </c>
      <c r="AN351" s="22">
        <f>IF($AM351="","",IF(AND($Q351="COMMITMENT",$R351&gt;=$AH351),$AI351,0))</f>
        <v/>
      </c>
      <c r="AO351" s="23">
        <f>IF($AM351="","",MAX(0,$AM351-$AN351))</f>
        <v/>
      </c>
      <c r="AP351" s="22">
        <f>IF($S351="","",IF(OR($S351="ITEM_PRICE_PLUS_DECLARED_DELIVERY",$S351="DELIVERY_CHARGE_ONLY"),$K351,IF($S351="TOTAL_AMOUNT_INCLUDING_DELIVERY",IF(OR($T351="",$J351=""),"",MAX(0,$T351-$J351-$U351)),IF($S351="ITEM_PRICE_ONLY_DELIVERY_PAID_BY_MERCHANT",0,""))))</f>
        <v/>
      </c>
      <c r="AQ351" s="23">
        <f>IF(OR($AP351="",$AO351=""),"",$AP351-$AO351)</f>
        <v/>
      </c>
      <c r="AR351" s="24">
        <f>IF($S351="EXACT_COLLECTION_AMOUNT","BREAKDOWN_REQUIRED",IF($AQ351="","",IF($AQ351&gt;0,"CREDIT_TO_MERCHANT",IF($AQ351&lt;0,"DEDUCT_FROM_MERCHANT","NO_ADJUSTMENT"))))</f>
        <v/>
      </c>
      <c r="AS351" s="23">
        <f>IF(OR($AQ351="",$AR351="BREAKDOWN_REQUIRED"),"",$AQ351)</f>
        <v/>
      </c>
      <c r="AT351" s="23">
        <f>IF(OR($AR351="",$AR351="BREAKDOWN_REQUIRED"),"",SUM($J351,$AQ351,$Y351)-$X351)</f>
        <v/>
      </c>
      <c r="AU351" s="25">
        <f>IF(AND($A351="",$B351="",$F351="",$H351="",$J351="",$K351="",$M351="",$S351=""),"",IF(OR($H351="",$Q351="",$M351="",$S351=""),"ERROR",IF(OR($J351&lt;0,$K351&lt;0,$M351&lt;0,$T351&lt;0,$U351&lt;0,$V351&lt;0,$W351&lt;0,$X351&lt;0,$Y351&lt;0),"ERROR",IF($AE351="","ERROR",IF(AND(OR($S351="ITEM_PRICE_PLUS_DECLARED_DELIVERY",$S351="TOTAL_AMOUNT_INCLUDING_DELIVERY",$S351="ITEM_PRICE_ONLY_DELIVERY_PAID_BY_MERCHANT"),$J351=""),"ERROR",IF(AND(OR($S351="ITEM_PRICE_PLUS_DECLARED_DELIVERY",$S351="DELIVERY_CHARGE_ONLY"),$K351=""),"ERROR",IF(AND(OR($S351="TOTAL_AMOUNT_INCLUDING_DELIVERY",$S351="EXACT_COLLECTION_AMOUNT"),$T351=""),"ERROR",IF(AND($S351="TOTAL_AMOUNT_INCLUDING_DELIVERY",$T351&lt;SUM($J351,$U351)),"ERROR",IF($S351="EXACT_COLLECTION_AMOUNT","REVIEW","OK")))))))))</f>
        <v/>
      </c>
      <c r="AV351" s="25">
        <f>IF($AU351="","",IF($H351="","Township required",IF($Q351="","Customer tier required",IF($M351="","Weight required",IF($S351="","Amount entry type required",IF(OR($J351&lt;0,$K351&lt;0,$M351&lt;0,$T351&lt;0,$U351&lt;0,$V351&lt;0,$W351&lt;0,$X351&lt;0,$Y351&lt;0),"Negative amounts are not allowed",IF($AE351="","Tariff not found for township and tier",IF(AND(OR($S351="ITEM_PRICE_PLUS_DECLARED_DELIVERY",$S351="TOTAL_AMOUNT_INCLUDING_DELIVERY",$S351="ITEM_PRICE_ONLY_DELIVERY_PAID_BY_MERCHANT"),$J351=""),"Item price required for this amount type",IF(AND(OR($S351="ITEM_PRICE_PLUS_DECLARED_DELIVERY",$S351="DELIVERY_CHARGE_ONLY"),$K351=""),"Declared delivery charge required",IF(AND(OR($S351="TOTAL_AMOUNT_INCLUDING_DELIVERY",$S351="EXACT_COLLECTION_AMOUNT"),$T351=""),"Stated total amount required",IF(AND($S351="TOTAL_AMOUNT_INCLUDING_DELIVERY",$T351&lt;SUM($J351,$U351)),"Stated total is below item price plus additional charge",IF($S351="EXACT_COLLECTION_AMOUNT","Authorized amount breakdown required before settlement","Ready for collection and settlement"))))))))))))</f>
        <v/>
      </c>
      <c r="AW351" s="23">
        <f>IF($AU351="","","PARCEL_FINANCIAL_V2")</f>
        <v/>
      </c>
      <c r="AX351" s="17" t="n"/>
    </row>
    <row r="352">
      <c r="A352" s="8" t="n"/>
      <c r="B352" s="8" t="n"/>
      <c r="C352" s="8" t="n"/>
      <c r="D352" s="8" t="n"/>
      <c r="E352" s="9" t="n"/>
      <c r="F352" s="9" t="n"/>
      <c r="G352" s="8" t="n"/>
      <c r="H352" s="9" t="n"/>
      <c r="I352" s="9" t="n"/>
      <c r="J352" s="10" t="n"/>
      <c r="K352" s="10" t="n"/>
      <c r="L352" s="11">
        <f>IF($S352="","",IF($S352="ITEM_PRICE_PLUS_DECLARED_DELIVERY",IF(OR($J352="",$K352=""),"",SUM($J352,$K352,$U352)),IF($S352="TOTAL_AMOUNT_INCLUDING_DELIVERY",IF($T352="","",$T352),IF($S352="DELIVERY_CHARGE_ONLY",IF($K352="","",SUM($K352,$U352)),IF($S352="EXACT_COLLECTION_AMOUNT",IF($T352="","",$T352),IF($S352="ITEM_PRICE_ONLY_DELIVERY_PAID_BY_MERCHANT",IF($J352="","",SUM($J352,$U352)),""))))))</f>
        <v/>
      </c>
      <c r="M352" s="12" t="n"/>
      <c r="N352" s="13" t="n"/>
      <c r="O352" s="13" t="n"/>
      <c r="P352" s="9" t="n"/>
      <c r="Q352" s="14" t="n"/>
      <c r="R352" s="15" t="n"/>
      <c r="S352" s="14" t="n"/>
      <c r="T352" s="16" t="n"/>
      <c r="U352" s="16" t="n"/>
      <c r="V352" s="16" t="n"/>
      <c r="W352" s="16" t="n"/>
      <c r="X352" s="16" t="n"/>
      <c r="Y352" s="16" t="n"/>
      <c r="Z352" s="14" t="n"/>
      <c r="AA352" s="14" t="n"/>
      <c r="AB352" s="14" t="n"/>
      <c r="AC352" s="17">
        <f>IFERROR(VLOOKUP($H352&amp;"|"&amp;$Q352,Tariff_Master!$A$2:$L$169,3,FALSE),"")</f>
        <v/>
      </c>
      <c r="AD352" s="17">
        <f>IFERROR(VLOOKUP($H352&amp;"|"&amp;$Q352,Tariff_Master!$A$2:$L$169,4,FALSE),"")</f>
        <v/>
      </c>
      <c r="AE352" s="18">
        <f>IFERROR(VLOOKUP($H352&amp;"|"&amp;$Q352,Tariff_Master!$A$2:$L$169,6,FALSE),"")</f>
        <v/>
      </c>
      <c r="AF352" s="19">
        <f>IFERROR(VLOOKUP($H352&amp;"|"&amp;$Q352,Tariff_Master!$A$2:$L$169,7,FALSE),"")</f>
        <v/>
      </c>
      <c r="AG352" s="18">
        <f>IFERROR(VLOOKUP($H352&amp;"|"&amp;$Q352,Tariff_Master!$A$2:$L$169,8,FALSE),"")</f>
        <v/>
      </c>
      <c r="AH352" s="20">
        <f>IFERROR(VLOOKUP($H352&amp;"|"&amp;$Q352,Tariff_Master!$A$2:$L$169,9,FALSE),"")</f>
        <v/>
      </c>
      <c r="AI352" s="18">
        <f>IFERROR(VLOOKUP($H352&amp;"|"&amp;$Q352,Tariff_Master!$A$2:$L$169,10,FALSE),"")</f>
        <v/>
      </c>
      <c r="AJ352" s="21">
        <f>IF($M352="","",ROUNDUP(MAX(0,$M352),0))</f>
        <v/>
      </c>
      <c r="AK352" s="21">
        <f>IF(OR($AJ352="",$AF352=""),"",MAX(0,$AJ352-$AF352))</f>
        <v/>
      </c>
      <c r="AL352" s="22">
        <f>IF(OR($AK352="",$AG352=""),"",MAX(0,$AK352*$AG352))</f>
        <v/>
      </c>
      <c r="AM352" s="22">
        <f>IF($AE352="","",MAX(0,SUM($AE352,$AL352,$V352,$W352)))</f>
        <v/>
      </c>
      <c r="AN352" s="22">
        <f>IF($AM352="","",IF(AND($Q352="COMMITMENT",$R352&gt;=$AH352),$AI352,0))</f>
        <v/>
      </c>
      <c r="AO352" s="23">
        <f>IF($AM352="","",MAX(0,$AM352-$AN352))</f>
        <v/>
      </c>
      <c r="AP352" s="22">
        <f>IF($S352="","",IF(OR($S352="ITEM_PRICE_PLUS_DECLARED_DELIVERY",$S352="DELIVERY_CHARGE_ONLY"),$K352,IF($S352="TOTAL_AMOUNT_INCLUDING_DELIVERY",IF(OR($T352="",$J352=""),"",MAX(0,$T352-$J352-$U352)),IF($S352="ITEM_PRICE_ONLY_DELIVERY_PAID_BY_MERCHANT",0,""))))</f>
        <v/>
      </c>
      <c r="AQ352" s="23">
        <f>IF(OR($AP352="",$AO352=""),"",$AP352-$AO352)</f>
        <v/>
      </c>
      <c r="AR352" s="24">
        <f>IF($S352="EXACT_COLLECTION_AMOUNT","BREAKDOWN_REQUIRED",IF($AQ352="","",IF($AQ352&gt;0,"CREDIT_TO_MERCHANT",IF($AQ352&lt;0,"DEDUCT_FROM_MERCHANT","NO_ADJUSTMENT"))))</f>
        <v/>
      </c>
      <c r="AS352" s="23">
        <f>IF(OR($AQ352="",$AR352="BREAKDOWN_REQUIRED"),"",$AQ352)</f>
        <v/>
      </c>
      <c r="AT352" s="23">
        <f>IF(OR($AR352="",$AR352="BREAKDOWN_REQUIRED"),"",SUM($J352,$AQ352,$Y352)-$X352)</f>
        <v/>
      </c>
      <c r="AU352" s="25">
        <f>IF(AND($A352="",$B352="",$F352="",$H352="",$J352="",$K352="",$M352="",$S352=""),"",IF(OR($H352="",$Q352="",$M352="",$S352=""),"ERROR",IF(OR($J352&lt;0,$K352&lt;0,$M352&lt;0,$T352&lt;0,$U352&lt;0,$V352&lt;0,$W352&lt;0,$X352&lt;0,$Y352&lt;0),"ERROR",IF($AE352="","ERROR",IF(AND(OR($S352="ITEM_PRICE_PLUS_DECLARED_DELIVERY",$S352="TOTAL_AMOUNT_INCLUDING_DELIVERY",$S352="ITEM_PRICE_ONLY_DELIVERY_PAID_BY_MERCHANT"),$J352=""),"ERROR",IF(AND(OR($S352="ITEM_PRICE_PLUS_DECLARED_DELIVERY",$S352="DELIVERY_CHARGE_ONLY"),$K352=""),"ERROR",IF(AND(OR($S352="TOTAL_AMOUNT_INCLUDING_DELIVERY",$S352="EXACT_COLLECTION_AMOUNT"),$T352=""),"ERROR",IF(AND($S352="TOTAL_AMOUNT_INCLUDING_DELIVERY",$T352&lt;SUM($J352,$U352)),"ERROR",IF($S352="EXACT_COLLECTION_AMOUNT","REVIEW","OK")))))))))</f>
        <v/>
      </c>
      <c r="AV352" s="25">
        <f>IF($AU352="","",IF($H352="","Township required",IF($Q352="","Customer tier required",IF($M352="","Weight required",IF($S352="","Amount entry type required",IF(OR($J352&lt;0,$K352&lt;0,$M352&lt;0,$T352&lt;0,$U352&lt;0,$V352&lt;0,$W352&lt;0,$X352&lt;0,$Y352&lt;0),"Negative amounts are not allowed",IF($AE352="","Tariff not found for township and tier",IF(AND(OR($S352="ITEM_PRICE_PLUS_DECLARED_DELIVERY",$S352="TOTAL_AMOUNT_INCLUDING_DELIVERY",$S352="ITEM_PRICE_ONLY_DELIVERY_PAID_BY_MERCHANT"),$J352=""),"Item price required for this amount type",IF(AND(OR($S352="ITEM_PRICE_PLUS_DECLARED_DELIVERY",$S352="DELIVERY_CHARGE_ONLY"),$K352=""),"Declared delivery charge required",IF(AND(OR($S352="TOTAL_AMOUNT_INCLUDING_DELIVERY",$S352="EXACT_COLLECTION_AMOUNT"),$T352=""),"Stated total amount required",IF(AND($S352="TOTAL_AMOUNT_INCLUDING_DELIVERY",$T352&lt;SUM($J352,$U352)),"Stated total is below item price plus additional charge",IF($S352="EXACT_COLLECTION_AMOUNT","Authorized amount breakdown required before settlement","Ready for collection and settlement"))))))))))))</f>
        <v/>
      </c>
      <c r="AW352" s="23">
        <f>IF($AU352="","","PARCEL_FINANCIAL_V2")</f>
        <v/>
      </c>
      <c r="AX352" s="17" t="n"/>
    </row>
    <row r="353">
      <c r="A353" s="8" t="n"/>
      <c r="B353" s="8" t="n"/>
      <c r="C353" s="8" t="n"/>
      <c r="D353" s="8" t="n"/>
      <c r="E353" s="9" t="n"/>
      <c r="F353" s="9" t="n"/>
      <c r="G353" s="8" t="n"/>
      <c r="H353" s="9" t="n"/>
      <c r="I353" s="9" t="n"/>
      <c r="J353" s="10" t="n"/>
      <c r="K353" s="10" t="n"/>
      <c r="L353" s="11">
        <f>IF($S353="","",IF($S353="ITEM_PRICE_PLUS_DECLARED_DELIVERY",IF(OR($J353="",$K353=""),"",SUM($J353,$K353,$U353)),IF($S353="TOTAL_AMOUNT_INCLUDING_DELIVERY",IF($T353="","",$T353),IF($S353="DELIVERY_CHARGE_ONLY",IF($K353="","",SUM($K353,$U353)),IF($S353="EXACT_COLLECTION_AMOUNT",IF($T353="","",$T353),IF($S353="ITEM_PRICE_ONLY_DELIVERY_PAID_BY_MERCHANT",IF($J353="","",SUM($J353,$U353)),""))))))</f>
        <v/>
      </c>
      <c r="M353" s="12" t="n"/>
      <c r="N353" s="13" t="n"/>
      <c r="O353" s="13" t="n"/>
      <c r="P353" s="9" t="n"/>
      <c r="Q353" s="14" t="n"/>
      <c r="R353" s="15" t="n"/>
      <c r="S353" s="14" t="n"/>
      <c r="T353" s="16" t="n"/>
      <c r="U353" s="16" t="n"/>
      <c r="V353" s="16" t="n"/>
      <c r="W353" s="16" t="n"/>
      <c r="X353" s="16" t="n"/>
      <c r="Y353" s="16" t="n"/>
      <c r="Z353" s="14" t="n"/>
      <c r="AA353" s="14" t="n"/>
      <c r="AB353" s="14" t="n"/>
      <c r="AC353" s="17">
        <f>IFERROR(VLOOKUP($H353&amp;"|"&amp;$Q353,Tariff_Master!$A$2:$L$169,3,FALSE),"")</f>
        <v/>
      </c>
      <c r="AD353" s="17">
        <f>IFERROR(VLOOKUP($H353&amp;"|"&amp;$Q353,Tariff_Master!$A$2:$L$169,4,FALSE),"")</f>
        <v/>
      </c>
      <c r="AE353" s="18">
        <f>IFERROR(VLOOKUP($H353&amp;"|"&amp;$Q353,Tariff_Master!$A$2:$L$169,6,FALSE),"")</f>
        <v/>
      </c>
      <c r="AF353" s="19">
        <f>IFERROR(VLOOKUP($H353&amp;"|"&amp;$Q353,Tariff_Master!$A$2:$L$169,7,FALSE),"")</f>
        <v/>
      </c>
      <c r="AG353" s="18">
        <f>IFERROR(VLOOKUP($H353&amp;"|"&amp;$Q353,Tariff_Master!$A$2:$L$169,8,FALSE),"")</f>
        <v/>
      </c>
      <c r="AH353" s="20">
        <f>IFERROR(VLOOKUP($H353&amp;"|"&amp;$Q353,Tariff_Master!$A$2:$L$169,9,FALSE),"")</f>
        <v/>
      </c>
      <c r="AI353" s="18">
        <f>IFERROR(VLOOKUP($H353&amp;"|"&amp;$Q353,Tariff_Master!$A$2:$L$169,10,FALSE),"")</f>
        <v/>
      </c>
      <c r="AJ353" s="21">
        <f>IF($M353="","",ROUNDUP(MAX(0,$M353),0))</f>
        <v/>
      </c>
      <c r="AK353" s="21">
        <f>IF(OR($AJ353="",$AF353=""),"",MAX(0,$AJ353-$AF353))</f>
        <v/>
      </c>
      <c r="AL353" s="22">
        <f>IF(OR($AK353="",$AG353=""),"",MAX(0,$AK353*$AG353))</f>
        <v/>
      </c>
      <c r="AM353" s="22">
        <f>IF($AE353="","",MAX(0,SUM($AE353,$AL353,$V353,$W353)))</f>
        <v/>
      </c>
      <c r="AN353" s="22">
        <f>IF($AM353="","",IF(AND($Q353="COMMITMENT",$R353&gt;=$AH353),$AI353,0))</f>
        <v/>
      </c>
      <c r="AO353" s="23">
        <f>IF($AM353="","",MAX(0,$AM353-$AN353))</f>
        <v/>
      </c>
      <c r="AP353" s="22">
        <f>IF($S353="","",IF(OR($S353="ITEM_PRICE_PLUS_DECLARED_DELIVERY",$S353="DELIVERY_CHARGE_ONLY"),$K353,IF($S353="TOTAL_AMOUNT_INCLUDING_DELIVERY",IF(OR($T353="",$J353=""),"",MAX(0,$T353-$J353-$U353)),IF($S353="ITEM_PRICE_ONLY_DELIVERY_PAID_BY_MERCHANT",0,""))))</f>
        <v/>
      </c>
      <c r="AQ353" s="23">
        <f>IF(OR($AP353="",$AO353=""),"",$AP353-$AO353)</f>
        <v/>
      </c>
      <c r="AR353" s="24">
        <f>IF($S353="EXACT_COLLECTION_AMOUNT","BREAKDOWN_REQUIRED",IF($AQ353="","",IF($AQ353&gt;0,"CREDIT_TO_MERCHANT",IF($AQ353&lt;0,"DEDUCT_FROM_MERCHANT","NO_ADJUSTMENT"))))</f>
        <v/>
      </c>
      <c r="AS353" s="23">
        <f>IF(OR($AQ353="",$AR353="BREAKDOWN_REQUIRED"),"",$AQ353)</f>
        <v/>
      </c>
      <c r="AT353" s="23">
        <f>IF(OR($AR353="",$AR353="BREAKDOWN_REQUIRED"),"",SUM($J353,$AQ353,$Y353)-$X353)</f>
        <v/>
      </c>
      <c r="AU353" s="25">
        <f>IF(AND($A353="",$B353="",$F353="",$H353="",$J353="",$K353="",$M353="",$S353=""),"",IF(OR($H353="",$Q353="",$M353="",$S353=""),"ERROR",IF(OR($J353&lt;0,$K353&lt;0,$M353&lt;0,$T353&lt;0,$U353&lt;0,$V353&lt;0,$W353&lt;0,$X353&lt;0,$Y353&lt;0),"ERROR",IF($AE353="","ERROR",IF(AND(OR($S353="ITEM_PRICE_PLUS_DECLARED_DELIVERY",$S353="TOTAL_AMOUNT_INCLUDING_DELIVERY",$S353="ITEM_PRICE_ONLY_DELIVERY_PAID_BY_MERCHANT"),$J353=""),"ERROR",IF(AND(OR($S353="ITEM_PRICE_PLUS_DECLARED_DELIVERY",$S353="DELIVERY_CHARGE_ONLY"),$K353=""),"ERROR",IF(AND(OR($S353="TOTAL_AMOUNT_INCLUDING_DELIVERY",$S353="EXACT_COLLECTION_AMOUNT"),$T353=""),"ERROR",IF(AND($S353="TOTAL_AMOUNT_INCLUDING_DELIVERY",$T353&lt;SUM($J353,$U353)),"ERROR",IF($S353="EXACT_COLLECTION_AMOUNT","REVIEW","OK")))))))))</f>
        <v/>
      </c>
      <c r="AV353" s="25">
        <f>IF($AU353="","",IF($H353="","Township required",IF($Q353="","Customer tier required",IF($M353="","Weight required",IF($S353="","Amount entry type required",IF(OR($J353&lt;0,$K353&lt;0,$M353&lt;0,$T353&lt;0,$U353&lt;0,$V353&lt;0,$W353&lt;0,$X353&lt;0,$Y353&lt;0),"Negative amounts are not allowed",IF($AE353="","Tariff not found for township and tier",IF(AND(OR($S353="ITEM_PRICE_PLUS_DECLARED_DELIVERY",$S353="TOTAL_AMOUNT_INCLUDING_DELIVERY",$S353="ITEM_PRICE_ONLY_DELIVERY_PAID_BY_MERCHANT"),$J353=""),"Item price required for this amount type",IF(AND(OR($S353="ITEM_PRICE_PLUS_DECLARED_DELIVERY",$S353="DELIVERY_CHARGE_ONLY"),$K353=""),"Declared delivery charge required",IF(AND(OR($S353="TOTAL_AMOUNT_INCLUDING_DELIVERY",$S353="EXACT_COLLECTION_AMOUNT"),$T353=""),"Stated total amount required",IF(AND($S353="TOTAL_AMOUNT_INCLUDING_DELIVERY",$T353&lt;SUM($J353,$U353)),"Stated total is below item price plus additional charge",IF($S353="EXACT_COLLECTION_AMOUNT","Authorized amount breakdown required before settlement","Ready for collection and settlement"))))))))))))</f>
        <v/>
      </c>
      <c r="AW353" s="23">
        <f>IF($AU353="","","PARCEL_FINANCIAL_V2")</f>
        <v/>
      </c>
      <c r="AX353" s="17" t="n"/>
    </row>
    <row r="354">
      <c r="A354" s="8" t="n"/>
      <c r="B354" s="8" t="n"/>
      <c r="C354" s="8" t="n"/>
      <c r="D354" s="8" t="n"/>
      <c r="E354" s="9" t="n"/>
      <c r="F354" s="9" t="n"/>
      <c r="G354" s="8" t="n"/>
      <c r="H354" s="9" t="n"/>
      <c r="I354" s="9" t="n"/>
      <c r="J354" s="10" t="n"/>
      <c r="K354" s="10" t="n"/>
      <c r="L354" s="11">
        <f>IF($S354="","",IF($S354="ITEM_PRICE_PLUS_DECLARED_DELIVERY",IF(OR($J354="",$K354=""),"",SUM($J354,$K354,$U354)),IF($S354="TOTAL_AMOUNT_INCLUDING_DELIVERY",IF($T354="","",$T354),IF($S354="DELIVERY_CHARGE_ONLY",IF($K354="","",SUM($K354,$U354)),IF($S354="EXACT_COLLECTION_AMOUNT",IF($T354="","",$T354),IF($S354="ITEM_PRICE_ONLY_DELIVERY_PAID_BY_MERCHANT",IF($J354="","",SUM($J354,$U354)),""))))))</f>
        <v/>
      </c>
      <c r="M354" s="12" t="n"/>
      <c r="N354" s="13" t="n"/>
      <c r="O354" s="13" t="n"/>
      <c r="P354" s="9" t="n"/>
      <c r="Q354" s="14" t="n"/>
      <c r="R354" s="15" t="n"/>
      <c r="S354" s="14" t="n"/>
      <c r="T354" s="16" t="n"/>
      <c r="U354" s="16" t="n"/>
      <c r="V354" s="16" t="n"/>
      <c r="W354" s="16" t="n"/>
      <c r="X354" s="16" t="n"/>
      <c r="Y354" s="16" t="n"/>
      <c r="Z354" s="14" t="n"/>
      <c r="AA354" s="14" t="n"/>
      <c r="AB354" s="14" t="n"/>
      <c r="AC354" s="17">
        <f>IFERROR(VLOOKUP($H354&amp;"|"&amp;$Q354,Tariff_Master!$A$2:$L$169,3,FALSE),"")</f>
        <v/>
      </c>
      <c r="AD354" s="17">
        <f>IFERROR(VLOOKUP($H354&amp;"|"&amp;$Q354,Tariff_Master!$A$2:$L$169,4,FALSE),"")</f>
        <v/>
      </c>
      <c r="AE354" s="18">
        <f>IFERROR(VLOOKUP($H354&amp;"|"&amp;$Q354,Tariff_Master!$A$2:$L$169,6,FALSE),"")</f>
        <v/>
      </c>
      <c r="AF354" s="19">
        <f>IFERROR(VLOOKUP($H354&amp;"|"&amp;$Q354,Tariff_Master!$A$2:$L$169,7,FALSE),"")</f>
        <v/>
      </c>
      <c r="AG354" s="18">
        <f>IFERROR(VLOOKUP($H354&amp;"|"&amp;$Q354,Tariff_Master!$A$2:$L$169,8,FALSE),"")</f>
        <v/>
      </c>
      <c r="AH354" s="20">
        <f>IFERROR(VLOOKUP($H354&amp;"|"&amp;$Q354,Tariff_Master!$A$2:$L$169,9,FALSE),"")</f>
        <v/>
      </c>
      <c r="AI354" s="18">
        <f>IFERROR(VLOOKUP($H354&amp;"|"&amp;$Q354,Tariff_Master!$A$2:$L$169,10,FALSE),"")</f>
        <v/>
      </c>
      <c r="AJ354" s="21">
        <f>IF($M354="","",ROUNDUP(MAX(0,$M354),0))</f>
        <v/>
      </c>
      <c r="AK354" s="21">
        <f>IF(OR($AJ354="",$AF354=""),"",MAX(0,$AJ354-$AF354))</f>
        <v/>
      </c>
      <c r="AL354" s="22">
        <f>IF(OR($AK354="",$AG354=""),"",MAX(0,$AK354*$AG354))</f>
        <v/>
      </c>
      <c r="AM354" s="22">
        <f>IF($AE354="","",MAX(0,SUM($AE354,$AL354,$V354,$W354)))</f>
        <v/>
      </c>
      <c r="AN354" s="22">
        <f>IF($AM354="","",IF(AND($Q354="COMMITMENT",$R354&gt;=$AH354),$AI354,0))</f>
        <v/>
      </c>
      <c r="AO354" s="23">
        <f>IF($AM354="","",MAX(0,$AM354-$AN354))</f>
        <v/>
      </c>
      <c r="AP354" s="22">
        <f>IF($S354="","",IF(OR($S354="ITEM_PRICE_PLUS_DECLARED_DELIVERY",$S354="DELIVERY_CHARGE_ONLY"),$K354,IF($S354="TOTAL_AMOUNT_INCLUDING_DELIVERY",IF(OR($T354="",$J354=""),"",MAX(0,$T354-$J354-$U354)),IF($S354="ITEM_PRICE_ONLY_DELIVERY_PAID_BY_MERCHANT",0,""))))</f>
        <v/>
      </c>
      <c r="AQ354" s="23">
        <f>IF(OR($AP354="",$AO354=""),"",$AP354-$AO354)</f>
        <v/>
      </c>
      <c r="AR354" s="24">
        <f>IF($S354="EXACT_COLLECTION_AMOUNT","BREAKDOWN_REQUIRED",IF($AQ354="","",IF($AQ354&gt;0,"CREDIT_TO_MERCHANT",IF($AQ354&lt;0,"DEDUCT_FROM_MERCHANT","NO_ADJUSTMENT"))))</f>
        <v/>
      </c>
      <c r="AS354" s="23">
        <f>IF(OR($AQ354="",$AR354="BREAKDOWN_REQUIRED"),"",$AQ354)</f>
        <v/>
      </c>
      <c r="AT354" s="23">
        <f>IF(OR($AR354="",$AR354="BREAKDOWN_REQUIRED"),"",SUM($J354,$AQ354,$Y354)-$X354)</f>
        <v/>
      </c>
      <c r="AU354" s="25">
        <f>IF(AND($A354="",$B354="",$F354="",$H354="",$J354="",$K354="",$M354="",$S354=""),"",IF(OR($H354="",$Q354="",$M354="",$S354=""),"ERROR",IF(OR($J354&lt;0,$K354&lt;0,$M354&lt;0,$T354&lt;0,$U354&lt;0,$V354&lt;0,$W354&lt;0,$X354&lt;0,$Y354&lt;0),"ERROR",IF($AE354="","ERROR",IF(AND(OR($S354="ITEM_PRICE_PLUS_DECLARED_DELIVERY",$S354="TOTAL_AMOUNT_INCLUDING_DELIVERY",$S354="ITEM_PRICE_ONLY_DELIVERY_PAID_BY_MERCHANT"),$J354=""),"ERROR",IF(AND(OR($S354="ITEM_PRICE_PLUS_DECLARED_DELIVERY",$S354="DELIVERY_CHARGE_ONLY"),$K354=""),"ERROR",IF(AND(OR($S354="TOTAL_AMOUNT_INCLUDING_DELIVERY",$S354="EXACT_COLLECTION_AMOUNT"),$T354=""),"ERROR",IF(AND($S354="TOTAL_AMOUNT_INCLUDING_DELIVERY",$T354&lt;SUM($J354,$U354)),"ERROR",IF($S354="EXACT_COLLECTION_AMOUNT","REVIEW","OK")))))))))</f>
        <v/>
      </c>
      <c r="AV354" s="25">
        <f>IF($AU354="","",IF($H354="","Township required",IF($Q354="","Customer tier required",IF($M354="","Weight required",IF($S354="","Amount entry type required",IF(OR($J354&lt;0,$K354&lt;0,$M354&lt;0,$T354&lt;0,$U354&lt;0,$V354&lt;0,$W354&lt;0,$X354&lt;0,$Y354&lt;0),"Negative amounts are not allowed",IF($AE354="","Tariff not found for township and tier",IF(AND(OR($S354="ITEM_PRICE_PLUS_DECLARED_DELIVERY",$S354="TOTAL_AMOUNT_INCLUDING_DELIVERY",$S354="ITEM_PRICE_ONLY_DELIVERY_PAID_BY_MERCHANT"),$J354=""),"Item price required for this amount type",IF(AND(OR($S354="ITEM_PRICE_PLUS_DECLARED_DELIVERY",$S354="DELIVERY_CHARGE_ONLY"),$K354=""),"Declared delivery charge required",IF(AND(OR($S354="TOTAL_AMOUNT_INCLUDING_DELIVERY",$S354="EXACT_COLLECTION_AMOUNT"),$T354=""),"Stated total amount required",IF(AND($S354="TOTAL_AMOUNT_INCLUDING_DELIVERY",$T354&lt;SUM($J354,$U354)),"Stated total is below item price plus additional charge",IF($S354="EXACT_COLLECTION_AMOUNT","Authorized amount breakdown required before settlement","Ready for collection and settlement"))))))))))))</f>
        <v/>
      </c>
      <c r="AW354" s="23">
        <f>IF($AU354="","","PARCEL_FINANCIAL_V2")</f>
        <v/>
      </c>
      <c r="AX354" s="17" t="n"/>
    </row>
    <row r="355">
      <c r="A355" s="8" t="n"/>
      <c r="B355" s="8" t="n"/>
      <c r="C355" s="8" t="n"/>
      <c r="D355" s="8" t="n"/>
      <c r="E355" s="9" t="n"/>
      <c r="F355" s="9" t="n"/>
      <c r="G355" s="8" t="n"/>
      <c r="H355" s="9" t="n"/>
      <c r="I355" s="9" t="n"/>
      <c r="J355" s="10" t="n"/>
      <c r="K355" s="10" t="n"/>
      <c r="L355" s="11">
        <f>IF($S355="","",IF($S355="ITEM_PRICE_PLUS_DECLARED_DELIVERY",IF(OR($J355="",$K355=""),"",SUM($J355,$K355,$U355)),IF($S355="TOTAL_AMOUNT_INCLUDING_DELIVERY",IF($T355="","",$T355),IF($S355="DELIVERY_CHARGE_ONLY",IF($K355="","",SUM($K355,$U355)),IF($S355="EXACT_COLLECTION_AMOUNT",IF($T355="","",$T355),IF($S355="ITEM_PRICE_ONLY_DELIVERY_PAID_BY_MERCHANT",IF($J355="","",SUM($J355,$U355)),""))))))</f>
        <v/>
      </c>
      <c r="M355" s="12" t="n"/>
      <c r="N355" s="13" t="n"/>
      <c r="O355" s="13" t="n"/>
      <c r="P355" s="9" t="n"/>
      <c r="Q355" s="14" t="n"/>
      <c r="R355" s="15" t="n"/>
      <c r="S355" s="14" t="n"/>
      <c r="T355" s="16" t="n"/>
      <c r="U355" s="16" t="n"/>
      <c r="V355" s="16" t="n"/>
      <c r="W355" s="16" t="n"/>
      <c r="X355" s="16" t="n"/>
      <c r="Y355" s="16" t="n"/>
      <c r="Z355" s="14" t="n"/>
      <c r="AA355" s="14" t="n"/>
      <c r="AB355" s="14" t="n"/>
      <c r="AC355" s="17">
        <f>IFERROR(VLOOKUP($H355&amp;"|"&amp;$Q355,Tariff_Master!$A$2:$L$169,3,FALSE),"")</f>
        <v/>
      </c>
      <c r="AD355" s="17">
        <f>IFERROR(VLOOKUP($H355&amp;"|"&amp;$Q355,Tariff_Master!$A$2:$L$169,4,FALSE),"")</f>
        <v/>
      </c>
      <c r="AE355" s="18">
        <f>IFERROR(VLOOKUP($H355&amp;"|"&amp;$Q355,Tariff_Master!$A$2:$L$169,6,FALSE),"")</f>
        <v/>
      </c>
      <c r="AF355" s="19">
        <f>IFERROR(VLOOKUP($H355&amp;"|"&amp;$Q355,Tariff_Master!$A$2:$L$169,7,FALSE),"")</f>
        <v/>
      </c>
      <c r="AG355" s="18">
        <f>IFERROR(VLOOKUP($H355&amp;"|"&amp;$Q355,Tariff_Master!$A$2:$L$169,8,FALSE),"")</f>
        <v/>
      </c>
      <c r="AH355" s="20">
        <f>IFERROR(VLOOKUP($H355&amp;"|"&amp;$Q355,Tariff_Master!$A$2:$L$169,9,FALSE),"")</f>
        <v/>
      </c>
      <c r="AI355" s="18">
        <f>IFERROR(VLOOKUP($H355&amp;"|"&amp;$Q355,Tariff_Master!$A$2:$L$169,10,FALSE),"")</f>
        <v/>
      </c>
      <c r="AJ355" s="21">
        <f>IF($M355="","",ROUNDUP(MAX(0,$M355),0))</f>
        <v/>
      </c>
      <c r="AK355" s="21">
        <f>IF(OR($AJ355="",$AF355=""),"",MAX(0,$AJ355-$AF355))</f>
        <v/>
      </c>
      <c r="AL355" s="22">
        <f>IF(OR($AK355="",$AG355=""),"",MAX(0,$AK355*$AG355))</f>
        <v/>
      </c>
      <c r="AM355" s="22">
        <f>IF($AE355="","",MAX(0,SUM($AE355,$AL355,$V355,$W355)))</f>
        <v/>
      </c>
      <c r="AN355" s="22">
        <f>IF($AM355="","",IF(AND($Q355="COMMITMENT",$R355&gt;=$AH355),$AI355,0))</f>
        <v/>
      </c>
      <c r="AO355" s="23">
        <f>IF($AM355="","",MAX(0,$AM355-$AN355))</f>
        <v/>
      </c>
      <c r="AP355" s="22">
        <f>IF($S355="","",IF(OR($S355="ITEM_PRICE_PLUS_DECLARED_DELIVERY",$S355="DELIVERY_CHARGE_ONLY"),$K355,IF($S355="TOTAL_AMOUNT_INCLUDING_DELIVERY",IF(OR($T355="",$J355=""),"",MAX(0,$T355-$J355-$U355)),IF($S355="ITEM_PRICE_ONLY_DELIVERY_PAID_BY_MERCHANT",0,""))))</f>
        <v/>
      </c>
      <c r="AQ355" s="23">
        <f>IF(OR($AP355="",$AO355=""),"",$AP355-$AO355)</f>
        <v/>
      </c>
      <c r="AR355" s="24">
        <f>IF($S355="EXACT_COLLECTION_AMOUNT","BREAKDOWN_REQUIRED",IF($AQ355="","",IF($AQ355&gt;0,"CREDIT_TO_MERCHANT",IF($AQ355&lt;0,"DEDUCT_FROM_MERCHANT","NO_ADJUSTMENT"))))</f>
        <v/>
      </c>
      <c r="AS355" s="23">
        <f>IF(OR($AQ355="",$AR355="BREAKDOWN_REQUIRED"),"",$AQ355)</f>
        <v/>
      </c>
      <c r="AT355" s="23">
        <f>IF(OR($AR355="",$AR355="BREAKDOWN_REQUIRED"),"",SUM($J355,$AQ355,$Y355)-$X355)</f>
        <v/>
      </c>
      <c r="AU355" s="25">
        <f>IF(AND($A355="",$B355="",$F355="",$H355="",$J355="",$K355="",$M355="",$S355=""),"",IF(OR($H355="",$Q355="",$M355="",$S355=""),"ERROR",IF(OR($J355&lt;0,$K355&lt;0,$M355&lt;0,$T355&lt;0,$U355&lt;0,$V355&lt;0,$W355&lt;0,$X355&lt;0,$Y355&lt;0),"ERROR",IF($AE355="","ERROR",IF(AND(OR($S355="ITEM_PRICE_PLUS_DECLARED_DELIVERY",$S355="TOTAL_AMOUNT_INCLUDING_DELIVERY",$S355="ITEM_PRICE_ONLY_DELIVERY_PAID_BY_MERCHANT"),$J355=""),"ERROR",IF(AND(OR($S355="ITEM_PRICE_PLUS_DECLARED_DELIVERY",$S355="DELIVERY_CHARGE_ONLY"),$K355=""),"ERROR",IF(AND(OR($S355="TOTAL_AMOUNT_INCLUDING_DELIVERY",$S355="EXACT_COLLECTION_AMOUNT"),$T355=""),"ERROR",IF(AND($S355="TOTAL_AMOUNT_INCLUDING_DELIVERY",$T355&lt;SUM($J355,$U355)),"ERROR",IF($S355="EXACT_COLLECTION_AMOUNT","REVIEW","OK")))))))))</f>
        <v/>
      </c>
      <c r="AV355" s="25">
        <f>IF($AU355="","",IF($H355="","Township required",IF($Q355="","Customer tier required",IF($M355="","Weight required",IF($S355="","Amount entry type required",IF(OR($J355&lt;0,$K355&lt;0,$M355&lt;0,$T355&lt;0,$U355&lt;0,$V355&lt;0,$W355&lt;0,$X355&lt;0,$Y355&lt;0),"Negative amounts are not allowed",IF($AE355="","Tariff not found for township and tier",IF(AND(OR($S355="ITEM_PRICE_PLUS_DECLARED_DELIVERY",$S355="TOTAL_AMOUNT_INCLUDING_DELIVERY",$S355="ITEM_PRICE_ONLY_DELIVERY_PAID_BY_MERCHANT"),$J355=""),"Item price required for this amount type",IF(AND(OR($S355="ITEM_PRICE_PLUS_DECLARED_DELIVERY",$S355="DELIVERY_CHARGE_ONLY"),$K355=""),"Declared delivery charge required",IF(AND(OR($S355="TOTAL_AMOUNT_INCLUDING_DELIVERY",$S355="EXACT_COLLECTION_AMOUNT"),$T355=""),"Stated total amount required",IF(AND($S355="TOTAL_AMOUNT_INCLUDING_DELIVERY",$T355&lt;SUM($J355,$U355)),"Stated total is below item price plus additional charge",IF($S355="EXACT_COLLECTION_AMOUNT","Authorized amount breakdown required before settlement","Ready for collection and settlement"))))))))))))</f>
        <v/>
      </c>
      <c r="AW355" s="23">
        <f>IF($AU355="","","PARCEL_FINANCIAL_V2")</f>
        <v/>
      </c>
      <c r="AX355" s="17" t="n"/>
    </row>
    <row r="356">
      <c r="A356" s="8" t="n"/>
      <c r="B356" s="8" t="n"/>
      <c r="C356" s="8" t="n"/>
      <c r="D356" s="8" t="n"/>
      <c r="E356" s="9" t="n"/>
      <c r="F356" s="9" t="n"/>
      <c r="G356" s="8" t="n"/>
      <c r="H356" s="9" t="n"/>
      <c r="I356" s="9" t="n"/>
      <c r="J356" s="10" t="n"/>
      <c r="K356" s="10" t="n"/>
      <c r="L356" s="11">
        <f>IF($S356="","",IF($S356="ITEM_PRICE_PLUS_DECLARED_DELIVERY",IF(OR($J356="",$K356=""),"",SUM($J356,$K356,$U356)),IF($S356="TOTAL_AMOUNT_INCLUDING_DELIVERY",IF($T356="","",$T356),IF($S356="DELIVERY_CHARGE_ONLY",IF($K356="","",SUM($K356,$U356)),IF($S356="EXACT_COLLECTION_AMOUNT",IF($T356="","",$T356),IF($S356="ITEM_PRICE_ONLY_DELIVERY_PAID_BY_MERCHANT",IF($J356="","",SUM($J356,$U356)),""))))))</f>
        <v/>
      </c>
      <c r="M356" s="12" t="n"/>
      <c r="N356" s="13" t="n"/>
      <c r="O356" s="13" t="n"/>
      <c r="P356" s="9" t="n"/>
      <c r="Q356" s="14" t="n"/>
      <c r="R356" s="15" t="n"/>
      <c r="S356" s="14" t="n"/>
      <c r="T356" s="16" t="n"/>
      <c r="U356" s="16" t="n"/>
      <c r="V356" s="16" t="n"/>
      <c r="W356" s="16" t="n"/>
      <c r="X356" s="16" t="n"/>
      <c r="Y356" s="16" t="n"/>
      <c r="Z356" s="14" t="n"/>
      <c r="AA356" s="14" t="n"/>
      <c r="AB356" s="14" t="n"/>
      <c r="AC356" s="17">
        <f>IFERROR(VLOOKUP($H356&amp;"|"&amp;$Q356,Tariff_Master!$A$2:$L$169,3,FALSE),"")</f>
        <v/>
      </c>
      <c r="AD356" s="17">
        <f>IFERROR(VLOOKUP($H356&amp;"|"&amp;$Q356,Tariff_Master!$A$2:$L$169,4,FALSE),"")</f>
        <v/>
      </c>
      <c r="AE356" s="18">
        <f>IFERROR(VLOOKUP($H356&amp;"|"&amp;$Q356,Tariff_Master!$A$2:$L$169,6,FALSE),"")</f>
        <v/>
      </c>
      <c r="AF356" s="19">
        <f>IFERROR(VLOOKUP($H356&amp;"|"&amp;$Q356,Tariff_Master!$A$2:$L$169,7,FALSE),"")</f>
        <v/>
      </c>
      <c r="AG356" s="18">
        <f>IFERROR(VLOOKUP($H356&amp;"|"&amp;$Q356,Tariff_Master!$A$2:$L$169,8,FALSE),"")</f>
        <v/>
      </c>
      <c r="AH356" s="20">
        <f>IFERROR(VLOOKUP($H356&amp;"|"&amp;$Q356,Tariff_Master!$A$2:$L$169,9,FALSE),"")</f>
        <v/>
      </c>
      <c r="AI356" s="18">
        <f>IFERROR(VLOOKUP($H356&amp;"|"&amp;$Q356,Tariff_Master!$A$2:$L$169,10,FALSE),"")</f>
        <v/>
      </c>
      <c r="AJ356" s="21">
        <f>IF($M356="","",ROUNDUP(MAX(0,$M356),0))</f>
        <v/>
      </c>
      <c r="AK356" s="21">
        <f>IF(OR($AJ356="",$AF356=""),"",MAX(0,$AJ356-$AF356))</f>
        <v/>
      </c>
      <c r="AL356" s="22">
        <f>IF(OR($AK356="",$AG356=""),"",MAX(0,$AK356*$AG356))</f>
        <v/>
      </c>
      <c r="AM356" s="22">
        <f>IF($AE356="","",MAX(0,SUM($AE356,$AL356,$V356,$W356)))</f>
        <v/>
      </c>
      <c r="AN356" s="22">
        <f>IF($AM356="","",IF(AND($Q356="COMMITMENT",$R356&gt;=$AH356),$AI356,0))</f>
        <v/>
      </c>
      <c r="AO356" s="23">
        <f>IF($AM356="","",MAX(0,$AM356-$AN356))</f>
        <v/>
      </c>
      <c r="AP356" s="22">
        <f>IF($S356="","",IF(OR($S356="ITEM_PRICE_PLUS_DECLARED_DELIVERY",$S356="DELIVERY_CHARGE_ONLY"),$K356,IF($S356="TOTAL_AMOUNT_INCLUDING_DELIVERY",IF(OR($T356="",$J356=""),"",MAX(0,$T356-$J356-$U356)),IF($S356="ITEM_PRICE_ONLY_DELIVERY_PAID_BY_MERCHANT",0,""))))</f>
        <v/>
      </c>
      <c r="AQ356" s="23">
        <f>IF(OR($AP356="",$AO356=""),"",$AP356-$AO356)</f>
        <v/>
      </c>
      <c r="AR356" s="24">
        <f>IF($S356="EXACT_COLLECTION_AMOUNT","BREAKDOWN_REQUIRED",IF($AQ356="","",IF($AQ356&gt;0,"CREDIT_TO_MERCHANT",IF($AQ356&lt;0,"DEDUCT_FROM_MERCHANT","NO_ADJUSTMENT"))))</f>
        <v/>
      </c>
      <c r="AS356" s="23">
        <f>IF(OR($AQ356="",$AR356="BREAKDOWN_REQUIRED"),"",$AQ356)</f>
        <v/>
      </c>
      <c r="AT356" s="23">
        <f>IF(OR($AR356="",$AR356="BREAKDOWN_REQUIRED"),"",SUM($J356,$AQ356,$Y356)-$X356)</f>
        <v/>
      </c>
      <c r="AU356" s="25">
        <f>IF(AND($A356="",$B356="",$F356="",$H356="",$J356="",$K356="",$M356="",$S356=""),"",IF(OR($H356="",$Q356="",$M356="",$S356=""),"ERROR",IF(OR($J356&lt;0,$K356&lt;0,$M356&lt;0,$T356&lt;0,$U356&lt;0,$V356&lt;0,$W356&lt;0,$X356&lt;0,$Y356&lt;0),"ERROR",IF($AE356="","ERROR",IF(AND(OR($S356="ITEM_PRICE_PLUS_DECLARED_DELIVERY",$S356="TOTAL_AMOUNT_INCLUDING_DELIVERY",$S356="ITEM_PRICE_ONLY_DELIVERY_PAID_BY_MERCHANT"),$J356=""),"ERROR",IF(AND(OR($S356="ITEM_PRICE_PLUS_DECLARED_DELIVERY",$S356="DELIVERY_CHARGE_ONLY"),$K356=""),"ERROR",IF(AND(OR($S356="TOTAL_AMOUNT_INCLUDING_DELIVERY",$S356="EXACT_COLLECTION_AMOUNT"),$T356=""),"ERROR",IF(AND($S356="TOTAL_AMOUNT_INCLUDING_DELIVERY",$T356&lt;SUM($J356,$U356)),"ERROR",IF($S356="EXACT_COLLECTION_AMOUNT","REVIEW","OK")))))))))</f>
        <v/>
      </c>
      <c r="AV356" s="25">
        <f>IF($AU356="","",IF($H356="","Township required",IF($Q356="","Customer tier required",IF($M356="","Weight required",IF($S356="","Amount entry type required",IF(OR($J356&lt;0,$K356&lt;0,$M356&lt;0,$T356&lt;0,$U356&lt;0,$V356&lt;0,$W356&lt;0,$X356&lt;0,$Y356&lt;0),"Negative amounts are not allowed",IF($AE356="","Tariff not found for township and tier",IF(AND(OR($S356="ITEM_PRICE_PLUS_DECLARED_DELIVERY",$S356="TOTAL_AMOUNT_INCLUDING_DELIVERY",$S356="ITEM_PRICE_ONLY_DELIVERY_PAID_BY_MERCHANT"),$J356=""),"Item price required for this amount type",IF(AND(OR($S356="ITEM_PRICE_PLUS_DECLARED_DELIVERY",$S356="DELIVERY_CHARGE_ONLY"),$K356=""),"Declared delivery charge required",IF(AND(OR($S356="TOTAL_AMOUNT_INCLUDING_DELIVERY",$S356="EXACT_COLLECTION_AMOUNT"),$T356=""),"Stated total amount required",IF(AND($S356="TOTAL_AMOUNT_INCLUDING_DELIVERY",$T356&lt;SUM($J356,$U356)),"Stated total is below item price plus additional charge",IF($S356="EXACT_COLLECTION_AMOUNT","Authorized amount breakdown required before settlement","Ready for collection and settlement"))))))))))))</f>
        <v/>
      </c>
      <c r="AW356" s="23">
        <f>IF($AU356="","","PARCEL_FINANCIAL_V2")</f>
        <v/>
      </c>
      <c r="AX356" s="17" t="n"/>
    </row>
    <row r="357">
      <c r="A357" s="8" t="n"/>
      <c r="B357" s="8" t="n"/>
      <c r="C357" s="8" t="n"/>
      <c r="D357" s="8" t="n"/>
      <c r="E357" s="9" t="n"/>
      <c r="F357" s="9" t="n"/>
      <c r="G357" s="8" t="n"/>
      <c r="H357" s="9" t="n"/>
      <c r="I357" s="9" t="n"/>
      <c r="J357" s="10" t="n"/>
      <c r="K357" s="10" t="n"/>
      <c r="L357" s="11">
        <f>IF($S357="","",IF($S357="ITEM_PRICE_PLUS_DECLARED_DELIVERY",IF(OR($J357="",$K357=""),"",SUM($J357,$K357,$U357)),IF($S357="TOTAL_AMOUNT_INCLUDING_DELIVERY",IF($T357="","",$T357),IF($S357="DELIVERY_CHARGE_ONLY",IF($K357="","",SUM($K357,$U357)),IF($S357="EXACT_COLLECTION_AMOUNT",IF($T357="","",$T357),IF($S357="ITEM_PRICE_ONLY_DELIVERY_PAID_BY_MERCHANT",IF($J357="","",SUM($J357,$U357)),""))))))</f>
        <v/>
      </c>
      <c r="M357" s="12" t="n"/>
      <c r="N357" s="13" t="n"/>
      <c r="O357" s="13" t="n"/>
      <c r="P357" s="9" t="n"/>
      <c r="Q357" s="14" t="n"/>
      <c r="R357" s="15" t="n"/>
      <c r="S357" s="14" t="n"/>
      <c r="T357" s="16" t="n"/>
      <c r="U357" s="16" t="n"/>
      <c r="V357" s="16" t="n"/>
      <c r="W357" s="16" t="n"/>
      <c r="X357" s="16" t="n"/>
      <c r="Y357" s="16" t="n"/>
      <c r="Z357" s="14" t="n"/>
      <c r="AA357" s="14" t="n"/>
      <c r="AB357" s="14" t="n"/>
      <c r="AC357" s="17">
        <f>IFERROR(VLOOKUP($H357&amp;"|"&amp;$Q357,Tariff_Master!$A$2:$L$169,3,FALSE),"")</f>
        <v/>
      </c>
      <c r="AD357" s="17">
        <f>IFERROR(VLOOKUP($H357&amp;"|"&amp;$Q357,Tariff_Master!$A$2:$L$169,4,FALSE),"")</f>
        <v/>
      </c>
      <c r="AE357" s="18">
        <f>IFERROR(VLOOKUP($H357&amp;"|"&amp;$Q357,Tariff_Master!$A$2:$L$169,6,FALSE),"")</f>
        <v/>
      </c>
      <c r="AF357" s="19">
        <f>IFERROR(VLOOKUP($H357&amp;"|"&amp;$Q357,Tariff_Master!$A$2:$L$169,7,FALSE),"")</f>
        <v/>
      </c>
      <c r="AG357" s="18">
        <f>IFERROR(VLOOKUP($H357&amp;"|"&amp;$Q357,Tariff_Master!$A$2:$L$169,8,FALSE),"")</f>
        <v/>
      </c>
      <c r="AH357" s="20">
        <f>IFERROR(VLOOKUP($H357&amp;"|"&amp;$Q357,Tariff_Master!$A$2:$L$169,9,FALSE),"")</f>
        <v/>
      </c>
      <c r="AI357" s="18">
        <f>IFERROR(VLOOKUP($H357&amp;"|"&amp;$Q357,Tariff_Master!$A$2:$L$169,10,FALSE),"")</f>
        <v/>
      </c>
      <c r="AJ357" s="21">
        <f>IF($M357="","",ROUNDUP(MAX(0,$M357),0))</f>
        <v/>
      </c>
      <c r="AK357" s="21">
        <f>IF(OR($AJ357="",$AF357=""),"",MAX(0,$AJ357-$AF357))</f>
        <v/>
      </c>
      <c r="AL357" s="22">
        <f>IF(OR($AK357="",$AG357=""),"",MAX(0,$AK357*$AG357))</f>
        <v/>
      </c>
      <c r="AM357" s="22">
        <f>IF($AE357="","",MAX(0,SUM($AE357,$AL357,$V357,$W357)))</f>
        <v/>
      </c>
      <c r="AN357" s="22">
        <f>IF($AM357="","",IF(AND($Q357="COMMITMENT",$R357&gt;=$AH357),$AI357,0))</f>
        <v/>
      </c>
      <c r="AO357" s="23">
        <f>IF($AM357="","",MAX(0,$AM357-$AN357))</f>
        <v/>
      </c>
      <c r="AP357" s="22">
        <f>IF($S357="","",IF(OR($S357="ITEM_PRICE_PLUS_DECLARED_DELIVERY",$S357="DELIVERY_CHARGE_ONLY"),$K357,IF($S357="TOTAL_AMOUNT_INCLUDING_DELIVERY",IF(OR($T357="",$J357=""),"",MAX(0,$T357-$J357-$U357)),IF($S357="ITEM_PRICE_ONLY_DELIVERY_PAID_BY_MERCHANT",0,""))))</f>
        <v/>
      </c>
      <c r="AQ357" s="23">
        <f>IF(OR($AP357="",$AO357=""),"",$AP357-$AO357)</f>
        <v/>
      </c>
      <c r="AR357" s="24">
        <f>IF($S357="EXACT_COLLECTION_AMOUNT","BREAKDOWN_REQUIRED",IF($AQ357="","",IF($AQ357&gt;0,"CREDIT_TO_MERCHANT",IF($AQ357&lt;0,"DEDUCT_FROM_MERCHANT","NO_ADJUSTMENT"))))</f>
        <v/>
      </c>
      <c r="AS357" s="23">
        <f>IF(OR($AQ357="",$AR357="BREAKDOWN_REQUIRED"),"",$AQ357)</f>
        <v/>
      </c>
      <c r="AT357" s="23">
        <f>IF(OR($AR357="",$AR357="BREAKDOWN_REQUIRED"),"",SUM($J357,$AQ357,$Y357)-$X357)</f>
        <v/>
      </c>
      <c r="AU357" s="25">
        <f>IF(AND($A357="",$B357="",$F357="",$H357="",$J357="",$K357="",$M357="",$S357=""),"",IF(OR($H357="",$Q357="",$M357="",$S357=""),"ERROR",IF(OR($J357&lt;0,$K357&lt;0,$M357&lt;0,$T357&lt;0,$U357&lt;0,$V357&lt;0,$W357&lt;0,$X357&lt;0,$Y357&lt;0),"ERROR",IF($AE357="","ERROR",IF(AND(OR($S357="ITEM_PRICE_PLUS_DECLARED_DELIVERY",$S357="TOTAL_AMOUNT_INCLUDING_DELIVERY",$S357="ITEM_PRICE_ONLY_DELIVERY_PAID_BY_MERCHANT"),$J357=""),"ERROR",IF(AND(OR($S357="ITEM_PRICE_PLUS_DECLARED_DELIVERY",$S357="DELIVERY_CHARGE_ONLY"),$K357=""),"ERROR",IF(AND(OR($S357="TOTAL_AMOUNT_INCLUDING_DELIVERY",$S357="EXACT_COLLECTION_AMOUNT"),$T357=""),"ERROR",IF(AND($S357="TOTAL_AMOUNT_INCLUDING_DELIVERY",$T357&lt;SUM($J357,$U357)),"ERROR",IF($S357="EXACT_COLLECTION_AMOUNT","REVIEW","OK")))))))))</f>
        <v/>
      </c>
      <c r="AV357" s="25">
        <f>IF($AU357="","",IF($H357="","Township required",IF($Q357="","Customer tier required",IF($M357="","Weight required",IF($S357="","Amount entry type required",IF(OR($J357&lt;0,$K357&lt;0,$M357&lt;0,$T357&lt;0,$U357&lt;0,$V357&lt;0,$W357&lt;0,$X357&lt;0,$Y357&lt;0),"Negative amounts are not allowed",IF($AE357="","Tariff not found for township and tier",IF(AND(OR($S357="ITEM_PRICE_PLUS_DECLARED_DELIVERY",$S357="TOTAL_AMOUNT_INCLUDING_DELIVERY",$S357="ITEM_PRICE_ONLY_DELIVERY_PAID_BY_MERCHANT"),$J357=""),"Item price required for this amount type",IF(AND(OR($S357="ITEM_PRICE_PLUS_DECLARED_DELIVERY",$S357="DELIVERY_CHARGE_ONLY"),$K357=""),"Declared delivery charge required",IF(AND(OR($S357="TOTAL_AMOUNT_INCLUDING_DELIVERY",$S357="EXACT_COLLECTION_AMOUNT"),$T357=""),"Stated total amount required",IF(AND($S357="TOTAL_AMOUNT_INCLUDING_DELIVERY",$T357&lt;SUM($J357,$U357)),"Stated total is below item price plus additional charge",IF($S357="EXACT_COLLECTION_AMOUNT","Authorized amount breakdown required before settlement","Ready for collection and settlement"))))))))))))</f>
        <v/>
      </c>
      <c r="AW357" s="23">
        <f>IF($AU357="","","PARCEL_FINANCIAL_V2")</f>
        <v/>
      </c>
      <c r="AX357" s="17" t="n"/>
    </row>
    <row r="358">
      <c r="A358" s="8" t="n"/>
      <c r="B358" s="8" t="n"/>
      <c r="C358" s="8" t="n"/>
      <c r="D358" s="8" t="n"/>
      <c r="E358" s="9" t="n"/>
      <c r="F358" s="9" t="n"/>
      <c r="G358" s="8" t="n"/>
      <c r="H358" s="9" t="n"/>
      <c r="I358" s="9" t="n"/>
      <c r="J358" s="10" t="n"/>
      <c r="K358" s="10" t="n"/>
      <c r="L358" s="11">
        <f>IF($S358="","",IF($S358="ITEM_PRICE_PLUS_DECLARED_DELIVERY",IF(OR($J358="",$K358=""),"",SUM($J358,$K358,$U358)),IF($S358="TOTAL_AMOUNT_INCLUDING_DELIVERY",IF($T358="","",$T358),IF($S358="DELIVERY_CHARGE_ONLY",IF($K358="","",SUM($K358,$U358)),IF($S358="EXACT_COLLECTION_AMOUNT",IF($T358="","",$T358),IF($S358="ITEM_PRICE_ONLY_DELIVERY_PAID_BY_MERCHANT",IF($J358="","",SUM($J358,$U358)),""))))))</f>
        <v/>
      </c>
      <c r="M358" s="12" t="n"/>
      <c r="N358" s="13" t="n"/>
      <c r="O358" s="13" t="n"/>
      <c r="P358" s="9" t="n"/>
      <c r="Q358" s="14" t="n"/>
      <c r="R358" s="15" t="n"/>
      <c r="S358" s="14" t="n"/>
      <c r="T358" s="16" t="n"/>
      <c r="U358" s="16" t="n"/>
      <c r="V358" s="16" t="n"/>
      <c r="W358" s="16" t="n"/>
      <c r="X358" s="16" t="n"/>
      <c r="Y358" s="16" t="n"/>
      <c r="Z358" s="14" t="n"/>
      <c r="AA358" s="14" t="n"/>
      <c r="AB358" s="14" t="n"/>
      <c r="AC358" s="17">
        <f>IFERROR(VLOOKUP($H358&amp;"|"&amp;$Q358,Tariff_Master!$A$2:$L$169,3,FALSE),"")</f>
        <v/>
      </c>
      <c r="AD358" s="17">
        <f>IFERROR(VLOOKUP($H358&amp;"|"&amp;$Q358,Tariff_Master!$A$2:$L$169,4,FALSE),"")</f>
        <v/>
      </c>
      <c r="AE358" s="18">
        <f>IFERROR(VLOOKUP($H358&amp;"|"&amp;$Q358,Tariff_Master!$A$2:$L$169,6,FALSE),"")</f>
        <v/>
      </c>
      <c r="AF358" s="19">
        <f>IFERROR(VLOOKUP($H358&amp;"|"&amp;$Q358,Tariff_Master!$A$2:$L$169,7,FALSE),"")</f>
        <v/>
      </c>
      <c r="AG358" s="18">
        <f>IFERROR(VLOOKUP($H358&amp;"|"&amp;$Q358,Tariff_Master!$A$2:$L$169,8,FALSE),"")</f>
        <v/>
      </c>
      <c r="AH358" s="20">
        <f>IFERROR(VLOOKUP($H358&amp;"|"&amp;$Q358,Tariff_Master!$A$2:$L$169,9,FALSE),"")</f>
        <v/>
      </c>
      <c r="AI358" s="18">
        <f>IFERROR(VLOOKUP($H358&amp;"|"&amp;$Q358,Tariff_Master!$A$2:$L$169,10,FALSE),"")</f>
        <v/>
      </c>
      <c r="AJ358" s="21">
        <f>IF($M358="","",ROUNDUP(MAX(0,$M358),0))</f>
        <v/>
      </c>
      <c r="AK358" s="21">
        <f>IF(OR($AJ358="",$AF358=""),"",MAX(0,$AJ358-$AF358))</f>
        <v/>
      </c>
      <c r="AL358" s="22">
        <f>IF(OR($AK358="",$AG358=""),"",MAX(0,$AK358*$AG358))</f>
        <v/>
      </c>
      <c r="AM358" s="22">
        <f>IF($AE358="","",MAX(0,SUM($AE358,$AL358,$V358,$W358)))</f>
        <v/>
      </c>
      <c r="AN358" s="22">
        <f>IF($AM358="","",IF(AND($Q358="COMMITMENT",$R358&gt;=$AH358),$AI358,0))</f>
        <v/>
      </c>
      <c r="AO358" s="23">
        <f>IF($AM358="","",MAX(0,$AM358-$AN358))</f>
        <v/>
      </c>
      <c r="AP358" s="22">
        <f>IF($S358="","",IF(OR($S358="ITEM_PRICE_PLUS_DECLARED_DELIVERY",$S358="DELIVERY_CHARGE_ONLY"),$K358,IF($S358="TOTAL_AMOUNT_INCLUDING_DELIVERY",IF(OR($T358="",$J358=""),"",MAX(0,$T358-$J358-$U358)),IF($S358="ITEM_PRICE_ONLY_DELIVERY_PAID_BY_MERCHANT",0,""))))</f>
        <v/>
      </c>
      <c r="AQ358" s="23">
        <f>IF(OR($AP358="",$AO358=""),"",$AP358-$AO358)</f>
        <v/>
      </c>
      <c r="AR358" s="24">
        <f>IF($S358="EXACT_COLLECTION_AMOUNT","BREAKDOWN_REQUIRED",IF($AQ358="","",IF($AQ358&gt;0,"CREDIT_TO_MERCHANT",IF($AQ358&lt;0,"DEDUCT_FROM_MERCHANT","NO_ADJUSTMENT"))))</f>
        <v/>
      </c>
      <c r="AS358" s="23">
        <f>IF(OR($AQ358="",$AR358="BREAKDOWN_REQUIRED"),"",$AQ358)</f>
        <v/>
      </c>
      <c r="AT358" s="23">
        <f>IF(OR($AR358="",$AR358="BREAKDOWN_REQUIRED"),"",SUM($J358,$AQ358,$Y358)-$X358)</f>
        <v/>
      </c>
      <c r="AU358" s="25">
        <f>IF(AND($A358="",$B358="",$F358="",$H358="",$J358="",$K358="",$M358="",$S358=""),"",IF(OR($H358="",$Q358="",$M358="",$S358=""),"ERROR",IF(OR($J358&lt;0,$K358&lt;0,$M358&lt;0,$T358&lt;0,$U358&lt;0,$V358&lt;0,$W358&lt;0,$X358&lt;0,$Y358&lt;0),"ERROR",IF($AE358="","ERROR",IF(AND(OR($S358="ITEM_PRICE_PLUS_DECLARED_DELIVERY",$S358="TOTAL_AMOUNT_INCLUDING_DELIVERY",$S358="ITEM_PRICE_ONLY_DELIVERY_PAID_BY_MERCHANT"),$J358=""),"ERROR",IF(AND(OR($S358="ITEM_PRICE_PLUS_DECLARED_DELIVERY",$S358="DELIVERY_CHARGE_ONLY"),$K358=""),"ERROR",IF(AND(OR($S358="TOTAL_AMOUNT_INCLUDING_DELIVERY",$S358="EXACT_COLLECTION_AMOUNT"),$T358=""),"ERROR",IF(AND($S358="TOTAL_AMOUNT_INCLUDING_DELIVERY",$T358&lt;SUM($J358,$U358)),"ERROR",IF($S358="EXACT_COLLECTION_AMOUNT","REVIEW","OK")))))))))</f>
        <v/>
      </c>
      <c r="AV358" s="25">
        <f>IF($AU358="","",IF($H358="","Township required",IF($Q358="","Customer tier required",IF($M358="","Weight required",IF($S358="","Amount entry type required",IF(OR($J358&lt;0,$K358&lt;0,$M358&lt;0,$T358&lt;0,$U358&lt;0,$V358&lt;0,$W358&lt;0,$X358&lt;0,$Y358&lt;0),"Negative amounts are not allowed",IF($AE358="","Tariff not found for township and tier",IF(AND(OR($S358="ITEM_PRICE_PLUS_DECLARED_DELIVERY",$S358="TOTAL_AMOUNT_INCLUDING_DELIVERY",$S358="ITEM_PRICE_ONLY_DELIVERY_PAID_BY_MERCHANT"),$J358=""),"Item price required for this amount type",IF(AND(OR($S358="ITEM_PRICE_PLUS_DECLARED_DELIVERY",$S358="DELIVERY_CHARGE_ONLY"),$K358=""),"Declared delivery charge required",IF(AND(OR($S358="TOTAL_AMOUNT_INCLUDING_DELIVERY",$S358="EXACT_COLLECTION_AMOUNT"),$T358=""),"Stated total amount required",IF(AND($S358="TOTAL_AMOUNT_INCLUDING_DELIVERY",$T358&lt;SUM($J358,$U358)),"Stated total is below item price plus additional charge",IF($S358="EXACT_COLLECTION_AMOUNT","Authorized amount breakdown required before settlement","Ready for collection and settlement"))))))))))))</f>
        <v/>
      </c>
      <c r="AW358" s="23">
        <f>IF($AU358="","","PARCEL_FINANCIAL_V2")</f>
        <v/>
      </c>
      <c r="AX358" s="17" t="n"/>
    </row>
    <row r="359">
      <c r="A359" s="8" t="n"/>
      <c r="B359" s="8" t="n"/>
      <c r="C359" s="8" t="n"/>
      <c r="D359" s="8" t="n"/>
      <c r="E359" s="9" t="n"/>
      <c r="F359" s="9" t="n"/>
      <c r="G359" s="8" t="n"/>
      <c r="H359" s="9" t="n"/>
      <c r="I359" s="9" t="n"/>
      <c r="J359" s="10" t="n"/>
      <c r="K359" s="10" t="n"/>
      <c r="L359" s="11">
        <f>IF($S359="","",IF($S359="ITEM_PRICE_PLUS_DECLARED_DELIVERY",IF(OR($J359="",$K359=""),"",SUM($J359,$K359,$U359)),IF($S359="TOTAL_AMOUNT_INCLUDING_DELIVERY",IF($T359="","",$T359),IF($S359="DELIVERY_CHARGE_ONLY",IF($K359="","",SUM($K359,$U359)),IF($S359="EXACT_COLLECTION_AMOUNT",IF($T359="","",$T359),IF($S359="ITEM_PRICE_ONLY_DELIVERY_PAID_BY_MERCHANT",IF($J359="","",SUM($J359,$U359)),""))))))</f>
        <v/>
      </c>
      <c r="M359" s="12" t="n"/>
      <c r="N359" s="13" t="n"/>
      <c r="O359" s="13" t="n"/>
      <c r="P359" s="9" t="n"/>
      <c r="Q359" s="14" t="n"/>
      <c r="R359" s="15" t="n"/>
      <c r="S359" s="14" t="n"/>
      <c r="T359" s="16" t="n"/>
      <c r="U359" s="16" t="n"/>
      <c r="V359" s="16" t="n"/>
      <c r="W359" s="16" t="n"/>
      <c r="X359" s="16" t="n"/>
      <c r="Y359" s="16" t="n"/>
      <c r="Z359" s="14" t="n"/>
      <c r="AA359" s="14" t="n"/>
      <c r="AB359" s="14" t="n"/>
      <c r="AC359" s="17">
        <f>IFERROR(VLOOKUP($H359&amp;"|"&amp;$Q359,Tariff_Master!$A$2:$L$169,3,FALSE),"")</f>
        <v/>
      </c>
      <c r="AD359" s="17">
        <f>IFERROR(VLOOKUP($H359&amp;"|"&amp;$Q359,Tariff_Master!$A$2:$L$169,4,FALSE),"")</f>
        <v/>
      </c>
      <c r="AE359" s="18">
        <f>IFERROR(VLOOKUP($H359&amp;"|"&amp;$Q359,Tariff_Master!$A$2:$L$169,6,FALSE),"")</f>
        <v/>
      </c>
      <c r="AF359" s="19">
        <f>IFERROR(VLOOKUP($H359&amp;"|"&amp;$Q359,Tariff_Master!$A$2:$L$169,7,FALSE),"")</f>
        <v/>
      </c>
      <c r="AG359" s="18">
        <f>IFERROR(VLOOKUP($H359&amp;"|"&amp;$Q359,Tariff_Master!$A$2:$L$169,8,FALSE),"")</f>
        <v/>
      </c>
      <c r="AH359" s="20">
        <f>IFERROR(VLOOKUP($H359&amp;"|"&amp;$Q359,Tariff_Master!$A$2:$L$169,9,FALSE),"")</f>
        <v/>
      </c>
      <c r="AI359" s="18">
        <f>IFERROR(VLOOKUP($H359&amp;"|"&amp;$Q359,Tariff_Master!$A$2:$L$169,10,FALSE),"")</f>
        <v/>
      </c>
      <c r="AJ359" s="21">
        <f>IF($M359="","",ROUNDUP(MAX(0,$M359),0))</f>
        <v/>
      </c>
      <c r="AK359" s="21">
        <f>IF(OR($AJ359="",$AF359=""),"",MAX(0,$AJ359-$AF359))</f>
        <v/>
      </c>
      <c r="AL359" s="22">
        <f>IF(OR($AK359="",$AG359=""),"",MAX(0,$AK359*$AG359))</f>
        <v/>
      </c>
      <c r="AM359" s="22">
        <f>IF($AE359="","",MAX(0,SUM($AE359,$AL359,$V359,$W359)))</f>
        <v/>
      </c>
      <c r="AN359" s="22">
        <f>IF($AM359="","",IF(AND($Q359="COMMITMENT",$R359&gt;=$AH359),$AI359,0))</f>
        <v/>
      </c>
      <c r="AO359" s="23">
        <f>IF($AM359="","",MAX(0,$AM359-$AN359))</f>
        <v/>
      </c>
      <c r="AP359" s="22">
        <f>IF($S359="","",IF(OR($S359="ITEM_PRICE_PLUS_DECLARED_DELIVERY",$S359="DELIVERY_CHARGE_ONLY"),$K359,IF($S359="TOTAL_AMOUNT_INCLUDING_DELIVERY",IF(OR($T359="",$J359=""),"",MAX(0,$T359-$J359-$U359)),IF($S359="ITEM_PRICE_ONLY_DELIVERY_PAID_BY_MERCHANT",0,""))))</f>
        <v/>
      </c>
      <c r="AQ359" s="23">
        <f>IF(OR($AP359="",$AO359=""),"",$AP359-$AO359)</f>
        <v/>
      </c>
      <c r="AR359" s="24">
        <f>IF($S359="EXACT_COLLECTION_AMOUNT","BREAKDOWN_REQUIRED",IF($AQ359="","",IF($AQ359&gt;0,"CREDIT_TO_MERCHANT",IF($AQ359&lt;0,"DEDUCT_FROM_MERCHANT","NO_ADJUSTMENT"))))</f>
        <v/>
      </c>
      <c r="AS359" s="23">
        <f>IF(OR($AQ359="",$AR359="BREAKDOWN_REQUIRED"),"",$AQ359)</f>
        <v/>
      </c>
      <c r="AT359" s="23">
        <f>IF(OR($AR359="",$AR359="BREAKDOWN_REQUIRED"),"",SUM($J359,$AQ359,$Y359)-$X359)</f>
        <v/>
      </c>
      <c r="AU359" s="25">
        <f>IF(AND($A359="",$B359="",$F359="",$H359="",$J359="",$K359="",$M359="",$S359=""),"",IF(OR($H359="",$Q359="",$M359="",$S359=""),"ERROR",IF(OR($J359&lt;0,$K359&lt;0,$M359&lt;0,$T359&lt;0,$U359&lt;0,$V359&lt;0,$W359&lt;0,$X359&lt;0,$Y359&lt;0),"ERROR",IF($AE359="","ERROR",IF(AND(OR($S359="ITEM_PRICE_PLUS_DECLARED_DELIVERY",$S359="TOTAL_AMOUNT_INCLUDING_DELIVERY",$S359="ITEM_PRICE_ONLY_DELIVERY_PAID_BY_MERCHANT"),$J359=""),"ERROR",IF(AND(OR($S359="ITEM_PRICE_PLUS_DECLARED_DELIVERY",$S359="DELIVERY_CHARGE_ONLY"),$K359=""),"ERROR",IF(AND(OR($S359="TOTAL_AMOUNT_INCLUDING_DELIVERY",$S359="EXACT_COLLECTION_AMOUNT"),$T359=""),"ERROR",IF(AND($S359="TOTAL_AMOUNT_INCLUDING_DELIVERY",$T359&lt;SUM($J359,$U359)),"ERROR",IF($S359="EXACT_COLLECTION_AMOUNT","REVIEW","OK")))))))))</f>
        <v/>
      </c>
      <c r="AV359" s="25">
        <f>IF($AU359="","",IF($H359="","Township required",IF($Q359="","Customer tier required",IF($M359="","Weight required",IF($S359="","Amount entry type required",IF(OR($J359&lt;0,$K359&lt;0,$M359&lt;0,$T359&lt;0,$U359&lt;0,$V359&lt;0,$W359&lt;0,$X359&lt;0,$Y359&lt;0),"Negative amounts are not allowed",IF($AE359="","Tariff not found for township and tier",IF(AND(OR($S359="ITEM_PRICE_PLUS_DECLARED_DELIVERY",$S359="TOTAL_AMOUNT_INCLUDING_DELIVERY",$S359="ITEM_PRICE_ONLY_DELIVERY_PAID_BY_MERCHANT"),$J359=""),"Item price required for this amount type",IF(AND(OR($S359="ITEM_PRICE_PLUS_DECLARED_DELIVERY",$S359="DELIVERY_CHARGE_ONLY"),$K359=""),"Declared delivery charge required",IF(AND(OR($S359="TOTAL_AMOUNT_INCLUDING_DELIVERY",$S359="EXACT_COLLECTION_AMOUNT"),$T359=""),"Stated total amount required",IF(AND($S359="TOTAL_AMOUNT_INCLUDING_DELIVERY",$T359&lt;SUM($J359,$U359)),"Stated total is below item price plus additional charge",IF($S359="EXACT_COLLECTION_AMOUNT","Authorized amount breakdown required before settlement","Ready for collection and settlement"))))))))))))</f>
        <v/>
      </c>
      <c r="AW359" s="23">
        <f>IF($AU359="","","PARCEL_FINANCIAL_V2")</f>
        <v/>
      </c>
      <c r="AX359" s="17" t="n"/>
    </row>
    <row r="360">
      <c r="A360" s="8" t="n"/>
      <c r="B360" s="8" t="n"/>
      <c r="C360" s="8" t="n"/>
      <c r="D360" s="8" t="n"/>
      <c r="E360" s="9" t="n"/>
      <c r="F360" s="9" t="n"/>
      <c r="G360" s="8" t="n"/>
      <c r="H360" s="9" t="n"/>
      <c r="I360" s="9" t="n"/>
      <c r="J360" s="10" t="n"/>
      <c r="K360" s="10" t="n"/>
      <c r="L360" s="11">
        <f>IF($S360="","",IF($S360="ITEM_PRICE_PLUS_DECLARED_DELIVERY",IF(OR($J360="",$K360=""),"",SUM($J360,$K360,$U360)),IF($S360="TOTAL_AMOUNT_INCLUDING_DELIVERY",IF($T360="","",$T360),IF($S360="DELIVERY_CHARGE_ONLY",IF($K360="","",SUM($K360,$U360)),IF($S360="EXACT_COLLECTION_AMOUNT",IF($T360="","",$T360),IF($S360="ITEM_PRICE_ONLY_DELIVERY_PAID_BY_MERCHANT",IF($J360="","",SUM($J360,$U360)),""))))))</f>
        <v/>
      </c>
      <c r="M360" s="12" t="n"/>
      <c r="N360" s="13" t="n"/>
      <c r="O360" s="13" t="n"/>
      <c r="P360" s="9" t="n"/>
      <c r="Q360" s="14" t="n"/>
      <c r="R360" s="15" t="n"/>
      <c r="S360" s="14" t="n"/>
      <c r="T360" s="16" t="n"/>
      <c r="U360" s="16" t="n"/>
      <c r="V360" s="16" t="n"/>
      <c r="W360" s="16" t="n"/>
      <c r="X360" s="16" t="n"/>
      <c r="Y360" s="16" t="n"/>
      <c r="Z360" s="14" t="n"/>
      <c r="AA360" s="14" t="n"/>
      <c r="AB360" s="14" t="n"/>
      <c r="AC360" s="17">
        <f>IFERROR(VLOOKUP($H360&amp;"|"&amp;$Q360,Tariff_Master!$A$2:$L$169,3,FALSE),"")</f>
        <v/>
      </c>
      <c r="AD360" s="17">
        <f>IFERROR(VLOOKUP($H360&amp;"|"&amp;$Q360,Tariff_Master!$A$2:$L$169,4,FALSE),"")</f>
        <v/>
      </c>
      <c r="AE360" s="18">
        <f>IFERROR(VLOOKUP($H360&amp;"|"&amp;$Q360,Tariff_Master!$A$2:$L$169,6,FALSE),"")</f>
        <v/>
      </c>
      <c r="AF360" s="19">
        <f>IFERROR(VLOOKUP($H360&amp;"|"&amp;$Q360,Tariff_Master!$A$2:$L$169,7,FALSE),"")</f>
        <v/>
      </c>
      <c r="AG360" s="18">
        <f>IFERROR(VLOOKUP($H360&amp;"|"&amp;$Q360,Tariff_Master!$A$2:$L$169,8,FALSE),"")</f>
        <v/>
      </c>
      <c r="AH360" s="20">
        <f>IFERROR(VLOOKUP($H360&amp;"|"&amp;$Q360,Tariff_Master!$A$2:$L$169,9,FALSE),"")</f>
        <v/>
      </c>
      <c r="AI360" s="18">
        <f>IFERROR(VLOOKUP($H360&amp;"|"&amp;$Q360,Tariff_Master!$A$2:$L$169,10,FALSE),"")</f>
        <v/>
      </c>
      <c r="AJ360" s="21">
        <f>IF($M360="","",ROUNDUP(MAX(0,$M360),0))</f>
        <v/>
      </c>
      <c r="AK360" s="21">
        <f>IF(OR($AJ360="",$AF360=""),"",MAX(0,$AJ360-$AF360))</f>
        <v/>
      </c>
      <c r="AL360" s="22">
        <f>IF(OR($AK360="",$AG360=""),"",MAX(0,$AK360*$AG360))</f>
        <v/>
      </c>
      <c r="AM360" s="22">
        <f>IF($AE360="","",MAX(0,SUM($AE360,$AL360,$V360,$W360)))</f>
        <v/>
      </c>
      <c r="AN360" s="22">
        <f>IF($AM360="","",IF(AND($Q360="COMMITMENT",$R360&gt;=$AH360),$AI360,0))</f>
        <v/>
      </c>
      <c r="AO360" s="23">
        <f>IF($AM360="","",MAX(0,$AM360-$AN360))</f>
        <v/>
      </c>
      <c r="AP360" s="22">
        <f>IF($S360="","",IF(OR($S360="ITEM_PRICE_PLUS_DECLARED_DELIVERY",$S360="DELIVERY_CHARGE_ONLY"),$K360,IF($S360="TOTAL_AMOUNT_INCLUDING_DELIVERY",IF(OR($T360="",$J360=""),"",MAX(0,$T360-$J360-$U360)),IF($S360="ITEM_PRICE_ONLY_DELIVERY_PAID_BY_MERCHANT",0,""))))</f>
        <v/>
      </c>
      <c r="AQ360" s="23">
        <f>IF(OR($AP360="",$AO360=""),"",$AP360-$AO360)</f>
        <v/>
      </c>
      <c r="AR360" s="24">
        <f>IF($S360="EXACT_COLLECTION_AMOUNT","BREAKDOWN_REQUIRED",IF($AQ360="","",IF($AQ360&gt;0,"CREDIT_TO_MERCHANT",IF($AQ360&lt;0,"DEDUCT_FROM_MERCHANT","NO_ADJUSTMENT"))))</f>
        <v/>
      </c>
      <c r="AS360" s="23">
        <f>IF(OR($AQ360="",$AR360="BREAKDOWN_REQUIRED"),"",$AQ360)</f>
        <v/>
      </c>
      <c r="AT360" s="23">
        <f>IF(OR($AR360="",$AR360="BREAKDOWN_REQUIRED"),"",SUM($J360,$AQ360,$Y360)-$X360)</f>
        <v/>
      </c>
      <c r="AU360" s="25">
        <f>IF(AND($A360="",$B360="",$F360="",$H360="",$J360="",$K360="",$M360="",$S360=""),"",IF(OR($H360="",$Q360="",$M360="",$S360=""),"ERROR",IF(OR($J360&lt;0,$K360&lt;0,$M360&lt;0,$T360&lt;0,$U360&lt;0,$V360&lt;0,$W360&lt;0,$X360&lt;0,$Y360&lt;0),"ERROR",IF($AE360="","ERROR",IF(AND(OR($S360="ITEM_PRICE_PLUS_DECLARED_DELIVERY",$S360="TOTAL_AMOUNT_INCLUDING_DELIVERY",$S360="ITEM_PRICE_ONLY_DELIVERY_PAID_BY_MERCHANT"),$J360=""),"ERROR",IF(AND(OR($S360="ITEM_PRICE_PLUS_DECLARED_DELIVERY",$S360="DELIVERY_CHARGE_ONLY"),$K360=""),"ERROR",IF(AND(OR($S360="TOTAL_AMOUNT_INCLUDING_DELIVERY",$S360="EXACT_COLLECTION_AMOUNT"),$T360=""),"ERROR",IF(AND($S360="TOTAL_AMOUNT_INCLUDING_DELIVERY",$T360&lt;SUM($J360,$U360)),"ERROR",IF($S360="EXACT_COLLECTION_AMOUNT","REVIEW","OK")))))))))</f>
        <v/>
      </c>
      <c r="AV360" s="25">
        <f>IF($AU360="","",IF($H360="","Township required",IF($Q360="","Customer tier required",IF($M360="","Weight required",IF($S360="","Amount entry type required",IF(OR($J360&lt;0,$K360&lt;0,$M360&lt;0,$T360&lt;0,$U360&lt;0,$V360&lt;0,$W360&lt;0,$X360&lt;0,$Y360&lt;0),"Negative amounts are not allowed",IF($AE360="","Tariff not found for township and tier",IF(AND(OR($S360="ITEM_PRICE_PLUS_DECLARED_DELIVERY",$S360="TOTAL_AMOUNT_INCLUDING_DELIVERY",$S360="ITEM_PRICE_ONLY_DELIVERY_PAID_BY_MERCHANT"),$J360=""),"Item price required for this amount type",IF(AND(OR($S360="ITEM_PRICE_PLUS_DECLARED_DELIVERY",$S360="DELIVERY_CHARGE_ONLY"),$K360=""),"Declared delivery charge required",IF(AND(OR($S360="TOTAL_AMOUNT_INCLUDING_DELIVERY",$S360="EXACT_COLLECTION_AMOUNT"),$T360=""),"Stated total amount required",IF(AND($S360="TOTAL_AMOUNT_INCLUDING_DELIVERY",$T360&lt;SUM($J360,$U360)),"Stated total is below item price plus additional charge",IF($S360="EXACT_COLLECTION_AMOUNT","Authorized amount breakdown required before settlement","Ready for collection and settlement"))))))))))))</f>
        <v/>
      </c>
      <c r="AW360" s="23">
        <f>IF($AU360="","","PARCEL_FINANCIAL_V2")</f>
        <v/>
      </c>
      <c r="AX360" s="17" t="n"/>
    </row>
    <row r="361">
      <c r="A361" s="8" t="n"/>
      <c r="B361" s="8" t="n"/>
      <c r="C361" s="8" t="n"/>
      <c r="D361" s="8" t="n"/>
      <c r="E361" s="9" t="n"/>
      <c r="F361" s="9" t="n"/>
      <c r="G361" s="8" t="n"/>
      <c r="H361" s="9" t="n"/>
      <c r="I361" s="9" t="n"/>
      <c r="J361" s="10" t="n"/>
      <c r="K361" s="10" t="n"/>
      <c r="L361" s="11">
        <f>IF($S361="","",IF($S361="ITEM_PRICE_PLUS_DECLARED_DELIVERY",IF(OR($J361="",$K361=""),"",SUM($J361,$K361,$U361)),IF($S361="TOTAL_AMOUNT_INCLUDING_DELIVERY",IF($T361="","",$T361),IF($S361="DELIVERY_CHARGE_ONLY",IF($K361="","",SUM($K361,$U361)),IF($S361="EXACT_COLLECTION_AMOUNT",IF($T361="","",$T361),IF($S361="ITEM_PRICE_ONLY_DELIVERY_PAID_BY_MERCHANT",IF($J361="","",SUM($J361,$U361)),""))))))</f>
        <v/>
      </c>
      <c r="M361" s="12" t="n"/>
      <c r="N361" s="13" t="n"/>
      <c r="O361" s="13" t="n"/>
      <c r="P361" s="9" t="n"/>
      <c r="Q361" s="14" t="n"/>
      <c r="R361" s="15" t="n"/>
      <c r="S361" s="14" t="n"/>
      <c r="T361" s="16" t="n"/>
      <c r="U361" s="16" t="n"/>
      <c r="V361" s="16" t="n"/>
      <c r="W361" s="16" t="n"/>
      <c r="X361" s="16" t="n"/>
      <c r="Y361" s="16" t="n"/>
      <c r="Z361" s="14" t="n"/>
      <c r="AA361" s="14" t="n"/>
      <c r="AB361" s="14" t="n"/>
      <c r="AC361" s="17">
        <f>IFERROR(VLOOKUP($H361&amp;"|"&amp;$Q361,Tariff_Master!$A$2:$L$169,3,FALSE),"")</f>
        <v/>
      </c>
      <c r="AD361" s="17">
        <f>IFERROR(VLOOKUP($H361&amp;"|"&amp;$Q361,Tariff_Master!$A$2:$L$169,4,FALSE),"")</f>
        <v/>
      </c>
      <c r="AE361" s="18">
        <f>IFERROR(VLOOKUP($H361&amp;"|"&amp;$Q361,Tariff_Master!$A$2:$L$169,6,FALSE),"")</f>
        <v/>
      </c>
      <c r="AF361" s="19">
        <f>IFERROR(VLOOKUP($H361&amp;"|"&amp;$Q361,Tariff_Master!$A$2:$L$169,7,FALSE),"")</f>
        <v/>
      </c>
      <c r="AG361" s="18">
        <f>IFERROR(VLOOKUP($H361&amp;"|"&amp;$Q361,Tariff_Master!$A$2:$L$169,8,FALSE),"")</f>
        <v/>
      </c>
      <c r="AH361" s="20">
        <f>IFERROR(VLOOKUP($H361&amp;"|"&amp;$Q361,Tariff_Master!$A$2:$L$169,9,FALSE),"")</f>
        <v/>
      </c>
      <c r="AI361" s="18">
        <f>IFERROR(VLOOKUP($H361&amp;"|"&amp;$Q361,Tariff_Master!$A$2:$L$169,10,FALSE),"")</f>
        <v/>
      </c>
      <c r="AJ361" s="21">
        <f>IF($M361="","",ROUNDUP(MAX(0,$M361),0))</f>
        <v/>
      </c>
      <c r="AK361" s="21">
        <f>IF(OR($AJ361="",$AF361=""),"",MAX(0,$AJ361-$AF361))</f>
        <v/>
      </c>
      <c r="AL361" s="22">
        <f>IF(OR($AK361="",$AG361=""),"",MAX(0,$AK361*$AG361))</f>
        <v/>
      </c>
      <c r="AM361" s="22">
        <f>IF($AE361="","",MAX(0,SUM($AE361,$AL361,$V361,$W361)))</f>
        <v/>
      </c>
      <c r="AN361" s="22">
        <f>IF($AM361="","",IF(AND($Q361="COMMITMENT",$R361&gt;=$AH361),$AI361,0))</f>
        <v/>
      </c>
      <c r="AO361" s="23">
        <f>IF($AM361="","",MAX(0,$AM361-$AN361))</f>
        <v/>
      </c>
      <c r="AP361" s="22">
        <f>IF($S361="","",IF(OR($S361="ITEM_PRICE_PLUS_DECLARED_DELIVERY",$S361="DELIVERY_CHARGE_ONLY"),$K361,IF($S361="TOTAL_AMOUNT_INCLUDING_DELIVERY",IF(OR($T361="",$J361=""),"",MAX(0,$T361-$J361-$U361)),IF($S361="ITEM_PRICE_ONLY_DELIVERY_PAID_BY_MERCHANT",0,""))))</f>
        <v/>
      </c>
      <c r="AQ361" s="23">
        <f>IF(OR($AP361="",$AO361=""),"",$AP361-$AO361)</f>
        <v/>
      </c>
      <c r="AR361" s="24">
        <f>IF($S361="EXACT_COLLECTION_AMOUNT","BREAKDOWN_REQUIRED",IF($AQ361="","",IF($AQ361&gt;0,"CREDIT_TO_MERCHANT",IF($AQ361&lt;0,"DEDUCT_FROM_MERCHANT","NO_ADJUSTMENT"))))</f>
        <v/>
      </c>
      <c r="AS361" s="23">
        <f>IF(OR($AQ361="",$AR361="BREAKDOWN_REQUIRED"),"",$AQ361)</f>
        <v/>
      </c>
      <c r="AT361" s="23">
        <f>IF(OR($AR361="",$AR361="BREAKDOWN_REQUIRED"),"",SUM($J361,$AQ361,$Y361)-$X361)</f>
        <v/>
      </c>
      <c r="AU361" s="25">
        <f>IF(AND($A361="",$B361="",$F361="",$H361="",$J361="",$K361="",$M361="",$S361=""),"",IF(OR($H361="",$Q361="",$M361="",$S361=""),"ERROR",IF(OR($J361&lt;0,$K361&lt;0,$M361&lt;0,$T361&lt;0,$U361&lt;0,$V361&lt;0,$W361&lt;0,$X361&lt;0,$Y361&lt;0),"ERROR",IF($AE361="","ERROR",IF(AND(OR($S361="ITEM_PRICE_PLUS_DECLARED_DELIVERY",$S361="TOTAL_AMOUNT_INCLUDING_DELIVERY",$S361="ITEM_PRICE_ONLY_DELIVERY_PAID_BY_MERCHANT"),$J361=""),"ERROR",IF(AND(OR($S361="ITEM_PRICE_PLUS_DECLARED_DELIVERY",$S361="DELIVERY_CHARGE_ONLY"),$K361=""),"ERROR",IF(AND(OR($S361="TOTAL_AMOUNT_INCLUDING_DELIVERY",$S361="EXACT_COLLECTION_AMOUNT"),$T361=""),"ERROR",IF(AND($S361="TOTAL_AMOUNT_INCLUDING_DELIVERY",$T361&lt;SUM($J361,$U361)),"ERROR",IF($S361="EXACT_COLLECTION_AMOUNT","REVIEW","OK")))))))))</f>
        <v/>
      </c>
      <c r="AV361" s="25">
        <f>IF($AU361="","",IF($H361="","Township required",IF($Q361="","Customer tier required",IF($M361="","Weight required",IF($S361="","Amount entry type required",IF(OR($J361&lt;0,$K361&lt;0,$M361&lt;0,$T361&lt;0,$U361&lt;0,$V361&lt;0,$W361&lt;0,$X361&lt;0,$Y361&lt;0),"Negative amounts are not allowed",IF($AE361="","Tariff not found for township and tier",IF(AND(OR($S361="ITEM_PRICE_PLUS_DECLARED_DELIVERY",$S361="TOTAL_AMOUNT_INCLUDING_DELIVERY",$S361="ITEM_PRICE_ONLY_DELIVERY_PAID_BY_MERCHANT"),$J361=""),"Item price required for this amount type",IF(AND(OR($S361="ITEM_PRICE_PLUS_DECLARED_DELIVERY",$S361="DELIVERY_CHARGE_ONLY"),$K361=""),"Declared delivery charge required",IF(AND(OR($S361="TOTAL_AMOUNT_INCLUDING_DELIVERY",$S361="EXACT_COLLECTION_AMOUNT"),$T361=""),"Stated total amount required",IF(AND($S361="TOTAL_AMOUNT_INCLUDING_DELIVERY",$T361&lt;SUM($J361,$U361)),"Stated total is below item price plus additional charge",IF($S361="EXACT_COLLECTION_AMOUNT","Authorized amount breakdown required before settlement","Ready for collection and settlement"))))))))))))</f>
        <v/>
      </c>
      <c r="AW361" s="23">
        <f>IF($AU361="","","PARCEL_FINANCIAL_V2")</f>
        <v/>
      </c>
      <c r="AX361" s="17" t="n"/>
    </row>
    <row r="362">
      <c r="A362" s="8" t="n"/>
      <c r="B362" s="8" t="n"/>
      <c r="C362" s="8" t="n"/>
      <c r="D362" s="8" t="n"/>
      <c r="E362" s="9" t="n"/>
      <c r="F362" s="9" t="n"/>
      <c r="G362" s="8" t="n"/>
      <c r="H362" s="9" t="n"/>
      <c r="I362" s="9" t="n"/>
      <c r="J362" s="10" t="n"/>
      <c r="K362" s="10" t="n"/>
      <c r="L362" s="11">
        <f>IF($S362="","",IF($S362="ITEM_PRICE_PLUS_DECLARED_DELIVERY",IF(OR($J362="",$K362=""),"",SUM($J362,$K362,$U362)),IF($S362="TOTAL_AMOUNT_INCLUDING_DELIVERY",IF($T362="","",$T362),IF($S362="DELIVERY_CHARGE_ONLY",IF($K362="","",SUM($K362,$U362)),IF($S362="EXACT_COLLECTION_AMOUNT",IF($T362="","",$T362),IF($S362="ITEM_PRICE_ONLY_DELIVERY_PAID_BY_MERCHANT",IF($J362="","",SUM($J362,$U362)),""))))))</f>
        <v/>
      </c>
      <c r="M362" s="12" t="n"/>
      <c r="N362" s="13" t="n"/>
      <c r="O362" s="13" t="n"/>
      <c r="P362" s="9" t="n"/>
      <c r="Q362" s="14" t="n"/>
      <c r="R362" s="15" t="n"/>
      <c r="S362" s="14" t="n"/>
      <c r="T362" s="16" t="n"/>
      <c r="U362" s="16" t="n"/>
      <c r="V362" s="16" t="n"/>
      <c r="W362" s="16" t="n"/>
      <c r="X362" s="16" t="n"/>
      <c r="Y362" s="16" t="n"/>
      <c r="Z362" s="14" t="n"/>
      <c r="AA362" s="14" t="n"/>
      <c r="AB362" s="14" t="n"/>
      <c r="AC362" s="17">
        <f>IFERROR(VLOOKUP($H362&amp;"|"&amp;$Q362,Tariff_Master!$A$2:$L$169,3,FALSE),"")</f>
        <v/>
      </c>
      <c r="AD362" s="17">
        <f>IFERROR(VLOOKUP($H362&amp;"|"&amp;$Q362,Tariff_Master!$A$2:$L$169,4,FALSE),"")</f>
        <v/>
      </c>
      <c r="AE362" s="18">
        <f>IFERROR(VLOOKUP($H362&amp;"|"&amp;$Q362,Tariff_Master!$A$2:$L$169,6,FALSE),"")</f>
        <v/>
      </c>
      <c r="AF362" s="19">
        <f>IFERROR(VLOOKUP($H362&amp;"|"&amp;$Q362,Tariff_Master!$A$2:$L$169,7,FALSE),"")</f>
        <v/>
      </c>
      <c r="AG362" s="18">
        <f>IFERROR(VLOOKUP($H362&amp;"|"&amp;$Q362,Tariff_Master!$A$2:$L$169,8,FALSE),"")</f>
        <v/>
      </c>
      <c r="AH362" s="20">
        <f>IFERROR(VLOOKUP($H362&amp;"|"&amp;$Q362,Tariff_Master!$A$2:$L$169,9,FALSE),"")</f>
        <v/>
      </c>
      <c r="AI362" s="18">
        <f>IFERROR(VLOOKUP($H362&amp;"|"&amp;$Q362,Tariff_Master!$A$2:$L$169,10,FALSE),"")</f>
        <v/>
      </c>
      <c r="AJ362" s="21">
        <f>IF($M362="","",ROUNDUP(MAX(0,$M362),0))</f>
        <v/>
      </c>
      <c r="AK362" s="21">
        <f>IF(OR($AJ362="",$AF362=""),"",MAX(0,$AJ362-$AF362))</f>
        <v/>
      </c>
      <c r="AL362" s="22">
        <f>IF(OR($AK362="",$AG362=""),"",MAX(0,$AK362*$AG362))</f>
        <v/>
      </c>
      <c r="AM362" s="22">
        <f>IF($AE362="","",MAX(0,SUM($AE362,$AL362,$V362,$W362)))</f>
        <v/>
      </c>
      <c r="AN362" s="22">
        <f>IF($AM362="","",IF(AND($Q362="COMMITMENT",$R362&gt;=$AH362),$AI362,0))</f>
        <v/>
      </c>
      <c r="AO362" s="23">
        <f>IF($AM362="","",MAX(0,$AM362-$AN362))</f>
        <v/>
      </c>
      <c r="AP362" s="22">
        <f>IF($S362="","",IF(OR($S362="ITEM_PRICE_PLUS_DECLARED_DELIVERY",$S362="DELIVERY_CHARGE_ONLY"),$K362,IF($S362="TOTAL_AMOUNT_INCLUDING_DELIVERY",IF(OR($T362="",$J362=""),"",MAX(0,$T362-$J362-$U362)),IF($S362="ITEM_PRICE_ONLY_DELIVERY_PAID_BY_MERCHANT",0,""))))</f>
        <v/>
      </c>
      <c r="AQ362" s="23">
        <f>IF(OR($AP362="",$AO362=""),"",$AP362-$AO362)</f>
        <v/>
      </c>
      <c r="AR362" s="24">
        <f>IF($S362="EXACT_COLLECTION_AMOUNT","BREAKDOWN_REQUIRED",IF($AQ362="","",IF($AQ362&gt;0,"CREDIT_TO_MERCHANT",IF($AQ362&lt;0,"DEDUCT_FROM_MERCHANT","NO_ADJUSTMENT"))))</f>
        <v/>
      </c>
      <c r="AS362" s="23">
        <f>IF(OR($AQ362="",$AR362="BREAKDOWN_REQUIRED"),"",$AQ362)</f>
        <v/>
      </c>
      <c r="AT362" s="23">
        <f>IF(OR($AR362="",$AR362="BREAKDOWN_REQUIRED"),"",SUM($J362,$AQ362,$Y362)-$X362)</f>
        <v/>
      </c>
      <c r="AU362" s="25">
        <f>IF(AND($A362="",$B362="",$F362="",$H362="",$J362="",$K362="",$M362="",$S362=""),"",IF(OR($H362="",$Q362="",$M362="",$S362=""),"ERROR",IF(OR($J362&lt;0,$K362&lt;0,$M362&lt;0,$T362&lt;0,$U362&lt;0,$V362&lt;0,$W362&lt;0,$X362&lt;0,$Y362&lt;0),"ERROR",IF($AE362="","ERROR",IF(AND(OR($S362="ITEM_PRICE_PLUS_DECLARED_DELIVERY",$S362="TOTAL_AMOUNT_INCLUDING_DELIVERY",$S362="ITEM_PRICE_ONLY_DELIVERY_PAID_BY_MERCHANT"),$J362=""),"ERROR",IF(AND(OR($S362="ITEM_PRICE_PLUS_DECLARED_DELIVERY",$S362="DELIVERY_CHARGE_ONLY"),$K362=""),"ERROR",IF(AND(OR($S362="TOTAL_AMOUNT_INCLUDING_DELIVERY",$S362="EXACT_COLLECTION_AMOUNT"),$T362=""),"ERROR",IF(AND($S362="TOTAL_AMOUNT_INCLUDING_DELIVERY",$T362&lt;SUM($J362,$U362)),"ERROR",IF($S362="EXACT_COLLECTION_AMOUNT","REVIEW","OK")))))))))</f>
        <v/>
      </c>
      <c r="AV362" s="25">
        <f>IF($AU362="","",IF($H362="","Township required",IF($Q362="","Customer tier required",IF($M362="","Weight required",IF($S362="","Amount entry type required",IF(OR($J362&lt;0,$K362&lt;0,$M362&lt;0,$T362&lt;0,$U362&lt;0,$V362&lt;0,$W362&lt;0,$X362&lt;0,$Y362&lt;0),"Negative amounts are not allowed",IF($AE362="","Tariff not found for township and tier",IF(AND(OR($S362="ITEM_PRICE_PLUS_DECLARED_DELIVERY",$S362="TOTAL_AMOUNT_INCLUDING_DELIVERY",$S362="ITEM_PRICE_ONLY_DELIVERY_PAID_BY_MERCHANT"),$J362=""),"Item price required for this amount type",IF(AND(OR($S362="ITEM_PRICE_PLUS_DECLARED_DELIVERY",$S362="DELIVERY_CHARGE_ONLY"),$K362=""),"Declared delivery charge required",IF(AND(OR($S362="TOTAL_AMOUNT_INCLUDING_DELIVERY",$S362="EXACT_COLLECTION_AMOUNT"),$T362=""),"Stated total amount required",IF(AND($S362="TOTAL_AMOUNT_INCLUDING_DELIVERY",$T362&lt;SUM($J362,$U362)),"Stated total is below item price plus additional charge",IF($S362="EXACT_COLLECTION_AMOUNT","Authorized amount breakdown required before settlement","Ready for collection and settlement"))))))))))))</f>
        <v/>
      </c>
      <c r="AW362" s="23">
        <f>IF($AU362="","","PARCEL_FINANCIAL_V2")</f>
        <v/>
      </c>
      <c r="AX362" s="17" t="n"/>
    </row>
    <row r="363">
      <c r="A363" s="8" t="n"/>
      <c r="B363" s="8" t="n"/>
      <c r="C363" s="8" t="n"/>
      <c r="D363" s="8" t="n"/>
      <c r="E363" s="9" t="n"/>
      <c r="F363" s="9" t="n"/>
      <c r="G363" s="8" t="n"/>
      <c r="H363" s="9" t="n"/>
      <c r="I363" s="9" t="n"/>
      <c r="J363" s="10" t="n"/>
      <c r="K363" s="10" t="n"/>
      <c r="L363" s="11">
        <f>IF($S363="","",IF($S363="ITEM_PRICE_PLUS_DECLARED_DELIVERY",IF(OR($J363="",$K363=""),"",SUM($J363,$K363,$U363)),IF($S363="TOTAL_AMOUNT_INCLUDING_DELIVERY",IF($T363="","",$T363),IF($S363="DELIVERY_CHARGE_ONLY",IF($K363="","",SUM($K363,$U363)),IF($S363="EXACT_COLLECTION_AMOUNT",IF($T363="","",$T363),IF($S363="ITEM_PRICE_ONLY_DELIVERY_PAID_BY_MERCHANT",IF($J363="","",SUM($J363,$U363)),""))))))</f>
        <v/>
      </c>
      <c r="M363" s="12" t="n"/>
      <c r="N363" s="13" t="n"/>
      <c r="O363" s="13" t="n"/>
      <c r="P363" s="9" t="n"/>
      <c r="Q363" s="14" t="n"/>
      <c r="R363" s="15" t="n"/>
      <c r="S363" s="14" t="n"/>
      <c r="T363" s="16" t="n"/>
      <c r="U363" s="16" t="n"/>
      <c r="V363" s="16" t="n"/>
      <c r="W363" s="16" t="n"/>
      <c r="X363" s="16" t="n"/>
      <c r="Y363" s="16" t="n"/>
      <c r="Z363" s="14" t="n"/>
      <c r="AA363" s="14" t="n"/>
      <c r="AB363" s="14" t="n"/>
      <c r="AC363" s="17">
        <f>IFERROR(VLOOKUP($H363&amp;"|"&amp;$Q363,Tariff_Master!$A$2:$L$169,3,FALSE),"")</f>
        <v/>
      </c>
      <c r="AD363" s="17">
        <f>IFERROR(VLOOKUP($H363&amp;"|"&amp;$Q363,Tariff_Master!$A$2:$L$169,4,FALSE),"")</f>
        <v/>
      </c>
      <c r="AE363" s="18">
        <f>IFERROR(VLOOKUP($H363&amp;"|"&amp;$Q363,Tariff_Master!$A$2:$L$169,6,FALSE),"")</f>
        <v/>
      </c>
      <c r="AF363" s="19">
        <f>IFERROR(VLOOKUP($H363&amp;"|"&amp;$Q363,Tariff_Master!$A$2:$L$169,7,FALSE),"")</f>
        <v/>
      </c>
      <c r="AG363" s="18">
        <f>IFERROR(VLOOKUP($H363&amp;"|"&amp;$Q363,Tariff_Master!$A$2:$L$169,8,FALSE),"")</f>
        <v/>
      </c>
      <c r="AH363" s="20">
        <f>IFERROR(VLOOKUP($H363&amp;"|"&amp;$Q363,Tariff_Master!$A$2:$L$169,9,FALSE),"")</f>
        <v/>
      </c>
      <c r="AI363" s="18">
        <f>IFERROR(VLOOKUP($H363&amp;"|"&amp;$Q363,Tariff_Master!$A$2:$L$169,10,FALSE),"")</f>
        <v/>
      </c>
      <c r="AJ363" s="21">
        <f>IF($M363="","",ROUNDUP(MAX(0,$M363),0))</f>
        <v/>
      </c>
      <c r="AK363" s="21">
        <f>IF(OR($AJ363="",$AF363=""),"",MAX(0,$AJ363-$AF363))</f>
        <v/>
      </c>
      <c r="AL363" s="22">
        <f>IF(OR($AK363="",$AG363=""),"",MAX(0,$AK363*$AG363))</f>
        <v/>
      </c>
      <c r="AM363" s="22">
        <f>IF($AE363="","",MAX(0,SUM($AE363,$AL363,$V363,$W363)))</f>
        <v/>
      </c>
      <c r="AN363" s="22">
        <f>IF($AM363="","",IF(AND($Q363="COMMITMENT",$R363&gt;=$AH363),$AI363,0))</f>
        <v/>
      </c>
      <c r="AO363" s="23">
        <f>IF($AM363="","",MAX(0,$AM363-$AN363))</f>
        <v/>
      </c>
      <c r="AP363" s="22">
        <f>IF($S363="","",IF(OR($S363="ITEM_PRICE_PLUS_DECLARED_DELIVERY",$S363="DELIVERY_CHARGE_ONLY"),$K363,IF($S363="TOTAL_AMOUNT_INCLUDING_DELIVERY",IF(OR($T363="",$J363=""),"",MAX(0,$T363-$J363-$U363)),IF($S363="ITEM_PRICE_ONLY_DELIVERY_PAID_BY_MERCHANT",0,""))))</f>
        <v/>
      </c>
      <c r="AQ363" s="23">
        <f>IF(OR($AP363="",$AO363=""),"",$AP363-$AO363)</f>
        <v/>
      </c>
      <c r="AR363" s="24">
        <f>IF($S363="EXACT_COLLECTION_AMOUNT","BREAKDOWN_REQUIRED",IF($AQ363="","",IF($AQ363&gt;0,"CREDIT_TO_MERCHANT",IF($AQ363&lt;0,"DEDUCT_FROM_MERCHANT","NO_ADJUSTMENT"))))</f>
        <v/>
      </c>
      <c r="AS363" s="23">
        <f>IF(OR($AQ363="",$AR363="BREAKDOWN_REQUIRED"),"",$AQ363)</f>
        <v/>
      </c>
      <c r="AT363" s="23">
        <f>IF(OR($AR363="",$AR363="BREAKDOWN_REQUIRED"),"",SUM($J363,$AQ363,$Y363)-$X363)</f>
        <v/>
      </c>
      <c r="AU363" s="25">
        <f>IF(AND($A363="",$B363="",$F363="",$H363="",$J363="",$K363="",$M363="",$S363=""),"",IF(OR($H363="",$Q363="",$M363="",$S363=""),"ERROR",IF(OR($J363&lt;0,$K363&lt;0,$M363&lt;0,$T363&lt;0,$U363&lt;0,$V363&lt;0,$W363&lt;0,$X363&lt;0,$Y363&lt;0),"ERROR",IF($AE363="","ERROR",IF(AND(OR($S363="ITEM_PRICE_PLUS_DECLARED_DELIVERY",$S363="TOTAL_AMOUNT_INCLUDING_DELIVERY",$S363="ITEM_PRICE_ONLY_DELIVERY_PAID_BY_MERCHANT"),$J363=""),"ERROR",IF(AND(OR($S363="ITEM_PRICE_PLUS_DECLARED_DELIVERY",$S363="DELIVERY_CHARGE_ONLY"),$K363=""),"ERROR",IF(AND(OR($S363="TOTAL_AMOUNT_INCLUDING_DELIVERY",$S363="EXACT_COLLECTION_AMOUNT"),$T363=""),"ERROR",IF(AND($S363="TOTAL_AMOUNT_INCLUDING_DELIVERY",$T363&lt;SUM($J363,$U363)),"ERROR",IF($S363="EXACT_COLLECTION_AMOUNT","REVIEW","OK")))))))))</f>
        <v/>
      </c>
      <c r="AV363" s="25">
        <f>IF($AU363="","",IF($H363="","Township required",IF($Q363="","Customer tier required",IF($M363="","Weight required",IF($S363="","Amount entry type required",IF(OR($J363&lt;0,$K363&lt;0,$M363&lt;0,$T363&lt;0,$U363&lt;0,$V363&lt;0,$W363&lt;0,$X363&lt;0,$Y363&lt;0),"Negative amounts are not allowed",IF($AE363="","Tariff not found for township and tier",IF(AND(OR($S363="ITEM_PRICE_PLUS_DECLARED_DELIVERY",$S363="TOTAL_AMOUNT_INCLUDING_DELIVERY",$S363="ITEM_PRICE_ONLY_DELIVERY_PAID_BY_MERCHANT"),$J363=""),"Item price required for this amount type",IF(AND(OR($S363="ITEM_PRICE_PLUS_DECLARED_DELIVERY",$S363="DELIVERY_CHARGE_ONLY"),$K363=""),"Declared delivery charge required",IF(AND(OR($S363="TOTAL_AMOUNT_INCLUDING_DELIVERY",$S363="EXACT_COLLECTION_AMOUNT"),$T363=""),"Stated total amount required",IF(AND($S363="TOTAL_AMOUNT_INCLUDING_DELIVERY",$T363&lt;SUM($J363,$U363)),"Stated total is below item price plus additional charge",IF($S363="EXACT_COLLECTION_AMOUNT","Authorized amount breakdown required before settlement","Ready for collection and settlement"))))))))))))</f>
        <v/>
      </c>
      <c r="AW363" s="23">
        <f>IF($AU363="","","PARCEL_FINANCIAL_V2")</f>
        <v/>
      </c>
      <c r="AX363" s="17" t="n"/>
    </row>
    <row r="364">
      <c r="A364" s="8" t="n"/>
      <c r="B364" s="8" t="n"/>
      <c r="C364" s="8" t="n"/>
      <c r="D364" s="8" t="n"/>
      <c r="E364" s="9" t="n"/>
      <c r="F364" s="9" t="n"/>
      <c r="G364" s="8" t="n"/>
      <c r="H364" s="9" t="n"/>
      <c r="I364" s="9" t="n"/>
      <c r="J364" s="10" t="n"/>
      <c r="K364" s="10" t="n"/>
      <c r="L364" s="11">
        <f>IF($S364="","",IF($S364="ITEM_PRICE_PLUS_DECLARED_DELIVERY",IF(OR($J364="",$K364=""),"",SUM($J364,$K364,$U364)),IF($S364="TOTAL_AMOUNT_INCLUDING_DELIVERY",IF($T364="","",$T364),IF($S364="DELIVERY_CHARGE_ONLY",IF($K364="","",SUM($K364,$U364)),IF($S364="EXACT_COLLECTION_AMOUNT",IF($T364="","",$T364),IF($S364="ITEM_PRICE_ONLY_DELIVERY_PAID_BY_MERCHANT",IF($J364="","",SUM($J364,$U364)),""))))))</f>
        <v/>
      </c>
      <c r="M364" s="12" t="n"/>
      <c r="N364" s="13" t="n"/>
      <c r="O364" s="13" t="n"/>
      <c r="P364" s="9" t="n"/>
      <c r="Q364" s="14" t="n"/>
      <c r="R364" s="15" t="n"/>
      <c r="S364" s="14" t="n"/>
      <c r="T364" s="16" t="n"/>
      <c r="U364" s="16" t="n"/>
      <c r="V364" s="16" t="n"/>
      <c r="W364" s="16" t="n"/>
      <c r="X364" s="16" t="n"/>
      <c r="Y364" s="16" t="n"/>
      <c r="Z364" s="14" t="n"/>
      <c r="AA364" s="14" t="n"/>
      <c r="AB364" s="14" t="n"/>
      <c r="AC364" s="17">
        <f>IFERROR(VLOOKUP($H364&amp;"|"&amp;$Q364,Tariff_Master!$A$2:$L$169,3,FALSE),"")</f>
        <v/>
      </c>
      <c r="AD364" s="17">
        <f>IFERROR(VLOOKUP($H364&amp;"|"&amp;$Q364,Tariff_Master!$A$2:$L$169,4,FALSE),"")</f>
        <v/>
      </c>
      <c r="AE364" s="18">
        <f>IFERROR(VLOOKUP($H364&amp;"|"&amp;$Q364,Tariff_Master!$A$2:$L$169,6,FALSE),"")</f>
        <v/>
      </c>
      <c r="AF364" s="19">
        <f>IFERROR(VLOOKUP($H364&amp;"|"&amp;$Q364,Tariff_Master!$A$2:$L$169,7,FALSE),"")</f>
        <v/>
      </c>
      <c r="AG364" s="18">
        <f>IFERROR(VLOOKUP($H364&amp;"|"&amp;$Q364,Tariff_Master!$A$2:$L$169,8,FALSE),"")</f>
        <v/>
      </c>
      <c r="AH364" s="20">
        <f>IFERROR(VLOOKUP($H364&amp;"|"&amp;$Q364,Tariff_Master!$A$2:$L$169,9,FALSE),"")</f>
        <v/>
      </c>
      <c r="AI364" s="18">
        <f>IFERROR(VLOOKUP($H364&amp;"|"&amp;$Q364,Tariff_Master!$A$2:$L$169,10,FALSE),"")</f>
        <v/>
      </c>
      <c r="AJ364" s="21">
        <f>IF($M364="","",ROUNDUP(MAX(0,$M364),0))</f>
        <v/>
      </c>
      <c r="AK364" s="21">
        <f>IF(OR($AJ364="",$AF364=""),"",MAX(0,$AJ364-$AF364))</f>
        <v/>
      </c>
      <c r="AL364" s="22">
        <f>IF(OR($AK364="",$AG364=""),"",MAX(0,$AK364*$AG364))</f>
        <v/>
      </c>
      <c r="AM364" s="22">
        <f>IF($AE364="","",MAX(0,SUM($AE364,$AL364,$V364,$W364)))</f>
        <v/>
      </c>
      <c r="AN364" s="22">
        <f>IF($AM364="","",IF(AND($Q364="COMMITMENT",$R364&gt;=$AH364),$AI364,0))</f>
        <v/>
      </c>
      <c r="AO364" s="23">
        <f>IF($AM364="","",MAX(0,$AM364-$AN364))</f>
        <v/>
      </c>
      <c r="AP364" s="22">
        <f>IF($S364="","",IF(OR($S364="ITEM_PRICE_PLUS_DECLARED_DELIVERY",$S364="DELIVERY_CHARGE_ONLY"),$K364,IF($S364="TOTAL_AMOUNT_INCLUDING_DELIVERY",IF(OR($T364="",$J364=""),"",MAX(0,$T364-$J364-$U364)),IF($S364="ITEM_PRICE_ONLY_DELIVERY_PAID_BY_MERCHANT",0,""))))</f>
        <v/>
      </c>
      <c r="AQ364" s="23">
        <f>IF(OR($AP364="",$AO364=""),"",$AP364-$AO364)</f>
        <v/>
      </c>
      <c r="AR364" s="24">
        <f>IF($S364="EXACT_COLLECTION_AMOUNT","BREAKDOWN_REQUIRED",IF($AQ364="","",IF($AQ364&gt;0,"CREDIT_TO_MERCHANT",IF($AQ364&lt;0,"DEDUCT_FROM_MERCHANT","NO_ADJUSTMENT"))))</f>
        <v/>
      </c>
      <c r="AS364" s="23">
        <f>IF(OR($AQ364="",$AR364="BREAKDOWN_REQUIRED"),"",$AQ364)</f>
        <v/>
      </c>
      <c r="AT364" s="23">
        <f>IF(OR($AR364="",$AR364="BREAKDOWN_REQUIRED"),"",SUM($J364,$AQ364,$Y364)-$X364)</f>
        <v/>
      </c>
      <c r="AU364" s="25">
        <f>IF(AND($A364="",$B364="",$F364="",$H364="",$J364="",$K364="",$M364="",$S364=""),"",IF(OR($H364="",$Q364="",$M364="",$S364=""),"ERROR",IF(OR($J364&lt;0,$K364&lt;0,$M364&lt;0,$T364&lt;0,$U364&lt;0,$V364&lt;0,$W364&lt;0,$X364&lt;0,$Y364&lt;0),"ERROR",IF($AE364="","ERROR",IF(AND(OR($S364="ITEM_PRICE_PLUS_DECLARED_DELIVERY",$S364="TOTAL_AMOUNT_INCLUDING_DELIVERY",$S364="ITEM_PRICE_ONLY_DELIVERY_PAID_BY_MERCHANT"),$J364=""),"ERROR",IF(AND(OR($S364="ITEM_PRICE_PLUS_DECLARED_DELIVERY",$S364="DELIVERY_CHARGE_ONLY"),$K364=""),"ERROR",IF(AND(OR($S364="TOTAL_AMOUNT_INCLUDING_DELIVERY",$S364="EXACT_COLLECTION_AMOUNT"),$T364=""),"ERROR",IF(AND($S364="TOTAL_AMOUNT_INCLUDING_DELIVERY",$T364&lt;SUM($J364,$U364)),"ERROR",IF($S364="EXACT_COLLECTION_AMOUNT","REVIEW","OK")))))))))</f>
        <v/>
      </c>
      <c r="AV364" s="25">
        <f>IF($AU364="","",IF($H364="","Township required",IF($Q364="","Customer tier required",IF($M364="","Weight required",IF($S364="","Amount entry type required",IF(OR($J364&lt;0,$K364&lt;0,$M364&lt;0,$T364&lt;0,$U364&lt;0,$V364&lt;0,$W364&lt;0,$X364&lt;0,$Y364&lt;0),"Negative amounts are not allowed",IF($AE364="","Tariff not found for township and tier",IF(AND(OR($S364="ITEM_PRICE_PLUS_DECLARED_DELIVERY",$S364="TOTAL_AMOUNT_INCLUDING_DELIVERY",$S364="ITEM_PRICE_ONLY_DELIVERY_PAID_BY_MERCHANT"),$J364=""),"Item price required for this amount type",IF(AND(OR($S364="ITEM_PRICE_PLUS_DECLARED_DELIVERY",$S364="DELIVERY_CHARGE_ONLY"),$K364=""),"Declared delivery charge required",IF(AND(OR($S364="TOTAL_AMOUNT_INCLUDING_DELIVERY",$S364="EXACT_COLLECTION_AMOUNT"),$T364=""),"Stated total amount required",IF(AND($S364="TOTAL_AMOUNT_INCLUDING_DELIVERY",$T364&lt;SUM($J364,$U364)),"Stated total is below item price plus additional charge",IF($S364="EXACT_COLLECTION_AMOUNT","Authorized amount breakdown required before settlement","Ready for collection and settlement"))))))))))))</f>
        <v/>
      </c>
      <c r="AW364" s="23">
        <f>IF($AU364="","","PARCEL_FINANCIAL_V2")</f>
        <v/>
      </c>
      <c r="AX364" s="17" t="n"/>
    </row>
    <row r="365">
      <c r="A365" s="8" t="n"/>
      <c r="B365" s="8" t="n"/>
      <c r="C365" s="8" t="n"/>
      <c r="D365" s="8" t="n"/>
      <c r="E365" s="9" t="n"/>
      <c r="F365" s="9" t="n"/>
      <c r="G365" s="8" t="n"/>
      <c r="H365" s="9" t="n"/>
      <c r="I365" s="9" t="n"/>
      <c r="J365" s="10" t="n"/>
      <c r="K365" s="10" t="n"/>
      <c r="L365" s="11">
        <f>IF($S365="","",IF($S365="ITEM_PRICE_PLUS_DECLARED_DELIVERY",IF(OR($J365="",$K365=""),"",SUM($J365,$K365,$U365)),IF($S365="TOTAL_AMOUNT_INCLUDING_DELIVERY",IF($T365="","",$T365),IF($S365="DELIVERY_CHARGE_ONLY",IF($K365="","",SUM($K365,$U365)),IF($S365="EXACT_COLLECTION_AMOUNT",IF($T365="","",$T365),IF($S365="ITEM_PRICE_ONLY_DELIVERY_PAID_BY_MERCHANT",IF($J365="","",SUM($J365,$U365)),""))))))</f>
        <v/>
      </c>
      <c r="M365" s="12" t="n"/>
      <c r="N365" s="13" t="n"/>
      <c r="O365" s="13" t="n"/>
      <c r="P365" s="9" t="n"/>
      <c r="Q365" s="14" t="n"/>
      <c r="R365" s="15" t="n"/>
      <c r="S365" s="14" t="n"/>
      <c r="T365" s="16" t="n"/>
      <c r="U365" s="16" t="n"/>
      <c r="V365" s="16" t="n"/>
      <c r="W365" s="16" t="n"/>
      <c r="X365" s="16" t="n"/>
      <c r="Y365" s="16" t="n"/>
      <c r="Z365" s="14" t="n"/>
      <c r="AA365" s="14" t="n"/>
      <c r="AB365" s="14" t="n"/>
      <c r="AC365" s="17">
        <f>IFERROR(VLOOKUP($H365&amp;"|"&amp;$Q365,Tariff_Master!$A$2:$L$169,3,FALSE),"")</f>
        <v/>
      </c>
      <c r="AD365" s="17">
        <f>IFERROR(VLOOKUP($H365&amp;"|"&amp;$Q365,Tariff_Master!$A$2:$L$169,4,FALSE),"")</f>
        <v/>
      </c>
      <c r="AE365" s="18">
        <f>IFERROR(VLOOKUP($H365&amp;"|"&amp;$Q365,Tariff_Master!$A$2:$L$169,6,FALSE),"")</f>
        <v/>
      </c>
      <c r="AF365" s="19">
        <f>IFERROR(VLOOKUP($H365&amp;"|"&amp;$Q365,Tariff_Master!$A$2:$L$169,7,FALSE),"")</f>
        <v/>
      </c>
      <c r="AG365" s="18">
        <f>IFERROR(VLOOKUP($H365&amp;"|"&amp;$Q365,Tariff_Master!$A$2:$L$169,8,FALSE),"")</f>
        <v/>
      </c>
      <c r="AH365" s="20">
        <f>IFERROR(VLOOKUP($H365&amp;"|"&amp;$Q365,Tariff_Master!$A$2:$L$169,9,FALSE),"")</f>
        <v/>
      </c>
      <c r="AI365" s="18">
        <f>IFERROR(VLOOKUP($H365&amp;"|"&amp;$Q365,Tariff_Master!$A$2:$L$169,10,FALSE),"")</f>
        <v/>
      </c>
      <c r="AJ365" s="21">
        <f>IF($M365="","",ROUNDUP(MAX(0,$M365),0))</f>
        <v/>
      </c>
      <c r="AK365" s="21">
        <f>IF(OR($AJ365="",$AF365=""),"",MAX(0,$AJ365-$AF365))</f>
        <v/>
      </c>
      <c r="AL365" s="22">
        <f>IF(OR($AK365="",$AG365=""),"",MAX(0,$AK365*$AG365))</f>
        <v/>
      </c>
      <c r="AM365" s="22">
        <f>IF($AE365="","",MAX(0,SUM($AE365,$AL365,$V365,$W365)))</f>
        <v/>
      </c>
      <c r="AN365" s="22">
        <f>IF($AM365="","",IF(AND($Q365="COMMITMENT",$R365&gt;=$AH365),$AI365,0))</f>
        <v/>
      </c>
      <c r="AO365" s="23">
        <f>IF($AM365="","",MAX(0,$AM365-$AN365))</f>
        <v/>
      </c>
      <c r="AP365" s="22">
        <f>IF($S365="","",IF(OR($S365="ITEM_PRICE_PLUS_DECLARED_DELIVERY",$S365="DELIVERY_CHARGE_ONLY"),$K365,IF($S365="TOTAL_AMOUNT_INCLUDING_DELIVERY",IF(OR($T365="",$J365=""),"",MAX(0,$T365-$J365-$U365)),IF($S365="ITEM_PRICE_ONLY_DELIVERY_PAID_BY_MERCHANT",0,""))))</f>
        <v/>
      </c>
      <c r="AQ365" s="23">
        <f>IF(OR($AP365="",$AO365=""),"",$AP365-$AO365)</f>
        <v/>
      </c>
      <c r="AR365" s="24">
        <f>IF($S365="EXACT_COLLECTION_AMOUNT","BREAKDOWN_REQUIRED",IF($AQ365="","",IF($AQ365&gt;0,"CREDIT_TO_MERCHANT",IF($AQ365&lt;0,"DEDUCT_FROM_MERCHANT","NO_ADJUSTMENT"))))</f>
        <v/>
      </c>
      <c r="AS365" s="23">
        <f>IF(OR($AQ365="",$AR365="BREAKDOWN_REQUIRED"),"",$AQ365)</f>
        <v/>
      </c>
      <c r="AT365" s="23">
        <f>IF(OR($AR365="",$AR365="BREAKDOWN_REQUIRED"),"",SUM($J365,$AQ365,$Y365)-$X365)</f>
        <v/>
      </c>
      <c r="AU365" s="25">
        <f>IF(AND($A365="",$B365="",$F365="",$H365="",$J365="",$K365="",$M365="",$S365=""),"",IF(OR($H365="",$Q365="",$M365="",$S365=""),"ERROR",IF(OR($J365&lt;0,$K365&lt;0,$M365&lt;0,$T365&lt;0,$U365&lt;0,$V365&lt;0,$W365&lt;0,$X365&lt;0,$Y365&lt;0),"ERROR",IF($AE365="","ERROR",IF(AND(OR($S365="ITEM_PRICE_PLUS_DECLARED_DELIVERY",$S365="TOTAL_AMOUNT_INCLUDING_DELIVERY",$S365="ITEM_PRICE_ONLY_DELIVERY_PAID_BY_MERCHANT"),$J365=""),"ERROR",IF(AND(OR($S365="ITEM_PRICE_PLUS_DECLARED_DELIVERY",$S365="DELIVERY_CHARGE_ONLY"),$K365=""),"ERROR",IF(AND(OR($S365="TOTAL_AMOUNT_INCLUDING_DELIVERY",$S365="EXACT_COLLECTION_AMOUNT"),$T365=""),"ERROR",IF(AND($S365="TOTAL_AMOUNT_INCLUDING_DELIVERY",$T365&lt;SUM($J365,$U365)),"ERROR",IF($S365="EXACT_COLLECTION_AMOUNT","REVIEW","OK")))))))))</f>
        <v/>
      </c>
      <c r="AV365" s="25">
        <f>IF($AU365="","",IF($H365="","Township required",IF($Q365="","Customer tier required",IF($M365="","Weight required",IF($S365="","Amount entry type required",IF(OR($J365&lt;0,$K365&lt;0,$M365&lt;0,$T365&lt;0,$U365&lt;0,$V365&lt;0,$W365&lt;0,$X365&lt;0,$Y365&lt;0),"Negative amounts are not allowed",IF($AE365="","Tariff not found for township and tier",IF(AND(OR($S365="ITEM_PRICE_PLUS_DECLARED_DELIVERY",$S365="TOTAL_AMOUNT_INCLUDING_DELIVERY",$S365="ITEM_PRICE_ONLY_DELIVERY_PAID_BY_MERCHANT"),$J365=""),"Item price required for this amount type",IF(AND(OR($S365="ITEM_PRICE_PLUS_DECLARED_DELIVERY",$S365="DELIVERY_CHARGE_ONLY"),$K365=""),"Declared delivery charge required",IF(AND(OR($S365="TOTAL_AMOUNT_INCLUDING_DELIVERY",$S365="EXACT_COLLECTION_AMOUNT"),$T365=""),"Stated total amount required",IF(AND($S365="TOTAL_AMOUNT_INCLUDING_DELIVERY",$T365&lt;SUM($J365,$U365)),"Stated total is below item price plus additional charge",IF($S365="EXACT_COLLECTION_AMOUNT","Authorized amount breakdown required before settlement","Ready for collection and settlement"))))))))))))</f>
        <v/>
      </c>
      <c r="AW365" s="23">
        <f>IF($AU365="","","PARCEL_FINANCIAL_V2")</f>
        <v/>
      </c>
      <c r="AX365" s="17" t="n"/>
    </row>
    <row r="366">
      <c r="A366" s="8" t="n"/>
      <c r="B366" s="8" t="n"/>
      <c r="C366" s="8" t="n"/>
      <c r="D366" s="8" t="n"/>
      <c r="E366" s="9" t="n"/>
      <c r="F366" s="9" t="n"/>
      <c r="G366" s="8" t="n"/>
      <c r="H366" s="9" t="n"/>
      <c r="I366" s="9" t="n"/>
      <c r="J366" s="10" t="n"/>
      <c r="K366" s="10" t="n"/>
      <c r="L366" s="11">
        <f>IF($S366="","",IF($S366="ITEM_PRICE_PLUS_DECLARED_DELIVERY",IF(OR($J366="",$K366=""),"",SUM($J366,$K366,$U366)),IF($S366="TOTAL_AMOUNT_INCLUDING_DELIVERY",IF($T366="","",$T366),IF($S366="DELIVERY_CHARGE_ONLY",IF($K366="","",SUM($K366,$U366)),IF($S366="EXACT_COLLECTION_AMOUNT",IF($T366="","",$T366),IF($S366="ITEM_PRICE_ONLY_DELIVERY_PAID_BY_MERCHANT",IF($J366="","",SUM($J366,$U366)),""))))))</f>
        <v/>
      </c>
      <c r="M366" s="12" t="n"/>
      <c r="N366" s="13" t="n"/>
      <c r="O366" s="13" t="n"/>
      <c r="P366" s="9" t="n"/>
      <c r="Q366" s="14" t="n"/>
      <c r="R366" s="15" t="n"/>
      <c r="S366" s="14" t="n"/>
      <c r="T366" s="16" t="n"/>
      <c r="U366" s="16" t="n"/>
      <c r="V366" s="16" t="n"/>
      <c r="W366" s="16" t="n"/>
      <c r="X366" s="16" t="n"/>
      <c r="Y366" s="16" t="n"/>
      <c r="Z366" s="14" t="n"/>
      <c r="AA366" s="14" t="n"/>
      <c r="AB366" s="14" t="n"/>
      <c r="AC366" s="17">
        <f>IFERROR(VLOOKUP($H366&amp;"|"&amp;$Q366,Tariff_Master!$A$2:$L$169,3,FALSE),"")</f>
        <v/>
      </c>
      <c r="AD366" s="17">
        <f>IFERROR(VLOOKUP($H366&amp;"|"&amp;$Q366,Tariff_Master!$A$2:$L$169,4,FALSE),"")</f>
        <v/>
      </c>
      <c r="AE366" s="18">
        <f>IFERROR(VLOOKUP($H366&amp;"|"&amp;$Q366,Tariff_Master!$A$2:$L$169,6,FALSE),"")</f>
        <v/>
      </c>
      <c r="AF366" s="19">
        <f>IFERROR(VLOOKUP($H366&amp;"|"&amp;$Q366,Tariff_Master!$A$2:$L$169,7,FALSE),"")</f>
        <v/>
      </c>
      <c r="AG366" s="18">
        <f>IFERROR(VLOOKUP($H366&amp;"|"&amp;$Q366,Tariff_Master!$A$2:$L$169,8,FALSE),"")</f>
        <v/>
      </c>
      <c r="AH366" s="20">
        <f>IFERROR(VLOOKUP($H366&amp;"|"&amp;$Q366,Tariff_Master!$A$2:$L$169,9,FALSE),"")</f>
        <v/>
      </c>
      <c r="AI366" s="18">
        <f>IFERROR(VLOOKUP($H366&amp;"|"&amp;$Q366,Tariff_Master!$A$2:$L$169,10,FALSE),"")</f>
        <v/>
      </c>
      <c r="AJ366" s="21">
        <f>IF($M366="","",ROUNDUP(MAX(0,$M366),0))</f>
        <v/>
      </c>
      <c r="AK366" s="21">
        <f>IF(OR($AJ366="",$AF366=""),"",MAX(0,$AJ366-$AF366))</f>
        <v/>
      </c>
      <c r="AL366" s="22">
        <f>IF(OR($AK366="",$AG366=""),"",MAX(0,$AK366*$AG366))</f>
        <v/>
      </c>
      <c r="AM366" s="22">
        <f>IF($AE366="","",MAX(0,SUM($AE366,$AL366,$V366,$W366)))</f>
        <v/>
      </c>
      <c r="AN366" s="22">
        <f>IF($AM366="","",IF(AND($Q366="COMMITMENT",$R366&gt;=$AH366),$AI366,0))</f>
        <v/>
      </c>
      <c r="AO366" s="23">
        <f>IF($AM366="","",MAX(0,$AM366-$AN366))</f>
        <v/>
      </c>
      <c r="AP366" s="22">
        <f>IF($S366="","",IF(OR($S366="ITEM_PRICE_PLUS_DECLARED_DELIVERY",$S366="DELIVERY_CHARGE_ONLY"),$K366,IF($S366="TOTAL_AMOUNT_INCLUDING_DELIVERY",IF(OR($T366="",$J366=""),"",MAX(0,$T366-$J366-$U366)),IF($S366="ITEM_PRICE_ONLY_DELIVERY_PAID_BY_MERCHANT",0,""))))</f>
        <v/>
      </c>
      <c r="AQ366" s="23">
        <f>IF(OR($AP366="",$AO366=""),"",$AP366-$AO366)</f>
        <v/>
      </c>
      <c r="AR366" s="24">
        <f>IF($S366="EXACT_COLLECTION_AMOUNT","BREAKDOWN_REQUIRED",IF($AQ366="","",IF($AQ366&gt;0,"CREDIT_TO_MERCHANT",IF($AQ366&lt;0,"DEDUCT_FROM_MERCHANT","NO_ADJUSTMENT"))))</f>
        <v/>
      </c>
      <c r="AS366" s="23">
        <f>IF(OR($AQ366="",$AR366="BREAKDOWN_REQUIRED"),"",$AQ366)</f>
        <v/>
      </c>
      <c r="AT366" s="23">
        <f>IF(OR($AR366="",$AR366="BREAKDOWN_REQUIRED"),"",SUM($J366,$AQ366,$Y366)-$X366)</f>
        <v/>
      </c>
      <c r="AU366" s="25">
        <f>IF(AND($A366="",$B366="",$F366="",$H366="",$J366="",$K366="",$M366="",$S366=""),"",IF(OR($H366="",$Q366="",$M366="",$S366=""),"ERROR",IF(OR($J366&lt;0,$K366&lt;0,$M366&lt;0,$T366&lt;0,$U366&lt;0,$V366&lt;0,$W366&lt;0,$X366&lt;0,$Y366&lt;0),"ERROR",IF($AE366="","ERROR",IF(AND(OR($S366="ITEM_PRICE_PLUS_DECLARED_DELIVERY",$S366="TOTAL_AMOUNT_INCLUDING_DELIVERY",$S366="ITEM_PRICE_ONLY_DELIVERY_PAID_BY_MERCHANT"),$J366=""),"ERROR",IF(AND(OR($S366="ITEM_PRICE_PLUS_DECLARED_DELIVERY",$S366="DELIVERY_CHARGE_ONLY"),$K366=""),"ERROR",IF(AND(OR($S366="TOTAL_AMOUNT_INCLUDING_DELIVERY",$S366="EXACT_COLLECTION_AMOUNT"),$T366=""),"ERROR",IF(AND($S366="TOTAL_AMOUNT_INCLUDING_DELIVERY",$T366&lt;SUM($J366,$U366)),"ERROR",IF($S366="EXACT_COLLECTION_AMOUNT","REVIEW","OK")))))))))</f>
        <v/>
      </c>
      <c r="AV366" s="25">
        <f>IF($AU366="","",IF($H366="","Township required",IF($Q366="","Customer tier required",IF($M366="","Weight required",IF($S366="","Amount entry type required",IF(OR($J366&lt;0,$K366&lt;0,$M366&lt;0,$T366&lt;0,$U366&lt;0,$V366&lt;0,$W366&lt;0,$X366&lt;0,$Y366&lt;0),"Negative amounts are not allowed",IF($AE366="","Tariff not found for township and tier",IF(AND(OR($S366="ITEM_PRICE_PLUS_DECLARED_DELIVERY",$S366="TOTAL_AMOUNT_INCLUDING_DELIVERY",$S366="ITEM_PRICE_ONLY_DELIVERY_PAID_BY_MERCHANT"),$J366=""),"Item price required for this amount type",IF(AND(OR($S366="ITEM_PRICE_PLUS_DECLARED_DELIVERY",$S366="DELIVERY_CHARGE_ONLY"),$K366=""),"Declared delivery charge required",IF(AND(OR($S366="TOTAL_AMOUNT_INCLUDING_DELIVERY",$S366="EXACT_COLLECTION_AMOUNT"),$T366=""),"Stated total amount required",IF(AND($S366="TOTAL_AMOUNT_INCLUDING_DELIVERY",$T366&lt;SUM($J366,$U366)),"Stated total is below item price plus additional charge",IF($S366="EXACT_COLLECTION_AMOUNT","Authorized amount breakdown required before settlement","Ready for collection and settlement"))))))))))))</f>
        <v/>
      </c>
      <c r="AW366" s="23">
        <f>IF($AU366="","","PARCEL_FINANCIAL_V2")</f>
        <v/>
      </c>
      <c r="AX366" s="17" t="n"/>
    </row>
    <row r="367">
      <c r="A367" s="8" t="n"/>
      <c r="B367" s="8" t="n"/>
      <c r="C367" s="8" t="n"/>
      <c r="D367" s="8" t="n"/>
      <c r="E367" s="9" t="n"/>
      <c r="F367" s="9" t="n"/>
      <c r="G367" s="8" t="n"/>
      <c r="H367" s="9" t="n"/>
      <c r="I367" s="9" t="n"/>
      <c r="J367" s="10" t="n"/>
      <c r="K367" s="10" t="n"/>
      <c r="L367" s="11">
        <f>IF($S367="","",IF($S367="ITEM_PRICE_PLUS_DECLARED_DELIVERY",IF(OR($J367="",$K367=""),"",SUM($J367,$K367,$U367)),IF($S367="TOTAL_AMOUNT_INCLUDING_DELIVERY",IF($T367="","",$T367),IF($S367="DELIVERY_CHARGE_ONLY",IF($K367="","",SUM($K367,$U367)),IF($S367="EXACT_COLLECTION_AMOUNT",IF($T367="","",$T367),IF($S367="ITEM_PRICE_ONLY_DELIVERY_PAID_BY_MERCHANT",IF($J367="","",SUM($J367,$U367)),""))))))</f>
        <v/>
      </c>
      <c r="M367" s="12" t="n"/>
      <c r="N367" s="13" t="n"/>
      <c r="O367" s="13" t="n"/>
      <c r="P367" s="9" t="n"/>
      <c r="Q367" s="14" t="n"/>
      <c r="R367" s="15" t="n"/>
      <c r="S367" s="14" t="n"/>
      <c r="T367" s="16" t="n"/>
      <c r="U367" s="16" t="n"/>
      <c r="V367" s="16" t="n"/>
      <c r="W367" s="16" t="n"/>
      <c r="X367" s="16" t="n"/>
      <c r="Y367" s="16" t="n"/>
      <c r="Z367" s="14" t="n"/>
      <c r="AA367" s="14" t="n"/>
      <c r="AB367" s="14" t="n"/>
      <c r="AC367" s="17">
        <f>IFERROR(VLOOKUP($H367&amp;"|"&amp;$Q367,Tariff_Master!$A$2:$L$169,3,FALSE),"")</f>
        <v/>
      </c>
      <c r="AD367" s="17">
        <f>IFERROR(VLOOKUP($H367&amp;"|"&amp;$Q367,Tariff_Master!$A$2:$L$169,4,FALSE),"")</f>
        <v/>
      </c>
      <c r="AE367" s="18">
        <f>IFERROR(VLOOKUP($H367&amp;"|"&amp;$Q367,Tariff_Master!$A$2:$L$169,6,FALSE),"")</f>
        <v/>
      </c>
      <c r="AF367" s="19">
        <f>IFERROR(VLOOKUP($H367&amp;"|"&amp;$Q367,Tariff_Master!$A$2:$L$169,7,FALSE),"")</f>
        <v/>
      </c>
      <c r="AG367" s="18">
        <f>IFERROR(VLOOKUP($H367&amp;"|"&amp;$Q367,Tariff_Master!$A$2:$L$169,8,FALSE),"")</f>
        <v/>
      </c>
      <c r="AH367" s="20">
        <f>IFERROR(VLOOKUP($H367&amp;"|"&amp;$Q367,Tariff_Master!$A$2:$L$169,9,FALSE),"")</f>
        <v/>
      </c>
      <c r="AI367" s="18">
        <f>IFERROR(VLOOKUP($H367&amp;"|"&amp;$Q367,Tariff_Master!$A$2:$L$169,10,FALSE),"")</f>
        <v/>
      </c>
      <c r="AJ367" s="21">
        <f>IF($M367="","",ROUNDUP(MAX(0,$M367),0))</f>
        <v/>
      </c>
      <c r="AK367" s="21">
        <f>IF(OR($AJ367="",$AF367=""),"",MAX(0,$AJ367-$AF367))</f>
        <v/>
      </c>
      <c r="AL367" s="22">
        <f>IF(OR($AK367="",$AG367=""),"",MAX(0,$AK367*$AG367))</f>
        <v/>
      </c>
      <c r="AM367" s="22">
        <f>IF($AE367="","",MAX(0,SUM($AE367,$AL367,$V367,$W367)))</f>
        <v/>
      </c>
      <c r="AN367" s="22">
        <f>IF($AM367="","",IF(AND($Q367="COMMITMENT",$R367&gt;=$AH367),$AI367,0))</f>
        <v/>
      </c>
      <c r="AO367" s="23">
        <f>IF($AM367="","",MAX(0,$AM367-$AN367))</f>
        <v/>
      </c>
      <c r="AP367" s="22">
        <f>IF($S367="","",IF(OR($S367="ITEM_PRICE_PLUS_DECLARED_DELIVERY",$S367="DELIVERY_CHARGE_ONLY"),$K367,IF($S367="TOTAL_AMOUNT_INCLUDING_DELIVERY",IF(OR($T367="",$J367=""),"",MAX(0,$T367-$J367-$U367)),IF($S367="ITEM_PRICE_ONLY_DELIVERY_PAID_BY_MERCHANT",0,""))))</f>
        <v/>
      </c>
      <c r="AQ367" s="23">
        <f>IF(OR($AP367="",$AO367=""),"",$AP367-$AO367)</f>
        <v/>
      </c>
      <c r="AR367" s="24">
        <f>IF($S367="EXACT_COLLECTION_AMOUNT","BREAKDOWN_REQUIRED",IF($AQ367="","",IF($AQ367&gt;0,"CREDIT_TO_MERCHANT",IF($AQ367&lt;0,"DEDUCT_FROM_MERCHANT","NO_ADJUSTMENT"))))</f>
        <v/>
      </c>
      <c r="AS367" s="23">
        <f>IF(OR($AQ367="",$AR367="BREAKDOWN_REQUIRED"),"",$AQ367)</f>
        <v/>
      </c>
      <c r="AT367" s="23">
        <f>IF(OR($AR367="",$AR367="BREAKDOWN_REQUIRED"),"",SUM($J367,$AQ367,$Y367)-$X367)</f>
        <v/>
      </c>
      <c r="AU367" s="25">
        <f>IF(AND($A367="",$B367="",$F367="",$H367="",$J367="",$K367="",$M367="",$S367=""),"",IF(OR($H367="",$Q367="",$M367="",$S367=""),"ERROR",IF(OR($J367&lt;0,$K367&lt;0,$M367&lt;0,$T367&lt;0,$U367&lt;0,$V367&lt;0,$W367&lt;0,$X367&lt;0,$Y367&lt;0),"ERROR",IF($AE367="","ERROR",IF(AND(OR($S367="ITEM_PRICE_PLUS_DECLARED_DELIVERY",$S367="TOTAL_AMOUNT_INCLUDING_DELIVERY",$S367="ITEM_PRICE_ONLY_DELIVERY_PAID_BY_MERCHANT"),$J367=""),"ERROR",IF(AND(OR($S367="ITEM_PRICE_PLUS_DECLARED_DELIVERY",$S367="DELIVERY_CHARGE_ONLY"),$K367=""),"ERROR",IF(AND(OR($S367="TOTAL_AMOUNT_INCLUDING_DELIVERY",$S367="EXACT_COLLECTION_AMOUNT"),$T367=""),"ERROR",IF(AND($S367="TOTAL_AMOUNT_INCLUDING_DELIVERY",$T367&lt;SUM($J367,$U367)),"ERROR",IF($S367="EXACT_COLLECTION_AMOUNT","REVIEW","OK")))))))))</f>
        <v/>
      </c>
      <c r="AV367" s="25">
        <f>IF($AU367="","",IF($H367="","Township required",IF($Q367="","Customer tier required",IF($M367="","Weight required",IF($S367="","Amount entry type required",IF(OR($J367&lt;0,$K367&lt;0,$M367&lt;0,$T367&lt;0,$U367&lt;0,$V367&lt;0,$W367&lt;0,$X367&lt;0,$Y367&lt;0),"Negative amounts are not allowed",IF($AE367="","Tariff not found for township and tier",IF(AND(OR($S367="ITEM_PRICE_PLUS_DECLARED_DELIVERY",$S367="TOTAL_AMOUNT_INCLUDING_DELIVERY",$S367="ITEM_PRICE_ONLY_DELIVERY_PAID_BY_MERCHANT"),$J367=""),"Item price required for this amount type",IF(AND(OR($S367="ITEM_PRICE_PLUS_DECLARED_DELIVERY",$S367="DELIVERY_CHARGE_ONLY"),$K367=""),"Declared delivery charge required",IF(AND(OR($S367="TOTAL_AMOUNT_INCLUDING_DELIVERY",$S367="EXACT_COLLECTION_AMOUNT"),$T367=""),"Stated total amount required",IF(AND($S367="TOTAL_AMOUNT_INCLUDING_DELIVERY",$T367&lt;SUM($J367,$U367)),"Stated total is below item price plus additional charge",IF($S367="EXACT_COLLECTION_AMOUNT","Authorized amount breakdown required before settlement","Ready for collection and settlement"))))))))))))</f>
        <v/>
      </c>
      <c r="AW367" s="23">
        <f>IF($AU367="","","PARCEL_FINANCIAL_V2")</f>
        <v/>
      </c>
      <c r="AX367" s="17" t="n"/>
    </row>
    <row r="368">
      <c r="A368" s="8" t="n"/>
      <c r="B368" s="8" t="n"/>
      <c r="C368" s="8" t="n"/>
      <c r="D368" s="8" t="n"/>
      <c r="E368" s="9" t="n"/>
      <c r="F368" s="9" t="n"/>
      <c r="G368" s="8" t="n"/>
      <c r="H368" s="9" t="n"/>
      <c r="I368" s="9" t="n"/>
      <c r="J368" s="10" t="n"/>
      <c r="K368" s="10" t="n"/>
      <c r="L368" s="11">
        <f>IF($S368="","",IF($S368="ITEM_PRICE_PLUS_DECLARED_DELIVERY",IF(OR($J368="",$K368=""),"",SUM($J368,$K368,$U368)),IF($S368="TOTAL_AMOUNT_INCLUDING_DELIVERY",IF($T368="","",$T368),IF($S368="DELIVERY_CHARGE_ONLY",IF($K368="","",SUM($K368,$U368)),IF($S368="EXACT_COLLECTION_AMOUNT",IF($T368="","",$T368),IF($S368="ITEM_PRICE_ONLY_DELIVERY_PAID_BY_MERCHANT",IF($J368="","",SUM($J368,$U368)),""))))))</f>
        <v/>
      </c>
      <c r="M368" s="12" t="n"/>
      <c r="N368" s="13" t="n"/>
      <c r="O368" s="13" t="n"/>
      <c r="P368" s="9" t="n"/>
      <c r="Q368" s="14" t="n"/>
      <c r="R368" s="15" t="n"/>
      <c r="S368" s="14" t="n"/>
      <c r="T368" s="16" t="n"/>
      <c r="U368" s="16" t="n"/>
      <c r="V368" s="16" t="n"/>
      <c r="W368" s="16" t="n"/>
      <c r="X368" s="16" t="n"/>
      <c r="Y368" s="16" t="n"/>
      <c r="Z368" s="14" t="n"/>
      <c r="AA368" s="14" t="n"/>
      <c r="AB368" s="14" t="n"/>
      <c r="AC368" s="17">
        <f>IFERROR(VLOOKUP($H368&amp;"|"&amp;$Q368,Tariff_Master!$A$2:$L$169,3,FALSE),"")</f>
        <v/>
      </c>
      <c r="AD368" s="17">
        <f>IFERROR(VLOOKUP($H368&amp;"|"&amp;$Q368,Tariff_Master!$A$2:$L$169,4,FALSE),"")</f>
        <v/>
      </c>
      <c r="AE368" s="18">
        <f>IFERROR(VLOOKUP($H368&amp;"|"&amp;$Q368,Tariff_Master!$A$2:$L$169,6,FALSE),"")</f>
        <v/>
      </c>
      <c r="AF368" s="19">
        <f>IFERROR(VLOOKUP($H368&amp;"|"&amp;$Q368,Tariff_Master!$A$2:$L$169,7,FALSE),"")</f>
        <v/>
      </c>
      <c r="AG368" s="18">
        <f>IFERROR(VLOOKUP($H368&amp;"|"&amp;$Q368,Tariff_Master!$A$2:$L$169,8,FALSE),"")</f>
        <v/>
      </c>
      <c r="AH368" s="20">
        <f>IFERROR(VLOOKUP($H368&amp;"|"&amp;$Q368,Tariff_Master!$A$2:$L$169,9,FALSE),"")</f>
        <v/>
      </c>
      <c r="AI368" s="18">
        <f>IFERROR(VLOOKUP($H368&amp;"|"&amp;$Q368,Tariff_Master!$A$2:$L$169,10,FALSE),"")</f>
        <v/>
      </c>
      <c r="AJ368" s="21">
        <f>IF($M368="","",ROUNDUP(MAX(0,$M368),0))</f>
        <v/>
      </c>
      <c r="AK368" s="21">
        <f>IF(OR($AJ368="",$AF368=""),"",MAX(0,$AJ368-$AF368))</f>
        <v/>
      </c>
      <c r="AL368" s="22">
        <f>IF(OR($AK368="",$AG368=""),"",MAX(0,$AK368*$AG368))</f>
        <v/>
      </c>
      <c r="AM368" s="22">
        <f>IF($AE368="","",MAX(0,SUM($AE368,$AL368,$V368,$W368)))</f>
        <v/>
      </c>
      <c r="AN368" s="22">
        <f>IF($AM368="","",IF(AND($Q368="COMMITMENT",$R368&gt;=$AH368),$AI368,0))</f>
        <v/>
      </c>
      <c r="AO368" s="23">
        <f>IF($AM368="","",MAX(0,$AM368-$AN368))</f>
        <v/>
      </c>
      <c r="AP368" s="22">
        <f>IF($S368="","",IF(OR($S368="ITEM_PRICE_PLUS_DECLARED_DELIVERY",$S368="DELIVERY_CHARGE_ONLY"),$K368,IF($S368="TOTAL_AMOUNT_INCLUDING_DELIVERY",IF(OR($T368="",$J368=""),"",MAX(0,$T368-$J368-$U368)),IF($S368="ITEM_PRICE_ONLY_DELIVERY_PAID_BY_MERCHANT",0,""))))</f>
        <v/>
      </c>
      <c r="AQ368" s="23">
        <f>IF(OR($AP368="",$AO368=""),"",$AP368-$AO368)</f>
        <v/>
      </c>
      <c r="AR368" s="24">
        <f>IF($S368="EXACT_COLLECTION_AMOUNT","BREAKDOWN_REQUIRED",IF($AQ368="","",IF($AQ368&gt;0,"CREDIT_TO_MERCHANT",IF($AQ368&lt;0,"DEDUCT_FROM_MERCHANT","NO_ADJUSTMENT"))))</f>
        <v/>
      </c>
      <c r="AS368" s="23">
        <f>IF(OR($AQ368="",$AR368="BREAKDOWN_REQUIRED"),"",$AQ368)</f>
        <v/>
      </c>
      <c r="AT368" s="23">
        <f>IF(OR($AR368="",$AR368="BREAKDOWN_REQUIRED"),"",SUM($J368,$AQ368,$Y368)-$X368)</f>
        <v/>
      </c>
      <c r="AU368" s="25">
        <f>IF(AND($A368="",$B368="",$F368="",$H368="",$J368="",$K368="",$M368="",$S368=""),"",IF(OR($H368="",$Q368="",$M368="",$S368=""),"ERROR",IF(OR($J368&lt;0,$K368&lt;0,$M368&lt;0,$T368&lt;0,$U368&lt;0,$V368&lt;0,$W368&lt;0,$X368&lt;0,$Y368&lt;0),"ERROR",IF($AE368="","ERROR",IF(AND(OR($S368="ITEM_PRICE_PLUS_DECLARED_DELIVERY",$S368="TOTAL_AMOUNT_INCLUDING_DELIVERY",$S368="ITEM_PRICE_ONLY_DELIVERY_PAID_BY_MERCHANT"),$J368=""),"ERROR",IF(AND(OR($S368="ITEM_PRICE_PLUS_DECLARED_DELIVERY",$S368="DELIVERY_CHARGE_ONLY"),$K368=""),"ERROR",IF(AND(OR($S368="TOTAL_AMOUNT_INCLUDING_DELIVERY",$S368="EXACT_COLLECTION_AMOUNT"),$T368=""),"ERROR",IF(AND($S368="TOTAL_AMOUNT_INCLUDING_DELIVERY",$T368&lt;SUM($J368,$U368)),"ERROR",IF($S368="EXACT_COLLECTION_AMOUNT","REVIEW","OK")))))))))</f>
        <v/>
      </c>
      <c r="AV368" s="25">
        <f>IF($AU368="","",IF($H368="","Township required",IF($Q368="","Customer tier required",IF($M368="","Weight required",IF($S368="","Amount entry type required",IF(OR($J368&lt;0,$K368&lt;0,$M368&lt;0,$T368&lt;0,$U368&lt;0,$V368&lt;0,$W368&lt;0,$X368&lt;0,$Y368&lt;0),"Negative amounts are not allowed",IF($AE368="","Tariff not found for township and tier",IF(AND(OR($S368="ITEM_PRICE_PLUS_DECLARED_DELIVERY",$S368="TOTAL_AMOUNT_INCLUDING_DELIVERY",$S368="ITEM_PRICE_ONLY_DELIVERY_PAID_BY_MERCHANT"),$J368=""),"Item price required for this amount type",IF(AND(OR($S368="ITEM_PRICE_PLUS_DECLARED_DELIVERY",$S368="DELIVERY_CHARGE_ONLY"),$K368=""),"Declared delivery charge required",IF(AND(OR($S368="TOTAL_AMOUNT_INCLUDING_DELIVERY",$S368="EXACT_COLLECTION_AMOUNT"),$T368=""),"Stated total amount required",IF(AND($S368="TOTAL_AMOUNT_INCLUDING_DELIVERY",$T368&lt;SUM($J368,$U368)),"Stated total is below item price plus additional charge",IF($S368="EXACT_COLLECTION_AMOUNT","Authorized amount breakdown required before settlement","Ready for collection and settlement"))))))))))))</f>
        <v/>
      </c>
      <c r="AW368" s="23">
        <f>IF($AU368="","","PARCEL_FINANCIAL_V2")</f>
        <v/>
      </c>
      <c r="AX368" s="17" t="n"/>
    </row>
    <row r="369">
      <c r="A369" s="8" t="n"/>
      <c r="B369" s="8" t="n"/>
      <c r="C369" s="8" t="n"/>
      <c r="D369" s="8" t="n"/>
      <c r="E369" s="9" t="n"/>
      <c r="F369" s="9" t="n"/>
      <c r="G369" s="8" t="n"/>
      <c r="H369" s="9" t="n"/>
      <c r="I369" s="9" t="n"/>
      <c r="J369" s="10" t="n"/>
      <c r="K369" s="10" t="n"/>
      <c r="L369" s="11">
        <f>IF($S369="","",IF($S369="ITEM_PRICE_PLUS_DECLARED_DELIVERY",IF(OR($J369="",$K369=""),"",SUM($J369,$K369,$U369)),IF($S369="TOTAL_AMOUNT_INCLUDING_DELIVERY",IF($T369="","",$T369),IF($S369="DELIVERY_CHARGE_ONLY",IF($K369="","",SUM($K369,$U369)),IF($S369="EXACT_COLLECTION_AMOUNT",IF($T369="","",$T369),IF($S369="ITEM_PRICE_ONLY_DELIVERY_PAID_BY_MERCHANT",IF($J369="","",SUM($J369,$U369)),""))))))</f>
        <v/>
      </c>
      <c r="M369" s="12" t="n"/>
      <c r="N369" s="13" t="n"/>
      <c r="O369" s="13" t="n"/>
      <c r="P369" s="9" t="n"/>
      <c r="Q369" s="14" t="n"/>
      <c r="R369" s="15" t="n"/>
      <c r="S369" s="14" t="n"/>
      <c r="T369" s="16" t="n"/>
      <c r="U369" s="16" t="n"/>
      <c r="V369" s="16" t="n"/>
      <c r="W369" s="16" t="n"/>
      <c r="X369" s="16" t="n"/>
      <c r="Y369" s="16" t="n"/>
      <c r="Z369" s="14" t="n"/>
      <c r="AA369" s="14" t="n"/>
      <c r="AB369" s="14" t="n"/>
      <c r="AC369" s="17">
        <f>IFERROR(VLOOKUP($H369&amp;"|"&amp;$Q369,Tariff_Master!$A$2:$L$169,3,FALSE),"")</f>
        <v/>
      </c>
      <c r="AD369" s="17">
        <f>IFERROR(VLOOKUP($H369&amp;"|"&amp;$Q369,Tariff_Master!$A$2:$L$169,4,FALSE),"")</f>
        <v/>
      </c>
      <c r="AE369" s="18">
        <f>IFERROR(VLOOKUP($H369&amp;"|"&amp;$Q369,Tariff_Master!$A$2:$L$169,6,FALSE),"")</f>
        <v/>
      </c>
      <c r="AF369" s="19">
        <f>IFERROR(VLOOKUP($H369&amp;"|"&amp;$Q369,Tariff_Master!$A$2:$L$169,7,FALSE),"")</f>
        <v/>
      </c>
      <c r="AG369" s="18">
        <f>IFERROR(VLOOKUP($H369&amp;"|"&amp;$Q369,Tariff_Master!$A$2:$L$169,8,FALSE),"")</f>
        <v/>
      </c>
      <c r="AH369" s="20">
        <f>IFERROR(VLOOKUP($H369&amp;"|"&amp;$Q369,Tariff_Master!$A$2:$L$169,9,FALSE),"")</f>
        <v/>
      </c>
      <c r="AI369" s="18">
        <f>IFERROR(VLOOKUP($H369&amp;"|"&amp;$Q369,Tariff_Master!$A$2:$L$169,10,FALSE),"")</f>
        <v/>
      </c>
      <c r="AJ369" s="21">
        <f>IF($M369="","",ROUNDUP(MAX(0,$M369),0))</f>
        <v/>
      </c>
      <c r="AK369" s="21">
        <f>IF(OR($AJ369="",$AF369=""),"",MAX(0,$AJ369-$AF369))</f>
        <v/>
      </c>
      <c r="AL369" s="22">
        <f>IF(OR($AK369="",$AG369=""),"",MAX(0,$AK369*$AG369))</f>
        <v/>
      </c>
      <c r="AM369" s="22">
        <f>IF($AE369="","",MAX(0,SUM($AE369,$AL369,$V369,$W369)))</f>
        <v/>
      </c>
      <c r="AN369" s="22">
        <f>IF($AM369="","",IF(AND($Q369="COMMITMENT",$R369&gt;=$AH369),$AI369,0))</f>
        <v/>
      </c>
      <c r="AO369" s="23">
        <f>IF($AM369="","",MAX(0,$AM369-$AN369))</f>
        <v/>
      </c>
      <c r="AP369" s="22">
        <f>IF($S369="","",IF(OR($S369="ITEM_PRICE_PLUS_DECLARED_DELIVERY",$S369="DELIVERY_CHARGE_ONLY"),$K369,IF($S369="TOTAL_AMOUNT_INCLUDING_DELIVERY",IF(OR($T369="",$J369=""),"",MAX(0,$T369-$J369-$U369)),IF($S369="ITEM_PRICE_ONLY_DELIVERY_PAID_BY_MERCHANT",0,""))))</f>
        <v/>
      </c>
      <c r="AQ369" s="23">
        <f>IF(OR($AP369="",$AO369=""),"",$AP369-$AO369)</f>
        <v/>
      </c>
      <c r="AR369" s="24">
        <f>IF($S369="EXACT_COLLECTION_AMOUNT","BREAKDOWN_REQUIRED",IF($AQ369="","",IF($AQ369&gt;0,"CREDIT_TO_MERCHANT",IF($AQ369&lt;0,"DEDUCT_FROM_MERCHANT","NO_ADJUSTMENT"))))</f>
        <v/>
      </c>
      <c r="AS369" s="23">
        <f>IF(OR($AQ369="",$AR369="BREAKDOWN_REQUIRED"),"",$AQ369)</f>
        <v/>
      </c>
      <c r="AT369" s="23">
        <f>IF(OR($AR369="",$AR369="BREAKDOWN_REQUIRED"),"",SUM($J369,$AQ369,$Y369)-$X369)</f>
        <v/>
      </c>
      <c r="AU369" s="25">
        <f>IF(AND($A369="",$B369="",$F369="",$H369="",$J369="",$K369="",$M369="",$S369=""),"",IF(OR($H369="",$Q369="",$M369="",$S369=""),"ERROR",IF(OR($J369&lt;0,$K369&lt;0,$M369&lt;0,$T369&lt;0,$U369&lt;0,$V369&lt;0,$W369&lt;0,$X369&lt;0,$Y369&lt;0),"ERROR",IF($AE369="","ERROR",IF(AND(OR($S369="ITEM_PRICE_PLUS_DECLARED_DELIVERY",$S369="TOTAL_AMOUNT_INCLUDING_DELIVERY",$S369="ITEM_PRICE_ONLY_DELIVERY_PAID_BY_MERCHANT"),$J369=""),"ERROR",IF(AND(OR($S369="ITEM_PRICE_PLUS_DECLARED_DELIVERY",$S369="DELIVERY_CHARGE_ONLY"),$K369=""),"ERROR",IF(AND(OR($S369="TOTAL_AMOUNT_INCLUDING_DELIVERY",$S369="EXACT_COLLECTION_AMOUNT"),$T369=""),"ERROR",IF(AND($S369="TOTAL_AMOUNT_INCLUDING_DELIVERY",$T369&lt;SUM($J369,$U369)),"ERROR",IF($S369="EXACT_COLLECTION_AMOUNT","REVIEW","OK")))))))))</f>
        <v/>
      </c>
      <c r="AV369" s="25">
        <f>IF($AU369="","",IF($H369="","Township required",IF($Q369="","Customer tier required",IF($M369="","Weight required",IF($S369="","Amount entry type required",IF(OR($J369&lt;0,$K369&lt;0,$M369&lt;0,$T369&lt;0,$U369&lt;0,$V369&lt;0,$W369&lt;0,$X369&lt;0,$Y369&lt;0),"Negative amounts are not allowed",IF($AE369="","Tariff not found for township and tier",IF(AND(OR($S369="ITEM_PRICE_PLUS_DECLARED_DELIVERY",$S369="TOTAL_AMOUNT_INCLUDING_DELIVERY",$S369="ITEM_PRICE_ONLY_DELIVERY_PAID_BY_MERCHANT"),$J369=""),"Item price required for this amount type",IF(AND(OR($S369="ITEM_PRICE_PLUS_DECLARED_DELIVERY",$S369="DELIVERY_CHARGE_ONLY"),$K369=""),"Declared delivery charge required",IF(AND(OR($S369="TOTAL_AMOUNT_INCLUDING_DELIVERY",$S369="EXACT_COLLECTION_AMOUNT"),$T369=""),"Stated total amount required",IF(AND($S369="TOTAL_AMOUNT_INCLUDING_DELIVERY",$T369&lt;SUM($J369,$U369)),"Stated total is below item price plus additional charge",IF($S369="EXACT_COLLECTION_AMOUNT","Authorized amount breakdown required before settlement","Ready for collection and settlement"))))))))))))</f>
        <v/>
      </c>
      <c r="AW369" s="23">
        <f>IF($AU369="","","PARCEL_FINANCIAL_V2")</f>
        <v/>
      </c>
      <c r="AX369" s="17" t="n"/>
    </row>
    <row r="370">
      <c r="A370" s="8" t="n"/>
      <c r="B370" s="8" t="n"/>
      <c r="C370" s="8" t="n"/>
      <c r="D370" s="8" t="n"/>
      <c r="E370" s="9" t="n"/>
      <c r="F370" s="9" t="n"/>
      <c r="G370" s="8" t="n"/>
      <c r="H370" s="9" t="n"/>
      <c r="I370" s="9" t="n"/>
      <c r="J370" s="10" t="n"/>
      <c r="K370" s="10" t="n"/>
      <c r="L370" s="11">
        <f>IF($S370="","",IF($S370="ITEM_PRICE_PLUS_DECLARED_DELIVERY",IF(OR($J370="",$K370=""),"",SUM($J370,$K370,$U370)),IF($S370="TOTAL_AMOUNT_INCLUDING_DELIVERY",IF($T370="","",$T370),IF($S370="DELIVERY_CHARGE_ONLY",IF($K370="","",SUM($K370,$U370)),IF($S370="EXACT_COLLECTION_AMOUNT",IF($T370="","",$T370),IF($S370="ITEM_PRICE_ONLY_DELIVERY_PAID_BY_MERCHANT",IF($J370="","",SUM($J370,$U370)),""))))))</f>
        <v/>
      </c>
      <c r="M370" s="12" t="n"/>
      <c r="N370" s="13" t="n"/>
      <c r="O370" s="13" t="n"/>
      <c r="P370" s="9" t="n"/>
      <c r="Q370" s="14" t="n"/>
      <c r="R370" s="15" t="n"/>
      <c r="S370" s="14" t="n"/>
      <c r="T370" s="16" t="n"/>
      <c r="U370" s="16" t="n"/>
      <c r="V370" s="16" t="n"/>
      <c r="W370" s="16" t="n"/>
      <c r="X370" s="16" t="n"/>
      <c r="Y370" s="16" t="n"/>
      <c r="Z370" s="14" t="n"/>
      <c r="AA370" s="14" t="n"/>
      <c r="AB370" s="14" t="n"/>
      <c r="AC370" s="17">
        <f>IFERROR(VLOOKUP($H370&amp;"|"&amp;$Q370,Tariff_Master!$A$2:$L$169,3,FALSE),"")</f>
        <v/>
      </c>
      <c r="AD370" s="17">
        <f>IFERROR(VLOOKUP($H370&amp;"|"&amp;$Q370,Tariff_Master!$A$2:$L$169,4,FALSE),"")</f>
        <v/>
      </c>
      <c r="AE370" s="18">
        <f>IFERROR(VLOOKUP($H370&amp;"|"&amp;$Q370,Tariff_Master!$A$2:$L$169,6,FALSE),"")</f>
        <v/>
      </c>
      <c r="AF370" s="19">
        <f>IFERROR(VLOOKUP($H370&amp;"|"&amp;$Q370,Tariff_Master!$A$2:$L$169,7,FALSE),"")</f>
        <v/>
      </c>
      <c r="AG370" s="18">
        <f>IFERROR(VLOOKUP($H370&amp;"|"&amp;$Q370,Tariff_Master!$A$2:$L$169,8,FALSE),"")</f>
        <v/>
      </c>
      <c r="AH370" s="20">
        <f>IFERROR(VLOOKUP($H370&amp;"|"&amp;$Q370,Tariff_Master!$A$2:$L$169,9,FALSE),"")</f>
        <v/>
      </c>
      <c r="AI370" s="18">
        <f>IFERROR(VLOOKUP($H370&amp;"|"&amp;$Q370,Tariff_Master!$A$2:$L$169,10,FALSE),"")</f>
        <v/>
      </c>
      <c r="AJ370" s="21">
        <f>IF($M370="","",ROUNDUP(MAX(0,$M370),0))</f>
        <v/>
      </c>
      <c r="AK370" s="21">
        <f>IF(OR($AJ370="",$AF370=""),"",MAX(0,$AJ370-$AF370))</f>
        <v/>
      </c>
      <c r="AL370" s="22">
        <f>IF(OR($AK370="",$AG370=""),"",MAX(0,$AK370*$AG370))</f>
        <v/>
      </c>
      <c r="AM370" s="22">
        <f>IF($AE370="","",MAX(0,SUM($AE370,$AL370,$V370,$W370)))</f>
        <v/>
      </c>
      <c r="AN370" s="22">
        <f>IF($AM370="","",IF(AND($Q370="COMMITMENT",$R370&gt;=$AH370),$AI370,0))</f>
        <v/>
      </c>
      <c r="AO370" s="23">
        <f>IF($AM370="","",MAX(0,$AM370-$AN370))</f>
        <v/>
      </c>
      <c r="AP370" s="22">
        <f>IF($S370="","",IF(OR($S370="ITEM_PRICE_PLUS_DECLARED_DELIVERY",$S370="DELIVERY_CHARGE_ONLY"),$K370,IF($S370="TOTAL_AMOUNT_INCLUDING_DELIVERY",IF(OR($T370="",$J370=""),"",MAX(0,$T370-$J370-$U370)),IF($S370="ITEM_PRICE_ONLY_DELIVERY_PAID_BY_MERCHANT",0,""))))</f>
        <v/>
      </c>
      <c r="AQ370" s="23">
        <f>IF(OR($AP370="",$AO370=""),"",$AP370-$AO370)</f>
        <v/>
      </c>
      <c r="AR370" s="24">
        <f>IF($S370="EXACT_COLLECTION_AMOUNT","BREAKDOWN_REQUIRED",IF($AQ370="","",IF($AQ370&gt;0,"CREDIT_TO_MERCHANT",IF($AQ370&lt;0,"DEDUCT_FROM_MERCHANT","NO_ADJUSTMENT"))))</f>
        <v/>
      </c>
      <c r="AS370" s="23">
        <f>IF(OR($AQ370="",$AR370="BREAKDOWN_REQUIRED"),"",$AQ370)</f>
        <v/>
      </c>
      <c r="AT370" s="23">
        <f>IF(OR($AR370="",$AR370="BREAKDOWN_REQUIRED"),"",SUM($J370,$AQ370,$Y370)-$X370)</f>
        <v/>
      </c>
      <c r="AU370" s="25">
        <f>IF(AND($A370="",$B370="",$F370="",$H370="",$J370="",$K370="",$M370="",$S370=""),"",IF(OR($H370="",$Q370="",$M370="",$S370=""),"ERROR",IF(OR($J370&lt;0,$K370&lt;0,$M370&lt;0,$T370&lt;0,$U370&lt;0,$V370&lt;0,$W370&lt;0,$X370&lt;0,$Y370&lt;0),"ERROR",IF($AE370="","ERROR",IF(AND(OR($S370="ITEM_PRICE_PLUS_DECLARED_DELIVERY",$S370="TOTAL_AMOUNT_INCLUDING_DELIVERY",$S370="ITEM_PRICE_ONLY_DELIVERY_PAID_BY_MERCHANT"),$J370=""),"ERROR",IF(AND(OR($S370="ITEM_PRICE_PLUS_DECLARED_DELIVERY",$S370="DELIVERY_CHARGE_ONLY"),$K370=""),"ERROR",IF(AND(OR($S370="TOTAL_AMOUNT_INCLUDING_DELIVERY",$S370="EXACT_COLLECTION_AMOUNT"),$T370=""),"ERROR",IF(AND($S370="TOTAL_AMOUNT_INCLUDING_DELIVERY",$T370&lt;SUM($J370,$U370)),"ERROR",IF($S370="EXACT_COLLECTION_AMOUNT","REVIEW","OK")))))))))</f>
        <v/>
      </c>
      <c r="AV370" s="25">
        <f>IF($AU370="","",IF($H370="","Township required",IF($Q370="","Customer tier required",IF($M370="","Weight required",IF($S370="","Amount entry type required",IF(OR($J370&lt;0,$K370&lt;0,$M370&lt;0,$T370&lt;0,$U370&lt;0,$V370&lt;0,$W370&lt;0,$X370&lt;0,$Y370&lt;0),"Negative amounts are not allowed",IF($AE370="","Tariff not found for township and tier",IF(AND(OR($S370="ITEM_PRICE_PLUS_DECLARED_DELIVERY",$S370="TOTAL_AMOUNT_INCLUDING_DELIVERY",$S370="ITEM_PRICE_ONLY_DELIVERY_PAID_BY_MERCHANT"),$J370=""),"Item price required for this amount type",IF(AND(OR($S370="ITEM_PRICE_PLUS_DECLARED_DELIVERY",$S370="DELIVERY_CHARGE_ONLY"),$K370=""),"Declared delivery charge required",IF(AND(OR($S370="TOTAL_AMOUNT_INCLUDING_DELIVERY",$S370="EXACT_COLLECTION_AMOUNT"),$T370=""),"Stated total amount required",IF(AND($S370="TOTAL_AMOUNT_INCLUDING_DELIVERY",$T370&lt;SUM($J370,$U370)),"Stated total is below item price plus additional charge",IF($S370="EXACT_COLLECTION_AMOUNT","Authorized amount breakdown required before settlement","Ready for collection and settlement"))))))))))))</f>
        <v/>
      </c>
      <c r="AW370" s="23">
        <f>IF($AU370="","","PARCEL_FINANCIAL_V2")</f>
        <v/>
      </c>
      <c r="AX370" s="17" t="n"/>
    </row>
    <row r="371">
      <c r="A371" s="8" t="n"/>
      <c r="B371" s="8" t="n"/>
      <c r="C371" s="8" t="n"/>
      <c r="D371" s="8" t="n"/>
      <c r="E371" s="9" t="n"/>
      <c r="F371" s="9" t="n"/>
      <c r="G371" s="8" t="n"/>
      <c r="H371" s="9" t="n"/>
      <c r="I371" s="9" t="n"/>
      <c r="J371" s="10" t="n"/>
      <c r="K371" s="10" t="n"/>
      <c r="L371" s="11">
        <f>IF($S371="","",IF($S371="ITEM_PRICE_PLUS_DECLARED_DELIVERY",IF(OR($J371="",$K371=""),"",SUM($J371,$K371,$U371)),IF($S371="TOTAL_AMOUNT_INCLUDING_DELIVERY",IF($T371="","",$T371),IF($S371="DELIVERY_CHARGE_ONLY",IF($K371="","",SUM($K371,$U371)),IF($S371="EXACT_COLLECTION_AMOUNT",IF($T371="","",$T371),IF($S371="ITEM_PRICE_ONLY_DELIVERY_PAID_BY_MERCHANT",IF($J371="","",SUM($J371,$U371)),""))))))</f>
        <v/>
      </c>
      <c r="M371" s="12" t="n"/>
      <c r="N371" s="13" t="n"/>
      <c r="O371" s="13" t="n"/>
      <c r="P371" s="9" t="n"/>
      <c r="Q371" s="14" t="n"/>
      <c r="R371" s="15" t="n"/>
      <c r="S371" s="14" t="n"/>
      <c r="T371" s="16" t="n"/>
      <c r="U371" s="16" t="n"/>
      <c r="V371" s="16" t="n"/>
      <c r="W371" s="16" t="n"/>
      <c r="X371" s="16" t="n"/>
      <c r="Y371" s="16" t="n"/>
      <c r="Z371" s="14" t="n"/>
      <c r="AA371" s="14" t="n"/>
      <c r="AB371" s="14" t="n"/>
      <c r="AC371" s="17">
        <f>IFERROR(VLOOKUP($H371&amp;"|"&amp;$Q371,Tariff_Master!$A$2:$L$169,3,FALSE),"")</f>
        <v/>
      </c>
      <c r="AD371" s="17">
        <f>IFERROR(VLOOKUP($H371&amp;"|"&amp;$Q371,Tariff_Master!$A$2:$L$169,4,FALSE),"")</f>
        <v/>
      </c>
      <c r="AE371" s="18">
        <f>IFERROR(VLOOKUP($H371&amp;"|"&amp;$Q371,Tariff_Master!$A$2:$L$169,6,FALSE),"")</f>
        <v/>
      </c>
      <c r="AF371" s="19">
        <f>IFERROR(VLOOKUP($H371&amp;"|"&amp;$Q371,Tariff_Master!$A$2:$L$169,7,FALSE),"")</f>
        <v/>
      </c>
      <c r="AG371" s="18">
        <f>IFERROR(VLOOKUP($H371&amp;"|"&amp;$Q371,Tariff_Master!$A$2:$L$169,8,FALSE),"")</f>
        <v/>
      </c>
      <c r="AH371" s="20">
        <f>IFERROR(VLOOKUP($H371&amp;"|"&amp;$Q371,Tariff_Master!$A$2:$L$169,9,FALSE),"")</f>
        <v/>
      </c>
      <c r="AI371" s="18">
        <f>IFERROR(VLOOKUP($H371&amp;"|"&amp;$Q371,Tariff_Master!$A$2:$L$169,10,FALSE),"")</f>
        <v/>
      </c>
      <c r="AJ371" s="21">
        <f>IF($M371="","",ROUNDUP(MAX(0,$M371),0))</f>
        <v/>
      </c>
      <c r="AK371" s="21">
        <f>IF(OR($AJ371="",$AF371=""),"",MAX(0,$AJ371-$AF371))</f>
        <v/>
      </c>
      <c r="AL371" s="22">
        <f>IF(OR($AK371="",$AG371=""),"",MAX(0,$AK371*$AG371))</f>
        <v/>
      </c>
      <c r="AM371" s="22">
        <f>IF($AE371="","",MAX(0,SUM($AE371,$AL371,$V371,$W371)))</f>
        <v/>
      </c>
      <c r="AN371" s="22">
        <f>IF($AM371="","",IF(AND($Q371="COMMITMENT",$R371&gt;=$AH371),$AI371,0))</f>
        <v/>
      </c>
      <c r="AO371" s="23">
        <f>IF($AM371="","",MAX(0,$AM371-$AN371))</f>
        <v/>
      </c>
      <c r="AP371" s="22">
        <f>IF($S371="","",IF(OR($S371="ITEM_PRICE_PLUS_DECLARED_DELIVERY",$S371="DELIVERY_CHARGE_ONLY"),$K371,IF($S371="TOTAL_AMOUNT_INCLUDING_DELIVERY",IF(OR($T371="",$J371=""),"",MAX(0,$T371-$J371-$U371)),IF($S371="ITEM_PRICE_ONLY_DELIVERY_PAID_BY_MERCHANT",0,""))))</f>
        <v/>
      </c>
      <c r="AQ371" s="23">
        <f>IF(OR($AP371="",$AO371=""),"",$AP371-$AO371)</f>
        <v/>
      </c>
      <c r="AR371" s="24">
        <f>IF($S371="EXACT_COLLECTION_AMOUNT","BREAKDOWN_REQUIRED",IF($AQ371="","",IF($AQ371&gt;0,"CREDIT_TO_MERCHANT",IF($AQ371&lt;0,"DEDUCT_FROM_MERCHANT","NO_ADJUSTMENT"))))</f>
        <v/>
      </c>
      <c r="AS371" s="23">
        <f>IF(OR($AQ371="",$AR371="BREAKDOWN_REQUIRED"),"",$AQ371)</f>
        <v/>
      </c>
      <c r="AT371" s="23">
        <f>IF(OR($AR371="",$AR371="BREAKDOWN_REQUIRED"),"",SUM($J371,$AQ371,$Y371)-$X371)</f>
        <v/>
      </c>
      <c r="AU371" s="25">
        <f>IF(AND($A371="",$B371="",$F371="",$H371="",$J371="",$K371="",$M371="",$S371=""),"",IF(OR($H371="",$Q371="",$M371="",$S371=""),"ERROR",IF(OR($J371&lt;0,$K371&lt;0,$M371&lt;0,$T371&lt;0,$U371&lt;0,$V371&lt;0,$W371&lt;0,$X371&lt;0,$Y371&lt;0),"ERROR",IF($AE371="","ERROR",IF(AND(OR($S371="ITEM_PRICE_PLUS_DECLARED_DELIVERY",$S371="TOTAL_AMOUNT_INCLUDING_DELIVERY",$S371="ITEM_PRICE_ONLY_DELIVERY_PAID_BY_MERCHANT"),$J371=""),"ERROR",IF(AND(OR($S371="ITEM_PRICE_PLUS_DECLARED_DELIVERY",$S371="DELIVERY_CHARGE_ONLY"),$K371=""),"ERROR",IF(AND(OR($S371="TOTAL_AMOUNT_INCLUDING_DELIVERY",$S371="EXACT_COLLECTION_AMOUNT"),$T371=""),"ERROR",IF(AND($S371="TOTAL_AMOUNT_INCLUDING_DELIVERY",$T371&lt;SUM($J371,$U371)),"ERROR",IF($S371="EXACT_COLLECTION_AMOUNT","REVIEW","OK")))))))))</f>
        <v/>
      </c>
      <c r="AV371" s="25">
        <f>IF($AU371="","",IF($H371="","Township required",IF($Q371="","Customer tier required",IF($M371="","Weight required",IF($S371="","Amount entry type required",IF(OR($J371&lt;0,$K371&lt;0,$M371&lt;0,$T371&lt;0,$U371&lt;0,$V371&lt;0,$W371&lt;0,$X371&lt;0,$Y371&lt;0),"Negative amounts are not allowed",IF($AE371="","Tariff not found for township and tier",IF(AND(OR($S371="ITEM_PRICE_PLUS_DECLARED_DELIVERY",$S371="TOTAL_AMOUNT_INCLUDING_DELIVERY",$S371="ITEM_PRICE_ONLY_DELIVERY_PAID_BY_MERCHANT"),$J371=""),"Item price required for this amount type",IF(AND(OR($S371="ITEM_PRICE_PLUS_DECLARED_DELIVERY",$S371="DELIVERY_CHARGE_ONLY"),$K371=""),"Declared delivery charge required",IF(AND(OR($S371="TOTAL_AMOUNT_INCLUDING_DELIVERY",$S371="EXACT_COLLECTION_AMOUNT"),$T371=""),"Stated total amount required",IF(AND($S371="TOTAL_AMOUNT_INCLUDING_DELIVERY",$T371&lt;SUM($J371,$U371)),"Stated total is below item price plus additional charge",IF($S371="EXACT_COLLECTION_AMOUNT","Authorized amount breakdown required before settlement","Ready for collection and settlement"))))))))))))</f>
        <v/>
      </c>
      <c r="AW371" s="23">
        <f>IF($AU371="","","PARCEL_FINANCIAL_V2")</f>
        <v/>
      </c>
      <c r="AX371" s="17" t="n"/>
    </row>
    <row r="372">
      <c r="A372" s="8" t="n"/>
      <c r="B372" s="8" t="n"/>
      <c r="C372" s="8" t="n"/>
      <c r="D372" s="8" t="n"/>
      <c r="E372" s="9" t="n"/>
      <c r="F372" s="9" t="n"/>
      <c r="G372" s="8" t="n"/>
      <c r="H372" s="9" t="n"/>
      <c r="I372" s="9" t="n"/>
      <c r="J372" s="10" t="n"/>
      <c r="K372" s="10" t="n"/>
      <c r="L372" s="11">
        <f>IF($S372="","",IF($S372="ITEM_PRICE_PLUS_DECLARED_DELIVERY",IF(OR($J372="",$K372=""),"",SUM($J372,$K372,$U372)),IF($S372="TOTAL_AMOUNT_INCLUDING_DELIVERY",IF($T372="","",$T372),IF($S372="DELIVERY_CHARGE_ONLY",IF($K372="","",SUM($K372,$U372)),IF($S372="EXACT_COLLECTION_AMOUNT",IF($T372="","",$T372),IF($S372="ITEM_PRICE_ONLY_DELIVERY_PAID_BY_MERCHANT",IF($J372="","",SUM($J372,$U372)),""))))))</f>
        <v/>
      </c>
      <c r="M372" s="12" t="n"/>
      <c r="N372" s="13" t="n"/>
      <c r="O372" s="13" t="n"/>
      <c r="P372" s="9" t="n"/>
      <c r="Q372" s="14" t="n"/>
      <c r="R372" s="15" t="n"/>
      <c r="S372" s="14" t="n"/>
      <c r="T372" s="16" t="n"/>
      <c r="U372" s="16" t="n"/>
      <c r="V372" s="16" t="n"/>
      <c r="W372" s="16" t="n"/>
      <c r="X372" s="16" t="n"/>
      <c r="Y372" s="16" t="n"/>
      <c r="Z372" s="14" t="n"/>
      <c r="AA372" s="14" t="n"/>
      <c r="AB372" s="14" t="n"/>
      <c r="AC372" s="17">
        <f>IFERROR(VLOOKUP($H372&amp;"|"&amp;$Q372,Tariff_Master!$A$2:$L$169,3,FALSE),"")</f>
        <v/>
      </c>
      <c r="AD372" s="17">
        <f>IFERROR(VLOOKUP($H372&amp;"|"&amp;$Q372,Tariff_Master!$A$2:$L$169,4,FALSE),"")</f>
        <v/>
      </c>
      <c r="AE372" s="18">
        <f>IFERROR(VLOOKUP($H372&amp;"|"&amp;$Q372,Tariff_Master!$A$2:$L$169,6,FALSE),"")</f>
        <v/>
      </c>
      <c r="AF372" s="19">
        <f>IFERROR(VLOOKUP($H372&amp;"|"&amp;$Q372,Tariff_Master!$A$2:$L$169,7,FALSE),"")</f>
        <v/>
      </c>
      <c r="AG372" s="18">
        <f>IFERROR(VLOOKUP($H372&amp;"|"&amp;$Q372,Tariff_Master!$A$2:$L$169,8,FALSE),"")</f>
        <v/>
      </c>
      <c r="AH372" s="20">
        <f>IFERROR(VLOOKUP($H372&amp;"|"&amp;$Q372,Tariff_Master!$A$2:$L$169,9,FALSE),"")</f>
        <v/>
      </c>
      <c r="AI372" s="18">
        <f>IFERROR(VLOOKUP($H372&amp;"|"&amp;$Q372,Tariff_Master!$A$2:$L$169,10,FALSE),"")</f>
        <v/>
      </c>
      <c r="AJ372" s="21">
        <f>IF($M372="","",ROUNDUP(MAX(0,$M372),0))</f>
        <v/>
      </c>
      <c r="AK372" s="21">
        <f>IF(OR($AJ372="",$AF372=""),"",MAX(0,$AJ372-$AF372))</f>
        <v/>
      </c>
      <c r="AL372" s="22">
        <f>IF(OR($AK372="",$AG372=""),"",MAX(0,$AK372*$AG372))</f>
        <v/>
      </c>
      <c r="AM372" s="22">
        <f>IF($AE372="","",MAX(0,SUM($AE372,$AL372,$V372,$W372)))</f>
        <v/>
      </c>
      <c r="AN372" s="22">
        <f>IF($AM372="","",IF(AND($Q372="COMMITMENT",$R372&gt;=$AH372),$AI372,0))</f>
        <v/>
      </c>
      <c r="AO372" s="23">
        <f>IF($AM372="","",MAX(0,$AM372-$AN372))</f>
        <v/>
      </c>
      <c r="AP372" s="22">
        <f>IF($S372="","",IF(OR($S372="ITEM_PRICE_PLUS_DECLARED_DELIVERY",$S372="DELIVERY_CHARGE_ONLY"),$K372,IF($S372="TOTAL_AMOUNT_INCLUDING_DELIVERY",IF(OR($T372="",$J372=""),"",MAX(0,$T372-$J372-$U372)),IF($S372="ITEM_PRICE_ONLY_DELIVERY_PAID_BY_MERCHANT",0,""))))</f>
        <v/>
      </c>
      <c r="AQ372" s="23">
        <f>IF(OR($AP372="",$AO372=""),"",$AP372-$AO372)</f>
        <v/>
      </c>
      <c r="AR372" s="24">
        <f>IF($S372="EXACT_COLLECTION_AMOUNT","BREAKDOWN_REQUIRED",IF($AQ372="","",IF($AQ372&gt;0,"CREDIT_TO_MERCHANT",IF($AQ372&lt;0,"DEDUCT_FROM_MERCHANT","NO_ADJUSTMENT"))))</f>
        <v/>
      </c>
      <c r="AS372" s="23">
        <f>IF(OR($AQ372="",$AR372="BREAKDOWN_REQUIRED"),"",$AQ372)</f>
        <v/>
      </c>
      <c r="AT372" s="23">
        <f>IF(OR($AR372="",$AR372="BREAKDOWN_REQUIRED"),"",SUM($J372,$AQ372,$Y372)-$X372)</f>
        <v/>
      </c>
      <c r="AU372" s="25">
        <f>IF(AND($A372="",$B372="",$F372="",$H372="",$J372="",$K372="",$M372="",$S372=""),"",IF(OR($H372="",$Q372="",$M372="",$S372=""),"ERROR",IF(OR($J372&lt;0,$K372&lt;0,$M372&lt;0,$T372&lt;0,$U372&lt;0,$V372&lt;0,$W372&lt;0,$X372&lt;0,$Y372&lt;0),"ERROR",IF($AE372="","ERROR",IF(AND(OR($S372="ITEM_PRICE_PLUS_DECLARED_DELIVERY",$S372="TOTAL_AMOUNT_INCLUDING_DELIVERY",$S372="ITEM_PRICE_ONLY_DELIVERY_PAID_BY_MERCHANT"),$J372=""),"ERROR",IF(AND(OR($S372="ITEM_PRICE_PLUS_DECLARED_DELIVERY",$S372="DELIVERY_CHARGE_ONLY"),$K372=""),"ERROR",IF(AND(OR($S372="TOTAL_AMOUNT_INCLUDING_DELIVERY",$S372="EXACT_COLLECTION_AMOUNT"),$T372=""),"ERROR",IF(AND($S372="TOTAL_AMOUNT_INCLUDING_DELIVERY",$T372&lt;SUM($J372,$U372)),"ERROR",IF($S372="EXACT_COLLECTION_AMOUNT","REVIEW","OK")))))))))</f>
        <v/>
      </c>
      <c r="AV372" s="25">
        <f>IF($AU372="","",IF($H372="","Township required",IF($Q372="","Customer tier required",IF($M372="","Weight required",IF($S372="","Amount entry type required",IF(OR($J372&lt;0,$K372&lt;0,$M372&lt;0,$T372&lt;0,$U372&lt;0,$V372&lt;0,$W372&lt;0,$X372&lt;0,$Y372&lt;0),"Negative amounts are not allowed",IF($AE372="","Tariff not found for township and tier",IF(AND(OR($S372="ITEM_PRICE_PLUS_DECLARED_DELIVERY",$S372="TOTAL_AMOUNT_INCLUDING_DELIVERY",$S372="ITEM_PRICE_ONLY_DELIVERY_PAID_BY_MERCHANT"),$J372=""),"Item price required for this amount type",IF(AND(OR($S372="ITEM_PRICE_PLUS_DECLARED_DELIVERY",$S372="DELIVERY_CHARGE_ONLY"),$K372=""),"Declared delivery charge required",IF(AND(OR($S372="TOTAL_AMOUNT_INCLUDING_DELIVERY",$S372="EXACT_COLLECTION_AMOUNT"),$T372=""),"Stated total amount required",IF(AND($S372="TOTAL_AMOUNT_INCLUDING_DELIVERY",$T372&lt;SUM($J372,$U372)),"Stated total is below item price plus additional charge",IF($S372="EXACT_COLLECTION_AMOUNT","Authorized amount breakdown required before settlement","Ready for collection and settlement"))))))))))))</f>
        <v/>
      </c>
      <c r="AW372" s="23">
        <f>IF($AU372="","","PARCEL_FINANCIAL_V2")</f>
        <v/>
      </c>
      <c r="AX372" s="17" t="n"/>
    </row>
    <row r="373">
      <c r="A373" s="8" t="n"/>
      <c r="B373" s="8" t="n"/>
      <c r="C373" s="8" t="n"/>
      <c r="D373" s="8" t="n"/>
      <c r="E373" s="9" t="n"/>
      <c r="F373" s="9" t="n"/>
      <c r="G373" s="8" t="n"/>
      <c r="H373" s="9" t="n"/>
      <c r="I373" s="9" t="n"/>
      <c r="J373" s="10" t="n"/>
      <c r="K373" s="10" t="n"/>
      <c r="L373" s="11">
        <f>IF($S373="","",IF($S373="ITEM_PRICE_PLUS_DECLARED_DELIVERY",IF(OR($J373="",$K373=""),"",SUM($J373,$K373,$U373)),IF($S373="TOTAL_AMOUNT_INCLUDING_DELIVERY",IF($T373="","",$T373),IF($S373="DELIVERY_CHARGE_ONLY",IF($K373="","",SUM($K373,$U373)),IF($S373="EXACT_COLLECTION_AMOUNT",IF($T373="","",$T373),IF($S373="ITEM_PRICE_ONLY_DELIVERY_PAID_BY_MERCHANT",IF($J373="","",SUM($J373,$U373)),""))))))</f>
        <v/>
      </c>
      <c r="M373" s="12" t="n"/>
      <c r="N373" s="13" t="n"/>
      <c r="O373" s="13" t="n"/>
      <c r="P373" s="9" t="n"/>
      <c r="Q373" s="14" t="n"/>
      <c r="R373" s="15" t="n"/>
      <c r="S373" s="14" t="n"/>
      <c r="T373" s="16" t="n"/>
      <c r="U373" s="16" t="n"/>
      <c r="V373" s="16" t="n"/>
      <c r="W373" s="16" t="n"/>
      <c r="X373" s="16" t="n"/>
      <c r="Y373" s="16" t="n"/>
      <c r="Z373" s="14" t="n"/>
      <c r="AA373" s="14" t="n"/>
      <c r="AB373" s="14" t="n"/>
      <c r="AC373" s="17">
        <f>IFERROR(VLOOKUP($H373&amp;"|"&amp;$Q373,Tariff_Master!$A$2:$L$169,3,FALSE),"")</f>
        <v/>
      </c>
      <c r="AD373" s="17">
        <f>IFERROR(VLOOKUP($H373&amp;"|"&amp;$Q373,Tariff_Master!$A$2:$L$169,4,FALSE),"")</f>
        <v/>
      </c>
      <c r="AE373" s="18">
        <f>IFERROR(VLOOKUP($H373&amp;"|"&amp;$Q373,Tariff_Master!$A$2:$L$169,6,FALSE),"")</f>
        <v/>
      </c>
      <c r="AF373" s="19">
        <f>IFERROR(VLOOKUP($H373&amp;"|"&amp;$Q373,Tariff_Master!$A$2:$L$169,7,FALSE),"")</f>
        <v/>
      </c>
      <c r="AG373" s="18">
        <f>IFERROR(VLOOKUP($H373&amp;"|"&amp;$Q373,Tariff_Master!$A$2:$L$169,8,FALSE),"")</f>
        <v/>
      </c>
      <c r="AH373" s="20">
        <f>IFERROR(VLOOKUP($H373&amp;"|"&amp;$Q373,Tariff_Master!$A$2:$L$169,9,FALSE),"")</f>
        <v/>
      </c>
      <c r="AI373" s="18">
        <f>IFERROR(VLOOKUP($H373&amp;"|"&amp;$Q373,Tariff_Master!$A$2:$L$169,10,FALSE),"")</f>
        <v/>
      </c>
      <c r="AJ373" s="21">
        <f>IF($M373="","",ROUNDUP(MAX(0,$M373),0))</f>
        <v/>
      </c>
      <c r="AK373" s="21">
        <f>IF(OR($AJ373="",$AF373=""),"",MAX(0,$AJ373-$AF373))</f>
        <v/>
      </c>
      <c r="AL373" s="22">
        <f>IF(OR($AK373="",$AG373=""),"",MAX(0,$AK373*$AG373))</f>
        <v/>
      </c>
      <c r="AM373" s="22">
        <f>IF($AE373="","",MAX(0,SUM($AE373,$AL373,$V373,$W373)))</f>
        <v/>
      </c>
      <c r="AN373" s="22">
        <f>IF($AM373="","",IF(AND($Q373="COMMITMENT",$R373&gt;=$AH373),$AI373,0))</f>
        <v/>
      </c>
      <c r="AO373" s="23">
        <f>IF($AM373="","",MAX(0,$AM373-$AN373))</f>
        <v/>
      </c>
      <c r="AP373" s="22">
        <f>IF($S373="","",IF(OR($S373="ITEM_PRICE_PLUS_DECLARED_DELIVERY",$S373="DELIVERY_CHARGE_ONLY"),$K373,IF($S373="TOTAL_AMOUNT_INCLUDING_DELIVERY",IF(OR($T373="",$J373=""),"",MAX(0,$T373-$J373-$U373)),IF($S373="ITEM_PRICE_ONLY_DELIVERY_PAID_BY_MERCHANT",0,""))))</f>
        <v/>
      </c>
      <c r="AQ373" s="23">
        <f>IF(OR($AP373="",$AO373=""),"",$AP373-$AO373)</f>
        <v/>
      </c>
      <c r="AR373" s="24">
        <f>IF($S373="EXACT_COLLECTION_AMOUNT","BREAKDOWN_REQUIRED",IF($AQ373="","",IF($AQ373&gt;0,"CREDIT_TO_MERCHANT",IF($AQ373&lt;0,"DEDUCT_FROM_MERCHANT","NO_ADJUSTMENT"))))</f>
        <v/>
      </c>
      <c r="AS373" s="23">
        <f>IF(OR($AQ373="",$AR373="BREAKDOWN_REQUIRED"),"",$AQ373)</f>
        <v/>
      </c>
      <c r="AT373" s="23">
        <f>IF(OR($AR373="",$AR373="BREAKDOWN_REQUIRED"),"",SUM($J373,$AQ373,$Y373)-$X373)</f>
        <v/>
      </c>
      <c r="AU373" s="25">
        <f>IF(AND($A373="",$B373="",$F373="",$H373="",$J373="",$K373="",$M373="",$S373=""),"",IF(OR($H373="",$Q373="",$M373="",$S373=""),"ERROR",IF(OR($J373&lt;0,$K373&lt;0,$M373&lt;0,$T373&lt;0,$U373&lt;0,$V373&lt;0,$W373&lt;0,$X373&lt;0,$Y373&lt;0),"ERROR",IF($AE373="","ERROR",IF(AND(OR($S373="ITEM_PRICE_PLUS_DECLARED_DELIVERY",$S373="TOTAL_AMOUNT_INCLUDING_DELIVERY",$S373="ITEM_PRICE_ONLY_DELIVERY_PAID_BY_MERCHANT"),$J373=""),"ERROR",IF(AND(OR($S373="ITEM_PRICE_PLUS_DECLARED_DELIVERY",$S373="DELIVERY_CHARGE_ONLY"),$K373=""),"ERROR",IF(AND(OR($S373="TOTAL_AMOUNT_INCLUDING_DELIVERY",$S373="EXACT_COLLECTION_AMOUNT"),$T373=""),"ERROR",IF(AND($S373="TOTAL_AMOUNT_INCLUDING_DELIVERY",$T373&lt;SUM($J373,$U373)),"ERROR",IF($S373="EXACT_COLLECTION_AMOUNT","REVIEW","OK")))))))))</f>
        <v/>
      </c>
      <c r="AV373" s="25">
        <f>IF($AU373="","",IF($H373="","Township required",IF($Q373="","Customer tier required",IF($M373="","Weight required",IF($S373="","Amount entry type required",IF(OR($J373&lt;0,$K373&lt;0,$M373&lt;0,$T373&lt;0,$U373&lt;0,$V373&lt;0,$W373&lt;0,$X373&lt;0,$Y373&lt;0),"Negative amounts are not allowed",IF($AE373="","Tariff not found for township and tier",IF(AND(OR($S373="ITEM_PRICE_PLUS_DECLARED_DELIVERY",$S373="TOTAL_AMOUNT_INCLUDING_DELIVERY",$S373="ITEM_PRICE_ONLY_DELIVERY_PAID_BY_MERCHANT"),$J373=""),"Item price required for this amount type",IF(AND(OR($S373="ITEM_PRICE_PLUS_DECLARED_DELIVERY",$S373="DELIVERY_CHARGE_ONLY"),$K373=""),"Declared delivery charge required",IF(AND(OR($S373="TOTAL_AMOUNT_INCLUDING_DELIVERY",$S373="EXACT_COLLECTION_AMOUNT"),$T373=""),"Stated total amount required",IF(AND($S373="TOTAL_AMOUNT_INCLUDING_DELIVERY",$T373&lt;SUM($J373,$U373)),"Stated total is below item price plus additional charge",IF($S373="EXACT_COLLECTION_AMOUNT","Authorized amount breakdown required before settlement","Ready for collection and settlement"))))))))))))</f>
        <v/>
      </c>
      <c r="AW373" s="23">
        <f>IF($AU373="","","PARCEL_FINANCIAL_V2")</f>
        <v/>
      </c>
      <c r="AX373" s="17" t="n"/>
    </row>
    <row r="374">
      <c r="A374" s="8" t="n"/>
      <c r="B374" s="8" t="n"/>
      <c r="C374" s="8" t="n"/>
      <c r="D374" s="8" t="n"/>
      <c r="E374" s="9" t="n"/>
      <c r="F374" s="9" t="n"/>
      <c r="G374" s="8" t="n"/>
      <c r="H374" s="9" t="n"/>
      <c r="I374" s="9" t="n"/>
      <c r="J374" s="10" t="n"/>
      <c r="K374" s="10" t="n"/>
      <c r="L374" s="11">
        <f>IF($S374="","",IF($S374="ITEM_PRICE_PLUS_DECLARED_DELIVERY",IF(OR($J374="",$K374=""),"",SUM($J374,$K374,$U374)),IF($S374="TOTAL_AMOUNT_INCLUDING_DELIVERY",IF($T374="","",$T374),IF($S374="DELIVERY_CHARGE_ONLY",IF($K374="","",SUM($K374,$U374)),IF($S374="EXACT_COLLECTION_AMOUNT",IF($T374="","",$T374),IF($S374="ITEM_PRICE_ONLY_DELIVERY_PAID_BY_MERCHANT",IF($J374="","",SUM($J374,$U374)),""))))))</f>
        <v/>
      </c>
      <c r="M374" s="12" t="n"/>
      <c r="N374" s="13" t="n"/>
      <c r="O374" s="13" t="n"/>
      <c r="P374" s="9" t="n"/>
      <c r="Q374" s="14" t="n"/>
      <c r="R374" s="15" t="n"/>
      <c r="S374" s="14" t="n"/>
      <c r="T374" s="16" t="n"/>
      <c r="U374" s="16" t="n"/>
      <c r="V374" s="16" t="n"/>
      <c r="W374" s="16" t="n"/>
      <c r="X374" s="16" t="n"/>
      <c r="Y374" s="16" t="n"/>
      <c r="Z374" s="14" t="n"/>
      <c r="AA374" s="14" t="n"/>
      <c r="AB374" s="14" t="n"/>
      <c r="AC374" s="17">
        <f>IFERROR(VLOOKUP($H374&amp;"|"&amp;$Q374,Tariff_Master!$A$2:$L$169,3,FALSE),"")</f>
        <v/>
      </c>
      <c r="AD374" s="17">
        <f>IFERROR(VLOOKUP($H374&amp;"|"&amp;$Q374,Tariff_Master!$A$2:$L$169,4,FALSE),"")</f>
        <v/>
      </c>
      <c r="AE374" s="18">
        <f>IFERROR(VLOOKUP($H374&amp;"|"&amp;$Q374,Tariff_Master!$A$2:$L$169,6,FALSE),"")</f>
        <v/>
      </c>
      <c r="AF374" s="19">
        <f>IFERROR(VLOOKUP($H374&amp;"|"&amp;$Q374,Tariff_Master!$A$2:$L$169,7,FALSE),"")</f>
        <v/>
      </c>
      <c r="AG374" s="18">
        <f>IFERROR(VLOOKUP($H374&amp;"|"&amp;$Q374,Tariff_Master!$A$2:$L$169,8,FALSE),"")</f>
        <v/>
      </c>
      <c r="AH374" s="20">
        <f>IFERROR(VLOOKUP($H374&amp;"|"&amp;$Q374,Tariff_Master!$A$2:$L$169,9,FALSE),"")</f>
        <v/>
      </c>
      <c r="AI374" s="18">
        <f>IFERROR(VLOOKUP($H374&amp;"|"&amp;$Q374,Tariff_Master!$A$2:$L$169,10,FALSE),"")</f>
        <v/>
      </c>
      <c r="AJ374" s="21">
        <f>IF($M374="","",ROUNDUP(MAX(0,$M374),0))</f>
        <v/>
      </c>
      <c r="AK374" s="21">
        <f>IF(OR($AJ374="",$AF374=""),"",MAX(0,$AJ374-$AF374))</f>
        <v/>
      </c>
      <c r="AL374" s="22">
        <f>IF(OR($AK374="",$AG374=""),"",MAX(0,$AK374*$AG374))</f>
        <v/>
      </c>
      <c r="AM374" s="22">
        <f>IF($AE374="","",MAX(0,SUM($AE374,$AL374,$V374,$W374)))</f>
        <v/>
      </c>
      <c r="AN374" s="22">
        <f>IF($AM374="","",IF(AND($Q374="COMMITMENT",$R374&gt;=$AH374),$AI374,0))</f>
        <v/>
      </c>
      <c r="AO374" s="23">
        <f>IF($AM374="","",MAX(0,$AM374-$AN374))</f>
        <v/>
      </c>
      <c r="AP374" s="22">
        <f>IF($S374="","",IF(OR($S374="ITEM_PRICE_PLUS_DECLARED_DELIVERY",$S374="DELIVERY_CHARGE_ONLY"),$K374,IF($S374="TOTAL_AMOUNT_INCLUDING_DELIVERY",IF(OR($T374="",$J374=""),"",MAX(0,$T374-$J374-$U374)),IF($S374="ITEM_PRICE_ONLY_DELIVERY_PAID_BY_MERCHANT",0,""))))</f>
        <v/>
      </c>
      <c r="AQ374" s="23">
        <f>IF(OR($AP374="",$AO374=""),"",$AP374-$AO374)</f>
        <v/>
      </c>
      <c r="AR374" s="24">
        <f>IF($S374="EXACT_COLLECTION_AMOUNT","BREAKDOWN_REQUIRED",IF($AQ374="","",IF($AQ374&gt;0,"CREDIT_TO_MERCHANT",IF($AQ374&lt;0,"DEDUCT_FROM_MERCHANT","NO_ADJUSTMENT"))))</f>
        <v/>
      </c>
      <c r="AS374" s="23">
        <f>IF(OR($AQ374="",$AR374="BREAKDOWN_REQUIRED"),"",$AQ374)</f>
        <v/>
      </c>
      <c r="AT374" s="23">
        <f>IF(OR($AR374="",$AR374="BREAKDOWN_REQUIRED"),"",SUM($J374,$AQ374,$Y374)-$X374)</f>
        <v/>
      </c>
      <c r="AU374" s="25">
        <f>IF(AND($A374="",$B374="",$F374="",$H374="",$J374="",$K374="",$M374="",$S374=""),"",IF(OR($H374="",$Q374="",$M374="",$S374=""),"ERROR",IF(OR($J374&lt;0,$K374&lt;0,$M374&lt;0,$T374&lt;0,$U374&lt;0,$V374&lt;0,$W374&lt;0,$X374&lt;0,$Y374&lt;0),"ERROR",IF($AE374="","ERROR",IF(AND(OR($S374="ITEM_PRICE_PLUS_DECLARED_DELIVERY",$S374="TOTAL_AMOUNT_INCLUDING_DELIVERY",$S374="ITEM_PRICE_ONLY_DELIVERY_PAID_BY_MERCHANT"),$J374=""),"ERROR",IF(AND(OR($S374="ITEM_PRICE_PLUS_DECLARED_DELIVERY",$S374="DELIVERY_CHARGE_ONLY"),$K374=""),"ERROR",IF(AND(OR($S374="TOTAL_AMOUNT_INCLUDING_DELIVERY",$S374="EXACT_COLLECTION_AMOUNT"),$T374=""),"ERROR",IF(AND($S374="TOTAL_AMOUNT_INCLUDING_DELIVERY",$T374&lt;SUM($J374,$U374)),"ERROR",IF($S374="EXACT_COLLECTION_AMOUNT","REVIEW","OK")))))))))</f>
        <v/>
      </c>
      <c r="AV374" s="25">
        <f>IF($AU374="","",IF($H374="","Township required",IF($Q374="","Customer tier required",IF($M374="","Weight required",IF($S374="","Amount entry type required",IF(OR($J374&lt;0,$K374&lt;0,$M374&lt;0,$T374&lt;0,$U374&lt;0,$V374&lt;0,$W374&lt;0,$X374&lt;0,$Y374&lt;0),"Negative amounts are not allowed",IF($AE374="","Tariff not found for township and tier",IF(AND(OR($S374="ITEM_PRICE_PLUS_DECLARED_DELIVERY",$S374="TOTAL_AMOUNT_INCLUDING_DELIVERY",$S374="ITEM_PRICE_ONLY_DELIVERY_PAID_BY_MERCHANT"),$J374=""),"Item price required for this amount type",IF(AND(OR($S374="ITEM_PRICE_PLUS_DECLARED_DELIVERY",$S374="DELIVERY_CHARGE_ONLY"),$K374=""),"Declared delivery charge required",IF(AND(OR($S374="TOTAL_AMOUNT_INCLUDING_DELIVERY",$S374="EXACT_COLLECTION_AMOUNT"),$T374=""),"Stated total amount required",IF(AND($S374="TOTAL_AMOUNT_INCLUDING_DELIVERY",$T374&lt;SUM($J374,$U374)),"Stated total is below item price plus additional charge",IF($S374="EXACT_COLLECTION_AMOUNT","Authorized amount breakdown required before settlement","Ready for collection and settlement"))))))))))))</f>
        <v/>
      </c>
      <c r="AW374" s="23">
        <f>IF($AU374="","","PARCEL_FINANCIAL_V2")</f>
        <v/>
      </c>
      <c r="AX374" s="17" t="n"/>
    </row>
    <row r="375">
      <c r="A375" s="8" t="n"/>
      <c r="B375" s="8" t="n"/>
      <c r="C375" s="8" t="n"/>
      <c r="D375" s="8" t="n"/>
      <c r="E375" s="9" t="n"/>
      <c r="F375" s="9" t="n"/>
      <c r="G375" s="8" t="n"/>
      <c r="H375" s="9" t="n"/>
      <c r="I375" s="9" t="n"/>
      <c r="J375" s="10" t="n"/>
      <c r="K375" s="10" t="n"/>
      <c r="L375" s="11">
        <f>IF($S375="","",IF($S375="ITEM_PRICE_PLUS_DECLARED_DELIVERY",IF(OR($J375="",$K375=""),"",SUM($J375,$K375,$U375)),IF($S375="TOTAL_AMOUNT_INCLUDING_DELIVERY",IF($T375="","",$T375),IF($S375="DELIVERY_CHARGE_ONLY",IF($K375="","",SUM($K375,$U375)),IF($S375="EXACT_COLLECTION_AMOUNT",IF($T375="","",$T375),IF($S375="ITEM_PRICE_ONLY_DELIVERY_PAID_BY_MERCHANT",IF($J375="","",SUM($J375,$U375)),""))))))</f>
        <v/>
      </c>
      <c r="M375" s="12" t="n"/>
      <c r="N375" s="13" t="n"/>
      <c r="O375" s="13" t="n"/>
      <c r="P375" s="9" t="n"/>
      <c r="Q375" s="14" t="n"/>
      <c r="R375" s="15" t="n"/>
      <c r="S375" s="14" t="n"/>
      <c r="T375" s="16" t="n"/>
      <c r="U375" s="16" t="n"/>
      <c r="V375" s="16" t="n"/>
      <c r="W375" s="16" t="n"/>
      <c r="X375" s="16" t="n"/>
      <c r="Y375" s="16" t="n"/>
      <c r="Z375" s="14" t="n"/>
      <c r="AA375" s="14" t="n"/>
      <c r="AB375" s="14" t="n"/>
      <c r="AC375" s="17">
        <f>IFERROR(VLOOKUP($H375&amp;"|"&amp;$Q375,Tariff_Master!$A$2:$L$169,3,FALSE),"")</f>
        <v/>
      </c>
      <c r="AD375" s="17">
        <f>IFERROR(VLOOKUP($H375&amp;"|"&amp;$Q375,Tariff_Master!$A$2:$L$169,4,FALSE),"")</f>
        <v/>
      </c>
      <c r="AE375" s="18">
        <f>IFERROR(VLOOKUP($H375&amp;"|"&amp;$Q375,Tariff_Master!$A$2:$L$169,6,FALSE),"")</f>
        <v/>
      </c>
      <c r="AF375" s="19">
        <f>IFERROR(VLOOKUP($H375&amp;"|"&amp;$Q375,Tariff_Master!$A$2:$L$169,7,FALSE),"")</f>
        <v/>
      </c>
      <c r="AG375" s="18">
        <f>IFERROR(VLOOKUP($H375&amp;"|"&amp;$Q375,Tariff_Master!$A$2:$L$169,8,FALSE),"")</f>
        <v/>
      </c>
      <c r="AH375" s="20">
        <f>IFERROR(VLOOKUP($H375&amp;"|"&amp;$Q375,Tariff_Master!$A$2:$L$169,9,FALSE),"")</f>
        <v/>
      </c>
      <c r="AI375" s="18">
        <f>IFERROR(VLOOKUP($H375&amp;"|"&amp;$Q375,Tariff_Master!$A$2:$L$169,10,FALSE),"")</f>
        <v/>
      </c>
      <c r="AJ375" s="21">
        <f>IF($M375="","",ROUNDUP(MAX(0,$M375),0))</f>
        <v/>
      </c>
      <c r="AK375" s="21">
        <f>IF(OR($AJ375="",$AF375=""),"",MAX(0,$AJ375-$AF375))</f>
        <v/>
      </c>
      <c r="AL375" s="22">
        <f>IF(OR($AK375="",$AG375=""),"",MAX(0,$AK375*$AG375))</f>
        <v/>
      </c>
      <c r="AM375" s="22">
        <f>IF($AE375="","",MAX(0,SUM($AE375,$AL375,$V375,$W375)))</f>
        <v/>
      </c>
      <c r="AN375" s="22">
        <f>IF($AM375="","",IF(AND($Q375="COMMITMENT",$R375&gt;=$AH375),$AI375,0))</f>
        <v/>
      </c>
      <c r="AO375" s="23">
        <f>IF($AM375="","",MAX(0,$AM375-$AN375))</f>
        <v/>
      </c>
      <c r="AP375" s="22">
        <f>IF($S375="","",IF(OR($S375="ITEM_PRICE_PLUS_DECLARED_DELIVERY",$S375="DELIVERY_CHARGE_ONLY"),$K375,IF($S375="TOTAL_AMOUNT_INCLUDING_DELIVERY",IF(OR($T375="",$J375=""),"",MAX(0,$T375-$J375-$U375)),IF($S375="ITEM_PRICE_ONLY_DELIVERY_PAID_BY_MERCHANT",0,""))))</f>
        <v/>
      </c>
      <c r="AQ375" s="23">
        <f>IF(OR($AP375="",$AO375=""),"",$AP375-$AO375)</f>
        <v/>
      </c>
      <c r="AR375" s="24">
        <f>IF($S375="EXACT_COLLECTION_AMOUNT","BREAKDOWN_REQUIRED",IF($AQ375="","",IF($AQ375&gt;0,"CREDIT_TO_MERCHANT",IF($AQ375&lt;0,"DEDUCT_FROM_MERCHANT","NO_ADJUSTMENT"))))</f>
        <v/>
      </c>
      <c r="AS375" s="23">
        <f>IF(OR($AQ375="",$AR375="BREAKDOWN_REQUIRED"),"",$AQ375)</f>
        <v/>
      </c>
      <c r="AT375" s="23">
        <f>IF(OR($AR375="",$AR375="BREAKDOWN_REQUIRED"),"",SUM($J375,$AQ375,$Y375)-$X375)</f>
        <v/>
      </c>
      <c r="AU375" s="25">
        <f>IF(AND($A375="",$B375="",$F375="",$H375="",$J375="",$K375="",$M375="",$S375=""),"",IF(OR($H375="",$Q375="",$M375="",$S375=""),"ERROR",IF(OR($J375&lt;0,$K375&lt;0,$M375&lt;0,$T375&lt;0,$U375&lt;0,$V375&lt;0,$W375&lt;0,$X375&lt;0,$Y375&lt;0),"ERROR",IF($AE375="","ERROR",IF(AND(OR($S375="ITEM_PRICE_PLUS_DECLARED_DELIVERY",$S375="TOTAL_AMOUNT_INCLUDING_DELIVERY",$S375="ITEM_PRICE_ONLY_DELIVERY_PAID_BY_MERCHANT"),$J375=""),"ERROR",IF(AND(OR($S375="ITEM_PRICE_PLUS_DECLARED_DELIVERY",$S375="DELIVERY_CHARGE_ONLY"),$K375=""),"ERROR",IF(AND(OR($S375="TOTAL_AMOUNT_INCLUDING_DELIVERY",$S375="EXACT_COLLECTION_AMOUNT"),$T375=""),"ERROR",IF(AND($S375="TOTAL_AMOUNT_INCLUDING_DELIVERY",$T375&lt;SUM($J375,$U375)),"ERROR",IF($S375="EXACT_COLLECTION_AMOUNT","REVIEW","OK")))))))))</f>
        <v/>
      </c>
      <c r="AV375" s="25">
        <f>IF($AU375="","",IF($H375="","Township required",IF($Q375="","Customer tier required",IF($M375="","Weight required",IF($S375="","Amount entry type required",IF(OR($J375&lt;0,$K375&lt;0,$M375&lt;0,$T375&lt;0,$U375&lt;0,$V375&lt;0,$W375&lt;0,$X375&lt;0,$Y375&lt;0),"Negative amounts are not allowed",IF($AE375="","Tariff not found for township and tier",IF(AND(OR($S375="ITEM_PRICE_PLUS_DECLARED_DELIVERY",$S375="TOTAL_AMOUNT_INCLUDING_DELIVERY",$S375="ITEM_PRICE_ONLY_DELIVERY_PAID_BY_MERCHANT"),$J375=""),"Item price required for this amount type",IF(AND(OR($S375="ITEM_PRICE_PLUS_DECLARED_DELIVERY",$S375="DELIVERY_CHARGE_ONLY"),$K375=""),"Declared delivery charge required",IF(AND(OR($S375="TOTAL_AMOUNT_INCLUDING_DELIVERY",$S375="EXACT_COLLECTION_AMOUNT"),$T375=""),"Stated total amount required",IF(AND($S375="TOTAL_AMOUNT_INCLUDING_DELIVERY",$T375&lt;SUM($J375,$U375)),"Stated total is below item price plus additional charge",IF($S375="EXACT_COLLECTION_AMOUNT","Authorized amount breakdown required before settlement","Ready for collection and settlement"))))))))))))</f>
        <v/>
      </c>
      <c r="AW375" s="23">
        <f>IF($AU375="","","PARCEL_FINANCIAL_V2")</f>
        <v/>
      </c>
      <c r="AX375" s="17" t="n"/>
    </row>
    <row r="376">
      <c r="A376" s="8" t="n"/>
      <c r="B376" s="8" t="n"/>
      <c r="C376" s="8" t="n"/>
      <c r="D376" s="8" t="n"/>
      <c r="E376" s="9" t="n"/>
      <c r="F376" s="9" t="n"/>
      <c r="G376" s="8" t="n"/>
      <c r="H376" s="9" t="n"/>
      <c r="I376" s="9" t="n"/>
      <c r="J376" s="10" t="n"/>
      <c r="K376" s="10" t="n"/>
      <c r="L376" s="11">
        <f>IF($S376="","",IF($S376="ITEM_PRICE_PLUS_DECLARED_DELIVERY",IF(OR($J376="",$K376=""),"",SUM($J376,$K376,$U376)),IF($S376="TOTAL_AMOUNT_INCLUDING_DELIVERY",IF($T376="","",$T376),IF($S376="DELIVERY_CHARGE_ONLY",IF($K376="","",SUM($K376,$U376)),IF($S376="EXACT_COLLECTION_AMOUNT",IF($T376="","",$T376),IF($S376="ITEM_PRICE_ONLY_DELIVERY_PAID_BY_MERCHANT",IF($J376="","",SUM($J376,$U376)),""))))))</f>
        <v/>
      </c>
      <c r="M376" s="12" t="n"/>
      <c r="N376" s="13" t="n"/>
      <c r="O376" s="13" t="n"/>
      <c r="P376" s="9" t="n"/>
      <c r="Q376" s="14" t="n"/>
      <c r="R376" s="15" t="n"/>
      <c r="S376" s="14" t="n"/>
      <c r="T376" s="16" t="n"/>
      <c r="U376" s="16" t="n"/>
      <c r="V376" s="16" t="n"/>
      <c r="W376" s="16" t="n"/>
      <c r="X376" s="16" t="n"/>
      <c r="Y376" s="16" t="n"/>
      <c r="Z376" s="14" t="n"/>
      <c r="AA376" s="14" t="n"/>
      <c r="AB376" s="14" t="n"/>
      <c r="AC376" s="17">
        <f>IFERROR(VLOOKUP($H376&amp;"|"&amp;$Q376,Tariff_Master!$A$2:$L$169,3,FALSE),"")</f>
        <v/>
      </c>
      <c r="AD376" s="17">
        <f>IFERROR(VLOOKUP($H376&amp;"|"&amp;$Q376,Tariff_Master!$A$2:$L$169,4,FALSE),"")</f>
        <v/>
      </c>
      <c r="AE376" s="18">
        <f>IFERROR(VLOOKUP($H376&amp;"|"&amp;$Q376,Tariff_Master!$A$2:$L$169,6,FALSE),"")</f>
        <v/>
      </c>
      <c r="AF376" s="19">
        <f>IFERROR(VLOOKUP($H376&amp;"|"&amp;$Q376,Tariff_Master!$A$2:$L$169,7,FALSE),"")</f>
        <v/>
      </c>
      <c r="AG376" s="18">
        <f>IFERROR(VLOOKUP($H376&amp;"|"&amp;$Q376,Tariff_Master!$A$2:$L$169,8,FALSE),"")</f>
        <v/>
      </c>
      <c r="AH376" s="20">
        <f>IFERROR(VLOOKUP($H376&amp;"|"&amp;$Q376,Tariff_Master!$A$2:$L$169,9,FALSE),"")</f>
        <v/>
      </c>
      <c r="AI376" s="18">
        <f>IFERROR(VLOOKUP($H376&amp;"|"&amp;$Q376,Tariff_Master!$A$2:$L$169,10,FALSE),"")</f>
        <v/>
      </c>
      <c r="AJ376" s="21">
        <f>IF($M376="","",ROUNDUP(MAX(0,$M376),0))</f>
        <v/>
      </c>
      <c r="AK376" s="21">
        <f>IF(OR($AJ376="",$AF376=""),"",MAX(0,$AJ376-$AF376))</f>
        <v/>
      </c>
      <c r="AL376" s="22">
        <f>IF(OR($AK376="",$AG376=""),"",MAX(0,$AK376*$AG376))</f>
        <v/>
      </c>
      <c r="AM376" s="22">
        <f>IF($AE376="","",MAX(0,SUM($AE376,$AL376,$V376,$W376)))</f>
        <v/>
      </c>
      <c r="AN376" s="22">
        <f>IF($AM376="","",IF(AND($Q376="COMMITMENT",$R376&gt;=$AH376),$AI376,0))</f>
        <v/>
      </c>
      <c r="AO376" s="23">
        <f>IF($AM376="","",MAX(0,$AM376-$AN376))</f>
        <v/>
      </c>
      <c r="AP376" s="22">
        <f>IF($S376="","",IF(OR($S376="ITEM_PRICE_PLUS_DECLARED_DELIVERY",$S376="DELIVERY_CHARGE_ONLY"),$K376,IF($S376="TOTAL_AMOUNT_INCLUDING_DELIVERY",IF(OR($T376="",$J376=""),"",MAX(0,$T376-$J376-$U376)),IF($S376="ITEM_PRICE_ONLY_DELIVERY_PAID_BY_MERCHANT",0,""))))</f>
        <v/>
      </c>
      <c r="AQ376" s="23">
        <f>IF(OR($AP376="",$AO376=""),"",$AP376-$AO376)</f>
        <v/>
      </c>
      <c r="AR376" s="24">
        <f>IF($S376="EXACT_COLLECTION_AMOUNT","BREAKDOWN_REQUIRED",IF($AQ376="","",IF($AQ376&gt;0,"CREDIT_TO_MERCHANT",IF($AQ376&lt;0,"DEDUCT_FROM_MERCHANT","NO_ADJUSTMENT"))))</f>
        <v/>
      </c>
      <c r="AS376" s="23">
        <f>IF(OR($AQ376="",$AR376="BREAKDOWN_REQUIRED"),"",$AQ376)</f>
        <v/>
      </c>
      <c r="AT376" s="23">
        <f>IF(OR($AR376="",$AR376="BREAKDOWN_REQUIRED"),"",SUM($J376,$AQ376,$Y376)-$X376)</f>
        <v/>
      </c>
      <c r="AU376" s="25">
        <f>IF(AND($A376="",$B376="",$F376="",$H376="",$J376="",$K376="",$M376="",$S376=""),"",IF(OR($H376="",$Q376="",$M376="",$S376=""),"ERROR",IF(OR($J376&lt;0,$K376&lt;0,$M376&lt;0,$T376&lt;0,$U376&lt;0,$V376&lt;0,$W376&lt;0,$X376&lt;0,$Y376&lt;0),"ERROR",IF($AE376="","ERROR",IF(AND(OR($S376="ITEM_PRICE_PLUS_DECLARED_DELIVERY",$S376="TOTAL_AMOUNT_INCLUDING_DELIVERY",$S376="ITEM_PRICE_ONLY_DELIVERY_PAID_BY_MERCHANT"),$J376=""),"ERROR",IF(AND(OR($S376="ITEM_PRICE_PLUS_DECLARED_DELIVERY",$S376="DELIVERY_CHARGE_ONLY"),$K376=""),"ERROR",IF(AND(OR($S376="TOTAL_AMOUNT_INCLUDING_DELIVERY",$S376="EXACT_COLLECTION_AMOUNT"),$T376=""),"ERROR",IF(AND($S376="TOTAL_AMOUNT_INCLUDING_DELIVERY",$T376&lt;SUM($J376,$U376)),"ERROR",IF($S376="EXACT_COLLECTION_AMOUNT","REVIEW","OK")))))))))</f>
        <v/>
      </c>
      <c r="AV376" s="25">
        <f>IF($AU376="","",IF($H376="","Township required",IF($Q376="","Customer tier required",IF($M376="","Weight required",IF($S376="","Amount entry type required",IF(OR($J376&lt;0,$K376&lt;0,$M376&lt;0,$T376&lt;0,$U376&lt;0,$V376&lt;0,$W376&lt;0,$X376&lt;0,$Y376&lt;0),"Negative amounts are not allowed",IF($AE376="","Tariff not found for township and tier",IF(AND(OR($S376="ITEM_PRICE_PLUS_DECLARED_DELIVERY",$S376="TOTAL_AMOUNT_INCLUDING_DELIVERY",$S376="ITEM_PRICE_ONLY_DELIVERY_PAID_BY_MERCHANT"),$J376=""),"Item price required for this amount type",IF(AND(OR($S376="ITEM_PRICE_PLUS_DECLARED_DELIVERY",$S376="DELIVERY_CHARGE_ONLY"),$K376=""),"Declared delivery charge required",IF(AND(OR($S376="TOTAL_AMOUNT_INCLUDING_DELIVERY",$S376="EXACT_COLLECTION_AMOUNT"),$T376=""),"Stated total amount required",IF(AND($S376="TOTAL_AMOUNT_INCLUDING_DELIVERY",$T376&lt;SUM($J376,$U376)),"Stated total is below item price plus additional charge",IF($S376="EXACT_COLLECTION_AMOUNT","Authorized amount breakdown required before settlement","Ready for collection and settlement"))))))))))))</f>
        <v/>
      </c>
      <c r="AW376" s="23">
        <f>IF($AU376="","","PARCEL_FINANCIAL_V2")</f>
        <v/>
      </c>
      <c r="AX376" s="17" t="n"/>
    </row>
    <row r="377">
      <c r="A377" s="8" t="n"/>
      <c r="B377" s="8" t="n"/>
      <c r="C377" s="8" t="n"/>
      <c r="D377" s="8" t="n"/>
      <c r="E377" s="9" t="n"/>
      <c r="F377" s="9" t="n"/>
      <c r="G377" s="8" t="n"/>
      <c r="H377" s="9" t="n"/>
      <c r="I377" s="9" t="n"/>
      <c r="J377" s="10" t="n"/>
      <c r="K377" s="10" t="n"/>
      <c r="L377" s="11">
        <f>IF($S377="","",IF($S377="ITEM_PRICE_PLUS_DECLARED_DELIVERY",IF(OR($J377="",$K377=""),"",SUM($J377,$K377,$U377)),IF($S377="TOTAL_AMOUNT_INCLUDING_DELIVERY",IF($T377="","",$T377),IF($S377="DELIVERY_CHARGE_ONLY",IF($K377="","",SUM($K377,$U377)),IF($S377="EXACT_COLLECTION_AMOUNT",IF($T377="","",$T377),IF($S377="ITEM_PRICE_ONLY_DELIVERY_PAID_BY_MERCHANT",IF($J377="","",SUM($J377,$U377)),""))))))</f>
        <v/>
      </c>
      <c r="M377" s="12" t="n"/>
      <c r="N377" s="13" t="n"/>
      <c r="O377" s="13" t="n"/>
      <c r="P377" s="9" t="n"/>
      <c r="Q377" s="14" t="n"/>
      <c r="R377" s="15" t="n"/>
      <c r="S377" s="14" t="n"/>
      <c r="T377" s="16" t="n"/>
      <c r="U377" s="16" t="n"/>
      <c r="V377" s="16" t="n"/>
      <c r="W377" s="16" t="n"/>
      <c r="X377" s="16" t="n"/>
      <c r="Y377" s="16" t="n"/>
      <c r="Z377" s="14" t="n"/>
      <c r="AA377" s="14" t="n"/>
      <c r="AB377" s="14" t="n"/>
      <c r="AC377" s="17">
        <f>IFERROR(VLOOKUP($H377&amp;"|"&amp;$Q377,Tariff_Master!$A$2:$L$169,3,FALSE),"")</f>
        <v/>
      </c>
      <c r="AD377" s="17">
        <f>IFERROR(VLOOKUP($H377&amp;"|"&amp;$Q377,Tariff_Master!$A$2:$L$169,4,FALSE),"")</f>
        <v/>
      </c>
      <c r="AE377" s="18">
        <f>IFERROR(VLOOKUP($H377&amp;"|"&amp;$Q377,Tariff_Master!$A$2:$L$169,6,FALSE),"")</f>
        <v/>
      </c>
      <c r="AF377" s="19">
        <f>IFERROR(VLOOKUP($H377&amp;"|"&amp;$Q377,Tariff_Master!$A$2:$L$169,7,FALSE),"")</f>
        <v/>
      </c>
      <c r="AG377" s="18">
        <f>IFERROR(VLOOKUP($H377&amp;"|"&amp;$Q377,Tariff_Master!$A$2:$L$169,8,FALSE),"")</f>
        <v/>
      </c>
      <c r="AH377" s="20">
        <f>IFERROR(VLOOKUP($H377&amp;"|"&amp;$Q377,Tariff_Master!$A$2:$L$169,9,FALSE),"")</f>
        <v/>
      </c>
      <c r="AI377" s="18">
        <f>IFERROR(VLOOKUP($H377&amp;"|"&amp;$Q377,Tariff_Master!$A$2:$L$169,10,FALSE),"")</f>
        <v/>
      </c>
      <c r="AJ377" s="21">
        <f>IF($M377="","",ROUNDUP(MAX(0,$M377),0))</f>
        <v/>
      </c>
      <c r="AK377" s="21">
        <f>IF(OR($AJ377="",$AF377=""),"",MAX(0,$AJ377-$AF377))</f>
        <v/>
      </c>
      <c r="AL377" s="22">
        <f>IF(OR($AK377="",$AG377=""),"",MAX(0,$AK377*$AG377))</f>
        <v/>
      </c>
      <c r="AM377" s="22">
        <f>IF($AE377="","",MAX(0,SUM($AE377,$AL377,$V377,$W377)))</f>
        <v/>
      </c>
      <c r="AN377" s="22">
        <f>IF($AM377="","",IF(AND($Q377="COMMITMENT",$R377&gt;=$AH377),$AI377,0))</f>
        <v/>
      </c>
      <c r="AO377" s="23">
        <f>IF($AM377="","",MAX(0,$AM377-$AN377))</f>
        <v/>
      </c>
      <c r="AP377" s="22">
        <f>IF($S377="","",IF(OR($S377="ITEM_PRICE_PLUS_DECLARED_DELIVERY",$S377="DELIVERY_CHARGE_ONLY"),$K377,IF($S377="TOTAL_AMOUNT_INCLUDING_DELIVERY",IF(OR($T377="",$J377=""),"",MAX(0,$T377-$J377-$U377)),IF($S377="ITEM_PRICE_ONLY_DELIVERY_PAID_BY_MERCHANT",0,""))))</f>
        <v/>
      </c>
      <c r="AQ377" s="23">
        <f>IF(OR($AP377="",$AO377=""),"",$AP377-$AO377)</f>
        <v/>
      </c>
      <c r="AR377" s="24">
        <f>IF($S377="EXACT_COLLECTION_AMOUNT","BREAKDOWN_REQUIRED",IF($AQ377="","",IF($AQ377&gt;0,"CREDIT_TO_MERCHANT",IF($AQ377&lt;0,"DEDUCT_FROM_MERCHANT","NO_ADJUSTMENT"))))</f>
        <v/>
      </c>
      <c r="AS377" s="23">
        <f>IF(OR($AQ377="",$AR377="BREAKDOWN_REQUIRED"),"",$AQ377)</f>
        <v/>
      </c>
      <c r="AT377" s="23">
        <f>IF(OR($AR377="",$AR377="BREAKDOWN_REQUIRED"),"",SUM($J377,$AQ377,$Y377)-$X377)</f>
        <v/>
      </c>
      <c r="AU377" s="25">
        <f>IF(AND($A377="",$B377="",$F377="",$H377="",$J377="",$K377="",$M377="",$S377=""),"",IF(OR($H377="",$Q377="",$M377="",$S377=""),"ERROR",IF(OR($J377&lt;0,$K377&lt;0,$M377&lt;0,$T377&lt;0,$U377&lt;0,$V377&lt;0,$W377&lt;0,$X377&lt;0,$Y377&lt;0),"ERROR",IF($AE377="","ERROR",IF(AND(OR($S377="ITEM_PRICE_PLUS_DECLARED_DELIVERY",$S377="TOTAL_AMOUNT_INCLUDING_DELIVERY",$S377="ITEM_PRICE_ONLY_DELIVERY_PAID_BY_MERCHANT"),$J377=""),"ERROR",IF(AND(OR($S377="ITEM_PRICE_PLUS_DECLARED_DELIVERY",$S377="DELIVERY_CHARGE_ONLY"),$K377=""),"ERROR",IF(AND(OR($S377="TOTAL_AMOUNT_INCLUDING_DELIVERY",$S377="EXACT_COLLECTION_AMOUNT"),$T377=""),"ERROR",IF(AND($S377="TOTAL_AMOUNT_INCLUDING_DELIVERY",$T377&lt;SUM($J377,$U377)),"ERROR",IF($S377="EXACT_COLLECTION_AMOUNT","REVIEW","OK")))))))))</f>
        <v/>
      </c>
      <c r="AV377" s="25">
        <f>IF($AU377="","",IF($H377="","Township required",IF($Q377="","Customer tier required",IF($M377="","Weight required",IF($S377="","Amount entry type required",IF(OR($J377&lt;0,$K377&lt;0,$M377&lt;0,$T377&lt;0,$U377&lt;0,$V377&lt;0,$W377&lt;0,$X377&lt;0,$Y377&lt;0),"Negative amounts are not allowed",IF($AE377="","Tariff not found for township and tier",IF(AND(OR($S377="ITEM_PRICE_PLUS_DECLARED_DELIVERY",$S377="TOTAL_AMOUNT_INCLUDING_DELIVERY",$S377="ITEM_PRICE_ONLY_DELIVERY_PAID_BY_MERCHANT"),$J377=""),"Item price required for this amount type",IF(AND(OR($S377="ITEM_PRICE_PLUS_DECLARED_DELIVERY",$S377="DELIVERY_CHARGE_ONLY"),$K377=""),"Declared delivery charge required",IF(AND(OR($S377="TOTAL_AMOUNT_INCLUDING_DELIVERY",$S377="EXACT_COLLECTION_AMOUNT"),$T377=""),"Stated total amount required",IF(AND($S377="TOTAL_AMOUNT_INCLUDING_DELIVERY",$T377&lt;SUM($J377,$U377)),"Stated total is below item price plus additional charge",IF($S377="EXACT_COLLECTION_AMOUNT","Authorized amount breakdown required before settlement","Ready for collection and settlement"))))))))))))</f>
        <v/>
      </c>
      <c r="AW377" s="23">
        <f>IF($AU377="","","PARCEL_FINANCIAL_V2")</f>
        <v/>
      </c>
      <c r="AX377" s="17" t="n"/>
    </row>
    <row r="378">
      <c r="A378" s="8" t="n"/>
      <c r="B378" s="8" t="n"/>
      <c r="C378" s="8" t="n"/>
      <c r="D378" s="8" t="n"/>
      <c r="E378" s="9" t="n"/>
      <c r="F378" s="9" t="n"/>
      <c r="G378" s="8" t="n"/>
      <c r="H378" s="9" t="n"/>
      <c r="I378" s="9" t="n"/>
      <c r="J378" s="10" t="n"/>
      <c r="K378" s="10" t="n"/>
      <c r="L378" s="11">
        <f>IF($S378="","",IF($S378="ITEM_PRICE_PLUS_DECLARED_DELIVERY",IF(OR($J378="",$K378=""),"",SUM($J378,$K378,$U378)),IF($S378="TOTAL_AMOUNT_INCLUDING_DELIVERY",IF($T378="","",$T378),IF($S378="DELIVERY_CHARGE_ONLY",IF($K378="","",SUM($K378,$U378)),IF($S378="EXACT_COLLECTION_AMOUNT",IF($T378="","",$T378),IF($S378="ITEM_PRICE_ONLY_DELIVERY_PAID_BY_MERCHANT",IF($J378="","",SUM($J378,$U378)),""))))))</f>
        <v/>
      </c>
      <c r="M378" s="12" t="n"/>
      <c r="N378" s="13" t="n"/>
      <c r="O378" s="13" t="n"/>
      <c r="P378" s="9" t="n"/>
      <c r="Q378" s="14" t="n"/>
      <c r="R378" s="15" t="n"/>
      <c r="S378" s="14" t="n"/>
      <c r="T378" s="16" t="n"/>
      <c r="U378" s="16" t="n"/>
      <c r="V378" s="16" t="n"/>
      <c r="W378" s="16" t="n"/>
      <c r="X378" s="16" t="n"/>
      <c r="Y378" s="16" t="n"/>
      <c r="Z378" s="14" t="n"/>
      <c r="AA378" s="14" t="n"/>
      <c r="AB378" s="14" t="n"/>
      <c r="AC378" s="17">
        <f>IFERROR(VLOOKUP($H378&amp;"|"&amp;$Q378,Tariff_Master!$A$2:$L$169,3,FALSE),"")</f>
        <v/>
      </c>
      <c r="AD378" s="17">
        <f>IFERROR(VLOOKUP($H378&amp;"|"&amp;$Q378,Tariff_Master!$A$2:$L$169,4,FALSE),"")</f>
        <v/>
      </c>
      <c r="AE378" s="18">
        <f>IFERROR(VLOOKUP($H378&amp;"|"&amp;$Q378,Tariff_Master!$A$2:$L$169,6,FALSE),"")</f>
        <v/>
      </c>
      <c r="AF378" s="19">
        <f>IFERROR(VLOOKUP($H378&amp;"|"&amp;$Q378,Tariff_Master!$A$2:$L$169,7,FALSE),"")</f>
        <v/>
      </c>
      <c r="AG378" s="18">
        <f>IFERROR(VLOOKUP($H378&amp;"|"&amp;$Q378,Tariff_Master!$A$2:$L$169,8,FALSE),"")</f>
        <v/>
      </c>
      <c r="AH378" s="20">
        <f>IFERROR(VLOOKUP($H378&amp;"|"&amp;$Q378,Tariff_Master!$A$2:$L$169,9,FALSE),"")</f>
        <v/>
      </c>
      <c r="AI378" s="18">
        <f>IFERROR(VLOOKUP($H378&amp;"|"&amp;$Q378,Tariff_Master!$A$2:$L$169,10,FALSE),"")</f>
        <v/>
      </c>
      <c r="AJ378" s="21">
        <f>IF($M378="","",ROUNDUP(MAX(0,$M378),0))</f>
        <v/>
      </c>
      <c r="AK378" s="21">
        <f>IF(OR($AJ378="",$AF378=""),"",MAX(0,$AJ378-$AF378))</f>
        <v/>
      </c>
      <c r="AL378" s="22">
        <f>IF(OR($AK378="",$AG378=""),"",MAX(0,$AK378*$AG378))</f>
        <v/>
      </c>
      <c r="AM378" s="22">
        <f>IF($AE378="","",MAX(0,SUM($AE378,$AL378,$V378,$W378)))</f>
        <v/>
      </c>
      <c r="AN378" s="22">
        <f>IF($AM378="","",IF(AND($Q378="COMMITMENT",$R378&gt;=$AH378),$AI378,0))</f>
        <v/>
      </c>
      <c r="AO378" s="23">
        <f>IF($AM378="","",MAX(0,$AM378-$AN378))</f>
        <v/>
      </c>
      <c r="AP378" s="22">
        <f>IF($S378="","",IF(OR($S378="ITEM_PRICE_PLUS_DECLARED_DELIVERY",$S378="DELIVERY_CHARGE_ONLY"),$K378,IF($S378="TOTAL_AMOUNT_INCLUDING_DELIVERY",IF(OR($T378="",$J378=""),"",MAX(0,$T378-$J378-$U378)),IF($S378="ITEM_PRICE_ONLY_DELIVERY_PAID_BY_MERCHANT",0,""))))</f>
        <v/>
      </c>
      <c r="AQ378" s="23">
        <f>IF(OR($AP378="",$AO378=""),"",$AP378-$AO378)</f>
        <v/>
      </c>
      <c r="AR378" s="24">
        <f>IF($S378="EXACT_COLLECTION_AMOUNT","BREAKDOWN_REQUIRED",IF($AQ378="","",IF($AQ378&gt;0,"CREDIT_TO_MERCHANT",IF($AQ378&lt;0,"DEDUCT_FROM_MERCHANT","NO_ADJUSTMENT"))))</f>
        <v/>
      </c>
      <c r="AS378" s="23">
        <f>IF(OR($AQ378="",$AR378="BREAKDOWN_REQUIRED"),"",$AQ378)</f>
        <v/>
      </c>
      <c r="AT378" s="23">
        <f>IF(OR($AR378="",$AR378="BREAKDOWN_REQUIRED"),"",SUM($J378,$AQ378,$Y378)-$X378)</f>
        <v/>
      </c>
      <c r="AU378" s="25">
        <f>IF(AND($A378="",$B378="",$F378="",$H378="",$J378="",$K378="",$M378="",$S378=""),"",IF(OR($H378="",$Q378="",$M378="",$S378=""),"ERROR",IF(OR($J378&lt;0,$K378&lt;0,$M378&lt;0,$T378&lt;0,$U378&lt;0,$V378&lt;0,$W378&lt;0,$X378&lt;0,$Y378&lt;0),"ERROR",IF($AE378="","ERROR",IF(AND(OR($S378="ITEM_PRICE_PLUS_DECLARED_DELIVERY",$S378="TOTAL_AMOUNT_INCLUDING_DELIVERY",$S378="ITEM_PRICE_ONLY_DELIVERY_PAID_BY_MERCHANT"),$J378=""),"ERROR",IF(AND(OR($S378="ITEM_PRICE_PLUS_DECLARED_DELIVERY",$S378="DELIVERY_CHARGE_ONLY"),$K378=""),"ERROR",IF(AND(OR($S378="TOTAL_AMOUNT_INCLUDING_DELIVERY",$S378="EXACT_COLLECTION_AMOUNT"),$T378=""),"ERROR",IF(AND($S378="TOTAL_AMOUNT_INCLUDING_DELIVERY",$T378&lt;SUM($J378,$U378)),"ERROR",IF($S378="EXACT_COLLECTION_AMOUNT","REVIEW","OK")))))))))</f>
        <v/>
      </c>
      <c r="AV378" s="25">
        <f>IF($AU378="","",IF($H378="","Township required",IF($Q378="","Customer tier required",IF($M378="","Weight required",IF($S378="","Amount entry type required",IF(OR($J378&lt;0,$K378&lt;0,$M378&lt;0,$T378&lt;0,$U378&lt;0,$V378&lt;0,$W378&lt;0,$X378&lt;0,$Y378&lt;0),"Negative amounts are not allowed",IF($AE378="","Tariff not found for township and tier",IF(AND(OR($S378="ITEM_PRICE_PLUS_DECLARED_DELIVERY",$S378="TOTAL_AMOUNT_INCLUDING_DELIVERY",$S378="ITEM_PRICE_ONLY_DELIVERY_PAID_BY_MERCHANT"),$J378=""),"Item price required for this amount type",IF(AND(OR($S378="ITEM_PRICE_PLUS_DECLARED_DELIVERY",$S378="DELIVERY_CHARGE_ONLY"),$K378=""),"Declared delivery charge required",IF(AND(OR($S378="TOTAL_AMOUNT_INCLUDING_DELIVERY",$S378="EXACT_COLLECTION_AMOUNT"),$T378=""),"Stated total amount required",IF(AND($S378="TOTAL_AMOUNT_INCLUDING_DELIVERY",$T378&lt;SUM($J378,$U378)),"Stated total is below item price plus additional charge",IF($S378="EXACT_COLLECTION_AMOUNT","Authorized amount breakdown required before settlement","Ready for collection and settlement"))))))))))))</f>
        <v/>
      </c>
      <c r="AW378" s="23">
        <f>IF($AU378="","","PARCEL_FINANCIAL_V2")</f>
        <v/>
      </c>
      <c r="AX378" s="17" t="n"/>
    </row>
    <row r="379">
      <c r="A379" s="8" t="n"/>
      <c r="B379" s="8" t="n"/>
      <c r="C379" s="8" t="n"/>
      <c r="D379" s="8" t="n"/>
      <c r="E379" s="9" t="n"/>
      <c r="F379" s="9" t="n"/>
      <c r="G379" s="8" t="n"/>
      <c r="H379" s="9" t="n"/>
      <c r="I379" s="9" t="n"/>
      <c r="J379" s="10" t="n"/>
      <c r="K379" s="10" t="n"/>
      <c r="L379" s="11">
        <f>IF($S379="","",IF($S379="ITEM_PRICE_PLUS_DECLARED_DELIVERY",IF(OR($J379="",$K379=""),"",SUM($J379,$K379,$U379)),IF($S379="TOTAL_AMOUNT_INCLUDING_DELIVERY",IF($T379="","",$T379),IF($S379="DELIVERY_CHARGE_ONLY",IF($K379="","",SUM($K379,$U379)),IF($S379="EXACT_COLLECTION_AMOUNT",IF($T379="","",$T379),IF($S379="ITEM_PRICE_ONLY_DELIVERY_PAID_BY_MERCHANT",IF($J379="","",SUM($J379,$U379)),""))))))</f>
        <v/>
      </c>
      <c r="M379" s="12" t="n"/>
      <c r="N379" s="13" t="n"/>
      <c r="O379" s="13" t="n"/>
      <c r="P379" s="9" t="n"/>
      <c r="Q379" s="14" t="n"/>
      <c r="R379" s="15" t="n"/>
      <c r="S379" s="14" t="n"/>
      <c r="T379" s="16" t="n"/>
      <c r="U379" s="16" t="n"/>
      <c r="V379" s="16" t="n"/>
      <c r="W379" s="16" t="n"/>
      <c r="X379" s="16" t="n"/>
      <c r="Y379" s="16" t="n"/>
      <c r="Z379" s="14" t="n"/>
      <c r="AA379" s="14" t="n"/>
      <c r="AB379" s="14" t="n"/>
      <c r="AC379" s="17">
        <f>IFERROR(VLOOKUP($H379&amp;"|"&amp;$Q379,Tariff_Master!$A$2:$L$169,3,FALSE),"")</f>
        <v/>
      </c>
      <c r="AD379" s="17">
        <f>IFERROR(VLOOKUP($H379&amp;"|"&amp;$Q379,Tariff_Master!$A$2:$L$169,4,FALSE),"")</f>
        <v/>
      </c>
      <c r="AE379" s="18">
        <f>IFERROR(VLOOKUP($H379&amp;"|"&amp;$Q379,Tariff_Master!$A$2:$L$169,6,FALSE),"")</f>
        <v/>
      </c>
      <c r="AF379" s="19">
        <f>IFERROR(VLOOKUP($H379&amp;"|"&amp;$Q379,Tariff_Master!$A$2:$L$169,7,FALSE),"")</f>
        <v/>
      </c>
      <c r="AG379" s="18">
        <f>IFERROR(VLOOKUP($H379&amp;"|"&amp;$Q379,Tariff_Master!$A$2:$L$169,8,FALSE),"")</f>
        <v/>
      </c>
      <c r="AH379" s="20">
        <f>IFERROR(VLOOKUP($H379&amp;"|"&amp;$Q379,Tariff_Master!$A$2:$L$169,9,FALSE),"")</f>
        <v/>
      </c>
      <c r="AI379" s="18">
        <f>IFERROR(VLOOKUP($H379&amp;"|"&amp;$Q379,Tariff_Master!$A$2:$L$169,10,FALSE),"")</f>
        <v/>
      </c>
      <c r="AJ379" s="21">
        <f>IF($M379="","",ROUNDUP(MAX(0,$M379),0))</f>
        <v/>
      </c>
      <c r="AK379" s="21">
        <f>IF(OR($AJ379="",$AF379=""),"",MAX(0,$AJ379-$AF379))</f>
        <v/>
      </c>
      <c r="AL379" s="22">
        <f>IF(OR($AK379="",$AG379=""),"",MAX(0,$AK379*$AG379))</f>
        <v/>
      </c>
      <c r="AM379" s="22">
        <f>IF($AE379="","",MAX(0,SUM($AE379,$AL379,$V379,$W379)))</f>
        <v/>
      </c>
      <c r="AN379" s="22">
        <f>IF($AM379="","",IF(AND($Q379="COMMITMENT",$R379&gt;=$AH379),$AI379,0))</f>
        <v/>
      </c>
      <c r="AO379" s="23">
        <f>IF($AM379="","",MAX(0,$AM379-$AN379))</f>
        <v/>
      </c>
      <c r="AP379" s="22">
        <f>IF($S379="","",IF(OR($S379="ITEM_PRICE_PLUS_DECLARED_DELIVERY",$S379="DELIVERY_CHARGE_ONLY"),$K379,IF($S379="TOTAL_AMOUNT_INCLUDING_DELIVERY",IF(OR($T379="",$J379=""),"",MAX(0,$T379-$J379-$U379)),IF($S379="ITEM_PRICE_ONLY_DELIVERY_PAID_BY_MERCHANT",0,""))))</f>
        <v/>
      </c>
      <c r="AQ379" s="23">
        <f>IF(OR($AP379="",$AO379=""),"",$AP379-$AO379)</f>
        <v/>
      </c>
      <c r="AR379" s="24">
        <f>IF($S379="EXACT_COLLECTION_AMOUNT","BREAKDOWN_REQUIRED",IF($AQ379="","",IF($AQ379&gt;0,"CREDIT_TO_MERCHANT",IF($AQ379&lt;0,"DEDUCT_FROM_MERCHANT","NO_ADJUSTMENT"))))</f>
        <v/>
      </c>
      <c r="AS379" s="23">
        <f>IF(OR($AQ379="",$AR379="BREAKDOWN_REQUIRED"),"",$AQ379)</f>
        <v/>
      </c>
      <c r="AT379" s="23">
        <f>IF(OR($AR379="",$AR379="BREAKDOWN_REQUIRED"),"",SUM($J379,$AQ379,$Y379)-$X379)</f>
        <v/>
      </c>
      <c r="AU379" s="25">
        <f>IF(AND($A379="",$B379="",$F379="",$H379="",$J379="",$K379="",$M379="",$S379=""),"",IF(OR($H379="",$Q379="",$M379="",$S379=""),"ERROR",IF(OR($J379&lt;0,$K379&lt;0,$M379&lt;0,$T379&lt;0,$U379&lt;0,$V379&lt;0,$W379&lt;0,$X379&lt;0,$Y379&lt;0),"ERROR",IF($AE379="","ERROR",IF(AND(OR($S379="ITEM_PRICE_PLUS_DECLARED_DELIVERY",$S379="TOTAL_AMOUNT_INCLUDING_DELIVERY",$S379="ITEM_PRICE_ONLY_DELIVERY_PAID_BY_MERCHANT"),$J379=""),"ERROR",IF(AND(OR($S379="ITEM_PRICE_PLUS_DECLARED_DELIVERY",$S379="DELIVERY_CHARGE_ONLY"),$K379=""),"ERROR",IF(AND(OR($S379="TOTAL_AMOUNT_INCLUDING_DELIVERY",$S379="EXACT_COLLECTION_AMOUNT"),$T379=""),"ERROR",IF(AND($S379="TOTAL_AMOUNT_INCLUDING_DELIVERY",$T379&lt;SUM($J379,$U379)),"ERROR",IF($S379="EXACT_COLLECTION_AMOUNT","REVIEW","OK")))))))))</f>
        <v/>
      </c>
      <c r="AV379" s="25">
        <f>IF($AU379="","",IF($H379="","Township required",IF($Q379="","Customer tier required",IF($M379="","Weight required",IF($S379="","Amount entry type required",IF(OR($J379&lt;0,$K379&lt;0,$M379&lt;0,$T379&lt;0,$U379&lt;0,$V379&lt;0,$W379&lt;0,$X379&lt;0,$Y379&lt;0),"Negative amounts are not allowed",IF($AE379="","Tariff not found for township and tier",IF(AND(OR($S379="ITEM_PRICE_PLUS_DECLARED_DELIVERY",$S379="TOTAL_AMOUNT_INCLUDING_DELIVERY",$S379="ITEM_PRICE_ONLY_DELIVERY_PAID_BY_MERCHANT"),$J379=""),"Item price required for this amount type",IF(AND(OR($S379="ITEM_PRICE_PLUS_DECLARED_DELIVERY",$S379="DELIVERY_CHARGE_ONLY"),$K379=""),"Declared delivery charge required",IF(AND(OR($S379="TOTAL_AMOUNT_INCLUDING_DELIVERY",$S379="EXACT_COLLECTION_AMOUNT"),$T379=""),"Stated total amount required",IF(AND($S379="TOTAL_AMOUNT_INCLUDING_DELIVERY",$T379&lt;SUM($J379,$U379)),"Stated total is below item price plus additional charge",IF($S379="EXACT_COLLECTION_AMOUNT","Authorized amount breakdown required before settlement","Ready for collection and settlement"))))))))))))</f>
        <v/>
      </c>
      <c r="AW379" s="23">
        <f>IF($AU379="","","PARCEL_FINANCIAL_V2")</f>
        <v/>
      </c>
      <c r="AX379" s="17" t="n"/>
    </row>
    <row r="380">
      <c r="A380" s="8" t="n"/>
      <c r="B380" s="8" t="n"/>
      <c r="C380" s="8" t="n"/>
      <c r="D380" s="8" t="n"/>
      <c r="E380" s="9" t="n"/>
      <c r="F380" s="9" t="n"/>
      <c r="G380" s="8" t="n"/>
      <c r="H380" s="9" t="n"/>
      <c r="I380" s="9" t="n"/>
      <c r="J380" s="10" t="n"/>
      <c r="K380" s="10" t="n"/>
      <c r="L380" s="11">
        <f>IF($S380="","",IF($S380="ITEM_PRICE_PLUS_DECLARED_DELIVERY",IF(OR($J380="",$K380=""),"",SUM($J380,$K380,$U380)),IF($S380="TOTAL_AMOUNT_INCLUDING_DELIVERY",IF($T380="","",$T380),IF($S380="DELIVERY_CHARGE_ONLY",IF($K380="","",SUM($K380,$U380)),IF($S380="EXACT_COLLECTION_AMOUNT",IF($T380="","",$T380),IF($S380="ITEM_PRICE_ONLY_DELIVERY_PAID_BY_MERCHANT",IF($J380="","",SUM($J380,$U380)),""))))))</f>
        <v/>
      </c>
      <c r="M380" s="12" t="n"/>
      <c r="N380" s="13" t="n"/>
      <c r="O380" s="13" t="n"/>
      <c r="P380" s="9" t="n"/>
      <c r="Q380" s="14" t="n"/>
      <c r="R380" s="15" t="n"/>
      <c r="S380" s="14" t="n"/>
      <c r="T380" s="16" t="n"/>
      <c r="U380" s="16" t="n"/>
      <c r="V380" s="16" t="n"/>
      <c r="W380" s="16" t="n"/>
      <c r="X380" s="16" t="n"/>
      <c r="Y380" s="16" t="n"/>
      <c r="Z380" s="14" t="n"/>
      <c r="AA380" s="14" t="n"/>
      <c r="AB380" s="14" t="n"/>
      <c r="AC380" s="17">
        <f>IFERROR(VLOOKUP($H380&amp;"|"&amp;$Q380,Tariff_Master!$A$2:$L$169,3,FALSE),"")</f>
        <v/>
      </c>
      <c r="AD380" s="17">
        <f>IFERROR(VLOOKUP($H380&amp;"|"&amp;$Q380,Tariff_Master!$A$2:$L$169,4,FALSE),"")</f>
        <v/>
      </c>
      <c r="AE380" s="18">
        <f>IFERROR(VLOOKUP($H380&amp;"|"&amp;$Q380,Tariff_Master!$A$2:$L$169,6,FALSE),"")</f>
        <v/>
      </c>
      <c r="AF380" s="19">
        <f>IFERROR(VLOOKUP($H380&amp;"|"&amp;$Q380,Tariff_Master!$A$2:$L$169,7,FALSE),"")</f>
        <v/>
      </c>
      <c r="AG380" s="18">
        <f>IFERROR(VLOOKUP($H380&amp;"|"&amp;$Q380,Tariff_Master!$A$2:$L$169,8,FALSE),"")</f>
        <v/>
      </c>
      <c r="AH380" s="20">
        <f>IFERROR(VLOOKUP($H380&amp;"|"&amp;$Q380,Tariff_Master!$A$2:$L$169,9,FALSE),"")</f>
        <v/>
      </c>
      <c r="AI380" s="18">
        <f>IFERROR(VLOOKUP($H380&amp;"|"&amp;$Q380,Tariff_Master!$A$2:$L$169,10,FALSE),"")</f>
        <v/>
      </c>
      <c r="AJ380" s="21">
        <f>IF($M380="","",ROUNDUP(MAX(0,$M380),0))</f>
        <v/>
      </c>
      <c r="AK380" s="21">
        <f>IF(OR($AJ380="",$AF380=""),"",MAX(0,$AJ380-$AF380))</f>
        <v/>
      </c>
      <c r="AL380" s="22">
        <f>IF(OR($AK380="",$AG380=""),"",MAX(0,$AK380*$AG380))</f>
        <v/>
      </c>
      <c r="AM380" s="22">
        <f>IF($AE380="","",MAX(0,SUM($AE380,$AL380,$V380,$W380)))</f>
        <v/>
      </c>
      <c r="AN380" s="22">
        <f>IF($AM380="","",IF(AND($Q380="COMMITMENT",$R380&gt;=$AH380),$AI380,0))</f>
        <v/>
      </c>
      <c r="AO380" s="23">
        <f>IF($AM380="","",MAX(0,$AM380-$AN380))</f>
        <v/>
      </c>
      <c r="AP380" s="22">
        <f>IF($S380="","",IF(OR($S380="ITEM_PRICE_PLUS_DECLARED_DELIVERY",$S380="DELIVERY_CHARGE_ONLY"),$K380,IF($S380="TOTAL_AMOUNT_INCLUDING_DELIVERY",IF(OR($T380="",$J380=""),"",MAX(0,$T380-$J380-$U380)),IF($S380="ITEM_PRICE_ONLY_DELIVERY_PAID_BY_MERCHANT",0,""))))</f>
        <v/>
      </c>
      <c r="AQ380" s="23">
        <f>IF(OR($AP380="",$AO380=""),"",$AP380-$AO380)</f>
        <v/>
      </c>
      <c r="AR380" s="24">
        <f>IF($S380="EXACT_COLLECTION_AMOUNT","BREAKDOWN_REQUIRED",IF($AQ380="","",IF($AQ380&gt;0,"CREDIT_TO_MERCHANT",IF($AQ380&lt;0,"DEDUCT_FROM_MERCHANT","NO_ADJUSTMENT"))))</f>
        <v/>
      </c>
      <c r="AS380" s="23">
        <f>IF(OR($AQ380="",$AR380="BREAKDOWN_REQUIRED"),"",$AQ380)</f>
        <v/>
      </c>
      <c r="AT380" s="23">
        <f>IF(OR($AR380="",$AR380="BREAKDOWN_REQUIRED"),"",SUM($J380,$AQ380,$Y380)-$X380)</f>
        <v/>
      </c>
      <c r="AU380" s="25">
        <f>IF(AND($A380="",$B380="",$F380="",$H380="",$J380="",$K380="",$M380="",$S380=""),"",IF(OR($H380="",$Q380="",$M380="",$S380=""),"ERROR",IF(OR($J380&lt;0,$K380&lt;0,$M380&lt;0,$T380&lt;0,$U380&lt;0,$V380&lt;0,$W380&lt;0,$X380&lt;0,$Y380&lt;0),"ERROR",IF($AE380="","ERROR",IF(AND(OR($S380="ITEM_PRICE_PLUS_DECLARED_DELIVERY",$S380="TOTAL_AMOUNT_INCLUDING_DELIVERY",$S380="ITEM_PRICE_ONLY_DELIVERY_PAID_BY_MERCHANT"),$J380=""),"ERROR",IF(AND(OR($S380="ITEM_PRICE_PLUS_DECLARED_DELIVERY",$S380="DELIVERY_CHARGE_ONLY"),$K380=""),"ERROR",IF(AND(OR($S380="TOTAL_AMOUNT_INCLUDING_DELIVERY",$S380="EXACT_COLLECTION_AMOUNT"),$T380=""),"ERROR",IF(AND($S380="TOTAL_AMOUNT_INCLUDING_DELIVERY",$T380&lt;SUM($J380,$U380)),"ERROR",IF($S380="EXACT_COLLECTION_AMOUNT","REVIEW","OK")))))))))</f>
        <v/>
      </c>
      <c r="AV380" s="25">
        <f>IF($AU380="","",IF($H380="","Township required",IF($Q380="","Customer tier required",IF($M380="","Weight required",IF($S380="","Amount entry type required",IF(OR($J380&lt;0,$K380&lt;0,$M380&lt;0,$T380&lt;0,$U380&lt;0,$V380&lt;0,$W380&lt;0,$X380&lt;0,$Y380&lt;0),"Negative amounts are not allowed",IF($AE380="","Tariff not found for township and tier",IF(AND(OR($S380="ITEM_PRICE_PLUS_DECLARED_DELIVERY",$S380="TOTAL_AMOUNT_INCLUDING_DELIVERY",$S380="ITEM_PRICE_ONLY_DELIVERY_PAID_BY_MERCHANT"),$J380=""),"Item price required for this amount type",IF(AND(OR($S380="ITEM_PRICE_PLUS_DECLARED_DELIVERY",$S380="DELIVERY_CHARGE_ONLY"),$K380=""),"Declared delivery charge required",IF(AND(OR($S380="TOTAL_AMOUNT_INCLUDING_DELIVERY",$S380="EXACT_COLLECTION_AMOUNT"),$T380=""),"Stated total amount required",IF(AND($S380="TOTAL_AMOUNT_INCLUDING_DELIVERY",$T380&lt;SUM($J380,$U380)),"Stated total is below item price plus additional charge",IF($S380="EXACT_COLLECTION_AMOUNT","Authorized amount breakdown required before settlement","Ready for collection and settlement"))))))))))))</f>
        <v/>
      </c>
      <c r="AW380" s="23">
        <f>IF($AU380="","","PARCEL_FINANCIAL_V2")</f>
        <v/>
      </c>
      <c r="AX380" s="17" t="n"/>
    </row>
    <row r="381">
      <c r="A381" s="8" t="n"/>
      <c r="B381" s="8" t="n"/>
      <c r="C381" s="8" t="n"/>
      <c r="D381" s="8" t="n"/>
      <c r="E381" s="9" t="n"/>
      <c r="F381" s="9" t="n"/>
      <c r="G381" s="8" t="n"/>
      <c r="H381" s="9" t="n"/>
      <c r="I381" s="9" t="n"/>
      <c r="J381" s="10" t="n"/>
      <c r="K381" s="10" t="n"/>
      <c r="L381" s="11">
        <f>IF($S381="","",IF($S381="ITEM_PRICE_PLUS_DECLARED_DELIVERY",IF(OR($J381="",$K381=""),"",SUM($J381,$K381,$U381)),IF($S381="TOTAL_AMOUNT_INCLUDING_DELIVERY",IF($T381="","",$T381),IF($S381="DELIVERY_CHARGE_ONLY",IF($K381="","",SUM($K381,$U381)),IF($S381="EXACT_COLLECTION_AMOUNT",IF($T381="","",$T381),IF($S381="ITEM_PRICE_ONLY_DELIVERY_PAID_BY_MERCHANT",IF($J381="","",SUM($J381,$U381)),""))))))</f>
        <v/>
      </c>
      <c r="M381" s="12" t="n"/>
      <c r="N381" s="13" t="n"/>
      <c r="O381" s="13" t="n"/>
      <c r="P381" s="9" t="n"/>
      <c r="Q381" s="14" t="n"/>
      <c r="R381" s="15" t="n"/>
      <c r="S381" s="14" t="n"/>
      <c r="T381" s="16" t="n"/>
      <c r="U381" s="16" t="n"/>
      <c r="V381" s="16" t="n"/>
      <c r="W381" s="16" t="n"/>
      <c r="X381" s="16" t="n"/>
      <c r="Y381" s="16" t="n"/>
      <c r="Z381" s="14" t="n"/>
      <c r="AA381" s="14" t="n"/>
      <c r="AB381" s="14" t="n"/>
      <c r="AC381" s="17">
        <f>IFERROR(VLOOKUP($H381&amp;"|"&amp;$Q381,Tariff_Master!$A$2:$L$169,3,FALSE),"")</f>
        <v/>
      </c>
      <c r="AD381" s="17">
        <f>IFERROR(VLOOKUP($H381&amp;"|"&amp;$Q381,Tariff_Master!$A$2:$L$169,4,FALSE),"")</f>
        <v/>
      </c>
      <c r="AE381" s="18">
        <f>IFERROR(VLOOKUP($H381&amp;"|"&amp;$Q381,Tariff_Master!$A$2:$L$169,6,FALSE),"")</f>
        <v/>
      </c>
      <c r="AF381" s="19">
        <f>IFERROR(VLOOKUP($H381&amp;"|"&amp;$Q381,Tariff_Master!$A$2:$L$169,7,FALSE),"")</f>
        <v/>
      </c>
      <c r="AG381" s="18">
        <f>IFERROR(VLOOKUP($H381&amp;"|"&amp;$Q381,Tariff_Master!$A$2:$L$169,8,FALSE),"")</f>
        <v/>
      </c>
      <c r="AH381" s="20">
        <f>IFERROR(VLOOKUP($H381&amp;"|"&amp;$Q381,Tariff_Master!$A$2:$L$169,9,FALSE),"")</f>
        <v/>
      </c>
      <c r="AI381" s="18">
        <f>IFERROR(VLOOKUP($H381&amp;"|"&amp;$Q381,Tariff_Master!$A$2:$L$169,10,FALSE),"")</f>
        <v/>
      </c>
      <c r="AJ381" s="21">
        <f>IF($M381="","",ROUNDUP(MAX(0,$M381),0))</f>
        <v/>
      </c>
      <c r="AK381" s="21">
        <f>IF(OR($AJ381="",$AF381=""),"",MAX(0,$AJ381-$AF381))</f>
        <v/>
      </c>
      <c r="AL381" s="22">
        <f>IF(OR($AK381="",$AG381=""),"",MAX(0,$AK381*$AG381))</f>
        <v/>
      </c>
      <c r="AM381" s="22">
        <f>IF($AE381="","",MAX(0,SUM($AE381,$AL381,$V381,$W381)))</f>
        <v/>
      </c>
      <c r="AN381" s="22">
        <f>IF($AM381="","",IF(AND($Q381="COMMITMENT",$R381&gt;=$AH381),$AI381,0))</f>
        <v/>
      </c>
      <c r="AO381" s="23">
        <f>IF($AM381="","",MAX(0,$AM381-$AN381))</f>
        <v/>
      </c>
      <c r="AP381" s="22">
        <f>IF($S381="","",IF(OR($S381="ITEM_PRICE_PLUS_DECLARED_DELIVERY",$S381="DELIVERY_CHARGE_ONLY"),$K381,IF($S381="TOTAL_AMOUNT_INCLUDING_DELIVERY",IF(OR($T381="",$J381=""),"",MAX(0,$T381-$J381-$U381)),IF($S381="ITEM_PRICE_ONLY_DELIVERY_PAID_BY_MERCHANT",0,""))))</f>
        <v/>
      </c>
      <c r="AQ381" s="23">
        <f>IF(OR($AP381="",$AO381=""),"",$AP381-$AO381)</f>
        <v/>
      </c>
      <c r="AR381" s="24">
        <f>IF($S381="EXACT_COLLECTION_AMOUNT","BREAKDOWN_REQUIRED",IF($AQ381="","",IF($AQ381&gt;0,"CREDIT_TO_MERCHANT",IF($AQ381&lt;0,"DEDUCT_FROM_MERCHANT","NO_ADJUSTMENT"))))</f>
        <v/>
      </c>
      <c r="AS381" s="23">
        <f>IF(OR($AQ381="",$AR381="BREAKDOWN_REQUIRED"),"",$AQ381)</f>
        <v/>
      </c>
      <c r="AT381" s="23">
        <f>IF(OR($AR381="",$AR381="BREAKDOWN_REQUIRED"),"",SUM($J381,$AQ381,$Y381)-$X381)</f>
        <v/>
      </c>
      <c r="AU381" s="25">
        <f>IF(AND($A381="",$B381="",$F381="",$H381="",$J381="",$K381="",$M381="",$S381=""),"",IF(OR($H381="",$Q381="",$M381="",$S381=""),"ERROR",IF(OR($J381&lt;0,$K381&lt;0,$M381&lt;0,$T381&lt;0,$U381&lt;0,$V381&lt;0,$W381&lt;0,$X381&lt;0,$Y381&lt;0),"ERROR",IF($AE381="","ERROR",IF(AND(OR($S381="ITEM_PRICE_PLUS_DECLARED_DELIVERY",$S381="TOTAL_AMOUNT_INCLUDING_DELIVERY",$S381="ITEM_PRICE_ONLY_DELIVERY_PAID_BY_MERCHANT"),$J381=""),"ERROR",IF(AND(OR($S381="ITEM_PRICE_PLUS_DECLARED_DELIVERY",$S381="DELIVERY_CHARGE_ONLY"),$K381=""),"ERROR",IF(AND(OR($S381="TOTAL_AMOUNT_INCLUDING_DELIVERY",$S381="EXACT_COLLECTION_AMOUNT"),$T381=""),"ERROR",IF(AND($S381="TOTAL_AMOUNT_INCLUDING_DELIVERY",$T381&lt;SUM($J381,$U381)),"ERROR",IF($S381="EXACT_COLLECTION_AMOUNT","REVIEW","OK")))))))))</f>
        <v/>
      </c>
      <c r="AV381" s="25">
        <f>IF($AU381="","",IF($H381="","Township required",IF($Q381="","Customer tier required",IF($M381="","Weight required",IF($S381="","Amount entry type required",IF(OR($J381&lt;0,$K381&lt;0,$M381&lt;0,$T381&lt;0,$U381&lt;0,$V381&lt;0,$W381&lt;0,$X381&lt;0,$Y381&lt;0),"Negative amounts are not allowed",IF($AE381="","Tariff not found for township and tier",IF(AND(OR($S381="ITEM_PRICE_PLUS_DECLARED_DELIVERY",$S381="TOTAL_AMOUNT_INCLUDING_DELIVERY",$S381="ITEM_PRICE_ONLY_DELIVERY_PAID_BY_MERCHANT"),$J381=""),"Item price required for this amount type",IF(AND(OR($S381="ITEM_PRICE_PLUS_DECLARED_DELIVERY",$S381="DELIVERY_CHARGE_ONLY"),$K381=""),"Declared delivery charge required",IF(AND(OR($S381="TOTAL_AMOUNT_INCLUDING_DELIVERY",$S381="EXACT_COLLECTION_AMOUNT"),$T381=""),"Stated total amount required",IF(AND($S381="TOTAL_AMOUNT_INCLUDING_DELIVERY",$T381&lt;SUM($J381,$U381)),"Stated total is below item price plus additional charge",IF($S381="EXACT_COLLECTION_AMOUNT","Authorized amount breakdown required before settlement","Ready for collection and settlement"))))))))))))</f>
        <v/>
      </c>
      <c r="AW381" s="23">
        <f>IF($AU381="","","PARCEL_FINANCIAL_V2")</f>
        <v/>
      </c>
      <c r="AX381" s="17" t="n"/>
    </row>
    <row r="382">
      <c r="A382" s="8" t="n"/>
      <c r="B382" s="8" t="n"/>
      <c r="C382" s="8" t="n"/>
      <c r="D382" s="8" t="n"/>
      <c r="E382" s="9" t="n"/>
      <c r="F382" s="9" t="n"/>
      <c r="G382" s="8" t="n"/>
      <c r="H382" s="9" t="n"/>
      <c r="I382" s="9" t="n"/>
      <c r="J382" s="10" t="n"/>
      <c r="K382" s="10" t="n"/>
      <c r="L382" s="11">
        <f>IF($S382="","",IF($S382="ITEM_PRICE_PLUS_DECLARED_DELIVERY",IF(OR($J382="",$K382=""),"",SUM($J382,$K382,$U382)),IF($S382="TOTAL_AMOUNT_INCLUDING_DELIVERY",IF($T382="","",$T382),IF($S382="DELIVERY_CHARGE_ONLY",IF($K382="","",SUM($K382,$U382)),IF($S382="EXACT_COLLECTION_AMOUNT",IF($T382="","",$T382),IF($S382="ITEM_PRICE_ONLY_DELIVERY_PAID_BY_MERCHANT",IF($J382="","",SUM($J382,$U382)),""))))))</f>
        <v/>
      </c>
      <c r="M382" s="12" t="n"/>
      <c r="N382" s="13" t="n"/>
      <c r="O382" s="13" t="n"/>
      <c r="P382" s="9" t="n"/>
      <c r="Q382" s="14" t="n"/>
      <c r="R382" s="15" t="n"/>
      <c r="S382" s="14" t="n"/>
      <c r="T382" s="16" t="n"/>
      <c r="U382" s="16" t="n"/>
      <c r="V382" s="16" t="n"/>
      <c r="W382" s="16" t="n"/>
      <c r="X382" s="16" t="n"/>
      <c r="Y382" s="16" t="n"/>
      <c r="Z382" s="14" t="n"/>
      <c r="AA382" s="14" t="n"/>
      <c r="AB382" s="14" t="n"/>
      <c r="AC382" s="17">
        <f>IFERROR(VLOOKUP($H382&amp;"|"&amp;$Q382,Tariff_Master!$A$2:$L$169,3,FALSE),"")</f>
        <v/>
      </c>
      <c r="AD382" s="17">
        <f>IFERROR(VLOOKUP($H382&amp;"|"&amp;$Q382,Tariff_Master!$A$2:$L$169,4,FALSE),"")</f>
        <v/>
      </c>
      <c r="AE382" s="18">
        <f>IFERROR(VLOOKUP($H382&amp;"|"&amp;$Q382,Tariff_Master!$A$2:$L$169,6,FALSE),"")</f>
        <v/>
      </c>
      <c r="AF382" s="19">
        <f>IFERROR(VLOOKUP($H382&amp;"|"&amp;$Q382,Tariff_Master!$A$2:$L$169,7,FALSE),"")</f>
        <v/>
      </c>
      <c r="AG382" s="18">
        <f>IFERROR(VLOOKUP($H382&amp;"|"&amp;$Q382,Tariff_Master!$A$2:$L$169,8,FALSE),"")</f>
        <v/>
      </c>
      <c r="AH382" s="20">
        <f>IFERROR(VLOOKUP($H382&amp;"|"&amp;$Q382,Tariff_Master!$A$2:$L$169,9,FALSE),"")</f>
        <v/>
      </c>
      <c r="AI382" s="18">
        <f>IFERROR(VLOOKUP($H382&amp;"|"&amp;$Q382,Tariff_Master!$A$2:$L$169,10,FALSE),"")</f>
        <v/>
      </c>
      <c r="AJ382" s="21">
        <f>IF($M382="","",ROUNDUP(MAX(0,$M382),0))</f>
        <v/>
      </c>
      <c r="AK382" s="21">
        <f>IF(OR($AJ382="",$AF382=""),"",MAX(0,$AJ382-$AF382))</f>
        <v/>
      </c>
      <c r="AL382" s="22">
        <f>IF(OR($AK382="",$AG382=""),"",MAX(0,$AK382*$AG382))</f>
        <v/>
      </c>
      <c r="AM382" s="22">
        <f>IF($AE382="","",MAX(0,SUM($AE382,$AL382,$V382,$W382)))</f>
        <v/>
      </c>
      <c r="AN382" s="22">
        <f>IF($AM382="","",IF(AND($Q382="COMMITMENT",$R382&gt;=$AH382),$AI382,0))</f>
        <v/>
      </c>
      <c r="AO382" s="23">
        <f>IF($AM382="","",MAX(0,$AM382-$AN382))</f>
        <v/>
      </c>
      <c r="AP382" s="22">
        <f>IF($S382="","",IF(OR($S382="ITEM_PRICE_PLUS_DECLARED_DELIVERY",$S382="DELIVERY_CHARGE_ONLY"),$K382,IF($S382="TOTAL_AMOUNT_INCLUDING_DELIVERY",IF(OR($T382="",$J382=""),"",MAX(0,$T382-$J382-$U382)),IF($S382="ITEM_PRICE_ONLY_DELIVERY_PAID_BY_MERCHANT",0,""))))</f>
        <v/>
      </c>
      <c r="AQ382" s="23">
        <f>IF(OR($AP382="",$AO382=""),"",$AP382-$AO382)</f>
        <v/>
      </c>
      <c r="AR382" s="24">
        <f>IF($S382="EXACT_COLLECTION_AMOUNT","BREAKDOWN_REQUIRED",IF($AQ382="","",IF($AQ382&gt;0,"CREDIT_TO_MERCHANT",IF($AQ382&lt;0,"DEDUCT_FROM_MERCHANT","NO_ADJUSTMENT"))))</f>
        <v/>
      </c>
      <c r="AS382" s="23">
        <f>IF(OR($AQ382="",$AR382="BREAKDOWN_REQUIRED"),"",$AQ382)</f>
        <v/>
      </c>
      <c r="AT382" s="23">
        <f>IF(OR($AR382="",$AR382="BREAKDOWN_REQUIRED"),"",SUM($J382,$AQ382,$Y382)-$X382)</f>
        <v/>
      </c>
      <c r="AU382" s="25">
        <f>IF(AND($A382="",$B382="",$F382="",$H382="",$J382="",$K382="",$M382="",$S382=""),"",IF(OR($H382="",$Q382="",$M382="",$S382=""),"ERROR",IF(OR($J382&lt;0,$K382&lt;0,$M382&lt;0,$T382&lt;0,$U382&lt;0,$V382&lt;0,$W382&lt;0,$X382&lt;0,$Y382&lt;0),"ERROR",IF($AE382="","ERROR",IF(AND(OR($S382="ITEM_PRICE_PLUS_DECLARED_DELIVERY",$S382="TOTAL_AMOUNT_INCLUDING_DELIVERY",$S382="ITEM_PRICE_ONLY_DELIVERY_PAID_BY_MERCHANT"),$J382=""),"ERROR",IF(AND(OR($S382="ITEM_PRICE_PLUS_DECLARED_DELIVERY",$S382="DELIVERY_CHARGE_ONLY"),$K382=""),"ERROR",IF(AND(OR($S382="TOTAL_AMOUNT_INCLUDING_DELIVERY",$S382="EXACT_COLLECTION_AMOUNT"),$T382=""),"ERROR",IF(AND($S382="TOTAL_AMOUNT_INCLUDING_DELIVERY",$T382&lt;SUM($J382,$U382)),"ERROR",IF($S382="EXACT_COLLECTION_AMOUNT","REVIEW","OK")))))))))</f>
        <v/>
      </c>
      <c r="AV382" s="25">
        <f>IF($AU382="","",IF($H382="","Township required",IF($Q382="","Customer tier required",IF($M382="","Weight required",IF($S382="","Amount entry type required",IF(OR($J382&lt;0,$K382&lt;0,$M382&lt;0,$T382&lt;0,$U382&lt;0,$V382&lt;0,$W382&lt;0,$X382&lt;0,$Y382&lt;0),"Negative amounts are not allowed",IF($AE382="","Tariff not found for township and tier",IF(AND(OR($S382="ITEM_PRICE_PLUS_DECLARED_DELIVERY",$S382="TOTAL_AMOUNT_INCLUDING_DELIVERY",$S382="ITEM_PRICE_ONLY_DELIVERY_PAID_BY_MERCHANT"),$J382=""),"Item price required for this amount type",IF(AND(OR($S382="ITEM_PRICE_PLUS_DECLARED_DELIVERY",$S382="DELIVERY_CHARGE_ONLY"),$K382=""),"Declared delivery charge required",IF(AND(OR($S382="TOTAL_AMOUNT_INCLUDING_DELIVERY",$S382="EXACT_COLLECTION_AMOUNT"),$T382=""),"Stated total amount required",IF(AND($S382="TOTAL_AMOUNT_INCLUDING_DELIVERY",$T382&lt;SUM($J382,$U382)),"Stated total is below item price plus additional charge",IF($S382="EXACT_COLLECTION_AMOUNT","Authorized amount breakdown required before settlement","Ready for collection and settlement"))))))))))))</f>
        <v/>
      </c>
      <c r="AW382" s="23">
        <f>IF($AU382="","","PARCEL_FINANCIAL_V2")</f>
        <v/>
      </c>
      <c r="AX382" s="17" t="n"/>
    </row>
    <row r="383">
      <c r="A383" s="8" t="n"/>
      <c r="B383" s="8" t="n"/>
      <c r="C383" s="8" t="n"/>
      <c r="D383" s="8" t="n"/>
      <c r="E383" s="9" t="n"/>
      <c r="F383" s="9" t="n"/>
      <c r="G383" s="8" t="n"/>
      <c r="H383" s="9" t="n"/>
      <c r="I383" s="9" t="n"/>
      <c r="J383" s="10" t="n"/>
      <c r="K383" s="10" t="n"/>
      <c r="L383" s="11">
        <f>IF($S383="","",IF($S383="ITEM_PRICE_PLUS_DECLARED_DELIVERY",IF(OR($J383="",$K383=""),"",SUM($J383,$K383,$U383)),IF($S383="TOTAL_AMOUNT_INCLUDING_DELIVERY",IF($T383="","",$T383),IF($S383="DELIVERY_CHARGE_ONLY",IF($K383="","",SUM($K383,$U383)),IF($S383="EXACT_COLLECTION_AMOUNT",IF($T383="","",$T383),IF($S383="ITEM_PRICE_ONLY_DELIVERY_PAID_BY_MERCHANT",IF($J383="","",SUM($J383,$U383)),""))))))</f>
        <v/>
      </c>
      <c r="M383" s="12" t="n"/>
      <c r="N383" s="13" t="n"/>
      <c r="O383" s="13" t="n"/>
      <c r="P383" s="9" t="n"/>
      <c r="Q383" s="14" t="n"/>
      <c r="R383" s="15" t="n"/>
      <c r="S383" s="14" t="n"/>
      <c r="T383" s="16" t="n"/>
      <c r="U383" s="16" t="n"/>
      <c r="V383" s="16" t="n"/>
      <c r="W383" s="16" t="n"/>
      <c r="X383" s="16" t="n"/>
      <c r="Y383" s="16" t="n"/>
      <c r="Z383" s="14" t="n"/>
      <c r="AA383" s="14" t="n"/>
      <c r="AB383" s="14" t="n"/>
      <c r="AC383" s="17">
        <f>IFERROR(VLOOKUP($H383&amp;"|"&amp;$Q383,Tariff_Master!$A$2:$L$169,3,FALSE),"")</f>
        <v/>
      </c>
      <c r="AD383" s="17">
        <f>IFERROR(VLOOKUP($H383&amp;"|"&amp;$Q383,Tariff_Master!$A$2:$L$169,4,FALSE),"")</f>
        <v/>
      </c>
      <c r="AE383" s="18">
        <f>IFERROR(VLOOKUP($H383&amp;"|"&amp;$Q383,Tariff_Master!$A$2:$L$169,6,FALSE),"")</f>
        <v/>
      </c>
      <c r="AF383" s="19">
        <f>IFERROR(VLOOKUP($H383&amp;"|"&amp;$Q383,Tariff_Master!$A$2:$L$169,7,FALSE),"")</f>
        <v/>
      </c>
      <c r="AG383" s="18">
        <f>IFERROR(VLOOKUP($H383&amp;"|"&amp;$Q383,Tariff_Master!$A$2:$L$169,8,FALSE),"")</f>
        <v/>
      </c>
      <c r="AH383" s="20">
        <f>IFERROR(VLOOKUP($H383&amp;"|"&amp;$Q383,Tariff_Master!$A$2:$L$169,9,FALSE),"")</f>
        <v/>
      </c>
      <c r="AI383" s="18">
        <f>IFERROR(VLOOKUP($H383&amp;"|"&amp;$Q383,Tariff_Master!$A$2:$L$169,10,FALSE),"")</f>
        <v/>
      </c>
      <c r="AJ383" s="21">
        <f>IF($M383="","",ROUNDUP(MAX(0,$M383),0))</f>
        <v/>
      </c>
      <c r="AK383" s="21">
        <f>IF(OR($AJ383="",$AF383=""),"",MAX(0,$AJ383-$AF383))</f>
        <v/>
      </c>
      <c r="AL383" s="22">
        <f>IF(OR($AK383="",$AG383=""),"",MAX(0,$AK383*$AG383))</f>
        <v/>
      </c>
      <c r="AM383" s="22">
        <f>IF($AE383="","",MAX(0,SUM($AE383,$AL383,$V383,$W383)))</f>
        <v/>
      </c>
      <c r="AN383" s="22">
        <f>IF($AM383="","",IF(AND($Q383="COMMITMENT",$R383&gt;=$AH383),$AI383,0))</f>
        <v/>
      </c>
      <c r="AO383" s="23">
        <f>IF($AM383="","",MAX(0,$AM383-$AN383))</f>
        <v/>
      </c>
      <c r="AP383" s="22">
        <f>IF($S383="","",IF(OR($S383="ITEM_PRICE_PLUS_DECLARED_DELIVERY",$S383="DELIVERY_CHARGE_ONLY"),$K383,IF($S383="TOTAL_AMOUNT_INCLUDING_DELIVERY",IF(OR($T383="",$J383=""),"",MAX(0,$T383-$J383-$U383)),IF($S383="ITEM_PRICE_ONLY_DELIVERY_PAID_BY_MERCHANT",0,""))))</f>
        <v/>
      </c>
      <c r="AQ383" s="23">
        <f>IF(OR($AP383="",$AO383=""),"",$AP383-$AO383)</f>
        <v/>
      </c>
      <c r="AR383" s="24">
        <f>IF($S383="EXACT_COLLECTION_AMOUNT","BREAKDOWN_REQUIRED",IF($AQ383="","",IF($AQ383&gt;0,"CREDIT_TO_MERCHANT",IF($AQ383&lt;0,"DEDUCT_FROM_MERCHANT","NO_ADJUSTMENT"))))</f>
        <v/>
      </c>
      <c r="AS383" s="23">
        <f>IF(OR($AQ383="",$AR383="BREAKDOWN_REQUIRED"),"",$AQ383)</f>
        <v/>
      </c>
      <c r="AT383" s="23">
        <f>IF(OR($AR383="",$AR383="BREAKDOWN_REQUIRED"),"",SUM($J383,$AQ383,$Y383)-$X383)</f>
        <v/>
      </c>
      <c r="AU383" s="25">
        <f>IF(AND($A383="",$B383="",$F383="",$H383="",$J383="",$K383="",$M383="",$S383=""),"",IF(OR($H383="",$Q383="",$M383="",$S383=""),"ERROR",IF(OR($J383&lt;0,$K383&lt;0,$M383&lt;0,$T383&lt;0,$U383&lt;0,$V383&lt;0,$W383&lt;0,$X383&lt;0,$Y383&lt;0),"ERROR",IF($AE383="","ERROR",IF(AND(OR($S383="ITEM_PRICE_PLUS_DECLARED_DELIVERY",$S383="TOTAL_AMOUNT_INCLUDING_DELIVERY",$S383="ITEM_PRICE_ONLY_DELIVERY_PAID_BY_MERCHANT"),$J383=""),"ERROR",IF(AND(OR($S383="ITEM_PRICE_PLUS_DECLARED_DELIVERY",$S383="DELIVERY_CHARGE_ONLY"),$K383=""),"ERROR",IF(AND(OR($S383="TOTAL_AMOUNT_INCLUDING_DELIVERY",$S383="EXACT_COLLECTION_AMOUNT"),$T383=""),"ERROR",IF(AND($S383="TOTAL_AMOUNT_INCLUDING_DELIVERY",$T383&lt;SUM($J383,$U383)),"ERROR",IF($S383="EXACT_COLLECTION_AMOUNT","REVIEW","OK")))))))))</f>
        <v/>
      </c>
      <c r="AV383" s="25">
        <f>IF($AU383="","",IF($H383="","Township required",IF($Q383="","Customer tier required",IF($M383="","Weight required",IF($S383="","Amount entry type required",IF(OR($J383&lt;0,$K383&lt;0,$M383&lt;0,$T383&lt;0,$U383&lt;0,$V383&lt;0,$W383&lt;0,$X383&lt;0,$Y383&lt;0),"Negative amounts are not allowed",IF($AE383="","Tariff not found for township and tier",IF(AND(OR($S383="ITEM_PRICE_PLUS_DECLARED_DELIVERY",$S383="TOTAL_AMOUNT_INCLUDING_DELIVERY",$S383="ITEM_PRICE_ONLY_DELIVERY_PAID_BY_MERCHANT"),$J383=""),"Item price required for this amount type",IF(AND(OR($S383="ITEM_PRICE_PLUS_DECLARED_DELIVERY",$S383="DELIVERY_CHARGE_ONLY"),$K383=""),"Declared delivery charge required",IF(AND(OR($S383="TOTAL_AMOUNT_INCLUDING_DELIVERY",$S383="EXACT_COLLECTION_AMOUNT"),$T383=""),"Stated total amount required",IF(AND($S383="TOTAL_AMOUNT_INCLUDING_DELIVERY",$T383&lt;SUM($J383,$U383)),"Stated total is below item price plus additional charge",IF($S383="EXACT_COLLECTION_AMOUNT","Authorized amount breakdown required before settlement","Ready for collection and settlement"))))))))))))</f>
        <v/>
      </c>
      <c r="AW383" s="23">
        <f>IF($AU383="","","PARCEL_FINANCIAL_V2")</f>
        <v/>
      </c>
      <c r="AX383" s="17" t="n"/>
    </row>
    <row r="384">
      <c r="A384" s="8" t="n"/>
      <c r="B384" s="8" t="n"/>
      <c r="C384" s="8" t="n"/>
      <c r="D384" s="8" t="n"/>
      <c r="E384" s="9" t="n"/>
      <c r="F384" s="9" t="n"/>
      <c r="G384" s="8" t="n"/>
      <c r="H384" s="9" t="n"/>
      <c r="I384" s="9" t="n"/>
      <c r="J384" s="10" t="n"/>
      <c r="K384" s="10" t="n"/>
      <c r="L384" s="11">
        <f>IF($S384="","",IF($S384="ITEM_PRICE_PLUS_DECLARED_DELIVERY",IF(OR($J384="",$K384=""),"",SUM($J384,$K384,$U384)),IF($S384="TOTAL_AMOUNT_INCLUDING_DELIVERY",IF($T384="","",$T384),IF($S384="DELIVERY_CHARGE_ONLY",IF($K384="","",SUM($K384,$U384)),IF($S384="EXACT_COLLECTION_AMOUNT",IF($T384="","",$T384),IF($S384="ITEM_PRICE_ONLY_DELIVERY_PAID_BY_MERCHANT",IF($J384="","",SUM($J384,$U384)),""))))))</f>
        <v/>
      </c>
      <c r="M384" s="12" t="n"/>
      <c r="N384" s="13" t="n"/>
      <c r="O384" s="13" t="n"/>
      <c r="P384" s="9" t="n"/>
      <c r="Q384" s="14" t="n"/>
      <c r="R384" s="15" t="n"/>
      <c r="S384" s="14" t="n"/>
      <c r="T384" s="16" t="n"/>
      <c r="U384" s="16" t="n"/>
      <c r="V384" s="16" t="n"/>
      <c r="W384" s="16" t="n"/>
      <c r="X384" s="16" t="n"/>
      <c r="Y384" s="16" t="n"/>
      <c r="Z384" s="14" t="n"/>
      <c r="AA384" s="14" t="n"/>
      <c r="AB384" s="14" t="n"/>
      <c r="AC384" s="17">
        <f>IFERROR(VLOOKUP($H384&amp;"|"&amp;$Q384,Tariff_Master!$A$2:$L$169,3,FALSE),"")</f>
        <v/>
      </c>
      <c r="AD384" s="17">
        <f>IFERROR(VLOOKUP($H384&amp;"|"&amp;$Q384,Tariff_Master!$A$2:$L$169,4,FALSE),"")</f>
        <v/>
      </c>
      <c r="AE384" s="18">
        <f>IFERROR(VLOOKUP($H384&amp;"|"&amp;$Q384,Tariff_Master!$A$2:$L$169,6,FALSE),"")</f>
        <v/>
      </c>
      <c r="AF384" s="19">
        <f>IFERROR(VLOOKUP($H384&amp;"|"&amp;$Q384,Tariff_Master!$A$2:$L$169,7,FALSE),"")</f>
        <v/>
      </c>
      <c r="AG384" s="18">
        <f>IFERROR(VLOOKUP($H384&amp;"|"&amp;$Q384,Tariff_Master!$A$2:$L$169,8,FALSE),"")</f>
        <v/>
      </c>
      <c r="AH384" s="20">
        <f>IFERROR(VLOOKUP($H384&amp;"|"&amp;$Q384,Tariff_Master!$A$2:$L$169,9,FALSE),"")</f>
        <v/>
      </c>
      <c r="AI384" s="18">
        <f>IFERROR(VLOOKUP($H384&amp;"|"&amp;$Q384,Tariff_Master!$A$2:$L$169,10,FALSE),"")</f>
        <v/>
      </c>
      <c r="AJ384" s="21">
        <f>IF($M384="","",ROUNDUP(MAX(0,$M384),0))</f>
        <v/>
      </c>
      <c r="AK384" s="21">
        <f>IF(OR($AJ384="",$AF384=""),"",MAX(0,$AJ384-$AF384))</f>
        <v/>
      </c>
      <c r="AL384" s="22">
        <f>IF(OR($AK384="",$AG384=""),"",MAX(0,$AK384*$AG384))</f>
        <v/>
      </c>
      <c r="AM384" s="22">
        <f>IF($AE384="","",MAX(0,SUM($AE384,$AL384,$V384,$W384)))</f>
        <v/>
      </c>
      <c r="AN384" s="22">
        <f>IF($AM384="","",IF(AND($Q384="COMMITMENT",$R384&gt;=$AH384),$AI384,0))</f>
        <v/>
      </c>
      <c r="AO384" s="23">
        <f>IF($AM384="","",MAX(0,$AM384-$AN384))</f>
        <v/>
      </c>
      <c r="AP384" s="22">
        <f>IF($S384="","",IF(OR($S384="ITEM_PRICE_PLUS_DECLARED_DELIVERY",$S384="DELIVERY_CHARGE_ONLY"),$K384,IF($S384="TOTAL_AMOUNT_INCLUDING_DELIVERY",IF(OR($T384="",$J384=""),"",MAX(0,$T384-$J384-$U384)),IF($S384="ITEM_PRICE_ONLY_DELIVERY_PAID_BY_MERCHANT",0,""))))</f>
        <v/>
      </c>
      <c r="AQ384" s="23">
        <f>IF(OR($AP384="",$AO384=""),"",$AP384-$AO384)</f>
        <v/>
      </c>
      <c r="AR384" s="24">
        <f>IF($S384="EXACT_COLLECTION_AMOUNT","BREAKDOWN_REQUIRED",IF($AQ384="","",IF($AQ384&gt;0,"CREDIT_TO_MERCHANT",IF($AQ384&lt;0,"DEDUCT_FROM_MERCHANT","NO_ADJUSTMENT"))))</f>
        <v/>
      </c>
      <c r="AS384" s="23">
        <f>IF(OR($AQ384="",$AR384="BREAKDOWN_REQUIRED"),"",$AQ384)</f>
        <v/>
      </c>
      <c r="AT384" s="23">
        <f>IF(OR($AR384="",$AR384="BREAKDOWN_REQUIRED"),"",SUM($J384,$AQ384,$Y384)-$X384)</f>
        <v/>
      </c>
      <c r="AU384" s="25">
        <f>IF(AND($A384="",$B384="",$F384="",$H384="",$J384="",$K384="",$M384="",$S384=""),"",IF(OR($H384="",$Q384="",$M384="",$S384=""),"ERROR",IF(OR($J384&lt;0,$K384&lt;0,$M384&lt;0,$T384&lt;0,$U384&lt;0,$V384&lt;0,$W384&lt;0,$X384&lt;0,$Y384&lt;0),"ERROR",IF($AE384="","ERROR",IF(AND(OR($S384="ITEM_PRICE_PLUS_DECLARED_DELIVERY",$S384="TOTAL_AMOUNT_INCLUDING_DELIVERY",$S384="ITEM_PRICE_ONLY_DELIVERY_PAID_BY_MERCHANT"),$J384=""),"ERROR",IF(AND(OR($S384="ITEM_PRICE_PLUS_DECLARED_DELIVERY",$S384="DELIVERY_CHARGE_ONLY"),$K384=""),"ERROR",IF(AND(OR($S384="TOTAL_AMOUNT_INCLUDING_DELIVERY",$S384="EXACT_COLLECTION_AMOUNT"),$T384=""),"ERROR",IF(AND($S384="TOTAL_AMOUNT_INCLUDING_DELIVERY",$T384&lt;SUM($J384,$U384)),"ERROR",IF($S384="EXACT_COLLECTION_AMOUNT","REVIEW","OK")))))))))</f>
        <v/>
      </c>
      <c r="AV384" s="25">
        <f>IF($AU384="","",IF($H384="","Township required",IF($Q384="","Customer tier required",IF($M384="","Weight required",IF($S384="","Amount entry type required",IF(OR($J384&lt;0,$K384&lt;0,$M384&lt;0,$T384&lt;0,$U384&lt;0,$V384&lt;0,$W384&lt;0,$X384&lt;0,$Y384&lt;0),"Negative amounts are not allowed",IF($AE384="","Tariff not found for township and tier",IF(AND(OR($S384="ITEM_PRICE_PLUS_DECLARED_DELIVERY",$S384="TOTAL_AMOUNT_INCLUDING_DELIVERY",$S384="ITEM_PRICE_ONLY_DELIVERY_PAID_BY_MERCHANT"),$J384=""),"Item price required for this amount type",IF(AND(OR($S384="ITEM_PRICE_PLUS_DECLARED_DELIVERY",$S384="DELIVERY_CHARGE_ONLY"),$K384=""),"Declared delivery charge required",IF(AND(OR($S384="TOTAL_AMOUNT_INCLUDING_DELIVERY",$S384="EXACT_COLLECTION_AMOUNT"),$T384=""),"Stated total amount required",IF(AND($S384="TOTAL_AMOUNT_INCLUDING_DELIVERY",$T384&lt;SUM($J384,$U384)),"Stated total is below item price plus additional charge",IF($S384="EXACT_COLLECTION_AMOUNT","Authorized amount breakdown required before settlement","Ready for collection and settlement"))))))))))))</f>
        <v/>
      </c>
      <c r="AW384" s="23">
        <f>IF($AU384="","","PARCEL_FINANCIAL_V2")</f>
        <v/>
      </c>
      <c r="AX384" s="17" t="n"/>
    </row>
    <row r="385">
      <c r="A385" s="8" t="n"/>
      <c r="B385" s="8" t="n"/>
      <c r="C385" s="8" t="n"/>
      <c r="D385" s="8" t="n"/>
      <c r="E385" s="9" t="n"/>
      <c r="F385" s="9" t="n"/>
      <c r="G385" s="8" t="n"/>
      <c r="H385" s="9" t="n"/>
      <c r="I385" s="9" t="n"/>
      <c r="J385" s="10" t="n"/>
      <c r="K385" s="10" t="n"/>
      <c r="L385" s="11">
        <f>IF($S385="","",IF($S385="ITEM_PRICE_PLUS_DECLARED_DELIVERY",IF(OR($J385="",$K385=""),"",SUM($J385,$K385,$U385)),IF($S385="TOTAL_AMOUNT_INCLUDING_DELIVERY",IF($T385="","",$T385),IF($S385="DELIVERY_CHARGE_ONLY",IF($K385="","",SUM($K385,$U385)),IF($S385="EXACT_COLLECTION_AMOUNT",IF($T385="","",$T385),IF($S385="ITEM_PRICE_ONLY_DELIVERY_PAID_BY_MERCHANT",IF($J385="","",SUM($J385,$U385)),""))))))</f>
        <v/>
      </c>
      <c r="M385" s="12" t="n"/>
      <c r="N385" s="13" t="n"/>
      <c r="O385" s="13" t="n"/>
      <c r="P385" s="9" t="n"/>
      <c r="Q385" s="14" t="n"/>
      <c r="R385" s="15" t="n"/>
      <c r="S385" s="14" t="n"/>
      <c r="T385" s="16" t="n"/>
      <c r="U385" s="16" t="n"/>
      <c r="V385" s="16" t="n"/>
      <c r="W385" s="16" t="n"/>
      <c r="X385" s="16" t="n"/>
      <c r="Y385" s="16" t="n"/>
      <c r="Z385" s="14" t="n"/>
      <c r="AA385" s="14" t="n"/>
      <c r="AB385" s="14" t="n"/>
      <c r="AC385" s="17">
        <f>IFERROR(VLOOKUP($H385&amp;"|"&amp;$Q385,Tariff_Master!$A$2:$L$169,3,FALSE),"")</f>
        <v/>
      </c>
      <c r="AD385" s="17">
        <f>IFERROR(VLOOKUP($H385&amp;"|"&amp;$Q385,Tariff_Master!$A$2:$L$169,4,FALSE),"")</f>
        <v/>
      </c>
      <c r="AE385" s="18">
        <f>IFERROR(VLOOKUP($H385&amp;"|"&amp;$Q385,Tariff_Master!$A$2:$L$169,6,FALSE),"")</f>
        <v/>
      </c>
      <c r="AF385" s="19">
        <f>IFERROR(VLOOKUP($H385&amp;"|"&amp;$Q385,Tariff_Master!$A$2:$L$169,7,FALSE),"")</f>
        <v/>
      </c>
      <c r="AG385" s="18">
        <f>IFERROR(VLOOKUP($H385&amp;"|"&amp;$Q385,Tariff_Master!$A$2:$L$169,8,FALSE),"")</f>
        <v/>
      </c>
      <c r="AH385" s="20">
        <f>IFERROR(VLOOKUP($H385&amp;"|"&amp;$Q385,Tariff_Master!$A$2:$L$169,9,FALSE),"")</f>
        <v/>
      </c>
      <c r="AI385" s="18">
        <f>IFERROR(VLOOKUP($H385&amp;"|"&amp;$Q385,Tariff_Master!$A$2:$L$169,10,FALSE),"")</f>
        <v/>
      </c>
      <c r="AJ385" s="21">
        <f>IF($M385="","",ROUNDUP(MAX(0,$M385),0))</f>
        <v/>
      </c>
      <c r="AK385" s="21">
        <f>IF(OR($AJ385="",$AF385=""),"",MAX(0,$AJ385-$AF385))</f>
        <v/>
      </c>
      <c r="AL385" s="22">
        <f>IF(OR($AK385="",$AG385=""),"",MAX(0,$AK385*$AG385))</f>
        <v/>
      </c>
      <c r="AM385" s="22">
        <f>IF($AE385="","",MAX(0,SUM($AE385,$AL385,$V385,$W385)))</f>
        <v/>
      </c>
      <c r="AN385" s="22">
        <f>IF($AM385="","",IF(AND($Q385="COMMITMENT",$R385&gt;=$AH385),$AI385,0))</f>
        <v/>
      </c>
      <c r="AO385" s="23">
        <f>IF($AM385="","",MAX(0,$AM385-$AN385))</f>
        <v/>
      </c>
      <c r="AP385" s="22">
        <f>IF($S385="","",IF(OR($S385="ITEM_PRICE_PLUS_DECLARED_DELIVERY",$S385="DELIVERY_CHARGE_ONLY"),$K385,IF($S385="TOTAL_AMOUNT_INCLUDING_DELIVERY",IF(OR($T385="",$J385=""),"",MAX(0,$T385-$J385-$U385)),IF($S385="ITEM_PRICE_ONLY_DELIVERY_PAID_BY_MERCHANT",0,""))))</f>
        <v/>
      </c>
      <c r="AQ385" s="23">
        <f>IF(OR($AP385="",$AO385=""),"",$AP385-$AO385)</f>
        <v/>
      </c>
      <c r="AR385" s="24">
        <f>IF($S385="EXACT_COLLECTION_AMOUNT","BREAKDOWN_REQUIRED",IF($AQ385="","",IF($AQ385&gt;0,"CREDIT_TO_MERCHANT",IF($AQ385&lt;0,"DEDUCT_FROM_MERCHANT","NO_ADJUSTMENT"))))</f>
        <v/>
      </c>
      <c r="AS385" s="23">
        <f>IF(OR($AQ385="",$AR385="BREAKDOWN_REQUIRED"),"",$AQ385)</f>
        <v/>
      </c>
      <c r="AT385" s="23">
        <f>IF(OR($AR385="",$AR385="BREAKDOWN_REQUIRED"),"",SUM($J385,$AQ385,$Y385)-$X385)</f>
        <v/>
      </c>
      <c r="AU385" s="25">
        <f>IF(AND($A385="",$B385="",$F385="",$H385="",$J385="",$K385="",$M385="",$S385=""),"",IF(OR($H385="",$Q385="",$M385="",$S385=""),"ERROR",IF(OR($J385&lt;0,$K385&lt;0,$M385&lt;0,$T385&lt;0,$U385&lt;0,$V385&lt;0,$W385&lt;0,$X385&lt;0,$Y385&lt;0),"ERROR",IF($AE385="","ERROR",IF(AND(OR($S385="ITEM_PRICE_PLUS_DECLARED_DELIVERY",$S385="TOTAL_AMOUNT_INCLUDING_DELIVERY",$S385="ITEM_PRICE_ONLY_DELIVERY_PAID_BY_MERCHANT"),$J385=""),"ERROR",IF(AND(OR($S385="ITEM_PRICE_PLUS_DECLARED_DELIVERY",$S385="DELIVERY_CHARGE_ONLY"),$K385=""),"ERROR",IF(AND(OR($S385="TOTAL_AMOUNT_INCLUDING_DELIVERY",$S385="EXACT_COLLECTION_AMOUNT"),$T385=""),"ERROR",IF(AND($S385="TOTAL_AMOUNT_INCLUDING_DELIVERY",$T385&lt;SUM($J385,$U385)),"ERROR",IF($S385="EXACT_COLLECTION_AMOUNT","REVIEW","OK")))))))))</f>
        <v/>
      </c>
      <c r="AV385" s="25">
        <f>IF($AU385="","",IF($H385="","Township required",IF($Q385="","Customer tier required",IF($M385="","Weight required",IF($S385="","Amount entry type required",IF(OR($J385&lt;0,$K385&lt;0,$M385&lt;0,$T385&lt;0,$U385&lt;0,$V385&lt;0,$W385&lt;0,$X385&lt;0,$Y385&lt;0),"Negative amounts are not allowed",IF($AE385="","Tariff not found for township and tier",IF(AND(OR($S385="ITEM_PRICE_PLUS_DECLARED_DELIVERY",$S385="TOTAL_AMOUNT_INCLUDING_DELIVERY",$S385="ITEM_PRICE_ONLY_DELIVERY_PAID_BY_MERCHANT"),$J385=""),"Item price required for this amount type",IF(AND(OR($S385="ITEM_PRICE_PLUS_DECLARED_DELIVERY",$S385="DELIVERY_CHARGE_ONLY"),$K385=""),"Declared delivery charge required",IF(AND(OR($S385="TOTAL_AMOUNT_INCLUDING_DELIVERY",$S385="EXACT_COLLECTION_AMOUNT"),$T385=""),"Stated total amount required",IF(AND($S385="TOTAL_AMOUNT_INCLUDING_DELIVERY",$T385&lt;SUM($J385,$U385)),"Stated total is below item price plus additional charge",IF($S385="EXACT_COLLECTION_AMOUNT","Authorized amount breakdown required before settlement","Ready for collection and settlement"))))))))))))</f>
        <v/>
      </c>
      <c r="AW385" s="23">
        <f>IF($AU385="","","PARCEL_FINANCIAL_V2")</f>
        <v/>
      </c>
      <c r="AX385" s="17" t="n"/>
    </row>
    <row r="386">
      <c r="A386" s="8" t="n"/>
      <c r="B386" s="8" t="n"/>
      <c r="C386" s="8" t="n"/>
      <c r="D386" s="8" t="n"/>
      <c r="E386" s="9" t="n"/>
      <c r="F386" s="9" t="n"/>
      <c r="G386" s="8" t="n"/>
      <c r="H386" s="9" t="n"/>
      <c r="I386" s="9" t="n"/>
      <c r="J386" s="10" t="n"/>
      <c r="K386" s="10" t="n"/>
      <c r="L386" s="11">
        <f>IF($S386="","",IF($S386="ITEM_PRICE_PLUS_DECLARED_DELIVERY",IF(OR($J386="",$K386=""),"",SUM($J386,$K386,$U386)),IF($S386="TOTAL_AMOUNT_INCLUDING_DELIVERY",IF($T386="","",$T386),IF($S386="DELIVERY_CHARGE_ONLY",IF($K386="","",SUM($K386,$U386)),IF($S386="EXACT_COLLECTION_AMOUNT",IF($T386="","",$T386),IF($S386="ITEM_PRICE_ONLY_DELIVERY_PAID_BY_MERCHANT",IF($J386="","",SUM($J386,$U386)),""))))))</f>
        <v/>
      </c>
      <c r="M386" s="12" t="n"/>
      <c r="N386" s="13" t="n"/>
      <c r="O386" s="13" t="n"/>
      <c r="P386" s="9" t="n"/>
      <c r="Q386" s="14" t="n"/>
      <c r="R386" s="15" t="n"/>
      <c r="S386" s="14" t="n"/>
      <c r="T386" s="16" t="n"/>
      <c r="U386" s="16" t="n"/>
      <c r="V386" s="16" t="n"/>
      <c r="W386" s="16" t="n"/>
      <c r="X386" s="16" t="n"/>
      <c r="Y386" s="16" t="n"/>
      <c r="Z386" s="14" t="n"/>
      <c r="AA386" s="14" t="n"/>
      <c r="AB386" s="14" t="n"/>
      <c r="AC386" s="17">
        <f>IFERROR(VLOOKUP($H386&amp;"|"&amp;$Q386,Tariff_Master!$A$2:$L$169,3,FALSE),"")</f>
        <v/>
      </c>
      <c r="AD386" s="17">
        <f>IFERROR(VLOOKUP($H386&amp;"|"&amp;$Q386,Tariff_Master!$A$2:$L$169,4,FALSE),"")</f>
        <v/>
      </c>
      <c r="AE386" s="18">
        <f>IFERROR(VLOOKUP($H386&amp;"|"&amp;$Q386,Tariff_Master!$A$2:$L$169,6,FALSE),"")</f>
        <v/>
      </c>
      <c r="AF386" s="19">
        <f>IFERROR(VLOOKUP($H386&amp;"|"&amp;$Q386,Tariff_Master!$A$2:$L$169,7,FALSE),"")</f>
        <v/>
      </c>
      <c r="AG386" s="18">
        <f>IFERROR(VLOOKUP($H386&amp;"|"&amp;$Q386,Tariff_Master!$A$2:$L$169,8,FALSE),"")</f>
        <v/>
      </c>
      <c r="AH386" s="20">
        <f>IFERROR(VLOOKUP($H386&amp;"|"&amp;$Q386,Tariff_Master!$A$2:$L$169,9,FALSE),"")</f>
        <v/>
      </c>
      <c r="AI386" s="18">
        <f>IFERROR(VLOOKUP($H386&amp;"|"&amp;$Q386,Tariff_Master!$A$2:$L$169,10,FALSE),"")</f>
        <v/>
      </c>
      <c r="AJ386" s="21">
        <f>IF($M386="","",ROUNDUP(MAX(0,$M386),0))</f>
        <v/>
      </c>
      <c r="AK386" s="21">
        <f>IF(OR($AJ386="",$AF386=""),"",MAX(0,$AJ386-$AF386))</f>
        <v/>
      </c>
      <c r="AL386" s="22">
        <f>IF(OR($AK386="",$AG386=""),"",MAX(0,$AK386*$AG386))</f>
        <v/>
      </c>
      <c r="AM386" s="22">
        <f>IF($AE386="","",MAX(0,SUM($AE386,$AL386,$V386,$W386)))</f>
        <v/>
      </c>
      <c r="AN386" s="22">
        <f>IF($AM386="","",IF(AND($Q386="COMMITMENT",$R386&gt;=$AH386),$AI386,0))</f>
        <v/>
      </c>
      <c r="AO386" s="23">
        <f>IF($AM386="","",MAX(0,$AM386-$AN386))</f>
        <v/>
      </c>
      <c r="AP386" s="22">
        <f>IF($S386="","",IF(OR($S386="ITEM_PRICE_PLUS_DECLARED_DELIVERY",$S386="DELIVERY_CHARGE_ONLY"),$K386,IF($S386="TOTAL_AMOUNT_INCLUDING_DELIVERY",IF(OR($T386="",$J386=""),"",MAX(0,$T386-$J386-$U386)),IF($S386="ITEM_PRICE_ONLY_DELIVERY_PAID_BY_MERCHANT",0,""))))</f>
        <v/>
      </c>
      <c r="AQ386" s="23">
        <f>IF(OR($AP386="",$AO386=""),"",$AP386-$AO386)</f>
        <v/>
      </c>
      <c r="AR386" s="24">
        <f>IF($S386="EXACT_COLLECTION_AMOUNT","BREAKDOWN_REQUIRED",IF($AQ386="","",IF($AQ386&gt;0,"CREDIT_TO_MERCHANT",IF($AQ386&lt;0,"DEDUCT_FROM_MERCHANT","NO_ADJUSTMENT"))))</f>
        <v/>
      </c>
      <c r="AS386" s="23">
        <f>IF(OR($AQ386="",$AR386="BREAKDOWN_REQUIRED"),"",$AQ386)</f>
        <v/>
      </c>
      <c r="AT386" s="23">
        <f>IF(OR($AR386="",$AR386="BREAKDOWN_REQUIRED"),"",SUM($J386,$AQ386,$Y386)-$X386)</f>
        <v/>
      </c>
      <c r="AU386" s="25">
        <f>IF(AND($A386="",$B386="",$F386="",$H386="",$J386="",$K386="",$M386="",$S386=""),"",IF(OR($H386="",$Q386="",$M386="",$S386=""),"ERROR",IF(OR($J386&lt;0,$K386&lt;0,$M386&lt;0,$T386&lt;0,$U386&lt;0,$V386&lt;0,$W386&lt;0,$X386&lt;0,$Y386&lt;0),"ERROR",IF($AE386="","ERROR",IF(AND(OR($S386="ITEM_PRICE_PLUS_DECLARED_DELIVERY",$S386="TOTAL_AMOUNT_INCLUDING_DELIVERY",$S386="ITEM_PRICE_ONLY_DELIVERY_PAID_BY_MERCHANT"),$J386=""),"ERROR",IF(AND(OR($S386="ITEM_PRICE_PLUS_DECLARED_DELIVERY",$S386="DELIVERY_CHARGE_ONLY"),$K386=""),"ERROR",IF(AND(OR($S386="TOTAL_AMOUNT_INCLUDING_DELIVERY",$S386="EXACT_COLLECTION_AMOUNT"),$T386=""),"ERROR",IF(AND($S386="TOTAL_AMOUNT_INCLUDING_DELIVERY",$T386&lt;SUM($J386,$U386)),"ERROR",IF($S386="EXACT_COLLECTION_AMOUNT","REVIEW","OK")))))))))</f>
        <v/>
      </c>
      <c r="AV386" s="25">
        <f>IF($AU386="","",IF($H386="","Township required",IF($Q386="","Customer tier required",IF($M386="","Weight required",IF($S386="","Amount entry type required",IF(OR($J386&lt;0,$K386&lt;0,$M386&lt;0,$T386&lt;0,$U386&lt;0,$V386&lt;0,$W386&lt;0,$X386&lt;0,$Y386&lt;0),"Negative amounts are not allowed",IF($AE386="","Tariff not found for township and tier",IF(AND(OR($S386="ITEM_PRICE_PLUS_DECLARED_DELIVERY",$S386="TOTAL_AMOUNT_INCLUDING_DELIVERY",$S386="ITEM_PRICE_ONLY_DELIVERY_PAID_BY_MERCHANT"),$J386=""),"Item price required for this amount type",IF(AND(OR($S386="ITEM_PRICE_PLUS_DECLARED_DELIVERY",$S386="DELIVERY_CHARGE_ONLY"),$K386=""),"Declared delivery charge required",IF(AND(OR($S386="TOTAL_AMOUNT_INCLUDING_DELIVERY",$S386="EXACT_COLLECTION_AMOUNT"),$T386=""),"Stated total amount required",IF(AND($S386="TOTAL_AMOUNT_INCLUDING_DELIVERY",$T386&lt;SUM($J386,$U386)),"Stated total is below item price plus additional charge",IF($S386="EXACT_COLLECTION_AMOUNT","Authorized amount breakdown required before settlement","Ready for collection and settlement"))))))))))))</f>
        <v/>
      </c>
      <c r="AW386" s="23">
        <f>IF($AU386="","","PARCEL_FINANCIAL_V2")</f>
        <v/>
      </c>
      <c r="AX386" s="17" t="n"/>
    </row>
    <row r="387">
      <c r="A387" s="8" t="n"/>
      <c r="B387" s="8" t="n"/>
      <c r="C387" s="8" t="n"/>
      <c r="D387" s="8" t="n"/>
      <c r="E387" s="9" t="n"/>
      <c r="F387" s="9" t="n"/>
      <c r="G387" s="8" t="n"/>
      <c r="H387" s="9" t="n"/>
      <c r="I387" s="9" t="n"/>
      <c r="J387" s="10" t="n"/>
      <c r="K387" s="10" t="n"/>
      <c r="L387" s="11">
        <f>IF($S387="","",IF($S387="ITEM_PRICE_PLUS_DECLARED_DELIVERY",IF(OR($J387="",$K387=""),"",SUM($J387,$K387,$U387)),IF($S387="TOTAL_AMOUNT_INCLUDING_DELIVERY",IF($T387="","",$T387),IF($S387="DELIVERY_CHARGE_ONLY",IF($K387="","",SUM($K387,$U387)),IF($S387="EXACT_COLLECTION_AMOUNT",IF($T387="","",$T387),IF($S387="ITEM_PRICE_ONLY_DELIVERY_PAID_BY_MERCHANT",IF($J387="","",SUM($J387,$U387)),""))))))</f>
        <v/>
      </c>
      <c r="M387" s="12" t="n"/>
      <c r="N387" s="13" t="n"/>
      <c r="O387" s="13" t="n"/>
      <c r="P387" s="9" t="n"/>
      <c r="Q387" s="14" t="n"/>
      <c r="R387" s="15" t="n"/>
      <c r="S387" s="14" t="n"/>
      <c r="T387" s="16" t="n"/>
      <c r="U387" s="16" t="n"/>
      <c r="V387" s="16" t="n"/>
      <c r="W387" s="16" t="n"/>
      <c r="X387" s="16" t="n"/>
      <c r="Y387" s="16" t="n"/>
      <c r="Z387" s="14" t="n"/>
      <c r="AA387" s="14" t="n"/>
      <c r="AB387" s="14" t="n"/>
      <c r="AC387" s="17">
        <f>IFERROR(VLOOKUP($H387&amp;"|"&amp;$Q387,Tariff_Master!$A$2:$L$169,3,FALSE),"")</f>
        <v/>
      </c>
      <c r="AD387" s="17">
        <f>IFERROR(VLOOKUP($H387&amp;"|"&amp;$Q387,Tariff_Master!$A$2:$L$169,4,FALSE),"")</f>
        <v/>
      </c>
      <c r="AE387" s="18">
        <f>IFERROR(VLOOKUP($H387&amp;"|"&amp;$Q387,Tariff_Master!$A$2:$L$169,6,FALSE),"")</f>
        <v/>
      </c>
      <c r="AF387" s="19">
        <f>IFERROR(VLOOKUP($H387&amp;"|"&amp;$Q387,Tariff_Master!$A$2:$L$169,7,FALSE),"")</f>
        <v/>
      </c>
      <c r="AG387" s="18">
        <f>IFERROR(VLOOKUP($H387&amp;"|"&amp;$Q387,Tariff_Master!$A$2:$L$169,8,FALSE),"")</f>
        <v/>
      </c>
      <c r="AH387" s="20">
        <f>IFERROR(VLOOKUP($H387&amp;"|"&amp;$Q387,Tariff_Master!$A$2:$L$169,9,FALSE),"")</f>
        <v/>
      </c>
      <c r="AI387" s="18">
        <f>IFERROR(VLOOKUP($H387&amp;"|"&amp;$Q387,Tariff_Master!$A$2:$L$169,10,FALSE),"")</f>
        <v/>
      </c>
      <c r="AJ387" s="21">
        <f>IF($M387="","",ROUNDUP(MAX(0,$M387),0))</f>
        <v/>
      </c>
      <c r="AK387" s="21">
        <f>IF(OR($AJ387="",$AF387=""),"",MAX(0,$AJ387-$AF387))</f>
        <v/>
      </c>
      <c r="AL387" s="22">
        <f>IF(OR($AK387="",$AG387=""),"",MAX(0,$AK387*$AG387))</f>
        <v/>
      </c>
      <c r="AM387" s="22">
        <f>IF($AE387="","",MAX(0,SUM($AE387,$AL387,$V387,$W387)))</f>
        <v/>
      </c>
      <c r="AN387" s="22">
        <f>IF($AM387="","",IF(AND($Q387="COMMITMENT",$R387&gt;=$AH387),$AI387,0))</f>
        <v/>
      </c>
      <c r="AO387" s="23">
        <f>IF($AM387="","",MAX(0,$AM387-$AN387))</f>
        <v/>
      </c>
      <c r="AP387" s="22">
        <f>IF($S387="","",IF(OR($S387="ITEM_PRICE_PLUS_DECLARED_DELIVERY",$S387="DELIVERY_CHARGE_ONLY"),$K387,IF($S387="TOTAL_AMOUNT_INCLUDING_DELIVERY",IF(OR($T387="",$J387=""),"",MAX(0,$T387-$J387-$U387)),IF($S387="ITEM_PRICE_ONLY_DELIVERY_PAID_BY_MERCHANT",0,""))))</f>
        <v/>
      </c>
      <c r="AQ387" s="23">
        <f>IF(OR($AP387="",$AO387=""),"",$AP387-$AO387)</f>
        <v/>
      </c>
      <c r="AR387" s="24">
        <f>IF($S387="EXACT_COLLECTION_AMOUNT","BREAKDOWN_REQUIRED",IF($AQ387="","",IF($AQ387&gt;0,"CREDIT_TO_MERCHANT",IF($AQ387&lt;0,"DEDUCT_FROM_MERCHANT","NO_ADJUSTMENT"))))</f>
        <v/>
      </c>
      <c r="AS387" s="23">
        <f>IF(OR($AQ387="",$AR387="BREAKDOWN_REQUIRED"),"",$AQ387)</f>
        <v/>
      </c>
      <c r="AT387" s="23">
        <f>IF(OR($AR387="",$AR387="BREAKDOWN_REQUIRED"),"",SUM($J387,$AQ387,$Y387)-$X387)</f>
        <v/>
      </c>
      <c r="AU387" s="25">
        <f>IF(AND($A387="",$B387="",$F387="",$H387="",$J387="",$K387="",$M387="",$S387=""),"",IF(OR($H387="",$Q387="",$M387="",$S387=""),"ERROR",IF(OR($J387&lt;0,$K387&lt;0,$M387&lt;0,$T387&lt;0,$U387&lt;0,$V387&lt;0,$W387&lt;0,$X387&lt;0,$Y387&lt;0),"ERROR",IF($AE387="","ERROR",IF(AND(OR($S387="ITEM_PRICE_PLUS_DECLARED_DELIVERY",$S387="TOTAL_AMOUNT_INCLUDING_DELIVERY",$S387="ITEM_PRICE_ONLY_DELIVERY_PAID_BY_MERCHANT"),$J387=""),"ERROR",IF(AND(OR($S387="ITEM_PRICE_PLUS_DECLARED_DELIVERY",$S387="DELIVERY_CHARGE_ONLY"),$K387=""),"ERROR",IF(AND(OR($S387="TOTAL_AMOUNT_INCLUDING_DELIVERY",$S387="EXACT_COLLECTION_AMOUNT"),$T387=""),"ERROR",IF(AND($S387="TOTAL_AMOUNT_INCLUDING_DELIVERY",$T387&lt;SUM($J387,$U387)),"ERROR",IF($S387="EXACT_COLLECTION_AMOUNT","REVIEW","OK")))))))))</f>
        <v/>
      </c>
      <c r="AV387" s="25">
        <f>IF($AU387="","",IF($H387="","Township required",IF($Q387="","Customer tier required",IF($M387="","Weight required",IF($S387="","Amount entry type required",IF(OR($J387&lt;0,$K387&lt;0,$M387&lt;0,$T387&lt;0,$U387&lt;0,$V387&lt;0,$W387&lt;0,$X387&lt;0,$Y387&lt;0),"Negative amounts are not allowed",IF($AE387="","Tariff not found for township and tier",IF(AND(OR($S387="ITEM_PRICE_PLUS_DECLARED_DELIVERY",$S387="TOTAL_AMOUNT_INCLUDING_DELIVERY",$S387="ITEM_PRICE_ONLY_DELIVERY_PAID_BY_MERCHANT"),$J387=""),"Item price required for this amount type",IF(AND(OR($S387="ITEM_PRICE_PLUS_DECLARED_DELIVERY",$S387="DELIVERY_CHARGE_ONLY"),$K387=""),"Declared delivery charge required",IF(AND(OR($S387="TOTAL_AMOUNT_INCLUDING_DELIVERY",$S387="EXACT_COLLECTION_AMOUNT"),$T387=""),"Stated total amount required",IF(AND($S387="TOTAL_AMOUNT_INCLUDING_DELIVERY",$T387&lt;SUM($J387,$U387)),"Stated total is below item price plus additional charge",IF($S387="EXACT_COLLECTION_AMOUNT","Authorized amount breakdown required before settlement","Ready for collection and settlement"))))))))))))</f>
        <v/>
      </c>
      <c r="AW387" s="23">
        <f>IF($AU387="","","PARCEL_FINANCIAL_V2")</f>
        <v/>
      </c>
      <c r="AX387" s="17" t="n"/>
    </row>
    <row r="388">
      <c r="A388" s="8" t="n"/>
      <c r="B388" s="8" t="n"/>
      <c r="C388" s="8" t="n"/>
      <c r="D388" s="8" t="n"/>
      <c r="E388" s="9" t="n"/>
      <c r="F388" s="9" t="n"/>
      <c r="G388" s="8" t="n"/>
      <c r="H388" s="9" t="n"/>
      <c r="I388" s="9" t="n"/>
      <c r="J388" s="10" t="n"/>
      <c r="K388" s="10" t="n"/>
      <c r="L388" s="11">
        <f>IF($S388="","",IF($S388="ITEM_PRICE_PLUS_DECLARED_DELIVERY",IF(OR($J388="",$K388=""),"",SUM($J388,$K388,$U388)),IF($S388="TOTAL_AMOUNT_INCLUDING_DELIVERY",IF($T388="","",$T388),IF($S388="DELIVERY_CHARGE_ONLY",IF($K388="","",SUM($K388,$U388)),IF($S388="EXACT_COLLECTION_AMOUNT",IF($T388="","",$T388),IF($S388="ITEM_PRICE_ONLY_DELIVERY_PAID_BY_MERCHANT",IF($J388="","",SUM($J388,$U388)),""))))))</f>
        <v/>
      </c>
      <c r="M388" s="12" t="n"/>
      <c r="N388" s="13" t="n"/>
      <c r="O388" s="13" t="n"/>
      <c r="P388" s="9" t="n"/>
      <c r="Q388" s="14" t="n"/>
      <c r="R388" s="15" t="n"/>
      <c r="S388" s="14" t="n"/>
      <c r="T388" s="16" t="n"/>
      <c r="U388" s="16" t="n"/>
      <c r="V388" s="16" t="n"/>
      <c r="W388" s="16" t="n"/>
      <c r="X388" s="16" t="n"/>
      <c r="Y388" s="16" t="n"/>
      <c r="Z388" s="14" t="n"/>
      <c r="AA388" s="14" t="n"/>
      <c r="AB388" s="14" t="n"/>
      <c r="AC388" s="17">
        <f>IFERROR(VLOOKUP($H388&amp;"|"&amp;$Q388,Tariff_Master!$A$2:$L$169,3,FALSE),"")</f>
        <v/>
      </c>
      <c r="AD388" s="17">
        <f>IFERROR(VLOOKUP($H388&amp;"|"&amp;$Q388,Tariff_Master!$A$2:$L$169,4,FALSE),"")</f>
        <v/>
      </c>
      <c r="AE388" s="18">
        <f>IFERROR(VLOOKUP($H388&amp;"|"&amp;$Q388,Tariff_Master!$A$2:$L$169,6,FALSE),"")</f>
        <v/>
      </c>
      <c r="AF388" s="19">
        <f>IFERROR(VLOOKUP($H388&amp;"|"&amp;$Q388,Tariff_Master!$A$2:$L$169,7,FALSE),"")</f>
        <v/>
      </c>
      <c r="AG388" s="18">
        <f>IFERROR(VLOOKUP($H388&amp;"|"&amp;$Q388,Tariff_Master!$A$2:$L$169,8,FALSE),"")</f>
        <v/>
      </c>
      <c r="AH388" s="20">
        <f>IFERROR(VLOOKUP($H388&amp;"|"&amp;$Q388,Tariff_Master!$A$2:$L$169,9,FALSE),"")</f>
        <v/>
      </c>
      <c r="AI388" s="18">
        <f>IFERROR(VLOOKUP($H388&amp;"|"&amp;$Q388,Tariff_Master!$A$2:$L$169,10,FALSE),"")</f>
        <v/>
      </c>
      <c r="AJ388" s="21">
        <f>IF($M388="","",ROUNDUP(MAX(0,$M388),0))</f>
        <v/>
      </c>
      <c r="AK388" s="21">
        <f>IF(OR($AJ388="",$AF388=""),"",MAX(0,$AJ388-$AF388))</f>
        <v/>
      </c>
      <c r="AL388" s="22">
        <f>IF(OR($AK388="",$AG388=""),"",MAX(0,$AK388*$AG388))</f>
        <v/>
      </c>
      <c r="AM388" s="22">
        <f>IF($AE388="","",MAX(0,SUM($AE388,$AL388,$V388,$W388)))</f>
        <v/>
      </c>
      <c r="AN388" s="22">
        <f>IF($AM388="","",IF(AND($Q388="COMMITMENT",$R388&gt;=$AH388),$AI388,0))</f>
        <v/>
      </c>
      <c r="AO388" s="23">
        <f>IF($AM388="","",MAX(0,$AM388-$AN388))</f>
        <v/>
      </c>
      <c r="AP388" s="22">
        <f>IF($S388="","",IF(OR($S388="ITEM_PRICE_PLUS_DECLARED_DELIVERY",$S388="DELIVERY_CHARGE_ONLY"),$K388,IF($S388="TOTAL_AMOUNT_INCLUDING_DELIVERY",IF(OR($T388="",$J388=""),"",MAX(0,$T388-$J388-$U388)),IF($S388="ITEM_PRICE_ONLY_DELIVERY_PAID_BY_MERCHANT",0,""))))</f>
        <v/>
      </c>
      <c r="AQ388" s="23">
        <f>IF(OR($AP388="",$AO388=""),"",$AP388-$AO388)</f>
        <v/>
      </c>
      <c r="AR388" s="24">
        <f>IF($S388="EXACT_COLLECTION_AMOUNT","BREAKDOWN_REQUIRED",IF($AQ388="","",IF($AQ388&gt;0,"CREDIT_TO_MERCHANT",IF($AQ388&lt;0,"DEDUCT_FROM_MERCHANT","NO_ADJUSTMENT"))))</f>
        <v/>
      </c>
      <c r="AS388" s="23">
        <f>IF(OR($AQ388="",$AR388="BREAKDOWN_REQUIRED"),"",$AQ388)</f>
        <v/>
      </c>
      <c r="AT388" s="23">
        <f>IF(OR($AR388="",$AR388="BREAKDOWN_REQUIRED"),"",SUM($J388,$AQ388,$Y388)-$X388)</f>
        <v/>
      </c>
      <c r="AU388" s="25">
        <f>IF(AND($A388="",$B388="",$F388="",$H388="",$J388="",$K388="",$M388="",$S388=""),"",IF(OR($H388="",$Q388="",$M388="",$S388=""),"ERROR",IF(OR($J388&lt;0,$K388&lt;0,$M388&lt;0,$T388&lt;0,$U388&lt;0,$V388&lt;0,$W388&lt;0,$X388&lt;0,$Y388&lt;0),"ERROR",IF($AE388="","ERROR",IF(AND(OR($S388="ITEM_PRICE_PLUS_DECLARED_DELIVERY",$S388="TOTAL_AMOUNT_INCLUDING_DELIVERY",$S388="ITEM_PRICE_ONLY_DELIVERY_PAID_BY_MERCHANT"),$J388=""),"ERROR",IF(AND(OR($S388="ITEM_PRICE_PLUS_DECLARED_DELIVERY",$S388="DELIVERY_CHARGE_ONLY"),$K388=""),"ERROR",IF(AND(OR($S388="TOTAL_AMOUNT_INCLUDING_DELIVERY",$S388="EXACT_COLLECTION_AMOUNT"),$T388=""),"ERROR",IF(AND($S388="TOTAL_AMOUNT_INCLUDING_DELIVERY",$T388&lt;SUM($J388,$U388)),"ERROR",IF($S388="EXACT_COLLECTION_AMOUNT","REVIEW","OK")))))))))</f>
        <v/>
      </c>
      <c r="AV388" s="25">
        <f>IF($AU388="","",IF($H388="","Township required",IF($Q388="","Customer tier required",IF($M388="","Weight required",IF($S388="","Amount entry type required",IF(OR($J388&lt;0,$K388&lt;0,$M388&lt;0,$T388&lt;0,$U388&lt;0,$V388&lt;0,$W388&lt;0,$X388&lt;0,$Y388&lt;0),"Negative amounts are not allowed",IF($AE388="","Tariff not found for township and tier",IF(AND(OR($S388="ITEM_PRICE_PLUS_DECLARED_DELIVERY",$S388="TOTAL_AMOUNT_INCLUDING_DELIVERY",$S388="ITEM_PRICE_ONLY_DELIVERY_PAID_BY_MERCHANT"),$J388=""),"Item price required for this amount type",IF(AND(OR($S388="ITEM_PRICE_PLUS_DECLARED_DELIVERY",$S388="DELIVERY_CHARGE_ONLY"),$K388=""),"Declared delivery charge required",IF(AND(OR($S388="TOTAL_AMOUNT_INCLUDING_DELIVERY",$S388="EXACT_COLLECTION_AMOUNT"),$T388=""),"Stated total amount required",IF(AND($S388="TOTAL_AMOUNT_INCLUDING_DELIVERY",$T388&lt;SUM($J388,$U388)),"Stated total is below item price plus additional charge",IF($S388="EXACT_COLLECTION_AMOUNT","Authorized amount breakdown required before settlement","Ready for collection and settlement"))))))))))))</f>
        <v/>
      </c>
      <c r="AW388" s="23">
        <f>IF($AU388="","","PARCEL_FINANCIAL_V2")</f>
        <v/>
      </c>
      <c r="AX388" s="17" t="n"/>
    </row>
    <row r="389">
      <c r="A389" s="8" t="n"/>
      <c r="B389" s="8" t="n"/>
      <c r="C389" s="8" t="n"/>
      <c r="D389" s="8" t="n"/>
      <c r="E389" s="9" t="n"/>
      <c r="F389" s="9" t="n"/>
      <c r="G389" s="8" t="n"/>
      <c r="H389" s="9" t="n"/>
      <c r="I389" s="9" t="n"/>
      <c r="J389" s="10" t="n"/>
      <c r="K389" s="10" t="n"/>
      <c r="L389" s="11">
        <f>IF($S389="","",IF($S389="ITEM_PRICE_PLUS_DECLARED_DELIVERY",IF(OR($J389="",$K389=""),"",SUM($J389,$K389,$U389)),IF($S389="TOTAL_AMOUNT_INCLUDING_DELIVERY",IF($T389="","",$T389),IF($S389="DELIVERY_CHARGE_ONLY",IF($K389="","",SUM($K389,$U389)),IF($S389="EXACT_COLLECTION_AMOUNT",IF($T389="","",$T389),IF($S389="ITEM_PRICE_ONLY_DELIVERY_PAID_BY_MERCHANT",IF($J389="","",SUM($J389,$U389)),""))))))</f>
        <v/>
      </c>
      <c r="M389" s="12" t="n"/>
      <c r="N389" s="13" t="n"/>
      <c r="O389" s="13" t="n"/>
      <c r="P389" s="9" t="n"/>
      <c r="Q389" s="14" t="n"/>
      <c r="R389" s="15" t="n"/>
      <c r="S389" s="14" t="n"/>
      <c r="T389" s="16" t="n"/>
      <c r="U389" s="16" t="n"/>
      <c r="V389" s="16" t="n"/>
      <c r="W389" s="16" t="n"/>
      <c r="X389" s="16" t="n"/>
      <c r="Y389" s="16" t="n"/>
      <c r="Z389" s="14" t="n"/>
      <c r="AA389" s="14" t="n"/>
      <c r="AB389" s="14" t="n"/>
      <c r="AC389" s="17">
        <f>IFERROR(VLOOKUP($H389&amp;"|"&amp;$Q389,Tariff_Master!$A$2:$L$169,3,FALSE),"")</f>
        <v/>
      </c>
      <c r="AD389" s="17">
        <f>IFERROR(VLOOKUP($H389&amp;"|"&amp;$Q389,Tariff_Master!$A$2:$L$169,4,FALSE),"")</f>
        <v/>
      </c>
      <c r="AE389" s="18">
        <f>IFERROR(VLOOKUP($H389&amp;"|"&amp;$Q389,Tariff_Master!$A$2:$L$169,6,FALSE),"")</f>
        <v/>
      </c>
      <c r="AF389" s="19">
        <f>IFERROR(VLOOKUP($H389&amp;"|"&amp;$Q389,Tariff_Master!$A$2:$L$169,7,FALSE),"")</f>
        <v/>
      </c>
      <c r="AG389" s="18">
        <f>IFERROR(VLOOKUP($H389&amp;"|"&amp;$Q389,Tariff_Master!$A$2:$L$169,8,FALSE),"")</f>
        <v/>
      </c>
      <c r="AH389" s="20">
        <f>IFERROR(VLOOKUP($H389&amp;"|"&amp;$Q389,Tariff_Master!$A$2:$L$169,9,FALSE),"")</f>
        <v/>
      </c>
      <c r="AI389" s="18">
        <f>IFERROR(VLOOKUP($H389&amp;"|"&amp;$Q389,Tariff_Master!$A$2:$L$169,10,FALSE),"")</f>
        <v/>
      </c>
      <c r="AJ389" s="21">
        <f>IF($M389="","",ROUNDUP(MAX(0,$M389),0))</f>
        <v/>
      </c>
      <c r="AK389" s="21">
        <f>IF(OR($AJ389="",$AF389=""),"",MAX(0,$AJ389-$AF389))</f>
        <v/>
      </c>
      <c r="AL389" s="22">
        <f>IF(OR($AK389="",$AG389=""),"",MAX(0,$AK389*$AG389))</f>
        <v/>
      </c>
      <c r="AM389" s="22">
        <f>IF($AE389="","",MAX(0,SUM($AE389,$AL389,$V389,$W389)))</f>
        <v/>
      </c>
      <c r="AN389" s="22">
        <f>IF($AM389="","",IF(AND($Q389="COMMITMENT",$R389&gt;=$AH389),$AI389,0))</f>
        <v/>
      </c>
      <c r="AO389" s="23">
        <f>IF($AM389="","",MAX(0,$AM389-$AN389))</f>
        <v/>
      </c>
      <c r="AP389" s="22">
        <f>IF($S389="","",IF(OR($S389="ITEM_PRICE_PLUS_DECLARED_DELIVERY",$S389="DELIVERY_CHARGE_ONLY"),$K389,IF($S389="TOTAL_AMOUNT_INCLUDING_DELIVERY",IF(OR($T389="",$J389=""),"",MAX(0,$T389-$J389-$U389)),IF($S389="ITEM_PRICE_ONLY_DELIVERY_PAID_BY_MERCHANT",0,""))))</f>
        <v/>
      </c>
      <c r="AQ389" s="23">
        <f>IF(OR($AP389="",$AO389=""),"",$AP389-$AO389)</f>
        <v/>
      </c>
      <c r="AR389" s="24">
        <f>IF($S389="EXACT_COLLECTION_AMOUNT","BREAKDOWN_REQUIRED",IF($AQ389="","",IF($AQ389&gt;0,"CREDIT_TO_MERCHANT",IF($AQ389&lt;0,"DEDUCT_FROM_MERCHANT","NO_ADJUSTMENT"))))</f>
        <v/>
      </c>
      <c r="AS389" s="23">
        <f>IF(OR($AQ389="",$AR389="BREAKDOWN_REQUIRED"),"",$AQ389)</f>
        <v/>
      </c>
      <c r="AT389" s="23">
        <f>IF(OR($AR389="",$AR389="BREAKDOWN_REQUIRED"),"",SUM($J389,$AQ389,$Y389)-$X389)</f>
        <v/>
      </c>
      <c r="AU389" s="25">
        <f>IF(AND($A389="",$B389="",$F389="",$H389="",$J389="",$K389="",$M389="",$S389=""),"",IF(OR($H389="",$Q389="",$M389="",$S389=""),"ERROR",IF(OR($J389&lt;0,$K389&lt;0,$M389&lt;0,$T389&lt;0,$U389&lt;0,$V389&lt;0,$W389&lt;0,$X389&lt;0,$Y389&lt;0),"ERROR",IF($AE389="","ERROR",IF(AND(OR($S389="ITEM_PRICE_PLUS_DECLARED_DELIVERY",$S389="TOTAL_AMOUNT_INCLUDING_DELIVERY",$S389="ITEM_PRICE_ONLY_DELIVERY_PAID_BY_MERCHANT"),$J389=""),"ERROR",IF(AND(OR($S389="ITEM_PRICE_PLUS_DECLARED_DELIVERY",$S389="DELIVERY_CHARGE_ONLY"),$K389=""),"ERROR",IF(AND(OR($S389="TOTAL_AMOUNT_INCLUDING_DELIVERY",$S389="EXACT_COLLECTION_AMOUNT"),$T389=""),"ERROR",IF(AND($S389="TOTAL_AMOUNT_INCLUDING_DELIVERY",$T389&lt;SUM($J389,$U389)),"ERROR",IF($S389="EXACT_COLLECTION_AMOUNT","REVIEW","OK")))))))))</f>
        <v/>
      </c>
      <c r="AV389" s="25">
        <f>IF($AU389="","",IF($H389="","Township required",IF($Q389="","Customer tier required",IF($M389="","Weight required",IF($S389="","Amount entry type required",IF(OR($J389&lt;0,$K389&lt;0,$M389&lt;0,$T389&lt;0,$U389&lt;0,$V389&lt;0,$W389&lt;0,$X389&lt;0,$Y389&lt;0),"Negative amounts are not allowed",IF($AE389="","Tariff not found for township and tier",IF(AND(OR($S389="ITEM_PRICE_PLUS_DECLARED_DELIVERY",$S389="TOTAL_AMOUNT_INCLUDING_DELIVERY",$S389="ITEM_PRICE_ONLY_DELIVERY_PAID_BY_MERCHANT"),$J389=""),"Item price required for this amount type",IF(AND(OR($S389="ITEM_PRICE_PLUS_DECLARED_DELIVERY",$S389="DELIVERY_CHARGE_ONLY"),$K389=""),"Declared delivery charge required",IF(AND(OR($S389="TOTAL_AMOUNT_INCLUDING_DELIVERY",$S389="EXACT_COLLECTION_AMOUNT"),$T389=""),"Stated total amount required",IF(AND($S389="TOTAL_AMOUNT_INCLUDING_DELIVERY",$T389&lt;SUM($J389,$U389)),"Stated total is below item price plus additional charge",IF($S389="EXACT_COLLECTION_AMOUNT","Authorized amount breakdown required before settlement","Ready for collection and settlement"))))))))))))</f>
        <v/>
      </c>
      <c r="AW389" s="23">
        <f>IF($AU389="","","PARCEL_FINANCIAL_V2")</f>
        <v/>
      </c>
      <c r="AX389" s="17" t="n"/>
    </row>
    <row r="390">
      <c r="A390" s="8" t="n"/>
      <c r="B390" s="8" t="n"/>
      <c r="C390" s="8" t="n"/>
      <c r="D390" s="8" t="n"/>
      <c r="E390" s="9" t="n"/>
      <c r="F390" s="9" t="n"/>
      <c r="G390" s="8" t="n"/>
      <c r="H390" s="9" t="n"/>
      <c r="I390" s="9" t="n"/>
      <c r="J390" s="10" t="n"/>
      <c r="K390" s="10" t="n"/>
      <c r="L390" s="11">
        <f>IF($S390="","",IF($S390="ITEM_PRICE_PLUS_DECLARED_DELIVERY",IF(OR($J390="",$K390=""),"",SUM($J390,$K390,$U390)),IF($S390="TOTAL_AMOUNT_INCLUDING_DELIVERY",IF($T390="","",$T390),IF($S390="DELIVERY_CHARGE_ONLY",IF($K390="","",SUM($K390,$U390)),IF($S390="EXACT_COLLECTION_AMOUNT",IF($T390="","",$T390),IF($S390="ITEM_PRICE_ONLY_DELIVERY_PAID_BY_MERCHANT",IF($J390="","",SUM($J390,$U390)),""))))))</f>
        <v/>
      </c>
      <c r="M390" s="12" t="n"/>
      <c r="N390" s="13" t="n"/>
      <c r="O390" s="13" t="n"/>
      <c r="P390" s="9" t="n"/>
      <c r="Q390" s="14" t="n"/>
      <c r="R390" s="15" t="n"/>
      <c r="S390" s="14" t="n"/>
      <c r="T390" s="16" t="n"/>
      <c r="U390" s="16" t="n"/>
      <c r="V390" s="16" t="n"/>
      <c r="W390" s="16" t="n"/>
      <c r="X390" s="16" t="n"/>
      <c r="Y390" s="16" t="n"/>
      <c r="Z390" s="14" t="n"/>
      <c r="AA390" s="14" t="n"/>
      <c r="AB390" s="14" t="n"/>
      <c r="AC390" s="17">
        <f>IFERROR(VLOOKUP($H390&amp;"|"&amp;$Q390,Tariff_Master!$A$2:$L$169,3,FALSE),"")</f>
        <v/>
      </c>
      <c r="AD390" s="17">
        <f>IFERROR(VLOOKUP($H390&amp;"|"&amp;$Q390,Tariff_Master!$A$2:$L$169,4,FALSE),"")</f>
        <v/>
      </c>
      <c r="AE390" s="18">
        <f>IFERROR(VLOOKUP($H390&amp;"|"&amp;$Q390,Tariff_Master!$A$2:$L$169,6,FALSE),"")</f>
        <v/>
      </c>
      <c r="AF390" s="19">
        <f>IFERROR(VLOOKUP($H390&amp;"|"&amp;$Q390,Tariff_Master!$A$2:$L$169,7,FALSE),"")</f>
        <v/>
      </c>
      <c r="AG390" s="18">
        <f>IFERROR(VLOOKUP($H390&amp;"|"&amp;$Q390,Tariff_Master!$A$2:$L$169,8,FALSE),"")</f>
        <v/>
      </c>
      <c r="AH390" s="20">
        <f>IFERROR(VLOOKUP($H390&amp;"|"&amp;$Q390,Tariff_Master!$A$2:$L$169,9,FALSE),"")</f>
        <v/>
      </c>
      <c r="AI390" s="18">
        <f>IFERROR(VLOOKUP($H390&amp;"|"&amp;$Q390,Tariff_Master!$A$2:$L$169,10,FALSE),"")</f>
        <v/>
      </c>
      <c r="AJ390" s="21">
        <f>IF($M390="","",ROUNDUP(MAX(0,$M390),0))</f>
        <v/>
      </c>
      <c r="AK390" s="21">
        <f>IF(OR($AJ390="",$AF390=""),"",MAX(0,$AJ390-$AF390))</f>
        <v/>
      </c>
      <c r="AL390" s="22">
        <f>IF(OR($AK390="",$AG390=""),"",MAX(0,$AK390*$AG390))</f>
        <v/>
      </c>
      <c r="AM390" s="22">
        <f>IF($AE390="","",MAX(0,SUM($AE390,$AL390,$V390,$W390)))</f>
        <v/>
      </c>
      <c r="AN390" s="22">
        <f>IF($AM390="","",IF(AND($Q390="COMMITMENT",$R390&gt;=$AH390),$AI390,0))</f>
        <v/>
      </c>
      <c r="AO390" s="23">
        <f>IF($AM390="","",MAX(0,$AM390-$AN390))</f>
        <v/>
      </c>
      <c r="AP390" s="22">
        <f>IF($S390="","",IF(OR($S390="ITEM_PRICE_PLUS_DECLARED_DELIVERY",$S390="DELIVERY_CHARGE_ONLY"),$K390,IF($S390="TOTAL_AMOUNT_INCLUDING_DELIVERY",IF(OR($T390="",$J390=""),"",MAX(0,$T390-$J390-$U390)),IF($S390="ITEM_PRICE_ONLY_DELIVERY_PAID_BY_MERCHANT",0,""))))</f>
        <v/>
      </c>
      <c r="AQ390" s="23">
        <f>IF(OR($AP390="",$AO390=""),"",$AP390-$AO390)</f>
        <v/>
      </c>
      <c r="AR390" s="24">
        <f>IF($S390="EXACT_COLLECTION_AMOUNT","BREAKDOWN_REQUIRED",IF($AQ390="","",IF($AQ390&gt;0,"CREDIT_TO_MERCHANT",IF($AQ390&lt;0,"DEDUCT_FROM_MERCHANT","NO_ADJUSTMENT"))))</f>
        <v/>
      </c>
      <c r="AS390" s="23">
        <f>IF(OR($AQ390="",$AR390="BREAKDOWN_REQUIRED"),"",$AQ390)</f>
        <v/>
      </c>
      <c r="AT390" s="23">
        <f>IF(OR($AR390="",$AR390="BREAKDOWN_REQUIRED"),"",SUM($J390,$AQ390,$Y390)-$X390)</f>
        <v/>
      </c>
      <c r="AU390" s="25">
        <f>IF(AND($A390="",$B390="",$F390="",$H390="",$J390="",$K390="",$M390="",$S390=""),"",IF(OR($H390="",$Q390="",$M390="",$S390=""),"ERROR",IF(OR($J390&lt;0,$K390&lt;0,$M390&lt;0,$T390&lt;0,$U390&lt;0,$V390&lt;0,$W390&lt;0,$X390&lt;0,$Y390&lt;0),"ERROR",IF($AE390="","ERROR",IF(AND(OR($S390="ITEM_PRICE_PLUS_DECLARED_DELIVERY",$S390="TOTAL_AMOUNT_INCLUDING_DELIVERY",$S390="ITEM_PRICE_ONLY_DELIVERY_PAID_BY_MERCHANT"),$J390=""),"ERROR",IF(AND(OR($S390="ITEM_PRICE_PLUS_DECLARED_DELIVERY",$S390="DELIVERY_CHARGE_ONLY"),$K390=""),"ERROR",IF(AND(OR($S390="TOTAL_AMOUNT_INCLUDING_DELIVERY",$S390="EXACT_COLLECTION_AMOUNT"),$T390=""),"ERROR",IF(AND($S390="TOTAL_AMOUNT_INCLUDING_DELIVERY",$T390&lt;SUM($J390,$U390)),"ERROR",IF($S390="EXACT_COLLECTION_AMOUNT","REVIEW","OK")))))))))</f>
        <v/>
      </c>
      <c r="AV390" s="25">
        <f>IF($AU390="","",IF($H390="","Township required",IF($Q390="","Customer tier required",IF($M390="","Weight required",IF($S390="","Amount entry type required",IF(OR($J390&lt;0,$K390&lt;0,$M390&lt;0,$T390&lt;0,$U390&lt;0,$V390&lt;0,$W390&lt;0,$X390&lt;0,$Y390&lt;0),"Negative amounts are not allowed",IF($AE390="","Tariff not found for township and tier",IF(AND(OR($S390="ITEM_PRICE_PLUS_DECLARED_DELIVERY",$S390="TOTAL_AMOUNT_INCLUDING_DELIVERY",$S390="ITEM_PRICE_ONLY_DELIVERY_PAID_BY_MERCHANT"),$J390=""),"Item price required for this amount type",IF(AND(OR($S390="ITEM_PRICE_PLUS_DECLARED_DELIVERY",$S390="DELIVERY_CHARGE_ONLY"),$K390=""),"Declared delivery charge required",IF(AND(OR($S390="TOTAL_AMOUNT_INCLUDING_DELIVERY",$S390="EXACT_COLLECTION_AMOUNT"),$T390=""),"Stated total amount required",IF(AND($S390="TOTAL_AMOUNT_INCLUDING_DELIVERY",$T390&lt;SUM($J390,$U390)),"Stated total is below item price plus additional charge",IF($S390="EXACT_COLLECTION_AMOUNT","Authorized amount breakdown required before settlement","Ready for collection and settlement"))))))))))))</f>
        <v/>
      </c>
      <c r="AW390" s="23">
        <f>IF($AU390="","","PARCEL_FINANCIAL_V2")</f>
        <v/>
      </c>
      <c r="AX390" s="17" t="n"/>
    </row>
    <row r="391">
      <c r="A391" s="8" t="n"/>
      <c r="B391" s="8" t="n"/>
      <c r="C391" s="8" t="n"/>
      <c r="D391" s="8" t="n"/>
      <c r="E391" s="9" t="n"/>
      <c r="F391" s="9" t="n"/>
      <c r="G391" s="8" t="n"/>
      <c r="H391" s="9" t="n"/>
      <c r="I391" s="9" t="n"/>
      <c r="J391" s="10" t="n"/>
      <c r="K391" s="10" t="n"/>
      <c r="L391" s="11">
        <f>IF($S391="","",IF($S391="ITEM_PRICE_PLUS_DECLARED_DELIVERY",IF(OR($J391="",$K391=""),"",SUM($J391,$K391,$U391)),IF($S391="TOTAL_AMOUNT_INCLUDING_DELIVERY",IF($T391="","",$T391),IF($S391="DELIVERY_CHARGE_ONLY",IF($K391="","",SUM($K391,$U391)),IF($S391="EXACT_COLLECTION_AMOUNT",IF($T391="","",$T391),IF($S391="ITEM_PRICE_ONLY_DELIVERY_PAID_BY_MERCHANT",IF($J391="","",SUM($J391,$U391)),""))))))</f>
        <v/>
      </c>
      <c r="M391" s="12" t="n"/>
      <c r="N391" s="13" t="n"/>
      <c r="O391" s="13" t="n"/>
      <c r="P391" s="9" t="n"/>
      <c r="Q391" s="14" t="n"/>
      <c r="R391" s="15" t="n"/>
      <c r="S391" s="14" t="n"/>
      <c r="T391" s="16" t="n"/>
      <c r="U391" s="16" t="n"/>
      <c r="V391" s="16" t="n"/>
      <c r="W391" s="16" t="n"/>
      <c r="X391" s="16" t="n"/>
      <c r="Y391" s="16" t="n"/>
      <c r="Z391" s="14" t="n"/>
      <c r="AA391" s="14" t="n"/>
      <c r="AB391" s="14" t="n"/>
      <c r="AC391" s="17">
        <f>IFERROR(VLOOKUP($H391&amp;"|"&amp;$Q391,Tariff_Master!$A$2:$L$169,3,FALSE),"")</f>
        <v/>
      </c>
      <c r="AD391" s="17">
        <f>IFERROR(VLOOKUP($H391&amp;"|"&amp;$Q391,Tariff_Master!$A$2:$L$169,4,FALSE),"")</f>
        <v/>
      </c>
      <c r="AE391" s="18">
        <f>IFERROR(VLOOKUP($H391&amp;"|"&amp;$Q391,Tariff_Master!$A$2:$L$169,6,FALSE),"")</f>
        <v/>
      </c>
      <c r="AF391" s="19">
        <f>IFERROR(VLOOKUP($H391&amp;"|"&amp;$Q391,Tariff_Master!$A$2:$L$169,7,FALSE),"")</f>
        <v/>
      </c>
      <c r="AG391" s="18">
        <f>IFERROR(VLOOKUP($H391&amp;"|"&amp;$Q391,Tariff_Master!$A$2:$L$169,8,FALSE),"")</f>
        <v/>
      </c>
      <c r="AH391" s="20">
        <f>IFERROR(VLOOKUP($H391&amp;"|"&amp;$Q391,Tariff_Master!$A$2:$L$169,9,FALSE),"")</f>
        <v/>
      </c>
      <c r="AI391" s="18">
        <f>IFERROR(VLOOKUP($H391&amp;"|"&amp;$Q391,Tariff_Master!$A$2:$L$169,10,FALSE),"")</f>
        <v/>
      </c>
      <c r="AJ391" s="21">
        <f>IF($M391="","",ROUNDUP(MAX(0,$M391),0))</f>
        <v/>
      </c>
      <c r="AK391" s="21">
        <f>IF(OR($AJ391="",$AF391=""),"",MAX(0,$AJ391-$AF391))</f>
        <v/>
      </c>
      <c r="AL391" s="22">
        <f>IF(OR($AK391="",$AG391=""),"",MAX(0,$AK391*$AG391))</f>
        <v/>
      </c>
      <c r="AM391" s="22">
        <f>IF($AE391="","",MAX(0,SUM($AE391,$AL391,$V391,$W391)))</f>
        <v/>
      </c>
      <c r="AN391" s="22">
        <f>IF($AM391="","",IF(AND($Q391="COMMITMENT",$R391&gt;=$AH391),$AI391,0))</f>
        <v/>
      </c>
      <c r="AO391" s="23">
        <f>IF($AM391="","",MAX(0,$AM391-$AN391))</f>
        <v/>
      </c>
      <c r="AP391" s="22">
        <f>IF($S391="","",IF(OR($S391="ITEM_PRICE_PLUS_DECLARED_DELIVERY",$S391="DELIVERY_CHARGE_ONLY"),$K391,IF($S391="TOTAL_AMOUNT_INCLUDING_DELIVERY",IF(OR($T391="",$J391=""),"",MAX(0,$T391-$J391-$U391)),IF($S391="ITEM_PRICE_ONLY_DELIVERY_PAID_BY_MERCHANT",0,""))))</f>
        <v/>
      </c>
      <c r="AQ391" s="23">
        <f>IF(OR($AP391="",$AO391=""),"",$AP391-$AO391)</f>
        <v/>
      </c>
      <c r="AR391" s="24">
        <f>IF($S391="EXACT_COLLECTION_AMOUNT","BREAKDOWN_REQUIRED",IF($AQ391="","",IF($AQ391&gt;0,"CREDIT_TO_MERCHANT",IF($AQ391&lt;0,"DEDUCT_FROM_MERCHANT","NO_ADJUSTMENT"))))</f>
        <v/>
      </c>
      <c r="AS391" s="23">
        <f>IF(OR($AQ391="",$AR391="BREAKDOWN_REQUIRED"),"",$AQ391)</f>
        <v/>
      </c>
      <c r="AT391" s="23">
        <f>IF(OR($AR391="",$AR391="BREAKDOWN_REQUIRED"),"",SUM($J391,$AQ391,$Y391)-$X391)</f>
        <v/>
      </c>
      <c r="AU391" s="25">
        <f>IF(AND($A391="",$B391="",$F391="",$H391="",$J391="",$K391="",$M391="",$S391=""),"",IF(OR($H391="",$Q391="",$M391="",$S391=""),"ERROR",IF(OR($J391&lt;0,$K391&lt;0,$M391&lt;0,$T391&lt;0,$U391&lt;0,$V391&lt;0,$W391&lt;0,$X391&lt;0,$Y391&lt;0),"ERROR",IF($AE391="","ERROR",IF(AND(OR($S391="ITEM_PRICE_PLUS_DECLARED_DELIVERY",$S391="TOTAL_AMOUNT_INCLUDING_DELIVERY",$S391="ITEM_PRICE_ONLY_DELIVERY_PAID_BY_MERCHANT"),$J391=""),"ERROR",IF(AND(OR($S391="ITEM_PRICE_PLUS_DECLARED_DELIVERY",$S391="DELIVERY_CHARGE_ONLY"),$K391=""),"ERROR",IF(AND(OR($S391="TOTAL_AMOUNT_INCLUDING_DELIVERY",$S391="EXACT_COLLECTION_AMOUNT"),$T391=""),"ERROR",IF(AND($S391="TOTAL_AMOUNT_INCLUDING_DELIVERY",$T391&lt;SUM($J391,$U391)),"ERROR",IF($S391="EXACT_COLLECTION_AMOUNT","REVIEW","OK")))))))))</f>
        <v/>
      </c>
      <c r="AV391" s="25">
        <f>IF($AU391="","",IF($H391="","Township required",IF($Q391="","Customer tier required",IF($M391="","Weight required",IF($S391="","Amount entry type required",IF(OR($J391&lt;0,$K391&lt;0,$M391&lt;0,$T391&lt;0,$U391&lt;0,$V391&lt;0,$W391&lt;0,$X391&lt;0,$Y391&lt;0),"Negative amounts are not allowed",IF($AE391="","Tariff not found for township and tier",IF(AND(OR($S391="ITEM_PRICE_PLUS_DECLARED_DELIVERY",$S391="TOTAL_AMOUNT_INCLUDING_DELIVERY",$S391="ITEM_PRICE_ONLY_DELIVERY_PAID_BY_MERCHANT"),$J391=""),"Item price required for this amount type",IF(AND(OR($S391="ITEM_PRICE_PLUS_DECLARED_DELIVERY",$S391="DELIVERY_CHARGE_ONLY"),$K391=""),"Declared delivery charge required",IF(AND(OR($S391="TOTAL_AMOUNT_INCLUDING_DELIVERY",$S391="EXACT_COLLECTION_AMOUNT"),$T391=""),"Stated total amount required",IF(AND($S391="TOTAL_AMOUNT_INCLUDING_DELIVERY",$T391&lt;SUM($J391,$U391)),"Stated total is below item price plus additional charge",IF($S391="EXACT_COLLECTION_AMOUNT","Authorized amount breakdown required before settlement","Ready for collection and settlement"))))))))))))</f>
        <v/>
      </c>
      <c r="AW391" s="23">
        <f>IF($AU391="","","PARCEL_FINANCIAL_V2")</f>
        <v/>
      </c>
      <c r="AX391" s="17" t="n"/>
    </row>
    <row r="392">
      <c r="A392" s="8" t="n"/>
      <c r="B392" s="8" t="n"/>
      <c r="C392" s="8" t="n"/>
      <c r="D392" s="8" t="n"/>
      <c r="E392" s="9" t="n"/>
      <c r="F392" s="9" t="n"/>
      <c r="G392" s="8" t="n"/>
      <c r="H392" s="9" t="n"/>
      <c r="I392" s="9" t="n"/>
      <c r="J392" s="10" t="n"/>
      <c r="K392" s="10" t="n"/>
      <c r="L392" s="11">
        <f>IF($S392="","",IF($S392="ITEM_PRICE_PLUS_DECLARED_DELIVERY",IF(OR($J392="",$K392=""),"",SUM($J392,$K392,$U392)),IF($S392="TOTAL_AMOUNT_INCLUDING_DELIVERY",IF($T392="","",$T392),IF($S392="DELIVERY_CHARGE_ONLY",IF($K392="","",SUM($K392,$U392)),IF($S392="EXACT_COLLECTION_AMOUNT",IF($T392="","",$T392),IF($S392="ITEM_PRICE_ONLY_DELIVERY_PAID_BY_MERCHANT",IF($J392="","",SUM($J392,$U392)),""))))))</f>
        <v/>
      </c>
      <c r="M392" s="12" t="n"/>
      <c r="N392" s="13" t="n"/>
      <c r="O392" s="13" t="n"/>
      <c r="P392" s="9" t="n"/>
      <c r="Q392" s="14" t="n"/>
      <c r="R392" s="15" t="n"/>
      <c r="S392" s="14" t="n"/>
      <c r="T392" s="16" t="n"/>
      <c r="U392" s="16" t="n"/>
      <c r="V392" s="16" t="n"/>
      <c r="W392" s="16" t="n"/>
      <c r="X392" s="16" t="n"/>
      <c r="Y392" s="16" t="n"/>
      <c r="Z392" s="14" t="n"/>
      <c r="AA392" s="14" t="n"/>
      <c r="AB392" s="14" t="n"/>
      <c r="AC392" s="17">
        <f>IFERROR(VLOOKUP($H392&amp;"|"&amp;$Q392,Tariff_Master!$A$2:$L$169,3,FALSE),"")</f>
        <v/>
      </c>
      <c r="AD392" s="17">
        <f>IFERROR(VLOOKUP($H392&amp;"|"&amp;$Q392,Tariff_Master!$A$2:$L$169,4,FALSE),"")</f>
        <v/>
      </c>
      <c r="AE392" s="18">
        <f>IFERROR(VLOOKUP($H392&amp;"|"&amp;$Q392,Tariff_Master!$A$2:$L$169,6,FALSE),"")</f>
        <v/>
      </c>
      <c r="AF392" s="19">
        <f>IFERROR(VLOOKUP($H392&amp;"|"&amp;$Q392,Tariff_Master!$A$2:$L$169,7,FALSE),"")</f>
        <v/>
      </c>
      <c r="AG392" s="18">
        <f>IFERROR(VLOOKUP($H392&amp;"|"&amp;$Q392,Tariff_Master!$A$2:$L$169,8,FALSE),"")</f>
        <v/>
      </c>
      <c r="AH392" s="20">
        <f>IFERROR(VLOOKUP($H392&amp;"|"&amp;$Q392,Tariff_Master!$A$2:$L$169,9,FALSE),"")</f>
        <v/>
      </c>
      <c r="AI392" s="18">
        <f>IFERROR(VLOOKUP($H392&amp;"|"&amp;$Q392,Tariff_Master!$A$2:$L$169,10,FALSE),"")</f>
        <v/>
      </c>
      <c r="AJ392" s="21">
        <f>IF($M392="","",ROUNDUP(MAX(0,$M392),0))</f>
        <v/>
      </c>
      <c r="AK392" s="21">
        <f>IF(OR($AJ392="",$AF392=""),"",MAX(0,$AJ392-$AF392))</f>
        <v/>
      </c>
      <c r="AL392" s="22">
        <f>IF(OR($AK392="",$AG392=""),"",MAX(0,$AK392*$AG392))</f>
        <v/>
      </c>
      <c r="AM392" s="22">
        <f>IF($AE392="","",MAX(0,SUM($AE392,$AL392,$V392,$W392)))</f>
        <v/>
      </c>
      <c r="AN392" s="22">
        <f>IF($AM392="","",IF(AND($Q392="COMMITMENT",$R392&gt;=$AH392),$AI392,0))</f>
        <v/>
      </c>
      <c r="AO392" s="23">
        <f>IF($AM392="","",MAX(0,$AM392-$AN392))</f>
        <v/>
      </c>
      <c r="AP392" s="22">
        <f>IF($S392="","",IF(OR($S392="ITEM_PRICE_PLUS_DECLARED_DELIVERY",$S392="DELIVERY_CHARGE_ONLY"),$K392,IF($S392="TOTAL_AMOUNT_INCLUDING_DELIVERY",IF(OR($T392="",$J392=""),"",MAX(0,$T392-$J392-$U392)),IF($S392="ITEM_PRICE_ONLY_DELIVERY_PAID_BY_MERCHANT",0,""))))</f>
        <v/>
      </c>
      <c r="AQ392" s="23">
        <f>IF(OR($AP392="",$AO392=""),"",$AP392-$AO392)</f>
        <v/>
      </c>
      <c r="AR392" s="24">
        <f>IF($S392="EXACT_COLLECTION_AMOUNT","BREAKDOWN_REQUIRED",IF($AQ392="","",IF($AQ392&gt;0,"CREDIT_TO_MERCHANT",IF($AQ392&lt;0,"DEDUCT_FROM_MERCHANT","NO_ADJUSTMENT"))))</f>
        <v/>
      </c>
      <c r="AS392" s="23">
        <f>IF(OR($AQ392="",$AR392="BREAKDOWN_REQUIRED"),"",$AQ392)</f>
        <v/>
      </c>
      <c r="AT392" s="23">
        <f>IF(OR($AR392="",$AR392="BREAKDOWN_REQUIRED"),"",SUM($J392,$AQ392,$Y392)-$X392)</f>
        <v/>
      </c>
      <c r="AU392" s="25">
        <f>IF(AND($A392="",$B392="",$F392="",$H392="",$J392="",$K392="",$M392="",$S392=""),"",IF(OR($H392="",$Q392="",$M392="",$S392=""),"ERROR",IF(OR($J392&lt;0,$K392&lt;0,$M392&lt;0,$T392&lt;0,$U392&lt;0,$V392&lt;0,$W392&lt;0,$X392&lt;0,$Y392&lt;0),"ERROR",IF($AE392="","ERROR",IF(AND(OR($S392="ITEM_PRICE_PLUS_DECLARED_DELIVERY",$S392="TOTAL_AMOUNT_INCLUDING_DELIVERY",$S392="ITEM_PRICE_ONLY_DELIVERY_PAID_BY_MERCHANT"),$J392=""),"ERROR",IF(AND(OR($S392="ITEM_PRICE_PLUS_DECLARED_DELIVERY",$S392="DELIVERY_CHARGE_ONLY"),$K392=""),"ERROR",IF(AND(OR($S392="TOTAL_AMOUNT_INCLUDING_DELIVERY",$S392="EXACT_COLLECTION_AMOUNT"),$T392=""),"ERROR",IF(AND($S392="TOTAL_AMOUNT_INCLUDING_DELIVERY",$T392&lt;SUM($J392,$U392)),"ERROR",IF($S392="EXACT_COLLECTION_AMOUNT","REVIEW","OK")))))))))</f>
        <v/>
      </c>
      <c r="AV392" s="25">
        <f>IF($AU392="","",IF($H392="","Township required",IF($Q392="","Customer tier required",IF($M392="","Weight required",IF($S392="","Amount entry type required",IF(OR($J392&lt;0,$K392&lt;0,$M392&lt;0,$T392&lt;0,$U392&lt;0,$V392&lt;0,$W392&lt;0,$X392&lt;0,$Y392&lt;0),"Negative amounts are not allowed",IF($AE392="","Tariff not found for township and tier",IF(AND(OR($S392="ITEM_PRICE_PLUS_DECLARED_DELIVERY",$S392="TOTAL_AMOUNT_INCLUDING_DELIVERY",$S392="ITEM_PRICE_ONLY_DELIVERY_PAID_BY_MERCHANT"),$J392=""),"Item price required for this amount type",IF(AND(OR($S392="ITEM_PRICE_PLUS_DECLARED_DELIVERY",$S392="DELIVERY_CHARGE_ONLY"),$K392=""),"Declared delivery charge required",IF(AND(OR($S392="TOTAL_AMOUNT_INCLUDING_DELIVERY",$S392="EXACT_COLLECTION_AMOUNT"),$T392=""),"Stated total amount required",IF(AND($S392="TOTAL_AMOUNT_INCLUDING_DELIVERY",$T392&lt;SUM($J392,$U392)),"Stated total is below item price plus additional charge",IF($S392="EXACT_COLLECTION_AMOUNT","Authorized amount breakdown required before settlement","Ready for collection and settlement"))))))))))))</f>
        <v/>
      </c>
      <c r="AW392" s="23">
        <f>IF($AU392="","","PARCEL_FINANCIAL_V2")</f>
        <v/>
      </c>
      <c r="AX392" s="17" t="n"/>
    </row>
    <row r="393">
      <c r="A393" s="8" t="n"/>
      <c r="B393" s="8" t="n"/>
      <c r="C393" s="8" t="n"/>
      <c r="D393" s="8" t="n"/>
      <c r="E393" s="9" t="n"/>
      <c r="F393" s="9" t="n"/>
      <c r="G393" s="8" t="n"/>
      <c r="H393" s="9" t="n"/>
      <c r="I393" s="9" t="n"/>
      <c r="J393" s="10" t="n"/>
      <c r="K393" s="10" t="n"/>
      <c r="L393" s="11">
        <f>IF($S393="","",IF($S393="ITEM_PRICE_PLUS_DECLARED_DELIVERY",IF(OR($J393="",$K393=""),"",SUM($J393,$K393,$U393)),IF($S393="TOTAL_AMOUNT_INCLUDING_DELIVERY",IF($T393="","",$T393),IF($S393="DELIVERY_CHARGE_ONLY",IF($K393="","",SUM($K393,$U393)),IF($S393="EXACT_COLLECTION_AMOUNT",IF($T393="","",$T393),IF($S393="ITEM_PRICE_ONLY_DELIVERY_PAID_BY_MERCHANT",IF($J393="","",SUM($J393,$U393)),""))))))</f>
        <v/>
      </c>
      <c r="M393" s="12" t="n"/>
      <c r="N393" s="13" t="n"/>
      <c r="O393" s="13" t="n"/>
      <c r="P393" s="9" t="n"/>
      <c r="Q393" s="14" t="n"/>
      <c r="R393" s="15" t="n"/>
      <c r="S393" s="14" t="n"/>
      <c r="T393" s="16" t="n"/>
      <c r="U393" s="16" t="n"/>
      <c r="V393" s="16" t="n"/>
      <c r="W393" s="16" t="n"/>
      <c r="X393" s="16" t="n"/>
      <c r="Y393" s="16" t="n"/>
      <c r="Z393" s="14" t="n"/>
      <c r="AA393" s="14" t="n"/>
      <c r="AB393" s="14" t="n"/>
      <c r="AC393" s="17">
        <f>IFERROR(VLOOKUP($H393&amp;"|"&amp;$Q393,Tariff_Master!$A$2:$L$169,3,FALSE),"")</f>
        <v/>
      </c>
      <c r="AD393" s="17">
        <f>IFERROR(VLOOKUP($H393&amp;"|"&amp;$Q393,Tariff_Master!$A$2:$L$169,4,FALSE),"")</f>
        <v/>
      </c>
      <c r="AE393" s="18">
        <f>IFERROR(VLOOKUP($H393&amp;"|"&amp;$Q393,Tariff_Master!$A$2:$L$169,6,FALSE),"")</f>
        <v/>
      </c>
      <c r="AF393" s="19">
        <f>IFERROR(VLOOKUP($H393&amp;"|"&amp;$Q393,Tariff_Master!$A$2:$L$169,7,FALSE),"")</f>
        <v/>
      </c>
      <c r="AG393" s="18">
        <f>IFERROR(VLOOKUP($H393&amp;"|"&amp;$Q393,Tariff_Master!$A$2:$L$169,8,FALSE),"")</f>
        <v/>
      </c>
      <c r="AH393" s="20">
        <f>IFERROR(VLOOKUP($H393&amp;"|"&amp;$Q393,Tariff_Master!$A$2:$L$169,9,FALSE),"")</f>
        <v/>
      </c>
      <c r="AI393" s="18">
        <f>IFERROR(VLOOKUP($H393&amp;"|"&amp;$Q393,Tariff_Master!$A$2:$L$169,10,FALSE),"")</f>
        <v/>
      </c>
      <c r="AJ393" s="21">
        <f>IF($M393="","",ROUNDUP(MAX(0,$M393),0))</f>
        <v/>
      </c>
      <c r="AK393" s="21">
        <f>IF(OR($AJ393="",$AF393=""),"",MAX(0,$AJ393-$AF393))</f>
        <v/>
      </c>
      <c r="AL393" s="22">
        <f>IF(OR($AK393="",$AG393=""),"",MAX(0,$AK393*$AG393))</f>
        <v/>
      </c>
      <c r="AM393" s="22">
        <f>IF($AE393="","",MAX(0,SUM($AE393,$AL393,$V393,$W393)))</f>
        <v/>
      </c>
      <c r="AN393" s="22">
        <f>IF($AM393="","",IF(AND($Q393="COMMITMENT",$R393&gt;=$AH393),$AI393,0))</f>
        <v/>
      </c>
      <c r="AO393" s="23">
        <f>IF($AM393="","",MAX(0,$AM393-$AN393))</f>
        <v/>
      </c>
      <c r="AP393" s="22">
        <f>IF($S393="","",IF(OR($S393="ITEM_PRICE_PLUS_DECLARED_DELIVERY",$S393="DELIVERY_CHARGE_ONLY"),$K393,IF($S393="TOTAL_AMOUNT_INCLUDING_DELIVERY",IF(OR($T393="",$J393=""),"",MAX(0,$T393-$J393-$U393)),IF($S393="ITEM_PRICE_ONLY_DELIVERY_PAID_BY_MERCHANT",0,""))))</f>
        <v/>
      </c>
      <c r="AQ393" s="23">
        <f>IF(OR($AP393="",$AO393=""),"",$AP393-$AO393)</f>
        <v/>
      </c>
      <c r="AR393" s="24">
        <f>IF($S393="EXACT_COLLECTION_AMOUNT","BREAKDOWN_REQUIRED",IF($AQ393="","",IF($AQ393&gt;0,"CREDIT_TO_MERCHANT",IF($AQ393&lt;0,"DEDUCT_FROM_MERCHANT","NO_ADJUSTMENT"))))</f>
        <v/>
      </c>
      <c r="AS393" s="23">
        <f>IF(OR($AQ393="",$AR393="BREAKDOWN_REQUIRED"),"",$AQ393)</f>
        <v/>
      </c>
      <c r="AT393" s="23">
        <f>IF(OR($AR393="",$AR393="BREAKDOWN_REQUIRED"),"",SUM($J393,$AQ393,$Y393)-$X393)</f>
        <v/>
      </c>
      <c r="AU393" s="25">
        <f>IF(AND($A393="",$B393="",$F393="",$H393="",$J393="",$K393="",$M393="",$S393=""),"",IF(OR($H393="",$Q393="",$M393="",$S393=""),"ERROR",IF(OR($J393&lt;0,$K393&lt;0,$M393&lt;0,$T393&lt;0,$U393&lt;0,$V393&lt;0,$W393&lt;0,$X393&lt;0,$Y393&lt;0),"ERROR",IF($AE393="","ERROR",IF(AND(OR($S393="ITEM_PRICE_PLUS_DECLARED_DELIVERY",$S393="TOTAL_AMOUNT_INCLUDING_DELIVERY",$S393="ITEM_PRICE_ONLY_DELIVERY_PAID_BY_MERCHANT"),$J393=""),"ERROR",IF(AND(OR($S393="ITEM_PRICE_PLUS_DECLARED_DELIVERY",$S393="DELIVERY_CHARGE_ONLY"),$K393=""),"ERROR",IF(AND(OR($S393="TOTAL_AMOUNT_INCLUDING_DELIVERY",$S393="EXACT_COLLECTION_AMOUNT"),$T393=""),"ERROR",IF(AND($S393="TOTAL_AMOUNT_INCLUDING_DELIVERY",$T393&lt;SUM($J393,$U393)),"ERROR",IF($S393="EXACT_COLLECTION_AMOUNT","REVIEW","OK")))))))))</f>
        <v/>
      </c>
      <c r="AV393" s="25">
        <f>IF($AU393="","",IF($H393="","Township required",IF($Q393="","Customer tier required",IF($M393="","Weight required",IF($S393="","Amount entry type required",IF(OR($J393&lt;0,$K393&lt;0,$M393&lt;0,$T393&lt;0,$U393&lt;0,$V393&lt;0,$W393&lt;0,$X393&lt;0,$Y393&lt;0),"Negative amounts are not allowed",IF($AE393="","Tariff not found for township and tier",IF(AND(OR($S393="ITEM_PRICE_PLUS_DECLARED_DELIVERY",$S393="TOTAL_AMOUNT_INCLUDING_DELIVERY",$S393="ITEM_PRICE_ONLY_DELIVERY_PAID_BY_MERCHANT"),$J393=""),"Item price required for this amount type",IF(AND(OR($S393="ITEM_PRICE_PLUS_DECLARED_DELIVERY",$S393="DELIVERY_CHARGE_ONLY"),$K393=""),"Declared delivery charge required",IF(AND(OR($S393="TOTAL_AMOUNT_INCLUDING_DELIVERY",$S393="EXACT_COLLECTION_AMOUNT"),$T393=""),"Stated total amount required",IF(AND($S393="TOTAL_AMOUNT_INCLUDING_DELIVERY",$T393&lt;SUM($J393,$U393)),"Stated total is below item price plus additional charge",IF($S393="EXACT_COLLECTION_AMOUNT","Authorized amount breakdown required before settlement","Ready for collection and settlement"))))))))))))</f>
        <v/>
      </c>
      <c r="AW393" s="23">
        <f>IF($AU393="","","PARCEL_FINANCIAL_V2")</f>
        <v/>
      </c>
      <c r="AX393" s="17" t="n"/>
    </row>
    <row r="394">
      <c r="A394" s="8" t="n"/>
      <c r="B394" s="8" t="n"/>
      <c r="C394" s="8" t="n"/>
      <c r="D394" s="8" t="n"/>
      <c r="E394" s="9" t="n"/>
      <c r="F394" s="9" t="n"/>
      <c r="G394" s="8" t="n"/>
      <c r="H394" s="9" t="n"/>
      <c r="I394" s="9" t="n"/>
      <c r="J394" s="10" t="n"/>
      <c r="K394" s="10" t="n"/>
      <c r="L394" s="11">
        <f>IF($S394="","",IF($S394="ITEM_PRICE_PLUS_DECLARED_DELIVERY",IF(OR($J394="",$K394=""),"",SUM($J394,$K394,$U394)),IF($S394="TOTAL_AMOUNT_INCLUDING_DELIVERY",IF($T394="","",$T394),IF($S394="DELIVERY_CHARGE_ONLY",IF($K394="","",SUM($K394,$U394)),IF($S394="EXACT_COLLECTION_AMOUNT",IF($T394="","",$T394),IF($S394="ITEM_PRICE_ONLY_DELIVERY_PAID_BY_MERCHANT",IF($J394="","",SUM($J394,$U394)),""))))))</f>
        <v/>
      </c>
      <c r="M394" s="12" t="n"/>
      <c r="N394" s="13" t="n"/>
      <c r="O394" s="13" t="n"/>
      <c r="P394" s="9" t="n"/>
      <c r="Q394" s="14" t="n"/>
      <c r="R394" s="15" t="n"/>
      <c r="S394" s="14" t="n"/>
      <c r="T394" s="16" t="n"/>
      <c r="U394" s="16" t="n"/>
      <c r="V394" s="16" t="n"/>
      <c r="W394" s="16" t="n"/>
      <c r="X394" s="16" t="n"/>
      <c r="Y394" s="16" t="n"/>
      <c r="Z394" s="14" t="n"/>
      <c r="AA394" s="14" t="n"/>
      <c r="AB394" s="14" t="n"/>
      <c r="AC394" s="17">
        <f>IFERROR(VLOOKUP($H394&amp;"|"&amp;$Q394,Tariff_Master!$A$2:$L$169,3,FALSE),"")</f>
        <v/>
      </c>
      <c r="AD394" s="17">
        <f>IFERROR(VLOOKUP($H394&amp;"|"&amp;$Q394,Tariff_Master!$A$2:$L$169,4,FALSE),"")</f>
        <v/>
      </c>
      <c r="AE394" s="18">
        <f>IFERROR(VLOOKUP($H394&amp;"|"&amp;$Q394,Tariff_Master!$A$2:$L$169,6,FALSE),"")</f>
        <v/>
      </c>
      <c r="AF394" s="19">
        <f>IFERROR(VLOOKUP($H394&amp;"|"&amp;$Q394,Tariff_Master!$A$2:$L$169,7,FALSE),"")</f>
        <v/>
      </c>
      <c r="AG394" s="18">
        <f>IFERROR(VLOOKUP($H394&amp;"|"&amp;$Q394,Tariff_Master!$A$2:$L$169,8,FALSE),"")</f>
        <v/>
      </c>
      <c r="AH394" s="20">
        <f>IFERROR(VLOOKUP($H394&amp;"|"&amp;$Q394,Tariff_Master!$A$2:$L$169,9,FALSE),"")</f>
        <v/>
      </c>
      <c r="AI394" s="18">
        <f>IFERROR(VLOOKUP($H394&amp;"|"&amp;$Q394,Tariff_Master!$A$2:$L$169,10,FALSE),"")</f>
        <v/>
      </c>
      <c r="AJ394" s="21">
        <f>IF($M394="","",ROUNDUP(MAX(0,$M394),0))</f>
        <v/>
      </c>
      <c r="AK394" s="21">
        <f>IF(OR($AJ394="",$AF394=""),"",MAX(0,$AJ394-$AF394))</f>
        <v/>
      </c>
      <c r="AL394" s="22">
        <f>IF(OR($AK394="",$AG394=""),"",MAX(0,$AK394*$AG394))</f>
        <v/>
      </c>
      <c r="AM394" s="22">
        <f>IF($AE394="","",MAX(0,SUM($AE394,$AL394,$V394,$W394)))</f>
        <v/>
      </c>
      <c r="AN394" s="22">
        <f>IF($AM394="","",IF(AND($Q394="COMMITMENT",$R394&gt;=$AH394),$AI394,0))</f>
        <v/>
      </c>
      <c r="AO394" s="23">
        <f>IF($AM394="","",MAX(0,$AM394-$AN394))</f>
        <v/>
      </c>
      <c r="AP394" s="22">
        <f>IF($S394="","",IF(OR($S394="ITEM_PRICE_PLUS_DECLARED_DELIVERY",$S394="DELIVERY_CHARGE_ONLY"),$K394,IF($S394="TOTAL_AMOUNT_INCLUDING_DELIVERY",IF(OR($T394="",$J394=""),"",MAX(0,$T394-$J394-$U394)),IF($S394="ITEM_PRICE_ONLY_DELIVERY_PAID_BY_MERCHANT",0,""))))</f>
        <v/>
      </c>
      <c r="AQ394" s="23">
        <f>IF(OR($AP394="",$AO394=""),"",$AP394-$AO394)</f>
        <v/>
      </c>
      <c r="AR394" s="24">
        <f>IF($S394="EXACT_COLLECTION_AMOUNT","BREAKDOWN_REQUIRED",IF($AQ394="","",IF($AQ394&gt;0,"CREDIT_TO_MERCHANT",IF($AQ394&lt;0,"DEDUCT_FROM_MERCHANT","NO_ADJUSTMENT"))))</f>
        <v/>
      </c>
      <c r="AS394" s="23">
        <f>IF(OR($AQ394="",$AR394="BREAKDOWN_REQUIRED"),"",$AQ394)</f>
        <v/>
      </c>
      <c r="AT394" s="23">
        <f>IF(OR($AR394="",$AR394="BREAKDOWN_REQUIRED"),"",SUM($J394,$AQ394,$Y394)-$X394)</f>
        <v/>
      </c>
      <c r="AU394" s="25">
        <f>IF(AND($A394="",$B394="",$F394="",$H394="",$J394="",$K394="",$M394="",$S394=""),"",IF(OR($H394="",$Q394="",$M394="",$S394=""),"ERROR",IF(OR($J394&lt;0,$K394&lt;0,$M394&lt;0,$T394&lt;0,$U394&lt;0,$V394&lt;0,$W394&lt;0,$X394&lt;0,$Y394&lt;0),"ERROR",IF($AE394="","ERROR",IF(AND(OR($S394="ITEM_PRICE_PLUS_DECLARED_DELIVERY",$S394="TOTAL_AMOUNT_INCLUDING_DELIVERY",$S394="ITEM_PRICE_ONLY_DELIVERY_PAID_BY_MERCHANT"),$J394=""),"ERROR",IF(AND(OR($S394="ITEM_PRICE_PLUS_DECLARED_DELIVERY",$S394="DELIVERY_CHARGE_ONLY"),$K394=""),"ERROR",IF(AND(OR($S394="TOTAL_AMOUNT_INCLUDING_DELIVERY",$S394="EXACT_COLLECTION_AMOUNT"),$T394=""),"ERROR",IF(AND($S394="TOTAL_AMOUNT_INCLUDING_DELIVERY",$T394&lt;SUM($J394,$U394)),"ERROR",IF($S394="EXACT_COLLECTION_AMOUNT","REVIEW","OK")))))))))</f>
        <v/>
      </c>
      <c r="AV394" s="25">
        <f>IF($AU394="","",IF($H394="","Township required",IF($Q394="","Customer tier required",IF($M394="","Weight required",IF($S394="","Amount entry type required",IF(OR($J394&lt;0,$K394&lt;0,$M394&lt;0,$T394&lt;0,$U394&lt;0,$V394&lt;0,$W394&lt;0,$X394&lt;0,$Y394&lt;0),"Negative amounts are not allowed",IF($AE394="","Tariff not found for township and tier",IF(AND(OR($S394="ITEM_PRICE_PLUS_DECLARED_DELIVERY",$S394="TOTAL_AMOUNT_INCLUDING_DELIVERY",$S394="ITEM_PRICE_ONLY_DELIVERY_PAID_BY_MERCHANT"),$J394=""),"Item price required for this amount type",IF(AND(OR($S394="ITEM_PRICE_PLUS_DECLARED_DELIVERY",$S394="DELIVERY_CHARGE_ONLY"),$K394=""),"Declared delivery charge required",IF(AND(OR($S394="TOTAL_AMOUNT_INCLUDING_DELIVERY",$S394="EXACT_COLLECTION_AMOUNT"),$T394=""),"Stated total amount required",IF(AND($S394="TOTAL_AMOUNT_INCLUDING_DELIVERY",$T394&lt;SUM($J394,$U394)),"Stated total is below item price plus additional charge",IF($S394="EXACT_COLLECTION_AMOUNT","Authorized amount breakdown required before settlement","Ready for collection and settlement"))))))))))))</f>
        <v/>
      </c>
      <c r="AW394" s="23">
        <f>IF($AU394="","","PARCEL_FINANCIAL_V2")</f>
        <v/>
      </c>
      <c r="AX394" s="17" t="n"/>
    </row>
    <row r="395">
      <c r="A395" s="8" t="n"/>
      <c r="B395" s="8" t="n"/>
      <c r="C395" s="8" t="n"/>
      <c r="D395" s="8" t="n"/>
      <c r="E395" s="9" t="n"/>
      <c r="F395" s="9" t="n"/>
      <c r="G395" s="8" t="n"/>
      <c r="H395" s="9" t="n"/>
      <c r="I395" s="9" t="n"/>
      <c r="J395" s="10" t="n"/>
      <c r="K395" s="10" t="n"/>
      <c r="L395" s="11">
        <f>IF($S395="","",IF($S395="ITEM_PRICE_PLUS_DECLARED_DELIVERY",IF(OR($J395="",$K395=""),"",SUM($J395,$K395,$U395)),IF($S395="TOTAL_AMOUNT_INCLUDING_DELIVERY",IF($T395="","",$T395),IF($S395="DELIVERY_CHARGE_ONLY",IF($K395="","",SUM($K395,$U395)),IF($S395="EXACT_COLLECTION_AMOUNT",IF($T395="","",$T395),IF($S395="ITEM_PRICE_ONLY_DELIVERY_PAID_BY_MERCHANT",IF($J395="","",SUM($J395,$U395)),""))))))</f>
        <v/>
      </c>
      <c r="M395" s="12" t="n"/>
      <c r="N395" s="13" t="n"/>
      <c r="O395" s="13" t="n"/>
      <c r="P395" s="9" t="n"/>
      <c r="Q395" s="14" t="n"/>
      <c r="R395" s="15" t="n"/>
      <c r="S395" s="14" t="n"/>
      <c r="T395" s="16" t="n"/>
      <c r="U395" s="16" t="n"/>
      <c r="V395" s="16" t="n"/>
      <c r="W395" s="16" t="n"/>
      <c r="X395" s="16" t="n"/>
      <c r="Y395" s="16" t="n"/>
      <c r="Z395" s="14" t="n"/>
      <c r="AA395" s="14" t="n"/>
      <c r="AB395" s="14" t="n"/>
      <c r="AC395" s="17">
        <f>IFERROR(VLOOKUP($H395&amp;"|"&amp;$Q395,Tariff_Master!$A$2:$L$169,3,FALSE),"")</f>
        <v/>
      </c>
      <c r="AD395" s="17">
        <f>IFERROR(VLOOKUP($H395&amp;"|"&amp;$Q395,Tariff_Master!$A$2:$L$169,4,FALSE),"")</f>
        <v/>
      </c>
      <c r="AE395" s="18">
        <f>IFERROR(VLOOKUP($H395&amp;"|"&amp;$Q395,Tariff_Master!$A$2:$L$169,6,FALSE),"")</f>
        <v/>
      </c>
      <c r="AF395" s="19">
        <f>IFERROR(VLOOKUP($H395&amp;"|"&amp;$Q395,Tariff_Master!$A$2:$L$169,7,FALSE),"")</f>
        <v/>
      </c>
      <c r="AG395" s="18">
        <f>IFERROR(VLOOKUP($H395&amp;"|"&amp;$Q395,Tariff_Master!$A$2:$L$169,8,FALSE),"")</f>
        <v/>
      </c>
      <c r="AH395" s="20">
        <f>IFERROR(VLOOKUP($H395&amp;"|"&amp;$Q395,Tariff_Master!$A$2:$L$169,9,FALSE),"")</f>
        <v/>
      </c>
      <c r="AI395" s="18">
        <f>IFERROR(VLOOKUP($H395&amp;"|"&amp;$Q395,Tariff_Master!$A$2:$L$169,10,FALSE),"")</f>
        <v/>
      </c>
      <c r="AJ395" s="21">
        <f>IF($M395="","",ROUNDUP(MAX(0,$M395),0))</f>
        <v/>
      </c>
      <c r="AK395" s="21">
        <f>IF(OR($AJ395="",$AF395=""),"",MAX(0,$AJ395-$AF395))</f>
        <v/>
      </c>
      <c r="AL395" s="22">
        <f>IF(OR($AK395="",$AG395=""),"",MAX(0,$AK395*$AG395))</f>
        <v/>
      </c>
      <c r="AM395" s="22">
        <f>IF($AE395="","",MAX(0,SUM($AE395,$AL395,$V395,$W395)))</f>
        <v/>
      </c>
      <c r="AN395" s="22">
        <f>IF($AM395="","",IF(AND($Q395="COMMITMENT",$R395&gt;=$AH395),$AI395,0))</f>
        <v/>
      </c>
      <c r="AO395" s="23">
        <f>IF($AM395="","",MAX(0,$AM395-$AN395))</f>
        <v/>
      </c>
      <c r="AP395" s="22">
        <f>IF($S395="","",IF(OR($S395="ITEM_PRICE_PLUS_DECLARED_DELIVERY",$S395="DELIVERY_CHARGE_ONLY"),$K395,IF($S395="TOTAL_AMOUNT_INCLUDING_DELIVERY",IF(OR($T395="",$J395=""),"",MAX(0,$T395-$J395-$U395)),IF($S395="ITEM_PRICE_ONLY_DELIVERY_PAID_BY_MERCHANT",0,""))))</f>
        <v/>
      </c>
      <c r="AQ395" s="23">
        <f>IF(OR($AP395="",$AO395=""),"",$AP395-$AO395)</f>
        <v/>
      </c>
      <c r="AR395" s="24">
        <f>IF($S395="EXACT_COLLECTION_AMOUNT","BREAKDOWN_REQUIRED",IF($AQ395="","",IF($AQ395&gt;0,"CREDIT_TO_MERCHANT",IF($AQ395&lt;0,"DEDUCT_FROM_MERCHANT","NO_ADJUSTMENT"))))</f>
        <v/>
      </c>
      <c r="AS395" s="23">
        <f>IF(OR($AQ395="",$AR395="BREAKDOWN_REQUIRED"),"",$AQ395)</f>
        <v/>
      </c>
      <c r="AT395" s="23">
        <f>IF(OR($AR395="",$AR395="BREAKDOWN_REQUIRED"),"",SUM($J395,$AQ395,$Y395)-$X395)</f>
        <v/>
      </c>
      <c r="AU395" s="25">
        <f>IF(AND($A395="",$B395="",$F395="",$H395="",$J395="",$K395="",$M395="",$S395=""),"",IF(OR($H395="",$Q395="",$M395="",$S395=""),"ERROR",IF(OR($J395&lt;0,$K395&lt;0,$M395&lt;0,$T395&lt;0,$U395&lt;0,$V395&lt;0,$W395&lt;0,$X395&lt;0,$Y395&lt;0),"ERROR",IF($AE395="","ERROR",IF(AND(OR($S395="ITEM_PRICE_PLUS_DECLARED_DELIVERY",$S395="TOTAL_AMOUNT_INCLUDING_DELIVERY",$S395="ITEM_PRICE_ONLY_DELIVERY_PAID_BY_MERCHANT"),$J395=""),"ERROR",IF(AND(OR($S395="ITEM_PRICE_PLUS_DECLARED_DELIVERY",$S395="DELIVERY_CHARGE_ONLY"),$K395=""),"ERROR",IF(AND(OR($S395="TOTAL_AMOUNT_INCLUDING_DELIVERY",$S395="EXACT_COLLECTION_AMOUNT"),$T395=""),"ERROR",IF(AND($S395="TOTAL_AMOUNT_INCLUDING_DELIVERY",$T395&lt;SUM($J395,$U395)),"ERROR",IF($S395="EXACT_COLLECTION_AMOUNT","REVIEW","OK")))))))))</f>
        <v/>
      </c>
      <c r="AV395" s="25">
        <f>IF($AU395="","",IF($H395="","Township required",IF($Q395="","Customer tier required",IF($M395="","Weight required",IF($S395="","Amount entry type required",IF(OR($J395&lt;0,$K395&lt;0,$M395&lt;0,$T395&lt;0,$U395&lt;0,$V395&lt;0,$W395&lt;0,$X395&lt;0,$Y395&lt;0),"Negative amounts are not allowed",IF($AE395="","Tariff not found for township and tier",IF(AND(OR($S395="ITEM_PRICE_PLUS_DECLARED_DELIVERY",$S395="TOTAL_AMOUNT_INCLUDING_DELIVERY",$S395="ITEM_PRICE_ONLY_DELIVERY_PAID_BY_MERCHANT"),$J395=""),"Item price required for this amount type",IF(AND(OR($S395="ITEM_PRICE_PLUS_DECLARED_DELIVERY",$S395="DELIVERY_CHARGE_ONLY"),$K395=""),"Declared delivery charge required",IF(AND(OR($S395="TOTAL_AMOUNT_INCLUDING_DELIVERY",$S395="EXACT_COLLECTION_AMOUNT"),$T395=""),"Stated total amount required",IF(AND($S395="TOTAL_AMOUNT_INCLUDING_DELIVERY",$T395&lt;SUM($J395,$U395)),"Stated total is below item price plus additional charge",IF($S395="EXACT_COLLECTION_AMOUNT","Authorized amount breakdown required before settlement","Ready for collection and settlement"))))))))))))</f>
        <v/>
      </c>
      <c r="AW395" s="23">
        <f>IF($AU395="","","PARCEL_FINANCIAL_V2")</f>
        <v/>
      </c>
      <c r="AX395" s="17" t="n"/>
    </row>
    <row r="396">
      <c r="A396" s="8" t="n"/>
      <c r="B396" s="8" t="n"/>
      <c r="C396" s="8" t="n"/>
      <c r="D396" s="8" t="n"/>
      <c r="E396" s="9" t="n"/>
      <c r="F396" s="9" t="n"/>
      <c r="G396" s="8" t="n"/>
      <c r="H396" s="9" t="n"/>
      <c r="I396" s="9" t="n"/>
      <c r="J396" s="10" t="n"/>
      <c r="K396" s="10" t="n"/>
      <c r="L396" s="11">
        <f>IF($S396="","",IF($S396="ITEM_PRICE_PLUS_DECLARED_DELIVERY",IF(OR($J396="",$K396=""),"",SUM($J396,$K396,$U396)),IF($S396="TOTAL_AMOUNT_INCLUDING_DELIVERY",IF($T396="","",$T396),IF($S396="DELIVERY_CHARGE_ONLY",IF($K396="","",SUM($K396,$U396)),IF($S396="EXACT_COLLECTION_AMOUNT",IF($T396="","",$T396),IF($S396="ITEM_PRICE_ONLY_DELIVERY_PAID_BY_MERCHANT",IF($J396="","",SUM($J396,$U396)),""))))))</f>
        <v/>
      </c>
      <c r="M396" s="12" t="n"/>
      <c r="N396" s="13" t="n"/>
      <c r="O396" s="13" t="n"/>
      <c r="P396" s="9" t="n"/>
      <c r="Q396" s="14" t="n"/>
      <c r="R396" s="15" t="n"/>
      <c r="S396" s="14" t="n"/>
      <c r="T396" s="16" t="n"/>
      <c r="U396" s="16" t="n"/>
      <c r="V396" s="16" t="n"/>
      <c r="W396" s="16" t="n"/>
      <c r="X396" s="16" t="n"/>
      <c r="Y396" s="16" t="n"/>
      <c r="Z396" s="14" t="n"/>
      <c r="AA396" s="14" t="n"/>
      <c r="AB396" s="14" t="n"/>
      <c r="AC396" s="17">
        <f>IFERROR(VLOOKUP($H396&amp;"|"&amp;$Q396,Tariff_Master!$A$2:$L$169,3,FALSE),"")</f>
        <v/>
      </c>
      <c r="AD396" s="17">
        <f>IFERROR(VLOOKUP($H396&amp;"|"&amp;$Q396,Tariff_Master!$A$2:$L$169,4,FALSE),"")</f>
        <v/>
      </c>
      <c r="AE396" s="18">
        <f>IFERROR(VLOOKUP($H396&amp;"|"&amp;$Q396,Tariff_Master!$A$2:$L$169,6,FALSE),"")</f>
        <v/>
      </c>
      <c r="AF396" s="19">
        <f>IFERROR(VLOOKUP($H396&amp;"|"&amp;$Q396,Tariff_Master!$A$2:$L$169,7,FALSE),"")</f>
        <v/>
      </c>
      <c r="AG396" s="18">
        <f>IFERROR(VLOOKUP($H396&amp;"|"&amp;$Q396,Tariff_Master!$A$2:$L$169,8,FALSE),"")</f>
        <v/>
      </c>
      <c r="AH396" s="20">
        <f>IFERROR(VLOOKUP($H396&amp;"|"&amp;$Q396,Tariff_Master!$A$2:$L$169,9,FALSE),"")</f>
        <v/>
      </c>
      <c r="AI396" s="18">
        <f>IFERROR(VLOOKUP($H396&amp;"|"&amp;$Q396,Tariff_Master!$A$2:$L$169,10,FALSE),"")</f>
        <v/>
      </c>
      <c r="AJ396" s="21">
        <f>IF($M396="","",ROUNDUP(MAX(0,$M396),0))</f>
        <v/>
      </c>
      <c r="AK396" s="21">
        <f>IF(OR($AJ396="",$AF396=""),"",MAX(0,$AJ396-$AF396))</f>
        <v/>
      </c>
      <c r="AL396" s="22">
        <f>IF(OR($AK396="",$AG396=""),"",MAX(0,$AK396*$AG396))</f>
        <v/>
      </c>
      <c r="AM396" s="22">
        <f>IF($AE396="","",MAX(0,SUM($AE396,$AL396,$V396,$W396)))</f>
        <v/>
      </c>
      <c r="AN396" s="22">
        <f>IF($AM396="","",IF(AND($Q396="COMMITMENT",$R396&gt;=$AH396),$AI396,0))</f>
        <v/>
      </c>
      <c r="AO396" s="23">
        <f>IF($AM396="","",MAX(0,$AM396-$AN396))</f>
        <v/>
      </c>
      <c r="AP396" s="22">
        <f>IF($S396="","",IF(OR($S396="ITEM_PRICE_PLUS_DECLARED_DELIVERY",$S396="DELIVERY_CHARGE_ONLY"),$K396,IF($S396="TOTAL_AMOUNT_INCLUDING_DELIVERY",IF(OR($T396="",$J396=""),"",MAX(0,$T396-$J396-$U396)),IF($S396="ITEM_PRICE_ONLY_DELIVERY_PAID_BY_MERCHANT",0,""))))</f>
        <v/>
      </c>
      <c r="AQ396" s="23">
        <f>IF(OR($AP396="",$AO396=""),"",$AP396-$AO396)</f>
        <v/>
      </c>
      <c r="AR396" s="24">
        <f>IF($S396="EXACT_COLLECTION_AMOUNT","BREAKDOWN_REQUIRED",IF($AQ396="","",IF($AQ396&gt;0,"CREDIT_TO_MERCHANT",IF($AQ396&lt;0,"DEDUCT_FROM_MERCHANT","NO_ADJUSTMENT"))))</f>
        <v/>
      </c>
      <c r="AS396" s="23">
        <f>IF(OR($AQ396="",$AR396="BREAKDOWN_REQUIRED"),"",$AQ396)</f>
        <v/>
      </c>
      <c r="AT396" s="23">
        <f>IF(OR($AR396="",$AR396="BREAKDOWN_REQUIRED"),"",SUM($J396,$AQ396,$Y396)-$X396)</f>
        <v/>
      </c>
      <c r="AU396" s="25">
        <f>IF(AND($A396="",$B396="",$F396="",$H396="",$J396="",$K396="",$M396="",$S396=""),"",IF(OR($H396="",$Q396="",$M396="",$S396=""),"ERROR",IF(OR($J396&lt;0,$K396&lt;0,$M396&lt;0,$T396&lt;0,$U396&lt;0,$V396&lt;0,$W396&lt;0,$X396&lt;0,$Y396&lt;0),"ERROR",IF($AE396="","ERROR",IF(AND(OR($S396="ITEM_PRICE_PLUS_DECLARED_DELIVERY",$S396="TOTAL_AMOUNT_INCLUDING_DELIVERY",$S396="ITEM_PRICE_ONLY_DELIVERY_PAID_BY_MERCHANT"),$J396=""),"ERROR",IF(AND(OR($S396="ITEM_PRICE_PLUS_DECLARED_DELIVERY",$S396="DELIVERY_CHARGE_ONLY"),$K396=""),"ERROR",IF(AND(OR($S396="TOTAL_AMOUNT_INCLUDING_DELIVERY",$S396="EXACT_COLLECTION_AMOUNT"),$T396=""),"ERROR",IF(AND($S396="TOTAL_AMOUNT_INCLUDING_DELIVERY",$T396&lt;SUM($J396,$U396)),"ERROR",IF($S396="EXACT_COLLECTION_AMOUNT","REVIEW","OK")))))))))</f>
        <v/>
      </c>
      <c r="AV396" s="25">
        <f>IF($AU396="","",IF($H396="","Township required",IF($Q396="","Customer tier required",IF($M396="","Weight required",IF($S396="","Amount entry type required",IF(OR($J396&lt;0,$K396&lt;0,$M396&lt;0,$T396&lt;0,$U396&lt;0,$V396&lt;0,$W396&lt;0,$X396&lt;0,$Y396&lt;0),"Negative amounts are not allowed",IF($AE396="","Tariff not found for township and tier",IF(AND(OR($S396="ITEM_PRICE_PLUS_DECLARED_DELIVERY",$S396="TOTAL_AMOUNT_INCLUDING_DELIVERY",$S396="ITEM_PRICE_ONLY_DELIVERY_PAID_BY_MERCHANT"),$J396=""),"Item price required for this amount type",IF(AND(OR($S396="ITEM_PRICE_PLUS_DECLARED_DELIVERY",$S396="DELIVERY_CHARGE_ONLY"),$K396=""),"Declared delivery charge required",IF(AND(OR($S396="TOTAL_AMOUNT_INCLUDING_DELIVERY",$S396="EXACT_COLLECTION_AMOUNT"),$T396=""),"Stated total amount required",IF(AND($S396="TOTAL_AMOUNT_INCLUDING_DELIVERY",$T396&lt;SUM($J396,$U396)),"Stated total is below item price plus additional charge",IF($S396="EXACT_COLLECTION_AMOUNT","Authorized amount breakdown required before settlement","Ready for collection and settlement"))))))))))))</f>
        <v/>
      </c>
      <c r="AW396" s="23">
        <f>IF($AU396="","","PARCEL_FINANCIAL_V2")</f>
        <v/>
      </c>
      <c r="AX396" s="17" t="n"/>
    </row>
    <row r="397">
      <c r="A397" s="8" t="n"/>
      <c r="B397" s="8" t="n"/>
      <c r="C397" s="8" t="n"/>
      <c r="D397" s="8" t="n"/>
      <c r="E397" s="9" t="n"/>
      <c r="F397" s="9" t="n"/>
      <c r="G397" s="8" t="n"/>
      <c r="H397" s="9" t="n"/>
      <c r="I397" s="9" t="n"/>
      <c r="J397" s="10" t="n"/>
      <c r="K397" s="10" t="n"/>
      <c r="L397" s="11">
        <f>IF($S397="","",IF($S397="ITEM_PRICE_PLUS_DECLARED_DELIVERY",IF(OR($J397="",$K397=""),"",SUM($J397,$K397,$U397)),IF($S397="TOTAL_AMOUNT_INCLUDING_DELIVERY",IF($T397="","",$T397),IF($S397="DELIVERY_CHARGE_ONLY",IF($K397="","",SUM($K397,$U397)),IF($S397="EXACT_COLLECTION_AMOUNT",IF($T397="","",$T397),IF($S397="ITEM_PRICE_ONLY_DELIVERY_PAID_BY_MERCHANT",IF($J397="","",SUM($J397,$U397)),""))))))</f>
        <v/>
      </c>
      <c r="M397" s="12" t="n"/>
      <c r="N397" s="13" t="n"/>
      <c r="O397" s="13" t="n"/>
      <c r="P397" s="9" t="n"/>
      <c r="Q397" s="14" t="n"/>
      <c r="R397" s="15" t="n"/>
      <c r="S397" s="14" t="n"/>
      <c r="T397" s="16" t="n"/>
      <c r="U397" s="16" t="n"/>
      <c r="V397" s="16" t="n"/>
      <c r="W397" s="16" t="n"/>
      <c r="X397" s="16" t="n"/>
      <c r="Y397" s="16" t="n"/>
      <c r="Z397" s="14" t="n"/>
      <c r="AA397" s="14" t="n"/>
      <c r="AB397" s="14" t="n"/>
      <c r="AC397" s="17">
        <f>IFERROR(VLOOKUP($H397&amp;"|"&amp;$Q397,Tariff_Master!$A$2:$L$169,3,FALSE),"")</f>
        <v/>
      </c>
      <c r="AD397" s="17">
        <f>IFERROR(VLOOKUP($H397&amp;"|"&amp;$Q397,Tariff_Master!$A$2:$L$169,4,FALSE),"")</f>
        <v/>
      </c>
      <c r="AE397" s="18">
        <f>IFERROR(VLOOKUP($H397&amp;"|"&amp;$Q397,Tariff_Master!$A$2:$L$169,6,FALSE),"")</f>
        <v/>
      </c>
      <c r="AF397" s="19">
        <f>IFERROR(VLOOKUP($H397&amp;"|"&amp;$Q397,Tariff_Master!$A$2:$L$169,7,FALSE),"")</f>
        <v/>
      </c>
      <c r="AG397" s="18">
        <f>IFERROR(VLOOKUP($H397&amp;"|"&amp;$Q397,Tariff_Master!$A$2:$L$169,8,FALSE),"")</f>
        <v/>
      </c>
      <c r="AH397" s="20">
        <f>IFERROR(VLOOKUP($H397&amp;"|"&amp;$Q397,Tariff_Master!$A$2:$L$169,9,FALSE),"")</f>
        <v/>
      </c>
      <c r="AI397" s="18">
        <f>IFERROR(VLOOKUP($H397&amp;"|"&amp;$Q397,Tariff_Master!$A$2:$L$169,10,FALSE),"")</f>
        <v/>
      </c>
      <c r="AJ397" s="21">
        <f>IF($M397="","",ROUNDUP(MAX(0,$M397),0))</f>
        <v/>
      </c>
      <c r="AK397" s="21">
        <f>IF(OR($AJ397="",$AF397=""),"",MAX(0,$AJ397-$AF397))</f>
        <v/>
      </c>
      <c r="AL397" s="22">
        <f>IF(OR($AK397="",$AG397=""),"",MAX(0,$AK397*$AG397))</f>
        <v/>
      </c>
      <c r="AM397" s="22">
        <f>IF($AE397="","",MAX(0,SUM($AE397,$AL397,$V397,$W397)))</f>
        <v/>
      </c>
      <c r="AN397" s="22">
        <f>IF($AM397="","",IF(AND($Q397="COMMITMENT",$R397&gt;=$AH397),$AI397,0))</f>
        <v/>
      </c>
      <c r="AO397" s="23">
        <f>IF($AM397="","",MAX(0,$AM397-$AN397))</f>
        <v/>
      </c>
      <c r="AP397" s="22">
        <f>IF($S397="","",IF(OR($S397="ITEM_PRICE_PLUS_DECLARED_DELIVERY",$S397="DELIVERY_CHARGE_ONLY"),$K397,IF($S397="TOTAL_AMOUNT_INCLUDING_DELIVERY",IF(OR($T397="",$J397=""),"",MAX(0,$T397-$J397-$U397)),IF($S397="ITEM_PRICE_ONLY_DELIVERY_PAID_BY_MERCHANT",0,""))))</f>
        <v/>
      </c>
      <c r="AQ397" s="23">
        <f>IF(OR($AP397="",$AO397=""),"",$AP397-$AO397)</f>
        <v/>
      </c>
      <c r="AR397" s="24">
        <f>IF($S397="EXACT_COLLECTION_AMOUNT","BREAKDOWN_REQUIRED",IF($AQ397="","",IF($AQ397&gt;0,"CREDIT_TO_MERCHANT",IF($AQ397&lt;0,"DEDUCT_FROM_MERCHANT","NO_ADJUSTMENT"))))</f>
        <v/>
      </c>
      <c r="AS397" s="23">
        <f>IF(OR($AQ397="",$AR397="BREAKDOWN_REQUIRED"),"",$AQ397)</f>
        <v/>
      </c>
      <c r="AT397" s="23">
        <f>IF(OR($AR397="",$AR397="BREAKDOWN_REQUIRED"),"",SUM($J397,$AQ397,$Y397)-$X397)</f>
        <v/>
      </c>
      <c r="AU397" s="25">
        <f>IF(AND($A397="",$B397="",$F397="",$H397="",$J397="",$K397="",$M397="",$S397=""),"",IF(OR($H397="",$Q397="",$M397="",$S397=""),"ERROR",IF(OR($J397&lt;0,$K397&lt;0,$M397&lt;0,$T397&lt;0,$U397&lt;0,$V397&lt;0,$W397&lt;0,$X397&lt;0,$Y397&lt;0),"ERROR",IF($AE397="","ERROR",IF(AND(OR($S397="ITEM_PRICE_PLUS_DECLARED_DELIVERY",$S397="TOTAL_AMOUNT_INCLUDING_DELIVERY",$S397="ITEM_PRICE_ONLY_DELIVERY_PAID_BY_MERCHANT"),$J397=""),"ERROR",IF(AND(OR($S397="ITEM_PRICE_PLUS_DECLARED_DELIVERY",$S397="DELIVERY_CHARGE_ONLY"),$K397=""),"ERROR",IF(AND(OR($S397="TOTAL_AMOUNT_INCLUDING_DELIVERY",$S397="EXACT_COLLECTION_AMOUNT"),$T397=""),"ERROR",IF(AND($S397="TOTAL_AMOUNT_INCLUDING_DELIVERY",$T397&lt;SUM($J397,$U397)),"ERROR",IF($S397="EXACT_COLLECTION_AMOUNT","REVIEW","OK")))))))))</f>
        <v/>
      </c>
      <c r="AV397" s="25">
        <f>IF($AU397="","",IF($H397="","Township required",IF($Q397="","Customer tier required",IF($M397="","Weight required",IF($S397="","Amount entry type required",IF(OR($J397&lt;0,$K397&lt;0,$M397&lt;0,$T397&lt;0,$U397&lt;0,$V397&lt;0,$W397&lt;0,$X397&lt;0,$Y397&lt;0),"Negative amounts are not allowed",IF($AE397="","Tariff not found for township and tier",IF(AND(OR($S397="ITEM_PRICE_PLUS_DECLARED_DELIVERY",$S397="TOTAL_AMOUNT_INCLUDING_DELIVERY",$S397="ITEM_PRICE_ONLY_DELIVERY_PAID_BY_MERCHANT"),$J397=""),"Item price required for this amount type",IF(AND(OR($S397="ITEM_PRICE_PLUS_DECLARED_DELIVERY",$S397="DELIVERY_CHARGE_ONLY"),$K397=""),"Declared delivery charge required",IF(AND(OR($S397="TOTAL_AMOUNT_INCLUDING_DELIVERY",$S397="EXACT_COLLECTION_AMOUNT"),$T397=""),"Stated total amount required",IF(AND($S397="TOTAL_AMOUNT_INCLUDING_DELIVERY",$T397&lt;SUM($J397,$U397)),"Stated total is below item price plus additional charge",IF($S397="EXACT_COLLECTION_AMOUNT","Authorized amount breakdown required before settlement","Ready for collection and settlement"))))))))))))</f>
        <v/>
      </c>
      <c r="AW397" s="23">
        <f>IF($AU397="","","PARCEL_FINANCIAL_V2")</f>
        <v/>
      </c>
      <c r="AX397" s="17" t="n"/>
    </row>
    <row r="398">
      <c r="A398" s="8" t="n"/>
      <c r="B398" s="8" t="n"/>
      <c r="C398" s="8" t="n"/>
      <c r="D398" s="8" t="n"/>
      <c r="E398" s="9" t="n"/>
      <c r="F398" s="9" t="n"/>
      <c r="G398" s="8" t="n"/>
      <c r="H398" s="9" t="n"/>
      <c r="I398" s="9" t="n"/>
      <c r="J398" s="10" t="n"/>
      <c r="K398" s="10" t="n"/>
      <c r="L398" s="11">
        <f>IF($S398="","",IF($S398="ITEM_PRICE_PLUS_DECLARED_DELIVERY",IF(OR($J398="",$K398=""),"",SUM($J398,$K398,$U398)),IF($S398="TOTAL_AMOUNT_INCLUDING_DELIVERY",IF($T398="","",$T398),IF($S398="DELIVERY_CHARGE_ONLY",IF($K398="","",SUM($K398,$U398)),IF($S398="EXACT_COLLECTION_AMOUNT",IF($T398="","",$T398),IF($S398="ITEM_PRICE_ONLY_DELIVERY_PAID_BY_MERCHANT",IF($J398="","",SUM($J398,$U398)),""))))))</f>
        <v/>
      </c>
      <c r="M398" s="12" t="n"/>
      <c r="N398" s="13" t="n"/>
      <c r="O398" s="13" t="n"/>
      <c r="P398" s="9" t="n"/>
      <c r="Q398" s="14" t="n"/>
      <c r="R398" s="15" t="n"/>
      <c r="S398" s="14" t="n"/>
      <c r="T398" s="16" t="n"/>
      <c r="U398" s="16" t="n"/>
      <c r="V398" s="16" t="n"/>
      <c r="W398" s="16" t="n"/>
      <c r="X398" s="16" t="n"/>
      <c r="Y398" s="16" t="n"/>
      <c r="Z398" s="14" t="n"/>
      <c r="AA398" s="14" t="n"/>
      <c r="AB398" s="14" t="n"/>
      <c r="AC398" s="17">
        <f>IFERROR(VLOOKUP($H398&amp;"|"&amp;$Q398,Tariff_Master!$A$2:$L$169,3,FALSE),"")</f>
        <v/>
      </c>
      <c r="AD398" s="17">
        <f>IFERROR(VLOOKUP($H398&amp;"|"&amp;$Q398,Tariff_Master!$A$2:$L$169,4,FALSE),"")</f>
        <v/>
      </c>
      <c r="AE398" s="18">
        <f>IFERROR(VLOOKUP($H398&amp;"|"&amp;$Q398,Tariff_Master!$A$2:$L$169,6,FALSE),"")</f>
        <v/>
      </c>
      <c r="AF398" s="19">
        <f>IFERROR(VLOOKUP($H398&amp;"|"&amp;$Q398,Tariff_Master!$A$2:$L$169,7,FALSE),"")</f>
        <v/>
      </c>
      <c r="AG398" s="18">
        <f>IFERROR(VLOOKUP($H398&amp;"|"&amp;$Q398,Tariff_Master!$A$2:$L$169,8,FALSE),"")</f>
        <v/>
      </c>
      <c r="AH398" s="20">
        <f>IFERROR(VLOOKUP($H398&amp;"|"&amp;$Q398,Tariff_Master!$A$2:$L$169,9,FALSE),"")</f>
        <v/>
      </c>
      <c r="AI398" s="18">
        <f>IFERROR(VLOOKUP($H398&amp;"|"&amp;$Q398,Tariff_Master!$A$2:$L$169,10,FALSE),"")</f>
        <v/>
      </c>
      <c r="AJ398" s="21">
        <f>IF($M398="","",ROUNDUP(MAX(0,$M398),0))</f>
        <v/>
      </c>
      <c r="AK398" s="21">
        <f>IF(OR($AJ398="",$AF398=""),"",MAX(0,$AJ398-$AF398))</f>
        <v/>
      </c>
      <c r="AL398" s="22">
        <f>IF(OR($AK398="",$AG398=""),"",MAX(0,$AK398*$AG398))</f>
        <v/>
      </c>
      <c r="AM398" s="22">
        <f>IF($AE398="","",MAX(0,SUM($AE398,$AL398,$V398,$W398)))</f>
        <v/>
      </c>
      <c r="AN398" s="22">
        <f>IF($AM398="","",IF(AND($Q398="COMMITMENT",$R398&gt;=$AH398),$AI398,0))</f>
        <v/>
      </c>
      <c r="AO398" s="23">
        <f>IF($AM398="","",MAX(0,$AM398-$AN398))</f>
        <v/>
      </c>
      <c r="AP398" s="22">
        <f>IF($S398="","",IF(OR($S398="ITEM_PRICE_PLUS_DECLARED_DELIVERY",$S398="DELIVERY_CHARGE_ONLY"),$K398,IF($S398="TOTAL_AMOUNT_INCLUDING_DELIVERY",IF(OR($T398="",$J398=""),"",MAX(0,$T398-$J398-$U398)),IF($S398="ITEM_PRICE_ONLY_DELIVERY_PAID_BY_MERCHANT",0,""))))</f>
        <v/>
      </c>
      <c r="AQ398" s="23">
        <f>IF(OR($AP398="",$AO398=""),"",$AP398-$AO398)</f>
        <v/>
      </c>
      <c r="AR398" s="24">
        <f>IF($S398="EXACT_COLLECTION_AMOUNT","BREAKDOWN_REQUIRED",IF($AQ398="","",IF($AQ398&gt;0,"CREDIT_TO_MERCHANT",IF($AQ398&lt;0,"DEDUCT_FROM_MERCHANT","NO_ADJUSTMENT"))))</f>
        <v/>
      </c>
      <c r="AS398" s="23">
        <f>IF(OR($AQ398="",$AR398="BREAKDOWN_REQUIRED"),"",$AQ398)</f>
        <v/>
      </c>
      <c r="AT398" s="23">
        <f>IF(OR($AR398="",$AR398="BREAKDOWN_REQUIRED"),"",SUM($J398,$AQ398,$Y398)-$X398)</f>
        <v/>
      </c>
      <c r="AU398" s="25">
        <f>IF(AND($A398="",$B398="",$F398="",$H398="",$J398="",$K398="",$M398="",$S398=""),"",IF(OR($H398="",$Q398="",$M398="",$S398=""),"ERROR",IF(OR($J398&lt;0,$K398&lt;0,$M398&lt;0,$T398&lt;0,$U398&lt;0,$V398&lt;0,$W398&lt;0,$X398&lt;0,$Y398&lt;0),"ERROR",IF($AE398="","ERROR",IF(AND(OR($S398="ITEM_PRICE_PLUS_DECLARED_DELIVERY",$S398="TOTAL_AMOUNT_INCLUDING_DELIVERY",$S398="ITEM_PRICE_ONLY_DELIVERY_PAID_BY_MERCHANT"),$J398=""),"ERROR",IF(AND(OR($S398="ITEM_PRICE_PLUS_DECLARED_DELIVERY",$S398="DELIVERY_CHARGE_ONLY"),$K398=""),"ERROR",IF(AND(OR($S398="TOTAL_AMOUNT_INCLUDING_DELIVERY",$S398="EXACT_COLLECTION_AMOUNT"),$T398=""),"ERROR",IF(AND($S398="TOTAL_AMOUNT_INCLUDING_DELIVERY",$T398&lt;SUM($J398,$U398)),"ERROR",IF($S398="EXACT_COLLECTION_AMOUNT","REVIEW","OK")))))))))</f>
        <v/>
      </c>
      <c r="AV398" s="25">
        <f>IF($AU398="","",IF($H398="","Township required",IF($Q398="","Customer tier required",IF($M398="","Weight required",IF($S398="","Amount entry type required",IF(OR($J398&lt;0,$K398&lt;0,$M398&lt;0,$T398&lt;0,$U398&lt;0,$V398&lt;0,$W398&lt;0,$X398&lt;0,$Y398&lt;0),"Negative amounts are not allowed",IF($AE398="","Tariff not found for township and tier",IF(AND(OR($S398="ITEM_PRICE_PLUS_DECLARED_DELIVERY",$S398="TOTAL_AMOUNT_INCLUDING_DELIVERY",$S398="ITEM_PRICE_ONLY_DELIVERY_PAID_BY_MERCHANT"),$J398=""),"Item price required for this amount type",IF(AND(OR($S398="ITEM_PRICE_PLUS_DECLARED_DELIVERY",$S398="DELIVERY_CHARGE_ONLY"),$K398=""),"Declared delivery charge required",IF(AND(OR($S398="TOTAL_AMOUNT_INCLUDING_DELIVERY",$S398="EXACT_COLLECTION_AMOUNT"),$T398=""),"Stated total amount required",IF(AND($S398="TOTAL_AMOUNT_INCLUDING_DELIVERY",$T398&lt;SUM($J398,$U398)),"Stated total is below item price plus additional charge",IF($S398="EXACT_COLLECTION_AMOUNT","Authorized amount breakdown required before settlement","Ready for collection and settlement"))))))))))))</f>
        <v/>
      </c>
      <c r="AW398" s="23">
        <f>IF($AU398="","","PARCEL_FINANCIAL_V2")</f>
        <v/>
      </c>
      <c r="AX398" s="17" t="n"/>
    </row>
    <row r="399">
      <c r="A399" s="8" t="n"/>
      <c r="B399" s="8" t="n"/>
      <c r="C399" s="8" t="n"/>
      <c r="D399" s="8" t="n"/>
      <c r="E399" s="9" t="n"/>
      <c r="F399" s="9" t="n"/>
      <c r="G399" s="8" t="n"/>
      <c r="H399" s="9" t="n"/>
      <c r="I399" s="9" t="n"/>
      <c r="J399" s="10" t="n"/>
      <c r="K399" s="10" t="n"/>
      <c r="L399" s="11">
        <f>IF($S399="","",IF($S399="ITEM_PRICE_PLUS_DECLARED_DELIVERY",IF(OR($J399="",$K399=""),"",SUM($J399,$K399,$U399)),IF($S399="TOTAL_AMOUNT_INCLUDING_DELIVERY",IF($T399="","",$T399),IF($S399="DELIVERY_CHARGE_ONLY",IF($K399="","",SUM($K399,$U399)),IF($S399="EXACT_COLLECTION_AMOUNT",IF($T399="","",$T399),IF($S399="ITEM_PRICE_ONLY_DELIVERY_PAID_BY_MERCHANT",IF($J399="","",SUM($J399,$U399)),""))))))</f>
        <v/>
      </c>
      <c r="M399" s="12" t="n"/>
      <c r="N399" s="13" t="n"/>
      <c r="O399" s="13" t="n"/>
      <c r="P399" s="9" t="n"/>
      <c r="Q399" s="14" t="n"/>
      <c r="R399" s="15" t="n"/>
      <c r="S399" s="14" t="n"/>
      <c r="T399" s="16" t="n"/>
      <c r="U399" s="16" t="n"/>
      <c r="V399" s="16" t="n"/>
      <c r="W399" s="16" t="n"/>
      <c r="X399" s="16" t="n"/>
      <c r="Y399" s="16" t="n"/>
      <c r="Z399" s="14" t="n"/>
      <c r="AA399" s="14" t="n"/>
      <c r="AB399" s="14" t="n"/>
      <c r="AC399" s="17">
        <f>IFERROR(VLOOKUP($H399&amp;"|"&amp;$Q399,Tariff_Master!$A$2:$L$169,3,FALSE),"")</f>
        <v/>
      </c>
      <c r="AD399" s="17">
        <f>IFERROR(VLOOKUP($H399&amp;"|"&amp;$Q399,Tariff_Master!$A$2:$L$169,4,FALSE),"")</f>
        <v/>
      </c>
      <c r="AE399" s="18">
        <f>IFERROR(VLOOKUP($H399&amp;"|"&amp;$Q399,Tariff_Master!$A$2:$L$169,6,FALSE),"")</f>
        <v/>
      </c>
      <c r="AF399" s="19">
        <f>IFERROR(VLOOKUP($H399&amp;"|"&amp;$Q399,Tariff_Master!$A$2:$L$169,7,FALSE),"")</f>
        <v/>
      </c>
      <c r="AG399" s="18">
        <f>IFERROR(VLOOKUP($H399&amp;"|"&amp;$Q399,Tariff_Master!$A$2:$L$169,8,FALSE),"")</f>
        <v/>
      </c>
      <c r="AH399" s="20">
        <f>IFERROR(VLOOKUP($H399&amp;"|"&amp;$Q399,Tariff_Master!$A$2:$L$169,9,FALSE),"")</f>
        <v/>
      </c>
      <c r="AI399" s="18">
        <f>IFERROR(VLOOKUP($H399&amp;"|"&amp;$Q399,Tariff_Master!$A$2:$L$169,10,FALSE),"")</f>
        <v/>
      </c>
      <c r="AJ399" s="21">
        <f>IF($M399="","",ROUNDUP(MAX(0,$M399),0))</f>
        <v/>
      </c>
      <c r="AK399" s="21">
        <f>IF(OR($AJ399="",$AF399=""),"",MAX(0,$AJ399-$AF399))</f>
        <v/>
      </c>
      <c r="AL399" s="22">
        <f>IF(OR($AK399="",$AG399=""),"",MAX(0,$AK399*$AG399))</f>
        <v/>
      </c>
      <c r="AM399" s="22">
        <f>IF($AE399="","",MAX(0,SUM($AE399,$AL399,$V399,$W399)))</f>
        <v/>
      </c>
      <c r="AN399" s="22">
        <f>IF($AM399="","",IF(AND($Q399="COMMITMENT",$R399&gt;=$AH399),$AI399,0))</f>
        <v/>
      </c>
      <c r="AO399" s="23">
        <f>IF($AM399="","",MAX(0,$AM399-$AN399))</f>
        <v/>
      </c>
      <c r="AP399" s="22">
        <f>IF($S399="","",IF(OR($S399="ITEM_PRICE_PLUS_DECLARED_DELIVERY",$S399="DELIVERY_CHARGE_ONLY"),$K399,IF($S399="TOTAL_AMOUNT_INCLUDING_DELIVERY",IF(OR($T399="",$J399=""),"",MAX(0,$T399-$J399-$U399)),IF($S399="ITEM_PRICE_ONLY_DELIVERY_PAID_BY_MERCHANT",0,""))))</f>
        <v/>
      </c>
      <c r="AQ399" s="23">
        <f>IF(OR($AP399="",$AO399=""),"",$AP399-$AO399)</f>
        <v/>
      </c>
      <c r="AR399" s="24">
        <f>IF($S399="EXACT_COLLECTION_AMOUNT","BREAKDOWN_REQUIRED",IF($AQ399="","",IF($AQ399&gt;0,"CREDIT_TO_MERCHANT",IF($AQ399&lt;0,"DEDUCT_FROM_MERCHANT","NO_ADJUSTMENT"))))</f>
        <v/>
      </c>
      <c r="AS399" s="23">
        <f>IF(OR($AQ399="",$AR399="BREAKDOWN_REQUIRED"),"",$AQ399)</f>
        <v/>
      </c>
      <c r="AT399" s="23">
        <f>IF(OR($AR399="",$AR399="BREAKDOWN_REQUIRED"),"",SUM($J399,$AQ399,$Y399)-$X399)</f>
        <v/>
      </c>
      <c r="AU399" s="25">
        <f>IF(AND($A399="",$B399="",$F399="",$H399="",$J399="",$K399="",$M399="",$S399=""),"",IF(OR($H399="",$Q399="",$M399="",$S399=""),"ERROR",IF(OR($J399&lt;0,$K399&lt;0,$M399&lt;0,$T399&lt;0,$U399&lt;0,$V399&lt;0,$W399&lt;0,$X399&lt;0,$Y399&lt;0),"ERROR",IF($AE399="","ERROR",IF(AND(OR($S399="ITEM_PRICE_PLUS_DECLARED_DELIVERY",$S399="TOTAL_AMOUNT_INCLUDING_DELIVERY",$S399="ITEM_PRICE_ONLY_DELIVERY_PAID_BY_MERCHANT"),$J399=""),"ERROR",IF(AND(OR($S399="ITEM_PRICE_PLUS_DECLARED_DELIVERY",$S399="DELIVERY_CHARGE_ONLY"),$K399=""),"ERROR",IF(AND(OR($S399="TOTAL_AMOUNT_INCLUDING_DELIVERY",$S399="EXACT_COLLECTION_AMOUNT"),$T399=""),"ERROR",IF(AND($S399="TOTAL_AMOUNT_INCLUDING_DELIVERY",$T399&lt;SUM($J399,$U399)),"ERROR",IF($S399="EXACT_COLLECTION_AMOUNT","REVIEW","OK")))))))))</f>
        <v/>
      </c>
      <c r="AV399" s="25">
        <f>IF($AU399="","",IF($H399="","Township required",IF($Q399="","Customer tier required",IF($M399="","Weight required",IF($S399="","Amount entry type required",IF(OR($J399&lt;0,$K399&lt;0,$M399&lt;0,$T399&lt;0,$U399&lt;0,$V399&lt;0,$W399&lt;0,$X399&lt;0,$Y399&lt;0),"Negative amounts are not allowed",IF($AE399="","Tariff not found for township and tier",IF(AND(OR($S399="ITEM_PRICE_PLUS_DECLARED_DELIVERY",$S399="TOTAL_AMOUNT_INCLUDING_DELIVERY",$S399="ITEM_PRICE_ONLY_DELIVERY_PAID_BY_MERCHANT"),$J399=""),"Item price required for this amount type",IF(AND(OR($S399="ITEM_PRICE_PLUS_DECLARED_DELIVERY",$S399="DELIVERY_CHARGE_ONLY"),$K399=""),"Declared delivery charge required",IF(AND(OR($S399="TOTAL_AMOUNT_INCLUDING_DELIVERY",$S399="EXACT_COLLECTION_AMOUNT"),$T399=""),"Stated total amount required",IF(AND($S399="TOTAL_AMOUNT_INCLUDING_DELIVERY",$T399&lt;SUM($J399,$U399)),"Stated total is below item price plus additional charge",IF($S399="EXACT_COLLECTION_AMOUNT","Authorized amount breakdown required before settlement","Ready for collection and settlement"))))))))))))</f>
        <v/>
      </c>
      <c r="AW399" s="23">
        <f>IF($AU399="","","PARCEL_FINANCIAL_V2")</f>
        <v/>
      </c>
      <c r="AX399" s="17" t="n"/>
    </row>
    <row r="400">
      <c r="A400" s="8" t="n"/>
      <c r="B400" s="8" t="n"/>
      <c r="C400" s="8" t="n"/>
      <c r="D400" s="8" t="n"/>
      <c r="E400" s="9" t="n"/>
      <c r="F400" s="9" t="n"/>
      <c r="G400" s="8" t="n"/>
      <c r="H400" s="9" t="n"/>
      <c r="I400" s="9" t="n"/>
      <c r="J400" s="10" t="n"/>
      <c r="K400" s="10" t="n"/>
      <c r="L400" s="11">
        <f>IF($S400="","",IF($S400="ITEM_PRICE_PLUS_DECLARED_DELIVERY",IF(OR($J400="",$K400=""),"",SUM($J400,$K400,$U400)),IF($S400="TOTAL_AMOUNT_INCLUDING_DELIVERY",IF($T400="","",$T400),IF($S400="DELIVERY_CHARGE_ONLY",IF($K400="","",SUM($K400,$U400)),IF($S400="EXACT_COLLECTION_AMOUNT",IF($T400="","",$T400),IF($S400="ITEM_PRICE_ONLY_DELIVERY_PAID_BY_MERCHANT",IF($J400="","",SUM($J400,$U400)),""))))))</f>
        <v/>
      </c>
      <c r="M400" s="12" t="n"/>
      <c r="N400" s="13" t="n"/>
      <c r="O400" s="13" t="n"/>
      <c r="P400" s="9" t="n"/>
      <c r="Q400" s="14" t="n"/>
      <c r="R400" s="15" t="n"/>
      <c r="S400" s="14" t="n"/>
      <c r="T400" s="16" t="n"/>
      <c r="U400" s="16" t="n"/>
      <c r="V400" s="16" t="n"/>
      <c r="W400" s="16" t="n"/>
      <c r="X400" s="16" t="n"/>
      <c r="Y400" s="16" t="n"/>
      <c r="Z400" s="14" t="n"/>
      <c r="AA400" s="14" t="n"/>
      <c r="AB400" s="14" t="n"/>
      <c r="AC400" s="17">
        <f>IFERROR(VLOOKUP($H400&amp;"|"&amp;$Q400,Tariff_Master!$A$2:$L$169,3,FALSE),"")</f>
        <v/>
      </c>
      <c r="AD400" s="17">
        <f>IFERROR(VLOOKUP($H400&amp;"|"&amp;$Q400,Tariff_Master!$A$2:$L$169,4,FALSE),"")</f>
        <v/>
      </c>
      <c r="AE400" s="18">
        <f>IFERROR(VLOOKUP($H400&amp;"|"&amp;$Q400,Tariff_Master!$A$2:$L$169,6,FALSE),"")</f>
        <v/>
      </c>
      <c r="AF400" s="19">
        <f>IFERROR(VLOOKUP($H400&amp;"|"&amp;$Q400,Tariff_Master!$A$2:$L$169,7,FALSE),"")</f>
        <v/>
      </c>
      <c r="AG400" s="18">
        <f>IFERROR(VLOOKUP($H400&amp;"|"&amp;$Q400,Tariff_Master!$A$2:$L$169,8,FALSE),"")</f>
        <v/>
      </c>
      <c r="AH400" s="20">
        <f>IFERROR(VLOOKUP($H400&amp;"|"&amp;$Q400,Tariff_Master!$A$2:$L$169,9,FALSE),"")</f>
        <v/>
      </c>
      <c r="AI400" s="18">
        <f>IFERROR(VLOOKUP($H400&amp;"|"&amp;$Q400,Tariff_Master!$A$2:$L$169,10,FALSE),"")</f>
        <v/>
      </c>
      <c r="AJ400" s="21">
        <f>IF($M400="","",ROUNDUP(MAX(0,$M400),0))</f>
        <v/>
      </c>
      <c r="AK400" s="21">
        <f>IF(OR($AJ400="",$AF400=""),"",MAX(0,$AJ400-$AF400))</f>
        <v/>
      </c>
      <c r="AL400" s="22">
        <f>IF(OR($AK400="",$AG400=""),"",MAX(0,$AK400*$AG400))</f>
        <v/>
      </c>
      <c r="AM400" s="22">
        <f>IF($AE400="","",MAX(0,SUM($AE400,$AL400,$V400,$W400)))</f>
        <v/>
      </c>
      <c r="AN400" s="22">
        <f>IF($AM400="","",IF(AND($Q400="COMMITMENT",$R400&gt;=$AH400),$AI400,0))</f>
        <v/>
      </c>
      <c r="AO400" s="23">
        <f>IF($AM400="","",MAX(0,$AM400-$AN400))</f>
        <v/>
      </c>
      <c r="AP400" s="22">
        <f>IF($S400="","",IF(OR($S400="ITEM_PRICE_PLUS_DECLARED_DELIVERY",$S400="DELIVERY_CHARGE_ONLY"),$K400,IF($S400="TOTAL_AMOUNT_INCLUDING_DELIVERY",IF(OR($T400="",$J400=""),"",MAX(0,$T400-$J400-$U400)),IF($S400="ITEM_PRICE_ONLY_DELIVERY_PAID_BY_MERCHANT",0,""))))</f>
        <v/>
      </c>
      <c r="AQ400" s="23">
        <f>IF(OR($AP400="",$AO400=""),"",$AP400-$AO400)</f>
        <v/>
      </c>
      <c r="AR400" s="24">
        <f>IF($S400="EXACT_COLLECTION_AMOUNT","BREAKDOWN_REQUIRED",IF($AQ400="","",IF($AQ400&gt;0,"CREDIT_TO_MERCHANT",IF($AQ400&lt;0,"DEDUCT_FROM_MERCHANT","NO_ADJUSTMENT"))))</f>
        <v/>
      </c>
      <c r="AS400" s="23">
        <f>IF(OR($AQ400="",$AR400="BREAKDOWN_REQUIRED"),"",$AQ400)</f>
        <v/>
      </c>
      <c r="AT400" s="23">
        <f>IF(OR($AR400="",$AR400="BREAKDOWN_REQUIRED"),"",SUM($J400,$AQ400,$Y400)-$X400)</f>
        <v/>
      </c>
      <c r="AU400" s="25">
        <f>IF(AND($A400="",$B400="",$F400="",$H400="",$J400="",$K400="",$M400="",$S400=""),"",IF(OR($H400="",$Q400="",$M400="",$S400=""),"ERROR",IF(OR($J400&lt;0,$K400&lt;0,$M400&lt;0,$T400&lt;0,$U400&lt;0,$V400&lt;0,$W400&lt;0,$X400&lt;0,$Y400&lt;0),"ERROR",IF($AE400="","ERROR",IF(AND(OR($S400="ITEM_PRICE_PLUS_DECLARED_DELIVERY",$S400="TOTAL_AMOUNT_INCLUDING_DELIVERY",$S400="ITEM_PRICE_ONLY_DELIVERY_PAID_BY_MERCHANT"),$J400=""),"ERROR",IF(AND(OR($S400="ITEM_PRICE_PLUS_DECLARED_DELIVERY",$S400="DELIVERY_CHARGE_ONLY"),$K400=""),"ERROR",IF(AND(OR($S400="TOTAL_AMOUNT_INCLUDING_DELIVERY",$S400="EXACT_COLLECTION_AMOUNT"),$T400=""),"ERROR",IF(AND($S400="TOTAL_AMOUNT_INCLUDING_DELIVERY",$T400&lt;SUM($J400,$U400)),"ERROR",IF($S400="EXACT_COLLECTION_AMOUNT","REVIEW","OK")))))))))</f>
        <v/>
      </c>
      <c r="AV400" s="25">
        <f>IF($AU400="","",IF($H400="","Township required",IF($Q400="","Customer tier required",IF($M400="","Weight required",IF($S400="","Amount entry type required",IF(OR($J400&lt;0,$K400&lt;0,$M400&lt;0,$T400&lt;0,$U400&lt;0,$V400&lt;0,$W400&lt;0,$X400&lt;0,$Y400&lt;0),"Negative amounts are not allowed",IF($AE400="","Tariff not found for township and tier",IF(AND(OR($S400="ITEM_PRICE_PLUS_DECLARED_DELIVERY",$S400="TOTAL_AMOUNT_INCLUDING_DELIVERY",$S400="ITEM_PRICE_ONLY_DELIVERY_PAID_BY_MERCHANT"),$J400=""),"Item price required for this amount type",IF(AND(OR($S400="ITEM_PRICE_PLUS_DECLARED_DELIVERY",$S400="DELIVERY_CHARGE_ONLY"),$K400=""),"Declared delivery charge required",IF(AND(OR($S400="TOTAL_AMOUNT_INCLUDING_DELIVERY",$S400="EXACT_COLLECTION_AMOUNT"),$T400=""),"Stated total amount required",IF(AND($S400="TOTAL_AMOUNT_INCLUDING_DELIVERY",$T400&lt;SUM($J400,$U400)),"Stated total is below item price plus additional charge",IF($S400="EXACT_COLLECTION_AMOUNT","Authorized amount breakdown required before settlement","Ready for collection and settlement"))))))))))))</f>
        <v/>
      </c>
      <c r="AW400" s="23">
        <f>IF($AU400="","","PARCEL_FINANCIAL_V2")</f>
        <v/>
      </c>
      <c r="AX400" s="17" t="n"/>
    </row>
    <row r="401">
      <c r="A401" s="8" t="n"/>
      <c r="B401" s="8" t="n"/>
      <c r="C401" s="8" t="n"/>
      <c r="D401" s="8" t="n"/>
      <c r="E401" s="9" t="n"/>
      <c r="F401" s="9" t="n"/>
      <c r="G401" s="8" t="n"/>
      <c r="H401" s="9" t="n"/>
      <c r="I401" s="9" t="n"/>
      <c r="J401" s="10" t="n"/>
      <c r="K401" s="10" t="n"/>
      <c r="L401" s="11">
        <f>IF($S401="","",IF($S401="ITEM_PRICE_PLUS_DECLARED_DELIVERY",IF(OR($J401="",$K401=""),"",SUM($J401,$K401,$U401)),IF($S401="TOTAL_AMOUNT_INCLUDING_DELIVERY",IF($T401="","",$T401),IF($S401="DELIVERY_CHARGE_ONLY",IF($K401="","",SUM($K401,$U401)),IF($S401="EXACT_COLLECTION_AMOUNT",IF($T401="","",$T401),IF($S401="ITEM_PRICE_ONLY_DELIVERY_PAID_BY_MERCHANT",IF($J401="","",SUM($J401,$U401)),""))))))</f>
        <v/>
      </c>
      <c r="M401" s="12" t="n"/>
      <c r="N401" s="13" t="n"/>
      <c r="O401" s="13" t="n"/>
      <c r="P401" s="9" t="n"/>
      <c r="Q401" s="14" t="n"/>
      <c r="R401" s="15" t="n"/>
      <c r="S401" s="14" t="n"/>
      <c r="T401" s="16" t="n"/>
      <c r="U401" s="16" t="n"/>
      <c r="V401" s="16" t="n"/>
      <c r="W401" s="16" t="n"/>
      <c r="X401" s="16" t="n"/>
      <c r="Y401" s="16" t="n"/>
      <c r="Z401" s="14" t="n"/>
      <c r="AA401" s="14" t="n"/>
      <c r="AB401" s="14" t="n"/>
      <c r="AC401" s="17">
        <f>IFERROR(VLOOKUP($H401&amp;"|"&amp;$Q401,Tariff_Master!$A$2:$L$169,3,FALSE),"")</f>
        <v/>
      </c>
      <c r="AD401" s="17">
        <f>IFERROR(VLOOKUP($H401&amp;"|"&amp;$Q401,Tariff_Master!$A$2:$L$169,4,FALSE),"")</f>
        <v/>
      </c>
      <c r="AE401" s="18">
        <f>IFERROR(VLOOKUP($H401&amp;"|"&amp;$Q401,Tariff_Master!$A$2:$L$169,6,FALSE),"")</f>
        <v/>
      </c>
      <c r="AF401" s="19">
        <f>IFERROR(VLOOKUP($H401&amp;"|"&amp;$Q401,Tariff_Master!$A$2:$L$169,7,FALSE),"")</f>
        <v/>
      </c>
      <c r="AG401" s="18">
        <f>IFERROR(VLOOKUP($H401&amp;"|"&amp;$Q401,Tariff_Master!$A$2:$L$169,8,FALSE),"")</f>
        <v/>
      </c>
      <c r="AH401" s="20">
        <f>IFERROR(VLOOKUP($H401&amp;"|"&amp;$Q401,Tariff_Master!$A$2:$L$169,9,FALSE),"")</f>
        <v/>
      </c>
      <c r="AI401" s="18">
        <f>IFERROR(VLOOKUP($H401&amp;"|"&amp;$Q401,Tariff_Master!$A$2:$L$169,10,FALSE),"")</f>
        <v/>
      </c>
      <c r="AJ401" s="21">
        <f>IF($M401="","",ROUNDUP(MAX(0,$M401),0))</f>
        <v/>
      </c>
      <c r="AK401" s="21">
        <f>IF(OR($AJ401="",$AF401=""),"",MAX(0,$AJ401-$AF401))</f>
        <v/>
      </c>
      <c r="AL401" s="22">
        <f>IF(OR($AK401="",$AG401=""),"",MAX(0,$AK401*$AG401))</f>
        <v/>
      </c>
      <c r="AM401" s="22">
        <f>IF($AE401="","",MAX(0,SUM($AE401,$AL401,$V401,$W401)))</f>
        <v/>
      </c>
      <c r="AN401" s="22">
        <f>IF($AM401="","",IF(AND($Q401="COMMITMENT",$R401&gt;=$AH401),$AI401,0))</f>
        <v/>
      </c>
      <c r="AO401" s="23">
        <f>IF($AM401="","",MAX(0,$AM401-$AN401))</f>
        <v/>
      </c>
      <c r="AP401" s="22">
        <f>IF($S401="","",IF(OR($S401="ITEM_PRICE_PLUS_DECLARED_DELIVERY",$S401="DELIVERY_CHARGE_ONLY"),$K401,IF($S401="TOTAL_AMOUNT_INCLUDING_DELIVERY",IF(OR($T401="",$J401=""),"",MAX(0,$T401-$J401-$U401)),IF($S401="ITEM_PRICE_ONLY_DELIVERY_PAID_BY_MERCHANT",0,""))))</f>
        <v/>
      </c>
      <c r="AQ401" s="23">
        <f>IF(OR($AP401="",$AO401=""),"",$AP401-$AO401)</f>
        <v/>
      </c>
      <c r="AR401" s="24">
        <f>IF($S401="EXACT_COLLECTION_AMOUNT","BREAKDOWN_REQUIRED",IF($AQ401="","",IF($AQ401&gt;0,"CREDIT_TO_MERCHANT",IF($AQ401&lt;0,"DEDUCT_FROM_MERCHANT","NO_ADJUSTMENT"))))</f>
        <v/>
      </c>
      <c r="AS401" s="23">
        <f>IF(OR($AQ401="",$AR401="BREAKDOWN_REQUIRED"),"",$AQ401)</f>
        <v/>
      </c>
      <c r="AT401" s="23">
        <f>IF(OR($AR401="",$AR401="BREAKDOWN_REQUIRED"),"",SUM($J401,$AQ401,$Y401)-$X401)</f>
        <v/>
      </c>
      <c r="AU401" s="25">
        <f>IF(AND($A401="",$B401="",$F401="",$H401="",$J401="",$K401="",$M401="",$S401=""),"",IF(OR($H401="",$Q401="",$M401="",$S401=""),"ERROR",IF(OR($J401&lt;0,$K401&lt;0,$M401&lt;0,$T401&lt;0,$U401&lt;0,$V401&lt;0,$W401&lt;0,$X401&lt;0,$Y401&lt;0),"ERROR",IF($AE401="","ERROR",IF(AND(OR($S401="ITEM_PRICE_PLUS_DECLARED_DELIVERY",$S401="TOTAL_AMOUNT_INCLUDING_DELIVERY",$S401="ITEM_PRICE_ONLY_DELIVERY_PAID_BY_MERCHANT"),$J401=""),"ERROR",IF(AND(OR($S401="ITEM_PRICE_PLUS_DECLARED_DELIVERY",$S401="DELIVERY_CHARGE_ONLY"),$K401=""),"ERROR",IF(AND(OR($S401="TOTAL_AMOUNT_INCLUDING_DELIVERY",$S401="EXACT_COLLECTION_AMOUNT"),$T401=""),"ERROR",IF(AND($S401="TOTAL_AMOUNT_INCLUDING_DELIVERY",$T401&lt;SUM($J401,$U401)),"ERROR",IF($S401="EXACT_COLLECTION_AMOUNT","REVIEW","OK")))))))))</f>
        <v/>
      </c>
      <c r="AV401" s="25">
        <f>IF($AU401="","",IF($H401="","Township required",IF($Q401="","Customer tier required",IF($M401="","Weight required",IF($S401="","Amount entry type required",IF(OR($J401&lt;0,$K401&lt;0,$M401&lt;0,$T401&lt;0,$U401&lt;0,$V401&lt;0,$W401&lt;0,$X401&lt;0,$Y401&lt;0),"Negative amounts are not allowed",IF($AE401="","Tariff not found for township and tier",IF(AND(OR($S401="ITEM_PRICE_PLUS_DECLARED_DELIVERY",$S401="TOTAL_AMOUNT_INCLUDING_DELIVERY",$S401="ITEM_PRICE_ONLY_DELIVERY_PAID_BY_MERCHANT"),$J401=""),"Item price required for this amount type",IF(AND(OR($S401="ITEM_PRICE_PLUS_DECLARED_DELIVERY",$S401="DELIVERY_CHARGE_ONLY"),$K401=""),"Declared delivery charge required",IF(AND(OR($S401="TOTAL_AMOUNT_INCLUDING_DELIVERY",$S401="EXACT_COLLECTION_AMOUNT"),$T401=""),"Stated total amount required",IF(AND($S401="TOTAL_AMOUNT_INCLUDING_DELIVERY",$T401&lt;SUM($J401,$U401)),"Stated total is below item price plus additional charge",IF($S401="EXACT_COLLECTION_AMOUNT","Authorized amount breakdown required before settlement","Ready for collection and settlement"))))))))))))</f>
        <v/>
      </c>
      <c r="AW401" s="23">
        <f>IF($AU401="","","PARCEL_FINANCIAL_V2")</f>
        <v/>
      </c>
      <c r="AX401" s="17" t="n"/>
    </row>
    <row r="402">
      <c r="A402" s="8" t="n"/>
      <c r="B402" s="8" t="n"/>
      <c r="C402" s="8" t="n"/>
      <c r="D402" s="8" t="n"/>
      <c r="E402" s="9" t="n"/>
      <c r="F402" s="9" t="n"/>
      <c r="G402" s="8" t="n"/>
      <c r="H402" s="9" t="n"/>
      <c r="I402" s="9" t="n"/>
      <c r="J402" s="10" t="n"/>
      <c r="K402" s="10" t="n"/>
      <c r="L402" s="11">
        <f>IF($S402="","",IF($S402="ITEM_PRICE_PLUS_DECLARED_DELIVERY",IF(OR($J402="",$K402=""),"",SUM($J402,$K402,$U402)),IF($S402="TOTAL_AMOUNT_INCLUDING_DELIVERY",IF($T402="","",$T402),IF($S402="DELIVERY_CHARGE_ONLY",IF($K402="","",SUM($K402,$U402)),IF($S402="EXACT_COLLECTION_AMOUNT",IF($T402="","",$T402),IF($S402="ITEM_PRICE_ONLY_DELIVERY_PAID_BY_MERCHANT",IF($J402="","",SUM($J402,$U402)),""))))))</f>
        <v/>
      </c>
      <c r="M402" s="12" t="n"/>
      <c r="N402" s="13" t="n"/>
      <c r="O402" s="13" t="n"/>
      <c r="P402" s="9" t="n"/>
      <c r="Q402" s="14" t="n"/>
      <c r="R402" s="15" t="n"/>
      <c r="S402" s="14" t="n"/>
      <c r="T402" s="16" t="n"/>
      <c r="U402" s="16" t="n"/>
      <c r="V402" s="16" t="n"/>
      <c r="W402" s="16" t="n"/>
      <c r="X402" s="16" t="n"/>
      <c r="Y402" s="16" t="n"/>
      <c r="Z402" s="14" t="n"/>
      <c r="AA402" s="14" t="n"/>
      <c r="AB402" s="14" t="n"/>
      <c r="AC402" s="17">
        <f>IFERROR(VLOOKUP($H402&amp;"|"&amp;$Q402,Tariff_Master!$A$2:$L$169,3,FALSE),"")</f>
        <v/>
      </c>
      <c r="AD402" s="17">
        <f>IFERROR(VLOOKUP($H402&amp;"|"&amp;$Q402,Tariff_Master!$A$2:$L$169,4,FALSE),"")</f>
        <v/>
      </c>
      <c r="AE402" s="18">
        <f>IFERROR(VLOOKUP($H402&amp;"|"&amp;$Q402,Tariff_Master!$A$2:$L$169,6,FALSE),"")</f>
        <v/>
      </c>
      <c r="AF402" s="19">
        <f>IFERROR(VLOOKUP($H402&amp;"|"&amp;$Q402,Tariff_Master!$A$2:$L$169,7,FALSE),"")</f>
        <v/>
      </c>
      <c r="AG402" s="18">
        <f>IFERROR(VLOOKUP($H402&amp;"|"&amp;$Q402,Tariff_Master!$A$2:$L$169,8,FALSE),"")</f>
        <v/>
      </c>
      <c r="AH402" s="20">
        <f>IFERROR(VLOOKUP($H402&amp;"|"&amp;$Q402,Tariff_Master!$A$2:$L$169,9,FALSE),"")</f>
        <v/>
      </c>
      <c r="AI402" s="18">
        <f>IFERROR(VLOOKUP($H402&amp;"|"&amp;$Q402,Tariff_Master!$A$2:$L$169,10,FALSE),"")</f>
        <v/>
      </c>
      <c r="AJ402" s="21">
        <f>IF($M402="","",ROUNDUP(MAX(0,$M402),0))</f>
        <v/>
      </c>
      <c r="AK402" s="21">
        <f>IF(OR($AJ402="",$AF402=""),"",MAX(0,$AJ402-$AF402))</f>
        <v/>
      </c>
      <c r="AL402" s="22">
        <f>IF(OR($AK402="",$AG402=""),"",MAX(0,$AK402*$AG402))</f>
        <v/>
      </c>
      <c r="AM402" s="22">
        <f>IF($AE402="","",MAX(0,SUM($AE402,$AL402,$V402,$W402)))</f>
        <v/>
      </c>
      <c r="AN402" s="22">
        <f>IF($AM402="","",IF(AND($Q402="COMMITMENT",$R402&gt;=$AH402),$AI402,0))</f>
        <v/>
      </c>
      <c r="AO402" s="23">
        <f>IF($AM402="","",MAX(0,$AM402-$AN402))</f>
        <v/>
      </c>
      <c r="AP402" s="22">
        <f>IF($S402="","",IF(OR($S402="ITEM_PRICE_PLUS_DECLARED_DELIVERY",$S402="DELIVERY_CHARGE_ONLY"),$K402,IF($S402="TOTAL_AMOUNT_INCLUDING_DELIVERY",IF(OR($T402="",$J402=""),"",MAX(0,$T402-$J402-$U402)),IF($S402="ITEM_PRICE_ONLY_DELIVERY_PAID_BY_MERCHANT",0,""))))</f>
        <v/>
      </c>
      <c r="AQ402" s="23">
        <f>IF(OR($AP402="",$AO402=""),"",$AP402-$AO402)</f>
        <v/>
      </c>
      <c r="AR402" s="24">
        <f>IF($S402="EXACT_COLLECTION_AMOUNT","BREAKDOWN_REQUIRED",IF($AQ402="","",IF($AQ402&gt;0,"CREDIT_TO_MERCHANT",IF($AQ402&lt;0,"DEDUCT_FROM_MERCHANT","NO_ADJUSTMENT"))))</f>
        <v/>
      </c>
      <c r="AS402" s="23">
        <f>IF(OR($AQ402="",$AR402="BREAKDOWN_REQUIRED"),"",$AQ402)</f>
        <v/>
      </c>
      <c r="AT402" s="23">
        <f>IF(OR($AR402="",$AR402="BREAKDOWN_REQUIRED"),"",SUM($J402,$AQ402,$Y402)-$X402)</f>
        <v/>
      </c>
      <c r="AU402" s="25">
        <f>IF(AND($A402="",$B402="",$F402="",$H402="",$J402="",$K402="",$M402="",$S402=""),"",IF(OR($H402="",$Q402="",$M402="",$S402=""),"ERROR",IF(OR($J402&lt;0,$K402&lt;0,$M402&lt;0,$T402&lt;0,$U402&lt;0,$V402&lt;0,$W402&lt;0,$X402&lt;0,$Y402&lt;0),"ERROR",IF($AE402="","ERROR",IF(AND(OR($S402="ITEM_PRICE_PLUS_DECLARED_DELIVERY",$S402="TOTAL_AMOUNT_INCLUDING_DELIVERY",$S402="ITEM_PRICE_ONLY_DELIVERY_PAID_BY_MERCHANT"),$J402=""),"ERROR",IF(AND(OR($S402="ITEM_PRICE_PLUS_DECLARED_DELIVERY",$S402="DELIVERY_CHARGE_ONLY"),$K402=""),"ERROR",IF(AND(OR($S402="TOTAL_AMOUNT_INCLUDING_DELIVERY",$S402="EXACT_COLLECTION_AMOUNT"),$T402=""),"ERROR",IF(AND($S402="TOTAL_AMOUNT_INCLUDING_DELIVERY",$T402&lt;SUM($J402,$U402)),"ERROR",IF($S402="EXACT_COLLECTION_AMOUNT","REVIEW","OK")))))))))</f>
        <v/>
      </c>
      <c r="AV402" s="25">
        <f>IF($AU402="","",IF($H402="","Township required",IF($Q402="","Customer tier required",IF($M402="","Weight required",IF($S402="","Amount entry type required",IF(OR($J402&lt;0,$K402&lt;0,$M402&lt;0,$T402&lt;0,$U402&lt;0,$V402&lt;0,$W402&lt;0,$X402&lt;0,$Y402&lt;0),"Negative amounts are not allowed",IF($AE402="","Tariff not found for township and tier",IF(AND(OR($S402="ITEM_PRICE_PLUS_DECLARED_DELIVERY",$S402="TOTAL_AMOUNT_INCLUDING_DELIVERY",$S402="ITEM_PRICE_ONLY_DELIVERY_PAID_BY_MERCHANT"),$J402=""),"Item price required for this amount type",IF(AND(OR($S402="ITEM_PRICE_PLUS_DECLARED_DELIVERY",$S402="DELIVERY_CHARGE_ONLY"),$K402=""),"Declared delivery charge required",IF(AND(OR($S402="TOTAL_AMOUNT_INCLUDING_DELIVERY",$S402="EXACT_COLLECTION_AMOUNT"),$T402=""),"Stated total amount required",IF(AND($S402="TOTAL_AMOUNT_INCLUDING_DELIVERY",$T402&lt;SUM($J402,$U402)),"Stated total is below item price plus additional charge",IF($S402="EXACT_COLLECTION_AMOUNT","Authorized amount breakdown required before settlement","Ready for collection and settlement"))))))))))))</f>
        <v/>
      </c>
      <c r="AW402" s="23">
        <f>IF($AU402="","","PARCEL_FINANCIAL_V2")</f>
        <v/>
      </c>
      <c r="AX402" s="17" t="n"/>
    </row>
    <row r="403">
      <c r="A403" s="8" t="n"/>
      <c r="B403" s="8" t="n"/>
      <c r="C403" s="8" t="n"/>
      <c r="D403" s="8" t="n"/>
      <c r="E403" s="9" t="n"/>
      <c r="F403" s="9" t="n"/>
      <c r="G403" s="8" t="n"/>
      <c r="H403" s="9" t="n"/>
      <c r="I403" s="9" t="n"/>
      <c r="J403" s="10" t="n"/>
      <c r="K403" s="10" t="n"/>
      <c r="L403" s="11">
        <f>IF($S403="","",IF($S403="ITEM_PRICE_PLUS_DECLARED_DELIVERY",IF(OR($J403="",$K403=""),"",SUM($J403,$K403,$U403)),IF($S403="TOTAL_AMOUNT_INCLUDING_DELIVERY",IF($T403="","",$T403),IF($S403="DELIVERY_CHARGE_ONLY",IF($K403="","",SUM($K403,$U403)),IF($S403="EXACT_COLLECTION_AMOUNT",IF($T403="","",$T403),IF($S403="ITEM_PRICE_ONLY_DELIVERY_PAID_BY_MERCHANT",IF($J403="","",SUM($J403,$U403)),""))))))</f>
        <v/>
      </c>
      <c r="M403" s="12" t="n"/>
      <c r="N403" s="13" t="n"/>
      <c r="O403" s="13" t="n"/>
      <c r="P403" s="9" t="n"/>
      <c r="Q403" s="14" t="n"/>
      <c r="R403" s="15" t="n"/>
      <c r="S403" s="14" t="n"/>
      <c r="T403" s="16" t="n"/>
      <c r="U403" s="16" t="n"/>
      <c r="V403" s="16" t="n"/>
      <c r="W403" s="16" t="n"/>
      <c r="X403" s="16" t="n"/>
      <c r="Y403" s="16" t="n"/>
      <c r="Z403" s="14" t="n"/>
      <c r="AA403" s="14" t="n"/>
      <c r="AB403" s="14" t="n"/>
      <c r="AC403" s="17">
        <f>IFERROR(VLOOKUP($H403&amp;"|"&amp;$Q403,Tariff_Master!$A$2:$L$169,3,FALSE),"")</f>
        <v/>
      </c>
      <c r="AD403" s="17">
        <f>IFERROR(VLOOKUP($H403&amp;"|"&amp;$Q403,Tariff_Master!$A$2:$L$169,4,FALSE),"")</f>
        <v/>
      </c>
      <c r="AE403" s="18">
        <f>IFERROR(VLOOKUP($H403&amp;"|"&amp;$Q403,Tariff_Master!$A$2:$L$169,6,FALSE),"")</f>
        <v/>
      </c>
      <c r="AF403" s="19">
        <f>IFERROR(VLOOKUP($H403&amp;"|"&amp;$Q403,Tariff_Master!$A$2:$L$169,7,FALSE),"")</f>
        <v/>
      </c>
      <c r="AG403" s="18">
        <f>IFERROR(VLOOKUP($H403&amp;"|"&amp;$Q403,Tariff_Master!$A$2:$L$169,8,FALSE),"")</f>
        <v/>
      </c>
      <c r="AH403" s="20">
        <f>IFERROR(VLOOKUP($H403&amp;"|"&amp;$Q403,Tariff_Master!$A$2:$L$169,9,FALSE),"")</f>
        <v/>
      </c>
      <c r="AI403" s="18">
        <f>IFERROR(VLOOKUP($H403&amp;"|"&amp;$Q403,Tariff_Master!$A$2:$L$169,10,FALSE),"")</f>
        <v/>
      </c>
      <c r="AJ403" s="21">
        <f>IF($M403="","",ROUNDUP(MAX(0,$M403),0))</f>
        <v/>
      </c>
      <c r="AK403" s="21">
        <f>IF(OR($AJ403="",$AF403=""),"",MAX(0,$AJ403-$AF403))</f>
        <v/>
      </c>
      <c r="AL403" s="22">
        <f>IF(OR($AK403="",$AG403=""),"",MAX(0,$AK403*$AG403))</f>
        <v/>
      </c>
      <c r="AM403" s="22">
        <f>IF($AE403="","",MAX(0,SUM($AE403,$AL403,$V403,$W403)))</f>
        <v/>
      </c>
      <c r="AN403" s="22">
        <f>IF($AM403="","",IF(AND($Q403="COMMITMENT",$R403&gt;=$AH403),$AI403,0))</f>
        <v/>
      </c>
      <c r="AO403" s="23">
        <f>IF($AM403="","",MAX(0,$AM403-$AN403))</f>
        <v/>
      </c>
      <c r="AP403" s="22">
        <f>IF($S403="","",IF(OR($S403="ITEM_PRICE_PLUS_DECLARED_DELIVERY",$S403="DELIVERY_CHARGE_ONLY"),$K403,IF($S403="TOTAL_AMOUNT_INCLUDING_DELIVERY",IF(OR($T403="",$J403=""),"",MAX(0,$T403-$J403-$U403)),IF($S403="ITEM_PRICE_ONLY_DELIVERY_PAID_BY_MERCHANT",0,""))))</f>
        <v/>
      </c>
      <c r="AQ403" s="23">
        <f>IF(OR($AP403="",$AO403=""),"",$AP403-$AO403)</f>
        <v/>
      </c>
      <c r="AR403" s="24">
        <f>IF($S403="EXACT_COLLECTION_AMOUNT","BREAKDOWN_REQUIRED",IF($AQ403="","",IF($AQ403&gt;0,"CREDIT_TO_MERCHANT",IF($AQ403&lt;0,"DEDUCT_FROM_MERCHANT","NO_ADJUSTMENT"))))</f>
        <v/>
      </c>
      <c r="AS403" s="23">
        <f>IF(OR($AQ403="",$AR403="BREAKDOWN_REQUIRED"),"",$AQ403)</f>
        <v/>
      </c>
      <c r="AT403" s="23">
        <f>IF(OR($AR403="",$AR403="BREAKDOWN_REQUIRED"),"",SUM($J403,$AQ403,$Y403)-$X403)</f>
        <v/>
      </c>
      <c r="AU403" s="25">
        <f>IF(AND($A403="",$B403="",$F403="",$H403="",$J403="",$K403="",$M403="",$S403=""),"",IF(OR($H403="",$Q403="",$M403="",$S403=""),"ERROR",IF(OR($J403&lt;0,$K403&lt;0,$M403&lt;0,$T403&lt;0,$U403&lt;0,$V403&lt;0,$W403&lt;0,$X403&lt;0,$Y403&lt;0),"ERROR",IF($AE403="","ERROR",IF(AND(OR($S403="ITEM_PRICE_PLUS_DECLARED_DELIVERY",$S403="TOTAL_AMOUNT_INCLUDING_DELIVERY",$S403="ITEM_PRICE_ONLY_DELIVERY_PAID_BY_MERCHANT"),$J403=""),"ERROR",IF(AND(OR($S403="ITEM_PRICE_PLUS_DECLARED_DELIVERY",$S403="DELIVERY_CHARGE_ONLY"),$K403=""),"ERROR",IF(AND(OR($S403="TOTAL_AMOUNT_INCLUDING_DELIVERY",$S403="EXACT_COLLECTION_AMOUNT"),$T403=""),"ERROR",IF(AND($S403="TOTAL_AMOUNT_INCLUDING_DELIVERY",$T403&lt;SUM($J403,$U403)),"ERROR",IF($S403="EXACT_COLLECTION_AMOUNT","REVIEW","OK")))))))))</f>
        <v/>
      </c>
      <c r="AV403" s="25">
        <f>IF($AU403="","",IF($H403="","Township required",IF($Q403="","Customer tier required",IF($M403="","Weight required",IF($S403="","Amount entry type required",IF(OR($J403&lt;0,$K403&lt;0,$M403&lt;0,$T403&lt;0,$U403&lt;0,$V403&lt;0,$W403&lt;0,$X403&lt;0,$Y403&lt;0),"Negative amounts are not allowed",IF($AE403="","Tariff not found for township and tier",IF(AND(OR($S403="ITEM_PRICE_PLUS_DECLARED_DELIVERY",$S403="TOTAL_AMOUNT_INCLUDING_DELIVERY",$S403="ITEM_PRICE_ONLY_DELIVERY_PAID_BY_MERCHANT"),$J403=""),"Item price required for this amount type",IF(AND(OR($S403="ITEM_PRICE_PLUS_DECLARED_DELIVERY",$S403="DELIVERY_CHARGE_ONLY"),$K403=""),"Declared delivery charge required",IF(AND(OR($S403="TOTAL_AMOUNT_INCLUDING_DELIVERY",$S403="EXACT_COLLECTION_AMOUNT"),$T403=""),"Stated total amount required",IF(AND($S403="TOTAL_AMOUNT_INCLUDING_DELIVERY",$T403&lt;SUM($J403,$U403)),"Stated total is below item price plus additional charge",IF($S403="EXACT_COLLECTION_AMOUNT","Authorized amount breakdown required before settlement","Ready for collection and settlement"))))))))))))</f>
        <v/>
      </c>
      <c r="AW403" s="23">
        <f>IF($AU403="","","PARCEL_FINANCIAL_V2")</f>
        <v/>
      </c>
      <c r="AX403" s="17" t="n"/>
    </row>
    <row r="404">
      <c r="A404" s="8" t="n"/>
      <c r="B404" s="8" t="n"/>
      <c r="C404" s="8" t="n"/>
      <c r="D404" s="8" t="n"/>
      <c r="E404" s="9" t="n"/>
      <c r="F404" s="9" t="n"/>
      <c r="G404" s="8" t="n"/>
      <c r="H404" s="9" t="n"/>
      <c r="I404" s="9" t="n"/>
      <c r="J404" s="10" t="n"/>
      <c r="K404" s="10" t="n"/>
      <c r="L404" s="11">
        <f>IF($S404="","",IF($S404="ITEM_PRICE_PLUS_DECLARED_DELIVERY",IF(OR($J404="",$K404=""),"",SUM($J404,$K404,$U404)),IF($S404="TOTAL_AMOUNT_INCLUDING_DELIVERY",IF($T404="","",$T404),IF($S404="DELIVERY_CHARGE_ONLY",IF($K404="","",SUM($K404,$U404)),IF($S404="EXACT_COLLECTION_AMOUNT",IF($T404="","",$T404),IF($S404="ITEM_PRICE_ONLY_DELIVERY_PAID_BY_MERCHANT",IF($J404="","",SUM($J404,$U404)),""))))))</f>
        <v/>
      </c>
      <c r="M404" s="12" t="n"/>
      <c r="N404" s="13" t="n"/>
      <c r="O404" s="13" t="n"/>
      <c r="P404" s="9" t="n"/>
      <c r="Q404" s="14" t="n"/>
      <c r="R404" s="15" t="n"/>
      <c r="S404" s="14" t="n"/>
      <c r="T404" s="16" t="n"/>
      <c r="U404" s="16" t="n"/>
      <c r="V404" s="16" t="n"/>
      <c r="W404" s="16" t="n"/>
      <c r="X404" s="16" t="n"/>
      <c r="Y404" s="16" t="n"/>
      <c r="Z404" s="14" t="n"/>
      <c r="AA404" s="14" t="n"/>
      <c r="AB404" s="14" t="n"/>
      <c r="AC404" s="17">
        <f>IFERROR(VLOOKUP($H404&amp;"|"&amp;$Q404,Tariff_Master!$A$2:$L$169,3,FALSE),"")</f>
        <v/>
      </c>
      <c r="AD404" s="17">
        <f>IFERROR(VLOOKUP($H404&amp;"|"&amp;$Q404,Tariff_Master!$A$2:$L$169,4,FALSE),"")</f>
        <v/>
      </c>
      <c r="AE404" s="18">
        <f>IFERROR(VLOOKUP($H404&amp;"|"&amp;$Q404,Tariff_Master!$A$2:$L$169,6,FALSE),"")</f>
        <v/>
      </c>
      <c r="AF404" s="19">
        <f>IFERROR(VLOOKUP($H404&amp;"|"&amp;$Q404,Tariff_Master!$A$2:$L$169,7,FALSE),"")</f>
        <v/>
      </c>
      <c r="AG404" s="18">
        <f>IFERROR(VLOOKUP($H404&amp;"|"&amp;$Q404,Tariff_Master!$A$2:$L$169,8,FALSE),"")</f>
        <v/>
      </c>
      <c r="AH404" s="20">
        <f>IFERROR(VLOOKUP($H404&amp;"|"&amp;$Q404,Tariff_Master!$A$2:$L$169,9,FALSE),"")</f>
        <v/>
      </c>
      <c r="AI404" s="18">
        <f>IFERROR(VLOOKUP($H404&amp;"|"&amp;$Q404,Tariff_Master!$A$2:$L$169,10,FALSE),"")</f>
        <v/>
      </c>
      <c r="AJ404" s="21">
        <f>IF($M404="","",ROUNDUP(MAX(0,$M404),0))</f>
        <v/>
      </c>
      <c r="AK404" s="21">
        <f>IF(OR($AJ404="",$AF404=""),"",MAX(0,$AJ404-$AF404))</f>
        <v/>
      </c>
      <c r="AL404" s="22">
        <f>IF(OR($AK404="",$AG404=""),"",MAX(0,$AK404*$AG404))</f>
        <v/>
      </c>
      <c r="AM404" s="22">
        <f>IF($AE404="","",MAX(0,SUM($AE404,$AL404,$V404,$W404)))</f>
        <v/>
      </c>
      <c r="AN404" s="22">
        <f>IF($AM404="","",IF(AND($Q404="COMMITMENT",$R404&gt;=$AH404),$AI404,0))</f>
        <v/>
      </c>
      <c r="AO404" s="23">
        <f>IF($AM404="","",MAX(0,$AM404-$AN404))</f>
        <v/>
      </c>
      <c r="AP404" s="22">
        <f>IF($S404="","",IF(OR($S404="ITEM_PRICE_PLUS_DECLARED_DELIVERY",$S404="DELIVERY_CHARGE_ONLY"),$K404,IF($S404="TOTAL_AMOUNT_INCLUDING_DELIVERY",IF(OR($T404="",$J404=""),"",MAX(0,$T404-$J404-$U404)),IF($S404="ITEM_PRICE_ONLY_DELIVERY_PAID_BY_MERCHANT",0,""))))</f>
        <v/>
      </c>
      <c r="AQ404" s="23">
        <f>IF(OR($AP404="",$AO404=""),"",$AP404-$AO404)</f>
        <v/>
      </c>
      <c r="AR404" s="24">
        <f>IF($S404="EXACT_COLLECTION_AMOUNT","BREAKDOWN_REQUIRED",IF($AQ404="","",IF($AQ404&gt;0,"CREDIT_TO_MERCHANT",IF($AQ404&lt;0,"DEDUCT_FROM_MERCHANT","NO_ADJUSTMENT"))))</f>
        <v/>
      </c>
      <c r="AS404" s="23">
        <f>IF(OR($AQ404="",$AR404="BREAKDOWN_REQUIRED"),"",$AQ404)</f>
        <v/>
      </c>
      <c r="AT404" s="23">
        <f>IF(OR($AR404="",$AR404="BREAKDOWN_REQUIRED"),"",SUM($J404,$AQ404,$Y404)-$X404)</f>
        <v/>
      </c>
      <c r="AU404" s="25">
        <f>IF(AND($A404="",$B404="",$F404="",$H404="",$J404="",$K404="",$M404="",$S404=""),"",IF(OR($H404="",$Q404="",$M404="",$S404=""),"ERROR",IF(OR($J404&lt;0,$K404&lt;0,$M404&lt;0,$T404&lt;0,$U404&lt;0,$V404&lt;0,$W404&lt;0,$X404&lt;0,$Y404&lt;0),"ERROR",IF($AE404="","ERROR",IF(AND(OR($S404="ITEM_PRICE_PLUS_DECLARED_DELIVERY",$S404="TOTAL_AMOUNT_INCLUDING_DELIVERY",$S404="ITEM_PRICE_ONLY_DELIVERY_PAID_BY_MERCHANT"),$J404=""),"ERROR",IF(AND(OR($S404="ITEM_PRICE_PLUS_DECLARED_DELIVERY",$S404="DELIVERY_CHARGE_ONLY"),$K404=""),"ERROR",IF(AND(OR($S404="TOTAL_AMOUNT_INCLUDING_DELIVERY",$S404="EXACT_COLLECTION_AMOUNT"),$T404=""),"ERROR",IF(AND($S404="TOTAL_AMOUNT_INCLUDING_DELIVERY",$T404&lt;SUM($J404,$U404)),"ERROR",IF($S404="EXACT_COLLECTION_AMOUNT","REVIEW","OK")))))))))</f>
        <v/>
      </c>
      <c r="AV404" s="25">
        <f>IF($AU404="","",IF($H404="","Township required",IF($Q404="","Customer tier required",IF($M404="","Weight required",IF($S404="","Amount entry type required",IF(OR($J404&lt;0,$K404&lt;0,$M404&lt;0,$T404&lt;0,$U404&lt;0,$V404&lt;0,$W404&lt;0,$X404&lt;0,$Y404&lt;0),"Negative amounts are not allowed",IF($AE404="","Tariff not found for township and tier",IF(AND(OR($S404="ITEM_PRICE_PLUS_DECLARED_DELIVERY",$S404="TOTAL_AMOUNT_INCLUDING_DELIVERY",$S404="ITEM_PRICE_ONLY_DELIVERY_PAID_BY_MERCHANT"),$J404=""),"Item price required for this amount type",IF(AND(OR($S404="ITEM_PRICE_PLUS_DECLARED_DELIVERY",$S404="DELIVERY_CHARGE_ONLY"),$K404=""),"Declared delivery charge required",IF(AND(OR($S404="TOTAL_AMOUNT_INCLUDING_DELIVERY",$S404="EXACT_COLLECTION_AMOUNT"),$T404=""),"Stated total amount required",IF(AND($S404="TOTAL_AMOUNT_INCLUDING_DELIVERY",$T404&lt;SUM($J404,$U404)),"Stated total is below item price plus additional charge",IF($S404="EXACT_COLLECTION_AMOUNT","Authorized amount breakdown required before settlement","Ready for collection and settlement"))))))))))))</f>
        <v/>
      </c>
      <c r="AW404" s="23">
        <f>IF($AU404="","","PARCEL_FINANCIAL_V2")</f>
        <v/>
      </c>
      <c r="AX404" s="17" t="n"/>
    </row>
    <row r="405">
      <c r="A405" s="8" t="n"/>
      <c r="B405" s="8" t="n"/>
      <c r="C405" s="8" t="n"/>
      <c r="D405" s="8" t="n"/>
      <c r="E405" s="9" t="n"/>
      <c r="F405" s="9" t="n"/>
      <c r="G405" s="8" t="n"/>
      <c r="H405" s="9" t="n"/>
      <c r="I405" s="9" t="n"/>
      <c r="J405" s="10" t="n"/>
      <c r="K405" s="10" t="n"/>
      <c r="L405" s="11">
        <f>IF($S405="","",IF($S405="ITEM_PRICE_PLUS_DECLARED_DELIVERY",IF(OR($J405="",$K405=""),"",SUM($J405,$K405,$U405)),IF($S405="TOTAL_AMOUNT_INCLUDING_DELIVERY",IF($T405="","",$T405),IF($S405="DELIVERY_CHARGE_ONLY",IF($K405="","",SUM($K405,$U405)),IF($S405="EXACT_COLLECTION_AMOUNT",IF($T405="","",$T405),IF($S405="ITEM_PRICE_ONLY_DELIVERY_PAID_BY_MERCHANT",IF($J405="","",SUM($J405,$U405)),""))))))</f>
        <v/>
      </c>
      <c r="M405" s="12" t="n"/>
      <c r="N405" s="13" t="n"/>
      <c r="O405" s="13" t="n"/>
      <c r="P405" s="9" t="n"/>
      <c r="Q405" s="14" t="n"/>
      <c r="R405" s="15" t="n"/>
      <c r="S405" s="14" t="n"/>
      <c r="T405" s="16" t="n"/>
      <c r="U405" s="16" t="n"/>
      <c r="V405" s="16" t="n"/>
      <c r="W405" s="16" t="n"/>
      <c r="X405" s="16" t="n"/>
      <c r="Y405" s="16" t="n"/>
      <c r="Z405" s="14" t="n"/>
      <c r="AA405" s="14" t="n"/>
      <c r="AB405" s="14" t="n"/>
      <c r="AC405" s="17">
        <f>IFERROR(VLOOKUP($H405&amp;"|"&amp;$Q405,Tariff_Master!$A$2:$L$169,3,FALSE),"")</f>
        <v/>
      </c>
      <c r="AD405" s="17">
        <f>IFERROR(VLOOKUP($H405&amp;"|"&amp;$Q405,Tariff_Master!$A$2:$L$169,4,FALSE),"")</f>
        <v/>
      </c>
      <c r="AE405" s="18">
        <f>IFERROR(VLOOKUP($H405&amp;"|"&amp;$Q405,Tariff_Master!$A$2:$L$169,6,FALSE),"")</f>
        <v/>
      </c>
      <c r="AF405" s="19">
        <f>IFERROR(VLOOKUP($H405&amp;"|"&amp;$Q405,Tariff_Master!$A$2:$L$169,7,FALSE),"")</f>
        <v/>
      </c>
      <c r="AG405" s="18">
        <f>IFERROR(VLOOKUP($H405&amp;"|"&amp;$Q405,Tariff_Master!$A$2:$L$169,8,FALSE),"")</f>
        <v/>
      </c>
      <c r="AH405" s="20">
        <f>IFERROR(VLOOKUP($H405&amp;"|"&amp;$Q405,Tariff_Master!$A$2:$L$169,9,FALSE),"")</f>
        <v/>
      </c>
      <c r="AI405" s="18">
        <f>IFERROR(VLOOKUP($H405&amp;"|"&amp;$Q405,Tariff_Master!$A$2:$L$169,10,FALSE),"")</f>
        <v/>
      </c>
      <c r="AJ405" s="21">
        <f>IF($M405="","",ROUNDUP(MAX(0,$M405),0))</f>
        <v/>
      </c>
      <c r="AK405" s="21">
        <f>IF(OR($AJ405="",$AF405=""),"",MAX(0,$AJ405-$AF405))</f>
        <v/>
      </c>
      <c r="AL405" s="22">
        <f>IF(OR($AK405="",$AG405=""),"",MAX(0,$AK405*$AG405))</f>
        <v/>
      </c>
      <c r="AM405" s="22">
        <f>IF($AE405="","",MAX(0,SUM($AE405,$AL405,$V405,$W405)))</f>
        <v/>
      </c>
      <c r="AN405" s="22">
        <f>IF($AM405="","",IF(AND($Q405="COMMITMENT",$R405&gt;=$AH405),$AI405,0))</f>
        <v/>
      </c>
      <c r="AO405" s="23">
        <f>IF($AM405="","",MAX(0,$AM405-$AN405))</f>
        <v/>
      </c>
      <c r="AP405" s="22">
        <f>IF($S405="","",IF(OR($S405="ITEM_PRICE_PLUS_DECLARED_DELIVERY",$S405="DELIVERY_CHARGE_ONLY"),$K405,IF($S405="TOTAL_AMOUNT_INCLUDING_DELIVERY",IF(OR($T405="",$J405=""),"",MAX(0,$T405-$J405-$U405)),IF($S405="ITEM_PRICE_ONLY_DELIVERY_PAID_BY_MERCHANT",0,""))))</f>
        <v/>
      </c>
      <c r="AQ405" s="23">
        <f>IF(OR($AP405="",$AO405=""),"",$AP405-$AO405)</f>
        <v/>
      </c>
      <c r="AR405" s="24">
        <f>IF($S405="EXACT_COLLECTION_AMOUNT","BREAKDOWN_REQUIRED",IF($AQ405="","",IF($AQ405&gt;0,"CREDIT_TO_MERCHANT",IF($AQ405&lt;0,"DEDUCT_FROM_MERCHANT","NO_ADJUSTMENT"))))</f>
        <v/>
      </c>
      <c r="AS405" s="23">
        <f>IF(OR($AQ405="",$AR405="BREAKDOWN_REQUIRED"),"",$AQ405)</f>
        <v/>
      </c>
      <c r="AT405" s="23">
        <f>IF(OR($AR405="",$AR405="BREAKDOWN_REQUIRED"),"",SUM($J405,$AQ405,$Y405)-$X405)</f>
        <v/>
      </c>
      <c r="AU405" s="25">
        <f>IF(AND($A405="",$B405="",$F405="",$H405="",$J405="",$K405="",$M405="",$S405=""),"",IF(OR($H405="",$Q405="",$M405="",$S405=""),"ERROR",IF(OR($J405&lt;0,$K405&lt;0,$M405&lt;0,$T405&lt;0,$U405&lt;0,$V405&lt;0,$W405&lt;0,$X405&lt;0,$Y405&lt;0),"ERROR",IF($AE405="","ERROR",IF(AND(OR($S405="ITEM_PRICE_PLUS_DECLARED_DELIVERY",$S405="TOTAL_AMOUNT_INCLUDING_DELIVERY",$S405="ITEM_PRICE_ONLY_DELIVERY_PAID_BY_MERCHANT"),$J405=""),"ERROR",IF(AND(OR($S405="ITEM_PRICE_PLUS_DECLARED_DELIVERY",$S405="DELIVERY_CHARGE_ONLY"),$K405=""),"ERROR",IF(AND(OR($S405="TOTAL_AMOUNT_INCLUDING_DELIVERY",$S405="EXACT_COLLECTION_AMOUNT"),$T405=""),"ERROR",IF(AND($S405="TOTAL_AMOUNT_INCLUDING_DELIVERY",$T405&lt;SUM($J405,$U405)),"ERROR",IF($S405="EXACT_COLLECTION_AMOUNT","REVIEW","OK")))))))))</f>
        <v/>
      </c>
      <c r="AV405" s="25">
        <f>IF($AU405="","",IF($H405="","Township required",IF($Q405="","Customer tier required",IF($M405="","Weight required",IF($S405="","Amount entry type required",IF(OR($J405&lt;0,$K405&lt;0,$M405&lt;0,$T405&lt;0,$U405&lt;0,$V405&lt;0,$W405&lt;0,$X405&lt;0,$Y405&lt;0),"Negative amounts are not allowed",IF($AE405="","Tariff not found for township and tier",IF(AND(OR($S405="ITEM_PRICE_PLUS_DECLARED_DELIVERY",$S405="TOTAL_AMOUNT_INCLUDING_DELIVERY",$S405="ITEM_PRICE_ONLY_DELIVERY_PAID_BY_MERCHANT"),$J405=""),"Item price required for this amount type",IF(AND(OR($S405="ITEM_PRICE_PLUS_DECLARED_DELIVERY",$S405="DELIVERY_CHARGE_ONLY"),$K405=""),"Declared delivery charge required",IF(AND(OR($S405="TOTAL_AMOUNT_INCLUDING_DELIVERY",$S405="EXACT_COLLECTION_AMOUNT"),$T405=""),"Stated total amount required",IF(AND($S405="TOTAL_AMOUNT_INCLUDING_DELIVERY",$T405&lt;SUM($J405,$U405)),"Stated total is below item price plus additional charge",IF($S405="EXACT_COLLECTION_AMOUNT","Authorized amount breakdown required before settlement","Ready for collection and settlement"))))))))))))</f>
        <v/>
      </c>
      <c r="AW405" s="23">
        <f>IF($AU405="","","PARCEL_FINANCIAL_V2")</f>
        <v/>
      </c>
      <c r="AX405" s="17" t="n"/>
    </row>
    <row r="406">
      <c r="A406" s="8" t="n"/>
      <c r="B406" s="8" t="n"/>
      <c r="C406" s="8" t="n"/>
      <c r="D406" s="8" t="n"/>
      <c r="E406" s="9" t="n"/>
      <c r="F406" s="9" t="n"/>
      <c r="G406" s="8" t="n"/>
      <c r="H406" s="9" t="n"/>
      <c r="I406" s="9" t="n"/>
      <c r="J406" s="10" t="n"/>
      <c r="K406" s="10" t="n"/>
      <c r="L406" s="11">
        <f>IF($S406="","",IF($S406="ITEM_PRICE_PLUS_DECLARED_DELIVERY",IF(OR($J406="",$K406=""),"",SUM($J406,$K406,$U406)),IF($S406="TOTAL_AMOUNT_INCLUDING_DELIVERY",IF($T406="","",$T406),IF($S406="DELIVERY_CHARGE_ONLY",IF($K406="","",SUM($K406,$U406)),IF($S406="EXACT_COLLECTION_AMOUNT",IF($T406="","",$T406),IF($S406="ITEM_PRICE_ONLY_DELIVERY_PAID_BY_MERCHANT",IF($J406="","",SUM($J406,$U406)),""))))))</f>
        <v/>
      </c>
      <c r="M406" s="12" t="n"/>
      <c r="N406" s="13" t="n"/>
      <c r="O406" s="13" t="n"/>
      <c r="P406" s="9" t="n"/>
      <c r="Q406" s="14" t="n"/>
      <c r="R406" s="15" t="n"/>
      <c r="S406" s="14" t="n"/>
      <c r="T406" s="16" t="n"/>
      <c r="U406" s="16" t="n"/>
      <c r="V406" s="16" t="n"/>
      <c r="W406" s="16" t="n"/>
      <c r="X406" s="16" t="n"/>
      <c r="Y406" s="16" t="n"/>
      <c r="Z406" s="14" t="n"/>
      <c r="AA406" s="14" t="n"/>
      <c r="AB406" s="14" t="n"/>
      <c r="AC406" s="17">
        <f>IFERROR(VLOOKUP($H406&amp;"|"&amp;$Q406,Tariff_Master!$A$2:$L$169,3,FALSE),"")</f>
        <v/>
      </c>
      <c r="AD406" s="17">
        <f>IFERROR(VLOOKUP($H406&amp;"|"&amp;$Q406,Tariff_Master!$A$2:$L$169,4,FALSE),"")</f>
        <v/>
      </c>
      <c r="AE406" s="18">
        <f>IFERROR(VLOOKUP($H406&amp;"|"&amp;$Q406,Tariff_Master!$A$2:$L$169,6,FALSE),"")</f>
        <v/>
      </c>
      <c r="AF406" s="19">
        <f>IFERROR(VLOOKUP($H406&amp;"|"&amp;$Q406,Tariff_Master!$A$2:$L$169,7,FALSE),"")</f>
        <v/>
      </c>
      <c r="AG406" s="18">
        <f>IFERROR(VLOOKUP($H406&amp;"|"&amp;$Q406,Tariff_Master!$A$2:$L$169,8,FALSE),"")</f>
        <v/>
      </c>
      <c r="AH406" s="20">
        <f>IFERROR(VLOOKUP($H406&amp;"|"&amp;$Q406,Tariff_Master!$A$2:$L$169,9,FALSE),"")</f>
        <v/>
      </c>
      <c r="AI406" s="18">
        <f>IFERROR(VLOOKUP($H406&amp;"|"&amp;$Q406,Tariff_Master!$A$2:$L$169,10,FALSE),"")</f>
        <v/>
      </c>
      <c r="AJ406" s="21">
        <f>IF($M406="","",ROUNDUP(MAX(0,$M406),0))</f>
        <v/>
      </c>
      <c r="AK406" s="21">
        <f>IF(OR($AJ406="",$AF406=""),"",MAX(0,$AJ406-$AF406))</f>
        <v/>
      </c>
      <c r="AL406" s="22">
        <f>IF(OR($AK406="",$AG406=""),"",MAX(0,$AK406*$AG406))</f>
        <v/>
      </c>
      <c r="AM406" s="22">
        <f>IF($AE406="","",MAX(0,SUM($AE406,$AL406,$V406,$W406)))</f>
        <v/>
      </c>
      <c r="AN406" s="22">
        <f>IF($AM406="","",IF(AND($Q406="COMMITMENT",$R406&gt;=$AH406),$AI406,0))</f>
        <v/>
      </c>
      <c r="AO406" s="23">
        <f>IF($AM406="","",MAX(0,$AM406-$AN406))</f>
        <v/>
      </c>
      <c r="AP406" s="22">
        <f>IF($S406="","",IF(OR($S406="ITEM_PRICE_PLUS_DECLARED_DELIVERY",$S406="DELIVERY_CHARGE_ONLY"),$K406,IF($S406="TOTAL_AMOUNT_INCLUDING_DELIVERY",IF(OR($T406="",$J406=""),"",MAX(0,$T406-$J406-$U406)),IF($S406="ITEM_PRICE_ONLY_DELIVERY_PAID_BY_MERCHANT",0,""))))</f>
        <v/>
      </c>
      <c r="AQ406" s="23">
        <f>IF(OR($AP406="",$AO406=""),"",$AP406-$AO406)</f>
        <v/>
      </c>
      <c r="AR406" s="24">
        <f>IF($S406="EXACT_COLLECTION_AMOUNT","BREAKDOWN_REQUIRED",IF($AQ406="","",IF($AQ406&gt;0,"CREDIT_TO_MERCHANT",IF($AQ406&lt;0,"DEDUCT_FROM_MERCHANT","NO_ADJUSTMENT"))))</f>
        <v/>
      </c>
      <c r="AS406" s="23">
        <f>IF(OR($AQ406="",$AR406="BREAKDOWN_REQUIRED"),"",$AQ406)</f>
        <v/>
      </c>
      <c r="AT406" s="23">
        <f>IF(OR($AR406="",$AR406="BREAKDOWN_REQUIRED"),"",SUM($J406,$AQ406,$Y406)-$X406)</f>
        <v/>
      </c>
      <c r="AU406" s="25">
        <f>IF(AND($A406="",$B406="",$F406="",$H406="",$J406="",$K406="",$M406="",$S406=""),"",IF(OR($H406="",$Q406="",$M406="",$S406=""),"ERROR",IF(OR($J406&lt;0,$K406&lt;0,$M406&lt;0,$T406&lt;0,$U406&lt;0,$V406&lt;0,$W406&lt;0,$X406&lt;0,$Y406&lt;0),"ERROR",IF($AE406="","ERROR",IF(AND(OR($S406="ITEM_PRICE_PLUS_DECLARED_DELIVERY",$S406="TOTAL_AMOUNT_INCLUDING_DELIVERY",$S406="ITEM_PRICE_ONLY_DELIVERY_PAID_BY_MERCHANT"),$J406=""),"ERROR",IF(AND(OR($S406="ITEM_PRICE_PLUS_DECLARED_DELIVERY",$S406="DELIVERY_CHARGE_ONLY"),$K406=""),"ERROR",IF(AND(OR($S406="TOTAL_AMOUNT_INCLUDING_DELIVERY",$S406="EXACT_COLLECTION_AMOUNT"),$T406=""),"ERROR",IF(AND($S406="TOTAL_AMOUNT_INCLUDING_DELIVERY",$T406&lt;SUM($J406,$U406)),"ERROR",IF($S406="EXACT_COLLECTION_AMOUNT","REVIEW","OK")))))))))</f>
        <v/>
      </c>
      <c r="AV406" s="25">
        <f>IF($AU406="","",IF($H406="","Township required",IF($Q406="","Customer tier required",IF($M406="","Weight required",IF($S406="","Amount entry type required",IF(OR($J406&lt;0,$K406&lt;0,$M406&lt;0,$T406&lt;0,$U406&lt;0,$V406&lt;0,$W406&lt;0,$X406&lt;0,$Y406&lt;0),"Negative amounts are not allowed",IF($AE406="","Tariff not found for township and tier",IF(AND(OR($S406="ITEM_PRICE_PLUS_DECLARED_DELIVERY",$S406="TOTAL_AMOUNT_INCLUDING_DELIVERY",$S406="ITEM_PRICE_ONLY_DELIVERY_PAID_BY_MERCHANT"),$J406=""),"Item price required for this amount type",IF(AND(OR($S406="ITEM_PRICE_PLUS_DECLARED_DELIVERY",$S406="DELIVERY_CHARGE_ONLY"),$K406=""),"Declared delivery charge required",IF(AND(OR($S406="TOTAL_AMOUNT_INCLUDING_DELIVERY",$S406="EXACT_COLLECTION_AMOUNT"),$T406=""),"Stated total amount required",IF(AND($S406="TOTAL_AMOUNT_INCLUDING_DELIVERY",$T406&lt;SUM($J406,$U406)),"Stated total is below item price plus additional charge",IF($S406="EXACT_COLLECTION_AMOUNT","Authorized amount breakdown required before settlement","Ready for collection and settlement"))))))))))))</f>
        <v/>
      </c>
      <c r="AW406" s="23">
        <f>IF($AU406="","","PARCEL_FINANCIAL_V2")</f>
        <v/>
      </c>
      <c r="AX406" s="17" t="n"/>
    </row>
    <row r="407">
      <c r="A407" s="8" t="n"/>
      <c r="B407" s="8" t="n"/>
      <c r="C407" s="8" t="n"/>
      <c r="D407" s="8" t="n"/>
      <c r="E407" s="9" t="n"/>
      <c r="F407" s="9" t="n"/>
      <c r="G407" s="8" t="n"/>
      <c r="H407" s="9" t="n"/>
      <c r="I407" s="9" t="n"/>
      <c r="J407" s="10" t="n"/>
      <c r="K407" s="10" t="n"/>
      <c r="L407" s="11">
        <f>IF($S407="","",IF($S407="ITEM_PRICE_PLUS_DECLARED_DELIVERY",IF(OR($J407="",$K407=""),"",SUM($J407,$K407,$U407)),IF($S407="TOTAL_AMOUNT_INCLUDING_DELIVERY",IF($T407="","",$T407),IF($S407="DELIVERY_CHARGE_ONLY",IF($K407="","",SUM($K407,$U407)),IF($S407="EXACT_COLLECTION_AMOUNT",IF($T407="","",$T407),IF($S407="ITEM_PRICE_ONLY_DELIVERY_PAID_BY_MERCHANT",IF($J407="","",SUM($J407,$U407)),""))))))</f>
        <v/>
      </c>
      <c r="M407" s="12" t="n"/>
      <c r="N407" s="13" t="n"/>
      <c r="O407" s="13" t="n"/>
      <c r="P407" s="9" t="n"/>
      <c r="Q407" s="14" t="n"/>
      <c r="R407" s="15" t="n"/>
      <c r="S407" s="14" t="n"/>
      <c r="T407" s="16" t="n"/>
      <c r="U407" s="16" t="n"/>
      <c r="V407" s="16" t="n"/>
      <c r="W407" s="16" t="n"/>
      <c r="X407" s="16" t="n"/>
      <c r="Y407" s="16" t="n"/>
      <c r="Z407" s="14" t="n"/>
      <c r="AA407" s="14" t="n"/>
      <c r="AB407" s="14" t="n"/>
      <c r="AC407" s="17">
        <f>IFERROR(VLOOKUP($H407&amp;"|"&amp;$Q407,Tariff_Master!$A$2:$L$169,3,FALSE),"")</f>
        <v/>
      </c>
      <c r="AD407" s="17">
        <f>IFERROR(VLOOKUP($H407&amp;"|"&amp;$Q407,Tariff_Master!$A$2:$L$169,4,FALSE),"")</f>
        <v/>
      </c>
      <c r="AE407" s="18">
        <f>IFERROR(VLOOKUP($H407&amp;"|"&amp;$Q407,Tariff_Master!$A$2:$L$169,6,FALSE),"")</f>
        <v/>
      </c>
      <c r="AF407" s="19">
        <f>IFERROR(VLOOKUP($H407&amp;"|"&amp;$Q407,Tariff_Master!$A$2:$L$169,7,FALSE),"")</f>
        <v/>
      </c>
      <c r="AG407" s="18">
        <f>IFERROR(VLOOKUP($H407&amp;"|"&amp;$Q407,Tariff_Master!$A$2:$L$169,8,FALSE),"")</f>
        <v/>
      </c>
      <c r="AH407" s="20">
        <f>IFERROR(VLOOKUP($H407&amp;"|"&amp;$Q407,Tariff_Master!$A$2:$L$169,9,FALSE),"")</f>
        <v/>
      </c>
      <c r="AI407" s="18">
        <f>IFERROR(VLOOKUP($H407&amp;"|"&amp;$Q407,Tariff_Master!$A$2:$L$169,10,FALSE),"")</f>
        <v/>
      </c>
      <c r="AJ407" s="21">
        <f>IF($M407="","",ROUNDUP(MAX(0,$M407),0))</f>
        <v/>
      </c>
      <c r="AK407" s="21">
        <f>IF(OR($AJ407="",$AF407=""),"",MAX(0,$AJ407-$AF407))</f>
        <v/>
      </c>
      <c r="AL407" s="22">
        <f>IF(OR($AK407="",$AG407=""),"",MAX(0,$AK407*$AG407))</f>
        <v/>
      </c>
      <c r="AM407" s="22">
        <f>IF($AE407="","",MAX(0,SUM($AE407,$AL407,$V407,$W407)))</f>
        <v/>
      </c>
      <c r="AN407" s="22">
        <f>IF($AM407="","",IF(AND($Q407="COMMITMENT",$R407&gt;=$AH407),$AI407,0))</f>
        <v/>
      </c>
      <c r="AO407" s="23">
        <f>IF($AM407="","",MAX(0,$AM407-$AN407))</f>
        <v/>
      </c>
      <c r="AP407" s="22">
        <f>IF($S407="","",IF(OR($S407="ITEM_PRICE_PLUS_DECLARED_DELIVERY",$S407="DELIVERY_CHARGE_ONLY"),$K407,IF($S407="TOTAL_AMOUNT_INCLUDING_DELIVERY",IF(OR($T407="",$J407=""),"",MAX(0,$T407-$J407-$U407)),IF($S407="ITEM_PRICE_ONLY_DELIVERY_PAID_BY_MERCHANT",0,""))))</f>
        <v/>
      </c>
      <c r="AQ407" s="23">
        <f>IF(OR($AP407="",$AO407=""),"",$AP407-$AO407)</f>
        <v/>
      </c>
      <c r="AR407" s="24">
        <f>IF($S407="EXACT_COLLECTION_AMOUNT","BREAKDOWN_REQUIRED",IF($AQ407="","",IF($AQ407&gt;0,"CREDIT_TO_MERCHANT",IF($AQ407&lt;0,"DEDUCT_FROM_MERCHANT","NO_ADJUSTMENT"))))</f>
        <v/>
      </c>
      <c r="AS407" s="23">
        <f>IF(OR($AQ407="",$AR407="BREAKDOWN_REQUIRED"),"",$AQ407)</f>
        <v/>
      </c>
      <c r="AT407" s="23">
        <f>IF(OR($AR407="",$AR407="BREAKDOWN_REQUIRED"),"",SUM($J407,$AQ407,$Y407)-$X407)</f>
        <v/>
      </c>
      <c r="AU407" s="25">
        <f>IF(AND($A407="",$B407="",$F407="",$H407="",$J407="",$K407="",$M407="",$S407=""),"",IF(OR($H407="",$Q407="",$M407="",$S407=""),"ERROR",IF(OR($J407&lt;0,$K407&lt;0,$M407&lt;0,$T407&lt;0,$U407&lt;0,$V407&lt;0,$W407&lt;0,$X407&lt;0,$Y407&lt;0),"ERROR",IF($AE407="","ERROR",IF(AND(OR($S407="ITEM_PRICE_PLUS_DECLARED_DELIVERY",$S407="TOTAL_AMOUNT_INCLUDING_DELIVERY",$S407="ITEM_PRICE_ONLY_DELIVERY_PAID_BY_MERCHANT"),$J407=""),"ERROR",IF(AND(OR($S407="ITEM_PRICE_PLUS_DECLARED_DELIVERY",$S407="DELIVERY_CHARGE_ONLY"),$K407=""),"ERROR",IF(AND(OR($S407="TOTAL_AMOUNT_INCLUDING_DELIVERY",$S407="EXACT_COLLECTION_AMOUNT"),$T407=""),"ERROR",IF(AND($S407="TOTAL_AMOUNT_INCLUDING_DELIVERY",$T407&lt;SUM($J407,$U407)),"ERROR",IF($S407="EXACT_COLLECTION_AMOUNT","REVIEW","OK")))))))))</f>
        <v/>
      </c>
      <c r="AV407" s="25">
        <f>IF($AU407="","",IF($H407="","Township required",IF($Q407="","Customer tier required",IF($M407="","Weight required",IF($S407="","Amount entry type required",IF(OR($J407&lt;0,$K407&lt;0,$M407&lt;0,$T407&lt;0,$U407&lt;0,$V407&lt;0,$W407&lt;0,$X407&lt;0,$Y407&lt;0),"Negative amounts are not allowed",IF($AE407="","Tariff not found for township and tier",IF(AND(OR($S407="ITEM_PRICE_PLUS_DECLARED_DELIVERY",$S407="TOTAL_AMOUNT_INCLUDING_DELIVERY",$S407="ITEM_PRICE_ONLY_DELIVERY_PAID_BY_MERCHANT"),$J407=""),"Item price required for this amount type",IF(AND(OR($S407="ITEM_PRICE_PLUS_DECLARED_DELIVERY",$S407="DELIVERY_CHARGE_ONLY"),$K407=""),"Declared delivery charge required",IF(AND(OR($S407="TOTAL_AMOUNT_INCLUDING_DELIVERY",$S407="EXACT_COLLECTION_AMOUNT"),$T407=""),"Stated total amount required",IF(AND($S407="TOTAL_AMOUNT_INCLUDING_DELIVERY",$T407&lt;SUM($J407,$U407)),"Stated total is below item price plus additional charge",IF($S407="EXACT_COLLECTION_AMOUNT","Authorized amount breakdown required before settlement","Ready for collection and settlement"))))))))))))</f>
        <v/>
      </c>
      <c r="AW407" s="23">
        <f>IF($AU407="","","PARCEL_FINANCIAL_V2")</f>
        <v/>
      </c>
      <c r="AX407" s="17" t="n"/>
    </row>
    <row r="408">
      <c r="A408" s="8" t="n"/>
      <c r="B408" s="8" t="n"/>
      <c r="C408" s="8" t="n"/>
      <c r="D408" s="8" t="n"/>
      <c r="E408" s="9" t="n"/>
      <c r="F408" s="9" t="n"/>
      <c r="G408" s="8" t="n"/>
      <c r="H408" s="9" t="n"/>
      <c r="I408" s="9" t="n"/>
      <c r="J408" s="10" t="n"/>
      <c r="K408" s="10" t="n"/>
      <c r="L408" s="11">
        <f>IF($S408="","",IF($S408="ITEM_PRICE_PLUS_DECLARED_DELIVERY",IF(OR($J408="",$K408=""),"",SUM($J408,$K408,$U408)),IF($S408="TOTAL_AMOUNT_INCLUDING_DELIVERY",IF($T408="","",$T408),IF($S408="DELIVERY_CHARGE_ONLY",IF($K408="","",SUM($K408,$U408)),IF($S408="EXACT_COLLECTION_AMOUNT",IF($T408="","",$T408),IF($S408="ITEM_PRICE_ONLY_DELIVERY_PAID_BY_MERCHANT",IF($J408="","",SUM($J408,$U408)),""))))))</f>
        <v/>
      </c>
      <c r="M408" s="12" t="n"/>
      <c r="N408" s="13" t="n"/>
      <c r="O408" s="13" t="n"/>
      <c r="P408" s="9" t="n"/>
      <c r="Q408" s="14" t="n"/>
      <c r="R408" s="15" t="n"/>
      <c r="S408" s="14" t="n"/>
      <c r="T408" s="16" t="n"/>
      <c r="U408" s="16" t="n"/>
      <c r="V408" s="16" t="n"/>
      <c r="W408" s="16" t="n"/>
      <c r="X408" s="16" t="n"/>
      <c r="Y408" s="16" t="n"/>
      <c r="Z408" s="14" t="n"/>
      <c r="AA408" s="14" t="n"/>
      <c r="AB408" s="14" t="n"/>
      <c r="AC408" s="17">
        <f>IFERROR(VLOOKUP($H408&amp;"|"&amp;$Q408,Tariff_Master!$A$2:$L$169,3,FALSE),"")</f>
        <v/>
      </c>
      <c r="AD408" s="17">
        <f>IFERROR(VLOOKUP($H408&amp;"|"&amp;$Q408,Tariff_Master!$A$2:$L$169,4,FALSE),"")</f>
        <v/>
      </c>
      <c r="AE408" s="18">
        <f>IFERROR(VLOOKUP($H408&amp;"|"&amp;$Q408,Tariff_Master!$A$2:$L$169,6,FALSE),"")</f>
        <v/>
      </c>
      <c r="AF408" s="19">
        <f>IFERROR(VLOOKUP($H408&amp;"|"&amp;$Q408,Tariff_Master!$A$2:$L$169,7,FALSE),"")</f>
        <v/>
      </c>
      <c r="AG408" s="18">
        <f>IFERROR(VLOOKUP($H408&amp;"|"&amp;$Q408,Tariff_Master!$A$2:$L$169,8,FALSE),"")</f>
        <v/>
      </c>
      <c r="AH408" s="20">
        <f>IFERROR(VLOOKUP($H408&amp;"|"&amp;$Q408,Tariff_Master!$A$2:$L$169,9,FALSE),"")</f>
        <v/>
      </c>
      <c r="AI408" s="18">
        <f>IFERROR(VLOOKUP($H408&amp;"|"&amp;$Q408,Tariff_Master!$A$2:$L$169,10,FALSE),"")</f>
        <v/>
      </c>
      <c r="AJ408" s="21">
        <f>IF($M408="","",ROUNDUP(MAX(0,$M408),0))</f>
        <v/>
      </c>
      <c r="AK408" s="21">
        <f>IF(OR($AJ408="",$AF408=""),"",MAX(0,$AJ408-$AF408))</f>
        <v/>
      </c>
      <c r="AL408" s="22">
        <f>IF(OR($AK408="",$AG408=""),"",MAX(0,$AK408*$AG408))</f>
        <v/>
      </c>
      <c r="AM408" s="22">
        <f>IF($AE408="","",MAX(0,SUM($AE408,$AL408,$V408,$W408)))</f>
        <v/>
      </c>
      <c r="AN408" s="22">
        <f>IF($AM408="","",IF(AND($Q408="COMMITMENT",$R408&gt;=$AH408),$AI408,0))</f>
        <v/>
      </c>
      <c r="AO408" s="23">
        <f>IF($AM408="","",MAX(0,$AM408-$AN408))</f>
        <v/>
      </c>
      <c r="AP408" s="22">
        <f>IF($S408="","",IF(OR($S408="ITEM_PRICE_PLUS_DECLARED_DELIVERY",$S408="DELIVERY_CHARGE_ONLY"),$K408,IF($S408="TOTAL_AMOUNT_INCLUDING_DELIVERY",IF(OR($T408="",$J408=""),"",MAX(0,$T408-$J408-$U408)),IF($S408="ITEM_PRICE_ONLY_DELIVERY_PAID_BY_MERCHANT",0,""))))</f>
        <v/>
      </c>
      <c r="AQ408" s="23">
        <f>IF(OR($AP408="",$AO408=""),"",$AP408-$AO408)</f>
        <v/>
      </c>
      <c r="AR408" s="24">
        <f>IF($S408="EXACT_COLLECTION_AMOUNT","BREAKDOWN_REQUIRED",IF($AQ408="","",IF($AQ408&gt;0,"CREDIT_TO_MERCHANT",IF($AQ408&lt;0,"DEDUCT_FROM_MERCHANT","NO_ADJUSTMENT"))))</f>
        <v/>
      </c>
      <c r="AS408" s="23">
        <f>IF(OR($AQ408="",$AR408="BREAKDOWN_REQUIRED"),"",$AQ408)</f>
        <v/>
      </c>
      <c r="AT408" s="23">
        <f>IF(OR($AR408="",$AR408="BREAKDOWN_REQUIRED"),"",SUM($J408,$AQ408,$Y408)-$X408)</f>
        <v/>
      </c>
      <c r="AU408" s="25">
        <f>IF(AND($A408="",$B408="",$F408="",$H408="",$J408="",$K408="",$M408="",$S408=""),"",IF(OR($H408="",$Q408="",$M408="",$S408=""),"ERROR",IF(OR($J408&lt;0,$K408&lt;0,$M408&lt;0,$T408&lt;0,$U408&lt;0,$V408&lt;0,$W408&lt;0,$X408&lt;0,$Y408&lt;0),"ERROR",IF($AE408="","ERROR",IF(AND(OR($S408="ITEM_PRICE_PLUS_DECLARED_DELIVERY",$S408="TOTAL_AMOUNT_INCLUDING_DELIVERY",$S408="ITEM_PRICE_ONLY_DELIVERY_PAID_BY_MERCHANT"),$J408=""),"ERROR",IF(AND(OR($S408="ITEM_PRICE_PLUS_DECLARED_DELIVERY",$S408="DELIVERY_CHARGE_ONLY"),$K408=""),"ERROR",IF(AND(OR($S408="TOTAL_AMOUNT_INCLUDING_DELIVERY",$S408="EXACT_COLLECTION_AMOUNT"),$T408=""),"ERROR",IF(AND($S408="TOTAL_AMOUNT_INCLUDING_DELIVERY",$T408&lt;SUM($J408,$U408)),"ERROR",IF($S408="EXACT_COLLECTION_AMOUNT","REVIEW","OK")))))))))</f>
        <v/>
      </c>
      <c r="AV408" s="25">
        <f>IF($AU408="","",IF($H408="","Township required",IF($Q408="","Customer tier required",IF($M408="","Weight required",IF($S408="","Amount entry type required",IF(OR($J408&lt;0,$K408&lt;0,$M408&lt;0,$T408&lt;0,$U408&lt;0,$V408&lt;0,$W408&lt;0,$X408&lt;0,$Y408&lt;0),"Negative amounts are not allowed",IF($AE408="","Tariff not found for township and tier",IF(AND(OR($S408="ITEM_PRICE_PLUS_DECLARED_DELIVERY",$S408="TOTAL_AMOUNT_INCLUDING_DELIVERY",$S408="ITEM_PRICE_ONLY_DELIVERY_PAID_BY_MERCHANT"),$J408=""),"Item price required for this amount type",IF(AND(OR($S408="ITEM_PRICE_PLUS_DECLARED_DELIVERY",$S408="DELIVERY_CHARGE_ONLY"),$K408=""),"Declared delivery charge required",IF(AND(OR($S408="TOTAL_AMOUNT_INCLUDING_DELIVERY",$S408="EXACT_COLLECTION_AMOUNT"),$T408=""),"Stated total amount required",IF(AND($S408="TOTAL_AMOUNT_INCLUDING_DELIVERY",$T408&lt;SUM($J408,$U408)),"Stated total is below item price plus additional charge",IF($S408="EXACT_COLLECTION_AMOUNT","Authorized amount breakdown required before settlement","Ready for collection and settlement"))))))))))))</f>
        <v/>
      </c>
      <c r="AW408" s="23">
        <f>IF($AU408="","","PARCEL_FINANCIAL_V2")</f>
        <v/>
      </c>
      <c r="AX408" s="17" t="n"/>
    </row>
    <row r="409">
      <c r="A409" s="8" t="n"/>
      <c r="B409" s="8" t="n"/>
      <c r="C409" s="8" t="n"/>
      <c r="D409" s="8" t="n"/>
      <c r="E409" s="9" t="n"/>
      <c r="F409" s="9" t="n"/>
      <c r="G409" s="8" t="n"/>
      <c r="H409" s="9" t="n"/>
      <c r="I409" s="9" t="n"/>
      <c r="J409" s="10" t="n"/>
      <c r="K409" s="10" t="n"/>
      <c r="L409" s="11">
        <f>IF($S409="","",IF($S409="ITEM_PRICE_PLUS_DECLARED_DELIVERY",IF(OR($J409="",$K409=""),"",SUM($J409,$K409,$U409)),IF($S409="TOTAL_AMOUNT_INCLUDING_DELIVERY",IF($T409="","",$T409),IF($S409="DELIVERY_CHARGE_ONLY",IF($K409="","",SUM($K409,$U409)),IF($S409="EXACT_COLLECTION_AMOUNT",IF($T409="","",$T409),IF($S409="ITEM_PRICE_ONLY_DELIVERY_PAID_BY_MERCHANT",IF($J409="","",SUM($J409,$U409)),""))))))</f>
        <v/>
      </c>
      <c r="M409" s="12" t="n"/>
      <c r="N409" s="13" t="n"/>
      <c r="O409" s="13" t="n"/>
      <c r="P409" s="9" t="n"/>
      <c r="Q409" s="14" t="n"/>
      <c r="R409" s="15" t="n"/>
      <c r="S409" s="14" t="n"/>
      <c r="T409" s="16" t="n"/>
      <c r="U409" s="16" t="n"/>
      <c r="V409" s="16" t="n"/>
      <c r="W409" s="16" t="n"/>
      <c r="X409" s="16" t="n"/>
      <c r="Y409" s="16" t="n"/>
      <c r="Z409" s="14" t="n"/>
      <c r="AA409" s="14" t="n"/>
      <c r="AB409" s="14" t="n"/>
      <c r="AC409" s="17">
        <f>IFERROR(VLOOKUP($H409&amp;"|"&amp;$Q409,Tariff_Master!$A$2:$L$169,3,FALSE),"")</f>
        <v/>
      </c>
      <c r="AD409" s="17">
        <f>IFERROR(VLOOKUP($H409&amp;"|"&amp;$Q409,Tariff_Master!$A$2:$L$169,4,FALSE),"")</f>
        <v/>
      </c>
      <c r="AE409" s="18">
        <f>IFERROR(VLOOKUP($H409&amp;"|"&amp;$Q409,Tariff_Master!$A$2:$L$169,6,FALSE),"")</f>
        <v/>
      </c>
      <c r="AF409" s="19">
        <f>IFERROR(VLOOKUP($H409&amp;"|"&amp;$Q409,Tariff_Master!$A$2:$L$169,7,FALSE),"")</f>
        <v/>
      </c>
      <c r="AG409" s="18">
        <f>IFERROR(VLOOKUP($H409&amp;"|"&amp;$Q409,Tariff_Master!$A$2:$L$169,8,FALSE),"")</f>
        <v/>
      </c>
      <c r="AH409" s="20">
        <f>IFERROR(VLOOKUP($H409&amp;"|"&amp;$Q409,Tariff_Master!$A$2:$L$169,9,FALSE),"")</f>
        <v/>
      </c>
      <c r="AI409" s="18">
        <f>IFERROR(VLOOKUP($H409&amp;"|"&amp;$Q409,Tariff_Master!$A$2:$L$169,10,FALSE),"")</f>
        <v/>
      </c>
      <c r="AJ409" s="21">
        <f>IF($M409="","",ROUNDUP(MAX(0,$M409),0))</f>
        <v/>
      </c>
      <c r="AK409" s="21">
        <f>IF(OR($AJ409="",$AF409=""),"",MAX(0,$AJ409-$AF409))</f>
        <v/>
      </c>
      <c r="AL409" s="22">
        <f>IF(OR($AK409="",$AG409=""),"",MAX(0,$AK409*$AG409))</f>
        <v/>
      </c>
      <c r="AM409" s="22">
        <f>IF($AE409="","",MAX(0,SUM($AE409,$AL409,$V409,$W409)))</f>
        <v/>
      </c>
      <c r="AN409" s="22">
        <f>IF($AM409="","",IF(AND($Q409="COMMITMENT",$R409&gt;=$AH409),$AI409,0))</f>
        <v/>
      </c>
      <c r="AO409" s="23">
        <f>IF($AM409="","",MAX(0,$AM409-$AN409))</f>
        <v/>
      </c>
      <c r="AP409" s="22">
        <f>IF($S409="","",IF(OR($S409="ITEM_PRICE_PLUS_DECLARED_DELIVERY",$S409="DELIVERY_CHARGE_ONLY"),$K409,IF($S409="TOTAL_AMOUNT_INCLUDING_DELIVERY",IF(OR($T409="",$J409=""),"",MAX(0,$T409-$J409-$U409)),IF($S409="ITEM_PRICE_ONLY_DELIVERY_PAID_BY_MERCHANT",0,""))))</f>
        <v/>
      </c>
      <c r="AQ409" s="23">
        <f>IF(OR($AP409="",$AO409=""),"",$AP409-$AO409)</f>
        <v/>
      </c>
      <c r="AR409" s="24">
        <f>IF($S409="EXACT_COLLECTION_AMOUNT","BREAKDOWN_REQUIRED",IF($AQ409="","",IF($AQ409&gt;0,"CREDIT_TO_MERCHANT",IF($AQ409&lt;0,"DEDUCT_FROM_MERCHANT","NO_ADJUSTMENT"))))</f>
        <v/>
      </c>
      <c r="AS409" s="23">
        <f>IF(OR($AQ409="",$AR409="BREAKDOWN_REQUIRED"),"",$AQ409)</f>
        <v/>
      </c>
      <c r="AT409" s="23">
        <f>IF(OR($AR409="",$AR409="BREAKDOWN_REQUIRED"),"",SUM($J409,$AQ409,$Y409)-$X409)</f>
        <v/>
      </c>
      <c r="AU409" s="25">
        <f>IF(AND($A409="",$B409="",$F409="",$H409="",$J409="",$K409="",$M409="",$S409=""),"",IF(OR($H409="",$Q409="",$M409="",$S409=""),"ERROR",IF(OR($J409&lt;0,$K409&lt;0,$M409&lt;0,$T409&lt;0,$U409&lt;0,$V409&lt;0,$W409&lt;0,$X409&lt;0,$Y409&lt;0),"ERROR",IF($AE409="","ERROR",IF(AND(OR($S409="ITEM_PRICE_PLUS_DECLARED_DELIVERY",$S409="TOTAL_AMOUNT_INCLUDING_DELIVERY",$S409="ITEM_PRICE_ONLY_DELIVERY_PAID_BY_MERCHANT"),$J409=""),"ERROR",IF(AND(OR($S409="ITEM_PRICE_PLUS_DECLARED_DELIVERY",$S409="DELIVERY_CHARGE_ONLY"),$K409=""),"ERROR",IF(AND(OR($S409="TOTAL_AMOUNT_INCLUDING_DELIVERY",$S409="EXACT_COLLECTION_AMOUNT"),$T409=""),"ERROR",IF(AND($S409="TOTAL_AMOUNT_INCLUDING_DELIVERY",$T409&lt;SUM($J409,$U409)),"ERROR",IF($S409="EXACT_COLLECTION_AMOUNT","REVIEW","OK")))))))))</f>
        <v/>
      </c>
      <c r="AV409" s="25">
        <f>IF($AU409="","",IF($H409="","Township required",IF($Q409="","Customer tier required",IF($M409="","Weight required",IF($S409="","Amount entry type required",IF(OR($J409&lt;0,$K409&lt;0,$M409&lt;0,$T409&lt;0,$U409&lt;0,$V409&lt;0,$W409&lt;0,$X409&lt;0,$Y409&lt;0),"Negative amounts are not allowed",IF($AE409="","Tariff not found for township and tier",IF(AND(OR($S409="ITEM_PRICE_PLUS_DECLARED_DELIVERY",$S409="TOTAL_AMOUNT_INCLUDING_DELIVERY",$S409="ITEM_PRICE_ONLY_DELIVERY_PAID_BY_MERCHANT"),$J409=""),"Item price required for this amount type",IF(AND(OR($S409="ITEM_PRICE_PLUS_DECLARED_DELIVERY",$S409="DELIVERY_CHARGE_ONLY"),$K409=""),"Declared delivery charge required",IF(AND(OR($S409="TOTAL_AMOUNT_INCLUDING_DELIVERY",$S409="EXACT_COLLECTION_AMOUNT"),$T409=""),"Stated total amount required",IF(AND($S409="TOTAL_AMOUNT_INCLUDING_DELIVERY",$T409&lt;SUM($J409,$U409)),"Stated total is below item price plus additional charge",IF($S409="EXACT_COLLECTION_AMOUNT","Authorized amount breakdown required before settlement","Ready for collection and settlement"))))))))))))</f>
        <v/>
      </c>
      <c r="AW409" s="23">
        <f>IF($AU409="","","PARCEL_FINANCIAL_V2")</f>
        <v/>
      </c>
      <c r="AX409" s="17" t="n"/>
    </row>
    <row r="410">
      <c r="A410" s="8" t="n"/>
      <c r="B410" s="8" t="n"/>
      <c r="C410" s="8" t="n"/>
      <c r="D410" s="8" t="n"/>
      <c r="E410" s="9" t="n"/>
      <c r="F410" s="9" t="n"/>
      <c r="G410" s="8" t="n"/>
      <c r="H410" s="9" t="n"/>
      <c r="I410" s="9" t="n"/>
      <c r="J410" s="10" t="n"/>
      <c r="K410" s="10" t="n"/>
      <c r="L410" s="11">
        <f>IF($S410="","",IF($S410="ITEM_PRICE_PLUS_DECLARED_DELIVERY",IF(OR($J410="",$K410=""),"",SUM($J410,$K410,$U410)),IF($S410="TOTAL_AMOUNT_INCLUDING_DELIVERY",IF($T410="","",$T410),IF($S410="DELIVERY_CHARGE_ONLY",IF($K410="","",SUM($K410,$U410)),IF($S410="EXACT_COLLECTION_AMOUNT",IF($T410="","",$T410),IF($S410="ITEM_PRICE_ONLY_DELIVERY_PAID_BY_MERCHANT",IF($J410="","",SUM($J410,$U410)),""))))))</f>
        <v/>
      </c>
      <c r="M410" s="12" t="n"/>
      <c r="N410" s="13" t="n"/>
      <c r="O410" s="13" t="n"/>
      <c r="P410" s="9" t="n"/>
      <c r="Q410" s="14" t="n"/>
      <c r="R410" s="15" t="n"/>
      <c r="S410" s="14" t="n"/>
      <c r="T410" s="16" t="n"/>
      <c r="U410" s="16" t="n"/>
      <c r="V410" s="16" t="n"/>
      <c r="W410" s="16" t="n"/>
      <c r="X410" s="16" t="n"/>
      <c r="Y410" s="16" t="n"/>
      <c r="Z410" s="14" t="n"/>
      <c r="AA410" s="14" t="n"/>
      <c r="AB410" s="14" t="n"/>
      <c r="AC410" s="17">
        <f>IFERROR(VLOOKUP($H410&amp;"|"&amp;$Q410,Tariff_Master!$A$2:$L$169,3,FALSE),"")</f>
        <v/>
      </c>
      <c r="AD410" s="17">
        <f>IFERROR(VLOOKUP($H410&amp;"|"&amp;$Q410,Tariff_Master!$A$2:$L$169,4,FALSE),"")</f>
        <v/>
      </c>
      <c r="AE410" s="18">
        <f>IFERROR(VLOOKUP($H410&amp;"|"&amp;$Q410,Tariff_Master!$A$2:$L$169,6,FALSE),"")</f>
        <v/>
      </c>
      <c r="AF410" s="19">
        <f>IFERROR(VLOOKUP($H410&amp;"|"&amp;$Q410,Tariff_Master!$A$2:$L$169,7,FALSE),"")</f>
        <v/>
      </c>
      <c r="AG410" s="18">
        <f>IFERROR(VLOOKUP($H410&amp;"|"&amp;$Q410,Tariff_Master!$A$2:$L$169,8,FALSE),"")</f>
        <v/>
      </c>
      <c r="AH410" s="20">
        <f>IFERROR(VLOOKUP($H410&amp;"|"&amp;$Q410,Tariff_Master!$A$2:$L$169,9,FALSE),"")</f>
        <v/>
      </c>
      <c r="AI410" s="18">
        <f>IFERROR(VLOOKUP($H410&amp;"|"&amp;$Q410,Tariff_Master!$A$2:$L$169,10,FALSE),"")</f>
        <v/>
      </c>
      <c r="AJ410" s="21">
        <f>IF($M410="","",ROUNDUP(MAX(0,$M410),0))</f>
        <v/>
      </c>
      <c r="AK410" s="21">
        <f>IF(OR($AJ410="",$AF410=""),"",MAX(0,$AJ410-$AF410))</f>
        <v/>
      </c>
      <c r="AL410" s="22">
        <f>IF(OR($AK410="",$AG410=""),"",MAX(0,$AK410*$AG410))</f>
        <v/>
      </c>
      <c r="AM410" s="22">
        <f>IF($AE410="","",MAX(0,SUM($AE410,$AL410,$V410,$W410)))</f>
        <v/>
      </c>
      <c r="AN410" s="22">
        <f>IF($AM410="","",IF(AND($Q410="COMMITMENT",$R410&gt;=$AH410),$AI410,0))</f>
        <v/>
      </c>
      <c r="AO410" s="23">
        <f>IF($AM410="","",MAX(0,$AM410-$AN410))</f>
        <v/>
      </c>
      <c r="AP410" s="22">
        <f>IF($S410="","",IF(OR($S410="ITEM_PRICE_PLUS_DECLARED_DELIVERY",$S410="DELIVERY_CHARGE_ONLY"),$K410,IF($S410="TOTAL_AMOUNT_INCLUDING_DELIVERY",IF(OR($T410="",$J410=""),"",MAX(0,$T410-$J410-$U410)),IF($S410="ITEM_PRICE_ONLY_DELIVERY_PAID_BY_MERCHANT",0,""))))</f>
        <v/>
      </c>
      <c r="AQ410" s="23">
        <f>IF(OR($AP410="",$AO410=""),"",$AP410-$AO410)</f>
        <v/>
      </c>
      <c r="AR410" s="24">
        <f>IF($S410="EXACT_COLLECTION_AMOUNT","BREAKDOWN_REQUIRED",IF($AQ410="","",IF($AQ410&gt;0,"CREDIT_TO_MERCHANT",IF($AQ410&lt;0,"DEDUCT_FROM_MERCHANT","NO_ADJUSTMENT"))))</f>
        <v/>
      </c>
      <c r="AS410" s="23">
        <f>IF(OR($AQ410="",$AR410="BREAKDOWN_REQUIRED"),"",$AQ410)</f>
        <v/>
      </c>
      <c r="AT410" s="23">
        <f>IF(OR($AR410="",$AR410="BREAKDOWN_REQUIRED"),"",SUM($J410,$AQ410,$Y410)-$X410)</f>
        <v/>
      </c>
      <c r="AU410" s="25">
        <f>IF(AND($A410="",$B410="",$F410="",$H410="",$J410="",$K410="",$M410="",$S410=""),"",IF(OR($H410="",$Q410="",$M410="",$S410=""),"ERROR",IF(OR($J410&lt;0,$K410&lt;0,$M410&lt;0,$T410&lt;0,$U410&lt;0,$V410&lt;0,$W410&lt;0,$X410&lt;0,$Y410&lt;0),"ERROR",IF($AE410="","ERROR",IF(AND(OR($S410="ITEM_PRICE_PLUS_DECLARED_DELIVERY",$S410="TOTAL_AMOUNT_INCLUDING_DELIVERY",$S410="ITEM_PRICE_ONLY_DELIVERY_PAID_BY_MERCHANT"),$J410=""),"ERROR",IF(AND(OR($S410="ITEM_PRICE_PLUS_DECLARED_DELIVERY",$S410="DELIVERY_CHARGE_ONLY"),$K410=""),"ERROR",IF(AND(OR($S410="TOTAL_AMOUNT_INCLUDING_DELIVERY",$S410="EXACT_COLLECTION_AMOUNT"),$T410=""),"ERROR",IF(AND($S410="TOTAL_AMOUNT_INCLUDING_DELIVERY",$T410&lt;SUM($J410,$U410)),"ERROR",IF($S410="EXACT_COLLECTION_AMOUNT","REVIEW","OK")))))))))</f>
        <v/>
      </c>
      <c r="AV410" s="25">
        <f>IF($AU410="","",IF($H410="","Township required",IF($Q410="","Customer tier required",IF($M410="","Weight required",IF($S410="","Amount entry type required",IF(OR($J410&lt;0,$K410&lt;0,$M410&lt;0,$T410&lt;0,$U410&lt;0,$V410&lt;0,$W410&lt;0,$X410&lt;0,$Y410&lt;0),"Negative amounts are not allowed",IF($AE410="","Tariff not found for township and tier",IF(AND(OR($S410="ITEM_PRICE_PLUS_DECLARED_DELIVERY",$S410="TOTAL_AMOUNT_INCLUDING_DELIVERY",$S410="ITEM_PRICE_ONLY_DELIVERY_PAID_BY_MERCHANT"),$J410=""),"Item price required for this amount type",IF(AND(OR($S410="ITEM_PRICE_PLUS_DECLARED_DELIVERY",$S410="DELIVERY_CHARGE_ONLY"),$K410=""),"Declared delivery charge required",IF(AND(OR($S410="TOTAL_AMOUNT_INCLUDING_DELIVERY",$S410="EXACT_COLLECTION_AMOUNT"),$T410=""),"Stated total amount required",IF(AND($S410="TOTAL_AMOUNT_INCLUDING_DELIVERY",$T410&lt;SUM($J410,$U410)),"Stated total is below item price plus additional charge",IF($S410="EXACT_COLLECTION_AMOUNT","Authorized amount breakdown required before settlement","Ready for collection and settlement"))))))))))))</f>
        <v/>
      </c>
      <c r="AW410" s="23">
        <f>IF($AU410="","","PARCEL_FINANCIAL_V2")</f>
        <v/>
      </c>
      <c r="AX410" s="17" t="n"/>
    </row>
    <row r="411">
      <c r="A411" s="8" t="n"/>
      <c r="B411" s="8" t="n"/>
      <c r="C411" s="8" t="n"/>
      <c r="D411" s="8" t="n"/>
      <c r="E411" s="9" t="n"/>
      <c r="F411" s="9" t="n"/>
      <c r="G411" s="8" t="n"/>
      <c r="H411" s="9" t="n"/>
      <c r="I411" s="9" t="n"/>
      <c r="J411" s="10" t="n"/>
      <c r="K411" s="10" t="n"/>
      <c r="L411" s="11">
        <f>IF($S411="","",IF($S411="ITEM_PRICE_PLUS_DECLARED_DELIVERY",IF(OR($J411="",$K411=""),"",SUM($J411,$K411,$U411)),IF($S411="TOTAL_AMOUNT_INCLUDING_DELIVERY",IF($T411="","",$T411),IF($S411="DELIVERY_CHARGE_ONLY",IF($K411="","",SUM($K411,$U411)),IF($S411="EXACT_COLLECTION_AMOUNT",IF($T411="","",$T411),IF($S411="ITEM_PRICE_ONLY_DELIVERY_PAID_BY_MERCHANT",IF($J411="","",SUM($J411,$U411)),""))))))</f>
        <v/>
      </c>
      <c r="M411" s="12" t="n"/>
      <c r="N411" s="13" t="n"/>
      <c r="O411" s="13" t="n"/>
      <c r="P411" s="9" t="n"/>
      <c r="Q411" s="14" t="n"/>
      <c r="R411" s="15" t="n"/>
      <c r="S411" s="14" t="n"/>
      <c r="T411" s="16" t="n"/>
      <c r="U411" s="16" t="n"/>
      <c r="V411" s="16" t="n"/>
      <c r="W411" s="16" t="n"/>
      <c r="X411" s="16" t="n"/>
      <c r="Y411" s="16" t="n"/>
      <c r="Z411" s="14" t="n"/>
      <c r="AA411" s="14" t="n"/>
      <c r="AB411" s="14" t="n"/>
      <c r="AC411" s="17">
        <f>IFERROR(VLOOKUP($H411&amp;"|"&amp;$Q411,Tariff_Master!$A$2:$L$169,3,FALSE),"")</f>
        <v/>
      </c>
      <c r="AD411" s="17">
        <f>IFERROR(VLOOKUP($H411&amp;"|"&amp;$Q411,Tariff_Master!$A$2:$L$169,4,FALSE),"")</f>
        <v/>
      </c>
      <c r="AE411" s="18">
        <f>IFERROR(VLOOKUP($H411&amp;"|"&amp;$Q411,Tariff_Master!$A$2:$L$169,6,FALSE),"")</f>
        <v/>
      </c>
      <c r="AF411" s="19">
        <f>IFERROR(VLOOKUP($H411&amp;"|"&amp;$Q411,Tariff_Master!$A$2:$L$169,7,FALSE),"")</f>
        <v/>
      </c>
      <c r="AG411" s="18">
        <f>IFERROR(VLOOKUP($H411&amp;"|"&amp;$Q411,Tariff_Master!$A$2:$L$169,8,FALSE),"")</f>
        <v/>
      </c>
      <c r="AH411" s="20">
        <f>IFERROR(VLOOKUP($H411&amp;"|"&amp;$Q411,Tariff_Master!$A$2:$L$169,9,FALSE),"")</f>
        <v/>
      </c>
      <c r="AI411" s="18">
        <f>IFERROR(VLOOKUP($H411&amp;"|"&amp;$Q411,Tariff_Master!$A$2:$L$169,10,FALSE),"")</f>
        <v/>
      </c>
      <c r="AJ411" s="21">
        <f>IF($M411="","",ROUNDUP(MAX(0,$M411),0))</f>
        <v/>
      </c>
      <c r="AK411" s="21">
        <f>IF(OR($AJ411="",$AF411=""),"",MAX(0,$AJ411-$AF411))</f>
        <v/>
      </c>
      <c r="AL411" s="22">
        <f>IF(OR($AK411="",$AG411=""),"",MAX(0,$AK411*$AG411))</f>
        <v/>
      </c>
      <c r="AM411" s="22">
        <f>IF($AE411="","",MAX(0,SUM($AE411,$AL411,$V411,$W411)))</f>
        <v/>
      </c>
      <c r="AN411" s="22">
        <f>IF($AM411="","",IF(AND($Q411="COMMITMENT",$R411&gt;=$AH411),$AI411,0))</f>
        <v/>
      </c>
      <c r="AO411" s="23">
        <f>IF($AM411="","",MAX(0,$AM411-$AN411))</f>
        <v/>
      </c>
      <c r="AP411" s="22">
        <f>IF($S411="","",IF(OR($S411="ITEM_PRICE_PLUS_DECLARED_DELIVERY",$S411="DELIVERY_CHARGE_ONLY"),$K411,IF($S411="TOTAL_AMOUNT_INCLUDING_DELIVERY",IF(OR($T411="",$J411=""),"",MAX(0,$T411-$J411-$U411)),IF($S411="ITEM_PRICE_ONLY_DELIVERY_PAID_BY_MERCHANT",0,""))))</f>
        <v/>
      </c>
      <c r="AQ411" s="23">
        <f>IF(OR($AP411="",$AO411=""),"",$AP411-$AO411)</f>
        <v/>
      </c>
      <c r="AR411" s="24">
        <f>IF($S411="EXACT_COLLECTION_AMOUNT","BREAKDOWN_REQUIRED",IF($AQ411="","",IF($AQ411&gt;0,"CREDIT_TO_MERCHANT",IF($AQ411&lt;0,"DEDUCT_FROM_MERCHANT","NO_ADJUSTMENT"))))</f>
        <v/>
      </c>
      <c r="AS411" s="23">
        <f>IF(OR($AQ411="",$AR411="BREAKDOWN_REQUIRED"),"",$AQ411)</f>
        <v/>
      </c>
      <c r="AT411" s="23">
        <f>IF(OR($AR411="",$AR411="BREAKDOWN_REQUIRED"),"",SUM($J411,$AQ411,$Y411)-$X411)</f>
        <v/>
      </c>
      <c r="AU411" s="25">
        <f>IF(AND($A411="",$B411="",$F411="",$H411="",$J411="",$K411="",$M411="",$S411=""),"",IF(OR($H411="",$Q411="",$M411="",$S411=""),"ERROR",IF(OR($J411&lt;0,$K411&lt;0,$M411&lt;0,$T411&lt;0,$U411&lt;0,$V411&lt;0,$W411&lt;0,$X411&lt;0,$Y411&lt;0),"ERROR",IF($AE411="","ERROR",IF(AND(OR($S411="ITEM_PRICE_PLUS_DECLARED_DELIVERY",$S411="TOTAL_AMOUNT_INCLUDING_DELIVERY",$S411="ITEM_PRICE_ONLY_DELIVERY_PAID_BY_MERCHANT"),$J411=""),"ERROR",IF(AND(OR($S411="ITEM_PRICE_PLUS_DECLARED_DELIVERY",$S411="DELIVERY_CHARGE_ONLY"),$K411=""),"ERROR",IF(AND(OR($S411="TOTAL_AMOUNT_INCLUDING_DELIVERY",$S411="EXACT_COLLECTION_AMOUNT"),$T411=""),"ERROR",IF(AND($S411="TOTAL_AMOUNT_INCLUDING_DELIVERY",$T411&lt;SUM($J411,$U411)),"ERROR",IF($S411="EXACT_COLLECTION_AMOUNT","REVIEW","OK")))))))))</f>
        <v/>
      </c>
      <c r="AV411" s="25">
        <f>IF($AU411="","",IF($H411="","Township required",IF($Q411="","Customer tier required",IF($M411="","Weight required",IF($S411="","Amount entry type required",IF(OR($J411&lt;0,$K411&lt;0,$M411&lt;0,$T411&lt;0,$U411&lt;0,$V411&lt;0,$W411&lt;0,$X411&lt;0,$Y411&lt;0),"Negative amounts are not allowed",IF($AE411="","Tariff not found for township and tier",IF(AND(OR($S411="ITEM_PRICE_PLUS_DECLARED_DELIVERY",$S411="TOTAL_AMOUNT_INCLUDING_DELIVERY",$S411="ITEM_PRICE_ONLY_DELIVERY_PAID_BY_MERCHANT"),$J411=""),"Item price required for this amount type",IF(AND(OR($S411="ITEM_PRICE_PLUS_DECLARED_DELIVERY",$S411="DELIVERY_CHARGE_ONLY"),$K411=""),"Declared delivery charge required",IF(AND(OR($S411="TOTAL_AMOUNT_INCLUDING_DELIVERY",$S411="EXACT_COLLECTION_AMOUNT"),$T411=""),"Stated total amount required",IF(AND($S411="TOTAL_AMOUNT_INCLUDING_DELIVERY",$T411&lt;SUM($J411,$U411)),"Stated total is below item price plus additional charge",IF($S411="EXACT_COLLECTION_AMOUNT","Authorized amount breakdown required before settlement","Ready for collection and settlement"))))))))))))</f>
        <v/>
      </c>
      <c r="AW411" s="23">
        <f>IF($AU411="","","PARCEL_FINANCIAL_V2")</f>
        <v/>
      </c>
      <c r="AX411" s="17" t="n"/>
    </row>
    <row r="412">
      <c r="A412" s="8" t="n"/>
      <c r="B412" s="8" t="n"/>
      <c r="C412" s="8" t="n"/>
      <c r="D412" s="8" t="n"/>
      <c r="E412" s="9" t="n"/>
      <c r="F412" s="9" t="n"/>
      <c r="G412" s="8" t="n"/>
      <c r="H412" s="9" t="n"/>
      <c r="I412" s="9" t="n"/>
      <c r="J412" s="10" t="n"/>
      <c r="K412" s="10" t="n"/>
      <c r="L412" s="11">
        <f>IF($S412="","",IF($S412="ITEM_PRICE_PLUS_DECLARED_DELIVERY",IF(OR($J412="",$K412=""),"",SUM($J412,$K412,$U412)),IF($S412="TOTAL_AMOUNT_INCLUDING_DELIVERY",IF($T412="","",$T412),IF($S412="DELIVERY_CHARGE_ONLY",IF($K412="","",SUM($K412,$U412)),IF($S412="EXACT_COLLECTION_AMOUNT",IF($T412="","",$T412),IF($S412="ITEM_PRICE_ONLY_DELIVERY_PAID_BY_MERCHANT",IF($J412="","",SUM($J412,$U412)),""))))))</f>
        <v/>
      </c>
      <c r="M412" s="12" t="n"/>
      <c r="N412" s="13" t="n"/>
      <c r="O412" s="13" t="n"/>
      <c r="P412" s="9" t="n"/>
      <c r="Q412" s="14" t="n"/>
      <c r="R412" s="15" t="n"/>
      <c r="S412" s="14" t="n"/>
      <c r="T412" s="16" t="n"/>
      <c r="U412" s="16" t="n"/>
      <c r="V412" s="16" t="n"/>
      <c r="W412" s="16" t="n"/>
      <c r="X412" s="16" t="n"/>
      <c r="Y412" s="16" t="n"/>
      <c r="Z412" s="14" t="n"/>
      <c r="AA412" s="14" t="n"/>
      <c r="AB412" s="14" t="n"/>
      <c r="AC412" s="17">
        <f>IFERROR(VLOOKUP($H412&amp;"|"&amp;$Q412,Tariff_Master!$A$2:$L$169,3,FALSE),"")</f>
        <v/>
      </c>
      <c r="AD412" s="17">
        <f>IFERROR(VLOOKUP($H412&amp;"|"&amp;$Q412,Tariff_Master!$A$2:$L$169,4,FALSE),"")</f>
        <v/>
      </c>
      <c r="AE412" s="18">
        <f>IFERROR(VLOOKUP($H412&amp;"|"&amp;$Q412,Tariff_Master!$A$2:$L$169,6,FALSE),"")</f>
        <v/>
      </c>
      <c r="AF412" s="19">
        <f>IFERROR(VLOOKUP($H412&amp;"|"&amp;$Q412,Tariff_Master!$A$2:$L$169,7,FALSE),"")</f>
        <v/>
      </c>
      <c r="AG412" s="18">
        <f>IFERROR(VLOOKUP($H412&amp;"|"&amp;$Q412,Tariff_Master!$A$2:$L$169,8,FALSE),"")</f>
        <v/>
      </c>
      <c r="AH412" s="20">
        <f>IFERROR(VLOOKUP($H412&amp;"|"&amp;$Q412,Tariff_Master!$A$2:$L$169,9,FALSE),"")</f>
        <v/>
      </c>
      <c r="AI412" s="18">
        <f>IFERROR(VLOOKUP($H412&amp;"|"&amp;$Q412,Tariff_Master!$A$2:$L$169,10,FALSE),"")</f>
        <v/>
      </c>
      <c r="AJ412" s="21">
        <f>IF($M412="","",ROUNDUP(MAX(0,$M412),0))</f>
        <v/>
      </c>
      <c r="AK412" s="21">
        <f>IF(OR($AJ412="",$AF412=""),"",MAX(0,$AJ412-$AF412))</f>
        <v/>
      </c>
      <c r="AL412" s="22">
        <f>IF(OR($AK412="",$AG412=""),"",MAX(0,$AK412*$AG412))</f>
        <v/>
      </c>
      <c r="AM412" s="22">
        <f>IF($AE412="","",MAX(0,SUM($AE412,$AL412,$V412,$W412)))</f>
        <v/>
      </c>
      <c r="AN412" s="22">
        <f>IF($AM412="","",IF(AND($Q412="COMMITMENT",$R412&gt;=$AH412),$AI412,0))</f>
        <v/>
      </c>
      <c r="AO412" s="23">
        <f>IF($AM412="","",MAX(0,$AM412-$AN412))</f>
        <v/>
      </c>
      <c r="AP412" s="22">
        <f>IF($S412="","",IF(OR($S412="ITEM_PRICE_PLUS_DECLARED_DELIVERY",$S412="DELIVERY_CHARGE_ONLY"),$K412,IF($S412="TOTAL_AMOUNT_INCLUDING_DELIVERY",IF(OR($T412="",$J412=""),"",MAX(0,$T412-$J412-$U412)),IF($S412="ITEM_PRICE_ONLY_DELIVERY_PAID_BY_MERCHANT",0,""))))</f>
        <v/>
      </c>
      <c r="AQ412" s="23">
        <f>IF(OR($AP412="",$AO412=""),"",$AP412-$AO412)</f>
        <v/>
      </c>
      <c r="AR412" s="24">
        <f>IF($S412="EXACT_COLLECTION_AMOUNT","BREAKDOWN_REQUIRED",IF($AQ412="","",IF($AQ412&gt;0,"CREDIT_TO_MERCHANT",IF($AQ412&lt;0,"DEDUCT_FROM_MERCHANT","NO_ADJUSTMENT"))))</f>
        <v/>
      </c>
      <c r="AS412" s="23">
        <f>IF(OR($AQ412="",$AR412="BREAKDOWN_REQUIRED"),"",$AQ412)</f>
        <v/>
      </c>
      <c r="AT412" s="23">
        <f>IF(OR($AR412="",$AR412="BREAKDOWN_REQUIRED"),"",SUM($J412,$AQ412,$Y412)-$X412)</f>
        <v/>
      </c>
      <c r="AU412" s="25">
        <f>IF(AND($A412="",$B412="",$F412="",$H412="",$J412="",$K412="",$M412="",$S412=""),"",IF(OR($H412="",$Q412="",$M412="",$S412=""),"ERROR",IF(OR($J412&lt;0,$K412&lt;0,$M412&lt;0,$T412&lt;0,$U412&lt;0,$V412&lt;0,$W412&lt;0,$X412&lt;0,$Y412&lt;0),"ERROR",IF($AE412="","ERROR",IF(AND(OR($S412="ITEM_PRICE_PLUS_DECLARED_DELIVERY",$S412="TOTAL_AMOUNT_INCLUDING_DELIVERY",$S412="ITEM_PRICE_ONLY_DELIVERY_PAID_BY_MERCHANT"),$J412=""),"ERROR",IF(AND(OR($S412="ITEM_PRICE_PLUS_DECLARED_DELIVERY",$S412="DELIVERY_CHARGE_ONLY"),$K412=""),"ERROR",IF(AND(OR($S412="TOTAL_AMOUNT_INCLUDING_DELIVERY",$S412="EXACT_COLLECTION_AMOUNT"),$T412=""),"ERROR",IF(AND($S412="TOTAL_AMOUNT_INCLUDING_DELIVERY",$T412&lt;SUM($J412,$U412)),"ERROR",IF($S412="EXACT_COLLECTION_AMOUNT","REVIEW","OK")))))))))</f>
        <v/>
      </c>
      <c r="AV412" s="25">
        <f>IF($AU412="","",IF($H412="","Township required",IF($Q412="","Customer tier required",IF($M412="","Weight required",IF($S412="","Amount entry type required",IF(OR($J412&lt;0,$K412&lt;0,$M412&lt;0,$T412&lt;0,$U412&lt;0,$V412&lt;0,$W412&lt;0,$X412&lt;0,$Y412&lt;0),"Negative amounts are not allowed",IF($AE412="","Tariff not found for township and tier",IF(AND(OR($S412="ITEM_PRICE_PLUS_DECLARED_DELIVERY",$S412="TOTAL_AMOUNT_INCLUDING_DELIVERY",$S412="ITEM_PRICE_ONLY_DELIVERY_PAID_BY_MERCHANT"),$J412=""),"Item price required for this amount type",IF(AND(OR($S412="ITEM_PRICE_PLUS_DECLARED_DELIVERY",$S412="DELIVERY_CHARGE_ONLY"),$K412=""),"Declared delivery charge required",IF(AND(OR($S412="TOTAL_AMOUNT_INCLUDING_DELIVERY",$S412="EXACT_COLLECTION_AMOUNT"),$T412=""),"Stated total amount required",IF(AND($S412="TOTAL_AMOUNT_INCLUDING_DELIVERY",$T412&lt;SUM($J412,$U412)),"Stated total is below item price plus additional charge",IF($S412="EXACT_COLLECTION_AMOUNT","Authorized amount breakdown required before settlement","Ready for collection and settlement"))))))))))))</f>
        <v/>
      </c>
      <c r="AW412" s="23">
        <f>IF($AU412="","","PARCEL_FINANCIAL_V2")</f>
        <v/>
      </c>
      <c r="AX412" s="17" t="n"/>
    </row>
    <row r="413">
      <c r="A413" s="8" t="n"/>
      <c r="B413" s="8" t="n"/>
      <c r="C413" s="8" t="n"/>
      <c r="D413" s="8" t="n"/>
      <c r="E413" s="9" t="n"/>
      <c r="F413" s="9" t="n"/>
      <c r="G413" s="8" t="n"/>
      <c r="H413" s="9" t="n"/>
      <c r="I413" s="9" t="n"/>
      <c r="J413" s="10" t="n"/>
      <c r="K413" s="10" t="n"/>
      <c r="L413" s="11">
        <f>IF($S413="","",IF($S413="ITEM_PRICE_PLUS_DECLARED_DELIVERY",IF(OR($J413="",$K413=""),"",SUM($J413,$K413,$U413)),IF($S413="TOTAL_AMOUNT_INCLUDING_DELIVERY",IF($T413="","",$T413),IF($S413="DELIVERY_CHARGE_ONLY",IF($K413="","",SUM($K413,$U413)),IF($S413="EXACT_COLLECTION_AMOUNT",IF($T413="","",$T413),IF($S413="ITEM_PRICE_ONLY_DELIVERY_PAID_BY_MERCHANT",IF($J413="","",SUM($J413,$U413)),""))))))</f>
        <v/>
      </c>
      <c r="M413" s="12" t="n"/>
      <c r="N413" s="13" t="n"/>
      <c r="O413" s="13" t="n"/>
      <c r="P413" s="9" t="n"/>
      <c r="Q413" s="14" t="n"/>
      <c r="R413" s="15" t="n"/>
      <c r="S413" s="14" t="n"/>
      <c r="T413" s="16" t="n"/>
      <c r="U413" s="16" t="n"/>
      <c r="V413" s="16" t="n"/>
      <c r="W413" s="16" t="n"/>
      <c r="X413" s="16" t="n"/>
      <c r="Y413" s="16" t="n"/>
      <c r="Z413" s="14" t="n"/>
      <c r="AA413" s="14" t="n"/>
      <c r="AB413" s="14" t="n"/>
      <c r="AC413" s="17">
        <f>IFERROR(VLOOKUP($H413&amp;"|"&amp;$Q413,Tariff_Master!$A$2:$L$169,3,FALSE),"")</f>
        <v/>
      </c>
      <c r="AD413" s="17">
        <f>IFERROR(VLOOKUP($H413&amp;"|"&amp;$Q413,Tariff_Master!$A$2:$L$169,4,FALSE),"")</f>
        <v/>
      </c>
      <c r="AE413" s="18">
        <f>IFERROR(VLOOKUP($H413&amp;"|"&amp;$Q413,Tariff_Master!$A$2:$L$169,6,FALSE),"")</f>
        <v/>
      </c>
      <c r="AF413" s="19">
        <f>IFERROR(VLOOKUP($H413&amp;"|"&amp;$Q413,Tariff_Master!$A$2:$L$169,7,FALSE),"")</f>
        <v/>
      </c>
      <c r="AG413" s="18">
        <f>IFERROR(VLOOKUP($H413&amp;"|"&amp;$Q413,Tariff_Master!$A$2:$L$169,8,FALSE),"")</f>
        <v/>
      </c>
      <c r="AH413" s="20">
        <f>IFERROR(VLOOKUP($H413&amp;"|"&amp;$Q413,Tariff_Master!$A$2:$L$169,9,FALSE),"")</f>
        <v/>
      </c>
      <c r="AI413" s="18">
        <f>IFERROR(VLOOKUP($H413&amp;"|"&amp;$Q413,Tariff_Master!$A$2:$L$169,10,FALSE),"")</f>
        <v/>
      </c>
      <c r="AJ413" s="21">
        <f>IF($M413="","",ROUNDUP(MAX(0,$M413),0))</f>
        <v/>
      </c>
      <c r="AK413" s="21">
        <f>IF(OR($AJ413="",$AF413=""),"",MAX(0,$AJ413-$AF413))</f>
        <v/>
      </c>
      <c r="AL413" s="22">
        <f>IF(OR($AK413="",$AG413=""),"",MAX(0,$AK413*$AG413))</f>
        <v/>
      </c>
      <c r="AM413" s="22">
        <f>IF($AE413="","",MAX(0,SUM($AE413,$AL413,$V413,$W413)))</f>
        <v/>
      </c>
      <c r="AN413" s="22">
        <f>IF($AM413="","",IF(AND($Q413="COMMITMENT",$R413&gt;=$AH413),$AI413,0))</f>
        <v/>
      </c>
      <c r="AO413" s="23">
        <f>IF($AM413="","",MAX(0,$AM413-$AN413))</f>
        <v/>
      </c>
      <c r="AP413" s="22">
        <f>IF($S413="","",IF(OR($S413="ITEM_PRICE_PLUS_DECLARED_DELIVERY",$S413="DELIVERY_CHARGE_ONLY"),$K413,IF($S413="TOTAL_AMOUNT_INCLUDING_DELIVERY",IF(OR($T413="",$J413=""),"",MAX(0,$T413-$J413-$U413)),IF($S413="ITEM_PRICE_ONLY_DELIVERY_PAID_BY_MERCHANT",0,""))))</f>
        <v/>
      </c>
      <c r="AQ413" s="23">
        <f>IF(OR($AP413="",$AO413=""),"",$AP413-$AO413)</f>
        <v/>
      </c>
      <c r="AR413" s="24">
        <f>IF($S413="EXACT_COLLECTION_AMOUNT","BREAKDOWN_REQUIRED",IF($AQ413="","",IF($AQ413&gt;0,"CREDIT_TO_MERCHANT",IF($AQ413&lt;0,"DEDUCT_FROM_MERCHANT","NO_ADJUSTMENT"))))</f>
        <v/>
      </c>
      <c r="AS413" s="23">
        <f>IF(OR($AQ413="",$AR413="BREAKDOWN_REQUIRED"),"",$AQ413)</f>
        <v/>
      </c>
      <c r="AT413" s="23">
        <f>IF(OR($AR413="",$AR413="BREAKDOWN_REQUIRED"),"",SUM($J413,$AQ413,$Y413)-$X413)</f>
        <v/>
      </c>
      <c r="AU413" s="25">
        <f>IF(AND($A413="",$B413="",$F413="",$H413="",$J413="",$K413="",$M413="",$S413=""),"",IF(OR($H413="",$Q413="",$M413="",$S413=""),"ERROR",IF(OR($J413&lt;0,$K413&lt;0,$M413&lt;0,$T413&lt;0,$U413&lt;0,$V413&lt;0,$W413&lt;0,$X413&lt;0,$Y413&lt;0),"ERROR",IF($AE413="","ERROR",IF(AND(OR($S413="ITEM_PRICE_PLUS_DECLARED_DELIVERY",$S413="TOTAL_AMOUNT_INCLUDING_DELIVERY",$S413="ITEM_PRICE_ONLY_DELIVERY_PAID_BY_MERCHANT"),$J413=""),"ERROR",IF(AND(OR($S413="ITEM_PRICE_PLUS_DECLARED_DELIVERY",$S413="DELIVERY_CHARGE_ONLY"),$K413=""),"ERROR",IF(AND(OR($S413="TOTAL_AMOUNT_INCLUDING_DELIVERY",$S413="EXACT_COLLECTION_AMOUNT"),$T413=""),"ERROR",IF(AND($S413="TOTAL_AMOUNT_INCLUDING_DELIVERY",$T413&lt;SUM($J413,$U413)),"ERROR",IF($S413="EXACT_COLLECTION_AMOUNT","REVIEW","OK")))))))))</f>
        <v/>
      </c>
      <c r="AV413" s="25">
        <f>IF($AU413="","",IF($H413="","Township required",IF($Q413="","Customer tier required",IF($M413="","Weight required",IF($S413="","Amount entry type required",IF(OR($J413&lt;0,$K413&lt;0,$M413&lt;0,$T413&lt;0,$U413&lt;0,$V413&lt;0,$W413&lt;0,$X413&lt;0,$Y413&lt;0),"Negative amounts are not allowed",IF($AE413="","Tariff not found for township and tier",IF(AND(OR($S413="ITEM_PRICE_PLUS_DECLARED_DELIVERY",$S413="TOTAL_AMOUNT_INCLUDING_DELIVERY",$S413="ITEM_PRICE_ONLY_DELIVERY_PAID_BY_MERCHANT"),$J413=""),"Item price required for this amount type",IF(AND(OR($S413="ITEM_PRICE_PLUS_DECLARED_DELIVERY",$S413="DELIVERY_CHARGE_ONLY"),$K413=""),"Declared delivery charge required",IF(AND(OR($S413="TOTAL_AMOUNT_INCLUDING_DELIVERY",$S413="EXACT_COLLECTION_AMOUNT"),$T413=""),"Stated total amount required",IF(AND($S413="TOTAL_AMOUNT_INCLUDING_DELIVERY",$T413&lt;SUM($J413,$U413)),"Stated total is below item price plus additional charge",IF($S413="EXACT_COLLECTION_AMOUNT","Authorized amount breakdown required before settlement","Ready for collection and settlement"))))))))))))</f>
        <v/>
      </c>
      <c r="AW413" s="23">
        <f>IF($AU413="","","PARCEL_FINANCIAL_V2")</f>
        <v/>
      </c>
      <c r="AX413" s="17" t="n"/>
    </row>
    <row r="414">
      <c r="A414" s="8" t="n"/>
      <c r="B414" s="8" t="n"/>
      <c r="C414" s="8" t="n"/>
      <c r="D414" s="8" t="n"/>
      <c r="E414" s="9" t="n"/>
      <c r="F414" s="9" t="n"/>
      <c r="G414" s="8" t="n"/>
      <c r="H414" s="9" t="n"/>
      <c r="I414" s="9" t="n"/>
      <c r="J414" s="10" t="n"/>
      <c r="K414" s="10" t="n"/>
      <c r="L414" s="11">
        <f>IF($S414="","",IF($S414="ITEM_PRICE_PLUS_DECLARED_DELIVERY",IF(OR($J414="",$K414=""),"",SUM($J414,$K414,$U414)),IF($S414="TOTAL_AMOUNT_INCLUDING_DELIVERY",IF($T414="","",$T414),IF($S414="DELIVERY_CHARGE_ONLY",IF($K414="","",SUM($K414,$U414)),IF($S414="EXACT_COLLECTION_AMOUNT",IF($T414="","",$T414),IF($S414="ITEM_PRICE_ONLY_DELIVERY_PAID_BY_MERCHANT",IF($J414="","",SUM($J414,$U414)),""))))))</f>
        <v/>
      </c>
      <c r="M414" s="12" t="n"/>
      <c r="N414" s="13" t="n"/>
      <c r="O414" s="13" t="n"/>
      <c r="P414" s="9" t="n"/>
      <c r="Q414" s="14" t="n"/>
      <c r="R414" s="15" t="n"/>
      <c r="S414" s="14" t="n"/>
      <c r="T414" s="16" t="n"/>
      <c r="U414" s="16" t="n"/>
      <c r="V414" s="16" t="n"/>
      <c r="W414" s="16" t="n"/>
      <c r="X414" s="16" t="n"/>
      <c r="Y414" s="16" t="n"/>
      <c r="Z414" s="14" t="n"/>
      <c r="AA414" s="14" t="n"/>
      <c r="AB414" s="14" t="n"/>
      <c r="AC414" s="17">
        <f>IFERROR(VLOOKUP($H414&amp;"|"&amp;$Q414,Tariff_Master!$A$2:$L$169,3,FALSE),"")</f>
        <v/>
      </c>
      <c r="AD414" s="17">
        <f>IFERROR(VLOOKUP($H414&amp;"|"&amp;$Q414,Tariff_Master!$A$2:$L$169,4,FALSE),"")</f>
        <v/>
      </c>
      <c r="AE414" s="18">
        <f>IFERROR(VLOOKUP($H414&amp;"|"&amp;$Q414,Tariff_Master!$A$2:$L$169,6,FALSE),"")</f>
        <v/>
      </c>
      <c r="AF414" s="19">
        <f>IFERROR(VLOOKUP($H414&amp;"|"&amp;$Q414,Tariff_Master!$A$2:$L$169,7,FALSE),"")</f>
        <v/>
      </c>
      <c r="AG414" s="18">
        <f>IFERROR(VLOOKUP($H414&amp;"|"&amp;$Q414,Tariff_Master!$A$2:$L$169,8,FALSE),"")</f>
        <v/>
      </c>
      <c r="AH414" s="20">
        <f>IFERROR(VLOOKUP($H414&amp;"|"&amp;$Q414,Tariff_Master!$A$2:$L$169,9,FALSE),"")</f>
        <v/>
      </c>
      <c r="AI414" s="18">
        <f>IFERROR(VLOOKUP($H414&amp;"|"&amp;$Q414,Tariff_Master!$A$2:$L$169,10,FALSE),"")</f>
        <v/>
      </c>
      <c r="AJ414" s="21">
        <f>IF($M414="","",ROUNDUP(MAX(0,$M414),0))</f>
        <v/>
      </c>
      <c r="AK414" s="21">
        <f>IF(OR($AJ414="",$AF414=""),"",MAX(0,$AJ414-$AF414))</f>
        <v/>
      </c>
      <c r="AL414" s="22">
        <f>IF(OR($AK414="",$AG414=""),"",MAX(0,$AK414*$AG414))</f>
        <v/>
      </c>
      <c r="AM414" s="22">
        <f>IF($AE414="","",MAX(0,SUM($AE414,$AL414,$V414,$W414)))</f>
        <v/>
      </c>
      <c r="AN414" s="22">
        <f>IF($AM414="","",IF(AND($Q414="COMMITMENT",$R414&gt;=$AH414),$AI414,0))</f>
        <v/>
      </c>
      <c r="AO414" s="23">
        <f>IF($AM414="","",MAX(0,$AM414-$AN414))</f>
        <v/>
      </c>
      <c r="AP414" s="22">
        <f>IF($S414="","",IF(OR($S414="ITEM_PRICE_PLUS_DECLARED_DELIVERY",$S414="DELIVERY_CHARGE_ONLY"),$K414,IF($S414="TOTAL_AMOUNT_INCLUDING_DELIVERY",IF(OR($T414="",$J414=""),"",MAX(0,$T414-$J414-$U414)),IF($S414="ITEM_PRICE_ONLY_DELIVERY_PAID_BY_MERCHANT",0,""))))</f>
        <v/>
      </c>
      <c r="AQ414" s="23">
        <f>IF(OR($AP414="",$AO414=""),"",$AP414-$AO414)</f>
        <v/>
      </c>
      <c r="AR414" s="24">
        <f>IF($S414="EXACT_COLLECTION_AMOUNT","BREAKDOWN_REQUIRED",IF($AQ414="","",IF($AQ414&gt;0,"CREDIT_TO_MERCHANT",IF($AQ414&lt;0,"DEDUCT_FROM_MERCHANT","NO_ADJUSTMENT"))))</f>
        <v/>
      </c>
      <c r="AS414" s="23">
        <f>IF(OR($AQ414="",$AR414="BREAKDOWN_REQUIRED"),"",$AQ414)</f>
        <v/>
      </c>
      <c r="AT414" s="23">
        <f>IF(OR($AR414="",$AR414="BREAKDOWN_REQUIRED"),"",SUM($J414,$AQ414,$Y414)-$X414)</f>
        <v/>
      </c>
      <c r="AU414" s="25">
        <f>IF(AND($A414="",$B414="",$F414="",$H414="",$J414="",$K414="",$M414="",$S414=""),"",IF(OR($H414="",$Q414="",$M414="",$S414=""),"ERROR",IF(OR($J414&lt;0,$K414&lt;0,$M414&lt;0,$T414&lt;0,$U414&lt;0,$V414&lt;0,$W414&lt;0,$X414&lt;0,$Y414&lt;0),"ERROR",IF($AE414="","ERROR",IF(AND(OR($S414="ITEM_PRICE_PLUS_DECLARED_DELIVERY",$S414="TOTAL_AMOUNT_INCLUDING_DELIVERY",$S414="ITEM_PRICE_ONLY_DELIVERY_PAID_BY_MERCHANT"),$J414=""),"ERROR",IF(AND(OR($S414="ITEM_PRICE_PLUS_DECLARED_DELIVERY",$S414="DELIVERY_CHARGE_ONLY"),$K414=""),"ERROR",IF(AND(OR($S414="TOTAL_AMOUNT_INCLUDING_DELIVERY",$S414="EXACT_COLLECTION_AMOUNT"),$T414=""),"ERROR",IF(AND($S414="TOTAL_AMOUNT_INCLUDING_DELIVERY",$T414&lt;SUM($J414,$U414)),"ERROR",IF($S414="EXACT_COLLECTION_AMOUNT","REVIEW","OK")))))))))</f>
        <v/>
      </c>
      <c r="AV414" s="25">
        <f>IF($AU414="","",IF($H414="","Township required",IF($Q414="","Customer tier required",IF($M414="","Weight required",IF($S414="","Amount entry type required",IF(OR($J414&lt;0,$K414&lt;0,$M414&lt;0,$T414&lt;0,$U414&lt;0,$V414&lt;0,$W414&lt;0,$X414&lt;0,$Y414&lt;0),"Negative amounts are not allowed",IF($AE414="","Tariff not found for township and tier",IF(AND(OR($S414="ITEM_PRICE_PLUS_DECLARED_DELIVERY",$S414="TOTAL_AMOUNT_INCLUDING_DELIVERY",$S414="ITEM_PRICE_ONLY_DELIVERY_PAID_BY_MERCHANT"),$J414=""),"Item price required for this amount type",IF(AND(OR($S414="ITEM_PRICE_PLUS_DECLARED_DELIVERY",$S414="DELIVERY_CHARGE_ONLY"),$K414=""),"Declared delivery charge required",IF(AND(OR($S414="TOTAL_AMOUNT_INCLUDING_DELIVERY",$S414="EXACT_COLLECTION_AMOUNT"),$T414=""),"Stated total amount required",IF(AND($S414="TOTAL_AMOUNT_INCLUDING_DELIVERY",$T414&lt;SUM($J414,$U414)),"Stated total is below item price plus additional charge",IF($S414="EXACT_COLLECTION_AMOUNT","Authorized amount breakdown required before settlement","Ready for collection and settlement"))))))))))))</f>
        <v/>
      </c>
      <c r="AW414" s="23">
        <f>IF($AU414="","","PARCEL_FINANCIAL_V2")</f>
        <v/>
      </c>
      <c r="AX414" s="17" t="n"/>
    </row>
    <row r="415">
      <c r="A415" s="8" t="n"/>
      <c r="B415" s="8" t="n"/>
      <c r="C415" s="8" t="n"/>
      <c r="D415" s="8" t="n"/>
      <c r="E415" s="9" t="n"/>
      <c r="F415" s="9" t="n"/>
      <c r="G415" s="8" t="n"/>
      <c r="H415" s="9" t="n"/>
      <c r="I415" s="9" t="n"/>
      <c r="J415" s="10" t="n"/>
      <c r="K415" s="10" t="n"/>
      <c r="L415" s="11">
        <f>IF($S415="","",IF($S415="ITEM_PRICE_PLUS_DECLARED_DELIVERY",IF(OR($J415="",$K415=""),"",SUM($J415,$K415,$U415)),IF($S415="TOTAL_AMOUNT_INCLUDING_DELIVERY",IF($T415="","",$T415),IF($S415="DELIVERY_CHARGE_ONLY",IF($K415="","",SUM($K415,$U415)),IF($S415="EXACT_COLLECTION_AMOUNT",IF($T415="","",$T415),IF($S415="ITEM_PRICE_ONLY_DELIVERY_PAID_BY_MERCHANT",IF($J415="","",SUM($J415,$U415)),""))))))</f>
        <v/>
      </c>
      <c r="M415" s="12" t="n"/>
      <c r="N415" s="13" t="n"/>
      <c r="O415" s="13" t="n"/>
      <c r="P415" s="9" t="n"/>
      <c r="Q415" s="14" t="n"/>
      <c r="R415" s="15" t="n"/>
      <c r="S415" s="14" t="n"/>
      <c r="T415" s="16" t="n"/>
      <c r="U415" s="16" t="n"/>
      <c r="V415" s="16" t="n"/>
      <c r="W415" s="16" t="n"/>
      <c r="X415" s="16" t="n"/>
      <c r="Y415" s="16" t="n"/>
      <c r="Z415" s="14" t="n"/>
      <c r="AA415" s="14" t="n"/>
      <c r="AB415" s="14" t="n"/>
      <c r="AC415" s="17">
        <f>IFERROR(VLOOKUP($H415&amp;"|"&amp;$Q415,Tariff_Master!$A$2:$L$169,3,FALSE),"")</f>
        <v/>
      </c>
      <c r="AD415" s="17">
        <f>IFERROR(VLOOKUP($H415&amp;"|"&amp;$Q415,Tariff_Master!$A$2:$L$169,4,FALSE),"")</f>
        <v/>
      </c>
      <c r="AE415" s="18">
        <f>IFERROR(VLOOKUP($H415&amp;"|"&amp;$Q415,Tariff_Master!$A$2:$L$169,6,FALSE),"")</f>
        <v/>
      </c>
      <c r="AF415" s="19">
        <f>IFERROR(VLOOKUP($H415&amp;"|"&amp;$Q415,Tariff_Master!$A$2:$L$169,7,FALSE),"")</f>
        <v/>
      </c>
      <c r="AG415" s="18">
        <f>IFERROR(VLOOKUP($H415&amp;"|"&amp;$Q415,Tariff_Master!$A$2:$L$169,8,FALSE),"")</f>
        <v/>
      </c>
      <c r="AH415" s="20">
        <f>IFERROR(VLOOKUP($H415&amp;"|"&amp;$Q415,Tariff_Master!$A$2:$L$169,9,FALSE),"")</f>
        <v/>
      </c>
      <c r="AI415" s="18">
        <f>IFERROR(VLOOKUP($H415&amp;"|"&amp;$Q415,Tariff_Master!$A$2:$L$169,10,FALSE),"")</f>
        <v/>
      </c>
      <c r="AJ415" s="21">
        <f>IF($M415="","",ROUNDUP(MAX(0,$M415),0))</f>
        <v/>
      </c>
      <c r="AK415" s="21">
        <f>IF(OR($AJ415="",$AF415=""),"",MAX(0,$AJ415-$AF415))</f>
        <v/>
      </c>
      <c r="AL415" s="22">
        <f>IF(OR($AK415="",$AG415=""),"",MAX(0,$AK415*$AG415))</f>
        <v/>
      </c>
      <c r="AM415" s="22">
        <f>IF($AE415="","",MAX(0,SUM($AE415,$AL415,$V415,$W415)))</f>
        <v/>
      </c>
      <c r="AN415" s="22">
        <f>IF($AM415="","",IF(AND($Q415="COMMITMENT",$R415&gt;=$AH415),$AI415,0))</f>
        <v/>
      </c>
      <c r="AO415" s="23">
        <f>IF($AM415="","",MAX(0,$AM415-$AN415))</f>
        <v/>
      </c>
      <c r="AP415" s="22">
        <f>IF($S415="","",IF(OR($S415="ITEM_PRICE_PLUS_DECLARED_DELIVERY",$S415="DELIVERY_CHARGE_ONLY"),$K415,IF($S415="TOTAL_AMOUNT_INCLUDING_DELIVERY",IF(OR($T415="",$J415=""),"",MAX(0,$T415-$J415-$U415)),IF($S415="ITEM_PRICE_ONLY_DELIVERY_PAID_BY_MERCHANT",0,""))))</f>
        <v/>
      </c>
      <c r="AQ415" s="23">
        <f>IF(OR($AP415="",$AO415=""),"",$AP415-$AO415)</f>
        <v/>
      </c>
      <c r="AR415" s="24">
        <f>IF($S415="EXACT_COLLECTION_AMOUNT","BREAKDOWN_REQUIRED",IF($AQ415="","",IF($AQ415&gt;0,"CREDIT_TO_MERCHANT",IF($AQ415&lt;0,"DEDUCT_FROM_MERCHANT","NO_ADJUSTMENT"))))</f>
        <v/>
      </c>
      <c r="AS415" s="23">
        <f>IF(OR($AQ415="",$AR415="BREAKDOWN_REQUIRED"),"",$AQ415)</f>
        <v/>
      </c>
      <c r="AT415" s="23">
        <f>IF(OR($AR415="",$AR415="BREAKDOWN_REQUIRED"),"",SUM($J415,$AQ415,$Y415)-$X415)</f>
        <v/>
      </c>
      <c r="AU415" s="25">
        <f>IF(AND($A415="",$B415="",$F415="",$H415="",$J415="",$K415="",$M415="",$S415=""),"",IF(OR($H415="",$Q415="",$M415="",$S415=""),"ERROR",IF(OR($J415&lt;0,$K415&lt;0,$M415&lt;0,$T415&lt;0,$U415&lt;0,$V415&lt;0,$W415&lt;0,$X415&lt;0,$Y415&lt;0),"ERROR",IF($AE415="","ERROR",IF(AND(OR($S415="ITEM_PRICE_PLUS_DECLARED_DELIVERY",$S415="TOTAL_AMOUNT_INCLUDING_DELIVERY",$S415="ITEM_PRICE_ONLY_DELIVERY_PAID_BY_MERCHANT"),$J415=""),"ERROR",IF(AND(OR($S415="ITEM_PRICE_PLUS_DECLARED_DELIVERY",$S415="DELIVERY_CHARGE_ONLY"),$K415=""),"ERROR",IF(AND(OR($S415="TOTAL_AMOUNT_INCLUDING_DELIVERY",$S415="EXACT_COLLECTION_AMOUNT"),$T415=""),"ERROR",IF(AND($S415="TOTAL_AMOUNT_INCLUDING_DELIVERY",$T415&lt;SUM($J415,$U415)),"ERROR",IF($S415="EXACT_COLLECTION_AMOUNT","REVIEW","OK")))))))))</f>
        <v/>
      </c>
      <c r="AV415" s="25">
        <f>IF($AU415="","",IF($H415="","Township required",IF($Q415="","Customer tier required",IF($M415="","Weight required",IF($S415="","Amount entry type required",IF(OR($J415&lt;0,$K415&lt;0,$M415&lt;0,$T415&lt;0,$U415&lt;0,$V415&lt;0,$W415&lt;0,$X415&lt;0,$Y415&lt;0),"Negative amounts are not allowed",IF($AE415="","Tariff not found for township and tier",IF(AND(OR($S415="ITEM_PRICE_PLUS_DECLARED_DELIVERY",$S415="TOTAL_AMOUNT_INCLUDING_DELIVERY",$S415="ITEM_PRICE_ONLY_DELIVERY_PAID_BY_MERCHANT"),$J415=""),"Item price required for this amount type",IF(AND(OR($S415="ITEM_PRICE_PLUS_DECLARED_DELIVERY",$S415="DELIVERY_CHARGE_ONLY"),$K415=""),"Declared delivery charge required",IF(AND(OR($S415="TOTAL_AMOUNT_INCLUDING_DELIVERY",$S415="EXACT_COLLECTION_AMOUNT"),$T415=""),"Stated total amount required",IF(AND($S415="TOTAL_AMOUNT_INCLUDING_DELIVERY",$T415&lt;SUM($J415,$U415)),"Stated total is below item price plus additional charge",IF($S415="EXACT_COLLECTION_AMOUNT","Authorized amount breakdown required before settlement","Ready for collection and settlement"))))))))))))</f>
        <v/>
      </c>
      <c r="AW415" s="23">
        <f>IF($AU415="","","PARCEL_FINANCIAL_V2")</f>
        <v/>
      </c>
      <c r="AX415" s="17" t="n"/>
    </row>
    <row r="416">
      <c r="A416" s="8" t="n"/>
      <c r="B416" s="8" t="n"/>
      <c r="C416" s="8" t="n"/>
      <c r="D416" s="8" t="n"/>
      <c r="E416" s="9" t="n"/>
      <c r="F416" s="9" t="n"/>
      <c r="G416" s="8" t="n"/>
      <c r="H416" s="9" t="n"/>
      <c r="I416" s="9" t="n"/>
      <c r="J416" s="10" t="n"/>
      <c r="K416" s="10" t="n"/>
      <c r="L416" s="11">
        <f>IF($S416="","",IF($S416="ITEM_PRICE_PLUS_DECLARED_DELIVERY",IF(OR($J416="",$K416=""),"",SUM($J416,$K416,$U416)),IF($S416="TOTAL_AMOUNT_INCLUDING_DELIVERY",IF($T416="","",$T416),IF($S416="DELIVERY_CHARGE_ONLY",IF($K416="","",SUM($K416,$U416)),IF($S416="EXACT_COLLECTION_AMOUNT",IF($T416="","",$T416),IF($S416="ITEM_PRICE_ONLY_DELIVERY_PAID_BY_MERCHANT",IF($J416="","",SUM($J416,$U416)),""))))))</f>
        <v/>
      </c>
      <c r="M416" s="12" t="n"/>
      <c r="N416" s="13" t="n"/>
      <c r="O416" s="13" t="n"/>
      <c r="P416" s="9" t="n"/>
      <c r="Q416" s="14" t="n"/>
      <c r="R416" s="15" t="n"/>
      <c r="S416" s="14" t="n"/>
      <c r="T416" s="16" t="n"/>
      <c r="U416" s="16" t="n"/>
      <c r="V416" s="16" t="n"/>
      <c r="W416" s="16" t="n"/>
      <c r="X416" s="16" t="n"/>
      <c r="Y416" s="16" t="n"/>
      <c r="Z416" s="14" t="n"/>
      <c r="AA416" s="14" t="n"/>
      <c r="AB416" s="14" t="n"/>
      <c r="AC416" s="17">
        <f>IFERROR(VLOOKUP($H416&amp;"|"&amp;$Q416,Tariff_Master!$A$2:$L$169,3,FALSE),"")</f>
        <v/>
      </c>
      <c r="AD416" s="17">
        <f>IFERROR(VLOOKUP($H416&amp;"|"&amp;$Q416,Tariff_Master!$A$2:$L$169,4,FALSE),"")</f>
        <v/>
      </c>
      <c r="AE416" s="18">
        <f>IFERROR(VLOOKUP($H416&amp;"|"&amp;$Q416,Tariff_Master!$A$2:$L$169,6,FALSE),"")</f>
        <v/>
      </c>
      <c r="AF416" s="19">
        <f>IFERROR(VLOOKUP($H416&amp;"|"&amp;$Q416,Tariff_Master!$A$2:$L$169,7,FALSE),"")</f>
        <v/>
      </c>
      <c r="AG416" s="18">
        <f>IFERROR(VLOOKUP($H416&amp;"|"&amp;$Q416,Tariff_Master!$A$2:$L$169,8,FALSE),"")</f>
        <v/>
      </c>
      <c r="AH416" s="20">
        <f>IFERROR(VLOOKUP($H416&amp;"|"&amp;$Q416,Tariff_Master!$A$2:$L$169,9,FALSE),"")</f>
        <v/>
      </c>
      <c r="AI416" s="18">
        <f>IFERROR(VLOOKUP($H416&amp;"|"&amp;$Q416,Tariff_Master!$A$2:$L$169,10,FALSE),"")</f>
        <v/>
      </c>
      <c r="AJ416" s="21">
        <f>IF($M416="","",ROUNDUP(MAX(0,$M416),0))</f>
        <v/>
      </c>
      <c r="AK416" s="21">
        <f>IF(OR($AJ416="",$AF416=""),"",MAX(0,$AJ416-$AF416))</f>
        <v/>
      </c>
      <c r="AL416" s="22">
        <f>IF(OR($AK416="",$AG416=""),"",MAX(0,$AK416*$AG416))</f>
        <v/>
      </c>
      <c r="AM416" s="22">
        <f>IF($AE416="","",MAX(0,SUM($AE416,$AL416,$V416,$W416)))</f>
        <v/>
      </c>
      <c r="AN416" s="22">
        <f>IF($AM416="","",IF(AND($Q416="COMMITMENT",$R416&gt;=$AH416),$AI416,0))</f>
        <v/>
      </c>
      <c r="AO416" s="23">
        <f>IF($AM416="","",MAX(0,$AM416-$AN416))</f>
        <v/>
      </c>
      <c r="AP416" s="22">
        <f>IF($S416="","",IF(OR($S416="ITEM_PRICE_PLUS_DECLARED_DELIVERY",$S416="DELIVERY_CHARGE_ONLY"),$K416,IF($S416="TOTAL_AMOUNT_INCLUDING_DELIVERY",IF(OR($T416="",$J416=""),"",MAX(0,$T416-$J416-$U416)),IF($S416="ITEM_PRICE_ONLY_DELIVERY_PAID_BY_MERCHANT",0,""))))</f>
        <v/>
      </c>
      <c r="AQ416" s="23">
        <f>IF(OR($AP416="",$AO416=""),"",$AP416-$AO416)</f>
        <v/>
      </c>
      <c r="AR416" s="24">
        <f>IF($S416="EXACT_COLLECTION_AMOUNT","BREAKDOWN_REQUIRED",IF($AQ416="","",IF($AQ416&gt;0,"CREDIT_TO_MERCHANT",IF($AQ416&lt;0,"DEDUCT_FROM_MERCHANT","NO_ADJUSTMENT"))))</f>
        <v/>
      </c>
      <c r="AS416" s="23">
        <f>IF(OR($AQ416="",$AR416="BREAKDOWN_REQUIRED"),"",$AQ416)</f>
        <v/>
      </c>
      <c r="AT416" s="23">
        <f>IF(OR($AR416="",$AR416="BREAKDOWN_REQUIRED"),"",SUM($J416,$AQ416,$Y416)-$X416)</f>
        <v/>
      </c>
      <c r="AU416" s="25">
        <f>IF(AND($A416="",$B416="",$F416="",$H416="",$J416="",$K416="",$M416="",$S416=""),"",IF(OR($H416="",$Q416="",$M416="",$S416=""),"ERROR",IF(OR($J416&lt;0,$K416&lt;0,$M416&lt;0,$T416&lt;0,$U416&lt;0,$V416&lt;0,$W416&lt;0,$X416&lt;0,$Y416&lt;0),"ERROR",IF($AE416="","ERROR",IF(AND(OR($S416="ITEM_PRICE_PLUS_DECLARED_DELIVERY",$S416="TOTAL_AMOUNT_INCLUDING_DELIVERY",$S416="ITEM_PRICE_ONLY_DELIVERY_PAID_BY_MERCHANT"),$J416=""),"ERROR",IF(AND(OR($S416="ITEM_PRICE_PLUS_DECLARED_DELIVERY",$S416="DELIVERY_CHARGE_ONLY"),$K416=""),"ERROR",IF(AND(OR($S416="TOTAL_AMOUNT_INCLUDING_DELIVERY",$S416="EXACT_COLLECTION_AMOUNT"),$T416=""),"ERROR",IF(AND($S416="TOTAL_AMOUNT_INCLUDING_DELIVERY",$T416&lt;SUM($J416,$U416)),"ERROR",IF($S416="EXACT_COLLECTION_AMOUNT","REVIEW","OK")))))))))</f>
        <v/>
      </c>
      <c r="AV416" s="25">
        <f>IF($AU416="","",IF($H416="","Township required",IF($Q416="","Customer tier required",IF($M416="","Weight required",IF($S416="","Amount entry type required",IF(OR($J416&lt;0,$K416&lt;0,$M416&lt;0,$T416&lt;0,$U416&lt;0,$V416&lt;0,$W416&lt;0,$X416&lt;0,$Y416&lt;0),"Negative amounts are not allowed",IF($AE416="","Tariff not found for township and tier",IF(AND(OR($S416="ITEM_PRICE_PLUS_DECLARED_DELIVERY",$S416="TOTAL_AMOUNT_INCLUDING_DELIVERY",$S416="ITEM_PRICE_ONLY_DELIVERY_PAID_BY_MERCHANT"),$J416=""),"Item price required for this amount type",IF(AND(OR($S416="ITEM_PRICE_PLUS_DECLARED_DELIVERY",$S416="DELIVERY_CHARGE_ONLY"),$K416=""),"Declared delivery charge required",IF(AND(OR($S416="TOTAL_AMOUNT_INCLUDING_DELIVERY",$S416="EXACT_COLLECTION_AMOUNT"),$T416=""),"Stated total amount required",IF(AND($S416="TOTAL_AMOUNT_INCLUDING_DELIVERY",$T416&lt;SUM($J416,$U416)),"Stated total is below item price plus additional charge",IF($S416="EXACT_COLLECTION_AMOUNT","Authorized amount breakdown required before settlement","Ready for collection and settlement"))))))))))))</f>
        <v/>
      </c>
      <c r="AW416" s="23">
        <f>IF($AU416="","","PARCEL_FINANCIAL_V2")</f>
        <v/>
      </c>
      <c r="AX416" s="17" t="n"/>
    </row>
    <row r="417">
      <c r="A417" s="8" t="n"/>
      <c r="B417" s="8" t="n"/>
      <c r="C417" s="8" t="n"/>
      <c r="D417" s="8" t="n"/>
      <c r="E417" s="9" t="n"/>
      <c r="F417" s="9" t="n"/>
      <c r="G417" s="8" t="n"/>
      <c r="H417" s="9" t="n"/>
      <c r="I417" s="9" t="n"/>
      <c r="J417" s="10" t="n"/>
      <c r="K417" s="10" t="n"/>
      <c r="L417" s="11">
        <f>IF($S417="","",IF($S417="ITEM_PRICE_PLUS_DECLARED_DELIVERY",IF(OR($J417="",$K417=""),"",SUM($J417,$K417,$U417)),IF($S417="TOTAL_AMOUNT_INCLUDING_DELIVERY",IF($T417="","",$T417),IF($S417="DELIVERY_CHARGE_ONLY",IF($K417="","",SUM($K417,$U417)),IF($S417="EXACT_COLLECTION_AMOUNT",IF($T417="","",$T417),IF($S417="ITEM_PRICE_ONLY_DELIVERY_PAID_BY_MERCHANT",IF($J417="","",SUM($J417,$U417)),""))))))</f>
        <v/>
      </c>
      <c r="M417" s="12" t="n"/>
      <c r="N417" s="13" t="n"/>
      <c r="O417" s="13" t="n"/>
      <c r="P417" s="9" t="n"/>
      <c r="Q417" s="14" t="n"/>
      <c r="R417" s="15" t="n"/>
      <c r="S417" s="14" t="n"/>
      <c r="T417" s="16" t="n"/>
      <c r="U417" s="16" t="n"/>
      <c r="V417" s="16" t="n"/>
      <c r="W417" s="16" t="n"/>
      <c r="X417" s="16" t="n"/>
      <c r="Y417" s="16" t="n"/>
      <c r="Z417" s="14" t="n"/>
      <c r="AA417" s="14" t="n"/>
      <c r="AB417" s="14" t="n"/>
      <c r="AC417" s="17">
        <f>IFERROR(VLOOKUP($H417&amp;"|"&amp;$Q417,Tariff_Master!$A$2:$L$169,3,FALSE),"")</f>
        <v/>
      </c>
      <c r="AD417" s="17">
        <f>IFERROR(VLOOKUP($H417&amp;"|"&amp;$Q417,Tariff_Master!$A$2:$L$169,4,FALSE),"")</f>
        <v/>
      </c>
      <c r="AE417" s="18">
        <f>IFERROR(VLOOKUP($H417&amp;"|"&amp;$Q417,Tariff_Master!$A$2:$L$169,6,FALSE),"")</f>
        <v/>
      </c>
      <c r="AF417" s="19">
        <f>IFERROR(VLOOKUP($H417&amp;"|"&amp;$Q417,Tariff_Master!$A$2:$L$169,7,FALSE),"")</f>
        <v/>
      </c>
      <c r="AG417" s="18">
        <f>IFERROR(VLOOKUP($H417&amp;"|"&amp;$Q417,Tariff_Master!$A$2:$L$169,8,FALSE),"")</f>
        <v/>
      </c>
      <c r="AH417" s="20">
        <f>IFERROR(VLOOKUP($H417&amp;"|"&amp;$Q417,Tariff_Master!$A$2:$L$169,9,FALSE),"")</f>
        <v/>
      </c>
      <c r="AI417" s="18">
        <f>IFERROR(VLOOKUP($H417&amp;"|"&amp;$Q417,Tariff_Master!$A$2:$L$169,10,FALSE),"")</f>
        <v/>
      </c>
      <c r="AJ417" s="21">
        <f>IF($M417="","",ROUNDUP(MAX(0,$M417),0))</f>
        <v/>
      </c>
      <c r="AK417" s="21">
        <f>IF(OR($AJ417="",$AF417=""),"",MAX(0,$AJ417-$AF417))</f>
        <v/>
      </c>
      <c r="AL417" s="22">
        <f>IF(OR($AK417="",$AG417=""),"",MAX(0,$AK417*$AG417))</f>
        <v/>
      </c>
      <c r="AM417" s="22">
        <f>IF($AE417="","",MAX(0,SUM($AE417,$AL417,$V417,$W417)))</f>
        <v/>
      </c>
      <c r="AN417" s="22">
        <f>IF($AM417="","",IF(AND($Q417="COMMITMENT",$R417&gt;=$AH417),$AI417,0))</f>
        <v/>
      </c>
      <c r="AO417" s="23">
        <f>IF($AM417="","",MAX(0,$AM417-$AN417))</f>
        <v/>
      </c>
      <c r="AP417" s="22">
        <f>IF($S417="","",IF(OR($S417="ITEM_PRICE_PLUS_DECLARED_DELIVERY",$S417="DELIVERY_CHARGE_ONLY"),$K417,IF($S417="TOTAL_AMOUNT_INCLUDING_DELIVERY",IF(OR($T417="",$J417=""),"",MAX(0,$T417-$J417-$U417)),IF($S417="ITEM_PRICE_ONLY_DELIVERY_PAID_BY_MERCHANT",0,""))))</f>
        <v/>
      </c>
      <c r="AQ417" s="23">
        <f>IF(OR($AP417="",$AO417=""),"",$AP417-$AO417)</f>
        <v/>
      </c>
      <c r="AR417" s="24">
        <f>IF($S417="EXACT_COLLECTION_AMOUNT","BREAKDOWN_REQUIRED",IF($AQ417="","",IF($AQ417&gt;0,"CREDIT_TO_MERCHANT",IF($AQ417&lt;0,"DEDUCT_FROM_MERCHANT","NO_ADJUSTMENT"))))</f>
        <v/>
      </c>
      <c r="AS417" s="23">
        <f>IF(OR($AQ417="",$AR417="BREAKDOWN_REQUIRED"),"",$AQ417)</f>
        <v/>
      </c>
      <c r="AT417" s="23">
        <f>IF(OR($AR417="",$AR417="BREAKDOWN_REQUIRED"),"",SUM($J417,$AQ417,$Y417)-$X417)</f>
        <v/>
      </c>
      <c r="AU417" s="25">
        <f>IF(AND($A417="",$B417="",$F417="",$H417="",$J417="",$K417="",$M417="",$S417=""),"",IF(OR($H417="",$Q417="",$M417="",$S417=""),"ERROR",IF(OR($J417&lt;0,$K417&lt;0,$M417&lt;0,$T417&lt;0,$U417&lt;0,$V417&lt;0,$W417&lt;0,$X417&lt;0,$Y417&lt;0),"ERROR",IF($AE417="","ERROR",IF(AND(OR($S417="ITEM_PRICE_PLUS_DECLARED_DELIVERY",$S417="TOTAL_AMOUNT_INCLUDING_DELIVERY",$S417="ITEM_PRICE_ONLY_DELIVERY_PAID_BY_MERCHANT"),$J417=""),"ERROR",IF(AND(OR($S417="ITEM_PRICE_PLUS_DECLARED_DELIVERY",$S417="DELIVERY_CHARGE_ONLY"),$K417=""),"ERROR",IF(AND(OR($S417="TOTAL_AMOUNT_INCLUDING_DELIVERY",$S417="EXACT_COLLECTION_AMOUNT"),$T417=""),"ERROR",IF(AND($S417="TOTAL_AMOUNT_INCLUDING_DELIVERY",$T417&lt;SUM($J417,$U417)),"ERROR",IF($S417="EXACT_COLLECTION_AMOUNT","REVIEW","OK")))))))))</f>
        <v/>
      </c>
      <c r="AV417" s="25">
        <f>IF($AU417="","",IF($H417="","Township required",IF($Q417="","Customer tier required",IF($M417="","Weight required",IF($S417="","Amount entry type required",IF(OR($J417&lt;0,$K417&lt;0,$M417&lt;0,$T417&lt;0,$U417&lt;0,$V417&lt;0,$W417&lt;0,$X417&lt;0,$Y417&lt;0),"Negative amounts are not allowed",IF($AE417="","Tariff not found for township and tier",IF(AND(OR($S417="ITEM_PRICE_PLUS_DECLARED_DELIVERY",$S417="TOTAL_AMOUNT_INCLUDING_DELIVERY",$S417="ITEM_PRICE_ONLY_DELIVERY_PAID_BY_MERCHANT"),$J417=""),"Item price required for this amount type",IF(AND(OR($S417="ITEM_PRICE_PLUS_DECLARED_DELIVERY",$S417="DELIVERY_CHARGE_ONLY"),$K417=""),"Declared delivery charge required",IF(AND(OR($S417="TOTAL_AMOUNT_INCLUDING_DELIVERY",$S417="EXACT_COLLECTION_AMOUNT"),$T417=""),"Stated total amount required",IF(AND($S417="TOTAL_AMOUNT_INCLUDING_DELIVERY",$T417&lt;SUM($J417,$U417)),"Stated total is below item price plus additional charge",IF($S417="EXACT_COLLECTION_AMOUNT","Authorized amount breakdown required before settlement","Ready for collection and settlement"))))))))))))</f>
        <v/>
      </c>
      <c r="AW417" s="23">
        <f>IF($AU417="","","PARCEL_FINANCIAL_V2")</f>
        <v/>
      </c>
      <c r="AX417" s="17" t="n"/>
    </row>
    <row r="418">
      <c r="A418" s="8" t="n"/>
      <c r="B418" s="8" t="n"/>
      <c r="C418" s="8" t="n"/>
      <c r="D418" s="8" t="n"/>
      <c r="E418" s="9" t="n"/>
      <c r="F418" s="9" t="n"/>
      <c r="G418" s="8" t="n"/>
      <c r="H418" s="9" t="n"/>
      <c r="I418" s="9" t="n"/>
      <c r="J418" s="10" t="n"/>
      <c r="K418" s="10" t="n"/>
      <c r="L418" s="11">
        <f>IF($S418="","",IF($S418="ITEM_PRICE_PLUS_DECLARED_DELIVERY",IF(OR($J418="",$K418=""),"",SUM($J418,$K418,$U418)),IF($S418="TOTAL_AMOUNT_INCLUDING_DELIVERY",IF($T418="","",$T418),IF($S418="DELIVERY_CHARGE_ONLY",IF($K418="","",SUM($K418,$U418)),IF($S418="EXACT_COLLECTION_AMOUNT",IF($T418="","",$T418),IF($S418="ITEM_PRICE_ONLY_DELIVERY_PAID_BY_MERCHANT",IF($J418="","",SUM($J418,$U418)),""))))))</f>
        <v/>
      </c>
      <c r="M418" s="12" t="n"/>
      <c r="N418" s="13" t="n"/>
      <c r="O418" s="13" t="n"/>
      <c r="P418" s="9" t="n"/>
      <c r="Q418" s="14" t="n"/>
      <c r="R418" s="15" t="n"/>
      <c r="S418" s="14" t="n"/>
      <c r="T418" s="16" t="n"/>
      <c r="U418" s="16" t="n"/>
      <c r="V418" s="16" t="n"/>
      <c r="W418" s="16" t="n"/>
      <c r="X418" s="16" t="n"/>
      <c r="Y418" s="16" t="n"/>
      <c r="Z418" s="14" t="n"/>
      <c r="AA418" s="14" t="n"/>
      <c r="AB418" s="14" t="n"/>
      <c r="AC418" s="17">
        <f>IFERROR(VLOOKUP($H418&amp;"|"&amp;$Q418,Tariff_Master!$A$2:$L$169,3,FALSE),"")</f>
        <v/>
      </c>
      <c r="AD418" s="17">
        <f>IFERROR(VLOOKUP($H418&amp;"|"&amp;$Q418,Tariff_Master!$A$2:$L$169,4,FALSE),"")</f>
        <v/>
      </c>
      <c r="AE418" s="18">
        <f>IFERROR(VLOOKUP($H418&amp;"|"&amp;$Q418,Tariff_Master!$A$2:$L$169,6,FALSE),"")</f>
        <v/>
      </c>
      <c r="AF418" s="19">
        <f>IFERROR(VLOOKUP($H418&amp;"|"&amp;$Q418,Tariff_Master!$A$2:$L$169,7,FALSE),"")</f>
        <v/>
      </c>
      <c r="AG418" s="18">
        <f>IFERROR(VLOOKUP($H418&amp;"|"&amp;$Q418,Tariff_Master!$A$2:$L$169,8,FALSE),"")</f>
        <v/>
      </c>
      <c r="AH418" s="20">
        <f>IFERROR(VLOOKUP($H418&amp;"|"&amp;$Q418,Tariff_Master!$A$2:$L$169,9,FALSE),"")</f>
        <v/>
      </c>
      <c r="AI418" s="18">
        <f>IFERROR(VLOOKUP($H418&amp;"|"&amp;$Q418,Tariff_Master!$A$2:$L$169,10,FALSE),"")</f>
        <v/>
      </c>
      <c r="AJ418" s="21">
        <f>IF($M418="","",ROUNDUP(MAX(0,$M418),0))</f>
        <v/>
      </c>
      <c r="AK418" s="21">
        <f>IF(OR($AJ418="",$AF418=""),"",MAX(0,$AJ418-$AF418))</f>
        <v/>
      </c>
      <c r="AL418" s="22">
        <f>IF(OR($AK418="",$AG418=""),"",MAX(0,$AK418*$AG418))</f>
        <v/>
      </c>
      <c r="AM418" s="22">
        <f>IF($AE418="","",MAX(0,SUM($AE418,$AL418,$V418,$W418)))</f>
        <v/>
      </c>
      <c r="AN418" s="22">
        <f>IF($AM418="","",IF(AND($Q418="COMMITMENT",$R418&gt;=$AH418),$AI418,0))</f>
        <v/>
      </c>
      <c r="AO418" s="23">
        <f>IF($AM418="","",MAX(0,$AM418-$AN418))</f>
        <v/>
      </c>
      <c r="AP418" s="22">
        <f>IF($S418="","",IF(OR($S418="ITEM_PRICE_PLUS_DECLARED_DELIVERY",$S418="DELIVERY_CHARGE_ONLY"),$K418,IF($S418="TOTAL_AMOUNT_INCLUDING_DELIVERY",IF(OR($T418="",$J418=""),"",MAX(0,$T418-$J418-$U418)),IF($S418="ITEM_PRICE_ONLY_DELIVERY_PAID_BY_MERCHANT",0,""))))</f>
        <v/>
      </c>
      <c r="AQ418" s="23">
        <f>IF(OR($AP418="",$AO418=""),"",$AP418-$AO418)</f>
        <v/>
      </c>
      <c r="AR418" s="24">
        <f>IF($S418="EXACT_COLLECTION_AMOUNT","BREAKDOWN_REQUIRED",IF($AQ418="","",IF($AQ418&gt;0,"CREDIT_TO_MERCHANT",IF($AQ418&lt;0,"DEDUCT_FROM_MERCHANT","NO_ADJUSTMENT"))))</f>
        <v/>
      </c>
      <c r="AS418" s="23">
        <f>IF(OR($AQ418="",$AR418="BREAKDOWN_REQUIRED"),"",$AQ418)</f>
        <v/>
      </c>
      <c r="AT418" s="23">
        <f>IF(OR($AR418="",$AR418="BREAKDOWN_REQUIRED"),"",SUM($J418,$AQ418,$Y418)-$X418)</f>
        <v/>
      </c>
      <c r="AU418" s="25">
        <f>IF(AND($A418="",$B418="",$F418="",$H418="",$J418="",$K418="",$M418="",$S418=""),"",IF(OR($H418="",$Q418="",$M418="",$S418=""),"ERROR",IF(OR($J418&lt;0,$K418&lt;0,$M418&lt;0,$T418&lt;0,$U418&lt;0,$V418&lt;0,$W418&lt;0,$X418&lt;0,$Y418&lt;0),"ERROR",IF($AE418="","ERROR",IF(AND(OR($S418="ITEM_PRICE_PLUS_DECLARED_DELIVERY",$S418="TOTAL_AMOUNT_INCLUDING_DELIVERY",$S418="ITEM_PRICE_ONLY_DELIVERY_PAID_BY_MERCHANT"),$J418=""),"ERROR",IF(AND(OR($S418="ITEM_PRICE_PLUS_DECLARED_DELIVERY",$S418="DELIVERY_CHARGE_ONLY"),$K418=""),"ERROR",IF(AND(OR($S418="TOTAL_AMOUNT_INCLUDING_DELIVERY",$S418="EXACT_COLLECTION_AMOUNT"),$T418=""),"ERROR",IF(AND($S418="TOTAL_AMOUNT_INCLUDING_DELIVERY",$T418&lt;SUM($J418,$U418)),"ERROR",IF($S418="EXACT_COLLECTION_AMOUNT","REVIEW","OK")))))))))</f>
        <v/>
      </c>
      <c r="AV418" s="25">
        <f>IF($AU418="","",IF($H418="","Township required",IF($Q418="","Customer tier required",IF($M418="","Weight required",IF($S418="","Amount entry type required",IF(OR($J418&lt;0,$K418&lt;0,$M418&lt;0,$T418&lt;0,$U418&lt;0,$V418&lt;0,$W418&lt;0,$X418&lt;0,$Y418&lt;0),"Negative amounts are not allowed",IF($AE418="","Tariff not found for township and tier",IF(AND(OR($S418="ITEM_PRICE_PLUS_DECLARED_DELIVERY",$S418="TOTAL_AMOUNT_INCLUDING_DELIVERY",$S418="ITEM_PRICE_ONLY_DELIVERY_PAID_BY_MERCHANT"),$J418=""),"Item price required for this amount type",IF(AND(OR($S418="ITEM_PRICE_PLUS_DECLARED_DELIVERY",$S418="DELIVERY_CHARGE_ONLY"),$K418=""),"Declared delivery charge required",IF(AND(OR($S418="TOTAL_AMOUNT_INCLUDING_DELIVERY",$S418="EXACT_COLLECTION_AMOUNT"),$T418=""),"Stated total amount required",IF(AND($S418="TOTAL_AMOUNT_INCLUDING_DELIVERY",$T418&lt;SUM($J418,$U418)),"Stated total is below item price plus additional charge",IF($S418="EXACT_COLLECTION_AMOUNT","Authorized amount breakdown required before settlement","Ready for collection and settlement"))))))))))))</f>
        <v/>
      </c>
      <c r="AW418" s="23">
        <f>IF($AU418="","","PARCEL_FINANCIAL_V2")</f>
        <v/>
      </c>
      <c r="AX418" s="17" t="n"/>
    </row>
    <row r="419">
      <c r="A419" s="8" t="n"/>
      <c r="B419" s="8" t="n"/>
      <c r="C419" s="8" t="n"/>
      <c r="D419" s="8" t="n"/>
      <c r="E419" s="9" t="n"/>
      <c r="F419" s="9" t="n"/>
      <c r="G419" s="8" t="n"/>
      <c r="H419" s="9" t="n"/>
      <c r="I419" s="9" t="n"/>
      <c r="J419" s="10" t="n"/>
      <c r="K419" s="10" t="n"/>
      <c r="L419" s="11">
        <f>IF($S419="","",IF($S419="ITEM_PRICE_PLUS_DECLARED_DELIVERY",IF(OR($J419="",$K419=""),"",SUM($J419,$K419,$U419)),IF($S419="TOTAL_AMOUNT_INCLUDING_DELIVERY",IF($T419="","",$T419),IF($S419="DELIVERY_CHARGE_ONLY",IF($K419="","",SUM($K419,$U419)),IF($S419="EXACT_COLLECTION_AMOUNT",IF($T419="","",$T419),IF($S419="ITEM_PRICE_ONLY_DELIVERY_PAID_BY_MERCHANT",IF($J419="","",SUM($J419,$U419)),""))))))</f>
        <v/>
      </c>
      <c r="M419" s="12" t="n"/>
      <c r="N419" s="13" t="n"/>
      <c r="O419" s="13" t="n"/>
      <c r="P419" s="9" t="n"/>
      <c r="Q419" s="14" t="n"/>
      <c r="R419" s="15" t="n"/>
      <c r="S419" s="14" t="n"/>
      <c r="T419" s="16" t="n"/>
      <c r="U419" s="16" t="n"/>
      <c r="V419" s="16" t="n"/>
      <c r="W419" s="16" t="n"/>
      <c r="X419" s="16" t="n"/>
      <c r="Y419" s="16" t="n"/>
      <c r="Z419" s="14" t="n"/>
      <c r="AA419" s="14" t="n"/>
      <c r="AB419" s="14" t="n"/>
      <c r="AC419" s="17">
        <f>IFERROR(VLOOKUP($H419&amp;"|"&amp;$Q419,Tariff_Master!$A$2:$L$169,3,FALSE),"")</f>
        <v/>
      </c>
      <c r="AD419" s="17">
        <f>IFERROR(VLOOKUP($H419&amp;"|"&amp;$Q419,Tariff_Master!$A$2:$L$169,4,FALSE),"")</f>
        <v/>
      </c>
      <c r="AE419" s="18">
        <f>IFERROR(VLOOKUP($H419&amp;"|"&amp;$Q419,Tariff_Master!$A$2:$L$169,6,FALSE),"")</f>
        <v/>
      </c>
      <c r="AF419" s="19">
        <f>IFERROR(VLOOKUP($H419&amp;"|"&amp;$Q419,Tariff_Master!$A$2:$L$169,7,FALSE),"")</f>
        <v/>
      </c>
      <c r="AG419" s="18">
        <f>IFERROR(VLOOKUP($H419&amp;"|"&amp;$Q419,Tariff_Master!$A$2:$L$169,8,FALSE),"")</f>
        <v/>
      </c>
      <c r="AH419" s="20">
        <f>IFERROR(VLOOKUP($H419&amp;"|"&amp;$Q419,Tariff_Master!$A$2:$L$169,9,FALSE),"")</f>
        <v/>
      </c>
      <c r="AI419" s="18">
        <f>IFERROR(VLOOKUP($H419&amp;"|"&amp;$Q419,Tariff_Master!$A$2:$L$169,10,FALSE),"")</f>
        <v/>
      </c>
      <c r="AJ419" s="21">
        <f>IF($M419="","",ROUNDUP(MAX(0,$M419),0))</f>
        <v/>
      </c>
      <c r="AK419" s="21">
        <f>IF(OR($AJ419="",$AF419=""),"",MAX(0,$AJ419-$AF419))</f>
        <v/>
      </c>
      <c r="AL419" s="22">
        <f>IF(OR($AK419="",$AG419=""),"",MAX(0,$AK419*$AG419))</f>
        <v/>
      </c>
      <c r="AM419" s="22">
        <f>IF($AE419="","",MAX(0,SUM($AE419,$AL419,$V419,$W419)))</f>
        <v/>
      </c>
      <c r="AN419" s="22">
        <f>IF($AM419="","",IF(AND($Q419="COMMITMENT",$R419&gt;=$AH419),$AI419,0))</f>
        <v/>
      </c>
      <c r="AO419" s="23">
        <f>IF($AM419="","",MAX(0,$AM419-$AN419))</f>
        <v/>
      </c>
      <c r="AP419" s="22">
        <f>IF($S419="","",IF(OR($S419="ITEM_PRICE_PLUS_DECLARED_DELIVERY",$S419="DELIVERY_CHARGE_ONLY"),$K419,IF($S419="TOTAL_AMOUNT_INCLUDING_DELIVERY",IF(OR($T419="",$J419=""),"",MAX(0,$T419-$J419-$U419)),IF($S419="ITEM_PRICE_ONLY_DELIVERY_PAID_BY_MERCHANT",0,""))))</f>
        <v/>
      </c>
      <c r="AQ419" s="23">
        <f>IF(OR($AP419="",$AO419=""),"",$AP419-$AO419)</f>
        <v/>
      </c>
      <c r="AR419" s="24">
        <f>IF($S419="EXACT_COLLECTION_AMOUNT","BREAKDOWN_REQUIRED",IF($AQ419="","",IF($AQ419&gt;0,"CREDIT_TO_MERCHANT",IF($AQ419&lt;0,"DEDUCT_FROM_MERCHANT","NO_ADJUSTMENT"))))</f>
        <v/>
      </c>
      <c r="AS419" s="23">
        <f>IF(OR($AQ419="",$AR419="BREAKDOWN_REQUIRED"),"",$AQ419)</f>
        <v/>
      </c>
      <c r="AT419" s="23">
        <f>IF(OR($AR419="",$AR419="BREAKDOWN_REQUIRED"),"",SUM($J419,$AQ419,$Y419)-$X419)</f>
        <v/>
      </c>
      <c r="AU419" s="25">
        <f>IF(AND($A419="",$B419="",$F419="",$H419="",$J419="",$K419="",$M419="",$S419=""),"",IF(OR($H419="",$Q419="",$M419="",$S419=""),"ERROR",IF(OR($J419&lt;0,$K419&lt;0,$M419&lt;0,$T419&lt;0,$U419&lt;0,$V419&lt;0,$W419&lt;0,$X419&lt;0,$Y419&lt;0),"ERROR",IF($AE419="","ERROR",IF(AND(OR($S419="ITEM_PRICE_PLUS_DECLARED_DELIVERY",$S419="TOTAL_AMOUNT_INCLUDING_DELIVERY",$S419="ITEM_PRICE_ONLY_DELIVERY_PAID_BY_MERCHANT"),$J419=""),"ERROR",IF(AND(OR($S419="ITEM_PRICE_PLUS_DECLARED_DELIVERY",$S419="DELIVERY_CHARGE_ONLY"),$K419=""),"ERROR",IF(AND(OR($S419="TOTAL_AMOUNT_INCLUDING_DELIVERY",$S419="EXACT_COLLECTION_AMOUNT"),$T419=""),"ERROR",IF(AND($S419="TOTAL_AMOUNT_INCLUDING_DELIVERY",$T419&lt;SUM($J419,$U419)),"ERROR",IF($S419="EXACT_COLLECTION_AMOUNT","REVIEW","OK")))))))))</f>
        <v/>
      </c>
      <c r="AV419" s="25">
        <f>IF($AU419="","",IF($H419="","Township required",IF($Q419="","Customer tier required",IF($M419="","Weight required",IF($S419="","Amount entry type required",IF(OR($J419&lt;0,$K419&lt;0,$M419&lt;0,$T419&lt;0,$U419&lt;0,$V419&lt;0,$W419&lt;0,$X419&lt;0,$Y419&lt;0),"Negative amounts are not allowed",IF($AE419="","Tariff not found for township and tier",IF(AND(OR($S419="ITEM_PRICE_PLUS_DECLARED_DELIVERY",$S419="TOTAL_AMOUNT_INCLUDING_DELIVERY",$S419="ITEM_PRICE_ONLY_DELIVERY_PAID_BY_MERCHANT"),$J419=""),"Item price required for this amount type",IF(AND(OR($S419="ITEM_PRICE_PLUS_DECLARED_DELIVERY",$S419="DELIVERY_CHARGE_ONLY"),$K419=""),"Declared delivery charge required",IF(AND(OR($S419="TOTAL_AMOUNT_INCLUDING_DELIVERY",$S419="EXACT_COLLECTION_AMOUNT"),$T419=""),"Stated total amount required",IF(AND($S419="TOTAL_AMOUNT_INCLUDING_DELIVERY",$T419&lt;SUM($J419,$U419)),"Stated total is below item price plus additional charge",IF($S419="EXACT_COLLECTION_AMOUNT","Authorized amount breakdown required before settlement","Ready for collection and settlement"))))))))))))</f>
        <v/>
      </c>
      <c r="AW419" s="23">
        <f>IF($AU419="","","PARCEL_FINANCIAL_V2")</f>
        <v/>
      </c>
      <c r="AX419" s="17" t="n"/>
    </row>
    <row r="420">
      <c r="A420" s="8" t="n"/>
      <c r="B420" s="8" t="n"/>
      <c r="C420" s="8" t="n"/>
      <c r="D420" s="8" t="n"/>
      <c r="E420" s="9" t="n"/>
      <c r="F420" s="9" t="n"/>
      <c r="G420" s="8" t="n"/>
      <c r="H420" s="9" t="n"/>
      <c r="I420" s="9" t="n"/>
      <c r="J420" s="10" t="n"/>
      <c r="K420" s="10" t="n"/>
      <c r="L420" s="11">
        <f>IF($S420="","",IF($S420="ITEM_PRICE_PLUS_DECLARED_DELIVERY",IF(OR($J420="",$K420=""),"",SUM($J420,$K420,$U420)),IF($S420="TOTAL_AMOUNT_INCLUDING_DELIVERY",IF($T420="","",$T420),IF($S420="DELIVERY_CHARGE_ONLY",IF($K420="","",SUM($K420,$U420)),IF($S420="EXACT_COLLECTION_AMOUNT",IF($T420="","",$T420),IF($S420="ITEM_PRICE_ONLY_DELIVERY_PAID_BY_MERCHANT",IF($J420="","",SUM($J420,$U420)),""))))))</f>
        <v/>
      </c>
      <c r="M420" s="12" t="n"/>
      <c r="N420" s="13" t="n"/>
      <c r="O420" s="13" t="n"/>
      <c r="P420" s="9" t="n"/>
      <c r="Q420" s="14" t="n"/>
      <c r="R420" s="15" t="n"/>
      <c r="S420" s="14" t="n"/>
      <c r="T420" s="16" t="n"/>
      <c r="U420" s="16" t="n"/>
      <c r="V420" s="16" t="n"/>
      <c r="W420" s="16" t="n"/>
      <c r="X420" s="16" t="n"/>
      <c r="Y420" s="16" t="n"/>
      <c r="Z420" s="14" t="n"/>
      <c r="AA420" s="14" t="n"/>
      <c r="AB420" s="14" t="n"/>
      <c r="AC420" s="17">
        <f>IFERROR(VLOOKUP($H420&amp;"|"&amp;$Q420,Tariff_Master!$A$2:$L$169,3,FALSE),"")</f>
        <v/>
      </c>
      <c r="AD420" s="17">
        <f>IFERROR(VLOOKUP($H420&amp;"|"&amp;$Q420,Tariff_Master!$A$2:$L$169,4,FALSE),"")</f>
        <v/>
      </c>
      <c r="AE420" s="18">
        <f>IFERROR(VLOOKUP($H420&amp;"|"&amp;$Q420,Tariff_Master!$A$2:$L$169,6,FALSE),"")</f>
        <v/>
      </c>
      <c r="AF420" s="19">
        <f>IFERROR(VLOOKUP($H420&amp;"|"&amp;$Q420,Tariff_Master!$A$2:$L$169,7,FALSE),"")</f>
        <v/>
      </c>
      <c r="AG420" s="18">
        <f>IFERROR(VLOOKUP($H420&amp;"|"&amp;$Q420,Tariff_Master!$A$2:$L$169,8,FALSE),"")</f>
        <v/>
      </c>
      <c r="AH420" s="20">
        <f>IFERROR(VLOOKUP($H420&amp;"|"&amp;$Q420,Tariff_Master!$A$2:$L$169,9,FALSE),"")</f>
        <v/>
      </c>
      <c r="AI420" s="18">
        <f>IFERROR(VLOOKUP($H420&amp;"|"&amp;$Q420,Tariff_Master!$A$2:$L$169,10,FALSE),"")</f>
        <v/>
      </c>
      <c r="AJ420" s="21">
        <f>IF($M420="","",ROUNDUP(MAX(0,$M420),0))</f>
        <v/>
      </c>
      <c r="AK420" s="21">
        <f>IF(OR($AJ420="",$AF420=""),"",MAX(0,$AJ420-$AF420))</f>
        <v/>
      </c>
      <c r="AL420" s="22">
        <f>IF(OR($AK420="",$AG420=""),"",MAX(0,$AK420*$AG420))</f>
        <v/>
      </c>
      <c r="AM420" s="22">
        <f>IF($AE420="","",MAX(0,SUM($AE420,$AL420,$V420,$W420)))</f>
        <v/>
      </c>
      <c r="AN420" s="22">
        <f>IF($AM420="","",IF(AND($Q420="COMMITMENT",$R420&gt;=$AH420),$AI420,0))</f>
        <v/>
      </c>
      <c r="AO420" s="23">
        <f>IF($AM420="","",MAX(0,$AM420-$AN420))</f>
        <v/>
      </c>
      <c r="AP420" s="22">
        <f>IF($S420="","",IF(OR($S420="ITEM_PRICE_PLUS_DECLARED_DELIVERY",$S420="DELIVERY_CHARGE_ONLY"),$K420,IF($S420="TOTAL_AMOUNT_INCLUDING_DELIVERY",IF(OR($T420="",$J420=""),"",MAX(0,$T420-$J420-$U420)),IF($S420="ITEM_PRICE_ONLY_DELIVERY_PAID_BY_MERCHANT",0,""))))</f>
        <v/>
      </c>
      <c r="AQ420" s="23">
        <f>IF(OR($AP420="",$AO420=""),"",$AP420-$AO420)</f>
        <v/>
      </c>
      <c r="AR420" s="24">
        <f>IF($S420="EXACT_COLLECTION_AMOUNT","BREAKDOWN_REQUIRED",IF($AQ420="","",IF($AQ420&gt;0,"CREDIT_TO_MERCHANT",IF($AQ420&lt;0,"DEDUCT_FROM_MERCHANT","NO_ADJUSTMENT"))))</f>
        <v/>
      </c>
      <c r="AS420" s="23">
        <f>IF(OR($AQ420="",$AR420="BREAKDOWN_REQUIRED"),"",$AQ420)</f>
        <v/>
      </c>
      <c r="AT420" s="23">
        <f>IF(OR($AR420="",$AR420="BREAKDOWN_REQUIRED"),"",SUM($J420,$AQ420,$Y420)-$X420)</f>
        <v/>
      </c>
      <c r="AU420" s="25">
        <f>IF(AND($A420="",$B420="",$F420="",$H420="",$J420="",$K420="",$M420="",$S420=""),"",IF(OR($H420="",$Q420="",$M420="",$S420=""),"ERROR",IF(OR($J420&lt;0,$K420&lt;0,$M420&lt;0,$T420&lt;0,$U420&lt;0,$V420&lt;0,$W420&lt;0,$X420&lt;0,$Y420&lt;0),"ERROR",IF($AE420="","ERROR",IF(AND(OR($S420="ITEM_PRICE_PLUS_DECLARED_DELIVERY",$S420="TOTAL_AMOUNT_INCLUDING_DELIVERY",$S420="ITEM_PRICE_ONLY_DELIVERY_PAID_BY_MERCHANT"),$J420=""),"ERROR",IF(AND(OR($S420="ITEM_PRICE_PLUS_DECLARED_DELIVERY",$S420="DELIVERY_CHARGE_ONLY"),$K420=""),"ERROR",IF(AND(OR($S420="TOTAL_AMOUNT_INCLUDING_DELIVERY",$S420="EXACT_COLLECTION_AMOUNT"),$T420=""),"ERROR",IF(AND($S420="TOTAL_AMOUNT_INCLUDING_DELIVERY",$T420&lt;SUM($J420,$U420)),"ERROR",IF($S420="EXACT_COLLECTION_AMOUNT","REVIEW","OK")))))))))</f>
        <v/>
      </c>
      <c r="AV420" s="25">
        <f>IF($AU420="","",IF($H420="","Township required",IF($Q420="","Customer tier required",IF($M420="","Weight required",IF($S420="","Amount entry type required",IF(OR($J420&lt;0,$K420&lt;0,$M420&lt;0,$T420&lt;0,$U420&lt;0,$V420&lt;0,$W420&lt;0,$X420&lt;0,$Y420&lt;0),"Negative amounts are not allowed",IF($AE420="","Tariff not found for township and tier",IF(AND(OR($S420="ITEM_PRICE_PLUS_DECLARED_DELIVERY",$S420="TOTAL_AMOUNT_INCLUDING_DELIVERY",$S420="ITEM_PRICE_ONLY_DELIVERY_PAID_BY_MERCHANT"),$J420=""),"Item price required for this amount type",IF(AND(OR($S420="ITEM_PRICE_PLUS_DECLARED_DELIVERY",$S420="DELIVERY_CHARGE_ONLY"),$K420=""),"Declared delivery charge required",IF(AND(OR($S420="TOTAL_AMOUNT_INCLUDING_DELIVERY",$S420="EXACT_COLLECTION_AMOUNT"),$T420=""),"Stated total amount required",IF(AND($S420="TOTAL_AMOUNT_INCLUDING_DELIVERY",$T420&lt;SUM($J420,$U420)),"Stated total is below item price plus additional charge",IF($S420="EXACT_COLLECTION_AMOUNT","Authorized amount breakdown required before settlement","Ready for collection and settlement"))))))))))))</f>
        <v/>
      </c>
      <c r="AW420" s="23">
        <f>IF($AU420="","","PARCEL_FINANCIAL_V2")</f>
        <v/>
      </c>
      <c r="AX420" s="17" t="n"/>
    </row>
    <row r="421">
      <c r="A421" s="8" t="n"/>
      <c r="B421" s="8" t="n"/>
      <c r="C421" s="8" t="n"/>
      <c r="D421" s="8" t="n"/>
      <c r="E421" s="9" t="n"/>
      <c r="F421" s="9" t="n"/>
      <c r="G421" s="8" t="n"/>
      <c r="H421" s="9" t="n"/>
      <c r="I421" s="9" t="n"/>
      <c r="J421" s="10" t="n"/>
      <c r="K421" s="10" t="n"/>
      <c r="L421" s="11">
        <f>IF($S421="","",IF($S421="ITEM_PRICE_PLUS_DECLARED_DELIVERY",IF(OR($J421="",$K421=""),"",SUM($J421,$K421,$U421)),IF($S421="TOTAL_AMOUNT_INCLUDING_DELIVERY",IF($T421="","",$T421),IF($S421="DELIVERY_CHARGE_ONLY",IF($K421="","",SUM($K421,$U421)),IF($S421="EXACT_COLLECTION_AMOUNT",IF($T421="","",$T421),IF($S421="ITEM_PRICE_ONLY_DELIVERY_PAID_BY_MERCHANT",IF($J421="","",SUM($J421,$U421)),""))))))</f>
        <v/>
      </c>
      <c r="M421" s="12" t="n"/>
      <c r="N421" s="13" t="n"/>
      <c r="O421" s="13" t="n"/>
      <c r="P421" s="9" t="n"/>
      <c r="Q421" s="14" t="n"/>
      <c r="R421" s="15" t="n"/>
      <c r="S421" s="14" t="n"/>
      <c r="T421" s="16" t="n"/>
      <c r="U421" s="16" t="n"/>
      <c r="V421" s="16" t="n"/>
      <c r="W421" s="16" t="n"/>
      <c r="X421" s="16" t="n"/>
      <c r="Y421" s="16" t="n"/>
      <c r="Z421" s="14" t="n"/>
      <c r="AA421" s="14" t="n"/>
      <c r="AB421" s="14" t="n"/>
      <c r="AC421" s="17">
        <f>IFERROR(VLOOKUP($H421&amp;"|"&amp;$Q421,Tariff_Master!$A$2:$L$169,3,FALSE),"")</f>
        <v/>
      </c>
      <c r="AD421" s="17">
        <f>IFERROR(VLOOKUP($H421&amp;"|"&amp;$Q421,Tariff_Master!$A$2:$L$169,4,FALSE),"")</f>
        <v/>
      </c>
      <c r="AE421" s="18">
        <f>IFERROR(VLOOKUP($H421&amp;"|"&amp;$Q421,Tariff_Master!$A$2:$L$169,6,FALSE),"")</f>
        <v/>
      </c>
      <c r="AF421" s="19">
        <f>IFERROR(VLOOKUP($H421&amp;"|"&amp;$Q421,Tariff_Master!$A$2:$L$169,7,FALSE),"")</f>
        <v/>
      </c>
      <c r="AG421" s="18">
        <f>IFERROR(VLOOKUP($H421&amp;"|"&amp;$Q421,Tariff_Master!$A$2:$L$169,8,FALSE),"")</f>
        <v/>
      </c>
      <c r="AH421" s="20">
        <f>IFERROR(VLOOKUP($H421&amp;"|"&amp;$Q421,Tariff_Master!$A$2:$L$169,9,FALSE),"")</f>
        <v/>
      </c>
      <c r="AI421" s="18">
        <f>IFERROR(VLOOKUP($H421&amp;"|"&amp;$Q421,Tariff_Master!$A$2:$L$169,10,FALSE),"")</f>
        <v/>
      </c>
      <c r="AJ421" s="21">
        <f>IF($M421="","",ROUNDUP(MAX(0,$M421),0))</f>
        <v/>
      </c>
      <c r="AK421" s="21">
        <f>IF(OR($AJ421="",$AF421=""),"",MAX(0,$AJ421-$AF421))</f>
        <v/>
      </c>
      <c r="AL421" s="22">
        <f>IF(OR($AK421="",$AG421=""),"",MAX(0,$AK421*$AG421))</f>
        <v/>
      </c>
      <c r="AM421" s="22">
        <f>IF($AE421="","",MAX(0,SUM($AE421,$AL421,$V421,$W421)))</f>
        <v/>
      </c>
      <c r="AN421" s="22">
        <f>IF($AM421="","",IF(AND($Q421="COMMITMENT",$R421&gt;=$AH421),$AI421,0))</f>
        <v/>
      </c>
      <c r="AO421" s="23">
        <f>IF($AM421="","",MAX(0,$AM421-$AN421))</f>
        <v/>
      </c>
      <c r="AP421" s="22">
        <f>IF($S421="","",IF(OR($S421="ITEM_PRICE_PLUS_DECLARED_DELIVERY",$S421="DELIVERY_CHARGE_ONLY"),$K421,IF($S421="TOTAL_AMOUNT_INCLUDING_DELIVERY",IF(OR($T421="",$J421=""),"",MAX(0,$T421-$J421-$U421)),IF($S421="ITEM_PRICE_ONLY_DELIVERY_PAID_BY_MERCHANT",0,""))))</f>
        <v/>
      </c>
      <c r="AQ421" s="23">
        <f>IF(OR($AP421="",$AO421=""),"",$AP421-$AO421)</f>
        <v/>
      </c>
      <c r="AR421" s="24">
        <f>IF($S421="EXACT_COLLECTION_AMOUNT","BREAKDOWN_REQUIRED",IF($AQ421="","",IF($AQ421&gt;0,"CREDIT_TO_MERCHANT",IF($AQ421&lt;0,"DEDUCT_FROM_MERCHANT","NO_ADJUSTMENT"))))</f>
        <v/>
      </c>
      <c r="AS421" s="23">
        <f>IF(OR($AQ421="",$AR421="BREAKDOWN_REQUIRED"),"",$AQ421)</f>
        <v/>
      </c>
      <c r="AT421" s="23">
        <f>IF(OR($AR421="",$AR421="BREAKDOWN_REQUIRED"),"",SUM($J421,$AQ421,$Y421)-$X421)</f>
        <v/>
      </c>
      <c r="AU421" s="25">
        <f>IF(AND($A421="",$B421="",$F421="",$H421="",$J421="",$K421="",$M421="",$S421=""),"",IF(OR($H421="",$Q421="",$M421="",$S421=""),"ERROR",IF(OR($J421&lt;0,$K421&lt;0,$M421&lt;0,$T421&lt;0,$U421&lt;0,$V421&lt;0,$W421&lt;0,$X421&lt;0,$Y421&lt;0),"ERROR",IF($AE421="","ERROR",IF(AND(OR($S421="ITEM_PRICE_PLUS_DECLARED_DELIVERY",$S421="TOTAL_AMOUNT_INCLUDING_DELIVERY",$S421="ITEM_PRICE_ONLY_DELIVERY_PAID_BY_MERCHANT"),$J421=""),"ERROR",IF(AND(OR($S421="ITEM_PRICE_PLUS_DECLARED_DELIVERY",$S421="DELIVERY_CHARGE_ONLY"),$K421=""),"ERROR",IF(AND(OR($S421="TOTAL_AMOUNT_INCLUDING_DELIVERY",$S421="EXACT_COLLECTION_AMOUNT"),$T421=""),"ERROR",IF(AND($S421="TOTAL_AMOUNT_INCLUDING_DELIVERY",$T421&lt;SUM($J421,$U421)),"ERROR",IF($S421="EXACT_COLLECTION_AMOUNT","REVIEW","OK")))))))))</f>
        <v/>
      </c>
      <c r="AV421" s="25">
        <f>IF($AU421="","",IF($H421="","Township required",IF($Q421="","Customer tier required",IF($M421="","Weight required",IF($S421="","Amount entry type required",IF(OR($J421&lt;0,$K421&lt;0,$M421&lt;0,$T421&lt;0,$U421&lt;0,$V421&lt;0,$W421&lt;0,$X421&lt;0,$Y421&lt;0),"Negative amounts are not allowed",IF($AE421="","Tariff not found for township and tier",IF(AND(OR($S421="ITEM_PRICE_PLUS_DECLARED_DELIVERY",$S421="TOTAL_AMOUNT_INCLUDING_DELIVERY",$S421="ITEM_PRICE_ONLY_DELIVERY_PAID_BY_MERCHANT"),$J421=""),"Item price required for this amount type",IF(AND(OR($S421="ITEM_PRICE_PLUS_DECLARED_DELIVERY",$S421="DELIVERY_CHARGE_ONLY"),$K421=""),"Declared delivery charge required",IF(AND(OR($S421="TOTAL_AMOUNT_INCLUDING_DELIVERY",$S421="EXACT_COLLECTION_AMOUNT"),$T421=""),"Stated total amount required",IF(AND($S421="TOTAL_AMOUNT_INCLUDING_DELIVERY",$T421&lt;SUM($J421,$U421)),"Stated total is below item price plus additional charge",IF($S421="EXACT_COLLECTION_AMOUNT","Authorized amount breakdown required before settlement","Ready for collection and settlement"))))))))))))</f>
        <v/>
      </c>
      <c r="AW421" s="23">
        <f>IF($AU421="","","PARCEL_FINANCIAL_V2")</f>
        <v/>
      </c>
      <c r="AX421" s="17" t="n"/>
    </row>
    <row r="422">
      <c r="A422" s="8" t="n"/>
      <c r="B422" s="8" t="n"/>
      <c r="C422" s="8" t="n"/>
      <c r="D422" s="8" t="n"/>
      <c r="E422" s="9" t="n"/>
      <c r="F422" s="9" t="n"/>
      <c r="G422" s="8" t="n"/>
      <c r="H422" s="9" t="n"/>
      <c r="I422" s="9" t="n"/>
      <c r="J422" s="10" t="n"/>
      <c r="K422" s="10" t="n"/>
      <c r="L422" s="11">
        <f>IF($S422="","",IF($S422="ITEM_PRICE_PLUS_DECLARED_DELIVERY",IF(OR($J422="",$K422=""),"",SUM($J422,$K422,$U422)),IF($S422="TOTAL_AMOUNT_INCLUDING_DELIVERY",IF($T422="","",$T422),IF($S422="DELIVERY_CHARGE_ONLY",IF($K422="","",SUM($K422,$U422)),IF($S422="EXACT_COLLECTION_AMOUNT",IF($T422="","",$T422),IF($S422="ITEM_PRICE_ONLY_DELIVERY_PAID_BY_MERCHANT",IF($J422="","",SUM($J422,$U422)),""))))))</f>
        <v/>
      </c>
      <c r="M422" s="12" t="n"/>
      <c r="N422" s="13" t="n"/>
      <c r="O422" s="13" t="n"/>
      <c r="P422" s="9" t="n"/>
      <c r="Q422" s="14" t="n"/>
      <c r="R422" s="15" t="n"/>
      <c r="S422" s="14" t="n"/>
      <c r="T422" s="16" t="n"/>
      <c r="U422" s="16" t="n"/>
      <c r="V422" s="16" t="n"/>
      <c r="W422" s="16" t="n"/>
      <c r="X422" s="16" t="n"/>
      <c r="Y422" s="16" t="n"/>
      <c r="Z422" s="14" t="n"/>
      <c r="AA422" s="14" t="n"/>
      <c r="AB422" s="14" t="n"/>
      <c r="AC422" s="17">
        <f>IFERROR(VLOOKUP($H422&amp;"|"&amp;$Q422,Tariff_Master!$A$2:$L$169,3,FALSE),"")</f>
        <v/>
      </c>
      <c r="AD422" s="17">
        <f>IFERROR(VLOOKUP($H422&amp;"|"&amp;$Q422,Tariff_Master!$A$2:$L$169,4,FALSE),"")</f>
        <v/>
      </c>
      <c r="AE422" s="18">
        <f>IFERROR(VLOOKUP($H422&amp;"|"&amp;$Q422,Tariff_Master!$A$2:$L$169,6,FALSE),"")</f>
        <v/>
      </c>
      <c r="AF422" s="19">
        <f>IFERROR(VLOOKUP($H422&amp;"|"&amp;$Q422,Tariff_Master!$A$2:$L$169,7,FALSE),"")</f>
        <v/>
      </c>
      <c r="AG422" s="18">
        <f>IFERROR(VLOOKUP($H422&amp;"|"&amp;$Q422,Tariff_Master!$A$2:$L$169,8,FALSE),"")</f>
        <v/>
      </c>
      <c r="AH422" s="20">
        <f>IFERROR(VLOOKUP($H422&amp;"|"&amp;$Q422,Tariff_Master!$A$2:$L$169,9,FALSE),"")</f>
        <v/>
      </c>
      <c r="AI422" s="18">
        <f>IFERROR(VLOOKUP($H422&amp;"|"&amp;$Q422,Tariff_Master!$A$2:$L$169,10,FALSE),"")</f>
        <v/>
      </c>
      <c r="AJ422" s="21">
        <f>IF($M422="","",ROUNDUP(MAX(0,$M422),0))</f>
        <v/>
      </c>
      <c r="AK422" s="21">
        <f>IF(OR($AJ422="",$AF422=""),"",MAX(0,$AJ422-$AF422))</f>
        <v/>
      </c>
      <c r="AL422" s="22">
        <f>IF(OR($AK422="",$AG422=""),"",MAX(0,$AK422*$AG422))</f>
        <v/>
      </c>
      <c r="AM422" s="22">
        <f>IF($AE422="","",MAX(0,SUM($AE422,$AL422,$V422,$W422)))</f>
        <v/>
      </c>
      <c r="AN422" s="22">
        <f>IF($AM422="","",IF(AND($Q422="COMMITMENT",$R422&gt;=$AH422),$AI422,0))</f>
        <v/>
      </c>
      <c r="AO422" s="23">
        <f>IF($AM422="","",MAX(0,$AM422-$AN422))</f>
        <v/>
      </c>
      <c r="AP422" s="22">
        <f>IF($S422="","",IF(OR($S422="ITEM_PRICE_PLUS_DECLARED_DELIVERY",$S422="DELIVERY_CHARGE_ONLY"),$K422,IF($S422="TOTAL_AMOUNT_INCLUDING_DELIVERY",IF(OR($T422="",$J422=""),"",MAX(0,$T422-$J422-$U422)),IF($S422="ITEM_PRICE_ONLY_DELIVERY_PAID_BY_MERCHANT",0,""))))</f>
        <v/>
      </c>
      <c r="AQ422" s="23">
        <f>IF(OR($AP422="",$AO422=""),"",$AP422-$AO422)</f>
        <v/>
      </c>
      <c r="AR422" s="24">
        <f>IF($S422="EXACT_COLLECTION_AMOUNT","BREAKDOWN_REQUIRED",IF($AQ422="","",IF($AQ422&gt;0,"CREDIT_TO_MERCHANT",IF($AQ422&lt;0,"DEDUCT_FROM_MERCHANT","NO_ADJUSTMENT"))))</f>
        <v/>
      </c>
      <c r="AS422" s="23">
        <f>IF(OR($AQ422="",$AR422="BREAKDOWN_REQUIRED"),"",$AQ422)</f>
        <v/>
      </c>
      <c r="AT422" s="23">
        <f>IF(OR($AR422="",$AR422="BREAKDOWN_REQUIRED"),"",SUM($J422,$AQ422,$Y422)-$X422)</f>
        <v/>
      </c>
      <c r="AU422" s="25">
        <f>IF(AND($A422="",$B422="",$F422="",$H422="",$J422="",$K422="",$M422="",$S422=""),"",IF(OR($H422="",$Q422="",$M422="",$S422=""),"ERROR",IF(OR($J422&lt;0,$K422&lt;0,$M422&lt;0,$T422&lt;0,$U422&lt;0,$V422&lt;0,$W422&lt;0,$X422&lt;0,$Y422&lt;0),"ERROR",IF($AE422="","ERROR",IF(AND(OR($S422="ITEM_PRICE_PLUS_DECLARED_DELIVERY",$S422="TOTAL_AMOUNT_INCLUDING_DELIVERY",$S422="ITEM_PRICE_ONLY_DELIVERY_PAID_BY_MERCHANT"),$J422=""),"ERROR",IF(AND(OR($S422="ITEM_PRICE_PLUS_DECLARED_DELIVERY",$S422="DELIVERY_CHARGE_ONLY"),$K422=""),"ERROR",IF(AND(OR($S422="TOTAL_AMOUNT_INCLUDING_DELIVERY",$S422="EXACT_COLLECTION_AMOUNT"),$T422=""),"ERROR",IF(AND($S422="TOTAL_AMOUNT_INCLUDING_DELIVERY",$T422&lt;SUM($J422,$U422)),"ERROR",IF($S422="EXACT_COLLECTION_AMOUNT","REVIEW","OK")))))))))</f>
        <v/>
      </c>
      <c r="AV422" s="25">
        <f>IF($AU422="","",IF($H422="","Township required",IF($Q422="","Customer tier required",IF($M422="","Weight required",IF($S422="","Amount entry type required",IF(OR($J422&lt;0,$K422&lt;0,$M422&lt;0,$T422&lt;0,$U422&lt;0,$V422&lt;0,$W422&lt;0,$X422&lt;0,$Y422&lt;0),"Negative amounts are not allowed",IF($AE422="","Tariff not found for township and tier",IF(AND(OR($S422="ITEM_PRICE_PLUS_DECLARED_DELIVERY",$S422="TOTAL_AMOUNT_INCLUDING_DELIVERY",$S422="ITEM_PRICE_ONLY_DELIVERY_PAID_BY_MERCHANT"),$J422=""),"Item price required for this amount type",IF(AND(OR($S422="ITEM_PRICE_PLUS_DECLARED_DELIVERY",$S422="DELIVERY_CHARGE_ONLY"),$K422=""),"Declared delivery charge required",IF(AND(OR($S422="TOTAL_AMOUNT_INCLUDING_DELIVERY",$S422="EXACT_COLLECTION_AMOUNT"),$T422=""),"Stated total amount required",IF(AND($S422="TOTAL_AMOUNT_INCLUDING_DELIVERY",$T422&lt;SUM($J422,$U422)),"Stated total is below item price plus additional charge",IF($S422="EXACT_COLLECTION_AMOUNT","Authorized amount breakdown required before settlement","Ready for collection and settlement"))))))))))))</f>
        <v/>
      </c>
      <c r="AW422" s="23">
        <f>IF($AU422="","","PARCEL_FINANCIAL_V2")</f>
        <v/>
      </c>
      <c r="AX422" s="17" t="n"/>
    </row>
    <row r="423">
      <c r="A423" s="8" t="n"/>
      <c r="B423" s="8" t="n"/>
      <c r="C423" s="8" t="n"/>
      <c r="D423" s="8" t="n"/>
      <c r="E423" s="9" t="n"/>
      <c r="F423" s="9" t="n"/>
      <c r="G423" s="8" t="n"/>
      <c r="H423" s="9" t="n"/>
      <c r="I423" s="9" t="n"/>
      <c r="J423" s="10" t="n"/>
      <c r="K423" s="10" t="n"/>
      <c r="L423" s="11">
        <f>IF($S423="","",IF($S423="ITEM_PRICE_PLUS_DECLARED_DELIVERY",IF(OR($J423="",$K423=""),"",SUM($J423,$K423,$U423)),IF($S423="TOTAL_AMOUNT_INCLUDING_DELIVERY",IF($T423="","",$T423),IF($S423="DELIVERY_CHARGE_ONLY",IF($K423="","",SUM($K423,$U423)),IF($S423="EXACT_COLLECTION_AMOUNT",IF($T423="","",$T423),IF($S423="ITEM_PRICE_ONLY_DELIVERY_PAID_BY_MERCHANT",IF($J423="","",SUM($J423,$U423)),""))))))</f>
        <v/>
      </c>
      <c r="M423" s="12" t="n"/>
      <c r="N423" s="13" t="n"/>
      <c r="O423" s="13" t="n"/>
      <c r="P423" s="9" t="n"/>
      <c r="Q423" s="14" t="n"/>
      <c r="R423" s="15" t="n"/>
      <c r="S423" s="14" t="n"/>
      <c r="T423" s="16" t="n"/>
      <c r="U423" s="16" t="n"/>
      <c r="V423" s="16" t="n"/>
      <c r="W423" s="16" t="n"/>
      <c r="X423" s="16" t="n"/>
      <c r="Y423" s="16" t="n"/>
      <c r="Z423" s="14" t="n"/>
      <c r="AA423" s="14" t="n"/>
      <c r="AB423" s="14" t="n"/>
      <c r="AC423" s="17">
        <f>IFERROR(VLOOKUP($H423&amp;"|"&amp;$Q423,Tariff_Master!$A$2:$L$169,3,FALSE),"")</f>
        <v/>
      </c>
      <c r="AD423" s="17">
        <f>IFERROR(VLOOKUP($H423&amp;"|"&amp;$Q423,Tariff_Master!$A$2:$L$169,4,FALSE),"")</f>
        <v/>
      </c>
      <c r="AE423" s="18">
        <f>IFERROR(VLOOKUP($H423&amp;"|"&amp;$Q423,Tariff_Master!$A$2:$L$169,6,FALSE),"")</f>
        <v/>
      </c>
      <c r="AF423" s="19">
        <f>IFERROR(VLOOKUP($H423&amp;"|"&amp;$Q423,Tariff_Master!$A$2:$L$169,7,FALSE),"")</f>
        <v/>
      </c>
      <c r="AG423" s="18">
        <f>IFERROR(VLOOKUP($H423&amp;"|"&amp;$Q423,Tariff_Master!$A$2:$L$169,8,FALSE),"")</f>
        <v/>
      </c>
      <c r="AH423" s="20">
        <f>IFERROR(VLOOKUP($H423&amp;"|"&amp;$Q423,Tariff_Master!$A$2:$L$169,9,FALSE),"")</f>
        <v/>
      </c>
      <c r="AI423" s="18">
        <f>IFERROR(VLOOKUP($H423&amp;"|"&amp;$Q423,Tariff_Master!$A$2:$L$169,10,FALSE),"")</f>
        <v/>
      </c>
      <c r="AJ423" s="21">
        <f>IF($M423="","",ROUNDUP(MAX(0,$M423),0))</f>
        <v/>
      </c>
      <c r="AK423" s="21">
        <f>IF(OR($AJ423="",$AF423=""),"",MAX(0,$AJ423-$AF423))</f>
        <v/>
      </c>
      <c r="AL423" s="22">
        <f>IF(OR($AK423="",$AG423=""),"",MAX(0,$AK423*$AG423))</f>
        <v/>
      </c>
      <c r="AM423" s="22">
        <f>IF($AE423="","",MAX(0,SUM($AE423,$AL423,$V423,$W423)))</f>
        <v/>
      </c>
      <c r="AN423" s="22">
        <f>IF($AM423="","",IF(AND($Q423="COMMITMENT",$R423&gt;=$AH423),$AI423,0))</f>
        <v/>
      </c>
      <c r="AO423" s="23">
        <f>IF($AM423="","",MAX(0,$AM423-$AN423))</f>
        <v/>
      </c>
      <c r="AP423" s="22">
        <f>IF($S423="","",IF(OR($S423="ITEM_PRICE_PLUS_DECLARED_DELIVERY",$S423="DELIVERY_CHARGE_ONLY"),$K423,IF($S423="TOTAL_AMOUNT_INCLUDING_DELIVERY",IF(OR($T423="",$J423=""),"",MAX(0,$T423-$J423-$U423)),IF($S423="ITEM_PRICE_ONLY_DELIVERY_PAID_BY_MERCHANT",0,""))))</f>
        <v/>
      </c>
      <c r="AQ423" s="23">
        <f>IF(OR($AP423="",$AO423=""),"",$AP423-$AO423)</f>
        <v/>
      </c>
      <c r="AR423" s="24">
        <f>IF($S423="EXACT_COLLECTION_AMOUNT","BREAKDOWN_REQUIRED",IF($AQ423="","",IF($AQ423&gt;0,"CREDIT_TO_MERCHANT",IF($AQ423&lt;0,"DEDUCT_FROM_MERCHANT","NO_ADJUSTMENT"))))</f>
        <v/>
      </c>
      <c r="AS423" s="23">
        <f>IF(OR($AQ423="",$AR423="BREAKDOWN_REQUIRED"),"",$AQ423)</f>
        <v/>
      </c>
      <c r="AT423" s="23">
        <f>IF(OR($AR423="",$AR423="BREAKDOWN_REQUIRED"),"",SUM($J423,$AQ423,$Y423)-$X423)</f>
        <v/>
      </c>
      <c r="AU423" s="25">
        <f>IF(AND($A423="",$B423="",$F423="",$H423="",$J423="",$K423="",$M423="",$S423=""),"",IF(OR($H423="",$Q423="",$M423="",$S423=""),"ERROR",IF(OR($J423&lt;0,$K423&lt;0,$M423&lt;0,$T423&lt;0,$U423&lt;0,$V423&lt;0,$W423&lt;0,$X423&lt;0,$Y423&lt;0),"ERROR",IF($AE423="","ERROR",IF(AND(OR($S423="ITEM_PRICE_PLUS_DECLARED_DELIVERY",$S423="TOTAL_AMOUNT_INCLUDING_DELIVERY",$S423="ITEM_PRICE_ONLY_DELIVERY_PAID_BY_MERCHANT"),$J423=""),"ERROR",IF(AND(OR($S423="ITEM_PRICE_PLUS_DECLARED_DELIVERY",$S423="DELIVERY_CHARGE_ONLY"),$K423=""),"ERROR",IF(AND(OR($S423="TOTAL_AMOUNT_INCLUDING_DELIVERY",$S423="EXACT_COLLECTION_AMOUNT"),$T423=""),"ERROR",IF(AND($S423="TOTAL_AMOUNT_INCLUDING_DELIVERY",$T423&lt;SUM($J423,$U423)),"ERROR",IF($S423="EXACT_COLLECTION_AMOUNT","REVIEW","OK")))))))))</f>
        <v/>
      </c>
      <c r="AV423" s="25">
        <f>IF($AU423="","",IF($H423="","Township required",IF($Q423="","Customer tier required",IF($M423="","Weight required",IF($S423="","Amount entry type required",IF(OR($J423&lt;0,$K423&lt;0,$M423&lt;0,$T423&lt;0,$U423&lt;0,$V423&lt;0,$W423&lt;0,$X423&lt;0,$Y423&lt;0),"Negative amounts are not allowed",IF($AE423="","Tariff not found for township and tier",IF(AND(OR($S423="ITEM_PRICE_PLUS_DECLARED_DELIVERY",$S423="TOTAL_AMOUNT_INCLUDING_DELIVERY",$S423="ITEM_PRICE_ONLY_DELIVERY_PAID_BY_MERCHANT"),$J423=""),"Item price required for this amount type",IF(AND(OR($S423="ITEM_PRICE_PLUS_DECLARED_DELIVERY",$S423="DELIVERY_CHARGE_ONLY"),$K423=""),"Declared delivery charge required",IF(AND(OR($S423="TOTAL_AMOUNT_INCLUDING_DELIVERY",$S423="EXACT_COLLECTION_AMOUNT"),$T423=""),"Stated total amount required",IF(AND($S423="TOTAL_AMOUNT_INCLUDING_DELIVERY",$T423&lt;SUM($J423,$U423)),"Stated total is below item price plus additional charge",IF($S423="EXACT_COLLECTION_AMOUNT","Authorized amount breakdown required before settlement","Ready for collection and settlement"))))))))))))</f>
        <v/>
      </c>
      <c r="AW423" s="23">
        <f>IF($AU423="","","PARCEL_FINANCIAL_V2")</f>
        <v/>
      </c>
      <c r="AX423" s="17" t="n"/>
    </row>
    <row r="424">
      <c r="A424" s="8" t="n"/>
      <c r="B424" s="8" t="n"/>
      <c r="C424" s="8" t="n"/>
      <c r="D424" s="8" t="n"/>
      <c r="E424" s="9" t="n"/>
      <c r="F424" s="9" t="n"/>
      <c r="G424" s="8" t="n"/>
      <c r="H424" s="9" t="n"/>
      <c r="I424" s="9" t="n"/>
      <c r="J424" s="10" t="n"/>
      <c r="K424" s="10" t="n"/>
      <c r="L424" s="11">
        <f>IF($S424="","",IF($S424="ITEM_PRICE_PLUS_DECLARED_DELIVERY",IF(OR($J424="",$K424=""),"",SUM($J424,$K424,$U424)),IF($S424="TOTAL_AMOUNT_INCLUDING_DELIVERY",IF($T424="","",$T424),IF($S424="DELIVERY_CHARGE_ONLY",IF($K424="","",SUM($K424,$U424)),IF($S424="EXACT_COLLECTION_AMOUNT",IF($T424="","",$T424),IF($S424="ITEM_PRICE_ONLY_DELIVERY_PAID_BY_MERCHANT",IF($J424="","",SUM($J424,$U424)),""))))))</f>
        <v/>
      </c>
      <c r="M424" s="12" t="n"/>
      <c r="N424" s="13" t="n"/>
      <c r="O424" s="13" t="n"/>
      <c r="P424" s="9" t="n"/>
      <c r="Q424" s="14" t="n"/>
      <c r="R424" s="15" t="n"/>
      <c r="S424" s="14" t="n"/>
      <c r="T424" s="16" t="n"/>
      <c r="U424" s="16" t="n"/>
      <c r="V424" s="16" t="n"/>
      <c r="W424" s="16" t="n"/>
      <c r="X424" s="16" t="n"/>
      <c r="Y424" s="16" t="n"/>
      <c r="Z424" s="14" t="n"/>
      <c r="AA424" s="14" t="n"/>
      <c r="AB424" s="14" t="n"/>
      <c r="AC424" s="17">
        <f>IFERROR(VLOOKUP($H424&amp;"|"&amp;$Q424,Tariff_Master!$A$2:$L$169,3,FALSE),"")</f>
        <v/>
      </c>
      <c r="AD424" s="17">
        <f>IFERROR(VLOOKUP($H424&amp;"|"&amp;$Q424,Tariff_Master!$A$2:$L$169,4,FALSE),"")</f>
        <v/>
      </c>
      <c r="AE424" s="18">
        <f>IFERROR(VLOOKUP($H424&amp;"|"&amp;$Q424,Tariff_Master!$A$2:$L$169,6,FALSE),"")</f>
        <v/>
      </c>
      <c r="AF424" s="19">
        <f>IFERROR(VLOOKUP($H424&amp;"|"&amp;$Q424,Tariff_Master!$A$2:$L$169,7,FALSE),"")</f>
        <v/>
      </c>
      <c r="AG424" s="18">
        <f>IFERROR(VLOOKUP($H424&amp;"|"&amp;$Q424,Tariff_Master!$A$2:$L$169,8,FALSE),"")</f>
        <v/>
      </c>
      <c r="AH424" s="20">
        <f>IFERROR(VLOOKUP($H424&amp;"|"&amp;$Q424,Tariff_Master!$A$2:$L$169,9,FALSE),"")</f>
        <v/>
      </c>
      <c r="AI424" s="18">
        <f>IFERROR(VLOOKUP($H424&amp;"|"&amp;$Q424,Tariff_Master!$A$2:$L$169,10,FALSE),"")</f>
        <v/>
      </c>
      <c r="AJ424" s="21">
        <f>IF($M424="","",ROUNDUP(MAX(0,$M424),0))</f>
        <v/>
      </c>
      <c r="AK424" s="21">
        <f>IF(OR($AJ424="",$AF424=""),"",MAX(0,$AJ424-$AF424))</f>
        <v/>
      </c>
      <c r="AL424" s="22">
        <f>IF(OR($AK424="",$AG424=""),"",MAX(0,$AK424*$AG424))</f>
        <v/>
      </c>
      <c r="AM424" s="22">
        <f>IF($AE424="","",MAX(0,SUM($AE424,$AL424,$V424,$W424)))</f>
        <v/>
      </c>
      <c r="AN424" s="22">
        <f>IF($AM424="","",IF(AND($Q424="COMMITMENT",$R424&gt;=$AH424),$AI424,0))</f>
        <v/>
      </c>
      <c r="AO424" s="23">
        <f>IF($AM424="","",MAX(0,$AM424-$AN424))</f>
        <v/>
      </c>
      <c r="AP424" s="22">
        <f>IF($S424="","",IF(OR($S424="ITEM_PRICE_PLUS_DECLARED_DELIVERY",$S424="DELIVERY_CHARGE_ONLY"),$K424,IF($S424="TOTAL_AMOUNT_INCLUDING_DELIVERY",IF(OR($T424="",$J424=""),"",MAX(0,$T424-$J424-$U424)),IF($S424="ITEM_PRICE_ONLY_DELIVERY_PAID_BY_MERCHANT",0,""))))</f>
        <v/>
      </c>
      <c r="AQ424" s="23">
        <f>IF(OR($AP424="",$AO424=""),"",$AP424-$AO424)</f>
        <v/>
      </c>
      <c r="AR424" s="24">
        <f>IF($S424="EXACT_COLLECTION_AMOUNT","BREAKDOWN_REQUIRED",IF($AQ424="","",IF($AQ424&gt;0,"CREDIT_TO_MERCHANT",IF($AQ424&lt;0,"DEDUCT_FROM_MERCHANT","NO_ADJUSTMENT"))))</f>
        <v/>
      </c>
      <c r="AS424" s="23">
        <f>IF(OR($AQ424="",$AR424="BREAKDOWN_REQUIRED"),"",$AQ424)</f>
        <v/>
      </c>
      <c r="AT424" s="23">
        <f>IF(OR($AR424="",$AR424="BREAKDOWN_REQUIRED"),"",SUM($J424,$AQ424,$Y424)-$X424)</f>
        <v/>
      </c>
      <c r="AU424" s="25">
        <f>IF(AND($A424="",$B424="",$F424="",$H424="",$J424="",$K424="",$M424="",$S424=""),"",IF(OR($H424="",$Q424="",$M424="",$S424=""),"ERROR",IF(OR($J424&lt;0,$K424&lt;0,$M424&lt;0,$T424&lt;0,$U424&lt;0,$V424&lt;0,$W424&lt;0,$X424&lt;0,$Y424&lt;0),"ERROR",IF($AE424="","ERROR",IF(AND(OR($S424="ITEM_PRICE_PLUS_DECLARED_DELIVERY",$S424="TOTAL_AMOUNT_INCLUDING_DELIVERY",$S424="ITEM_PRICE_ONLY_DELIVERY_PAID_BY_MERCHANT"),$J424=""),"ERROR",IF(AND(OR($S424="ITEM_PRICE_PLUS_DECLARED_DELIVERY",$S424="DELIVERY_CHARGE_ONLY"),$K424=""),"ERROR",IF(AND(OR($S424="TOTAL_AMOUNT_INCLUDING_DELIVERY",$S424="EXACT_COLLECTION_AMOUNT"),$T424=""),"ERROR",IF(AND($S424="TOTAL_AMOUNT_INCLUDING_DELIVERY",$T424&lt;SUM($J424,$U424)),"ERROR",IF($S424="EXACT_COLLECTION_AMOUNT","REVIEW","OK")))))))))</f>
        <v/>
      </c>
      <c r="AV424" s="25">
        <f>IF($AU424="","",IF($H424="","Township required",IF($Q424="","Customer tier required",IF($M424="","Weight required",IF($S424="","Amount entry type required",IF(OR($J424&lt;0,$K424&lt;0,$M424&lt;0,$T424&lt;0,$U424&lt;0,$V424&lt;0,$W424&lt;0,$X424&lt;0,$Y424&lt;0),"Negative amounts are not allowed",IF($AE424="","Tariff not found for township and tier",IF(AND(OR($S424="ITEM_PRICE_PLUS_DECLARED_DELIVERY",$S424="TOTAL_AMOUNT_INCLUDING_DELIVERY",$S424="ITEM_PRICE_ONLY_DELIVERY_PAID_BY_MERCHANT"),$J424=""),"Item price required for this amount type",IF(AND(OR($S424="ITEM_PRICE_PLUS_DECLARED_DELIVERY",$S424="DELIVERY_CHARGE_ONLY"),$K424=""),"Declared delivery charge required",IF(AND(OR($S424="TOTAL_AMOUNT_INCLUDING_DELIVERY",$S424="EXACT_COLLECTION_AMOUNT"),$T424=""),"Stated total amount required",IF(AND($S424="TOTAL_AMOUNT_INCLUDING_DELIVERY",$T424&lt;SUM($J424,$U424)),"Stated total is below item price plus additional charge",IF($S424="EXACT_COLLECTION_AMOUNT","Authorized amount breakdown required before settlement","Ready for collection and settlement"))))))))))))</f>
        <v/>
      </c>
      <c r="AW424" s="23">
        <f>IF($AU424="","","PARCEL_FINANCIAL_V2")</f>
        <v/>
      </c>
      <c r="AX424" s="17" t="n"/>
    </row>
    <row r="425">
      <c r="A425" s="8" t="n"/>
      <c r="B425" s="8" t="n"/>
      <c r="C425" s="8" t="n"/>
      <c r="D425" s="8" t="n"/>
      <c r="E425" s="9" t="n"/>
      <c r="F425" s="9" t="n"/>
      <c r="G425" s="8" t="n"/>
      <c r="H425" s="9" t="n"/>
      <c r="I425" s="9" t="n"/>
      <c r="J425" s="10" t="n"/>
      <c r="K425" s="10" t="n"/>
      <c r="L425" s="11">
        <f>IF($S425="","",IF($S425="ITEM_PRICE_PLUS_DECLARED_DELIVERY",IF(OR($J425="",$K425=""),"",SUM($J425,$K425,$U425)),IF($S425="TOTAL_AMOUNT_INCLUDING_DELIVERY",IF($T425="","",$T425),IF($S425="DELIVERY_CHARGE_ONLY",IF($K425="","",SUM($K425,$U425)),IF($S425="EXACT_COLLECTION_AMOUNT",IF($T425="","",$T425),IF($S425="ITEM_PRICE_ONLY_DELIVERY_PAID_BY_MERCHANT",IF($J425="","",SUM($J425,$U425)),""))))))</f>
        <v/>
      </c>
      <c r="M425" s="12" t="n"/>
      <c r="N425" s="13" t="n"/>
      <c r="O425" s="13" t="n"/>
      <c r="P425" s="9" t="n"/>
      <c r="Q425" s="14" t="n"/>
      <c r="R425" s="15" t="n"/>
      <c r="S425" s="14" t="n"/>
      <c r="T425" s="16" t="n"/>
      <c r="U425" s="16" t="n"/>
      <c r="V425" s="16" t="n"/>
      <c r="W425" s="16" t="n"/>
      <c r="X425" s="16" t="n"/>
      <c r="Y425" s="16" t="n"/>
      <c r="Z425" s="14" t="n"/>
      <c r="AA425" s="14" t="n"/>
      <c r="AB425" s="14" t="n"/>
      <c r="AC425" s="17">
        <f>IFERROR(VLOOKUP($H425&amp;"|"&amp;$Q425,Tariff_Master!$A$2:$L$169,3,FALSE),"")</f>
        <v/>
      </c>
      <c r="AD425" s="17">
        <f>IFERROR(VLOOKUP($H425&amp;"|"&amp;$Q425,Tariff_Master!$A$2:$L$169,4,FALSE),"")</f>
        <v/>
      </c>
      <c r="AE425" s="18">
        <f>IFERROR(VLOOKUP($H425&amp;"|"&amp;$Q425,Tariff_Master!$A$2:$L$169,6,FALSE),"")</f>
        <v/>
      </c>
      <c r="AF425" s="19">
        <f>IFERROR(VLOOKUP($H425&amp;"|"&amp;$Q425,Tariff_Master!$A$2:$L$169,7,FALSE),"")</f>
        <v/>
      </c>
      <c r="AG425" s="18">
        <f>IFERROR(VLOOKUP($H425&amp;"|"&amp;$Q425,Tariff_Master!$A$2:$L$169,8,FALSE),"")</f>
        <v/>
      </c>
      <c r="AH425" s="20">
        <f>IFERROR(VLOOKUP($H425&amp;"|"&amp;$Q425,Tariff_Master!$A$2:$L$169,9,FALSE),"")</f>
        <v/>
      </c>
      <c r="AI425" s="18">
        <f>IFERROR(VLOOKUP($H425&amp;"|"&amp;$Q425,Tariff_Master!$A$2:$L$169,10,FALSE),"")</f>
        <v/>
      </c>
      <c r="AJ425" s="21">
        <f>IF($M425="","",ROUNDUP(MAX(0,$M425),0))</f>
        <v/>
      </c>
      <c r="AK425" s="21">
        <f>IF(OR($AJ425="",$AF425=""),"",MAX(0,$AJ425-$AF425))</f>
        <v/>
      </c>
      <c r="AL425" s="22">
        <f>IF(OR($AK425="",$AG425=""),"",MAX(0,$AK425*$AG425))</f>
        <v/>
      </c>
      <c r="AM425" s="22">
        <f>IF($AE425="","",MAX(0,SUM($AE425,$AL425,$V425,$W425)))</f>
        <v/>
      </c>
      <c r="AN425" s="22">
        <f>IF($AM425="","",IF(AND($Q425="COMMITMENT",$R425&gt;=$AH425),$AI425,0))</f>
        <v/>
      </c>
      <c r="AO425" s="23">
        <f>IF($AM425="","",MAX(0,$AM425-$AN425))</f>
        <v/>
      </c>
      <c r="AP425" s="22">
        <f>IF($S425="","",IF(OR($S425="ITEM_PRICE_PLUS_DECLARED_DELIVERY",$S425="DELIVERY_CHARGE_ONLY"),$K425,IF($S425="TOTAL_AMOUNT_INCLUDING_DELIVERY",IF(OR($T425="",$J425=""),"",MAX(0,$T425-$J425-$U425)),IF($S425="ITEM_PRICE_ONLY_DELIVERY_PAID_BY_MERCHANT",0,""))))</f>
        <v/>
      </c>
      <c r="AQ425" s="23">
        <f>IF(OR($AP425="",$AO425=""),"",$AP425-$AO425)</f>
        <v/>
      </c>
      <c r="AR425" s="24">
        <f>IF($S425="EXACT_COLLECTION_AMOUNT","BREAKDOWN_REQUIRED",IF($AQ425="","",IF($AQ425&gt;0,"CREDIT_TO_MERCHANT",IF($AQ425&lt;0,"DEDUCT_FROM_MERCHANT","NO_ADJUSTMENT"))))</f>
        <v/>
      </c>
      <c r="AS425" s="23">
        <f>IF(OR($AQ425="",$AR425="BREAKDOWN_REQUIRED"),"",$AQ425)</f>
        <v/>
      </c>
      <c r="AT425" s="23">
        <f>IF(OR($AR425="",$AR425="BREAKDOWN_REQUIRED"),"",SUM($J425,$AQ425,$Y425)-$X425)</f>
        <v/>
      </c>
      <c r="AU425" s="25">
        <f>IF(AND($A425="",$B425="",$F425="",$H425="",$J425="",$K425="",$M425="",$S425=""),"",IF(OR($H425="",$Q425="",$M425="",$S425=""),"ERROR",IF(OR($J425&lt;0,$K425&lt;0,$M425&lt;0,$T425&lt;0,$U425&lt;0,$V425&lt;0,$W425&lt;0,$X425&lt;0,$Y425&lt;0),"ERROR",IF($AE425="","ERROR",IF(AND(OR($S425="ITEM_PRICE_PLUS_DECLARED_DELIVERY",$S425="TOTAL_AMOUNT_INCLUDING_DELIVERY",$S425="ITEM_PRICE_ONLY_DELIVERY_PAID_BY_MERCHANT"),$J425=""),"ERROR",IF(AND(OR($S425="ITEM_PRICE_PLUS_DECLARED_DELIVERY",$S425="DELIVERY_CHARGE_ONLY"),$K425=""),"ERROR",IF(AND(OR($S425="TOTAL_AMOUNT_INCLUDING_DELIVERY",$S425="EXACT_COLLECTION_AMOUNT"),$T425=""),"ERROR",IF(AND($S425="TOTAL_AMOUNT_INCLUDING_DELIVERY",$T425&lt;SUM($J425,$U425)),"ERROR",IF($S425="EXACT_COLLECTION_AMOUNT","REVIEW","OK")))))))))</f>
        <v/>
      </c>
      <c r="AV425" s="25">
        <f>IF($AU425="","",IF($H425="","Township required",IF($Q425="","Customer tier required",IF($M425="","Weight required",IF($S425="","Amount entry type required",IF(OR($J425&lt;0,$K425&lt;0,$M425&lt;0,$T425&lt;0,$U425&lt;0,$V425&lt;0,$W425&lt;0,$X425&lt;0,$Y425&lt;0),"Negative amounts are not allowed",IF($AE425="","Tariff not found for township and tier",IF(AND(OR($S425="ITEM_PRICE_PLUS_DECLARED_DELIVERY",$S425="TOTAL_AMOUNT_INCLUDING_DELIVERY",$S425="ITEM_PRICE_ONLY_DELIVERY_PAID_BY_MERCHANT"),$J425=""),"Item price required for this amount type",IF(AND(OR($S425="ITEM_PRICE_PLUS_DECLARED_DELIVERY",$S425="DELIVERY_CHARGE_ONLY"),$K425=""),"Declared delivery charge required",IF(AND(OR($S425="TOTAL_AMOUNT_INCLUDING_DELIVERY",$S425="EXACT_COLLECTION_AMOUNT"),$T425=""),"Stated total amount required",IF(AND($S425="TOTAL_AMOUNT_INCLUDING_DELIVERY",$T425&lt;SUM($J425,$U425)),"Stated total is below item price plus additional charge",IF($S425="EXACT_COLLECTION_AMOUNT","Authorized amount breakdown required before settlement","Ready for collection and settlement"))))))))))))</f>
        <v/>
      </c>
      <c r="AW425" s="23">
        <f>IF($AU425="","","PARCEL_FINANCIAL_V2")</f>
        <v/>
      </c>
      <c r="AX425" s="17" t="n"/>
    </row>
    <row r="426">
      <c r="A426" s="8" t="n"/>
      <c r="B426" s="8" t="n"/>
      <c r="C426" s="8" t="n"/>
      <c r="D426" s="8" t="n"/>
      <c r="E426" s="9" t="n"/>
      <c r="F426" s="9" t="n"/>
      <c r="G426" s="8" t="n"/>
      <c r="H426" s="9" t="n"/>
      <c r="I426" s="9" t="n"/>
      <c r="J426" s="10" t="n"/>
      <c r="K426" s="10" t="n"/>
      <c r="L426" s="11">
        <f>IF($S426="","",IF($S426="ITEM_PRICE_PLUS_DECLARED_DELIVERY",IF(OR($J426="",$K426=""),"",SUM($J426,$K426,$U426)),IF($S426="TOTAL_AMOUNT_INCLUDING_DELIVERY",IF($T426="","",$T426),IF($S426="DELIVERY_CHARGE_ONLY",IF($K426="","",SUM($K426,$U426)),IF($S426="EXACT_COLLECTION_AMOUNT",IF($T426="","",$T426),IF($S426="ITEM_PRICE_ONLY_DELIVERY_PAID_BY_MERCHANT",IF($J426="","",SUM($J426,$U426)),""))))))</f>
        <v/>
      </c>
      <c r="M426" s="12" t="n"/>
      <c r="N426" s="13" t="n"/>
      <c r="O426" s="13" t="n"/>
      <c r="P426" s="9" t="n"/>
      <c r="Q426" s="14" t="n"/>
      <c r="R426" s="15" t="n"/>
      <c r="S426" s="14" t="n"/>
      <c r="T426" s="16" t="n"/>
      <c r="U426" s="16" t="n"/>
      <c r="V426" s="16" t="n"/>
      <c r="W426" s="16" t="n"/>
      <c r="X426" s="16" t="n"/>
      <c r="Y426" s="16" t="n"/>
      <c r="Z426" s="14" t="n"/>
      <c r="AA426" s="14" t="n"/>
      <c r="AB426" s="14" t="n"/>
      <c r="AC426" s="17">
        <f>IFERROR(VLOOKUP($H426&amp;"|"&amp;$Q426,Tariff_Master!$A$2:$L$169,3,FALSE),"")</f>
        <v/>
      </c>
      <c r="AD426" s="17">
        <f>IFERROR(VLOOKUP($H426&amp;"|"&amp;$Q426,Tariff_Master!$A$2:$L$169,4,FALSE),"")</f>
        <v/>
      </c>
      <c r="AE426" s="18">
        <f>IFERROR(VLOOKUP($H426&amp;"|"&amp;$Q426,Tariff_Master!$A$2:$L$169,6,FALSE),"")</f>
        <v/>
      </c>
      <c r="AF426" s="19">
        <f>IFERROR(VLOOKUP($H426&amp;"|"&amp;$Q426,Tariff_Master!$A$2:$L$169,7,FALSE),"")</f>
        <v/>
      </c>
      <c r="AG426" s="18">
        <f>IFERROR(VLOOKUP($H426&amp;"|"&amp;$Q426,Tariff_Master!$A$2:$L$169,8,FALSE),"")</f>
        <v/>
      </c>
      <c r="AH426" s="20">
        <f>IFERROR(VLOOKUP($H426&amp;"|"&amp;$Q426,Tariff_Master!$A$2:$L$169,9,FALSE),"")</f>
        <v/>
      </c>
      <c r="AI426" s="18">
        <f>IFERROR(VLOOKUP($H426&amp;"|"&amp;$Q426,Tariff_Master!$A$2:$L$169,10,FALSE),"")</f>
        <v/>
      </c>
      <c r="AJ426" s="21">
        <f>IF($M426="","",ROUNDUP(MAX(0,$M426),0))</f>
        <v/>
      </c>
      <c r="AK426" s="21">
        <f>IF(OR($AJ426="",$AF426=""),"",MAX(0,$AJ426-$AF426))</f>
        <v/>
      </c>
      <c r="AL426" s="22">
        <f>IF(OR($AK426="",$AG426=""),"",MAX(0,$AK426*$AG426))</f>
        <v/>
      </c>
      <c r="AM426" s="22">
        <f>IF($AE426="","",MAX(0,SUM($AE426,$AL426,$V426,$W426)))</f>
        <v/>
      </c>
      <c r="AN426" s="22">
        <f>IF($AM426="","",IF(AND($Q426="COMMITMENT",$R426&gt;=$AH426),$AI426,0))</f>
        <v/>
      </c>
      <c r="AO426" s="23">
        <f>IF($AM426="","",MAX(0,$AM426-$AN426))</f>
        <v/>
      </c>
      <c r="AP426" s="22">
        <f>IF($S426="","",IF(OR($S426="ITEM_PRICE_PLUS_DECLARED_DELIVERY",$S426="DELIVERY_CHARGE_ONLY"),$K426,IF($S426="TOTAL_AMOUNT_INCLUDING_DELIVERY",IF(OR($T426="",$J426=""),"",MAX(0,$T426-$J426-$U426)),IF($S426="ITEM_PRICE_ONLY_DELIVERY_PAID_BY_MERCHANT",0,""))))</f>
        <v/>
      </c>
      <c r="AQ426" s="23">
        <f>IF(OR($AP426="",$AO426=""),"",$AP426-$AO426)</f>
        <v/>
      </c>
      <c r="AR426" s="24">
        <f>IF($S426="EXACT_COLLECTION_AMOUNT","BREAKDOWN_REQUIRED",IF($AQ426="","",IF($AQ426&gt;0,"CREDIT_TO_MERCHANT",IF($AQ426&lt;0,"DEDUCT_FROM_MERCHANT","NO_ADJUSTMENT"))))</f>
        <v/>
      </c>
      <c r="AS426" s="23">
        <f>IF(OR($AQ426="",$AR426="BREAKDOWN_REQUIRED"),"",$AQ426)</f>
        <v/>
      </c>
      <c r="AT426" s="23">
        <f>IF(OR($AR426="",$AR426="BREAKDOWN_REQUIRED"),"",SUM($J426,$AQ426,$Y426)-$X426)</f>
        <v/>
      </c>
      <c r="AU426" s="25">
        <f>IF(AND($A426="",$B426="",$F426="",$H426="",$J426="",$K426="",$M426="",$S426=""),"",IF(OR($H426="",$Q426="",$M426="",$S426=""),"ERROR",IF(OR($J426&lt;0,$K426&lt;0,$M426&lt;0,$T426&lt;0,$U426&lt;0,$V426&lt;0,$W426&lt;0,$X426&lt;0,$Y426&lt;0),"ERROR",IF($AE426="","ERROR",IF(AND(OR($S426="ITEM_PRICE_PLUS_DECLARED_DELIVERY",$S426="TOTAL_AMOUNT_INCLUDING_DELIVERY",$S426="ITEM_PRICE_ONLY_DELIVERY_PAID_BY_MERCHANT"),$J426=""),"ERROR",IF(AND(OR($S426="ITEM_PRICE_PLUS_DECLARED_DELIVERY",$S426="DELIVERY_CHARGE_ONLY"),$K426=""),"ERROR",IF(AND(OR($S426="TOTAL_AMOUNT_INCLUDING_DELIVERY",$S426="EXACT_COLLECTION_AMOUNT"),$T426=""),"ERROR",IF(AND($S426="TOTAL_AMOUNT_INCLUDING_DELIVERY",$T426&lt;SUM($J426,$U426)),"ERROR",IF($S426="EXACT_COLLECTION_AMOUNT","REVIEW","OK")))))))))</f>
        <v/>
      </c>
      <c r="AV426" s="25">
        <f>IF($AU426="","",IF($H426="","Township required",IF($Q426="","Customer tier required",IF($M426="","Weight required",IF($S426="","Amount entry type required",IF(OR($J426&lt;0,$K426&lt;0,$M426&lt;0,$T426&lt;0,$U426&lt;0,$V426&lt;0,$W426&lt;0,$X426&lt;0,$Y426&lt;0),"Negative amounts are not allowed",IF($AE426="","Tariff not found for township and tier",IF(AND(OR($S426="ITEM_PRICE_PLUS_DECLARED_DELIVERY",$S426="TOTAL_AMOUNT_INCLUDING_DELIVERY",$S426="ITEM_PRICE_ONLY_DELIVERY_PAID_BY_MERCHANT"),$J426=""),"Item price required for this amount type",IF(AND(OR($S426="ITEM_PRICE_PLUS_DECLARED_DELIVERY",$S426="DELIVERY_CHARGE_ONLY"),$K426=""),"Declared delivery charge required",IF(AND(OR($S426="TOTAL_AMOUNT_INCLUDING_DELIVERY",$S426="EXACT_COLLECTION_AMOUNT"),$T426=""),"Stated total amount required",IF(AND($S426="TOTAL_AMOUNT_INCLUDING_DELIVERY",$T426&lt;SUM($J426,$U426)),"Stated total is below item price plus additional charge",IF($S426="EXACT_COLLECTION_AMOUNT","Authorized amount breakdown required before settlement","Ready for collection and settlement"))))))))))))</f>
        <v/>
      </c>
      <c r="AW426" s="23">
        <f>IF($AU426="","","PARCEL_FINANCIAL_V2")</f>
        <v/>
      </c>
      <c r="AX426" s="17" t="n"/>
    </row>
    <row r="427">
      <c r="A427" s="8" t="n"/>
      <c r="B427" s="8" t="n"/>
      <c r="C427" s="8" t="n"/>
      <c r="D427" s="8" t="n"/>
      <c r="E427" s="9" t="n"/>
      <c r="F427" s="9" t="n"/>
      <c r="G427" s="8" t="n"/>
      <c r="H427" s="9" t="n"/>
      <c r="I427" s="9" t="n"/>
      <c r="J427" s="10" t="n"/>
      <c r="K427" s="10" t="n"/>
      <c r="L427" s="11">
        <f>IF($S427="","",IF($S427="ITEM_PRICE_PLUS_DECLARED_DELIVERY",IF(OR($J427="",$K427=""),"",SUM($J427,$K427,$U427)),IF($S427="TOTAL_AMOUNT_INCLUDING_DELIVERY",IF($T427="","",$T427),IF($S427="DELIVERY_CHARGE_ONLY",IF($K427="","",SUM($K427,$U427)),IF($S427="EXACT_COLLECTION_AMOUNT",IF($T427="","",$T427),IF($S427="ITEM_PRICE_ONLY_DELIVERY_PAID_BY_MERCHANT",IF($J427="","",SUM($J427,$U427)),""))))))</f>
        <v/>
      </c>
      <c r="M427" s="12" t="n"/>
      <c r="N427" s="13" t="n"/>
      <c r="O427" s="13" t="n"/>
      <c r="P427" s="9" t="n"/>
      <c r="Q427" s="14" t="n"/>
      <c r="R427" s="15" t="n"/>
      <c r="S427" s="14" t="n"/>
      <c r="T427" s="16" t="n"/>
      <c r="U427" s="16" t="n"/>
      <c r="V427" s="16" t="n"/>
      <c r="W427" s="16" t="n"/>
      <c r="X427" s="16" t="n"/>
      <c r="Y427" s="16" t="n"/>
      <c r="Z427" s="14" t="n"/>
      <c r="AA427" s="14" t="n"/>
      <c r="AB427" s="14" t="n"/>
      <c r="AC427" s="17">
        <f>IFERROR(VLOOKUP($H427&amp;"|"&amp;$Q427,Tariff_Master!$A$2:$L$169,3,FALSE),"")</f>
        <v/>
      </c>
      <c r="AD427" s="17">
        <f>IFERROR(VLOOKUP($H427&amp;"|"&amp;$Q427,Tariff_Master!$A$2:$L$169,4,FALSE),"")</f>
        <v/>
      </c>
      <c r="AE427" s="18">
        <f>IFERROR(VLOOKUP($H427&amp;"|"&amp;$Q427,Tariff_Master!$A$2:$L$169,6,FALSE),"")</f>
        <v/>
      </c>
      <c r="AF427" s="19">
        <f>IFERROR(VLOOKUP($H427&amp;"|"&amp;$Q427,Tariff_Master!$A$2:$L$169,7,FALSE),"")</f>
        <v/>
      </c>
      <c r="AG427" s="18">
        <f>IFERROR(VLOOKUP($H427&amp;"|"&amp;$Q427,Tariff_Master!$A$2:$L$169,8,FALSE),"")</f>
        <v/>
      </c>
      <c r="AH427" s="20">
        <f>IFERROR(VLOOKUP($H427&amp;"|"&amp;$Q427,Tariff_Master!$A$2:$L$169,9,FALSE),"")</f>
        <v/>
      </c>
      <c r="AI427" s="18">
        <f>IFERROR(VLOOKUP($H427&amp;"|"&amp;$Q427,Tariff_Master!$A$2:$L$169,10,FALSE),"")</f>
        <v/>
      </c>
      <c r="AJ427" s="21">
        <f>IF($M427="","",ROUNDUP(MAX(0,$M427),0))</f>
        <v/>
      </c>
      <c r="AK427" s="21">
        <f>IF(OR($AJ427="",$AF427=""),"",MAX(0,$AJ427-$AF427))</f>
        <v/>
      </c>
      <c r="AL427" s="22">
        <f>IF(OR($AK427="",$AG427=""),"",MAX(0,$AK427*$AG427))</f>
        <v/>
      </c>
      <c r="AM427" s="22">
        <f>IF($AE427="","",MAX(0,SUM($AE427,$AL427,$V427,$W427)))</f>
        <v/>
      </c>
      <c r="AN427" s="22">
        <f>IF($AM427="","",IF(AND($Q427="COMMITMENT",$R427&gt;=$AH427),$AI427,0))</f>
        <v/>
      </c>
      <c r="AO427" s="23">
        <f>IF($AM427="","",MAX(0,$AM427-$AN427))</f>
        <v/>
      </c>
      <c r="AP427" s="22">
        <f>IF($S427="","",IF(OR($S427="ITEM_PRICE_PLUS_DECLARED_DELIVERY",$S427="DELIVERY_CHARGE_ONLY"),$K427,IF($S427="TOTAL_AMOUNT_INCLUDING_DELIVERY",IF(OR($T427="",$J427=""),"",MAX(0,$T427-$J427-$U427)),IF($S427="ITEM_PRICE_ONLY_DELIVERY_PAID_BY_MERCHANT",0,""))))</f>
        <v/>
      </c>
      <c r="AQ427" s="23">
        <f>IF(OR($AP427="",$AO427=""),"",$AP427-$AO427)</f>
        <v/>
      </c>
      <c r="AR427" s="24">
        <f>IF($S427="EXACT_COLLECTION_AMOUNT","BREAKDOWN_REQUIRED",IF($AQ427="","",IF($AQ427&gt;0,"CREDIT_TO_MERCHANT",IF($AQ427&lt;0,"DEDUCT_FROM_MERCHANT","NO_ADJUSTMENT"))))</f>
        <v/>
      </c>
      <c r="AS427" s="23">
        <f>IF(OR($AQ427="",$AR427="BREAKDOWN_REQUIRED"),"",$AQ427)</f>
        <v/>
      </c>
      <c r="AT427" s="23">
        <f>IF(OR($AR427="",$AR427="BREAKDOWN_REQUIRED"),"",SUM($J427,$AQ427,$Y427)-$X427)</f>
        <v/>
      </c>
      <c r="AU427" s="25">
        <f>IF(AND($A427="",$B427="",$F427="",$H427="",$J427="",$K427="",$M427="",$S427=""),"",IF(OR($H427="",$Q427="",$M427="",$S427=""),"ERROR",IF(OR($J427&lt;0,$K427&lt;0,$M427&lt;0,$T427&lt;0,$U427&lt;0,$V427&lt;0,$W427&lt;0,$X427&lt;0,$Y427&lt;0),"ERROR",IF($AE427="","ERROR",IF(AND(OR($S427="ITEM_PRICE_PLUS_DECLARED_DELIVERY",$S427="TOTAL_AMOUNT_INCLUDING_DELIVERY",$S427="ITEM_PRICE_ONLY_DELIVERY_PAID_BY_MERCHANT"),$J427=""),"ERROR",IF(AND(OR($S427="ITEM_PRICE_PLUS_DECLARED_DELIVERY",$S427="DELIVERY_CHARGE_ONLY"),$K427=""),"ERROR",IF(AND(OR($S427="TOTAL_AMOUNT_INCLUDING_DELIVERY",$S427="EXACT_COLLECTION_AMOUNT"),$T427=""),"ERROR",IF(AND($S427="TOTAL_AMOUNT_INCLUDING_DELIVERY",$T427&lt;SUM($J427,$U427)),"ERROR",IF($S427="EXACT_COLLECTION_AMOUNT","REVIEW","OK")))))))))</f>
        <v/>
      </c>
      <c r="AV427" s="25">
        <f>IF($AU427="","",IF($H427="","Township required",IF($Q427="","Customer tier required",IF($M427="","Weight required",IF($S427="","Amount entry type required",IF(OR($J427&lt;0,$K427&lt;0,$M427&lt;0,$T427&lt;0,$U427&lt;0,$V427&lt;0,$W427&lt;0,$X427&lt;0,$Y427&lt;0),"Negative amounts are not allowed",IF($AE427="","Tariff not found for township and tier",IF(AND(OR($S427="ITEM_PRICE_PLUS_DECLARED_DELIVERY",$S427="TOTAL_AMOUNT_INCLUDING_DELIVERY",$S427="ITEM_PRICE_ONLY_DELIVERY_PAID_BY_MERCHANT"),$J427=""),"Item price required for this amount type",IF(AND(OR($S427="ITEM_PRICE_PLUS_DECLARED_DELIVERY",$S427="DELIVERY_CHARGE_ONLY"),$K427=""),"Declared delivery charge required",IF(AND(OR($S427="TOTAL_AMOUNT_INCLUDING_DELIVERY",$S427="EXACT_COLLECTION_AMOUNT"),$T427=""),"Stated total amount required",IF(AND($S427="TOTAL_AMOUNT_INCLUDING_DELIVERY",$T427&lt;SUM($J427,$U427)),"Stated total is below item price plus additional charge",IF($S427="EXACT_COLLECTION_AMOUNT","Authorized amount breakdown required before settlement","Ready for collection and settlement"))))))))))))</f>
        <v/>
      </c>
      <c r="AW427" s="23">
        <f>IF($AU427="","","PARCEL_FINANCIAL_V2")</f>
        <v/>
      </c>
      <c r="AX427" s="17" t="n"/>
    </row>
    <row r="428">
      <c r="A428" s="8" t="n"/>
      <c r="B428" s="8" t="n"/>
      <c r="C428" s="8" t="n"/>
      <c r="D428" s="8" t="n"/>
      <c r="E428" s="9" t="n"/>
      <c r="F428" s="9" t="n"/>
      <c r="G428" s="8" t="n"/>
      <c r="H428" s="9" t="n"/>
      <c r="I428" s="9" t="n"/>
      <c r="J428" s="10" t="n"/>
      <c r="K428" s="10" t="n"/>
      <c r="L428" s="11">
        <f>IF($S428="","",IF($S428="ITEM_PRICE_PLUS_DECLARED_DELIVERY",IF(OR($J428="",$K428=""),"",SUM($J428,$K428,$U428)),IF($S428="TOTAL_AMOUNT_INCLUDING_DELIVERY",IF($T428="","",$T428),IF($S428="DELIVERY_CHARGE_ONLY",IF($K428="","",SUM($K428,$U428)),IF($S428="EXACT_COLLECTION_AMOUNT",IF($T428="","",$T428),IF($S428="ITEM_PRICE_ONLY_DELIVERY_PAID_BY_MERCHANT",IF($J428="","",SUM($J428,$U428)),""))))))</f>
        <v/>
      </c>
      <c r="M428" s="12" t="n"/>
      <c r="N428" s="13" t="n"/>
      <c r="O428" s="13" t="n"/>
      <c r="P428" s="9" t="n"/>
      <c r="Q428" s="14" t="n"/>
      <c r="R428" s="15" t="n"/>
      <c r="S428" s="14" t="n"/>
      <c r="T428" s="16" t="n"/>
      <c r="U428" s="16" t="n"/>
      <c r="V428" s="16" t="n"/>
      <c r="W428" s="16" t="n"/>
      <c r="X428" s="16" t="n"/>
      <c r="Y428" s="16" t="n"/>
      <c r="Z428" s="14" t="n"/>
      <c r="AA428" s="14" t="n"/>
      <c r="AB428" s="14" t="n"/>
      <c r="AC428" s="17">
        <f>IFERROR(VLOOKUP($H428&amp;"|"&amp;$Q428,Tariff_Master!$A$2:$L$169,3,FALSE),"")</f>
        <v/>
      </c>
      <c r="AD428" s="17">
        <f>IFERROR(VLOOKUP($H428&amp;"|"&amp;$Q428,Tariff_Master!$A$2:$L$169,4,FALSE),"")</f>
        <v/>
      </c>
      <c r="AE428" s="18">
        <f>IFERROR(VLOOKUP($H428&amp;"|"&amp;$Q428,Tariff_Master!$A$2:$L$169,6,FALSE),"")</f>
        <v/>
      </c>
      <c r="AF428" s="19">
        <f>IFERROR(VLOOKUP($H428&amp;"|"&amp;$Q428,Tariff_Master!$A$2:$L$169,7,FALSE),"")</f>
        <v/>
      </c>
      <c r="AG428" s="18">
        <f>IFERROR(VLOOKUP($H428&amp;"|"&amp;$Q428,Tariff_Master!$A$2:$L$169,8,FALSE),"")</f>
        <v/>
      </c>
      <c r="AH428" s="20">
        <f>IFERROR(VLOOKUP($H428&amp;"|"&amp;$Q428,Tariff_Master!$A$2:$L$169,9,FALSE),"")</f>
        <v/>
      </c>
      <c r="AI428" s="18">
        <f>IFERROR(VLOOKUP($H428&amp;"|"&amp;$Q428,Tariff_Master!$A$2:$L$169,10,FALSE),"")</f>
        <v/>
      </c>
      <c r="AJ428" s="21">
        <f>IF($M428="","",ROUNDUP(MAX(0,$M428),0))</f>
        <v/>
      </c>
      <c r="AK428" s="21">
        <f>IF(OR($AJ428="",$AF428=""),"",MAX(0,$AJ428-$AF428))</f>
        <v/>
      </c>
      <c r="AL428" s="22">
        <f>IF(OR($AK428="",$AG428=""),"",MAX(0,$AK428*$AG428))</f>
        <v/>
      </c>
      <c r="AM428" s="22">
        <f>IF($AE428="","",MAX(0,SUM($AE428,$AL428,$V428,$W428)))</f>
        <v/>
      </c>
      <c r="AN428" s="22">
        <f>IF($AM428="","",IF(AND($Q428="COMMITMENT",$R428&gt;=$AH428),$AI428,0))</f>
        <v/>
      </c>
      <c r="AO428" s="23">
        <f>IF($AM428="","",MAX(0,$AM428-$AN428))</f>
        <v/>
      </c>
      <c r="AP428" s="22">
        <f>IF($S428="","",IF(OR($S428="ITEM_PRICE_PLUS_DECLARED_DELIVERY",$S428="DELIVERY_CHARGE_ONLY"),$K428,IF($S428="TOTAL_AMOUNT_INCLUDING_DELIVERY",IF(OR($T428="",$J428=""),"",MAX(0,$T428-$J428-$U428)),IF($S428="ITEM_PRICE_ONLY_DELIVERY_PAID_BY_MERCHANT",0,""))))</f>
        <v/>
      </c>
      <c r="AQ428" s="23">
        <f>IF(OR($AP428="",$AO428=""),"",$AP428-$AO428)</f>
        <v/>
      </c>
      <c r="AR428" s="24">
        <f>IF($S428="EXACT_COLLECTION_AMOUNT","BREAKDOWN_REQUIRED",IF($AQ428="","",IF($AQ428&gt;0,"CREDIT_TO_MERCHANT",IF($AQ428&lt;0,"DEDUCT_FROM_MERCHANT","NO_ADJUSTMENT"))))</f>
        <v/>
      </c>
      <c r="AS428" s="23">
        <f>IF(OR($AQ428="",$AR428="BREAKDOWN_REQUIRED"),"",$AQ428)</f>
        <v/>
      </c>
      <c r="AT428" s="23">
        <f>IF(OR($AR428="",$AR428="BREAKDOWN_REQUIRED"),"",SUM($J428,$AQ428,$Y428)-$X428)</f>
        <v/>
      </c>
      <c r="AU428" s="25">
        <f>IF(AND($A428="",$B428="",$F428="",$H428="",$J428="",$K428="",$M428="",$S428=""),"",IF(OR($H428="",$Q428="",$M428="",$S428=""),"ERROR",IF(OR($J428&lt;0,$K428&lt;0,$M428&lt;0,$T428&lt;0,$U428&lt;0,$V428&lt;0,$W428&lt;0,$X428&lt;0,$Y428&lt;0),"ERROR",IF($AE428="","ERROR",IF(AND(OR($S428="ITEM_PRICE_PLUS_DECLARED_DELIVERY",$S428="TOTAL_AMOUNT_INCLUDING_DELIVERY",$S428="ITEM_PRICE_ONLY_DELIVERY_PAID_BY_MERCHANT"),$J428=""),"ERROR",IF(AND(OR($S428="ITEM_PRICE_PLUS_DECLARED_DELIVERY",$S428="DELIVERY_CHARGE_ONLY"),$K428=""),"ERROR",IF(AND(OR($S428="TOTAL_AMOUNT_INCLUDING_DELIVERY",$S428="EXACT_COLLECTION_AMOUNT"),$T428=""),"ERROR",IF(AND($S428="TOTAL_AMOUNT_INCLUDING_DELIVERY",$T428&lt;SUM($J428,$U428)),"ERROR",IF($S428="EXACT_COLLECTION_AMOUNT","REVIEW","OK")))))))))</f>
        <v/>
      </c>
      <c r="AV428" s="25">
        <f>IF($AU428="","",IF($H428="","Township required",IF($Q428="","Customer tier required",IF($M428="","Weight required",IF($S428="","Amount entry type required",IF(OR($J428&lt;0,$K428&lt;0,$M428&lt;0,$T428&lt;0,$U428&lt;0,$V428&lt;0,$W428&lt;0,$X428&lt;0,$Y428&lt;0),"Negative amounts are not allowed",IF($AE428="","Tariff not found for township and tier",IF(AND(OR($S428="ITEM_PRICE_PLUS_DECLARED_DELIVERY",$S428="TOTAL_AMOUNT_INCLUDING_DELIVERY",$S428="ITEM_PRICE_ONLY_DELIVERY_PAID_BY_MERCHANT"),$J428=""),"Item price required for this amount type",IF(AND(OR($S428="ITEM_PRICE_PLUS_DECLARED_DELIVERY",$S428="DELIVERY_CHARGE_ONLY"),$K428=""),"Declared delivery charge required",IF(AND(OR($S428="TOTAL_AMOUNT_INCLUDING_DELIVERY",$S428="EXACT_COLLECTION_AMOUNT"),$T428=""),"Stated total amount required",IF(AND($S428="TOTAL_AMOUNT_INCLUDING_DELIVERY",$T428&lt;SUM($J428,$U428)),"Stated total is below item price plus additional charge",IF($S428="EXACT_COLLECTION_AMOUNT","Authorized amount breakdown required before settlement","Ready for collection and settlement"))))))))))))</f>
        <v/>
      </c>
      <c r="AW428" s="23">
        <f>IF($AU428="","","PARCEL_FINANCIAL_V2")</f>
        <v/>
      </c>
      <c r="AX428" s="17" t="n"/>
    </row>
    <row r="429">
      <c r="A429" s="8" t="n"/>
      <c r="B429" s="8" t="n"/>
      <c r="C429" s="8" t="n"/>
      <c r="D429" s="8" t="n"/>
      <c r="E429" s="9" t="n"/>
      <c r="F429" s="9" t="n"/>
      <c r="G429" s="8" t="n"/>
      <c r="H429" s="9" t="n"/>
      <c r="I429" s="9" t="n"/>
      <c r="J429" s="10" t="n"/>
      <c r="K429" s="10" t="n"/>
      <c r="L429" s="11">
        <f>IF($S429="","",IF($S429="ITEM_PRICE_PLUS_DECLARED_DELIVERY",IF(OR($J429="",$K429=""),"",SUM($J429,$K429,$U429)),IF($S429="TOTAL_AMOUNT_INCLUDING_DELIVERY",IF($T429="","",$T429),IF($S429="DELIVERY_CHARGE_ONLY",IF($K429="","",SUM($K429,$U429)),IF($S429="EXACT_COLLECTION_AMOUNT",IF($T429="","",$T429),IF($S429="ITEM_PRICE_ONLY_DELIVERY_PAID_BY_MERCHANT",IF($J429="","",SUM($J429,$U429)),""))))))</f>
        <v/>
      </c>
      <c r="M429" s="12" t="n"/>
      <c r="N429" s="13" t="n"/>
      <c r="O429" s="13" t="n"/>
      <c r="P429" s="9" t="n"/>
      <c r="Q429" s="14" t="n"/>
      <c r="R429" s="15" t="n"/>
      <c r="S429" s="14" t="n"/>
      <c r="T429" s="16" t="n"/>
      <c r="U429" s="16" t="n"/>
      <c r="V429" s="16" t="n"/>
      <c r="W429" s="16" t="n"/>
      <c r="X429" s="16" t="n"/>
      <c r="Y429" s="16" t="n"/>
      <c r="Z429" s="14" t="n"/>
      <c r="AA429" s="14" t="n"/>
      <c r="AB429" s="14" t="n"/>
      <c r="AC429" s="17">
        <f>IFERROR(VLOOKUP($H429&amp;"|"&amp;$Q429,Tariff_Master!$A$2:$L$169,3,FALSE),"")</f>
        <v/>
      </c>
      <c r="AD429" s="17">
        <f>IFERROR(VLOOKUP($H429&amp;"|"&amp;$Q429,Tariff_Master!$A$2:$L$169,4,FALSE),"")</f>
        <v/>
      </c>
      <c r="AE429" s="18">
        <f>IFERROR(VLOOKUP($H429&amp;"|"&amp;$Q429,Tariff_Master!$A$2:$L$169,6,FALSE),"")</f>
        <v/>
      </c>
      <c r="AF429" s="19">
        <f>IFERROR(VLOOKUP($H429&amp;"|"&amp;$Q429,Tariff_Master!$A$2:$L$169,7,FALSE),"")</f>
        <v/>
      </c>
      <c r="AG429" s="18">
        <f>IFERROR(VLOOKUP($H429&amp;"|"&amp;$Q429,Tariff_Master!$A$2:$L$169,8,FALSE),"")</f>
        <v/>
      </c>
      <c r="AH429" s="20">
        <f>IFERROR(VLOOKUP($H429&amp;"|"&amp;$Q429,Tariff_Master!$A$2:$L$169,9,FALSE),"")</f>
        <v/>
      </c>
      <c r="AI429" s="18">
        <f>IFERROR(VLOOKUP($H429&amp;"|"&amp;$Q429,Tariff_Master!$A$2:$L$169,10,FALSE),"")</f>
        <v/>
      </c>
      <c r="AJ429" s="21">
        <f>IF($M429="","",ROUNDUP(MAX(0,$M429),0))</f>
        <v/>
      </c>
      <c r="AK429" s="21">
        <f>IF(OR($AJ429="",$AF429=""),"",MAX(0,$AJ429-$AF429))</f>
        <v/>
      </c>
      <c r="AL429" s="22">
        <f>IF(OR($AK429="",$AG429=""),"",MAX(0,$AK429*$AG429))</f>
        <v/>
      </c>
      <c r="AM429" s="22">
        <f>IF($AE429="","",MAX(0,SUM($AE429,$AL429,$V429,$W429)))</f>
        <v/>
      </c>
      <c r="AN429" s="22">
        <f>IF($AM429="","",IF(AND($Q429="COMMITMENT",$R429&gt;=$AH429),$AI429,0))</f>
        <v/>
      </c>
      <c r="AO429" s="23">
        <f>IF($AM429="","",MAX(0,$AM429-$AN429))</f>
        <v/>
      </c>
      <c r="AP429" s="22">
        <f>IF($S429="","",IF(OR($S429="ITEM_PRICE_PLUS_DECLARED_DELIVERY",$S429="DELIVERY_CHARGE_ONLY"),$K429,IF($S429="TOTAL_AMOUNT_INCLUDING_DELIVERY",IF(OR($T429="",$J429=""),"",MAX(0,$T429-$J429-$U429)),IF($S429="ITEM_PRICE_ONLY_DELIVERY_PAID_BY_MERCHANT",0,""))))</f>
        <v/>
      </c>
      <c r="AQ429" s="23">
        <f>IF(OR($AP429="",$AO429=""),"",$AP429-$AO429)</f>
        <v/>
      </c>
      <c r="AR429" s="24">
        <f>IF($S429="EXACT_COLLECTION_AMOUNT","BREAKDOWN_REQUIRED",IF($AQ429="","",IF($AQ429&gt;0,"CREDIT_TO_MERCHANT",IF($AQ429&lt;0,"DEDUCT_FROM_MERCHANT","NO_ADJUSTMENT"))))</f>
        <v/>
      </c>
      <c r="AS429" s="23">
        <f>IF(OR($AQ429="",$AR429="BREAKDOWN_REQUIRED"),"",$AQ429)</f>
        <v/>
      </c>
      <c r="AT429" s="23">
        <f>IF(OR($AR429="",$AR429="BREAKDOWN_REQUIRED"),"",SUM($J429,$AQ429,$Y429)-$X429)</f>
        <v/>
      </c>
      <c r="AU429" s="25">
        <f>IF(AND($A429="",$B429="",$F429="",$H429="",$J429="",$K429="",$M429="",$S429=""),"",IF(OR($H429="",$Q429="",$M429="",$S429=""),"ERROR",IF(OR($J429&lt;0,$K429&lt;0,$M429&lt;0,$T429&lt;0,$U429&lt;0,$V429&lt;0,$W429&lt;0,$X429&lt;0,$Y429&lt;0),"ERROR",IF($AE429="","ERROR",IF(AND(OR($S429="ITEM_PRICE_PLUS_DECLARED_DELIVERY",$S429="TOTAL_AMOUNT_INCLUDING_DELIVERY",$S429="ITEM_PRICE_ONLY_DELIVERY_PAID_BY_MERCHANT"),$J429=""),"ERROR",IF(AND(OR($S429="ITEM_PRICE_PLUS_DECLARED_DELIVERY",$S429="DELIVERY_CHARGE_ONLY"),$K429=""),"ERROR",IF(AND(OR($S429="TOTAL_AMOUNT_INCLUDING_DELIVERY",$S429="EXACT_COLLECTION_AMOUNT"),$T429=""),"ERROR",IF(AND($S429="TOTAL_AMOUNT_INCLUDING_DELIVERY",$T429&lt;SUM($J429,$U429)),"ERROR",IF($S429="EXACT_COLLECTION_AMOUNT","REVIEW","OK")))))))))</f>
        <v/>
      </c>
      <c r="AV429" s="25">
        <f>IF($AU429="","",IF($H429="","Township required",IF($Q429="","Customer tier required",IF($M429="","Weight required",IF($S429="","Amount entry type required",IF(OR($J429&lt;0,$K429&lt;0,$M429&lt;0,$T429&lt;0,$U429&lt;0,$V429&lt;0,$W429&lt;0,$X429&lt;0,$Y429&lt;0),"Negative amounts are not allowed",IF($AE429="","Tariff not found for township and tier",IF(AND(OR($S429="ITEM_PRICE_PLUS_DECLARED_DELIVERY",$S429="TOTAL_AMOUNT_INCLUDING_DELIVERY",$S429="ITEM_PRICE_ONLY_DELIVERY_PAID_BY_MERCHANT"),$J429=""),"Item price required for this amount type",IF(AND(OR($S429="ITEM_PRICE_PLUS_DECLARED_DELIVERY",$S429="DELIVERY_CHARGE_ONLY"),$K429=""),"Declared delivery charge required",IF(AND(OR($S429="TOTAL_AMOUNT_INCLUDING_DELIVERY",$S429="EXACT_COLLECTION_AMOUNT"),$T429=""),"Stated total amount required",IF(AND($S429="TOTAL_AMOUNT_INCLUDING_DELIVERY",$T429&lt;SUM($J429,$U429)),"Stated total is below item price plus additional charge",IF($S429="EXACT_COLLECTION_AMOUNT","Authorized amount breakdown required before settlement","Ready for collection and settlement"))))))))))))</f>
        <v/>
      </c>
      <c r="AW429" s="23">
        <f>IF($AU429="","","PARCEL_FINANCIAL_V2")</f>
        <v/>
      </c>
      <c r="AX429" s="17" t="n"/>
    </row>
    <row r="430">
      <c r="A430" s="8" t="n"/>
      <c r="B430" s="8" t="n"/>
      <c r="C430" s="8" t="n"/>
      <c r="D430" s="8" t="n"/>
      <c r="E430" s="9" t="n"/>
      <c r="F430" s="9" t="n"/>
      <c r="G430" s="8" t="n"/>
      <c r="H430" s="9" t="n"/>
      <c r="I430" s="9" t="n"/>
      <c r="J430" s="10" t="n"/>
      <c r="K430" s="10" t="n"/>
      <c r="L430" s="11">
        <f>IF($S430="","",IF($S430="ITEM_PRICE_PLUS_DECLARED_DELIVERY",IF(OR($J430="",$K430=""),"",SUM($J430,$K430,$U430)),IF($S430="TOTAL_AMOUNT_INCLUDING_DELIVERY",IF($T430="","",$T430),IF($S430="DELIVERY_CHARGE_ONLY",IF($K430="","",SUM($K430,$U430)),IF($S430="EXACT_COLLECTION_AMOUNT",IF($T430="","",$T430),IF($S430="ITEM_PRICE_ONLY_DELIVERY_PAID_BY_MERCHANT",IF($J430="","",SUM($J430,$U430)),""))))))</f>
        <v/>
      </c>
      <c r="M430" s="12" t="n"/>
      <c r="N430" s="13" t="n"/>
      <c r="O430" s="13" t="n"/>
      <c r="P430" s="9" t="n"/>
      <c r="Q430" s="14" t="n"/>
      <c r="R430" s="15" t="n"/>
      <c r="S430" s="14" t="n"/>
      <c r="T430" s="16" t="n"/>
      <c r="U430" s="16" t="n"/>
      <c r="V430" s="16" t="n"/>
      <c r="W430" s="16" t="n"/>
      <c r="X430" s="16" t="n"/>
      <c r="Y430" s="16" t="n"/>
      <c r="Z430" s="14" t="n"/>
      <c r="AA430" s="14" t="n"/>
      <c r="AB430" s="14" t="n"/>
      <c r="AC430" s="17">
        <f>IFERROR(VLOOKUP($H430&amp;"|"&amp;$Q430,Tariff_Master!$A$2:$L$169,3,FALSE),"")</f>
        <v/>
      </c>
      <c r="AD430" s="17">
        <f>IFERROR(VLOOKUP($H430&amp;"|"&amp;$Q430,Tariff_Master!$A$2:$L$169,4,FALSE),"")</f>
        <v/>
      </c>
      <c r="AE430" s="18">
        <f>IFERROR(VLOOKUP($H430&amp;"|"&amp;$Q430,Tariff_Master!$A$2:$L$169,6,FALSE),"")</f>
        <v/>
      </c>
      <c r="AF430" s="19">
        <f>IFERROR(VLOOKUP($H430&amp;"|"&amp;$Q430,Tariff_Master!$A$2:$L$169,7,FALSE),"")</f>
        <v/>
      </c>
      <c r="AG430" s="18">
        <f>IFERROR(VLOOKUP($H430&amp;"|"&amp;$Q430,Tariff_Master!$A$2:$L$169,8,FALSE),"")</f>
        <v/>
      </c>
      <c r="AH430" s="20">
        <f>IFERROR(VLOOKUP($H430&amp;"|"&amp;$Q430,Tariff_Master!$A$2:$L$169,9,FALSE),"")</f>
        <v/>
      </c>
      <c r="AI430" s="18">
        <f>IFERROR(VLOOKUP($H430&amp;"|"&amp;$Q430,Tariff_Master!$A$2:$L$169,10,FALSE),"")</f>
        <v/>
      </c>
      <c r="AJ430" s="21">
        <f>IF($M430="","",ROUNDUP(MAX(0,$M430),0))</f>
        <v/>
      </c>
      <c r="AK430" s="21">
        <f>IF(OR($AJ430="",$AF430=""),"",MAX(0,$AJ430-$AF430))</f>
        <v/>
      </c>
      <c r="AL430" s="22">
        <f>IF(OR($AK430="",$AG430=""),"",MAX(0,$AK430*$AG430))</f>
        <v/>
      </c>
      <c r="AM430" s="22">
        <f>IF($AE430="","",MAX(0,SUM($AE430,$AL430,$V430,$W430)))</f>
        <v/>
      </c>
      <c r="AN430" s="22">
        <f>IF($AM430="","",IF(AND($Q430="COMMITMENT",$R430&gt;=$AH430),$AI430,0))</f>
        <v/>
      </c>
      <c r="AO430" s="23">
        <f>IF($AM430="","",MAX(0,$AM430-$AN430))</f>
        <v/>
      </c>
      <c r="AP430" s="22">
        <f>IF($S430="","",IF(OR($S430="ITEM_PRICE_PLUS_DECLARED_DELIVERY",$S430="DELIVERY_CHARGE_ONLY"),$K430,IF($S430="TOTAL_AMOUNT_INCLUDING_DELIVERY",IF(OR($T430="",$J430=""),"",MAX(0,$T430-$J430-$U430)),IF($S430="ITEM_PRICE_ONLY_DELIVERY_PAID_BY_MERCHANT",0,""))))</f>
        <v/>
      </c>
      <c r="AQ430" s="23">
        <f>IF(OR($AP430="",$AO430=""),"",$AP430-$AO430)</f>
        <v/>
      </c>
      <c r="AR430" s="24">
        <f>IF($S430="EXACT_COLLECTION_AMOUNT","BREAKDOWN_REQUIRED",IF($AQ430="","",IF($AQ430&gt;0,"CREDIT_TO_MERCHANT",IF($AQ430&lt;0,"DEDUCT_FROM_MERCHANT","NO_ADJUSTMENT"))))</f>
        <v/>
      </c>
      <c r="AS430" s="23">
        <f>IF(OR($AQ430="",$AR430="BREAKDOWN_REQUIRED"),"",$AQ430)</f>
        <v/>
      </c>
      <c r="AT430" s="23">
        <f>IF(OR($AR430="",$AR430="BREAKDOWN_REQUIRED"),"",SUM($J430,$AQ430,$Y430)-$X430)</f>
        <v/>
      </c>
      <c r="AU430" s="25">
        <f>IF(AND($A430="",$B430="",$F430="",$H430="",$J430="",$K430="",$M430="",$S430=""),"",IF(OR($H430="",$Q430="",$M430="",$S430=""),"ERROR",IF(OR($J430&lt;0,$K430&lt;0,$M430&lt;0,$T430&lt;0,$U430&lt;0,$V430&lt;0,$W430&lt;0,$X430&lt;0,$Y430&lt;0),"ERROR",IF($AE430="","ERROR",IF(AND(OR($S430="ITEM_PRICE_PLUS_DECLARED_DELIVERY",$S430="TOTAL_AMOUNT_INCLUDING_DELIVERY",$S430="ITEM_PRICE_ONLY_DELIVERY_PAID_BY_MERCHANT"),$J430=""),"ERROR",IF(AND(OR($S430="ITEM_PRICE_PLUS_DECLARED_DELIVERY",$S430="DELIVERY_CHARGE_ONLY"),$K430=""),"ERROR",IF(AND(OR($S430="TOTAL_AMOUNT_INCLUDING_DELIVERY",$S430="EXACT_COLLECTION_AMOUNT"),$T430=""),"ERROR",IF(AND($S430="TOTAL_AMOUNT_INCLUDING_DELIVERY",$T430&lt;SUM($J430,$U430)),"ERROR",IF($S430="EXACT_COLLECTION_AMOUNT","REVIEW","OK")))))))))</f>
        <v/>
      </c>
      <c r="AV430" s="25">
        <f>IF($AU430="","",IF($H430="","Township required",IF($Q430="","Customer tier required",IF($M430="","Weight required",IF($S430="","Amount entry type required",IF(OR($J430&lt;0,$K430&lt;0,$M430&lt;0,$T430&lt;0,$U430&lt;0,$V430&lt;0,$W430&lt;0,$X430&lt;0,$Y430&lt;0),"Negative amounts are not allowed",IF($AE430="","Tariff not found for township and tier",IF(AND(OR($S430="ITEM_PRICE_PLUS_DECLARED_DELIVERY",$S430="TOTAL_AMOUNT_INCLUDING_DELIVERY",$S430="ITEM_PRICE_ONLY_DELIVERY_PAID_BY_MERCHANT"),$J430=""),"Item price required for this amount type",IF(AND(OR($S430="ITEM_PRICE_PLUS_DECLARED_DELIVERY",$S430="DELIVERY_CHARGE_ONLY"),$K430=""),"Declared delivery charge required",IF(AND(OR($S430="TOTAL_AMOUNT_INCLUDING_DELIVERY",$S430="EXACT_COLLECTION_AMOUNT"),$T430=""),"Stated total amount required",IF(AND($S430="TOTAL_AMOUNT_INCLUDING_DELIVERY",$T430&lt;SUM($J430,$U430)),"Stated total is below item price plus additional charge",IF($S430="EXACT_COLLECTION_AMOUNT","Authorized amount breakdown required before settlement","Ready for collection and settlement"))))))))))))</f>
        <v/>
      </c>
      <c r="AW430" s="23">
        <f>IF($AU430="","","PARCEL_FINANCIAL_V2")</f>
        <v/>
      </c>
      <c r="AX430" s="17" t="n"/>
    </row>
    <row r="431">
      <c r="A431" s="8" t="n"/>
      <c r="B431" s="8" t="n"/>
      <c r="C431" s="8" t="n"/>
      <c r="D431" s="8" t="n"/>
      <c r="E431" s="9" t="n"/>
      <c r="F431" s="9" t="n"/>
      <c r="G431" s="8" t="n"/>
      <c r="H431" s="9" t="n"/>
      <c r="I431" s="9" t="n"/>
      <c r="J431" s="10" t="n"/>
      <c r="K431" s="10" t="n"/>
      <c r="L431" s="11">
        <f>IF($S431="","",IF($S431="ITEM_PRICE_PLUS_DECLARED_DELIVERY",IF(OR($J431="",$K431=""),"",SUM($J431,$K431,$U431)),IF($S431="TOTAL_AMOUNT_INCLUDING_DELIVERY",IF($T431="","",$T431),IF($S431="DELIVERY_CHARGE_ONLY",IF($K431="","",SUM($K431,$U431)),IF($S431="EXACT_COLLECTION_AMOUNT",IF($T431="","",$T431),IF($S431="ITEM_PRICE_ONLY_DELIVERY_PAID_BY_MERCHANT",IF($J431="","",SUM($J431,$U431)),""))))))</f>
        <v/>
      </c>
      <c r="M431" s="12" t="n"/>
      <c r="N431" s="13" t="n"/>
      <c r="O431" s="13" t="n"/>
      <c r="P431" s="9" t="n"/>
      <c r="Q431" s="14" t="n"/>
      <c r="R431" s="15" t="n"/>
      <c r="S431" s="14" t="n"/>
      <c r="T431" s="16" t="n"/>
      <c r="U431" s="16" t="n"/>
      <c r="V431" s="16" t="n"/>
      <c r="W431" s="16" t="n"/>
      <c r="X431" s="16" t="n"/>
      <c r="Y431" s="16" t="n"/>
      <c r="Z431" s="14" t="n"/>
      <c r="AA431" s="14" t="n"/>
      <c r="AB431" s="14" t="n"/>
      <c r="AC431" s="17">
        <f>IFERROR(VLOOKUP($H431&amp;"|"&amp;$Q431,Tariff_Master!$A$2:$L$169,3,FALSE),"")</f>
        <v/>
      </c>
      <c r="AD431" s="17">
        <f>IFERROR(VLOOKUP($H431&amp;"|"&amp;$Q431,Tariff_Master!$A$2:$L$169,4,FALSE),"")</f>
        <v/>
      </c>
      <c r="AE431" s="18">
        <f>IFERROR(VLOOKUP($H431&amp;"|"&amp;$Q431,Tariff_Master!$A$2:$L$169,6,FALSE),"")</f>
        <v/>
      </c>
      <c r="AF431" s="19">
        <f>IFERROR(VLOOKUP($H431&amp;"|"&amp;$Q431,Tariff_Master!$A$2:$L$169,7,FALSE),"")</f>
        <v/>
      </c>
      <c r="AG431" s="18">
        <f>IFERROR(VLOOKUP($H431&amp;"|"&amp;$Q431,Tariff_Master!$A$2:$L$169,8,FALSE),"")</f>
        <v/>
      </c>
      <c r="AH431" s="20">
        <f>IFERROR(VLOOKUP($H431&amp;"|"&amp;$Q431,Tariff_Master!$A$2:$L$169,9,FALSE),"")</f>
        <v/>
      </c>
      <c r="AI431" s="18">
        <f>IFERROR(VLOOKUP($H431&amp;"|"&amp;$Q431,Tariff_Master!$A$2:$L$169,10,FALSE),"")</f>
        <v/>
      </c>
      <c r="AJ431" s="21">
        <f>IF($M431="","",ROUNDUP(MAX(0,$M431),0))</f>
        <v/>
      </c>
      <c r="AK431" s="21">
        <f>IF(OR($AJ431="",$AF431=""),"",MAX(0,$AJ431-$AF431))</f>
        <v/>
      </c>
      <c r="AL431" s="22">
        <f>IF(OR($AK431="",$AG431=""),"",MAX(0,$AK431*$AG431))</f>
        <v/>
      </c>
      <c r="AM431" s="22">
        <f>IF($AE431="","",MAX(0,SUM($AE431,$AL431,$V431,$W431)))</f>
        <v/>
      </c>
      <c r="AN431" s="22">
        <f>IF($AM431="","",IF(AND($Q431="COMMITMENT",$R431&gt;=$AH431),$AI431,0))</f>
        <v/>
      </c>
      <c r="AO431" s="23">
        <f>IF($AM431="","",MAX(0,$AM431-$AN431))</f>
        <v/>
      </c>
      <c r="AP431" s="22">
        <f>IF($S431="","",IF(OR($S431="ITEM_PRICE_PLUS_DECLARED_DELIVERY",$S431="DELIVERY_CHARGE_ONLY"),$K431,IF($S431="TOTAL_AMOUNT_INCLUDING_DELIVERY",IF(OR($T431="",$J431=""),"",MAX(0,$T431-$J431-$U431)),IF($S431="ITEM_PRICE_ONLY_DELIVERY_PAID_BY_MERCHANT",0,""))))</f>
        <v/>
      </c>
      <c r="AQ431" s="23">
        <f>IF(OR($AP431="",$AO431=""),"",$AP431-$AO431)</f>
        <v/>
      </c>
      <c r="AR431" s="24">
        <f>IF($S431="EXACT_COLLECTION_AMOUNT","BREAKDOWN_REQUIRED",IF($AQ431="","",IF($AQ431&gt;0,"CREDIT_TO_MERCHANT",IF($AQ431&lt;0,"DEDUCT_FROM_MERCHANT","NO_ADJUSTMENT"))))</f>
        <v/>
      </c>
      <c r="AS431" s="23">
        <f>IF(OR($AQ431="",$AR431="BREAKDOWN_REQUIRED"),"",$AQ431)</f>
        <v/>
      </c>
      <c r="AT431" s="23">
        <f>IF(OR($AR431="",$AR431="BREAKDOWN_REQUIRED"),"",SUM($J431,$AQ431,$Y431)-$X431)</f>
        <v/>
      </c>
      <c r="AU431" s="25">
        <f>IF(AND($A431="",$B431="",$F431="",$H431="",$J431="",$K431="",$M431="",$S431=""),"",IF(OR($H431="",$Q431="",$M431="",$S431=""),"ERROR",IF(OR($J431&lt;0,$K431&lt;0,$M431&lt;0,$T431&lt;0,$U431&lt;0,$V431&lt;0,$W431&lt;0,$X431&lt;0,$Y431&lt;0),"ERROR",IF($AE431="","ERROR",IF(AND(OR($S431="ITEM_PRICE_PLUS_DECLARED_DELIVERY",$S431="TOTAL_AMOUNT_INCLUDING_DELIVERY",$S431="ITEM_PRICE_ONLY_DELIVERY_PAID_BY_MERCHANT"),$J431=""),"ERROR",IF(AND(OR($S431="ITEM_PRICE_PLUS_DECLARED_DELIVERY",$S431="DELIVERY_CHARGE_ONLY"),$K431=""),"ERROR",IF(AND(OR($S431="TOTAL_AMOUNT_INCLUDING_DELIVERY",$S431="EXACT_COLLECTION_AMOUNT"),$T431=""),"ERROR",IF(AND($S431="TOTAL_AMOUNT_INCLUDING_DELIVERY",$T431&lt;SUM($J431,$U431)),"ERROR",IF($S431="EXACT_COLLECTION_AMOUNT","REVIEW","OK")))))))))</f>
        <v/>
      </c>
      <c r="AV431" s="25">
        <f>IF($AU431="","",IF($H431="","Township required",IF($Q431="","Customer tier required",IF($M431="","Weight required",IF($S431="","Amount entry type required",IF(OR($J431&lt;0,$K431&lt;0,$M431&lt;0,$T431&lt;0,$U431&lt;0,$V431&lt;0,$W431&lt;0,$X431&lt;0,$Y431&lt;0),"Negative amounts are not allowed",IF($AE431="","Tariff not found for township and tier",IF(AND(OR($S431="ITEM_PRICE_PLUS_DECLARED_DELIVERY",$S431="TOTAL_AMOUNT_INCLUDING_DELIVERY",$S431="ITEM_PRICE_ONLY_DELIVERY_PAID_BY_MERCHANT"),$J431=""),"Item price required for this amount type",IF(AND(OR($S431="ITEM_PRICE_PLUS_DECLARED_DELIVERY",$S431="DELIVERY_CHARGE_ONLY"),$K431=""),"Declared delivery charge required",IF(AND(OR($S431="TOTAL_AMOUNT_INCLUDING_DELIVERY",$S431="EXACT_COLLECTION_AMOUNT"),$T431=""),"Stated total amount required",IF(AND($S431="TOTAL_AMOUNT_INCLUDING_DELIVERY",$T431&lt;SUM($J431,$U431)),"Stated total is below item price plus additional charge",IF($S431="EXACT_COLLECTION_AMOUNT","Authorized amount breakdown required before settlement","Ready for collection and settlement"))))))))))))</f>
        <v/>
      </c>
      <c r="AW431" s="23">
        <f>IF($AU431="","","PARCEL_FINANCIAL_V2")</f>
        <v/>
      </c>
      <c r="AX431" s="17" t="n"/>
    </row>
    <row r="432">
      <c r="A432" s="8" t="n"/>
      <c r="B432" s="8" t="n"/>
      <c r="C432" s="8" t="n"/>
      <c r="D432" s="8" t="n"/>
      <c r="E432" s="9" t="n"/>
      <c r="F432" s="9" t="n"/>
      <c r="G432" s="8" t="n"/>
      <c r="H432" s="9" t="n"/>
      <c r="I432" s="9" t="n"/>
      <c r="J432" s="10" t="n"/>
      <c r="K432" s="10" t="n"/>
      <c r="L432" s="11">
        <f>IF($S432="","",IF($S432="ITEM_PRICE_PLUS_DECLARED_DELIVERY",IF(OR($J432="",$K432=""),"",SUM($J432,$K432,$U432)),IF($S432="TOTAL_AMOUNT_INCLUDING_DELIVERY",IF($T432="","",$T432),IF($S432="DELIVERY_CHARGE_ONLY",IF($K432="","",SUM($K432,$U432)),IF($S432="EXACT_COLLECTION_AMOUNT",IF($T432="","",$T432),IF($S432="ITEM_PRICE_ONLY_DELIVERY_PAID_BY_MERCHANT",IF($J432="","",SUM($J432,$U432)),""))))))</f>
        <v/>
      </c>
      <c r="M432" s="12" t="n"/>
      <c r="N432" s="13" t="n"/>
      <c r="O432" s="13" t="n"/>
      <c r="P432" s="9" t="n"/>
      <c r="Q432" s="14" t="n"/>
      <c r="R432" s="15" t="n"/>
      <c r="S432" s="14" t="n"/>
      <c r="T432" s="16" t="n"/>
      <c r="U432" s="16" t="n"/>
      <c r="V432" s="16" t="n"/>
      <c r="W432" s="16" t="n"/>
      <c r="X432" s="16" t="n"/>
      <c r="Y432" s="16" t="n"/>
      <c r="Z432" s="14" t="n"/>
      <c r="AA432" s="14" t="n"/>
      <c r="AB432" s="14" t="n"/>
      <c r="AC432" s="17">
        <f>IFERROR(VLOOKUP($H432&amp;"|"&amp;$Q432,Tariff_Master!$A$2:$L$169,3,FALSE),"")</f>
        <v/>
      </c>
      <c r="AD432" s="17">
        <f>IFERROR(VLOOKUP($H432&amp;"|"&amp;$Q432,Tariff_Master!$A$2:$L$169,4,FALSE),"")</f>
        <v/>
      </c>
      <c r="AE432" s="18">
        <f>IFERROR(VLOOKUP($H432&amp;"|"&amp;$Q432,Tariff_Master!$A$2:$L$169,6,FALSE),"")</f>
        <v/>
      </c>
      <c r="AF432" s="19">
        <f>IFERROR(VLOOKUP($H432&amp;"|"&amp;$Q432,Tariff_Master!$A$2:$L$169,7,FALSE),"")</f>
        <v/>
      </c>
      <c r="AG432" s="18">
        <f>IFERROR(VLOOKUP($H432&amp;"|"&amp;$Q432,Tariff_Master!$A$2:$L$169,8,FALSE),"")</f>
        <v/>
      </c>
      <c r="AH432" s="20">
        <f>IFERROR(VLOOKUP($H432&amp;"|"&amp;$Q432,Tariff_Master!$A$2:$L$169,9,FALSE),"")</f>
        <v/>
      </c>
      <c r="AI432" s="18">
        <f>IFERROR(VLOOKUP($H432&amp;"|"&amp;$Q432,Tariff_Master!$A$2:$L$169,10,FALSE),"")</f>
        <v/>
      </c>
      <c r="AJ432" s="21">
        <f>IF($M432="","",ROUNDUP(MAX(0,$M432),0))</f>
        <v/>
      </c>
      <c r="AK432" s="21">
        <f>IF(OR($AJ432="",$AF432=""),"",MAX(0,$AJ432-$AF432))</f>
        <v/>
      </c>
      <c r="AL432" s="22">
        <f>IF(OR($AK432="",$AG432=""),"",MAX(0,$AK432*$AG432))</f>
        <v/>
      </c>
      <c r="AM432" s="22">
        <f>IF($AE432="","",MAX(0,SUM($AE432,$AL432,$V432,$W432)))</f>
        <v/>
      </c>
      <c r="AN432" s="22">
        <f>IF($AM432="","",IF(AND($Q432="COMMITMENT",$R432&gt;=$AH432),$AI432,0))</f>
        <v/>
      </c>
      <c r="AO432" s="23">
        <f>IF($AM432="","",MAX(0,$AM432-$AN432))</f>
        <v/>
      </c>
      <c r="AP432" s="22">
        <f>IF($S432="","",IF(OR($S432="ITEM_PRICE_PLUS_DECLARED_DELIVERY",$S432="DELIVERY_CHARGE_ONLY"),$K432,IF($S432="TOTAL_AMOUNT_INCLUDING_DELIVERY",IF(OR($T432="",$J432=""),"",MAX(0,$T432-$J432-$U432)),IF($S432="ITEM_PRICE_ONLY_DELIVERY_PAID_BY_MERCHANT",0,""))))</f>
        <v/>
      </c>
      <c r="AQ432" s="23">
        <f>IF(OR($AP432="",$AO432=""),"",$AP432-$AO432)</f>
        <v/>
      </c>
      <c r="AR432" s="24">
        <f>IF($S432="EXACT_COLLECTION_AMOUNT","BREAKDOWN_REQUIRED",IF($AQ432="","",IF($AQ432&gt;0,"CREDIT_TO_MERCHANT",IF($AQ432&lt;0,"DEDUCT_FROM_MERCHANT","NO_ADJUSTMENT"))))</f>
        <v/>
      </c>
      <c r="AS432" s="23">
        <f>IF(OR($AQ432="",$AR432="BREAKDOWN_REQUIRED"),"",$AQ432)</f>
        <v/>
      </c>
      <c r="AT432" s="23">
        <f>IF(OR($AR432="",$AR432="BREAKDOWN_REQUIRED"),"",SUM($J432,$AQ432,$Y432)-$X432)</f>
        <v/>
      </c>
      <c r="AU432" s="25">
        <f>IF(AND($A432="",$B432="",$F432="",$H432="",$J432="",$K432="",$M432="",$S432=""),"",IF(OR($H432="",$Q432="",$M432="",$S432=""),"ERROR",IF(OR($J432&lt;0,$K432&lt;0,$M432&lt;0,$T432&lt;0,$U432&lt;0,$V432&lt;0,$W432&lt;0,$X432&lt;0,$Y432&lt;0),"ERROR",IF($AE432="","ERROR",IF(AND(OR($S432="ITEM_PRICE_PLUS_DECLARED_DELIVERY",$S432="TOTAL_AMOUNT_INCLUDING_DELIVERY",$S432="ITEM_PRICE_ONLY_DELIVERY_PAID_BY_MERCHANT"),$J432=""),"ERROR",IF(AND(OR($S432="ITEM_PRICE_PLUS_DECLARED_DELIVERY",$S432="DELIVERY_CHARGE_ONLY"),$K432=""),"ERROR",IF(AND(OR($S432="TOTAL_AMOUNT_INCLUDING_DELIVERY",$S432="EXACT_COLLECTION_AMOUNT"),$T432=""),"ERROR",IF(AND($S432="TOTAL_AMOUNT_INCLUDING_DELIVERY",$T432&lt;SUM($J432,$U432)),"ERROR",IF($S432="EXACT_COLLECTION_AMOUNT","REVIEW","OK")))))))))</f>
        <v/>
      </c>
      <c r="AV432" s="25">
        <f>IF($AU432="","",IF($H432="","Township required",IF($Q432="","Customer tier required",IF($M432="","Weight required",IF($S432="","Amount entry type required",IF(OR($J432&lt;0,$K432&lt;0,$M432&lt;0,$T432&lt;0,$U432&lt;0,$V432&lt;0,$W432&lt;0,$X432&lt;0,$Y432&lt;0),"Negative amounts are not allowed",IF($AE432="","Tariff not found for township and tier",IF(AND(OR($S432="ITEM_PRICE_PLUS_DECLARED_DELIVERY",$S432="TOTAL_AMOUNT_INCLUDING_DELIVERY",$S432="ITEM_PRICE_ONLY_DELIVERY_PAID_BY_MERCHANT"),$J432=""),"Item price required for this amount type",IF(AND(OR($S432="ITEM_PRICE_PLUS_DECLARED_DELIVERY",$S432="DELIVERY_CHARGE_ONLY"),$K432=""),"Declared delivery charge required",IF(AND(OR($S432="TOTAL_AMOUNT_INCLUDING_DELIVERY",$S432="EXACT_COLLECTION_AMOUNT"),$T432=""),"Stated total amount required",IF(AND($S432="TOTAL_AMOUNT_INCLUDING_DELIVERY",$T432&lt;SUM($J432,$U432)),"Stated total is below item price plus additional charge",IF($S432="EXACT_COLLECTION_AMOUNT","Authorized amount breakdown required before settlement","Ready for collection and settlement"))))))))))))</f>
        <v/>
      </c>
      <c r="AW432" s="23">
        <f>IF($AU432="","","PARCEL_FINANCIAL_V2")</f>
        <v/>
      </c>
      <c r="AX432" s="17" t="n"/>
    </row>
    <row r="433">
      <c r="A433" s="8" t="n"/>
      <c r="B433" s="8" t="n"/>
      <c r="C433" s="8" t="n"/>
      <c r="D433" s="8" t="n"/>
      <c r="E433" s="9" t="n"/>
      <c r="F433" s="9" t="n"/>
      <c r="G433" s="8" t="n"/>
      <c r="H433" s="9" t="n"/>
      <c r="I433" s="9" t="n"/>
      <c r="J433" s="10" t="n"/>
      <c r="K433" s="10" t="n"/>
      <c r="L433" s="11">
        <f>IF($S433="","",IF($S433="ITEM_PRICE_PLUS_DECLARED_DELIVERY",IF(OR($J433="",$K433=""),"",SUM($J433,$K433,$U433)),IF($S433="TOTAL_AMOUNT_INCLUDING_DELIVERY",IF($T433="","",$T433),IF($S433="DELIVERY_CHARGE_ONLY",IF($K433="","",SUM($K433,$U433)),IF($S433="EXACT_COLLECTION_AMOUNT",IF($T433="","",$T433),IF($S433="ITEM_PRICE_ONLY_DELIVERY_PAID_BY_MERCHANT",IF($J433="","",SUM($J433,$U433)),""))))))</f>
        <v/>
      </c>
      <c r="M433" s="12" t="n"/>
      <c r="N433" s="13" t="n"/>
      <c r="O433" s="13" t="n"/>
      <c r="P433" s="9" t="n"/>
      <c r="Q433" s="14" t="n"/>
      <c r="R433" s="15" t="n"/>
      <c r="S433" s="14" t="n"/>
      <c r="T433" s="16" t="n"/>
      <c r="U433" s="16" t="n"/>
      <c r="V433" s="16" t="n"/>
      <c r="W433" s="16" t="n"/>
      <c r="X433" s="16" t="n"/>
      <c r="Y433" s="16" t="n"/>
      <c r="Z433" s="14" t="n"/>
      <c r="AA433" s="14" t="n"/>
      <c r="AB433" s="14" t="n"/>
      <c r="AC433" s="17">
        <f>IFERROR(VLOOKUP($H433&amp;"|"&amp;$Q433,Tariff_Master!$A$2:$L$169,3,FALSE),"")</f>
        <v/>
      </c>
      <c r="AD433" s="17">
        <f>IFERROR(VLOOKUP($H433&amp;"|"&amp;$Q433,Tariff_Master!$A$2:$L$169,4,FALSE),"")</f>
        <v/>
      </c>
      <c r="AE433" s="18">
        <f>IFERROR(VLOOKUP($H433&amp;"|"&amp;$Q433,Tariff_Master!$A$2:$L$169,6,FALSE),"")</f>
        <v/>
      </c>
      <c r="AF433" s="19">
        <f>IFERROR(VLOOKUP($H433&amp;"|"&amp;$Q433,Tariff_Master!$A$2:$L$169,7,FALSE),"")</f>
        <v/>
      </c>
      <c r="AG433" s="18">
        <f>IFERROR(VLOOKUP($H433&amp;"|"&amp;$Q433,Tariff_Master!$A$2:$L$169,8,FALSE),"")</f>
        <v/>
      </c>
      <c r="AH433" s="20">
        <f>IFERROR(VLOOKUP($H433&amp;"|"&amp;$Q433,Tariff_Master!$A$2:$L$169,9,FALSE),"")</f>
        <v/>
      </c>
      <c r="AI433" s="18">
        <f>IFERROR(VLOOKUP($H433&amp;"|"&amp;$Q433,Tariff_Master!$A$2:$L$169,10,FALSE),"")</f>
        <v/>
      </c>
      <c r="AJ433" s="21">
        <f>IF($M433="","",ROUNDUP(MAX(0,$M433),0))</f>
        <v/>
      </c>
      <c r="AK433" s="21">
        <f>IF(OR($AJ433="",$AF433=""),"",MAX(0,$AJ433-$AF433))</f>
        <v/>
      </c>
      <c r="AL433" s="22">
        <f>IF(OR($AK433="",$AG433=""),"",MAX(0,$AK433*$AG433))</f>
        <v/>
      </c>
      <c r="AM433" s="22">
        <f>IF($AE433="","",MAX(0,SUM($AE433,$AL433,$V433,$W433)))</f>
        <v/>
      </c>
      <c r="AN433" s="22">
        <f>IF($AM433="","",IF(AND($Q433="COMMITMENT",$R433&gt;=$AH433),$AI433,0))</f>
        <v/>
      </c>
      <c r="AO433" s="23">
        <f>IF($AM433="","",MAX(0,$AM433-$AN433))</f>
        <v/>
      </c>
      <c r="AP433" s="22">
        <f>IF($S433="","",IF(OR($S433="ITEM_PRICE_PLUS_DECLARED_DELIVERY",$S433="DELIVERY_CHARGE_ONLY"),$K433,IF($S433="TOTAL_AMOUNT_INCLUDING_DELIVERY",IF(OR($T433="",$J433=""),"",MAX(0,$T433-$J433-$U433)),IF($S433="ITEM_PRICE_ONLY_DELIVERY_PAID_BY_MERCHANT",0,""))))</f>
        <v/>
      </c>
      <c r="AQ433" s="23">
        <f>IF(OR($AP433="",$AO433=""),"",$AP433-$AO433)</f>
        <v/>
      </c>
      <c r="AR433" s="24">
        <f>IF($S433="EXACT_COLLECTION_AMOUNT","BREAKDOWN_REQUIRED",IF($AQ433="","",IF($AQ433&gt;0,"CREDIT_TO_MERCHANT",IF($AQ433&lt;0,"DEDUCT_FROM_MERCHANT","NO_ADJUSTMENT"))))</f>
        <v/>
      </c>
      <c r="AS433" s="23">
        <f>IF(OR($AQ433="",$AR433="BREAKDOWN_REQUIRED"),"",$AQ433)</f>
        <v/>
      </c>
      <c r="AT433" s="23">
        <f>IF(OR($AR433="",$AR433="BREAKDOWN_REQUIRED"),"",SUM($J433,$AQ433,$Y433)-$X433)</f>
        <v/>
      </c>
      <c r="AU433" s="25">
        <f>IF(AND($A433="",$B433="",$F433="",$H433="",$J433="",$K433="",$M433="",$S433=""),"",IF(OR($H433="",$Q433="",$M433="",$S433=""),"ERROR",IF(OR($J433&lt;0,$K433&lt;0,$M433&lt;0,$T433&lt;0,$U433&lt;0,$V433&lt;0,$W433&lt;0,$X433&lt;0,$Y433&lt;0),"ERROR",IF($AE433="","ERROR",IF(AND(OR($S433="ITEM_PRICE_PLUS_DECLARED_DELIVERY",$S433="TOTAL_AMOUNT_INCLUDING_DELIVERY",$S433="ITEM_PRICE_ONLY_DELIVERY_PAID_BY_MERCHANT"),$J433=""),"ERROR",IF(AND(OR($S433="ITEM_PRICE_PLUS_DECLARED_DELIVERY",$S433="DELIVERY_CHARGE_ONLY"),$K433=""),"ERROR",IF(AND(OR($S433="TOTAL_AMOUNT_INCLUDING_DELIVERY",$S433="EXACT_COLLECTION_AMOUNT"),$T433=""),"ERROR",IF(AND($S433="TOTAL_AMOUNT_INCLUDING_DELIVERY",$T433&lt;SUM($J433,$U433)),"ERROR",IF($S433="EXACT_COLLECTION_AMOUNT","REVIEW","OK")))))))))</f>
        <v/>
      </c>
      <c r="AV433" s="25">
        <f>IF($AU433="","",IF($H433="","Township required",IF($Q433="","Customer tier required",IF($M433="","Weight required",IF($S433="","Amount entry type required",IF(OR($J433&lt;0,$K433&lt;0,$M433&lt;0,$T433&lt;0,$U433&lt;0,$V433&lt;0,$W433&lt;0,$X433&lt;0,$Y433&lt;0),"Negative amounts are not allowed",IF($AE433="","Tariff not found for township and tier",IF(AND(OR($S433="ITEM_PRICE_PLUS_DECLARED_DELIVERY",$S433="TOTAL_AMOUNT_INCLUDING_DELIVERY",$S433="ITEM_PRICE_ONLY_DELIVERY_PAID_BY_MERCHANT"),$J433=""),"Item price required for this amount type",IF(AND(OR($S433="ITEM_PRICE_PLUS_DECLARED_DELIVERY",$S433="DELIVERY_CHARGE_ONLY"),$K433=""),"Declared delivery charge required",IF(AND(OR($S433="TOTAL_AMOUNT_INCLUDING_DELIVERY",$S433="EXACT_COLLECTION_AMOUNT"),$T433=""),"Stated total amount required",IF(AND($S433="TOTAL_AMOUNT_INCLUDING_DELIVERY",$T433&lt;SUM($J433,$U433)),"Stated total is below item price plus additional charge",IF($S433="EXACT_COLLECTION_AMOUNT","Authorized amount breakdown required before settlement","Ready for collection and settlement"))))))))))))</f>
        <v/>
      </c>
      <c r="AW433" s="23">
        <f>IF($AU433="","","PARCEL_FINANCIAL_V2")</f>
        <v/>
      </c>
      <c r="AX433" s="17" t="n"/>
    </row>
    <row r="434">
      <c r="A434" s="8" t="n"/>
      <c r="B434" s="8" t="n"/>
      <c r="C434" s="8" t="n"/>
      <c r="D434" s="8" t="n"/>
      <c r="E434" s="9" t="n"/>
      <c r="F434" s="9" t="n"/>
      <c r="G434" s="8" t="n"/>
      <c r="H434" s="9" t="n"/>
      <c r="I434" s="9" t="n"/>
      <c r="J434" s="10" t="n"/>
      <c r="K434" s="10" t="n"/>
      <c r="L434" s="11">
        <f>IF($S434="","",IF($S434="ITEM_PRICE_PLUS_DECLARED_DELIVERY",IF(OR($J434="",$K434=""),"",SUM($J434,$K434,$U434)),IF($S434="TOTAL_AMOUNT_INCLUDING_DELIVERY",IF($T434="","",$T434),IF($S434="DELIVERY_CHARGE_ONLY",IF($K434="","",SUM($K434,$U434)),IF($S434="EXACT_COLLECTION_AMOUNT",IF($T434="","",$T434),IF($S434="ITEM_PRICE_ONLY_DELIVERY_PAID_BY_MERCHANT",IF($J434="","",SUM($J434,$U434)),""))))))</f>
        <v/>
      </c>
      <c r="M434" s="12" t="n"/>
      <c r="N434" s="13" t="n"/>
      <c r="O434" s="13" t="n"/>
      <c r="P434" s="9" t="n"/>
      <c r="Q434" s="14" t="n"/>
      <c r="R434" s="15" t="n"/>
      <c r="S434" s="14" t="n"/>
      <c r="T434" s="16" t="n"/>
      <c r="U434" s="16" t="n"/>
      <c r="V434" s="16" t="n"/>
      <c r="W434" s="16" t="n"/>
      <c r="X434" s="16" t="n"/>
      <c r="Y434" s="16" t="n"/>
      <c r="Z434" s="14" t="n"/>
      <c r="AA434" s="14" t="n"/>
      <c r="AB434" s="14" t="n"/>
      <c r="AC434" s="17">
        <f>IFERROR(VLOOKUP($H434&amp;"|"&amp;$Q434,Tariff_Master!$A$2:$L$169,3,FALSE),"")</f>
        <v/>
      </c>
      <c r="AD434" s="17">
        <f>IFERROR(VLOOKUP($H434&amp;"|"&amp;$Q434,Tariff_Master!$A$2:$L$169,4,FALSE),"")</f>
        <v/>
      </c>
      <c r="AE434" s="18">
        <f>IFERROR(VLOOKUP($H434&amp;"|"&amp;$Q434,Tariff_Master!$A$2:$L$169,6,FALSE),"")</f>
        <v/>
      </c>
      <c r="AF434" s="19">
        <f>IFERROR(VLOOKUP($H434&amp;"|"&amp;$Q434,Tariff_Master!$A$2:$L$169,7,FALSE),"")</f>
        <v/>
      </c>
      <c r="AG434" s="18">
        <f>IFERROR(VLOOKUP($H434&amp;"|"&amp;$Q434,Tariff_Master!$A$2:$L$169,8,FALSE),"")</f>
        <v/>
      </c>
      <c r="AH434" s="20">
        <f>IFERROR(VLOOKUP($H434&amp;"|"&amp;$Q434,Tariff_Master!$A$2:$L$169,9,FALSE),"")</f>
        <v/>
      </c>
      <c r="AI434" s="18">
        <f>IFERROR(VLOOKUP($H434&amp;"|"&amp;$Q434,Tariff_Master!$A$2:$L$169,10,FALSE),"")</f>
        <v/>
      </c>
      <c r="AJ434" s="21">
        <f>IF($M434="","",ROUNDUP(MAX(0,$M434),0))</f>
        <v/>
      </c>
      <c r="AK434" s="21">
        <f>IF(OR($AJ434="",$AF434=""),"",MAX(0,$AJ434-$AF434))</f>
        <v/>
      </c>
      <c r="AL434" s="22">
        <f>IF(OR($AK434="",$AG434=""),"",MAX(0,$AK434*$AG434))</f>
        <v/>
      </c>
      <c r="AM434" s="22">
        <f>IF($AE434="","",MAX(0,SUM($AE434,$AL434,$V434,$W434)))</f>
        <v/>
      </c>
      <c r="AN434" s="22">
        <f>IF($AM434="","",IF(AND($Q434="COMMITMENT",$R434&gt;=$AH434),$AI434,0))</f>
        <v/>
      </c>
      <c r="AO434" s="23">
        <f>IF($AM434="","",MAX(0,$AM434-$AN434))</f>
        <v/>
      </c>
      <c r="AP434" s="22">
        <f>IF($S434="","",IF(OR($S434="ITEM_PRICE_PLUS_DECLARED_DELIVERY",$S434="DELIVERY_CHARGE_ONLY"),$K434,IF($S434="TOTAL_AMOUNT_INCLUDING_DELIVERY",IF(OR($T434="",$J434=""),"",MAX(0,$T434-$J434-$U434)),IF($S434="ITEM_PRICE_ONLY_DELIVERY_PAID_BY_MERCHANT",0,""))))</f>
        <v/>
      </c>
      <c r="AQ434" s="23">
        <f>IF(OR($AP434="",$AO434=""),"",$AP434-$AO434)</f>
        <v/>
      </c>
      <c r="AR434" s="24">
        <f>IF($S434="EXACT_COLLECTION_AMOUNT","BREAKDOWN_REQUIRED",IF($AQ434="","",IF($AQ434&gt;0,"CREDIT_TO_MERCHANT",IF($AQ434&lt;0,"DEDUCT_FROM_MERCHANT","NO_ADJUSTMENT"))))</f>
        <v/>
      </c>
      <c r="AS434" s="23">
        <f>IF(OR($AQ434="",$AR434="BREAKDOWN_REQUIRED"),"",$AQ434)</f>
        <v/>
      </c>
      <c r="AT434" s="23">
        <f>IF(OR($AR434="",$AR434="BREAKDOWN_REQUIRED"),"",SUM($J434,$AQ434,$Y434)-$X434)</f>
        <v/>
      </c>
      <c r="AU434" s="25">
        <f>IF(AND($A434="",$B434="",$F434="",$H434="",$J434="",$K434="",$M434="",$S434=""),"",IF(OR($H434="",$Q434="",$M434="",$S434=""),"ERROR",IF(OR($J434&lt;0,$K434&lt;0,$M434&lt;0,$T434&lt;0,$U434&lt;0,$V434&lt;0,$W434&lt;0,$X434&lt;0,$Y434&lt;0),"ERROR",IF($AE434="","ERROR",IF(AND(OR($S434="ITEM_PRICE_PLUS_DECLARED_DELIVERY",$S434="TOTAL_AMOUNT_INCLUDING_DELIVERY",$S434="ITEM_PRICE_ONLY_DELIVERY_PAID_BY_MERCHANT"),$J434=""),"ERROR",IF(AND(OR($S434="ITEM_PRICE_PLUS_DECLARED_DELIVERY",$S434="DELIVERY_CHARGE_ONLY"),$K434=""),"ERROR",IF(AND(OR($S434="TOTAL_AMOUNT_INCLUDING_DELIVERY",$S434="EXACT_COLLECTION_AMOUNT"),$T434=""),"ERROR",IF(AND($S434="TOTAL_AMOUNT_INCLUDING_DELIVERY",$T434&lt;SUM($J434,$U434)),"ERROR",IF($S434="EXACT_COLLECTION_AMOUNT","REVIEW","OK")))))))))</f>
        <v/>
      </c>
      <c r="AV434" s="25">
        <f>IF($AU434="","",IF($H434="","Township required",IF($Q434="","Customer tier required",IF($M434="","Weight required",IF($S434="","Amount entry type required",IF(OR($J434&lt;0,$K434&lt;0,$M434&lt;0,$T434&lt;0,$U434&lt;0,$V434&lt;0,$W434&lt;0,$X434&lt;0,$Y434&lt;0),"Negative amounts are not allowed",IF($AE434="","Tariff not found for township and tier",IF(AND(OR($S434="ITEM_PRICE_PLUS_DECLARED_DELIVERY",$S434="TOTAL_AMOUNT_INCLUDING_DELIVERY",$S434="ITEM_PRICE_ONLY_DELIVERY_PAID_BY_MERCHANT"),$J434=""),"Item price required for this amount type",IF(AND(OR($S434="ITEM_PRICE_PLUS_DECLARED_DELIVERY",$S434="DELIVERY_CHARGE_ONLY"),$K434=""),"Declared delivery charge required",IF(AND(OR($S434="TOTAL_AMOUNT_INCLUDING_DELIVERY",$S434="EXACT_COLLECTION_AMOUNT"),$T434=""),"Stated total amount required",IF(AND($S434="TOTAL_AMOUNT_INCLUDING_DELIVERY",$T434&lt;SUM($J434,$U434)),"Stated total is below item price plus additional charge",IF($S434="EXACT_COLLECTION_AMOUNT","Authorized amount breakdown required before settlement","Ready for collection and settlement"))))))))))))</f>
        <v/>
      </c>
      <c r="AW434" s="23">
        <f>IF($AU434="","","PARCEL_FINANCIAL_V2")</f>
        <v/>
      </c>
      <c r="AX434" s="17" t="n"/>
    </row>
    <row r="435">
      <c r="A435" s="8" t="n"/>
      <c r="B435" s="8" t="n"/>
      <c r="C435" s="8" t="n"/>
      <c r="D435" s="8" t="n"/>
      <c r="E435" s="9" t="n"/>
      <c r="F435" s="9" t="n"/>
      <c r="G435" s="8" t="n"/>
      <c r="H435" s="9" t="n"/>
      <c r="I435" s="9" t="n"/>
      <c r="J435" s="10" t="n"/>
      <c r="K435" s="10" t="n"/>
      <c r="L435" s="11">
        <f>IF($S435="","",IF($S435="ITEM_PRICE_PLUS_DECLARED_DELIVERY",IF(OR($J435="",$K435=""),"",SUM($J435,$K435,$U435)),IF($S435="TOTAL_AMOUNT_INCLUDING_DELIVERY",IF($T435="","",$T435),IF($S435="DELIVERY_CHARGE_ONLY",IF($K435="","",SUM($K435,$U435)),IF($S435="EXACT_COLLECTION_AMOUNT",IF($T435="","",$T435),IF($S435="ITEM_PRICE_ONLY_DELIVERY_PAID_BY_MERCHANT",IF($J435="","",SUM($J435,$U435)),""))))))</f>
        <v/>
      </c>
      <c r="M435" s="12" t="n"/>
      <c r="N435" s="13" t="n"/>
      <c r="O435" s="13" t="n"/>
      <c r="P435" s="9" t="n"/>
      <c r="Q435" s="14" t="n"/>
      <c r="R435" s="15" t="n"/>
      <c r="S435" s="14" t="n"/>
      <c r="T435" s="16" t="n"/>
      <c r="U435" s="16" t="n"/>
      <c r="V435" s="16" t="n"/>
      <c r="W435" s="16" t="n"/>
      <c r="X435" s="16" t="n"/>
      <c r="Y435" s="16" t="n"/>
      <c r="Z435" s="14" t="n"/>
      <c r="AA435" s="14" t="n"/>
      <c r="AB435" s="14" t="n"/>
      <c r="AC435" s="17">
        <f>IFERROR(VLOOKUP($H435&amp;"|"&amp;$Q435,Tariff_Master!$A$2:$L$169,3,FALSE),"")</f>
        <v/>
      </c>
      <c r="AD435" s="17">
        <f>IFERROR(VLOOKUP($H435&amp;"|"&amp;$Q435,Tariff_Master!$A$2:$L$169,4,FALSE),"")</f>
        <v/>
      </c>
      <c r="AE435" s="18">
        <f>IFERROR(VLOOKUP($H435&amp;"|"&amp;$Q435,Tariff_Master!$A$2:$L$169,6,FALSE),"")</f>
        <v/>
      </c>
      <c r="AF435" s="19">
        <f>IFERROR(VLOOKUP($H435&amp;"|"&amp;$Q435,Tariff_Master!$A$2:$L$169,7,FALSE),"")</f>
        <v/>
      </c>
      <c r="AG435" s="18">
        <f>IFERROR(VLOOKUP($H435&amp;"|"&amp;$Q435,Tariff_Master!$A$2:$L$169,8,FALSE),"")</f>
        <v/>
      </c>
      <c r="AH435" s="20">
        <f>IFERROR(VLOOKUP($H435&amp;"|"&amp;$Q435,Tariff_Master!$A$2:$L$169,9,FALSE),"")</f>
        <v/>
      </c>
      <c r="AI435" s="18">
        <f>IFERROR(VLOOKUP($H435&amp;"|"&amp;$Q435,Tariff_Master!$A$2:$L$169,10,FALSE),"")</f>
        <v/>
      </c>
      <c r="AJ435" s="21">
        <f>IF($M435="","",ROUNDUP(MAX(0,$M435),0))</f>
        <v/>
      </c>
      <c r="AK435" s="21">
        <f>IF(OR($AJ435="",$AF435=""),"",MAX(0,$AJ435-$AF435))</f>
        <v/>
      </c>
      <c r="AL435" s="22">
        <f>IF(OR($AK435="",$AG435=""),"",MAX(0,$AK435*$AG435))</f>
        <v/>
      </c>
      <c r="AM435" s="22">
        <f>IF($AE435="","",MAX(0,SUM($AE435,$AL435,$V435,$W435)))</f>
        <v/>
      </c>
      <c r="AN435" s="22">
        <f>IF($AM435="","",IF(AND($Q435="COMMITMENT",$R435&gt;=$AH435),$AI435,0))</f>
        <v/>
      </c>
      <c r="AO435" s="23">
        <f>IF($AM435="","",MAX(0,$AM435-$AN435))</f>
        <v/>
      </c>
      <c r="AP435" s="22">
        <f>IF($S435="","",IF(OR($S435="ITEM_PRICE_PLUS_DECLARED_DELIVERY",$S435="DELIVERY_CHARGE_ONLY"),$K435,IF($S435="TOTAL_AMOUNT_INCLUDING_DELIVERY",IF(OR($T435="",$J435=""),"",MAX(0,$T435-$J435-$U435)),IF($S435="ITEM_PRICE_ONLY_DELIVERY_PAID_BY_MERCHANT",0,""))))</f>
        <v/>
      </c>
      <c r="AQ435" s="23">
        <f>IF(OR($AP435="",$AO435=""),"",$AP435-$AO435)</f>
        <v/>
      </c>
      <c r="AR435" s="24">
        <f>IF($S435="EXACT_COLLECTION_AMOUNT","BREAKDOWN_REQUIRED",IF($AQ435="","",IF($AQ435&gt;0,"CREDIT_TO_MERCHANT",IF($AQ435&lt;0,"DEDUCT_FROM_MERCHANT","NO_ADJUSTMENT"))))</f>
        <v/>
      </c>
      <c r="AS435" s="23">
        <f>IF(OR($AQ435="",$AR435="BREAKDOWN_REQUIRED"),"",$AQ435)</f>
        <v/>
      </c>
      <c r="AT435" s="23">
        <f>IF(OR($AR435="",$AR435="BREAKDOWN_REQUIRED"),"",SUM($J435,$AQ435,$Y435)-$X435)</f>
        <v/>
      </c>
      <c r="AU435" s="25">
        <f>IF(AND($A435="",$B435="",$F435="",$H435="",$J435="",$K435="",$M435="",$S435=""),"",IF(OR($H435="",$Q435="",$M435="",$S435=""),"ERROR",IF(OR($J435&lt;0,$K435&lt;0,$M435&lt;0,$T435&lt;0,$U435&lt;0,$V435&lt;0,$W435&lt;0,$X435&lt;0,$Y435&lt;0),"ERROR",IF($AE435="","ERROR",IF(AND(OR($S435="ITEM_PRICE_PLUS_DECLARED_DELIVERY",$S435="TOTAL_AMOUNT_INCLUDING_DELIVERY",$S435="ITEM_PRICE_ONLY_DELIVERY_PAID_BY_MERCHANT"),$J435=""),"ERROR",IF(AND(OR($S435="ITEM_PRICE_PLUS_DECLARED_DELIVERY",$S435="DELIVERY_CHARGE_ONLY"),$K435=""),"ERROR",IF(AND(OR($S435="TOTAL_AMOUNT_INCLUDING_DELIVERY",$S435="EXACT_COLLECTION_AMOUNT"),$T435=""),"ERROR",IF(AND($S435="TOTAL_AMOUNT_INCLUDING_DELIVERY",$T435&lt;SUM($J435,$U435)),"ERROR",IF($S435="EXACT_COLLECTION_AMOUNT","REVIEW","OK")))))))))</f>
        <v/>
      </c>
      <c r="AV435" s="25">
        <f>IF($AU435="","",IF($H435="","Township required",IF($Q435="","Customer tier required",IF($M435="","Weight required",IF($S435="","Amount entry type required",IF(OR($J435&lt;0,$K435&lt;0,$M435&lt;0,$T435&lt;0,$U435&lt;0,$V435&lt;0,$W435&lt;0,$X435&lt;0,$Y435&lt;0),"Negative amounts are not allowed",IF($AE435="","Tariff not found for township and tier",IF(AND(OR($S435="ITEM_PRICE_PLUS_DECLARED_DELIVERY",$S435="TOTAL_AMOUNT_INCLUDING_DELIVERY",$S435="ITEM_PRICE_ONLY_DELIVERY_PAID_BY_MERCHANT"),$J435=""),"Item price required for this amount type",IF(AND(OR($S435="ITEM_PRICE_PLUS_DECLARED_DELIVERY",$S435="DELIVERY_CHARGE_ONLY"),$K435=""),"Declared delivery charge required",IF(AND(OR($S435="TOTAL_AMOUNT_INCLUDING_DELIVERY",$S435="EXACT_COLLECTION_AMOUNT"),$T435=""),"Stated total amount required",IF(AND($S435="TOTAL_AMOUNT_INCLUDING_DELIVERY",$T435&lt;SUM($J435,$U435)),"Stated total is below item price plus additional charge",IF($S435="EXACT_COLLECTION_AMOUNT","Authorized amount breakdown required before settlement","Ready for collection and settlement"))))))))))))</f>
        <v/>
      </c>
      <c r="AW435" s="23">
        <f>IF($AU435="","","PARCEL_FINANCIAL_V2")</f>
        <v/>
      </c>
      <c r="AX435" s="17" t="n"/>
    </row>
    <row r="436">
      <c r="A436" s="8" t="n"/>
      <c r="B436" s="8" t="n"/>
      <c r="C436" s="8" t="n"/>
      <c r="D436" s="8" t="n"/>
      <c r="E436" s="9" t="n"/>
      <c r="F436" s="9" t="n"/>
      <c r="G436" s="8" t="n"/>
      <c r="H436" s="9" t="n"/>
      <c r="I436" s="9" t="n"/>
      <c r="J436" s="10" t="n"/>
      <c r="K436" s="10" t="n"/>
      <c r="L436" s="11">
        <f>IF($S436="","",IF($S436="ITEM_PRICE_PLUS_DECLARED_DELIVERY",IF(OR($J436="",$K436=""),"",SUM($J436,$K436,$U436)),IF($S436="TOTAL_AMOUNT_INCLUDING_DELIVERY",IF($T436="","",$T436),IF($S436="DELIVERY_CHARGE_ONLY",IF($K436="","",SUM($K436,$U436)),IF($S436="EXACT_COLLECTION_AMOUNT",IF($T436="","",$T436),IF($S436="ITEM_PRICE_ONLY_DELIVERY_PAID_BY_MERCHANT",IF($J436="","",SUM($J436,$U436)),""))))))</f>
        <v/>
      </c>
      <c r="M436" s="12" t="n"/>
      <c r="N436" s="13" t="n"/>
      <c r="O436" s="13" t="n"/>
      <c r="P436" s="9" t="n"/>
      <c r="Q436" s="14" t="n"/>
      <c r="R436" s="15" t="n"/>
      <c r="S436" s="14" t="n"/>
      <c r="T436" s="16" t="n"/>
      <c r="U436" s="16" t="n"/>
      <c r="V436" s="16" t="n"/>
      <c r="W436" s="16" t="n"/>
      <c r="X436" s="16" t="n"/>
      <c r="Y436" s="16" t="n"/>
      <c r="Z436" s="14" t="n"/>
      <c r="AA436" s="14" t="n"/>
      <c r="AB436" s="14" t="n"/>
      <c r="AC436" s="17">
        <f>IFERROR(VLOOKUP($H436&amp;"|"&amp;$Q436,Tariff_Master!$A$2:$L$169,3,FALSE),"")</f>
        <v/>
      </c>
      <c r="AD436" s="17">
        <f>IFERROR(VLOOKUP($H436&amp;"|"&amp;$Q436,Tariff_Master!$A$2:$L$169,4,FALSE),"")</f>
        <v/>
      </c>
      <c r="AE436" s="18">
        <f>IFERROR(VLOOKUP($H436&amp;"|"&amp;$Q436,Tariff_Master!$A$2:$L$169,6,FALSE),"")</f>
        <v/>
      </c>
      <c r="AF436" s="19">
        <f>IFERROR(VLOOKUP($H436&amp;"|"&amp;$Q436,Tariff_Master!$A$2:$L$169,7,FALSE),"")</f>
        <v/>
      </c>
      <c r="AG436" s="18">
        <f>IFERROR(VLOOKUP($H436&amp;"|"&amp;$Q436,Tariff_Master!$A$2:$L$169,8,FALSE),"")</f>
        <v/>
      </c>
      <c r="AH436" s="20">
        <f>IFERROR(VLOOKUP($H436&amp;"|"&amp;$Q436,Tariff_Master!$A$2:$L$169,9,FALSE),"")</f>
        <v/>
      </c>
      <c r="AI436" s="18">
        <f>IFERROR(VLOOKUP($H436&amp;"|"&amp;$Q436,Tariff_Master!$A$2:$L$169,10,FALSE),"")</f>
        <v/>
      </c>
      <c r="AJ436" s="21">
        <f>IF($M436="","",ROUNDUP(MAX(0,$M436),0))</f>
        <v/>
      </c>
      <c r="AK436" s="21">
        <f>IF(OR($AJ436="",$AF436=""),"",MAX(0,$AJ436-$AF436))</f>
        <v/>
      </c>
      <c r="AL436" s="22">
        <f>IF(OR($AK436="",$AG436=""),"",MAX(0,$AK436*$AG436))</f>
        <v/>
      </c>
      <c r="AM436" s="22">
        <f>IF($AE436="","",MAX(0,SUM($AE436,$AL436,$V436,$W436)))</f>
        <v/>
      </c>
      <c r="AN436" s="22">
        <f>IF($AM436="","",IF(AND($Q436="COMMITMENT",$R436&gt;=$AH436),$AI436,0))</f>
        <v/>
      </c>
      <c r="AO436" s="23">
        <f>IF($AM436="","",MAX(0,$AM436-$AN436))</f>
        <v/>
      </c>
      <c r="AP436" s="22">
        <f>IF($S436="","",IF(OR($S436="ITEM_PRICE_PLUS_DECLARED_DELIVERY",$S436="DELIVERY_CHARGE_ONLY"),$K436,IF($S436="TOTAL_AMOUNT_INCLUDING_DELIVERY",IF(OR($T436="",$J436=""),"",MAX(0,$T436-$J436-$U436)),IF($S436="ITEM_PRICE_ONLY_DELIVERY_PAID_BY_MERCHANT",0,""))))</f>
        <v/>
      </c>
      <c r="AQ436" s="23">
        <f>IF(OR($AP436="",$AO436=""),"",$AP436-$AO436)</f>
        <v/>
      </c>
      <c r="AR436" s="24">
        <f>IF($S436="EXACT_COLLECTION_AMOUNT","BREAKDOWN_REQUIRED",IF($AQ436="","",IF($AQ436&gt;0,"CREDIT_TO_MERCHANT",IF($AQ436&lt;0,"DEDUCT_FROM_MERCHANT","NO_ADJUSTMENT"))))</f>
        <v/>
      </c>
      <c r="AS436" s="23">
        <f>IF(OR($AQ436="",$AR436="BREAKDOWN_REQUIRED"),"",$AQ436)</f>
        <v/>
      </c>
      <c r="AT436" s="23">
        <f>IF(OR($AR436="",$AR436="BREAKDOWN_REQUIRED"),"",SUM($J436,$AQ436,$Y436)-$X436)</f>
        <v/>
      </c>
      <c r="AU436" s="25">
        <f>IF(AND($A436="",$B436="",$F436="",$H436="",$J436="",$K436="",$M436="",$S436=""),"",IF(OR($H436="",$Q436="",$M436="",$S436=""),"ERROR",IF(OR($J436&lt;0,$K436&lt;0,$M436&lt;0,$T436&lt;0,$U436&lt;0,$V436&lt;0,$W436&lt;0,$X436&lt;0,$Y436&lt;0),"ERROR",IF($AE436="","ERROR",IF(AND(OR($S436="ITEM_PRICE_PLUS_DECLARED_DELIVERY",$S436="TOTAL_AMOUNT_INCLUDING_DELIVERY",$S436="ITEM_PRICE_ONLY_DELIVERY_PAID_BY_MERCHANT"),$J436=""),"ERROR",IF(AND(OR($S436="ITEM_PRICE_PLUS_DECLARED_DELIVERY",$S436="DELIVERY_CHARGE_ONLY"),$K436=""),"ERROR",IF(AND(OR($S436="TOTAL_AMOUNT_INCLUDING_DELIVERY",$S436="EXACT_COLLECTION_AMOUNT"),$T436=""),"ERROR",IF(AND($S436="TOTAL_AMOUNT_INCLUDING_DELIVERY",$T436&lt;SUM($J436,$U436)),"ERROR",IF($S436="EXACT_COLLECTION_AMOUNT","REVIEW","OK")))))))))</f>
        <v/>
      </c>
      <c r="AV436" s="25">
        <f>IF($AU436="","",IF($H436="","Township required",IF($Q436="","Customer tier required",IF($M436="","Weight required",IF($S436="","Amount entry type required",IF(OR($J436&lt;0,$K436&lt;0,$M436&lt;0,$T436&lt;0,$U436&lt;0,$V436&lt;0,$W436&lt;0,$X436&lt;0,$Y436&lt;0),"Negative amounts are not allowed",IF($AE436="","Tariff not found for township and tier",IF(AND(OR($S436="ITEM_PRICE_PLUS_DECLARED_DELIVERY",$S436="TOTAL_AMOUNT_INCLUDING_DELIVERY",$S436="ITEM_PRICE_ONLY_DELIVERY_PAID_BY_MERCHANT"),$J436=""),"Item price required for this amount type",IF(AND(OR($S436="ITEM_PRICE_PLUS_DECLARED_DELIVERY",$S436="DELIVERY_CHARGE_ONLY"),$K436=""),"Declared delivery charge required",IF(AND(OR($S436="TOTAL_AMOUNT_INCLUDING_DELIVERY",$S436="EXACT_COLLECTION_AMOUNT"),$T436=""),"Stated total amount required",IF(AND($S436="TOTAL_AMOUNT_INCLUDING_DELIVERY",$T436&lt;SUM($J436,$U436)),"Stated total is below item price plus additional charge",IF($S436="EXACT_COLLECTION_AMOUNT","Authorized amount breakdown required before settlement","Ready for collection and settlement"))))))))))))</f>
        <v/>
      </c>
      <c r="AW436" s="23">
        <f>IF($AU436="","","PARCEL_FINANCIAL_V2")</f>
        <v/>
      </c>
      <c r="AX436" s="17" t="n"/>
    </row>
    <row r="437">
      <c r="A437" s="8" t="n"/>
      <c r="B437" s="8" t="n"/>
      <c r="C437" s="8" t="n"/>
      <c r="D437" s="8" t="n"/>
      <c r="E437" s="9" t="n"/>
      <c r="F437" s="9" t="n"/>
      <c r="G437" s="8" t="n"/>
      <c r="H437" s="9" t="n"/>
      <c r="I437" s="9" t="n"/>
      <c r="J437" s="10" t="n"/>
      <c r="K437" s="10" t="n"/>
      <c r="L437" s="11">
        <f>IF($S437="","",IF($S437="ITEM_PRICE_PLUS_DECLARED_DELIVERY",IF(OR($J437="",$K437=""),"",SUM($J437,$K437,$U437)),IF($S437="TOTAL_AMOUNT_INCLUDING_DELIVERY",IF($T437="","",$T437),IF($S437="DELIVERY_CHARGE_ONLY",IF($K437="","",SUM($K437,$U437)),IF($S437="EXACT_COLLECTION_AMOUNT",IF($T437="","",$T437),IF($S437="ITEM_PRICE_ONLY_DELIVERY_PAID_BY_MERCHANT",IF($J437="","",SUM($J437,$U437)),""))))))</f>
        <v/>
      </c>
      <c r="M437" s="12" t="n"/>
      <c r="N437" s="13" t="n"/>
      <c r="O437" s="13" t="n"/>
      <c r="P437" s="9" t="n"/>
      <c r="Q437" s="14" t="n"/>
      <c r="R437" s="15" t="n"/>
      <c r="S437" s="14" t="n"/>
      <c r="T437" s="16" t="n"/>
      <c r="U437" s="16" t="n"/>
      <c r="V437" s="16" t="n"/>
      <c r="W437" s="16" t="n"/>
      <c r="X437" s="16" t="n"/>
      <c r="Y437" s="16" t="n"/>
      <c r="Z437" s="14" t="n"/>
      <c r="AA437" s="14" t="n"/>
      <c r="AB437" s="14" t="n"/>
      <c r="AC437" s="17">
        <f>IFERROR(VLOOKUP($H437&amp;"|"&amp;$Q437,Tariff_Master!$A$2:$L$169,3,FALSE),"")</f>
        <v/>
      </c>
      <c r="AD437" s="17">
        <f>IFERROR(VLOOKUP($H437&amp;"|"&amp;$Q437,Tariff_Master!$A$2:$L$169,4,FALSE),"")</f>
        <v/>
      </c>
      <c r="AE437" s="18">
        <f>IFERROR(VLOOKUP($H437&amp;"|"&amp;$Q437,Tariff_Master!$A$2:$L$169,6,FALSE),"")</f>
        <v/>
      </c>
      <c r="AF437" s="19">
        <f>IFERROR(VLOOKUP($H437&amp;"|"&amp;$Q437,Tariff_Master!$A$2:$L$169,7,FALSE),"")</f>
        <v/>
      </c>
      <c r="AG437" s="18">
        <f>IFERROR(VLOOKUP($H437&amp;"|"&amp;$Q437,Tariff_Master!$A$2:$L$169,8,FALSE),"")</f>
        <v/>
      </c>
      <c r="AH437" s="20">
        <f>IFERROR(VLOOKUP($H437&amp;"|"&amp;$Q437,Tariff_Master!$A$2:$L$169,9,FALSE),"")</f>
        <v/>
      </c>
      <c r="AI437" s="18">
        <f>IFERROR(VLOOKUP($H437&amp;"|"&amp;$Q437,Tariff_Master!$A$2:$L$169,10,FALSE),"")</f>
        <v/>
      </c>
      <c r="AJ437" s="21">
        <f>IF($M437="","",ROUNDUP(MAX(0,$M437),0))</f>
        <v/>
      </c>
      <c r="AK437" s="21">
        <f>IF(OR($AJ437="",$AF437=""),"",MAX(0,$AJ437-$AF437))</f>
        <v/>
      </c>
      <c r="AL437" s="22">
        <f>IF(OR($AK437="",$AG437=""),"",MAX(0,$AK437*$AG437))</f>
        <v/>
      </c>
      <c r="AM437" s="22">
        <f>IF($AE437="","",MAX(0,SUM($AE437,$AL437,$V437,$W437)))</f>
        <v/>
      </c>
      <c r="AN437" s="22">
        <f>IF($AM437="","",IF(AND($Q437="COMMITMENT",$R437&gt;=$AH437),$AI437,0))</f>
        <v/>
      </c>
      <c r="AO437" s="23">
        <f>IF($AM437="","",MAX(0,$AM437-$AN437))</f>
        <v/>
      </c>
      <c r="AP437" s="22">
        <f>IF($S437="","",IF(OR($S437="ITEM_PRICE_PLUS_DECLARED_DELIVERY",$S437="DELIVERY_CHARGE_ONLY"),$K437,IF($S437="TOTAL_AMOUNT_INCLUDING_DELIVERY",IF(OR($T437="",$J437=""),"",MAX(0,$T437-$J437-$U437)),IF($S437="ITEM_PRICE_ONLY_DELIVERY_PAID_BY_MERCHANT",0,""))))</f>
        <v/>
      </c>
      <c r="AQ437" s="23">
        <f>IF(OR($AP437="",$AO437=""),"",$AP437-$AO437)</f>
        <v/>
      </c>
      <c r="AR437" s="24">
        <f>IF($S437="EXACT_COLLECTION_AMOUNT","BREAKDOWN_REQUIRED",IF($AQ437="","",IF($AQ437&gt;0,"CREDIT_TO_MERCHANT",IF($AQ437&lt;0,"DEDUCT_FROM_MERCHANT","NO_ADJUSTMENT"))))</f>
        <v/>
      </c>
      <c r="AS437" s="23">
        <f>IF(OR($AQ437="",$AR437="BREAKDOWN_REQUIRED"),"",$AQ437)</f>
        <v/>
      </c>
      <c r="AT437" s="23">
        <f>IF(OR($AR437="",$AR437="BREAKDOWN_REQUIRED"),"",SUM($J437,$AQ437,$Y437)-$X437)</f>
        <v/>
      </c>
      <c r="AU437" s="25">
        <f>IF(AND($A437="",$B437="",$F437="",$H437="",$J437="",$K437="",$M437="",$S437=""),"",IF(OR($H437="",$Q437="",$M437="",$S437=""),"ERROR",IF(OR($J437&lt;0,$K437&lt;0,$M437&lt;0,$T437&lt;0,$U437&lt;0,$V437&lt;0,$W437&lt;0,$X437&lt;0,$Y437&lt;0),"ERROR",IF($AE437="","ERROR",IF(AND(OR($S437="ITEM_PRICE_PLUS_DECLARED_DELIVERY",$S437="TOTAL_AMOUNT_INCLUDING_DELIVERY",$S437="ITEM_PRICE_ONLY_DELIVERY_PAID_BY_MERCHANT"),$J437=""),"ERROR",IF(AND(OR($S437="ITEM_PRICE_PLUS_DECLARED_DELIVERY",$S437="DELIVERY_CHARGE_ONLY"),$K437=""),"ERROR",IF(AND(OR($S437="TOTAL_AMOUNT_INCLUDING_DELIVERY",$S437="EXACT_COLLECTION_AMOUNT"),$T437=""),"ERROR",IF(AND($S437="TOTAL_AMOUNT_INCLUDING_DELIVERY",$T437&lt;SUM($J437,$U437)),"ERROR",IF($S437="EXACT_COLLECTION_AMOUNT","REVIEW","OK")))))))))</f>
        <v/>
      </c>
      <c r="AV437" s="25">
        <f>IF($AU437="","",IF($H437="","Township required",IF($Q437="","Customer tier required",IF($M437="","Weight required",IF($S437="","Amount entry type required",IF(OR($J437&lt;0,$K437&lt;0,$M437&lt;0,$T437&lt;0,$U437&lt;0,$V437&lt;0,$W437&lt;0,$X437&lt;0,$Y437&lt;0),"Negative amounts are not allowed",IF($AE437="","Tariff not found for township and tier",IF(AND(OR($S437="ITEM_PRICE_PLUS_DECLARED_DELIVERY",$S437="TOTAL_AMOUNT_INCLUDING_DELIVERY",$S437="ITEM_PRICE_ONLY_DELIVERY_PAID_BY_MERCHANT"),$J437=""),"Item price required for this amount type",IF(AND(OR($S437="ITEM_PRICE_PLUS_DECLARED_DELIVERY",$S437="DELIVERY_CHARGE_ONLY"),$K437=""),"Declared delivery charge required",IF(AND(OR($S437="TOTAL_AMOUNT_INCLUDING_DELIVERY",$S437="EXACT_COLLECTION_AMOUNT"),$T437=""),"Stated total amount required",IF(AND($S437="TOTAL_AMOUNT_INCLUDING_DELIVERY",$T437&lt;SUM($J437,$U437)),"Stated total is below item price plus additional charge",IF($S437="EXACT_COLLECTION_AMOUNT","Authorized amount breakdown required before settlement","Ready for collection and settlement"))))))))))))</f>
        <v/>
      </c>
      <c r="AW437" s="23">
        <f>IF($AU437="","","PARCEL_FINANCIAL_V2")</f>
        <v/>
      </c>
      <c r="AX437" s="17" t="n"/>
    </row>
    <row r="438">
      <c r="A438" s="8" t="n"/>
      <c r="B438" s="8" t="n"/>
      <c r="C438" s="8" t="n"/>
      <c r="D438" s="8" t="n"/>
      <c r="E438" s="9" t="n"/>
      <c r="F438" s="9" t="n"/>
      <c r="G438" s="8" t="n"/>
      <c r="H438" s="9" t="n"/>
      <c r="I438" s="9" t="n"/>
      <c r="J438" s="10" t="n"/>
      <c r="K438" s="10" t="n"/>
      <c r="L438" s="11">
        <f>IF($S438="","",IF($S438="ITEM_PRICE_PLUS_DECLARED_DELIVERY",IF(OR($J438="",$K438=""),"",SUM($J438,$K438,$U438)),IF($S438="TOTAL_AMOUNT_INCLUDING_DELIVERY",IF($T438="","",$T438),IF($S438="DELIVERY_CHARGE_ONLY",IF($K438="","",SUM($K438,$U438)),IF($S438="EXACT_COLLECTION_AMOUNT",IF($T438="","",$T438),IF($S438="ITEM_PRICE_ONLY_DELIVERY_PAID_BY_MERCHANT",IF($J438="","",SUM($J438,$U438)),""))))))</f>
        <v/>
      </c>
      <c r="M438" s="12" t="n"/>
      <c r="N438" s="13" t="n"/>
      <c r="O438" s="13" t="n"/>
      <c r="P438" s="9" t="n"/>
      <c r="Q438" s="14" t="n"/>
      <c r="R438" s="15" t="n"/>
      <c r="S438" s="14" t="n"/>
      <c r="T438" s="16" t="n"/>
      <c r="U438" s="16" t="n"/>
      <c r="V438" s="16" t="n"/>
      <c r="W438" s="16" t="n"/>
      <c r="X438" s="16" t="n"/>
      <c r="Y438" s="16" t="n"/>
      <c r="Z438" s="14" t="n"/>
      <c r="AA438" s="14" t="n"/>
      <c r="AB438" s="14" t="n"/>
      <c r="AC438" s="17">
        <f>IFERROR(VLOOKUP($H438&amp;"|"&amp;$Q438,Tariff_Master!$A$2:$L$169,3,FALSE),"")</f>
        <v/>
      </c>
      <c r="AD438" s="17">
        <f>IFERROR(VLOOKUP($H438&amp;"|"&amp;$Q438,Tariff_Master!$A$2:$L$169,4,FALSE),"")</f>
        <v/>
      </c>
      <c r="AE438" s="18">
        <f>IFERROR(VLOOKUP($H438&amp;"|"&amp;$Q438,Tariff_Master!$A$2:$L$169,6,FALSE),"")</f>
        <v/>
      </c>
      <c r="AF438" s="19">
        <f>IFERROR(VLOOKUP($H438&amp;"|"&amp;$Q438,Tariff_Master!$A$2:$L$169,7,FALSE),"")</f>
        <v/>
      </c>
      <c r="AG438" s="18">
        <f>IFERROR(VLOOKUP($H438&amp;"|"&amp;$Q438,Tariff_Master!$A$2:$L$169,8,FALSE),"")</f>
        <v/>
      </c>
      <c r="AH438" s="20">
        <f>IFERROR(VLOOKUP($H438&amp;"|"&amp;$Q438,Tariff_Master!$A$2:$L$169,9,FALSE),"")</f>
        <v/>
      </c>
      <c r="AI438" s="18">
        <f>IFERROR(VLOOKUP($H438&amp;"|"&amp;$Q438,Tariff_Master!$A$2:$L$169,10,FALSE),"")</f>
        <v/>
      </c>
      <c r="AJ438" s="21">
        <f>IF($M438="","",ROUNDUP(MAX(0,$M438),0))</f>
        <v/>
      </c>
      <c r="AK438" s="21">
        <f>IF(OR($AJ438="",$AF438=""),"",MAX(0,$AJ438-$AF438))</f>
        <v/>
      </c>
      <c r="AL438" s="22">
        <f>IF(OR($AK438="",$AG438=""),"",MAX(0,$AK438*$AG438))</f>
        <v/>
      </c>
      <c r="AM438" s="22">
        <f>IF($AE438="","",MAX(0,SUM($AE438,$AL438,$V438,$W438)))</f>
        <v/>
      </c>
      <c r="AN438" s="22">
        <f>IF($AM438="","",IF(AND($Q438="COMMITMENT",$R438&gt;=$AH438),$AI438,0))</f>
        <v/>
      </c>
      <c r="AO438" s="23">
        <f>IF($AM438="","",MAX(0,$AM438-$AN438))</f>
        <v/>
      </c>
      <c r="AP438" s="22">
        <f>IF($S438="","",IF(OR($S438="ITEM_PRICE_PLUS_DECLARED_DELIVERY",$S438="DELIVERY_CHARGE_ONLY"),$K438,IF($S438="TOTAL_AMOUNT_INCLUDING_DELIVERY",IF(OR($T438="",$J438=""),"",MAX(0,$T438-$J438-$U438)),IF($S438="ITEM_PRICE_ONLY_DELIVERY_PAID_BY_MERCHANT",0,""))))</f>
        <v/>
      </c>
      <c r="AQ438" s="23">
        <f>IF(OR($AP438="",$AO438=""),"",$AP438-$AO438)</f>
        <v/>
      </c>
      <c r="AR438" s="24">
        <f>IF($S438="EXACT_COLLECTION_AMOUNT","BREAKDOWN_REQUIRED",IF($AQ438="","",IF($AQ438&gt;0,"CREDIT_TO_MERCHANT",IF($AQ438&lt;0,"DEDUCT_FROM_MERCHANT","NO_ADJUSTMENT"))))</f>
        <v/>
      </c>
      <c r="AS438" s="23">
        <f>IF(OR($AQ438="",$AR438="BREAKDOWN_REQUIRED"),"",$AQ438)</f>
        <v/>
      </c>
      <c r="AT438" s="23">
        <f>IF(OR($AR438="",$AR438="BREAKDOWN_REQUIRED"),"",SUM($J438,$AQ438,$Y438)-$X438)</f>
        <v/>
      </c>
      <c r="AU438" s="25">
        <f>IF(AND($A438="",$B438="",$F438="",$H438="",$J438="",$K438="",$M438="",$S438=""),"",IF(OR($H438="",$Q438="",$M438="",$S438=""),"ERROR",IF(OR($J438&lt;0,$K438&lt;0,$M438&lt;0,$T438&lt;0,$U438&lt;0,$V438&lt;0,$W438&lt;0,$X438&lt;0,$Y438&lt;0),"ERROR",IF($AE438="","ERROR",IF(AND(OR($S438="ITEM_PRICE_PLUS_DECLARED_DELIVERY",$S438="TOTAL_AMOUNT_INCLUDING_DELIVERY",$S438="ITEM_PRICE_ONLY_DELIVERY_PAID_BY_MERCHANT"),$J438=""),"ERROR",IF(AND(OR($S438="ITEM_PRICE_PLUS_DECLARED_DELIVERY",$S438="DELIVERY_CHARGE_ONLY"),$K438=""),"ERROR",IF(AND(OR($S438="TOTAL_AMOUNT_INCLUDING_DELIVERY",$S438="EXACT_COLLECTION_AMOUNT"),$T438=""),"ERROR",IF(AND($S438="TOTAL_AMOUNT_INCLUDING_DELIVERY",$T438&lt;SUM($J438,$U438)),"ERROR",IF($S438="EXACT_COLLECTION_AMOUNT","REVIEW","OK")))))))))</f>
        <v/>
      </c>
      <c r="AV438" s="25">
        <f>IF($AU438="","",IF($H438="","Township required",IF($Q438="","Customer tier required",IF($M438="","Weight required",IF($S438="","Amount entry type required",IF(OR($J438&lt;0,$K438&lt;0,$M438&lt;0,$T438&lt;0,$U438&lt;0,$V438&lt;0,$W438&lt;0,$X438&lt;0,$Y438&lt;0),"Negative amounts are not allowed",IF($AE438="","Tariff not found for township and tier",IF(AND(OR($S438="ITEM_PRICE_PLUS_DECLARED_DELIVERY",$S438="TOTAL_AMOUNT_INCLUDING_DELIVERY",$S438="ITEM_PRICE_ONLY_DELIVERY_PAID_BY_MERCHANT"),$J438=""),"Item price required for this amount type",IF(AND(OR($S438="ITEM_PRICE_PLUS_DECLARED_DELIVERY",$S438="DELIVERY_CHARGE_ONLY"),$K438=""),"Declared delivery charge required",IF(AND(OR($S438="TOTAL_AMOUNT_INCLUDING_DELIVERY",$S438="EXACT_COLLECTION_AMOUNT"),$T438=""),"Stated total amount required",IF(AND($S438="TOTAL_AMOUNT_INCLUDING_DELIVERY",$T438&lt;SUM($J438,$U438)),"Stated total is below item price plus additional charge",IF($S438="EXACT_COLLECTION_AMOUNT","Authorized amount breakdown required before settlement","Ready for collection and settlement"))))))))))))</f>
        <v/>
      </c>
      <c r="AW438" s="23">
        <f>IF($AU438="","","PARCEL_FINANCIAL_V2")</f>
        <v/>
      </c>
      <c r="AX438" s="17" t="n"/>
    </row>
    <row r="439">
      <c r="A439" s="8" t="n"/>
      <c r="B439" s="8" t="n"/>
      <c r="C439" s="8" t="n"/>
      <c r="D439" s="8" t="n"/>
      <c r="E439" s="9" t="n"/>
      <c r="F439" s="9" t="n"/>
      <c r="G439" s="8" t="n"/>
      <c r="H439" s="9" t="n"/>
      <c r="I439" s="9" t="n"/>
      <c r="J439" s="10" t="n"/>
      <c r="K439" s="10" t="n"/>
      <c r="L439" s="11">
        <f>IF($S439="","",IF($S439="ITEM_PRICE_PLUS_DECLARED_DELIVERY",IF(OR($J439="",$K439=""),"",SUM($J439,$K439,$U439)),IF($S439="TOTAL_AMOUNT_INCLUDING_DELIVERY",IF($T439="","",$T439),IF($S439="DELIVERY_CHARGE_ONLY",IF($K439="","",SUM($K439,$U439)),IF($S439="EXACT_COLLECTION_AMOUNT",IF($T439="","",$T439),IF($S439="ITEM_PRICE_ONLY_DELIVERY_PAID_BY_MERCHANT",IF($J439="","",SUM($J439,$U439)),""))))))</f>
        <v/>
      </c>
      <c r="M439" s="12" t="n"/>
      <c r="N439" s="13" t="n"/>
      <c r="O439" s="13" t="n"/>
      <c r="P439" s="9" t="n"/>
      <c r="Q439" s="14" t="n"/>
      <c r="R439" s="15" t="n"/>
      <c r="S439" s="14" t="n"/>
      <c r="T439" s="16" t="n"/>
      <c r="U439" s="16" t="n"/>
      <c r="V439" s="16" t="n"/>
      <c r="W439" s="16" t="n"/>
      <c r="X439" s="16" t="n"/>
      <c r="Y439" s="16" t="n"/>
      <c r="Z439" s="14" t="n"/>
      <c r="AA439" s="14" t="n"/>
      <c r="AB439" s="14" t="n"/>
      <c r="AC439" s="17">
        <f>IFERROR(VLOOKUP($H439&amp;"|"&amp;$Q439,Tariff_Master!$A$2:$L$169,3,FALSE),"")</f>
        <v/>
      </c>
      <c r="AD439" s="17">
        <f>IFERROR(VLOOKUP($H439&amp;"|"&amp;$Q439,Tariff_Master!$A$2:$L$169,4,FALSE),"")</f>
        <v/>
      </c>
      <c r="AE439" s="18">
        <f>IFERROR(VLOOKUP($H439&amp;"|"&amp;$Q439,Tariff_Master!$A$2:$L$169,6,FALSE),"")</f>
        <v/>
      </c>
      <c r="AF439" s="19">
        <f>IFERROR(VLOOKUP($H439&amp;"|"&amp;$Q439,Tariff_Master!$A$2:$L$169,7,FALSE),"")</f>
        <v/>
      </c>
      <c r="AG439" s="18">
        <f>IFERROR(VLOOKUP($H439&amp;"|"&amp;$Q439,Tariff_Master!$A$2:$L$169,8,FALSE),"")</f>
        <v/>
      </c>
      <c r="AH439" s="20">
        <f>IFERROR(VLOOKUP($H439&amp;"|"&amp;$Q439,Tariff_Master!$A$2:$L$169,9,FALSE),"")</f>
        <v/>
      </c>
      <c r="AI439" s="18">
        <f>IFERROR(VLOOKUP($H439&amp;"|"&amp;$Q439,Tariff_Master!$A$2:$L$169,10,FALSE),"")</f>
        <v/>
      </c>
      <c r="AJ439" s="21">
        <f>IF($M439="","",ROUNDUP(MAX(0,$M439),0))</f>
        <v/>
      </c>
      <c r="AK439" s="21">
        <f>IF(OR($AJ439="",$AF439=""),"",MAX(0,$AJ439-$AF439))</f>
        <v/>
      </c>
      <c r="AL439" s="22">
        <f>IF(OR($AK439="",$AG439=""),"",MAX(0,$AK439*$AG439))</f>
        <v/>
      </c>
      <c r="AM439" s="22">
        <f>IF($AE439="","",MAX(0,SUM($AE439,$AL439,$V439,$W439)))</f>
        <v/>
      </c>
      <c r="AN439" s="22">
        <f>IF($AM439="","",IF(AND($Q439="COMMITMENT",$R439&gt;=$AH439),$AI439,0))</f>
        <v/>
      </c>
      <c r="AO439" s="23">
        <f>IF($AM439="","",MAX(0,$AM439-$AN439))</f>
        <v/>
      </c>
      <c r="AP439" s="22">
        <f>IF($S439="","",IF(OR($S439="ITEM_PRICE_PLUS_DECLARED_DELIVERY",$S439="DELIVERY_CHARGE_ONLY"),$K439,IF($S439="TOTAL_AMOUNT_INCLUDING_DELIVERY",IF(OR($T439="",$J439=""),"",MAX(0,$T439-$J439-$U439)),IF($S439="ITEM_PRICE_ONLY_DELIVERY_PAID_BY_MERCHANT",0,""))))</f>
        <v/>
      </c>
      <c r="AQ439" s="23">
        <f>IF(OR($AP439="",$AO439=""),"",$AP439-$AO439)</f>
        <v/>
      </c>
      <c r="AR439" s="24">
        <f>IF($S439="EXACT_COLLECTION_AMOUNT","BREAKDOWN_REQUIRED",IF($AQ439="","",IF($AQ439&gt;0,"CREDIT_TO_MERCHANT",IF($AQ439&lt;0,"DEDUCT_FROM_MERCHANT","NO_ADJUSTMENT"))))</f>
        <v/>
      </c>
      <c r="AS439" s="23">
        <f>IF(OR($AQ439="",$AR439="BREAKDOWN_REQUIRED"),"",$AQ439)</f>
        <v/>
      </c>
      <c r="AT439" s="23">
        <f>IF(OR($AR439="",$AR439="BREAKDOWN_REQUIRED"),"",SUM($J439,$AQ439,$Y439)-$X439)</f>
        <v/>
      </c>
      <c r="AU439" s="25">
        <f>IF(AND($A439="",$B439="",$F439="",$H439="",$J439="",$K439="",$M439="",$S439=""),"",IF(OR($H439="",$Q439="",$M439="",$S439=""),"ERROR",IF(OR($J439&lt;0,$K439&lt;0,$M439&lt;0,$T439&lt;0,$U439&lt;0,$V439&lt;0,$W439&lt;0,$X439&lt;0,$Y439&lt;0),"ERROR",IF($AE439="","ERROR",IF(AND(OR($S439="ITEM_PRICE_PLUS_DECLARED_DELIVERY",$S439="TOTAL_AMOUNT_INCLUDING_DELIVERY",$S439="ITEM_PRICE_ONLY_DELIVERY_PAID_BY_MERCHANT"),$J439=""),"ERROR",IF(AND(OR($S439="ITEM_PRICE_PLUS_DECLARED_DELIVERY",$S439="DELIVERY_CHARGE_ONLY"),$K439=""),"ERROR",IF(AND(OR($S439="TOTAL_AMOUNT_INCLUDING_DELIVERY",$S439="EXACT_COLLECTION_AMOUNT"),$T439=""),"ERROR",IF(AND($S439="TOTAL_AMOUNT_INCLUDING_DELIVERY",$T439&lt;SUM($J439,$U439)),"ERROR",IF($S439="EXACT_COLLECTION_AMOUNT","REVIEW","OK")))))))))</f>
        <v/>
      </c>
      <c r="AV439" s="25">
        <f>IF($AU439="","",IF($H439="","Township required",IF($Q439="","Customer tier required",IF($M439="","Weight required",IF($S439="","Amount entry type required",IF(OR($J439&lt;0,$K439&lt;0,$M439&lt;0,$T439&lt;0,$U439&lt;0,$V439&lt;0,$W439&lt;0,$X439&lt;0,$Y439&lt;0),"Negative amounts are not allowed",IF($AE439="","Tariff not found for township and tier",IF(AND(OR($S439="ITEM_PRICE_PLUS_DECLARED_DELIVERY",$S439="TOTAL_AMOUNT_INCLUDING_DELIVERY",$S439="ITEM_PRICE_ONLY_DELIVERY_PAID_BY_MERCHANT"),$J439=""),"Item price required for this amount type",IF(AND(OR($S439="ITEM_PRICE_PLUS_DECLARED_DELIVERY",$S439="DELIVERY_CHARGE_ONLY"),$K439=""),"Declared delivery charge required",IF(AND(OR($S439="TOTAL_AMOUNT_INCLUDING_DELIVERY",$S439="EXACT_COLLECTION_AMOUNT"),$T439=""),"Stated total amount required",IF(AND($S439="TOTAL_AMOUNT_INCLUDING_DELIVERY",$T439&lt;SUM($J439,$U439)),"Stated total is below item price plus additional charge",IF($S439="EXACT_COLLECTION_AMOUNT","Authorized amount breakdown required before settlement","Ready for collection and settlement"))))))))))))</f>
        <v/>
      </c>
      <c r="AW439" s="23">
        <f>IF($AU439="","","PARCEL_FINANCIAL_V2")</f>
        <v/>
      </c>
      <c r="AX439" s="17" t="n"/>
    </row>
    <row r="440">
      <c r="A440" s="8" t="n"/>
      <c r="B440" s="8" t="n"/>
      <c r="C440" s="8" t="n"/>
      <c r="D440" s="8" t="n"/>
      <c r="E440" s="9" t="n"/>
      <c r="F440" s="9" t="n"/>
      <c r="G440" s="8" t="n"/>
      <c r="H440" s="9" t="n"/>
      <c r="I440" s="9" t="n"/>
      <c r="J440" s="10" t="n"/>
      <c r="K440" s="10" t="n"/>
      <c r="L440" s="11">
        <f>IF($S440="","",IF($S440="ITEM_PRICE_PLUS_DECLARED_DELIVERY",IF(OR($J440="",$K440=""),"",SUM($J440,$K440,$U440)),IF($S440="TOTAL_AMOUNT_INCLUDING_DELIVERY",IF($T440="","",$T440),IF($S440="DELIVERY_CHARGE_ONLY",IF($K440="","",SUM($K440,$U440)),IF($S440="EXACT_COLLECTION_AMOUNT",IF($T440="","",$T440),IF($S440="ITEM_PRICE_ONLY_DELIVERY_PAID_BY_MERCHANT",IF($J440="","",SUM($J440,$U440)),""))))))</f>
        <v/>
      </c>
      <c r="M440" s="12" t="n"/>
      <c r="N440" s="13" t="n"/>
      <c r="O440" s="13" t="n"/>
      <c r="P440" s="9" t="n"/>
      <c r="Q440" s="14" t="n"/>
      <c r="R440" s="15" t="n"/>
      <c r="S440" s="14" t="n"/>
      <c r="T440" s="16" t="n"/>
      <c r="U440" s="16" t="n"/>
      <c r="V440" s="16" t="n"/>
      <c r="W440" s="16" t="n"/>
      <c r="X440" s="16" t="n"/>
      <c r="Y440" s="16" t="n"/>
      <c r="Z440" s="14" t="n"/>
      <c r="AA440" s="14" t="n"/>
      <c r="AB440" s="14" t="n"/>
      <c r="AC440" s="17">
        <f>IFERROR(VLOOKUP($H440&amp;"|"&amp;$Q440,Tariff_Master!$A$2:$L$169,3,FALSE),"")</f>
        <v/>
      </c>
      <c r="AD440" s="17">
        <f>IFERROR(VLOOKUP($H440&amp;"|"&amp;$Q440,Tariff_Master!$A$2:$L$169,4,FALSE),"")</f>
        <v/>
      </c>
      <c r="AE440" s="18">
        <f>IFERROR(VLOOKUP($H440&amp;"|"&amp;$Q440,Tariff_Master!$A$2:$L$169,6,FALSE),"")</f>
        <v/>
      </c>
      <c r="AF440" s="19">
        <f>IFERROR(VLOOKUP($H440&amp;"|"&amp;$Q440,Tariff_Master!$A$2:$L$169,7,FALSE),"")</f>
        <v/>
      </c>
      <c r="AG440" s="18">
        <f>IFERROR(VLOOKUP($H440&amp;"|"&amp;$Q440,Tariff_Master!$A$2:$L$169,8,FALSE),"")</f>
        <v/>
      </c>
      <c r="AH440" s="20">
        <f>IFERROR(VLOOKUP($H440&amp;"|"&amp;$Q440,Tariff_Master!$A$2:$L$169,9,FALSE),"")</f>
        <v/>
      </c>
      <c r="AI440" s="18">
        <f>IFERROR(VLOOKUP($H440&amp;"|"&amp;$Q440,Tariff_Master!$A$2:$L$169,10,FALSE),"")</f>
        <v/>
      </c>
      <c r="AJ440" s="21">
        <f>IF($M440="","",ROUNDUP(MAX(0,$M440),0))</f>
        <v/>
      </c>
      <c r="AK440" s="21">
        <f>IF(OR($AJ440="",$AF440=""),"",MAX(0,$AJ440-$AF440))</f>
        <v/>
      </c>
      <c r="AL440" s="22">
        <f>IF(OR($AK440="",$AG440=""),"",MAX(0,$AK440*$AG440))</f>
        <v/>
      </c>
      <c r="AM440" s="22">
        <f>IF($AE440="","",MAX(0,SUM($AE440,$AL440,$V440,$W440)))</f>
        <v/>
      </c>
      <c r="AN440" s="22">
        <f>IF($AM440="","",IF(AND($Q440="COMMITMENT",$R440&gt;=$AH440),$AI440,0))</f>
        <v/>
      </c>
      <c r="AO440" s="23">
        <f>IF($AM440="","",MAX(0,$AM440-$AN440))</f>
        <v/>
      </c>
      <c r="AP440" s="22">
        <f>IF($S440="","",IF(OR($S440="ITEM_PRICE_PLUS_DECLARED_DELIVERY",$S440="DELIVERY_CHARGE_ONLY"),$K440,IF($S440="TOTAL_AMOUNT_INCLUDING_DELIVERY",IF(OR($T440="",$J440=""),"",MAX(0,$T440-$J440-$U440)),IF($S440="ITEM_PRICE_ONLY_DELIVERY_PAID_BY_MERCHANT",0,""))))</f>
        <v/>
      </c>
      <c r="AQ440" s="23">
        <f>IF(OR($AP440="",$AO440=""),"",$AP440-$AO440)</f>
        <v/>
      </c>
      <c r="AR440" s="24">
        <f>IF($S440="EXACT_COLLECTION_AMOUNT","BREAKDOWN_REQUIRED",IF($AQ440="","",IF($AQ440&gt;0,"CREDIT_TO_MERCHANT",IF($AQ440&lt;0,"DEDUCT_FROM_MERCHANT","NO_ADJUSTMENT"))))</f>
        <v/>
      </c>
      <c r="AS440" s="23">
        <f>IF(OR($AQ440="",$AR440="BREAKDOWN_REQUIRED"),"",$AQ440)</f>
        <v/>
      </c>
      <c r="AT440" s="23">
        <f>IF(OR($AR440="",$AR440="BREAKDOWN_REQUIRED"),"",SUM($J440,$AQ440,$Y440)-$X440)</f>
        <v/>
      </c>
      <c r="AU440" s="25">
        <f>IF(AND($A440="",$B440="",$F440="",$H440="",$J440="",$K440="",$M440="",$S440=""),"",IF(OR($H440="",$Q440="",$M440="",$S440=""),"ERROR",IF(OR($J440&lt;0,$K440&lt;0,$M440&lt;0,$T440&lt;0,$U440&lt;0,$V440&lt;0,$W440&lt;0,$X440&lt;0,$Y440&lt;0),"ERROR",IF($AE440="","ERROR",IF(AND(OR($S440="ITEM_PRICE_PLUS_DECLARED_DELIVERY",$S440="TOTAL_AMOUNT_INCLUDING_DELIVERY",$S440="ITEM_PRICE_ONLY_DELIVERY_PAID_BY_MERCHANT"),$J440=""),"ERROR",IF(AND(OR($S440="ITEM_PRICE_PLUS_DECLARED_DELIVERY",$S440="DELIVERY_CHARGE_ONLY"),$K440=""),"ERROR",IF(AND(OR($S440="TOTAL_AMOUNT_INCLUDING_DELIVERY",$S440="EXACT_COLLECTION_AMOUNT"),$T440=""),"ERROR",IF(AND($S440="TOTAL_AMOUNT_INCLUDING_DELIVERY",$T440&lt;SUM($J440,$U440)),"ERROR",IF($S440="EXACT_COLLECTION_AMOUNT","REVIEW","OK")))))))))</f>
        <v/>
      </c>
      <c r="AV440" s="25">
        <f>IF($AU440="","",IF($H440="","Township required",IF($Q440="","Customer tier required",IF($M440="","Weight required",IF($S440="","Amount entry type required",IF(OR($J440&lt;0,$K440&lt;0,$M440&lt;0,$T440&lt;0,$U440&lt;0,$V440&lt;0,$W440&lt;0,$X440&lt;0,$Y440&lt;0),"Negative amounts are not allowed",IF($AE440="","Tariff not found for township and tier",IF(AND(OR($S440="ITEM_PRICE_PLUS_DECLARED_DELIVERY",$S440="TOTAL_AMOUNT_INCLUDING_DELIVERY",$S440="ITEM_PRICE_ONLY_DELIVERY_PAID_BY_MERCHANT"),$J440=""),"Item price required for this amount type",IF(AND(OR($S440="ITEM_PRICE_PLUS_DECLARED_DELIVERY",$S440="DELIVERY_CHARGE_ONLY"),$K440=""),"Declared delivery charge required",IF(AND(OR($S440="TOTAL_AMOUNT_INCLUDING_DELIVERY",$S440="EXACT_COLLECTION_AMOUNT"),$T440=""),"Stated total amount required",IF(AND($S440="TOTAL_AMOUNT_INCLUDING_DELIVERY",$T440&lt;SUM($J440,$U440)),"Stated total is below item price plus additional charge",IF($S440="EXACT_COLLECTION_AMOUNT","Authorized amount breakdown required before settlement","Ready for collection and settlement"))))))))))))</f>
        <v/>
      </c>
      <c r="AW440" s="23">
        <f>IF($AU440="","","PARCEL_FINANCIAL_V2")</f>
        <v/>
      </c>
      <c r="AX440" s="17" t="n"/>
    </row>
    <row r="441">
      <c r="A441" s="8" t="n"/>
      <c r="B441" s="8" t="n"/>
      <c r="C441" s="8" t="n"/>
      <c r="D441" s="8" t="n"/>
      <c r="E441" s="9" t="n"/>
      <c r="F441" s="9" t="n"/>
      <c r="G441" s="8" t="n"/>
      <c r="H441" s="9" t="n"/>
      <c r="I441" s="9" t="n"/>
      <c r="J441" s="10" t="n"/>
      <c r="K441" s="10" t="n"/>
      <c r="L441" s="11">
        <f>IF($S441="","",IF($S441="ITEM_PRICE_PLUS_DECLARED_DELIVERY",IF(OR($J441="",$K441=""),"",SUM($J441,$K441,$U441)),IF($S441="TOTAL_AMOUNT_INCLUDING_DELIVERY",IF($T441="","",$T441),IF($S441="DELIVERY_CHARGE_ONLY",IF($K441="","",SUM($K441,$U441)),IF($S441="EXACT_COLLECTION_AMOUNT",IF($T441="","",$T441),IF($S441="ITEM_PRICE_ONLY_DELIVERY_PAID_BY_MERCHANT",IF($J441="","",SUM($J441,$U441)),""))))))</f>
        <v/>
      </c>
      <c r="M441" s="12" t="n"/>
      <c r="N441" s="13" t="n"/>
      <c r="O441" s="13" t="n"/>
      <c r="P441" s="9" t="n"/>
      <c r="Q441" s="14" t="n"/>
      <c r="R441" s="15" t="n"/>
      <c r="S441" s="14" t="n"/>
      <c r="T441" s="16" t="n"/>
      <c r="U441" s="16" t="n"/>
      <c r="V441" s="16" t="n"/>
      <c r="W441" s="16" t="n"/>
      <c r="X441" s="16" t="n"/>
      <c r="Y441" s="16" t="n"/>
      <c r="Z441" s="14" t="n"/>
      <c r="AA441" s="14" t="n"/>
      <c r="AB441" s="14" t="n"/>
      <c r="AC441" s="17">
        <f>IFERROR(VLOOKUP($H441&amp;"|"&amp;$Q441,Tariff_Master!$A$2:$L$169,3,FALSE),"")</f>
        <v/>
      </c>
      <c r="AD441" s="17">
        <f>IFERROR(VLOOKUP($H441&amp;"|"&amp;$Q441,Tariff_Master!$A$2:$L$169,4,FALSE),"")</f>
        <v/>
      </c>
      <c r="AE441" s="18">
        <f>IFERROR(VLOOKUP($H441&amp;"|"&amp;$Q441,Tariff_Master!$A$2:$L$169,6,FALSE),"")</f>
        <v/>
      </c>
      <c r="AF441" s="19">
        <f>IFERROR(VLOOKUP($H441&amp;"|"&amp;$Q441,Tariff_Master!$A$2:$L$169,7,FALSE),"")</f>
        <v/>
      </c>
      <c r="AG441" s="18">
        <f>IFERROR(VLOOKUP($H441&amp;"|"&amp;$Q441,Tariff_Master!$A$2:$L$169,8,FALSE),"")</f>
        <v/>
      </c>
      <c r="AH441" s="20">
        <f>IFERROR(VLOOKUP($H441&amp;"|"&amp;$Q441,Tariff_Master!$A$2:$L$169,9,FALSE),"")</f>
        <v/>
      </c>
      <c r="AI441" s="18">
        <f>IFERROR(VLOOKUP($H441&amp;"|"&amp;$Q441,Tariff_Master!$A$2:$L$169,10,FALSE),"")</f>
        <v/>
      </c>
      <c r="AJ441" s="21">
        <f>IF($M441="","",ROUNDUP(MAX(0,$M441),0))</f>
        <v/>
      </c>
      <c r="AK441" s="21">
        <f>IF(OR($AJ441="",$AF441=""),"",MAX(0,$AJ441-$AF441))</f>
        <v/>
      </c>
      <c r="AL441" s="22">
        <f>IF(OR($AK441="",$AG441=""),"",MAX(0,$AK441*$AG441))</f>
        <v/>
      </c>
      <c r="AM441" s="22">
        <f>IF($AE441="","",MAX(0,SUM($AE441,$AL441,$V441,$W441)))</f>
        <v/>
      </c>
      <c r="AN441" s="22">
        <f>IF($AM441="","",IF(AND($Q441="COMMITMENT",$R441&gt;=$AH441),$AI441,0))</f>
        <v/>
      </c>
      <c r="AO441" s="23">
        <f>IF($AM441="","",MAX(0,$AM441-$AN441))</f>
        <v/>
      </c>
      <c r="AP441" s="22">
        <f>IF($S441="","",IF(OR($S441="ITEM_PRICE_PLUS_DECLARED_DELIVERY",$S441="DELIVERY_CHARGE_ONLY"),$K441,IF($S441="TOTAL_AMOUNT_INCLUDING_DELIVERY",IF(OR($T441="",$J441=""),"",MAX(0,$T441-$J441-$U441)),IF($S441="ITEM_PRICE_ONLY_DELIVERY_PAID_BY_MERCHANT",0,""))))</f>
        <v/>
      </c>
      <c r="AQ441" s="23">
        <f>IF(OR($AP441="",$AO441=""),"",$AP441-$AO441)</f>
        <v/>
      </c>
      <c r="AR441" s="24">
        <f>IF($S441="EXACT_COLLECTION_AMOUNT","BREAKDOWN_REQUIRED",IF($AQ441="","",IF($AQ441&gt;0,"CREDIT_TO_MERCHANT",IF($AQ441&lt;0,"DEDUCT_FROM_MERCHANT","NO_ADJUSTMENT"))))</f>
        <v/>
      </c>
      <c r="AS441" s="23">
        <f>IF(OR($AQ441="",$AR441="BREAKDOWN_REQUIRED"),"",$AQ441)</f>
        <v/>
      </c>
      <c r="AT441" s="23">
        <f>IF(OR($AR441="",$AR441="BREAKDOWN_REQUIRED"),"",SUM($J441,$AQ441,$Y441)-$X441)</f>
        <v/>
      </c>
      <c r="AU441" s="25">
        <f>IF(AND($A441="",$B441="",$F441="",$H441="",$J441="",$K441="",$M441="",$S441=""),"",IF(OR($H441="",$Q441="",$M441="",$S441=""),"ERROR",IF(OR($J441&lt;0,$K441&lt;0,$M441&lt;0,$T441&lt;0,$U441&lt;0,$V441&lt;0,$W441&lt;0,$X441&lt;0,$Y441&lt;0),"ERROR",IF($AE441="","ERROR",IF(AND(OR($S441="ITEM_PRICE_PLUS_DECLARED_DELIVERY",$S441="TOTAL_AMOUNT_INCLUDING_DELIVERY",$S441="ITEM_PRICE_ONLY_DELIVERY_PAID_BY_MERCHANT"),$J441=""),"ERROR",IF(AND(OR($S441="ITEM_PRICE_PLUS_DECLARED_DELIVERY",$S441="DELIVERY_CHARGE_ONLY"),$K441=""),"ERROR",IF(AND(OR($S441="TOTAL_AMOUNT_INCLUDING_DELIVERY",$S441="EXACT_COLLECTION_AMOUNT"),$T441=""),"ERROR",IF(AND($S441="TOTAL_AMOUNT_INCLUDING_DELIVERY",$T441&lt;SUM($J441,$U441)),"ERROR",IF($S441="EXACT_COLLECTION_AMOUNT","REVIEW","OK")))))))))</f>
        <v/>
      </c>
      <c r="AV441" s="25">
        <f>IF($AU441="","",IF($H441="","Township required",IF($Q441="","Customer tier required",IF($M441="","Weight required",IF($S441="","Amount entry type required",IF(OR($J441&lt;0,$K441&lt;0,$M441&lt;0,$T441&lt;0,$U441&lt;0,$V441&lt;0,$W441&lt;0,$X441&lt;0,$Y441&lt;0),"Negative amounts are not allowed",IF($AE441="","Tariff not found for township and tier",IF(AND(OR($S441="ITEM_PRICE_PLUS_DECLARED_DELIVERY",$S441="TOTAL_AMOUNT_INCLUDING_DELIVERY",$S441="ITEM_PRICE_ONLY_DELIVERY_PAID_BY_MERCHANT"),$J441=""),"Item price required for this amount type",IF(AND(OR($S441="ITEM_PRICE_PLUS_DECLARED_DELIVERY",$S441="DELIVERY_CHARGE_ONLY"),$K441=""),"Declared delivery charge required",IF(AND(OR($S441="TOTAL_AMOUNT_INCLUDING_DELIVERY",$S441="EXACT_COLLECTION_AMOUNT"),$T441=""),"Stated total amount required",IF(AND($S441="TOTAL_AMOUNT_INCLUDING_DELIVERY",$T441&lt;SUM($J441,$U441)),"Stated total is below item price plus additional charge",IF($S441="EXACT_COLLECTION_AMOUNT","Authorized amount breakdown required before settlement","Ready for collection and settlement"))))))))))))</f>
        <v/>
      </c>
      <c r="AW441" s="23">
        <f>IF($AU441="","","PARCEL_FINANCIAL_V2")</f>
        <v/>
      </c>
      <c r="AX441" s="17" t="n"/>
    </row>
    <row r="442">
      <c r="A442" s="8" t="n"/>
      <c r="B442" s="8" t="n"/>
      <c r="C442" s="8" t="n"/>
      <c r="D442" s="8" t="n"/>
      <c r="E442" s="9" t="n"/>
      <c r="F442" s="9" t="n"/>
      <c r="G442" s="8" t="n"/>
      <c r="H442" s="9" t="n"/>
      <c r="I442" s="9" t="n"/>
      <c r="J442" s="10" t="n"/>
      <c r="K442" s="10" t="n"/>
      <c r="L442" s="11">
        <f>IF($S442="","",IF($S442="ITEM_PRICE_PLUS_DECLARED_DELIVERY",IF(OR($J442="",$K442=""),"",SUM($J442,$K442,$U442)),IF($S442="TOTAL_AMOUNT_INCLUDING_DELIVERY",IF($T442="","",$T442),IF($S442="DELIVERY_CHARGE_ONLY",IF($K442="","",SUM($K442,$U442)),IF($S442="EXACT_COLLECTION_AMOUNT",IF($T442="","",$T442),IF($S442="ITEM_PRICE_ONLY_DELIVERY_PAID_BY_MERCHANT",IF($J442="","",SUM($J442,$U442)),""))))))</f>
        <v/>
      </c>
      <c r="M442" s="12" t="n"/>
      <c r="N442" s="13" t="n"/>
      <c r="O442" s="13" t="n"/>
      <c r="P442" s="9" t="n"/>
      <c r="Q442" s="14" t="n"/>
      <c r="R442" s="15" t="n"/>
      <c r="S442" s="14" t="n"/>
      <c r="T442" s="16" t="n"/>
      <c r="U442" s="16" t="n"/>
      <c r="V442" s="16" t="n"/>
      <c r="W442" s="16" t="n"/>
      <c r="X442" s="16" t="n"/>
      <c r="Y442" s="16" t="n"/>
      <c r="Z442" s="14" t="n"/>
      <c r="AA442" s="14" t="n"/>
      <c r="AB442" s="14" t="n"/>
      <c r="AC442" s="17">
        <f>IFERROR(VLOOKUP($H442&amp;"|"&amp;$Q442,Tariff_Master!$A$2:$L$169,3,FALSE),"")</f>
        <v/>
      </c>
      <c r="AD442" s="17">
        <f>IFERROR(VLOOKUP($H442&amp;"|"&amp;$Q442,Tariff_Master!$A$2:$L$169,4,FALSE),"")</f>
        <v/>
      </c>
      <c r="AE442" s="18">
        <f>IFERROR(VLOOKUP($H442&amp;"|"&amp;$Q442,Tariff_Master!$A$2:$L$169,6,FALSE),"")</f>
        <v/>
      </c>
      <c r="AF442" s="19">
        <f>IFERROR(VLOOKUP($H442&amp;"|"&amp;$Q442,Tariff_Master!$A$2:$L$169,7,FALSE),"")</f>
        <v/>
      </c>
      <c r="AG442" s="18">
        <f>IFERROR(VLOOKUP($H442&amp;"|"&amp;$Q442,Tariff_Master!$A$2:$L$169,8,FALSE),"")</f>
        <v/>
      </c>
      <c r="AH442" s="20">
        <f>IFERROR(VLOOKUP($H442&amp;"|"&amp;$Q442,Tariff_Master!$A$2:$L$169,9,FALSE),"")</f>
        <v/>
      </c>
      <c r="AI442" s="18">
        <f>IFERROR(VLOOKUP($H442&amp;"|"&amp;$Q442,Tariff_Master!$A$2:$L$169,10,FALSE),"")</f>
        <v/>
      </c>
      <c r="AJ442" s="21">
        <f>IF($M442="","",ROUNDUP(MAX(0,$M442),0))</f>
        <v/>
      </c>
      <c r="AK442" s="21">
        <f>IF(OR($AJ442="",$AF442=""),"",MAX(0,$AJ442-$AF442))</f>
        <v/>
      </c>
      <c r="AL442" s="22">
        <f>IF(OR($AK442="",$AG442=""),"",MAX(0,$AK442*$AG442))</f>
        <v/>
      </c>
      <c r="AM442" s="22">
        <f>IF($AE442="","",MAX(0,SUM($AE442,$AL442,$V442,$W442)))</f>
        <v/>
      </c>
      <c r="AN442" s="22">
        <f>IF($AM442="","",IF(AND($Q442="COMMITMENT",$R442&gt;=$AH442),$AI442,0))</f>
        <v/>
      </c>
      <c r="AO442" s="23">
        <f>IF($AM442="","",MAX(0,$AM442-$AN442))</f>
        <v/>
      </c>
      <c r="AP442" s="22">
        <f>IF($S442="","",IF(OR($S442="ITEM_PRICE_PLUS_DECLARED_DELIVERY",$S442="DELIVERY_CHARGE_ONLY"),$K442,IF($S442="TOTAL_AMOUNT_INCLUDING_DELIVERY",IF(OR($T442="",$J442=""),"",MAX(0,$T442-$J442-$U442)),IF($S442="ITEM_PRICE_ONLY_DELIVERY_PAID_BY_MERCHANT",0,""))))</f>
        <v/>
      </c>
      <c r="AQ442" s="23">
        <f>IF(OR($AP442="",$AO442=""),"",$AP442-$AO442)</f>
        <v/>
      </c>
      <c r="AR442" s="24">
        <f>IF($S442="EXACT_COLLECTION_AMOUNT","BREAKDOWN_REQUIRED",IF($AQ442="","",IF($AQ442&gt;0,"CREDIT_TO_MERCHANT",IF($AQ442&lt;0,"DEDUCT_FROM_MERCHANT","NO_ADJUSTMENT"))))</f>
        <v/>
      </c>
      <c r="AS442" s="23">
        <f>IF(OR($AQ442="",$AR442="BREAKDOWN_REQUIRED"),"",$AQ442)</f>
        <v/>
      </c>
      <c r="AT442" s="23">
        <f>IF(OR($AR442="",$AR442="BREAKDOWN_REQUIRED"),"",SUM($J442,$AQ442,$Y442)-$X442)</f>
        <v/>
      </c>
      <c r="AU442" s="25">
        <f>IF(AND($A442="",$B442="",$F442="",$H442="",$J442="",$K442="",$M442="",$S442=""),"",IF(OR($H442="",$Q442="",$M442="",$S442=""),"ERROR",IF(OR($J442&lt;0,$K442&lt;0,$M442&lt;0,$T442&lt;0,$U442&lt;0,$V442&lt;0,$W442&lt;0,$X442&lt;0,$Y442&lt;0),"ERROR",IF($AE442="","ERROR",IF(AND(OR($S442="ITEM_PRICE_PLUS_DECLARED_DELIVERY",$S442="TOTAL_AMOUNT_INCLUDING_DELIVERY",$S442="ITEM_PRICE_ONLY_DELIVERY_PAID_BY_MERCHANT"),$J442=""),"ERROR",IF(AND(OR($S442="ITEM_PRICE_PLUS_DECLARED_DELIVERY",$S442="DELIVERY_CHARGE_ONLY"),$K442=""),"ERROR",IF(AND(OR($S442="TOTAL_AMOUNT_INCLUDING_DELIVERY",$S442="EXACT_COLLECTION_AMOUNT"),$T442=""),"ERROR",IF(AND($S442="TOTAL_AMOUNT_INCLUDING_DELIVERY",$T442&lt;SUM($J442,$U442)),"ERROR",IF($S442="EXACT_COLLECTION_AMOUNT","REVIEW","OK")))))))))</f>
        <v/>
      </c>
      <c r="AV442" s="25">
        <f>IF($AU442="","",IF($H442="","Township required",IF($Q442="","Customer tier required",IF($M442="","Weight required",IF($S442="","Amount entry type required",IF(OR($J442&lt;0,$K442&lt;0,$M442&lt;0,$T442&lt;0,$U442&lt;0,$V442&lt;0,$W442&lt;0,$X442&lt;0,$Y442&lt;0),"Negative amounts are not allowed",IF($AE442="","Tariff not found for township and tier",IF(AND(OR($S442="ITEM_PRICE_PLUS_DECLARED_DELIVERY",$S442="TOTAL_AMOUNT_INCLUDING_DELIVERY",$S442="ITEM_PRICE_ONLY_DELIVERY_PAID_BY_MERCHANT"),$J442=""),"Item price required for this amount type",IF(AND(OR($S442="ITEM_PRICE_PLUS_DECLARED_DELIVERY",$S442="DELIVERY_CHARGE_ONLY"),$K442=""),"Declared delivery charge required",IF(AND(OR($S442="TOTAL_AMOUNT_INCLUDING_DELIVERY",$S442="EXACT_COLLECTION_AMOUNT"),$T442=""),"Stated total amount required",IF(AND($S442="TOTAL_AMOUNT_INCLUDING_DELIVERY",$T442&lt;SUM($J442,$U442)),"Stated total is below item price plus additional charge",IF($S442="EXACT_COLLECTION_AMOUNT","Authorized amount breakdown required before settlement","Ready for collection and settlement"))))))))))))</f>
        <v/>
      </c>
      <c r="AW442" s="23">
        <f>IF($AU442="","","PARCEL_FINANCIAL_V2")</f>
        <v/>
      </c>
      <c r="AX442" s="17" t="n"/>
    </row>
    <row r="443">
      <c r="A443" s="8" t="n"/>
      <c r="B443" s="8" t="n"/>
      <c r="C443" s="8" t="n"/>
      <c r="D443" s="8" t="n"/>
      <c r="E443" s="9" t="n"/>
      <c r="F443" s="9" t="n"/>
      <c r="G443" s="8" t="n"/>
      <c r="H443" s="9" t="n"/>
      <c r="I443" s="9" t="n"/>
      <c r="J443" s="10" t="n"/>
      <c r="K443" s="10" t="n"/>
      <c r="L443" s="11">
        <f>IF($S443="","",IF($S443="ITEM_PRICE_PLUS_DECLARED_DELIVERY",IF(OR($J443="",$K443=""),"",SUM($J443,$K443,$U443)),IF($S443="TOTAL_AMOUNT_INCLUDING_DELIVERY",IF($T443="","",$T443),IF($S443="DELIVERY_CHARGE_ONLY",IF($K443="","",SUM($K443,$U443)),IF($S443="EXACT_COLLECTION_AMOUNT",IF($T443="","",$T443),IF($S443="ITEM_PRICE_ONLY_DELIVERY_PAID_BY_MERCHANT",IF($J443="","",SUM($J443,$U443)),""))))))</f>
        <v/>
      </c>
      <c r="M443" s="12" t="n"/>
      <c r="N443" s="13" t="n"/>
      <c r="O443" s="13" t="n"/>
      <c r="P443" s="9" t="n"/>
      <c r="Q443" s="14" t="n"/>
      <c r="R443" s="15" t="n"/>
      <c r="S443" s="14" t="n"/>
      <c r="T443" s="16" t="n"/>
      <c r="U443" s="16" t="n"/>
      <c r="V443" s="16" t="n"/>
      <c r="W443" s="16" t="n"/>
      <c r="X443" s="16" t="n"/>
      <c r="Y443" s="16" t="n"/>
      <c r="Z443" s="14" t="n"/>
      <c r="AA443" s="14" t="n"/>
      <c r="AB443" s="14" t="n"/>
      <c r="AC443" s="17">
        <f>IFERROR(VLOOKUP($H443&amp;"|"&amp;$Q443,Tariff_Master!$A$2:$L$169,3,FALSE),"")</f>
        <v/>
      </c>
      <c r="AD443" s="17">
        <f>IFERROR(VLOOKUP($H443&amp;"|"&amp;$Q443,Tariff_Master!$A$2:$L$169,4,FALSE),"")</f>
        <v/>
      </c>
      <c r="AE443" s="18">
        <f>IFERROR(VLOOKUP($H443&amp;"|"&amp;$Q443,Tariff_Master!$A$2:$L$169,6,FALSE),"")</f>
        <v/>
      </c>
      <c r="AF443" s="19">
        <f>IFERROR(VLOOKUP($H443&amp;"|"&amp;$Q443,Tariff_Master!$A$2:$L$169,7,FALSE),"")</f>
        <v/>
      </c>
      <c r="AG443" s="18">
        <f>IFERROR(VLOOKUP($H443&amp;"|"&amp;$Q443,Tariff_Master!$A$2:$L$169,8,FALSE),"")</f>
        <v/>
      </c>
      <c r="AH443" s="20">
        <f>IFERROR(VLOOKUP($H443&amp;"|"&amp;$Q443,Tariff_Master!$A$2:$L$169,9,FALSE),"")</f>
        <v/>
      </c>
      <c r="AI443" s="18">
        <f>IFERROR(VLOOKUP($H443&amp;"|"&amp;$Q443,Tariff_Master!$A$2:$L$169,10,FALSE),"")</f>
        <v/>
      </c>
      <c r="AJ443" s="21">
        <f>IF($M443="","",ROUNDUP(MAX(0,$M443),0))</f>
        <v/>
      </c>
      <c r="AK443" s="21">
        <f>IF(OR($AJ443="",$AF443=""),"",MAX(0,$AJ443-$AF443))</f>
        <v/>
      </c>
      <c r="AL443" s="22">
        <f>IF(OR($AK443="",$AG443=""),"",MAX(0,$AK443*$AG443))</f>
        <v/>
      </c>
      <c r="AM443" s="22">
        <f>IF($AE443="","",MAX(0,SUM($AE443,$AL443,$V443,$W443)))</f>
        <v/>
      </c>
      <c r="AN443" s="22">
        <f>IF($AM443="","",IF(AND($Q443="COMMITMENT",$R443&gt;=$AH443),$AI443,0))</f>
        <v/>
      </c>
      <c r="AO443" s="23">
        <f>IF($AM443="","",MAX(0,$AM443-$AN443))</f>
        <v/>
      </c>
      <c r="AP443" s="22">
        <f>IF($S443="","",IF(OR($S443="ITEM_PRICE_PLUS_DECLARED_DELIVERY",$S443="DELIVERY_CHARGE_ONLY"),$K443,IF($S443="TOTAL_AMOUNT_INCLUDING_DELIVERY",IF(OR($T443="",$J443=""),"",MAX(0,$T443-$J443-$U443)),IF($S443="ITEM_PRICE_ONLY_DELIVERY_PAID_BY_MERCHANT",0,""))))</f>
        <v/>
      </c>
      <c r="AQ443" s="23">
        <f>IF(OR($AP443="",$AO443=""),"",$AP443-$AO443)</f>
        <v/>
      </c>
      <c r="AR443" s="24">
        <f>IF($S443="EXACT_COLLECTION_AMOUNT","BREAKDOWN_REQUIRED",IF($AQ443="","",IF($AQ443&gt;0,"CREDIT_TO_MERCHANT",IF($AQ443&lt;0,"DEDUCT_FROM_MERCHANT","NO_ADJUSTMENT"))))</f>
        <v/>
      </c>
      <c r="AS443" s="23">
        <f>IF(OR($AQ443="",$AR443="BREAKDOWN_REQUIRED"),"",$AQ443)</f>
        <v/>
      </c>
      <c r="AT443" s="23">
        <f>IF(OR($AR443="",$AR443="BREAKDOWN_REQUIRED"),"",SUM($J443,$AQ443,$Y443)-$X443)</f>
        <v/>
      </c>
      <c r="AU443" s="25">
        <f>IF(AND($A443="",$B443="",$F443="",$H443="",$J443="",$K443="",$M443="",$S443=""),"",IF(OR($H443="",$Q443="",$M443="",$S443=""),"ERROR",IF(OR($J443&lt;0,$K443&lt;0,$M443&lt;0,$T443&lt;0,$U443&lt;0,$V443&lt;0,$W443&lt;0,$X443&lt;0,$Y443&lt;0),"ERROR",IF($AE443="","ERROR",IF(AND(OR($S443="ITEM_PRICE_PLUS_DECLARED_DELIVERY",$S443="TOTAL_AMOUNT_INCLUDING_DELIVERY",$S443="ITEM_PRICE_ONLY_DELIVERY_PAID_BY_MERCHANT"),$J443=""),"ERROR",IF(AND(OR($S443="ITEM_PRICE_PLUS_DECLARED_DELIVERY",$S443="DELIVERY_CHARGE_ONLY"),$K443=""),"ERROR",IF(AND(OR($S443="TOTAL_AMOUNT_INCLUDING_DELIVERY",$S443="EXACT_COLLECTION_AMOUNT"),$T443=""),"ERROR",IF(AND($S443="TOTAL_AMOUNT_INCLUDING_DELIVERY",$T443&lt;SUM($J443,$U443)),"ERROR",IF($S443="EXACT_COLLECTION_AMOUNT","REVIEW","OK")))))))))</f>
        <v/>
      </c>
      <c r="AV443" s="25">
        <f>IF($AU443="","",IF($H443="","Township required",IF($Q443="","Customer tier required",IF($M443="","Weight required",IF($S443="","Amount entry type required",IF(OR($J443&lt;0,$K443&lt;0,$M443&lt;0,$T443&lt;0,$U443&lt;0,$V443&lt;0,$W443&lt;0,$X443&lt;0,$Y443&lt;0),"Negative amounts are not allowed",IF($AE443="","Tariff not found for township and tier",IF(AND(OR($S443="ITEM_PRICE_PLUS_DECLARED_DELIVERY",$S443="TOTAL_AMOUNT_INCLUDING_DELIVERY",$S443="ITEM_PRICE_ONLY_DELIVERY_PAID_BY_MERCHANT"),$J443=""),"Item price required for this amount type",IF(AND(OR($S443="ITEM_PRICE_PLUS_DECLARED_DELIVERY",$S443="DELIVERY_CHARGE_ONLY"),$K443=""),"Declared delivery charge required",IF(AND(OR($S443="TOTAL_AMOUNT_INCLUDING_DELIVERY",$S443="EXACT_COLLECTION_AMOUNT"),$T443=""),"Stated total amount required",IF(AND($S443="TOTAL_AMOUNT_INCLUDING_DELIVERY",$T443&lt;SUM($J443,$U443)),"Stated total is below item price plus additional charge",IF($S443="EXACT_COLLECTION_AMOUNT","Authorized amount breakdown required before settlement","Ready for collection and settlement"))))))))))))</f>
        <v/>
      </c>
      <c r="AW443" s="23">
        <f>IF($AU443="","","PARCEL_FINANCIAL_V2")</f>
        <v/>
      </c>
      <c r="AX443" s="17" t="n"/>
    </row>
    <row r="444">
      <c r="A444" s="8" t="n"/>
      <c r="B444" s="8" t="n"/>
      <c r="C444" s="8" t="n"/>
      <c r="D444" s="8" t="n"/>
      <c r="E444" s="9" t="n"/>
      <c r="F444" s="9" t="n"/>
      <c r="G444" s="8" t="n"/>
      <c r="H444" s="9" t="n"/>
      <c r="I444" s="9" t="n"/>
      <c r="J444" s="10" t="n"/>
      <c r="K444" s="10" t="n"/>
      <c r="L444" s="11">
        <f>IF($S444="","",IF($S444="ITEM_PRICE_PLUS_DECLARED_DELIVERY",IF(OR($J444="",$K444=""),"",SUM($J444,$K444,$U444)),IF($S444="TOTAL_AMOUNT_INCLUDING_DELIVERY",IF($T444="","",$T444),IF($S444="DELIVERY_CHARGE_ONLY",IF($K444="","",SUM($K444,$U444)),IF($S444="EXACT_COLLECTION_AMOUNT",IF($T444="","",$T444),IF($S444="ITEM_PRICE_ONLY_DELIVERY_PAID_BY_MERCHANT",IF($J444="","",SUM($J444,$U444)),""))))))</f>
        <v/>
      </c>
      <c r="M444" s="12" t="n"/>
      <c r="N444" s="13" t="n"/>
      <c r="O444" s="13" t="n"/>
      <c r="P444" s="9" t="n"/>
      <c r="Q444" s="14" t="n"/>
      <c r="R444" s="15" t="n"/>
      <c r="S444" s="14" t="n"/>
      <c r="T444" s="16" t="n"/>
      <c r="U444" s="16" t="n"/>
      <c r="V444" s="16" t="n"/>
      <c r="W444" s="16" t="n"/>
      <c r="X444" s="16" t="n"/>
      <c r="Y444" s="16" t="n"/>
      <c r="Z444" s="14" t="n"/>
      <c r="AA444" s="14" t="n"/>
      <c r="AB444" s="14" t="n"/>
      <c r="AC444" s="17">
        <f>IFERROR(VLOOKUP($H444&amp;"|"&amp;$Q444,Tariff_Master!$A$2:$L$169,3,FALSE),"")</f>
        <v/>
      </c>
      <c r="AD444" s="17">
        <f>IFERROR(VLOOKUP($H444&amp;"|"&amp;$Q444,Tariff_Master!$A$2:$L$169,4,FALSE),"")</f>
        <v/>
      </c>
      <c r="AE444" s="18">
        <f>IFERROR(VLOOKUP($H444&amp;"|"&amp;$Q444,Tariff_Master!$A$2:$L$169,6,FALSE),"")</f>
        <v/>
      </c>
      <c r="AF444" s="19">
        <f>IFERROR(VLOOKUP($H444&amp;"|"&amp;$Q444,Tariff_Master!$A$2:$L$169,7,FALSE),"")</f>
        <v/>
      </c>
      <c r="AG444" s="18">
        <f>IFERROR(VLOOKUP($H444&amp;"|"&amp;$Q444,Tariff_Master!$A$2:$L$169,8,FALSE),"")</f>
        <v/>
      </c>
      <c r="AH444" s="20">
        <f>IFERROR(VLOOKUP($H444&amp;"|"&amp;$Q444,Tariff_Master!$A$2:$L$169,9,FALSE),"")</f>
        <v/>
      </c>
      <c r="AI444" s="18">
        <f>IFERROR(VLOOKUP($H444&amp;"|"&amp;$Q444,Tariff_Master!$A$2:$L$169,10,FALSE),"")</f>
        <v/>
      </c>
      <c r="AJ444" s="21">
        <f>IF($M444="","",ROUNDUP(MAX(0,$M444),0))</f>
        <v/>
      </c>
      <c r="AK444" s="21">
        <f>IF(OR($AJ444="",$AF444=""),"",MAX(0,$AJ444-$AF444))</f>
        <v/>
      </c>
      <c r="AL444" s="22">
        <f>IF(OR($AK444="",$AG444=""),"",MAX(0,$AK444*$AG444))</f>
        <v/>
      </c>
      <c r="AM444" s="22">
        <f>IF($AE444="","",MAX(0,SUM($AE444,$AL444,$V444,$W444)))</f>
        <v/>
      </c>
      <c r="AN444" s="22">
        <f>IF($AM444="","",IF(AND($Q444="COMMITMENT",$R444&gt;=$AH444),$AI444,0))</f>
        <v/>
      </c>
      <c r="AO444" s="23">
        <f>IF($AM444="","",MAX(0,$AM444-$AN444))</f>
        <v/>
      </c>
      <c r="AP444" s="22">
        <f>IF($S444="","",IF(OR($S444="ITEM_PRICE_PLUS_DECLARED_DELIVERY",$S444="DELIVERY_CHARGE_ONLY"),$K444,IF($S444="TOTAL_AMOUNT_INCLUDING_DELIVERY",IF(OR($T444="",$J444=""),"",MAX(0,$T444-$J444-$U444)),IF($S444="ITEM_PRICE_ONLY_DELIVERY_PAID_BY_MERCHANT",0,""))))</f>
        <v/>
      </c>
      <c r="AQ444" s="23">
        <f>IF(OR($AP444="",$AO444=""),"",$AP444-$AO444)</f>
        <v/>
      </c>
      <c r="AR444" s="24">
        <f>IF($S444="EXACT_COLLECTION_AMOUNT","BREAKDOWN_REQUIRED",IF($AQ444="","",IF($AQ444&gt;0,"CREDIT_TO_MERCHANT",IF($AQ444&lt;0,"DEDUCT_FROM_MERCHANT","NO_ADJUSTMENT"))))</f>
        <v/>
      </c>
      <c r="AS444" s="23">
        <f>IF(OR($AQ444="",$AR444="BREAKDOWN_REQUIRED"),"",$AQ444)</f>
        <v/>
      </c>
      <c r="AT444" s="23">
        <f>IF(OR($AR444="",$AR444="BREAKDOWN_REQUIRED"),"",SUM($J444,$AQ444,$Y444)-$X444)</f>
        <v/>
      </c>
      <c r="AU444" s="25">
        <f>IF(AND($A444="",$B444="",$F444="",$H444="",$J444="",$K444="",$M444="",$S444=""),"",IF(OR($H444="",$Q444="",$M444="",$S444=""),"ERROR",IF(OR($J444&lt;0,$K444&lt;0,$M444&lt;0,$T444&lt;0,$U444&lt;0,$V444&lt;0,$W444&lt;0,$X444&lt;0,$Y444&lt;0),"ERROR",IF($AE444="","ERROR",IF(AND(OR($S444="ITEM_PRICE_PLUS_DECLARED_DELIVERY",$S444="TOTAL_AMOUNT_INCLUDING_DELIVERY",$S444="ITEM_PRICE_ONLY_DELIVERY_PAID_BY_MERCHANT"),$J444=""),"ERROR",IF(AND(OR($S444="ITEM_PRICE_PLUS_DECLARED_DELIVERY",$S444="DELIVERY_CHARGE_ONLY"),$K444=""),"ERROR",IF(AND(OR($S444="TOTAL_AMOUNT_INCLUDING_DELIVERY",$S444="EXACT_COLLECTION_AMOUNT"),$T444=""),"ERROR",IF(AND($S444="TOTAL_AMOUNT_INCLUDING_DELIVERY",$T444&lt;SUM($J444,$U444)),"ERROR",IF($S444="EXACT_COLLECTION_AMOUNT","REVIEW","OK")))))))))</f>
        <v/>
      </c>
      <c r="AV444" s="25">
        <f>IF($AU444="","",IF($H444="","Township required",IF($Q444="","Customer tier required",IF($M444="","Weight required",IF($S444="","Amount entry type required",IF(OR($J444&lt;0,$K444&lt;0,$M444&lt;0,$T444&lt;0,$U444&lt;0,$V444&lt;0,$W444&lt;0,$X444&lt;0,$Y444&lt;0),"Negative amounts are not allowed",IF($AE444="","Tariff not found for township and tier",IF(AND(OR($S444="ITEM_PRICE_PLUS_DECLARED_DELIVERY",$S444="TOTAL_AMOUNT_INCLUDING_DELIVERY",$S444="ITEM_PRICE_ONLY_DELIVERY_PAID_BY_MERCHANT"),$J444=""),"Item price required for this amount type",IF(AND(OR($S444="ITEM_PRICE_PLUS_DECLARED_DELIVERY",$S444="DELIVERY_CHARGE_ONLY"),$K444=""),"Declared delivery charge required",IF(AND(OR($S444="TOTAL_AMOUNT_INCLUDING_DELIVERY",$S444="EXACT_COLLECTION_AMOUNT"),$T444=""),"Stated total amount required",IF(AND($S444="TOTAL_AMOUNT_INCLUDING_DELIVERY",$T444&lt;SUM($J444,$U444)),"Stated total is below item price plus additional charge",IF($S444="EXACT_COLLECTION_AMOUNT","Authorized amount breakdown required before settlement","Ready for collection and settlement"))))))))))))</f>
        <v/>
      </c>
      <c r="AW444" s="23">
        <f>IF($AU444="","","PARCEL_FINANCIAL_V2")</f>
        <v/>
      </c>
      <c r="AX444" s="17" t="n"/>
    </row>
    <row r="445">
      <c r="A445" s="8" t="n"/>
      <c r="B445" s="8" t="n"/>
      <c r="C445" s="8" t="n"/>
      <c r="D445" s="8" t="n"/>
      <c r="E445" s="9" t="n"/>
      <c r="F445" s="9" t="n"/>
      <c r="G445" s="8" t="n"/>
      <c r="H445" s="9" t="n"/>
      <c r="I445" s="9" t="n"/>
      <c r="J445" s="10" t="n"/>
      <c r="K445" s="10" t="n"/>
      <c r="L445" s="11">
        <f>IF($S445="","",IF($S445="ITEM_PRICE_PLUS_DECLARED_DELIVERY",IF(OR($J445="",$K445=""),"",SUM($J445,$K445,$U445)),IF($S445="TOTAL_AMOUNT_INCLUDING_DELIVERY",IF($T445="","",$T445),IF($S445="DELIVERY_CHARGE_ONLY",IF($K445="","",SUM($K445,$U445)),IF($S445="EXACT_COLLECTION_AMOUNT",IF($T445="","",$T445),IF($S445="ITEM_PRICE_ONLY_DELIVERY_PAID_BY_MERCHANT",IF($J445="","",SUM($J445,$U445)),""))))))</f>
        <v/>
      </c>
      <c r="M445" s="12" t="n"/>
      <c r="N445" s="13" t="n"/>
      <c r="O445" s="13" t="n"/>
      <c r="P445" s="9" t="n"/>
      <c r="Q445" s="14" t="n"/>
      <c r="R445" s="15" t="n"/>
      <c r="S445" s="14" t="n"/>
      <c r="T445" s="16" t="n"/>
      <c r="U445" s="16" t="n"/>
      <c r="V445" s="16" t="n"/>
      <c r="W445" s="16" t="n"/>
      <c r="X445" s="16" t="n"/>
      <c r="Y445" s="16" t="n"/>
      <c r="Z445" s="14" t="n"/>
      <c r="AA445" s="14" t="n"/>
      <c r="AB445" s="14" t="n"/>
      <c r="AC445" s="17">
        <f>IFERROR(VLOOKUP($H445&amp;"|"&amp;$Q445,Tariff_Master!$A$2:$L$169,3,FALSE),"")</f>
        <v/>
      </c>
      <c r="AD445" s="17">
        <f>IFERROR(VLOOKUP($H445&amp;"|"&amp;$Q445,Tariff_Master!$A$2:$L$169,4,FALSE),"")</f>
        <v/>
      </c>
      <c r="AE445" s="18">
        <f>IFERROR(VLOOKUP($H445&amp;"|"&amp;$Q445,Tariff_Master!$A$2:$L$169,6,FALSE),"")</f>
        <v/>
      </c>
      <c r="AF445" s="19">
        <f>IFERROR(VLOOKUP($H445&amp;"|"&amp;$Q445,Tariff_Master!$A$2:$L$169,7,FALSE),"")</f>
        <v/>
      </c>
      <c r="AG445" s="18">
        <f>IFERROR(VLOOKUP($H445&amp;"|"&amp;$Q445,Tariff_Master!$A$2:$L$169,8,FALSE),"")</f>
        <v/>
      </c>
      <c r="AH445" s="20">
        <f>IFERROR(VLOOKUP($H445&amp;"|"&amp;$Q445,Tariff_Master!$A$2:$L$169,9,FALSE),"")</f>
        <v/>
      </c>
      <c r="AI445" s="18">
        <f>IFERROR(VLOOKUP($H445&amp;"|"&amp;$Q445,Tariff_Master!$A$2:$L$169,10,FALSE),"")</f>
        <v/>
      </c>
      <c r="AJ445" s="21">
        <f>IF($M445="","",ROUNDUP(MAX(0,$M445),0))</f>
        <v/>
      </c>
      <c r="AK445" s="21">
        <f>IF(OR($AJ445="",$AF445=""),"",MAX(0,$AJ445-$AF445))</f>
        <v/>
      </c>
      <c r="AL445" s="22">
        <f>IF(OR($AK445="",$AG445=""),"",MAX(0,$AK445*$AG445))</f>
        <v/>
      </c>
      <c r="AM445" s="22">
        <f>IF($AE445="","",MAX(0,SUM($AE445,$AL445,$V445,$W445)))</f>
        <v/>
      </c>
      <c r="AN445" s="22">
        <f>IF($AM445="","",IF(AND($Q445="COMMITMENT",$R445&gt;=$AH445),$AI445,0))</f>
        <v/>
      </c>
      <c r="AO445" s="23">
        <f>IF($AM445="","",MAX(0,$AM445-$AN445))</f>
        <v/>
      </c>
      <c r="AP445" s="22">
        <f>IF($S445="","",IF(OR($S445="ITEM_PRICE_PLUS_DECLARED_DELIVERY",$S445="DELIVERY_CHARGE_ONLY"),$K445,IF($S445="TOTAL_AMOUNT_INCLUDING_DELIVERY",IF(OR($T445="",$J445=""),"",MAX(0,$T445-$J445-$U445)),IF($S445="ITEM_PRICE_ONLY_DELIVERY_PAID_BY_MERCHANT",0,""))))</f>
        <v/>
      </c>
      <c r="AQ445" s="23">
        <f>IF(OR($AP445="",$AO445=""),"",$AP445-$AO445)</f>
        <v/>
      </c>
      <c r="AR445" s="24">
        <f>IF($S445="EXACT_COLLECTION_AMOUNT","BREAKDOWN_REQUIRED",IF($AQ445="","",IF($AQ445&gt;0,"CREDIT_TO_MERCHANT",IF($AQ445&lt;0,"DEDUCT_FROM_MERCHANT","NO_ADJUSTMENT"))))</f>
        <v/>
      </c>
      <c r="AS445" s="23">
        <f>IF(OR($AQ445="",$AR445="BREAKDOWN_REQUIRED"),"",$AQ445)</f>
        <v/>
      </c>
      <c r="AT445" s="23">
        <f>IF(OR($AR445="",$AR445="BREAKDOWN_REQUIRED"),"",SUM($J445,$AQ445,$Y445)-$X445)</f>
        <v/>
      </c>
      <c r="AU445" s="25">
        <f>IF(AND($A445="",$B445="",$F445="",$H445="",$J445="",$K445="",$M445="",$S445=""),"",IF(OR($H445="",$Q445="",$M445="",$S445=""),"ERROR",IF(OR($J445&lt;0,$K445&lt;0,$M445&lt;0,$T445&lt;0,$U445&lt;0,$V445&lt;0,$W445&lt;0,$X445&lt;0,$Y445&lt;0),"ERROR",IF($AE445="","ERROR",IF(AND(OR($S445="ITEM_PRICE_PLUS_DECLARED_DELIVERY",$S445="TOTAL_AMOUNT_INCLUDING_DELIVERY",$S445="ITEM_PRICE_ONLY_DELIVERY_PAID_BY_MERCHANT"),$J445=""),"ERROR",IF(AND(OR($S445="ITEM_PRICE_PLUS_DECLARED_DELIVERY",$S445="DELIVERY_CHARGE_ONLY"),$K445=""),"ERROR",IF(AND(OR($S445="TOTAL_AMOUNT_INCLUDING_DELIVERY",$S445="EXACT_COLLECTION_AMOUNT"),$T445=""),"ERROR",IF(AND($S445="TOTAL_AMOUNT_INCLUDING_DELIVERY",$T445&lt;SUM($J445,$U445)),"ERROR",IF($S445="EXACT_COLLECTION_AMOUNT","REVIEW","OK")))))))))</f>
        <v/>
      </c>
      <c r="AV445" s="25">
        <f>IF($AU445="","",IF($H445="","Township required",IF($Q445="","Customer tier required",IF($M445="","Weight required",IF($S445="","Amount entry type required",IF(OR($J445&lt;0,$K445&lt;0,$M445&lt;0,$T445&lt;0,$U445&lt;0,$V445&lt;0,$W445&lt;0,$X445&lt;0,$Y445&lt;0),"Negative amounts are not allowed",IF($AE445="","Tariff not found for township and tier",IF(AND(OR($S445="ITEM_PRICE_PLUS_DECLARED_DELIVERY",$S445="TOTAL_AMOUNT_INCLUDING_DELIVERY",$S445="ITEM_PRICE_ONLY_DELIVERY_PAID_BY_MERCHANT"),$J445=""),"Item price required for this amount type",IF(AND(OR($S445="ITEM_PRICE_PLUS_DECLARED_DELIVERY",$S445="DELIVERY_CHARGE_ONLY"),$K445=""),"Declared delivery charge required",IF(AND(OR($S445="TOTAL_AMOUNT_INCLUDING_DELIVERY",$S445="EXACT_COLLECTION_AMOUNT"),$T445=""),"Stated total amount required",IF(AND($S445="TOTAL_AMOUNT_INCLUDING_DELIVERY",$T445&lt;SUM($J445,$U445)),"Stated total is below item price plus additional charge",IF($S445="EXACT_COLLECTION_AMOUNT","Authorized amount breakdown required before settlement","Ready for collection and settlement"))))))))))))</f>
        <v/>
      </c>
      <c r="AW445" s="23">
        <f>IF($AU445="","","PARCEL_FINANCIAL_V2")</f>
        <v/>
      </c>
      <c r="AX445" s="17" t="n"/>
    </row>
    <row r="446">
      <c r="A446" s="8" t="n"/>
      <c r="B446" s="8" t="n"/>
      <c r="C446" s="8" t="n"/>
      <c r="D446" s="8" t="n"/>
      <c r="E446" s="9" t="n"/>
      <c r="F446" s="9" t="n"/>
      <c r="G446" s="8" t="n"/>
      <c r="H446" s="9" t="n"/>
      <c r="I446" s="9" t="n"/>
      <c r="J446" s="10" t="n"/>
      <c r="K446" s="10" t="n"/>
      <c r="L446" s="11">
        <f>IF($S446="","",IF($S446="ITEM_PRICE_PLUS_DECLARED_DELIVERY",IF(OR($J446="",$K446=""),"",SUM($J446,$K446,$U446)),IF($S446="TOTAL_AMOUNT_INCLUDING_DELIVERY",IF($T446="","",$T446),IF($S446="DELIVERY_CHARGE_ONLY",IF($K446="","",SUM($K446,$U446)),IF($S446="EXACT_COLLECTION_AMOUNT",IF($T446="","",$T446),IF($S446="ITEM_PRICE_ONLY_DELIVERY_PAID_BY_MERCHANT",IF($J446="","",SUM($J446,$U446)),""))))))</f>
        <v/>
      </c>
      <c r="M446" s="12" t="n"/>
      <c r="N446" s="13" t="n"/>
      <c r="O446" s="13" t="n"/>
      <c r="P446" s="9" t="n"/>
      <c r="Q446" s="14" t="n"/>
      <c r="R446" s="15" t="n"/>
      <c r="S446" s="14" t="n"/>
      <c r="T446" s="16" t="n"/>
      <c r="U446" s="16" t="n"/>
      <c r="V446" s="16" t="n"/>
      <c r="W446" s="16" t="n"/>
      <c r="X446" s="16" t="n"/>
      <c r="Y446" s="16" t="n"/>
      <c r="Z446" s="14" t="n"/>
      <c r="AA446" s="14" t="n"/>
      <c r="AB446" s="14" t="n"/>
      <c r="AC446" s="17">
        <f>IFERROR(VLOOKUP($H446&amp;"|"&amp;$Q446,Tariff_Master!$A$2:$L$169,3,FALSE),"")</f>
        <v/>
      </c>
      <c r="AD446" s="17">
        <f>IFERROR(VLOOKUP($H446&amp;"|"&amp;$Q446,Tariff_Master!$A$2:$L$169,4,FALSE),"")</f>
        <v/>
      </c>
      <c r="AE446" s="18">
        <f>IFERROR(VLOOKUP($H446&amp;"|"&amp;$Q446,Tariff_Master!$A$2:$L$169,6,FALSE),"")</f>
        <v/>
      </c>
      <c r="AF446" s="19">
        <f>IFERROR(VLOOKUP($H446&amp;"|"&amp;$Q446,Tariff_Master!$A$2:$L$169,7,FALSE),"")</f>
        <v/>
      </c>
      <c r="AG446" s="18">
        <f>IFERROR(VLOOKUP($H446&amp;"|"&amp;$Q446,Tariff_Master!$A$2:$L$169,8,FALSE),"")</f>
        <v/>
      </c>
      <c r="AH446" s="20">
        <f>IFERROR(VLOOKUP($H446&amp;"|"&amp;$Q446,Tariff_Master!$A$2:$L$169,9,FALSE),"")</f>
        <v/>
      </c>
      <c r="AI446" s="18">
        <f>IFERROR(VLOOKUP($H446&amp;"|"&amp;$Q446,Tariff_Master!$A$2:$L$169,10,FALSE),"")</f>
        <v/>
      </c>
      <c r="AJ446" s="21">
        <f>IF($M446="","",ROUNDUP(MAX(0,$M446),0))</f>
        <v/>
      </c>
      <c r="AK446" s="21">
        <f>IF(OR($AJ446="",$AF446=""),"",MAX(0,$AJ446-$AF446))</f>
        <v/>
      </c>
      <c r="AL446" s="22">
        <f>IF(OR($AK446="",$AG446=""),"",MAX(0,$AK446*$AG446))</f>
        <v/>
      </c>
      <c r="AM446" s="22">
        <f>IF($AE446="","",MAX(0,SUM($AE446,$AL446,$V446,$W446)))</f>
        <v/>
      </c>
      <c r="AN446" s="22">
        <f>IF($AM446="","",IF(AND($Q446="COMMITMENT",$R446&gt;=$AH446),$AI446,0))</f>
        <v/>
      </c>
      <c r="AO446" s="23">
        <f>IF($AM446="","",MAX(0,$AM446-$AN446))</f>
        <v/>
      </c>
      <c r="AP446" s="22">
        <f>IF($S446="","",IF(OR($S446="ITEM_PRICE_PLUS_DECLARED_DELIVERY",$S446="DELIVERY_CHARGE_ONLY"),$K446,IF($S446="TOTAL_AMOUNT_INCLUDING_DELIVERY",IF(OR($T446="",$J446=""),"",MAX(0,$T446-$J446-$U446)),IF($S446="ITEM_PRICE_ONLY_DELIVERY_PAID_BY_MERCHANT",0,""))))</f>
        <v/>
      </c>
      <c r="AQ446" s="23">
        <f>IF(OR($AP446="",$AO446=""),"",$AP446-$AO446)</f>
        <v/>
      </c>
      <c r="AR446" s="24">
        <f>IF($S446="EXACT_COLLECTION_AMOUNT","BREAKDOWN_REQUIRED",IF($AQ446="","",IF($AQ446&gt;0,"CREDIT_TO_MERCHANT",IF($AQ446&lt;0,"DEDUCT_FROM_MERCHANT","NO_ADJUSTMENT"))))</f>
        <v/>
      </c>
      <c r="AS446" s="23">
        <f>IF(OR($AQ446="",$AR446="BREAKDOWN_REQUIRED"),"",$AQ446)</f>
        <v/>
      </c>
      <c r="AT446" s="23">
        <f>IF(OR($AR446="",$AR446="BREAKDOWN_REQUIRED"),"",SUM($J446,$AQ446,$Y446)-$X446)</f>
        <v/>
      </c>
      <c r="AU446" s="25">
        <f>IF(AND($A446="",$B446="",$F446="",$H446="",$J446="",$K446="",$M446="",$S446=""),"",IF(OR($H446="",$Q446="",$M446="",$S446=""),"ERROR",IF(OR($J446&lt;0,$K446&lt;0,$M446&lt;0,$T446&lt;0,$U446&lt;0,$V446&lt;0,$W446&lt;0,$X446&lt;0,$Y446&lt;0),"ERROR",IF($AE446="","ERROR",IF(AND(OR($S446="ITEM_PRICE_PLUS_DECLARED_DELIVERY",$S446="TOTAL_AMOUNT_INCLUDING_DELIVERY",$S446="ITEM_PRICE_ONLY_DELIVERY_PAID_BY_MERCHANT"),$J446=""),"ERROR",IF(AND(OR($S446="ITEM_PRICE_PLUS_DECLARED_DELIVERY",$S446="DELIVERY_CHARGE_ONLY"),$K446=""),"ERROR",IF(AND(OR($S446="TOTAL_AMOUNT_INCLUDING_DELIVERY",$S446="EXACT_COLLECTION_AMOUNT"),$T446=""),"ERROR",IF(AND($S446="TOTAL_AMOUNT_INCLUDING_DELIVERY",$T446&lt;SUM($J446,$U446)),"ERROR",IF($S446="EXACT_COLLECTION_AMOUNT","REVIEW","OK")))))))))</f>
        <v/>
      </c>
      <c r="AV446" s="25">
        <f>IF($AU446="","",IF($H446="","Township required",IF($Q446="","Customer tier required",IF($M446="","Weight required",IF($S446="","Amount entry type required",IF(OR($J446&lt;0,$K446&lt;0,$M446&lt;0,$T446&lt;0,$U446&lt;0,$V446&lt;0,$W446&lt;0,$X446&lt;0,$Y446&lt;0),"Negative amounts are not allowed",IF($AE446="","Tariff not found for township and tier",IF(AND(OR($S446="ITEM_PRICE_PLUS_DECLARED_DELIVERY",$S446="TOTAL_AMOUNT_INCLUDING_DELIVERY",$S446="ITEM_PRICE_ONLY_DELIVERY_PAID_BY_MERCHANT"),$J446=""),"Item price required for this amount type",IF(AND(OR($S446="ITEM_PRICE_PLUS_DECLARED_DELIVERY",$S446="DELIVERY_CHARGE_ONLY"),$K446=""),"Declared delivery charge required",IF(AND(OR($S446="TOTAL_AMOUNT_INCLUDING_DELIVERY",$S446="EXACT_COLLECTION_AMOUNT"),$T446=""),"Stated total amount required",IF(AND($S446="TOTAL_AMOUNT_INCLUDING_DELIVERY",$T446&lt;SUM($J446,$U446)),"Stated total is below item price plus additional charge",IF($S446="EXACT_COLLECTION_AMOUNT","Authorized amount breakdown required before settlement","Ready for collection and settlement"))))))))))))</f>
        <v/>
      </c>
      <c r="AW446" s="23">
        <f>IF($AU446="","","PARCEL_FINANCIAL_V2")</f>
        <v/>
      </c>
      <c r="AX446" s="17" t="n"/>
    </row>
    <row r="447">
      <c r="A447" s="8" t="n"/>
      <c r="B447" s="8" t="n"/>
      <c r="C447" s="8" t="n"/>
      <c r="D447" s="8" t="n"/>
      <c r="E447" s="9" t="n"/>
      <c r="F447" s="9" t="n"/>
      <c r="G447" s="8" t="n"/>
      <c r="H447" s="9" t="n"/>
      <c r="I447" s="9" t="n"/>
      <c r="J447" s="10" t="n"/>
      <c r="K447" s="10" t="n"/>
      <c r="L447" s="11">
        <f>IF($S447="","",IF($S447="ITEM_PRICE_PLUS_DECLARED_DELIVERY",IF(OR($J447="",$K447=""),"",SUM($J447,$K447,$U447)),IF($S447="TOTAL_AMOUNT_INCLUDING_DELIVERY",IF($T447="","",$T447),IF($S447="DELIVERY_CHARGE_ONLY",IF($K447="","",SUM($K447,$U447)),IF($S447="EXACT_COLLECTION_AMOUNT",IF($T447="","",$T447),IF($S447="ITEM_PRICE_ONLY_DELIVERY_PAID_BY_MERCHANT",IF($J447="","",SUM($J447,$U447)),""))))))</f>
        <v/>
      </c>
      <c r="M447" s="12" t="n"/>
      <c r="N447" s="13" t="n"/>
      <c r="O447" s="13" t="n"/>
      <c r="P447" s="9" t="n"/>
      <c r="Q447" s="14" t="n"/>
      <c r="R447" s="15" t="n"/>
      <c r="S447" s="14" t="n"/>
      <c r="T447" s="16" t="n"/>
      <c r="U447" s="16" t="n"/>
      <c r="V447" s="16" t="n"/>
      <c r="W447" s="16" t="n"/>
      <c r="X447" s="16" t="n"/>
      <c r="Y447" s="16" t="n"/>
      <c r="Z447" s="14" t="n"/>
      <c r="AA447" s="14" t="n"/>
      <c r="AB447" s="14" t="n"/>
      <c r="AC447" s="17">
        <f>IFERROR(VLOOKUP($H447&amp;"|"&amp;$Q447,Tariff_Master!$A$2:$L$169,3,FALSE),"")</f>
        <v/>
      </c>
      <c r="AD447" s="17">
        <f>IFERROR(VLOOKUP($H447&amp;"|"&amp;$Q447,Tariff_Master!$A$2:$L$169,4,FALSE),"")</f>
        <v/>
      </c>
      <c r="AE447" s="18">
        <f>IFERROR(VLOOKUP($H447&amp;"|"&amp;$Q447,Tariff_Master!$A$2:$L$169,6,FALSE),"")</f>
        <v/>
      </c>
      <c r="AF447" s="19">
        <f>IFERROR(VLOOKUP($H447&amp;"|"&amp;$Q447,Tariff_Master!$A$2:$L$169,7,FALSE),"")</f>
        <v/>
      </c>
      <c r="AG447" s="18">
        <f>IFERROR(VLOOKUP($H447&amp;"|"&amp;$Q447,Tariff_Master!$A$2:$L$169,8,FALSE),"")</f>
        <v/>
      </c>
      <c r="AH447" s="20">
        <f>IFERROR(VLOOKUP($H447&amp;"|"&amp;$Q447,Tariff_Master!$A$2:$L$169,9,FALSE),"")</f>
        <v/>
      </c>
      <c r="AI447" s="18">
        <f>IFERROR(VLOOKUP($H447&amp;"|"&amp;$Q447,Tariff_Master!$A$2:$L$169,10,FALSE),"")</f>
        <v/>
      </c>
      <c r="AJ447" s="21">
        <f>IF($M447="","",ROUNDUP(MAX(0,$M447),0))</f>
        <v/>
      </c>
      <c r="AK447" s="21">
        <f>IF(OR($AJ447="",$AF447=""),"",MAX(0,$AJ447-$AF447))</f>
        <v/>
      </c>
      <c r="AL447" s="22">
        <f>IF(OR($AK447="",$AG447=""),"",MAX(0,$AK447*$AG447))</f>
        <v/>
      </c>
      <c r="AM447" s="22">
        <f>IF($AE447="","",MAX(0,SUM($AE447,$AL447,$V447,$W447)))</f>
        <v/>
      </c>
      <c r="AN447" s="22">
        <f>IF($AM447="","",IF(AND($Q447="COMMITMENT",$R447&gt;=$AH447),$AI447,0))</f>
        <v/>
      </c>
      <c r="AO447" s="23">
        <f>IF($AM447="","",MAX(0,$AM447-$AN447))</f>
        <v/>
      </c>
      <c r="AP447" s="22">
        <f>IF($S447="","",IF(OR($S447="ITEM_PRICE_PLUS_DECLARED_DELIVERY",$S447="DELIVERY_CHARGE_ONLY"),$K447,IF($S447="TOTAL_AMOUNT_INCLUDING_DELIVERY",IF(OR($T447="",$J447=""),"",MAX(0,$T447-$J447-$U447)),IF($S447="ITEM_PRICE_ONLY_DELIVERY_PAID_BY_MERCHANT",0,""))))</f>
        <v/>
      </c>
      <c r="AQ447" s="23">
        <f>IF(OR($AP447="",$AO447=""),"",$AP447-$AO447)</f>
        <v/>
      </c>
      <c r="AR447" s="24">
        <f>IF($S447="EXACT_COLLECTION_AMOUNT","BREAKDOWN_REQUIRED",IF($AQ447="","",IF($AQ447&gt;0,"CREDIT_TO_MERCHANT",IF($AQ447&lt;0,"DEDUCT_FROM_MERCHANT","NO_ADJUSTMENT"))))</f>
        <v/>
      </c>
      <c r="AS447" s="23">
        <f>IF(OR($AQ447="",$AR447="BREAKDOWN_REQUIRED"),"",$AQ447)</f>
        <v/>
      </c>
      <c r="AT447" s="23">
        <f>IF(OR($AR447="",$AR447="BREAKDOWN_REQUIRED"),"",SUM($J447,$AQ447,$Y447)-$X447)</f>
        <v/>
      </c>
      <c r="AU447" s="25">
        <f>IF(AND($A447="",$B447="",$F447="",$H447="",$J447="",$K447="",$M447="",$S447=""),"",IF(OR($H447="",$Q447="",$M447="",$S447=""),"ERROR",IF(OR($J447&lt;0,$K447&lt;0,$M447&lt;0,$T447&lt;0,$U447&lt;0,$V447&lt;0,$W447&lt;0,$X447&lt;0,$Y447&lt;0),"ERROR",IF($AE447="","ERROR",IF(AND(OR($S447="ITEM_PRICE_PLUS_DECLARED_DELIVERY",$S447="TOTAL_AMOUNT_INCLUDING_DELIVERY",$S447="ITEM_PRICE_ONLY_DELIVERY_PAID_BY_MERCHANT"),$J447=""),"ERROR",IF(AND(OR($S447="ITEM_PRICE_PLUS_DECLARED_DELIVERY",$S447="DELIVERY_CHARGE_ONLY"),$K447=""),"ERROR",IF(AND(OR($S447="TOTAL_AMOUNT_INCLUDING_DELIVERY",$S447="EXACT_COLLECTION_AMOUNT"),$T447=""),"ERROR",IF(AND($S447="TOTAL_AMOUNT_INCLUDING_DELIVERY",$T447&lt;SUM($J447,$U447)),"ERROR",IF($S447="EXACT_COLLECTION_AMOUNT","REVIEW","OK")))))))))</f>
        <v/>
      </c>
      <c r="AV447" s="25">
        <f>IF($AU447="","",IF($H447="","Township required",IF($Q447="","Customer tier required",IF($M447="","Weight required",IF($S447="","Amount entry type required",IF(OR($J447&lt;0,$K447&lt;0,$M447&lt;0,$T447&lt;0,$U447&lt;0,$V447&lt;0,$W447&lt;0,$X447&lt;0,$Y447&lt;0),"Negative amounts are not allowed",IF($AE447="","Tariff not found for township and tier",IF(AND(OR($S447="ITEM_PRICE_PLUS_DECLARED_DELIVERY",$S447="TOTAL_AMOUNT_INCLUDING_DELIVERY",$S447="ITEM_PRICE_ONLY_DELIVERY_PAID_BY_MERCHANT"),$J447=""),"Item price required for this amount type",IF(AND(OR($S447="ITEM_PRICE_PLUS_DECLARED_DELIVERY",$S447="DELIVERY_CHARGE_ONLY"),$K447=""),"Declared delivery charge required",IF(AND(OR($S447="TOTAL_AMOUNT_INCLUDING_DELIVERY",$S447="EXACT_COLLECTION_AMOUNT"),$T447=""),"Stated total amount required",IF(AND($S447="TOTAL_AMOUNT_INCLUDING_DELIVERY",$T447&lt;SUM($J447,$U447)),"Stated total is below item price plus additional charge",IF($S447="EXACT_COLLECTION_AMOUNT","Authorized amount breakdown required before settlement","Ready for collection and settlement"))))))))))))</f>
        <v/>
      </c>
      <c r="AW447" s="23">
        <f>IF($AU447="","","PARCEL_FINANCIAL_V2")</f>
        <v/>
      </c>
      <c r="AX447" s="17" t="n"/>
    </row>
    <row r="448">
      <c r="A448" s="8" t="n"/>
      <c r="B448" s="8" t="n"/>
      <c r="C448" s="8" t="n"/>
      <c r="D448" s="8" t="n"/>
      <c r="E448" s="9" t="n"/>
      <c r="F448" s="9" t="n"/>
      <c r="G448" s="8" t="n"/>
      <c r="H448" s="9" t="n"/>
      <c r="I448" s="9" t="n"/>
      <c r="J448" s="10" t="n"/>
      <c r="K448" s="10" t="n"/>
      <c r="L448" s="11">
        <f>IF($S448="","",IF($S448="ITEM_PRICE_PLUS_DECLARED_DELIVERY",IF(OR($J448="",$K448=""),"",SUM($J448,$K448,$U448)),IF($S448="TOTAL_AMOUNT_INCLUDING_DELIVERY",IF($T448="","",$T448),IF($S448="DELIVERY_CHARGE_ONLY",IF($K448="","",SUM($K448,$U448)),IF($S448="EXACT_COLLECTION_AMOUNT",IF($T448="","",$T448),IF($S448="ITEM_PRICE_ONLY_DELIVERY_PAID_BY_MERCHANT",IF($J448="","",SUM($J448,$U448)),""))))))</f>
        <v/>
      </c>
      <c r="M448" s="12" t="n"/>
      <c r="N448" s="13" t="n"/>
      <c r="O448" s="13" t="n"/>
      <c r="P448" s="9" t="n"/>
      <c r="Q448" s="14" t="n"/>
      <c r="R448" s="15" t="n"/>
      <c r="S448" s="14" t="n"/>
      <c r="T448" s="16" t="n"/>
      <c r="U448" s="16" t="n"/>
      <c r="V448" s="16" t="n"/>
      <c r="W448" s="16" t="n"/>
      <c r="X448" s="16" t="n"/>
      <c r="Y448" s="16" t="n"/>
      <c r="Z448" s="14" t="n"/>
      <c r="AA448" s="14" t="n"/>
      <c r="AB448" s="14" t="n"/>
      <c r="AC448" s="17">
        <f>IFERROR(VLOOKUP($H448&amp;"|"&amp;$Q448,Tariff_Master!$A$2:$L$169,3,FALSE),"")</f>
        <v/>
      </c>
      <c r="AD448" s="17">
        <f>IFERROR(VLOOKUP($H448&amp;"|"&amp;$Q448,Tariff_Master!$A$2:$L$169,4,FALSE),"")</f>
        <v/>
      </c>
      <c r="AE448" s="18">
        <f>IFERROR(VLOOKUP($H448&amp;"|"&amp;$Q448,Tariff_Master!$A$2:$L$169,6,FALSE),"")</f>
        <v/>
      </c>
      <c r="AF448" s="19">
        <f>IFERROR(VLOOKUP($H448&amp;"|"&amp;$Q448,Tariff_Master!$A$2:$L$169,7,FALSE),"")</f>
        <v/>
      </c>
      <c r="AG448" s="18">
        <f>IFERROR(VLOOKUP($H448&amp;"|"&amp;$Q448,Tariff_Master!$A$2:$L$169,8,FALSE),"")</f>
        <v/>
      </c>
      <c r="AH448" s="20">
        <f>IFERROR(VLOOKUP($H448&amp;"|"&amp;$Q448,Tariff_Master!$A$2:$L$169,9,FALSE),"")</f>
        <v/>
      </c>
      <c r="AI448" s="18">
        <f>IFERROR(VLOOKUP($H448&amp;"|"&amp;$Q448,Tariff_Master!$A$2:$L$169,10,FALSE),"")</f>
        <v/>
      </c>
      <c r="AJ448" s="21">
        <f>IF($M448="","",ROUNDUP(MAX(0,$M448),0))</f>
        <v/>
      </c>
      <c r="AK448" s="21">
        <f>IF(OR($AJ448="",$AF448=""),"",MAX(0,$AJ448-$AF448))</f>
        <v/>
      </c>
      <c r="AL448" s="22">
        <f>IF(OR($AK448="",$AG448=""),"",MAX(0,$AK448*$AG448))</f>
        <v/>
      </c>
      <c r="AM448" s="22">
        <f>IF($AE448="","",MAX(0,SUM($AE448,$AL448,$V448,$W448)))</f>
        <v/>
      </c>
      <c r="AN448" s="22">
        <f>IF($AM448="","",IF(AND($Q448="COMMITMENT",$R448&gt;=$AH448),$AI448,0))</f>
        <v/>
      </c>
      <c r="AO448" s="23">
        <f>IF($AM448="","",MAX(0,$AM448-$AN448))</f>
        <v/>
      </c>
      <c r="AP448" s="22">
        <f>IF($S448="","",IF(OR($S448="ITEM_PRICE_PLUS_DECLARED_DELIVERY",$S448="DELIVERY_CHARGE_ONLY"),$K448,IF($S448="TOTAL_AMOUNT_INCLUDING_DELIVERY",IF(OR($T448="",$J448=""),"",MAX(0,$T448-$J448-$U448)),IF($S448="ITEM_PRICE_ONLY_DELIVERY_PAID_BY_MERCHANT",0,""))))</f>
        <v/>
      </c>
      <c r="AQ448" s="23">
        <f>IF(OR($AP448="",$AO448=""),"",$AP448-$AO448)</f>
        <v/>
      </c>
      <c r="AR448" s="24">
        <f>IF($S448="EXACT_COLLECTION_AMOUNT","BREAKDOWN_REQUIRED",IF($AQ448="","",IF($AQ448&gt;0,"CREDIT_TO_MERCHANT",IF($AQ448&lt;0,"DEDUCT_FROM_MERCHANT","NO_ADJUSTMENT"))))</f>
        <v/>
      </c>
      <c r="AS448" s="23">
        <f>IF(OR($AQ448="",$AR448="BREAKDOWN_REQUIRED"),"",$AQ448)</f>
        <v/>
      </c>
      <c r="AT448" s="23">
        <f>IF(OR($AR448="",$AR448="BREAKDOWN_REQUIRED"),"",SUM($J448,$AQ448,$Y448)-$X448)</f>
        <v/>
      </c>
      <c r="AU448" s="25">
        <f>IF(AND($A448="",$B448="",$F448="",$H448="",$J448="",$K448="",$M448="",$S448=""),"",IF(OR($H448="",$Q448="",$M448="",$S448=""),"ERROR",IF(OR($J448&lt;0,$K448&lt;0,$M448&lt;0,$T448&lt;0,$U448&lt;0,$V448&lt;0,$W448&lt;0,$X448&lt;0,$Y448&lt;0),"ERROR",IF($AE448="","ERROR",IF(AND(OR($S448="ITEM_PRICE_PLUS_DECLARED_DELIVERY",$S448="TOTAL_AMOUNT_INCLUDING_DELIVERY",$S448="ITEM_PRICE_ONLY_DELIVERY_PAID_BY_MERCHANT"),$J448=""),"ERROR",IF(AND(OR($S448="ITEM_PRICE_PLUS_DECLARED_DELIVERY",$S448="DELIVERY_CHARGE_ONLY"),$K448=""),"ERROR",IF(AND(OR($S448="TOTAL_AMOUNT_INCLUDING_DELIVERY",$S448="EXACT_COLLECTION_AMOUNT"),$T448=""),"ERROR",IF(AND($S448="TOTAL_AMOUNT_INCLUDING_DELIVERY",$T448&lt;SUM($J448,$U448)),"ERROR",IF($S448="EXACT_COLLECTION_AMOUNT","REVIEW","OK")))))))))</f>
        <v/>
      </c>
      <c r="AV448" s="25">
        <f>IF($AU448="","",IF($H448="","Township required",IF($Q448="","Customer tier required",IF($M448="","Weight required",IF($S448="","Amount entry type required",IF(OR($J448&lt;0,$K448&lt;0,$M448&lt;0,$T448&lt;0,$U448&lt;0,$V448&lt;0,$W448&lt;0,$X448&lt;0,$Y448&lt;0),"Negative amounts are not allowed",IF($AE448="","Tariff not found for township and tier",IF(AND(OR($S448="ITEM_PRICE_PLUS_DECLARED_DELIVERY",$S448="TOTAL_AMOUNT_INCLUDING_DELIVERY",$S448="ITEM_PRICE_ONLY_DELIVERY_PAID_BY_MERCHANT"),$J448=""),"Item price required for this amount type",IF(AND(OR($S448="ITEM_PRICE_PLUS_DECLARED_DELIVERY",$S448="DELIVERY_CHARGE_ONLY"),$K448=""),"Declared delivery charge required",IF(AND(OR($S448="TOTAL_AMOUNT_INCLUDING_DELIVERY",$S448="EXACT_COLLECTION_AMOUNT"),$T448=""),"Stated total amount required",IF(AND($S448="TOTAL_AMOUNT_INCLUDING_DELIVERY",$T448&lt;SUM($J448,$U448)),"Stated total is below item price plus additional charge",IF($S448="EXACT_COLLECTION_AMOUNT","Authorized amount breakdown required before settlement","Ready for collection and settlement"))))))))))))</f>
        <v/>
      </c>
      <c r="AW448" s="23">
        <f>IF($AU448="","","PARCEL_FINANCIAL_V2")</f>
        <v/>
      </c>
      <c r="AX448" s="17" t="n"/>
    </row>
    <row r="449">
      <c r="A449" s="8" t="n"/>
      <c r="B449" s="8" t="n"/>
      <c r="C449" s="8" t="n"/>
      <c r="D449" s="8" t="n"/>
      <c r="E449" s="9" t="n"/>
      <c r="F449" s="9" t="n"/>
      <c r="G449" s="8" t="n"/>
      <c r="H449" s="9" t="n"/>
      <c r="I449" s="9" t="n"/>
      <c r="J449" s="10" t="n"/>
      <c r="K449" s="10" t="n"/>
      <c r="L449" s="11">
        <f>IF($S449="","",IF($S449="ITEM_PRICE_PLUS_DECLARED_DELIVERY",IF(OR($J449="",$K449=""),"",SUM($J449,$K449,$U449)),IF($S449="TOTAL_AMOUNT_INCLUDING_DELIVERY",IF($T449="","",$T449),IF($S449="DELIVERY_CHARGE_ONLY",IF($K449="","",SUM($K449,$U449)),IF($S449="EXACT_COLLECTION_AMOUNT",IF($T449="","",$T449),IF($S449="ITEM_PRICE_ONLY_DELIVERY_PAID_BY_MERCHANT",IF($J449="","",SUM($J449,$U449)),""))))))</f>
        <v/>
      </c>
      <c r="M449" s="12" t="n"/>
      <c r="N449" s="13" t="n"/>
      <c r="O449" s="13" t="n"/>
      <c r="P449" s="9" t="n"/>
      <c r="Q449" s="14" t="n"/>
      <c r="R449" s="15" t="n"/>
      <c r="S449" s="14" t="n"/>
      <c r="T449" s="16" t="n"/>
      <c r="U449" s="16" t="n"/>
      <c r="V449" s="16" t="n"/>
      <c r="W449" s="16" t="n"/>
      <c r="X449" s="16" t="n"/>
      <c r="Y449" s="16" t="n"/>
      <c r="Z449" s="14" t="n"/>
      <c r="AA449" s="14" t="n"/>
      <c r="AB449" s="14" t="n"/>
      <c r="AC449" s="17">
        <f>IFERROR(VLOOKUP($H449&amp;"|"&amp;$Q449,Tariff_Master!$A$2:$L$169,3,FALSE),"")</f>
        <v/>
      </c>
      <c r="AD449" s="17">
        <f>IFERROR(VLOOKUP($H449&amp;"|"&amp;$Q449,Tariff_Master!$A$2:$L$169,4,FALSE),"")</f>
        <v/>
      </c>
      <c r="AE449" s="18">
        <f>IFERROR(VLOOKUP($H449&amp;"|"&amp;$Q449,Tariff_Master!$A$2:$L$169,6,FALSE),"")</f>
        <v/>
      </c>
      <c r="AF449" s="19">
        <f>IFERROR(VLOOKUP($H449&amp;"|"&amp;$Q449,Tariff_Master!$A$2:$L$169,7,FALSE),"")</f>
        <v/>
      </c>
      <c r="AG449" s="18">
        <f>IFERROR(VLOOKUP($H449&amp;"|"&amp;$Q449,Tariff_Master!$A$2:$L$169,8,FALSE),"")</f>
        <v/>
      </c>
      <c r="AH449" s="20">
        <f>IFERROR(VLOOKUP($H449&amp;"|"&amp;$Q449,Tariff_Master!$A$2:$L$169,9,FALSE),"")</f>
        <v/>
      </c>
      <c r="AI449" s="18">
        <f>IFERROR(VLOOKUP($H449&amp;"|"&amp;$Q449,Tariff_Master!$A$2:$L$169,10,FALSE),"")</f>
        <v/>
      </c>
      <c r="AJ449" s="21">
        <f>IF($M449="","",ROUNDUP(MAX(0,$M449),0))</f>
        <v/>
      </c>
      <c r="AK449" s="21">
        <f>IF(OR($AJ449="",$AF449=""),"",MAX(0,$AJ449-$AF449))</f>
        <v/>
      </c>
      <c r="AL449" s="22">
        <f>IF(OR($AK449="",$AG449=""),"",MAX(0,$AK449*$AG449))</f>
        <v/>
      </c>
      <c r="AM449" s="22">
        <f>IF($AE449="","",MAX(0,SUM($AE449,$AL449,$V449,$W449)))</f>
        <v/>
      </c>
      <c r="AN449" s="22">
        <f>IF($AM449="","",IF(AND($Q449="COMMITMENT",$R449&gt;=$AH449),$AI449,0))</f>
        <v/>
      </c>
      <c r="AO449" s="23">
        <f>IF($AM449="","",MAX(0,$AM449-$AN449))</f>
        <v/>
      </c>
      <c r="AP449" s="22">
        <f>IF($S449="","",IF(OR($S449="ITEM_PRICE_PLUS_DECLARED_DELIVERY",$S449="DELIVERY_CHARGE_ONLY"),$K449,IF($S449="TOTAL_AMOUNT_INCLUDING_DELIVERY",IF(OR($T449="",$J449=""),"",MAX(0,$T449-$J449-$U449)),IF($S449="ITEM_PRICE_ONLY_DELIVERY_PAID_BY_MERCHANT",0,""))))</f>
        <v/>
      </c>
      <c r="AQ449" s="23">
        <f>IF(OR($AP449="",$AO449=""),"",$AP449-$AO449)</f>
        <v/>
      </c>
      <c r="AR449" s="24">
        <f>IF($S449="EXACT_COLLECTION_AMOUNT","BREAKDOWN_REQUIRED",IF($AQ449="","",IF($AQ449&gt;0,"CREDIT_TO_MERCHANT",IF($AQ449&lt;0,"DEDUCT_FROM_MERCHANT","NO_ADJUSTMENT"))))</f>
        <v/>
      </c>
      <c r="AS449" s="23">
        <f>IF(OR($AQ449="",$AR449="BREAKDOWN_REQUIRED"),"",$AQ449)</f>
        <v/>
      </c>
      <c r="AT449" s="23">
        <f>IF(OR($AR449="",$AR449="BREAKDOWN_REQUIRED"),"",SUM($J449,$AQ449,$Y449)-$X449)</f>
        <v/>
      </c>
      <c r="AU449" s="25">
        <f>IF(AND($A449="",$B449="",$F449="",$H449="",$J449="",$K449="",$M449="",$S449=""),"",IF(OR($H449="",$Q449="",$M449="",$S449=""),"ERROR",IF(OR($J449&lt;0,$K449&lt;0,$M449&lt;0,$T449&lt;0,$U449&lt;0,$V449&lt;0,$W449&lt;0,$X449&lt;0,$Y449&lt;0),"ERROR",IF($AE449="","ERROR",IF(AND(OR($S449="ITEM_PRICE_PLUS_DECLARED_DELIVERY",$S449="TOTAL_AMOUNT_INCLUDING_DELIVERY",$S449="ITEM_PRICE_ONLY_DELIVERY_PAID_BY_MERCHANT"),$J449=""),"ERROR",IF(AND(OR($S449="ITEM_PRICE_PLUS_DECLARED_DELIVERY",$S449="DELIVERY_CHARGE_ONLY"),$K449=""),"ERROR",IF(AND(OR($S449="TOTAL_AMOUNT_INCLUDING_DELIVERY",$S449="EXACT_COLLECTION_AMOUNT"),$T449=""),"ERROR",IF(AND($S449="TOTAL_AMOUNT_INCLUDING_DELIVERY",$T449&lt;SUM($J449,$U449)),"ERROR",IF($S449="EXACT_COLLECTION_AMOUNT","REVIEW","OK")))))))))</f>
        <v/>
      </c>
      <c r="AV449" s="25">
        <f>IF($AU449="","",IF($H449="","Township required",IF($Q449="","Customer tier required",IF($M449="","Weight required",IF($S449="","Amount entry type required",IF(OR($J449&lt;0,$K449&lt;0,$M449&lt;0,$T449&lt;0,$U449&lt;0,$V449&lt;0,$W449&lt;0,$X449&lt;0,$Y449&lt;0),"Negative amounts are not allowed",IF($AE449="","Tariff not found for township and tier",IF(AND(OR($S449="ITEM_PRICE_PLUS_DECLARED_DELIVERY",$S449="TOTAL_AMOUNT_INCLUDING_DELIVERY",$S449="ITEM_PRICE_ONLY_DELIVERY_PAID_BY_MERCHANT"),$J449=""),"Item price required for this amount type",IF(AND(OR($S449="ITEM_PRICE_PLUS_DECLARED_DELIVERY",$S449="DELIVERY_CHARGE_ONLY"),$K449=""),"Declared delivery charge required",IF(AND(OR($S449="TOTAL_AMOUNT_INCLUDING_DELIVERY",$S449="EXACT_COLLECTION_AMOUNT"),$T449=""),"Stated total amount required",IF(AND($S449="TOTAL_AMOUNT_INCLUDING_DELIVERY",$T449&lt;SUM($J449,$U449)),"Stated total is below item price plus additional charge",IF($S449="EXACT_COLLECTION_AMOUNT","Authorized amount breakdown required before settlement","Ready for collection and settlement"))))))))))))</f>
        <v/>
      </c>
      <c r="AW449" s="23">
        <f>IF($AU449="","","PARCEL_FINANCIAL_V2")</f>
        <v/>
      </c>
      <c r="AX449" s="17" t="n"/>
    </row>
    <row r="450">
      <c r="A450" s="8" t="n"/>
      <c r="B450" s="8" t="n"/>
      <c r="C450" s="8" t="n"/>
      <c r="D450" s="8" t="n"/>
      <c r="E450" s="9" t="n"/>
      <c r="F450" s="9" t="n"/>
      <c r="G450" s="8" t="n"/>
      <c r="H450" s="9" t="n"/>
      <c r="I450" s="9" t="n"/>
      <c r="J450" s="10" t="n"/>
      <c r="K450" s="10" t="n"/>
      <c r="L450" s="11">
        <f>IF($S450="","",IF($S450="ITEM_PRICE_PLUS_DECLARED_DELIVERY",IF(OR($J450="",$K450=""),"",SUM($J450,$K450,$U450)),IF($S450="TOTAL_AMOUNT_INCLUDING_DELIVERY",IF($T450="","",$T450),IF($S450="DELIVERY_CHARGE_ONLY",IF($K450="","",SUM($K450,$U450)),IF($S450="EXACT_COLLECTION_AMOUNT",IF($T450="","",$T450),IF($S450="ITEM_PRICE_ONLY_DELIVERY_PAID_BY_MERCHANT",IF($J450="","",SUM($J450,$U450)),""))))))</f>
        <v/>
      </c>
      <c r="M450" s="12" t="n"/>
      <c r="N450" s="13" t="n"/>
      <c r="O450" s="13" t="n"/>
      <c r="P450" s="9" t="n"/>
      <c r="Q450" s="14" t="n"/>
      <c r="R450" s="15" t="n"/>
      <c r="S450" s="14" t="n"/>
      <c r="T450" s="16" t="n"/>
      <c r="U450" s="16" t="n"/>
      <c r="V450" s="16" t="n"/>
      <c r="W450" s="16" t="n"/>
      <c r="X450" s="16" t="n"/>
      <c r="Y450" s="16" t="n"/>
      <c r="Z450" s="14" t="n"/>
      <c r="AA450" s="14" t="n"/>
      <c r="AB450" s="14" t="n"/>
      <c r="AC450" s="17">
        <f>IFERROR(VLOOKUP($H450&amp;"|"&amp;$Q450,Tariff_Master!$A$2:$L$169,3,FALSE),"")</f>
        <v/>
      </c>
      <c r="AD450" s="17">
        <f>IFERROR(VLOOKUP($H450&amp;"|"&amp;$Q450,Tariff_Master!$A$2:$L$169,4,FALSE),"")</f>
        <v/>
      </c>
      <c r="AE450" s="18">
        <f>IFERROR(VLOOKUP($H450&amp;"|"&amp;$Q450,Tariff_Master!$A$2:$L$169,6,FALSE),"")</f>
        <v/>
      </c>
      <c r="AF450" s="19">
        <f>IFERROR(VLOOKUP($H450&amp;"|"&amp;$Q450,Tariff_Master!$A$2:$L$169,7,FALSE),"")</f>
        <v/>
      </c>
      <c r="AG450" s="18">
        <f>IFERROR(VLOOKUP($H450&amp;"|"&amp;$Q450,Tariff_Master!$A$2:$L$169,8,FALSE),"")</f>
        <v/>
      </c>
      <c r="AH450" s="20">
        <f>IFERROR(VLOOKUP($H450&amp;"|"&amp;$Q450,Tariff_Master!$A$2:$L$169,9,FALSE),"")</f>
        <v/>
      </c>
      <c r="AI450" s="18">
        <f>IFERROR(VLOOKUP($H450&amp;"|"&amp;$Q450,Tariff_Master!$A$2:$L$169,10,FALSE),"")</f>
        <v/>
      </c>
      <c r="AJ450" s="21">
        <f>IF($M450="","",ROUNDUP(MAX(0,$M450),0))</f>
        <v/>
      </c>
      <c r="AK450" s="21">
        <f>IF(OR($AJ450="",$AF450=""),"",MAX(0,$AJ450-$AF450))</f>
        <v/>
      </c>
      <c r="AL450" s="22">
        <f>IF(OR($AK450="",$AG450=""),"",MAX(0,$AK450*$AG450))</f>
        <v/>
      </c>
      <c r="AM450" s="22">
        <f>IF($AE450="","",MAX(0,SUM($AE450,$AL450,$V450,$W450)))</f>
        <v/>
      </c>
      <c r="AN450" s="22">
        <f>IF($AM450="","",IF(AND($Q450="COMMITMENT",$R450&gt;=$AH450),$AI450,0))</f>
        <v/>
      </c>
      <c r="AO450" s="23">
        <f>IF($AM450="","",MAX(0,$AM450-$AN450))</f>
        <v/>
      </c>
      <c r="AP450" s="22">
        <f>IF($S450="","",IF(OR($S450="ITEM_PRICE_PLUS_DECLARED_DELIVERY",$S450="DELIVERY_CHARGE_ONLY"),$K450,IF($S450="TOTAL_AMOUNT_INCLUDING_DELIVERY",IF(OR($T450="",$J450=""),"",MAX(0,$T450-$J450-$U450)),IF($S450="ITEM_PRICE_ONLY_DELIVERY_PAID_BY_MERCHANT",0,""))))</f>
        <v/>
      </c>
      <c r="AQ450" s="23">
        <f>IF(OR($AP450="",$AO450=""),"",$AP450-$AO450)</f>
        <v/>
      </c>
      <c r="AR450" s="24">
        <f>IF($S450="EXACT_COLLECTION_AMOUNT","BREAKDOWN_REQUIRED",IF($AQ450="","",IF($AQ450&gt;0,"CREDIT_TO_MERCHANT",IF($AQ450&lt;0,"DEDUCT_FROM_MERCHANT","NO_ADJUSTMENT"))))</f>
        <v/>
      </c>
      <c r="AS450" s="23">
        <f>IF(OR($AQ450="",$AR450="BREAKDOWN_REQUIRED"),"",$AQ450)</f>
        <v/>
      </c>
      <c r="AT450" s="23">
        <f>IF(OR($AR450="",$AR450="BREAKDOWN_REQUIRED"),"",SUM($J450,$AQ450,$Y450)-$X450)</f>
        <v/>
      </c>
      <c r="AU450" s="25">
        <f>IF(AND($A450="",$B450="",$F450="",$H450="",$J450="",$K450="",$M450="",$S450=""),"",IF(OR($H450="",$Q450="",$M450="",$S450=""),"ERROR",IF(OR($J450&lt;0,$K450&lt;0,$M450&lt;0,$T450&lt;0,$U450&lt;0,$V450&lt;0,$W450&lt;0,$X450&lt;0,$Y450&lt;0),"ERROR",IF($AE450="","ERROR",IF(AND(OR($S450="ITEM_PRICE_PLUS_DECLARED_DELIVERY",$S450="TOTAL_AMOUNT_INCLUDING_DELIVERY",$S450="ITEM_PRICE_ONLY_DELIVERY_PAID_BY_MERCHANT"),$J450=""),"ERROR",IF(AND(OR($S450="ITEM_PRICE_PLUS_DECLARED_DELIVERY",$S450="DELIVERY_CHARGE_ONLY"),$K450=""),"ERROR",IF(AND(OR($S450="TOTAL_AMOUNT_INCLUDING_DELIVERY",$S450="EXACT_COLLECTION_AMOUNT"),$T450=""),"ERROR",IF(AND($S450="TOTAL_AMOUNT_INCLUDING_DELIVERY",$T450&lt;SUM($J450,$U450)),"ERROR",IF($S450="EXACT_COLLECTION_AMOUNT","REVIEW","OK")))))))))</f>
        <v/>
      </c>
      <c r="AV450" s="25">
        <f>IF($AU450="","",IF($H450="","Township required",IF($Q450="","Customer tier required",IF($M450="","Weight required",IF($S450="","Amount entry type required",IF(OR($J450&lt;0,$K450&lt;0,$M450&lt;0,$T450&lt;0,$U450&lt;0,$V450&lt;0,$W450&lt;0,$X450&lt;0,$Y450&lt;0),"Negative amounts are not allowed",IF($AE450="","Tariff not found for township and tier",IF(AND(OR($S450="ITEM_PRICE_PLUS_DECLARED_DELIVERY",$S450="TOTAL_AMOUNT_INCLUDING_DELIVERY",$S450="ITEM_PRICE_ONLY_DELIVERY_PAID_BY_MERCHANT"),$J450=""),"Item price required for this amount type",IF(AND(OR($S450="ITEM_PRICE_PLUS_DECLARED_DELIVERY",$S450="DELIVERY_CHARGE_ONLY"),$K450=""),"Declared delivery charge required",IF(AND(OR($S450="TOTAL_AMOUNT_INCLUDING_DELIVERY",$S450="EXACT_COLLECTION_AMOUNT"),$T450=""),"Stated total amount required",IF(AND($S450="TOTAL_AMOUNT_INCLUDING_DELIVERY",$T450&lt;SUM($J450,$U450)),"Stated total is below item price plus additional charge",IF($S450="EXACT_COLLECTION_AMOUNT","Authorized amount breakdown required before settlement","Ready for collection and settlement"))))))))))))</f>
        <v/>
      </c>
      <c r="AW450" s="23">
        <f>IF($AU450="","","PARCEL_FINANCIAL_V2")</f>
        <v/>
      </c>
      <c r="AX450" s="17" t="n"/>
    </row>
    <row r="451">
      <c r="A451" s="8" t="n"/>
      <c r="B451" s="8" t="n"/>
      <c r="C451" s="8" t="n"/>
      <c r="D451" s="8" t="n"/>
      <c r="E451" s="9" t="n"/>
      <c r="F451" s="9" t="n"/>
      <c r="G451" s="8" t="n"/>
      <c r="H451" s="9" t="n"/>
      <c r="I451" s="9" t="n"/>
      <c r="J451" s="10" t="n"/>
      <c r="K451" s="10" t="n"/>
      <c r="L451" s="11">
        <f>IF($S451="","",IF($S451="ITEM_PRICE_PLUS_DECLARED_DELIVERY",IF(OR($J451="",$K451=""),"",SUM($J451,$K451,$U451)),IF($S451="TOTAL_AMOUNT_INCLUDING_DELIVERY",IF($T451="","",$T451),IF($S451="DELIVERY_CHARGE_ONLY",IF($K451="","",SUM($K451,$U451)),IF($S451="EXACT_COLLECTION_AMOUNT",IF($T451="","",$T451),IF($S451="ITEM_PRICE_ONLY_DELIVERY_PAID_BY_MERCHANT",IF($J451="","",SUM($J451,$U451)),""))))))</f>
        <v/>
      </c>
      <c r="M451" s="12" t="n"/>
      <c r="N451" s="13" t="n"/>
      <c r="O451" s="13" t="n"/>
      <c r="P451" s="9" t="n"/>
      <c r="Q451" s="14" t="n"/>
      <c r="R451" s="15" t="n"/>
      <c r="S451" s="14" t="n"/>
      <c r="T451" s="16" t="n"/>
      <c r="U451" s="16" t="n"/>
      <c r="V451" s="16" t="n"/>
      <c r="W451" s="16" t="n"/>
      <c r="X451" s="16" t="n"/>
      <c r="Y451" s="16" t="n"/>
      <c r="Z451" s="14" t="n"/>
      <c r="AA451" s="14" t="n"/>
      <c r="AB451" s="14" t="n"/>
      <c r="AC451" s="17">
        <f>IFERROR(VLOOKUP($H451&amp;"|"&amp;$Q451,Tariff_Master!$A$2:$L$169,3,FALSE),"")</f>
        <v/>
      </c>
      <c r="AD451" s="17">
        <f>IFERROR(VLOOKUP($H451&amp;"|"&amp;$Q451,Tariff_Master!$A$2:$L$169,4,FALSE),"")</f>
        <v/>
      </c>
      <c r="AE451" s="18">
        <f>IFERROR(VLOOKUP($H451&amp;"|"&amp;$Q451,Tariff_Master!$A$2:$L$169,6,FALSE),"")</f>
        <v/>
      </c>
      <c r="AF451" s="19">
        <f>IFERROR(VLOOKUP($H451&amp;"|"&amp;$Q451,Tariff_Master!$A$2:$L$169,7,FALSE),"")</f>
        <v/>
      </c>
      <c r="AG451" s="18">
        <f>IFERROR(VLOOKUP($H451&amp;"|"&amp;$Q451,Tariff_Master!$A$2:$L$169,8,FALSE),"")</f>
        <v/>
      </c>
      <c r="AH451" s="20">
        <f>IFERROR(VLOOKUP($H451&amp;"|"&amp;$Q451,Tariff_Master!$A$2:$L$169,9,FALSE),"")</f>
        <v/>
      </c>
      <c r="AI451" s="18">
        <f>IFERROR(VLOOKUP($H451&amp;"|"&amp;$Q451,Tariff_Master!$A$2:$L$169,10,FALSE),"")</f>
        <v/>
      </c>
      <c r="AJ451" s="21">
        <f>IF($M451="","",ROUNDUP(MAX(0,$M451),0))</f>
        <v/>
      </c>
      <c r="AK451" s="21">
        <f>IF(OR($AJ451="",$AF451=""),"",MAX(0,$AJ451-$AF451))</f>
        <v/>
      </c>
      <c r="AL451" s="22">
        <f>IF(OR($AK451="",$AG451=""),"",MAX(0,$AK451*$AG451))</f>
        <v/>
      </c>
      <c r="AM451" s="22">
        <f>IF($AE451="","",MAX(0,SUM($AE451,$AL451,$V451,$W451)))</f>
        <v/>
      </c>
      <c r="AN451" s="22">
        <f>IF($AM451="","",IF(AND($Q451="COMMITMENT",$R451&gt;=$AH451),$AI451,0))</f>
        <v/>
      </c>
      <c r="AO451" s="23">
        <f>IF($AM451="","",MAX(0,$AM451-$AN451))</f>
        <v/>
      </c>
      <c r="AP451" s="22">
        <f>IF($S451="","",IF(OR($S451="ITEM_PRICE_PLUS_DECLARED_DELIVERY",$S451="DELIVERY_CHARGE_ONLY"),$K451,IF($S451="TOTAL_AMOUNT_INCLUDING_DELIVERY",IF(OR($T451="",$J451=""),"",MAX(0,$T451-$J451-$U451)),IF($S451="ITEM_PRICE_ONLY_DELIVERY_PAID_BY_MERCHANT",0,""))))</f>
        <v/>
      </c>
      <c r="AQ451" s="23">
        <f>IF(OR($AP451="",$AO451=""),"",$AP451-$AO451)</f>
        <v/>
      </c>
      <c r="AR451" s="24">
        <f>IF($S451="EXACT_COLLECTION_AMOUNT","BREAKDOWN_REQUIRED",IF($AQ451="","",IF($AQ451&gt;0,"CREDIT_TO_MERCHANT",IF($AQ451&lt;0,"DEDUCT_FROM_MERCHANT","NO_ADJUSTMENT"))))</f>
        <v/>
      </c>
      <c r="AS451" s="23">
        <f>IF(OR($AQ451="",$AR451="BREAKDOWN_REQUIRED"),"",$AQ451)</f>
        <v/>
      </c>
      <c r="AT451" s="23">
        <f>IF(OR($AR451="",$AR451="BREAKDOWN_REQUIRED"),"",SUM($J451,$AQ451,$Y451)-$X451)</f>
        <v/>
      </c>
      <c r="AU451" s="25">
        <f>IF(AND($A451="",$B451="",$F451="",$H451="",$J451="",$K451="",$M451="",$S451=""),"",IF(OR($H451="",$Q451="",$M451="",$S451=""),"ERROR",IF(OR($J451&lt;0,$K451&lt;0,$M451&lt;0,$T451&lt;0,$U451&lt;0,$V451&lt;0,$W451&lt;0,$X451&lt;0,$Y451&lt;0),"ERROR",IF($AE451="","ERROR",IF(AND(OR($S451="ITEM_PRICE_PLUS_DECLARED_DELIVERY",$S451="TOTAL_AMOUNT_INCLUDING_DELIVERY",$S451="ITEM_PRICE_ONLY_DELIVERY_PAID_BY_MERCHANT"),$J451=""),"ERROR",IF(AND(OR($S451="ITEM_PRICE_PLUS_DECLARED_DELIVERY",$S451="DELIVERY_CHARGE_ONLY"),$K451=""),"ERROR",IF(AND(OR($S451="TOTAL_AMOUNT_INCLUDING_DELIVERY",$S451="EXACT_COLLECTION_AMOUNT"),$T451=""),"ERROR",IF(AND($S451="TOTAL_AMOUNT_INCLUDING_DELIVERY",$T451&lt;SUM($J451,$U451)),"ERROR",IF($S451="EXACT_COLLECTION_AMOUNT","REVIEW","OK")))))))))</f>
        <v/>
      </c>
      <c r="AV451" s="25">
        <f>IF($AU451="","",IF($H451="","Township required",IF($Q451="","Customer tier required",IF($M451="","Weight required",IF($S451="","Amount entry type required",IF(OR($J451&lt;0,$K451&lt;0,$M451&lt;0,$T451&lt;0,$U451&lt;0,$V451&lt;0,$W451&lt;0,$X451&lt;0,$Y451&lt;0),"Negative amounts are not allowed",IF($AE451="","Tariff not found for township and tier",IF(AND(OR($S451="ITEM_PRICE_PLUS_DECLARED_DELIVERY",$S451="TOTAL_AMOUNT_INCLUDING_DELIVERY",$S451="ITEM_PRICE_ONLY_DELIVERY_PAID_BY_MERCHANT"),$J451=""),"Item price required for this amount type",IF(AND(OR($S451="ITEM_PRICE_PLUS_DECLARED_DELIVERY",$S451="DELIVERY_CHARGE_ONLY"),$K451=""),"Declared delivery charge required",IF(AND(OR($S451="TOTAL_AMOUNT_INCLUDING_DELIVERY",$S451="EXACT_COLLECTION_AMOUNT"),$T451=""),"Stated total amount required",IF(AND($S451="TOTAL_AMOUNT_INCLUDING_DELIVERY",$T451&lt;SUM($J451,$U451)),"Stated total is below item price plus additional charge",IF($S451="EXACT_COLLECTION_AMOUNT","Authorized amount breakdown required before settlement","Ready for collection and settlement"))))))))))))</f>
        <v/>
      </c>
      <c r="AW451" s="23">
        <f>IF($AU451="","","PARCEL_FINANCIAL_V2")</f>
        <v/>
      </c>
      <c r="AX451" s="17" t="n"/>
    </row>
    <row r="452">
      <c r="A452" s="8" t="n"/>
      <c r="B452" s="8" t="n"/>
      <c r="C452" s="8" t="n"/>
      <c r="D452" s="8" t="n"/>
      <c r="E452" s="9" t="n"/>
      <c r="F452" s="9" t="n"/>
      <c r="G452" s="8" t="n"/>
      <c r="H452" s="9" t="n"/>
      <c r="I452" s="9" t="n"/>
      <c r="J452" s="10" t="n"/>
      <c r="K452" s="10" t="n"/>
      <c r="L452" s="11">
        <f>IF($S452="","",IF($S452="ITEM_PRICE_PLUS_DECLARED_DELIVERY",IF(OR($J452="",$K452=""),"",SUM($J452,$K452,$U452)),IF($S452="TOTAL_AMOUNT_INCLUDING_DELIVERY",IF($T452="","",$T452),IF($S452="DELIVERY_CHARGE_ONLY",IF($K452="","",SUM($K452,$U452)),IF($S452="EXACT_COLLECTION_AMOUNT",IF($T452="","",$T452),IF($S452="ITEM_PRICE_ONLY_DELIVERY_PAID_BY_MERCHANT",IF($J452="","",SUM($J452,$U452)),""))))))</f>
        <v/>
      </c>
      <c r="M452" s="12" t="n"/>
      <c r="N452" s="13" t="n"/>
      <c r="O452" s="13" t="n"/>
      <c r="P452" s="9" t="n"/>
      <c r="Q452" s="14" t="n"/>
      <c r="R452" s="15" t="n"/>
      <c r="S452" s="14" t="n"/>
      <c r="T452" s="16" t="n"/>
      <c r="U452" s="16" t="n"/>
      <c r="V452" s="16" t="n"/>
      <c r="W452" s="16" t="n"/>
      <c r="X452" s="16" t="n"/>
      <c r="Y452" s="16" t="n"/>
      <c r="Z452" s="14" t="n"/>
      <c r="AA452" s="14" t="n"/>
      <c r="AB452" s="14" t="n"/>
      <c r="AC452" s="17">
        <f>IFERROR(VLOOKUP($H452&amp;"|"&amp;$Q452,Tariff_Master!$A$2:$L$169,3,FALSE),"")</f>
        <v/>
      </c>
      <c r="AD452" s="17">
        <f>IFERROR(VLOOKUP($H452&amp;"|"&amp;$Q452,Tariff_Master!$A$2:$L$169,4,FALSE),"")</f>
        <v/>
      </c>
      <c r="AE452" s="18">
        <f>IFERROR(VLOOKUP($H452&amp;"|"&amp;$Q452,Tariff_Master!$A$2:$L$169,6,FALSE),"")</f>
        <v/>
      </c>
      <c r="AF452" s="19">
        <f>IFERROR(VLOOKUP($H452&amp;"|"&amp;$Q452,Tariff_Master!$A$2:$L$169,7,FALSE),"")</f>
        <v/>
      </c>
      <c r="AG452" s="18">
        <f>IFERROR(VLOOKUP($H452&amp;"|"&amp;$Q452,Tariff_Master!$A$2:$L$169,8,FALSE),"")</f>
        <v/>
      </c>
      <c r="AH452" s="20">
        <f>IFERROR(VLOOKUP($H452&amp;"|"&amp;$Q452,Tariff_Master!$A$2:$L$169,9,FALSE),"")</f>
        <v/>
      </c>
      <c r="AI452" s="18">
        <f>IFERROR(VLOOKUP($H452&amp;"|"&amp;$Q452,Tariff_Master!$A$2:$L$169,10,FALSE),"")</f>
        <v/>
      </c>
      <c r="AJ452" s="21">
        <f>IF($M452="","",ROUNDUP(MAX(0,$M452),0))</f>
        <v/>
      </c>
      <c r="AK452" s="21">
        <f>IF(OR($AJ452="",$AF452=""),"",MAX(0,$AJ452-$AF452))</f>
        <v/>
      </c>
      <c r="AL452" s="22">
        <f>IF(OR($AK452="",$AG452=""),"",MAX(0,$AK452*$AG452))</f>
        <v/>
      </c>
      <c r="AM452" s="22">
        <f>IF($AE452="","",MAX(0,SUM($AE452,$AL452,$V452,$W452)))</f>
        <v/>
      </c>
      <c r="AN452" s="22">
        <f>IF($AM452="","",IF(AND($Q452="COMMITMENT",$R452&gt;=$AH452),$AI452,0))</f>
        <v/>
      </c>
      <c r="AO452" s="23">
        <f>IF($AM452="","",MAX(0,$AM452-$AN452))</f>
        <v/>
      </c>
      <c r="AP452" s="22">
        <f>IF($S452="","",IF(OR($S452="ITEM_PRICE_PLUS_DECLARED_DELIVERY",$S452="DELIVERY_CHARGE_ONLY"),$K452,IF($S452="TOTAL_AMOUNT_INCLUDING_DELIVERY",IF(OR($T452="",$J452=""),"",MAX(0,$T452-$J452-$U452)),IF($S452="ITEM_PRICE_ONLY_DELIVERY_PAID_BY_MERCHANT",0,""))))</f>
        <v/>
      </c>
      <c r="AQ452" s="23">
        <f>IF(OR($AP452="",$AO452=""),"",$AP452-$AO452)</f>
        <v/>
      </c>
      <c r="AR452" s="24">
        <f>IF($S452="EXACT_COLLECTION_AMOUNT","BREAKDOWN_REQUIRED",IF($AQ452="","",IF($AQ452&gt;0,"CREDIT_TO_MERCHANT",IF($AQ452&lt;0,"DEDUCT_FROM_MERCHANT","NO_ADJUSTMENT"))))</f>
        <v/>
      </c>
      <c r="AS452" s="23">
        <f>IF(OR($AQ452="",$AR452="BREAKDOWN_REQUIRED"),"",$AQ452)</f>
        <v/>
      </c>
      <c r="AT452" s="23">
        <f>IF(OR($AR452="",$AR452="BREAKDOWN_REQUIRED"),"",SUM($J452,$AQ452,$Y452)-$X452)</f>
        <v/>
      </c>
      <c r="AU452" s="25">
        <f>IF(AND($A452="",$B452="",$F452="",$H452="",$J452="",$K452="",$M452="",$S452=""),"",IF(OR($H452="",$Q452="",$M452="",$S452=""),"ERROR",IF(OR($J452&lt;0,$K452&lt;0,$M452&lt;0,$T452&lt;0,$U452&lt;0,$V452&lt;0,$W452&lt;0,$X452&lt;0,$Y452&lt;0),"ERROR",IF($AE452="","ERROR",IF(AND(OR($S452="ITEM_PRICE_PLUS_DECLARED_DELIVERY",$S452="TOTAL_AMOUNT_INCLUDING_DELIVERY",$S452="ITEM_PRICE_ONLY_DELIVERY_PAID_BY_MERCHANT"),$J452=""),"ERROR",IF(AND(OR($S452="ITEM_PRICE_PLUS_DECLARED_DELIVERY",$S452="DELIVERY_CHARGE_ONLY"),$K452=""),"ERROR",IF(AND(OR($S452="TOTAL_AMOUNT_INCLUDING_DELIVERY",$S452="EXACT_COLLECTION_AMOUNT"),$T452=""),"ERROR",IF(AND($S452="TOTAL_AMOUNT_INCLUDING_DELIVERY",$T452&lt;SUM($J452,$U452)),"ERROR",IF($S452="EXACT_COLLECTION_AMOUNT","REVIEW","OK")))))))))</f>
        <v/>
      </c>
      <c r="AV452" s="25">
        <f>IF($AU452="","",IF($H452="","Township required",IF($Q452="","Customer tier required",IF($M452="","Weight required",IF($S452="","Amount entry type required",IF(OR($J452&lt;0,$K452&lt;0,$M452&lt;0,$T452&lt;0,$U452&lt;0,$V452&lt;0,$W452&lt;0,$X452&lt;0,$Y452&lt;0),"Negative amounts are not allowed",IF($AE452="","Tariff not found for township and tier",IF(AND(OR($S452="ITEM_PRICE_PLUS_DECLARED_DELIVERY",$S452="TOTAL_AMOUNT_INCLUDING_DELIVERY",$S452="ITEM_PRICE_ONLY_DELIVERY_PAID_BY_MERCHANT"),$J452=""),"Item price required for this amount type",IF(AND(OR($S452="ITEM_PRICE_PLUS_DECLARED_DELIVERY",$S452="DELIVERY_CHARGE_ONLY"),$K452=""),"Declared delivery charge required",IF(AND(OR($S452="TOTAL_AMOUNT_INCLUDING_DELIVERY",$S452="EXACT_COLLECTION_AMOUNT"),$T452=""),"Stated total amount required",IF(AND($S452="TOTAL_AMOUNT_INCLUDING_DELIVERY",$T452&lt;SUM($J452,$U452)),"Stated total is below item price plus additional charge",IF($S452="EXACT_COLLECTION_AMOUNT","Authorized amount breakdown required before settlement","Ready for collection and settlement"))))))))))))</f>
        <v/>
      </c>
      <c r="AW452" s="23">
        <f>IF($AU452="","","PARCEL_FINANCIAL_V2")</f>
        <v/>
      </c>
      <c r="AX452" s="17" t="n"/>
    </row>
    <row r="453">
      <c r="A453" s="8" t="n"/>
      <c r="B453" s="8" t="n"/>
      <c r="C453" s="8" t="n"/>
      <c r="D453" s="8" t="n"/>
      <c r="E453" s="9" t="n"/>
      <c r="F453" s="9" t="n"/>
      <c r="G453" s="8" t="n"/>
      <c r="H453" s="9" t="n"/>
      <c r="I453" s="9" t="n"/>
      <c r="J453" s="10" t="n"/>
      <c r="K453" s="10" t="n"/>
      <c r="L453" s="11">
        <f>IF($S453="","",IF($S453="ITEM_PRICE_PLUS_DECLARED_DELIVERY",IF(OR($J453="",$K453=""),"",SUM($J453,$K453,$U453)),IF($S453="TOTAL_AMOUNT_INCLUDING_DELIVERY",IF($T453="","",$T453),IF($S453="DELIVERY_CHARGE_ONLY",IF($K453="","",SUM($K453,$U453)),IF($S453="EXACT_COLLECTION_AMOUNT",IF($T453="","",$T453),IF($S453="ITEM_PRICE_ONLY_DELIVERY_PAID_BY_MERCHANT",IF($J453="","",SUM($J453,$U453)),""))))))</f>
        <v/>
      </c>
      <c r="M453" s="12" t="n"/>
      <c r="N453" s="13" t="n"/>
      <c r="O453" s="13" t="n"/>
      <c r="P453" s="9" t="n"/>
      <c r="Q453" s="14" t="n"/>
      <c r="R453" s="15" t="n"/>
      <c r="S453" s="14" t="n"/>
      <c r="T453" s="16" t="n"/>
      <c r="U453" s="16" t="n"/>
      <c r="V453" s="16" t="n"/>
      <c r="W453" s="16" t="n"/>
      <c r="X453" s="16" t="n"/>
      <c r="Y453" s="16" t="n"/>
      <c r="Z453" s="14" t="n"/>
      <c r="AA453" s="14" t="n"/>
      <c r="AB453" s="14" t="n"/>
      <c r="AC453" s="17">
        <f>IFERROR(VLOOKUP($H453&amp;"|"&amp;$Q453,Tariff_Master!$A$2:$L$169,3,FALSE),"")</f>
        <v/>
      </c>
      <c r="AD453" s="17">
        <f>IFERROR(VLOOKUP($H453&amp;"|"&amp;$Q453,Tariff_Master!$A$2:$L$169,4,FALSE),"")</f>
        <v/>
      </c>
      <c r="AE453" s="18">
        <f>IFERROR(VLOOKUP($H453&amp;"|"&amp;$Q453,Tariff_Master!$A$2:$L$169,6,FALSE),"")</f>
        <v/>
      </c>
      <c r="AF453" s="19">
        <f>IFERROR(VLOOKUP($H453&amp;"|"&amp;$Q453,Tariff_Master!$A$2:$L$169,7,FALSE),"")</f>
        <v/>
      </c>
      <c r="AG453" s="18">
        <f>IFERROR(VLOOKUP($H453&amp;"|"&amp;$Q453,Tariff_Master!$A$2:$L$169,8,FALSE),"")</f>
        <v/>
      </c>
      <c r="AH453" s="20">
        <f>IFERROR(VLOOKUP($H453&amp;"|"&amp;$Q453,Tariff_Master!$A$2:$L$169,9,FALSE),"")</f>
        <v/>
      </c>
      <c r="AI453" s="18">
        <f>IFERROR(VLOOKUP($H453&amp;"|"&amp;$Q453,Tariff_Master!$A$2:$L$169,10,FALSE),"")</f>
        <v/>
      </c>
      <c r="AJ453" s="21">
        <f>IF($M453="","",ROUNDUP(MAX(0,$M453),0))</f>
        <v/>
      </c>
      <c r="AK453" s="21">
        <f>IF(OR($AJ453="",$AF453=""),"",MAX(0,$AJ453-$AF453))</f>
        <v/>
      </c>
      <c r="AL453" s="22">
        <f>IF(OR($AK453="",$AG453=""),"",MAX(0,$AK453*$AG453))</f>
        <v/>
      </c>
      <c r="AM453" s="22">
        <f>IF($AE453="","",MAX(0,SUM($AE453,$AL453,$V453,$W453)))</f>
        <v/>
      </c>
      <c r="AN453" s="22">
        <f>IF($AM453="","",IF(AND($Q453="COMMITMENT",$R453&gt;=$AH453),$AI453,0))</f>
        <v/>
      </c>
      <c r="AO453" s="23">
        <f>IF($AM453="","",MAX(0,$AM453-$AN453))</f>
        <v/>
      </c>
      <c r="AP453" s="22">
        <f>IF($S453="","",IF(OR($S453="ITEM_PRICE_PLUS_DECLARED_DELIVERY",$S453="DELIVERY_CHARGE_ONLY"),$K453,IF($S453="TOTAL_AMOUNT_INCLUDING_DELIVERY",IF(OR($T453="",$J453=""),"",MAX(0,$T453-$J453-$U453)),IF($S453="ITEM_PRICE_ONLY_DELIVERY_PAID_BY_MERCHANT",0,""))))</f>
        <v/>
      </c>
      <c r="AQ453" s="23">
        <f>IF(OR($AP453="",$AO453=""),"",$AP453-$AO453)</f>
        <v/>
      </c>
      <c r="AR453" s="24">
        <f>IF($S453="EXACT_COLLECTION_AMOUNT","BREAKDOWN_REQUIRED",IF($AQ453="","",IF($AQ453&gt;0,"CREDIT_TO_MERCHANT",IF($AQ453&lt;0,"DEDUCT_FROM_MERCHANT","NO_ADJUSTMENT"))))</f>
        <v/>
      </c>
      <c r="AS453" s="23">
        <f>IF(OR($AQ453="",$AR453="BREAKDOWN_REQUIRED"),"",$AQ453)</f>
        <v/>
      </c>
      <c r="AT453" s="23">
        <f>IF(OR($AR453="",$AR453="BREAKDOWN_REQUIRED"),"",SUM($J453,$AQ453,$Y453)-$X453)</f>
        <v/>
      </c>
      <c r="AU453" s="25">
        <f>IF(AND($A453="",$B453="",$F453="",$H453="",$J453="",$K453="",$M453="",$S453=""),"",IF(OR($H453="",$Q453="",$M453="",$S453=""),"ERROR",IF(OR($J453&lt;0,$K453&lt;0,$M453&lt;0,$T453&lt;0,$U453&lt;0,$V453&lt;0,$W453&lt;0,$X453&lt;0,$Y453&lt;0),"ERROR",IF($AE453="","ERROR",IF(AND(OR($S453="ITEM_PRICE_PLUS_DECLARED_DELIVERY",$S453="TOTAL_AMOUNT_INCLUDING_DELIVERY",$S453="ITEM_PRICE_ONLY_DELIVERY_PAID_BY_MERCHANT"),$J453=""),"ERROR",IF(AND(OR($S453="ITEM_PRICE_PLUS_DECLARED_DELIVERY",$S453="DELIVERY_CHARGE_ONLY"),$K453=""),"ERROR",IF(AND(OR($S453="TOTAL_AMOUNT_INCLUDING_DELIVERY",$S453="EXACT_COLLECTION_AMOUNT"),$T453=""),"ERROR",IF(AND($S453="TOTAL_AMOUNT_INCLUDING_DELIVERY",$T453&lt;SUM($J453,$U453)),"ERROR",IF($S453="EXACT_COLLECTION_AMOUNT","REVIEW","OK")))))))))</f>
        <v/>
      </c>
      <c r="AV453" s="25">
        <f>IF($AU453="","",IF($H453="","Township required",IF($Q453="","Customer tier required",IF($M453="","Weight required",IF($S453="","Amount entry type required",IF(OR($J453&lt;0,$K453&lt;0,$M453&lt;0,$T453&lt;0,$U453&lt;0,$V453&lt;0,$W453&lt;0,$X453&lt;0,$Y453&lt;0),"Negative amounts are not allowed",IF($AE453="","Tariff not found for township and tier",IF(AND(OR($S453="ITEM_PRICE_PLUS_DECLARED_DELIVERY",$S453="TOTAL_AMOUNT_INCLUDING_DELIVERY",$S453="ITEM_PRICE_ONLY_DELIVERY_PAID_BY_MERCHANT"),$J453=""),"Item price required for this amount type",IF(AND(OR($S453="ITEM_PRICE_PLUS_DECLARED_DELIVERY",$S453="DELIVERY_CHARGE_ONLY"),$K453=""),"Declared delivery charge required",IF(AND(OR($S453="TOTAL_AMOUNT_INCLUDING_DELIVERY",$S453="EXACT_COLLECTION_AMOUNT"),$T453=""),"Stated total amount required",IF(AND($S453="TOTAL_AMOUNT_INCLUDING_DELIVERY",$T453&lt;SUM($J453,$U453)),"Stated total is below item price plus additional charge",IF($S453="EXACT_COLLECTION_AMOUNT","Authorized amount breakdown required before settlement","Ready for collection and settlement"))))))))))))</f>
        <v/>
      </c>
      <c r="AW453" s="23">
        <f>IF($AU453="","","PARCEL_FINANCIAL_V2")</f>
        <v/>
      </c>
      <c r="AX453" s="17" t="n"/>
    </row>
    <row r="454">
      <c r="A454" s="8" t="n"/>
      <c r="B454" s="8" t="n"/>
      <c r="C454" s="8" t="n"/>
      <c r="D454" s="8" t="n"/>
      <c r="E454" s="9" t="n"/>
      <c r="F454" s="9" t="n"/>
      <c r="G454" s="8" t="n"/>
      <c r="H454" s="9" t="n"/>
      <c r="I454" s="9" t="n"/>
      <c r="J454" s="10" t="n"/>
      <c r="K454" s="10" t="n"/>
      <c r="L454" s="11">
        <f>IF($S454="","",IF($S454="ITEM_PRICE_PLUS_DECLARED_DELIVERY",IF(OR($J454="",$K454=""),"",SUM($J454,$K454,$U454)),IF($S454="TOTAL_AMOUNT_INCLUDING_DELIVERY",IF($T454="","",$T454),IF($S454="DELIVERY_CHARGE_ONLY",IF($K454="","",SUM($K454,$U454)),IF($S454="EXACT_COLLECTION_AMOUNT",IF($T454="","",$T454),IF($S454="ITEM_PRICE_ONLY_DELIVERY_PAID_BY_MERCHANT",IF($J454="","",SUM($J454,$U454)),""))))))</f>
        <v/>
      </c>
      <c r="M454" s="12" t="n"/>
      <c r="N454" s="13" t="n"/>
      <c r="O454" s="13" t="n"/>
      <c r="P454" s="9" t="n"/>
      <c r="Q454" s="14" t="n"/>
      <c r="R454" s="15" t="n"/>
      <c r="S454" s="14" t="n"/>
      <c r="T454" s="16" t="n"/>
      <c r="U454" s="16" t="n"/>
      <c r="V454" s="16" t="n"/>
      <c r="W454" s="16" t="n"/>
      <c r="X454" s="16" t="n"/>
      <c r="Y454" s="16" t="n"/>
      <c r="Z454" s="14" t="n"/>
      <c r="AA454" s="14" t="n"/>
      <c r="AB454" s="14" t="n"/>
      <c r="AC454" s="17">
        <f>IFERROR(VLOOKUP($H454&amp;"|"&amp;$Q454,Tariff_Master!$A$2:$L$169,3,FALSE),"")</f>
        <v/>
      </c>
      <c r="AD454" s="17">
        <f>IFERROR(VLOOKUP($H454&amp;"|"&amp;$Q454,Tariff_Master!$A$2:$L$169,4,FALSE),"")</f>
        <v/>
      </c>
      <c r="AE454" s="18">
        <f>IFERROR(VLOOKUP($H454&amp;"|"&amp;$Q454,Tariff_Master!$A$2:$L$169,6,FALSE),"")</f>
        <v/>
      </c>
      <c r="AF454" s="19">
        <f>IFERROR(VLOOKUP($H454&amp;"|"&amp;$Q454,Tariff_Master!$A$2:$L$169,7,FALSE),"")</f>
        <v/>
      </c>
      <c r="AG454" s="18">
        <f>IFERROR(VLOOKUP($H454&amp;"|"&amp;$Q454,Tariff_Master!$A$2:$L$169,8,FALSE),"")</f>
        <v/>
      </c>
      <c r="AH454" s="20">
        <f>IFERROR(VLOOKUP($H454&amp;"|"&amp;$Q454,Tariff_Master!$A$2:$L$169,9,FALSE),"")</f>
        <v/>
      </c>
      <c r="AI454" s="18">
        <f>IFERROR(VLOOKUP($H454&amp;"|"&amp;$Q454,Tariff_Master!$A$2:$L$169,10,FALSE),"")</f>
        <v/>
      </c>
      <c r="AJ454" s="21">
        <f>IF($M454="","",ROUNDUP(MAX(0,$M454),0))</f>
        <v/>
      </c>
      <c r="AK454" s="21">
        <f>IF(OR($AJ454="",$AF454=""),"",MAX(0,$AJ454-$AF454))</f>
        <v/>
      </c>
      <c r="AL454" s="22">
        <f>IF(OR($AK454="",$AG454=""),"",MAX(0,$AK454*$AG454))</f>
        <v/>
      </c>
      <c r="AM454" s="22">
        <f>IF($AE454="","",MAX(0,SUM($AE454,$AL454,$V454,$W454)))</f>
        <v/>
      </c>
      <c r="AN454" s="22">
        <f>IF($AM454="","",IF(AND($Q454="COMMITMENT",$R454&gt;=$AH454),$AI454,0))</f>
        <v/>
      </c>
      <c r="AO454" s="23">
        <f>IF($AM454="","",MAX(0,$AM454-$AN454))</f>
        <v/>
      </c>
      <c r="AP454" s="22">
        <f>IF($S454="","",IF(OR($S454="ITEM_PRICE_PLUS_DECLARED_DELIVERY",$S454="DELIVERY_CHARGE_ONLY"),$K454,IF($S454="TOTAL_AMOUNT_INCLUDING_DELIVERY",IF(OR($T454="",$J454=""),"",MAX(0,$T454-$J454-$U454)),IF($S454="ITEM_PRICE_ONLY_DELIVERY_PAID_BY_MERCHANT",0,""))))</f>
        <v/>
      </c>
      <c r="AQ454" s="23">
        <f>IF(OR($AP454="",$AO454=""),"",$AP454-$AO454)</f>
        <v/>
      </c>
      <c r="AR454" s="24">
        <f>IF($S454="EXACT_COLLECTION_AMOUNT","BREAKDOWN_REQUIRED",IF($AQ454="","",IF($AQ454&gt;0,"CREDIT_TO_MERCHANT",IF($AQ454&lt;0,"DEDUCT_FROM_MERCHANT","NO_ADJUSTMENT"))))</f>
        <v/>
      </c>
      <c r="AS454" s="23">
        <f>IF(OR($AQ454="",$AR454="BREAKDOWN_REQUIRED"),"",$AQ454)</f>
        <v/>
      </c>
      <c r="AT454" s="23">
        <f>IF(OR($AR454="",$AR454="BREAKDOWN_REQUIRED"),"",SUM($J454,$AQ454,$Y454)-$X454)</f>
        <v/>
      </c>
      <c r="AU454" s="25">
        <f>IF(AND($A454="",$B454="",$F454="",$H454="",$J454="",$K454="",$M454="",$S454=""),"",IF(OR($H454="",$Q454="",$M454="",$S454=""),"ERROR",IF(OR($J454&lt;0,$K454&lt;0,$M454&lt;0,$T454&lt;0,$U454&lt;0,$V454&lt;0,$W454&lt;0,$X454&lt;0,$Y454&lt;0),"ERROR",IF($AE454="","ERROR",IF(AND(OR($S454="ITEM_PRICE_PLUS_DECLARED_DELIVERY",$S454="TOTAL_AMOUNT_INCLUDING_DELIVERY",$S454="ITEM_PRICE_ONLY_DELIVERY_PAID_BY_MERCHANT"),$J454=""),"ERROR",IF(AND(OR($S454="ITEM_PRICE_PLUS_DECLARED_DELIVERY",$S454="DELIVERY_CHARGE_ONLY"),$K454=""),"ERROR",IF(AND(OR($S454="TOTAL_AMOUNT_INCLUDING_DELIVERY",$S454="EXACT_COLLECTION_AMOUNT"),$T454=""),"ERROR",IF(AND($S454="TOTAL_AMOUNT_INCLUDING_DELIVERY",$T454&lt;SUM($J454,$U454)),"ERROR",IF($S454="EXACT_COLLECTION_AMOUNT","REVIEW","OK")))))))))</f>
        <v/>
      </c>
      <c r="AV454" s="25">
        <f>IF($AU454="","",IF($H454="","Township required",IF($Q454="","Customer tier required",IF($M454="","Weight required",IF($S454="","Amount entry type required",IF(OR($J454&lt;0,$K454&lt;0,$M454&lt;0,$T454&lt;0,$U454&lt;0,$V454&lt;0,$W454&lt;0,$X454&lt;0,$Y454&lt;0),"Negative amounts are not allowed",IF($AE454="","Tariff not found for township and tier",IF(AND(OR($S454="ITEM_PRICE_PLUS_DECLARED_DELIVERY",$S454="TOTAL_AMOUNT_INCLUDING_DELIVERY",$S454="ITEM_PRICE_ONLY_DELIVERY_PAID_BY_MERCHANT"),$J454=""),"Item price required for this amount type",IF(AND(OR($S454="ITEM_PRICE_PLUS_DECLARED_DELIVERY",$S454="DELIVERY_CHARGE_ONLY"),$K454=""),"Declared delivery charge required",IF(AND(OR($S454="TOTAL_AMOUNT_INCLUDING_DELIVERY",$S454="EXACT_COLLECTION_AMOUNT"),$T454=""),"Stated total amount required",IF(AND($S454="TOTAL_AMOUNT_INCLUDING_DELIVERY",$T454&lt;SUM($J454,$U454)),"Stated total is below item price plus additional charge",IF($S454="EXACT_COLLECTION_AMOUNT","Authorized amount breakdown required before settlement","Ready for collection and settlement"))))))))))))</f>
        <v/>
      </c>
      <c r="AW454" s="23">
        <f>IF($AU454="","","PARCEL_FINANCIAL_V2")</f>
        <v/>
      </c>
      <c r="AX454" s="17" t="n"/>
    </row>
    <row r="455">
      <c r="A455" s="8" t="n"/>
      <c r="B455" s="8" t="n"/>
      <c r="C455" s="8" t="n"/>
      <c r="D455" s="8" t="n"/>
      <c r="E455" s="9" t="n"/>
      <c r="F455" s="9" t="n"/>
      <c r="G455" s="8" t="n"/>
      <c r="H455" s="9" t="n"/>
      <c r="I455" s="9" t="n"/>
      <c r="J455" s="10" t="n"/>
      <c r="K455" s="10" t="n"/>
      <c r="L455" s="11">
        <f>IF($S455="","",IF($S455="ITEM_PRICE_PLUS_DECLARED_DELIVERY",IF(OR($J455="",$K455=""),"",SUM($J455,$K455,$U455)),IF($S455="TOTAL_AMOUNT_INCLUDING_DELIVERY",IF($T455="","",$T455),IF($S455="DELIVERY_CHARGE_ONLY",IF($K455="","",SUM($K455,$U455)),IF($S455="EXACT_COLLECTION_AMOUNT",IF($T455="","",$T455),IF($S455="ITEM_PRICE_ONLY_DELIVERY_PAID_BY_MERCHANT",IF($J455="","",SUM($J455,$U455)),""))))))</f>
        <v/>
      </c>
      <c r="M455" s="12" t="n"/>
      <c r="N455" s="13" t="n"/>
      <c r="O455" s="13" t="n"/>
      <c r="P455" s="9" t="n"/>
      <c r="Q455" s="14" t="n"/>
      <c r="R455" s="15" t="n"/>
      <c r="S455" s="14" t="n"/>
      <c r="T455" s="16" t="n"/>
      <c r="U455" s="16" t="n"/>
      <c r="V455" s="16" t="n"/>
      <c r="W455" s="16" t="n"/>
      <c r="X455" s="16" t="n"/>
      <c r="Y455" s="16" t="n"/>
      <c r="Z455" s="14" t="n"/>
      <c r="AA455" s="14" t="n"/>
      <c r="AB455" s="14" t="n"/>
      <c r="AC455" s="17">
        <f>IFERROR(VLOOKUP($H455&amp;"|"&amp;$Q455,Tariff_Master!$A$2:$L$169,3,FALSE),"")</f>
        <v/>
      </c>
      <c r="AD455" s="17">
        <f>IFERROR(VLOOKUP($H455&amp;"|"&amp;$Q455,Tariff_Master!$A$2:$L$169,4,FALSE),"")</f>
        <v/>
      </c>
      <c r="AE455" s="18">
        <f>IFERROR(VLOOKUP($H455&amp;"|"&amp;$Q455,Tariff_Master!$A$2:$L$169,6,FALSE),"")</f>
        <v/>
      </c>
      <c r="AF455" s="19">
        <f>IFERROR(VLOOKUP($H455&amp;"|"&amp;$Q455,Tariff_Master!$A$2:$L$169,7,FALSE),"")</f>
        <v/>
      </c>
      <c r="AG455" s="18">
        <f>IFERROR(VLOOKUP($H455&amp;"|"&amp;$Q455,Tariff_Master!$A$2:$L$169,8,FALSE),"")</f>
        <v/>
      </c>
      <c r="AH455" s="20">
        <f>IFERROR(VLOOKUP($H455&amp;"|"&amp;$Q455,Tariff_Master!$A$2:$L$169,9,FALSE),"")</f>
        <v/>
      </c>
      <c r="AI455" s="18">
        <f>IFERROR(VLOOKUP($H455&amp;"|"&amp;$Q455,Tariff_Master!$A$2:$L$169,10,FALSE),"")</f>
        <v/>
      </c>
      <c r="AJ455" s="21">
        <f>IF($M455="","",ROUNDUP(MAX(0,$M455),0))</f>
        <v/>
      </c>
      <c r="AK455" s="21">
        <f>IF(OR($AJ455="",$AF455=""),"",MAX(0,$AJ455-$AF455))</f>
        <v/>
      </c>
      <c r="AL455" s="22">
        <f>IF(OR($AK455="",$AG455=""),"",MAX(0,$AK455*$AG455))</f>
        <v/>
      </c>
      <c r="AM455" s="22">
        <f>IF($AE455="","",MAX(0,SUM($AE455,$AL455,$V455,$W455)))</f>
        <v/>
      </c>
      <c r="AN455" s="22">
        <f>IF($AM455="","",IF(AND($Q455="COMMITMENT",$R455&gt;=$AH455),$AI455,0))</f>
        <v/>
      </c>
      <c r="AO455" s="23">
        <f>IF($AM455="","",MAX(0,$AM455-$AN455))</f>
        <v/>
      </c>
      <c r="AP455" s="22">
        <f>IF($S455="","",IF(OR($S455="ITEM_PRICE_PLUS_DECLARED_DELIVERY",$S455="DELIVERY_CHARGE_ONLY"),$K455,IF($S455="TOTAL_AMOUNT_INCLUDING_DELIVERY",IF(OR($T455="",$J455=""),"",MAX(0,$T455-$J455-$U455)),IF($S455="ITEM_PRICE_ONLY_DELIVERY_PAID_BY_MERCHANT",0,""))))</f>
        <v/>
      </c>
      <c r="AQ455" s="23">
        <f>IF(OR($AP455="",$AO455=""),"",$AP455-$AO455)</f>
        <v/>
      </c>
      <c r="AR455" s="24">
        <f>IF($S455="EXACT_COLLECTION_AMOUNT","BREAKDOWN_REQUIRED",IF($AQ455="","",IF($AQ455&gt;0,"CREDIT_TO_MERCHANT",IF($AQ455&lt;0,"DEDUCT_FROM_MERCHANT","NO_ADJUSTMENT"))))</f>
        <v/>
      </c>
      <c r="AS455" s="23">
        <f>IF(OR($AQ455="",$AR455="BREAKDOWN_REQUIRED"),"",$AQ455)</f>
        <v/>
      </c>
      <c r="AT455" s="23">
        <f>IF(OR($AR455="",$AR455="BREAKDOWN_REQUIRED"),"",SUM($J455,$AQ455,$Y455)-$X455)</f>
        <v/>
      </c>
      <c r="AU455" s="25">
        <f>IF(AND($A455="",$B455="",$F455="",$H455="",$J455="",$K455="",$M455="",$S455=""),"",IF(OR($H455="",$Q455="",$M455="",$S455=""),"ERROR",IF(OR($J455&lt;0,$K455&lt;0,$M455&lt;0,$T455&lt;0,$U455&lt;0,$V455&lt;0,$W455&lt;0,$X455&lt;0,$Y455&lt;0),"ERROR",IF($AE455="","ERROR",IF(AND(OR($S455="ITEM_PRICE_PLUS_DECLARED_DELIVERY",$S455="TOTAL_AMOUNT_INCLUDING_DELIVERY",$S455="ITEM_PRICE_ONLY_DELIVERY_PAID_BY_MERCHANT"),$J455=""),"ERROR",IF(AND(OR($S455="ITEM_PRICE_PLUS_DECLARED_DELIVERY",$S455="DELIVERY_CHARGE_ONLY"),$K455=""),"ERROR",IF(AND(OR($S455="TOTAL_AMOUNT_INCLUDING_DELIVERY",$S455="EXACT_COLLECTION_AMOUNT"),$T455=""),"ERROR",IF(AND($S455="TOTAL_AMOUNT_INCLUDING_DELIVERY",$T455&lt;SUM($J455,$U455)),"ERROR",IF($S455="EXACT_COLLECTION_AMOUNT","REVIEW","OK")))))))))</f>
        <v/>
      </c>
      <c r="AV455" s="25">
        <f>IF($AU455="","",IF($H455="","Township required",IF($Q455="","Customer tier required",IF($M455="","Weight required",IF($S455="","Amount entry type required",IF(OR($J455&lt;0,$K455&lt;0,$M455&lt;0,$T455&lt;0,$U455&lt;0,$V455&lt;0,$W455&lt;0,$X455&lt;0,$Y455&lt;0),"Negative amounts are not allowed",IF($AE455="","Tariff not found for township and tier",IF(AND(OR($S455="ITEM_PRICE_PLUS_DECLARED_DELIVERY",$S455="TOTAL_AMOUNT_INCLUDING_DELIVERY",$S455="ITEM_PRICE_ONLY_DELIVERY_PAID_BY_MERCHANT"),$J455=""),"Item price required for this amount type",IF(AND(OR($S455="ITEM_PRICE_PLUS_DECLARED_DELIVERY",$S455="DELIVERY_CHARGE_ONLY"),$K455=""),"Declared delivery charge required",IF(AND(OR($S455="TOTAL_AMOUNT_INCLUDING_DELIVERY",$S455="EXACT_COLLECTION_AMOUNT"),$T455=""),"Stated total amount required",IF(AND($S455="TOTAL_AMOUNT_INCLUDING_DELIVERY",$T455&lt;SUM($J455,$U455)),"Stated total is below item price plus additional charge",IF($S455="EXACT_COLLECTION_AMOUNT","Authorized amount breakdown required before settlement","Ready for collection and settlement"))))))))))))</f>
        <v/>
      </c>
      <c r="AW455" s="23">
        <f>IF($AU455="","","PARCEL_FINANCIAL_V2")</f>
        <v/>
      </c>
      <c r="AX455" s="17" t="n"/>
    </row>
    <row r="456">
      <c r="A456" s="8" t="n"/>
      <c r="B456" s="8" t="n"/>
      <c r="C456" s="8" t="n"/>
      <c r="D456" s="8" t="n"/>
      <c r="E456" s="9" t="n"/>
      <c r="F456" s="9" t="n"/>
      <c r="G456" s="8" t="n"/>
      <c r="H456" s="9" t="n"/>
      <c r="I456" s="9" t="n"/>
      <c r="J456" s="10" t="n"/>
      <c r="K456" s="10" t="n"/>
      <c r="L456" s="11">
        <f>IF($S456="","",IF($S456="ITEM_PRICE_PLUS_DECLARED_DELIVERY",IF(OR($J456="",$K456=""),"",SUM($J456,$K456,$U456)),IF($S456="TOTAL_AMOUNT_INCLUDING_DELIVERY",IF($T456="","",$T456),IF($S456="DELIVERY_CHARGE_ONLY",IF($K456="","",SUM($K456,$U456)),IF($S456="EXACT_COLLECTION_AMOUNT",IF($T456="","",$T456),IF($S456="ITEM_PRICE_ONLY_DELIVERY_PAID_BY_MERCHANT",IF($J456="","",SUM($J456,$U456)),""))))))</f>
        <v/>
      </c>
      <c r="M456" s="12" t="n"/>
      <c r="N456" s="13" t="n"/>
      <c r="O456" s="13" t="n"/>
      <c r="P456" s="9" t="n"/>
      <c r="Q456" s="14" t="n"/>
      <c r="R456" s="15" t="n"/>
      <c r="S456" s="14" t="n"/>
      <c r="T456" s="16" t="n"/>
      <c r="U456" s="16" t="n"/>
      <c r="V456" s="16" t="n"/>
      <c r="W456" s="16" t="n"/>
      <c r="X456" s="16" t="n"/>
      <c r="Y456" s="16" t="n"/>
      <c r="Z456" s="14" t="n"/>
      <c r="AA456" s="14" t="n"/>
      <c r="AB456" s="14" t="n"/>
      <c r="AC456" s="17">
        <f>IFERROR(VLOOKUP($H456&amp;"|"&amp;$Q456,Tariff_Master!$A$2:$L$169,3,FALSE),"")</f>
        <v/>
      </c>
      <c r="AD456" s="17">
        <f>IFERROR(VLOOKUP($H456&amp;"|"&amp;$Q456,Tariff_Master!$A$2:$L$169,4,FALSE),"")</f>
        <v/>
      </c>
      <c r="AE456" s="18">
        <f>IFERROR(VLOOKUP($H456&amp;"|"&amp;$Q456,Tariff_Master!$A$2:$L$169,6,FALSE),"")</f>
        <v/>
      </c>
      <c r="AF456" s="19">
        <f>IFERROR(VLOOKUP($H456&amp;"|"&amp;$Q456,Tariff_Master!$A$2:$L$169,7,FALSE),"")</f>
        <v/>
      </c>
      <c r="AG456" s="18">
        <f>IFERROR(VLOOKUP($H456&amp;"|"&amp;$Q456,Tariff_Master!$A$2:$L$169,8,FALSE),"")</f>
        <v/>
      </c>
      <c r="AH456" s="20">
        <f>IFERROR(VLOOKUP($H456&amp;"|"&amp;$Q456,Tariff_Master!$A$2:$L$169,9,FALSE),"")</f>
        <v/>
      </c>
      <c r="AI456" s="18">
        <f>IFERROR(VLOOKUP($H456&amp;"|"&amp;$Q456,Tariff_Master!$A$2:$L$169,10,FALSE),"")</f>
        <v/>
      </c>
      <c r="AJ456" s="21">
        <f>IF($M456="","",ROUNDUP(MAX(0,$M456),0))</f>
        <v/>
      </c>
      <c r="AK456" s="21">
        <f>IF(OR($AJ456="",$AF456=""),"",MAX(0,$AJ456-$AF456))</f>
        <v/>
      </c>
      <c r="AL456" s="22">
        <f>IF(OR($AK456="",$AG456=""),"",MAX(0,$AK456*$AG456))</f>
        <v/>
      </c>
      <c r="AM456" s="22">
        <f>IF($AE456="","",MAX(0,SUM($AE456,$AL456,$V456,$W456)))</f>
        <v/>
      </c>
      <c r="AN456" s="22">
        <f>IF($AM456="","",IF(AND($Q456="COMMITMENT",$R456&gt;=$AH456),$AI456,0))</f>
        <v/>
      </c>
      <c r="AO456" s="23">
        <f>IF($AM456="","",MAX(0,$AM456-$AN456))</f>
        <v/>
      </c>
      <c r="AP456" s="22">
        <f>IF($S456="","",IF(OR($S456="ITEM_PRICE_PLUS_DECLARED_DELIVERY",$S456="DELIVERY_CHARGE_ONLY"),$K456,IF($S456="TOTAL_AMOUNT_INCLUDING_DELIVERY",IF(OR($T456="",$J456=""),"",MAX(0,$T456-$J456-$U456)),IF($S456="ITEM_PRICE_ONLY_DELIVERY_PAID_BY_MERCHANT",0,""))))</f>
        <v/>
      </c>
      <c r="AQ456" s="23">
        <f>IF(OR($AP456="",$AO456=""),"",$AP456-$AO456)</f>
        <v/>
      </c>
      <c r="AR456" s="24">
        <f>IF($S456="EXACT_COLLECTION_AMOUNT","BREAKDOWN_REQUIRED",IF($AQ456="","",IF($AQ456&gt;0,"CREDIT_TO_MERCHANT",IF($AQ456&lt;0,"DEDUCT_FROM_MERCHANT","NO_ADJUSTMENT"))))</f>
        <v/>
      </c>
      <c r="AS456" s="23">
        <f>IF(OR($AQ456="",$AR456="BREAKDOWN_REQUIRED"),"",$AQ456)</f>
        <v/>
      </c>
      <c r="AT456" s="23">
        <f>IF(OR($AR456="",$AR456="BREAKDOWN_REQUIRED"),"",SUM($J456,$AQ456,$Y456)-$X456)</f>
        <v/>
      </c>
      <c r="AU456" s="25">
        <f>IF(AND($A456="",$B456="",$F456="",$H456="",$J456="",$K456="",$M456="",$S456=""),"",IF(OR($H456="",$Q456="",$M456="",$S456=""),"ERROR",IF(OR($J456&lt;0,$K456&lt;0,$M456&lt;0,$T456&lt;0,$U456&lt;0,$V456&lt;0,$W456&lt;0,$X456&lt;0,$Y456&lt;0),"ERROR",IF($AE456="","ERROR",IF(AND(OR($S456="ITEM_PRICE_PLUS_DECLARED_DELIVERY",$S456="TOTAL_AMOUNT_INCLUDING_DELIVERY",$S456="ITEM_PRICE_ONLY_DELIVERY_PAID_BY_MERCHANT"),$J456=""),"ERROR",IF(AND(OR($S456="ITEM_PRICE_PLUS_DECLARED_DELIVERY",$S456="DELIVERY_CHARGE_ONLY"),$K456=""),"ERROR",IF(AND(OR($S456="TOTAL_AMOUNT_INCLUDING_DELIVERY",$S456="EXACT_COLLECTION_AMOUNT"),$T456=""),"ERROR",IF(AND($S456="TOTAL_AMOUNT_INCLUDING_DELIVERY",$T456&lt;SUM($J456,$U456)),"ERROR",IF($S456="EXACT_COLLECTION_AMOUNT","REVIEW","OK")))))))))</f>
        <v/>
      </c>
      <c r="AV456" s="25">
        <f>IF($AU456="","",IF($H456="","Township required",IF($Q456="","Customer tier required",IF($M456="","Weight required",IF($S456="","Amount entry type required",IF(OR($J456&lt;0,$K456&lt;0,$M456&lt;0,$T456&lt;0,$U456&lt;0,$V456&lt;0,$W456&lt;0,$X456&lt;0,$Y456&lt;0),"Negative amounts are not allowed",IF($AE456="","Tariff not found for township and tier",IF(AND(OR($S456="ITEM_PRICE_PLUS_DECLARED_DELIVERY",$S456="TOTAL_AMOUNT_INCLUDING_DELIVERY",$S456="ITEM_PRICE_ONLY_DELIVERY_PAID_BY_MERCHANT"),$J456=""),"Item price required for this amount type",IF(AND(OR($S456="ITEM_PRICE_PLUS_DECLARED_DELIVERY",$S456="DELIVERY_CHARGE_ONLY"),$K456=""),"Declared delivery charge required",IF(AND(OR($S456="TOTAL_AMOUNT_INCLUDING_DELIVERY",$S456="EXACT_COLLECTION_AMOUNT"),$T456=""),"Stated total amount required",IF(AND($S456="TOTAL_AMOUNT_INCLUDING_DELIVERY",$T456&lt;SUM($J456,$U456)),"Stated total is below item price plus additional charge",IF($S456="EXACT_COLLECTION_AMOUNT","Authorized amount breakdown required before settlement","Ready for collection and settlement"))))))))))))</f>
        <v/>
      </c>
      <c r="AW456" s="23">
        <f>IF($AU456="","","PARCEL_FINANCIAL_V2")</f>
        <v/>
      </c>
      <c r="AX456" s="17" t="n"/>
    </row>
    <row r="457">
      <c r="A457" s="8" t="n"/>
      <c r="B457" s="8" t="n"/>
      <c r="C457" s="8" t="n"/>
      <c r="D457" s="8" t="n"/>
      <c r="E457" s="9" t="n"/>
      <c r="F457" s="9" t="n"/>
      <c r="G457" s="8" t="n"/>
      <c r="H457" s="9" t="n"/>
      <c r="I457" s="9" t="n"/>
      <c r="J457" s="10" t="n"/>
      <c r="K457" s="10" t="n"/>
      <c r="L457" s="11">
        <f>IF($S457="","",IF($S457="ITEM_PRICE_PLUS_DECLARED_DELIVERY",IF(OR($J457="",$K457=""),"",SUM($J457,$K457,$U457)),IF($S457="TOTAL_AMOUNT_INCLUDING_DELIVERY",IF($T457="","",$T457),IF($S457="DELIVERY_CHARGE_ONLY",IF($K457="","",SUM($K457,$U457)),IF($S457="EXACT_COLLECTION_AMOUNT",IF($T457="","",$T457),IF($S457="ITEM_PRICE_ONLY_DELIVERY_PAID_BY_MERCHANT",IF($J457="","",SUM($J457,$U457)),""))))))</f>
        <v/>
      </c>
      <c r="M457" s="12" t="n"/>
      <c r="N457" s="13" t="n"/>
      <c r="O457" s="13" t="n"/>
      <c r="P457" s="9" t="n"/>
      <c r="Q457" s="14" t="n"/>
      <c r="R457" s="15" t="n"/>
      <c r="S457" s="14" t="n"/>
      <c r="T457" s="16" t="n"/>
      <c r="U457" s="16" t="n"/>
      <c r="V457" s="16" t="n"/>
      <c r="W457" s="16" t="n"/>
      <c r="X457" s="16" t="n"/>
      <c r="Y457" s="16" t="n"/>
      <c r="Z457" s="14" t="n"/>
      <c r="AA457" s="14" t="n"/>
      <c r="AB457" s="14" t="n"/>
      <c r="AC457" s="17">
        <f>IFERROR(VLOOKUP($H457&amp;"|"&amp;$Q457,Tariff_Master!$A$2:$L$169,3,FALSE),"")</f>
        <v/>
      </c>
      <c r="AD457" s="17">
        <f>IFERROR(VLOOKUP($H457&amp;"|"&amp;$Q457,Tariff_Master!$A$2:$L$169,4,FALSE),"")</f>
        <v/>
      </c>
      <c r="AE457" s="18">
        <f>IFERROR(VLOOKUP($H457&amp;"|"&amp;$Q457,Tariff_Master!$A$2:$L$169,6,FALSE),"")</f>
        <v/>
      </c>
      <c r="AF457" s="19">
        <f>IFERROR(VLOOKUP($H457&amp;"|"&amp;$Q457,Tariff_Master!$A$2:$L$169,7,FALSE),"")</f>
        <v/>
      </c>
      <c r="AG457" s="18">
        <f>IFERROR(VLOOKUP($H457&amp;"|"&amp;$Q457,Tariff_Master!$A$2:$L$169,8,FALSE),"")</f>
        <v/>
      </c>
      <c r="AH457" s="20">
        <f>IFERROR(VLOOKUP($H457&amp;"|"&amp;$Q457,Tariff_Master!$A$2:$L$169,9,FALSE),"")</f>
        <v/>
      </c>
      <c r="AI457" s="18">
        <f>IFERROR(VLOOKUP($H457&amp;"|"&amp;$Q457,Tariff_Master!$A$2:$L$169,10,FALSE),"")</f>
        <v/>
      </c>
      <c r="AJ457" s="21">
        <f>IF($M457="","",ROUNDUP(MAX(0,$M457),0))</f>
        <v/>
      </c>
      <c r="AK457" s="21">
        <f>IF(OR($AJ457="",$AF457=""),"",MAX(0,$AJ457-$AF457))</f>
        <v/>
      </c>
      <c r="AL457" s="22">
        <f>IF(OR($AK457="",$AG457=""),"",MAX(0,$AK457*$AG457))</f>
        <v/>
      </c>
      <c r="AM457" s="22">
        <f>IF($AE457="","",MAX(0,SUM($AE457,$AL457,$V457,$W457)))</f>
        <v/>
      </c>
      <c r="AN457" s="22">
        <f>IF($AM457="","",IF(AND($Q457="COMMITMENT",$R457&gt;=$AH457),$AI457,0))</f>
        <v/>
      </c>
      <c r="AO457" s="23">
        <f>IF($AM457="","",MAX(0,$AM457-$AN457))</f>
        <v/>
      </c>
      <c r="AP457" s="22">
        <f>IF($S457="","",IF(OR($S457="ITEM_PRICE_PLUS_DECLARED_DELIVERY",$S457="DELIVERY_CHARGE_ONLY"),$K457,IF($S457="TOTAL_AMOUNT_INCLUDING_DELIVERY",IF(OR($T457="",$J457=""),"",MAX(0,$T457-$J457-$U457)),IF($S457="ITEM_PRICE_ONLY_DELIVERY_PAID_BY_MERCHANT",0,""))))</f>
        <v/>
      </c>
      <c r="AQ457" s="23">
        <f>IF(OR($AP457="",$AO457=""),"",$AP457-$AO457)</f>
        <v/>
      </c>
      <c r="AR457" s="24">
        <f>IF($S457="EXACT_COLLECTION_AMOUNT","BREAKDOWN_REQUIRED",IF($AQ457="","",IF($AQ457&gt;0,"CREDIT_TO_MERCHANT",IF($AQ457&lt;0,"DEDUCT_FROM_MERCHANT","NO_ADJUSTMENT"))))</f>
        <v/>
      </c>
      <c r="AS457" s="23">
        <f>IF(OR($AQ457="",$AR457="BREAKDOWN_REQUIRED"),"",$AQ457)</f>
        <v/>
      </c>
      <c r="AT457" s="23">
        <f>IF(OR($AR457="",$AR457="BREAKDOWN_REQUIRED"),"",SUM($J457,$AQ457,$Y457)-$X457)</f>
        <v/>
      </c>
      <c r="AU457" s="25">
        <f>IF(AND($A457="",$B457="",$F457="",$H457="",$J457="",$K457="",$M457="",$S457=""),"",IF(OR($H457="",$Q457="",$M457="",$S457=""),"ERROR",IF(OR($J457&lt;0,$K457&lt;0,$M457&lt;0,$T457&lt;0,$U457&lt;0,$V457&lt;0,$W457&lt;0,$X457&lt;0,$Y457&lt;0),"ERROR",IF($AE457="","ERROR",IF(AND(OR($S457="ITEM_PRICE_PLUS_DECLARED_DELIVERY",$S457="TOTAL_AMOUNT_INCLUDING_DELIVERY",$S457="ITEM_PRICE_ONLY_DELIVERY_PAID_BY_MERCHANT"),$J457=""),"ERROR",IF(AND(OR($S457="ITEM_PRICE_PLUS_DECLARED_DELIVERY",$S457="DELIVERY_CHARGE_ONLY"),$K457=""),"ERROR",IF(AND(OR($S457="TOTAL_AMOUNT_INCLUDING_DELIVERY",$S457="EXACT_COLLECTION_AMOUNT"),$T457=""),"ERROR",IF(AND($S457="TOTAL_AMOUNT_INCLUDING_DELIVERY",$T457&lt;SUM($J457,$U457)),"ERROR",IF($S457="EXACT_COLLECTION_AMOUNT","REVIEW","OK")))))))))</f>
        <v/>
      </c>
      <c r="AV457" s="25">
        <f>IF($AU457="","",IF($H457="","Township required",IF($Q457="","Customer tier required",IF($M457="","Weight required",IF($S457="","Amount entry type required",IF(OR($J457&lt;0,$K457&lt;0,$M457&lt;0,$T457&lt;0,$U457&lt;0,$V457&lt;0,$W457&lt;0,$X457&lt;0,$Y457&lt;0),"Negative amounts are not allowed",IF($AE457="","Tariff not found for township and tier",IF(AND(OR($S457="ITEM_PRICE_PLUS_DECLARED_DELIVERY",$S457="TOTAL_AMOUNT_INCLUDING_DELIVERY",$S457="ITEM_PRICE_ONLY_DELIVERY_PAID_BY_MERCHANT"),$J457=""),"Item price required for this amount type",IF(AND(OR($S457="ITEM_PRICE_PLUS_DECLARED_DELIVERY",$S457="DELIVERY_CHARGE_ONLY"),$K457=""),"Declared delivery charge required",IF(AND(OR($S457="TOTAL_AMOUNT_INCLUDING_DELIVERY",$S457="EXACT_COLLECTION_AMOUNT"),$T457=""),"Stated total amount required",IF(AND($S457="TOTAL_AMOUNT_INCLUDING_DELIVERY",$T457&lt;SUM($J457,$U457)),"Stated total is below item price plus additional charge",IF($S457="EXACT_COLLECTION_AMOUNT","Authorized amount breakdown required before settlement","Ready for collection and settlement"))))))))))))</f>
        <v/>
      </c>
      <c r="AW457" s="23">
        <f>IF($AU457="","","PARCEL_FINANCIAL_V2")</f>
        <v/>
      </c>
      <c r="AX457" s="17" t="n"/>
    </row>
    <row r="458">
      <c r="A458" s="8" t="n"/>
      <c r="B458" s="8" t="n"/>
      <c r="C458" s="8" t="n"/>
      <c r="D458" s="8" t="n"/>
      <c r="E458" s="9" t="n"/>
      <c r="F458" s="9" t="n"/>
      <c r="G458" s="8" t="n"/>
      <c r="H458" s="9" t="n"/>
      <c r="I458" s="9" t="n"/>
      <c r="J458" s="10" t="n"/>
      <c r="K458" s="10" t="n"/>
      <c r="L458" s="11">
        <f>IF($S458="","",IF($S458="ITEM_PRICE_PLUS_DECLARED_DELIVERY",IF(OR($J458="",$K458=""),"",SUM($J458,$K458,$U458)),IF($S458="TOTAL_AMOUNT_INCLUDING_DELIVERY",IF($T458="","",$T458),IF($S458="DELIVERY_CHARGE_ONLY",IF($K458="","",SUM($K458,$U458)),IF($S458="EXACT_COLLECTION_AMOUNT",IF($T458="","",$T458),IF($S458="ITEM_PRICE_ONLY_DELIVERY_PAID_BY_MERCHANT",IF($J458="","",SUM($J458,$U458)),""))))))</f>
        <v/>
      </c>
      <c r="M458" s="12" t="n"/>
      <c r="N458" s="13" t="n"/>
      <c r="O458" s="13" t="n"/>
      <c r="P458" s="9" t="n"/>
      <c r="Q458" s="14" t="n"/>
      <c r="R458" s="15" t="n"/>
      <c r="S458" s="14" t="n"/>
      <c r="T458" s="16" t="n"/>
      <c r="U458" s="16" t="n"/>
      <c r="V458" s="16" t="n"/>
      <c r="W458" s="16" t="n"/>
      <c r="X458" s="16" t="n"/>
      <c r="Y458" s="16" t="n"/>
      <c r="Z458" s="14" t="n"/>
      <c r="AA458" s="14" t="n"/>
      <c r="AB458" s="14" t="n"/>
      <c r="AC458" s="17">
        <f>IFERROR(VLOOKUP($H458&amp;"|"&amp;$Q458,Tariff_Master!$A$2:$L$169,3,FALSE),"")</f>
        <v/>
      </c>
      <c r="AD458" s="17">
        <f>IFERROR(VLOOKUP($H458&amp;"|"&amp;$Q458,Tariff_Master!$A$2:$L$169,4,FALSE),"")</f>
        <v/>
      </c>
      <c r="AE458" s="18">
        <f>IFERROR(VLOOKUP($H458&amp;"|"&amp;$Q458,Tariff_Master!$A$2:$L$169,6,FALSE),"")</f>
        <v/>
      </c>
      <c r="AF458" s="19">
        <f>IFERROR(VLOOKUP($H458&amp;"|"&amp;$Q458,Tariff_Master!$A$2:$L$169,7,FALSE),"")</f>
        <v/>
      </c>
      <c r="AG458" s="18">
        <f>IFERROR(VLOOKUP($H458&amp;"|"&amp;$Q458,Tariff_Master!$A$2:$L$169,8,FALSE),"")</f>
        <v/>
      </c>
      <c r="AH458" s="20">
        <f>IFERROR(VLOOKUP($H458&amp;"|"&amp;$Q458,Tariff_Master!$A$2:$L$169,9,FALSE),"")</f>
        <v/>
      </c>
      <c r="AI458" s="18">
        <f>IFERROR(VLOOKUP($H458&amp;"|"&amp;$Q458,Tariff_Master!$A$2:$L$169,10,FALSE),"")</f>
        <v/>
      </c>
      <c r="AJ458" s="21">
        <f>IF($M458="","",ROUNDUP(MAX(0,$M458),0))</f>
        <v/>
      </c>
      <c r="AK458" s="21">
        <f>IF(OR($AJ458="",$AF458=""),"",MAX(0,$AJ458-$AF458))</f>
        <v/>
      </c>
      <c r="AL458" s="22">
        <f>IF(OR($AK458="",$AG458=""),"",MAX(0,$AK458*$AG458))</f>
        <v/>
      </c>
      <c r="AM458" s="22">
        <f>IF($AE458="","",MAX(0,SUM($AE458,$AL458,$V458,$W458)))</f>
        <v/>
      </c>
      <c r="AN458" s="22">
        <f>IF($AM458="","",IF(AND($Q458="COMMITMENT",$R458&gt;=$AH458),$AI458,0))</f>
        <v/>
      </c>
      <c r="AO458" s="23">
        <f>IF($AM458="","",MAX(0,$AM458-$AN458))</f>
        <v/>
      </c>
      <c r="AP458" s="22">
        <f>IF($S458="","",IF(OR($S458="ITEM_PRICE_PLUS_DECLARED_DELIVERY",$S458="DELIVERY_CHARGE_ONLY"),$K458,IF($S458="TOTAL_AMOUNT_INCLUDING_DELIVERY",IF(OR($T458="",$J458=""),"",MAX(0,$T458-$J458-$U458)),IF($S458="ITEM_PRICE_ONLY_DELIVERY_PAID_BY_MERCHANT",0,""))))</f>
        <v/>
      </c>
      <c r="AQ458" s="23">
        <f>IF(OR($AP458="",$AO458=""),"",$AP458-$AO458)</f>
        <v/>
      </c>
      <c r="AR458" s="24">
        <f>IF($S458="EXACT_COLLECTION_AMOUNT","BREAKDOWN_REQUIRED",IF($AQ458="","",IF($AQ458&gt;0,"CREDIT_TO_MERCHANT",IF($AQ458&lt;0,"DEDUCT_FROM_MERCHANT","NO_ADJUSTMENT"))))</f>
        <v/>
      </c>
      <c r="AS458" s="23">
        <f>IF(OR($AQ458="",$AR458="BREAKDOWN_REQUIRED"),"",$AQ458)</f>
        <v/>
      </c>
      <c r="AT458" s="23">
        <f>IF(OR($AR458="",$AR458="BREAKDOWN_REQUIRED"),"",SUM($J458,$AQ458,$Y458)-$X458)</f>
        <v/>
      </c>
      <c r="AU458" s="25">
        <f>IF(AND($A458="",$B458="",$F458="",$H458="",$J458="",$K458="",$M458="",$S458=""),"",IF(OR($H458="",$Q458="",$M458="",$S458=""),"ERROR",IF(OR($J458&lt;0,$K458&lt;0,$M458&lt;0,$T458&lt;0,$U458&lt;0,$V458&lt;0,$W458&lt;0,$X458&lt;0,$Y458&lt;0),"ERROR",IF($AE458="","ERROR",IF(AND(OR($S458="ITEM_PRICE_PLUS_DECLARED_DELIVERY",$S458="TOTAL_AMOUNT_INCLUDING_DELIVERY",$S458="ITEM_PRICE_ONLY_DELIVERY_PAID_BY_MERCHANT"),$J458=""),"ERROR",IF(AND(OR($S458="ITEM_PRICE_PLUS_DECLARED_DELIVERY",$S458="DELIVERY_CHARGE_ONLY"),$K458=""),"ERROR",IF(AND(OR($S458="TOTAL_AMOUNT_INCLUDING_DELIVERY",$S458="EXACT_COLLECTION_AMOUNT"),$T458=""),"ERROR",IF(AND($S458="TOTAL_AMOUNT_INCLUDING_DELIVERY",$T458&lt;SUM($J458,$U458)),"ERROR",IF($S458="EXACT_COLLECTION_AMOUNT","REVIEW","OK")))))))))</f>
        <v/>
      </c>
      <c r="AV458" s="25">
        <f>IF($AU458="","",IF($H458="","Township required",IF($Q458="","Customer tier required",IF($M458="","Weight required",IF($S458="","Amount entry type required",IF(OR($J458&lt;0,$K458&lt;0,$M458&lt;0,$T458&lt;0,$U458&lt;0,$V458&lt;0,$W458&lt;0,$X458&lt;0,$Y458&lt;0),"Negative amounts are not allowed",IF($AE458="","Tariff not found for township and tier",IF(AND(OR($S458="ITEM_PRICE_PLUS_DECLARED_DELIVERY",$S458="TOTAL_AMOUNT_INCLUDING_DELIVERY",$S458="ITEM_PRICE_ONLY_DELIVERY_PAID_BY_MERCHANT"),$J458=""),"Item price required for this amount type",IF(AND(OR($S458="ITEM_PRICE_PLUS_DECLARED_DELIVERY",$S458="DELIVERY_CHARGE_ONLY"),$K458=""),"Declared delivery charge required",IF(AND(OR($S458="TOTAL_AMOUNT_INCLUDING_DELIVERY",$S458="EXACT_COLLECTION_AMOUNT"),$T458=""),"Stated total amount required",IF(AND($S458="TOTAL_AMOUNT_INCLUDING_DELIVERY",$T458&lt;SUM($J458,$U458)),"Stated total is below item price plus additional charge",IF($S458="EXACT_COLLECTION_AMOUNT","Authorized amount breakdown required before settlement","Ready for collection and settlement"))))))))))))</f>
        <v/>
      </c>
      <c r="AW458" s="23">
        <f>IF($AU458="","","PARCEL_FINANCIAL_V2")</f>
        <v/>
      </c>
      <c r="AX458" s="17" t="n"/>
    </row>
    <row r="459">
      <c r="A459" s="8" t="n"/>
      <c r="B459" s="8" t="n"/>
      <c r="C459" s="8" t="n"/>
      <c r="D459" s="8" t="n"/>
      <c r="E459" s="9" t="n"/>
      <c r="F459" s="9" t="n"/>
      <c r="G459" s="8" t="n"/>
      <c r="H459" s="9" t="n"/>
      <c r="I459" s="9" t="n"/>
      <c r="J459" s="10" t="n"/>
      <c r="K459" s="10" t="n"/>
      <c r="L459" s="11">
        <f>IF($S459="","",IF($S459="ITEM_PRICE_PLUS_DECLARED_DELIVERY",IF(OR($J459="",$K459=""),"",SUM($J459,$K459,$U459)),IF($S459="TOTAL_AMOUNT_INCLUDING_DELIVERY",IF($T459="","",$T459),IF($S459="DELIVERY_CHARGE_ONLY",IF($K459="","",SUM($K459,$U459)),IF($S459="EXACT_COLLECTION_AMOUNT",IF($T459="","",$T459),IF($S459="ITEM_PRICE_ONLY_DELIVERY_PAID_BY_MERCHANT",IF($J459="","",SUM($J459,$U459)),""))))))</f>
        <v/>
      </c>
      <c r="M459" s="12" t="n"/>
      <c r="N459" s="13" t="n"/>
      <c r="O459" s="13" t="n"/>
      <c r="P459" s="9" t="n"/>
      <c r="Q459" s="14" t="n"/>
      <c r="R459" s="15" t="n"/>
      <c r="S459" s="14" t="n"/>
      <c r="T459" s="16" t="n"/>
      <c r="U459" s="16" t="n"/>
      <c r="V459" s="16" t="n"/>
      <c r="W459" s="16" t="n"/>
      <c r="X459" s="16" t="n"/>
      <c r="Y459" s="16" t="n"/>
      <c r="Z459" s="14" t="n"/>
      <c r="AA459" s="14" t="n"/>
      <c r="AB459" s="14" t="n"/>
      <c r="AC459" s="17">
        <f>IFERROR(VLOOKUP($H459&amp;"|"&amp;$Q459,Tariff_Master!$A$2:$L$169,3,FALSE),"")</f>
        <v/>
      </c>
      <c r="AD459" s="17">
        <f>IFERROR(VLOOKUP($H459&amp;"|"&amp;$Q459,Tariff_Master!$A$2:$L$169,4,FALSE),"")</f>
        <v/>
      </c>
      <c r="AE459" s="18">
        <f>IFERROR(VLOOKUP($H459&amp;"|"&amp;$Q459,Tariff_Master!$A$2:$L$169,6,FALSE),"")</f>
        <v/>
      </c>
      <c r="AF459" s="19">
        <f>IFERROR(VLOOKUP($H459&amp;"|"&amp;$Q459,Tariff_Master!$A$2:$L$169,7,FALSE),"")</f>
        <v/>
      </c>
      <c r="AG459" s="18">
        <f>IFERROR(VLOOKUP($H459&amp;"|"&amp;$Q459,Tariff_Master!$A$2:$L$169,8,FALSE),"")</f>
        <v/>
      </c>
      <c r="AH459" s="20">
        <f>IFERROR(VLOOKUP($H459&amp;"|"&amp;$Q459,Tariff_Master!$A$2:$L$169,9,FALSE),"")</f>
        <v/>
      </c>
      <c r="AI459" s="18">
        <f>IFERROR(VLOOKUP($H459&amp;"|"&amp;$Q459,Tariff_Master!$A$2:$L$169,10,FALSE),"")</f>
        <v/>
      </c>
      <c r="AJ459" s="21">
        <f>IF($M459="","",ROUNDUP(MAX(0,$M459),0))</f>
        <v/>
      </c>
      <c r="AK459" s="21">
        <f>IF(OR($AJ459="",$AF459=""),"",MAX(0,$AJ459-$AF459))</f>
        <v/>
      </c>
      <c r="AL459" s="22">
        <f>IF(OR($AK459="",$AG459=""),"",MAX(0,$AK459*$AG459))</f>
        <v/>
      </c>
      <c r="AM459" s="22">
        <f>IF($AE459="","",MAX(0,SUM($AE459,$AL459,$V459,$W459)))</f>
        <v/>
      </c>
      <c r="AN459" s="22">
        <f>IF($AM459="","",IF(AND($Q459="COMMITMENT",$R459&gt;=$AH459),$AI459,0))</f>
        <v/>
      </c>
      <c r="AO459" s="23">
        <f>IF($AM459="","",MAX(0,$AM459-$AN459))</f>
        <v/>
      </c>
      <c r="AP459" s="22">
        <f>IF($S459="","",IF(OR($S459="ITEM_PRICE_PLUS_DECLARED_DELIVERY",$S459="DELIVERY_CHARGE_ONLY"),$K459,IF($S459="TOTAL_AMOUNT_INCLUDING_DELIVERY",IF(OR($T459="",$J459=""),"",MAX(0,$T459-$J459-$U459)),IF($S459="ITEM_PRICE_ONLY_DELIVERY_PAID_BY_MERCHANT",0,""))))</f>
        <v/>
      </c>
      <c r="AQ459" s="23">
        <f>IF(OR($AP459="",$AO459=""),"",$AP459-$AO459)</f>
        <v/>
      </c>
      <c r="AR459" s="24">
        <f>IF($S459="EXACT_COLLECTION_AMOUNT","BREAKDOWN_REQUIRED",IF($AQ459="","",IF($AQ459&gt;0,"CREDIT_TO_MERCHANT",IF($AQ459&lt;0,"DEDUCT_FROM_MERCHANT","NO_ADJUSTMENT"))))</f>
        <v/>
      </c>
      <c r="AS459" s="23">
        <f>IF(OR($AQ459="",$AR459="BREAKDOWN_REQUIRED"),"",$AQ459)</f>
        <v/>
      </c>
      <c r="AT459" s="23">
        <f>IF(OR($AR459="",$AR459="BREAKDOWN_REQUIRED"),"",SUM($J459,$AQ459,$Y459)-$X459)</f>
        <v/>
      </c>
      <c r="AU459" s="25">
        <f>IF(AND($A459="",$B459="",$F459="",$H459="",$J459="",$K459="",$M459="",$S459=""),"",IF(OR($H459="",$Q459="",$M459="",$S459=""),"ERROR",IF(OR($J459&lt;0,$K459&lt;0,$M459&lt;0,$T459&lt;0,$U459&lt;0,$V459&lt;0,$W459&lt;0,$X459&lt;0,$Y459&lt;0),"ERROR",IF($AE459="","ERROR",IF(AND(OR($S459="ITEM_PRICE_PLUS_DECLARED_DELIVERY",$S459="TOTAL_AMOUNT_INCLUDING_DELIVERY",$S459="ITEM_PRICE_ONLY_DELIVERY_PAID_BY_MERCHANT"),$J459=""),"ERROR",IF(AND(OR($S459="ITEM_PRICE_PLUS_DECLARED_DELIVERY",$S459="DELIVERY_CHARGE_ONLY"),$K459=""),"ERROR",IF(AND(OR($S459="TOTAL_AMOUNT_INCLUDING_DELIVERY",$S459="EXACT_COLLECTION_AMOUNT"),$T459=""),"ERROR",IF(AND($S459="TOTAL_AMOUNT_INCLUDING_DELIVERY",$T459&lt;SUM($J459,$U459)),"ERROR",IF($S459="EXACT_COLLECTION_AMOUNT","REVIEW","OK")))))))))</f>
        <v/>
      </c>
      <c r="AV459" s="25">
        <f>IF($AU459="","",IF($H459="","Township required",IF($Q459="","Customer tier required",IF($M459="","Weight required",IF($S459="","Amount entry type required",IF(OR($J459&lt;0,$K459&lt;0,$M459&lt;0,$T459&lt;0,$U459&lt;0,$V459&lt;0,$W459&lt;0,$X459&lt;0,$Y459&lt;0),"Negative amounts are not allowed",IF($AE459="","Tariff not found for township and tier",IF(AND(OR($S459="ITEM_PRICE_PLUS_DECLARED_DELIVERY",$S459="TOTAL_AMOUNT_INCLUDING_DELIVERY",$S459="ITEM_PRICE_ONLY_DELIVERY_PAID_BY_MERCHANT"),$J459=""),"Item price required for this amount type",IF(AND(OR($S459="ITEM_PRICE_PLUS_DECLARED_DELIVERY",$S459="DELIVERY_CHARGE_ONLY"),$K459=""),"Declared delivery charge required",IF(AND(OR($S459="TOTAL_AMOUNT_INCLUDING_DELIVERY",$S459="EXACT_COLLECTION_AMOUNT"),$T459=""),"Stated total amount required",IF(AND($S459="TOTAL_AMOUNT_INCLUDING_DELIVERY",$T459&lt;SUM($J459,$U459)),"Stated total is below item price plus additional charge",IF($S459="EXACT_COLLECTION_AMOUNT","Authorized amount breakdown required before settlement","Ready for collection and settlement"))))))))))))</f>
        <v/>
      </c>
      <c r="AW459" s="23">
        <f>IF($AU459="","","PARCEL_FINANCIAL_V2")</f>
        <v/>
      </c>
      <c r="AX459" s="17" t="n"/>
    </row>
    <row r="460">
      <c r="A460" s="8" t="n"/>
      <c r="B460" s="8" t="n"/>
      <c r="C460" s="8" t="n"/>
      <c r="D460" s="8" t="n"/>
      <c r="E460" s="9" t="n"/>
      <c r="F460" s="9" t="n"/>
      <c r="G460" s="8" t="n"/>
      <c r="H460" s="9" t="n"/>
      <c r="I460" s="9" t="n"/>
      <c r="J460" s="10" t="n"/>
      <c r="K460" s="10" t="n"/>
      <c r="L460" s="11">
        <f>IF($S460="","",IF($S460="ITEM_PRICE_PLUS_DECLARED_DELIVERY",IF(OR($J460="",$K460=""),"",SUM($J460,$K460,$U460)),IF($S460="TOTAL_AMOUNT_INCLUDING_DELIVERY",IF($T460="","",$T460),IF($S460="DELIVERY_CHARGE_ONLY",IF($K460="","",SUM($K460,$U460)),IF($S460="EXACT_COLLECTION_AMOUNT",IF($T460="","",$T460),IF($S460="ITEM_PRICE_ONLY_DELIVERY_PAID_BY_MERCHANT",IF($J460="","",SUM($J460,$U460)),""))))))</f>
        <v/>
      </c>
      <c r="M460" s="12" t="n"/>
      <c r="N460" s="13" t="n"/>
      <c r="O460" s="13" t="n"/>
      <c r="P460" s="9" t="n"/>
      <c r="Q460" s="14" t="n"/>
      <c r="R460" s="15" t="n"/>
      <c r="S460" s="14" t="n"/>
      <c r="T460" s="16" t="n"/>
      <c r="U460" s="16" t="n"/>
      <c r="V460" s="16" t="n"/>
      <c r="W460" s="16" t="n"/>
      <c r="X460" s="16" t="n"/>
      <c r="Y460" s="16" t="n"/>
      <c r="Z460" s="14" t="n"/>
      <c r="AA460" s="14" t="n"/>
      <c r="AB460" s="14" t="n"/>
      <c r="AC460" s="17">
        <f>IFERROR(VLOOKUP($H460&amp;"|"&amp;$Q460,Tariff_Master!$A$2:$L$169,3,FALSE),"")</f>
        <v/>
      </c>
      <c r="AD460" s="17">
        <f>IFERROR(VLOOKUP($H460&amp;"|"&amp;$Q460,Tariff_Master!$A$2:$L$169,4,FALSE),"")</f>
        <v/>
      </c>
      <c r="AE460" s="18">
        <f>IFERROR(VLOOKUP($H460&amp;"|"&amp;$Q460,Tariff_Master!$A$2:$L$169,6,FALSE),"")</f>
        <v/>
      </c>
      <c r="AF460" s="19">
        <f>IFERROR(VLOOKUP($H460&amp;"|"&amp;$Q460,Tariff_Master!$A$2:$L$169,7,FALSE),"")</f>
        <v/>
      </c>
      <c r="AG460" s="18">
        <f>IFERROR(VLOOKUP($H460&amp;"|"&amp;$Q460,Tariff_Master!$A$2:$L$169,8,FALSE),"")</f>
        <v/>
      </c>
      <c r="AH460" s="20">
        <f>IFERROR(VLOOKUP($H460&amp;"|"&amp;$Q460,Tariff_Master!$A$2:$L$169,9,FALSE),"")</f>
        <v/>
      </c>
      <c r="AI460" s="18">
        <f>IFERROR(VLOOKUP($H460&amp;"|"&amp;$Q460,Tariff_Master!$A$2:$L$169,10,FALSE),"")</f>
        <v/>
      </c>
      <c r="AJ460" s="21">
        <f>IF($M460="","",ROUNDUP(MAX(0,$M460),0))</f>
        <v/>
      </c>
      <c r="AK460" s="21">
        <f>IF(OR($AJ460="",$AF460=""),"",MAX(0,$AJ460-$AF460))</f>
        <v/>
      </c>
      <c r="AL460" s="22">
        <f>IF(OR($AK460="",$AG460=""),"",MAX(0,$AK460*$AG460))</f>
        <v/>
      </c>
      <c r="AM460" s="22">
        <f>IF($AE460="","",MAX(0,SUM($AE460,$AL460,$V460,$W460)))</f>
        <v/>
      </c>
      <c r="AN460" s="22">
        <f>IF($AM460="","",IF(AND($Q460="COMMITMENT",$R460&gt;=$AH460),$AI460,0))</f>
        <v/>
      </c>
      <c r="AO460" s="23">
        <f>IF($AM460="","",MAX(0,$AM460-$AN460))</f>
        <v/>
      </c>
      <c r="AP460" s="22">
        <f>IF($S460="","",IF(OR($S460="ITEM_PRICE_PLUS_DECLARED_DELIVERY",$S460="DELIVERY_CHARGE_ONLY"),$K460,IF($S460="TOTAL_AMOUNT_INCLUDING_DELIVERY",IF(OR($T460="",$J460=""),"",MAX(0,$T460-$J460-$U460)),IF($S460="ITEM_PRICE_ONLY_DELIVERY_PAID_BY_MERCHANT",0,""))))</f>
        <v/>
      </c>
      <c r="AQ460" s="23">
        <f>IF(OR($AP460="",$AO460=""),"",$AP460-$AO460)</f>
        <v/>
      </c>
      <c r="AR460" s="24">
        <f>IF($S460="EXACT_COLLECTION_AMOUNT","BREAKDOWN_REQUIRED",IF($AQ460="","",IF($AQ460&gt;0,"CREDIT_TO_MERCHANT",IF($AQ460&lt;0,"DEDUCT_FROM_MERCHANT","NO_ADJUSTMENT"))))</f>
        <v/>
      </c>
      <c r="AS460" s="23">
        <f>IF(OR($AQ460="",$AR460="BREAKDOWN_REQUIRED"),"",$AQ460)</f>
        <v/>
      </c>
      <c r="AT460" s="23">
        <f>IF(OR($AR460="",$AR460="BREAKDOWN_REQUIRED"),"",SUM($J460,$AQ460,$Y460)-$X460)</f>
        <v/>
      </c>
      <c r="AU460" s="25">
        <f>IF(AND($A460="",$B460="",$F460="",$H460="",$J460="",$K460="",$M460="",$S460=""),"",IF(OR($H460="",$Q460="",$M460="",$S460=""),"ERROR",IF(OR($J460&lt;0,$K460&lt;0,$M460&lt;0,$T460&lt;0,$U460&lt;0,$V460&lt;0,$W460&lt;0,$X460&lt;0,$Y460&lt;0),"ERROR",IF($AE460="","ERROR",IF(AND(OR($S460="ITEM_PRICE_PLUS_DECLARED_DELIVERY",$S460="TOTAL_AMOUNT_INCLUDING_DELIVERY",$S460="ITEM_PRICE_ONLY_DELIVERY_PAID_BY_MERCHANT"),$J460=""),"ERROR",IF(AND(OR($S460="ITEM_PRICE_PLUS_DECLARED_DELIVERY",$S460="DELIVERY_CHARGE_ONLY"),$K460=""),"ERROR",IF(AND(OR($S460="TOTAL_AMOUNT_INCLUDING_DELIVERY",$S460="EXACT_COLLECTION_AMOUNT"),$T460=""),"ERROR",IF(AND($S460="TOTAL_AMOUNT_INCLUDING_DELIVERY",$T460&lt;SUM($J460,$U460)),"ERROR",IF($S460="EXACT_COLLECTION_AMOUNT","REVIEW","OK")))))))))</f>
        <v/>
      </c>
      <c r="AV460" s="25">
        <f>IF($AU460="","",IF($H460="","Township required",IF($Q460="","Customer tier required",IF($M460="","Weight required",IF($S460="","Amount entry type required",IF(OR($J460&lt;0,$K460&lt;0,$M460&lt;0,$T460&lt;0,$U460&lt;0,$V460&lt;0,$W460&lt;0,$X460&lt;0,$Y460&lt;0),"Negative amounts are not allowed",IF($AE460="","Tariff not found for township and tier",IF(AND(OR($S460="ITEM_PRICE_PLUS_DECLARED_DELIVERY",$S460="TOTAL_AMOUNT_INCLUDING_DELIVERY",$S460="ITEM_PRICE_ONLY_DELIVERY_PAID_BY_MERCHANT"),$J460=""),"Item price required for this amount type",IF(AND(OR($S460="ITEM_PRICE_PLUS_DECLARED_DELIVERY",$S460="DELIVERY_CHARGE_ONLY"),$K460=""),"Declared delivery charge required",IF(AND(OR($S460="TOTAL_AMOUNT_INCLUDING_DELIVERY",$S460="EXACT_COLLECTION_AMOUNT"),$T460=""),"Stated total amount required",IF(AND($S460="TOTAL_AMOUNT_INCLUDING_DELIVERY",$T460&lt;SUM($J460,$U460)),"Stated total is below item price plus additional charge",IF($S460="EXACT_COLLECTION_AMOUNT","Authorized amount breakdown required before settlement","Ready for collection and settlement"))))))))))))</f>
        <v/>
      </c>
      <c r="AW460" s="23">
        <f>IF($AU460="","","PARCEL_FINANCIAL_V2")</f>
        <v/>
      </c>
      <c r="AX460" s="17" t="n"/>
    </row>
    <row r="461">
      <c r="A461" s="8" t="n"/>
      <c r="B461" s="8" t="n"/>
      <c r="C461" s="8" t="n"/>
      <c r="D461" s="8" t="n"/>
      <c r="E461" s="9" t="n"/>
      <c r="F461" s="9" t="n"/>
      <c r="G461" s="8" t="n"/>
      <c r="H461" s="9" t="n"/>
      <c r="I461" s="9" t="n"/>
      <c r="J461" s="10" t="n"/>
      <c r="K461" s="10" t="n"/>
      <c r="L461" s="11">
        <f>IF($S461="","",IF($S461="ITEM_PRICE_PLUS_DECLARED_DELIVERY",IF(OR($J461="",$K461=""),"",SUM($J461,$K461,$U461)),IF($S461="TOTAL_AMOUNT_INCLUDING_DELIVERY",IF($T461="","",$T461),IF($S461="DELIVERY_CHARGE_ONLY",IF($K461="","",SUM($K461,$U461)),IF($S461="EXACT_COLLECTION_AMOUNT",IF($T461="","",$T461),IF($S461="ITEM_PRICE_ONLY_DELIVERY_PAID_BY_MERCHANT",IF($J461="","",SUM($J461,$U461)),""))))))</f>
        <v/>
      </c>
      <c r="M461" s="12" t="n"/>
      <c r="N461" s="13" t="n"/>
      <c r="O461" s="13" t="n"/>
      <c r="P461" s="9" t="n"/>
      <c r="Q461" s="14" t="n"/>
      <c r="R461" s="15" t="n"/>
      <c r="S461" s="14" t="n"/>
      <c r="T461" s="16" t="n"/>
      <c r="U461" s="16" t="n"/>
      <c r="V461" s="16" t="n"/>
      <c r="W461" s="16" t="n"/>
      <c r="X461" s="16" t="n"/>
      <c r="Y461" s="16" t="n"/>
      <c r="Z461" s="14" t="n"/>
      <c r="AA461" s="14" t="n"/>
      <c r="AB461" s="14" t="n"/>
      <c r="AC461" s="17">
        <f>IFERROR(VLOOKUP($H461&amp;"|"&amp;$Q461,Tariff_Master!$A$2:$L$169,3,FALSE),"")</f>
        <v/>
      </c>
      <c r="AD461" s="17">
        <f>IFERROR(VLOOKUP($H461&amp;"|"&amp;$Q461,Tariff_Master!$A$2:$L$169,4,FALSE),"")</f>
        <v/>
      </c>
      <c r="AE461" s="18">
        <f>IFERROR(VLOOKUP($H461&amp;"|"&amp;$Q461,Tariff_Master!$A$2:$L$169,6,FALSE),"")</f>
        <v/>
      </c>
      <c r="AF461" s="19">
        <f>IFERROR(VLOOKUP($H461&amp;"|"&amp;$Q461,Tariff_Master!$A$2:$L$169,7,FALSE),"")</f>
        <v/>
      </c>
      <c r="AG461" s="18">
        <f>IFERROR(VLOOKUP($H461&amp;"|"&amp;$Q461,Tariff_Master!$A$2:$L$169,8,FALSE),"")</f>
        <v/>
      </c>
      <c r="AH461" s="20">
        <f>IFERROR(VLOOKUP($H461&amp;"|"&amp;$Q461,Tariff_Master!$A$2:$L$169,9,FALSE),"")</f>
        <v/>
      </c>
      <c r="AI461" s="18">
        <f>IFERROR(VLOOKUP($H461&amp;"|"&amp;$Q461,Tariff_Master!$A$2:$L$169,10,FALSE),"")</f>
        <v/>
      </c>
      <c r="AJ461" s="21">
        <f>IF($M461="","",ROUNDUP(MAX(0,$M461),0))</f>
        <v/>
      </c>
      <c r="AK461" s="21">
        <f>IF(OR($AJ461="",$AF461=""),"",MAX(0,$AJ461-$AF461))</f>
        <v/>
      </c>
      <c r="AL461" s="22">
        <f>IF(OR($AK461="",$AG461=""),"",MAX(0,$AK461*$AG461))</f>
        <v/>
      </c>
      <c r="AM461" s="22">
        <f>IF($AE461="","",MAX(0,SUM($AE461,$AL461,$V461,$W461)))</f>
        <v/>
      </c>
      <c r="AN461" s="22">
        <f>IF($AM461="","",IF(AND($Q461="COMMITMENT",$R461&gt;=$AH461),$AI461,0))</f>
        <v/>
      </c>
      <c r="AO461" s="23">
        <f>IF($AM461="","",MAX(0,$AM461-$AN461))</f>
        <v/>
      </c>
      <c r="AP461" s="22">
        <f>IF($S461="","",IF(OR($S461="ITEM_PRICE_PLUS_DECLARED_DELIVERY",$S461="DELIVERY_CHARGE_ONLY"),$K461,IF($S461="TOTAL_AMOUNT_INCLUDING_DELIVERY",IF(OR($T461="",$J461=""),"",MAX(0,$T461-$J461-$U461)),IF($S461="ITEM_PRICE_ONLY_DELIVERY_PAID_BY_MERCHANT",0,""))))</f>
        <v/>
      </c>
      <c r="AQ461" s="23">
        <f>IF(OR($AP461="",$AO461=""),"",$AP461-$AO461)</f>
        <v/>
      </c>
      <c r="AR461" s="24">
        <f>IF($S461="EXACT_COLLECTION_AMOUNT","BREAKDOWN_REQUIRED",IF($AQ461="","",IF($AQ461&gt;0,"CREDIT_TO_MERCHANT",IF($AQ461&lt;0,"DEDUCT_FROM_MERCHANT","NO_ADJUSTMENT"))))</f>
        <v/>
      </c>
      <c r="AS461" s="23">
        <f>IF(OR($AQ461="",$AR461="BREAKDOWN_REQUIRED"),"",$AQ461)</f>
        <v/>
      </c>
      <c r="AT461" s="23">
        <f>IF(OR($AR461="",$AR461="BREAKDOWN_REQUIRED"),"",SUM($J461,$AQ461,$Y461)-$X461)</f>
        <v/>
      </c>
      <c r="AU461" s="25">
        <f>IF(AND($A461="",$B461="",$F461="",$H461="",$J461="",$K461="",$M461="",$S461=""),"",IF(OR($H461="",$Q461="",$M461="",$S461=""),"ERROR",IF(OR($J461&lt;0,$K461&lt;0,$M461&lt;0,$T461&lt;0,$U461&lt;0,$V461&lt;0,$W461&lt;0,$X461&lt;0,$Y461&lt;0),"ERROR",IF($AE461="","ERROR",IF(AND(OR($S461="ITEM_PRICE_PLUS_DECLARED_DELIVERY",$S461="TOTAL_AMOUNT_INCLUDING_DELIVERY",$S461="ITEM_PRICE_ONLY_DELIVERY_PAID_BY_MERCHANT"),$J461=""),"ERROR",IF(AND(OR($S461="ITEM_PRICE_PLUS_DECLARED_DELIVERY",$S461="DELIVERY_CHARGE_ONLY"),$K461=""),"ERROR",IF(AND(OR($S461="TOTAL_AMOUNT_INCLUDING_DELIVERY",$S461="EXACT_COLLECTION_AMOUNT"),$T461=""),"ERROR",IF(AND($S461="TOTAL_AMOUNT_INCLUDING_DELIVERY",$T461&lt;SUM($J461,$U461)),"ERROR",IF($S461="EXACT_COLLECTION_AMOUNT","REVIEW","OK")))))))))</f>
        <v/>
      </c>
      <c r="AV461" s="25">
        <f>IF($AU461="","",IF($H461="","Township required",IF($Q461="","Customer tier required",IF($M461="","Weight required",IF($S461="","Amount entry type required",IF(OR($J461&lt;0,$K461&lt;0,$M461&lt;0,$T461&lt;0,$U461&lt;0,$V461&lt;0,$W461&lt;0,$X461&lt;0,$Y461&lt;0),"Negative amounts are not allowed",IF($AE461="","Tariff not found for township and tier",IF(AND(OR($S461="ITEM_PRICE_PLUS_DECLARED_DELIVERY",$S461="TOTAL_AMOUNT_INCLUDING_DELIVERY",$S461="ITEM_PRICE_ONLY_DELIVERY_PAID_BY_MERCHANT"),$J461=""),"Item price required for this amount type",IF(AND(OR($S461="ITEM_PRICE_PLUS_DECLARED_DELIVERY",$S461="DELIVERY_CHARGE_ONLY"),$K461=""),"Declared delivery charge required",IF(AND(OR($S461="TOTAL_AMOUNT_INCLUDING_DELIVERY",$S461="EXACT_COLLECTION_AMOUNT"),$T461=""),"Stated total amount required",IF(AND($S461="TOTAL_AMOUNT_INCLUDING_DELIVERY",$T461&lt;SUM($J461,$U461)),"Stated total is below item price plus additional charge",IF($S461="EXACT_COLLECTION_AMOUNT","Authorized amount breakdown required before settlement","Ready for collection and settlement"))))))))))))</f>
        <v/>
      </c>
      <c r="AW461" s="23">
        <f>IF($AU461="","","PARCEL_FINANCIAL_V2")</f>
        <v/>
      </c>
      <c r="AX461" s="17" t="n"/>
    </row>
    <row r="462">
      <c r="A462" s="8" t="n"/>
      <c r="B462" s="8" t="n"/>
      <c r="C462" s="8" t="n"/>
      <c r="D462" s="8" t="n"/>
      <c r="E462" s="9" t="n"/>
      <c r="F462" s="9" t="n"/>
      <c r="G462" s="8" t="n"/>
      <c r="H462" s="9" t="n"/>
      <c r="I462" s="9" t="n"/>
      <c r="J462" s="10" t="n"/>
      <c r="K462" s="10" t="n"/>
      <c r="L462" s="11">
        <f>IF($S462="","",IF($S462="ITEM_PRICE_PLUS_DECLARED_DELIVERY",IF(OR($J462="",$K462=""),"",SUM($J462,$K462,$U462)),IF($S462="TOTAL_AMOUNT_INCLUDING_DELIVERY",IF($T462="","",$T462),IF($S462="DELIVERY_CHARGE_ONLY",IF($K462="","",SUM($K462,$U462)),IF($S462="EXACT_COLLECTION_AMOUNT",IF($T462="","",$T462),IF($S462="ITEM_PRICE_ONLY_DELIVERY_PAID_BY_MERCHANT",IF($J462="","",SUM($J462,$U462)),""))))))</f>
        <v/>
      </c>
      <c r="M462" s="12" t="n"/>
      <c r="N462" s="13" t="n"/>
      <c r="O462" s="13" t="n"/>
      <c r="P462" s="9" t="n"/>
      <c r="Q462" s="14" t="n"/>
      <c r="R462" s="15" t="n"/>
      <c r="S462" s="14" t="n"/>
      <c r="T462" s="16" t="n"/>
      <c r="U462" s="16" t="n"/>
      <c r="V462" s="16" t="n"/>
      <c r="W462" s="16" t="n"/>
      <c r="X462" s="16" t="n"/>
      <c r="Y462" s="16" t="n"/>
      <c r="Z462" s="14" t="n"/>
      <c r="AA462" s="14" t="n"/>
      <c r="AB462" s="14" t="n"/>
      <c r="AC462" s="17">
        <f>IFERROR(VLOOKUP($H462&amp;"|"&amp;$Q462,Tariff_Master!$A$2:$L$169,3,FALSE),"")</f>
        <v/>
      </c>
      <c r="AD462" s="17">
        <f>IFERROR(VLOOKUP($H462&amp;"|"&amp;$Q462,Tariff_Master!$A$2:$L$169,4,FALSE),"")</f>
        <v/>
      </c>
      <c r="AE462" s="18">
        <f>IFERROR(VLOOKUP($H462&amp;"|"&amp;$Q462,Tariff_Master!$A$2:$L$169,6,FALSE),"")</f>
        <v/>
      </c>
      <c r="AF462" s="19">
        <f>IFERROR(VLOOKUP($H462&amp;"|"&amp;$Q462,Tariff_Master!$A$2:$L$169,7,FALSE),"")</f>
        <v/>
      </c>
      <c r="AG462" s="18">
        <f>IFERROR(VLOOKUP($H462&amp;"|"&amp;$Q462,Tariff_Master!$A$2:$L$169,8,FALSE),"")</f>
        <v/>
      </c>
      <c r="AH462" s="20">
        <f>IFERROR(VLOOKUP($H462&amp;"|"&amp;$Q462,Tariff_Master!$A$2:$L$169,9,FALSE),"")</f>
        <v/>
      </c>
      <c r="AI462" s="18">
        <f>IFERROR(VLOOKUP($H462&amp;"|"&amp;$Q462,Tariff_Master!$A$2:$L$169,10,FALSE),"")</f>
        <v/>
      </c>
      <c r="AJ462" s="21">
        <f>IF($M462="","",ROUNDUP(MAX(0,$M462),0))</f>
        <v/>
      </c>
      <c r="AK462" s="21">
        <f>IF(OR($AJ462="",$AF462=""),"",MAX(0,$AJ462-$AF462))</f>
        <v/>
      </c>
      <c r="AL462" s="22">
        <f>IF(OR($AK462="",$AG462=""),"",MAX(0,$AK462*$AG462))</f>
        <v/>
      </c>
      <c r="AM462" s="22">
        <f>IF($AE462="","",MAX(0,SUM($AE462,$AL462,$V462,$W462)))</f>
        <v/>
      </c>
      <c r="AN462" s="22">
        <f>IF($AM462="","",IF(AND($Q462="COMMITMENT",$R462&gt;=$AH462),$AI462,0))</f>
        <v/>
      </c>
      <c r="AO462" s="23">
        <f>IF($AM462="","",MAX(0,$AM462-$AN462))</f>
        <v/>
      </c>
      <c r="AP462" s="22">
        <f>IF($S462="","",IF(OR($S462="ITEM_PRICE_PLUS_DECLARED_DELIVERY",$S462="DELIVERY_CHARGE_ONLY"),$K462,IF($S462="TOTAL_AMOUNT_INCLUDING_DELIVERY",IF(OR($T462="",$J462=""),"",MAX(0,$T462-$J462-$U462)),IF($S462="ITEM_PRICE_ONLY_DELIVERY_PAID_BY_MERCHANT",0,""))))</f>
        <v/>
      </c>
      <c r="AQ462" s="23">
        <f>IF(OR($AP462="",$AO462=""),"",$AP462-$AO462)</f>
        <v/>
      </c>
      <c r="AR462" s="24">
        <f>IF($S462="EXACT_COLLECTION_AMOUNT","BREAKDOWN_REQUIRED",IF($AQ462="","",IF($AQ462&gt;0,"CREDIT_TO_MERCHANT",IF($AQ462&lt;0,"DEDUCT_FROM_MERCHANT","NO_ADJUSTMENT"))))</f>
        <v/>
      </c>
      <c r="AS462" s="23">
        <f>IF(OR($AQ462="",$AR462="BREAKDOWN_REQUIRED"),"",$AQ462)</f>
        <v/>
      </c>
      <c r="AT462" s="23">
        <f>IF(OR($AR462="",$AR462="BREAKDOWN_REQUIRED"),"",SUM($J462,$AQ462,$Y462)-$X462)</f>
        <v/>
      </c>
      <c r="AU462" s="25">
        <f>IF(AND($A462="",$B462="",$F462="",$H462="",$J462="",$K462="",$M462="",$S462=""),"",IF(OR($H462="",$Q462="",$M462="",$S462=""),"ERROR",IF(OR($J462&lt;0,$K462&lt;0,$M462&lt;0,$T462&lt;0,$U462&lt;0,$V462&lt;0,$W462&lt;0,$X462&lt;0,$Y462&lt;0),"ERROR",IF($AE462="","ERROR",IF(AND(OR($S462="ITEM_PRICE_PLUS_DECLARED_DELIVERY",$S462="TOTAL_AMOUNT_INCLUDING_DELIVERY",$S462="ITEM_PRICE_ONLY_DELIVERY_PAID_BY_MERCHANT"),$J462=""),"ERROR",IF(AND(OR($S462="ITEM_PRICE_PLUS_DECLARED_DELIVERY",$S462="DELIVERY_CHARGE_ONLY"),$K462=""),"ERROR",IF(AND(OR($S462="TOTAL_AMOUNT_INCLUDING_DELIVERY",$S462="EXACT_COLLECTION_AMOUNT"),$T462=""),"ERROR",IF(AND($S462="TOTAL_AMOUNT_INCLUDING_DELIVERY",$T462&lt;SUM($J462,$U462)),"ERROR",IF($S462="EXACT_COLLECTION_AMOUNT","REVIEW","OK")))))))))</f>
        <v/>
      </c>
      <c r="AV462" s="25">
        <f>IF($AU462="","",IF($H462="","Township required",IF($Q462="","Customer tier required",IF($M462="","Weight required",IF($S462="","Amount entry type required",IF(OR($J462&lt;0,$K462&lt;0,$M462&lt;0,$T462&lt;0,$U462&lt;0,$V462&lt;0,$W462&lt;0,$X462&lt;0,$Y462&lt;0),"Negative amounts are not allowed",IF($AE462="","Tariff not found for township and tier",IF(AND(OR($S462="ITEM_PRICE_PLUS_DECLARED_DELIVERY",$S462="TOTAL_AMOUNT_INCLUDING_DELIVERY",$S462="ITEM_PRICE_ONLY_DELIVERY_PAID_BY_MERCHANT"),$J462=""),"Item price required for this amount type",IF(AND(OR($S462="ITEM_PRICE_PLUS_DECLARED_DELIVERY",$S462="DELIVERY_CHARGE_ONLY"),$K462=""),"Declared delivery charge required",IF(AND(OR($S462="TOTAL_AMOUNT_INCLUDING_DELIVERY",$S462="EXACT_COLLECTION_AMOUNT"),$T462=""),"Stated total amount required",IF(AND($S462="TOTAL_AMOUNT_INCLUDING_DELIVERY",$T462&lt;SUM($J462,$U462)),"Stated total is below item price plus additional charge",IF($S462="EXACT_COLLECTION_AMOUNT","Authorized amount breakdown required before settlement","Ready for collection and settlement"))))))))))))</f>
        <v/>
      </c>
      <c r="AW462" s="23">
        <f>IF($AU462="","","PARCEL_FINANCIAL_V2")</f>
        <v/>
      </c>
      <c r="AX462" s="17" t="n"/>
    </row>
    <row r="463">
      <c r="A463" s="8" t="n"/>
      <c r="B463" s="8" t="n"/>
      <c r="C463" s="8" t="n"/>
      <c r="D463" s="8" t="n"/>
      <c r="E463" s="9" t="n"/>
      <c r="F463" s="9" t="n"/>
      <c r="G463" s="8" t="n"/>
      <c r="H463" s="9" t="n"/>
      <c r="I463" s="9" t="n"/>
      <c r="J463" s="10" t="n"/>
      <c r="K463" s="10" t="n"/>
      <c r="L463" s="11">
        <f>IF($S463="","",IF($S463="ITEM_PRICE_PLUS_DECLARED_DELIVERY",IF(OR($J463="",$K463=""),"",SUM($J463,$K463,$U463)),IF($S463="TOTAL_AMOUNT_INCLUDING_DELIVERY",IF($T463="","",$T463),IF($S463="DELIVERY_CHARGE_ONLY",IF($K463="","",SUM($K463,$U463)),IF($S463="EXACT_COLLECTION_AMOUNT",IF($T463="","",$T463),IF($S463="ITEM_PRICE_ONLY_DELIVERY_PAID_BY_MERCHANT",IF($J463="","",SUM($J463,$U463)),""))))))</f>
        <v/>
      </c>
      <c r="M463" s="12" t="n"/>
      <c r="N463" s="13" t="n"/>
      <c r="O463" s="13" t="n"/>
      <c r="P463" s="9" t="n"/>
      <c r="Q463" s="14" t="n"/>
      <c r="R463" s="15" t="n"/>
      <c r="S463" s="14" t="n"/>
      <c r="T463" s="16" t="n"/>
      <c r="U463" s="16" t="n"/>
      <c r="V463" s="16" t="n"/>
      <c r="W463" s="16" t="n"/>
      <c r="X463" s="16" t="n"/>
      <c r="Y463" s="16" t="n"/>
      <c r="Z463" s="14" t="n"/>
      <c r="AA463" s="14" t="n"/>
      <c r="AB463" s="14" t="n"/>
      <c r="AC463" s="17">
        <f>IFERROR(VLOOKUP($H463&amp;"|"&amp;$Q463,Tariff_Master!$A$2:$L$169,3,FALSE),"")</f>
        <v/>
      </c>
      <c r="AD463" s="17">
        <f>IFERROR(VLOOKUP($H463&amp;"|"&amp;$Q463,Tariff_Master!$A$2:$L$169,4,FALSE),"")</f>
        <v/>
      </c>
      <c r="AE463" s="18">
        <f>IFERROR(VLOOKUP($H463&amp;"|"&amp;$Q463,Tariff_Master!$A$2:$L$169,6,FALSE),"")</f>
        <v/>
      </c>
      <c r="AF463" s="19">
        <f>IFERROR(VLOOKUP($H463&amp;"|"&amp;$Q463,Tariff_Master!$A$2:$L$169,7,FALSE),"")</f>
        <v/>
      </c>
      <c r="AG463" s="18">
        <f>IFERROR(VLOOKUP($H463&amp;"|"&amp;$Q463,Tariff_Master!$A$2:$L$169,8,FALSE),"")</f>
        <v/>
      </c>
      <c r="AH463" s="20">
        <f>IFERROR(VLOOKUP($H463&amp;"|"&amp;$Q463,Tariff_Master!$A$2:$L$169,9,FALSE),"")</f>
        <v/>
      </c>
      <c r="AI463" s="18">
        <f>IFERROR(VLOOKUP($H463&amp;"|"&amp;$Q463,Tariff_Master!$A$2:$L$169,10,FALSE),"")</f>
        <v/>
      </c>
      <c r="AJ463" s="21">
        <f>IF($M463="","",ROUNDUP(MAX(0,$M463),0))</f>
        <v/>
      </c>
      <c r="AK463" s="21">
        <f>IF(OR($AJ463="",$AF463=""),"",MAX(0,$AJ463-$AF463))</f>
        <v/>
      </c>
      <c r="AL463" s="22">
        <f>IF(OR($AK463="",$AG463=""),"",MAX(0,$AK463*$AG463))</f>
        <v/>
      </c>
      <c r="AM463" s="22">
        <f>IF($AE463="","",MAX(0,SUM($AE463,$AL463,$V463,$W463)))</f>
        <v/>
      </c>
      <c r="AN463" s="22">
        <f>IF($AM463="","",IF(AND($Q463="COMMITMENT",$R463&gt;=$AH463),$AI463,0))</f>
        <v/>
      </c>
      <c r="AO463" s="23">
        <f>IF($AM463="","",MAX(0,$AM463-$AN463))</f>
        <v/>
      </c>
      <c r="AP463" s="22">
        <f>IF($S463="","",IF(OR($S463="ITEM_PRICE_PLUS_DECLARED_DELIVERY",$S463="DELIVERY_CHARGE_ONLY"),$K463,IF($S463="TOTAL_AMOUNT_INCLUDING_DELIVERY",IF(OR($T463="",$J463=""),"",MAX(0,$T463-$J463-$U463)),IF($S463="ITEM_PRICE_ONLY_DELIVERY_PAID_BY_MERCHANT",0,""))))</f>
        <v/>
      </c>
      <c r="AQ463" s="23">
        <f>IF(OR($AP463="",$AO463=""),"",$AP463-$AO463)</f>
        <v/>
      </c>
      <c r="AR463" s="24">
        <f>IF($S463="EXACT_COLLECTION_AMOUNT","BREAKDOWN_REQUIRED",IF($AQ463="","",IF($AQ463&gt;0,"CREDIT_TO_MERCHANT",IF($AQ463&lt;0,"DEDUCT_FROM_MERCHANT","NO_ADJUSTMENT"))))</f>
        <v/>
      </c>
      <c r="AS463" s="23">
        <f>IF(OR($AQ463="",$AR463="BREAKDOWN_REQUIRED"),"",$AQ463)</f>
        <v/>
      </c>
      <c r="AT463" s="23">
        <f>IF(OR($AR463="",$AR463="BREAKDOWN_REQUIRED"),"",SUM($J463,$AQ463,$Y463)-$X463)</f>
        <v/>
      </c>
      <c r="AU463" s="25">
        <f>IF(AND($A463="",$B463="",$F463="",$H463="",$J463="",$K463="",$M463="",$S463=""),"",IF(OR($H463="",$Q463="",$M463="",$S463=""),"ERROR",IF(OR($J463&lt;0,$K463&lt;0,$M463&lt;0,$T463&lt;0,$U463&lt;0,$V463&lt;0,$W463&lt;0,$X463&lt;0,$Y463&lt;0),"ERROR",IF($AE463="","ERROR",IF(AND(OR($S463="ITEM_PRICE_PLUS_DECLARED_DELIVERY",$S463="TOTAL_AMOUNT_INCLUDING_DELIVERY",$S463="ITEM_PRICE_ONLY_DELIVERY_PAID_BY_MERCHANT"),$J463=""),"ERROR",IF(AND(OR($S463="ITEM_PRICE_PLUS_DECLARED_DELIVERY",$S463="DELIVERY_CHARGE_ONLY"),$K463=""),"ERROR",IF(AND(OR($S463="TOTAL_AMOUNT_INCLUDING_DELIVERY",$S463="EXACT_COLLECTION_AMOUNT"),$T463=""),"ERROR",IF(AND($S463="TOTAL_AMOUNT_INCLUDING_DELIVERY",$T463&lt;SUM($J463,$U463)),"ERROR",IF($S463="EXACT_COLLECTION_AMOUNT","REVIEW","OK")))))))))</f>
        <v/>
      </c>
      <c r="AV463" s="25">
        <f>IF($AU463="","",IF($H463="","Township required",IF($Q463="","Customer tier required",IF($M463="","Weight required",IF($S463="","Amount entry type required",IF(OR($J463&lt;0,$K463&lt;0,$M463&lt;0,$T463&lt;0,$U463&lt;0,$V463&lt;0,$W463&lt;0,$X463&lt;0,$Y463&lt;0),"Negative amounts are not allowed",IF($AE463="","Tariff not found for township and tier",IF(AND(OR($S463="ITEM_PRICE_PLUS_DECLARED_DELIVERY",$S463="TOTAL_AMOUNT_INCLUDING_DELIVERY",$S463="ITEM_PRICE_ONLY_DELIVERY_PAID_BY_MERCHANT"),$J463=""),"Item price required for this amount type",IF(AND(OR($S463="ITEM_PRICE_PLUS_DECLARED_DELIVERY",$S463="DELIVERY_CHARGE_ONLY"),$K463=""),"Declared delivery charge required",IF(AND(OR($S463="TOTAL_AMOUNT_INCLUDING_DELIVERY",$S463="EXACT_COLLECTION_AMOUNT"),$T463=""),"Stated total amount required",IF(AND($S463="TOTAL_AMOUNT_INCLUDING_DELIVERY",$T463&lt;SUM($J463,$U463)),"Stated total is below item price plus additional charge",IF($S463="EXACT_COLLECTION_AMOUNT","Authorized amount breakdown required before settlement","Ready for collection and settlement"))))))))))))</f>
        <v/>
      </c>
      <c r="AW463" s="23">
        <f>IF($AU463="","","PARCEL_FINANCIAL_V2")</f>
        <v/>
      </c>
      <c r="AX463" s="17" t="n"/>
    </row>
    <row r="464">
      <c r="A464" s="8" t="n"/>
      <c r="B464" s="8" t="n"/>
      <c r="C464" s="8" t="n"/>
      <c r="D464" s="8" t="n"/>
      <c r="E464" s="9" t="n"/>
      <c r="F464" s="9" t="n"/>
      <c r="G464" s="8" t="n"/>
      <c r="H464" s="9" t="n"/>
      <c r="I464" s="9" t="n"/>
      <c r="J464" s="10" t="n"/>
      <c r="K464" s="10" t="n"/>
      <c r="L464" s="11">
        <f>IF($S464="","",IF($S464="ITEM_PRICE_PLUS_DECLARED_DELIVERY",IF(OR($J464="",$K464=""),"",SUM($J464,$K464,$U464)),IF($S464="TOTAL_AMOUNT_INCLUDING_DELIVERY",IF($T464="","",$T464),IF($S464="DELIVERY_CHARGE_ONLY",IF($K464="","",SUM($K464,$U464)),IF($S464="EXACT_COLLECTION_AMOUNT",IF($T464="","",$T464),IF($S464="ITEM_PRICE_ONLY_DELIVERY_PAID_BY_MERCHANT",IF($J464="","",SUM($J464,$U464)),""))))))</f>
        <v/>
      </c>
      <c r="M464" s="12" t="n"/>
      <c r="N464" s="13" t="n"/>
      <c r="O464" s="13" t="n"/>
      <c r="P464" s="9" t="n"/>
      <c r="Q464" s="14" t="n"/>
      <c r="R464" s="15" t="n"/>
      <c r="S464" s="14" t="n"/>
      <c r="T464" s="16" t="n"/>
      <c r="U464" s="16" t="n"/>
      <c r="V464" s="16" t="n"/>
      <c r="W464" s="16" t="n"/>
      <c r="X464" s="16" t="n"/>
      <c r="Y464" s="16" t="n"/>
      <c r="Z464" s="14" t="n"/>
      <c r="AA464" s="14" t="n"/>
      <c r="AB464" s="14" t="n"/>
      <c r="AC464" s="17">
        <f>IFERROR(VLOOKUP($H464&amp;"|"&amp;$Q464,Tariff_Master!$A$2:$L$169,3,FALSE),"")</f>
        <v/>
      </c>
      <c r="AD464" s="17">
        <f>IFERROR(VLOOKUP($H464&amp;"|"&amp;$Q464,Tariff_Master!$A$2:$L$169,4,FALSE),"")</f>
        <v/>
      </c>
      <c r="AE464" s="18">
        <f>IFERROR(VLOOKUP($H464&amp;"|"&amp;$Q464,Tariff_Master!$A$2:$L$169,6,FALSE),"")</f>
        <v/>
      </c>
      <c r="AF464" s="19">
        <f>IFERROR(VLOOKUP($H464&amp;"|"&amp;$Q464,Tariff_Master!$A$2:$L$169,7,FALSE),"")</f>
        <v/>
      </c>
      <c r="AG464" s="18">
        <f>IFERROR(VLOOKUP($H464&amp;"|"&amp;$Q464,Tariff_Master!$A$2:$L$169,8,FALSE),"")</f>
        <v/>
      </c>
      <c r="AH464" s="20">
        <f>IFERROR(VLOOKUP($H464&amp;"|"&amp;$Q464,Tariff_Master!$A$2:$L$169,9,FALSE),"")</f>
        <v/>
      </c>
      <c r="AI464" s="18">
        <f>IFERROR(VLOOKUP($H464&amp;"|"&amp;$Q464,Tariff_Master!$A$2:$L$169,10,FALSE),"")</f>
        <v/>
      </c>
      <c r="AJ464" s="21">
        <f>IF($M464="","",ROUNDUP(MAX(0,$M464),0))</f>
        <v/>
      </c>
      <c r="AK464" s="21">
        <f>IF(OR($AJ464="",$AF464=""),"",MAX(0,$AJ464-$AF464))</f>
        <v/>
      </c>
      <c r="AL464" s="22">
        <f>IF(OR($AK464="",$AG464=""),"",MAX(0,$AK464*$AG464))</f>
        <v/>
      </c>
      <c r="AM464" s="22">
        <f>IF($AE464="","",MAX(0,SUM($AE464,$AL464,$V464,$W464)))</f>
        <v/>
      </c>
      <c r="AN464" s="22">
        <f>IF($AM464="","",IF(AND($Q464="COMMITMENT",$R464&gt;=$AH464),$AI464,0))</f>
        <v/>
      </c>
      <c r="AO464" s="23">
        <f>IF($AM464="","",MAX(0,$AM464-$AN464))</f>
        <v/>
      </c>
      <c r="AP464" s="22">
        <f>IF($S464="","",IF(OR($S464="ITEM_PRICE_PLUS_DECLARED_DELIVERY",$S464="DELIVERY_CHARGE_ONLY"),$K464,IF($S464="TOTAL_AMOUNT_INCLUDING_DELIVERY",IF(OR($T464="",$J464=""),"",MAX(0,$T464-$J464-$U464)),IF($S464="ITEM_PRICE_ONLY_DELIVERY_PAID_BY_MERCHANT",0,""))))</f>
        <v/>
      </c>
      <c r="AQ464" s="23">
        <f>IF(OR($AP464="",$AO464=""),"",$AP464-$AO464)</f>
        <v/>
      </c>
      <c r="AR464" s="24">
        <f>IF($S464="EXACT_COLLECTION_AMOUNT","BREAKDOWN_REQUIRED",IF($AQ464="","",IF($AQ464&gt;0,"CREDIT_TO_MERCHANT",IF($AQ464&lt;0,"DEDUCT_FROM_MERCHANT","NO_ADJUSTMENT"))))</f>
        <v/>
      </c>
      <c r="AS464" s="23">
        <f>IF(OR($AQ464="",$AR464="BREAKDOWN_REQUIRED"),"",$AQ464)</f>
        <v/>
      </c>
      <c r="AT464" s="23">
        <f>IF(OR($AR464="",$AR464="BREAKDOWN_REQUIRED"),"",SUM($J464,$AQ464,$Y464)-$X464)</f>
        <v/>
      </c>
      <c r="AU464" s="25">
        <f>IF(AND($A464="",$B464="",$F464="",$H464="",$J464="",$K464="",$M464="",$S464=""),"",IF(OR($H464="",$Q464="",$M464="",$S464=""),"ERROR",IF(OR($J464&lt;0,$K464&lt;0,$M464&lt;0,$T464&lt;0,$U464&lt;0,$V464&lt;0,$W464&lt;0,$X464&lt;0,$Y464&lt;0),"ERROR",IF($AE464="","ERROR",IF(AND(OR($S464="ITEM_PRICE_PLUS_DECLARED_DELIVERY",$S464="TOTAL_AMOUNT_INCLUDING_DELIVERY",$S464="ITEM_PRICE_ONLY_DELIVERY_PAID_BY_MERCHANT"),$J464=""),"ERROR",IF(AND(OR($S464="ITEM_PRICE_PLUS_DECLARED_DELIVERY",$S464="DELIVERY_CHARGE_ONLY"),$K464=""),"ERROR",IF(AND(OR($S464="TOTAL_AMOUNT_INCLUDING_DELIVERY",$S464="EXACT_COLLECTION_AMOUNT"),$T464=""),"ERROR",IF(AND($S464="TOTAL_AMOUNT_INCLUDING_DELIVERY",$T464&lt;SUM($J464,$U464)),"ERROR",IF($S464="EXACT_COLLECTION_AMOUNT","REVIEW","OK")))))))))</f>
        <v/>
      </c>
      <c r="AV464" s="25">
        <f>IF($AU464="","",IF($H464="","Township required",IF($Q464="","Customer tier required",IF($M464="","Weight required",IF($S464="","Amount entry type required",IF(OR($J464&lt;0,$K464&lt;0,$M464&lt;0,$T464&lt;0,$U464&lt;0,$V464&lt;0,$W464&lt;0,$X464&lt;0,$Y464&lt;0),"Negative amounts are not allowed",IF($AE464="","Tariff not found for township and tier",IF(AND(OR($S464="ITEM_PRICE_PLUS_DECLARED_DELIVERY",$S464="TOTAL_AMOUNT_INCLUDING_DELIVERY",$S464="ITEM_PRICE_ONLY_DELIVERY_PAID_BY_MERCHANT"),$J464=""),"Item price required for this amount type",IF(AND(OR($S464="ITEM_PRICE_PLUS_DECLARED_DELIVERY",$S464="DELIVERY_CHARGE_ONLY"),$K464=""),"Declared delivery charge required",IF(AND(OR($S464="TOTAL_AMOUNT_INCLUDING_DELIVERY",$S464="EXACT_COLLECTION_AMOUNT"),$T464=""),"Stated total amount required",IF(AND($S464="TOTAL_AMOUNT_INCLUDING_DELIVERY",$T464&lt;SUM($J464,$U464)),"Stated total is below item price plus additional charge",IF($S464="EXACT_COLLECTION_AMOUNT","Authorized amount breakdown required before settlement","Ready for collection and settlement"))))))))))))</f>
        <v/>
      </c>
      <c r="AW464" s="23">
        <f>IF($AU464="","","PARCEL_FINANCIAL_V2")</f>
        <v/>
      </c>
      <c r="AX464" s="17" t="n"/>
    </row>
    <row r="465">
      <c r="A465" s="8" t="n"/>
      <c r="B465" s="8" t="n"/>
      <c r="C465" s="8" t="n"/>
      <c r="D465" s="8" t="n"/>
      <c r="E465" s="9" t="n"/>
      <c r="F465" s="9" t="n"/>
      <c r="G465" s="8" t="n"/>
      <c r="H465" s="9" t="n"/>
      <c r="I465" s="9" t="n"/>
      <c r="J465" s="10" t="n"/>
      <c r="K465" s="10" t="n"/>
      <c r="L465" s="11">
        <f>IF($S465="","",IF($S465="ITEM_PRICE_PLUS_DECLARED_DELIVERY",IF(OR($J465="",$K465=""),"",SUM($J465,$K465,$U465)),IF($S465="TOTAL_AMOUNT_INCLUDING_DELIVERY",IF($T465="","",$T465),IF($S465="DELIVERY_CHARGE_ONLY",IF($K465="","",SUM($K465,$U465)),IF($S465="EXACT_COLLECTION_AMOUNT",IF($T465="","",$T465),IF($S465="ITEM_PRICE_ONLY_DELIVERY_PAID_BY_MERCHANT",IF($J465="","",SUM($J465,$U465)),""))))))</f>
        <v/>
      </c>
      <c r="M465" s="12" t="n"/>
      <c r="N465" s="13" t="n"/>
      <c r="O465" s="13" t="n"/>
      <c r="P465" s="9" t="n"/>
      <c r="Q465" s="14" t="n"/>
      <c r="R465" s="15" t="n"/>
      <c r="S465" s="14" t="n"/>
      <c r="T465" s="16" t="n"/>
      <c r="U465" s="16" t="n"/>
      <c r="V465" s="16" t="n"/>
      <c r="W465" s="16" t="n"/>
      <c r="X465" s="16" t="n"/>
      <c r="Y465" s="16" t="n"/>
      <c r="Z465" s="14" t="n"/>
      <c r="AA465" s="14" t="n"/>
      <c r="AB465" s="14" t="n"/>
      <c r="AC465" s="17">
        <f>IFERROR(VLOOKUP($H465&amp;"|"&amp;$Q465,Tariff_Master!$A$2:$L$169,3,FALSE),"")</f>
        <v/>
      </c>
      <c r="AD465" s="17">
        <f>IFERROR(VLOOKUP($H465&amp;"|"&amp;$Q465,Tariff_Master!$A$2:$L$169,4,FALSE),"")</f>
        <v/>
      </c>
      <c r="AE465" s="18">
        <f>IFERROR(VLOOKUP($H465&amp;"|"&amp;$Q465,Tariff_Master!$A$2:$L$169,6,FALSE),"")</f>
        <v/>
      </c>
      <c r="AF465" s="19">
        <f>IFERROR(VLOOKUP($H465&amp;"|"&amp;$Q465,Tariff_Master!$A$2:$L$169,7,FALSE),"")</f>
        <v/>
      </c>
      <c r="AG465" s="18">
        <f>IFERROR(VLOOKUP($H465&amp;"|"&amp;$Q465,Tariff_Master!$A$2:$L$169,8,FALSE),"")</f>
        <v/>
      </c>
      <c r="AH465" s="20">
        <f>IFERROR(VLOOKUP($H465&amp;"|"&amp;$Q465,Tariff_Master!$A$2:$L$169,9,FALSE),"")</f>
        <v/>
      </c>
      <c r="AI465" s="18">
        <f>IFERROR(VLOOKUP($H465&amp;"|"&amp;$Q465,Tariff_Master!$A$2:$L$169,10,FALSE),"")</f>
        <v/>
      </c>
      <c r="AJ465" s="21">
        <f>IF($M465="","",ROUNDUP(MAX(0,$M465),0))</f>
        <v/>
      </c>
      <c r="AK465" s="21">
        <f>IF(OR($AJ465="",$AF465=""),"",MAX(0,$AJ465-$AF465))</f>
        <v/>
      </c>
      <c r="AL465" s="22">
        <f>IF(OR($AK465="",$AG465=""),"",MAX(0,$AK465*$AG465))</f>
        <v/>
      </c>
      <c r="AM465" s="22">
        <f>IF($AE465="","",MAX(0,SUM($AE465,$AL465,$V465,$W465)))</f>
        <v/>
      </c>
      <c r="AN465" s="22">
        <f>IF($AM465="","",IF(AND($Q465="COMMITMENT",$R465&gt;=$AH465),$AI465,0))</f>
        <v/>
      </c>
      <c r="AO465" s="23">
        <f>IF($AM465="","",MAX(0,$AM465-$AN465))</f>
        <v/>
      </c>
      <c r="AP465" s="22">
        <f>IF($S465="","",IF(OR($S465="ITEM_PRICE_PLUS_DECLARED_DELIVERY",$S465="DELIVERY_CHARGE_ONLY"),$K465,IF($S465="TOTAL_AMOUNT_INCLUDING_DELIVERY",IF(OR($T465="",$J465=""),"",MAX(0,$T465-$J465-$U465)),IF($S465="ITEM_PRICE_ONLY_DELIVERY_PAID_BY_MERCHANT",0,""))))</f>
        <v/>
      </c>
      <c r="AQ465" s="23">
        <f>IF(OR($AP465="",$AO465=""),"",$AP465-$AO465)</f>
        <v/>
      </c>
      <c r="AR465" s="24">
        <f>IF($S465="EXACT_COLLECTION_AMOUNT","BREAKDOWN_REQUIRED",IF($AQ465="","",IF($AQ465&gt;0,"CREDIT_TO_MERCHANT",IF($AQ465&lt;0,"DEDUCT_FROM_MERCHANT","NO_ADJUSTMENT"))))</f>
        <v/>
      </c>
      <c r="AS465" s="23">
        <f>IF(OR($AQ465="",$AR465="BREAKDOWN_REQUIRED"),"",$AQ465)</f>
        <v/>
      </c>
      <c r="AT465" s="23">
        <f>IF(OR($AR465="",$AR465="BREAKDOWN_REQUIRED"),"",SUM($J465,$AQ465,$Y465)-$X465)</f>
        <v/>
      </c>
      <c r="AU465" s="25">
        <f>IF(AND($A465="",$B465="",$F465="",$H465="",$J465="",$K465="",$M465="",$S465=""),"",IF(OR($H465="",$Q465="",$M465="",$S465=""),"ERROR",IF(OR($J465&lt;0,$K465&lt;0,$M465&lt;0,$T465&lt;0,$U465&lt;0,$V465&lt;0,$W465&lt;0,$X465&lt;0,$Y465&lt;0),"ERROR",IF($AE465="","ERROR",IF(AND(OR($S465="ITEM_PRICE_PLUS_DECLARED_DELIVERY",$S465="TOTAL_AMOUNT_INCLUDING_DELIVERY",$S465="ITEM_PRICE_ONLY_DELIVERY_PAID_BY_MERCHANT"),$J465=""),"ERROR",IF(AND(OR($S465="ITEM_PRICE_PLUS_DECLARED_DELIVERY",$S465="DELIVERY_CHARGE_ONLY"),$K465=""),"ERROR",IF(AND(OR($S465="TOTAL_AMOUNT_INCLUDING_DELIVERY",$S465="EXACT_COLLECTION_AMOUNT"),$T465=""),"ERROR",IF(AND($S465="TOTAL_AMOUNT_INCLUDING_DELIVERY",$T465&lt;SUM($J465,$U465)),"ERROR",IF($S465="EXACT_COLLECTION_AMOUNT","REVIEW","OK")))))))))</f>
        <v/>
      </c>
      <c r="AV465" s="25">
        <f>IF($AU465="","",IF($H465="","Township required",IF($Q465="","Customer tier required",IF($M465="","Weight required",IF($S465="","Amount entry type required",IF(OR($J465&lt;0,$K465&lt;0,$M465&lt;0,$T465&lt;0,$U465&lt;0,$V465&lt;0,$W465&lt;0,$X465&lt;0,$Y465&lt;0),"Negative amounts are not allowed",IF($AE465="","Tariff not found for township and tier",IF(AND(OR($S465="ITEM_PRICE_PLUS_DECLARED_DELIVERY",$S465="TOTAL_AMOUNT_INCLUDING_DELIVERY",$S465="ITEM_PRICE_ONLY_DELIVERY_PAID_BY_MERCHANT"),$J465=""),"Item price required for this amount type",IF(AND(OR($S465="ITEM_PRICE_PLUS_DECLARED_DELIVERY",$S465="DELIVERY_CHARGE_ONLY"),$K465=""),"Declared delivery charge required",IF(AND(OR($S465="TOTAL_AMOUNT_INCLUDING_DELIVERY",$S465="EXACT_COLLECTION_AMOUNT"),$T465=""),"Stated total amount required",IF(AND($S465="TOTAL_AMOUNT_INCLUDING_DELIVERY",$T465&lt;SUM($J465,$U465)),"Stated total is below item price plus additional charge",IF($S465="EXACT_COLLECTION_AMOUNT","Authorized amount breakdown required before settlement","Ready for collection and settlement"))))))))))))</f>
        <v/>
      </c>
      <c r="AW465" s="23">
        <f>IF($AU465="","","PARCEL_FINANCIAL_V2")</f>
        <v/>
      </c>
      <c r="AX465" s="17" t="n"/>
    </row>
    <row r="466">
      <c r="A466" s="8" t="n"/>
      <c r="B466" s="8" t="n"/>
      <c r="C466" s="8" t="n"/>
      <c r="D466" s="8" t="n"/>
      <c r="E466" s="9" t="n"/>
      <c r="F466" s="9" t="n"/>
      <c r="G466" s="8" t="n"/>
      <c r="H466" s="9" t="n"/>
      <c r="I466" s="9" t="n"/>
      <c r="J466" s="10" t="n"/>
      <c r="K466" s="10" t="n"/>
      <c r="L466" s="11">
        <f>IF($S466="","",IF($S466="ITEM_PRICE_PLUS_DECLARED_DELIVERY",IF(OR($J466="",$K466=""),"",SUM($J466,$K466,$U466)),IF($S466="TOTAL_AMOUNT_INCLUDING_DELIVERY",IF($T466="","",$T466),IF($S466="DELIVERY_CHARGE_ONLY",IF($K466="","",SUM($K466,$U466)),IF($S466="EXACT_COLLECTION_AMOUNT",IF($T466="","",$T466),IF($S466="ITEM_PRICE_ONLY_DELIVERY_PAID_BY_MERCHANT",IF($J466="","",SUM($J466,$U466)),""))))))</f>
        <v/>
      </c>
      <c r="M466" s="12" t="n"/>
      <c r="N466" s="13" t="n"/>
      <c r="O466" s="13" t="n"/>
      <c r="P466" s="9" t="n"/>
      <c r="Q466" s="14" t="n"/>
      <c r="R466" s="15" t="n"/>
      <c r="S466" s="14" t="n"/>
      <c r="T466" s="16" t="n"/>
      <c r="U466" s="16" t="n"/>
      <c r="V466" s="16" t="n"/>
      <c r="W466" s="16" t="n"/>
      <c r="X466" s="16" t="n"/>
      <c r="Y466" s="16" t="n"/>
      <c r="Z466" s="14" t="n"/>
      <c r="AA466" s="14" t="n"/>
      <c r="AB466" s="14" t="n"/>
      <c r="AC466" s="17">
        <f>IFERROR(VLOOKUP($H466&amp;"|"&amp;$Q466,Tariff_Master!$A$2:$L$169,3,FALSE),"")</f>
        <v/>
      </c>
      <c r="AD466" s="17">
        <f>IFERROR(VLOOKUP($H466&amp;"|"&amp;$Q466,Tariff_Master!$A$2:$L$169,4,FALSE),"")</f>
        <v/>
      </c>
      <c r="AE466" s="18">
        <f>IFERROR(VLOOKUP($H466&amp;"|"&amp;$Q466,Tariff_Master!$A$2:$L$169,6,FALSE),"")</f>
        <v/>
      </c>
      <c r="AF466" s="19">
        <f>IFERROR(VLOOKUP($H466&amp;"|"&amp;$Q466,Tariff_Master!$A$2:$L$169,7,FALSE),"")</f>
        <v/>
      </c>
      <c r="AG466" s="18">
        <f>IFERROR(VLOOKUP($H466&amp;"|"&amp;$Q466,Tariff_Master!$A$2:$L$169,8,FALSE),"")</f>
        <v/>
      </c>
      <c r="AH466" s="20">
        <f>IFERROR(VLOOKUP($H466&amp;"|"&amp;$Q466,Tariff_Master!$A$2:$L$169,9,FALSE),"")</f>
        <v/>
      </c>
      <c r="AI466" s="18">
        <f>IFERROR(VLOOKUP($H466&amp;"|"&amp;$Q466,Tariff_Master!$A$2:$L$169,10,FALSE),"")</f>
        <v/>
      </c>
      <c r="AJ466" s="21">
        <f>IF($M466="","",ROUNDUP(MAX(0,$M466),0))</f>
        <v/>
      </c>
      <c r="AK466" s="21">
        <f>IF(OR($AJ466="",$AF466=""),"",MAX(0,$AJ466-$AF466))</f>
        <v/>
      </c>
      <c r="AL466" s="22">
        <f>IF(OR($AK466="",$AG466=""),"",MAX(0,$AK466*$AG466))</f>
        <v/>
      </c>
      <c r="AM466" s="22">
        <f>IF($AE466="","",MAX(0,SUM($AE466,$AL466,$V466,$W466)))</f>
        <v/>
      </c>
      <c r="AN466" s="22">
        <f>IF($AM466="","",IF(AND($Q466="COMMITMENT",$R466&gt;=$AH466),$AI466,0))</f>
        <v/>
      </c>
      <c r="AO466" s="23">
        <f>IF($AM466="","",MAX(0,$AM466-$AN466))</f>
        <v/>
      </c>
      <c r="AP466" s="22">
        <f>IF($S466="","",IF(OR($S466="ITEM_PRICE_PLUS_DECLARED_DELIVERY",$S466="DELIVERY_CHARGE_ONLY"),$K466,IF($S466="TOTAL_AMOUNT_INCLUDING_DELIVERY",IF(OR($T466="",$J466=""),"",MAX(0,$T466-$J466-$U466)),IF($S466="ITEM_PRICE_ONLY_DELIVERY_PAID_BY_MERCHANT",0,""))))</f>
        <v/>
      </c>
      <c r="AQ466" s="23">
        <f>IF(OR($AP466="",$AO466=""),"",$AP466-$AO466)</f>
        <v/>
      </c>
      <c r="AR466" s="24">
        <f>IF($S466="EXACT_COLLECTION_AMOUNT","BREAKDOWN_REQUIRED",IF($AQ466="","",IF($AQ466&gt;0,"CREDIT_TO_MERCHANT",IF($AQ466&lt;0,"DEDUCT_FROM_MERCHANT","NO_ADJUSTMENT"))))</f>
        <v/>
      </c>
      <c r="AS466" s="23">
        <f>IF(OR($AQ466="",$AR466="BREAKDOWN_REQUIRED"),"",$AQ466)</f>
        <v/>
      </c>
      <c r="AT466" s="23">
        <f>IF(OR($AR466="",$AR466="BREAKDOWN_REQUIRED"),"",SUM($J466,$AQ466,$Y466)-$X466)</f>
        <v/>
      </c>
      <c r="AU466" s="25">
        <f>IF(AND($A466="",$B466="",$F466="",$H466="",$J466="",$K466="",$M466="",$S466=""),"",IF(OR($H466="",$Q466="",$M466="",$S466=""),"ERROR",IF(OR($J466&lt;0,$K466&lt;0,$M466&lt;0,$T466&lt;0,$U466&lt;0,$V466&lt;0,$W466&lt;0,$X466&lt;0,$Y466&lt;0),"ERROR",IF($AE466="","ERROR",IF(AND(OR($S466="ITEM_PRICE_PLUS_DECLARED_DELIVERY",$S466="TOTAL_AMOUNT_INCLUDING_DELIVERY",$S466="ITEM_PRICE_ONLY_DELIVERY_PAID_BY_MERCHANT"),$J466=""),"ERROR",IF(AND(OR($S466="ITEM_PRICE_PLUS_DECLARED_DELIVERY",$S466="DELIVERY_CHARGE_ONLY"),$K466=""),"ERROR",IF(AND(OR($S466="TOTAL_AMOUNT_INCLUDING_DELIVERY",$S466="EXACT_COLLECTION_AMOUNT"),$T466=""),"ERROR",IF(AND($S466="TOTAL_AMOUNT_INCLUDING_DELIVERY",$T466&lt;SUM($J466,$U466)),"ERROR",IF($S466="EXACT_COLLECTION_AMOUNT","REVIEW","OK")))))))))</f>
        <v/>
      </c>
      <c r="AV466" s="25">
        <f>IF($AU466="","",IF($H466="","Township required",IF($Q466="","Customer tier required",IF($M466="","Weight required",IF($S466="","Amount entry type required",IF(OR($J466&lt;0,$K466&lt;0,$M466&lt;0,$T466&lt;0,$U466&lt;0,$V466&lt;0,$W466&lt;0,$X466&lt;0,$Y466&lt;0),"Negative amounts are not allowed",IF($AE466="","Tariff not found for township and tier",IF(AND(OR($S466="ITEM_PRICE_PLUS_DECLARED_DELIVERY",$S466="TOTAL_AMOUNT_INCLUDING_DELIVERY",$S466="ITEM_PRICE_ONLY_DELIVERY_PAID_BY_MERCHANT"),$J466=""),"Item price required for this amount type",IF(AND(OR($S466="ITEM_PRICE_PLUS_DECLARED_DELIVERY",$S466="DELIVERY_CHARGE_ONLY"),$K466=""),"Declared delivery charge required",IF(AND(OR($S466="TOTAL_AMOUNT_INCLUDING_DELIVERY",$S466="EXACT_COLLECTION_AMOUNT"),$T466=""),"Stated total amount required",IF(AND($S466="TOTAL_AMOUNT_INCLUDING_DELIVERY",$T466&lt;SUM($J466,$U466)),"Stated total is below item price plus additional charge",IF($S466="EXACT_COLLECTION_AMOUNT","Authorized amount breakdown required before settlement","Ready for collection and settlement"))))))))))))</f>
        <v/>
      </c>
      <c r="AW466" s="23">
        <f>IF($AU466="","","PARCEL_FINANCIAL_V2")</f>
        <v/>
      </c>
      <c r="AX466" s="17" t="n"/>
    </row>
    <row r="467">
      <c r="A467" s="8" t="n"/>
      <c r="B467" s="8" t="n"/>
      <c r="C467" s="8" t="n"/>
      <c r="D467" s="8" t="n"/>
      <c r="E467" s="9" t="n"/>
      <c r="F467" s="9" t="n"/>
      <c r="G467" s="8" t="n"/>
      <c r="H467" s="9" t="n"/>
      <c r="I467" s="9" t="n"/>
      <c r="J467" s="10" t="n"/>
      <c r="K467" s="10" t="n"/>
      <c r="L467" s="11">
        <f>IF($S467="","",IF($S467="ITEM_PRICE_PLUS_DECLARED_DELIVERY",IF(OR($J467="",$K467=""),"",SUM($J467,$K467,$U467)),IF($S467="TOTAL_AMOUNT_INCLUDING_DELIVERY",IF($T467="","",$T467),IF($S467="DELIVERY_CHARGE_ONLY",IF($K467="","",SUM($K467,$U467)),IF($S467="EXACT_COLLECTION_AMOUNT",IF($T467="","",$T467),IF($S467="ITEM_PRICE_ONLY_DELIVERY_PAID_BY_MERCHANT",IF($J467="","",SUM($J467,$U467)),""))))))</f>
        <v/>
      </c>
      <c r="M467" s="12" t="n"/>
      <c r="N467" s="13" t="n"/>
      <c r="O467" s="13" t="n"/>
      <c r="P467" s="9" t="n"/>
      <c r="Q467" s="14" t="n"/>
      <c r="R467" s="15" t="n"/>
      <c r="S467" s="14" t="n"/>
      <c r="T467" s="16" t="n"/>
      <c r="U467" s="16" t="n"/>
      <c r="V467" s="16" t="n"/>
      <c r="W467" s="16" t="n"/>
      <c r="X467" s="16" t="n"/>
      <c r="Y467" s="16" t="n"/>
      <c r="Z467" s="14" t="n"/>
      <c r="AA467" s="14" t="n"/>
      <c r="AB467" s="14" t="n"/>
      <c r="AC467" s="17">
        <f>IFERROR(VLOOKUP($H467&amp;"|"&amp;$Q467,Tariff_Master!$A$2:$L$169,3,FALSE),"")</f>
        <v/>
      </c>
      <c r="AD467" s="17">
        <f>IFERROR(VLOOKUP($H467&amp;"|"&amp;$Q467,Tariff_Master!$A$2:$L$169,4,FALSE),"")</f>
        <v/>
      </c>
      <c r="AE467" s="18">
        <f>IFERROR(VLOOKUP($H467&amp;"|"&amp;$Q467,Tariff_Master!$A$2:$L$169,6,FALSE),"")</f>
        <v/>
      </c>
      <c r="AF467" s="19">
        <f>IFERROR(VLOOKUP($H467&amp;"|"&amp;$Q467,Tariff_Master!$A$2:$L$169,7,FALSE),"")</f>
        <v/>
      </c>
      <c r="AG467" s="18">
        <f>IFERROR(VLOOKUP($H467&amp;"|"&amp;$Q467,Tariff_Master!$A$2:$L$169,8,FALSE),"")</f>
        <v/>
      </c>
      <c r="AH467" s="20">
        <f>IFERROR(VLOOKUP($H467&amp;"|"&amp;$Q467,Tariff_Master!$A$2:$L$169,9,FALSE),"")</f>
        <v/>
      </c>
      <c r="AI467" s="18">
        <f>IFERROR(VLOOKUP($H467&amp;"|"&amp;$Q467,Tariff_Master!$A$2:$L$169,10,FALSE),"")</f>
        <v/>
      </c>
      <c r="AJ467" s="21">
        <f>IF($M467="","",ROUNDUP(MAX(0,$M467),0))</f>
        <v/>
      </c>
      <c r="AK467" s="21">
        <f>IF(OR($AJ467="",$AF467=""),"",MAX(0,$AJ467-$AF467))</f>
        <v/>
      </c>
      <c r="AL467" s="22">
        <f>IF(OR($AK467="",$AG467=""),"",MAX(0,$AK467*$AG467))</f>
        <v/>
      </c>
      <c r="AM467" s="22">
        <f>IF($AE467="","",MAX(0,SUM($AE467,$AL467,$V467,$W467)))</f>
        <v/>
      </c>
      <c r="AN467" s="22">
        <f>IF($AM467="","",IF(AND($Q467="COMMITMENT",$R467&gt;=$AH467),$AI467,0))</f>
        <v/>
      </c>
      <c r="AO467" s="23">
        <f>IF($AM467="","",MAX(0,$AM467-$AN467))</f>
        <v/>
      </c>
      <c r="AP467" s="22">
        <f>IF($S467="","",IF(OR($S467="ITEM_PRICE_PLUS_DECLARED_DELIVERY",$S467="DELIVERY_CHARGE_ONLY"),$K467,IF($S467="TOTAL_AMOUNT_INCLUDING_DELIVERY",IF(OR($T467="",$J467=""),"",MAX(0,$T467-$J467-$U467)),IF($S467="ITEM_PRICE_ONLY_DELIVERY_PAID_BY_MERCHANT",0,""))))</f>
        <v/>
      </c>
      <c r="AQ467" s="23">
        <f>IF(OR($AP467="",$AO467=""),"",$AP467-$AO467)</f>
        <v/>
      </c>
      <c r="AR467" s="24">
        <f>IF($S467="EXACT_COLLECTION_AMOUNT","BREAKDOWN_REQUIRED",IF($AQ467="","",IF($AQ467&gt;0,"CREDIT_TO_MERCHANT",IF($AQ467&lt;0,"DEDUCT_FROM_MERCHANT","NO_ADJUSTMENT"))))</f>
        <v/>
      </c>
      <c r="AS467" s="23">
        <f>IF(OR($AQ467="",$AR467="BREAKDOWN_REQUIRED"),"",$AQ467)</f>
        <v/>
      </c>
      <c r="AT467" s="23">
        <f>IF(OR($AR467="",$AR467="BREAKDOWN_REQUIRED"),"",SUM($J467,$AQ467,$Y467)-$X467)</f>
        <v/>
      </c>
      <c r="AU467" s="25">
        <f>IF(AND($A467="",$B467="",$F467="",$H467="",$J467="",$K467="",$M467="",$S467=""),"",IF(OR($H467="",$Q467="",$M467="",$S467=""),"ERROR",IF(OR($J467&lt;0,$K467&lt;0,$M467&lt;0,$T467&lt;0,$U467&lt;0,$V467&lt;0,$W467&lt;0,$X467&lt;0,$Y467&lt;0),"ERROR",IF($AE467="","ERROR",IF(AND(OR($S467="ITEM_PRICE_PLUS_DECLARED_DELIVERY",$S467="TOTAL_AMOUNT_INCLUDING_DELIVERY",$S467="ITEM_PRICE_ONLY_DELIVERY_PAID_BY_MERCHANT"),$J467=""),"ERROR",IF(AND(OR($S467="ITEM_PRICE_PLUS_DECLARED_DELIVERY",$S467="DELIVERY_CHARGE_ONLY"),$K467=""),"ERROR",IF(AND(OR($S467="TOTAL_AMOUNT_INCLUDING_DELIVERY",$S467="EXACT_COLLECTION_AMOUNT"),$T467=""),"ERROR",IF(AND($S467="TOTAL_AMOUNT_INCLUDING_DELIVERY",$T467&lt;SUM($J467,$U467)),"ERROR",IF($S467="EXACT_COLLECTION_AMOUNT","REVIEW","OK")))))))))</f>
        <v/>
      </c>
      <c r="AV467" s="25">
        <f>IF($AU467="","",IF($H467="","Township required",IF($Q467="","Customer tier required",IF($M467="","Weight required",IF($S467="","Amount entry type required",IF(OR($J467&lt;0,$K467&lt;0,$M467&lt;0,$T467&lt;0,$U467&lt;0,$V467&lt;0,$W467&lt;0,$X467&lt;0,$Y467&lt;0),"Negative amounts are not allowed",IF($AE467="","Tariff not found for township and tier",IF(AND(OR($S467="ITEM_PRICE_PLUS_DECLARED_DELIVERY",$S467="TOTAL_AMOUNT_INCLUDING_DELIVERY",$S467="ITEM_PRICE_ONLY_DELIVERY_PAID_BY_MERCHANT"),$J467=""),"Item price required for this amount type",IF(AND(OR($S467="ITEM_PRICE_PLUS_DECLARED_DELIVERY",$S467="DELIVERY_CHARGE_ONLY"),$K467=""),"Declared delivery charge required",IF(AND(OR($S467="TOTAL_AMOUNT_INCLUDING_DELIVERY",$S467="EXACT_COLLECTION_AMOUNT"),$T467=""),"Stated total amount required",IF(AND($S467="TOTAL_AMOUNT_INCLUDING_DELIVERY",$T467&lt;SUM($J467,$U467)),"Stated total is below item price plus additional charge",IF($S467="EXACT_COLLECTION_AMOUNT","Authorized amount breakdown required before settlement","Ready for collection and settlement"))))))))))))</f>
        <v/>
      </c>
      <c r="AW467" s="23">
        <f>IF($AU467="","","PARCEL_FINANCIAL_V2")</f>
        <v/>
      </c>
      <c r="AX467" s="17" t="n"/>
    </row>
    <row r="468">
      <c r="A468" s="8" t="n"/>
      <c r="B468" s="8" t="n"/>
      <c r="C468" s="8" t="n"/>
      <c r="D468" s="8" t="n"/>
      <c r="E468" s="9" t="n"/>
      <c r="F468" s="9" t="n"/>
      <c r="G468" s="8" t="n"/>
      <c r="H468" s="9" t="n"/>
      <c r="I468" s="9" t="n"/>
      <c r="J468" s="10" t="n"/>
      <c r="K468" s="10" t="n"/>
      <c r="L468" s="11">
        <f>IF($S468="","",IF($S468="ITEM_PRICE_PLUS_DECLARED_DELIVERY",IF(OR($J468="",$K468=""),"",SUM($J468,$K468,$U468)),IF($S468="TOTAL_AMOUNT_INCLUDING_DELIVERY",IF($T468="","",$T468),IF($S468="DELIVERY_CHARGE_ONLY",IF($K468="","",SUM($K468,$U468)),IF($S468="EXACT_COLLECTION_AMOUNT",IF($T468="","",$T468),IF($S468="ITEM_PRICE_ONLY_DELIVERY_PAID_BY_MERCHANT",IF($J468="","",SUM($J468,$U468)),""))))))</f>
        <v/>
      </c>
      <c r="M468" s="12" t="n"/>
      <c r="N468" s="13" t="n"/>
      <c r="O468" s="13" t="n"/>
      <c r="P468" s="9" t="n"/>
      <c r="Q468" s="14" t="n"/>
      <c r="R468" s="15" t="n"/>
      <c r="S468" s="14" t="n"/>
      <c r="T468" s="16" t="n"/>
      <c r="U468" s="16" t="n"/>
      <c r="V468" s="16" t="n"/>
      <c r="W468" s="16" t="n"/>
      <c r="X468" s="16" t="n"/>
      <c r="Y468" s="16" t="n"/>
      <c r="Z468" s="14" t="n"/>
      <c r="AA468" s="14" t="n"/>
      <c r="AB468" s="14" t="n"/>
      <c r="AC468" s="17">
        <f>IFERROR(VLOOKUP($H468&amp;"|"&amp;$Q468,Tariff_Master!$A$2:$L$169,3,FALSE),"")</f>
        <v/>
      </c>
      <c r="AD468" s="17">
        <f>IFERROR(VLOOKUP($H468&amp;"|"&amp;$Q468,Tariff_Master!$A$2:$L$169,4,FALSE),"")</f>
        <v/>
      </c>
      <c r="AE468" s="18">
        <f>IFERROR(VLOOKUP($H468&amp;"|"&amp;$Q468,Tariff_Master!$A$2:$L$169,6,FALSE),"")</f>
        <v/>
      </c>
      <c r="AF468" s="19">
        <f>IFERROR(VLOOKUP($H468&amp;"|"&amp;$Q468,Tariff_Master!$A$2:$L$169,7,FALSE),"")</f>
        <v/>
      </c>
      <c r="AG468" s="18">
        <f>IFERROR(VLOOKUP($H468&amp;"|"&amp;$Q468,Tariff_Master!$A$2:$L$169,8,FALSE),"")</f>
        <v/>
      </c>
      <c r="AH468" s="20">
        <f>IFERROR(VLOOKUP($H468&amp;"|"&amp;$Q468,Tariff_Master!$A$2:$L$169,9,FALSE),"")</f>
        <v/>
      </c>
      <c r="AI468" s="18">
        <f>IFERROR(VLOOKUP($H468&amp;"|"&amp;$Q468,Tariff_Master!$A$2:$L$169,10,FALSE),"")</f>
        <v/>
      </c>
      <c r="AJ468" s="21">
        <f>IF($M468="","",ROUNDUP(MAX(0,$M468),0))</f>
        <v/>
      </c>
      <c r="AK468" s="21">
        <f>IF(OR($AJ468="",$AF468=""),"",MAX(0,$AJ468-$AF468))</f>
        <v/>
      </c>
      <c r="AL468" s="22">
        <f>IF(OR($AK468="",$AG468=""),"",MAX(0,$AK468*$AG468))</f>
        <v/>
      </c>
      <c r="AM468" s="22">
        <f>IF($AE468="","",MAX(0,SUM($AE468,$AL468,$V468,$W468)))</f>
        <v/>
      </c>
      <c r="AN468" s="22">
        <f>IF($AM468="","",IF(AND($Q468="COMMITMENT",$R468&gt;=$AH468),$AI468,0))</f>
        <v/>
      </c>
      <c r="AO468" s="23">
        <f>IF($AM468="","",MAX(0,$AM468-$AN468))</f>
        <v/>
      </c>
      <c r="AP468" s="22">
        <f>IF($S468="","",IF(OR($S468="ITEM_PRICE_PLUS_DECLARED_DELIVERY",$S468="DELIVERY_CHARGE_ONLY"),$K468,IF($S468="TOTAL_AMOUNT_INCLUDING_DELIVERY",IF(OR($T468="",$J468=""),"",MAX(0,$T468-$J468-$U468)),IF($S468="ITEM_PRICE_ONLY_DELIVERY_PAID_BY_MERCHANT",0,""))))</f>
        <v/>
      </c>
      <c r="AQ468" s="23">
        <f>IF(OR($AP468="",$AO468=""),"",$AP468-$AO468)</f>
        <v/>
      </c>
      <c r="AR468" s="24">
        <f>IF($S468="EXACT_COLLECTION_AMOUNT","BREAKDOWN_REQUIRED",IF($AQ468="","",IF($AQ468&gt;0,"CREDIT_TO_MERCHANT",IF($AQ468&lt;0,"DEDUCT_FROM_MERCHANT","NO_ADJUSTMENT"))))</f>
        <v/>
      </c>
      <c r="AS468" s="23">
        <f>IF(OR($AQ468="",$AR468="BREAKDOWN_REQUIRED"),"",$AQ468)</f>
        <v/>
      </c>
      <c r="AT468" s="23">
        <f>IF(OR($AR468="",$AR468="BREAKDOWN_REQUIRED"),"",SUM($J468,$AQ468,$Y468)-$X468)</f>
        <v/>
      </c>
      <c r="AU468" s="25">
        <f>IF(AND($A468="",$B468="",$F468="",$H468="",$J468="",$K468="",$M468="",$S468=""),"",IF(OR($H468="",$Q468="",$M468="",$S468=""),"ERROR",IF(OR($J468&lt;0,$K468&lt;0,$M468&lt;0,$T468&lt;0,$U468&lt;0,$V468&lt;0,$W468&lt;0,$X468&lt;0,$Y468&lt;0),"ERROR",IF($AE468="","ERROR",IF(AND(OR($S468="ITEM_PRICE_PLUS_DECLARED_DELIVERY",$S468="TOTAL_AMOUNT_INCLUDING_DELIVERY",$S468="ITEM_PRICE_ONLY_DELIVERY_PAID_BY_MERCHANT"),$J468=""),"ERROR",IF(AND(OR($S468="ITEM_PRICE_PLUS_DECLARED_DELIVERY",$S468="DELIVERY_CHARGE_ONLY"),$K468=""),"ERROR",IF(AND(OR($S468="TOTAL_AMOUNT_INCLUDING_DELIVERY",$S468="EXACT_COLLECTION_AMOUNT"),$T468=""),"ERROR",IF(AND($S468="TOTAL_AMOUNT_INCLUDING_DELIVERY",$T468&lt;SUM($J468,$U468)),"ERROR",IF($S468="EXACT_COLLECTION_AMOUNT","REVIEW","OK")))))))))</f>
        <v/>
      </c>
      <c r="AV468" s="25">
        <f>IF($AU468="","",IF($H468="","Township required",IF($Q468="","Customer tier required",IF($M468="","Weight required",IF($S468="","Amount entry type required",IF(OR($J468&lt;0,$K468&lt;0,$M468&lt;0,$T468&lt;0,$U468&lt;0,$V468&lt;0,$W468&lt;0,$X468&lt;0,$Y468&lt;0),"Negative amounts are not allowed",IF($AE468="","Tariff not found for township and tier",IF(AND(OR($S468="ITEM_PRICE_PLUS_DECLARED_DELIVERY",$S468="TOTAL_AMOUNT_INCLUDING_DELIVERY",$S468="ITEM_PRICE_ONLY_DELIVERY_PAID_BY_MERCHANT"),$J468=""),"Item price required for this amount type",IF(AND(OR($S468="ITEM_PRICE_PLUS_DECLARED_DELIVERY",$S468="DELIVERY_CHARGE_ONLY"),$K468=""),"Declared delivery charge required",IF(AND(OR($S468="TOTAL_AMOUNT_INCLUDING_DELIVERY",$S468="EXACT_COLLECTION_AMOUNT"),$T468=""),"Stated total amount required",IF(AND($S468="TOTAL_AMOUNT_INCLUDING_DELIVERY",$T468&lt;SUM($J468,$U468)),"Stated total is below item price plus additional charge",IF($S468="EXACT_COLLECTION_AMOUNT","Authorized amount breakdown required before settlement","Ready for collection and settlement"))))))))))))</f>
        <v/>
      </c>
      <c r="AW468" s="23">
        <f>IF($AU468="","","PARCEL_FINANCIAL_V2")</f>
        <v/>
      </c>
      <c r="AX468" s="17" t="n"/>
    </row>
    <row r="469">
      <c r="A469" s="8" t="n"/>
      <c r="B469" s="8" t="n"/>
      <c r="C469" s="8" t="n"/>
      <c r="D469" s="8" t="n"/>
      <c r="E469" s="9" t="n"/>
      <c r="F469" s="9" t="n"/>
      <c r="G469" s="8" t="n"/>
      <c r="H469" s="9" t="n"/>
      <c r="I469" s="9" t="n"/>
      <c r="J469" s="10" t="n"/>
      <c r="K469" s="10" t="n"/>
      <c r="L469" s="11">
        <f>IF($S469="","",IF($S469="ITEM_PRICE_PLUS_DECLARED_DELIVERY",IF(OR($J469="",$K469=""),"",SUM($J469,$K469,$U469)),IF($S469="TOTAL_AMOUNT_INCLUDING_DELIVERY",IF($T469="","",$T469),IF($S469="DELIVERY_CHARGE_ONLY",IF($K469="","",SUM($K469,$U469)),IF($S469="EXACT_COLLECTION_AMOUNT",IF($T469="","",$T469),IF($S469="ITEM_PRICE_ONLY_DELIVERY_PAID_BY_MERCHANT",IF($J469="","",SUM($J469,$U469)),""))))))</f>
        <v/>
      </c>
      <c r="M469" s="12" t="n"/>
      <c r="N469" s="13" t="n"/>
      <c r="O469" s="13" t="n"/>
      <c r="P469" s="9" t="n"/>
      <c r="Q469" s="14" t="n"/>
      <c r="R469" s="15" t="n"/>
      <c r="S469" s="14" t="n"/>
      <c r="T469" s="16" t="n"/>
      <c r="U469" s="16" t="n"/>
      <c r="V469" s="16" t="n"/>
      <c r="W469" s="16" t="n"/>
      <c r="X469" s="16" t="n"/>
      <c r="Y469" s="16" t="n"/>
      <c r="Z469" s="14" t="n"/>
      <c r="AA469" s="14" t="n"/>
      <c r="AB469" s="14" t="n"/>
      <c r="AC469" s="17">
        <f>IFERROR(VLOOKUP($H469&amp;"|"&amp;$Q469,Tariff_Master!$A$2:$L$169,3,FALSE),"")</f>
        <v/>
      </c>
      <c r="AD469" s="17">
        <f>IFERROR(VLOOKUP($H469&amp;"|"&amp;$Q469,Tariff_Master!$A$2:$L$169,4,FALSE),"")</f>
        <v/>
      </c>
      <c r="AE469" s="18">
        <f>IFERROR(VLOOKUP($H469&amp;"|"&amp;$Q469,Tariff_Master!$A$2:$L$169,6,FALSE),"")</f>
        <v/>
      </c>
      <c r="AF469" s="19">
        <f>IFERROR(VLOOKUP($H469&amp;"|"&amp;$Q469,Tariff_Master!$A$2:$L$169,7,FALSE),"")</f>
        <v/>
      </c>
      <c r="AG469" s="18">
        <f>IFERROR(VLOOKUP($H469&amp;"|"&amp;$Q469,Tariff_Master!$A$2:$L$169,8,FALSE),"")</f>
        <v/>
      </c>
      <c r="AH469" s="20">
        <f>IFERROR(VLOOKUP($H469&amp;"|"&amp;$Q469,Tariff_Master!$A$2:$L$169,9,FALSE),"")</f>
        <v/>
      </c>
      <c r="AI469" s="18">
        <f>IFERROR(VLOOKUP($H469&amp;"|"&amp;$Q469,Tariff_Master!$A$2:$L$169,10,FALSE),"")</f>
        <v/>
      </c>
      <c r="AJ469" s="21">
        <f>IF($M469="","",ROUNDUP(MAX(0,$M469),0))</f>
        <v/>
      </c>
      <c r="AK469" s="21">
        <f>IF(OR($AJ469="",$AF469=""),"",MAX(0,$AJ469-$AF469))</f>
        <v/>
      </c>
      <c r="AL469" s="22">
        <f>IF(OR($AK469="",$AG469=""),"",MAX(0,$AK469*$AG469))</f>
        <v/>
      </c>
      <c r="AM469" s="22">
        <f>IF($AE469="","",MAX(0,SUM($AE469,$AL469,$V469,$W469)))</f>
        <v/>
      </c>
      <c r="AN469" s="22">
        <f>IF($AM469="","",IF(AND($Q469="COMMITMENT",$R469&gt;=$AH469),$AI469,0))</f>
        <v/>
      </c>
      <c r="AO469" s="23">
        <f>IF($AM469="","",MAX(0,$AM469-$AN469))</f>
        <v/>
      </c>
      <c r="AP469" s="22">
        <f>IF($S469="","",IF(OR($S469="ITEM_PRICE_PLUS_DECLARED_DELIVERY",$S469="DELIVERY_CHARGE_ONLY"),$K469,IF($S469="TOTAL_AMOUNT_INCLUDING_DELIVERY",IF(OR($T469="",$J469=""),"",MAX(0,$T469-$J469-$U469)),IF($S469="ITEM_PRICE_ONLY_DELIVERY_PAID_BY_MERCHANT",0,""))))</f>
        <v/>
      </c>
      <c r="AQ469" s="23">
        <f>IF(OR($AP469="",$AO469=""),"",$AP469-$AO469)</f>
        <v/>
      </c>
      <c r="AR469" s="24">
        <f>IF($S469="EXACT_COLLECTION_AMOUNT","BREAKDOWN_REQUIRED",IF($AQ469="","",IF($AQ469&gt;0,"CREDIT_TO_MERCHANT",IF($AQ469&lt;0,"DEDUCT_FROM_MERCHANT","NO_ADJUSTMENT"))))</f>
        <v/>
      </c>
      <c r="AS469" s="23">
        <f>IF(OR($AQ469="",$AR469="BREAKDOWN_REQUIRED"),"",$AQ469)</f>
        <v/>
      </c>
      <c r="AT469" s="23">
        <f>IF(OR($AR469="",$AR469="BREAKDOWN_REQUIRED"),"",SUM($J469,$AQ469,$Y469)-$X469)</f>
        <v/>
      </c>
      <c r="AU469" s="25">
        <f>IF(AND($A469="",$B469="",$F469="",$H469="",$J469="",$K469="",$M469="",$S469=""),"",IF(OR($H469="",$Q469="",$M469="",$S469=""),"ERROR",IF(OR($J469&lt;0,$K469&lt;0,$M469&lt;0,$T469&lt;0,$U469&lt;0,$V469&lt;0,$W469&lt;0,$X469&lt;0,$Y469&lt;0),"ERROR",IF($AE469="","ERROR",IF(AND(OR($S469="ITEM_PRICE_PLUS_DECLARED_DELIVERY",$S469="TOTAL_AMOUNT_INCLUDING_DELIVERY",$S469="ITEM_PRICE_ONLY_DELIVERY_PAID_BY_MERCHANT"),$J469=""),"ERROR",IF(AND(OR($S469="ITEM_PRICE_PLUS_DECLARED_DELIVERY",$S469="DELIVERY_CHARGE_ONLY"),$K469=""),"ERROR",IF(AND(OR($S469="TOTAL_AMOUNT_INCLUDING_DELIVERY",$S469="EXACT_COLLECTION_AMOUNT"),$T469=""),"ERROR",IF(AND($S469="TOTAL_AMOUNT_INCLUDING_DELIVERY",$T469&lt;SUM($J469,$U469)),"ERROR",IF($S469="EXACT_COLLECTION_AMOUNT","REVIEW","OK")))))))))</f>
        <v/>
      </c>
      <c r="AV469" s="25">
        <f>IF($AU469="","",IF($H469="","Township required",IF($Q469="","Customer tier required",IF($M469="","Weight required",IF($S469="","Amount entry type required",IF(OR($J469&lt;0,$K469&lt;0,$M469&lt;0,$T469&lt;0,$U469&lt;0,$V469&lt;0,$W469&lt;0,$X469&lt;0,$Y469&lt;0),"Negative amounts are not allowed",IF($AE469="","Tariff not found for township and tier",IF(AND(OR($S469="ITEM_PRICE_PLUS_DECLARED_DELIVERY",$S469="TOTAL_AMOUNT_INCLUDING_DELIVERY",$S469="ITEM_PRICE_ONLY_DELIVERY_PAID_BY_MERCHANT"),$J469=""),"Item price required for this amount type",IF(AND(OR($S469="ITEM_PRICE_PLUS_DECLARED_DELIVERY",$S469="DELIVERY_CHARGE_ONLY"),$K469=""),"Declared delivery charge required",IF(AND(OR($S469="TOTAL_AMOUNT_INCLUDING_DELIVERY",$S469="EXACT_COLLECTION_AMOUNT"),$T469=""),"Stated total amount required",IF(AND($S469="TOTAL_AMOUNT_INCLUDING_DELIVERY",$T469&lt;SUM($J469,$U469)),"Stated total is below item price plus additional charge",IF($S469="EXACT_COLLECTION_AMOUNT","Authorized amount breakdown required before settlement","Ready for collection and settlement"))))))))))))</f>
        <v/>
      </c>
      <c r="AW469" s="23">
        <f>IF($AU469="","","PARCEL_FINANCIAL_V2")</f>
        <v/>
      </c>
      <c r="AX469" s="17" t="n"/>
    </row>
    <row r="470">
      <c r="A470" s="8" t="n"/>
      <c r="B470" s="8" t="n"/>
      <c r="C470" s="8" t="n"/>
      <c r="D470" s="8" t="n"/>
      <c r="E470" s="9" t="n"/>
      <c r="F470" s="9" t="n"/>
      <c r="G470" s="8" t="n"/>
      <c r="H470" s="9" t="n"/>
      <c r="I470" s="9" t="n"/>
      <c r="J470" s="10" t="n"/>
      <c r="K470" s="10" t="n"/>
      <c r="L470" s="11">
        <f>IF($S470="","",IF($S470="ITEM_PRICE_PLUS_DECLARED_DELIVERY",IF(OR($J470="",$K470=""),"",SUM($J470,$K470,$U470)),IF($S470="TOTAL_AMOUNT_INCLUDING_DELIVERY",IF($T470="","",$T470),IF($S470="DELIVERY_CHARGE_ONLY",IF($K470="","",SUM($K470,$U470)),IF($S470="EXACT_COLLECTION_AMOUNT",IF($T470="","",$T470),IF($S470="ITEM_PRICE_ONLY_DELIVERY_PAID_BY_MERCHANT",IF($J470="","",SUM($J470,$U470)),""))))))</f>
        <v/>
      </c>
      <c r="M470" s="12" t="n"/>
      <c r="N470" s="13" t="n"/>
      <c r="O470" s="13" t="n"/>
      <c r="P470" s="9" t="n"/>
      <c r="Q470" s="14" t="n"/>
      <c r="R470" s="15" t="n"/>
      <c r="S470" s="14" t="n"/>
      <c r="T470" s="16" t="n"/>
      <c r="U470" s="16" t="n"/>
      <c r="V470" s="16" t="n"/>
      <c r="W470" s="16" t="n"/>
      <c r="X470" s="16" t="n"/>
      <c r="Y470" s="16" t="n"/>
      <c r="Z470" s="14" t="n"/>
      <c r="AA470" s="14" t="n"/>
      <c r="AB470" s="14" t="n"/>
      <c r="AC470" s="17">
        <f>IFERROR(VLOOKUP($H470&amp;"|"&amp;$Q470,Tariff_Master!$A$2:$L$169,3,FALSE),"")</f>
        <v/>
      </c>
      <c r="AD470" s="17">
        <f>IFERROR(VLOOKUP($H470&amp;"|"&amp;$Q470,Tariff_Master!$A$2:$L$169,4,FALSE),"")</f>
        <v/>
      </c>
      <c r="AE470" s="18">
        <f>IFERROR(VLOOKUP($H470&amp;"|"&amp;$Q470,Tariff_Master!$A$2:$L$169,6,FALSE),"")</f>
        <v/>
      </c>
      <c r="AF470" s="19">
        <f>IFERROR(VLOOKUP($H470&amp;"|"&amp;$Q470,Tariff_Master!$A$2:$L$169,7,FALSE),"")</f>
        <v/>
      </c>
      <c r="AG470" s="18">
        <f>IFERROR(VLOOKUP($H470&amp;"|"&amp;$Q470,Tariff_Master!$A$2:$L$169,8,FALSE),"")</f>
        <v/>
      </c>
      <c r="AH470" s="20">
        <f>IFERROR(VLOOKUP($H470&amp;"|"&amp;$Q470,Tariff_Master!$A$2:$L$169,9,FALSE),"")</f>
        <v/>
      </c>
      <c r="AI470" s="18">
        <f>IFERROR(VLOOKUP($H470&amp;"|"&amp;$Q470,Tariff_Master!$A$2:$L$169,10,FALSE),"")</f>
        <v/>
      </c>
      <c r="AJ470" s="21">
        <f>IF($M470="","",ROUNDUP(MAX(0,$M470),0))</f>
        <v/>
      </c>
      <c r="AK470" s="21">
        <f>IF(OR($AJ470="",$AF470=""),"",MAX(0,$AJ470-$AF470))</f>
        <v/>
      </c>
      <c r="AL470" s="22">
        <f>IF(OR($AK470="",$AG470=""),"",MAX(0,$AK470*$AG470))</f>
        <v/>
      </c>
      <c r="AM470" s="22">
        <f>IF($AE470="","",MAX(0,SUM($AE470,$AL470,$V470,$W470)))</f>
        <v/>
      </c>
      <c r="AN470" s="22">
        <f>IF($AM470="","",IF(AND($Q470="COMMITMENT",$R470&gt;=$AH470),$AI470,0))</f>
        <v/>
      </c>
      <c r="AO470" s="23">
        <f>IF($AM470="","",MAX(0,$AM470-$AN470))</f>
        <v/>
      </c>
      <c r="AP470" s="22">
        <f>IF($S470="","",IF(OR($S470="ITEM_PRICE_PLUS_DECLARED_DELIVERY",$S470="DELIVERY_CHARGE_ONLY"),$K470,IF($S470="TOTAL_AMOUNT_INCLUDING_DELIVERY",IF(OR($T470="",$J470=""),"",MAX(0,$T470-$J470-$U470)),IF($S470="ITEM_PRICE_ONLY_DELIVERY_PAID_BY_MERCHANT",0,""))))</f>
        <v/>
      </c>
      <c r="AQ470" s="23">
        <f>IF(OR($AP470="",$AO470=""),"",$AP470-$AO470)</f>
        <v/>
      </c>
      <c r="AR470" s="24">
        <f>IF($S470="EXACT_COLLECTION_AMOUNT","BREAKDOWN_REQUIRED",IF($AQ470="","",IF($AQ470&gt;0,"CREDIT_TO_MERCHANT",IF($AQ470&lt;0,"DEDUCT_FROM_MERCHANT","NO_ADJUSTMENT"))))</f>
        <v/>
      </c>
      <c r="AS470" s="23">
        <f>IF(OR($AQ470="",$AR470="BREAKDOWN_REQUIRED"),"",$AQ470)</f>
        <v/>
      </c>
      <c r="AT470" s="23">
        <f>IF(OR($AR470="",$AR470="BREAKDOWN_REQUIRED"),"",SUM($J470,$AQ470,$Y470)-$X470)</f>
        <v/>
      </c>
      <c r="AU470" s="25">
        <f>IF(AND($A470="",$B470="",$F470="",$H470="",$J470="",$K470="",$M470="",$S470=""),"",IF(OR($H470="",$Q470="",$M470="",$S470=""),"ERROR",IF(OR($J470&lt;0,$K470&lt;0,$M470&lt;0,$T470&lt;0,$U470&lt;0,$V470&lt;0,$W470&lt;0,$X470&lt;0,$Y470&lt;0),"ERROR",IF($AE470="","ERROR",IF(AND(OR($S470="ITEM_PRICE_PLUS_DECLARED_DELIVERY",$S470="TOTAL_AMOUNT_INCLUDING_DELIVERY",$S470="ITEM_PRICE_ONLY_DELIVERY_PAID_BY_MERCHANT"),$J470=""),"ERROR",IF(AND(OR($S470="ITEM_PRICE_PLUS_DECLARED_DELIVERY",$S470="DELIVERY_CHARGE_ONLY"),$K470=""),"ERROR",IF(AND(OR($S470="TOTAL_AMOUNT_INCLUDING_DELIVERY",$S470="EXACT_COLLECTION_AMOUNT"),$T470=""),"ERROR",IF(AND($S470="TOTAL_AMOUNT_INCLUDING_DELIVERY",$T470&lt;SUM($J470,$U470)),"ERROR",IF($S470="EXACT_COLLECTION_AMOUNT","REVIEW","OK")))))))))</f>
        <v/>
      </c>
      <c r="AV470" s="25">
        <f>IF($AU470="","",IF($H470="","Township required",IF($Q470="","Customer tier required",IF($M470="","Weight required",IF($S470="","Amount entry type required",IF(OR($J470&lt;0,$K470&lt;0,$M470&lt;0,$T470&lt;0,$U470&lt;0,$V470&lt;0,$W470&lt;0,$X470&lt;0,$Y470&lt;0),"Negative amounts are not allowed",IF($AE470="","Tariff not found for township and tier",IF(AND(OR($S470="ITEM_PRICE_PLUS_DECLARED_DELIVERY",$S470="TOTAL_AMOUNT_INCLUDING_DELIVERY",$S470="ITEM_PRICE_ONLY_DELIVERY_PAID_BY_MERCHANT"),$J470=""),"Item price required for this amount type",IF(AND(OR($S470="ITEM_PRICE_PLUS_DECLARED_DELIVERY",$S470="DELIVERY_CHARGE_ONLY"),$K470=""),"Declared delivery charge required",IF(AND(OR($S470="TOTAL_AMOUNT_INCLUDING_DELIVERY",$S470="EXACT_COLLECTION_AMOUNT"),$T470=""),"Stated total amount required",IF(AND($S470="TOTAL_AMOUNT_INCLUDING_DELIVERY",$T470&lt;SUM($J470,$U470)),"Stated total is below item price plus additional charge",IF($S470="EXACT_COLLECTION_AMOUNT","Authorized amount breakdown required before settlement","Ready for collection and settlement"))))))))))))</f>
        <v/>
      </c>
      <c r="AW470" s="23">
        <f>IF($AU470="","","PARCEL_FINANCIAL_V2")</f>
        <v/>
      </c>
      <c r="AX470" s="17" t="n"/>
    </row>
    <row r="471">
      <c r="A471" s="8" t="n"/>
      <c r="B471" s="8" t="n"/>
      <c r="C471" s="8" t="n"/>
      <c r="D471" s="8" t="n"/>
      <c r="E471" s="9" t="n"/>
      <c r="F471" s="9" t="n"/>
      <c r="G471" s="8" t="n"/>
      <c r="H471" s="9" t="n"/>
      <c r="I471" s="9" t="n"/>
      <c r="J471" s="10" t="n"/>
      <c r="K471" s="10" t="n"/>
      <c r="L471" s="11">
        <f>IF($S471="","",IF($S471="ITEM_PRICE_PLUS_DECLARED_DELIVERY",IF(OR($J471="",$K471=""),"",SUM($J471,$K471,$U471)),IF($S471="TOTAL_AMOUNT_INCLUDING_DELIVERY",IF($T471="","",$T471),IF($S471="DELIVERY_CHARGE_ONLY",IF($K471="","",SUM($K471,$U471)),IF($S471="EXACT_COLLECTION_AMOUNT",IF($T471="","",$T471),IF($S471="ITEM_PRICE_ONLY_DELIVERY_PAID_BY_MERCHANT",IF($J471="","",SUM($J471,$U471)),""))))))</f>
        <v/>
      </c>
      <c r="M471" s="12" t="n"/>
      <c r="N471" s="13" t="n"/>
      <c r="O471" s="13" t="n"/>
      <c r="P471" s="9" t="n"/>
      <c r="Q471" s="14" t="n"/>
      <c r="R471" s="15" t="n"/>
      <c r="S471" s="14" t="n"/>
      <c r="T471" s="16" t="n"/>
      <c r="U471" s="16" t="n"/>
      <c r="V471" s="16" t="n"/>
      <c r="W471" s="16" t="n"/>
      <c r="X471" s="16" t="n"/>
      <c r="Y471" s="16" t="n"/>
      <c r="Z471" s="14" t="n"/>
      <c r="AA471" s="14" t="n"/>
      <c r="AB471" s="14" t="n"/>
      <c r="AC471" s="17">
        <f>IFERROR(VLOOKUP($H471&amp;"|"&amp;$Q471,Tariff_Master!$A$2:$L$169,3,FALSE),"")</f>
        <v/>
      </c>
      <c r="AD471" s="17">
        <f>IFERROR(VLOOKUP($H471&amp;"|"&amp;$Q471,Tariff_Master!$A$2:$L$169,4,FALSE),"")</f>
        <v/>
      </c>
      <c r="AE471" s="18">
        <f>IFERROR(VLOOKUP($H471&amp;"|"&amp;$Q471,Tariff_Master!$A$2:$L$169,6,FALSE),"")</f>
        <v/>
      </c>
      <c r="AF471" s="19">
        <f>IFERROR(VLOOKUP($H471&amp;"|"&amp;$Q471,Tariff_Master!$A$2:$L$169,7,FALSE),"")</f>
        <v/>
      </c>
      <c r="AG471" s="18">
        <f>IFERROR(VLOOKUP($H471&amp;"|"&amp;$Q471,Tariff_Master!$A$2:$L$169,8,FALSE),"")</f>
        <v/>
      </c>
      <c r="AH471" s="20">
        <f>IFERROR(VLOOKUP($H471&amp;"|"&amp;$Q471,Tariff_Master!$A$2:$L$169,9,FALSE),"")</f>
        <v/>
      </c>
      <c r="AI471" s="18">
        <f>IFERROR(VLOOKUP($H471&amp;"|"&amp;$Q471,Tariff_Master!$A$2:$L$169,10,FALSE),"")</f>
        <v/>
      </c>
      <c r="AJ471" s="21">
        <f>IF($M471="","",ROUNDUP(MAX(0,$M471),0))</f>
        <v/>
      </c>
      <c r="AK471" s="21">
        <f>IF(OR($AJ471="",$AF471=""),"",MAX(0,$AJ471-$AF471))</f>
        <v/>
      </c>
      <c r="AL471" s="22">
        <f>IF(OR($AK471="",$AG471=""),"",MAX(0,$AK471*$AG471))</f>
        <v/>
      </c>
      <c r="AM471" s="22">
        <f>IF($AE471="","",MAX(0,SUM($AE471,$AL471,$V471,$W471)))</f>
        <v/>
      </c>
      <c r="AN471" s="22">
        <f>IF($AM471="","",IF(AND($Q471="COMMITMENT",$R471&gt;=$AH471),$AI471,0))</f>
        <v/>
      </c>
      <c r="AO471" s="23">
        <f>IF($AM471="","",MAX(0,$AM471-$AN471))</f>
        <v/>
      </c>
      <c r="AP471" s="22">
        <f>IF($S471="","",IF(OR($S471="ITEM_PRICE_PLUS_DECLARED_DELIVERY",$S471="DELIVERY_CHARGE_ONLY"),$K471,IF($S471="TOTAL_AMOUNT_INCLUDING_DELIVERY",IF(OR($T471="",$J471=""),"",MAX(0,$T471-$J471-$U471)),IF($S471="ITEM_PRICE_ONLY_DELIVERY_PAID_BY_MERCHANT",0,""))))</f>
        <v/>
      </c>
      <c r="AQ471" s="23">
        <f>IF(OR($AP471="",$AO471=""),"",$AP471-$AO471)</f>
        <v/>
      </c>
      <c r="AR471" s="24">
        <f>IF($S471="EXACT_COLLECTION_AMOUNT","BREAKDOWN_REQUIRED",IF($AQ471="","",IF($AQ471&gt;0,"CREDIT_TO_MERCHANT",IF($AQ471&lt;0,"DEDUCT_FROM_MERCHANT","NO_ADJUSTMENT"))))</f>
        <v/>
      </c>
      <c r="AS471" s="23">
        <f>IF(OR($AQ471="",$AR471="BREAKDOWN_REQUIRED"),"",$AQ471)</f>
        <v/>
      </c>
      <c r="AT471" s="23">
        <f>IF(OR($AR471="",$AR471="BREAKDOWN_REQUIRED"),"",SUM($J471,$AQ471,$Y471)-$X471)</f>
        <v/>
      </c>
      <c r="AU471" s="25">
        <f>IF(AND($A471="",$B471="",$F471="",$H471="",$J471="",$K471="",$M471="",$S471=""),"",IF(OR($H471="",$Q471="",$M471="",$S471=""),"ERROR",IF(OR($J471&lt;0,$K471&lt;0,$M471&lt;0,$T471&lt;0,$U471&lt;0,$V471&lt;0,$W471&lt;0,$X471&lt;0,$Y471&lt;0),"ERROR",IF($AE471="","ERROR",IF(AND(OR($S471="ITEM_PRICE_PLUS_DECLARED_DELIVERY",$S471="TOTAL_AMOUNT_INCLUDING_DELIVERY",$S471="ITEM_PRICE_ONLY_DELIVERY_PAID_BY_MERCHANT"),$J471=""),"ERROR",IF(AND(OR($S471="ITEM_PRICE_PLUS_DECLARED_DELIVERY",$S471="DELIVERY_CHARGE_ONLY"),$K471=""),"ERROR",IF(AND(OR($S471="TOTAL_AMOUNT_INCLUDING_DELIVERY",$S471="EXACT_COLLECTION_AMOUNT"),$T471=""),"ERROR",IF(AND($S471="TOTAL_AMOUNT_INCLUDING_DELIVERY",$T471&lt;SUM($J471,$U471)),"ERROR",IF($S471="EXACT_COLLECTION_AMOUNT","REVIEW","OK")))))))))</f>
        <v/>
      </c>
      <c r="AV471" s="25">
        <f>IF($AU471="","",IF($H471="","Township required",IF($Q471="","Customer tier required",IF($M471="","Weight required",IF($S471="","Amount entry type required",IF(OR($J471&lt;0,$K471&lt;0,$M471&lt;0,$T471&lt;0,$U471&lt;0,$V471&lt;0,$W471&lt;0,$X471&lt;0,$Y471&lt;0),"Negative amounts are not allowed",IF($AE471="","Tariff not found for township and tier",IF(AND(OR($S471="ITEM_PRICE_PLUS_DECLARED_DELIVERY",$S471="TOTAL_AMOUNT_INCLUDING_DELIVERY",$S471="ITEM_PRICE_ONLY_DELIVERY_PAID_BY_MERCHANT"),$J471=""),"Item price required for this amount type",IF(AND(OR($S471="ITEM_PRICE_PLUS_DECLARED_DELIVERY",$S471="DELIVERY_CHARGE_ONLY"),$K471=""),"Declared delivery charge required",IF(AND(OR($S471="TOTAL_AMOUNT_INCLUDING_DELIVERY",$S471="EXACT_COLLECTION_AMOUNT"),$T471=""),"Stated total amount required",IF(AND($S471="TOTAL_AMOUNT_INCLUDING_DELIVERY",$T471&lt;SUM($J471,$U471)),"Stated total is below item price plus additional charge",IF($S471="EXACT_COLLECTION_AMOUNT","Authorized amount breakdown required before settlement","Ready for collection and settlement"))))))))))))</f>
        <v/>
      </c>
      <c r="AW471" s="23">
        <f>IF($AU471="","","PARCEL_FINANCIAL_V2")</f>
        <v/>
      </c>
      <c r="AX471" s="17" t="n"/>
    </row>
    <row r="472">
      <c r="A472" s="8" t="n"/>
      <c r="B472" s="8" t="n"/>
      <c r="C472" s="8" t="n"/>
      <c r="D472" s="8" t="n"/>
      <c r="E472" s="9" t="n"/>
      <c r="F472" s="9" t="n"/>
      <c r="G472" s="8" t="n"/>
      <c r="H472" s="9" t="n"/>
      <c r="I472" s="9" t="n"/>
      <c r="J472" s="10" t="n"/>
      <c r="K472" s="10" t="n"/>
      <c r="L472" s="11">
        <f>IF($S472="","",IF($S472="ITEM_PRICE_PLUS_DECLARED_DELIVERY",IF(OR($J472="",$K472=""),"",SUM($J472,$K472,$U472)),IF($S472="TOTAL_AMOUNT_INCLUDING_DELIVERY",IF($T472="","",$T472),IF($S472="DELIVERY_CHARGE_ONLY",IF($K472="","",SUM($K472,$U472)),IF($S472="EXACT_COLLECTION_AMOUNT",IF($T472="","",$T472),IF($S472="ITEM_PRICE_ONLY_DELIVERY_PAID_BY_MERCHANT",IF($J472="","",SUM($J472,$U472)),""))))))</f>
        <v/>
      </c>
      <c r="M472" s="12" t="n"/>
      <c r="N472" s="13" t="n"/>
      <c r="O472" s="13" t="n"/>
      <c r="P472" s="9" t="n"/>
      <c r="Q472" s="14" t="n"/>
      <c r="R472" s="15" t="n"/>
      <c r="S472" s="14" t="n"/>
      <c r="T472" s="16" t="n"/>
      <c r="U472" s="16" t="n"/>
      <c r="V472" s="16" t="n"/>
      <c r="W472" s="16" t="n"/>
      <c r="X472" s="16" t="n"/>
      <c r="Y472" s="16" t="n"/>
      <c r="Z472" s="14" t="n"/>
      <c r="AA472" s="14" t="n"/>
      <c r="AB472" s="14" t="n"/>
      <c r="AC472" s="17">
        <f>IFERROR(VLOOKUP($H472&amp;"|"&amp;$Q472,Tariff_Master!$A$2:$L$169,3,FALSE),"")</f>
        <v/>
      </c>
      <c r="AD472" s="17">
        <f>IFERROR(VLOOKUP($H472&amp;"|"&amp;$Q472,Tariff_Master!$A$2:$L$169,4,FALSE),"")</f>
        <v/>
      </c>
      <c r="AE472" s="18">
        <f>IFERROR(VLOOKUP($H472&amp;"|"&amp;$Q472,Tariff_Master!$A$2:$L$169,6,FALSE),"")</f>
        <v/>
      </c>
      <c r="AF472" s="19">
        <f>IFERROR(VLOOKUP($H472&amp;"|"&amp;$Q472,Tariff_Master!$A$2:$L$169,7,FALSE),"")</f>
        <v/>
      </c>
      <c r="AG472" s="18">
        <f>IFERROR(VLOOKUP($H472&amp;"|"&amp;$Q472,Tariff_Master!$A$2:$L$169,8,FALSE),"")</f>
        <v/>
      </c>
      <c r="AH472" s="20">
        <f>IFERROR(VLOOKUP($H472&amp;"|"&amp;$Q472,Tariff_Master!$A$2:$L$169,9,FALSE),"")</f>
        <v/>
      </c>
      <c r="AI472" s="18">
        <f>IFERROR(VLOOKUP($H472&amp;"|"&amp;$Q472,Tariff_Master!$A$2:$L$169,10,FALSE),"")</f>
        <v/>
      </c>
      <c r="AJ472" s="21">
        <f>IF($M472="","",ROUNDUP(MAX(0,$M472),0))</f>
        <v/>
      </c>
      <c r="AK472" s="21">
        <f>IF(OR($AJ472="",$AF472=""),"",MAX(0,$AJ472-$AF472))</f>
        <v/>
      </c>
      <c r="AL472" s="22">
        <f>IF(OR($AK472="",$AG472=""),"",MAX(0,$AK472*$AG472))</f>
        <v/>
      </c>
      <c r="AM472" s="22">
        <f>IF($AE472="","",MAX(0,SUM($AE472,$AL472,$V472,$W472)))</f>
        <v/>
      </c>
      <c r="AN472" s="22">
        <f>IF($AM472="","",IF(AND($Q472="COMMITMENT",$R472&gt;=$AH472),$AI472,0))</f>
        <v/>
      </c>
      <c r="AO472" s="23">
        <f>IF($AM472="","",MAX(0,$AM472-$AN472))</f>
        <v/>
      </c>
      <c r="AP472" s="22">
        <f>IF($S472="","",IF(OR($S472="ITEM_PRICE_PLUS_DECLARED_DELIVERY",$S472="DELIVERY_CHARGE_ONLY"),$K472,IF($S472="TOTAL_AMOUNT_INCLUDING_DELIVERY",IF(OR($T472="",$J472=""),"",MAX(0,$T472-$J472-$U472)),IF($S472="ITEM_PRICE_ONLY_DELIVERY_PAID_BY_MERCHANT",0,""))))</f>
        <v/>
      </c>
      <c r="AQ472" s="23">
        <f>IF(OR($AP472="",$AO472=""),"",$AP472-$AO472)</f>
        <v/>
      </c>
      <c r="AR472" s="24">
        <f>IF($S472="EXACT_COLLECTION_AMOUNT","BREAKDOWN_REQUIRED",IF($AQ472="","",IF($AQ472&gt;0,"CREDIT_TO_MERCHANT",IF($AQ472&lt;0,"DEDUCT_FROM_MERCHANT","NO_ADJUSTMENT"))))</f>
        <v/>
      </c>
      <c r="AS472" s="23">
        <f>IF(OR($AQ472="",$AR472="BREAKDOWN_REQUIRED"),"",$AQ472)</f>
        <v/>
      </c>
      <c r="AT472" s="23">
        <f>IF(OR($AR472="",$AR472="BREAKDOWN_REQUIRED"),"",SUM($J472,$AQ472,$Y472)-$X472)</f>
        <v/>
      </c>
      <c r="AU472" s="25">
        <f>IF(AND($A472="",$B472="",$F472="",$H472="",$J472="",$K472="",$M472="",$S472=""),"",IF(OR($H472="",$Q472="",$M472="",$S472=""),"ERROR",IF(OR($J472&lt;0,$K472&lt;0,$M472&lt;0,$T472&lt;0,$U472&lt;0,$V472&lt;0,$W472&lt;0,$X472&lt;0,$Y472&lt;0),"ERROR",IF($AE472="","ERROR",IF(AND(OR($S472="ITEM_PRICE_PLUS_DECLARED_DELIVERY",$S472="TOTAL_AMOUNT_INCLUDING_DELIVERY",$S472="ITEM_PRICE_ONLY_DELIVERY_PAID_BY_MERCHANT"),$J472=""),"ERROR",IF(AND(OR($S472="ITEM_PRICE_PLUS_DECLARED_DELIVERY",$S472="DELIVERY_CHARGE_ONLY"),$K472=""),"ERROR",IF(AND(OR($S472="TOTAL_AMOUNT_INCLUDING_DELIVERY",$S472="EXACT_COLLECTION_AMOUNT"),$T472=""),"ERROR",IF(AND($S472="TOTAL_AMOUNT_INCLUDING_DELIVERY",$T472&lt;SUM($J472,$U472)),"ERROR",IF($S472="EXACT_COLLECTION_AMOUNT","REVIEW","OK")))))))))</f>
        <v/>
      </c>
      <c r="AV472" s="25">
        <f>IF($AU472="","",IF($H472="","Township required",IF($Q472="","Customer tier required",IF($M472="","Weight required",IF($S472="","Amount entry type required",IF(OR($J472&lt;0,$K472&lt;0,$M472&lt;0,$T472&lt;0,$U472&lt;0,$V472&lt;0,$W472&lt;0,$X472&lt;0,$Y472&lt;0),"Negative amounts are not allowed",IF($AE472="","Tariff not found for township and tier",IF(AND(OR($S472="ITEM_PRICE_PLUS_DECLARED_DELIVERY",$S472="TOTAL_AMOUNT_INCLUDING_DELIVERY",$S472="ITEM_PRICE_ONLY_DELIVERY_PAID_BY_MERCHANT"),$J472=""),"Item price required for this amount type",IF(AND(OR($S472="ITEM_PRICE_PLUS_DECLARED_DELIVERY",$S472="DELIVERY_CHARGE_ONLY"),$K472=""),"Declared delivery charge required",IF(AND(OR($S472="TOTAL_AMOUNT_INCLUDING_DELIVERY",$S472="EXACT_COLLECTION_AMOUNT"),$T472=""),"Stated total amount required",IF(AND($S472="TOTAL_AMOUNT_INCLUDING_DELIVERY",$T472&lt;SUM($J472,$U472)),"Stated total is below item price plus additional charge",IF($S472="EXACT_COLLECTION_AMOUNT","Authorized amount breakdown required before settlement","Ready for collection and settlement"))))))))))))</f>
        <v/>
      </c>
      <c r="AW472" s="23">
        <f>IF($AU472="","","PARCEL_FINANCIAL_V2")</f>
        <v/>
      </c>
      <c r="AX472" s="17" t="n"/>
    </row>
    <row r="473">
      <c r="A473" s="8" t="n"/>
      <c r="B473" s="8" t="n"/>
      <c r="C473" s="8" t="n"/>
      <c r="D473" s="8" t="n"/>
      <c r="E473" s="9" t="n"/>
      <c r="F473" s="9" t="n"/>
      <c r="G473" s="8" t="n"/>
      <c r="H473" s="9" t="n"/>
      <c r="I473" s="9" t="n"/>
      <c r="J473" s="10" t="n"/>
      <c r="K473" s="10" t="n"/>
      <c r="L473" s="11">
        <f>IF($S473="","",IF($S473="ITEM_PRICE_PLUS_DECLARED_DELIVERY",IF(OR($J473="",$K473=""),"",SUM($J473,$K473,$U473)),IF($S473="TOTAL_AMOUNT_INCLUDING_DELIVERY",IF($T473="","",$T473),IF($S473="DELIVERY_CHARGE_ONLY",IF($K473="","",SUM($K473,$U473)),IF($S473="EXACT_COLLECTION_AMOUNT",IF($T473="","",$T473),IF($S473="ITEM_PRICE_ONLY_DELIVERY_PAID_BY_MERCHANT",IF($J473="","",SUM($J473,$U473)),""))))))</f>
        <v/>
      </c>
      <c r="M473" s="12" t="n"/>
      <c r="N473" s="13" t="n"/>
      <c r="O473" s="13" t="n"/>
      <c r="P473" s="9" t="n"/>
      <c r="Q473" s="14" t="n"/>
      <c r="R473" s="15" t="n"/>
      <c r="S473" s="14" t="n"/>
      <c r="T473" s="16" t="n"/>
      <c r="U473" s="16" t="n"/>
      <c r="V473" s="16" t="n"/>
      <c r="W473" s="16" t="n"/>
      <c r="X473" s="16" t="n"/>
      <c r="Y473" s="16" t="n"/>
      <c r="Z473" s="14" t="n"/>
      <c r="AA473" s="14" t="n"/>
      <c r="AB473" s="14" t="n"/>
      <c r="AC473" s="17">
        <f>IFERROR(VLOOKUP($H473&amp;"|"&amp;$Q473,Tariff_Master!$A$2:$L$169,3,FALSE),"")</f>
        <v/>
      </c>
      <c r="AD473" s="17">
        <f>IFERROR(VLOOKUP($H473&amp;"|"&amp;$Q473,Tariff_Master!$A$2:$L$169,4,FALSE),"")</f>
        <v/>
      </c>
      <c r="AE473" s="18">
        <f>IFERROR(VLOOKUP($H473&amp;"|"&amp;$Q473,Tariff_Master!$A$2:$L$169,6,FALSE),"")</f>
        <v/>
      </c>
      <c r="AF473" s="19">
        <f>IFERROR(VLOOKUP($H473&amp;"|"&amp;$Q473,Tariff_Master!$A$2:$L$169,7,FALSE),"")</f>
        <v/>
      </c>
      <c r="AG473" s="18">
        <f>IFERROR(VLOOKUP($H473&amp;"|"&amp;$Q473,Tariff_Master!$A$2:$L$169,8,FALSE),"")</f>
        <v/>
      </c>
      <c r="AH473" s="20">
        <f>IFERROR(VLOOKUP($H473&amp;"|"&amp;$Q473,Tariff_Master!$A$2:$L$169,9,FALSE),"")</f>
        <v/>
      </c>
      <c r="AI473" s="18">
        <f>IFERROR(VLOOKUP($H473&amp;"|"&amp;$Q473,Tariff_Master!$A$2:$L$169,10,FALSE),"")</f>
        <v/>
      </c>
      <c r="AJ473" s="21">
        <f>IF($M473="","",ROUNDUP(MAX(0,$M473),0))</f>
        <v/>
      </c>
      <c r="AK473" s="21">
        <f>IF(OR($AJ473="",$AF473=""),"",MAX(0,$AJ473-$AF473))</f>
        <v/>
      </c>
      <c r="AL473" s="22">
        <f>IF(OR($AK473="",$AG473=""),"",MAX(0,$AK473*$AG473))</f>
        <v/>
      </c>
      <c r="AM473" s="22">
        <f>IF($AE473="","",MAX(0,SUM($AE473,$AL473,$V473,$W473)))</f>
        <v/>
      </c>
      <c r="AN473" s="22">
        <f>IF($AM473="","",IF(AND($Q473="COMMITMENT",$R473&gt;=$AH473),$AI473,0))</f>
        <v/>
      </c>
      <c r="AO473" s="23">
        <f>IF($AM473="","",MAX(0,$AM473-$AN473))</f>
        <v/>
      </c>
      <c r="AP473" s="22">
        <f>IF($S473="","",IF(OR($S473="ITEM_PRICE_PLUS_DECLARED_DELIVERY",$S473="DELIVERY_CHARGE_ONLY"),$K473,IF($S473="TOTAL_AMOUNT_INCLUDING_DELIVERY",IF(OR($T473="",$J473=""),"",MAX(0,$T473-$J473-$U473)),IF($S473="ITEM_PRICE_ONLY_DELIVERY_PAID_BY_MERCHANT",0,""))))</f>
        <v/>
      </c>
      <c r="AQ473" s="23">
        <f>IF(OR($AP473="",$AO473=""),"",$AP473-$AO473)</f>
        <v/>
      </c>
      <c r="AR473" s="24">
        <f>IF($S473="EXACT_COLLECTION_AMOUNT","BREAKDOWN_REQUIRED",IF($AQ473="","",IF($AQ473&gt;0,"CREDIT_TO_MERCHANT",IF($AQ473&lt;0,"DEDUCT_FROM_MERCHANT","NO_ADJUSTMENT"))))</f>
        <v/>
      </c>
      <c r="AS473" s="23">
        <f>IF(OR($AQ473="",$AR473="BREAKDOWN_REQUIRED"),"",$AQ473)</f>
        <v/>
      </c>
      <c r="AT473" s="23">
        <f>IF(OR($AR473="",$AR473="BREAKDOWN_REQUIRED"),"",SUM($J473,$AQ473,$Y473)-$X473)</f>
        <v/>
      </c>
      <c r="AU473" s="25">
        <f>IF(AND($A473="",$B473="",$F473="",$H473="",$J473="",$K473="",$M473="",$S473=""),"",IF(OR($H473="",$Q473="",$M473="",$S473=""),"ERROR",IF(OR($J473&lt;0,$K473&lt;0,$M473&lt;0,$T473&lt;0,$U473&lt;0,$V473&lt;0,$W473&lt;0,$X473&lt;0,$Y473&lt;0),"ERROR",IF($AE473="","ERROR",IF(AND(OR($S473="ITEM_PRICE_PLUS_DECLARED_DELIVERY",$S473="TOTAL_AMOUNT_INCLUDING_DELIVERY",$S473="ITEM_PRICE_ONLY_DELIVERY_PAID_BY_MERCHANT"),$J473=""),"ERROR",IF(AND(OR($S473="ITEM_PRICE_PLUS_DECLARED_DELIVERY",$S473="DELIVERY_CHARGE_ONLY"),$K473=""),"ERROR",IF(AND(OR($S473="TOTAL_AMOUNT_INCLUDING_DELIVERY",$S473="EXACT_COLLECTION_AMOUNT"),$T473=""),"ERROR",IF(AND($S473="TOTAL_AMOUNT_INCLUDING_DELIVERY",$T473&lt;SUM($J473,$U473)),"ERROR",IF($S473="EXACT_COLLECTION_AMOUNT","REVIEW","OK")))))))))</f>
        <v/>
      </c>
      <c r="AV473" s="25">
        <f>IF($AU473="","",IF($H473="","Township required",IF($Q473="","Customer tier required",IF($M473="","Weight required",IF($S473="","Amount entry type required",IF(OR($J473&lt;0,$K473&lt;0,$M473&lt;0,$T473&lt;0,$U473&lt;0,$V473&lt;0,$W473&lt;0,$X473&lt;0,$Y473&lt;0),"Negative amounts are not allowed",IF($AE473="","Tariff not found for township and tier",IF(AND(OR($S473="ITEM_PRICE_PLUS_DECLARED_DELIVERY",$S473="TOTAL_AMOUNT_INCLUDING_DELIVERY",$S473="ITEM_PRICE_ONLY_DELIVERY_PAID_BY_MERCHANT"),$J473=""),"Item price required for this amount type",IF(AND(OR($S473="ITEM_PRICE_PLUS_DECLARED_DELIVERY",$S473="DELIVERY_CHARGE_ONLY"),$K473=""),"Declared delivery charge required",IF(AND(OR($S473="TOTAL_AMOUNT_INCLUDING_DELIVERY",$S473="EXACT_COLLECTION_AMOUNT"),$T473=""),"Stated total amount required",IF(AND($S473="TOTAL_AMOUNT_INCLUDING_DELIVERY",$T473&lt;SUM($J473,$U473)),"Stated total is below item price plus additional charge",IF($S473="EXACT_COLLECTION_AMOUNT","Authorized amount breakdown required before settlement","Ready for collection and settlement"))))))))))))</f>
        <v/>
      </c>
      <c r="AW473" s="23">
        <f>IF($AU473="","","PARCEL_FINANCIAL_V2")</f>
        <v/>
      </c>
      <c r="AX473" s="17" t="n"/>
    </row>
    <row r="474">
      <c r="A474" s="8" t="n"/>
      <c r="B474" s="8" t="n"/>
      <c r="C474" s="8" t="n"/>
      <c r="D474" s="8" t="n"/>
      <c r="E474" s="9" t="n"/>
      <c r="F474" s="9" t="n"/>
      <c r="G474" s="8" t="n"/>
      <c r="H474" s="9" t="n"/>
      <c r="I474" s="9" t="n"/>
      <c r="J474" s="10" t="n"/>
      <c r="K474" s="10" t="n"/>
      <c r="L474" s="11">
        <f>IF($S474="","",IF($S474="ITEM_PRICE_PLUS_DECLARED_DELIVERY",IF(OR($J474="",$K474=""),"",SUM($J474,$K474,$U474)),IF($S474="TOTAL_AMOUNT_INCLUDING_DELIVERY",IF($T474="","",$T474),IF($S474="DELIVERY_CHARGE_ONLY",IF($K474="","",SUM($K474,$U474)),IF($S474="EXACT_COLLECTION_AMOUNT",IF($T474="","",$T474),IF($S474="ITEM_PRICE_ONLY_DELIVERY_PAID_BY_MERCHANT",IF($J474="","",SUM($J474,$U474)),""))))))</f>
        <v/>
      </c>
      <c r="M474" s="12" t="n"/>
      <c r="N474" s="13" t="n"/>
      <c r="O474" s="13" t="n"/>
      <c r="P474" s="9" t="n"/>
      <c r="Q474" s="14" t="n"/>
      <c r="R474" s="15" t="n"/>
      <c r="S474" s="14" t="n"/>
      <c r="T474" s="16" t="n"/>
      <c r="U474" s="16" t="n"/>
      <c r="V474" s="16" t="n"/>
      <c r="W474" s="16" t="n"/>
      <c r="X474" s="16" t="n"/>
      <c r="Y474" s="16" t="n"/>
      <c r="Z474" s="14" t="n"/>
      <c r="AA474" s="14" t="n"/>
      <c r="AB474" s="14" t="n"/>
      <c r="AC474" s="17">
        <f>IFERROR(VLOOKUP($H474&amp;"|"&amp;$Q474,Tariff_Master!$A$2:$L$169,3,FALSE),"")</f>
        <v/>
      </c>
      <c r="AD474" s="17">
        <f>IFERROR(VLOOKUP($H474&amp;"|"&amp;$Q474,Tariff_Master!$A$2:$L$169,4,FALSE),"")</f>
        <v/>
      </c>
      <c r="AE474" s="18">
        <f>IFERROR(VLOOKUP($H474&amp;"|"&amp;$Q474,Tariff_Master!$A$2:$L$169,6,FALSE),"")</f>
        <v/>
      </c>
      <c r="AF474" s="19">
        <f>IFERROR(VLOOKUP($H474&amp;"|"&amp;$Q474,Tariff_Master!$A$2:$L$169,7,FALSE),"")</f>
        <v/>
      </c>
      <c r="AG474" s="18">
        <f>IFERROR(VLOOKUP($H474&amp;"|"&amp;$Q474,Tariff_Master!$A$2:$L$169,8,FALSE),"")</f>
        <v/>
      </c>
      <c r="AH474" s="20">
        <f>IFERROR(VLOOKUP($H474&amp;"|"&amp;$Q474,Tariff_Master!$A$2:$L$169,9,FALSE),"")</f>
        <v/>
      </c>
      <c r="AI474" s="18">
        <f>IFERROR(VLOOKUP($H474&amp;"|"&amp;$Q474,Tariff_Master!$A$2:$L$169,10,FALSE),"")</f>
        <v/>
      </c>
      <c r="AJ474" s="21">
        <f>IF($M474="","",ROUNDUP(MAX(0,$M474),0))</f>
        <v/>
      </c>
      <c r="AK474" s="21">
        <f>IF(OR($AJ474="",$AF474=""),"",MAX(0,$AJ474-$AF474))</f>
        <v/>
      </c>
      <c r="AL474" s="22">
        <f>IF(OR($AK474="",$AG474=""),"",MAX(0,$AK474*$AG474))</f>
        <v/>
      </c>
      <c r="AM474" s="22">
        <f>IF($AE474="","",MAX(0,SUM($AE474,$AL474,$V474,$W474)))</f>
        <v/>
      </c>
      <c r="AN474" s="22">
        <f>IF($AM474="","",IF(AND($Q474="COMMITMENT",$R474&gt;=$AH474),$AI474,0))</f>
        <v/>
      </c>
      <c r="AO474" s="23">
        <f>IF($AM474="","",MAX(0,$AM474-$AN474))</f>
        <v/>
      </c>
      <c r="AP474" s="22">
        <f>IF($S474="","",IF(OR($S474="ITEM_PRICE_PLUS_DECLARED_DELIVERY",$S474="DELIVERY_CHARGE_ONLY"),$K474,IF($S474="TOTAL_AMOUNT_INCLUDING_DELIVERY",IF(OR($T474="",$J474=""),"",MAX(0,$T474-$J474-$U474)),IF($S474="ITEM_PRICE_ONLY_DELIVERY_PAID_BY_MERCHANT",0,""))))</f>
        <v/>
      </c>
      <c r="AQ474" s="23">
        <f>IF(OR($AP474="",$AO474=""),"",$AP474-$AO474)</f>
        <v/>
      </c>
      <c r="AR474" s="24">
        <f>IF($S474="EXACT_COLLECTION_AMOUNT","BREAKDOWN_REQUIRED",IF($AQ474="","",IF($AQ474&gt;0,"CREDIT_TO_MERCHANT",IF($AQ474&lt;0,"DEDUCT_FROM_MERCHANT","NO_ADJUSTMENT"))))</f>
        <v/>
      </c>
      <c r="AS474" s="23">
        <f>IF(OR($AQ474="",$AR474="BREAKDOWN_REQUIRED"),"",$AQ474)</f>
        <v/>
      </c>
      <c r="AT474" s="23">
        <f>IF(OR($AR474="",$AR474="BREAKDOWN_REQUIRED"),"",SUM($J474,$AQ474,$Y474)-$X474)</f>
        <v/>
      </c>
      <c r="AU474" s="25">
        <f>IF(AND($A474="",$B474="",$F474="",$H474="",$J474="",$K474="",$M474="",$S474=""),"",IF(OR($H474="",$Q474="",$M474="",$S474=""),"ERROR",IF(OR($J474&lt;0,$K474&lt;0,$M474&lt;0,$T474&lt;0,$U474&lt;0,$V474&lt;0,$W474&lt;0,$X474&lt;0,$Y474&lt;0),"ERROR",IF($AE474="","ERROR",IF(AND(OR($S474="ITEM_PRICE_PLUS_DECLARED_DELIVERY",$S474="TOTAL_AMOUNT_INCLUDING_DELIVERY",$S474="ITEM_PRICE_ONLY_DELIVERY_PAID_BY_MERCHANT"),$J474=""),"ERROR",IF(AND(OR($S474="ITEM_PRICE_PLUS_DECLARED_DELIVERY",$S474="DELIVERY_CHARGE_ONLY"),$K474=""),"ERROR",IF(AND(OR($S474="TOTAL_AMOUNT_INCLUDING_DELIVERY",$S474="EXACT_COLLECTION_AMOUNT"),$T474=""),"ERROR",IF(AND($S474="TOTAL_AMOUNT_INCLUDING_DELIVERY",$T474&lt;SUM($J474,$U474)),"ERROR",IF($S474="EXACT_COLLECTION_AMOUNT","REVIEW","OK")))))))))</f>
        <v/>
      </c>
      <c r="AV474" s="25">
        <f>IF($AU474="","",IF($H474="","Township required",IF($Q474="","Customer tier required",IF($M474="","Weight required",IF($S474="","Amount entry type required",IF(OR($J474&lt;0,$K474&lt;0,$M474&lt;0,$T474&lt;0,$U474&lt;0,$V474&lt;0,$W474&lt;0,$X474&lt;0,$Y474&lt;0),"Negative amounts are not allowed",IF($AE474="","Tariff not found for township and tier",IF(AND(OR($S474="ITEM_PRICE_PLUS_DECLARED_DELIVERY",$S474="TOTAL_AMOUNT_INCLUDING_DELIVERY",$S474="ITEM_PRICE_ONLY_DELIVERY_PAID_BY_MERCHANT"),$J474=""),"Item price required for this amount type",IF(AND(OR($S474="ITEM_PRICE_PLUS_DECLARED_DELIVERY",$S474="DELIVERY_CHARGE_ONLY"),$K474=""),"Declared delivery charge required",IF(AND(OR($S474="TOTAL_AMOUNT_INCLUDING_DELIVERY",$S474="EXACT_COLLECTION_AMOUNT"),$T474=""),"Stated total amount required",IF(AND($S474="TOTAL_AMOUNT_INCLUDING_DELIVERY",$T474&lt;SUM($J474,$U474)),"Stated total is below item price plus additional charge",IF($S474="EXACT_COLLECTION_AMOUNT","Authorized amount breakdown required before settlement","Ready for collection and settlement"))))))))))))</f>
        <v/>
      </c>
      <c r="AW474" s="23">
        <f>IF($AU474="","","PARCEL_FINANCIAL_V2")</f>
        <v/>
      </c>
      <c r="AX474" s="17" t="n"/>
    </row>
    <row r="475">
      <c r="A475" s="8" t="n"/>
      <c r="B475" s="8" t="n"/>
      <c r="C475" s="8" t="n"/>
      <c r="D475" s="8" t="n"/>
      <c r="E475" s="9" t="n"/>
      <c r="F475" s="9" t="n"/>
      <c r="G475" s="8" t="n"/>
      <c r="H475" s="9" t="n"/>
      <c r="I475" s="9" t="n"/>
      <c r="J475" s="10" t="n"/>
      <c r="K475" s="10" t="n"/>
      <c r="L475" s="11">
        <f>IF($S475="","",IF($S475="ITEM_PRICE_PLUS_DECLARED_DELIVERY",IF(OR($J475="",$K475=""),"",SUM($J475,$K475,$U475)),IF($S475="TOTAL_AMOUNT_INCLUDING_DELIVERY",IF($T475="","",$T475),IF($S475="DELIVERY_CHARGE_ONLY",IF($K475="","",SUM($K475,$U475)),IF($S475="EXACT_COLLECTION_AMOUNT",IF($T475="","",$T475),IF($S475="ITEM_PRICE_ONLY_DELIVERY_PAID_BY_MERCHANT",IF($J475="","",SUM($J475,$U475)),""))))))</f>
        <v/>
      </c>
      <c r="M475" s="12" t="n"/>
      <c r="N475" s="13" t="n"/>
      <c r="O475" s="13" t="n"/>
      <c r="P475" s="9" t="n"/>
      <c r="Q475" s="14" t="n"/>
      <c r="R475" s="15" t="n"/>
      <c r="S475" s="14" t="n"/>
      <c r="T475" s="16" t="n"/>
      <c r="U475" s="16" t="n"/>
      <c r="V475" s="16" t="n"/>
      <c r="W475" s="16" t="n"/>
      <c r="X475" s="16" t="n"/>
      <c r="Y475" s="16" t="n"/>
      <c r="Z475" s="14" t="n"/>
      <c r="AA475" s="14" t="n"/>
      <c r="AB475" s="14" t="n"/>
      <c r="AC475" s="17">
        <f>IFERROR(VLOOKUP($H475&amp;"|"&amp;$Q475,Tariff_Master!$A$2:$L$169,3,FALSE),"")</f>
        <v/>
      </c>
      <c r="AD475" s="17">
        <f>IFERROR(VLOOKUP($H475&amp;"|"&amp;$Q475,Tariff_Master!$A$2:$L$169,4,FALSE),"")</f>
        <v/>
      </c>
      <c r="AE475" s="18">
        <f>IFERROR(VLOOKUP($H475&amp;"|"&amp;$Q475,Tariff_Master!$A$2:$L$169,6,FALSE),"")</f>
        <v/>
      </c>
      <c r="AF475" s="19">
        <f>IFERROR(VLOOKUP($H475&amp;"|"&amp;$Q475,Tariff_Master!$A$2:$L$169,7,FALSE),"")</f>
        <v/>
      </c>
      <c r="AG475" s="18">
        <f>IFERROR(VLOOKUP($H475&amp;"|"&amp;$Q475,Tariff_Master!$A$2:$L$169,8,FALSE),"")</f>
        <v/>
      </c>
      <c r="AH475" s="20">
        <f>IFERROR(VLOOKUP($H475&amp;"|"&amp;$Q475,Tariff_Master!$A$2:$L$169,9,FALSE),"")</f>
        <v/>
      </c>
      <c r="AI475" s="18">
        <f>IFERROR(VLOOKUP($H475&amp;"|"&amp;$Q475,Tariff_Master!$A$2:$L$169,10,FALSE),"")</f>
        <v/>
      </c>
      <c r="AJ475" s="21">
        <f>IF($M475="","",ROUNDUP(MAX(0,$M475),0))</f>
        <v/>
      </c>
      <c r="AK475" s="21">
        <f>IF(OR($AJ475="",$AF475=""),"",MAX(0,$AJ475-$AF475))</f>
        <v/>
      </c>
      <c r="AL475" s="22">
        <f>IF(OR($AK475="",$AG475=""),"",MAX(0,$AK475*$AG475))</f>
        <v/>
      </c>
      <c r="AM475" s="22">
        <f>IF($AE475="","",MAX(0,SUM($AE475,$AL475,$V475,$W475)))</f>
        <v/>
      </c>
      <c r="AN475" s="22">
        <f>IF($AM475="","",IF(AND($Q475="COMMITMENT",$R475&gt;=$AH475),$AI475,0))</f>
        <v/>
      </c>
      <c r="AO475" s="23">
        <f>IF($AM475="","",MAX(0,$AM475-$AN475))</f>
        <v/>
      </c>
      <c r="AP475" s="22">
        <f>IF($S475="","",IF(OR($S475="ITEM_PRICE_PLUS_DECLARED_DELIVERY",$S475="DELIVERY_CHARGE_ONLY"),$K475,IF($S475="TOTAL_AMOUNT_INCLUDING_DELIVERY",IF(OR($T475="",$J475=""),"",MAX(0,$T475-$J475-$U475)),IF($S475="ITEM_PRICE_ONLY_DELIVERY_PAID_BY_MERCHANT",0,""))))</f>
        <v/>
      </c>
      <c r="AQ475" s="23">
        <f>IF(OR($AP475="",$AO475=""),"",$AP475-$AO475)</f>
        <v/>
      </c>
      <c r="AR475" s="24">
        <f>IF($S475="EXACT_COLLECTION_AMOUNT","BREAKDOWN_REQUIRED",IF($AQ475="","",IF($AQ475&gt;0,"CREDIT_TO_MERCHANT",IF($AQ475&lt;0,"DEDUCT_FROM_MERCHANT","NO_ADJUSTMENT"))))</f>
        <v/>
      </c>
      <c r="AS475" s="23">
        <f>IF(OR($AQ475="",$AR475="BREAKDOWN_REQUIRED"),"",$AQ475)</f>
        <v/>
      </c>
      <c r="AT475" s="23">
        <f>IF(OR($AR475="",$AR475="BREAKDOWN_REQUIRED"),"",SUM($J475,$AQ475,$Y475)-$X475)</f>
        <v/>
      </c>
      <c r="AU475" s="25">
        <f>IF(AND($A475="",$B475="",$F475="",$H475="",$J475="",$K475="",$M475="",$S475=""),"",IF(OR($H475="",$Q475="",$M475="",$S475=""),"ERROR",IF(OR($J475&lt;0,$K475&lt;0,$M475&lt;0,$T475&lt;0,$U475&lt;0,$V475&lt;0,$W475&lt;0,$X475&lt;0,$Y475&lt;0),"ERROR",IF($AE475="","ERROR",IF(AND(OR($S475="ITEM_PRICE_PLUS_DECLARED_DELIVERY",$S475="TOTAL_AMOUNT_INCLUDING_DELIVERY",$S475="ITEM_PRICE_ONLY_DELIVERY_PAID_BY_MERCHANT"),$J475=""),"ERROR",IF(AND(OR($S475="ITEM_PRICE_PLUS_DECLARED_DELIVERY",$S475="DELIVERY_CHARGE_ONLY"),$K475=""),"ERROR",IF(AND(OR($S475="TOTAL_AMOUNT_INCLUDING_DELIVERY",$S475="EXACT_COLLECTION_AMOUNT"),$T475=""),"ERROR",IF(AND($S475="TOTAL_AMOUNT_INCLUDING_DELIVERY",$T475&lt;SUM($J475,$U475)),"ERROR",IF($S475="EXACT_COLLECTION_AMOUNT","REVIEW","OK")))))))))</f>
        <v/>
      </c>
      <c r="AV475" s="25">
        <f>IF($AU475="","",IF($H475="","Township required",IF($Q475="","Customer tier required",IF($M475="","Weight required",IF($S475="","Amount entry type required",IF(OR($J475&lt;0,$K475&lt;0,$M475&lt;0,$T475&lt;0,$U475&lt;0,$V475&lt;0,$W475&lt;0,$X475&lt;0,$Y475&lt;0),"Negative amounts are not allowed",IF($AE475="","Tariff not found for township and tier",IF(AND(OR($S475="ITEM_PRICE_PLUS_DECLARED_DELIVERY",$S475="TOTAL_AMOUNT_INCLUDING_DELIVERY",$S475="ITEM_PRICE_ONLY_DELIVERY_PAID_BY_MERCHANT"),$J475=""),"Item price required for this amount type",IF(AND(OR($S475="ITEM_PRICE_PLUS_DECLARED_DELIVERY",$S475="DELIVERY_CHARGE_ONLY"),$K475=""),"Declared delivery charge required",IF(AND(OR($S475="TOTAL_AMOUNT_INCLUDING_DELIVERY",$S475="EXACT_COLLECTION_AMOUNT"),$T475=""),"Stated total amount required",IF(AND($S475="TOTAL_AMOUNT_INCLUDING_DELIVERY",$T475&lt;SUM($J475,$U475)),"Stated total is below item price plus additional charge",IF($S475="EXACT_COLLECTION_AMOUNT","Authorized amount breakdown required before settlement","Ready for collection and settlement"))))))))))))</f>
        <v/>
      </c>
      <c r="AW475" s="23">
        <f>IF($AU475="","","PARCEL_FINANCIAL_V2")</f>
        <v/>
      </c>
      <c r="AX475" s="17" t="n"/>
    </row>
    <row r="476">
      <c r="A476" s="8" t="n"/>
      <c r="B476" s="8" t="n"/>
      <c r="C476" s="8" t="n"/>
      <c r="D476" s="8" t="n"/>
      <c r="E476" s="9" t="n"/>
      <c r="F476" s="9" t="n"/>
      <c r="G476" s="8" t="n"/>
      <c r="H476" s="9" t="n"/>
      <c r="I476" s="9" t="n"/>
      <c r="J476" s="10" t="n"/>
      <c r="K476" s="10" t="n"/>
      <c r="L476" s="11">
        <f>IF($S476="","",IF($S476="ITEM_PRICE_PLUS_DECLARED_DELIVERY",IF(OR($J476="",$K476=""),"",SUM($J476,$K476,$U476)),IF($S476="TOTAL_AMOUNT_INCLUDING_DELIVERY",IF($T476="","",$T476),IF($S476="DELIVERY_CHARGE_ONLY",IF($K476="","",SUM($K476,$U476)),IF($S476="EXACT_COLLECTION_AMOUNT",IF($T476="","",$T476),IF($S476="ITEM_PRICE_ONLY_DELIVERY_PAID_BY_MERCHANT",IF($J476="","",SUM($J476,$U476)),""))))))</f>
        <v/>
      </c>
      <c r="M476" s="12" t="n"/>
      <c r="N476" s="13" t="n"/>
      <c r="O476" s="13" t="n"/>
      <c r="P476" s="9" t="n"/>
      <c r="Q476" s="14" t="n"/>
      <c r="R476" s="15" t="n"/>
      <c r="S476" s="14" t="n"/>
      <c r="T476" s="16" t="n"/>
      <c r="U476" s="16" t="n"/>
      <c r="V476" s="16" t="n"/>
      <c r="W476" s="16" t="n"/>
      <c r="X476" s="16" t="n"/>
      <c r="Y476" s="16" t="n"/>
      <c r="Z476" s="14" t="n"/>
      <c r="AA476" s="14" t="n"/>
      <c r="AB476" s="14" t="n"/>
      <c r="AC476" s="17">
        <f>IFERROR(VLOOKUP($H476&amp;"|"&amp;$Q476,Tariff_Master!$A$2:$L$169,3,FALSE),"")</f>
        <v/>
      </c>
      <c r="AD476" s="17">
        <f>IFERROR(VLOOKUP($H476&amp;"|"&amp;$Q476,Tariff_Master!$A$2:$L$169,4,FALSE),"")</f>
        <v/>
      </c>
      <c r="AE476" s="18">
        <f>IFERROR(VLOOKUP($H476&amp;"|"&amp;$Q476,Tariff_Master!$A$2:$L$169,6,FALSE),"")</f>
        <v/>
      </c>
      <c r="AF476" s="19">
        <f>IFERROR(VLOOKUP($H476&amp;"|"&amp;$Q476,Tariff_Master!$A$2:$L$169,7,FALSE),"")</f>
        <v/>
      </c>
      <c r="AG476" s="18">
        <f>IFERROR(VLOOKUP($H476&amp;"|"&amp;$Q476,Tariff_Master!$A$2:$L$169,8,FALSE),"")</f>
        <v/>
      </c>
      <c r="AH476" s="20">
        <f>IFERROR(VLOOKUP($H476&amp;"|"&amp;$Q476,Tariff_Master!$A$2:$L$169,9,FALSE),"")</f>
        <v/>
      </c>
      <c r="AI476" s="18">
        <f>IFERROR(VLOOKUP($H476&amp;"|"&amp;$Q476,Tariff_Master!$A$2:$L$169,10,FALSE),"")</f>
        <v/>
      </c>
      <c r="AJ476" s="21">
        <f>IF($M476="","",ROUNDUP(MAX(0,$M476),0))</f>
        <v/>
      </c>
      <c r="AK476" s="21">
        <f>IF(OR($AJ476="",$AF476=""),"",MAX(0,$AJ476-$AF476))</f>
        <v/>
      </c>
      <c r="AL476" s="22">
        <f>IF(OR($AK476="",$AG476=""),"",MAX(0,$AK476*$AG476))</f>
        <v/>
      </c>
      <c r="AM476" s="22">
        <f>IF($AE476="","",MAX(0,SUM($AE476,$AL476,$V476,$W476)))</f>
        <v/>
      </c>
      <c r="AN476" s="22">
        <f>IF($AM476="","",IF(AND($Q476="COMMITMENT",$R476&gt;=$AH476),$AI476,0))</f>
        <v/>
      </c>
      <c r="AO476" s="23">
        <f>IF($AM476="","",MAX(0,$AM476-$AN476))</f>
        <v/>
      </c>
      <c r="AP476" s="22">
        <f>IF($S476="","",IF(OR($S476="ITEM_PRICE_PLUS_DECLARED_DELIVERY",$S476="DELIVERY_CHARGE_ONLY"),$K476,IF($S476="TOTAL_AMOUNT_INCLUDING_DELIVERY",IF(OR($T476="",$J476=""),"",MAX(0,$T476-$J476-$U476)),IF($S476="ITEM_PRICE_ONLY_DELIVERY_PAID_BY_MERCHANT",0,""))))</f>
        <v/>
      </c>
      <c r="AQ476" s="23">
        <f>IF(OR($AP476="",$AO476=""),"",$AP476-$AO476)</f>
        <v/>
      </c>
      <c r="AR476" s="24">
        <f>IF($S476="EXACT_COLLECTION_AMOUNT","BREAKDOWN_REQUIRED",IF($AQ476="","",IF($AQ476&gt;0,"CREDIT_TO_MERCHANT",IF($AQ476&lt;0,"DEDUCT_FROM_MERCHANT","NO_ADJUSTMENT"))))</f>
        <v/>
      </c>
      <c r="AS476" s="23">
        <f>IF(OR($AQ476="",$AR476="BREAKDOWN_REQUIRED"),"",$AQ476)</f>
        <v/>
      </c>
      <c r="AT476" s="23">
        <f>IF(OR($AR476="",$AR476="BREAKDOWN_REQUIRED"),"",SUM($J476,$AQ476,$Y476)-$X476)</f>
        <v/>
      </c>
      <c r="AU476" s="25">
        <f>IF(AND($A476="",$B476="",$F476="",$H476="",$J476="",$K476="",$M476="",$S476=""),"",IF(OR($H476="",$Q476="",$M476="",$S476=""),"ERROR",IF(OR($J476&lt;0,$K476&lt;0,$M476&lt;0,$T476&lt;0,$U476&lt;0,$V476&lt;0,$W476&lt;0,$X476&lt;0,$Y476&lt;0),"ERROR",IF($AE476="","ERROR",IF(AND(OR($S476="ITEM_PRICE_PLUS_DECLARED_DELIVERY",$S476="TOTAL_AMOUNT_INCLUDING_DELIVERY",$S476="ITEM_PRICE_ONLY_DELIVERY_PAID_BY_MERCHANT"),$J476=""),"ERROR",IF(AND(OR($S476="ITEM_PRICE_PLUS_DECLARED_DELIVERY",$S476="DELIVERY_CHARGE_ONLY"),$K476=""),"ERROR",IF(AND(OR($S476="TOTAL_AMOUNT_INCLUDING_DELIVERY",$S476="EXACT_COLLECTION_AMOUNT"),$T476=""),"ERROR",IF(AND($S476="TOTAL_AMOUNT_INCLUDING_DELIVERY",$T476&lt;SUM($J476,$U476)),"ERROR",IF($S476="EXACT_COLLECTION_AMOUNT","REVIEW","OK")))))))))</f>
        <v/>
      </c>
      <c r="AV476" s="25">
        <f>IF($AU476="","",IF($H476="","Township required",IF($Q476="","Customer tier required",IF($M476="","Weight required",IF($S476="","Amount entry type required",IF(OR($J476&lt;0,$K476&lt;0,$M476&lt;0,$T476&lt;0,$U476&lt;0,$V476&lt;0,$W476&lt;0,$X476&lt;0,$Y476&lt;0),"Negative amounts are not allowed",IF($AE476="","Tariff not found for township and tier",IF(AND(OR($S476="ITEM_PRICE_PLUS_DECLARED_DELIVERY",$S476="TOTAL_AMOUNT_INCLUDING_DELIVERY",$S476="ITEM_PRICE_ONLY_DELIVERY_PAID_BY_MERCHANT"),$J476=""),"Item price required for this amount type",IF(AND(OR($S476="ITEM_PRICE_PLUS_DECLARED_DELIVERY",$S476="DELIVERY_CHARGE_ONLY"),$K476=""),"Declared delivery charge required",IF(AND(OR($S476="TOTAL_AMOUNT_INCLUDING_DELIVERY",$S476="EXACT_COLLECTION_AMOUNT"),$T476=""),"Stated total amount required",IF(AND($S476="TOTAL_AMOUNT_INCLUDING_DELIVERY",$T476&lt;SUM($J476,$U476)),"Stated total is below item price plus additional charge",IF($S476="EXACT_COLLECTION_AMOUNT","Authorized amount breakdown required before settlement","Ready for collection and settlement"))))))))))))</f>
        <v/>
      </c>
      <c r="AW476" s="23">
        <f>IF($AU476="","","PARCEL_FINANCIAL_V2")</f>
        <v/>
      </c>
      <c r="AX476" s="17" t="n"/>
    </row>
    <row r="477">
      <c r="A477" s="8" t="n"/>
      <c r="B477" s="8" t="n"/>
      <c r="C477" s="8" t="n"/>
      <c r="D477" s="8" t="n"/>
      <c r="E477" s="9" t="n"/>
      <c r="F477" s="9" t="n"/>
      <c r="G477" s="8" t="n"/>
      <c r="H477" s="9" t="n"/>
      <c r="I477" s="9" t="n"/>
      <c r="J477" s="10" t="n"/>
      <c r="K477" s="10" t="n"/>
      <c r="L477" s="11">
        <f>IF($S477="","",IF($S477="ITEM_PRICE_PLUS_DECLARED_DELIVERY",IF(OR($J477="",$K477=""),"",SUM($J477,$K477,$U477)),IF($S477="TOTAL_AMOUNT_INCLUDING_DELIVERY",IF($T477="","",$T477),IF($S477="DELIVERY_CHARGE_ONLY",IF($K477="","",SUM($K477,$U477)),IF($S477="EXACT_COLLECTION_AMOUNT",IF($T477="","",$T477),IF($S477="ITEM_PRICE_ONLY_DELIVERY_PAID_BY_MERCHANT",IF($J477="","",SUM($J477,$U477)),""))))))</f>
        <v/>
      </c>
      <c r="M477" s="12" t="n"/>
      <c r="N477" s="13" t="n"/>
      <c r="O477" s="13" t="n"/>
      <c r="P477" s="9" t="n"/>
      <c r="Q477" s="14" t="n"/>
      <c r="R477" s="15" t="n"/>
      <c r="S477" s="14" t="n"/>
      <c r="T477" s="16" t="n"/>
      <c r="U477" s="16" t="n"/>
      <c r="V477" s="16" t="n"/>
      <c r="W477" s="16" t="n"/>
      <c r="X477" s="16" t="n"/>
      <c r="Y477" s="16" t="n"/>
      <c r="Z477" s="14" t="n"/>
      <c r="AA477" s="14" t="n"/>
      <c r="AB477" s="14" t="n"/>
      <c r="AC477" s="17">
        <f>IFERROR(VLOOKUP($H477&amp;"|"&amp;$Q477,Tariff_Master!$A$2:$L$169,3,FALSE),"")</f>
        <v/>
      </c>
      <c r="AD477" s="17">
        <f>IFERROR(VLOOKUP($H477&amp;"|"&amp;$Q477,Tariff_Master!$A$2:$L$169,4,FALSE),"")</f>
        <v/>
      </c>
      <c r="AE477" s="18">
        <f>IFERROR(VLOOKUP($H477&amp;"|"&amp;$Q477,Tariff_Master!$A$2:$L$169,6,FALSE),"")</f>
        <v/>
      </c>
      <c r="AF477" s="19">
        <f>IFERROR(VLOOKUP($H477&amp;"|"&amp;$Q477,Tariff_Master!$A$2:$L$169,7,FALSE),"")</f>
        <v/>
      </c>
      <c r="AG477" s="18">
        <f>IFERROR(VLOOKUP($H477&amp;"|"&amp;$Q477,Tariff_Master!$A$2:$L$169,8,FALSE),"")</f>
        <v/>
      </c>
      <c r="AH477" s="20">
        <f>IFERROR(VLOOKUP($H477&amp;"|"&amp;$Q477,Tariff_Master!$A$2:$L$169,9,FALSE),"")</f>
        <v/>
      </c>
      <c r="AI477" s="18">
        <f>IFERROR(VLOOKUP($H477&amp;"|"&amp;$Q477,Tariff_Master!$A$2:$L$169,10,FALSE),"")</f>
        <v/>
      </c>
      <c r="AJ477" s="21">
        <f>IF($M477="","",ROUNDUP(MAX(0,$M477),0))</f>
        <v/>
      </c>
      <c r="AK477" s="21">
        <f>IF(OR($AJ477="",$AF477=""),"",MAX(0,$AJ477-$AF477))</f>
        <v/>
      </c>
      <c r="AL477" s="22">
        <f>IF(OR($AK477="",$AG477=""),"",MAX(0,$AK477*$AG477))</f>
        <v/>
      </c>
      <c r="AM477" s="22">
        <f>IF($AE477="","",MAX(0,SUM($AE477,$AL477,$V477,$W477)))</f>
        <v/>
      </c>
      <c r="AN477" s="22">
        <f>IF($AM477="","",IF(AND($Q477="COMMITMENT",$R477&gt;=$AH477),$AI477,0))</f>
        <v/>
      </c>
      <c r="AO477" s="23">
        <f>IF($AM477="","",MAX(0,$AM477-$AN477))</f>
        <v/>
      </c>
      <c r="AP477" s="22">
        <f>IF($S477="","",IF(OR($S477="ITEM_PRICE_PLUS_DECLARED_DELIVERY",$S477="DELIVERY_CHARGE_ONLY"),$K477,IF($S477="TOTAL_AMOUNT_INCLUDING_DELIVERY",IF(OR($T477="",$J477=""),"",MAX(0,$T477-$J477-$U477)),IF($S477="ITEM_PRICE_ONLY_DELIVERY_PAID_BY_MERCHANT",0,""))))</f>
        <v/>
      </c>
      <c r="AQ477" s="23">
        <f>IF(OR($AP477="",$AO477=""),"",$AP477-$AO477)</f>
        <v/>
      </c>
      <c r="AR477" s="24">
        <f>IF($S477="EXACT_COLLECTION_AMOUNT","BREAKDOWN_REQUIRED",IF($AQ477="","",IF($AQ477&gt;0,"CREDIT_TO_MERCHANT",IF($AQ477&lt;0,"DEDUCT_FROM_MERCHANT","NO_ADJUSTMENT"))))</f>
        <v/>
      </c>
      <c r="AS477" s="23">
        <f>IF(OR($AQ477="",$AR477="BREAKDOWN_REQUIRED"),"",$AQ477)</f>
        <v/>
      </c>
      <c r="AT477" s="23">
        <f>IF(OR($AR477="",$AR477="BREAKDOWN_REQUIRED"),"",SUM($J477,$AQ477,$Y477)-$X477)</f>
        <v/>
      </c>
      <c r="AU477" s="25">
        <f>IF(AND($A477="",$B477="",$F477="",$H477="",$J477="",$K477="",$M477="",$S477=""),"",IF(OR($H477="",$Q477="",$M477="",$S477=""),"ERROR",IF(OR($J477&lt;0,$K477&lt;0,$M477&lt;0,$T477&lt;0,$U477&lt;0,$V477&lt;0,$W477&lt;0,$X477&lt;0,$Y477&lt;0),"ERROR",IF($AE477="","ERROR",IF(AND(OR($S477="ITEM_PRICE_PLUS_DECLARED_DELIVERY",$S477="TOTAL_AMOUNT_INCLUDING_DELIVERY",$S477="ITEM_PRICE_ONLY_DELIVERY_PAID_BY_MERCHANT"),$J477=""),"ERROR",IF(AND(OR($S477="ITEM_PRICE_PLUS_DECLARED_DELIVERY",$S477="DELIVERY_CHARGE_ONLY"),$K477=""),"ERROR",IF(AND(OR($S477="TOTAL_AMOUNT_INCLUDING_DELIVERY",$S477="EXACT_COLLECTION_AMOUNT"),$T477=""),"ERROR",IF(AND($S477="TOTAL_AMOUNT_INCLUDING_DELIVERY",$T477&lt;SUM($J477,$U477)),"ERROR",IF($S477="EXACT_COLLECTION_AMOUNT","REVIEW","OK")))))))))</f>
        <v/>
      </c>
      <c r="AV477" s="25">
        <f>IF($AU477="","",IF($H477="","Township required",IF($Q477="","Customer tier required",IF($M477="","Weight required",IF($S477="","Amount entry type required",IF(OR($J477&lt;0,$K477&lt;0,$M477&lt;0,$T477&lt;0,$U477&lt;0,$V477&lt;0,$W477&lt;0,$X477&lt;0,$Y477&lt;0),"Negative amounts are not allowed",IF($AE477="","Tariff not found for township and tier",IF(AND(OR($S477="ITEM_PRICE_PLUS_DECLARED_DELIVERY",$S477="TOTAL_AMOUNT_INCLUDING_DELIVERY",$S477="ITEM_PRICE_ONLY_DELIVERY_PAID_BY_MERCHANT"),$J477=""),"Item price required for this amount type",IF(AND(OR($S477="ITEM_PRICE_PLUS_DECLARED_DELIVERY",$S477="DELIVERY_CHARGE_ONLY"),$K477=""),"Declared delivery charge required",IF(AND(OR($S477="TOTAL_AMOUNT_INCLUDING_DELIVERY",$S477="EXACT_COLLECTION_AMOUNT"),$T477=""),"Stated total amount required",IF(AND($S477="TOTAL_AMOUNT_INCLUDING_DELIVERY",$T477&lt;SUM($J477,$U477)),"Stated total is below item price plus additional charge",IF($S477="EXACT_COLLECTION_AMOUNT","Authorized amount breakdown required before settlement","Ready for collection and settlement"))))))))))))</f>
        <v/>
      </c>
      <c r="AW477" s="23">
        <f>IF($AU477="","","PARCEL_FINANCIAL_V2")</f>
        <v/>
      </c>
      <c r="AX477" s="17" t="n"/>
    </row>
    <row r="478">
      <c r="A478" s="8" t="n"/>
      <c r="B478" s="8" t="n"/>
      <c r="C478" s="8" t="n"/>
      <c r="D478" s="8" t="n"/>
      <c r="E478" s="9" t="n"/>
      <c r="F478" s="9" t="n"/>
      <c r="G478" s="8" t="n"/>
      <c r="H478" s="9" t="n"/>
      <c r="I478" s="9" t="n"/>
      <c r="J478" s="10" t="n"/>
      <c r="K478" s="10" t="n"/>
      <c r="L478" s="11">
        <f>IF($S478="","",IF($S478="ITEM_PRICE_PLUS_DECLARED_DELIVERY",IF(OR($J478="",$K478=""),"",SUM($J478,$K478,$U478)),IF($S478="TOTAL_AMOUNT_INCLUDING_DELIVERY",IF($T478="","",$T478),IF($S478="DELIVERY_CHARGE_ONLY",IF($K478="","",SUM($K478,$U478)),IF($S478="EXACT_COLLECTION_AMOUNT",IF($T478="","",$T478),IF($S478="ITEM_PRICE_ONLY_DELIVERY_PAID_BY_MERCHANT",IF($J478="","",SUM($J478,$U478)),""))))))</f>
        <v/>
      </c>
      <c r="M478" s="12" t="n"/>
      <c r="N478" s="13" t="n"/>
      <c r="O478" s="13" t="n"/>
      <c r="P478" s="9" t="n"/>
      <c r="Q478" s="14" t="n"/>
      <c r="R478" s="15" t="n"/>
      <c r="S478" s="14" t="n"/>
      <c r="T478" s="16" t="n"/>
      <c r="U478" s="16" t="n"/>
      <c r="V478" s="16" t="n"/>
      <c r="W478" s="16" t="n"/>
      <c r="X478" s="16" t="n"/>
      <c r="Y478" s="16" t="n"/>
      <c r="Z478" s="14" t="n"/>
      <c r="AA478" s="14" t="n"/>
      <c r="AB478" s="14" t="n"/>
      <c r="AC478" s="17">
        <f>IFERROR(VLOOKUP($H478&amp;"|"&amp;$Q478,Tariff_Master!$A$2:$L$169,3,FALSE),"")</f>
        <v/>
      </c>
      <c r="AD478" s="17">
        <f>IFERROR(VLOOKUP($H478&amp;"|"&amp;$Q478,Tariff_Master!$A$2:$L$169,4,FALSE),"")</f>
        <v/>
      </c>
      <c r="AE478" s="18">
        <f>IFERROR(VLOOKUP($H478&amp;"|"&amp;$Q478,Tariff_Master!$A$2:$L$169,6,FALSE),"")</f>
        <v/>
      </c>
      <c r="AF478" s="19">
        <f>IFERROR(VLOOKUP($H478&amp;"|"&amp;$Q478,Tariff_Master!$A$2:$L$169,7,FALSE),"")</f>
        <v/>
      </c>
      <c r="AG478" s="18">
        <f>IFERROR(VLOOKUP($H478&amp;"|"&amp;$Q478,Tariff_Master!$A$2:$L$169,8,FALSE),"")</f>
        <v/>
      </c>
      <c r="AH478" s="20">
        <f>IFERROR(VLOOKUP($H478&amp;"|"&amp;$Q478,Tariff_Master!$A$2:$L$169,9,FALSE),"")</f>
        <v/>
      </c>
      <c r="AI478" s="18">
        <f>IFERROR(VLOOKUP($H478&amp;"|"&amp;$Q478,Tariff_Master!$A$2:$L$169,10,FALSE),"")</f>
        <v/>
      </c>
      <c r="AJ478" s="21">
        <f>IF($M478="","",ROUNDUP(MAX(0,$M478),0))</f>
        <v/>
      </c>
      <c r="AK478" s="21">
        <f>IF(OR($AJ478="",$AF478=""),"",MAX(0,$AJ478-$AF478))</f>
        <v/>
      </c>
      <c r="AL478" s="22">
        <f>IF(OR($AK478="",$AG478=""),"",MAX(0,$AK478*$AG478))</f>
        <v/>
      </c>
      <c r="AM478" s="22">
        <f>IF($AE478="","",MAX(0,SUM($AE478,$AL478,$V478,$W478)))</f>
        <v/>
      </c>
      <c r="AN478" s="22">
        <f>IF($AM478="","",IF(AND($Q478="COMMITMENT",$R478&gt;=$AH478),$AI478,0))</f>
        <v/>
      </c>
      <c r="AO478" s="23">
        <f>IF($AM478="","",MAX(0,$AM478-$AN478))</f>
        <v/>
      </c>
      <c r="AP478" s="22">
        <f>IF($S478="","",IF(OR($S478="ITEM_PRICE_PLUS_DECLARED_DELIVERY",$S478="DELIVERY_CHARGE_ONLY"),$K478,IF($S478="TOTAL_AMOUNT_INCLUDING_DELIVERY",IF(OR($T478="",$J478=""),"",MAX(0,$T478-$J478-$U478)),IF($S478="ITEM_PRICE_ONLY_DELIVERY_PAID_BY_MERCHANT",0,""))))</f>
        <v/>
      </c>
      <c r="AQ478" s="23">
        <f>IF(OR($AP478="",$AO478=""),"",$AP478-$AO478)</f>
        <v/>
      </c>
      <c r="AR478" s="24">
        <f>IF($S478="EXACT_COLLECTION_AMOUNT","BREAKDOWN_REQUIRED",IF($AQ478="","",IF($AQ478&gt;0,"CREDIT_TO_MERCHANT",IF($AQ478&lt;0,"DEDUCT_FROM_MERCHANT","NO_ADJUSTMENT"))))</f>
        <v/>
      </c>
      <c r="AS478" s="23">
        <f>IF(OR($AQ478="",$AR478="BREAKDOWN_REQUIRED"),"",$AQ478)</f>
        <v/>
      </c>
      <c r="AT478" s="23">
        <f>IF(OR($AR478="",$AR478="BREAKDOWN_REQUIRED"),"",SUM($J478,$AQ478,$Y478)-$X478)</f>
        <v/>
      </c>
      <c r="AU478" s="25">
        <f>IF(AND($A478="",$B478="",$F478="",$H478="",$J478="",$K478="",$M478="",$S478=""),"",IF(OR($H478="",$Q478="",$M478="",$S478=""),"ERROR",IF(OR($J478&lt;0,$K478&lt;0,$M478&lt;0,$T478&lt;0,$U478&lt;0,$V478&lt;0,$W478&lt;0,$X478&lt;0,$Y478&lt;0),"ERROR",IF($AE478="","ERROR",IF(AND(OR($S478="ITEM_PRICE_PLUS_DECLARED_DELIVERY",$S478="TOTAL_AMOUNT_INCLUDING_DELIVERY",$S478="ITEM_PRICE_ONLY_DELIVERY_PAID_BY_MERCHANT"),$J478=""),"ERROR",IF(AND(OR($S478="ITEM_PRICE_PLUS_DECLARED_DELIVERY",$S478="DELIVERY_CHARGE_ONLY"),$K478=""),"ERROR",IF(AND(OR($S478="TOTAL_AMOUNT_INCLUDING_DELIVERY",$S478="EXACT_COLLECTION_AMOUNT"),$T478=""),"ERROR",IF(AND($S478="TOTAL_AMOUNT_INCLUDING_DELIVERY",$T478&lt;SUM($J478,$U478)),"ERROR",IF($S478="EXACT_COLLECTION_AMOUNT","REVIEW","OK")))))))))</f>
        <v/>
      </c>
      <c r="AV478" s="25">
        <f>IF($AU478="","",IF($H478="","Township required",IF($Q478="","Customer tier required",IF($M478="","Weight required",IF($S478="","Amount entry type required",IF(OR($J478&lt;0,$K478&lt;0,$M478&lt;0,$T478&lt;0,$U478&lt;0,$V478&lt;0,$W478&lt;0,$X478&lt;0,$Y478&lt;0),"Negative amounts are not allowed",IF($AE478="","Tariff not found for township and tier",IF(AND(OR($S478="ITEM_PRICE_PLUS_DECLARED_DELIVERY",$S478="TOTAL_AMOUNT_INCLUDING_DELIVERY",$S478="ITEM_PRICE_ONLY_DELIVERY_PAID_BY_MERCHANT"),$J478=""),"Item price required for this amount type",IF(AND(OR($S478="ITEM_PRICE_PLUS_DECLARED_DELIVERY",$S478="DELIVERY_CHARGE_ONLY"),$K478=""),"Declared delivery charge required",IF(AND(OR($S478="TOTAL_AMOUNT_INCLUDING_DELIVERY",$S478="EXACT_COLLECTION_AMOUNT"),$T478=""),"Stated total amount required",IF(AND($S478="TOTAL_AMOUNT_INCLUDING_DELIVERY",$T478&lt;SUM($J478,$U478)),"Stated total is below item price plus additional charge",IF($S478="EXACT_COLLECTION_AMOUNT","Authorized amount breakdown required before settlement","Ready for collection and settlement"))))))))))))</f>
        <v/>
      </c>
      <c r="AW478" s="23">
        <f>IF($AU478="","","PARCEL_FINANCIAL_V2")</f>
        <v/>
      </c>
      <c r="AX478" s="17" t="n"/>
    </row>
    <row r="479">
      <c r="A479" s="8" t="n"/>
      <c r="B479" s="8" t="n"/>
      <c r="C479" s="8" t="n"/>
      <c r="D479" s="8" t="n"/>
      <c r="E479" s="9" t="n"/>
      <c r="F479" s="9" t="n"/>
      <c r="G479" s="8" t="n"/>
      <c r="H479" s="9" t="n"/>
      <c r="I479" s="9" t="n"/>
      <c r="J479" s="10" t="n"/>
      <c r="K479" s="10" t="n"/>
      <c r="L479" s="11">
        <f>IF($S479="","",IF($S479="ITEM_PRICE_PLUS_DECLARED_DELIVERY",IF(OR($J479="",$K479=""),"",SUM($J479,$K479,$U479)),IF($S479="TOTAL_AMOUNT_INCLUDING_DELIVERY",IF($T479="","",$T479),IF($S479="DELIVERY_CHARGE_ONLY",IF($K479="","",SUM($K479,$U479)),IF($S479="EXACT_COLLECTION_AMOUNT",IF($T479="","",$T479),IF($S479="ITEM_PRICE_ONLY_DELIVERY_PAID_BY_MERCHANT",IF($J479="","",SUM($J479,$U479)),""))))))</f>
        <v/>
      </c>
      <c r="M479" s="12" t="n"/>
      <c r="N479" s="13" t="n"/>
      <c r="O479" s="13" t="n"/>
      <c r="P479" s="9" t="n"/>
      <c r="Q479" s="14" t="n"/>
      <c r="R479" s="15" t="n"/>
      <c r="S479" s="14" t="n"/>
      <c r="T479" s="16" t="n"/>
      <c r="U479" s="16" t="n"/>
      <c r="V479" s="16" t="n"/>
      <c r="W479" s="16" t="n"/>
      <c r="X479" s="16" t="n"/>
      <c r="Y479" s="16" t="n"/>
      <c r="Z479" s="14" t="n"/>
      <c r="AA479" s="14" t="n"/>
      <c r="AB479" s="14" t="n"/>
      <c r="AC479" s="17">
        <f>IFERROR(VLOOKUP($H479&amp;"|"&amp;$Q479,Tariff_Master!$A$2:$L$169,3,FALSE),"")</f>
        <v/>
      </c>
      <c r="AD479" s="17">
        <f>IFERROR(VLOOKUP($H479&amp;"|"&amp;$Q479,Tariff_Master!$A$2:$L$169,4,FALSE),"")</f>
        <v/>
      </c>
      <c r="AE479" s="18">
        <f>IFERROR(VLOOKUP($H479&amp;"|"&amp;$Q479,Tariff_Master!$A$2:$L$169,6,FALSE),"")</f>
        <v/>
      </c>
      <c r="AF479" s="19">
        <f>IFERROR(VLOOKUP($H479&amp;"|"&amp;$Q479,Tariff_Master!$A$2:$L$169,7,FALSE),"")</f>
        <v/>
      </c>
      <c r="AG479" s="18">
        <f>IFERROR(VLOOKUP($H479&amp;"|"&amp;$Q479,Tariff_Master!$A$2:$L$169,8,FALSE),"")</f>
        <v/>
      </c>
      <c r="AH479" s="20">
        <f>IFERROR(VLOOKUP($H479&amp;"|"&amp;$Q479,Tariff_Master!$A$2:$L$169,9,FALSE),"")</f>
        <v/>
      </c>
      <c r="AI479" s="18">
        <f>IFERROR(VLOOKUP($H479&amp;"|"&amp;$Q479,Tariff_Master!$A$2:$L$169,10,FALSE),"")</f>
        <v/>
      </c>
      <c r="AJ479" s="21">
        <f>IF($M479="","",ROUNDUP(MAX(0,$M479),0))</f>
        <v/>
      </c>
      <c r="AK479" s="21">
        <f>IF(OR($AJ479="",$AF479=""),"",MAX(0,$AJ479-$AF479))</f>
        <v/>
      </c>
      <c r="AL479" s="22">
        <f>IF(OR($AK479="",$AG479=""),"",MAX(0,$AK479*$AG479))</f>
        <v/>
      </c>
      <c r="AM479" s="22">
        <f>IF($AE479="","",MAX(0,SUM($AE479,$AL479,$V479,$W479)))</f>
        <v/>
      </c>
      <c r="AN479" s="22">
        <f>IF($AM479="","",IF(AND($Q479="COMMITMENT",$R479&gt;=$AH479),$AI479,0))</f>
        <v/>
      </c>
      <c r="AO479" s="23">
        <f>IF($AM479="","",MAX(0,$AM479-$AN479))</f>
        <v/>
      </c>
      <c r="AP479" s="22">
        <f>IF($S479="","",IF(OR($S479="ITEM_PRICE_PLUS_DECLARED_DELIVERY",$S479="DELIVERY_CHARGE_ONLY"),$K479,IF($S479="TOTAL_AMOUNT_INCLUDING_DELIVERY",IF(OR($T479="",$J479=""),"",MAX(0,$T479-$J479-$U479)),IF($S479="ITEM_PRICE_ONLY_DELIVERY_PAID_BY_MERCHANT",0,""))))</f>
        <v/>
      </c>
      <c r="AQ479" s="23">
        <f>IF(OR($AP479="",$AO479=""),"",$AP479-$AO479)</f>
        <v/>
      </c>
      <c r="AR479" s="24">
        <f>IF($S479="EXACT_COLLECTION_AMOUNT","BREAKDOWN_REQUIRED",IF($AQ479="","",IF($AQ479&gt;0,"CREDIT_TO_MERCHANT",IF($AQ479&lt;0,"DEDUCT_FROM_MERCHANT","NO_ADJUSTMENT"))))</f>
        <v/>
      </c>
      <c r="AS479" s="23">
        <f>IF(OR($AQ479="",$AR479="BREAKDOWN_REQUIRED"),"",$AQ479)</f>
        <v/>
      </c>
      <c r="AT479" s="23">
        <f>IF(OR($AR479="",$AR479="BREAKDOWN_REQUIRED"),"",SUM($J479,$AQ479,$Y479)-$X479)</f>
        <v/>
      </c>
      <c r="AU479" s="25">
        <f>IF(AND($A479="",$B479="",$F479="",$H479="",$J479="",$K479="",$M479="",$S479=""),"",IF(OR($H479="",$Q479="",$M479="",$S479=""),"ERROR",IF(OR($J479&lt;0,$K479&lt;0,$M479&lt;0,$T479&lt;0,$U479&lt;0,$V479&lt;0,$W479&lt;0,$X479&lt;0,$Y479&lt;0),"ERROR",IF($AE479="","ERROR",IF(AND(OR($S479="ITEM_PRICE_PLUS_DECLARED_DELIVERY",$S479="TOTAL_AMOUNT_INCLUDING_DELIVERY",$S479="ITEM_PRICE_ONLY_DELIVERY_PAID_BY_MERCHANT"),$J479=""),"ERROR",IF(AND(OR($S479="ITEM_PRICE_PLUS_DECLARED_DELIVERY",$S479="DELIVERY_CHARGE_ONLY"),$K479=""),"ERROR",IF(AND(OR($S479="TOTAL_AMOUNT_INCLUDING_DELIVERY",$S479="EXACT_COLLECTION_AMOUNT"),$T479=""),"ERROR",IF(AND($S479="TOTAL_AMOUNT_INCLUDING_DELIVERY",$T479&lt;SUM($J479,$U479)),"ERROR",IF($S479="EXACT_COLLECTION_AMOUNT","REVIEW","OK")))))))))</f>
        <v/>
      </c>
      <c r="AV479" s="25">
        <f>IF($AU479="","",IF($H479="","Township required",IF($Q479="","Customer tier required",IF($M479="","Weight required",IF($S479="","Amount entry type required",IF(OR($J479&lt;0,$K479&lt;0,$M479&lt;0,$T479&lt;0,$U479&lt;0,$V479&lt;0,$W479&lt;0,$X479&lt;0,$Y479&lt;0),"Negative amounts are not allowed",IF($AE479="","Tariff not found for township and tier",IF(AND(OR($S479="ITEM_PRICE_PLUS_DECLARED_DELIVERY",$S479="TOTAL_AMOUNT_INCLUDING_DELIVERY",$S479="ITEM_PRICE_ONLY_DELIVERY_PAID_BY_MERCHANT"),$J479=""),"Item price required for this amount type",IF(AND(OR($S479="ITEM_PRICE_PLUS_DECLARED_DELIVERY",$S479="DELIVERY_CHARGE_ONLY"),$K479=""),"Declared delivery charge required",IF(AND(OR($S479="TOTAL_AMOUNT_INCLUDING_DELIVERY",$S479="EXACT_COLLECTION_AMOUNT"),$T479=""),"Stated total amount required",IF(AND($S479="TOTAL_AMOUNT_INCLUDING_DELIVERY",$T479&lt;SUM($J479,$U479)),"Stated total is below item price plus additional charge",IF($S479="EXACT_COLLECTION_AMOUNT","Authorized amount breakdown required before settlement","Ready for collection and settlement"))))))))))))</f>
        <v/>
      </c>
      <c r="AW479" s="23">
        <f>IF($AU479="","","PARCEL_FINANCIAL_V2")</f>
        <v/>
      </c>
      <c r="AX479" s="17" t="n"/>
    </row>
    <row r="480">
      <c r="A480" s="8" t="n"/>
      <c r="B480" s="8" t="n"/>
      <c r="C480" s="8" t="n"/>
      <c r="D480" s="8" t="n"/>
      <c r="E480" s="9" t="n"/>
      <c r="F480" s="9" t="n"/>
      <c r="G480" s="8" t="n"/>
      <c r="H480" s="9" t="n"/>
      <c r="I480" s="9" t="n"/>
      <c r="J480" s="10" t="n"/>
      <c r="K480" s="10" t="n"/>
      <c r="L480" s="11">
        <f>IF($S480="","",IF($S480="ITEM_PRICE_PLUS_DECLARED_DELIVERY",IF(OR($J480="",$K480=""),"",SUM($J480,$K480,$U480)),IF($S480="TOTAL_AMOUNT_INCLUDING_DELIVERY",IF($T480="","",$T480),IF($S480="DELIVERY_CHARGE_ONLY",IF($K480="","",SUM($K480,$U480)),IF($S480="EXACT_COLLECTION_AMOUNT",IF($T480="","",$T480),IF($S480="ITEM_PRICE_ONLY_DELIVERY_PAID_BY_MERCHANT",IF($J480="","",SUM($J480,$U480)),""))))))</f>
        <v/>
      </c>
      <c r="M480" s="12" t="n"/>
      <c r="N480" s="13" t="n"/>
      <c r="O480" s="13" t="n"/>
      <c r="P480" s="9" t="n"/>
      <c r="Q480" s="14" t="n"/>
      <c r="R480" s="15" t="n"/>
      <c r="S480" s="14" t="n"/>
      <c r="T480" s="16" t="n"/>
      <c r="U480" s="16" t="n"/>
      <c r="V480" s="16" t="n"/>
      <c r="W480" s="16" t="n"/>
      <c r="X480" s="16" t="n"/>
      <c r="Y480" s="16" t="n"/>
      <c r="Z480" s="14" t="n"/>
      <c r="AA480" s="14" t="n"/>
      <c r="AB480" s="14" t="n"/>
      <c r="AC480" s="17">
        <f>IFERROR(VLOOKUP($H480&amp;"|"&amp;$Q480,Tariff_Master!$A$2:$L$169,3,FALSE),"")</f>
        <v/>
      </c>
      <c r="AD480" s="17">
        <f>IFERROR(VLOOKUP($H480&amp;"|"&amp;$Q480,Tariff_Master!$A$2:$L$169,4,FALSE),"")</f>
        <v/>
      </c>
      <c r="AE480" s="18">
        <f>IFERROR(VLOOKUP($H480&amp;"|"&amp;$Q480,Tariff_Master!$A$2:$L$169,6,FALSE),"")</f>
        <v/>
      </c>
      <c r="AF480" s="19">
        <f>IFERROR(VLOOKUP($H480&amp;"|"&amp;$Q480,Tariff_Master!$A$2:$L$169,7,FALSE),"")</f>
        <v/>
      </c>
      <c r="AG480" s="18">
        <f>IFERROR(VLOOKUP($H480&amp;"|"&amp;$Q480,Tariff_Master!$A$2:$L$169,8,FALSE),"")</f>
        <v/>
      </c>
      <c r="AH480" s="20">
        <f>IFERROR(VLOOKUP($H480&amp;"|"&amp;$Q480,Tariff_Master!$A$2:$L$169,9,FALSE),"")</f>
        <v/>
      </c>
      <c r="AI480" s="18">
        <f>IFERROR(VLOOKUP($H480&amp;"|"&amp;$Q480,Tariff_Master!$A$2:$L$169,10,FALSE),"")</f>
        <v/>
      </c>
      <c r="AJ480" s="21">
        <f>IF($M480="","",ROUNDUP(MAX(0,$M480),0))</f>
        <v/>
      </c>
      <c r="AK480" s="21">
        <f>IF(OR($AJ480="",$AF480=""),"",MAX(0,$AJ480-$AF480))</f>
        <v/>
      </c>
      <c r="AL480" s="22">
        <f>IF(OR($AK480="",$AG480=""),"",MAX(0,$AK480*$AG480))</f>
        <v/>
      </c>
      <c r="AM480" s="22">
        <f>IF($AE480="","",MAX(0,SUM($AE480,$AL480,$V480,$W480)))</f>
        <v/>
      </c>
      <c r="AN480" s="22">
        <f>IF($AM480="","",IF(AND($Q480="COMMITMENT",$R480&gt;=$AH480),$AI480,0))</f>
        <v/>
      </c>
      <c r="AO480" s="23">
        <f>IF($AM480="","",MAX(0,$AM480-$AN480))</f>
        <v/>
      </c>
      <c r="AP480" s="22">
        <f>IF($S480="","",IF(OR($S480="ITEM_PRICE_PLUS_DECLARED_DELIVERY",$S480="DELIVERY_CHARGE_ONLY"),$K480,IF($S480="TOTAL_AMOUNT_INCLUDING_DELIVERY",IF(OR($T480="",$J480=""),"",MAX(0,$T480-$J480-$U480)),IF($S480="ITEM_PRICE_ONLY_DELIVERY_PAID_BY_MERCHANT",0,""))))</f>
        <v/>
      </c>
      <c r="AQ480" s="23">
        <f>IF(OR($AP480="",$AO480=""),"",$AP480-$AO480)</f>
        <v/>
      </c>
      <c r="AR480" s="24">
        <f>IF($S480="EXACT_COLLECTION_AMOUNT","BREAKDOWN_REQUIRED",IF($AQ480="","",IF($AQ480&gt;0,"CREDIT_TO_MERCHANT",IF($AQ480&lt;0,"DEDUCT_FROM_MERCHANT","NO_ADJUSTMENT"))))</f>
        <v/>
      </c>
      <c r="AS480" s="23">
        <f>IF(OR($AQ480="",$AR480="BREAKDOWN_REQUIRED"),"",$AQ480)</f>
        <v/>
      </c>
      <c r="AT480" s="23">
        <f>IF(OR($AR480="",$AR480="BREAKDOWN_REQUIRED"),"",SUM($J480,$AQ480,$Y480)-$X480)</f>
        <v/>
      </c>
      <c r="AU480" s="25">
        <f>IF(AND($A480="",$B480="",$F480="",$H480="",$J480="",$K480="",$M480="",$S480=""),"",IF(OR($H480="",$Q480="",$M480="",$S480=""),"ERROR",IF(OR($J480&lt;0,$K480&lt;0,$M480&lt;0,$T480&lt;0,$U480&lt;0,$V480&lt;0,$W480&lt;0,$X480&lt;0,$Y480&lt;0),"ERROR",IF($AE480="","ERROR",IF(AND(OR($S480="ITEM_PRICE_PLUS_DECLARED_DELIVERY",$S480="TOTAL_AMOUNT_INCLUDING_DELIVERY",$S480="ITEM_PRICE_ONLY_DELIVERY_PAID_BY_MERCHANT"),$J480=""),"ERROR",IF(AND(OR($S480="ITEM_PRICE_PLUS_DECLARED_DELIVERY",$S480="DELIVERY_CHARGE_ONLY"),$K480=""),"ERROR",IF(AND(OR($S480="TOTAL_AMOUNT_INCLUDING_DELIVERY",$S480="EXACT_COLLECTION_AMOUNT"),$T480=""),"ERROR",IF(AND($S480="TOTAL_AMOUNT_INCLUDING_DELIVERY",$T480&lt;SUM($J480,$U480)),"ERROR",IF($S480="EXACT_COLLECTION_AMOUNT","REVIEW","OK")))))))))</f>
        <v/>
      </c>
      <c r="AV480" s="25">
        <f>IF($AU480="","",IF($H480="","Township required",IF($Q480="","Customer tier required",IF($M480="","Weight required",IF($S480="","Amount entry type required",IF(OR($J480&lt;0,$K480&lt;0,$M480&lt;0,$T480&lt;0,$U480&lt;0,$V480&lt;0,$W480&lt;0,$X480&lt;0,$Y480&lt;0),"Negative amounts are not allowed",IF($AE480="","Tariff not found for township and tier",IF(AND(OR($S480="ITEM_PRICE_PLUS_DECLARED_DELIVERY",$S480="TOTAL_AMOUNT_INCLUDING_DELIVERY",$S480="ITEM_PRICE_ONLY_DELIVERY_PAID_BY_MERCHANT"),$J480=""),"Item price required for this amount type",IF(AND(OR($S480="ITEM_PRICE_PLUS_DECLARED_DELIVERY",$S480="DELIVERY_CHARGE_ONLY"),$K480=""),"Declared delivery charge required",IF(AND(OR($S480="TOTAL_AMOUNT_INCLUDING_DELIVERY",$S480="EXACT_COLLECTION_AMOUNT"),$T480=""),"Stated total amount required",IF(AND($S480="TOTAL_AMOUNT_INCLUDING_DELIVERY",$T480&lt;SUM($J480,$U480)),"Stated total is below item price plus additional charge",IF($S480="EXACT_COLLECTION_AMOUNT","Authorized amount breakdown required before settlement","Ready for collection and settlement"))))))))))))</f>
        <v/>
      </c>
      <c r="AW480" s="23">
        <f>IF($AU480="","","PARCEL_FINANCIAL_V2")</f>
        <v/>
      </c>
      <c r="AX480" s="17" t="n"/>
    </row>
    <row r="481">
      <c r="A481" s="8" t="n"/>
      <c r="B481" s="8" t="n"/>
      <c r="C481" s="8" t="n"/>
      <c r="D481" s="8" t="n"/>
      <c r="E481" s="9" t="n"/>
      <c r="F481" s="9" t="n"/>
      <c r="G481" s="8" t="n"/>
      <c r="H481" s="9" t="n"/>
      <c r="I481" s="9" t="n"/>
      <c r="J481" s="10" t="n"/>
      <c r="K481" s="10" t="n"/>
      <c r="L481" s="11">
        <f>IF($S481="","",IF($S481="ITEM_PRICE_PLUS_DECLARED_DELIVERY",IF(OR($J481="",$K481=""),"",SUM($J481,$K481,$U481)),IF($S481="TOTAL_AMOUNT_INCLUDING_DELIVERY",IF($T481="","",$T481),IF($S481="DELIVERY_CHARGE_ONLY",IF($K481="","",SUM($K481,$U481)),IF($S481="EXACT_COLLECTION_AMOUNT",IF($T481="","",$T481),IF($S481="ITEM_PRICE_ONLY_DELIVERY_PAID_BY_MERCHANT",IF($J481="","",SUM($J481,$U481)),""))))))</f>
        <v/>
      </c>
      <c r="M481" s="12" t="n"/>
      <c r="N481" s="13" t="n"/>
      <c r="O481" s="13" t="n"/>
      <c r="P481" s="9" t="n"/>
      <c r="Q481" s="14" t="n"/>
      <c r="R481" s="15" t="n"/>
      <c r="S481" s="14" t="n"/>
      <c r="T481" s="16" t="n"/>
      <c r="U481" s="16" t="n"/>
      <c r="V481" s="16" t="n"/>
      <c r="W481" s="16" t="n"/>
      <c r="X481" s="16" t="n"/>
      <c r="Y481" s="16" t="n"/>
      <c r="Z481" s="14" t="n"/>
      <c r="AA481" s="14" t="n"/>
      <c r="AB481" s="14" t="n"/>
      <c r="AC481" s="17">
        <f>IFERROR(VLOOKUP($H481&amp;"|"&amp;$Q481,Tariff_Master!$A$2:$L$169,3,FALSE),"")</f>
        <v/>
      </c>
      <c r="AD481" s="17">
        <f>IFERROR(VLOOKUP($H481&amp;"|"&amp;$Q481,Tariff_Master!$A$2:$L$169,4,FALSE),"")</f>
        <v/>
      </c>
      <c r="AE481" s="18">
        <f>IFERROR(VLOOKUP($H481&amp;"|"&amp;$Q481,Tariff_Master!$A$2:$L$169,6,FALSE),"")</f>
        <v/>
      </c>
      <c r="AF481" s="19">
        <f>IFERROR(VLOOKUP($H481&amp;"|"&amp;$Q481,Tariff_Master!$A$2:$L$169,7,FALSE),"")</f>
        <v/>
      </c>
      <c r="AG481" s="18">
        <f>IFERROR(VLOOKUP($H481&amp;"|"&amp;$Q481,Tariff_Master!$A$2:$L$169,8,FALSE),"")</f>
        <v/>
      </c>
      <c r="AH481" s="20">
        <f>IFERROR(VLOOKUP($H481&amp;"|"&amp;$Q481,Tariff_Master!$A$2:$L$169,9,FALSE),"")</f>
        <v/>
      </c>
      <c r="AI481" s="18">
        <f>IFERROR(VLOOKUP($H481&amp;"|"&amp;$Q481,Tariff_Master!$A$2:$L$169,10,FALSE),"")</f>
        <v/>
      </c>
      <c r="AJ481" s="21">
        <f>IF($M481="","",ROUNDUP(MAX(0,$M481),0))</f>
        <v/>
      </c>
      <c r="AK481" s="21">
        <f>IF(OR($AJ481="",$AF481=""),"",MAX(0,$AJ481-$AF481))</f>
        <v/>
      </c>
      <c r="AL481" s="22">
        <f>IF(OR($AK481="",$AG481=""),"",MAX(0,$AK481*$AG481))</f>
        <v/>
      </c>
      <c r="AM481" s="22">
        <f>IF($AE481="","",MAX(0,SUM($AE481,$AL481,$V481,$W481)))</f>
        <v/>
      </c>
      <c r="AN481" s="22">
        <f>IF($AM481="","",IF(AND($Q481="COMMITMENT",$R481&gt;=$AH481),$AI481,0))</f>
        <v/>
      </c>
      <c r="AO481" s="23">
        <f>IF($AM481="","",MAX(0,$AM481-$AN481))</f>
        <v/>
      </c>
      <c r="AP481" s="22">
        <f>IF($S481="","",IF(OR($S481="ITEM_PRICE_PLUS_DECLARED_DELIVERY",$S481="DELIVERY_CHARGE_ONLY"),$K481,IF($S481="TOTAL_AMOUNT_INCLUDING_DELIVERY",IF(OR($T481="",$J481=""),"",MAX(0,$T481-$J481-$U481)),IF($S481="ITEM_PRICE_ONLY_DELIVERY_PAID_BY_MERCHANT",0,""))))</f>
        <v/>
      </c>
      <c r="AQ481" s="23">
        <f>IF(OR($AP481="",$AO481=""),"",$AP481-$AO481)</f>
        <v/>
      </c>
      <c r="AR481" s="24">
        <f>IF($S481="EXACT_COLLECTION_AMOUNT","BREAKDOWN_REQUIRED",IF($AQ481="","",IF($AQ481&gt;0,"CREDIT_TO_MERCHANT",IF($AQ481&lt;0,"DEDUCT_FROM_MERCHANT","NO_ADJUSTMENT"))))</f>
        <v/>
      </c>
      <c r="AS481" s="23">
        <f>IF(OR($AQ481="",$AR481="BREAKDOWN_REQUIRED"),"",$AQ481)</f>
        <v/>
      </c>
      <c r="AT481" s="23">
        <f>IF(OR($AR481="",$AR481="BREAKDOWN_REQUIRED"),"",SUM($J481,$AQ481,$Y481)-$X481)</f>
        <v/>
      </c>
      <c r="AU481" s="25">
        <f>IF(AND($A481="",$B481="",$F481="",$H481="",$J481="",$K481="",$M481="",$S481=""),"",IF(OR($H481="",$Q481="",$M481="",$S481=""),"ERROR",IF(OR($J481&lt;0,$K481&lt;0,$M481&lt;0,$T481&lt;0,$U481&lt;0,$V481&lt;0,$W481&lt;0,$X481&lt;0,$Y481&lt;0),"ERROR",IF($AE481="","ERROR",IF(AND(OR($S481="ITEM_PRICE_PLUS_DECLARED_DELIVERY",$S481="TOTAL_AMOUNT_INCLUDING_DELIVERY",$S481="ITEM_PRICE_ONLY_DELIVERY_PAID_BY_MERCHANT"),$J481=""),"ERROR",IF(AND(OR($S481="ITEM_PRICE_PLUS_DECLARED_DELIVERY",$S481="DELIVERY_CHARGE_ONLY"),$K481=""),"ERROR",IF(AND(OR($S481="TOTAL_AMOUNT_INCLUDING_DELIVERY",$S481="EXACT_COLLECTION_AMOUNT"),$T481=""),"ERROR",IF(AND($S481="TOTAL_AMOUNT_INCLUDING_DELIVERY",$T481&lt;SUM($J481,$U481)),"ERROR",IF($S481="EXACT_COLLECTION_AMOUNT","REVIEW","OK")))))))))</f>
        <v/>
      </c>
      <c r="AV481" s="25">
        <f>IF($AU481="","",IF($H481="","Township required",IF($Q481="","Customer tier required",IF($M481="","Weight required",IF($S481="","Amount entry type required",IF(OR($J481&lt;0,$K481&lt;0,$M481&lt;0,$T481&lt;0,$U481&lt;0,$V481&lt;0,$W481&lt;0,$X481&lt;0,$Y481&lt;0),"Negative amounts are not allowed",IF($AE481="","Tariff not found for township and tier",IF(AND(OR($S481="ITEM_PRICE_PLUS_DECLARED_DELIVERY",$S481="TOTAL_AMOUNT_INCLUDING_DELIVERY",$S481="ITEM_PRICE_ONLY_DELIVERY_PAID_BY_MERCHANT"),$J481=""),"Item price required for this amount type",IF(AND(OR($S481="ITEM_PRICE_PLUS_DECLARED_DELIVERY",$S481="DELIVERY_CHARGE_ONLY"),$K481=""),"Declared delivery charge required",IF(AND(OR($S481="TOTAL_AMOUNT_INCLUDING_DELIVERY",$S481="EXACT_COLLECTION_AMOUNT"),$T481=""),"Stated total amount required",IF(AND($S481="TOTAL_AMOUNT_INCLUDING_DELIVERY",$T481&lt;SUM($J481,$U481)),"Stated total is below item price plus additional charge",IF($S481="EXACT_COLLECTION_AMOUNT","Authorized amount breakdown required before settlement","Ready for collection and settlement"))))))))))))</f>
        <v/>
      </c>
      <c r="AW481" s="23">
        <f>IF($AU481="","","PARCEL_FINANCIAL_V2")</f>
        <v/>
      </c>
      <c r="AX481" s="17" t="n"/>
    </row>
    <row r="482">
      <c r="A482" s="8" t="n"/>
      <c r="B482" s="8" t="n"/>
      <c r="C482" s="8" t="n"/>
      <c r="D482" s="8" t="n"/>
      <c r="E482" s="9" t="n"/>
      <c r="F482" s="9" t="n"/>
      <c r="G482" s="8" t="n"/>
      <c r="H482" s="9" t="n"/>
      <c r="I482" s="9" t="n"/>
      <c r="J482" s="10" t="n"/>
      <c r="K482" s="10" t="n"/>
      <c r="L482" s="11">
        <f>IF($S482="","",IF($S482="ITEM_PRICE_PLUS_DECLARED_DELIVERY",IF(OR($J482="",$K482=""),"",SUM($J482,$K482,$U482)),IF($S482="TOTAL_AMOUNT_INCLUDING_DELIVERY",IF($T482="","",$T482),IF($S482="DELIVERY_CHARGE_ONLY",IF($K482="","",SUM($K482,$U482)),IF($S482="EXACT_COLLECTION_AMOUNT",IF($T482="","",$T482),IF($S482="ITEM_PRICE_ONLY_DELIVERY_PAID_BY_MERCHANT",IF($J482="","",SUM($J482,$U482)),""))))))</f>
        <v/>
      </c>
      <c r="M482" s="12" t="n"/>
      <c r="N482" s="13" t="n"/>
      <c r="O482" s="13" t="n"/>
      <c r="P482" s="9" t="n"/>
      <c r="Q482" s="14" t="n"/>
      <c r="R482" s="15" t="n"/>
      <c r="S482" s="14" t="n"/>
      <c r="T482" s="16" t="n"/>
      <c r="U482" s="16" t="n"/>
      <c r="V482" s="16" t="n"/>
      <c r="W482" s="16" t="n"/>
      <c r="X482" s="16" t="n"/>
      <c r="Y482" s="16" t="n"/>
      <c r="Z482" s="14" t="n"/>
      <c r="AA482" s="14" t="n"/>
      <c r="AB482" s="14" t="n"/>
      <c r="AC482" s="17">
        <f>IFERROR(VLOOKUP($H482&amp;"|"&amp;$Q482,Tariff_Master!$A$2:$L$169,3,FALSE),"")</f>
        <v/>
      </c>
      <c r="AD482" s="17">
        <f>IFERROR(VLOOKUP($H482&amp;"|"&amp;$Q482,Tariff_Master!$A$2:$L$169,4,FALSE),"")</f>
        <v/>
      </c>
      <c r="AE482" s="18">
        <f>IFERROR(VLOOKUP($H482&amp;"|"&amp;$Q482,Tariff_Master!$A$2:$L$169,6,FALSE),"")</f>
        <v/>
      </c>
      <c r="AF482" s="19">
        <f>IFERROR(VLOOKUP($H482&amp;"|"&amp;$Q482,Tariff_Master!$A$2:$L$169,7,FALSE),"")</f>
        <v/>
      </c>
      <c r="AG482" s="18">
        <f>IFERROR(VLOOKUP($H482&amp;"|"&amp;$Q482,Tariff_Master!$A$2:$L$169,8,FALSE),"")</f>
        <v/>
      </c>
      <c r="AH482" s="20">
        <f>IFERROR(VLOOKUP($H482&amp;"|"&amp;$Q482,Tariff_Master!$A$2:$L$169,9,FALSE),"")</f>
        <v/>
      </c>
      <c r="AI482" s="18">
        <f>IFERROR(VLOOKUP($H482&amp;"|"&amp;$Q482,Tariff_Master!$A$2:$L$169,10,FALSE),"")</f>
        <v/>
      </c>
      <c r="AJ482" s="21">
        <f>IF($M482="","",ROUNDUP(MAX(0,$M482),0))</f>
        <v/>
      </c>
      <c r="AK482" s="21">
        <f>IF(OR($AJ482="",$AF482=""),"",MAX(0,$AJ482-$AF482))</f>
        <v/>
      </c>
      <c r="AL482" s="22">
        <f>IF(OR($AK482="",$AG482=""),"",MAX(0,$AK482*$AG482))</f>
        <v/>
      </c>
      <c r="AM482" s="22">
        <f>IF($AE482="","",MAX(0,SUM($AE482,$AL482,$V482,$W482)))</f>
        <v/>
      </c>
      <c r="AN482" s="22">
        <f>IF($AM482="","",IF(AND($Q482="COMMITMENT",$R482&gt;=$AH482),$AI482,0))</f>
        <v/>
      </c>
      <c r="AO482" s="23">
        <f>IF($AM482="","",MAX(0,$AM482-$AN482))</f>
        <v/>
      </c>
      <c r="AP482" s="22">
        <f>IF($S482="","",IF(OR($S482="ITEM_PRICE_PLUS_DECLARED_DELIVERY",$S482="DELIVERY_CHARGE_ONLY"),$K482,IF($S482="TOTAL_AMOUNT_INCLUDING_DELIVERY",IF(OR($T482="",$J482=""),"",MAX(0,$T482-$J482-$U482)),IF($S482="ITEM_PRICE_ONLY_DELIVERY_PAID_BY_MERCHANT",0,""))))</f>
        <v/>
      </c>
      <c r="AQ482" s="23">
        <f>IF(OR($AP482="",$AO482=""),"",$AP482-$AO482)</f>
        <v/>
      </c>
      <c r="AR482" s="24">
        <f>IF($S482="EXACT_COLLECTION_AMOUNT","BREAKDOWN_REQUIRED",IF($AQ482="","",IF($AQ482&gt;0,"CREDIT_TO_MERCHANT",IF($AQ482&lt;0,"DEDUCT_FROM_MERCHANT","NO_ADJUSTMENT"))))</f>
        <v/>
      </c>
      <c r="AS482" s="23">
        <f>IF(OR($AQ482="",$AR482="BREAKDOWN_REQUIRED"),"",$AQ482)</f>
        <v/>
      </c>
      <c r="AT482" s="23">
        <f>IF(OR($AR482="",$AR482="BREAKDOWN_REQUIRED"),"",SUM($J482,$AQ482,$Y482)-$X482)</f>
        <v/>
      </c>
      <c r="AU482" s="25">
        <f>IF(AND($A482="",$B482="",$F482="",$H482="",$J482="",$K482="",$M482="",$S482=""),"",IF(OR($H482="",$Q482="",$M482="",$S482=""),"ERROR",IF(OR($J482&lt;0,$K482&lt;0,$M482&lt;0,$T482&lt;0,$U482&lt;0,$V482&lt;0,$W482&lt;0,$X482&lt;0,$Y482&lt;0),"ERROR",IF($AE482="","ERROR",IF(AND(OR($S482="ITEM_PRICE_PLUS_DECLARED_DELIVERY",$S482="TOTAL_AMOUNT_INCLUDING_DELIVERY",$S482="ITEM_PRICE_ONLY_DELIVERY_PAID_BY_MERCHANT"),$J482=""),"ERROR",IF(AND(OR($S482="ITEM_PRICE_PLUS_DECLARED_DELIVERY",$S482="DELIVERY_CHARGE_ONLY"),$K482=""),"ERROR",IF(AND(OR($S482="TOTAL_AMOUNT_INCLUDING_DELIVERY",$S482="EXACT_COLLECTION_AMOUNT"),$T482=""),"ERROR",IF(AND($S482="TOTAL_AMOUNT_INCLUDING_DELIVERY",$T482&lt;SUM($J482,$U482)),"ERROR",IF($S482="EXACT_COLLECTION_AMOUNT","REVIEW","OK")))))))))</f>
        <v/>
      </c>
      <c r="AV482" s="25">
        <f>IF($AU482="","",IF($H482="","Township required",IF($Q482="","Customer tier required",IF($M482="","Weight required",IF($S482="","Amount entry type required",IF(OR($J482&lt;0,$K482&lt;0,$M482&lt;0,$T482&lt;0,$U482&lt;0,$V482&lt;0,$W482&lt;0,$X482&lt;0,$Y482&lt;0),"Negative amounts are not allowed",IF($AE482="","Tariff not found for township and tier",IF(AND(OR($S482="ITEM_PRICE_PLUS_DECLARED_DELIVERY",$S482="TOTAL_AMOUNT_INCLUDING_DELIVERY",$S482="ITEM_PRICE_ONLY_DELIVERY_PAID_BY_MERCHANT"),$J482=""),"Item price required for this amount type",IF(AND(OR($S482="ITEM_PRICE_PLUS_DECLARED_DELIVERY",$S482="DELIVERY_CHARGE_ONLY"),$K482=""),"Declared delivery charge required",IF(AND(OR($S482="TOTAL_AMOUNT_INCLUDING_DELIVERY",$S482="EXACT_COLLECTION_AMOUNT"),$T482=""),"Stated total amount required",IF(AND($S482="TOTAL_AMOUNT_INCLUDING_DELIVERY",$T482&lt;SUM($J482,$U482)),"Stated total is below item price plus additional charge",IF($S482="EXACT_COLLECTION_AMOUNT","Authorized amount breakdown required before settlement","Ready for collection and settlement"))))))))))))</f>
        <v/>
      </c>
      <c r="AW482" s="23">
        <f>IF($AU482="","","PARCEL_FINANCIAL_V2")</f>
        <v/>
      </c>
      <c r="AX482" s="17" t="n"/>
    </row>
    <row r="483">
      <c r="A483" s="8" t="n"/>
      <c r="B483" s="8" t="n"/>
      <c r="C483" s="8" t="n"/>
      <c r="D483" s="8" t="n"/>
      <c r="E483" s="9" t="n"/>
      <c r="F483" s="9" t="n"/>
      <c r="G483" s="8" t="n"/>
      <c r="H483" s="9" t="n"/>
      <c r="I483" s="9" t="n"/>
      <c r="J483" s="10" t="n"/>
      <c r="K483" s="10" t="n"/>
      <c r="L483" s="11">
        <f>IF($S483="","",IF($S483="ITEM_PRICE_PLUS_DECLARED_DELIVERY",IF(OR($J483="",$K483=""),"",SUM($J483,$K483,$U483)),IF($S483="TOTAL_AMOUNT_INCLUDING_DELIVERY",IF($T483="","",$T483),IF($S483="DELIVERY_CHARGE_ONLY",IF($K483="","",SUM($K483,$U483)),IF($S483="EXACT_COLLECTION_AMOUNT",IF($T483="","",$T483),IF($S483="ITEM_PRICE_ONLY_DELIVERY_PAID_BY_MERCHANT",IF($J483="","",SUM($J483,$U483)),""))))))</f>
        <v/>
      </c>
      <c r="M483" s="12" t="n"/>
      <c r="N483" s="13" t="n"/>
      <c r="O483" s="13" t="n"/>
      <c r="P483" s="9" t="n"/>
      <c r="Q483" s="14" t="n"/>
      <c r="R483" s="15" t="n"/>
      <c r="S483" s="14" t="n"/>
      <c r="T483" s="16" t="n"/>
      <c r="U483" s="16" t="n"/>
      <c r="V483" s="16" t="n"/>
      <c r="W483" s="16" t="n"/>
      <c r="X483" s="16" t="n"/>
      <c r="Y483" s="16" t="n"/>
      <c r="Z483" s="14" t="n"/>
      <c r="AA483" s="14" t="n"/>
      <c r="AB483" s="14" t="n"/>
      <c r="AC483" s="17">
        <f>IFERROR(VLOOKUP($H483&amp;"|"&amp;$Q483,Tariff_Master!$A$2:$L$169,3,FALSE),"")</f>
        <v/>
      </c>
      <c r="AD483" s="17">
        <f>IFERROR(VLOOKUP($H483&amp;"|"&amp;$Q483,Tariff_Master!$A$2:$L$169,4,FALSE),"")</f>
        <v/>
      </c>
      <c r="AE483" s="18">
        <f>IFERROR(VLOOKUP($H483&amp;"|"&amp;$Q483,Tariff_Master!$A$2:$L$169,6,FALSE),"")</f>
        <v/>
      </c>
      <c r="AF483" s="19">
        <f>IFERROR(VLOOKUP($H483&amp;"|"&amp;$Q483,Tariff_Master!$A$2:$L$169,7,FALSE),"")</f>
        <v/>
      </c>
      <c r="AG483" s="18">
        <f>IFERROR(VLOOKUP($H483&amp;"|"&amp;$Q483,Tariff_Master!$A$2:$L$169,8,FALSE),"")</f>
        <v/>
      </c>
      <c r="AH483" s="20">
        <f>IFERROR(VLOOKUP($H483&amp;"|"&amp;$Q483,Tariff_Master!$A$2:$L$169,9,FALSE),"")</f>
        <v/>
      </c>
      <c r="AI483" s="18">
        <f>IFERROR(VLOOKUP($H483&amp;"|"&amp;$Q483,Tariff_Master!$A$2:$L$169,10,FALSE),"")</f>
        <v/>
      </c>
      <c r="AJ483" s="21">
        <f>IF($M483="","",ROUNDUP(MAX(0,$M483),0))</f>
        <v/>
      </c>
      <c r="AK483" s="21">
        <f>IF(OR($AJ483="",$AF483=""),"",MAX(0,$AJ483-$AF483))</f>
        <v/>
      </c>
      <c r="AL483" s="22">
        <f>IF(OR($AK483="",$AG483=""),"",MAX(0,$AK483*$AG483))</f>
        <v/>
      </c>
      <c r="AM483" s="22">
        <f>IF($AE483="","",MAX(0,SUM($AE483,$AL483,$V483,$W483)))</f>
        <v/>
      </c>
      <c r="AN483" s="22">
        <f>IF($AM483="","",IF(AND($Q483="COMMITMENT",$R483&gt;=$AH483),$AI483,0))</f>
        <v/>
      </c>
      <c r="AO483" s="23">
        <f>IF($AM483="","",MAX(0,$AM483-$AN483))</f>
        <v/>
      </c>
      <c r="AP483" s="22">
        <f>IF($S483="","",IF(OR($S483="ITEM_PRICE_PLUS_DECLARED_DELIVERY",$S483="DELIVERY_CHARGE_ONLY"),$K483,IF($S483="TOTAL_AMOUNT_INCLUDING_DELIVERY",IF(OR($T483="",$J483=""),"",MAX(0,$T483-$J483-$U483)),IF($S483="ITEM_PRICE_ONLY_DELIVERY_PAID_BY_MERCHANT",0,""))))</f>
        <v/>
      </c>
      <c r="AQ483" s="23">
        <f>IF(OR($AP483="",$AO483=""),"",$AP483-$AO483)</f>
        <v/>
      </c>
      <c r="AR483" s="24">
        <f>IF($S483="EXACT_COLLECTION_AMOUNT","BREAKDOWN_REQUIRED",IF($AQ483="","",IF($AQ483&gt;0,"CREDIT_TO_MERCHANT",IF($AQ483&lt;0,"DEDUCT_FROM_MERCHANT","NO_ADJUSTMENT"))))</f>
        <v/>
      </c>
      <c r="AS483" s="23">
        <f>IF(OR($AQ483="",$AR483="BREAKDOWN_REQUIRED"),"",$AQ483)</f>
        <v/>
      </c>
      <c r="AT483" s="23">
        <f>IF(OR($AR483="",$AR483="BREAKDOWN_REQUIRED"),"",SUM($J483,$AQ483,$Y483)-$X483)</f>
        <v/>
      </c>
      <c r="AU483" s="25">
        <f>IF(AND($A483="",$B483="",$F483="",$H483="",$J483="",$K483="",$M483="",$S483=""),"",IF(OR($H483="",$Q483="",$M483="",$S483=""),"ERROR",IF(OR($J483&lt;0,$K483&lt;0,$M483&lt;0,$T483&lt;0,$U483&lt;0,$V483&lt;0,$W483&lt;0,$X483&lt;0,$Y483&lt;0),"ERROR",IF($AE483="","ERROR",IF(AND(OR($S483="ITEM_PRICE_PLUS_DECLARED_DELIVERY",$S483="TOTAL_AMOUNT_INCLUDING_DELIVERY",$S483="ITEM_PRICE_ONLY_DELIVERY_PAID_BY_MERCHANT"),$J483=""),"ERROR",IF(AND(OR($S483="ITEM_PRICE_PLUS_DECLARED_DELIVERY",$S483="DELIVERY_CHARGE_ONLY"),$K483=""),"ERROR",IF(AND(OR($S483="TOTAL_AMOUNT_INCLUDING_DELIVERY",$S483="EXACT_COLLECTION_AMOUNT"),$T483=""),"ERROR",IF(AND($S483="TOTAL_AMOUNT_INCLUDING_DELIVERY",$T483&lt;SUM($J483,$U483)),"ERROR",IF($S483="EXACT_COLLECTION_AMOUNT","REVIEW","OK")))))))))</f>
        <v/>
      </c>
      <c r="AV483" s="25">
        <f>IF($AU483="","",IF($H483="","Township required",IF($Q483="","Customer tier required",IF($M483="","Weight required",IF($S483="","Amount entry type required",IF(OR($J483&lt;0,$K483&lt;0,$M483&lt;0,$T483&lt;0,$U483&lt;0,$V483&lt;0,$W483&lt;0,$X483&lt;0,$Y483&lt;0),"Negative amounts are not allowed",IF($AE483="","Tariff not found for township and tier",IF(AND(OR($S483="ITEM_PRICE_PLUS_DECLARED_DELIVERY",$S483="TOTAL_AMOUNT_INCLUDING_DELIVERY",$S483="ITEM_PRICE_ONLY_DELIVERY_PAID_BY_MERCHANT"),$J483=""),"Item price required for this amount type",IF(AND(OR($S483="ITEM_PRICE_PLUS_DECLARED_DELIVERY",$S483="DELIVERY_CHARGE_ONLY"),$K483=""),"Declared delivery charge required",IF(AND(OR($S483="TOTAL_AMOUNT_INCLUDING_DELIVERY",$S483="EXACT_COLLECTION_AMOUNT"),$T483=""),"Stated total amount required",IF(AND($S483="TOTAL_AMOUNT_INCLUDING_DELIVERY",$T483&lt;SUM($J483,$U483)),"Stated total is below item price plus additional charge",IF($S483="EXACT_COLLECTION_AMOUNT","Authorized amount breakdown required before settlement","Ready for collection and settlement"))))))))))))</f>
        <v/>
      </c>
      <c r="AW483" s="23">
        <f>IF($AU483="","","PARCEL_FINANCIAL_V2")</f>
        <v/>
      </c>
      <c r="AX483" s="17" t="n"/>
    </row>
    <row r="484">
      <c r="A484" s="8" t="n"/>
      <c r="B484" s="8" t="n"/>
      <c r="C484" s="8" t="n"/>
      <c r="D484" s="8" t="n"/>
      <c r="E484" s="9" t="n"/>
      <c r="F484" s="9" t="n"/>
      <c r="G484" s="8" t="n"/>
      <c r="H484" s="9" t="n"/>
      <c r="I484" s="9" t="n"/>
      <c r="J484" s="10" t="n"/>
      <c r="K484" s="10" t="n"/>
      <c r="L484" s="11">
        <f>IF($S484="","",IF($S484="ITEM_PRICE_PLUS_DECLARED_DELIVERY",IF(OR($J484="",$K484=""),"",SUM($J484,$K484,$U484)),IF($S484="TOTAL_AMOUNT_INCLUDING_DELIVERY",IF($T484="","",$T484),IF($S484="DELIVERY_CHARGE_ONLY",IF($K484="","",SUM($K484,$U484)),IF($S484="EXACT_COLLECTION_AMOUNT",IF($T484="","",$T484),IF($S484="ITEM_PRICE_ONLY_DELIVERY_PAID_BY_MERCHANT",IF($J484="","",SUM($J484,$U484)),""))))))</f>
        <v/>
      </c>
      <c r="M484" s="12" t="n"/>
      <c r="N484" s="13" t="n"/>
      <c r="O484" s="13" t="n"/>
      <c r="P484" s="9" t="n"/>
      <c r="Q484" s="14" t="n"/>
      <c r="R484" s="15" t="n"/>
      <c r="S484" s="14" t="n"/>
      <c r="T484" s="16" t="n"/>
      <c r="U484" s="16" t="n"/>
      <c r="V484" s="16" t="n"/>
      <c r="W484" s="16" t="n"/>
      <c r="X484" s="16" t="n"/>
      <c r="Y484" s="16" t="n"/>
      <c r="Z484" s="14" t="n"/>
      <c r="AA484" s="14" t="n"/>
      <c r="AB484" s="14" t="n"/>
      <c r="AC484" s="17">
        <f>IFERROR(VLOOKUP($H484&amp;"|"&amp;$Q484,Tariff_Master!$A$2:$L$169,3,FALSE),"")</f>
        <v/>
      </c>
      <c r="AD484" s="17">
        <f>IFERROR(VLOOKUP($H484&amp;"|"&amp;$Q484,Tariff_Master!$A$2:$L$169,4,FALSE),"")</f>
        <v/>
      </c>
      <c r="AE484" s="18">
        <f>IFERROR(VLOOKUP($H484&amp;"|"&amp;$Q484,Tariff_Master!$A$2:$L$169,6,FALSE),"")</f>
        <v/>
      </c>
      <c r="AF484" s="19">
        <f>IFERROR(VLOOKUP($H484&amp;"|"&amp;$Q484,Tariff_Master!$A$2:$L$169,7,FALSE),"")</f>
        <v/>
      </c>
      <c r="AG484" s="18">
        <f>IFERROR(VLOOKUP($H484&amp;"|"&amp;$Q484,Tariff_Master!$A$2:$L$169,8,FALSE),"")</f>
        <v/>
      </c>
      <c r="AH484" s="20">
        <f>IFERROR(VLOOKUP($H484&amp;"|"&amp;$Q484,Tariff_Master!$A$2:$L$169,9,FALSE),"")</f>
        <v/>
      </c>
      <c r="AI484" s="18">
        <f>IFERROR(VLOOKUP($H484&amp;"|"&amp;$Q484,Tariff_Master!$A$2:$L$169,10,FALSE),"")</f>
        <v/>
      </c>
      <c r="AJ484" s="21">
        <f>IF($M484="","",ROUNDUP(MAX(0,$M484),0))</f>
        <v/>
      </c>
      <c r="AK484" s="21">
        <f>IF(OR($AJ484="",$AF484=""),"",MAX(0,$AJ484-$AF484))</f>
        <v/>
      </c>
      <c r="AL484" s="22">
        <f>IF(OR($AK484="",$AG484=""),"",MAX(0,$AK484*$AG484))</f>
        <v/>
      </c>
      <c r="AM484" s="22">
        <f>IF($AE484="","",MAX(0,SUM($AE484,$AL484,$V484,$W484)))</f>
        <v/>
      </c>
      <c r="AN484" s="22">
        <f>IF($AM484="","",IF(AND($Q484="COMMITMENT",$R484&gt;=$AH484),$AI484,0))</f>
        <v/>
      </c>
      <c r="AO484" s="23">
        <f>IF($AM484="","",MAX(0,$AM484-$AN484))</f>
        <v/>
      </c>
      <c r="AP484" s="22">
        <f>IF($S484="","",IF(OR($S484="ITEM_PRICE_PLUS_DECLARED_DELIVERY",$S484="DELIVERY_CHARGE_ONLY"),$K484,IF($S484="TOTAL_AMOUNT_INCLUDING_DELIVERY",IF(OR($T484="",$J484=""),"",MAX(0,$T484-$J484-$U484)),IF($S484="ITEM_PRICE_ONLY_DELIVERY_PAID_BY_MERCHANT",0,""))))</f>
        <v/>
      </c>
      <c r="AQ484" s="23">
        <f>IF(OR($AP484="",$AO484=""),"",$AP484-$AO484)</f>
        <v/>
      </c>
      <c r="AR484" s="24">
        <f>IF($S484="EXACT_COLLECTION_AMOUNT","BREAKDOWN_REQUIRED",IF($AQ484="","",IF($AQ484&gt;0,"CREDIT_TO_MERCHANT",IF($AQ484&lt;0,"DEDUCT_FROM_MERCHANT","NO_ADJUSTMENT"))))</f>
        <v/>
      </c>
      <c r="AS484" s="23">
        <f>IF(OR($AQ484="",$AR484="BREAKDOWN_REQUIRED"),"",$AQ484)</f>
        <v/>
      </c>
      <c r="AT484" s="23">
        <f>IF(OR($AR484="",$AR484="BREAKDOWN_REQUIRED"),"",SUM($J484,$AQ484,$Y484)-$X484)</f>
        <v/>
      </c>
      <c r="AU484" s="25">
        <f>IF(AND($A484="",$B484="",$F484="",$H484="",$J484="",$K484="",$M484="",$S484=""),"",IF(OR($H484="",$Q484="",$M484="",$S484=""),"ERROR",IF(OR($J484&lt;0,$K484&lt;0,$M484&lt;0,$T484&lt;0,$U484&lt;0,$V484&lt;0,$W484&lt;0,$X484&lt;0,$Y484&lt;0),"ERROR",IF($AE484="","ERROR",IF(AND(OR($S484="ITEM_PRICE_PLUS_DECLARED_DELIVERY",$S484="TOTAL_AMOUNT_INCLUDING_DELIVERY",$S484="ITEM_PRICE_ONLY_DELIVERY_PAID_BY_MERCHANT"),$J484=""),"ERROR",IF(AND(OR($S484="ITEM_PRICE_PLUS_DECLARED_DELIVERY",$S484="DELIVERY_CHARGE_ONLY"),$K484=""),"ERROR",IF(AND(OR($S484="TOTAL_AMOUNT_INCLUDING_DELIVERY",$S484="EXACT_COLLECTION_AMOUNT"),$T484=""),"ERROR",IF(AND($S484="TOTAL_AMOUNT_INCLUDING_DELIVERY",$T484&lt;SUM($J484,$U484)),"ERROR",IF($S484="EXACT_COLLECTION_AMOUNT","REVIEW","OK")))))))))</f>
        <v/>
      </c>
      <c r="AV484" s="25">
        <f>IF($AU484="","",IF($H484="","Township required",IF($Q484="","Customer tier required",IF($M484="","Weight required",IF($S484="","Amount entry type required",IF(OR($J484&lt;0,$K484&lt;0,$M484&lt;0,$T484&lt;0,$U484&lt;0,$V484&lt;0,$W484&lt;0,$X484&lt;0,$Y484&lt;0),"Negative amounts are not allowed",IF($AE484="","Tariff not found for township and tier",IF(AND(OR($S484="ITEM_PRICE_PLUS_DECLARED_DELIVERY",$S484="TOTAL_AMOUNT_INCLUDING_DELIVERY",$S484="ITEM_PRICE_ONLY_DELIVERY_PAID_BY_MERCHANT"),$J484=""),"Item price required for this amount type",IF(AND(OR($S484="ITEM_PRICE_PLUS_DECLARED_DELIVERY",$S484="DELIVERY_CHARGE_ONLY"),$K484=""),"Declared delivery charge required",IF(AND(OR($S484="TOTAL_AMOUNT_INCLUDING_DELIVERY",$S484="EXACT_COLLECTION_AMOUNT"),$T484=""),"Stated total amount required",IF(AND($S484="TOTAL_AMOUNT_INCLUDING_DELIVERY",$T484&lt;SUM($J484,$U484)),"Stated total is below item price plus additional charge",IF($S484="EXACT_COLLECTION_AMOUNT","Authorized amount breakdown required before settlement","Ready for collection and settlement"))))))))))))</f>
        <v/>
      </c>
      <c r="AW484" s="23">
        <f>IF($AU484="","","PARCEL_FINANCIAL_V2")</f>
        <v/>
      </c>
      <c r="AX484" s="17" t="n"/>
    </row>
    <row r="485">
      <c r="A485" s="8" t="n"/>
      <c r="B485" s="8" t="n"/>
      <c r="C485" s="8" t="n"/>
      <c r="D485" s="8" t="n"/>
      <c r="E485" s="9" t="n"/>
      <c r="F485" s="9" t="n"/>
      <c r="G485" s="8" t="n"/>
      <c r="H485" s="9" t="n"/>
      <c r="I485" s="9" t="n"/>
      <c r="J485" s="10" t="n"/>
      <c r="K485" s="10" t="n"/>
      <c r="L485" s="11">
        <f>IF($S485="","",IF($S485="ITEM_PRICE_PLUS_DECLARED_DELIVERY",IF(OR($J485="",$K485=""),"",SUM($J485,$K485,$U485)),IF($S485="TOTAL_AMOUNT_INCLUDING_DELIVERY",IF($T485="","",$T485),IF($S485="DELIVERY_CHARGE_ONLY",IF($K485="","",SUM($K485,$U485)),IF($S485="EXACT_COLLECTION_AMOUNT",IF($T485="","",$T485),IF($S485="ITEM_PRICE_ONLY_DELIVERY_PAID_BY_MERCHANT",IF($J485="","",SUM($J485,$U485)),""))))))</f>
        <v/>
      </c>
      <c r="M485" s="12" t="n"/>
      <c r="N485" s="13" t="n"/>
      <c r="O485" s="13" t="n"/>
      <c r="P485" s="9" t="n"/>
      <c r="Q485" s="14" t="n"/>
      <c r="R485" s="15" t="n"/>
      <c r="S485" s="14" t="n"/>
      <c r="T485" s="16" t="n"/>
      <c r="U485" s="16" t="n"/>
      <c r="V485" s="16" t="n"/>
      <c r="W485" s="16" t="n"/>
      <c r="X485" s="16" t="n"/>
      <c r="Y485" s="16" t="n"/>
      <c r="Z485" s="14" t="n"/>
      <c r="AA485" s="14" t="n"/>
      <c r="AB485" s="14" t="n"/>
      <c r="AC485" s="17">
        <f>IFERROR(VLOOKUP($H485&amp;"|"&amp;$Q485,Tariff_Master!$A$2:$L$169,3,FALSE),"")</f>
        <v/>
      </c>
      <c r="AD485" s="17">
        <f>IFERROR(VLOOKUP($H485&amp;"|"&amp;$Q485,Tariff_Master!$A$2:$L$169,4,FALSE),"")</f>
        <v/>
      </c>
      <c r="AE485" s="18">
        <f>IFERROR(VLOOKUP($H485&amp;"|"&amp;$Q485,Tariff_Master!$A$2:$L$169,6,FALSE),"")</f>
        <v/>
      </c>
      <c r="AF485" s="19">
        <f>IFERROR(VLOOKUP($H485&amp;"|"&amp;$Q485,Tariff_Master!$A$2:$L$169,7,FALSE),"")</f>
        <v/>
      </c>
      <c r="AG485" s="18">
        <f>IFERROR(VLOOKUP($H485&amp;"|"&amp;$Q485,Tariff_Master!$A$2:$L$169,8,FALSE),"")</f>
        <v/>
      </c>
      <c r="AH485" s="20">
        <f>IFERROR(VLOOKUP($H485&amp;"|"&amp;$Q485,Tariff_Master!$A$2:$L$169,9,FALSE),"")</f>
        <v/>
      </c>
      <c r="AI485" s="18">
        <f>IFERROR(VLOOKUP($H485&amp;"|"&amp;$Q485,Tariff_Master!$A$2:$L$169,10,FALSE),"")</f>
        <v/>
      </c>
      <c r="AJ485" s="21">
        <f>IF($M485="","",ROUNDUP(MAX(0,$M485),0))</f>
        <v/>
      </c>
      <c r="AK485" s="21">
        <f>IF(OR($AJ485="",$AF485=""),"",MAX(0,$AJ485-$AF485))</f>
        <v/>
      </c>
      <c r="AL485" s="22">
        <f>IF(OR($AK485="",$AG485=""),"",MAX(0,$AK485*$AG485))</f>
        <v/>
      </c>
      <c r="AM485" s="22">
        <f>IF($AE485="","",MAX(0,SUM($AE485,$AL485,$V485,$W485)))</f>
        <v/>
      </c>
      <c r="AN485" s="22">
        <f>IF($AM485="","",IF(AND($Q485="COMMITMENT",$R485&gt;=$AH485),$AI485,0))</f>
        <v/>
      </c>
      <c r="AO485" s="23">
        <f>IF($AM485="","",MAX(0,$AM485-$AN485))</f>
        <v/>
      </c>
      <c r="AP485" s="22">
        <f>IF($S485="","",IF(OR($S485="ITEM_PRICE_PLUS_DECLARED_DELIVERY",$S485="DELIVERY_CHARGE_ONLY"),$K485,IF($S485="TOTAL_AMOUNT_INCLUDING_DELIVERY",IF(OR($T485="",$J485=""),"",MAX(0,$T485-$J485-$U485)),IF($S485="ITEM_PRICE_ONLY_DELIVERY_PAID_BY_MERCHANT",0,""))))</f>
        <v/>
      </c>
      <c r="AQ485" s="23">
        <f>IF(OR($AP485="",$AO485=""),"",$AP485-$AO485)</f>
        <v/>
      </c>
      <c r="AR485" s="24">
        <f>IF($S485="EXACT_COLLECTION_AMOUNT","BREAKDOWN_REQUIRED",IF($AQ485="","",IF($AQ485&gt;0,"CREDIT_TO_MERCHANT",IF($AQ485&lt;0,"DEDUCT_FROM_MERCHANT","NO_ADJUSTMENT"))))</f>
        <v/>
      </c>
      <c r="AS485" s="23">
        <f>IF(OR($AQ485="",$AR485="BREAKDOWN_REQUIRED"),"",$AQ485)</f>
        <v/>
      </c>
      <c r="AT485" s="23">
        <f>IF(OR($AR485="",$AR485="BREAKDOWN_REQUIRED"),"",SUM($J485,$AQ485,$Y485)-$X485)</f>
        <v/>
      </c>
      <c r="AU485" s="25">
        <f>IF(AND($A485="",$B485="",$F485="",$H485="",$J485="",$K485="",$M485="",$S485=""),"",IF(OR($H485="",$Q485="",$M485="",$S485=""),"ERROR",IF(OR($J485&lt;0,$K485&lt;0,$M485&lt;0,$T485&lt;0,$U485&lt;0,$V485&lt;0,$W485&lt;0,$X485&lt;0,$Y485&lt;0),"ERROR",IF($AE485="","ERROR",IF(AND(OR($S485="ITEM_PRICE_PLUS_DECLARED_DELIVERY",$S485="TOTAL_AMOUNT_INCLUDING_DELIVERY",$S485="ITEM_PRICE_ONLY_DELIVERY_PAID_BY_MERCHANT"),$J485=""),"ERROR",IF(AND(OR($S485="ITEM_PRICE_PLUS_DECLARED_DELIVERY",$S485="DELIVERY_CHARGE_ONLY"),$K485=""),"ERROR",IF(AND(OR($S485="TOTAL_AMOUNT_INCLUDING_DELIVERY",$S485="EXACT_COLLECTION_AMOUNT"),$T485=""),"ERROR",IF(AND($S485="TOTAL_AMOUNT_INCLUDING_DELIVERY",$T485&lt;SUM($J485,$U485)),"ERROR",IF($S485="EXACT_COLLECTION_AMOUNT","REVIEW","OK")))))))))</f>
        <v/>
      </c>
      <c r="AV485" s="25">
        <f>IF($AU485="","",IF($H485="","Township required",IF($Q485="","Customer tier required",IF($M485="","Weight required",IF($S485="","Amount entry type required",IF(OR($J485&lt;0,$K485&lt;0,$M485&lt;0,$T485&lt;0,$U485&lt;0,$V485&lt;0,$W485&lt;0,$X485&lt;0,$Y485&lt;0),"Negative amounts are not allowed",IF($AE485="","Tariff not found for township and tier",IF(AND(OR($S485="ITEM_PRICE_PLUS_DECLARED_DELIVERY",$S485="TOTAL_AMOUNT_INCLUDING_DELIVERY",$S485="ITEM_PRICE_ONLY_DELIVERY_PAID_BY_MERCHANT"),$J485=""),"Item price required for this amount type",IF(AND(OR($S485="ITEM_PRICE_PLUS_DECLARED_DELIVERY",$S485="DELIVERY_CHARGE_ONLY"),$K485=""),"Declared delivery charge required",IF(AND(OR($S485="TOTAL_AMOUNT_INCLUDING_DELIVERY",$S485="EXACT_COLLECTION_AMOUNT"),$T485=""),"Stated total amount required",IF(AND($S485="TOTAL_AMOUNT_INCLUDING_DELIVERY",$T485&lt;SUM($J485,$U485)),"Stated total is below item price plus additional charge",IF($S485="EXACT_COLLECTION_AMOUNT","Authorized amount breakdown required before settlement","Ready for collection and settlement"))))))))))))</f>
        <v/>
      </c>
      <c r="AW485" s="23">
        <f>IF($AU485="","","PARCEL_FINANCIAL_V2")</f>
        <v/>
      </c>
      <c r="AX485" s="17" t="n"/>
    </row>
    <row r="486">
      <c r="A486" s="8" t="n"/>
      <c r="B486" s="8" t="n"/>
      <c r="C486" s="8" t="n"/>
      <c r="D486" s="8" t="n"/>
      <c r="E486" s="9" t="n"/>
      <c r="F486" s="9" t="n"/>
      <c r="G486" s="8" t="n"/>
      <c r="H486" s="9" t="n"/>
      <c r="I486" s="9" t="n"/>
      <c r="J486" s="10" t="n"/>
      <c r="K486" s="10" t="n"/>
      <c r="L486" s="11">
        <f>IF($S486="","",IF($S486="ITEM_PRICE_PLUS_DECLARED_DELIVERY",IF(OR($J486="",$K486=""),"",SUM($J486,$K486,$U486)),IF($S486="TOTAL_AMOUNT_INCLUDING_DELIVERY",IF($T486="","",$T486),IF($S486="DELIVERY_CHARGE_ONLY",IF($K486="","",SUM($K486,$U486)),IF($S486="EXACT_COLLECTION_AMOUNT",IF($T486="","",$T486),IF($S486="ITEM_PRICE_ONLY_DELIVERY_PAID_BY_MERCHANT",IF($J486="","",SUM($J486,$U486)),""))))))</f>
        <v/>
      </c>
      <c r="M486" s="12" t="n"/>
      <c r="N486" s="13" t="n"/>
      <c r="O486" s="13" t="n"/>
      <c r="P486" s="9" t="n"/>
      <c r="Q486" s="14" t="n"/>
      <c r="R486" s="15" t="n"/>
      <c r="S486" s="14" t="n"/>
      <c r="T486" s="16" t="n"/>
      <c r="U486" s="16" t="n"/>
      <c r="V486" s="16" t="n"/>
      <c r="W486" s="16" t="n"/>
      <c r="X486" s="16" t="n"/>
      <c r="Y486" s="16" t="n"/>
      <c r="Z486" s="14" t="n"/>
      <c r="AA486" s="14" t="n"/>
      <c r="AB486" s="14" t="n"/>
      <c r="AC486" s="17">
        <f>IFERROR(VLOOKUP($H486&amp;"|"&amp;$Q486,Tariff_Master!$A$2:$L$169,3,FALSE),"")</f>
        <v/>
      </c>
      <c r="AD486" s="17">
        <f>IFERROR(VLOOKUP($H486&amp;"|"&amp;$Q486,Tariff_Master!$A$2:$L$169,4,FALSE),"")</f>
        <v/>
      </c>
      <c r="AE486" s="18">
        <f>IFERROR(VLOOKUP($H486&amp;"|"&amp;$Q486,Tariff_Master!$A$2:$L$169,6,FALSE),"")</f>
        <v/>
      </c>
      <c r="AF486" s="19">
        <f>IFERROR(VLOOKUP($H486&amp;"|"&amp;$Q486,Tariff_Master!$A$2:$L$169,7,FALSE),"")</f>
        <v/>
      </c>
      <c r="AG486" s="18">
        <f>IFERROR(VLOOKUP($H486&amp;"|"&amp;$Q486,Tariff_Master!$A$2:$L$169,8,FALSE),"")</f>
        <v/>
      </c>
      <c r="AH486" s="20">
        <f>IFERROR(VLOOKUP($H486&amp;"|"&amp;$Q486,Tariff_Master!$A$2:$L$169,9,FALSE),"")</f>
        <v/>
      </c>
      <c r="AI486" s="18">
        <f>IFERROR(VLOOKUP($H486&amp;"|"&amp;$Q486,Tariff_Master!$A$2:$L$169,10,FALSE),"")</f>
        <v/>
      </c>
      <c r="AJ486" s="21">
        <f>IF($M486="","",ROUNDUP(MAX(0,$M486),0))</f>
        <v/>
      </c>
      <c r="AK486" s="21">
        <f>IF(OR($AJ486="",$AF486=""),"",MAX(0,$AJ486-$AF486))</f>
        <v/>
      </c>
      <c r="AL486" s="22">
        <f>IF(OR($AK486="",$AG486=""),"",MAX(0,$AK486*$AG486))</f>
        <v/>
      </c>
      <c r="AM486" s="22">
        <f>IF($AE486="","",MAX(0,SUM($AE486,$AL486,$V486,$W486)))</f>
        <v/>
      </c>
      <c r="AN486" s="22">
        <f>IF($AM486="","",IF(AND($Q486="COMMITMENT",$R486&gt;=$AH486),$AI486,0))</f>
        <v/>
      </c>
      <c r="AO486" s="23">
        <f>IF($AM486="","",MAX(0,$AM486-$AN486))</f>
        <v/>
      </c>
      <c r="AP486" s="22">
        <f>IF($S486="","",IF(OR($S486="ITEM_PRICE_PLUS_DECLARED_DELIVERY",$S486="DELIVERY_CHARGE_ONLY"),$K486,IF($S486="TOTAL_AMOUNT_INCLUDING_DELIVERY",IF(OR($T486="",$J486=""),"",MAX(0,$T486-$J486-$U486)),IF($S486="ITEM_PRICE_ONLY_DELIVERY_PAID_BY_MERCHANT",0,""))))</f>
        <v/>
      </c>
      <c r="AQ486" s="23">
        <f>IF(OR($AP486="",$AO486=""),"",$AP486-$AO486)</f>
        <v/>
      </c>
      <c r="AR486" s="24">
        <f>IF($S486="EXACT_COLLECTION_AMOUNT","BREAKDOWN_REQUIRED",IF($AQ486="","",IF($AQ486&gt;0,"CREDIT_TO_MERCHANT",IF($AQ486&lt;0,"DEDUCT_FROM_MERCHANT","NO_ADJUSTMENT"))))</f>
        <v/>
      </c>
      <c r="AS486" s="23">
        <f>IF(OR($AQ486="",$AR486="BREAKDOWN_REQUIRED"),"",$AQ486)</f>
        <v/>
      </c>
      <c r="AT486" s="23">
        <f>IF(OR($AR486="",$AR486="BREAKDOWN_REQUIRED"),"",SUM($J486,$AQ486,$Y486)-$X486)</f>
        <v/>
      </c>
      <c r="AU486" s="25">
        <f>IF(AND($A486="",$B486="",$F486="",$H486="",$J486="",$K486="",$M486="",$S486=""),"",IF(OR($H486="",$Q486="",$M486="",$S486=""),"ERROR",IF(OR($J486&lt;0,$K486&lt;0,$M486&lt;0,$T486&lt;0,$U486&lt;0,$V486&lt;0,$W486&lt;0,$X486&lt;0,$Y486&lt;0),"ERROR",IF($AE486="","ERROR",IF(AND(OR($S486="ITEM_PRICE_PLUS_DECLARED_DELIVERY",$S486="TOTAL_AMOUNT_INCLUDING_DELIVERY",$S486="ITEM_PRICE_ONLY_DELIVERY_PAID_BY_MERCHANT"),$J486=""),"ERROR",IF(AND(OR($S486="ITEM_PRICE_PLUS_DECLARED_DELIVERY",$S486="DELIVERY_CHARGE_ONLY"),$K486=""),"ERROR",IF(AND(OR($S486="TOTAL_AMOUNT_INCLUDING_DELIVERY",$S486="EXACT_COLLECTION_AMOUNT"),$T486=""),"ERROR",IF(AND($S486="TOTAL_AMOUNT_INCLUDING_DELIVERY",$T486&lt;SUM($J486,$U486)),"ERROR",IF($S486="EXACT_COLLECTION_AMOUNT","REVIEW","OK")))))))))</f>
        <v/>
      </c>
      <c r="AV486" s="25">
        <f>IF($AU486="","",IF($H486="","Township required",IF($Q486="","Customer tier required",IF($M486="","Weight required",IF($S486="","Amount entry type required",IF(OR($J486&lt;0,$K486&lt;0,$M486&lt;0,$T486&lt;0,$U486&lt;0,$V486&lt;0,$W486&lt;0,$X486&lt;0,$Y486&lt;0),"Negative amounts are not allowed",IF($AE486="","Tariff not found for township and tier",IF(AND(OR($S486="ITEM_PRICE_PLUS_DECLARED_DELIVERY",$S486="TOTAL_AMOUNT_INCLUDING_DELIVERY",$S486="ITEM_PRICE_ONLY_DELIVERY_PAID_BY_MERCHANT"),$J486=""),"Item price required for this amount type",IF(AND(OR($S486="ITEM_PRICE_PLUS_DECLARED_DELIVERY",$S486="DELIVERY_CHARGE_ONLY"),$K486=""),"Declared delivery charge required",IF(AND(OR($S486="TOTAL_AMOUNT_INCLUDING_DELIVERY",$S486="EXACT_COLLECTION_AMOUNT"),$T486=""),"Stated total amount required",IF(AND($S486="TOTAL_AMOUNT_INCLUDING_DELIVERY",$T486&lt;SUM($J486,$U486)),"Stated total is below item price plus additional charge",IF($S486="EXACT_COLLECTION_AMOUNT","Authorized amount breakdown required before settlement","Ready for collection and settlement"))))))))))))</f>
        <v/>
      </c>
      <c r="AW486" s="23">
        <f>IF($AU486="","","PARCEL_FINANCIAL_V2")</f>
        <v/>
      </c>
      <c r="AX486" s="17" t="n"/>
    </row>
    <row r="487">
      <c r="A487" s="8" t="n"/>
      <c r="B487" s="8" t="n"/>
      <c r="C487" s="8" t="n"/>
      <c r="D487" s="8" t="n"/>
      <c r="E487" s="9" t="n"/>
      <c r="F487" s="9" t="n"/>
      <c r="G487" s="8" t="n"/>
      <c r="H487" s="9" t="n"/>
      <c r="I487" s="9" t="n"/>
      <c r="J487" s="10" t="n"/>
      <c r="K487" s="10" t="n"/>
      <c r="L487" s="11">
        <f>IF($S487="","",IF($S487="ITEM_PRICE_PLUS_DECLARED_DELIVERY",IF(OR($J487="",$K487=""),"",SUM($J487,$K487,$U487)),IF($S487="TOTAL_AMOUNT_INCLUDING_DELIVERY",IF($T487="","",$T487),IF($S487="DELIVERY_CHARGE_ONLY",IF($K487="","",SUM($K487,$U487)),IF($S487="EXACT_COLLECTION_AMOUNT",IF($T487="","",$T487),IF($S487="ITEM_PRICE_ONLY_DELIVERY_PAID_BY_MERCHANT",IF($J487="","",SUM($J487,$U487)),""))))))</f>
        <v/>
      </c>
      <c r="M487" s="12" t="n"/>
      <c r="N487" s="13" t="n"/>
      <c r="O487" s="13" t="n"/>
      <c r="P487" s="9" t="n"/>
      <c r="Q487" s="14" t="n"/>
      <c r="R487" s="15" t="n"/>
      <c r="S487" s="14" t="n"/>
      <c r="T487" s="16" t="n"/>
      <c r="U487" s="16" t="n"/>
      <c r="V487" s="16" t="n"/>
      <c r="W487" s="16" t="n"/>
      <c r="X487" s="16" t="n"/>
      <c r="Y487" s="16" t="n"/>
      <c r="Z487" s="14" t="n"/>
      <c r="AA487" s="14" t="n"/>
      <c r="AB487" s="14" t="n"/>
      <c r="AC487" s="17">
        <f>IFERROR(VLOOKUP($H487&amp;"|"&amp;$Q487,Tariff_Master!$A$2:$L$169,3,FALSE),"")</f>
        <v/>
      </c>
      <c r="AD487" s="17">
        <f>IFERROR(VLOOKUP($H487&amp;"|"&amp;$Q487,Tariff_Master!$A$2:$L$169,4,FALSE),"")</f>
        <v/>
      </c>
      <c r="AE487" s="18">
        <f>IFERROR(VLOOKUP($H487&amp;"|"&amp;$Q487,Tariff_Master!$A$2:$L$169,6,FALSE),"")</f>
        <v/>
      </c>
      <c r="AF487" s="19">
        <f>IFERROR(VLOOKUP($H487&amp;"|"&amp;$Q487,Tariff_Master!$A$2:$L$169,7,FALSE),"")</f>
        <v/>
      </c>
      <c r="AG487" s="18">
        <f>IFERROR(VLOOKUP($H487&amp;"|"&amp;$Q487,Tariff_Master!$A$2:$L$169,8,FALSE),"")</f>
        <v/>
      </c>
      <c r="AH487" s="20">
        <f>IFERROR(VLOOKUP($H487&amp;"|"&amp;$Q487,Tariff_Master!$A$2:$L$169,9,FALSE),"")</f>
        <v/>
      </c>
      <c r="AI487" s="18">
        <f>IFERROR(VLOOKUP($H487&amp;"|"&amp;$Q487,Tariff_Master!$A$2:$L$169,10,FALSE),"")</f>
        <v/>
      </c>
      <c r="AJ487" s="21">
        <f>IF($M487="","",ROUNDUP(MAX(0,$M487),0))</f>
        <v/>
      </c>
      <c r="AK487" s="21">
        <f>IF(OR($AJ487="",$AF487=""),"",MAX(0,$AJ487-$AF487))</f>
        <v/>
      </c>
      <c r="AL487" s="22">
        <f>IF(OR($AK487="",$AG487=""),"",MAX(0,$AK487*$AG487))</f>
        <v/>
      </c>
      <c r="AM487" s="22">
        <f>IF($AE487="","",MAX(0,SUM($AE487,$AL487,$V487,$W487)))</f>
        <v/>
      </c>
      <c r="AN487" s="22">
        <f>IF($AM487="","",IF(AND($Q487="COMMITMENT",$R487&gt;=$AH487),$AI487,0))</f>
        <v/>
      </c>
      <c r="AO487" s="23">
        <f>IF($AM487="","",MAX(0,$AM487-$AN487))</f>
        <v/>
      </c>
      <c r="AP487" s="22">
        <f>IF($S487="","",IF(OR($S487="ITEM_PRICE_PLUS_DECLARED_DELIVERY",$S487="DELIVERY_CHARGE_ONLY"),$K487,IF($S487="TOTAL_AMOUNT_INCLUDING_DELIVERY",IF(OR($T487="",$J487=""),"",MAX(0,$T487-$J487-$U487)),IF($S487="ITEM_PRICE_ONLY_DELIVERY_PAID_BY_MERCHANT",0,""))))</f>
        <v/>
      </c>
      <c r="AQ487" s="23">
        <f>IF(OR($AP487="",$AO487=""),"",$AP487-$AO487)</f>
        <v/>
      </c>
      <c r="AR487" s="24">
        <f>IF($S487="EXACT_COLLECTION_AMOUNT","BREAKDOWN_REQUIRED",IF($AQ487="","",IF($AQ487&gt;0,"CREDIT_TO_MERCHANT",IF($AQ487&lt;0,"DEDUCT_FROM_MERCHANT","NO_ADJUSTMENT"))))</f>
        <v/>
      </c>
      <c r="AS487" s="23">
        <f>IF(OR($AQ487="",$AR487="BREAKDOWN_REQUIRED"),"",$AQ487)</f>
        <v/>
      </c>
      <c r="AT487" s="23">
        <f>IF(OR($AR487="",$AR487="BREAKDOWN_REQUIRED"),"",SUM($J487,$AQ487,$Y487)-$X487)</f>
        <v/>
      </c>
      <c r="AU487" s="25">
        <f>IF(AND($A487="",$B487="",$F487="",$H487="",$J487="",$K487="",$M487="",$S487=""),"",IF(OR($H487="",$Q487="",$M487="",$S487=""),"ERROR",IF(OR($J487&lt;0,$K487&lt;0,$M487&lt;0,$T487&lt;0,$U487&lt;0,$V487&lt;0,$W487&lt;0,$X487&lt;0,$Y487&lt;0),"ERROR",IF($AE487="","ERROR",IF(AND(OR($S487="ITEM_PRICE_PLUS_DECLARED_DELIVERY",$S487="TOTAL_AMOUNT_INCLUDING_DELIVERY",$S487="ITEM_PRICE_ONLY_DELIVERY_PAID_BY_MERCHANT"),$J487=""),"ERROR",IF(AND(OR($S487="ITEM_PRICE_PLUS_DECLARED_DELIVERY",$S487="DELIVERY_CHARGE_ONLY"),$K487=""),"ERROR",IF(AND(OR($S487="TOTAL_AMOUNT_INCLUDING_DELIVERY",$S487="EXACT_COLLECTION_AMOUNT"),$T487=""),"ERROR",IF(AND($S487="TOTAL_AMOUNT_INCLUDING_DELIVERY",$T487&lt;SUM($J487,$U487)),"ERROR",IF($S487="EXACT_COLLECTION_AMOUNT","REVIEW","OK")))))))))</f>
        <v/>
      </c>
      <c r="AV487" s="25">
        <f>IF($AU487="","",IF($H487="","Township required",IF($Q487="","Customer tier required",IF($M487="","Weight required",IF($S487="","Amount entry type required",IF(OR($J487&lt;0,$K487&lt;0,$M487&lt;0,$T487&lt;0,$U487&lt;0,$V487&lt;0,$W487&lt;0,$X487&lt;0,$Y487&lt;0),"Negative amounts are not allowed",IF($AE487="","Tariff not found for township and tier",IF(AND(OR($S487="ITEM_PRICE_PLUS_DECLARED_DELIVERY",$S487="TOTAL_AMOUNT_INCLUDING_DELIVERY",$S487="ITEM_PRICE_ONLY_DELIVERY_PAID_BY_MERCHANT"),$J487=""),"Item price required for this amount type",IF(AND(OR($S487="ITEM_PRICE_PLUS_DECLARED_DELIVERY",$S487="DELIVERY_CHARGE_ONLY"),$K487=""),"Declared delivery charge required",IF(AND(OR($S487="TOTAL_AMOUNT_INCLUDING_DELIVERY",$S487="EXACT_COLLECTION_AMOUNT"),$T487=""),"Stated total amount required",IF(AND($S487="TOTAL_AMOUNT_INCLUDING_DELIVERY",$T487&lt;SUM($J487,$U487)),"Stated total is below item price plus additional charge",IF($S487="EXACT_COLLECTION_AMOUNT","Authorized amount breakdown required before settlement","Ready for collection and settlement"))))))))))))</f>
        <v/>
      </c>
      <c r="AW487" s="23">
        <f>IF($AU487="","","PARCEL_FINANCIAL_V2")</f>
        <v/>
      </c>
      <c r="AX487" s="17" t="n"/>
    </row>
    <row r="488">
      <c r="A488" s="8" t="n"/>
      <c r="B488" s="8" t="n"/>
      <c r="C488" s="8" t="n"/>
      <c r="D488" s="8" t="n"/>
      <c r="E488" s="9" t="n"/>
      <c r="F488" s="9" t="n"/>
      <c r="G488" s="8" t="n"/>
      <c r="H488" s="9" t="n"/>
      <c r="I488" s="9" t="n"/>
      <c r="J488" s="10" t="n"/>
      <c r="K488" s="10" t="n"/>
      <c r="L488" s="11">
        <f>IF($S488="","",IF($S488="ITEM_PRICE_PLUS_DECLARED_DELIVERY",IF(OR($J488="",$K488=""),"",SUM($J488,$K488,$U488)),IF($S488="TOTAL_AMOUNT_INCLUDING_DELIVERY",IF($T488="","",$T488),IF($S488="DELIVERY_CHARGE_ONLY",IF($K488="","",SUM($K488,$U488)),IF($S488="EXACT_COLLECTION_AMOUNT",IF($T488="","",$T488),IF($S488="ITEM_PRICE_ONLY_DELIVERY_PAID_BY_MERCHANT",IF($J488="","",SUM($J488,$U488)),""))))))</f>
        <v/>
      </c>
      <c r="M488" s="12" t="n"/>
      <c r="N488" s="13" t="n"/>
      <c r="O488" s="13" t="n"/>
      <c r="P488" s="9" t="n"/>
      <c r="Q488" s="14" t="n"/>
      <c r="R488" s="15" t="n"/>
      <c r="S488" s="14" t="n"/>
      <c r="T488" s="16" t="n"/>
      <c r="U488" s="16" t="n"/>
      <c r="V488" s="16" t="n"/>
      <c r="W488" s="16" t="n"/>
      <c r="X488" s="16" t="n"/>
      <c r="Y488" s="16" t="n"/>
      <c r="Z488" s="14" t="n"/>
      <c r="AA488" s="14" t="n"/>
      <c r="AB488" s="14" t="n"/>
      <c r="AC488" s="17">
        <f>IFERROR(VLOOKUP($H488&amp;"|"&amp;$Q488,Tariff_Master!$A$2:$L$169,3,FALSE),"")</f>
        <v/>
      </c>
      <c r="AD488" s="17">
        <f>IFERROR(VLOOKUP($H488&amp;"|"&amp;$Q488,Tariff_Master!$A$2:$L$169,4,FALSE),"")</f>
        <v/>
      </c>
      <c r="AE488" s="18">
        <f>IFERROR(VLOOKUP($H488&amp;"|"&amp;$Q488,Tariff_Master!$A$2:$L$169,6,FALSE),"")</f>
        <v/>
      </c>
      <c r="AF488" s="19">
        <f>IFERROR(VLOOKUP($H488&amp;"|"&amp;$Q488,Tariff_Master!$A$2:$L$169,7,FALSE),"")</f>
        <v/>
      </c>
      <c r="AG488" s="18">
        <f>IFERROR(VLOOKUP($H488&amp;"|"&amp;$Q488,Tariff_Master!$A$2:$L$169,8,FALSE),"")</f>
        <v/>
      </c>
      <c r="AH488" s="20">
        <f>IFERROR(VLOOKUP($H488&amp;"|"&amp;$Q488,Tariff_Master!$A$2:$L$169,9,FALSE),"")</f>
        <v/>
      </c>
      <c r="AI488" s="18">
        <f>IFERROR(VLOOKUP($H488&amp;"|"&amp;$Q488,Tariff_Master!$A$2:$L$169,10,FALSE),"")</f>
        <v/>
      </c>
      <c r="AJ488" s="21">
        <f>IF($M488="","",ROUNDUP(MAX(0,$M488),0))</f>
        <v/>
      </c>
      <c r="AK488" s="21">
        <f>IF(OR($AJ488="",$AF488=""),"",MAX(0,$AJ488-$AF488))</f>
        <v/>
      </c>
      <c r="AL488" s="22">
        <f>IF(OR($AK488="",$AG488=""),"",MAX(0,$AK488*$AG488))</f>
        <v/>
      </c>
      <c r="AM488" s="22">
        <f>IF($AE488="","",MAX(0,SUM($AE488,$AL488,$V488,$W488)))</f>
        <v/>
      </c>
      <c r="AN488" s="22">
        <f>IF($AM488="","",IF(AND($Q488="COMMITMENT",$R488&gt;=$AH488),$AI488,0))</f>
        <v/>
      </c>
      <c r="AO488" s="23">
        <f>IF($AM488="","",MAX(0,$AM488-$AN488))</f>
        <v/>
      </c>
      <c r="AP488" s="22">
        <f>IF($S488="","",IF(OR($S488="ITEM_PRICE_PLUS_DECLARED_DELIVERY",$S488="DELIVERY_CHARGE_ONLY"),$K488,IF($S488="TOTAL_AMOUNT_INCLUDING_DELIVERY",IF(OR($T488="",$J488=""),"",MAX(0,$T488-$J488-$U488)),IF($S488="ITEM_PRICE_ONLY_DELIVERY_PAID_BY_MERCHANT",0,""))))</f>
        <v/>
      </c>
      <c r="AQ488" s="23">
        <f>IF(OR($AP488="",$AO488=""),"",$AP488-$AO488)</f>
        <v/>
      </c>
      <c r="AR488" s="24">
        <f>IF($S488="EXACT_COLLECTION_AMOUNT","BREAKDOWN_REQUIRED",IF($AQ488="","",IF($AQ488&gt;0,"CREDIT_TO_MERCHANT",IF($AQ488&lt;0,"DEDUCT_FROM_MERCHANT","NO_ADJUSTMENT"))))</f>
        <v/>
      </c>
      <c r="AS488" s="23">
        <f>IF(OR($AQ488="",$AR488="BREAKDOWN_REQUIRED"),"",$AQ488)</f>
        <v/>
      </c>
      <c r="AT488" s="23">
        <f>IF(OR($AR488="",$AR488="BREAKDOWN_REQUIRED"),"",SUM($J488,$AQ488,$Y488)-$X488)</f>
        <v/>
      </c>
      <c r="AU488" s="25">
        <f>IF(AND($A488="",$B488="",$F488="",$H488="",$J488="",$K488="",$M488="",$S488=""),"",IF(OR($H488="",$Q488="",$M488="",$S488=""),"ERROR",IF(OR($J488&lt;0,$K488&lt;0,$M488&lt;0,$T488&lt;0,$U488&lt;0,$V488&lt;0,$W488&lt;0,$X488&lt;0,$Y488&lt;0),"ERROR",IF($AE488="","ERROR",IF(AND(OR($S488="ITEM_PRICE_PLUS_DECLARED_DELIVERY",$S488="TOTAL_AMOUNT_INCLUDING_DELIVERY",$S488="ITEM_PRICE_ONLY_DELIVERY_PAID_BY_MERCHANT"),$J488=""),"ERROR",IF(AND(OR($S488="ITEM_PRICE_PLUS_DECLARED_DELIVERY",$S488="DELIVERY_CHARGE_ONLY"),$K488=""),"ERROR",IF(AND(OR($S488="TOTAL_AMOUNT_INCLUDING_DELIVERY",$S488="EXACT_COLLECTION_AMOUNT"),$T488=""),"ERROR",IF(AND($S488="TOTAL_AMOUNT_INCLUDING_DELIVERY",$T488&lt;SUM($J488,$U488)),"ERROR",IF($S488="EXACT_COLLECTION_AMOUNT","REVIEW","OK")))))))))</f>
        <v/>
      </c>
      <c r="AV488" s="25">
        <f>IF($AU488="","",IF($H488="","Township required",IF($Q488="","Customer tier required",IF($M488="","Weight required",IF($S488="","Amount entry type required",IF(OR($J488&lt;0,$K488&lt;0,$M488&lt;0,$T488&lt;0,$U488&lt;0,$V488&lt;0,$W488&lt;0,$X488&lt;0,$Y488&lt;0),"Negative amounts are not allowed",IF($AE488="","Tariff not found for township and tier",IF(AND(OR($S488="ITEM_PRICE_PLUS_DECLARED_DELIVERY",$S488="TOTAL_AMOUNT_INCLUDING_DELIVERY",$S488="ITEM_PRICE_ONLY_DELIVERY_PAID_BY_MERCHANT"),$J488=""),"Item price required for this amount type",IF(AND(OR($S488="ITEM_PRICE_PLUS_DECLARED_DELIVERY",$S488="DELIVERY_CHARGE_ONLY"),$K488=""),"Declared delivery charge required",IF(AND(OR($S488="TOTAL_AMOUNT_INCLUDING_DELIVERY",$S488="EXACT_COLLECTION_AMOUNT"),$T488=""),"Stated total amount required",IF(AND($S488="TOTAL_AMOUNT_INCLUDING_DELIVERY",$T488&lt;SUM($J488,$U488)),"Stated total is below item price plus additional charge",IF($S488="EXACT_COLLECTION_AMOUNT","Authorized amount breakdown required before settlement","Ready for collection and settlement"))))))))))))</f>
        <v/>
      </c>
      <c r="AW488" s="23">
        <f>IF($AU488="","","PARCEL_FINANCIAL_V2")</f>
        <v/>
      </c>
      <c r="AX488" s="17" t="n"/>
    </row>
    <row r="489">
      <c r="A489" s="8" t="n"/>
      <c r="B489" s="8" t="n"/>
      <c r="C489" s="8" t="n"/>
      <c r="D489" s="8" t="n"/>
      <c r="E489" s="9" t="n"/>
      <c r="F489" s="9" t="n"/>
      <c r="G489" s="8" t="n"/>
      <c r="H489" s="9" t="n"/>
      <c r="I489" s="9" t="n"/>
      <c r="J489" s="10" t="n"/>
      <c r="K489" s="10" t="n"/>
      <c r="L489" s="11">
        <f>IF($S489="","",IF($S489="ITEM_PRICE_PLUS_DECLARED_DELIVERY",IF(OR($J489="",$K489=""),"",SUM($J489,$K489,$U489)),IF($S489="TOTAL_AMOUNT_INCLUDING_DELIVERY",IF($T489="","",$T489),IF($S489="DELIVERY_CHARGE_ONLY",IF($K489="","",SUM($K489,$U489)),IF($S489="EXACT_COLLECTION_AMOUNT",IF($T489="","",$T489),IF($S489="ITEM_PRICE_ONLY_DELIVERY_PAID_BY_MERCHANT",IF($J489="","",SUM($J489,$U489)),""))))))</f>
        <v/>
      </c>
      <c r="M489" s="12" t="n"/>
      <c r="N489" s="13" t="n"/>
      <c r="O489" s="13" t="n"/>
      <c r="P489" s="9" t="n"/>
      <c r="Q489" s="14" t="n"/>
      <c r="R489" s="15" t="n"/>
      <c r="S489" s="14" t="n"/>
      <c r="T489" s="16" t="n"/>
      <c r="U489" s="16" t="n"/>
      <c r="V489" s="16" t="n"/>
      <c r="W489" s="16" t="n"/>
      <c r="X489" s="16" t="n"/>
      <c r="Y489" s="16" t="n"/>
      <c r="Z489" s="14" t="n"/>
      <c r="AA489" s="14" t="n"/>
      <c r="AB489" s="14" t="n"/>
      <c r="AC489" s="17">
        <f>IFERROR(VLOOKUP($H489&amp;"|"&amp;$Q489,Tariff_Master!$A$2:$L$169,3,FALSE),"")</f>
        <v/>
      </c>
      <c r="AD489" s="17">
        <f>IFERROR(VLOOKUP($H489&amp;"|"&amp;$Q489,Tariff_Master!$A$2:$L$169,4,FALSE),"")</f>
        <v/>
      </c>
      <c r="AE489" s="18">
        <f>IFERROR(VLOOKUP($H489&amp;"|"&amp;$Q489,Tariff_Master!$A$2:$L$169,6,FALSE),"")</f>
        <v/>
      </c>
      <c r="AF489" s="19">
        <f>IFERROR(VLOOKUP($H489&amp;"|"&amp;$Q489,Tariff_Master!$A$2:$L$169,7,FALSE),"")</f>
        <v/>
      </c>
      <c r="AG489" s="18">
        <f>IFERROR(VLOOKUP($H489&amp;"|"&amp;$Q489,Tariff_Master!$A$2:$L$169,8,FALSE),"")</f>
        <v/>
      </c>
      <c r="AH489" s="20">
        <f>IFERROR(VLOOKUP($H489&amp;"|"&amp;$Q489,Tariff_Master!$A$2:$L$169,9,FALSE),"")</f>
        <v/>
      </c>
      <c r="AI489" s="18">
        <f>IFERROR(VLOOKUP($H489&amp;"|"&amp;$Q489,Tariff_Master!$A$2:$L$169,10,FALSE),"")</f>
        <v/>
      </c>
      <c r="AJ489" s="21">
        <f>IF($M489="","",ROUNDUP(MAX(0,$M489),0))</f>
        <v/>
      </c>
      <c r="AK489" s="21">
        <f>IF(OR($AJ489="",$AF489=""),"",MAX(0,$AJ489-$AF489))</f>
        <v/>
      </c>
      <c r="AL489" s="22">
        <f>IF(OR($AK489="",$AG489=""),"",MAX(0,$AK489*$AG489))</f>
        <v/>
      </c>
      <c r="AM489" s="22">
        <f>IF($AE489="","",MAX(0,SUM($AE489,$AL489,$V489,$W489)))</f>
        <v/>
      </c>
      <c r="AN489" s="22">
        <f>IF($AM489="","",IF(AND($Q489="COMMITMENT",$R489&gt;=$AH489),$AI489,0))</f>
        <v/>
      </c>
      <c r="AO489" s="23">
        <f>IF($AM489="","",MAX(0,$AM489-$AN489))</f>
        <v/>
      </c>
      <c r="AP489" s="22">
        <f>IF($S489="","",IF(OR($S489="ITEM_PRICE_PLUS_DECLARED_DELIVERY",$S489="DELIVERY_CHARGE_ONLY"),$K489,IF($S489="TOTAL_AMOUNT_INCLUDING_DELIVERY",IF(OR($T489="",$J489=""),"",MAX(0,$T489-$J489-$U489)),IF($S489="ITEM_PRICE_ONLY_DELIVERY_PAID_BY_MERCHANT",0,""))))</f>
        <v/>
      </c>
      <c r="AQ489" s="23">
        <f>IF(OR($AP489="",$AO489=""),"",$AP489-$AO489)</f>
        <v/>
      </c>
      <c r="AR489" s="24">
        <f>IF($S489="EXACT_COLLECTION_AMOUNT","BREAKDOWN_REQUIRED",IF($AQ489="","",IF($AQ489&gt;0,"CREDIT_TO_MERCHANT",IF($AQ489&lt;0,"DEDUCT_FROM_MERCHANT","NO_ADJUSTMENT"))))</f>
        <v/>
      </c>
      <c r="AS489" s="23">
        <f>IF(OR($AQ489="",$AR489="BREAKDOWN_REQUIRED"),"",$AQ489)</f>
        <v/>
      </c>
      <c r="AT489" s="23">
        <f>IF(OR($AR489="",$AR489="BREAKDOWN_REQUIRED"),"",SUM($J489,$AQ489,$Y489)-$X489)</f>
        <v/>
      </c>
      <c r="AU489" s="25">
        <f>IF(AND($A489="",$B489="",$F489="",$H489="",$J489="",$K489="",$M489="",$S489=""),"",IF(OR($H489="",$Q489="",$M489="",$S489=""),"ERROR",IF(OR($J489&lt;0,$K489&lt;0,$M489&lt;0,$T489&lt;0,$U489&lt;0,$V489&lt;0,$W489&lt;0,$X489&lt;0,$Y489&lt;0),"ERROR",IF($AE489="","ERROR",IF(AND(OR($S489="ITEM_PRICE_PLUS_DECLARED_DELIVERY",$S489="TOTAL_AMOUNT_INCLUDING_DELIVERY",$S489="ITEM_PRICE_ONLY_DELIVERY_PAID_BY_MERCHANT"),$J489=""),"ERROR",IF(AND(OR($S489="ITEM_PRICE_PLUS_DECLARED_DELIVERY",$S489="DELIVERY_CHARGE_ONLY"),$K489=""),"ERROR",IF(AND(OR($S489="TOTAL_AMOUNT_INCLUDING_DELIVERY",$S489="EXACT_COLLECTION_AMOUNT"),$T489=""),"ERROR",IF(AND($S489="TOTAL_AMOUNT_INCLUDING_DELIVERY",$T489&lt;SUM($J489,$U489)),"ERROR",IF($S489="EXACT_COLLECTION_AMOUNT","REVIEW","OK")))))))))</f>
        <v/>
      </c>
      <c r="AV489" s="25">
        <f>IF($AU489="","",IF($H489="","Township required",IF($Q489="","Customer tier required",IF($M489="","Weight required",IF($S489="","Amount entry type required",IF(OR($J489&lt;0,$K489&lt;0,$M489&lt;0,$T489&lt;0,$U489&lt;0,$V489&lt;0,$W489&lt;0,$X489&lt;0,$Y489&lt;0),"Negative amounts are not allowed",IF($AE489="","Tariff not found for township and tier",IF(AND(OR($S489="ITEM_PRICE_PLUS_DECLARED_DELIVERY",$S489="TOTAL_AMOUNT_INCLUDING_DELIVERY",$S489="ITEM_PRICE_ONLY_DELIVERY_PAID_BY_MERCHANT"),$J489=""),"Item price required for this amount type",IF(AND(OR($S489="ITEM_PRICE_PLUS_DECLARED_DELIVERY",$S489="DELIVERY_CHARGE_ONLY"),$K489=""),"Declared delivery charge required",IF(AND(OR($S489="TOTAL_AMOUNT_INCLUDING_DELIVERY",$S489="EXACT_COLLECTION_AMOUNT"),$T489=""),"Stated total amount required",IF(AND($S489="TOTAL_AMOUNT_INCLUDING_DELIVERY",$T489&lt;SUM($J489,$U489)),"Stated total is below item price plus additional charge",IF($S489="EXACT_COLLECTION_AMOUNT","Authorized amount breakdown required before settlement","Ready for collection and settlement"))))))))))))</f>
        <v/>
      </c>
      <c r="AW489" s="23">
        <f>IF($AU489="","","PARCEL_FINANCIAL_V2")</f>
        <v/>
      </c>
      <c r="AX489" s="17" t="n"/>
    </row>
    <row r="490">
      <c r="A490" s="8" t="n"/>
      <c r="B490" s="8" t="n"/>
      <c r="C490" s="8" t="n"/>
      <c r="D490" s="8" t="n"/>
      <c r="E490" s="9" t="n"/>
      <c r="F490" s="9" t="n"/>
      <c r="G490" s="8" t="n"/>
      <c r="H490" s="9" t="n"/>
      <c r="I490" s="9" t="n"/>
      <c r="J490" s="10" t="n"/>
      <c r="K490" s="10" t="n"/>
      <c r="L490" s="11">
        <f>IF($S490="","",IF($S490="ITEM_PRICE_PLUS_DECLARED_DELIVERY",IF(OR($J490="",$K490=""),"",SUM($J490,$K490,$U490)),IF($S490="TOTAL_AMOUNT_INCLUDING_DELIVERY",IF($T490="","",$T490),IF($S490="DELIVERY_CHARGE_ONLY",IF($K490="","",SUM($K490,$U490)),IF($S490="EXACT_COLLECTION_AMOUNT",IF($T490="","",$T490),IF($S490="ITEM_PRICE_ONLY_DELIVERY_PAID_BY_MERCHANT",IF($J490="","",SUM($J490,$U490)),""))))))</f>
        <v/>
      </c>
      <c r="M490" s="12" t="n"/>
      <c r="N490" s="13" t="n"/>
      <c r="O490" s="13" t="n"/>
      <c r="P490" s="9" t="n"/>
      <c r="Q490" s="14" t="n"/>
      <c r="R490" s="15" t="n"/>
      <c r="S490" s="14" t="n"/>
      <c r="T490" s="16" t="n"/>
      <c r="U490" s="16" t="n"/>
      <c r="V490" s="16" t="n"/>
      <c r="W490" s="16" t="n"/>
      <c r="X490" s="16" t="n"/>
      <c r="Y490" s="16" t="n"/>
      <c r="Z490" s="14" t="n"/>
      <c r="AA490" s="14" t="n"/>
      <c r="AB490" s="14" t="n"/>
      <c r="AC490" s="17">
        <f>IFERROR(VLOOKUP($H490&amp;"|"&amp;$Q490,Tariff_Master!$A$2:$L$169,3,FALSE),"")</f>
        <v/>
      </c>
      <c r="AD490" s="17">
        <f>IFERROR(VLOOKUP($H490&amp;"|"&amp;$Q490,Tariff_Master!$A$2:$L$169,4,FALSE),"")</f>
        <v/>
      </c>
      <c r="AE490" s="18">
        <f>IFERROR(VLOOKUP($H490&amp;"|"&amp;$Q490,Tariff_Master!$A$2:$L$169,6,FALSE),"")</f>
        <v/>
      </c>
      <c r="AF490" s="19">
        <f>IFERROR(VLOOKUP($H490&amp;"|"&amp;$Q490,Tariff_Master!$A$2:$L$169,7,FALSE),"")</f>
        <v/>
      </c>
      <c r="AG490" s="18">
        <f>IFERROR(VLOOKUP($H490&amp;"|"&amp;$Q490,Tariff_Master!$A$2:$L$169,8,FALSE),"")</f>
        <v/>
      </c>
      <c r="AH490" s="20">
        <f>IFERROR(VLOOKUP($H490&amp;"|"&amp;$Q490,Tariff_Master!$A$2:$L$169,9,FALSE),"")</f>
        <v/>
      </c>
      <c r="AI490" s="18">
        <f>IFERROR(VLOOKUP($H490&amp;"|"&amp;$Q490,Tariff_Master!$A$2:$L$169,10,FALSE),"")</f>
        <v/>
      </c>
      <c r="AJ490" s="21">
        <f>IF($M490="","",ROUNDUP(MAX(0,$M490),0))</f>
        <v/>
      </c>
      <c r="AK490" s="21">
        <f>IF(OR($AJ490="",$AF490=""),"",MAX(0,$AJ490-$AF490))</f>
        <v/>
      </c>
      <c r="AL490" s="22">
        <f>IF(OR($AK490="",$AG490=""),"",MAX(0,$AK490*$AG490))</f>
        <v/>
      </c>
      <c r="AM490" s="22">
        <f>IF($AE490="","",MAX(0,SUM($AE490,$AL490,$V490,$W490)))</f>
        <v/>
      </c>
      <c r="AN490" s="22">
        <f>IF($AM490="","",IF(AND($Q490="COMMITMENT",$R490&gt;=$AH490),$AI490,0))</f>
        <v/>
      </c>
      <c r="AO490" s="23">
        <f>IF($AM490="","",MAX(0,$AM490-$AN490))</f>
        <v/>
      </c>
      <c r="AP490" s="22">
        <f>IF($S490="","",IF(OR($S490="ITEM_PRICE_PLUS_DECLARED_DELIVERY",$S490="DELIVERY_CHARGE_ONLY"),$K490,IF($S490="TOTAL_AMOUNT_INCLUDING_DELIVERY",IF(OR($T490="",$J490=""),"",MAX(0,$T490-$J490-$U490)),IF($S490="ITEM_PRICE_ONLY_DELIVERY_PAID_BY_MERCHANT",0,""))))</f>
        <v/>
      </c>
      <c r="AQ490" s="23">
        <f>IF(OR($AP490="",$AO490=""),"",$AP490-$AO490)</f>
        <v/>
      </c>
      <c r="AR490" s="24">
        <f>IF($S490="EXACT_COLLECTION_AMOUNT","BREAKDOWN_REQUIRED",IF($AQ490="","",IF($AQ490&gt;0,"CREDIT_TO_MERCHANT",IF($AQ490&lt;0,"DEDUCT_FROM_MERCHANT","NO_ADJUSTMENT"))))</f>
        <v/>
      </c>
      <c r="AS490" s="23">
        <f>IF(OR($AQ490="",$AR490="BREAKDOWN_REQUIRED"),"",$AQ490)</f>
        <v/>
      </c>
      <c r="AT490" s="23">
        <f>IF(OR($AR490="",$AR490="BREAKDOWN_REQUIRED"),"",SUM($J490,$AQ490,$Y490)-$X490)</f>
        <v/>
      </c>
      <c r="AU490" s="25">
        <f>IF(AND($A490="",$B490="",$F490="",$H490="",$J490="",$K490="",$M490="",$S490=""),"",IF(OR($H490="",$Q490="",$M490="",$S490=""),"ERROR",IF(OR($J490&lt;0,$K490&lt;0,$M490&lt;0,$T490&lt;0,$U490&lt;0,$V490&lt;0,$W490&lt;0,$X490&lt;0,$Y490&lt;0),"ERROR",IF($AE490="","ERROR",IF(AND(OR($S490="ITEM_PRICE_PLUS_DECLARED_DELIVERY",$S490="TOTAL_AMOUNT_INCLUDING_DELIVERY",$S490="ITEM_PRICE_ONLY_DELIVERY_PAID_BY_MERCHANT"),$J490=""),"ERROR",IF(AND(OR($S490="ITEM_PRICE_PLUS_DECLARED_DELIVERY",$S490="DELIVERY_CHARGE_ONLY"),$K490=""),"ERROR",IF(AND(OR($S490="TOTAL_AMOUNT_INCLUDING_DELIVERY",$S490="EXACT_COLLECTION_AMOUNT"),$T490=""),"ERROR",IF(AND($S490="TOTAL_AMOUNT_INCLUDING_DELIVERY",$T490&lt;SUM($J490,$U490)),"ERROR",IF($S490="EXACT_COLLECTION_AMOUNT","REVIEW","OK")))))))))</f>
        <v/>
      </c>
      <c r="AV490" s="25">
        <f>IF($AU490="","",IF($H490="","Township required",IF($Q490="","Customer tier required",IF($M490="","Weight required",IF($S490="","Amount entry type required",IF(OR($J490&lt;0,$K490&lt;0,$M490&lt;0,$T490&lt;0,$U490&lt;0,$V490&lt;0,$W490&lt;0,$X490&lt;0,$Y490&lt;0),"Negative amounts are not allowed",IF($AE490="","Tariff not found for township and tier",IF(AND(OR($S490="ITEM_PRICE_PLUS_DECLARED_DELIVERY",$S490="TOTAL_AMOUNT_INCLUDING_DELIVERY",$S490="ITEM_PRICE_ONLY_DELIVERY_PAID_BY_MERCHANT"),$J490=""),"Item price required for this amount type",IF(AND(OR($S490="ITEM_PRICE_PLUS_DECLARED_DELIVERY",$S490="DELIVERY_CHARGE_ONLY"),$K490=""),"Declared delivery charge required",IF(AND(OR($S490="TOTAL_AMOUNT_INCLUDING_DELIVERY",$S490="EXACT_COLLECTION_AMOUNT"),$T490=""),"Stated total amount required",IF(AND($S490="TOTAL_AMOUNT_INCLUDING_DELIVERY",$T490&lt;SUM($J490,$U490)),"Stated total is below item price plus additional charge",IF($S490="EXACT_COLLECTION_AMOUNT","Authorized amount breakdown required before settlement","Ready for collection and settlement"))))))))))))</f>
        <v/>
      </c>
      <c r="AW490" s="23">
        <f>IF($AU490="","","PARCEL_FINANCIAL_V2")</f>
        <v/>
      </c>
      <c r="AX490" s="17" t="n"/>
    </row>
    <row r="491">
      <c r="A491" s="8" t="n"/>
      <c r="B491" s="8" t="n"/>
      <c r="C491" s="8" t="n"/>
      <c r="D491" s="8" t="n"/>
      <c r="E491" s="9" t="n"/>
      <c r="F491" s="9" t="n"/>
      <c r="G491" s="8" t="n"/>
      <c r="H491" s="9" t="n"/>
      <c r="I491" s="9" t="n"/>
      <c r="J491" s="10" t="n"/>
      <c r="K491" s="10" t="n"/>
      <c r="L491" s="11">
        <f>IF($S491="","",IF($S491="ITEM_PRICE_PLUS_DECLARED_DELIVERY",IF(OR($J491="",$K491=""),"",SUM($J491,$K491,$U491)),IF($S491="TOTAL_AMOUNT_INCLUDING_DELIVERY",IF($T491="","",$T491),IF($S491="DELIVERY_CHARGE_ONLY",IF($K491="","",SUM($K491,$U491)),IF($S491="EXACT_COLLECTION_AMOUNT",IF($T491="","",$T491),IF($S491="ITEM_PRICE_ONLY_DELIVERY_PAID_BY_MERCHANT",IF($J491="","",SUM($J491,$U491)),""))))))</f>
        <v/>
      </c>
      <c r="M491" s="12" t="n"/>
      <c r="N491" s="13" t="n"/>
      <c r="O491" s="13" t="n"/>
      <c r="P491" s="9" t="n"/>
      <c r="Q491" s="14" t="n"/>
      <c r="R491" s="15" t="n"/>
      <c r="S491" s="14" t="n"/>
      <c r="T491" s="16" t="n"/>
      <c r="U491" s="16" t="n"/>
      <c r="V491" s="16" t="n"/>
      <c r="W491" s="16" t="n"/>
      <c r="X491" s="16" t="n"/>
      <c r="Y491" s="16" t="n"/>
      <c r="Z491" s="14" t="n"/>
      <c r="AA491" s="14" t="n"/>
      <c r="AB491" s="14" t="n"/>
      <c r="AC491" s="17">
        <f>IFERROR(VLOOKUP($H491&amp;"|"&amp;$Q491,Tariff_Master!$A$2:$L$169,3,FALSE),"")</f>
        <v/>
      </c>
      <c r="AD491" s="17">
        <f>IFERROR(VLOOKUP($H491&amp;"|"&amp;$Q491,Tariff_Master!$A$2:$L$169,4,FALSE),"")</f>
        <v/>
      </c>
      <c r="AE491" s="18">
        <f>IFERROR(VLOOKUP($H491&amp;"|"&amp;$Q491,Tariff_Master!$A$2:$L$169,6,FALSE),"")</f>
        <v/>
      </c>
      <c r="AF491" s="19">
        <f>IFERROR(VLOOKUP($H491&amp;"|"&amp;$Q491,Tariff_Master!$A$2:$L$169,7,FALSE),"")</f>
        <v/>
      </c>
      <c r="AG491" s="18">
        <f>IFERROR(VLOOKUP($H491&amp;"|"&amp;$Q491,Tariff_Master!$A$2:$L$169,8,FALSE),"")</f>
        <v/>
      </c>
      <c r="AH491" s="20">
        <f>IFERROR(VLOOKUP($H491&amp;"|"&amp;$Q491,Tariff_Master!$A$2:$L$169,9,FALSE),"")</f>
        <v/>
      </c>
      <c r="AI491" s="18">
        <f>IFERROR(VLOOKUP($H491&amp;"|"&amp;$Q491,Tariff_Master!$A$2:$L$169,10,FALSE),"")</f>
        <v/>
      </c>
      <c r="AJ491" s="21">
        <f>IF($M491="","",ROUNDUP(MAX(0,$M491),0))</f>
        <v/>
      </c>
      <c r="AK491" s="21">
        <f>IF(OR($AJ491="",$AF491=""),"",MAX(0,$AJ491-$AF491))</f>
        <v/>
      </c>
      <c r="AL491" s="22">
        <f>IF(OR($AK491="",$AG491=""),"",MAX(0,$AK491*$AG491))</f>
        <v/>
      </c>
      <c r="AM491" s="22">
        <f>IF($AE491="","",MAX(0,SUM($AE491,$AL491,$V491,$W491)))</f>
        <v/>
      </c>
      <c r="AN491" s="22">
        <f>IF($AM491="","",IF(AND($Q491="COMMITMENT",$R491&gt;=$AH491),$AI491,0))</f>
        <v/>
      </c>
      <c r="AO491" s="23">
        <f>IF($AM491="","",MAX(0,$AM491-$AN491))</f>
        <v/>
      </c>
      <c r="AP491" s="22">
        <f>IF($S491="","",IF(OR($S491="ITEM_PRICE_PLUS_DECLARED_DELIVERY",$S491="DELIVERY_CHARGE_ONLY"),$K491,IF($S491="TOTAL_AMOUNT_INCLUDING_DELIVERY",IF(OR($T491="",$J491=""),"",MAX(0,$T491-$J491-$U491)),IF($S491="ITEM_PRICE_ONLY_DELIVERY_PAID_BY_MERCHANT",0,""))))</f>
        <v/>
      </c>
      <c r="AQ491" s="23">
        <f>IF(OR($AP491="",$AO491=""),"",$AP491-$AO491)</f>
        <v/>
      </c>
      <c r="AR491" s="24">
        <f>IF($S491="EXACT_COLLECTION_AMOUNT","BREAKDOWN_REQUIRED",IF($AQ491="","",IF($AQ491&gt;0,"CREDIT_TO_MERCHANT",IF($AQ491&lt;0,"DEDUCT_FROM_MERCHANT","NO_ADJUSTMENT"))))</f>
        <v/>
      </c>
      <c r="AS491" s="23">
        <f>IF(OR($AQ491="",$AR491="BREAKDOWN_REQUIRED"),"",$AQ491)</f>
        <v/>
      </c>
      <c r="AT491" s="23">
        <f>IF(OR($AR491="",$AR491="BREAKDOWN_REQUIRED"),"",SUM($J491,$AQ491,$Y491)-$X491)</f>
        <v/>
      </c>
      <c r="AU491" s="25">
        <f>IF(AND($A491="",$B491="",$F491="",$H491="",$J491="",$K491="",$M491="",$S491=""),"",IF(OR($H491="",$Q491="",$M491="",$S491=""),"ERROR",IF(OR($J491&lt;0,$K491&lt;0,$M491&lt;0,$T491&lt;0,$U491&lt;0,$V491&lt;0,$W491&lt;0,$X491&lt;0,$Y491&lt;0),"ERROR",IF($AE491="","ERROR",IF(AND(OR($S491="ITEM_PRICE_PLUS_DECLARED_DELIVERY",$S491="TOTAL_AMOUNT_INCLUDING_DELIVERY",$S491="ITEM_PRICE_ONLY_DELIVERY_PAID_BY_MERCHANT"),$J491=""),"ERROR",IF(AND(OR($S491="ITEM_PRICE_PLUS_DECLARED_DELIVERY",$S491="DELIVERY_CHARGE_ONLY"),$K491=""),"ERROR",IF(AND(OR($S491="TOTAL_AMOUNT_INCLUDING_DELIVERY",$S491="EXACT_COLLECTION_AMOUNT"),$T491=""),"ERROR",IF(AND($S491="TOTAL_AMOUNT_INCLUDING_DELIVERY",$T491&lt;SUM($J491,$U491)),"ERROR",IF($S491="EXACT_COLLECTION_AMOUNT","REVIEW","OK")))))))))</f>
        <v/>
      </c>
      <c r="AV491" s="25">
        <f>IF($AU491="","",IF($H491="","Township required",IF($Q491="","Customer tier required",IF($M491="","Weight required",IF($S491="","Amount entry type required",IF(OR($J491&lt;0,$K491&lt;0,$M491&lt;0,$T491&lt;0,$U491&lt;0,$V491&lt;0,$W491&lt;0,$X491&lt;0,$Y491&lt;0),"Negative amounts are not allowed",IF($AE491="","Tariff not found for township and tier",IF(AND(OR($S491="ITEM_PRICE_PLUS_DECLARED_DELIVERY",$S491="TOTAL_AMOUNT_INCLUDING_DELIVERY",$S491="ITEM_PRICE_ONLY_DELIVERY_PAID_BY_MERCHANT"),$J491=""),"Item price required for this amount type",IF(AND(OR($S491="ITEM_PRICE_PLUS_DECLARED_DELIVERY",$S491="DELIVERY_CHARGE_ONLY"),$K491=""),"Declared delivery charge required",IF(AND(OR($S491="TOTAL_AMOUNT_INCLUDING_DELIVERY",$S491="EXACT_COLLECTION_AMOUNT"),$T491=""),"Stated total amount required",IF(AND($S491="TOTAL_AMOUNT_INCLUDING_DELIVERY",$T491&lt;SUM($J491,$U491)),"Stated total is below item price plus additional charge",IF($S491="EXACT_COLLECTION_AMOUNT","Authorized amount breakdown required before settlement","Ready for collection and settlement"))))))))))))</f>
        <v/>
      </c>
      <c r="AW491" s="23">
        <f>IF($AU491="","","PARCEL_FINANCIAL_V2")</f>
        <v/>
      </c>
      <c r="AX491" s="17" t="n"/>
    </row>
    <row r="492">
      <c r="A492" s="8" t="n"/>
      <c r="B492" s="8" t="n"/>
      <c r="C492" s="8" t="n"/>
      <c r="D492" s="8" t="n"/>
      <c r="E492" s="9" t="n"/>
      <c r="F492" s="9" t="n"/>
      <c r="G492" s="8" t="n"/>
      <c r="H492" s="9" t="n"/>
      <c r="I492" s="9" t="n"/>
      <c r="J492" s="10" t="n"/>
      <c r="K492" s="10" t="n"/>
      <c r="L492" s="11">
        <f>IF($S492="","",IF($S492="ITEM_PRICE_PLUS_DECLARED_DELIVERY",IF(OR($J492="",$K492=""),"",SUM($J492,$K492,$U492)),IF($S492="TOTAL_AMOUNT_INCLUDING_DELIVERY",IF($T492="","",$T492),IF($S492="DELIVERY_CHARGE_ONLY",IF($K492="","",SUM($K492,$U492)),IF($S492="EXACT_COLLECTION_AMOUNT",IF($T492="","",$T492),IF($S492="ITEM_PRICE_ONLY_DELIVERY_PAID_BY_MERCHANT",IF($J492="","",SUM($J492,$U492)),""))))))</f>
        <v/>
      </c>
      <c r="M492" s="12" t="n"/>
      <c r="N492" s="13" t="n"/>
      <c r="O492" s="13" t="n"/>
      <c r="P492" s="9" t="n"/>
      <c r="Q492" s="14" t="n"/>
      <c r="R492" s="15" t="n"/>
      <c r="S492" s="14" t="n"/>
      <c r="T492" s="16" t="n"/>
      <c r="U492" s="16" t="n"/>
      <c r="V492" s="16" t="n"/>
      <c r="W492" s="16" t="n"/>
      <c r="X492" s="16" t="n"/>
      <c r="Y492" s="16" t="n"/>
      <c r="Z492" s="14" t="n"/>
      <c r="AA492" s="14" t="n"/>
      <c r="AB492" s="14" t="n"/>
      <c r="AC492" s="17">
        <f>IFERROR(VLOOKUP($H492&amp;"|"&amp;$Q492,Tariff_Master!$A$2:$L$169,3,FALSE),"")</f>
        <v/>
      </c>
      <c r="AD492" s="17">
        <f>IFERROR(VLOOKUP($H492&amp;"|"&amp;$Q492,Tariff_Master!$A$2:$L$169,4,FALSE),"")</f>
        <v/>
      </c>
      <c r="AE492" s="18">
        <f>IFERROR(VLOOKUP($H492&amp;"|"&amp;$Q492,Tariff_Master!$A$2:$L$169,6,FALSE),"")</f>
        <v/>
      </c>
      <c r="AF492" s="19">
        <f>IFERROR(VLOOKUP($H492&amp;"|"&amp;$Q492,Tariff_Master!$A$2:$L$169,7,FALSE),"")</f>
        <v/>
      </c>
      <c r="AG492" s="18">
        <f>IFERROR(VLOOKUP($H492&amp;"|"&amp;$Q492,Tariff_Master!$A$2:$L$169,8,FALSE),"")</f>
        <v/>
      </c>
      <c r="AH492" s="20">
        <f>IFERROR(VLOOKUP($H492&amp;"|"&amp;$Q492,Tariff_Master!$A$2:$L$169,9,FALSE),"")</f>
        <v/>
      </c>
      <c r="AI492" s="18">
        <f>IFERROR(VLOOKUP($H492&amp;"|"&amp;$Q492,Tariff_Master!$A$2:$L$169,10,FALSE),"")</f>
        <v/>
      </c>
      <c r="AJ492" s="21">
        <f>IF($M492="","",ROUNDUP(MAX(0,$M492),0))</f>
        <v/>
      </c>
      <c r="AK492" s="21">
        <f>IF(OR($AJ492="",$AF492=""),"",MAX(0,$AJ492-$AF492))</f>
        <v/>
      </c>
      <c r="AL492" s="22">
        <f>IF(OR($AK492="",$AG492=""),"",MAX(0,$AK492*$AG492))</f>
        <v/>
      </c>
      <c r="AM492" s="22">
        <f>IF($AE492="","",MAX(0,SUM($AE492,$AL492,$V492,$W492)))</f>
        <v/>
      </c>
      <c r="AN492" s="22">
        <f>IF($AM492="","",IF(AND($Q492="COMMITMENT",$R492&gt;=$AH492),$AI492,0))</f>
        <v/>
      </c>
      <c r="AO492" s="23">
        <f>IF($AM492="","",MAX(0,$AM492-$AN492))</f>
        <v/>
      </c>
      <c r="AP492" s="22">
        <f>IF($S492="","",IF(OR($S492="ITEM_PRICE_PLUS_DECLARED_DELIVERY",$S492="DELIVERY_CHARGE_ONLY"),$K492,IF($S492="TOTAL_AMOUNT_INCLUDING_DELIVERY",IF(OR($T492="",$J492=""),"",MAX(0,$T492-$J492-$U492)),IF($S492="ITEM_PRICE_ONLY_DELIVERY_PAID_BY_MERCHANT",0,""))))</f>
        <v/>
      </c>
      <c r="AQ492" s="23">
        <f>IF(OR($AP492="",$AO492=""),"",$AP492-$AO492)</f>
        <v/>
      </c>
      <c r="AR492" s="24">
        <f>IF($S492="EXACT_COLLECTION_AMOUNT","BREAKDOWN_REQUIRED",IF($AQ492="","",IF($AQ492&gt;0,"CREDIT_TO_MERCHANT",IF($AQ492&lt;0,"DEDUCT_FROM_MERCHANT","NO_ADJUSTMENT"))))</f>
        <v/>
      </c>
      <c r="AS492" s="23">
        <f>IF(OR($AQ492="",$AR492="BREAKDOWN_REQUIRED"),"",$AQ492)</f>
        <v/>
      </c>
      <c r="AT492" s="23">
        <f>IF(OR($AR492="",$AR492="BREAKDOWN_REQUIRED"),"",SUM($J492,$AQ492,$Y492)-$X492)</f>
        <v/>
      </c>
      <c r="AU492" s="25">
        <f>IF(AND($A492="",$B492="",$F492="",$H492="",$J492="",$K492="",$M492="",$S492=""),"",IF(OR($H492="",$Q492="",$M492="",$S492=""),"ERROR",IF(OR($J492&lt;0,$K492&lt;0,$M492&lt;0,$T492&lt;0,$U492&lt;0,$V492&lt;0,$W492&lt;0,$X492&lt;0,$Y492&lt;0),"ERROR",IF($AE492="","ERROR",IF(AND(OR($S492="ITEM_PRICE_PLUS_DECLARED_DELIVERY",$S492="TOTAL_AMOUNT_INCLUDING_DELIVERY",$S492="ITEM_PRICE_ONLY_DELIVERY_PAID_BY_MERCHANT"),$J492=""),"ERROR",IF(AND(OR($S492="ITEM_PRICE_PLUS_DECLARED_DELIVERY",$S492="DELIVERY_CHARGE_ONLY"),$K492=""),"ERROR",IF(AND(OR($S492="TOTAL_AMOUNT_INCLUDING_DELIVERY",$S492="EXACT_COLLECTION_AMOUNT"),$T492=""),"ERROR",IF(AND($S492="TOTAL_AMOUNT_INCLUDING_DELIVERY",$T492&lt;SUM($J492,$U492)),"ERROR",IF($S492="EXACT_COLLECTION_AMOUNT","REVIEW","OK")))))))))</f>
        <v/>
      </c>
      <c r="AV492" s="25">
        <f>IF($AU492="","",IF($H492="","Township required",IF($Q492="","Customer tier required",IF($M492="","Weight required",IF($S492="","Amount entry type required",IF(OR($J492&lt;0,$K492&lt;0,$M492&lt;0,$T492&lt;0,$U492&lt;0,$V492&lt;0,$W492&lt;0,$X492&lt;0,$Y492&lt;0),"Negative amounts are not allowed",IF($AE492="","Tariff not found for township and tier",IF(AND(OR($S492="ITEM_PRICE_PLUS_DECLARED_DELIVERY",$S492="TOTAL_AMOUNT_INCLUDING_DELIVERY",$S492="ITEM_PRICE_ONLY_DELIVERY_PAID_BY_MERCHANT"),$J492=""),"Item price required for this amount type",IF(AND(OR($S492="ITEM_PRICE_PLUS_DECLARED_DELIVERY",$S492="DELIVERY_CHARGE_ONLY"),$K492=""),"Declared delivery charge required",IF(AND(OR($S492="TOTAL_AMOUNT_INCLUDING_DELIVERY",$S492="EXACT_COLLECTION_AMOUNT"),$T492=""),"Stated total amount required",IF(AND($S492="TOTAL_AMOUNT_INCLUDING_DELIVERY",$T492&lt;SUM($J492,$U492)),"Stated total is below item price plus additional charge",IF($S492="EXACT_COLLECTION_AMOUNT","Authorized amount breakdown required before settlement","Ready for collection and settlement"))))))))))))</f>
        <v/>
      </c>
      <c r="AW492" s="23">
        <f>IF($AU492="","","PARCEL_FINANCIAL_V2")</f>
        <v/>
      </c>
      <c r="AX492" s="17" t="n"/>
    </row>
    <row r="493">
      <c r="A493" s="8" t="n"/>
      <c r="B493" s="8" t="n"/>
      <c r="C493" s="8" t="n"/>
      <c r="D493" s="8" t="n"/>
      <c r="E493" s="9" t="n"/>
      <c r="F493" s="9" t="n"/>
      <c r="G493" s="8" t="n"/>
      <c r="H493" s="9" t="n"/>
      <c r="I493" s="9" t="n"/>
      <c r="J493" s="10" t="n"/>
      <c r="K493" s="10" t="n"/>
      <c r="L493" s="11">
        <f>IF($S493="","",IF($S493="ITEM_PRICE_PLUS_DECLARED_DELIVERY",IF(OR($J493="",$K493=""),"",SUM($J493,$K493,$U493)),IF($S493="TOTAL_AMOUNT_INCLUDING_DELIVERY",IF($T493="","",$T493),IF($S493="DELIVERY_CHARGE_ONLY",IF($K493="","",SUM($K493,$U493)),IF($S493="EXACT_COLLECTION_AMOUNT",IF($T493="","",$T493),IF($S493="ITEM_PRICE_ONLY_DELIVERY_PAID_BY_MERCHANT",IF($J493="","",SUM($J493,$U493)),""))))))</f>
        <v/>
      </c>
      <c r="M493" s="12" t="n"/>
      <c r="N493" s="13" t="n"/>
      <c r="O493" s="13" t="n"/>
      <c r="P493" s="9" t="n"/>
      <c r="Q493" s="14" t="n"/>
      <c r="R493" s="15" t="n"/>
      <c r="S493" s="14" t="n"/>
      <c r="T493" s="16" t="n"/>
      <c r="U493" s="16" t="n"/>
      <c r="V493" s="16" t="n"/>
      <c r="W493" s="16" t="n"/>
      <c r="X493" s="16" t="n"/>
      <c r="Y493" s="16" t="n"/>
      <c r="Z493" s="14" t="n"/>
      <c r="AA493" s="14" t="n"/>
      <c r="AB493" s="14" t="n"/>
      <c r="AC493" s="17">
        <f>IFERROR(VLOOKUP($H493&amp;"|"&amp;$Q493,Tariff_Master!$A$2:$L$169,3,FALSE),"")</f>
        <v/>
      </c>
      <c r="AD493" s="17">
        <f>IFERROR(VLOOKUP($H493&amp;"|"&amp;$Q493,Tariff_Master!$A$2:$L$169,4,FALSE),"")</f>
        <v/>
      </c>
      <c r="AE493" s="18">
        <f>IFERROR(VLOOKUP($H493&amp;"|"&amp;$Q493,Tariff_Master!$A$2:$L$169,6,FALSE),"")</f>
        <v/>
      </c>
      <c r="AF493" s="19">
        <f>IFERROR(VLOOKUP($H493&amp;"|"&amp;$Q493,Tariff_Master!$A$2:$L$169,7,FALSE),"")</f>
        <v/>
      </c>
      <c r="AG493" s="18">
        <f>IFERROR(VLOOKUP($H493&amp;"|"&amp;$Q493,Tariff_Master!$A$2:$L$169,8,FALSE),"")</f>
        <v/>
      </c>
      <c r="AH493" s="20">
        <f>IFERROR(VLOOKUP($H493&amp;"|"&amp;$Q493,Tariff_Master!$A$2:$L$169,9,FALSE),"")</f>
        <v/>
      </c>
      <c r="AI493" s="18">
        <f>IFERROR(VLOOKUP($H493&amp;"|"&amp;$Q493,Tariff_Master!$A$2:$L$169,10,FALSE),"")</f>
        <v/>
      </c>
      <c r="AJ493" s="21">
        <f>IF($M493="","",ROUNDUP(MAX(0,$M493),0))</f>
        <v/>
      </c>
      <c r="AK493" s="21">
        <f>IF(OR($AJ493="",$AF493=""),"",MAX(0,$AJ493-$AF493))</f>
        <v/>
      </c>
      <c r="AL493" s="22">
        <f>IF(OR($AK493="",$AG493=""),"",MAX(0,$AK493*$AG493))</f>
        <v/>
      </c>
      <c r="AM493" s="22">
        <f>IF($AE493="","",MAX(0,SUM($AE493,$AL493,$V493,$W493)))</f>
        <v/>
      </c>
      <c r="AN493" s="22">
        <f>IF($AM493="","",IF(AND($Q493="COMMITMENT",$R493&gt;=$AH493),$AI493,0))</f>
        <v/>
      </c>
      <c r="AO493" s="23">
        <f>IF($AM493="","",MAX(0,$AM493-$AN493))</f>
        <v/>
      </c>
      <c r="AP493" s="22">
        <f>IF($S493="","",IF(OR($S493="ITEM_PRICE_PLUS_DECLARED_DELIVERY",$S493="DELIVERY_CHARGE_ONLY"),$K493,IF($S493="TOTAL_AMOUNT_INCLUDING_DELIVERY",IF(OR($T493="",$J493=""),"",MAX(0,$T493-$J493-$U493)),IF($S493="ITEM_PRICE_ONLY_DELIVERY_PAID_BY_MERCHANT",0,""))))</f>
        <v/>
      </c>
      <c r="AQ493" s="23">
        <f>IF(OR($AP493="",$AO493=""),"",$AP493-$AO493)</f>
        <v/>
      </c>
      <c r="AR493" s="24">
        <f>IF($S493="EXACT_COLLECTION_AMOUNT","BREAKDOWN_REQUIRED",IF($AQ493="","",IF($AQ493&gt;0,"CREDIT_TO_MERCHANT",IF($AQ493&lt;0,"DEDUCT_FROM_MERCHANT","NO_ADJUSTMENT"))))</f>
        <v/>
      </c>
      <c r="AS493" s="23">
        <f>IF(OR($AQ493="",$AR493="BREAKDOWN_REQUIRED"),"",$AQ493)</f>
        <v/>
      </c>
      <c r="AT493" s="23">
        <f>IF(OR($AR493="",$AR493="BREAKDOWN_REQUIRED"),"",SUM($J493,$AQ493,$Y493)-$X493)</f>
        <v/>
      </c>
      <c r="AU493" s="25">
        <f>IF(AND($A493="",$B493="",$F493="",$H493="",$J493="",$K493="",$M493="",$S493=""),"",IF(OR($H493="",$Q493="",$M493="",$S493=""),"ERROR",IF(OR($J493&lt;0,$K493&lt;0,$M493&lt;0,$T493&lt;0,$U493&lt;0,$V493&lt;0,$W493&lt;0,$X493&lt;0,$Y493&lt;0),"ERROR",IF($AE493="","ERROR",IF(AND(OR($S493="ITEM_PRICE_PLUS_DECLARED_DELIVERY",$S493="TOTAL_AMOUNT_INCLUDING_DELIVERY",$S493="ITEM_PRICE_ONLY_DELIVERY_PAID_BY_MERCHANT"),$J493=""),"ERROR",IF(AND(OR($S493="ITEM_PRICE_PLUS_DECLARED_DELIVERY",$S493="DELIVERY_CHARGE_ONLY"),$K493=""),"ERROR",IF(AND(OR($S493="TOTAL_AMOUNT_INCLUDING_DELIVERY",$S493="EXACT_COLLECTION_AMOUNT"),$T493=""),"ERROR",IF(AND($S493="TOTAL_AMOUNT_INCLUDING_DELIVERY",$T493&lt;SUM($J493,$U493)),"ERROR",IF($S493="EXACT_COLLECTION_AMOUNT","REVIEW","OK")))))))))</f>
        <v/>
      </c>
      <c r="AV493" s="25">
        <f>IF($AU493="","",IF($H493="","Township required",IF($Q493="","Customer tier required",IF($M493="","Weight required",IF($S493="","Amount entry type required",IF(OR($J493&lt;0,$K493&lt;0,$M493&lt;0,$T493&lt;0,$U493&lt;0,$V493&lt;0,$W493&lt;0,$X493&lt;0,$Y493&lt;0),"Negative amounts are not allowed",IF($AE493="","Tariff not found for township and tier",IF(AND(OR($S493="ITEM_PRICE_PLUS_DECLARED_DELIVERY",$S493="TOTAL_AMOUNT_INCLUDING_DELIVERY",$S493="ITEM_PRICE_ONLY_DELIVERY_PAID_BY_MERCHANT"),$J493=""),"Item price required for this amount type",IF(AND(OR($S493="ITEM_PRICE_PLUS_DECLARED_DELIVERY",$S493="DELIVERY_CHARGE_ONLY"),$K493=""),"Declared delivery charge required",IF(AND(OR($S493="TOTAL_AMOUNT_INCLUDING_DELIVERY",$S493="EXACT_COLLECTION_AMOUNT"),$T493=""),"Stated total amount required",IF(AND($S493="TOTAL_AMOUNT_INCLUDING_DELIVERY",$T493&lt;SUM($J493,$U493)),"Stated total is below item price plus additional charge",IF($S493="EXACT_COLLECTION_AMOUNT","Authorized amount breakdown required before settlement","Ready for collection and settlement"))))))))))))</f>
        <v/>
      </c>
      <c r="AW493" s="23">
        <f>IF($AU493="","","PARCEL_FINANCIAL_V2")</f>
        <v/>
      </c>
      <c r="AX493" s="17" t="n"/>
    </row>
    <row r="494">
      <c r="A494" s="8" t="n"/>
      <c r="B494" s="8" t="n"/>
      <c r="C494" s="8" t="n"/>
      <c r="D494" s="8" t="n"/>
      <c r="E494" s="9" t="n"/>
      <c r="F494" s="9" t="n"/>
      <c r="G494" s="8" t="n"/>
      <c r="H494" s="9" t="n"/>
      <c r="I494" s="9" t="n"/>
      <c r="J494" s="10" t="n"/>
      <c r="K494" s="10" t="n"/>
      <c r="L494" s="11">
        <f>IF($S494="","",IF($S494="ITEM_PRICE_PLUS_DECLARED_DELIVERY",IF(OR($J494="",$K494=""),"",SUM($J494,$K494,$U494)),IF($S494="TOTAL_AMOUNT_INCLUDING_DELIVERY",IF($T494="","",$T494),IF($S494="DELIVERY_CHARGE_ONLY",IF($K494="","",SUM($K494,$U494)),IF($S494="EXACT_COLLECTION_AMOUNT",IF($T494="","",$T494),IF($S494="ITEM_PRICE_ONLY_DELIVERY_PAID_BY_MERCHANT",IF($J494="","",SUM($J494,$U494)),""))))))</f>
        <v/>
      </c>
      <c r="M494" s="12" t="n"/>
      <c r="N494" s="13" t="n"/>
      <c r="O494" s="13" t="n"/>
      <c r="P494" s="9" t="n"/>
      <c r="Q494" s="14" t="n"/>
      <c r="R494" s="15" t="n"/>
      <c r="S494" s="14" t="n"/>
      <c r="T494" s="16" t="n"/>
      <c r="U494" s="16" t="n"/>
      <c r="V494" s="16" t="n"/>
      <c r="W494" s="16" t="n"/>
      <c r="X494" s="16" t="n"/>
      <c r="Y494" s="16" t="n"/>
      <c r="Z494" s="14" t="n"/>
      <c r="AA494" s="14" t="n"/>
      <c r="AB494" s="14" t="n"/>
      <c r="AC494" s="17">
        <f>IFERROR(VLOOKUP($H494&amp;"|"&amp;$Q494,Tariff_Master!$A$2:$L$169,3,FALSE),"")</f>
        <v/>
      </c>
      <c r="AD494" s="17">
        <f>IFERROR(VLOOKUP($H494&amp;"|"&amp;$Q494,Tariff_Master!$A$2:$L$169,4,FALSE),"")</f>
        <v/>
      </c>
      <c r="AE494" s="18">
        <f>IFERROR(VLOOKUP($H494&amp;"|"&amp;$Q494,Tariff_Master!$A$2:$L$169,6,FALSE),"")</f>
        <v/>
      </c>
      <c r="AF494" s="19">
        <f>IFERROR(VLOOKUP($H494&amp;"|"&amp;$Q494,Tariff_Master!$A$2:$L$169,7,FALSE),"")</f>
        <v/>
      </c>
      <c r="AG494" s="18">
        <f>IFERROR(VLOOKUP($H494&amp;"|"&amp;$Q494,Tariff_Master!$A$2:$L$169,8,FALSE),"")</f>
        <v/>
      </c>
      <c r="AH494" s="20">
        <f>IFERROR(VLOOKUP($H494&amp;"|"&amp;$Q494,Tariff_Master!$A$2:$L$169,9,FALSE),"")</f>
        <v/>
      </c>
      <c r="AI494" s="18">
        <f>IFERROR(VLOOKUP($H494&amp;"|"&amp;$Q494,Tariff_Master!$A$2:$L$169,10,FALSE),"")</f>
        <v/>
      </c>
      <c r="AJ494" s="21">
        <f>IF($M494="","",ROUNDUP(MAX(0,$M494),0))</f>
        <v/>
      </c>
      <c r="AK494" s="21">
        <f>IF(OR($AJ494="",$AF494=""),"",MAX(0,$AJ494-$AF494))</f>
        <v/>
      </c>
      <c r="AL494" s="22">
        <f>IF(OR($AK494="",$AG494=""),"",MAX(0,$AK494*$AG494))</f>
        <v/>
      </c>
      <c r="AM494" s="22">
        <f>IF($AE494="","",MAX(0,SUM($AE494,$AL494,$V494,$W494)))</f>
        <v/>
      </c>
      <c r="AN494" s="22">
        <f>IF($AM494="","",IF(AND($Q494="COMMITMENT",$R494&gt;=$AH494),$AI494,0))</f>
        <v/>
      </c>
      <c r="AO494" s="23">
        <f>IF($AM494="","",MAX(0,$AM494-$AN494))</f>
        <v/>
      </c>
      <c r="AP494" s="22">
        <f>IF($S494="","",IF(OR($S494="ITEM_PRICE_PLUS_DECLARED_DELIVERY",$S494="DELIVERY_CHARGE_ONLY"),$K494,IF($S494="TOTAL_AMOUNT_INCLUDING_DELIVERY",IF(OR($T494="",$J494=""),"",MAX(0,$T494-$J494-$U494)),IF($S494="ITEM_PRICE_ONLY_DELIVERY_PAID_BY_MERCHANT",0,""))))</f>
        <v/>
      </c>
      <c r="AQ494" s="23">
        <f>IF(OR($AP494="",$AO494=""),"",$AP494-$AO494)</f>
        <v/>
      </c>
      <c r="AR494" s="24">
        <f>IF($S494="EXACT_COLLECTION_AMOUNT","BREAKDOWN_REQUIRED",IF($AQ494="","",IF($AQ494&gt;0,"CREDIT_TO_MERCHANT",IF($AQ494&lt;0,"DEDUCT_FROM_MERCHANT","NO_ADJUSTMENT"))))</f>
        <v/>
      </c>
      <c r="AS494" s="23">
        <f>IF(OR($AQ494="",$AR494="BREAKDOWN_REQUIRED"),"",$AQ494)</f>
        <v/>
      </c>
      <c r="AT494" s="23">
        <f>IF(OR($AR494="",$AR494="BREAKDOWN_REQUIRED"),"",SUM($J494,$AQ494,$Y494)-$X494)</f>
        <v/>
      </c>
      <c r="AU494" s="25">
        <f>IF(AND($A494="",$B494="",$F494="",$H494="",$J494="",$K494="",$M494="",$S494=""),"",IF(OR($H494="",$Q494="",$M494="",$S494=""),"ERROR",IF(OR($J494&lt;0,$K494&lt;0,$M494&lt;0,$T494&lt;0,$U494&lt;0,$V494&lt;0,$W494&lt;0,$X494&lt;0,$Y494&lt;0),"ERROR",IF($AE494="","ERROR",IF(AND(OR($S494="ITEM_PRICE_PLUS_DECLARED_DELIVERY",$S494="TOTAL_AMOUNT_INCLUDING_DELIVERY",$S494="ITEM_PRICE_ONLY_DELIVERY_PAID_BY_MERCHANT"),$J494=""),"ERROR",IF(AND(OR($S494="ITEM_PRICE_PLUS_DECLARED_DELIVERY",$S494="DELIVERY_CHARGE_ONLY"),$K494=""),"ERROR",IF(AND(OR($S494="TOTAL_AMOUNT_INCLUDING_DELIVERY",$S494="EXACT_COLLECTION_AMOUNT"),$T494=""),"ERROR",IF(AND($S494="TOTAL_AMOUNT_INCLUDING_DELIVERY",$T494&lt;SUM($J494,$U494)),"ERROR",IF($S494="EXACT_COLLECTION_AMOUNT","REVIEW","OK")))))))))</f>
        <v/>
      </c>
      <c r="AV494" s="25">
        <f>IF($AU494="","",IF($H494="","Township required",IF($Q494="","Customer tier required",IF($M494="","Weight required",IF($S494="","Amount entry type required",IF(OR($J494&lt;0,$K494&lt;0,$M494&lt;0,$T494&lt;0,$U494&lt;0,$V494&lt;0,$W494&lt;0,$X494&lt;0,$Y494&lt;0),"Negative amounts are not allowed",IF($AE494="","Tariff not found for township and tier",IF(AND(OR($S494="ITEM_PRICE_PLUS_DECLARED_DELIVERY",$S494="TOTAL_AMOUNT_INCLUDING_DELIVERY",$S494="ITEM_PRICE_ONLY_DELIVERY_PAID_BY_MERCHANT"),$J494=""),"Item price required for this amount type",IF(AND(OR($S494="ITEM_PRICE_PLUS_DECLARED_DELIVERY",$S494="DELIVERY_CHARGE_ONLY"),$K494=""),"Declared delivery charge required",IF(AND(OR($S494="TOTAL_AMOUNT_INCLUDING_DELIVERY",$S494="EXACT_COLLECTION_AMOUNT"),$T494=""),"Stated total amount required",IF(AND($S494="TOTAL_AMOUNT_INCLUDING_DELIVERY",$T494&lt;SUM($J494,$U494)),"Stated total is below item price plus additional charge",IF($S494="EXACT_COLLECTION_AMOUNT","Authorized amount breakdown required before settlement","Ready for collection and settlement"))))))))))))</f>
        <v/>
      </c>
      <c r="AW494" s="23">
        <f>IF($AU494="","","PARCEL_FINANCIAL_V2")</f>
        <v/>
      </c>
      <c r="AX494" s="17" t="n"/>
    </row>
    <row r="495">
      <c r="A495" s="8" t="n"/>
      <c r="B495" s="8" t="n"/>
      <c r="C495" s="8" t="n"/>
      <c r="D495" s="8" t="n"/>
      <c r="E495" s="9" t="n"/>
      <c r="F495" s="9" t="n"/>
      <c r="G495" s="8" t="n"/>
      <c r="H495" s="9" t="n"/>
      <c r="I495" s="9" t="n"/>
      <c r="J495" s="10" t="n"/>
      <c r="K495" s="10" t="n"/>
      <c r="L495" s="11">
        <f>IF($S495="","",IF($S495="ITEM_PRICE_PLUS_DECLARED_DELIVERY",IF(OR($J495="",$K495=""),"",SUM($J495,$K495,$U495)),IF($S495="TOTAL_AMOUNT_INCLUDING_DELIVERY",IF($T495="","",$T495),IF($S495="DELIVERY_CHARGE_ONLY",IF($K495="","",SUM($K495,$U495)),IF($S495="EXACT_COLLECTION_AMOUNT",IF($T495="","",$T495),IF($S495="ITEM_PRICE_ONLY_DELIVERY_PAID_BY_MERCHANT",IF($J495="","",SUM($J495,$U495)),""))))))</f>
        <v/>
      </c>
      <c r="M495" s="12" t="n"/>
      <c r="N495" s="13" t="n"/>
      <c r="O495" s="13" t="n"/>
      <c r="P495" s="9" t="n"/>
      <c r="Q495" s="14" t="n"/>
      <c r="R495" s="15" t="n"/>
      <c r="S495" s="14" t="n"/>
      <c r="T495" s="16" t="n"/>
      <c r="U495" s="16" t="n"/>
      <c r="V495" s="16" t="n"/>
      <c r="W495" s="16" t="n"/>
      <c r="X495" s="16" t="n"/>
      <c r="Y495" s="16" t="n"/>
      <c r="Z495" s="14" t="n"/>
      <c r="AA495" s="14" t="n"/>
      <c r="AB495" s="14" t="n"/>
      <c r="AC495" s="17">
        <f>IFERROR(VLOOKUP($H495&amp;"|"&amp;$Q495,Tariff_Master!$A$2:$L$169,3,FALSE),"")</f>
        <v/>
      </c>
      <c r="AD495" s="17">
        <f>IFERROR(VLOOKUP($H495&amp;"|"&amp;$Q495,Tariff_Master!$A$2:$L$169,4,FALSE),"")</f>
        <v/>
      </c>
      <c r="AE495" s="18">
        <f>IFERROR(VLOOKUP($H495&amp;"|"&amp;$Q495,Tariff_Master!$A$2:$L$169,6,FALSE),"")</f>
        <v/>
      </c>
      <c r="AF495" s="19">
        <f>IFERROR(VLOOKUP($H495&amp;"|"&amp;$Q495,Tariff_Master!$A$2:$L$169,7,FALSE),"")</f>
        <v/>
      </c>
      <c r="AG495" s="18">
        <f>IFERROR(VLOOKUP($H495&amp;"|"&amp;$Q495,Tariff_Master!$A$2:$L$169,8,FALSE),"")</f>
        <v/>
      </c>
      <c r="AH495" s="20">
        <f>IFERROR(VLOOKUP($H495&amp;"|"&amp;$Q495,Tariff_Master!$A$2:$L$169,9,FALSE),"")</f>
        <v/>
      </c>
      <c r="AI495" s="18">
        <f>IFERROR(VLOOKUP($H495&amp;"|"&amp;$Q495,Tariff_Master!$A$2:$L$169,10,FALSE),"")</f>
        <v/>
      </c>
      <c r="AJ495" s="21">
        <f>IF($M495="","",ROUNDUP(MAX(0,$M495),0))</f>
        <v/>
      </c>
      <c r="AK495" s="21">
        <f>IF(OR($AJ495="",$AF495=""),"",MAX(0,$AJ495-$AF495))</f>
        <v/>
      </c>
      <c r="AL495" s="22">
        <f>IF(OR($AK495="",$AG495=""),"",MAX(0,$AK495*$AG495))</f>
        <v/>
      </c>
      <c r="AM495" s="22">
        <f>IF($AE495="","",MAX(0,SUM($AE495,$AL495,$V495,$W495)))</f>
        <v/>
      </c>
      <c r="AN495" s="22">
        <f>IF($AM495="","",IF(AND($Q495="COMMITMENT",$R495&gt;=$AH495),$AI495,0))</f>
        <v/>
      </c>
      <c r="AO495" s="23">
        <f>IF($AM495="","",MAX(0,$AM495-$AN495))</f>
        <v/>
      </c>
      <c r="AP495" s="22">
        <f>IF($S495="","",IF(OR($S495="ITEM_PRICE_PLUS_DECLARED_DELIVERY",$S495="DELIVERY_CHARGE_ONLY"),$K495,IF($S495="TOTAL_AMOUNT_INCLUDING_DELIVERY",IF(OR($T495="",$J495=""),"",MAX(0,$T495-$J495-$U495)),IF($S495="ITEM_PRICE_ONLY_DELIVERY_PAID_BY_MERCHANT",0,""))))</f>
        <v/>
      </c>
      <c r="AQ495" s="23">
        <f>IF(OR($AP495="",$AO495=""),"",$AP495-$AO495)</f>
        <v/>
      </c>
      <c r="AR495" s="24">
        <f>IF($S495="EXACT_COLLECTION_AMOUNT","BREAKDOWN_REQUIRED",IF($AQ495="","",IF($AQ495&gt;0,"CREDIT_TO_MERCHANT",IF($AQ495&lt;0,"DEDUCT_FROM_MERCHANT","NO_ADJUSTMENT"))))</f>
        <v/>
      </c>
      <c r="AS495" s="23">
        <f>IF(OR($AQ495="",$AR495="BREAKDOWN_REQUIRED"),"",$AQ495)</f>
        <v/>
      </c>
      <c r="AT495" s="23">
        <f>IF(OR($AR495="",$AR495="BREAKDOWN_REQUIRED"),"",SUM($J495,$AQ495,$Y495)-$X495)</f>
        <v/>
      </c>
      <c r="AU495" s="25">
        <f>IF(AND($A495="",$B495="",$F495="",$H495="",$J495="",$K495="",$M495="",$S495=""),"",IF(OR($H495="",$Q495="",$M495="",$S495=""),"ERROR",IF(OR($J495&lt;0,$K495&lt;0,$M495&lt;0,$T495&lt;0,$U495&lt;0,$V495&lt;0,$W495&lt;0,$X495&lt;0,$Y495&lt;0),"ERROR",IF($AE495="","ERROR",IF(AND(OR($S495="ITEM_PRICE_PLUS_DECLARED_DELIVERY",$S495="TOTAL_AMOUNT_INCLUDING_DELIVERY",$S495="ITEM_PRICE_ONLY_DELIVERY_PAID_BY_MERCHANT"),$J495=""),"ERROR",IF(AND(OR($S495="ITEM_PRICE_PLUS_DECLARED_DELIVERY",$S495="DELIVERY_CHARGE_ONLY"),$K495=""),"ERROR",IF(AND(OR($S495="TOTAL_AMOUNT_INCLUDING_DELIVERY",$S495="EXACT_COLLECTION_AMOUNT"),$T495=""),"ERROR",IF(AND($S495="TOTAL_AMOUNT_INCLUDING_DELIVERY",$T495&lt;SUM($J495,$U495)),"ERROR",IF($S495="EXACT_COLLECTION_AMOUNT","REVIEW","OK")))))))))</f>
        <v/>
      </c>
      <c r="AV495" s="25">
        <f>IF($AU495="","",IF($H495="","Township required",IF($Q495="","Customer tier required",IF($M495="","Weight required",IF($S495="","Amount entry type required",IF(OR($J495&lt;0,$K495&lt;0,$M495&lt;0,$T495&lt;0,$U495&lt;0,$V495&lt;0,$W495&lt;0,$X495&lt;0,$Y495&lt;0),"Negative amounts are not allowed",IF($AE495="","Tariff not found for township and tier",IF(AND(OR($S495="ITEM_PRICE_PLUS_DECLARED_DELIVERY",$S495="TOTAL_AMOUNT_INCLUDING_DELIVERY",$S495="ITEM_PRICE_ONLY_DELIVERY_PAID_BY_MERCHANT"),$J495=""),"Item price required for this amount type",IF(AND(OR($S495="ITEM_PRICE_PLUS_DECLARED_DELIVERY",$S495="DELIVERY_CHARGE_ONLY"),$K495=""),"Declared delivery charge required",IF(AND(OR($S495="TOTAL_AMOUNT_INCLUDING_DELIVERY",$S495="EXACT_COLLECTION_AMOUNT"),$T495=""),"Stated total amount required",IF(AND($S495="TOTAL_AMOUNT_INCLUDING_DELIVERY",$T495&lt;SUM($J495,$U495)),"Stated total is below item price plus additional charge",IF($S495="EXACT_COLLECTION_AMOUNT","Authorized amount breakdown required before settlement","Ready for collection and settlement"))))))))))))</f>
        <v/>
      </c>
      <c r="AW495" s="23">
        <f>IF($AU495="","","PARCEL_FINANCIAL_V2")</f>
        <v/>
      </c>
      <c r="AX495" s="17" t="n"/>
    </row>
    <row r="496">
      <c r="A496" s="8" t="n"/>
      <c r="B496" s="8" t="n"/>
      <c r="C496" s="8" t="n"/>
      <c r="D496" s="8" t="n"/>
      <c r="E496" s="9" t="n"/>
      <c r="F496" s="9" t="n"/>
      <c r="G496" s="8" t="n"/>
      <c r="H496" s="9" t="n"/>
      <c r="I496" s="9" t="n"/>
      <c r="J496" s="10" t="n"/>
      <c r="K496" s="10" t="n"/>
      <c r="L496" s="11">
        <f>IF($S496="","",IF($S496="ITEM_PRICE_PLUS_DECLARED_DELIVERY",IF(OR($J496="",$K496=""),"",SUM($J496,$K496,$U496)),IF($S496="TOTAL_AMOUNT_INCLUDING_DELIVERY",IF($T496="","",$T496),IF($S496="DELIVERY_CHARGE_ONLY",IF($K496="","",SUM($K496,$U496)),IF($S496="EXACT_COLLECTION_AMOUNT",IF($T496="","",$T496),IF($S496="ITEM_PRICE_ONLY_DELIVERY_PAID_BY_MERCHANT",IF($J496="","",SUM($J496,$U496)),""))))))</f>
        <v/>
      </c>
      <c r="M496" s="12" t="n"/>
      <c r="N496" s="13" t="n"/>
      <c r="O496" s="13" t="n"/>
      <c r="P496" s="9" t="n"/>
      <c r="Q496" s="14" t="n"/>
      <c r="R496" s="15" t="n"/>
      <c r="S496" s="14" t="n"/>
      <c r="T496" s="16" t="n"/>
      <c r="U496" s="16" t="n"/>
      <c r="V496" s="16" t="n"/>
      <c r="W496" s="16" t="n"/>
      <c r="X496" s="16" t="n"/>
      <c r="Y496" s="16" t="n"/>
      <c r="Z496" s="14" t="n"/>
      <c r="AA496" s="14" t="n"/>
      <c r="AB496" s="14" t="n"/>
      <c r="AC496" s="17">
        <f>IFERROR(VLOOKUP($H496&amp;"|"&amp;$Q496,Tariff_Master!$A$2:$L$169,3,FALSE),"")</f>
        <v/>
      </c>
      <c r="AD496" s="17">
        <f>IFERROR(VLOOKUP($H496&amp;"|"&amp;$Q496,Tariff_Master!$A$2:$L$169,4,FALSE),"")</f>
        <v/>
      </c>
      <c r="AE496" s="18">
        <f>IFERROR(VLOOKUP($H496&amp;"|"&amp;$Q496,Tariff_Master!$A$2:$L$169,6,FALSE),"")</f>
        <v/>
      </c>
      <c r="AF496" s="19">
        <f>IFERROR(VLOOKUP($H496&amp;"|"&amp;$Q496,Tariff_Master!$A$2:$L$169,7,FALSE),"")</f>
        <v/>
      </c>
      <c r="AG496" s="18">
        <f>IFERROR(VLOOKUP($H496&amp;"|"&amp;$Q496,Tariff_Master!$A$2:$L$169,8,FALSE),"")</f>
        <v/>
      </c>
      <c r="AH496" s="20">
        <f>IFERROR(VLOOKUP($H496&amp;"|"&amp;$Q496,Tariff_Master!$A$2:$L$169,9,FALSE),"")</f>
        <v/>
      </c>
      <c r="AI496" s="18">
        <f>IFERROR(VLOOKUP($H496&amp;"|"&amp;$Q496,Tariff_Master!$A$2:$L$169,10,FALSE),"")</f>
        <v/>
      </c>
      <c r="AJ496" s="21">
        <f>IF($M496="","",ROUNDUP(MAX(0,$M496),0))</f>
        <v/>
      </c>
      <c r="AK496" s="21">
        <f>IF(OR($AJ496="",$AF496=""),"",MAX(0,$AJ496-$AF496))</f>
        <v/>
      </c>
      <c r="AL496" s="22">
        <f>IF(OR($AK496="",$AG496=""),"",MAX(0,$AK496*$AG496))</f>
        <v/>
      </c>
      <c r="AM496" s="22">
        <f>IF($AE496="","",MAX(0,SUM($AE496,$AL496,$V496,$W496)))</f>
        <v/>
      </c>
      <c r="AN496" s="22">
        <f>IF($AM496="","",IF(AND($Q496="COMMITMENT",$R496&gt;=$AH496),$AI496,0))</f>
        <v/>
      </c>
      <c r="AO496" s="23">
        <f>IF($AM496="","",MAX(0,$AM496-$AN496))</f>
        <v/>
      </c>
      <c r="AP496" s="22">
        <f>IF($S496="","",IF(OR($S496="ITEM_PRICE_PLUS_DECLARED_DELIVERY",$S496="DELIVERY_CHARGE_ONLY"),$K496,IF($S496="TOTAL_AMOUNT_INCLUDING_DELIVERY",IF(OR($T496="",$J496=""),"",MAX(0,$T496-$J496-$U496)),IF($S496="ITEM_PRICE_ONLY_DELIVERY_PAID_BY_MERCHANT",0,""))))</f>
        <v/>
      </c>
      <c r="AQ496" s="23">
        <f>IF(OR($AP496="",$AO496=""),"",$AP496-$AO496)</f>
        <v/>
      </c>
      <c r="AR496" s="24">
        <f>IF($S496="EXACT_COLLECTION_AMOUNT","BREAKDOWN_REQUIRED",IF($AQ496="","",IF($AQ496&gt;0,"CREDIT_TO_MERCHANT",IF($AQ496&lt;0,"DEDUCT_FROM_MERCHANT","NO_ADJUSTMENT"))))</f>
        <v/>
      </c>
      <c r="AS496" s="23">
        <f>IF(OR($AQ496="",$AR496="BREAKDOWN_REQUIRED"),"",$AQ496)</f>
        <v/>
      </c>
      <c r="AT496" s="23">
        <f>IF(OR($AR496="",$AR496="BREAKDOWN_REQUIRED"),"",SUM($J496,$AQ496,$Y496)-$X496)</f>
        <v/>
      </c>
      <c r="AU496" s="25">
        <f>IF(AND($A496="",$B496="",$F496="",$H496="",$J496="",$K496="",$M496="",$S496=""),"",IF(OR($H496="",$Q496="",$M496="",$S496=""),"ERROR",IF(OR($J496&lt;0,$K496&lt;0,$M496&lt;0,$T496&lt;0,$U496&lt;0,$V496&lt;0,$W496&lt;0,$X496&lt;0,$Y496&lt;0),"ERROR",IF($AE496="","ERROR",IF(AND(OR($S496="ITEM_PRICE_PLUS_DECLARED_DELIVERY",$S496="TOTAL_AMOUNT_INCLUDING_DELIVERY",$S496="ITEM_PRICE_ONLY_DELIVERY_PAID_BY_MERCHANT"),$J496=""),"ERROR",IF(AND(OR($S496="ITEM_PRICE_PLUS_DECLARED_DELIVERY",$S496="DELIVERY_CHARGE_ONLY"),$K496=""),"ERROR",IF(AND(OR($S496="TOTAL_AMOUNT_INCLUDING_DELIVERY",$S496="EXACT_COLLECTION_AMOUNT"),$T496=""),"ERROR",IF(AND($S496="TOTAL_AMOUNT_INCLUDING_DELIVERY",$T496&lt;SUM($J496,$U496)),"ERROR",IF($S496="EXACT_COLLECTION_AMOUNT","REVIEW","OK")))))))))</f>
        <v/>
      </c>
      <c r="AV496" s="25">
        <f>IF($AU496="","",IF($H496="","Township required",IF($Q496="","Customer tier required",IF($M496="","Weight required",IF($S496="","Amount entry type required",IF(OR($J496&lt;0,$K496&lt;0,$M496&lt;0,$T496&lt;0,$U496&lt;0,$V496&lt;0,$W496&lt;0,$X496&lt;0,$Y496&lt;0),"Negative amounts are not allowed",IF($AE496="","Tariff not found for township and tier",IF(AND(OR($S496="ITEM_PRICE_PLUS_DECLARED_DELIVERY",$S496="TOTAL_AMOUNT_INCLUDING_DELIVERY",$S496="ITEM_PRICE_ONLY_DELIVERY_PAID_BY_MERCHANT"),$J496=""),"Item price required for this amount type",IF(AND(OR($S496="ITEM_PRICE_PLUS_DECLARED_DELIVERY",$S496="DELIVERY_CHARGE_ONLY"),$K496=""),"Declared delivery charge required",IF(AND(OR($S496="TOTAL_AMOUNT_INCLUDING_DELIVERY",$S496="EXACT_COLLECTION_AMOUNT"),$T496=""),"Stated total amount required",IF(AND($S496="TOTAL_AMOUNT_INCLUDING_DELIVERY",$T496&lt;SUM($J496,$U496)),"Stated total is below item price plus additional charge",IF($S496="EXACT_COLLECTION_AMOUNT","Authorized amount breakdown required before settlement","Ready for collection and settlement"))))))))))))</f>
        <v/>
      </c>
      <c r="AW496" s="23">
        <f>IF($AU496="","","PARCEL_FINANCIAL_V2")</f>
        <v/>
      </c>
      <c r="AX496" s="17" t="n"/>
    </row>
    <row r="497">
      <c r="A497" s="8" t="n"/>
      <c r="B497" s="8" t="n"/>
      <c r="C497" s="8" t="n"/>
      <c r="D497" s="8" t="n"/>
      <c r="E497" s="9" t="n"/>
      <c r="F497" s="9" t="n"/>
      <c r="G497" s="8" t="n"/>
      <c r="H497" s="9" t="n"/>
      <c r="I497" s="9" t="n"/>
      <c r="J497" s="10" t="n"/>
      <c r="K497" s="10" t="n"/>
      <c r="L497" s="11">
        <f>IF($S497="","",IF($S497="ITEM_PRICE_PLUS_DECLARED_DELIVERY",IF(OR($J497="",$K497=""),"",SUM($J497,$K497,$U497)),IF($S497="TOTAL_AMOUNT_INCLUDING_DELIVERY",IF($T497="","",$T497),IF($S497="DELIVERY_CHARGE_ONLY",IF($K497="","",SUM($K497,$U497)),IF($S497="EXACT_COLLECTION_AMOUNT",IF($T497="","",$T497),IF($S497="ITEM_PRICE_ONLY_DELIVERY_PAID_BY_MERCHANT",IF($J497="","",SUM($J497,$U497)),""))))))</f>
        <v/>
      </c>
      <c r="M497" s="12" t="n"/>
      <c r="N497" s="13" t="n"/>
      <c r="O497" s="13" t="n"/>
      <c r="P497" s="9" t="n"/>
      <c r="Q497" s="14" t="n"/>
      <c r="R497" s="15" t="n"/>
      <c r="S497" s="14" t="n"/>
      <c r="T497" s="16" t="n"/>
      <c r="U497" s="16" t="n"/>
      <c r="V497" s="16" t="n"/>
      <c r="W497" s="16" t="n"/>
      <c r="X497" s="16" t="n"/>
      <c r="Y497" s="16" t="n"/>
      <c r="Z497" s="14" t="n"/>
      <c r="AA497" s="14" t="n"/>
      <c r="AB497" s="14" t="n"/>
      <c r="AC497" s="17">
        <f>IFERROR(VLOOKUP($H497&amp;"|"&amp;$Q497,Tariff_Master!$A$2:$L$169,3,FALSE),"")</f>
        <v/>
      </c>
      <c r="AD497" s="17">
        <f>IFERROR(VLOOKUP($H497&amp;"|"&amp;$Q497,Tariff_Master!$A$2:$L$169,4,FALSE),"")</f>
        <v/>
      </c>
      <c r="AE497" s="18">
        <f>IFERROR(VLOOKUP($H497&amp;"|"&amp;$Q497,Tariff_Master!$A$2:$L$169,6,FALSE),"")</f>
        <v/>
      </c>
      <c r="AF497" s="19">
        <f>IFERROR(VLOOKUP($H497&amp;"|"&amp;$Q497,Tariff_Master!$A$2:$L$169,7,FALSE),"")</f>
        <v/>
      </c>
      <c r="AG497" s="18">
        <f>IFERROR(VLOOKUP($H497&amp;"|"&amp;$Q497,Tariff_Master!$A$2:$L$169,8,FALSE),"")</f>
        <v/>
      </c>
      <c r="AH497" s="20">
        <f>IFERROR(VLOOKUP($H497&amp;"|"&amp;$Q497,Tariff_Master!$A$2:$L$169,9,FALSE),"")</f>
        <v/>
      </c>
      <c r="AI497" s="18">
        <f>IFERROR(VLOOKUP($H497&amp;"|"&amp;$Q497,Tariff_Master!$A$2:$L$169,10,FALSE),"")</f>
        <v/>
      </c>
      <c r="AJ497" s="21">
        <f>IF($M497="","",ROUNDUP(MAX(0,$M497),0))</f>
        <v/>
      </c>
      <c r="AK497" s="21">
        <f>IF(OR($AJ497="",$AF497=""),"",MAX(0,$AJ497-$AF497))</f>
        <v/>
      </c>
      <c r="AL497" s="22">
        <f>IF(OR($AK497="",$AG497=""),"",MAX(0,$AK497*$AG497))</f>
        <v/>
      </c>
      <c r="AM497" s="22">
        <f>IF($AE497="","",MAX(0,SUM($AE497,$AL497,$V497,$W497)))</f>
        <v/>
      </c>
      <c r="AN497" s="22">
        <f>IF($AM497="","",IF(AND($Q497="COMMITMENT",$R497&gt;=$AH497),$AI497,0))</f>
        <v/>
      </c>
      <c r="AO497" s="23">
        <f>IF($AM497="","",MAX(0,$AM497-$AN497))</f>
        <v/>
      </c>
      <c r="AP497" s="22">
        <f>IF($S497="","",IF(OR($S497="ITEM_PRICE_PLUS_DECLARED_DELIVERY",$S497="DELIVERY_CHARGE_ONLY"),$K497,IF($S497="TOTAL_AMOUNT_INCLUDING_DELIVERY",IF(OR($T497="",$J497=""),"",MAX(0,$T497-$J497-$U497)),IF($S497="ITEM_PRICE_ONLY_DELIVERY_PAID_BY_MERCHANT",0,""))))</f>
        <v/>
      </c>
      <c r="AQ497" s="23">
        <f>IF(OR($AP497="",$AO497=""),"",$AP497-$AO497)</f>
        <v/>
      </c>
      <c r="AR497" s="24">
        <f>IF($S497="EXACT_COLLECTION_AMOUNT","BREAKDOWN_REQUIRED",IF($AQ497="","",IF($AQ497&gt;0,"CREDIT_TO_MERCHANT",IF($AQ497&lt;0,"DEDUCT_FROM_MERCHANT","NO_ADJUSTMENT"))))</f>
        <v/>
      </c>
      <c r="AS497" s="23">
        <f>IF(OR($AQ497="",$AR497="BREAKDOWN_REQUIRED"),"",$AQ497)</f>
        <v/>
      </c>
      <c r="AT497" s="23">
        <f>IF(OR($AR497="",$AR497="BREAKDOWN_REQUIRED"),"",SUM($J497,$AQ497,$Y497)-$X497)</f>
        <v/>
      </c>
      <c r="AU497" s="25">
        <f>IF(AND($A497="",$B497="",$F497="",$H497="",$J497="",$K497="",$M497="",$S497=""),"",IF(OR($H497="",$Q497="",$M497="",$S497=""),"ERROR",IF(OR($J497&lt;0,$K497&lt;0,$M497&lt;0,$T497&lt;0,$U497&lt;0,$V497&lt;0,$W497&lt;0,$X497&lt;0,$Y497&lt;0),"ERROR",IF($AE497="","ERROR",IF(AND(OR($S497="ITEM_PRICE_PLUS_DECLARED_DELIVERY",$S497="TOTAL_AMOUNT_INCLUDING_DELIVERY",$S497="ITEM_PRICE_ONLY_DELIVERY_PAID_BY_MERCHANT"),$J497=""),"ERROR",IF(AND(OR($S497="ITEM_PRICE_PLUS_DECLARED_DELIVERY",$S497="DELIVERY_CHARGE_ONLY"),$K497=""),"ERROR",IF(AND(OR($S497="TOTAL_AMOUNT_INCLUDING_DELIVERY",$S497="EXACT_COLLECTION_AMOUNT"),$T497=""),"ERROR",IF(AND($S497="TOTAL_AMOUNT_INCLUDING_DELIVERY",$T497&lt;SUM($J497,$U497)),"ERROR",IF($S497="EXACT_COLLECTION_AMOUNT","REVIEW","OK")))))))))</f>
        <v/>
      </c>
      <c r="AV497" s="25">
        <f>IF($AU497="","",IF($H497="","Township required",IF($Q497="","Customer tier required",IF($M497="","Weight required",IF($S497="","Amount entry type required",IF(OR($J497&lt;0,$K497&lt;0,$M497&lt;0,$T497&lt;0,$U497&lt;0,$V497&lt;0,$W497&lt;0,$X497&lt;0,$Y497&lt;0),"Negative amounts are not allowed",IF($AE497="","Tariff not found for township and tier",IF(AND(OR($S497="ITEM_PRICE_PLUS_DECLARED_DELIVERY",$S497="TOTAL_AMOUNT_INCLUDING_DELIVERY",$S497="ITEM_PRICE_ONLY_DELIVERY_PAID_BY_MERCHANT"),$J497=""),"Item price required for this amount type",IF(AND(OR($S497="ITEM_PRICE_PLUS_DECLARED_DELIVERY",$S497="DELIVERY_CHARGE_ONLY"),$K497=""),"Declared delivery charge required",IF(AND(OR($S497="TOTAL_AMOUNT_INCLUDING_DELIVERY",$S497="EXACT_COLLECTION_AMOUNT"),$T497=""),"Stated total amount required",IF(AND($S497="TOTAL_AMOUNT_INCLUDING_DELIVERY",$T497&lt;SUM($J497,$U497)),"Stated total is below item price plus additional charge",IF($S497="EXACT_COLLECTION_AMOUNT","Authorized amount breakdown required before settlement","Ready for collection and settlement"))))))))))))</f>
        <v/>
      </c>
      <c r="AW497" s="23">
        <f>IF($AU497="","","PARCEL_FINANCIAL_V2")</f>
        <v/>
      </c>
      <c r="AX497" s="17" t="n"/>
    </row>
    <row r="498">
      <c r="A498" s="8" t="n"/>
      <c r="B498" s="8" t="n"/>
      <c r="C498" s="8" t="n"/>
      <c r="D498" s="8" t="n"/>
      <c r="E498" s="9" t="n"/>
      <c r="F498" s="9" t="n"/>
      <c r="G498" s="8" t="n"/>
      <c r="H498" s="9" t="n"/>
      <c r="I498" s="9" t="n"/>
      <c r="J498" s="10" t="n"/>
      <c r="K498" s="10" t="n"/>
      <c r="L498" s="11">
        <f>IF($S498="","",IF($S498="ITEM_PRICE_PLUS_DECLARED_DELIVERY",IF(OR($J498="",$K498=""),"",SUM($J498,$K498,$U498)),IF($S498="TOTAL_AMOUNT_INCLUDING_DELIVERY",IF($T498="","",$T498),IF($S498="DELIVERY_CHARGE_ONLY",IF($K498="","",SUM($K498,$U498)),IF($S498="EXACT_COLLECTION_AMOUNT",IF($T498="","",$T498),IF($S498="ITEM_PRICE_ONLY_DELIVERY_PAID_BY_MERCHANT",IF($J498="","",SUM($J498,$U498)),""))))))</f>
        <v/>
      </c>
      <c r="M498" s="12" t="n"/>
      <c r="N498" s="13" t="n"/>
      <c r="O498" s="13" t="n"/>
      <c r="P498" s="9" t="n"/>
      <c r="Q498" s="14" t="n"/>
      <c r="R498" s="15" t="n"/>
      <c r="S498" s="14" t="n"/>
      <c r="T498" s="16" t="n"/>
      <c r="U498" s="16" t="n"/>
      <c r="V498" s="16" t="n"/>
      <c r="W498" s="16" t="n"/>
      <c r="X498" s="16" t="n"/>
      <c r="Y498" s="16" t="n"/>
      <c r="Z498" s="14" t="n"/>
      <c r="AA498" s="14" t="n"/>
      <c r="AB498" s="14" t="n"/>
      <c r="AC498" s="17">
        <f>IFERROR(VLOOKUP($H498&amp;"|"&amp;$Q498,Tariff_Master!$A$2:$L$169,3,FALSE),"")</f>
        <v/>
      </c>
      <c r="AD498" s="17">
        <f>IFERROR(VLOOKUP($H498&amp;"|"&amp;$Q498,Tariff_Master!$A$2:$L$169,4,FALSE),"")</f>
        <v/>
      </c>
      <c r="AE498" s="18">
        <f>IFERROR(VLOOKUP($H498&amp;"|"&amp;$Q498,Tariff_Master!$A$2:$L$169,6,FALSE),"")</f>
        <v/>
      </c>
      <c r="AF498" s="19">
        <f>IFERROR(VLOOKUP($H498&amp;"|"&amp;$Q498,Tariff_Master!$A$2:$L$169,7,FALSE),"")</f>
        <v/>
      </c>
      <c r="AG498" s="18">
        <f>IFERROR(VLOOKUP($H498&amp;"|"&amp;$Q498,Tariff_Master!$A$2:$L$169,8,FALSE),"")</f>
        <v/>
      </c>
      <c r="AH498" s="20">
        <f>IFERROR(VLOOKUP($H498&amp;"|"&amp;$Q498,Tariff_Master!$A$2:$L$169,9,FALSE),"")</f>
        <v/>
      </c>
      <c r="AI498" s="18">
        <f>IFERROR(VLOOKUP($H498&amp;"|"&amp;$Q498,Tariff_Master!$A$2:$L$169,10,FALSE),"")</f>
        <v/>
      </c>
      <c r="AJ498" s="21">
        <f>IF($M498="","",ROUNDUP(MAX(0,$M498),0))</f>
        <v/>
      </c>
      <c r="AK498" s="21">
        <f>IF(OR($AJ498="",$AF498=""),"",MAX(0,$AJ498-$AF498))</f>
        <v/>
      </c>
      <c r="AL498" s="22">
        <f>IF(OR($AK498="",$AG498=""),"",MAX(0,$AK498*$AG498))</f>
        <v/>
      </c>
      <c r="AM498" s="22">
        <f>IF($AE498="","",MAX(0,SUM($AE498,$AL498,$V498,$W498)))</f>
        <v/>
      </c>
      <c r="AN498" s="22">
        <f>IF($AM498="","",IF(AND($Q498="COMMITMENT",$R498&gt;=$AH498),$AI498,0))</f>
        <v/>
      </c>
      <c r="AO498" s="23">
        <f>IF($AM498="","",MAX(0,$AM498-$AN498))</f>
        <v/>
      </c>
      <c r="AP498" s="22">
        <f>IF($S498="","",IF(OR($S498="ITEM_PRICE_PLUS_DECLARED_DELIVERY",$S498="DELIVERY_CHARGE_ONLY"),$K498,IF($S498="TOTAL_AMOUNT_INCLUDING_DELIVERY",IF(OR($T498="",$J498=""),"",MAX(0,$T498-$J498-$U498)),IF($S498="ITEM_PRICE_ONLY_DELIVERY_PAID_BY_MERCHANT",0,""))))</f>
        <v/>
      </c>
      <c r="AQ498" s="23">
        <f>IF(OR($AP498="",$AO498=""),"",$AP498-$AO498)</f>
        <v/>
      </c>
      <c r="AR498" s="24">
        <f>IF($S498="EXACT_COLLECTION_AMOUNT","BREAKDOWN_REQUIRED",IF($AQ498="","",IF($AQ498&gt;0,"CREDIT_TO_MERCHANT",IF($AQ498&lt;0,"DEDUCT_FROM_MERCHANT","NO_ADJUSTMENT"))))</f>
        <v/>
      </c>
      <c r="AS498" s="23">
        <f>IF(OR($AQ498="",$AR498="BREAKDOWN_REQUIRED"),"",$AQ498)</f>
        <v/>
      </c>
      <c r="AT498" s="23">
        <f>IF(OR($AR498="",$AR498="BREAKDOWN_REQUIRED"),"",SUM($J498,$AQ498,$Y498)-$X498)</f>
        <v/>
      </c>
      <c r="AU498" s="25">
        <f>IF(AND($A498="",$B498="",$F498="",$H498="",$J498="",$K498="",$M498="",$S498=""),"",IF(OR($H498="",$Q498="",$M498="",$S498=""),"ERROR",IF(OR($J498&lt;0,$K498&lt;0,$M498&lt;0,$T498&lt;0,$U498&lt;0,$V498&lt;0,$W498&lt;0,$X498&lt;0,$Y498&lt;0),"ERROR",IF($AE498="","ERROR",IF(AND(OR($S498="ITEM_PRICE_PLUS_DECLARED_DELIVERY",$S498="TOTAL_AMOUNT_INCLUDING_DELIVERY",$S498="ITEM_PRICE_ONLY_DELIVERY_PAID_BY_MERCHANT"),$J498=""),"ERROR",IF(AND(OR($S498="ITEM_PRICE_PLUS_DECLARED_DELIVERY",$S498="DELIVERY_CHARGE_ONLY"),$K498=""),"ERROR",IF(AND(OR($S498="TOTAL_AMOUNT_INCLUDING_DELIVERY",$S498="EXACT_COLLECTION_AMOUNT"),$T498=""),"ERROR",IF(AND($S498="TOTAL_AMOUNT_INCLUDING_DELIVERY",$T498&lt;SUM($J498,$U498)),"ERROR",IF($S498="EXACT_COLLECTION_AMOUNT","REVIEW","OK")))))))))</f>
        <v/>
      </c>
      <c r="AV498" s="25">
        <f>IF($AU498="","",IF($H498="","Township required",IF($Q498="","Customer tier required",IF($M498="","Weight required",IF($S498="","Amount entry type required",IF(OR($J498&lt;0,$K498&lt;0,$M498&lt;0,$T498&lt;0,$U498&lt;0,$V498&lt;0,$W498&lt;0,$X498&lt;0,$Y498&lt;0),"Negative amounts are not allowed",IF($AE498="","Tariff not found for township and tier",IF(AND(OR($S498="ITEM_PRICE_PLUS_DECLARED_DELIVERY",$S498="TOTAL_AMOUNT_INCLUDING_DELIVERY",$S498="ITEM_PRICE_ONLY_DELIVERY_PAID_BY_MERCHANT"),$J498=""),"Item price required for this amount type",IF(AND(OR($S498="ITEM_PRICE_PLUS_DECLARED_DELIVERY",$S498="DELIVERY_CHARGE_ONLY"),$K498=""),"Declared delivery charge required",IF(AND(OR($S498="TOTAL_AMOUNT_INCLUDING_DELIVERY",$S498="EXACT_COLLECTION_AMOUNT"),$T498=""),"Stated total amount required",IF(AND($S498="TOTAL_AMOUNT_INCLUDING_DELIVERY",$T498&lt;SUM($J498,$U498)),"Stated total is below item price plus additional charge",IF($S498="EXACT_COLLECTION_AMOUNT","Authorized amount breakdown required before settlement","Ready for collection and settlement"))))))))))))</f>
        <v/>
      </c>
      <c r="AW498" s="23">
        <f>IF($AU498="","","PARCEL_FINANCIAL_V2")</f>
        <v/>
      </c>
      <c r="AX498" s="17" t="n"/>
    </row>
    <row r="499">
      <c r="A499" s="8" t="n"/>
      <c r="B499" s="8" t="n"/>
      <c r="C499" s="8" t="n"/>
      <c r="D499" s="8" t="n"/>
      <c r="E499" s="9" t="n"/>
      <c r="F499" s="9" t="n"/>
      <c r="G499" s="8" t="n"/>
      <c r="H499" s="9" t="n"/>
      <c r="I499" s="9" t="n"/>
      <c r="J499" s="10" t="n"/>
      <c r="K499" s="10" t="n"/>
      <c r="L499" s="11">
        <f>IF($S499="","",IF($S499="ITEM_PRICE_PLUS_DECLARED_DELIVERY",IF(OR($J499="",$K499=""),"",SUM($J499,$K499,$U499)),IF($S499="TOTAL_AMOUNT_INCLUDING_DELIVERY",IF($T499="","",$T499),IF($S499="DELIVERY_CHARGE_ONLY",IF($K499="","",SUM($K499,$U499)),IF($S499="EXACT_COLLECTION_AMOUNT",IF($T499="","",$T499),IF($S499="ITEM_PRICE_ONLY_DELIVERY_PAID_BY_MERCHANT",IF($J499="","",SUM($J499,$U499)),""))))))</f>
        <v/>
      </c>
      <c r="M499" s="12" t="n"/>
      <c r="N499" s="13" t="n"/>
      <c r="O499" s="13" t="n"/>
      <c r="P499" s="9" t="n"/>
      <c r="Q499" s="14" t="n"/>
      <c r="R499" s="15" t="n"/>
      <c r="S499" s="14" t="n"/>
      <c r="T499" s="16" t="n"/>
      <c r="U499" s="16" t="n"/>
      <c r="V499" s="16" t="n"/>
      <c r="W499" s="16" t="n"/>
      <c r="X499" s="16" t="n"/>
      <c r="Y499" s="16" t="n"/>
      <c r="Z499" s="14" t="n"/>
      <c r="AA499" s="14" t="n"/>
      <c r="AB499" s="14" t="n"/>
      <c r="AC499" s="17">
        <f>IFERROR(VLOOKUP($H499&amp;"|"&amp;$Q499,Tariff_Master!$A$2:$L$169,3,FALSE),"")</f>
        <v/>
      </c>
      <c r="AD499" s="17">
        <f>IFERROR(VLOOKUP($H499&amp;"|"&amp;$Q499,Tariff_Master!$A$2:$L$169,4,FALSE),"")</f>
        <v/>
      </c>
      <c r="AE499" s="18">
        <f>IFERROR(VLOOKUP($H499&amp;"|"&amp;$Q499,Tariff_Master!$A$2:$L$169,6,FALSE),"")</f>
        <v/>
      </c>
      <c r="AF499" s="19">
        <f>IFERROR(VLOOKUP($H499&amp;"|"&amp;$Q499,Tariff_Master!$A$2:$L$169,7,FALSE),"")</f>
        <v/>
      </c>
      <c r="AG499" s="18">
        <f>IFERROR(VLOOKUP($H499&amp;"|"&amp;$Q499,Tariff_Master!$A$2:$L$169,8,FALSE),"")</f>
        <v/>
      </c>
      <c r="AH499" s="20">
        <f>IFERROR(VLOOKUP($H499&amp;"|"&amp;$Q499,Tariff_Master!$A$2:$L$169,9,FALSE),"")</f>
        <v/>
      </c>
      <c r="AI499" s="18">
        <f>IFERROR(VLOOKUP($H499&amp;"|"&amp;$Q499,Tariff_Master!$A$2:$L$169,10,FALSE),"")</f>
        <v/>
      </c>
      <c r="AJ499" s="21">
        <f>IF($M499="","",ROUNDUP(MAX(0,$M499),0))</f>
        <v/>
      </c>
      <c r="AK499" s="21">
        <f>IF(OR($AJ499="",$AF499=""),"",MAX(0,$AJ499-$AF499))</f>
        <v/>
      </c>
      <c r="AL499" s="22">
        <f>IF(OR($AK499="",$AG499=""),"",MAX(0,$AK499*$AG499))</f>
        <v/>
      </c>
      <c r="AM499" s="22">
        <f>IF($AE499="","",MAX(0,SUM($AE499,$AL499,$V499,$W499)))</f>
        <v/>
      </c>
      <c r="AN499" s="22">
        <f>IF($AM499="","",IF(AND($Q499="COMMITMENT",$R499&gt;=$AH499),$AI499,0))</f>
        <v/>
      </c>
      <c r="AO499" s="23">
        <f>IF($AM499="","",MAX(0,$AM499-$AN499))</f>
        <v/>
      </c>
      <c r="AP499" s="22">
        <f>IF($S499="","",IF(OR($S499="ITEM_PRICE_PLUS_DECLARED_DELIVERY",$S499="DELIVERY_CHARGE_ONLY"),$K499,IF($S499="TOTAL_AMOUNT_INCLUDING_DELIVERY",IF(OR($T499="",$J499=""),"",MAX(0,$T499-$J499-$U499)),IF($S499="ITEM_PRICE_ONLY_DELIVERY_PAID_BY_MERCHANT",0,""))))</f>
        <v/>
      </c>
      <c r="AQ499" s="23">
        <f>IF(OR($AP499="",$AO499=""),"",$AP499-$AO499)</f>
        <v/>
      </c>
      <c r="AR499" s="24">
        <f>IF($S499="EXACT_COLLECTION_AMOUNT","BREAKDOWN_REQUIRED",IF($AQ499="","",IF($AQ499&gt;0,"CREDIT_TO_MERCHANT",IF($AQ499&lt;0,"DEDUCT_FROM_MERCHANT","NO_ADJUSTMENT"))))</f>
        <v/>
      </c>
      <c r="AS499" s="23">
        <f>IF(OR($AQ499="",$AR499="BREAKDOWN_REQUIRED"),"",$AQ499)</f>
        <v/>
      </c>
      <c r="AT499" s="23">
        <f>IF(OR($AR499="",$AR499="BREAKDOWN_REQUIRED"),"",SUM($J499,$AQ499,$Y499)-$X499)</f>
        <v/>
      </c>
      <c r="AU499" s="25">
        <f>IF(AND($A499="",$B499="",$F499="",$H499="",$J499="",$K499="",$M499="",$S499=""),"",IF(OR($H499="",$Q499="",$M499="",$S499=""),"ERROR",IF(OR($J499&lt;0,$K499&lt;0,$M499&lt;0,$T499&lt;0,$U499&lt;0,$V499&lt;0,$W499&lt;0,$X499&lt;0,$Y499&lt;0),"ERROR",IF($AE499="","ERROR",IF(AND(OR($S499="ITEM_PRICE_PLUS_DECLARED_DELIVERY",$S499="TOTAL_AMOUNT_INCLUDING_DELIVERY",$S499="ITEM_PRICE_ONLY_DELIVERY_PAID_BY_MERCHANT"),$J499=""),"ERROR",IF(AND(OR($S499="ITEM_PRICE_PLUS_DECLARED_DELIVERY",$S499="DELIVERY_CHARGE_ONLY"),$K499=""),"ERROR",IF(AND(OR($S499="TOTAL_AMOUNT_INCLUDING_DELIVERY",$S499="EXACT_COLLECTION_AMOUNT"),$T499=""),"ERROR",IF(AND($S499="TOTAL_AMOUNT_INCLUDING_DELIVERY",$T499&lt;SUM($J499,$U499)),"ERROR",IF($S499="EXACT_COLLECTION_AMOUNT","REVIEW","OK")))))))))</f>
        <v/>
      </c>
      <c r="AV499" s="25">
        <f>IF($AU499="","",IF($H499="","Township required",IF($Q499="","Customer tier required",IF($M499="","Weight required",IF($S499="","Amount entry type required",IF(OR($J499&lt;0,$K499&lt;0,$M499&lt;0,$T499&lt;0,$U499&lt;0,$V499&lt;0,$W499&lt;0,$X499&lt;0,$Y499&lt;0),"Negative amounts are not allowed",IF($AE499="","Tariff not found for township and tier",IF(AND(OR($S499="ITEM_PRICE_PLUS_DECLARED_DELIVERY",$S499="TOTAL_AMOUNT_INCLUDING_DELIVERY",$S499="ITEM_PRICE_ONLY_DELIVERY_PAID_BY_MERCHANT"),$J499=""),"Item price required for this amount type",IF(AND(OR($S499="ITEM_PRICE_PLUS_DECLARED_DELIVERY",$S499="DELIVERY_CHARGE_ONLY"),$K499=""),"Declared delivery charge required",IF(AND(OR($S499="TOTAL_AMOUNT_INCLUDING_DELIVERY",$S499="EXACT_COLLECTION_AMOUNT"),$T499=""),"Stated total amount required",IF(AND($S499="TOTAL_AMOUNT_INCLUDING_DELIVERY",$T499&lt;SUM($J499,$U499)),"Stated total is below item price plus additional charge",IF($S499="EXACT_COLLECTION_AMOUNT","Authorized amount breakdown required before settlement","Ready for collection and settlement"))))))))))))</f>
        <v/>
      </c>
      <c r="AW499" s="23">
        <f>IF($AU499="","","PARCEL_FINANCIAL_V2")</f>
        <v/>
      </c>
      <c r="AX499" s="17" t="n"/>
    </row>
    <row r="500">
      <c r="A500" s="8" t="n"/>
      <c r="B500" s="8" t="n"/>
      <c r="C500" s="8" t="n"/>
      <c r="D500" s="8" t="n"/>
      <c r="E500" s="9" t="n"/>
      <c r="F500" s="9" t="n"/>
      <c r="G500" s="8" t="n"/>
      <c r="H500" s="9" t="n"/>
      <c r="I500" s="9" t="n"/>
      <c r="J500" s="10" t="n"/>
      <c r="K500" s="10" t="n"/>
      <c r="L500" s="11">
        <f>IF($S500="","",IF($S500="ITEM_PRICE_PLUS_DECLARED_DELIVERY",IF(OR($J500="",$K500=""),"",SUM($J500,$K500,$U500)),IF($S500="TOTAL_AMOUNT_INCLUDING_DELIVERY",IF($T500="","",$T500),IF($S500="DELIVERY_CHARGE_ONLY",IF($K500="","",SUM($K500,$U500)),IF($S500="EXACT_COLLECTION_AMOUNT",IF($T500="","",$T500),IF($S500="ITEM_PRICE_ONLY_DELIVERY_PAID_BY_MERCHANT",IF($J500="","",SUM($J500,$U500)),""))))))</f>
        <v/>
      </c>
      <c r="M500" s="12" t="n"/>
      <c r="N500" s="13" t="n"/>
      <c r="O500" s="13" t="n"/>
      <c r="P500" s="9" t="n"/>
      <c r="Q500" s="14" t="n"/>
      <c r="R500" s="15" t="n"/>
      <c r="S500" s="14" t="n"/>
      <c r="T500" s="16" t="n"/>
      <c r="U500" s="16" t="n"/>
      <c r="V500" s="16" t="n"/>
      <c r="W500" s="16" t="n"/>
      <c r="X500" s="16" t="n"/>
      <c r="Y500" s="16" t="n"/>
      <c r="Z500" s="14" t="n"/>
      <c r="AA500" s="14" t="n"/>
      <c r="AB500" s="14" t="n"/>
      <c r="AC500" s="17">
        <f>IFERROR(VLOOKUP($H500&amp;"|"&amp;$Q500,Tariff_Master!$A$2:$L$169,3,FALSE),"")</f>
        <v/>
      </c>
      <c r="AD500" s="17">
        <f>IFERROR(VLOOKUP($H500&amp;"|"&amp;$Q500,Tariff_Master!$A$2:$L$169,4,FALSE),"")</f>
        <v/>
      </c>
      <c r="AE500" s="18">
        <f>IFERROR(VLOOKUP($H500&amp;"|"&amp;$Q500,Tariff_Master!$A$2:$L$169,6,FALSE),"")</f>
        <v/>
      </c>
      <c r="AF500" s="19">
        <f>IFERROR(VLOOKUP($H500&amp;"|"&amp;$Q500,Tariff_Master!$A$2:$L$169,7,FALSE),"")</f>
        <v/>
      </c>
      <c r="AG500" s="18">
        <f>IFERROR(VLOOKUP($H500&amp;"|"&amp;$Q500,Tariff_Master!$A$2:$L$169,8,FALSE),"")</f>
        <v/>
      </c>
      <c r="AH500" s="20">
        <f>IFERROR(VLOOKUP($H500&amp;"|"&amp;$Q500,Tariff_Master!$A$2:$L$169,9,FALSE),"")</f>
        <v/>
      </c>
      <c r="AI500" s="18">
        <f>IFERROR(VLOOKUP($H500&amp;"|"&amp;$Q500,Tariff_Master!$A$2:$L$169,10,FALSE),"")</f>
        <v/>
      </c>
      <c r="AJ500" s="21">
        <f>IF($M500="","",ROUNDUP(MAX(0,$M500),0))</f>
        <v/>
      </c>
      <c r="AK500" s="21">
        <f>IF(OR($AJ500="",$AF500=""),"",MAX(0,$AJ500-$AF500))</f>
        <v/>
      </c>
      <c r="AL500" s="22">
        <f>IF(OR($AK500="",$AG500=""),"",MAX(0,$AK500*$AG500))</f>
        <v/>
      </c>
      <c r="AM500" s="22">
        <f>IF($AE500="","",MAX(0,SUM($AE500,$AL500,$V500,$W500)))</f>
        <v/>
      </c>
      <c r="AN500" s="22">
        <f>IF($AM500="","",IF(AND($Q500="COMMITMENT",$R500&gt;=$AH500),$AI500,0))</f>
        <v/>
      </c>
      <c r="AO500" s="23">
        <f>IF($AM500="","",MAX(0,$AM500-$AN500))</f>
        <v/>
      </c>
      <c r="AP500" s="22">
        <f>IF($S500="","",IF(OR($S500="ITEM_PRICE_PLUS_DECLARED_DELIVERY",$S500="DELIVERY_CHARGE_ONLY"),$K500,IF($S500="TOTAL_AMOUNT_INCLUDING_DELIVERY",IF(OR($T500="",$J500=""),"",MAX(0,$T500-$J500-$U500)),IF($S500="ITEM_PRICE_ONLY_DELIVERY_PAID_BY_MERCHANT",0,""))))</f>
        <v/>
      </c>
      <c r="AQ500" s="23">
        <f>IF(OR($AP500="",$AO500=""),"",$AP500-$AO500)</f>
        <v/>
      </c>
      <c r="AR500" s="24">
        <f>IF($S500="EXACT_COLLECTION_AMOUNT","BREAKDOWN_REQUIRED",IF($AQ500="","",IF($AQ500&gt;0,"CREDIT_TO_MERCHANT",IF($AQ500&lt;0,"DEDUCT_FROM_MERCHANT","NO_ADJUSTMENT"))))</f>
        <v/>
      </c>
      <c r="AS500" s="23">
        <f>IF(OR($AQ500="",$AR500="BREAKDOWN_REQUIRED"),"",$AQ500)</f>
        <v/>
      </c>
      <c r="AT500" s="23">
        <f>IF(OR($AR500="",$AR500="BREAKDOWN_REQUIRED"),"",SUM($J500,$AQ500,$Y500)-$X500)</f>
        <v/>
      </c>
      <c r="AU500" s="25">
        <f>IF(AND($A500="",$B500="",$F500="",$H500="",$J500="",$K500="",$M500="",$S500=""),"",IF(OR($H500="",$Q500="",$M500="",$S500=""),"ERROR",IF(OR($J500&lt;0,$K500&lt;0,$M500&lt;0,$T500&lt;0,$U500&lt;0,$V500&lt;0,$W500&lt;0,$X500&lt;0,$Y500&lt;0),"ERROR",IF($AE500="","ERROR",IF(AND(OR($S500="ITEM_PRICE_PLUS_DECLARED_DELIVERY",$S500="TOTAL_AMOUNT_INCLUDING_DELIVERY",$S500="ITEM_PRICE_ONLY_DELIVERY_PAID_BY_MERCHANT"),$J500=""),"ERROR",IF(AND(OR($S500="ITEM_PRICE_PLUS_DECLARED_DELIVERY",$S500="DELIVERY_CHARGE_ONLY"),$K500=""),"ERROR",IF(AND(OR($S500="TOTAL_AMOUNT_INCLUDING_DELIVERY",$S500="EXACT_COLLECTION_AMOUNT"),$T500=""),"ERROR",IF(AND($S500="TOTAL_AMOUNT_INCLUDING_DELIVERY",$T500&lt;SUM($J500,$U500)),"ERROR",IF($S500="EXACT_COLLECTION_AMOUNT","REVIEW","OK")))))))))</f>
        <v/>
      </c>
      <c r="AV500" s="25">
        <f>IF($AU500="","",IF($H500="","Township required",IF($Q500="","Customer tier required",IF($M500="","Weight required",IF($S500="","Amount entry type required",IF(OR($J500&lt;0,$K500&lt;0,$M500&lt;0,$T500&lt;0,$U500&lt;0,$V500&lt;0,$W500&lt;0,$X500&lt;0,$Y500&lt;0),"Negative amounts are not allowed",IF($AE500="","Tariff not found for township and tier",IF(AND(OR($S500="ITEM_PRICE_PLUS_DECLARED_DELIVERY",$S500="TOTAL_AMOUNT_INCLUDING_DELIVERY",$S500="ITEM_PRICE_ONLY_DELIVERY_PAID_BY_MERCHANT"),$J500=""),"Item price required for this amount type",IF(AND(OR($S500="ITEM_PRICE_PLUS_DECLARED_DELIVERY",$S500="DELIVERY_CHARGE_ONLY"),$K500=""),"Declared delivery charge required",IF(AND(OR($S500="TOTAL_AMOUNT_INCLUDING_DELIVERY",$S500="EXACT_COLLECTION_AMOUNT"),$T500=""),"Stated total amount required",IF(AND($S500="TOTAL_AMOUNT_INCLUDING_DELIVERY",$T500&lt;SUM($J500,$U500)),"Stated total is below item price plus additional charge",IF($S500="EXACT_COLLECTION_AMOUNT","Authorized amount breakdown required before settlement","Ready for collection and settlement"))))))))))))</f>
        <v/>
      </c>
      <c r="AW500" s="23">
        <f>IF($AU500="","","PARCEL_FINANCIAL_V2")</f>
        <v/>
      </c>
      <c r="AX500" s="17" t="n"/>
    </row>
    <row r="501">
      <c r="A501" s="8" t="n"/>
      <c r="B501" s="8" t="n"/>
      <c r="C501" s="8" t="n"/>
      <c r="D501" s="8" t="n"/>
      <c r="E501" s="9" t="n"/>
      <c r="F501" s="9" t="n"/>
      <c r="G501" s="8" t="n"/>
      <c r="H501" s="9" t="n"/>
      <c r="I501" s="9" t="n"/>
      <c r="J501" s="10" t="n"/>
      <c r="K501" s="10" t="n"/>
      <c r="L501" s="11">
        <f>IF($S501="","",IF($S501="ITEM_PRICE_PLUS_DECLARED_DELIVERY",IF(OR($J501="",$K501=""),"",SUM($J501,$K501,$U501)),IF($S501="TOTAL_AMOUNT_INCLUDING_DELIVERY",IF($T501="","",$T501),IF($S501="DELIVERY_CHARGE_ONLY",IF($K501="","",SUM($K501,$U501)),IF($S501="EXACT_COLLECTION_AMOUNT",IF($T501="","",$T501),IF($S501="ITEM_PRICE_ONLY_DELIVERY_PAID_BY_MERCHANT",IF($J501="","",SUM($J501,$U501)),""))))))</f>
        <v/>
      </c>
      <c r="M501" s="12" t="n"/>
      <c r="N501" s="13" t="n"/>
      <c r="O501" s="13" t="n"/>
      <c r="P501" s="9" t="n"/>
      <c r="Q501" s="14" t="n"/>
      <c r="R501" s="15" t="n"/>
      <c r="S501" s="14" t="n"/>
      <c r="T501" s="16" t="n"/>
      <c r="U501" s="16" t="n"/>
      <c r="V501" s="16" t="n"/>
      <c r="W501" s="16" t="n"/>
      <c r="X501" s="16" t="n"/>
      <c r="Y501" s="16" t="n"/>
      <c r="Z501" s="14" t="n"/>
      <c r="AA501" s="14" t="n"/>
      <c r="AB501" s="14" t="n"/>
      <c r="AC501" s="17">
        <f>IFERROR(VLOOKUP($H501&amp;"|"&amp;$Q501,Tariff_Master!$A$2:$L$169,3,FALSE),"")</f>
        <v/>
      </c>
      <c r="AD501" s="17">
        <f>IFERROR(VLOOKUP($H501&amp;"|"&amp;$Q501,Tariff_Master!$A$2:$L$169,4,FALSE),"")</f>
        <v/>
      </c>
      <c r="AE501" s="18">
        <f>IFERROR(VLOOKUP($H501&amp;"|"&amp;$Q501,Tariff_Master!$A$2:$L$169,6,FALSE),"")</f>
        <v/>
      </c>
      <c r="AF501" s="19">
        <f>IFERROR(VLOOKUP($H501&amp;"|"&amp;$Q501,Tariff_Master!$A$2:$L$169,7,FALSE),"")</f>
        <v/>
      </c>
      <c r="AG501" s="18">
        <f>IFERROR(VLOOKUP($H501&amp;"|"&amp;$Q501,Tariff_Master!$A$2:$L$169,8,FALSE),"")</f>
        <v/>
      </c>
      <c r="AH501" s="20">
        <f>IFERROR(VLOOKUP($H501&amp;"|"&amp;$Q501,Tariff_Master!$A$2:$L$169,9,FALSE),"")</f>
        <v/>
      </c>
      <c r="AI501" s="18">
        <f>IFERROR(VLOOKUP($H501&amp;"|"&amp;$Q501,Tariff_Master!$A$2:$L$169,10,FALSE),"")</f>
        <v/>
      </c>
      <c r="AJ501" s="21">
        <f>IF($M501="","",ROUNDUP(MAX(0,$M501),0))</f>
        <v/>
      </c>
      <c r="AK501" s="21">
        <f>IF(OR($AJ501="",$AF501=""),"",MAX(0,$AJ501-$AF501))</f>
        <v/>
      </c>
      <c r="AL501" s="22">
        <f>IF(OR($AK501="",$AG501=""),"",MAX(0,$AK501*$AG501))</f>
        <v/>
      </c>
      <c r="AM501" s="22">
        <f>IF($AE501="","",MAX(0,SUM($AE501,$AL501,$V501,$W501)))</f>
        <v/>
      </c>
      <c r="AN501" s="22">
        <f>IF($AM501="","",IF(AND($Q501="COMMITMENT",$R501&gt;=$AH501),$AI501,0))</f>
        <v/>
      </c>
      <c r="AO501" s="23">
        <f>IF($AM501="","",MAX(0,$AM501-$AN501))</f>
        <v/>
      </c>
      <c r="AP501" s="22">
        <f>IF($S501="","",IF(OR($S501="ITEM_PRICE_PLUS_DECLARED_DELIVERY",$S501="DELIVERY_CHARGE_ONLY"),$K501,IF($S501="TOTAL_AMOUNT_INCLUDING_DELIVERY",IF(OR($T501="",$J501=""),"",MAX(0,$T501-$J501-$U501)),IF($S501="ITEM_PRICE_ONLY_DELIVERY_PAID_BY_MERCHANT",0,""))))</f>
        <v/>
      </c>
      <c r="AQ501" s="23">
        <f>IF(OR($AP501="",$AO501=""),"",$AP501-$AO501)</f>
        <v/>
      </c>
      <c r="AR501" s="24">
        <f>IF($S501="EXACT_COLLECTION_AMOUNT","BREAKDOWN_REQUIRED",IF($AQ501="","",IF($AQ501&gt;0,"CREDIT_TO_MERCHANT",IF($AQ501&lt;0,"DEDUCT_FROM_MERCHANT","NO_ADJUSTMENT"))))</f>
        <v/>
      </c>
      <c r="AS501" s="23">
        <f>IF(OR($AQ501="",$AR501="BREAKDOWN_REQUIRED"),"",$AQ501)</f>
        <v/>
      </c>
      <c r="AT501" s="23">
        <f>IF(OR($AR501="",$AR501="BREAKDOWN_REQUIRED"),"",SUM($J501,$AQ501,$Y501)-$X501)</f>
        <v/>
      </c>
      <c r="AU501" s="25">
        <f>IF(AND($A501="",$B501="",$F501="",$H501="",$J501="",$K501="",$M501="",$S501=""),"",IF(OR($H501="",$Q501="",$M501="",$S501=""),"ERROR",IF(OR($J501&lt;0,$K501&lt;0,$M501&lt;0,$T501&lt;0,$U501&lt;0,$V501&lt;0,$W501&lt;0,$X501&lt;0,$Y501&lt;0),"ERROR",IF($AE501="","ERROR",IF(AND(OR($S501="ITEM_PRICE_PLUS_DECLARED_DELIVERY",$S501="TOTAL_AMOUNT_INCLUDING_DELIVERY",$S501="ITEM_PRICE_ONLY_DELIVERY_PAID_BY_MERCHANT"),$J501=""),"ERROR",IF(AND(OR($S501="ITEM_PRICE_PLUS_DECLARED_DELIVERY",$S501="DELIVERY_CHARGE_ONLY"),$K501=""),"ERROR",IF(AND(OR($S501="TOTAL_AMOUNT_INCLUDING_DELIVERY",$S501="EXACT_COLLECTION_AMOUNT"),$T501=""),"ERROR",IF(AND($S501="TOTAL_AMOUNT_INCLUDING_DELIVERY",$T501&lt;SUM($J501,$U501)),"ERROR",IF($S501="EXACT_COLLECTION_AMOUNT","REVIEW","OK")))))))))</f>
        <v/>
      </c>
      <c r="AV501" s="25">
        <f>IF($AU501="","",IF($H501="","Township required",IF($Q501="","Customer tier required",IF($M501="","Weight required",IF($S501="","Amount entry type required",IF(OR($J501&lt;0,$K501&lt;0,$M501&lt;0,$T501&lt;0,$U501&lt;0,$V501&lt;0,$W501&lt;0,$X501&lt;0,$Y501&lt;0),"Negative amounts are not allowed",IF($AE501="","Tariff not found for township and tier",IF(AND(OR($S501="ITEM_PRICE_PLUS_DECLARED_DELIVERY",$S501="TOTAL_AMOUNT_INCLUDING_DELIVERY",$S501="ITEM_PRICE_ONLY_DELIVERY_PAID_BY_MERCHANT"),$J501=""),"Item price required for this amount type",IF(AND(OR($S501="ITEM_PRICE_PLUS_DECLARED_DELIVERY",$S501="DELIVERY_CHARGE_ONLY"),$K501=""),"Declared delivery charge required",IF(AND(OR($S501="TOTAL_AMOUNT_INCLUDING_DELIVERY",$S501="EXACT_COLLECTION_AMOUNT"),$T501=""),"Stated total amount required",IF(AND($S501="TOTAL_AMOUNT_INCLUDING_DELIVERY",$T501&lt;SUM($J501,$U501)),"Stated total is below item price plus additional charge",IF($S501="EXACT_COLLECTION_AMOUNT","Authorized amount breakdown required before settlement","Ready for collection and settlement"))))))))))))</f>
        <v/>
      </c>
      <c r="AW501" s="23">
        <f>IF($AU501="","","PARCEL_FINANCIAL_V2")</f>
        <v/>
      </c>
      <c r="AX501" s="17" t="n"/>
    </row>
    <row r="502">
      <c r="A502" s="8" t="n"/>
      <c r="B502" s="8" t="n"/>
      <c r="C502" s="8" t="n"/>
      <c r="D502" s="8" t="n"/>
      <c r="E502" s="9" t="n"/>
      <c r="F502" s="9" t="n"/>
      <c r="G502" s="8" t="n"/>
      <c r="H502" s="9" t="n"/>
      <c r="I502" s="9" t="n"/>
      <c r="J502" s="10" t="n"/>
      <c r="K502" s="10" t="n"/>
      <c r="L502" s="11">
        <f>IF($S502="","",IF($S502="ITEM_PRICE_PLUS_DECLARED_DELIVERY",IF(OR($J502="",$K502=""),"",SUM($J502,$K502,$U502)),IF($S502="TOTAL_AMOUNT_INCLUDING_DELIVERY",IF($T502="","",$T502),IF($S502="DELIVERY_CHARGE_ONLY",IF($K502="","",SUM($K502,$U502)),IF($S502="EXACT_COLLECTION_AMOUNT",IF($T502="","",$T502),IF($S502="ITEM_PRICE_ONLY_DELIVERY_PAID_BY_MERCHANT",IF($J502="","",SUM($J502,$U502)),""))))))</f>
        <v/>
      </c>
      <c r="M502" s="12" t="n"/>
      <c r="N502" s="13" t="n"/>
      <c r="O502" s="13" t="n"/>
      <c r="P502" s="9" t="n"/>
      <c r="Q502" s="14" t="n"/>
      <c r="R502" s="15" t="n"/>
      <c r="S502" s="14" t="n"/>
      <c r="T502" s="16" t="n"/>
      <c r="U502" s="16" t="n"/>
      <c r="V502" s="16" t="n"/>
      <c r="W502" s="16" t="n"/>
      <c r="X502" s="16" t="n"/>
      <c r="Y502" s="16" t="n"/>
      <c r="Z502" s="14" t="n"/>
      <c r="AA502" s="14" t="n"/>
      <c r="AB502" s="14" t="n"/>
      <c r="AC502" s="17">
        <f>IFERROR(VLOOKUP($H502&amp;"|"&amp;$Q502,Tariff_Master!$A$2:$L$169,3,FALSE),"")</f>
        <v/>
      </c>
      <c r="AD502" s="17">
        <f>IFERROR(VLOOKUP($H502&amp;"|"&amp;$Q502,Tariff_Master!$A$2:$L$169,4,FALSE),"")</f>
        <v/>
      </c>
      <c r="AE502" s="18">
        <f>IFERROR(VLOOKUP($H502&amp;"|"&amp;$Q502,Tariff_Master!$A$2:$L$169,6,FALSE),"")</f>
        <v/>
      </c>
      <c r="AF502" s="19">
        <f>IFERROR(VLOOKUP($H502&amp;"|"&amp;$Q502,Tariff_Master!$A$2:$L$169,7,FALSE),"")</f>
        <v/>
      </c>
      <c r="AG502" s="18">
        <f>IFERROR(VLOOKUP($H502&amp;"|"&amp;$Q502,Tariff_Master!$A$2:$L$169,8,FALSE),"")</f>
        <v/>
      </c>
      <c r="AH502" s="20">
        <f>IFERROR(VLOOKUP($H502&amp;"|"&amp;$Q502,Tariff_Master!$A$2:$L$169,9,FALSE),"")</f>
        <v/>
      </c>
      <c r="AI502" s="18">
        <f>IFERROR(VLOOKUP($H502&amp;"|"&amp;$Q502,Tariff_Master!$A$2:$L$169,10,FALSE),"")</f>
        <v/>
      </c>
      <c r="AJ502" s="21">
        <f>IF($M502="","",ROUNDUP(MAX(0,$M502),0))</f>
        <v/>
      </c>
      <c r="AK502" s="21">
        <f>IF(OR($AJ502="",$AF502=""),"",MAX(0,$AJ502-$AF502))</f>
        <v/>
      </c>
      <c r="AL502" s="22">
        <f>IF(OR($AK502="",$AG502=""),"",MAX(0,$AK502*$AG502))</f>
        <v/>
      </c>
      <c r="AM502" s="22">
        <f>IF($AE502="","",MAX(0,SUM($AE502,$AL502,$V502,$W502)))</f>
        <v/>
      </c>
      <c r="AN502" s="22">
        <f>IF($AM502="","",IF(AND($Q502="COMMITMENT",$R502&gt;=$AH502),$AI502,0))</f>
        <v/>
      </c>
      <c r="AO502" s="23">
        <f>IF($AM502="","",MAX(0,$AM502-$AN502))</f>
        <v/>
      </c>
      <c r="AP502" s="22">
        <f>IF($S502="","",IF(OR($S502="ITEM_PRICE_PLUS_DECLARED_DELIVERY",$S502="DELIVERY_CHARGE_ONLY"),$K502,IF($S502="TOTAL_AMOUNT_INCLUDING_DELIVERY",IF(OR($T502="",$J502=""),"",MAX(0,$T502-$J502-$U502)),IF($S502="ITEM_PRICE_ONLY_DELIVERY_PAID_BY_MERCHANT",0,""))))</f>
        <v/>
      </c>
      <c r="AQ502" s="23">
        <f>IF(OR($AP502="",$AO502=""),"",$AP502-$AO502)</f>
        <v/>
      </c>
      <c r="AR502" s="24">
        <f>IF($S502="EXACT_COLLECTION_AMOUNT","BREAKDOWN_REQUIRED",IF($AQ502="","",IF($AQ502&gt;0,"CREDIT_TO_MERCHANT",IF($AQ502&lt;0,"DEDUCT_FROM_MERCHANT","NO_ADJUSTMENT"))))</f>
        <v/>
      </c>
      <c r="AS502" s="23">
        <f>IF(OR($AQ502="",$AR502="BREAKDOWN_REQUIRED"),"",$AQ502)</f>
        <v/>
      </c>
      <c r="AT502" s="23">
        <f>IF(OR($AR502="",$AR502="BREAKDOWN_REQUIRED"),"",SUM($J502,$AQ502,$Y502)-$X502)</f>
        <v/>
      </c>
      <c r="AU502" s="25">
        <f>IF(AND($A502="",$B502="",$F502="",$H502="",$J502="",$K502="",$M502="",$S502=""),"",IF(OR($H502="",$Q502="",$M502="",$S502=""),"ERROR",IF(OR($J502&lt;0,$K502&lt;0,$M502&lt;0,$T502&lt;0,$U502&lt;0,$V502&lt;0,$W502&lt;0,$X502&lt;0,$Y502&lt;0),"ERROR",IF($AE502="","ERROR",IF(AND(OR($S502="ITEM_PRICE_PLUS_DECLARED_DELIVERY",$S502="TOTAL_AMOUNT_INCLUDING_DELIVERY",$S502="ITEM_PRICE_ONLY_DELIVERY_PAID_BY_MERCHANT"),$J502=""),"ERROR",IF(AND(OR($S502="ITEM_PRICE_PLUS_DECLARED_DELIVERY",$S502="DELIVERY_CHARGE_ONLY"),$K502=""),"ERROR",IF(AND(OR($S502="TOTAL_AMOUNT_INCLUDING_DELIVERY",$S502="EXACT_COLLECTION_AMOUNT"),$T502=""),"ERROR",IF(AND($S502="TOTAL_AMOUNT_INCLUDING_DELIVERY",$T502&lt;SUM($J502,$U502)),"ERROR",IF($S502="EXACT_COLLECTION_AMOUNT","REVIEW","OK")))))))))</f>
        <v/>
      </c>
      <c r="AV502" s="25">
        <f>IF($AU502="","",IF($H502="","Township required",IF($Q502="","Customer tier required",IF($M502="","Weight required",IF($S502="","Amount entry type required",IF(OR($J502&lt;0,$K502&lt;0,$M502&lt;0,$T502&lt;0,$U502&lt;0,$V502&lt;0,$W502&lt;0,$X502&lt;0,$Y502&lt;0),"Negative amounts are not allowed",IF($AE502="","Tariff not found for township and tier",IF(AND(OR($S502="ITEM_PRICE_PLUS_DECLARED_DELIVERY",$S502="TOTAL_AMOUNT_INCLUDING_DELIVERY",$S502="ITEM_PRICE_ONLY_DELIVERY_PAID_BY_MERCHANT"),$J502=""),"Item price required for this amount type",IF(AND(OR($S502="ITEM_PRICE_PLUS_DECLARED_DELIVERY",$S502="DELIVERY_CHARGE_ONLY"),$K502=""),"Declared delivery charge required",IF(AND(OR($S502="TOTAL_AMOUNT_INCLUDING_DELIVERY",$S502="EXACT_COLLECTION_AMOUNT"),$T502=""),"Stated total amount required",IF(AND($S502="TOTAL_AMOUNT_INCLUDING_DELIVERY",$T502&lt;SUM($J502,$U502)),"Stated total is below item price plus additional charge",IF($S502="EXACT_COLLECTION_AMOUNT","Authorized amount breakdown required before settlement","Ready for collection and settlement"))))))))))))</f>
        <v/>
      </c>
      <c r="AW502" s="23">
        <f>IF($AU502="","","PARCEL_FINANCIAL_V2")</f>
        <v/>
      </c>
      <c r="AX502" s="17" t="n"/>
    </row>
    <row r="503">
      <c r="A503" s="8" t="n"/>
      <c r="B503" s="8" t="n"/>
      <c r="C503" s="8" t="n"/>
      <c r="D503" s="8" t="n"/>
      <c r="E503" s="9" t="n"/>
      <c r="F503" s="9" t="n"/>
      <c r="G503" s="8" t="n"/>
      <c r="H503" s="9" t="n"/>
      <c r="I503" s="9" t="n"/>
      <c r="J503" s="10" t="n"/>
      <c r="K503" s="10" t="n"/>
      <c r="L503" s="11">
        <f>IF($S503="","",IF($S503="ITEM_PRICE_PLUS_DECLARED_DELIVERY",IF(OR($J503="",$K503=""),"",SUM($J503,$K503,$U503)),IF($S503="TOTAL_AMOUNT_INCLUDING_DELIVERY",IF($T503="","",$T503),IF($S503="DELIVERY_CHARGE_ONLY",IF($K503="","",SUM($K503,$U503)),IF($S503="EXACT_COLLECTION_AMOUNT",IF($T503="","",$T503),IF($S503="ITEM_PRICE_ONLY_DELIVERY_PAID_BY_MERCHANT",IF($J503="","",SUM($J503,$U503)),""))))))</f>
        <v/>
      </c>
      <c r="M503" s="12" t="n"/>
      <c r="N503" s="13" t="n"/>
      <c r="O503" s="13" t="n"/>
      <c r="P503" s="9" t="n"/>
      <c r="Q503" s="14" t="n"/>
      <c r="R503" s="15" t="n"/>
      <c r="S503" s="14" t="n"/>
      <c r="T503" s="16" t="n"/>
      <c r="U503" s="16" t="n"/>
      <c r="V503" s="16" t="n"/>
      <c r="W503" s="16" t="n"/>
      <c r="X503" s="16" t="n"/>
      <c r="Y503" s="16" t="n"/>
      <c r="Z503" s="14" t="n"/>
      <c r="AA503" s="14" t="n"/>
      <c r="AB503" s="14" t="n"/>
      <c r="AC503" s="17">
        <f>IFERROR(VLOOKUP($H503&amp;"|"&amp;$Q503,Tariff_Master!$A$2:$L$169,3,FALSE),"")</f>
        <v/>
      </c>
      <c r="AD503" s="17">
        <f>IFERROR(VLOOKUP($H503&amp;"|"&amp;$Q503,Tariff_Master!$A$2:$L$169,4,FALSE),"")</f>
        <v/>
      </c>
      <c r="AE503" s="18">
        <f>IFERROR(VLOOKUP($H503&amp;"|"&amp;$Q503,Tariff_Master!$A$2:$L$169,6,FALSE),"")</f>
        <v/>
      </c>
      <c r="AF503" s="19">
        <f>IFERROR(VLOOKUP($H503&amp;"|"&amp;$Q503,Tariff_Master!$A$2:$L$169,7,FALSE),"")</f>
        <v/>
      </c>
      <c r="AG503" s="18">
        <f>IFERROR(VLOOKUP($H503&amp;"|"&amp;$Q503,Tariff_Master!$A$2:$L$169,8,FALSE),"")</f>
        <v/>
      </c>
      <c r="AH503" s="20">
        <f>IFERROR(VLOOKUP($H503&amp;"|"&amp;$Q503,Tariff_Master!$A$2:$L$169,9,FALSE),"")</f>
        <v/>
      </c>
      <c r="AI503" s="18">
        <f>IFERROR(VLOOKUP($H503&amp;"|"&amp;$Q503,Tariff_Master!$A$2:$L$169,10,FALSE),"")</f>
        <v/>
      </c>
      <c r="AJ503" s="21">
        <f>IF($M503="","",ROUNDUP(MAX(0,$M503),0))</f>
        <v/>
      </c>
      <c r="AK503" s="21">
        <f>IF(OR($AJ503="",$AF503=""),"",MAX(0,$AJ503-$AF503))</f>
        <v/>
      </c>
      <c r="AL503" s="22">
        <f>IF(OR($AK503="",$AG503=""),"",MAX(0,$AK503*$AG503))</f>
        <v/>
      </c>
      <c r="AM503" s="22">
        <f>IF($AE503="","",MAX(0,SUM($AE503,$AL503,$V503,$W503)))</f>
        <v/>
      </c>
      <c r="AN503" s="22">
        <f>IF($AM503="","",IF(AND($Q503="COMMITMENT",$R503&gt;=$AH503),$AI503,0))</f>
        <v/>
      </c>
      <c r="AO503" s="23">
        <f>IF($AM503="","",MAX(0,$AM503-$AN503))</f>
        <v/>
      </c>
      <c r="AP503" s="22">
        <f>IF($S503="","",IF(OR($S503="ITEM_PRICE_PLUS_DECLARED_DELIVERY",$S503="DELIVERY_CHARGE_ONLY"),$K503,IF($S503="TOTAL_AMOUNT_INCLUDING_DELIVERY",IF(OR($T503="",$J503=""),"",MAX(0,$T503-$J503-$U503)),IF($S503="ITEM_PRICE_ONLY_DELIVERY_PAID_BY_MERCHANT",0,""))))</f>
        <v/>
      </c>
      <c r="AQ503" s="23">
        <f>IF(OR($AP503="",$AO503=""),"",$AP503-$AO503)</f>
        <v/>
      </c>
      <c r="AR503" s="24">
        <f>IF($S503="EXACT_COLLECTION_AMOUNT","BREAKDOWN_REQUIRED",IF($AQ503="","",IF($AQ503&gt;0,"CREDIT_TO_MERCHANT",IF($AQ503&lt;0,"DEDUCT_FROM_MERCHANT","NO_ADJUSTMENT"))))</f>
        <v/>
      </c>
      <c r="AS503" s="23">
        <f>IF(OR($AQ503="",$AR503="BREAKDOWN_REQUIRED"),"",$AQ503)</f>
        <v/>
      </c>
      <c r="AT503" s="23">
        <f>IF(OR($AR503="",$AR503="BREAKDOWN_REQUIRED"),"",SUM($J503,$AQ503,$Y503)-$X503)</f>
        <v/>
      </c>
      <c r="AU503" s="25">
        <f>IF(AND($A503="",$B503="",$F503="",$H503="",$J503="",$K503="",$M503="",$S503=""),"",IF(OR($H503="",$Q503="",$M503="",$S503=""),"ERROR",IF(OR($J503&lt;0,$K503&lt;0,$M503&lt;0,$T503&lt;0,$U503&lt;0,$V503&lt;0,$W503&lt;0,$X503&lt;0,$Y503&lt;0),"ERROR",IF($AE503="","ERROR",IF(AND(OR($S503="ITEM_PRICE_PLUS_DECLARED_DELIVERY",$S503="TOTAL_AMOUNT_INCLUDING_DELIVERY",$S503="ITEM_PRICE_ONLY_DELIVERY_PAID_BY_MERCHANT"),$J503=""),"ERROR",IF(AND(OR($S503="ITEM_PRICE_PLUS_DECLARED_DELIVERY",$S503="DELIVERY_CHARGE_ONLY"),$K503=""),"ERROR",IF(AND(OR($S503="TOTAL_AMOUNT_INCLUDING_DELIVERY",$S503="EXACT_COLLECTION_AMOUNT"),$T503=""),"ERROR",IF(AND($S503="TOTAL_AMOUNT_INCLUDING_DELIVERY",$T503&lt;SUM($J503,$U503)),"ERROR",IF($S503="EXACT_COLLECTION_AMOUNT","REVIEW","OK")))))))))</f>
        <v/>
      </c>
      <c r="AV503" s="25">
        <f>IF($AU503="","",IF($H503="","Township required",IF($Q503="","Customer tier required",IF($M503="","Weight required",IF($S503="","Amount entry type required",IF(OR($J503&lt;0,$K503&lt;0,$M503&lt;0,$T503&lt;0,$U503&lt;0,$V503&lt;0,$W503&lt;0,$X503&lt;0,$Y503&lt;0),"Negative amounts are not allowed",IF($AE503="","Tariff not found for township and tier",IF(AND(OR($S503="ITEM_PRICE_PLUS_DECLARED_DELIVERY",$S503="TOTAL_AMOUNT_INCLUDING_DELIVERY",$S503="ITEM_PRICE_ONLY_DELIVERY_PAID_BY_MERCHANT"),$J503=""),"Item price required for this amount type",IF(AND(OR($S503="ITEM_PRICE_PLUS_DECLARED_DELIVERY",$S503="DELIVERY_CHARGE_ONLY"),$K503=""),"Declared delivery charge required",IF(AND(OR($S503="TOTAL_AMOUNT_INCLUDING_DELIVERY",$S503="EXACT_COLLECTION_AMOUNT"),$T503=""),"Stated total amount required",IF(AND($S503="TOTAL_AMOUNT_INCLUDING_DELIVERY",$T503&lt;SUM($J503,$U503)),"Stated total is below item price plus additional charge",IF($S503="EXACT_COLLECTION_AMOUNT","Authorized amount breakdown required before settlement","Ready for collection and settlement"))))))))))))</f>
        <v/>
      </c>
      <c r="AW503" s="23">
        <f>IF($AU503="","","PARCEL_FINANCIAL_V2")</f>
        <v/>
      </c>
      <c r="AX503" s="17" t="n"/>
    </row>
    <row r="504">
      <c r="A504" s="8" t="n"/>
      <c r="B504" s="8" t="n"/>
      <c r="C504" s="8" t="n"/>
      <c r="D504" s="8" t="n"/>
      <c r="E504" s="9" t="n"/>
      <c r="F504" s="9" t="n"/>
      <c r="G504" s="8" t="n"/>
      <c r="H504" s="9" t="n"/>
      <c r="I504" s="9" t="n"/>
      <c r="J504" s="10" t="n"/>
      <c r="K504" s="10" t="n"/>
      <c r="L504" s="11">
        <f>IF($S504="","",IF($S504="ITEM_PRICE_PLUS_DECLARED_DELIVERY",IF(OR($J504="",$K504=""),"",SUM($J504,$K504,$U504)),IF($S504="TOTAL_AMOUNT_INCLUDING_DELIVERY",IF($T504="","",$T504),IF($S504="DELIVERY_CHARGE_ONLY",IF($K504="","",SUM($K504,$U504)),IF($S504="EXACT_COLLECTION_AMOUNT",IF($T504="","",$T504),IF($S504="ITEM_PRICE_ONLY_DELIVERY_PAID_BY_MERCHANT",IF($J504="","",SUM($J504,$U504)),""))))))</f>
        <v/>
      </c>
      <c r="M504" s="12" t="n"/>
      <c r="N504" s="13" t="n"/>
      <c r="O504" s="13" t="n"/>
      <c r="P504" s="9" t="n"/>
      <c r="Q504" s="14" t="n"/>
      <c r="R504" s="15" t="n"/>
      <c r="S504" s="14" t="n"/>
      <c r="T504" s="16" t="n"/>
      <c r="U504" s="16" t="n"/>
      <c r="V504" s="16" t="n"/>
      <c r="W504" s="16" t="n"/>
      <c r="X504" s="16" t="n"/>
      <c r="Y504" s="16" t="n"/>
      <c r="Z504" s="14" t="n"/>
      <c r="AA504" s="14" t="n"/>
      <c r="AB504" s="14" t="n"/>
      <c r="AC504" s="17">
        <f>IFERROR(VLOOKUP($H504&amp;"|"&amp;$Q504,Tariff_Master!$A$2:$L$169,3,FALSE),"")</f>
        <v/>
      </c>
      <c r="AD504" s="17">
        <f>IFERROR(VLOOKUP($H504&amp;"|"&amp;$Q504,Tariff_Master!$A$2:$L$169,4,FALSE),"")</f>
        <v/>
      </c>
      <c r="AE504" s="18">
        <f>IFERROR(VLOOKUP($H504&amp;"|"&amp;$Q504,Tariff_Master!$A$2:$L$169,6,FALSE),"")</f>
        <v/>
      </c>
      <c r="AF504" s="19">
        <f>IFERROR(VLOOKUP($H504&amp;"|"&amp;$Q504,Tariff_Master!$A$2:$L$169,7,FALSE),"")</f>
        <v/>
      </c>
      <c r="AG504" s="18">
        <f>IFERROR(VLOOKUP($H504&amp;"|"&amp;$Q504,Tariff_Master!$A$2:$L$169,8,FALSE),"")</f>
        <v/>
      </c>
      <c r="AH504" s="20">
        <f>IFERROR(VLOOKUP($H504&amp;"|"&amp;$Q504,Tariff_Master!$A$2:$L$169,9,FALSE),"")</f>
        <v/>
      </c>
      <c r="AI504" s="18">
        <f>IFERROR(VLOOKUP($H504&amp;"|"&amp;$Q504,Tariff_Master!$A$2:$L$169,10,FALSE),"")</f>
        <v/>
      </c>
      <c r="AJ504" s="21">
        <f>IF($M504="","",ROUNDUP(MAX(0,$M504),0))</f>
        <v/>
      </c>
      <c r="AK504" s="21">
        <f>IF(OR($AJ504="",$AF504=""),"",MAX(0,$AJ504-$AF504))</f>
        <v/>
      </c>
      <c r="AL504" s="22">
        <f>IF(OR($AK504="",$AG504=""),"",MAX(0,$AK504*$AG504))</f>
        <v/>
      </c>
      <c r="AM504" s="22">
        <f>IF($AE504="","",MAX(0,SUM($AE504,$AL504,$V504,$W504)))</f>
        <v/>
      </c>
      <c r="AN504" s="22">
        <f>IF($AM504="","",IF(AND($Q504="COMMITMENT",$R504&gt;=$AH504),$AI504,0))</f>
        <v/>
      </c>
      <c r="AO504" s="23">
        <f>IF($AM504="","",MAX(0,$AM504-$AN504))</f>
        <v/>
      </c>
      <c r="AP504" s="22">
        <f>IF($S504="","",IF(OR($S504="ITEM_PRICE_PLUS_DECLARED_DELIVERY",$S504="DELIVERY_CHARGE_ONLY"),$K504,IF($S504="TOTAL_AMOUNT_INCLUDING_DELIVERY",IF(OR($T504="",$J504=""),"",MAX(0,$T504-$J504-$U504)),IF($S504="ITEM_PRICE_ONLY_DELIVERY_PAID_BY_MERCHANT",0,""))))</f>
        <v/>
      </c>
      <c r="AQ504" s="23">
        <f>IF(OR($AP504="",$AO504=""),"",$AP504-$AO504)</f>
        <v/>
      </c>
      <c r="AR504" s="24">
        <f>IF($S504="EXACT_COLLECTION_AMOUNT","BREAKDOWN_REQUIRED",IF($AQ504="","",IF($AQ504&gt;0,"CREDIT_TO_MERCHANT",IF($AQ504&lt;0,"DEDUCT_FROM_MERCHANT","NO_ADJUSTMENT"))))</f>
        <v/>
      </c>
      <c r="AS504" s="23">
        <f>IF(OR($AQ504="",$AR504="BREAKDOWN_REQUIRED"),"",$AQ504)</f>
        <v/>
      </c>
      <c r="AT504" s="23">
        <f>IF(OR($AR504="",$AR504="BREAKDOWN_REQUIRED"),"",SUM($J504,$AQ504,$Y504)-$X504)</f>
        <v/>
      </c>
      <c r="AU504" s="25">
        <f>IF(AND($A504="",$B504="",$F504="",$H504="",$J504="",$K504="",$M504="",$S504=""),"",IF(OR($H504="",$Q504="",$M504="",$S504=""),"ERROR",IF(OR($J504&lt;0,$K504&lt;0,$M504&lt;0,$T504&lt;0,$U504&lt;0,$V504&lt;0,$W504&lt;0,$X504&lt;0,$Y504&lt;0),"ERROR",IF($AE504="","ERROR",IF(AND(OR($S504="ITEM_PRICE_PLUS_DECLARED_DELIVERY",$S504="TOTAL_AMOUNT_INCLUDING_DELIVERY",$S504="ITEM_PRICE_ONLY_DELIVERY_PAID_BY_MERCHANT"),$J504=""),"ERROR",IF(AND(OR($S504="ITEM_PRICE_PLUS_DECLARED_DELIVERY",$S504="DELIVERY_CHARGE_ONLY"),$K504=""),"ERROR",IF(AND(OR($S504="TOTAL_AMOUNT_INCLUDING_DELIVERY",$S504="EXACT_COLLECTION_AMOUNT"),$T504=""),"ERROR",IF(AND($S504="TOTAL_AMOUNT_INCLUDING_DELIVERY",$T504&lt;SUM($J504,$U504)),"ERROR",IF($S504="EXACT_COLLECTION_AMOUNT","REVIEW","OK")))))))))</f>
        <v/>
      </c>
      <c r="AV504" s="25">
        <f>IF($AU504="","",IF($H504="","Township required",IF($Q504="","Customer tier required",IF($M504="","Weight required",IF($S504="","Amount entry type required",IF(OR($J504&lt;0,$K504&lt;0,$M504&lt;0,$T504&lt;0,$U504&lt;0,$V504&lt;0,$W504&lt;0,$X504&lt;0,$Y504&lt;0),"Negative amounts are not allowed",IF($AE504="","Tariff not found for township and tier",IF(AND(OR($S504="ITEM_PRICE_PLUS_DECLARED_DELIVERY",$S504="TOTAL_AMOUNT_INCLUDING_DELIVERY",$S504="ITEM_PRICE_ONLY_DELIVERY_PAID_BY_MERCHANT"),$J504=""),"Item price required for this amount type",IF(AND(OR($S504="ITEM_PRICE_PLUS_DECLARED_DELIVERY",$S504="DELIVERY_CHARGE_ONLY"),$K504=""),"Declared delivery charge required",IF(AND(OR($S504="TOTAL_AMOUNT_INCLUDING_DELIVERY",$S504="EXACT_COLLECTION_AMOUNT"),$T504=""),"Stated total amount required",IF(AND($S504="TOTAL_AMOUNT_INCLUDING_DELIVERY",$T504&lt;SUM($J504,$U504)),"Stated total is below item price plus additional charge",IF($S504="EXACT_COLLECTION_AMOUNT","Authorized amount breakdown required before settlement","Ready for collection and settlement"))))))))))))</f>
        <v/>
      </c>
      <c r="AW504" s="23">
        <f>IF($AU504="","","PARCEL_FINANCIAL_V2")</f>
        <v/>
      </c>
      <c r="AX504" s="17" t="n"/>
    </row>
    <row r="505">
      <c r="A505" s="8" t="n"/>
      <c r="B505" s="8" t="n"/>
      <c r="C505" s="8" t="n"/>
      <c r="D505" s="8" t="n"/>
      <c r="E505" s="9" t="n"/>
      <c r="F505" s="9" t="n"/>
      <c r="G505" s="8" t="n"/>
      <c r="H505" s="9" t="n"/>
      <c r="I505" s="9" t="n"/>
      <c r="J505" s="10" t="n"/>
      <c r="K505" s="10" t="n"/>
      <c r="L505" s="11">
        <f>IF($S505="","",IF($S505="ITEM_PRICE_PLUS_DECLARED_DELIVERY",IF(OR($J505="",$K505=""),"",SUM($J505,$K505,$U505)),IF($S505="TOTAL_AMOUNT_INCLUDING_DELIVERY",IF($T505="","",$T505),IF($S505="DELIVERY_CHARGE_ONLY",IF($K505="","",SUM($K505,$U505)),IF($S505="EXACT_COLLECTION_AMOUNT",IF($T505="","",$T505),IF($S505="ITEM_PRICE_ONLY_DELIVERY_PAID_BY_MERCHANT",IF($J505="","",SUM($J505,$U505)),""))))))</f>
        <v/>
      </c>
      <c r="M505" s="12" t="n"/>
      <c r="N505" s="13" t="n"/>
      <c r="O505" s="13" t="n"/>
      <c r="P505" s="9" t="n"/>
      <c r="Q505" s="14" t="n"/>
      <c r="R505" s="15" t="n"/>
      <c r="S505" s="14" t="n"/>
      <c r="T505" s="16" t="n"/>
      <c r="U505" s="16" t="n"/>
      <c r="V505" s="16" t="n"/>
      <c r="W505" s="16" t="n"/>
      <c r="X505" s="16" t="n"/>
      <c r="Y505" s="16" t="n"/>
      <c r="Z505" s="14" t="n"/>
      <c r="AA505" s="14" t="n"/>
      <c r="AB505" s="14" t="n"/>
      <c r="AC505" s="17">
        <f>IFERROR(VLOOKUP($H505&amp;"|"&amp;$Q505,Tariff_Master!$A$2:$L$169,3,FALSE),"")</f>
        <v/>
      </c>
      <c r="AD505" s="17">
        <f>IFERROR(VLOOKUP($H505&amp;"|"&amp;$Q505,Tariff_Master!$A$2:$L$169,4,FALSE),"")</f>
        <v/>
      </c>
      <c r="AE505" s="18">
        <f>IFERROR(VLOOKUP($H505&amp;"|"&amp;$Q505,Tariff_Master!$A$2:$L$169,6,FALSE),"")</f>
        <v/>
      </c>
      <c r="AF505" s="19">
        <f>IFERROR(VLOOKUP($H505&amp;"|"&amp;$Q505,Tariff_Master!$A$2:$L$169,7,FALSE),"")</f>
        <v/>
      </c>
      <c r="AG505" s="18">
        <f>IFERROR(VLOOKUP($H505&amp;"|"&amp;$Q505,Tariff_Master!$A$2:$L$169,8,FALSE),"")</f>
        <v/>
      </c>
      <c r="AH505" s="20">
        <f>IFERROR(VLOOKUP($H505&amp;"|"&amp;$Q505,Tariff_Master!$A$2:$L$169,9,FALSE),"")</f>
        <v/>
      </c>
      <c r="AI505" s="18">
        <f>IFERROR(VLOOKUP($H505&amp;"|"&amp;$Q505,Tariff_Master!$A$2:$L$169,10,FALSE),"")</f>
        <v/>
      </c>
      <c r="AJ505" s="21">
        <f>IF($M505="","",ROUNDUP(MAX(0,$M505),0))</f>
        <v/>
      </c>
      <c r="AK505" s="21">
        <f>IF(OR($AJ505="",$AF505=""),"",MAX(0,$AJ505-$AF505))</f>
        <v/>
      </c>
      <c r="AL505" s="22">
        <f>IF(OR($AK505="",$AG505=""),"",MAX(0,$AK505*$AG505))</f>
        <v/>
      </c>
      <c r="AM505" s="22">
        <f>IF($AE505="","",MAX(0,SUM($AE505,$AL505,$V505,$W505)))</f>
        <v/>
      </c>
      <c r="AN505" s="22">
        <f>IF($AM505="","",IF(AND($Q505="COMMITMENT",$R505&gt;=$AH505),$AI505,0))</f>
        <v/>
      </c>
      <c r="AO505" s="23">
        <f>IF($AM505="","",MAX(0,$AM505-$AN505))</f>
        <v/>
      </c>
      <c r="AP505" s="22">
        <f>IF($S505="","",IF(OR($S505="ITEM_PRICE_PLUS_DECLARED_DELIVERY",$S505="DELIVERY_CHARGE_ONLY"),$K505,IF($S505="TOTAL_AMOUNT_INCLUDING_DELIVERY",IF(OR($T505="",$J505=""),"",MAX(0,$T505-$J505-$U505)),IF($S505="ITEM_PRICE_ONLY_DELIVERY_PAID_BY_MERCHANT",0,""))))</f>
        <v/>
      </c>
      <c r="AQ505" s="23">
        <f>IF(OR($AP505="",$AO505=""),"",$AP505-$AO505)</f>
        <v/>
      </c>
      <c r="AR505" s="24">
        <f>IF($S505="EXACT_COLLECTION_AMOUNT","BREAKDOWN_REQUIRED",IF($AQ505="","",IF($AQ505&gt;0,"CREDIT_TO_MERCHANT",IF($AQ505&lt;0,"DEDUCT_FROM_MERCHANT","NO_ADJUSTMENT"))))</f>
        <v/>
      </c>
      <c r="AS505" s="23">
        <f>IF(OR($AQ505="",$AR505="BREAKDOWN_REQUIRED"),"",$AQ505)</f>
        <v/>
      </c>
      <c r="AT505" s="23">
        <f>IF(OR($AR505="",$AR505="BREAKDOWN_REQUIRED"),"",SUM($J505,$AQ505,$Y505)-$X505)</f>
        <v/>
      </c>
      <c r="AU505" s="25">
        <f>IF(AND($A505="",$B505="",$F505="",$H505="",$J505="",$K505="",$M505="",$S505=""),"",IF(OR($H505="",$Q505="",$M505="",$S505=""),"ERROR",IF(OR($J505&lt;0,$K505&lt;0,$M505&lt;0,$T505&lt;0,$U505&lt;0,$V505&lt;0,$W505&lt;0,$X505&lt;0,$Y505&lt;0),"ERROR",IF($AE505="","ERROR",IF(AND(OR($S505="ITEM_PRICE_PLUS_DECLARED_DELIVERY",$S505="TOTAL_AMOUNT_INCLUDING_DELIVERY",$S505="ITEM_PRICE_ONLY_DELIVERY_PAID_BY_MERCHANT"),$J505=""),"ERROR",IF(AND(OR($S505="ITEM_PRICE_PLUS_DECLARED_DELIVERY",$S505="DELIVERY_CHARGE_ONLY"),$K505=""),"ERROR",IF(AND(OR($S505="TOTAL_AMOUNT_INCLUDING_DELIVERY",$S505="EXACT_COLLECTION_AMOUNT"),$T505=""),"ERROR",IF(AND($S505="TOTAL_AMOUNT_INCLUDING_DELIVERY",$T505&lt;SUM($J505,$U505)),"ERROR",IF($S505="EXACT_COLLECTION_AMOUNT","REVIEW","OK")))))))))</f>
        <v/>
      </c>
      <c r="AV505" s="25">
        <f>IF($AU505="","",IF($H505="","Township required",IF($Q505="","Customer tier required",IF($M505="","Weight required",IF($S505="","Amount entry type required",IF(OR($J505&lt;0,$K505&lt;0,$M505&lt;0,$T505&lt;0,$U505&lt;0,$V505&lt;0,$W505&lt;0,$X505&lt;0,$Y505&lt;0),"Negative amounts are not allowed",IF($AE505="","Tariff not found for township and tier",IF(AND(OR($S505="ITEM_PRICE_PLUS_DECLARED_DELIVERY",$S505="TOTAL_AMOUNT_INCLUDING_DELIVERY",$S505="ITEM_PRICE_ONLY_DELIVERY_PAID_BY_MERCHANT"),$J505=""),"Item price required for this amount type",IF(AND(OR($S505="ITEM_PRICE_PLUS_DECLARED_DELIVERY",$S505="DELIVERY_CHARGE_ONLY"),$K505=""),"Declared delivery charge required",IF(AND(OR($S505="TOTAL_AMOUNT_INCLUDING_DELIVERY",$S505="EXACT_COLLECTION_AMOUNT"),$T505=""),"Stated total amount required",IF(AND($S505="TOTAL_AMOUNT_INCLUDING_DELIVERY",$T505&lt;SUM($J505,$U505)),"Stated total is below item price plus additional charge",IF($S505="EXACT_COLLECTION_AMOUNT","Authorized amount breakdown required before settlement","Ready for collection and settlement"))))))))))))</f>
        <v/>
      </c>
      <c r="AW505" s="23">
        <f>IF($AU505="","","PARCEL_FINANCIAL_V2")</f>
        <v/>
      </c>
      <c r="AX505" s="17" t="n"/>
    </row>
    <row r="506">
      <c r="A506" s="8" t="n"/>
      <c r="B506" s="8" t="n"/>
      <c r="C506" s="8" t="n"/>
      <c r="D506" s="8" t="n"/>
      <c r="E506" s="9" t="n"/>
      <c r="F506" s="9" t="n"/>
      <c r="G506" s="8" t="n"/>
      <c r="H506" s="9" t="n"/>
      <c r="I506" s="9" t="n"/>
      <c r="J506" s="10" t="n"/>
      <c r="K506" s="10" t="n"/>
      <c r="L506" s="11">
        <f>IF($S506="","",IF($S506="ITEM_PRICE_PLUS_DECLARED_DELIVERY",IF(OR($J506="",$K506=""),"",SUM($J506,$K506,$U506)),IF($S506="TOTAL_AMOUNT_INCLUDING_DELIVERY",IF($T506="","",$T506),IF($S506="DELIVERY_CHARGE_ONLY",IF($K506="","",SUM($K506,$U506)),IF($S506="EXACT_COLLECTION_AMOUNT",IF($T506="","",$T506),IF($S506="ITEM_PRICE_ONLY_DELIVERY_PAID_BY_MERCHANT",IF($J506="","",SUM($J506,$U506)),""))))))</f>
        <v/>
      </c>
      <c r="M506" s="12" t="n"/>
      <c r="N506" s="13" t="n"/>
      <c r="O506" s="13" t="n"/>
      <c r="P506" s="9" t="n"/>
      <c r="Q506" s="14" t="n"/>
      <c r="R506" s="15" t="n"/>
      <c r="S506" s="14" t="n"/>
      <c r="T506" s="16" t="n"/>
      <c r="U506" s="16" t="n"/>
      <c r="V506" s="16" t="n"/>
      <c r="W506" s="16" t="n"/>
      <c r="X506" s="16" t="n"/>
      <c r="Y506" s="16" t="n"/>
      <c r="Z506" s="14" t="n"/>
      <c r="AA506" s="14" t="n"/>
      <c r="AB506" s="14" t="n"/>
      <c r="AC506" s="17">
        <f>IFERROR(VLOOKUP($H506&amp;"|"&amp;$Q506,Tariff_Master!$A$2:$L$169,3,FALSE),"")</f>
        <v/>
      </c>
      <c r="AD506" s="17">
        <f>IFERROR(VLOOKUP($H506&amp;"|"&amp;$Q506,Tariff_Master!$A$2:$L$169,4,FALSE),"")</f>
        <v/>
      </c>
      <c r="AE506" s="18">
        <f>IFERROR(VLOOKUP($H506&amp;"|"&amp;$Q506,Tariff_Master!$A$2:$L$169,6,FALSE),"")</f>
        <v/>
      </c>
      <c r="AF506" s="19">
        <f>IFERROR(VLOOKUP($H506&amp;"|"&amp;$Q506,Tariff_Master!$A$2:$L$169,7,FALSE),"")</f>
        <v/>
      </c>
      <c r="AG506" s="18">
        <f>IFERROR(VLOOKUP($H506&amp;"|"&amp;$Q506,Tariff_Master!$A$2:$L$169,8,FALSE),"")</f>
        <v/>
      </c>
      <c r="AH506" s="20">
        <f>IFERROR(VLOOKUP($H506&amp;"|"&amp;$Q506,Tariff_Master!$A$2:$L$169,9,FALSE),"")</f>
        <v/>
      </c>
      <c r="AI506" s="18">
        <f>IFERROR(VLOOKUP($H506&amp;"|"&amp;$Q506,Tariff_Master!$A$2:$L$169,10,FALSE),"")</f>
        <v/>
      </c>
      <c r="AJ506" s="21">
        <f>IF($M506="","",ROUNDUP(MAX(0,$M506),0))</f>
        <v/>
      </c>
      <c r="AK506" s="21">
        <f>IF(OR($AJ506="",$AF506=""),"",MAX(0,$AJ506-$AF506))</f>
        <v/>
      </c>
      <c r="AL506" s="22">
        <f>IF(OR($AK506="",$AG506=""),"",MAX(0,$AK506*$AG506))</f>
        <v/>
      </c>
      <c r="AM506" s="22">
        <f>IF($AE506="","",MAX(0,SUM($AE506,$AL506,$V506,$W506)))</f>
        <v/>
      </c>
      <c r="AN506" s="22">
        <f>IF($AM506="","",IF(AND($Q506="COMMITMENT",$R506&gt;=$AH506),$AI506,0))</f>
        <v/>
      </c>
      <c r="AO506" s="23">
        <f>IF($AM506="","",MAX(0,$AM506-$AN506))</f>
        <v/>
      </c>
      <c r="AP506" s="22">
        <f>IF($S506="","",IF(OR($S506="ITEM_PRICE_PLUS_DECLARED_DELIVERY",$S506="DELIVERY_CHARGE_ONLY"),$K506,IF($S506="TOTAL_AMOUNT_INCLUDING_DELIVERY",IF(OR($T506="",$J506=""),"",MAX(0,$T506-$J506-$U506)),IF($S506="ITEM_PRICE_ONLY_DELIVERY_PAID_BY_MERCHANT",0,""))))</f>
        <v/>
      </c>
      <c r="AQ506" s="23">
        <f>IF(OR($AP506="",$AO506=""),"",$AP506-$AO506)</f>
        <v/>
      </c>
      <c r="AR506" s="24">
        <f>IF($S506="EXACT_COLLECTION_AMOUNT","BREAKDOWN_REQUIRED",IF($AQ506="","",IF($AQ506&gt;0,"CREDIT_TO_MERCHANT",IF($AQ506&lt;0,"DEDUCT_FROM_MERCHANT","NO_ADJUSTMENT"))))</f>
        <v/>
      </c>
      <c r="AS506" s="23">
        <f>IF(OR($AQ506="",$AR506="BREAKDOWN_REQUIRED"),"",$AQ506)</f>
        <v/>
      </c>
      <c r="AT506" s="23">
        <f>IF(OR($AR506="",$AR506="BREAKDOWN_REQUIRED"),"",SUM($J506,$AQ506,$Y506)-$X506)</f>
        <v/>
      </c>
      <c r="AU506" s="25">
        <f>IF(AND($A506="",$B506="",$F506="",$H506="",$J506="",$K506="",$M506="",$S506=""),"",IF(OR($H506="",$Q506="",$M506="",$S506=""),"ERROR",IF(OR($J506&lt;0,$K506&lt;0,$M506&lt;0,$T506&lt;0,$U506&lt;0,$V506&lt;0,$W506&lt;0,$X506&lt;0,$Y506&lt;0),"ERROR",IF($AE506="","ERROR",IF(AND(OR($S506="ITEM_PRICE_PLUS_DECLARED_DELIVERY",$S506="TOTAL_AMOUNT_INCLUDING_DELIVERY",$S506="ITEM_PRICE_ONLY_DELIVERY_PAID_BY_MERCHANT"),$J506=""),"ERROR",IF(AND(OR($S506="ITEM_PRICE_PLUS_DECLARED_DELIVERY",$S506="DELIVERY_CHARGE_ONLY"),$K506=""),"ERROR",IF(AND(OR($S506="TOTAL_AMOUNT_INCLUDING_DELIVERY",$S506="EXACT_COLLECTION_AMOUNT"),$T506=""),"ERROR",IF(AND($S506="TOTAL_AMOUNT_INCLUDING_DELIVERY",$T506&lt;SUM($J506,$U506)),"ERROR",IF($S506="EXACT_COLLECTION_AMOUNT","REVIEW","OK")))))))))</f>
        <v/>
      </c>
      <c r="AV506" s="25">
        <f>IF($AU506="","",IF($H506="","Township required",IF($Q506="","Customer tier required",IF($M506="","Weight required",IF($S506="","Amount entry type required",IF(OR($J506&lt;0,$K506&lt;0,$M506&lt;0,$T506&lt;0,$U506&lt;0,$V506&lt;0,$W506&lt;0,$X506&lt;0,$Y506&lt;0),"Negative amounts are not allowed",IF($AE506="","Tariff not found for township and tier",IF(AND(OR($S506="ITEM_PRICE_PLUS_DECLARED_DELIVERY",$S506="TOTAL_AMOUNT_INCLUDING_DELIVERY",$S506="ITEM_PRICE_ONLY_DELIVERY_PAID_BY_MERCHANT"),$J506=""),"Item price required for this amount type",IF(AND(OR($S506="ITEM_PRICE_PLUS_DECLARED_DELIVERY",$S506="DELIVERY_CHARGE_ONLY"),$K506=""),"Declared delivery charge required",IF(AND(OR($S506="TOTAL_AMOUNT_INCLUDING_DELIVERY",$S506="EXACT_COLLECTION_AMOUNT"),$T506=""),"Stated total amount required",IF(AND($S506="TOTAL_AMOUNT_INCLUDING_DELIVERY",$T506&lt;SUM($J506,$U506)),"Stated total is below item price plus additional charge",IF($S506="EXACT_COLLECTION_AMOUNT","Authorized amount breakdown required before settlement","Ready for collection and settlement"))))))))))))</f>
        <v/>
      </c>
      <c r="AW506" s="23">
        <f>IF($AU506="","","PARCEL_FINANCIAL_V2")</f>
        <v/>
      </c>
      <c r="AX506" s="17" t="n"/>
    </row>
    <row r="507">
      <c r="A507" s="8" t="n"/>
      <c r="B507" s="8" t="n"/>
      <c r="C507" s="8" t="n"/>
      <c r="D507" s="8" t="n"/>
      <c r="E507" s="9" t="n"/>
      <c r="F507" s="9" t="n"/>
      <c r="G507" s="8" t="n"/>
      <c r="H507" s="9" t="n"/>
      <c r="I507" s="9" t="n"/>
      <c r="J507" s="10" t="n"/>
      <c r="K507" s="10" t="n"/>
      <c r="L507" s="11">
        <f>IF($S507="","",IF($S507="ITEM_PRICE_PLUS_DECLARED_DELIVERY",IF(OR($J507="",$K507=""),"",SUM($J507,$K507,$U507)),IF($S507="TOTAL_AMOUNT_INCLUDING_DELIVERY",IF($T507="","",$T507),IF($S507="DELIVERY_CHARGE_ONLY",IF($K507="","",SUM($K507,$U507)),IF($S507="EXACT_COLLECTION_AMOUNT",IF($T507="","",$T507),IF($S507="ITEM_PRICE_ONLY_DELIVERY_PAID_BY_MERCHANT",IF($J507="","",SUM($J507,$U507)),""))))))</f>
        <v/>
      </c>
      <c r="M507" s="12" t="n"/>
      <c r="N507" s="13" t="n"/>
      <c r="O507" s="13" t="n"/>
      <c r="P507" s="9" t="n"/>
      <c r="Q507" s="14" t="n"/>
      <c r="R507" s="15" t="n"/>
      <c r="S507" s="14" t="n"/>
      <c r="T507" s="16" t="n"/>
      <c r="U507" s="16" t="n"/>
      <c r="V507" s="16" t="n"/>
      <c r="W507" s="16" t="n"/>
      <c r="X507" s="16" t="n"/>
      <c r="Y507" s="16" t="n"/>
      <c r="Z507" s="14" t="n"/>
      <c r="AA507" s="14" t="n"/>
      <c r="AB507" s="14" t="n"/>
      <c r="AC507" s="17">
        <f>IFERROR(VLOOKUP($H507&amp;"|"&amp;$Q507,Tariff_Master!$A$2:$L$169,3,FALSE),"")</f>
        <v/>
      </c>
      <c r="AD507" s="17">
        <f>IFERROR(VLOOKUP($H507&amp;"|"&amp;$Q507,Tariff_Master!$A$2:$L$169,4,FALSE),"")</f>
        <v/>
      </c>
      <c r="AE507" s="18">
        <f>IFERROR(VLOOKUP($H507&amp;"|"&amp;$Q507,Tariff_Master!$A$2:$L$169,6,FALSE),"")</f>
        <v/>
      </c>
      <c r="AF507" s="19">
        <f>IFERROR(VLOOKUP($H507&amp;"|"&amp;$Q507,Tariff_Master!$A$2:$L$169,7,FALSE),"")</f>
        <v/>
      </c>
      <c r="AG507" s="18">
        <f>IFERROR(VLOOKUP($H507&amp;"|"&amp;$Q507,Tariff_Master!$A$2:$L$169,8,FALSE),"")</f>
        <v/>
      </c>
      <c r="AH507" s="20">
        <f>IFERROR(VLOOKUP($H507&amp;"|"&amp;$Q507,Tariff_Master!$A$2:$L$169,9,FALSE),"")</f>
        <v/>
      </c>
      <c r="AI507" s="18">
        <f>IFERROR(VLOOKUP($H507&amp;"|"&amp;$Q507,Tariff_Master!$A$2:$L$169,10,FALSE),"")</f>
        <v/>
      </c>
      <c r="AJ507" s="21">
        <f>IF($M507="","",ROUNDUP(MAX(0,$M507),0))</f>
        <v/>
      </c>
      <c r="AK507" s="21">
        <f>IF(OR($AJ507="",$AF507=""),"",MAX(0,$AJ507-$AF507))</f>
        <v/>
      </c>
      <c r="AL507" s="22">
        <f>IF(OR($AK507="",$AG507=""),"",MAX(0,$AK507*$AG507))</f>
        <v/>
      </c>
      <c r="AM507" s="22">
        <f>IF($AE507="","",MAX(0,SUM($AE507,$AL507,$V507,$W507)))</f>
        <v/>
      </c>
      <c r="AN507" s="22">
        <f>IF($AM507="","",IF(AND($Q507="COMMITMENT",$R507&gt;=$AH507),$AI507,0))</f>
        <v/>
      </c>
      <c r="AO507" s="23">
        <f>IF($AM507="","",MAX(0,$AM507-$AN507))</f>
        <v/>
      </c>
      <c r="AP507" s="22">
        <f>IF($S507="","",IF(OR($S507="ITEM_PRICE_PLUS_DECLARED_DELIVERY",$S507="DELIVERY_CHARGE_ONLY"),$K507,IF($S507="TOTAL_AMOUNT_INCLUDING_DELIVERY",IF(OR($T507="",$J507=""),"",MAX(0,$T507-$J507-$U507)),IF($S507="ITEM_PRICE_ONLY_DELIVERY_PAID_BY_MERCHANT",0,""))))</f>
        <v/>
      </c>
      <c r="AQ507" s="23">
        <f>IF(OR($AP507="",$AO507=""),"",$AP507-$AO507)</f>
        <v/>
      </c>
      <c r="AR507" s="24">
        <f>IF($S507="EXACT_COLLECTION_AMOUNT","BREAKDOWN_REQUIRED",IF($AQ507="","",IF($AQ507&gt;0,"CREDIT_TO_MERCHANT",IF($AQ507&lt;0,"DEDUCT_FROM_MERCHANT","NO_ADJUSTMENT"))))</f>
        <v/>
      </c>
      <c r="AS507" s="23">
        <f>IF(OR($AQ507="",$AR507="BREAKDOWN_REQUIRED"),"",$AQ507)</f>
        <v/>
      </c>
      <c r="AT507" s="23">
        <f>IF(OR($AR507="",$AR507="BREAKDOWN_REQUIRED"),"",SUM($J507,$AQ507,$Y507)-$X507)</f>
        <v/>
      </c>
      <c r="AU507" s="25">
        <f>IF(AND($A507="",$B507="",$F507="",$H507="",$J507="",$K507="",$M507="",$S507=""),"",IF(OR($H507="",$Q507="",$M507="",$S507=""),"ERROR",IF(OR($J507&lt;0,$K507&lt;0,$M507&lt;0,$T507&lt;0,$U507&lt;0,$V507&lt;0,$W507&lt;0,$X507&lt;0,$Y507&lt;0),"ERROR",IF($AE507="","ERROR",IF(AND(OR($S507="ITEM_PRICE_PLUS_DECLARED_DELIVERY",$S507="TOTAL_AMOUNT_INCLUDING_DELIVERY",$S507="ITEM_PRICE_ONLY_DELIVERY_PAID_BY_MERCHANT"),$J507=""),"ERROR",IF(AND(OR($S507="ITEM_PRICE_PLUS_DECLARED_DELIVERY",$S507="DELIVERY_CHARGE_ONLY"),$K507=""),"ERROR",IF(AND(OR($S507="TOTAL_AMOUNT_INCLUDING_DELIVERY",$S507="EXACT_COLLECTION_AMOUNT"),$T507=""),"ERROR",IF(AND($S507="TOTAL_AMOUNT_INCLUDING_DELIVERY",$T507&lt;SUM($J507,$U507)),"ERROR",IF($S507="EXACT_COLLECTION_AMOUNT","REVIEW","OK")))))))))</f>
        <v/>
      </c>
      <c r="AV507" s="25">
        <f>IF($AU507="","",IF($H507="","Township required",IF($Q507="","Customer tier required",IF($M507="","Weight required",IF($S507="","Amount entry type required",IF(OR($J507&lt;0,$K507&lt;0,$M507&lt;0,$T507&lt;0,$U507&lt;0,$V507&lt;0,$W507&lt;0,$X507&lt;0,$Y507&lt;0),"Negative amounts are not allowed",IF($AE507="","Tariff not found for township and tier",IF(AND(OR($S507="ITEM_PRICE_PLUS_DECLARED_DELIVERY",$S507="TOTAL_AMOUNT_INCLUDING_DELIVERY",$S507="ITEM_PRICE_ONLY_DELIVERY_PAID_BY_MERCHANT"),$J507=""),"Item price required for this amount type",IF(AND(OR($S507="ITEM_PRICE_PLUS_DECLARED_DELIVERY",$S507="DELIVERY_CHARGE_ONLY"),$K507=""),"Declared delivery charge required",IF(AND(OR($S507="TOTAL_AMOUNT_INCLUDING_DELIVERY",$S507="EXACT_COLLECTION_AMOUNT"),$T507=""),"Stated total amount required",IF(AND($S507="TOTAL_AMOUNT_INCLUDING_DELIVERY",$T507&lt;SUM($J507,$U507)),"Stated total is below item price plus additional charge",IF($S507="EXACT_COLLECTION_AMOUNT","Authorized amount breakdown required before settlement","Ready for collection and settlement"))))))))))))</f>
        <v/>
      </c>
      <c r="AW507" s="23">
        <f>IF($AU507="","","PARCEL_FINANCIAL_V2")</f>
        <v/>
      </c>
      <c r="AX507" s="17" t="n"/>
    </row>
    <row r="508">
      <c r="A508" s="8" t="n"/>
      <c r="B508" s="8" t="n"/>
      <c r="C508" s="8" t="n"/>
      <c r="D508" s="8" t="n"/>
      <c r="E508" s="9" t="n"/>
      <c r="F508" s="9" t="n"/>
      <c r="G508" s="8" t="n"/>
      <c r="H508" s="9" t="n"/>
      <c r="I508" s="9" t="n"/>
      <c r="J508" s="10" t="n"/>
      <c r="K508" s="10" t="n"/>
      <c r="L508" s="11">
        <f>IF($S508="","",IF($S508="ITEM_PRICE_PLUS_DECLARED_DELIVERY",IF(OR($J508="",$K508=""),"",SUM($J508,$K508,$U508)),IF($S508="TOTAL_AMOUNT_INCLUDING_DELIVERY",IF($T508="","",$T508),IF($S508="DELIVERY_CHARGE_ONLY",IF($K508="","",SUM($K508,$U508)),IF($S508="EXACT_COLLECTION_AMOUNT",IF($T508="","",$T508),IF($S508="ITEM_PRICE_ONLY_DELIVERY_PAID_BY_MERCHANT",IF($J508="","",SUM($J508,$U508)),""))))))</f>
        <v/>
      </c>
      <c r="M508" s="12" t="n"/>
      <c r="N508" s="13" t="n"/>
      <c r="O508" s="13" t="n"/>
      <c r="P508" s="9" t="n"/>
      <c r="Q508" s="14" t="n"/>
      <c r="R508" s="15" t="n"/>
      <c r="S508" s="14" t="n"/>
      <c r="T508" s="16" t="n"/>
      <c r="U508" s="16" t="n"/>
      <c r="V508" s="16" t="n"/>
      <c r="W508" s="16" t="n"/>
      <c r="X508" s="16" t="n"/>
      <c r="Y508" s="16" t="n"/>
      <c r="Z508" s="14" t="n"/>
      <c r="AA508" s="14" t="n"/>
      <c r="AB508" s="14" t="n"/>
      <c r="AC508" s="17">
        <f>IFERROR(VLOOKUP($H508&amp;"|"&amp;$Q508,Tariff_Master!$A$2:$L$169,3,FALSE),"")</f>
        <v/>
      </c>
      <c r="AD508" s="17">
        <f>IFERROR(VLOOKUP($H508&amp;"|"&amp;$Q508,Tariff_Master!$A$2:$L$169,4,FALSE),"")</f>
        <v/>
      </c>
      <c r="AE508" s="18">
        <f>IFERROR(VLOOKUP($H508&amp;"|"&amp;$Q508,Tariff_Master!$A$2:$L$169,6,FALSE),"")</f>
        <v/>
      </c>
      <c r="AF508" s="19">
        <f>IFERROR(VLOOKUP($H508&amp;"|"&amp;$Q508,Tariff_Master!$A$2:$L$169,7,FALSE),"")</f>
        <v/>
      </c>
      <c r="AG508" s="18">
        <f>IFERROR(VLOOKUP($H508&amp;"|"&amp;$Q508,Tariff_Master!$A$2:$L$169,8,FALSE),"")</f>
        <v/>
      </c>
      <c r="AH508" s="20">
        <f>IFERROR(VLOOKUP($H508&amp;"|"&amp;$Q508,Tariff_Master!$A$2:$L$169,9,FALSE),"")</f>
        <v/>
      </c>
      <c r="AI508" s="18">
        <f>IFERROR(VLOOKUP($H508&amp;"|"&amp;$Q508,Tariff_Master!$A$2:$L$169,10,FALSE),"")</f>
        <v/>
      </c>
      <c r="AJ508" s="21">
        <f>IF($M508="","",ROUNDUP(MAX(0,$M508),0))</f>
        <v/>
      </c>
      <c r="AK508" s="21">
        <f>IF(OR($AJ508="",$AF508=""),"",MAX(0,$AJ508-$AF508))</f>
        <v/>
      </c>
      <c r="AL508" s="22">
        <f>IF(OR($AK508="",$AG508=""),"",MAX(0,$AK508*$AG508))</f>
        <v/>
      </c>
      <c r="AM508" s="22">
        <f>IF($AE508="","",MAX(0,SUM($AE508,$AL508,$V508,$W508)))</f>
        <v/>
      </c>
      <c r="AN508" s="22">
        <f>IF($AM508="","",IF(AND($Q508="COMMITMENT",$R508&gt;=$AH508),$AI508,0))</f>
        <v/>
      </c>
      <c r="AO508" s="23">
        <f>IF($AM508="","",MAX(0,$AM508-$AN508))</f>
        <v/>
      </c>
      <c r="AP508" s="22">
        <f>IF($S508="","",IF(OR($S508="ITEM_PRICE_PLUS_DECLARED_DELIVERY",$S508="DELIVERY_CHARGE_ONLY"),$K508,IF($S508="TOTAL_AMOUNT_INCLUDING_DELIVERY",IF(OR($T508="",$J508=""),"",MAX(0,$T508-$J508-$U508)),IF($S508="ITEM_PRICE_ONLY_DELIVERY_PAID_BY_MERCHANT",0,""))))</f>
        <v/>
      </c>
      <c r="AQ508" s="23">
        <f>IF(OR($AP508="",$AO508=""),"",$AP508-$AO508)</f>
        <v/>
      </c>
      <c r="AR508" s="24">
        <f>IF($S508="EXACT_COLLECTION_AMOUNT","BREAKDOWN_REQUIRED",IF($AQ508="","",IF($AQ508&gt;0,"CREDIT_TO_MERCHANT",IF($AQ508&lt;0,"DEDUCT_FROM_MERCHANT","NO_ADJUSTMENT"))))</f>
        <v/>
      </c>
      <c r="AS508" s="23">
        <f>IF(OR($AQ508="",$AR508="BREAKDOWN_REQUIRED"),"",$AQ508)</f>
        <v/>
      </c>
      <c r="AT508" s="23">
        <f>IF(OR($AR508="",$AR508="BREAKDOWN_REQUIRED"),"",SUM($J508,$AQ508,$Y508)-$X508)</f>
        <v/>
      </c>
      <c r="AU508" s="25">
        <f>IF(AND($A508="",$B508="",$F508="",$H508="",$J508="",$K508="",$M508="",$S508=""),"",IF(OR($H508="",$Q508="",$M508="",$S508=""),"ERROR",IF(OR($J508&lt;0,$K508&lt;0,$M508&lt;0,$T508&lt;0,$U508&lt;0,$V508&lt;0,$W508&lt;0,$X508&lt;0,$Y508&lt;0),"ERROR",IF($AE508="","ERROR",IF(AND(OR($S508="ITEM_PRICE_PLUS_DECLARED_DELIVERY",$S508="TOTAL_AMOUNT_INCLUDING_DELIVERY",$S508="ITEM_PRICE_ONLY_DELIVERY_PAID_BY_MERCHANT"),$J508=""),"ERROR",IF(AND(OR($S508="ITEM_PRICE_PLUS_DECLARED_DELIVERY",$S508="DELIVERY_CHARGE_ONLY"),$K508=""),"ERROR",IF(AND(OR($S508="TOTAL_AMOUNT_INCLUDING_DELIVERY",$S508="EXACT_COLLECTION_AMOUNT"),$T508=""),"ERROR",IF(AND($S508="TOTAL_AMOUNT_INCLUDING_DELIVERY",$T508&lt;SUM($J508,$U508)),"ERROR",IF($S508="EXACT_COLLECTION_AMOUNT","REVIEW","OK")))))))))</f>
        <v/>
      </c>
      <c r="AV508" s="25">
        <f>IF($AU508="","",IF($H508="","Township required",IF($Q508="","Customer tier required",IF($M508="","Weight required",IF($S508="","Amount entry type required",IF(OR($J508&lt;0,$K508&lt;0,$M508&lt;0,$T508&lt;0,$U508&lt;0,$V508&lt;0,$W508&lt;0,$X508&lt;0,$Y508&lt;0),"Negative amounts are not allowed",IF($AE508="","Tariff not found for township and tier",IF(AND(OR($S508="ITEM_PRICE_PLUS_DECLARED_DELIVERY",$S508="TOTAL_AMOUNT_INCLUDING_DELIVERY",$S508="ITEM_PRICE_ONLY_DELIVERY_PAID_BY_MERCHANT"),$J508=""),"Item price required for this amount type",IF(AND(OR($S508="ITEM_PRICE_PLUS_DECLARED_DELIVERY",$S508="DELIVERY_CHARGE_ONLY"),$K508=""),"Declared delivery charge required",IF(AND(OR($S508="TOTAL_AMOUNT_INCLUDING_DELIVERY",$S508="EXACT_COLLECTION_AMOUNT"),$T508=""),"Stated total amount required",IF(AND($S508="TOTAL_AMOUNT_INCLUDING_DELIVERY",$T508&lt;SUM($J508,$U508)),"Stated total is below item price plus additional charge",IF($S508="EXACT_COLLECTION_AMOUNT","Authorized amount breakdown required before settlement","Ready for collection and settlement"))))))))))))</f>
        <v/>
      </c>
      <c r="AW508" s="23">
        <f>IF($AU508="","","PARCEL_FINANCIAL_V2")</f>
        <v/>
      </c>
      <c r="AX508" s="17" t="n"/>
    </row>
    <row r="509">
      <c r="A509" s="8" t="n"/>
      <c r="B509" s="8" t="n"/>
      <c r="C509" s="8" t="n"/>
      <c r="D509" s="8" t="n"/>
      <c r="E509" s="9" t="n"/>
      <c r="F509" s="9" t="n"/>
      <c r="G509" s="8" t="n"/>
      <c r="H509" s="9" t="n"/>
      <c r="I509" s="9" t="n"/>
      <c r="J509" s="10" t="n"/>
      <c r="K509" s="10" t="n"/>
      <c r="L509" s="11">
        <f>IF($S509="","",IF($S509="ITEM_PRICE_PLUS_DECLARED_DELIVERY",IF(OR($J509="",$K509=""),"",SUM($J509,$K509,$U509)),IF($S509="TOTAL_AMOUNT_INCLUDING_DELIVERY",IF($T509="","",$T509),IF($S509="DELIVERY_CHARGE_ONLY",IF($K509="","",SUM($K509,$U509)),IF($S509="EXACT_COLLECTION_AMOUNT",IF($T509="","",$T509),IF($S509="ITEM_PRICE_ONLY_DELIVERY_PAID_BY_MERCHANT",IF($J509="","",SUM($J509,$U509)),""))))))</f>
        <v/>
      </c>
      <c r="M509" s="12" t="n"/>
      <c r="N509" s="13" t="n"/>
      <c r="O509" s="13" t="n"/>
      <c r="P509" s="9" t="n"/>
      <c r="Q509" s="14" t="n"/>
      <c r="R509" s="15" t="n"/>
      <c r="S509" s="14" t="n"/>
      <c r="T509" s="16" t="n"/>
      <c r="U509" s="16" t="n"/>
      <c r="V509" s="16" t="n"/>
      <c r="W509" s="16" t="n"/>
      <c r="X509" s="16" t="n"/>
      <c r="Y509" s="16" t="n"/>
      <c r="Z509" s="14" t="n"/>
      <c r="AA509" s="14" t="n"/>
      <c r="AB509" s="14" t="n"/>
      <c r="AC509" s="17">
        <f>IFERROR(VLOOKUP($H509&amp;"|"&amp;$Q509,Tariff_Master!$A$2:$L$169,3,FALSE),"")</f>
        <v/>
      </c>
      <c r="AD509" s="17">
        <f>IFERROR(VLOOKUP($H509&amp;"|"&amp;$Q509,Tariff_Master!$A$2:$L$169,4,FALSE),"")</f>
        <v/>
      </c>
      <c r="AE509" s="18">
        <f>IFERROR(VLOOKUP($H509&amp;"|"&amp;$Q509,Tariff_Master!$A$2:$L$169,6,FALSE),"")</f>
        <v/>
      </c>
      <c r="AF509" s="19">
        <f>IFERROR(VLOOKUP($H509&amp;"|"&amp;$Q509,Tariff_Master!$A$2:$L$169,7,FALSE),"")</f>
        <v/>
      </c>
      <c r="AG509" s="18">
        <f>IFERROR(VLOOKUP($H509&amp;"|"&amp;$Q509,Tariff_Master!$A$2:$L$169,8,FALSE),"")</f>
        <v/>
      </c>
      <c r="AH509" s="20">
        <f>IFERROR(VLOOKUP($H509&amp;"|"&amp;$Q509,Tariff_Master!$A$2:$L$169,9,FALSE),"")</f>
        <v/>
      </c>
      <c r="AI509" s="18">
        <f>IFERROR(VLOOKUP($H509&amp;"|"&amp;$Q509,Tariff_Master!$A$2:$L$169,10,FALSE),"")</f>
        <v/>
      </c>
      <c r="AJ509" s="21">
        <f>IF($M509="","",ROUNDUP(MAX(0,$M509),0))</f>
        <v/>
      </c>
      <c r="AK509" s="21">
        <f>IF(OR($AJ509="",$AF509=""),"",MAX(0,$AJ509-$AF509))</f>
        <v/>
      </c>
      <c r="AL509" s="22">
        <f>IF(OR($AK509="",$AG509=""),"",MAX(0,$AK509*$AG509))</f>
        <v/>
      </c>
      <c r="AM509" s="22">
        <f>IF($AE509="","",MAX(0,SUM($AE509,$AL509,$V509,$W509)))</f>
        <v/>
      </c>
      <c r="AN509" s="22">
        <f>IF($AM509="","",IF(AND($Q509="COMMITMENT",$R509&gt;=$AH509),$AI509,0))</f>
        <v/>
      </c>
      <c r="AO509" s="23">
        <f>IF($AM509="","",MAX(0,$AM509-$AN509))</f>
        <v/>
      </c>
      <c r="AP509" s="22">
        <f>IF($S509="","",IF(OR($S509="ITEM_PRICE_PLUS_DECLARED_DELIVERY",$S509="DELIVERY_CHARGE_ONLY"),$K509,IF($S509="TOTAL_AMOUNT_INCLUDING_DELIVERY",IF(OR($T509="",$J509=""),"",MAX(0,$T509-$J509-$U509)),IF($S509="ITEM_PRICE_ONLY_DELIVERY_PAID_BY_MERCHANT",0,""))))</f>
        <v/>
      </c>
      <c r="AQ509" s="23">
        <f>IF(OR($AP509="",$AO509=""),"",$AP509-$AO509)</f>
        <v/>
      </c>
      <c r="AR509" s="24">
        <f>IF($S509="EXACT_COLLECTION_AMOUNT","BREAKDOWN_REQUIRED",IF($AQ509="","",IF($AQ509&gt;0,"CREDIT_TO_MERCHANT",IF($AQ509&lt;0,"DEDUCT_FROM_MERCHANT","NO_ADJUSTMENT"))))</f>
        <v/>
      </c>
      <c r="AS509" s="23">
        <f>IF(OR($AQ509="",$AR509="BREAKDOWN_REQUIRED"),"",$AQ509)</f>
        <v/>
      </c>
      <c r="AT509" s="23">
        <f>IF(OR($AR509="",$AR509="BREAKDOWN_REQUIRED"),"",SUM($J509,$AQ509,$Y509)-$X509)</f>
        <v/>
      </c>
      <c r="AU509" s="25">
        <f>IF(AND($A509="",$B509="",$F509="",$H509="",$J509="",$K509="",$M509="",$S509=""),"",IF(OR($H509="",$Q509="",$M509="",$S509=""),"ERROR",IF(OR($J509&lt;0,$K509&lt;0,$M509&lt;0,$T509&lt;0,$U509&lt;0,$V509&lt;0,$W509&lt;0,$X509&lt;0,$Y509&lt;0),"ERROR",IF($AE509="","ERROR",IF(AND(OR($S509="ITEM_PRICE_PLUS_DECLARED_DELIVERY",$S509="TOTAL_AMOUNT_INCLUDING_DELIVERY",$S509="ITEM_PRICE_ONLY_DELIVERY_PAID_BY_MERCHANT"),$J509=""),"ERROR",IF(AND(OR($S509="ITEM_PRICE_PLUS_DECLARED_DELIVERY",$S509="DELIVERY_CHARGE_ONLY"),$K509=""),"ERROR",IF(AND(OR($S509="TOTAL_AMOUNT_INCLUDING_DELIVERY",$S509="EXACT_COLLECTION_AMOUNT"),$T509=""),"ERROR",IF(AND($S509="TOTAL_AMOUNT_INCLUDING_DELIVERY",$T509&lt;SUM($J509,$U509)),"ERROR",IF($S509="EXACT_COLLECTION_AMOUNT","REVIEW","OK")))))))))</f>
        <v/>
      </c>
      <c r="AV509" s="25">
        <f>IF($AU509="","",IF($H509="","Township required",IF($Q509="","Customer tier required",IF($M509="","Weight required",IF($S509="","Amount entry type required",IF(OR($J509&lt;0,$K509&lt;0,$M509&lt;0,$T509&lt;0,$U509&lt;0,$V509&lt;0,$W509&lt;0,$X509&lt;0,$Y509&lt;0),"Negative amounts are not allowed",IF($AE509="","Tariff not found for township and tier",IF(AND(OR($S509="ITEM_PRICE_PLUS_DECLARED_DELIVERY",$S509="TOTAL_AMOUNT_INCLUDING_DELIVERY",$S509="ITEM_PRICE_ONLY_DELIVERY_PAID_BY_MERCHANT"),$J509=""),"Item price required for this amount type",IF(AND(OR($S509="ITEM_PRICE_PLUS_DECLARED_DELIVERY",$S509="DELIVERY_CHARGE_ONLY"),$K509=""),"Declared delivery charge required",IF(AND(OR($S509="TOTAL_AMOUNT_INCLUDING_DELIVERY",$S509="EXACT_COLLECTION_AMOUNT"),$T509=""),"Stated total amount required",IF(AND($S509="TOTAL_AMOUNT_INCLUDING_DELIVERY",$T509&lt;SUM($J509,$U509)),"Stated total is below item price plus additional charge",IF($S509="EXACT_COLLECTION_AMOUNT","Authorized amount breakdown required before settlement","Ready for collection and settlement"))))))))))))</f>
        <v/>
      </c>
      <c r="AW509" s="23">
        <f>IF($AU509="","","PARCEL_FINANCIAL_V2")</f>
        <v/>
      </c>
      <c r="AX509" s="17" t="n"/>
    </row>
    <row r="510">
      <c r="A510" s="8" t="n"/>
      <c r="B510" s="8" t="n"/>
      <c r="C510" s="8" t="n"/>
      <c r="D510" s="8" t="n"/>
      <c r="E510" s="9" t="n"/>
      <c r="F510" s="9" t="n"/>
      <c r="G510" s="8" t="n"/>
      <c r="H510" s="9" t="n"/>
      <c r="I510" s="9" t="n"/>
      <c r="J510" s="10" t="n"/>
      <c r="K510" s="10" t="n"/>
      <c r="L510" s="11">
        <f>IF($S510="","",IF($S510="ITEM_PRICE_PLUS_DECLARED_DELIVERY",IF(OR($J510="",$K510=""),"",SUM($J510,$K510,$U510)),IF($S510="TOTAL_AMOUNT_INCLUDING_DELIVERY",IF($T510="","",$T510),IF($S510="DELIVERY_CHARGE_ONLY",IF($K510="","",SUM($K510,$U510)),IF($S510="EXACT_COLLECTION_AMOUNT",IF($T510="","",$T510),IF($S510="ITEM_PRICE_ONLY_DELIVERY_PAID_BY_MERCHANT",IF($J510="","",SUM($J510,$U510)),""))))))</f>
        <v/>
      </c>
      <c r="M510" s="12" t="n"/>
      <c r="N510" s="13" t="n"/>
      <c r="O510" s="13" t="n"/>
      <c r="P510" s="9" t="n"/>
      <c r="Q510" s="14" t="n"/>
      <c r="R510" s="15" t="n"/>
      <c r="S510" s="14" t="n"/>
      <c r="T510" s="16" t="n"/>
      <c r="U510" s="16" t="n"/>
      <c r="V510" s="16" t="n"/>
      <c r="W510" s="16" t="n"/>
      <c r="X510" s="16" t="n"/>
      <c r="Y510" s="16" t="n"/>
      <c r="Z510" s="14" t="n"/>
      <c r="AA510" s="14" t="n"/>
      <c r="AB510" s="14" t="n"/>
      <c r="AC510" s="17">
        <f>IFERROR(VLOOKUP($H510&amp;"|"&amp;$Q510,Tariff_Master!$A$2:$L$169,3,FALSE),"")</f>
        <v/>
      </c>
      <c r="AD510" s="17">
        <f>IFERROR(VLOOKUP($H510&amp;"|"&amp;$Q510,Tariff_Master!$A$2:$L$169,4,FALSE),"")</f>
        <v/>
      </c>
      <c r="AE510" s="18">
        <f>IFERROR(VLOOKUP($H510&amp;"|"&amp;$Q510,Tariff_Master!$A$2:$L$169,6,FALSE),"")</f>
        <v/>
      </c>
      <c r="AF510" s="19">
        <f>IFERROR(VLOOKUP($H510&amp;"|"&amp;$Q510,Tariff_Master!$A$2:$L$169,7,FALSE),"")</f>
        <v/>
      </c>
      <c r="AG510" s="18">
        <f>IFERROR(VLOOKUP($H510&amp;"|"&amp;$Q510,Tariff_Master!$A$2:$L$169,8,FALSE),"")</f>
        <v/>
      </c>
      <c r="AH510" s="20">
        <f>IFERROR(VLOOKUP($H510&amp;"|"&amp;$Q510,Tariff_Master!$A$2:$L$169,9,FALSE),"")</f>
        <v/>
      </c>
      <c r="AI510" s="18">
        <f>IFERROR(VLOOKUP($H510&amp;"|"&amp;$Q510,Tariff_Master!$A$2:$L$169,10,FALSE),"")</f>
        <v/>
      </c>
      <c r="AJ510" s="21">
        <f>IF($M510="","",ROUNDUP(MAX(0,$M510),0))</f>
        <v/>
      </c>
      <c r="AK510" s="21">
        <f>IF(OR($AJ510="",$AF510=""),"",MAX(0,$AJ510-$AF510))</f>
        <v/>
      </c>
      <c r="AL510" s="22">
        <f>IF(OR($AK510="",$AG510=""),"",MAX(0,$AK510*$AG510))</f>
        <v/>
      </c>
      <c r="AM510" s="22">
        <f>IF($AE510="","",MAX(0,SUM($AE510,$AL510,$V510,$W510)))</f>
        <v/>
      </c>
      <c r="AN510" s="22">
        <f>IF($AM510="","",IF(AND($Q510="COMMITMENT",$R510&gt;=$AH510),$AI510,0))</f>
        <v/>
      </c>
      <c r="AO510" s="23">
        <f>IF($AM510="","",MAX(0,$AM510-$AN510))</f>
        <v/>
      </c>
      <c r="AP510" s="22">
        <f>IF($S510="","",IF(OR($S510="ITEM_PRICE_PLUS_DECLARED_DELIVERY",$S510="DELIVERY_CHARGE_ONLY"),$K510,IF($S510="TOTAL_AMOUNT_INCLUDING_DELIVERY",IF(OR($T510="",$J510=""),"",MAX(0,$T510-$J510-$U510)),IF($S510="ITEM_PRICE_ONLY_DELIVERY_PAID_BY_MERCHANT",0,""))))</f>
        <v/>
      </c>
      <c r="AQ510" s="23">
        <f>IF(OR($AP510="",$AO510=""),"",$AP510-$AO510)</f>
        <v/>
      </c>
      <c r="AR510" s="24">
        <f>IF($S510="EXACT_COLLECTION_AMOUNT","BREAKDOWN_REQUIRED",IF($AQ510="","",IF($AQ510&gt;0,"CREDIT_TO_MERCHANT",IF($AQ510&lt;0,"DEDUCT_FROM_MERCHANT","NO_ADJUSTMENT"))))</f>
        <v/>
      </c>
      <c r="AS510" s="23">
        <f>IF(OR($AQ510="",$AR510="BREAKDOWN_REQUIRED"),"",$AQ510)</f>
        <v/>
      </c>
      <c r="AT510" s="23">
        <f>IF(OR($AR510="",$AR510="BREAKDOWN_REQUIRED"),"",SUM($J510,$AQ510,$Y510)-$X510)</f>
        <v/>
      </c>
      <c r="AU510" s="25">
        <f>IF(AND($A510="",$B510="",$F510="",$H510="",$J510="",$K510="",$M510="",$S510=""),"",IF(OR($H510="",$Q510="",$M510="",$S510=""),"ERROR",IF(OR($J510&lt;0,$K510&lt;0,$M510&lt;0,$T510&lt;0,$U510&lt;0,$V510&lt;0,$W510&lt;0,$X510&lt;0,$Y510&lt;0),"ERROR",IF($AE510="","ERROR",IF(AND(OR($S510="ITEM_PRICE_PLUS_DECLARED_DELIVERY",$S510="TOTAL_AMOUNT_INCLUDING_DELIVERY",$S510="ITEM_PRICE_ONLY_DELIVERY_PAID_BY_MERCHANT"),$J510=""),"ERROR",IF(AND(OR($S510="ITEM_PRICE_PLUS_DECLARED_DELIVERY",$S510="DELIVERY_CHARGE_ONLY"),$K510=""),"ERROR",IF(AND(OR($S510="TOTAL_AMOUNT_INCLUDING_DELIVERY",$S510="EXACT_COLLECTION_AMOUNT"),$T510=""),"ERROR",IF(AND($S510="TOTAL_AMOUNT_INCLUDING_DELIVERY",$T510&lt;SUM($J510,$U510)),"ERROR",IF($S510="EXACT_COLLECTION_AMOUNT","REVIEW","OK")))))))))</f>
        <v/>
      </c>
      <c r="AV510" s="25">
        <f>IF($AU510="","",IF($H510="","Township required",IF($Q510="","Customer tier required",IF($M510="","Weight required",IF($S510="","Amount entry type required",IF(OR($J510&lt;0,$K510&lt;0,$M510&lt;0,$T510&lt;0,$U510&lt;0,$V510&lt;0,$W510&lt;0,$X510&lt;0,$Y510&lt;0),"Negative amounts are not allowed",IF($AE510="","Tariff not found for township and tier",IF(AND(OR($S510="ITEM_PRICE_PLUS_DECLARED_DELIVERY",$S510="TOTAL_AMOUNT_INCLUDING_DELIVERY",$S510="ITEM_PRICE_ONLY_DELIVERY_PAID_BY_MERCHANT"),$J510=""),"Item price required for this amount type",IF(AND(OR($S510="ITEM_PRICE_PLUS_DECLARED_DELIVERY",$S510="DELIVERY_CHARGE_ONLY"),$K510=""),"Declared delivery charge required",IF(AND(OR($S510="TOTAL_AMOUNT_INCLUDING_DELIVERY",$S510="EXACT_COLLECTION_AMOUNT"),$T510=""),"Stated total amount required",IF(AND($S510="TOTAL_AMOUNT_INCLUDING_DELIVERY",$T510&lt;SUM($J510,$U510)),"Stated total is below item price plus additional charge",IF($S510="EXACT_COLLECTION_AMOUNT","Authorized amount breakdown required before settlement","Ready for collection and settlement"))))))))))))</f>
        <v/>
      </c>
      <c r="AW510" s="23">
        <f>IF($AU510="","","PARCEL_FINANCIAL_V2")</f>
        <v/>
      </c>
      <c r="AX510" s="17" t="n"/>
    </row>
    <row r="511">
      <c r="A511" s="8" t="n"/>
      <c r="B511" s="8" t="n"/>
      <c r="C511" s="8" t="n"/>
      <c r="D511" s="8" t="n"/>
      <c r="E511" s="9" t="n"/>
      <c r="F511" s="9" t="n"/>
      <c r="G511" s="8" t="n"/>
      <c r="H511" s="9" t="n"/>
      <c r="I511" s="9" t="n"/>
      <c r="J511" s="10" t="n"/>
      <c r="K511" s="10" t="n"/>
      <c r="L511" s="11">
        <f>IF($S511="","",IF($S511="ITEM_PRICE_PLUS_DECLARED_DELIVERY",IF(OR($J511="",$K511=""),"",SUM($J511,$K511,$U511)),IF($S511="TOTAL_AMOUNT_INCLUDING_DELIVERY",IF($T511="","",$T511),IF($S511="DELIVERY_CHARGE_ONLY",IF($K511="","",SUM($K511,$U511)),IF($S511="EXACT_COLLECTION_AMOUNT",IF($T511="","",$T511),IF($S511="ITEM_PRICE_ONLY_DELIVERY_PAID_BY_MERCHANT",IF($J511="","",SUM($J511,$U511)),""))))))</f>
        <v/>
      </c>
      <c r="M511" s="12" t="n"/>
      <c r="N511" s="13" t="n"/>
      <c r="O511" s="13" t="n"/>
      <c r="P511" s="9" t="n"/>
      <c r="Q511" s="14" t="n"/>
      <c r="R511" s="15" t="n"/>
      <c r="S511" s="14" t="n"/>
      <c r="T511" s="16" t="n"/>
      <c r="U511" s="16" t="n"/>
      <c r="V511" s="16" t="n"/>
      <c r="W511" s="16" t="n"/>
      <c r="X511" s="16" t="n"/>
      <c r="Y511" s="16" t="n"/>
      <c r="Z511" s="14" t="n"/>
      <c r="AA511" s="14" t="n"/>
      <c r="AB511" s="14" t="n"/>
      <c r="AC511" s="17">
        <f>IFERROR(VLOOKUP($H511&amp;"|"&amp;$Q511,Tariff_Master!$A$2:$L$169,3,FALSE),"")</f>
        <v/>
      </c>
      <c r="AD511" s="17">
        <f>IFERROR(VLOOKUP($H511&amp;"|"&amp;$Q511,Tariff_Master!$A$2:$L$169,4,FALSE),"")</f>
        <v/>
      </c>
      <c r="AE511" s="18">
        <f>IFERROR(VLOOKUP($H511&amp;"|"&amp;$Q511,Tariff_Master!$A$2:$L$169,6,FALSE),"")</f>
        <v/>
      </c>
      <c r="AF511" s="19">
        <f>IFERROR(VLOOKUP($H511&amp;"|"&amp;$Q511,Tariff_Master!$A$2:$L$169,7,FALSE),"")</f>
        <v/>
      </c>
      <c r="AG511" s="18">
        <f>IFERROR(VLOOKUP($H511&amp;"|"&amp;$Q511,Tariff_Master!$A$2:$L$169,8,FALSE),"")</f>
        <v/>
      </c>
      <c r="AH511" s="20">
        <f>IFERROR(VLOOKUP($H511&amp;"|"&amp;$Q511,Tariff_Master!$A$2:$L$169,9,FALSE),"")</f>
        <v/>
      </c>
      <c r="AI511" s="18">
        <f>IFERROR(VLOOKUP($H511&amp;"|"&amp;$Q511,Tariff_Master!$A$2:$L$169,10,FALSE),"")</f>
        <v/>
      </c>
      <c r="AJ511" s="21">
        <f>IF($M511="","",ROUNDUP(MAX(0,$M511),0))</f>
        <v/>
      </c>
      <c r="AK511" s="21">
        <f>IF(OR($AJ511="",$AF511=""),"",MAX(0,$AJ511-$AF511))</f>
        <v/>
      </c>
      <c r="AL511" s="22">
        <f>IF(OR($AK511="",$AG511=""),"",MAX(0,$AK511*$AG511))</f>
        <v/>
      </c>
      <c r="AM511" s="22">
        <f>IF($AE511="","",MAX(0,SUM($AE511,$AL511,$V511,$W511)))</f>
        <v/>
      </c>
      <c r="AN511" s="22">
        <f>IF($AM511="","",IF(AND($Q511="COMMITMENT",$R511&gt;=$AH511),$AI511,0))</f>
        <v/>
      </c>
      <c r="AO511" s="23">
        <f>IF($AM511="","",MAX(0,$AM511-$AN511))</f>
        <v/>
      </c>
      <c r="AP511" s="22">
        <f>IF($S511="","",IF(OR($S511="ITEM_PRICE_PLUS_DECLARED_DELIVERY",$S511="DELIVERY_CHARGE_ONLY"),$K511,IF($S511="TOTAL_AMOUNT_INCLUDING_DELIVERY",IF(OR($T511="",$J511=""),"",MAX(0,$T511-$J511-$U511)),IF($S511="ITEM_PRICE_ONLY_DELIVERY_PAID_BY_MERCHANT",0,""))))</f>
        <v/>
      </c>
      <c r="AQ511" s="23">
        <f>IF(OR($AP511="",$AO511=""),"",$AP511-$AO511)</f>
        <v/>
      </c>
      <c r="AR511" s="24">
        <f>IF($S511="EXACT_COLLECTION_AMOUNT","BREAKDOWN_REQUIRED",IF($AQ511="","",IF($AQ511&gt;0,"CREDIT_TO_MERCHANT",IF($AQ511&lt;0,"DEDUCT_FROM_MERCHANT","NO_ADJUSTMENT"))))</f>
        <v/>
      </c>
      <c r="AS511" s="23">
        <f>IF(OR($AQ511="",$AR511="BREAKDOWN_REQUIRED"),"",$AQ511)</f>
        <v/>
      </c>
      <c r="AT511" s="23">
        <f>IF(OR($AR511="",$AR511="BREAKDOWN_REQUIRED"),"",SUM($J511,$AQ511,$Y511)-$X511)</f>
        <v/>
      </c>
      <c r="AU511" s="25">
        <f>IF(AND($A511="",$B511="",$F511="",$H511="",$J511="",$K511="",$M511="",$S511=""),"",IF(OR($H511="",$Q511="",$M511="",$S511=""),"ERROR",IF(OR($J511&lt;0,$K511&lt;0,$M511&lt;0,$T511&lt;0,$U511&lt;0,$V511&lt;0,$W511&lt;0,$X511&lt;0,$Y511&lt;0),"ERROR",IF($AE511="","ERROR",IF(AND(OR($S511="ITEM_PRICE_PLUS_DECLARED_DELIVERY",$S511="TOTAL_AMOUNT_INCLUDING_DELIVERY",$S511="ITEM_PRICE_ONLY_DELIVERY_PAID_BY_MERCHANT"),$J511=""),"ERROR",IF(AND(OR($S511="ITEM_PRICE_PLUS_DECLARED_DELIVERY",$S511="DELIVERY_CHARGE_ONLY"),$K511=""),"ERROR",IF(AND(OR($S511="TOTAL_AMOUNT_INCLUDING_DELIVERY",$S511="EXACT_COLLECTION_AMOUNT"),$T511=""),"ERROR",IF(AND($S511="TOTAL_AMOUNT_INCLUDING_DELIVERY",$T511&lt;SUM($J511,$U511)),"ERROR",IF($S511="EXACT_COLLECTION_AMOUNT","REVIEW","OK")))))))))</f>
        <v/>
      </c>
      <c r="AV511" s="25">
        <f>IF($AU511="","",IF($H511="","Township required",IF($Q511="","Customer tier required",IF($M511="","Weight required",IF($S511="","Amount entry type required",IF(OR($J511&lt;0,$K511&lt;0,$M511&lt;0,$T511&lt;0,$U511&lt;0,$V511&lt;0,$W511&lt;0,$X511&lt;0,$Y511&lt;0),"Negative amounts are not allowed",IF($AE511="","Tariff not found for township and tier",IF(AND(OR($S511="ITEM_PRICE_PLUS_DECLARED_DELIVERY",$S511="TOTAL_AMOUNT_INCLUDING_DELIVERY",$S511="ITEM_PRICE_ONLY_DELIVERY_PAID_BY_MERCHANT"),$J511=""),"Item price required for this amount type",IF(AND(OR($S511="ITEM_PRICE_PLUS_DECLARED_DELIVERY",$S511="DELIVERY_CHARGE_ONLY"),$K511=""),"Declared delivery charge required",IF(AND(OR($S511="TOTAL_AMOUNT_INCLUDING_DELIVERY",$S511="EXACT_COLLECTION_AMOUNT"),$T511=""),"Stated total amount required",IF(AND($S511="TOTAL_AMOUNT_INCLUDING_DELIVERY",$T511&lt;SUM($J511,$U511)),"Stated total is below item price plus additional charge",IF($S511="EXACT_COLLECTION_AMOUNT","Authorized amount breakdown required before settlement","Ready for collection and settlement"))))))))))))</f>
        <v/>
      </c>
      <c r="AW511" s="23">
        <f>IF($AU511="","","PARCEL_FINANCIAL_V2")</f>
        <v/>
      </c>
      <c r="AX511" s="17" t="n"/>
    </row>
    <row r="512">
      <c r="A512" s="8" t="n"/>
      <c r="B512" s="8" t="n"/>
      <c r="C512" s="8" t="n"/>
      <c r="D512" s="8" t="n"/>
      <c r="E512" s="9" t="n"/>
      <c r="F512" s="9" t="n"/>
      <c r="G512" s="8" t="n"/>
      <c r="H512" s="9" t="n"/>
      <c r="I512" s="9" t="n"/>
      <c r="J512" s="10" t="n"/>
      <c r="K512" s="10" t="n"/>
      <c r="L512" s="11">
        <f>IF($S512="","",IF($S512="ITEM_PRICE_PLUS_DECLARED_DELIVERY",IF(OR($J512="",$K512=""),"",SUM($J512,$K512,$U512)),IF($S512="TOTAL_AMOUNT_INCLUDING_DELIVERY",IF($T512="","",$T512),IF($S512="DELIVERY_CHARGE_ONLY",IF($K512="","",SUM($K512,$U512)),IF($S512="EXACT_COLLECTION_AMOUNT",IF($T512="","",$T512),IF($S512="ITEM_PRICE_ONLY_DELIVERY_PAID_BY_MERCHANT",IF($J512="","",SUM($J512,$U512)),""))))))</f>
        <v/>
      </c>
      <c r="M512" s="12" t="n"/>
      <c r="N512" s="13" t="n"/>
      <c r="O512" s="13" t="n"/>
      <c r="P512" s="9" t="n"/>
      <c r="Q512" s="14" t="n"/>
      <c r="R512" s="15" t="n"/>
      <c r="S512" s="14" t="n"/>
      <c r="T512" s="16" t="n"/>
      <c r="U512" s="16" t="n"/>
      <c r="V512" s="16" t="n"/>
      <c r="W512" s="16" t="n"/>
      <c r="X512" s="16" t="n"/>
      <c r="Y512" s="16" t="n"/>
      <c r="Z512" s="14" t="n"/>
      <c r="AA512" s="14" t="n"/>
      <c r="AB512" s="14" t="n"/>
      <c r="AC512" s="17">
        <f>IFERROR(VLOOKUP($H512&amp;"|"&amp;$Q512,Tariff_Master!$A$2:$L$169,3,FALSE),"")</f>
        <v/>
      </c>
      <c r="AD512" s="17">
        <f>IFERROR(VLOOKUP($H512&amp;"|"&amp;$Q512,Tariff_Master!$A$2:$L$169,4,FALSE),"")</f>
        <v/>
      </c>
      <c r="AE512" s="18">
        <f>IFERROR(VLOOKUP($H512&amp;"|"&amp;$Q512,Tariff_Master!$A$2:$L$169,6,FALSE),"")</f>
        <v/>
      </c>
      <c r="AF512" s="19">
        <f>IFERROR(VLOOKUP($H512&amp;"|"&amp;$Q512,Tariff_Master!$A$2:$L$169,7,FALSE),"")</f>
        <v/>
      </c>
      <c r="AG512" s="18">
        <f>IFERROR(VLOOKUP($H512&amp;"|"&amp;$Q512,Tariff_Master!$A$2:$L$169,8,FALSE),"")</f>
        <v/>
      </c>
      <c r="AH512" s="20">
        <f>IFERROR(VLOOKUP($H512&amp;"|"&amp;$Q512,Tariff_Master!$A$2:$L$169,9,FALSE),"")</f>
        <v/>
      </c>
      <c r="AI512" s="18">
        <f>IFERROR(VLOOKUP($H512&amp;"|"&amp;$Q512,Tariff_Master!$A$2:$L$169,10,FALSE),"")</f>
        <v/>
      </c>
      <c r="AJ512" s="21">
        <f>IF($M512="","",ROUNDUP(MAX(0,$M512),0))</f>
        <v/>
      </c>
      <c r="AK512" s="21">
        <f>IF(OR($AJ512="",$AF512=""),"",MAX(0,$AJ512-$AF512))</f>
        <v/>
      </c>
      <c r="AL512" s="22">
        <f>IF(OR($AK512="",$AG512=""),"",MAX(0,$AK512*$AG512))</f>
        <v/>
      </c>
      <c r="AM512" s="22">
        <f>IF($AE512="","",MAX(0,SUM($AE512,$AL512,$V512,$W512)))</f>
        <v/>
      </c>
      <c r="AN512" s="22">
        <f>IF($AM512="","",IF(AND($Q512="COMMITMENT",$R512&gt;=$AH512),$AI512,0))</f>
        <v/>
      </c>
      <c r="AO512" s="23">
        <f>IF($AM512="","",MAX(0,$AM512-$AN512))</f>
        <v/>
      </c>
      <c r="AP512" s="22">
        <f>IF($S512="","",IF(OR($S512="ITEM_PRICE_PLUS_DECLARED_DELIVERY",$S512="DELIVERY_CHARGE_ONLY"),$K512,IF($S512="TOTAL_AMOUNT_INCLUDING_DELIVERY",IF(OR($T512="",$J512=""),"",MAX(0,$T512-$J512-$U512)),IF($S512="ITEM_PRICE_ONLY_DELIVERY_PAID_BY_MERCHANT",0,""))))</f>
        <v/>
      </c>
      <c r="AQ512" s="23">
        <f>IF(OR($AP512="",$AO512=""),"",$AP512-$AO512)</f>
        <v/>
      </c>
      <c r="AR512" s="24">
        <f>IF($S512="EXACT_COLLECTION_AMOUNT","BREAKDOWN_REQUIRED",IF($AQ512="","",IF($AQ512&gt;0,"CREDIT_TO_MERCHANT",IF($AQ512&lt;0,"DEDUCT_FROM_MERCHANT","NO_ADJUSTMENT"))))</f>
        <v/>
      </c>
      <c r="AS512" s="23">
        <f>IF(OR($AQ512="",$AR512="BREAKDOWN_REQUIRED"),"",$AQ512)</f>
        <v/>
      </c>
      <c r="AT512" s="23">
        <f>IF(OR($AR512="",$AR512="BREAKDOWN_REQUIRED"),"",SUM($J512,$AQ512,$Y512)-$X512)</f>
        <v/>
      </c>
      <c r="AU512" s="25">
        <f>IF(AND($A512="",$B512="",$F512="",$H512="",$J512="",$K512="",$M512="",$S512=""),"",IF(OR($H512="",$Q512="",$M512="",$S512=""),"ERROR",IF(OR($J512&lt;0,$K512&lt;0,$M512&lt;0,$T512&lt;0,$U512&lt;0,$V512&lt;0,$W512&lt;0,$X512&lt;0,$Y512&lt;0),"ERROR",IF($AE512="","ERROR",IF(AND(OR($S512="ITEM_PRICE_PLUS_DECLARED_DELIVERY",$S512="TOTAL_AMOUNT_INCLUDING_DELIVERY",$S512="ITEM_PRICE_ONLY_DELIVERY_PAID_BY_MERCHANT"),$J512=""),"ERROR",IF(AND(OR($S512="ITEM_PRICE_PLUS_DECLARED_DELIVERY",$S512="DELIVERY_CHARGE_ONLY"),$K512=""),"ERROR",IF(AND(OR($S512="TOTAL_AMOUNT_INCLUDING_DELIVERY",$S512="EXACT_COLLECTION_AMOUNT"),$T512=""),"ERROR",IF(AND($S512="TOTAL_AMOUNT_INCLUDING_DELIVERY",$T512&lt;SUM($J512,$U512)),"ERROR",IF($S512="EXACT_COLLECTION_AMOUNT","REVIEW","OK")))))))))</f>
        <v/>
      </c>
      <c r="AV512" s="25">
        <f>IF($AU512="","",IF($H512="","Township required",IF($Q512="","Customer tier required",IF($M512="","Weight required",IF($S512="","Amount entry type required",IF(OR($J512&lt;0,$K512&lt;0,$M512&lt;0,$T512&lt;0,$U512&lt;0,$V512&lt;0,$W512&lt;0,$X512&lt;0,$Y512&lt;0),"Negative amounts are not allowed",IF($AE512="","Tariff not found for township and tier",IF(AND(OR($S512="ITEM_PRICE_PLUS_DECLARED_DELIVERY",$S512="TOTAL_AMOUNT_INCLUDING_DELIVERY",$S512="ITEM_PRICE_ONLY_DELIVERY_PAID_BY_MERCHANT"),$J512=""),"Item price required for this amount type",IF(AND(OR($S512="ITEM_PRICE_PLUS_DECLARED_DELIVERY",$S512="DELIVERY_CHARGE_ONLY"),$K512=""),"Declared delivery charge required",IF(AND(OR($S512="TOTAL_AMOUNT_INCLUDING_DELIVERY",$S512="EXACT_COLLECTION_AMOUNT"),$T512=""),"Stated total amount required",IF(AND($S512="TOTAL_AMOUNT_INCLUDING_DELIVERY",$T512&lt;SUM($J512,$U512)),"Stated total is below item price plus additional charge",IF($S512="EXACT_COLLECTION_AMOUNT","Authorized amount breakdown required before settlement","Ready for collection and settlement"))))))))))))</f>
        <v/>
      </c>
      <c r="AW512" s="23">
        <f>IF($AU512="","","PARCEL_FINANCIAL_V2")</f>
        <v/>
      </c>
      <c r="AX512" s="17" t="n"/>
    </row>
    <row r="513">
      <c r="A513" s="8" t="n"/>
      <c r="B513" s="8" t="n"/>
      <c r="C513" s="8" t="n"/>
      <c r="D513" s="8" t="n"/>
      <c r="E513" s="9" t="n"/>
      <c r="F513" s="9" t="n"/>
      <c r="G513" s="8" t="n"/>
      <c r="H513" s="9" t="n"/>
      <c r="I513" s="9" t="n"/>
      <c r="J513" s="10" t="n"/>
      <c r="K513" s="10" t="n"/>
      <c r="L513" s="11">
        <f>IF($S513="","",IF($S513="ITEM_PRICE_PLUS_DECLARED_DELIVERY",IF(OR($J513="",$K513=""),"",SUM($J513,$K513,$U513)),IF($S513="TOTAL_AMOUNT_INCLUDING_DELIVERY",IF($T513="","",$T513),IF($S513="DELIVERY_CHARGE_ONLY",IF($K513="","",SUM($K513,$U513)),IF($S513="EXACT_COLLECTION_AMOUNT",IF($T513="","",$T513),IF($S513="ITEM_PRICE_ONLY_DELIVERY_PAID_BY_MERCHANT",IF($J513="","",SUM($J513,$U513)),""))))))</f>
        <v/>
      </c>
      <c r="M513" s="12" t="n"/>
      <c r="N513" s="13" t="n"/>
      <c r="O513" s="13" t="n"/>
      <c r="P513" s="9" t="n"/>
      <c r="Q513" s="14" t="n"/>
      <c r="R513" s="15" t="n"/>
      <c r="S513" s="14" t="n"/>
      <c r="T513" s="16" t="n"/>
      <c r="U513" s="16" t="n"/>
      <c r="V513" s="16" t="n"/>
      <c r="W513" s="16" t="n"/>
      <c r="X513" s="16" t="n"/>
      <c r="Y513" s="16" t="n"/>
      <c r="Z513" s="14" t="n"/>
      <c r="AA513" s="14" t="n"/>
      <c r="AB513" s="14" t="n"/>
      <c r="AC513" s="17">
        <f>IFERROR(VLOOKUP($H513&amp;"|"&amp;$Q513,Tariff_Master!$A$2:$L$169,3,FALSE),"")</f>
        <v/>
      </c>
      <c r="AD513" s="17">
        <f>IFERROR(VLOOKUP($H513&amp;"|"&amp;$Q513,Tariff_Master!$A$2:$L$169,4,FALSE),"")</f>
        <v/>
      </c>
      <c r="AE513" s="18">
        <f>IFERROR(VLOOKUP($H513&amp;"|"&amp;$Q513,Tariff_Master!$A$2:$L$169,6,FALSE),"")</f>
        <v/>
      </c>
      <c r="AF513" s="19">
        <f>IFERROR(VLOOKUP($H513&amp;"|"&amp;$Q513,Tariff_Master!$A$2:$L$169,7,FALSE),"")</f>
        <v/>
      </c>
      <c r="AG513" s="18">
        <f>IFERROR(VLOOKUP($H513&amp;"|"&amp;$Q513,Tariff_Master!$A$2:$L$169,8,FALSE),"")</f>
        <v/>
      </c>
      <c r="AH513" s="20">
        <f>IFERROR(VLOOKUP($H513&amp;"|"&amp;$Q513,Tariff_Master!$A$2:$L$169,9,FALSE),"")</f>
        <v/>
      </c>
      <c r="AI513" s="18">
        <f>IFERROR(VLOOKUP($H513&amp;"|"&amp;$Q513,Tariff_Master!$A$2:$L$169,10,FALSE),"")</f>
        <v/>
      </c>
      <c r="AJ513" s="21">
        <f>IF($M513="","",ROUNDUP(MAX(0,$M513),0))</f>
        <v/>
      </c>
      <c r="AK513" s="21">
        <f>IF(OR($AJ513="",$AF513=""),"",MAX(0,$AJ513-$AF513))</f>
        <v/>
      </c>
      <c r="AL513" s="22">
        <f>IF(OR($AK513="",$AG513=""),"",MAX(0,$AK513*$AG513))</f>
        <v/>
      </c>
      <c r="AM513" s="22">
        <f>IF($AE513="","",MAX(0,SUM($AE513,$AL513,$V513,$W513)))</f>
        <v/>
      </c>
      <c r="AN513" s="22">
        <f>IF($AM513="","",IF(AND($Q513="COMMITMENT",$R513&gt;=$AH513),$AI513,0))</f>
        <v/>
      </c>
      <c r="AO513" s="23">
        <f>IF($AM513="","",MAX(0,$AM513-$AN513))</f>
        <v/>
      </c>
      <c r="AP513" s="22">
        <f>IF($S513="","",IF(OR($S513="ITEM_PRICE_PLUS_DECLARED_DELIVERY",$S513="DELIVERY_CHARGE_ONLY"),$K513,IF($S513="TOTAL_AMOUNT_INCLUDING_DELIVERY",IF(OR($T513="",$J513=""),"",MAX(0,$T513-$J513-$U513)),IF($S513="ITEM_PRICE_ONLY_DELIVERY_PAID_BY_MERCHANT",0,""))))</f>
        <v/>
      </c>
      <c r="AQ513" s="23">
        <f>IF(OR($AP513="",$AO513=""),"",$AP513-$AO513)</f>
        <v/>
      </c>
      <c r="AR513" s="24">
        <f>IF($S513="EXACT_COLLECTION_AMOUNT","BREAKDOWN_REQUIRED",IF($AQ513="","",IF($AQ513&gt;0,"CREDIT_TO_MERCHANT",IF($AQ513&lt;0,"DEDUCT_FROM_MERCHANT","NO_ADJUSTMENT"))))</f>
        <v/>
      </c>
      <c r="AS513" s="23">
        <f>IF(OR($AQ513="",$AR513="BREAKDOWN_REQUIRED"),"",$AQ513)</f>
        <v/>
      </c>
      <c r="AT513" s="23">
        <f>IF(OR($AR513="",$AR513="BREAKDOWN_REQUIRED"),"",SUM($J513,$AQ513,$Y513)-$X513)</f>
        <v/>
      </c>
      <c r="AU513" s="25">
        <f>IF(AND($A513="",$B513="",$F513="",$H513="",$J513="",$K513="",$M513="",$S513=""),"",IF(OR($H513="",$Q513="",$M513="",$S513=""),"ERROR",IF(OR($J513&lt;0,$K513&lt;0,$M513&lt;0,$T513&lt;0,$U513&lt;0,$V513&lt;0,$W513&lt;0,$X513&lt;0,$Y513&lt;0),"ERROR",IF($AE513="","ERROR",IF(AND(OR($S513="ITEM_PRICE_PLUS_DECLARED_DELIVERY",$S513="TOTAL_AMOUNT_INCLUDING_DELIVERY",$S513="ITEM_PRICE_ONLY_DELIVERY_PAID_BY_MERCHANT"),$J513=""),"ERROR",IF(AND(OR($S513="ITEM_PRICE_PLUS_DECLARED_DELIVERY",$S513="DELIVERY_CHARGE_ONLY"),$K513=""),"ERROR",IF(AND(OR($S513="TOTAL_AMOUNT_INCLUDING_DELIVERY",$S513="EXACT_COLLECTION_AMOUNT"),$T513=""),"ERROR",IF(AND($S513="TOTAL_AMOUNT_INCLUDING_DELIVERY",$T513&lt;SUM($J513,$U513)),"ERROR",IF($S513="EXACT_COLLECTION_AMOUNT","REVIEW","OK")))))))))</f>
        <v/>
      </c>
      <c r="AV513" s="25">
        <f>IF($AU513="","",IF($H513="","Township required",IF($Q513="","Customer tier required",IF($M513="","Weight required",IF($S513="","Amount entry type required",IF(OR($J513&lt;0,$K513&lt;0,$M513&lt;0,$T513&lt;0,$U513&lt;0,$V513&lt;0,$W513&lt;0,$X513&lt;0,$Y513&lt;0),"Negative amounts are not allowed",IF($AE513="","Tariff not found for township and tier",IF(AND(OR($S513="ITEM_PRICE_PLUS_DECLARED_DELIVERY",$S513="TOTAL_AMOUNT_INCLUDING_DELIVERY",$S513="ITEM_PRICE_ONLY_DELIVERY_PAID_BY_MERCHANT"),$J513=""),"Item price required for this amount type",IF(AND(OR($S513="ITEM_PRICE_PLUS_DECLARED_DELIVERY",$S513="DELIVERY_CHARGE_ONLY"),$K513=""),"Declared delivery charge required",IF(AND(OR($S513="TOTAL_AMOUNT_INCLUDING_DELIVERY",$S513="EXACT_COLLECTION_AMOUNT"),$T513=""),"Stated total amount required",IF(AND($S513="TOTAL_AMOUNT_INCLUDING_DELIVERY",$T513&lt;SUM($J513,$U513)),"Stated total is below item price plus additional charge",IF($S513="EXACT_COLLECTION_AMOUNT","Authorized amount breakdown required before settlement","Ready for collection and settlement"))))))))))))</f>
        <v/>
      </c>
      <c r="AW513" s="23">
        <f>IF($AU513="","","PARCEL_FINANCIAL_V2")</f>
        <v/>
      </c>
      <c r="AX513" s="17" t="n"/>
    </row>
    <row r="514">
      <c r="A514" s="8" t="n"/>
      <c r="B514" s="8" t="n"/>
      <c r="C514" s="8" t="n"/>
      <c r="D514" s="8" t="n"/>
      <c r="E514" s="9" t="n"/>
      <c r="F514" s="9" t="n"/>
      <c r="G514" s="8" t="n"/>
      <c r="H514" s="9" t="n"/>
      <c r="I514" s="9" t="n"/>
      <c r="J514" s="10" t="n"/>
      <c r="K514" s="10" t="n"/>
      <c r="L514" s="11">
        <f>IF($S514="","",IF($S514="ITEM_PRICE_PLUS_DECLARED_DELIVERY",IF(OR($J514="",$K514=""),"",SUM($J514,$K514,$U514)),IF($S514="TOTAL_AMOUNT_INCLUDING_DELIVERY",IF($T514="","",$T514),IF($S514="DELIVERY_CHARGE_ONLY",IF($K514="","",SUM($K514,$U514)),IF($S514="EXACT_COLLECTION_AMOUNT",IF($T514="","",$T514),IF($S514="ITEM_PRICE_ONLY_DELIVERY_PAID_BY_MERCHANT",IF($J514="","",SUM($J514,$U514)),""))))))</f>
        <v/>
      </c>
      <c r="M514" s="12" t="n"/>
      <c r="N514" s="13" t="n"/>
      <c r="O514" s="13" t="n"/>
      <c r="P514" s="9" t="n"/>
      <c r="Q514" s="14" t="n"/>
      <c r="R514" s="15" t="n"/>
      <c r="S514" s="14" t="n"/>
      <c r="T514" s="16" t="n"/>
      <c r="U514" s="16" t="n"/>
      <c r="V514" s="16" t="n"/>
      <c r="W514" s="16" t="n"/>
      <c r="X514" s="16" t="n"/>
      <c r="Y514" s="16" t="n"/>
      <c r="Z514" s="14" t="n"/>
      <c r="AA514" s="14" t="n"/>
      <c r="AB514" s="14" t="n"/>
      <c r="AC514" s="17">
        <f>IFERROR(VLOOKUP($H514&amp;"|"&amp;$Q514,Tariff_Master!$A$2:$L$169,3,FALSE),"")</f>
        <v/>
      </c>
      <c r="AD514" s="17">
        <f>IFERROR(VLOOKUP($H514&amp;"|"&amp;$Q514,Tariff_Master!$A$2:$L$169,4,FALSE),"")</f>
        <v/>
      </c>
      <c r="AE514" s="18">
        <f>IFERROR(VLOOKUP($H514&amp;"|"&amp;$Q514,Tariff_Master!$A$2:$L$169,6,FALSE),"")</f>
        <v/>
      </c>
      <c r="AF514" s="19">
        <f>IFERROR(VLOOKUP($H514&amp;"|"&amp;$Q514,Tariff_Master!$A$2:$L$169,7,FALSE),"")</f>
        <v/>
      </c>
      <c r="AG514" s="18">
        <f>IFERROR(VLOOKUP($H514&amp;"|"&amp;$Q514,Tariff_Master!$A$2:$L$169,8,FALSE),"")</f>
        <v/>
      </c>
      <c r="AH514" s="20">
        <f>IFERROR(VLOOKUP($H514&amp;"|"&amp;$Q514,Tariff_Master!$A$2:$L$169,9,FALSE),"")</f>
        <v/>
      </c>
      <c r="AI514" s="18">
        <f>IFERROR(VLOOKUP($H514&amp;"|"&amp;$Q514,Tariff_Master!$A$2:$L$169,10,FALSE),"")</f>
        <v/>
      </c>
      <c r="AJ514" s="21">
        <f>IF($M514="","",ROUNDUP(MAX(0,$M514),0))</f>
        <v/>
      </c>
      <c r="AK514" s="21">
        <f>IF(OR($AJ514="",$AF514=""),"",MAX(0,$AJ514-$AF514))</f>
        <v/>
      </c>
      <c r="AL514" s="22">
        <f>IF(OR($AK514="",$AG514=""),"",MAX(0,$AK514*$AG514))</f>
        <v/>
      </c>
      <c r="AM514" s="22">
        <f>IF($AE514="","",MAX(0,SUM($AE514,$AL514,$V514,$W514)))</f>
        <v/>
      </c>
      <c r="AN514" s="22">
        <f>IF($AM514="","",IF(AND($Q514="COMMITMENT",$R514&gt;=$AH514),$AI514,0))</f>
        <v/>
      </c>
      <c r="AO514" s="23">
        <f>IF($AM514="","",MAX(0,$AM514-$AN514))</f>
        <v/>
      </c>
      <c r="AP514" s="22">
        <f>IF($S514="","",IF(OR($S514="ITEM_PRICE_PLUS_DECLARED_DELIVERY",$S514="DELIVERY_CHARGE_ONLY"),$K514,IF($S514="TOTAL_AMOUNT_INCLUDING_DELIVERY",IF(OR($T514="",$J514=""),"",MAX(0,$T514-$J514-$U514)),IF($S514="ITEM_PRICE_ONLY_DELIVERY_PAID_BY_MERCHANT",0,""))))</f>
        <v/>
      </c>
      <c r="AQ514" s="23">
        <f>IF(OR($AP514="",$AO514=""),"",$AP514-$AO514)</f>
        <v/>
      </c>
      <c r="AR514" s="24">
        <f>IF($S514="EXACT_COLLECTION_AMOUNT","BREAKDOWN_REQUIRED",IF($AQ514="","",IF($AQ514&gt;0,"CREDIT_TO_MERCHANT",IF($AQ514&lt;0,"DEDUCT_FROM_MERCHANT","NO_ADJUSTMENT"))))</f>
        <v/>
      </c>
      <c r="AS514" s="23">
        <f>IF(OR($AQ514="",$AR514="BREAKDOWN_REQUIRED"),"",$AQ514)</f>
        <v/>
      </c>
      <c r="AT514" s="23">
        <f>IF(OR($AR514="",$AR514="BREAKDOWN_REQUIRED"),"",SUM($J514,$AQ514,$Y514)-$X514)</f>
        <v/>
      </c>
      <c r="AU514" s="25">
        <f>IF(AND($A514="",$B514="",$F514="",$H514="",$J514="",$K514="",$M514="",$S514=""),"",IF(OR($H514="",$Q514="",$M514="",$S514=""),"ERROR",IF(OR($J514&lt;0,$K514&lt;0,$M514&lt;0,$T514&lt;0,$U514&lt;0,$V514&lt;0,$W514&lt;0,$X514&lt;0,$Y514&lt;0),"ERROR",IF($AE514="","ERROR",IF(AND(OR($S514="ITEM_PRICE_PLUS_DECLARED_DELIVERY",$S514="TOTAL_AMOUNT_INCLUDING_DELIVERY",$S514="ITEM_PRICE_ONLY_DELIVERY_PAID_BY_MERCHANT"),$J514=""),"ERROR",IF(AND(OR($S514="ITEM_PRICE_PLUS_DECLARED_DELIVERY",$S514="DELIVERY_CHARGE_ONLY"),$K514=""),"ERROR",IF(AND(OR($S514="TOTAL_AMOUNT_INCLUDING_DELIVERY",$S514="EXACT_COLLECTION_AMOUNT"),$T514=""),"ERROR",IF(AND($S514="TOTAL_AMOUNT_INCLUDING_DELIVERY",$T514&lt;SUM($J514,$U514)),"ERROR",IF($S514="EXACT_COLLECTION_AMOUNT","REVIEW","OK")))))))))</f>
        <v/>
      </c>
      <c r="AV514" s="25">
        <f>IF($AU514="","",IF($H514="","Township required",IF($Q514="","Customer tier required",IF($M514="","Weight required",IF($S514="","Amount entry type required",IF(OR($J514&lt;0,$K514&lt;0,$M514&lt;0,$T514&lt;0,$U514&lt;0,$V514&lt;0,$W514&lt;0,$X514&lt;0,$Y514&lt;0),"Negative amounts are not allowed",IF($AE514="","Tariff not found for township and tier",IF(AND(OR($S514="ITEM_PRICE_PLUS_DECLARED_DELIVERY",$S514="TOTAL_AMOUNT_INCLUDING_DELIVERY",$S514="ITEM_PRICE_ONLY_DELIVERY_PAID_BY_MERCHANT"),$J514=""),"Item price required for this amount type",IF(AND(OR($S514="ITEM_PRICE_PLUS_DECLARED_DELIVERY",$S514="DELIVERY_CHARGE_ONLY"),$K514=""),"Declared delivery charge required",IF(AND(OR($S514="TOTAL_AMOUNT_INCLUDING_DELIVERY",$S514="EXACT_COLLECTION_AMOUNT"),$T514=""),"Stated total amount required",IF(AND($S514="TOTAL_AMOUNT_INCLUDING_DELIVERY",$T514&lt;SUM($J514,$U514)),"Stated total is below item price plus additional charge",IF($S514="EXACT_COLLECTION_AMOUNT","Authorized amount breakdown required before settlement","Ready for collection and settlement"))))))))))))</f>
        <v/>
      </c>
      <c r="AW514" s="23">
        <f>IF($AU514="","","PARCEL_FINANCIAL_V2")</f>
        <v/>
      </c>
      <c r="AX514" s="17" t="n"/>
    </row>
    <row r="515">
      <c r="A515" s="8" t="n"/>
      <c r="B515" s="8" t="n"/>
      <c r="C515" s="8" t="n"/>
      <c r="D515" s="8" t="n"/>
      <c r="E515" s="9" t="n"/>
      <c r="F515" s="9" t="n"/>
      <c r="G515" s="8" t="n"/>
      <c r="H515" s="9" t="n"/>
      <c r="I515" s="9" t="n"/>
      <c r="J515" s="10" t="n"/>
      <c r="K515" s="10" t="n"/>
      <c r="L515" s="11">
        <f>IF($S515="","",IF($S515="ITEM_PRICE_PLUS_DECLARED_DELIVERY",IF(OR($J515="",$K515=""),"",SUM($J515,$K515,$U515)),IF($S515="TOTAL_AMOUNT_INCLUDING_DELIVERY",IF($T515="","",$T515),IF($S515="DELIVERY_CHARGE_ONLY",IF($K515="","",SUM($K515,$U515)),IF($S515="EXACT_COLLECTION_AMOUNT",IF($T515="","",$T515),IF($S515="ITEM_PRICE_ONLY_DELIVERY_PAID_BY_MERCHANT",IF($J515="","",SUM($J515,$U515)),""))))))</f>
        <v/>
      </c>
      <c r="M515" s="12" t="n"/>
      <c r="N515" s="13" t="n"/>
      <c r="O515" s="13" t="n"/>
      <c r="P515" s="9" t="n"/>
      <c r="Q515" s="14" t="n"/>
      <c r="R515" s="15" t="n"/>
      <c r="S515" s="14" t="n"/>
      <c r="T515" s="16" t="n"/>
      <c r="U515" s="16" t="n"/>
      <c r="V515" s="16" t="n"/>
      <c r="W515" s="16" t="n"/>
      <c r="X515" s="16" t="n"/>
      <c r="Y515" s="16" t="n"/>
      <c r="Z515" s="14" t="n"/>
      <c r="AA515" s="14" t="n"/>
      <c r="AB515" s="14" t="n"/>
      <c r="AC515" s="17">
        <f>IFERROR(VLOOKUP($H515&amp;"|"&amp;$Q515,Tariff_Master!$A$2:$L$169,3,FALSE),"")</f>
        <v/>
      </c>
      <c r="AD515" s="17">
        <f>IFERROR(VLOOKUP($H515&amp;"|"&amp;$Q515,Tariff_Master!$A$2:$L$169,4,FALSE),"")</f>
        <v/>
      </c>
      <c r="AE515" s="18">
        <f>IFERROR(VLOOKUP($H515&amp;"|"&amp;$Q515,Tariff_Master!$A$2:$L$169,6,FALSE),"")</f>
        <v/>
      </c>
      <c r="AF515" s="19">
        <f>IFERROR(VLOOKUP($H515&amp;"|"&amp;$Q515,Tariff_Master!$A$2:$L$169,7,FALSE),"")</f>
        <v/>
      </c>
      <c r="AG515" s="18">
        <f>IFERROR(VLOOKUP($H515&amp;"|"&amp;$Q515,Tariff_Master!$A$2:$L$169,8,FALSE),"")</f>
        <v/>
      </c>
      <c r="AH515" s="20">
        <f>IFERROR(VLOOKUP($H515&amp;"|"&amp;$Q515,Tariff_Master!$A$2:$L$169,9,FALSE),"")</f>
        <v/>
      </c>
      <c r="AI515" s="18">
        <f>IFERROR(VLOOKUP($H515&amp;"|"&amp;$Q515,Tariff_Master!$A$2:$L$169,10,FALSE),"")</f>
        <v/>
      </c>
      <c r="AJ515" s="21">
        <f>IF($M515="","",ROUNDUP(MAX(0,$M515),0))</f>
        <v/>
      </c>
      <c r="AK515" s="21">
        <f>IF(OR($AJ515="",$AF515=""),"",MAX(0,$AJ515-$AF515))</f>
        <v/>
      </c>
      <c r="AL515" s="22">
        <f>IF(OR($AK515="",$AG515=""),"",MAX(0,$AK515*$AG515))</f>
        <v/>
      </c>
      <c r="AM515" s="22">
        <f>IF($AE515="","",MAX(0,SUM($AE515,$AL515,$V515,$W515)))</f>
        <v/>
      </c>
      <c r="AN515" s="22">
        <f>IF($AM515="","",IF(AND($Q515="COMMITMENT",$R515&gt;=$AH515),$AI515,0))</f>
        <v/>
      </c>
      <c r="AO515" s="23">
        <f>IF($AM515="","",MAX(0,$AM515-$AN515))</f>
        <v/>
      </c>
      <c r="AP515" s="22">
        <f>IF($S515="","",IF(OR($S515="ITEM_PRICE_PLUS_DECLARED_DELIVERY",$S515="DELIVERY_CHARGE_ONLY"),$K515,IF($S515="TOTAL_AMOUNT_INCLUDING_DELIVERY",IF(OR($T515="",$J515=""),"",MAX(0,$T515-$J515-$U515)),IF($S515="ITEM_PRICE_ONLY_DELIVERY_PAID_BY_MERCHANT",0,""))))</f>
        <v/>
      </c>
      <c r="AQ515" s="23">
        <f>IF(OR($AP515="",$AO515=""),"",$AP515-$AO515)</f>
        <v/>
      </c>
      <c r="AR515" s="24">
        <f>IF($S515="EXACT_COLLECTION_AMOUNT","BREAKDOWN_REQUIRED",IF($AQ515="","",IF($AQ515&gt;0,"CREDIT_TO_MERCHANT",IF($AQ515&lt;0,"DEDUCT_FROM_MERCHANT","NO_ADJUSTMENT"))))</f>
        <v/>
      </c>
      <c r="AS515" s="23">
        <f>IF(OR($AQ515="",$AR515="BREAKDOWN_REQUIRED"),"",$AQ515)</f>
        <v/>
      </c>
      <c r="AT515" s="23">
        <f>IF(OR($AR515="",$AR515="BREAKDOWN_REQUIRED"),"",SUM($J515,$AQ515,$Y515)-$X515)</f>
        <v/>
      </c>
      <c r="AU515" s="25">
        <f>IF(AND($A515="",$B515="",$F515="",$H515="",$J515="",$K515="",$M515="",$S515=""),"",IF(OR($H515="",$Q515="",$M515="",$S515=""),"ERROR",IF(OR($J515&lt;0,$K515&lt;0,$M515&lt;0,$T515&lt;0,$U515&lt;0,$V515&lt;0,$W515&lt;0,$X515&lt;0,$Y515&lt;0),"ERROR",IF($AE515="","ERROR",IF(AND(OR($S515="ITEM_PRICE_PLUS_DECLARED_DELIVERY",$S515="TOTAL_AMOUNT_INCLUDING_DELIVERY",$S515="ITEM_PRICE_ONLY_DELIVERY_PAID_BY_MERCHANT"),$J515=""),"ERROR",IF(AND(OR($S515="ITEM_PRICE_PLUS_DECLARED_DELIVERY",$S515="DELIVERY_CHARGE_ONLY"),$K515=""),"ERROR",IF(AND(OR($S515="TOTAL_AMOUNT_INCLUDING_DELIVERY",$S515="EXACT_COLLECTION_AMOUNT"),$T515=""),"ERROR",IF(AND($S515="TOTAL_AMOUNT_INCLUDING_DELIVERY",$T515&lt;SUM($J515,$U515)),"ERROR",IF($S515="EXACT_COLLECTION_AMOUNT","REVIEW","OK")))))))))</f>
        <v/>
      </c>
      <c r="AV515" s="25">
        <f>IF($AU515="","",IF($H515="","Township required",IF($Q515="","Customer tier required",IF($M515="","Weight required",IF($S515="","Amount entry type required",IF(OR($J515&lt;0,$K515&lt;0,$M515&lt;0,$T515&lt;0,$U515&lt;0,$V515&lt;0,$W515&lt;0,$X515&lt;0,$Y515&lt;0),"Negative amounts are not allowed",IF($AE515="","Tariff not found for township and tier",IF(AND(OR($S515="ITEM_PRICE_PLUS_DECLARED_DELIVERY",$S515="TOTAL_AMOUNT_INCLUDING_DELIVERY",$S515="ITEM_PRICE_ONLY_DELIVERY_PAID_BY_MERCHANT"),$J515=""),"Item price required for this amount type",IF(AND(OR($S515="ITEM_PRICE_PLUS_DECLARED_DELIVERY",$S515="DELIVERY_CHARGE_ONLY"),$K515=""),"Declared delivery charge required",IF(AND(OR($S515="TOTAL_AMOUNT_INCLUDING_DELIVERY",$S515="EXACT_COLLECTION_AMOUNT"),$T515=""),"Stated total amount required",IF(AND($S515="TOTAL_AMOUNT_INCLUDING_DELIVERY",$T515&lt;SUM($J515,$U515)),"Stated total is below item price plus additional charge",IF($S515="EXACT_COLLECTION_AMOUNT","Authorized amount breakdown required before settlement","Ready for collection and settlement"))))))))))))</f>
        <v/>
      </c>
      <c r="AW515" s="23">
        <f>IF($AU515="","","PARCEL_FINANCIAL_V2")</f>
        <v/>
      </c>
      <c r="AX515" s="17" t="n"/>
    </row>
    <row r="516">
      <c r="A516" s="8" t="n"/>
      <c r="B516" s="8" t="n"/>
      <c r="C516" s="8" t="n"/>
      <c r="D516" s="8" t="n"/>
      <c r="E516" s="9" t="n"/>
      <c r="F516" s="9" t="n"/>
      <c r="G516" s="8" t="n"/>
      <c r="H516" s="9" t="n"/>
      <c r="I516" s="9" t="n"/>
      <c r="J516" s="10" t="n"/>
      <c r="K516" s="10" t="n"/>
      <c r="L516" s="11">
        <f>IF($S516="","",IF($S516="ITEM_PRICE_PLUS_DECLARED_DELIVERY",IF(OR($J516="",$K516=""),"",SUM($J516,$K516,$U516)),IF($S516="TOTAL_AMOUNT_INCLUDING_DELIVERY",IF($T516="","",$T516),IF($S516="DELIVERY_CHARGE_ONLY",IF($K516="","",SUM($K516,$U516)),IF($S516="EXACT_COLLECTION_AMOUNT",IF($T516="","",$T516),IF($S516="ITEM_PRICE_ONLY_DELIVERY_PAID_BY_MERCHANT",IF($J516="","",SUM($J516,$U516)),""))))))</f>
        <v/>
      </c>
      <c r="M516" s="12" t="n"/>
      <c r="N516" s="13" t="n"/>
      <c r="O516" s="13" t="n"/>
      <c r="P516" s="9" t="n"/>
      <c r="Q516" s="14" t="n"/>
      <c r="R516" s="15" t="n"/>
      <c r="S516" s="14" t="n"/>
      <c r="T516" s="16" t="n"/>
      <c r="U516" s="16" t="n"/>
      <c r="V516" s="16" t="n"/>
      <c r="W516" s="16" t="n"/>
      <c r="X516" s="16" t="n"/>
      <c r="Y516" s="16" t="n"/>
      <c r="Z516" s="14" t="n"/>
      <c r="AA516" s="14" t="n"/>
      <c r="AB516" s="14" t="n"/>
      <c r="AC516" s="17">
        <f>IFERROR(VLOOKUP($H516&amp;"|"&amp;$Q516,Tariff_Master!$A$2:$L$169,3,FALSE),"")</f>
        <v/>
      </c>
      <c r="AD516" s="17">
        <f>IFERROR(VLOOKUP($H516&amp;"|"&amp;$Q516,Tariff_Master!$A$2:$L$169,4,FALSE),"")</f>
        <v/>
      </c>
      <c r="AE516" s="18">
        <f>IFERROR(VLOOKUP($H516&amp;"|"&amp;$Q516,Tariff_Master!$A$2:$L$169,6,FALSE),"")</f>
        <v/>
      </c>
      <c r="AF516" s="19">
        <f>IFERROR(VLOOKUP($H516&amp;"|"&amp;$Q516,Tariff_Master!$A$2:$L$169,7,FALSE),"")</f>
        <v/>
      </c>
      <c r="AG516" s="18">
        <f>IFERROR(VLOOKUP($H516&amp;"|"&amp;$Q516,Tariff_Master!$A$2:$L$169,8,FALSE),"")</f>
        <v/>
      </c>
      <c r="AH516" s="20">
        <f>IFERROR(VLOOKUP($H516&amp;"|"&amp;$Q516,Tariff_Master!$A$2:$L$169,9,FALSE),"")</f>
        <v/>
      </c>
      <c r="AI516" s="18">
        <f>IFERROR(VLOOKUP($H516&amp;"|"&amp;$Q516,Tariff_Master!$A$2:$L$169,10,FALSE),"")</f>
        <v/>
      </c>
      <c r="AJ516" s="21">
        <f>IF($M516="","",ROUNDUP(MAX(0,$M516),0))</f>
        <v/>
      </c>
      <c r="AK516" s="21">
        <f>IF(OR($AJ516="",$AF516=""),"",MAX(0,$AJ516-$AF516))</f>
        <v/>
      </c>
      <c r="AL516" s="22">
        <f>IF(OR($AK516="",$AG516=""),"",MAX(0,$AK516*$AG516))</f>
        <v/>
      </c>
      <c r="AM516" s="22">
        <f>IF($AE516="","",MAX(0,SUM($AE516,$AL516,$V516,$W516)))</f>
        <v/>
      </c>
      <c r="AN516" s="22">
        <f>IF($AM516="","",IF(AND($Q516="COMMITMENT",$R516&gt;=$AH516),$AI516,0))</f>
        <v/>
      </c>
      <c r="AO516" s="23">
        <f>IF($AM516="","",MAX(0,$AM516-$AN516))</f>
        <v/>
      </c>
      <c r="AP516" s="22">
        <f>IF($S516="","",IF(OR($S516="ITEM_PRICE_PLUS_DECLARED_DELIVERY",$S516="DELIVERY_CHARGE_ONLY"),$K516,IF($S516="TOTAL_AMOUNT_INCLUDING_DELIVERY",IF(OR($T516="",$J516=""),"",MAX(0,$T516-$J516-$U516)),IF($S516="ITEM_PRICE_ONLY_DELIVERY_PAID_BY_MERCHANT",0,""))))</f>
        <v/>
      </c>
      <c r="AQ516" s="23">
        <f>IF(OR($AP516="",$AO516=""),"",$AP516-$AO516)</f>
        <v/>
      </c>
      <c r="AR516" s="24">
        <f>IF($S516="EXACT_COLLECTION_AMOUNT","BREAKDOWN_REQUIRED",IF($AQ516="","",IF($AQ516&gt;0,"CREDIT_TO_MERCHANT",IF($AQ516&lt;0,"DEDUCT_FROM_MERCHANT","NO_ADJUSTMENT"))))</f>
        <v/>
      </c>
      <c r="AS516" s="23">
        <f>IF(OR($AQ516="",$AR516="BREAKDOWN_REQUIRED"),"",$AQ516)</f>
        <v/>
      </c>
      <c r="AT516" s="23">
        <f>IF(OR($AR516="",$AR516="BREAKDOWN_REQUIRED"),"",SUM($J516,$AQ516,$Y516)-$X516)</f>
        <v/>
      </c>
      <c r="AU516" s="25">
        <f>IF(AND($A516="",$B516="",$F516="",$H516="",$J516="",$K516="",$M516="",$S516=""),"",IF(OR($H516="",$Q516="",$M516="",$S516=""),"ERROR",IF(OR($J516&lt;0,$K516&lt;0,$M516&lt;0,$T516&lt;0,$U516&lt;0,$V516&lt;0,$W516&lt;0,$X516&lt;0,$Y516&lt;0),"ERROR",IF($AE516="","ERROR",IF(AND(OR($S516="ITEM_PRICE_PLUS_DECLARED_DELIVERY",$S516="TOTAL_AMOUNT_INCLUDING_DELIVERY",$S516="ITEM_PRICE_ONLY_DELIVERY_PAID_BY_MERCHANT"),$J516=""),"ERROR",IF(AND(OR($S516="ITEM_PRICE_PLUS_DECLARED_DELIVERY",$S516="DELIVERY_CHARGE_ONLY"),$K516=""),"ERROR",IF(AND(OR($S516="TOTAL_AMOUNT_INCLUDING_DELIVERY",$S516="EXACT_COLLECTION_AMOUNT"),$T516=""),"ERROR",IF(AND($S516="TOTAL_AMOUNT_INCLUDING_DELIVERY",$T516&lt;SUM($J516,$U516)),"ERROR",IF($S516="EXACT_COLLECTION_AMOUNT","REVIEW","OK")))))))))</f>
        <v/>
      </c>
      <c r="AV516" s="25">
        <f>IF($AU516="","",IF($H516="","Township required",IF($Q516="","Customer tier required",IF($M516="","Weight required",IF($S516="","Amount entry type required",IF(OR($J516&lt;0,$K516&lt;0,$M516&lt;0,$T516&lt;0,$U516&lt;0,$V516&lt;0,$W516&lt;0,$X516&lt;0,$Y516&lt;0),"Negative amounts are not allowed",IF($AE516="","Tariff not found for township and tier",IF(AND(OR($S516="ITEM_PRICE_PLUS_DECLARED_DELIVERY",$S516="TOTAL_AMOUNT_INCLUDING_DELIVERY",$S516="ITEM_PRICE_ONLY_DELIVERY_PAID_BY_MERCHANT"),$J516=""),"Item price required for this amount type",IF(AND(OR($S516="ITEM_PRICE_PLUS_DECLARED_DELIVERY",$S516="DELIVERY_CHARGE_ONLY"),$K516=""),"Declared delivery charge required",IF(AND(OR($S516="TOTAL_AMOUNT_INCLUDING_DELIVERY",$S516="EXACT_COLLECTION_AMOUNT"),$T516=""),"Stated total amount required",IF(AND($S516="TOTAL_AMOUNT_INCLUDING_DELIVERY",$T516&lt;SUM($J516,$U516)),"Stated total is below item price plus additional charge",IF($S516="EXACT_COLLECTION_AMOUNT","Authorized amount breakdown required before settlement","Ready for collection and settlement"))))))))))))</f>
        <v/>
      </c>
      <c r="AW516" s="23">
        <f>IF($AU516="","","PARCEL_FINANCIAL_V2")</f>
        <v/>
      </c>
      <c r="AX516" s="17" t="n"/>
    </row>
    <row r="517">
      <c r="A517" s="8" t="n"/>
      <c r="B517" s="8" t="n"/>
      <c r="C517" s="8" t="n"/>
      <c r="D517" s="8" t="n"/>
      <c r="E517" s="9" t="n"/>
      <c r="F517" s="9" t="n"/>
      <c r="G517" s="8" t="n"/>
      <c r="H517" s="9" t="n"/>
      <c r="I517" s="9" t="n"/>
      <c r="J517" s="10" t="n"/>
      <c r="K517" s="10" t="n"/>
      <c r="L517" s="11">
        <f>IF($S517="","",IF($S517="ITEM_PRICE_PLUS_DECLARED_DELIVERY",IF(OR($J517="",$K517=""),"",SUM($J517,$K517,$U517)),IF($S517="TOTAL_AMOUNT_INCLUDING_DELIVERY",IF($T517="","",$T517),IF($S517="DELIVERY_CHARGE_ONLY",IF($K517="","",SUM($K517,$U517)),IF($S517="EXACT_COLLECTION_AMOUNT",IF($T517="","",$T517),IF($S517="ITEM_PRICE_ONLY_DELIVERY_PAID_BY_MERCHANT",IF($J517="","",SUM($J517,$U517)),""))))))</f>
        <v/>
      </c>
      <c r="M517" s="12" t="n"/>
      <c r="N517" s="13" t="n"/>
      <c r="O517" s="13" t="n"/>
      <c r="P517" s="9" t="n"/>
      <c r="Q517" s="14" t="n"/>
      <c r="R517" s="15" t="n"/>
      <c r="S517" s="14" t="n"/>
      <c r="T517" s="16" t="n"/>
      <c r="U517" s="16" t="n"/>
      <c r="V517" s="16" t="n"/>
      <c r="W517" s="16" t="n"/>
      <c r="X517" s="16" t="n"/>
      <c r="Y517" s="16" t="n"/>
      <c r="Z517" s="14" t="n"/>
      <c r="AA517" s="14" t="n"/>
      <c r="AB517" s="14" t="n"/>
      <c r="AC517" s="17">
        <f>IFERROR(VLOOKUP($H517&amp;"|"&amp;$Q517,Tariff_Master!$A$2:$L$169,3,FALSE),"")</f>
        <v/>
      </c>
      <c r="AD517" s="17">
        <f>IFERROR(VLOOKUP($H517&amp;"|"&amp;$Q517,Tariff_Master!$A$2:$L$169,4,FALSE),"")</f>
        <v/>
      </c>
      <c r="AE517" s="18">
        <f>IFERROR(VLOOKUP($H517&amp;"|"&amp;$Q517,Tariff_Master!$A$2:$L$169,6,FALSE),"")</f>
        <v/>
      </c>
      <c r="AF517" s="19">
        <f>IFERROR(VLOOKUP($H517&amp;"|"&amp;$Q517,Tariff_Master!$A$2:$L$169,7,FALSE),"")</f>
        <v/>
      </c>
      <c r="AG517" s="18">
        <f>IFERROR(VLOOKUP($H517&amp;"|"&amp;$Q517,Tariff_Master!$A$2:$L$169,8,FALSE),"")</f>
        <v/>
      </c>
      <c r="AH517" s="20">
        <f>IFERROR(VLOOKUP($H517&amp;"|"&amp;$Q517,Tariff_Master!$A$2:$L$169,9,FALSE),"")</f>
        <v/>
      </c>
      <c r="AI517" s="18">
        <f>IFERROR(VLOOKUP($H517&amp;"|"&amp;$Q517,Tariff_Master!$A$2:$L$169,10,FALSE),"")</f>
        <v/>
      </c>
      <c r="AJ517" s="21">
        <f>IF($M517="","",ROUNDUP(MAX(0,$M517),0))</f>
        <v/>
      </c>
      <c r="AK517" s="21">
        <f>IF(OR($AJ517="",$AF517=""),"",MAX(0,$AJ517-$AF517))</f>
        <v/>
      </c>
      <c r="AL517" s="22">
        <f>IF(OR($AK517="",$AG517=""),"",MAX(0,$AK517*$AG517))</f>
        <v/>
      </c>
      <c r="AM517" s="22">
        <f>IF($AE517="","",MAX(0,SUM($AE517,$AL517,$V517,$W517)))</f>
        <v/>
      </c>
      <c r="AN517" s="22">
        <f>IF($AM517="","",IF(AND($Q517="COMMITMENT",$R517&gt;=$AH517),$AI517,0))</f>
        <v/>
      </c>
      <c r="AO517" s="23">
        <f>IF($AM517="","",MAX(0,$AM517-$AN517))</f>
        <v/>
      </c>
      <c r="AP517" s="22">
        <f>IF($S517="","",IF(OR($S517="ITEM_PRICE_PLUS_DECLARED_DELIVERY",$S517="DELIVERY_CHARGE_ONLY"),$K517,IF($S517="TOTAL_AMOUNT_INCLUDING_DELIVERY",IF(OR($T517="",$J517=""),"",MAX(0,$T517-$J517-$U517)),IF($S517="ITEM_PRICE_ONLY_DELIVERY_PAID_BY_MERCHANT",0,""))))</f>
        <v/>
      </c>
      <c r="AQ517" s="23">
        <f>IF(OR($AP517="",$AO517=""),"",$AP517-$AO517)</f>
        <v/>
      </c>
      <c r="AR517" s="24">
        <f>IF($S517="EXACT_COLLECTION_AMOUNT","BREAKDOWN_REQUIRED",IF($AQ517="","",IF($AQ517&gt;0,"CREDIT_TO_MERCHANT",IF($AQ517&lt;0,"DEDUCT_FROM_MERCHANT","NO_ADJUSTMENT"))))</f>
        <v/>
      </c>
      <c r="AS517" s="23">
        <f>IF(OR($AQ517="",$AR517="BREAKDOWN_REQUIRED"),"",$AQ517)</f>
        <v/>
      </c>
      <c r="AT517" s="23">
        <f>IF(OR($AR517="",$AR517="BREAKDOWN_REQUIRED"),"",SUM($J517,$AQ517,$Y517)-$X517)</f>
        <v/>
      </c>
      <c r="AU517" s="25">
        <f>IF(AND($A517="",$B517="",$F517="",$H517="",$J517="",$K517="",$M517="",$S517=""),"",IF(OR($H517="",$Q517="",$M517="",$S517=""),"ERROR",IF(OR($J517&lt;0,$K517&lt;0,$M517&lt;0,$T517&lt;0,$U517&lt;0,$V517&lt;0,$W517&lt;0,$X517&lt;0,$Y517&lt;0),"ERROR",IF($AE517="","ERROR",IF(AND(OR($S517="ITEM_PRICE_PLUS_DECLARED_DELIVERY",$S517="TOTAL_AMOUNT_INCLUDING_DELIVERY",$S517="ITEM_PRICE_ONLY_DELIVERY_PAID_BY_MERCHANT"),$J517=""),"ERROR",IF(AND(OR($S517="ITEM_PRICE_PLUS_DECLARED_DELIVERY",$S517="DELIVERY_CHARGE_ONLY"),$K517=""),"ERROR",IF(AND(OR($S517="TOTAL_AMOUNT_INCLUDING_DELIVERY",$S517="EXACT_COLLECTION_AMOUNT"),$T517=""),"ERROR",IF(AND($S517="TOTAL_AMOUNT_INCLUDING_DELIVERY",$T517&lt;SUM($J517,$U517)),"ERROR",IF($S517="EXACT_COLLECTION_AMOUNT","REVIEW","OK")))))))))</f>
        <v/>
      </c>
      <c r="AV517" s="25">
        <f>IF($AU517="","",IF($H517="","Township required",IF($Q517="","Customer tier required",IF($M517="","Weight required",IF($S517="","Amount entry type required",IF(OR($J517&lt;0,$K517&lt;0,$M517&lt;0,$T517&lt;0,$U517&lt;0,$V517&lt;0,$W517&lt;0,$X517&lt;0,$Y517&lt;0),"Negative amounts are not allowed",IF($AE517="","Tariff not found for township and tier",IF(AND(OR($S517="ITEM_PRICE_PLUS_DECLARED_DELIVERY",$S517="TOTAL_AMOUNT_INCLUDING_DELIVERY",$S517="ITEM_PRICE_ONLY_DELIVERY_PAID_BY_MERCHANT"),$J517=""),"Item price required for this amount type",IF(AND(OR($S517="ITEM_PRICE_PLUS_DECLARED_DELIVERY",$S517="DELIVERY_CHARGE_ONLY"),$K517=""),"Declared delivery charge required",IF(AND(OR($S517="TOTAL_AMOUNT_INCLUDING_DELIVERY",$S517="EXACT_COLLECTION_AMOUNT"),$T517=""),"Stated total amount required",IF(AND($S517="TOTAL_AMOUNT_INCLUDING_DELIVERY",$T517&lt;SUM($J517,$U517)),"Stated total is below item price plus additional charge",IF($S517="EXACT_COLLECTION_AMOUNT","Authorized amount breakdown required before settlement","Ready for collection and settlement"))))))))))))</f>
        <v/>
      </c>
      <c r="AW517" s="23">
        <f>IF($AU517="","","PARCEL_FINANCIAL_V2")</f>
        <v/>
      </c>
      <c r="AX517" s="17" t="n"/>
    </row>
    <row r="518">
      <c r="A518" s="8" t="n"/>
      <c r="B518" s="8" t="n"/>
      <c r="C518" s="8" t="n"/>
      <c r="D518" s="8" t="n"/>
      <c r="E518" s="9" t="n"/>
      <c r="F518" s="9" t="n"/>
      <c r="G518" s="8" t="n"/>
      <c r="H518" s="9" t="n"/>
      <c r="I518" s="9" t="n"/>
      <c r="J518" s="10" t="n"/>
      <c r="K518" s="10" t="n"/>
      <c r="L518" s="11">
        <f>IF($S518="","",IF($S518="ITEM_PRICE_PLUS_DECLARED_DELIVERY",IF(OR($J518="",$K518=""),"",SUM($J518,$K518,$U518)),IF($S518="TOTAL_AMOUNT_INCLUDING_DELIVERY",IF($T518="","",$T518),IF($S518="DELIVERY_CHARGE_ONLY",IF($K518="","",SUM($K518,$U518)),IF($S518="EXACT_COLLECTION_AMOUNT",IF($T518="","",$T518),IF($S518="ITEM_PRICE_ONLY_DELIVERY_PAID_BY_MERCHANT",IF($J518="","",SUM($J518,$U518)),""))))))</f>
        <v/>
      </c>
      <c r="M518" s="12" t="n"/>
      <c r="N518" s="13" t="n"/>
      <c r="O518" s="13" t="n"/>
      <c r="P518" s="9" t="n"/>
      <c r="Q518" s="14" t="n"/>
      <c r="R518" s="15" t="n"/>
      <c r="S518" s="14" t="n"/>
      <c r="T518" s="16" t="n"/>
      <c r="U518" s="16" t="n"/>
      <c r="V518" s="16" t="n"/>
      <c r="W518" s="16" t="n"/>
      <c r="X518" s="16" t="n"/>
      <c r="Y518" s="16" t="n"/>
      <c r="Z518" s="14" t="n"/>
      <c r="AA518" s="14" t="n"/>
      <c r="AB518" s="14" t="n"/>
      <c r="AC518" s="17">
        <f>IFERROR(VLOOKUP($H518&amp;"|"&amp;$Q518,Tariff_Master!$A$2:$L$169,3,FALSE),"")</f>
        <v/>
      </c>
      <c r="AD518" s="17">
        <f>IFERROR(VLOOKUP($H518&amp;"|"&amp;$Q518,Tariff_Master!$A$2:$L$169,4,FALSE),"")</f>
        <v/>
      </c>
      <c r="AE518" s="18">
        <f>IFERROR(VLOOKUP($H518&amp;"|"&amp;$Q518,Tariff_Master!$A$2:$L$169,6,FALSE),"")</f>
        <v/>
      </c>
      <c r="AF518" s="19">
        <f>IFERROR(VLOOKUP($H518&amp;"|"&amp;$Q518,Tariff_Master!$A$2:$L$169,7,FALSE),"")</f>
        <v/>
      </c>
      <c r="AG518" s="18">
        <f>IFERROR(VLOOKUP($H518&amp;"|"&amp;$Q518,Tariff_Master!$A$2:$L$169,8,FALSE),"")</f>
        <v/>
      </c>
      <c r="AH518" s="20">
        <f>IFERROR(VLOOKUP($H518&amp;"|"&amp;$Q518,Tariff_Master!$A$2:$L$169,9,FALSE),"")</f>
        <v/>
      </c>
      <c r="AI518" s="18">
        <f>IFERROR(VLOOKUP($H518&amp;"|"&amp;$Q518,Tariff_Master!$A$2:$L$169,10,FALSE),"")</f>
        <v/>
      </c>
      <c r="AJ518" s="21">
        <f>IF($M518="","",ROUNDUP(MAX(0,$M518),0))</f>
        <v/>
      </c>
      <c r="AK518" s="21">
        <f>IF(OR($AJ518="",$AF518=""),"",MAX(0,$AJ518-$AF518))</f>
        <v/>
      </c>
      <c r="AL518" s="22">
        <f>IF(OR($AK518="",$AG518=""),"",MAX(0,$AK518*$AG518))</f>
        <v/>
      </c>
      <c r="AM518" s="22">
        <f>IF($AE518="","",MAX(0,SUM($AE518,$AL518,$V518,$W518)))</f>
        <v/>
      </c>
      <c r="AN518" s="22">
        <f>IF($AM518="","",IF(AND($Q518="COMMITMENT",$R518&gt;=$AH518),$AI518,0))</f>
        <v/>
      </c>
      <c r="AO518" s="23">
        <f>IF($AM518="","",MAX(0,$AM518-$AN518))</f>
        <v/>
      </c>
      <c r="AP518" s="22">
        <f>IF($S518="","",IF(OR($S518="ITEM_PRICE_PLUS_DECLARED_DELIVERY",$S518="DELIVERY_CHARGE_ONLY"),$K518,IF($S518="TOTAL_AMOUNT_INCLUDING_DELIVERY",IF(OR($T518="",$J518=""),"",MAX(0,$T518-$J518-$U518)),IF($S518="ITEM_PRICE_ONLY_DELIVERY_PAID_BY_MERCHANT",0,""))))</f>
        <v/>
      </c>
      <c r="AQ518" s="23">
        <f>IF(OR($AP518="",$AO518=""),"",$AP518-$AO518)</f>
        <v/>
      </c>
      <c r="AR518" s="24">
        <f>IF($S518="EXACT_COLLECTION_AMOUNT","BREAKDOWN_REQUIRED",IF($AQ518="","",IF($AQ518&gt;0,"CREDIT_TO_MERCHANT",IF($AQ518&lt;0,"DEDUCT_FROM_MERCHANT","NO_ADJUSTMENT"))))</f>
        <v/>
      </c>
      <c r="AS518" s="23">
        <f>IF(OR($AQ518="",$AR518="BREAKDOWN_REQUIRED"),"",$AQ518)</f>
        <v/>
      </c>
      <c r="AT518" s="23">
        <f>IF(OR($AR518="",$AR518="BREAKDOWN_REQUIRED"),"",SUM($J518,$AQ518,$Y518)-$X518)</f>
        <v/>
      </c>
      <c r="AU518" s="25">
        <f>IF(AND($A518="",$B518="",$F518="",$H518="",$J518="",$K518="",$M518="",$S518=""),"",IF(OR($H518="",$Q518="",$M518="",$S518=""),"ERROR",IF(OR($J518&lt;0,$K518&lt;0,$M518&lt;0,$T518&lt;0,$U518&lt;0,$V518&lt;0,$W518&lt;0,$X518&lt;0,$Y518&lt;0),"ERROR",IF($AE518="","ERROR",IF(AND(OR($S518="ITEM_PRICE_PLUS_DECLARED_DELIVERY",$S518="TOTAL_AMOUNT_INCLUDING_DELIVERY",$S518="ITEM_PRICE_ONLY_DELIVERY_PAID_BY_MERCHANT"),$J518=""),"ERROR",IF(AND(OR($S518="ITEM_PRICE_PLUS_DECLARED_DELIVERY",$S518="DELIVERY_CHARGE_ONLY"),$K518=""),"ERROR",IF(AND(OR($S518="TOTAL_AMOUNT_INCLUDING_DELIVERY",$S518="EXACT_COLLECTION_AMOUNT"),$T518=""),"ERROR",IF(AND($S518="TOTAL_AMOUNT_INCLUDING_DELIVERY",$T518&lt;SUM($J518,$U518)),"ERROR",IF($S518="EXACT_COLLECTION_AMOUNT","REVIEW","OK")))))))))</f>
        <v/>
      </c>
      <c r="AV518" s="25">
        <f>IF($AU518="","",IF($H518="","Township required",IF($Q518="","Customer tier required",IF($M518="","Weight required",IF($S518="","Amount entry type required",IF(OR($J518&lt;0,$K518&lt;0,$M518&lt;0,$T518&lt;0,$U518&lt;0,$V518&lt;0,$W518&lt;0,$X518&lt;0,$Y518&lt;0),"Negative amounts are not allowed",IF($AE518="","Tariff not found for township and tier",IF(AND(OR($S518="ITEM_PRICE_PLUS_DECLARED_DELIVERY",$S518="TOTAL_AMOUNT_INCLUDING_DELIVERY",$S518="ITEM_PRICE_ONLY_DELIVERY_PAID_BY_MERCHANT"),$J518=""),"Item price required for this amount type",IF(AND(OR($S518="ITEM_PRICE_PLUS_DECLARED_DELIVERY",$S518="DELIVERY_CHARGE_ONLY"),$K518=""),"Declared delivery charge required",IF(AND(OR($S518="TOTAL_AMOUNT_INCLUDING_DELIVERY",$S518="EXACT_COLLECTION_AMOUNT"),$T518=""),"Stated total amount required",IF(AND($S518="TOTAL_AMOUNT_INCLUDING_DELIVERY",$T518&lt;SUM($J518,$U518)),"Stated total is below item price plus additional charge",IF($S518="EXACT_COLLECTION_AMOUNT","Authorized amount breakdown required before settlement","Ready for collection and settlement"))))))))))))</f>
        <v/>
      </c>
      <c r="AW518" s="23">
        <f>IF($AU518="","","PARCEL_FINANCIAL_V2")</f>
        <v/>
      </c>
      <c r="AX518" s="17" t="n"/>
    </row>
    <row r="519">
      <c r="A519" s="8" t="n"/>
      <c r="B519" s="8" t="n"/>
      <c r="C519" s="8" t="n"/>
      <c r="D519" s="8" t="n"/>
      <c r="E519" s="9" t="n"/>
      <c r="F519" s="9" t="n"/>
      <c r="G519" s="8" t="n"/>
      <c r="H519" s="9" t="n"/>
      <c r="I519" s="9" t="n"/>
      <c r="J519" s="10" t="n"/>
      <c r="K519" s="10" t="n"/>
      <c r="L519" s="11">
        <f>IF($S519="","",IF($S519="ITEM_PRICE_PLUS_DECLARED_DELIVERY",IF(OR($J519="",$K519=""),"",SUM($J519,$K519,$U519)),IF($S519="TOTAL_AMOUNT_INCLUDING_DELIVERY",IF($T519="","",$T519),IF($S519="DELIVERY_CHARGE_ONLY",IF($K519="","",SUM($K519,$U519)),IF($S519="EXACT_COLLECTION_AMOUNT",IF($T519="","",$T519),IF($S519="ITEM_PRICE_ONLY_DELIVERY_PAID_BY_MERCHANT",IF($J519="","",SUM($J519,$U519)),""))))))</f>
        <v/>
      </c>
      <c r="M519" s="12" t="n"/>
      <c r="N519" s="13" t="n"/>
      <c r="O519" s="13" t="n"/>
      <c r="P519" s="9" t="n"/>
      <c r="Q519" s="14" t="n"/>
      <c r="R519" s="15" t="n"/>
      <c r="S519" s="14" t="n"/>
      <c r="T519" s="16" t="n"/>
      <c r="U519" s="16" t="n"/>
      <c r="V519" s="16" t="n"/>
      <c r="W519" s="16" t="n"/>
      <c r="X519" s="16" t="n"/>
      <c r="Y519" s="16" t="n"/>
      <c r="Z519" s="14" t="n"/>
      <c r="AA519" s="14" t="n"/>
      <c r="AB519" s="14" t="n"/>
      <c r="AC519" s="17">
        <f>IFERROR(VLOOKUP($H519&amp;"|"&amp;$Q519,Tariff_Master!$A$2:$L$169,3,FALSE),"")</f>
        <v/>
      </c>
      <c r="AD519" s="17">
        <f>IFERROR(VLOOKUP($H519&amp;"|"&amp;$Q519,Tariff_Master!$A$2:$L$169,4,FALSE),"")</f>
        <v/>
      </c>
      <c r="AE519" s="18">
        <f>IFERROR(VLOOKUP($H519&amp;"|"&amp;$Q519,Tariff_Master!$A$2:$L$169,6,FALSE),"")</f>
        <v/>
      </c>
      <c r="AF519" s="19">
        <f>IFERROR(VLOOKUP($H519&amp;"|"&amp;$Q519,Tariff_Master!$A$2:$L$169,7,FALSE),"")</f>
        <v/>
      </c>
      <c r="AG519" s="18">
        <f>IFERROR(VLOOKUP($H519&amp;"|"&amp;$Q519,Tariff_Master!$A$2:$L$169,8,FALSE),"")</f>
        <v/>
      </c>
      <c r="AH519" s="20">
        <f>IFERROR(VLOOKUP($H519&amp;"|"&amp;$Q519,Tariff_Master!$A$2:$L$169,9,FALSE),"")</f>
        <v/>
      </c>
      <c r="AI519" s="18">
        <f>IFERROR(VLOOKUP($H519&amp;"|"&amp;$Q519,Tariff_Master!$A$2:$L$169,10,FALSE),"")</f>
        <v/>
      </c>
      <c r="AJ519" s="21">
        <f>IF($M519="","",ROUNDUP(MAX(0,$M519),0))</f>
        <v/>
      </c>
      <c r="AK519" s="21">
        <f>IF(OR($AJ519="",$AF519=""),"",MAX(0,$AJ519-$AF519))</f>
        <v/>
      </c>
      <c r="AL519" s="22">
        <f>IF(OR($AK519="",$AG519=""),"",MAX(0,$AK519*$AG519))</f>
        <v/>
      </c>
      <c r="AM519" s="22">
        <f>IF($AE519="","",MAX(0,SUM($AE519,$AL519,$V519,$W519)))</f>
        <v/>
      </c>
      <c r="AN519" s="22">
        <f>IF($AM519="","",IF(AND($Q519="COMMITMENT",$R519&gt;=$AH519),$AI519,0))</f>
        <v/>
      </c>
      <c r="AO519" s="23">
        <f>IF($AM519="","",MAX(0,$AM519-$AN519))</f>
        <v/>
      </c>
      <c r="AP519" s="22">
        <f>IF($S519="","",IF(OR($S519="ITEM_PRICE_PLUS_DECLARED_DELIVERY",$S519="DELIVERY_CHARGE_ONLY"),$K519,IF($S519="TOTAL_AMOUNT_INCLUDING_DELIVERY",IF(OR($T519="",$J519=""),"",MAX(0,$T519-$J519-$U519)),IF($S519="ITEM_PRICE_ONLY_DELIVERY_PAID_BY_MERCHANT",0,""))))</f>
        <v/>
      </c>
      <c r="AQ519" s="23">
        <f>IF(OR($AP519="",$AO519=""),"",$AP519-$AO519)</f>
        <v/>
      </c>
      <c r="AR519" s="24">
        <f>IF($S519="EXACT_COLLECTION_AMOUNT","BREAKDOWN_REQUIRED",IF($AQ519="","",IF($AQ519&gt;0,"CREDIT_TO_MERCHANT",IF($AQ519&lt;0,"DEDUCT_FROM_MERCHANT","NO_ADJUSTMENT"))))</f>
        <v/>
      </c>
      <c r="AS519" s="23">
        <f>IF(OR($AQ519="",$AR519="BREAKDOWN_REQUIRED"),"",$AQ519)</f>
        <v/>
      </c>
      <c r="AT519" s="23">
        <f>IF(OR($AR519="",$AR519="BREAKDOWN_REQUIRED"),"",SUM($J519,$AQ519,$Y519)-$X519)</f>
        <v/>
      </c>
      <c r="AU519" s="25">
        <f>IF(AND($A519="",$B519="",$F519="",$H519="",$J519="",$K519="",$M519="",$S519=""),"",IF(OR($H519="",$Q519="",$M519="",$S519=""),"ERROR",IF(OR($J519&lt;0,$K519&lt;0,$M519&lt;0,$T519&lt;0,$U519&lt;0,$V519&lt;0,$W519&lt;0,$X519&lt;0,$Y519&lt;0),"ERROR",IF($AE519="","ERROR",IF(AND(OR($S519="ITEM_PRICE_PLUS_DECLARED_DELIVERY",$S519="TOTAL_AMOUNT_INCLUDING_DELIVERY",$S519="ITEM_PRICE_ONLY_DELIVERY_PAID_BY_MERCHANT"),$J519=""),"ERROR",IF(AND(OR($S519="ITEM_PRICE_PLUS_DECLARED_DELIVERY",$S519="DELIVERY_CHARGE_ONLY"),$K519=""),"ERROR",IF(AND(OR($S519="TOTAL_AMOUNT_INCLUDING_DELIVERY",$S519="EXACT_COLLECTION_AMOUNT"),$T519=""),"ERROR",IF(AND($S519="TOTAL_AMOUNT_INCLUDING_DELIVERY",$T519&lt;SUM($J519,$U519)),"ERROR",IF($S519="EXACT_COLLECTION_AMOUNT","REVIEW","OK")))))))))</f>
        <v/>
      </c>
      <c r="AV519" s="25">
        <f>IF($AU519="","",IF($H519="","Township required",IF($Q519="","Customer tier required",IF($M519="","Weight required",IF($S519="","Amount entry type required",IF(OR($J519&lt;0,$K519&lt;0,$M519&lt;0,$T519&lt;0,$U519&lt;0,$V519&lt;0,$W519&lt;0,$X519&lt;0,$Y519&lt;0),"Negative amounts are not allowed",IF($AE519="","Tariff not found for township and tier",IF(AND(OR($S519="ITEM_PRICE_PLUS_DECLARED_DELIVERY",$S519="TOTAL_AMOUNT_INCLUDING_DELIVERY",$S519="ITEM_PRICE_ONLY_DELIVERY_PAID_BY_MERCHANT"),$J519=""),"Item price required for this amount type",IF(AND(OR($S519="ITEM_PRICE_PLUS_DECLARED_DELIVERY",$S519="DELIVERY_CHARGE_ONLY"),$K519=""),"Declared delivery charge required",IF(AND(OR($S519="TOTAL_AMOUNT_INCLUDING_DELIVERY",$S519="EXACT_COLLECTION_AMOUNT"),$T519=""),"Stated total amount required",IF(AND($S519="TOTAL_AMOUNT_INCLUDING_DELIVERY",$T519&lt;SUM($J519,$U519)),"Stated total is below item price plus additional charge",IF($S519="EXACT_COLLECTION_AMOUNT","Authorized amount breakdown required before settlement","Ready for collection and settlement"))))))))))))</f>
        <v/>
      </c>
      <c r="AW519" s="23">
        <f>IF($AU519="","","PARCEL_FINANCIAL_V2")</f>
        <v/>
      </c>
      <c r="AX519" s="17" t="n"/>
    </row>
    <row r="520">
      <c r="A520" s="8" t="n"/>
      <c r="B520" s="8" t="n"/>
      <c r="C520" s="8" t="n"/>
      <c r="D520" s="8" t="n"/>
      <c r="E520" s="9" t="n"/>
      <c r="F520" s="9" t="n"/>
      <c r="G520" s="8" t="n"/>
      <c r="H520" s="9" t="n"/>
      <c r="I520" s="9" t="n"/>
      <c r="J520" s="10" t="n"/>
      <c r="K520" s="10" t="n"/>
      <c r="L520" s="11">
        <f>IF($S520="","",IF($S520="ITEM_PRICE_PLUS_DECLARED_DELIVERY",IF(OR($J520="",$K520=""),"",SUM($J520,$K520,$U520)),IF($S520="TOTAL_AMOUNT_INCLUDING_DELIVERY",IF($T520="","",$T520),IF($S520="DELIVERY_CHARGE_ONLY",IF($K520="","",SUM($K520,$U520)),IF($S520="EXACT_COLLECTION_AMOUNT",IF($T520="","",$T520),IF($S520="ITEM_PRICE_ONLY_DELIVERY_PAID_BY_MERCHANT",IF($J520="","",SUM($J520,$U520)),""))))))</f>
        <v/>
      </c>
      <c r="M520" s="12" t="n"/>
      <c r="N520" s="13" t="n"/>
      <c r="O520" s="13" t="n"/>
      <c r="P520" s="9" t="n"/>
      <c r="Q520" s="14" t="n"/>
      <c r="R520" s="15" t="n"/>
      <c r="S520" s="14" t="n"/>
      <c r="T520" s="16" t="n"/>
      <c r="U520" s="16" t="n"/>
      <c r="V520" s="16" t="n"/>
      <c r="W520" s="16" t="n"/>
      <c r="X520" s="16" t="n"/>
      <c r="Y520" s="16" t="n"/>
      <c r="Z520" s="14" t="n"/>
      <c r="AA520" s="14" t="n"/>
      <c r="AB520" s="14" t="n"/>
      <c r="AC520" s="17">
        <f>IFERROR(VLOOKUP($H520&amp;"|"&amp;$Q520,Tariff_Master!$A$2:$L$169,3,FALSE),"")</f>
        <v/>
      </c>
      <c r="AD520" s="17">
        <f>IFERROR(VLOOKUP($H520&amp;"|"&amp;$Q520,Tariff_Master!$A$2:$L$169,4,FALSE),"")</f>
        <v/>
      </c>
      <c r="AE520" s="18">
        <f>IFERROR(VLOOKUP($H520&amp;"|"&amp;$Q520,Tariff_Master!$A$2:$L$169,6,FALSE),"")</f>
        <v/>
      </c>
      <c r="AF520" s="19">
        <f>IFERROR(VLOOKUP($H520&amp;"|"&amp;$Q520,Tariff_Master!$A$2:$L$169,7,FALSE),"")</f>
        <v/>
      </c>
      <c r="AG520" s="18">
        <f>IFERROR(VLOOKUP($H520&amp;"|"&amp;$Q520,Tariff_Master!$A$2:$L$169,8,FALSE),"")</f>
        <v/>
      </c>
      <c r="AH520" s="20">
        <f>IFERROR(VLOOKUP($H520&amp;"|"&amp;$Q520,Tariff_Master!$A$2:$L$169,9,FALSE),"")</f>
        <v/>
      </c>
      <c r="AI520" s="18">
        <f>IFERROR(VLOOKUP($H520&amp;"|"&amp;$Q520,Tariff_Master!$A$2:$L$169,10,FALSE),"")</f>
        <v/>
      </c>
      <c r="AJ520" s="21">
        <f>IF($M520="","",ROUNDUP(MAX(0,$M520),0))</f>
        <v/>
      </c>
      <c r="AK520" s="21">
        <f>IF(OR($AJ520="",$AF520=""),"",MAX(0,$AJ520-$AF520))</f>
        <v/>
      </c>
      <c r="AL520" s="22">
        <f>IF(OR($AK520="",$AG520=""),"",MAX(0,$AK520*$AG520))</f>
        <v/>
      </c>
      <c r="AM520" s="22">
        <f>IF($AE520="","",MAX(0,SUM($AE520,$AL520,$V520,$W520)))</f>
        <v/>
      </c>
      <c r="AN520" s="22">
        <f>IF($AM520="","",IF(AND($Q520="COMMITMENT",$R520&gt;=$AH520),$AI520,0))</f>
        <v/>
      </c>
      <c r="AO520" s="23">
        <f>IF($AM520="","",MAX(0,$AM520-$AN520))</f>
        <v/>
      </c>
      <c r="AP520" s="22">
        <f>IF($S520="","",IF(OR($S520="ITEM_PRICE_PLUS_DECLARED_DELIVERY",$S520="DELIVERY_CHARGE_ONLY"),$K520,IF($S520="TOTAL_AMOUNT_INCLUDING_DELIVERY",IF(OR($T520="",$J520=""),"",MAX(0,$T520-$J520-$U520)),IF($S520="ITEM_PRICE_ONLY_DELIVERY_PAID_BY_MERCHANT",0,""))))</f>
        <v/>
      </c>
      <c r="AQ520" s="23">
        <f>IF(OR($AP520="",$AO520=""),"",$AP520-$AO520)</f>
        <v/>
      </c>
      <c r="AR520" s="24">
        <f>IF($S520="EXACT_COLLECTION_AMOUNT","BREAKDOWN_REQUIRED",IF($AQ520="","",IF($AQ520&gt;0,"CREDIT_TO_MERCHANT",IF($AQ520&lt;0,"DEDUCT_FROM_MERCHANT","NO_ADJUSTMENT"))))</f>
        <v/>
      </c>
      <c r="AS520" s="23">
        <f>IF(OR($AQ520="",$AR520="BREAKDOWN_REQUIRED"),"",$AQ520)</f>
        <v/>
      </c>
      <c r="AT520" s="23">
        <f>IF(OR($AR520="",$AR520="BREAKDOWN_REQUIRED"),"",SUM($J520,$AQ520,$Y520)-$X520)</f>
        <v/>
      </c>
      <c r="AU520" s="25">
        <f>IF(AND($A520="",$B520="",$F520="",$H520="",$J520="",$K520="",$M520="",$S520=""),"",IF(OR($H520="",$Q520="",$M520="",$S520=""),"ERROR",IF(OR($J520&lt;0,$K520&lt;0,$M520&lt;0,$T520&lt;0,$U520&lt;0,$V520&lt;0,$W520&lt;0,$X520&lt;0,$Y520&lt;0),"ERROR",IF($AE520="","ERROR",IF(AND(OR($S520="ITEM_PRICE_PLUS_DECLARED_DELIVERY",$S520="TOTAL_AMOUNT_INCLUDING_DELIVERY",$S520="ITEM_PRICE_ONLY_DELIVERY_PAID_BY_MERCHANT"),$J520=""),"ERROR",IF(AND(OR($S520="ITEM_PRICE_PLUS_DECLARED_DELIVERY",$S520="DELIVERY_CHARGE_ONLY"),$K520=""),"ERROR",IF(AND(OR($S520="TOTAL_AMOUNT_INCLUDING_DELIVERY",$S520="EXACT_COLLECTION_AMOUNT"),$T520=""),"ERROR",IF(AND($S520="TOTAL_AMOUNT_INCLUDING_DELIVERY",$T520&lt;SUM($J520,$U520)),"ERROR",IF($S520="EXACT_COLLECTION_AMOUNT","REVIEW","OK")))))))))</f>
        <v/>
      </c>
      <c r="AV520" s="25">
        <f>IF($AU520="","",IF($H520="","Township required",IF($Q520="","Customer tier required",IF($M520="","Weight required",IF($S520="","Amount entry type required",IF(OR($J520&lt;0,$K520&lt;0,$M520&lt;0,$T520&lt;0,$U520&lt;0,$V520&lt;0,$W520&lt;0,$X520&lt;0,$Y520&lt;0),"Negative amounts are not allowed",IF($AE520="","Tariff not found for township and tier",IF(AND(OR($S520="ITEM_PRICE_PLUS_DECLARED_DELIVERY",$S520="TOTAL_AMOUNT_INCLUDING_DELIVERY",$S520="ITEM_PRICE_ONLY_DELIVERY_PAID_BY_MERCHANT"),$J520=""),"Item price required for this amount type",IF(AND(OR($S520="ITEM_PRICE_PLUS_DECLARED_DELIVERY",$S520="DELIVERY_CHARGE_ONLY"),$K520=""),"Declared delivery charge required",IF(AND(OR($S520="TOTAL_AMOUNT_INCLUDING_DELIVERY",$S520="EXACT_COLLECTION_AMOUNT"),$T520=""),"Stated total amount required",IF(AND($S520="TOTAL_AMOUNT_INCLUDING_DELIVERY",$T520&lt;SUM($J520,$U520)),"Stated total is below item price plus additional charge",IF($S520="EXACT_COLLECTION_AMOUNT","Authorized amount breakdown required before settlement","Ready for collection and settlement"))))))))))))</f>
        <v/>
      </c>
      <c r="AW520" s="23">
        <f>IF($AU520="","","PARCEL_FINANCIAL_V2")</f>
        <v/>
      </c>
      <c r="AX520" s="17" t="n"/>
    </row>
    <row r="521">
      <c r="A521" s="8" t="n"/>
      <c r="B521" s="8" t="n"/>
      <c r="C521" s="8" t="n"/>
      <c r="D521" s="8" t="n"/>
      <c r="E521" s="9" t="n"/>
      <c r="F521" s="9" t="n"/>
      <c r="G521" s="8" t="n"/>
      <c r="H521" s="9" t="n"/>
      <c r="I521" s="9" t="n"/>
      <c r="J521" s="10" t="n"/>
      <c r="K521" s="10" t="n"/>
      <c r="L521" s="11">
        <f>IF($S521="","",IF($S521="ITEM_PRICE_PLUS_DECLARED_DELIVERY",IF(OR($J521="",$K521=""),"",SUM($J521,$K521,$U521)),IF($S521="TOTAL_AMOUNT_INCLUDING_DELIVERY",IF($T521="","",$T521),IF($S521="DELIVERY_CHARGE_ONLY",IF($K521="","",SUM($K521,$U521)),IF($S521="EXACT_COLLECTION_AMOUNT",IF($T521="","",$T521),IF($S521="ITEM_PRICE_ONLY_DELIVERY_PAID_BY_MERCHANT",IF($J521="","",SUM($J521,$U521)),""))))))</f>
        <v/>
      </c>
      <c r="M521" s="12" t="n"/>
      <c r="N521" s="13" t="n"/>
      <c r="O521" s="13" t="n"/>
      <c r="P521" s="9" t="n"/>
      <c r="Q521" s="14" t="n"/>
      <c r="R521" s="15" t="n"/>
      <c r="S521" s="14" t="n"/>
      <c r="T521" s="16" t="n"/>
      <c r="U521" s="16" t="n"/>
      <c r="V521" s="16" t="n"/>
      <c r="W521" s="16" t="n"/>
      <c r="X521" s="16" t="n"/>
      <c r="Y521" s="16" t="n"/>
      <c r="Z521" s="14" t="n"/>
      <c r="AA521" s="14" t="n"/>
      <c r="AB521" s="14" t="n"/>
      <c r="AC521" s="17">
        <f>IFERROR(VLOOKUP($H521&amp;"|"&amp;$Q521,Tariff_Master!$A$2:$L$169,3,FALSE),"")</f>
        <v/>
      </c>
      <c r="AD521" s="17">
        <f>IFERROR(VLOOKUP($H521&amp;"|"&amp;$Q521,Tariff_Master!$A$2:$L$169,4,FALSE),"")</f>
        <v/>
      </c>
      <c r="AE521" s="18">
        <f>IFERROR(VLOOKUP($H521&amp;"|"&amp;$Q521,Tariff_Master!$A$2:$L$169,6,FALSE),"")</f>
        <v/>
      </c>
      <c r="AF521" s="19">
        <f>IFERROR(VLOOKUP($H521&amp;"|"&amp;$Q521,Tariff_Master!$A$2:$L$169,7,FALSE),"")</f>
        <v/>
      </c>
      <c r="AG521" s="18">
        <f>IFERROR(VLOOKUP($H521&amp;"|"&amp;$Q521,Tariff_Master!$A$2:$L$169,8,FALSE),"")</f>
        <v/>
      </c>
      <c r="AH521" s="20">
        <f>IFERROR(VLOOKUP($H521&amp;"|"&amp;$Q521,Tariff_Master!$A$2:$L$169,9,FALSE),"")</f>
        <v/>
      </c>
      <c r="AI521" s="18">
        <f>IFERROR(VLOOKUP($H521&amp;"|"&amp;$Q521,Tariff_Master!$A$2:$L$169,10,FALSE),"")</f>
        <v/>
      </c>
      <c r="AJ521" s="21">
        <f>IF($M521="","",ROUNDUP(MAX(0,$M521),0))</f>
        <v/>
      </c>
      <c r="AK521" s="21">
        <f>IF(OR($AJ521="",$AF521=""),"",MAX(0,$AJ521-$AF521))</f>
        <v/>
      </c>
      <c r="AL521" s="22">
        <f>IF(OR($AK521="",$AG521=""),"",MAX(0,$AK521*$AG521))</f>
        <v/>
      </c>
      <c r="AM521" s="22">
        <f>IF($AE521="","",MAX(0,SUM($AE521,$AL521,$V521,$W521)))</f>
        <v/>
      </c>
      <c r="AN521" s="22">
        <f>IF($AM521="","",IF(AND($Q521="COMMITMENT",$R521&gt;=$AH521),$AI521,0))</f>
        <v/>
      </c>
      <c r="AO521" s="23">
        <f>IF($AM521="","",MAX(0,$AM521-$AN521))</f>
        <v/>
      </c>
      <c r="AP521" s="22">
        <f>IF($S521="","",IF(OR($S521="ITEM_PRICE_PLUS_DECLARED_DELIVERY",$S521="DELIVERY_CHARGE_ONLY"),$K521,IF($S521="TOTAL_AMOUNT_INCLUDING_DELIVERY",IF(OR($T521="",$J521=""),"",MAX(0,$T521-$J521-$U521)),IF($S521="ITEM_PRICE_ONLY_DELIVERY_PAID_BY_MERCHANT",0,""))))</f>
        <v/>
      </c>
      <c r="AQ521" s="23">
        <f>IF(OR($AP521="",$AO521=""),"",$AP521-$AO521)</f>
        <v/>
      </c>
      <c r="AR521" s="24">
        <f>IF($S521="EXACT_COLLECTION_AMOUNT","BREAKDOWN_REQUIRED",IF($AQ521="","",IF($AQ521&gt;0,"CREDIT_TO_MERCHANT",IF($AQ521&lt;0,"DEDUCT_FROM_MERCHANT","NO_ADJUSTMENT"))))</f>
        <v/>
      </c>
      <c r="AS521" s="23">
        <f>IF(OR($AQ521="",$AR521="BREAKDOWN_REQUIRED"),"",$AQ521)</f>
        <v/>
      </c>
      <c r="AT521" s="23">
        <f>IF(OR($AR521="",$AR521="BREAKDOWN_REQUIRED"),"",SUM($J521,$AQ521,$Y521)-$X521)</f>
        <v/>
      </c>
      <c r="AU521" s="25">
        <f>IF(AND($A521="",$B521="",$F521="",$H521="",$J521="",$K521="",$M521="",$S521=""),"",IF(OR($H521="",$Q521="",$M521="",$S521=""),"ERROR",IF(OR($J521&lt;0,$K521&lt;0,$M521&lt;0,$T521&lt;0,$U521&lt;0,$V521&lt;0,$W521&lt;0,$X521&lt;0,$Y521&lt;0),"ERROR",IF($AE521="","ERROR",IF(AND(OR($S521="ITEM_PRICE_PLUS_DECLARED_DELIVERY",$S521="TOTAL_AMOUNT_INCLUDING_DELIVERY",$S521="ITEM_PRICE_ONLY_DELIVERY_PAID_BY_MERCHANT"),$J521=""),"ERROR",IF(AND(OR($S521="ITEM_PRICE_PLUS_DECLARED_DELIVERY",$S521="DELIVERY_CHARGE_ONLY"),$K521=""),"ERROR",IF(AND(OR($S521="TOTAL_AMOUNT_INCLUDING_DELIVERY",$S521="EXACT_COLLECTION_AMOUNT"),$T521=""),"ERROR",IF(AND($S521="TOTAL_AMOUNT_INCLUDING_DELIVERY",$T521&lt;SUM($J521,$U521)),"ERROR",IF($S521="EXACT_COLLECTION_AMOUNT","REVIEW","OK")))))))))</f>
        <v/>
      </c>
      <c r="AV521" s="25">
        <f>IF($AU521="","",IF($H521="","Township required",IF($Q521="","Customer tier required",IF($M521="","Weight required",IF($S521="","Amount entry type required",IF(OR($J521&lt;0,$K521&lt;0,$M521&lt;0,$T521&lt;0,$U521&lt;0,$V521&lt;0,$W521&lt;0,$X521&lt;0,$Y521&lt;0),"Negative amounts are not allowed",IF($AE521="","Tariff not found for township and tier",IF(AND(OR($S521="ITEM_PRICE_PLUS_DECLARED_DELIVERY",$S521="TOTAL_AMOUNT_INCLUDING_DELIVERY",$S521="ITEM_PRICE_ONLY_DELIVERY_PAID_BY_MERCHANT"),$J521=""),"Item price required for this amount type",IF(AND(OR($S521="ITEM_PRICE_PLUS_DECLARED_DELIVERY",$S521="DELIVERY_CHARGE_ONLY"),$K521=""),"Declared delivery charge required",IF(AND(OR($S521="TOTAL_AMOUNT_INCLUDING_DELIVERY",$S521="EXACT_COLLECTION_AMOUNT"),$T521=""),"Stated total amount required",IF(AND($S521="TOTAL_AMOUNT_INCLUDING_DELIVERY",$T521&lt;SUM($J521,$U521)),"Stated total is below item price plus additional charge",IF($S521="EXACT_COLLECTION_AMOUNT","Authorized amount breakdown required before settlement","Ready for collection and settlement"))))))))))))</f>
        <v/>
      </c>
      <c r="AW521" s="23">
        <f>IF($AU521="","","PARCEL_FINANCIAL_V2")</f>
        <v/>
      </c>
      <c r="AX521" s="17" t="n"/>
    </row>
    <row r="522">
      <c r="A522" s="8" t="n"/>
      <c r="B522" s="8" t="n"/>
      <c r="C522" s="8" t="n"/>
      <c r="D522" s="8" t="n"/>
      <c r="E522" s="9" t="n"/>
      <c r="F522" s="9" t="n"/>
      <c r="G522" s="8" t="n"/>
      <c r="H522" s="9" t="n"/>
      <c r="I522" s="9" t="n"/>
      <c r="J522" s="10" t="n"/>
      <c r="K522" s="10" t="n"/>
      <c r="L522" s="11">
        <f>IF($S522="","",IF($S522="ITEM_PRICE_PLUS_DECLARED_DELIVERY",IF(OR($J522="",$K522=""),"",SUM($J522,$K522,$U522)),IF($S522="TOTAL_AMOUNT_INCLUDING_DELIVERY",IF($T522="","",$T522),IF($S522="DELIVERY_CHARGE_ONLY",IF($K522="","",SUM($K522,$U522)),IF($S522="EXACT_COLLECTION_AMOUNT",IF($T522="","",$T522),IF($S522="ITEM_PRICE_ONLY_DELIVERY_PAID_BY_MERCHANT",IF($J522="","",SUM($J522,$U522)),""))))))</f>
        <v/>
      </c>
      <c r="M522" s="12" t="n"/>
      <c r="N522" s="13" t="n"/>
      <c r="O522" s="13" t="n"/>
      <c r="P522" s="9" t="n"/>
      <c r="Q522" s="14" t="n"/>
      <c r="R522" s="15" t="n"/>
      <c r="S522" s="14" t="n"/>
      <c r="T522" s="16" t="n"/>
      <c r="U522" s="16" t="n"/>
      <c r="V522" s="16" t="n"/>
      <c r="W522" s="16" t="n"/>
      <c r="X522" s="16" t="n"/>
      <c r="Y522" s="16" t="n"/>
      <c r="Z522" s="14" t="n"/>
      <c r="AA522" s="14" t="n"/>
      <c r="AB522" s="14" t="n"/>
      <c r="AC522" s="17">
        <f>IFERROR(VLOOKUP($H522&amp;"|"&amp;$Q522,Tariff_Master!$A$2:$L$169,3,FALSE),"")</f>
        <v/>
      </c>
      <c r="AD522" s="17">
        <f>IFERROR(VLOOKUP($H522&amp;"|"&amp;$Q522,Tariff_Master!$A$2:$L$169,4,FALSE),"")</f>
        <v/>
      </c>
      <c r="AE522" s="18">
        <f>IFERROR(VLOOKUP($H522&amp;"|"&amp;$Q522,Tariff_Master!$A$2:$L$169,6,FALSE),"")</f>
        <v/>
      </c>
      <c r="AF522" s="19">
        <f>IFERROR(VLOOKUP($H522&amp;"|"&amp;$Q522,Tariff_Master!$A$2:$L$169,7,FALSE),"")</f>
        <v/>
      </c>
      <c r="AG522" s="18">
        <f>IFERROR(VLOOKUP($H522&amp;"|"&amp;$Q522,Tariff_Master!$A$2:$L$169,8,FALSE),"")</f>
        <v/>
      </c>
      <c r="AH522" s="20">
        <f>IFERROR(VLOOKUP($H522&amp;"|"&amp;$Q522,Tariff_Master!$A$2:$L$169,9,FALSE),"")</f>
        <v/>
      </c>
      <c r="AI522" s="18">
        <f>IFERROR(VLOOKUP($H522&amp;"|"&amp;$Q522,Tariff_Master!$A$2:$L$169,10,FALSE),"")</f>
        <v/>
      </c>
      <c r="AJ522" s="21">
        <f>IF($M522="","",ROUNDUP(MAX(0,$M522),0))</f>
        <v/>
      </c>
      <c r="AK522" s="21">
        <f>IF(OR($AJ522="",$AF522=""),"",MAX(0,$AJ522-$AF522))</f>
        <v/>
      </c>
      <c r="AL522" s="22">
        <f>IF(OR($AK522="",$AG522=""),"",MAX(0,$AK522*$AG522))</f>
        <v/>
      </c>
      <c r="AM522" s="22">
        <f>IF($AE522="","",MAX(0,SUM($AE522,$AL522,$V522,$W522)))</f>
        <v/>
      </c>
      <c r="AN522" s="22">
        <f>IF($AM522="","",IF(AND($Q522="COMMITMENT",$R522&gt;=$AH522),$AI522,0))</f>
        <v/>
      </c>
      <c r="AO522" s="23">
        <f>IF($AM522="","",MAX(0,$AM522-$AN522))</f>
        <v/>
      </c>
      <c r="AP522" s="22">
        <f>IF($S522="","",IF(OR($S522="ITEM_PRICE_PLUS_DECLARED_DELIVERY",$S522="DELIVERY_CHARGE_ONLY"),$K522,IF($S522="TOTAL_AMOUNT_INCLUDING_DELIVERY",IF(OR($T522="",$J522=""),"",MAX(0,$T522-$J522-$U522)),IF($S522="ITEM_PRICE_ONLY_DELIVERY_PAID_BY_MERCHANT",0,""))))</f>
        <v/>
      </c>
      <c r="AQ522" s="23">
        <f>IF(OR($AP522="",$AO522=""),"",$AP522-$AO522)</f>
        <v/>
      </c>
      <c r="AR522" s="24">
        <f>IF($S522="EXACT_COLLECTION_AMOUNT","BREAKDOWN_REQUIRED",IF($AQ522="","",IF($AQ522&gt;0,"CREDIT_TO_MERCHANT",IF($AQ522&lt;0,"DEDUCT_FROM_MERCHANT","NO_ADJUSTMENT"))))</f>
        <v/>
      </c>
      <c r="AS522" s="23">
        <f>IF(OR($AQ522="",$AR522="BREAKDOWN_REQUIRED"),"",$AQ522)</f>
        <v/>
      </c>
      <c r="AT522" s="23">
        <f>IF(OR($AR522="",$AR522="BREAKDOWN_REQUIRED"),"",SUM($J522,$AQ522,$Y522)-$X522)</f>
        <v/>
      </c>
      <c r="AU522" s="25">
        <f>IF(AND($A522="",$B522="",$F522="",$H522="",$J522="",$K522="",$M522="",$S522=""),"",IF(OR($H522="",$Q522="",$M522="",$S522=""),"ERROR",IF(OR($J522&lt;0,$K522&lt;0,$M522&lt;0,$T522&lt;0,$U522&lt;0,$V522&lt;0,$W522&lt;0,$X522&lt;0,$Y522&lt;0),"ERROR",IF($AE522="","ERROR",IF(AND(OR($S522="ITEM_PRICE_PLUS_DECLARED_DELIVERY",$S522="TOTAL_AMOUNT_INCLUDING_DELIVERY",$S522="ITEM_PRICE_ONLY_DELIVERY_PAID_BY_MERCHANT"),$J522=""),"ERROR",IF(AND(OR($S522="ITEM_PRICE_PLUS_DECLARED_DELIVERY",$S522="DELIVERY_CHARGE_ONLY"),$K522=""),"ERROR",IF(AND(OR($S522="TOTAL_AMOUNT_INCLUDING_DELIVERY",$S522="EXACT_COLLECTION_AMOUNT"),$T522=""),"ERROR",IF(AND($S522="TOTAL_AMOUNT_INCLUDING_DELIVERY",$T522&lt;SUM($J522,$U522)),"ERROR",IF($S522="EXACT_COLLECTION_AMOUNT","REVIEW","OK")))))))))</f>
        <v/>
      </c>
      <c r="AV522" s="25">
        <f>IF($AU522="","",IF($H522="","Township required",IF($Q522="","Customer tier required",IF($M522="","Weight required",IF($S522="","Amount entry type required",IF(OR($J522&lt;0,$K522&lt;0,$M522&lt;0,$T522&lt;0,$U522&lt;0,$V522&lt;0,$W522&lt;0,$X522&lt;0,$Y522&lt;0),"Negative amounts are not allowed",IF($AE522="","Tariff not found for township and tier",IF(AND(OR($S522="ITEM_PRICE_PLUS_DECLARED_DELIVERY",$S522="TOTAL_AMOUNT_INCLUDING_DELIVERY",$S522="ITEM_PRICE_ONLY_DELIVERY_PAID_BY_MERCHANT"),$J522=""),"Item price required for this amount type",IF(AND(OR($S522="ITEM_PRICE_PLUS_DECLARED_DELIVERY",$S522="DELIVERY_CHARGE_ONLY"),$K522=""),"Declared delivery charge required",IF(AND(OR($S522="TOTAL_AMOUNT_INCLUDING_DELIVERY",$S522="EXACT_COLLECTION_AMOUNT"),$T522=""),"Stated total amount required",IF(AND($S522="TOTAL_AMOUNT_INCLUDING_DELIVERY",$T522&lt;SUM($J522,$U522)),"Stated total is below item price plus additional charge",IF($S522="EXACT_COLLECTION_AMOUNT","Authorized amount breakdown required before settlement","Ready for collection and settlement"))))))))))))</f>
        <v/>
      </c>
      <c r="AW522" s="23">
        <f>IF($AU522="","","PARCEL_FINANCIAL_V2")</f>
        <v/>
      </c>
      <c r="AX522" s="17" t="n"/>
    </row>
    <row r="523">
      <c r="A523" s="8" t="n"/>
      <c r="B523" s="8" t="n"/>
      <c r="C523" s="8" t="n"/>
      <c r="D523" s="8" t="n"/>
      <c r="E523" s="9" t="n"/>
      <c r="F523" s="9" t="n"/>
      <c r="G523" s="8" t="n"/>
      <c r="H523" s="9" t="n"/>
      <c r="I523" s="9" t="n"/>
      <c r="J523" s="10" t="n"/>
      <c r="K523" s="10" t="n"/>
      <c r="L523" s="11">
        <f>IF($S523="","",IF($S523="ITEM_PRICE_PLUS_DECLARED_DELIVERY",IF(OR($J523="",$K523=""),"",SUM($J523,$K523,$U523)),IF($S523="TOTAL_AMOUNT_INCLUDING_DELIVERY",IF($T523="","",$T523),IF($S523="DELIVERY_CHARGE_ONLY",IF($K523="","",SUM($K523,$U523)),IF($S523="EXACT_COLLECTION_AMOUNT",IF($T523="","",$T523),IF($S523="ITEM_PRICE_ONLY_DELIVERY_PAID_BY_MERCHANT",IF($J523="","",SUM($J523,$U523)),""))))))</f>
        <v/>
      </c>
      <c r="M523" s="12" t="n"/>
      <c r="N523" s="13" t="n"/>
      <c r="O523" s="13" t="n"/>
      <c r="P523" s="9" t="n"/>
      <c r="Q523" s="14" t="n"/>
      <c r="R523" s="15" t="n"/>
      <c r="S523" s="14" t="n"/>
      <c r="T523" s="16" t="n"/>
      <c r="U523" s="16" t="n"/>
      <c r="V523" s="16" t="n"/>
      <c r="W523" s="16" t="n"/>
      <c r="X523" s="16" t="n"/>
      <c r="Y523" s="16" t="n"/>
      <c r="Z523" s="14" t="n"/>
      <c r="AA523" s="14" t="n"/>
      <c r="AB523" s="14" t="n"/>
      <c r="AC523" s="17">
        <f>IFERROR(VLOOKUP($H523&amp;"|"&amp;$Q523,Tariff_Master!$A$2:$L$169,3,FALSE),"")</f>
        <v/>
      </c>
      <c r="AD523" s="17">
        <f>IFERROR(VLOOKUP($H523&amp;"|"&amp;$Q523,Tariff_Master!$A$2:$L$169,4,FALSE),"")</f>
        <v/>
      </c>
      <c r="AE523" s="18">
        <f>IFERROR(VLOOKUP($H523&amp;"|"&amp;$Q523,Tariff_Master!$A$2:$L$169,6,FALSE),"")</f>
        <v/>
      </c>
      <c r="AF523" s="19">
        <f>IFERROR(VLOOKUP($H523&amp;"|"&amp;$Q523,Tariff_Master!$A$2:$L$169,7,FALSE),"")</f>
        <v/>
      </c>
      <c r="AG523" s="18">
        <f>IFERROR(VLOOKUP($H523&amp;"|"&amp;$Q523,Tariff_Master!$A$2:$L$169,8,FALSE),"")</f>
        <v/>
      </c>
      <c r="AH523" s="20">
        <f>IFERROR(VLOOKUP($H523&amp;"|"&amp;$Q523,Tariff_Master!$A$2:$L$169,9,FALSE),"")</f>
        <v/>
      </c>
      <c r="AI523" s="18">
        <f>IFERROR(VLOOKUP($H523&amp;"|"&amp;$Q523,Tariff_Master!$A$2:$L$169,10,FALSE),"")</f>
        <v/>
      </c>
      <c r="AJ523" s="21">
        <f>IF($M523="","",ROUNDUP(MAX(0,$M523),0))</f>
        <v/>
      </c>
      <c r="AK523" s="21">
        <f>IF(OR($AJ523="",$AF523=""),"",MAX(0,$AJ523-$AF523))</f>
        <v/>
      </c>
      <c r="AL523" s="22">
        <f>IF(OR($AK523="",$AG523=""),"",MAX(0,$AK523*$AG523))</f>
        <v/>
      </c>
      <c r="AM523" s="22">
        <f>IF($AE523="","",MAX(0,SUM($AE523,$AL523,$V523,$W523)))</f>
        <v/>
      </c>
      <c r="AN523" s="22">
        <f>IF($AM523="","",IF(AND($Q523="COMMITMENT",$R523&gt;=$AH523),$AI523,0))</f>
        <v/>
      </c>
      <c r="AO523" s="23">
        <f>IF($AM523="","",MAX(0,$AM523-$AN523))</f>
        <v/>
      </c>
      <c r="AP523" s="22">
        <f>IF($S523="","",IF(OR($S523="ITEM_PRICE_PLUS_DECLARED_DELIVERY",$S523="DELIVERY_CHARGE_ONLY"),$K523,IF($S523="TOTAL_AMOUNT_INCLUDING_DELIVERY",IF(OR($T523="",$J523=""),"",MAX(0,$T523-$J523-$U523)),IF($S523="ITEM_PRICE_ONLY_DELIVERY_PAID_BY_MERCHANT",0,""))))</f>
        <v/>
      </c>
      <c r="AQ523" s="23">
        <f>IF(OR($AP523="",$AO523=""),"",$AP523-$AO523)</f>
        <v/>
      </c>
      <c r="AR523" s="24">
        <f>IF($S523="EXACT_COLLECTION_AMOUNT","BREAKDOWN_REQUIRED",IF($AQ523="","",IF($AQ523&gt;0,"CREDIT_TO_MERCHANT",IF($AQ523&lt;0,"DEDUCT_FROM_MERCHANT","NO_ADJUSTMENT"))))</f>
        <v/>
      </c>
      <c r="AS523" s="23">
        <f>IF(OR($AQ523="",$AR523="BREAKDOWN_REQUIRED"),"",$AQ523)</f>
        <v/>
      </c>
      <c r="AT523" s="23">
        <f>IF(OR($AR523="",$AR523="BREAKDOWN_REQUIRED"),"",SUM($J523,$AQ523,$Y523)-$X523)</f>
        <v/>
      </c>
      <c r="AU523" s="25">
        <f>IF(AND($A523="",$B523="",$F523="",$H523="",$J523="",$K523="",$M523="",$S523=""),"",IF(OR($H523="",$Q523="",$M523="",$S523=""),"ERROR",IF(OR($J523&lt;0,$K523&lt;0,$M523&lt;0,$T523&lt;0,$U523&lt;0,$V523&lt;0,$W523&lt;0,$X523&lt;0,$Y523&lt;0),"ERROR",IF($AE523="","ERROR",IF(AND(OR($S523="ITEM_PRICE_PLUS_DECLARED_DELIVERY",$S523="TOTAL_AMOUNT_INCLUDING_DELIVERY",$S523="ITEM_PRICE_ONLY_DELIVERY_PAID_BY_MERCHANT"),$J523=""),"ERROR",IF(AND(OR($S523="ITEM_PRICE_PLUS_DECLARED_DELIVERY",$S523="DELIVERY_CHARGE_ONLY"),$K523=""),"ERROR",IF(AND(OR($S523="TOTAL_AMOUNT_INCLUDING_DELIVERY",$S523="EXACT_COLLECTION_AMOUNT"),$T523=""),"ERROR",IF(AND($S523="TOTAL_AMOUNT_INCLUDING_DELIVERY",$T523&lt;SUM($J523,$U523)),"ERROR",IF($S523="EXACT_COLLECTION_AMOUNT","REVIEW","OK")))))))))</f>
        <v/>
      </c>
      <c r="AV523" s="25">
        <f>IF($AU523="","",IF($H523="","Township required",IF($Q523="","Customer tier required",IF($M523="","Weight required",IF($S523="","Amount entry type required",IF(OR($J523&lt;0,$K523&lt;0,$M523&lt;0,$T523&lt;0,$U523&lt;0,$V523&lt;0,$W523&lt;0,$X523&lt;0,$Y523&lt;0),"Negative amounts are not allowed",IF($AE523="","Tariff not found for township and tier",IF(AND(OR($S523="ITEM_PRICE_PLUS_DECLARED_DELIVERY",$S523="TOTAL_AMOUNT_INCLUDING_DELIVERY",$S523="ITEM_PRICE_ONLY_DELIVERY_PAID_BY_MERCHANT"),$J523=""),"Item price required for this amount type",IF(AND(OR($S523="ITEM_PRICE_PLUS_DECLARED_DELIVERY",$S523="DELIVERY_CHARGE_ONLY"),$K523=""),"Declared delivery charge required",IF(AND(OR($S523="TOTAL_AMOUNT_INCLUDING_DELIVERY",$S523="EXACT_COLLECTION_AMOUNT"),$T523=""),"Stated total amount required",IF(AND($S523="TOTAL_AMOUNT_INCLUDING_DELIVERY",$T523&lt;SUM($J523,$U523)),"Stated total is below item price plus additional charge",IF($S523="EXACT_COLLECTION_AMOUNT","Authorized amount breakdown required before settlement","Ready for collection and settlement"))))))))))))</f>
        <v/>
      </c>
      <c r="AW523" s="23">
        <f>IF($AU523="","","PARCEL_FINANCIAL_V2")</f>
        <v/>
      </c>
      <c r="AX523" s="17" t="n"/>
    </row>
    <row r="524">
      <c r="A524" s="8" t="n"/>
      <c r="B524" s="8" t="n"/>
      <c r="C524" s="8" t="n"/>
      <c r="D524" s="8" t="n"/>
      <c r="E524" s="9" t="n"/>
      <c r="F524" s="9" t="n"/>
      <c r="G524" s="8" t="n"/>
      <c r="H524" s="9" t="n"/>
      <c r="I524" s="9" t="n"/>
      <c r="J524" s="10" t="n"/>
      <c r="K524" s="10" t="n"/>
      <c r="L524" s="11">
        <f>IF($S524="","",IF($S524="ITEM_PRICE_PLUS_DECLARED_DELIVERY",IF(OR($J524="",$K524=""),"",SUM($J524,$K524,$U524)),IF($S524="TOTAL_AMOUNT_INCLUDING_DELIVERY",IF($T524="","",$T524),IF($S524="DELIVERY_CHARGE_ONLY",IF($K524="","",SUM($K524,$U524)),IF($S524="EXACT_COLLECTION_AMOUNT",IF($T524="","",$T524),IF($S524="ITEM_PRICE_ONLY_DELIVERY_PAID_BY_MERCHANT",IF($J524="","",SUM($J524,$U524)),""))))))</f>
        <v/>
      </c>
      <c r="M524" s="12" t="n"/>
      <c r="N524" s="13" t="n"/>
      <c r="O524" s="13" t="n"/>
      <c r="P524" s="9" t="n"/>
      <c r="Q524" s="14" t="n"/>
      <c r="R524" s="15" t="n"/>
      <c r="S524" s="14" t="n"/>
      <c r="T524" s="16" t="n"/>
      <c r="U524" s="16" t="n"/>
      <c r="V524" s="16" t="n"/>
      <c r="W524" s="16" t="n"/>
      <c r="X524" s="16" t="n"/>
      <c r="Y524" s="16" t="n"/>
      <c r="Z524" s="14" t="n"/>
      <c r="AA524" s="14" t="n"/>
      <c r="AB524" s="14" t="n"/>
      <c r="AC524" s="17">
        <f>IFERROR(VLOOKUP($H524&amp;"|"&amp;$Q524,Tariff_Master!$A$2:$L$169,3,FALSE),"")</f>
        <v/>
      </c>
      <c r="AD524" s="17">
        <f>IFERROR(VLOOKUP($H524&amp;"|"&amp;$Q524,Tariff_Master!$A$2:$L$169,4,FALSE),"")</f>
        <v/>
      </c>
      <c r="AE524" s="18">
        <f>IFERROR(VLOOKUP($H524&amp;"|"&amp;$Q524,Tariff_Master!$A$2:$L$169,6,FALSE),"")</f>
        <v/>
      </c>
      <c r="AF524" s="19">
        <f>IFERROR(VLOOKUP($H524&amp;"|"&amp;$Q524,Tariff_Master!$A$2:$L$169,7,FALSE),"")</f>
        <v/>
      </c>
      <c r="AG524" s="18">
        <f>IFERROR(VLOOKUP($H524&amp;"|"&amp;$Q524,Tariff_Master!$A$2:$L$169,8,FALSE),"")</f>
        <v/>
      </c>
      <c r="AH524" s="20">
        <f>IFERROR(VLOOKUP($H524&amp;"|"&amp;$Q524,Tariff_Master!$A$2:$L$169,9,FALSE),"")</f>
        <v/>
      </c>
      <c r="AI524" s="18">
        <f>IFERROR(VLOOKUP($H524&amp;"|"&amp;$Q524,Tariff_Master!$A$2:$L$169,10,FALSE),"")</f>
        <v/>
      </c>
      <c r="AJ524" s="21">
        <f>IF($M524="","",ROUNDUP(MAX(0,$M524),0))</f>
        <v/>
      </c>
      <c r="AK524" s="21">
        <f>IF(OR($AJ524="",$AF524=""),"",MAX(0,$AJ524-$AF524))</f>
        <v/>
      </c>
      <c r="AL524" s="22">
        <f>IF(OR($AK524="",$AG524=""),"",MAX(0,$AK524*$AG524))</f>
        <v/>
      </c>
      <c r="AM524" s="22">
        <f>IF($AE524="","",MAX(0,SUM($AE524,$AL524,$V524,$W524)))</f>
        <v/>
      </c>
      <c r="AN524" s="22">
        <f>IF($AM524="","",IF(AND($Q524="COMMITMENT",$R524&gt;=$AH524),$AI524,0))</f>
        <v/>
      </c>
      <c r="AO524" s="23">
        <f>IF($AM524="","",MAX(0,$AM524-$AN524))</f>
        <v/>
      </c>
      <c r="AP524" s="22">
        <f>IF($S524="","",IF(OR($S524="ITEM_PRICE_PLUS_DECLARED_DELIVERY",$S524="DELIVERY_CHARGE_ONLY"),$K524,IF($S524="TOTAL_AMOUNT_INCLUDING_DELIVERY",IF(OR($T524="",$J524=""),"",MAX(0,$T524-$J524-$U524)),IF($S524="ITEM_PRICE_ONLY_DELIVERY_PAID_BY_MERCHANT",0,""))))</f>
        <v/>
      </c>
      <c r="AQ524" s="23">
        <f>IF(OR($AP524="",$AO524=""),"",$AP524-$AO524)</f>
        <v/>
      </c>
      <c r="AR524" s="24">
        <f>IF($S524="EXACT_COLLECTION_AMOUNT","BREAKDOWN_REQUIRED",IF($AQ524="","",IF($AQ524&gt;0,"CREDIT_TO_MERCHANT",IF($AQ524&lt;0,"DEDUCT_FROM_MERCHANT","NO_ADJUSTMENT"))))</f>
        <v/>
      </c>
      <c r="AS524" s="23">
        <f>IF(OR($AQ524="",$AR524="BREAKDOWN_REQUIRED"),"",$AQ524)</f>
        <v/>
      </c>
      <c r="AT524" s="23">
        <f>IF(OR($AR524="",$AR524="BREAKDOWN_REQUIRED"),"",SUM($J524,$AQ524,$Y524)-$X524)</f>
        <v/>
      </c>
      <c r="AU524" s="25">
        <f>IF(AND($A524="",$B524="",$F524="",$H524="",$J524="",$K524="",$M524="",$S524=""),"",IF(OR($H524="",$Q524="",$M524="",$S524=""),"ERROR",IF(OR($J524&lt;0,$K524&lt;0,$M524&lt;0,$T524&lt;0,$U524&lt;0,$V524&lt;0,$W524&lt;0,$X524&lt;0,$Y524&lt;0),"ERROR",IF($AE524="","ERROR",IF(AND(OR($S524="ITEM_PRICE_PLUS_DECLARED_DELIVERY",$S524="TOTAL_AMOUNT_INCLUDING_DELIVERY",$S524="ITEM_PRICE_ONLY_DELIVERY_PAID_BY_MERCHANT"),$J524=""),"ERROR",IF(AND(OR($S524="ITEM_PRICE_PLUS_DECLARED_DELIVERY",$S524="DELIVERY_CHARGE_ONLY"),$K524=""),"ERROR",IF(AND(OR($S524="TOTAL_AMOUNT_INCLUDING_DELIVERY",$S524="EXACT_COLLECTION_AMOUNT"),$T524=""),"ERROR",IF(AND($S524="TOTAL_AMOUNT_INCLUDING_DELIVERY",$T524&lt;SUM($J524,$U524)),"ERROR",IF($S524="EXACT_COLLECTION_AMOUNT","REVIEW","OK")))))))))</f>
        <v/>
      </c>
      <c r="AV524" s="25">
        <f>IF($AU524="","",IF($H524="","Township required",IF($Q524="","Customer tier required",IF($M524="","Weight required",IF($S524="","Amount entry type required",IF(OR($J524&lt;0,$K524&lt;0,$M524&lt;0,$T524&lt;0,$U524&lt;0,$V524&lt;0,$W524&lt;0,$X524&lt;0,$Y524&lt;0),"Negative amounts are not allowed",IF($AE524="","Tariff not found for township and tier",IF(AND(OR($S524="ITEM_PRICE_PLUS_DECLARED_DELIVERY",$S524="TOTAL_AMOUNT_INCLUDING_DELIVERY",$S524="ITEM_PRICE_ONLY_DELIVERY_PAID_BY_MERCHANT"),$J524=""),"Item price required for this amount type",IF(AND(OR($S524="ITEM_PRICE_PLUS_DECLARED_DELIVERY",$S524="DELIVERY_CHARGE_ONLY"),$K524=""),"Declared delivery charge required",IF(AND(OR($S524="TOTAL_AMOUNT_INCLUDING_DELIVERY",$S524="EXACT_COLLECTION_AMOUNT"),$T524=""),"Stated total amount required",IF(AND($S524="TOTAL_AMOUNT_INCLUDING_DELIVERY",$T524&lt;SUM($J524,$U524)),"Stated total is below item price plus additional charge",IF($S524="EXACT_COLLECTION_AMOUNT","Authorized amount breakdown required before settlement","Ready for collection and settlement"))))))))))))</f>
        <v/>
      </c>
      <c r="AW524" s="23">
        <f>IF($AU524="","","PARCEL_FINANCIAL_V2")</f>
        <v/>
      </c>
      <c r="AX524" s="17" t="n"/>
    </row>
    <row r="525">
      <c r="A525" s="8" t="n"/>
      <c r="B525" s="8" t="n"/>
      <c r="C525" s="8" t="n"/>
      <c r="D525" s="8" t="n"/>
      <c r="E525" s="9" t="n"/>
      <c r="F525" s="9" t="n"/>
      <c r="G525" s="8" t="n"/>
      <c r="H525" s="9" t="n"/>
      <c r="I525" s="9" t="n"/>
      <c r="J525" s="10" t="n"/>
      <c r="K525" s="10" t="n"/>
      <c r="L525" s="11">
        <f>IF($S525="","",IF($S525="ITEM_PRICE_PLUS_DECLARED_DELIVERY",IF(OR($J525="",$K525=""),"",SUM($J525,$K525,$U525)),IF($S525="TOTAL_AMOUNT_INCLUDING_DELIVERY",IF($T525="","",$T525),IF($S525="DELIVERY_CHARGE_ONLY",IF($K525="","",SUM($K525,$U525)),IF($S525="EXACT_COLLECTION_AMOUNT",IF($T525="","",$T525),IF($S525="ITEM_PRICE_ONLY_DELIVERY_PAID_BY_MERCHANT",IF($J525="","",SUM($J525,$U525)),""))))))</f>
        <v/>
      </c>
      <c r="M525" s="12" t="n"/>
      <c r="N525" s="13" t="n"/>
      <c r="O525" s="13" t="n"/>
      <c r="P525" s="9" t="n"/>
      <c r="Q525" s="14" t="n"/>
      <c r="R525" s="15" t="n"/>
      <c r="S525" s="14" t="n"/>
      <c r="T525" s="16" t="n"/>
      <c r="U525" s="16" t="n"/>
      <c r="V525" s="16" t="n"/>
      <c r="W525" s="16" t="n"/>
      <c r="X525" s="16" t="n"/>
      <c r="Y525" s="16" t="n"/>
      <c r="Z525" s="14" t="n"/>
      <c r="AA525" s="14" t="n"/>
      <c r="AB525" s="14" t="n"/>
      <c r="AC525" s="17">
        <f>IFERROR(VLOOKUP($H525&amp;"|"&amp;$Q525,Tariff_Master!$A$2:$L$169,3,FALSE),"")</f>
        <v/>
      </c>
      <c r="AD525" s="17">
        <f>IFERROR(VLOOKUP($H525&amp;"|"&amp;$Q525,Tariff_Master!$A$2:$L$169,4,FALSE),"")</f>
        <v/>
      </c>
      <c r="AE525" s="18">
        <f>IFERROR(VLOOKUP($H525&amp;"|"&amp;$Q525,Tariff_Master!$A$2:$L$169,6,FALSE),"")</f>
        <v/>
      </c>
      <c r="AF525" s="19">
        <f>IFERROR(VLOOKUP($H525&amp;"|"&amp;$Q525,Tariff_Master!$A$2:$L$169,7,FALSE),"")</f>
        <v/>
      </c>
      <c r="AG525" s="18">
        <f>IFERROR(VLOOKUP($H525&amp;"|"&amp;$Q525,Tariff_Master!$A$2:$L$169,8,FALSE),"")</f>
        <v/>
      </c>
      <c r="AH525" s="20">
        <f>IFERROR(VLOOKUP($H525&amp;"|"&amp;$Q525,Tariff_Master!$A$2:$L$169,9,FALSE),"")</f>
        <v/>
      </c>
      <c r="AI525" s="18">
        <f>IFERROR(VLOOKUP($H525&amp;"|"&amp;$Q525,Tariff_Master!$A$2:$L$169,10,FALSE),"")</f>
        <v/>
      </c>
      <c r="AJ525" s="21">
        <f>IF($M525="","",ROUNDUP(MAX(0,$M525),0))</f>
        <v/>
      </c>
      <c r="AK525" s="21">
        <f>IF(OR($AJ525="",$AF525=""),"",MAX(0,$AJ525-$AF525))</f>
        <v/>
      </c>
      <c r="AL525" s="22">
        <f>IF(OR($AK525="",$AG525=""),"",MAX(0,$AK525*$AG525))</f>
        <v/>
      </c>
      <c r="AM525" s="22">
        <f>IF($AE525="","",MAX(0,SUM($AE525,$AL525,$V525,$W525)))</f>
        <v/>
      </c>
      <c r="AN525" s="22">
        <f>IF($AM525="","",IF(AND($Q525="COMMITMENT",$R525&gt;=$AH525),$AI525,0))</f>
        <v/>
      </c>
      <c r="AO525" s="23">
        <f>IF($AM525="","",MAX(0,$AM525-$AN525))</f>
        <v/>
      </c>
      <c r="AP525" s="22">
        <f>IF($S525="","",IF(OR($S525="ITEM_PRICE_PLUS_DECLARED_DELIVERY",$S525="DELIVERY_CHARGE_ONLY"),$K525,IF($S525="TOTAL_AMOUNT_INCLUDING_DELIVERY",IF(OR($T525="",$J525=""),"",MAX(0,$T525-$J525-$U525)),IF($S525="ITEM_PRICE_ONLY_DELIVERY_PAID_BY_MERCHANT",0,""))))</f>
        <v/>
      </c>
      <c r="AQ525" s="23">
        <f>IF(OR($AP525="",$AO525=""),"",$AP525-$AO525)</f>
        <v/>
      </c>
      <c r="AR525" s="24">
        <f>IF($S525="EXACT_COLLECTION_AMOUNT","BREAKDOWN_REQUIRED",IF($AQ525="","",IF($AQ525&gt;0,"CREDIT_TO_MERCHANT",IF($AQ525&lt;0,"DEDUCT_FROM_MERCHANT","NO_ADJUSTMENT"))))</f>
        <v/>
      </c>
      <c r="AS525" s="23">
        <f>IF(OR($AQ525="",$AR525="BREAKDOWN_REQUIRED"),"",$AQ525)</f>
        <v/>
      </c>
      <c r="AT525" s="23">
        <f>IF(OR($AR525="",$AR525="BREAKDOWN_REQUIRED"),"",SUM($J525,$AQ525,$Y525)-$X525)</f>
        <v/>
      </c>
      <c r="AU525" s="25">
        <f>IF(AND($A525="",$B525="",$F525="",$H525="",$J525="",$K525="",$M525="",$S525=""),"",IF(OR($H525="",$Q525="",$M525="",$S525=""),"ERROR",IF(OR($J525&lt;0,$K525&lt;0,$M525&lt;0,$T525&lt;0,$U525&lt;0,$V525&lt;0,$W525&lt;0,$X525&lt;0,$Y525&lt;0),"ERROR",IF($AE525="","ERROR",IF(AND(OR($S525="ITEM_PRICE_PLUS_DECLARED_DELIVERY",$S525="TOTAL_AMOUNT_INCLUDING_DELIVERY",$S525="ITEM_PRICE_ONLY_DELIVERY_PAID_BY_MERCHANT"),$J525=""),"ERROR",IF(AND(OR($S525="ITEM_PRICE_PLUS_DECLARED_DELIVERY",$S525="DELIVERY_CHARGE_ONLY"),$K525=""),"ERROR",IF(AND(OR($S525="TOTAL_AMOUNT_INCLUDING_DELIVERY",$S525="EXACT_COLLECTION_AMOUNT"),$T525=""),"ERROR",IF(AND($S525="TOTAL_AMOUNT_INCLUDING_DELIVERY",$T525&lt;SUM($J525,$U525)),"ERROR",IF($S525="EXACT_COLLECTION_AMOUNT","REVIEW","OK")))))))))</f>
        <v/>
      </c>
      <c r="AV525" s="25">
        <f>IF($AU525="","",IF($H525="","Township required",IF($Q525="","Customer tier required",IF($M525="","Weight required",IF($S525="","Amount entry type required",IF(OR($J525&lt;0,$K525&lt;0,$M525&lt;0,$T525&lt;0,$U525&lt;0,$V525&lt;0,$W525&lt;0,$X525&lt;0,$Y525&lt;0),"Negative amounts are not allowed",IF($AE525="","Tariff not found for township and tier",IF(AND(OR($S525="ITEM_PRICE_PLUS_DECLARED_DELIVERY",$S525="TOTAL_AMOUNT_INCLUDING_DELIVERY",$S525="ITEM_PRICE_ONLY_DELIVERY_PAID_BY_MERCHANT"),$J525=""),"Item price required for this amount type",IF(AND(OR($S525="ITEM_PRICE_PLUS_DECLARED_DELIVERY",$S525="DELIVERY_CHARGE_ONLY"),$K525=""),"Declared delivery charge required",IF(AND(OR($S525="TOTAL_AMOUNT_INCLUDING_DELIVERY",$S525="EXACT_COLLECTION_AMOUNT"),$T525=""),"Stated total amount required",IF(AND($S525="TOTAL_AMOUNT_INCLUDING_DELIVERY",$T525&lt;SUM($J525,$U525)),"Stated total is below item price plus additional charge",IF($S525="EXACT_COLLECTION_AMOUNT","Authorized amount breakdown required before settlement","Ready for collection and settlement"))))))))))))</f>
        <v/>
      </c>
      <c r="AW525" s="23">
        <f>IF($AU525="","","PARCEL_FINANCIAL_V2")</f>
        <v/>
      </c>
      <c r="AX525" s="17" t="n"/>
    </row>
    <row r="526">
      <c r="A526" s="8" t="n"/>
      <c r="B526" s="8" t="n"/>
      <c r="C526" s="8" t="n"/>
      <c r="D526" s="8" t="n"/>
      <c r="E526" s="9" t="n"/>
      <c r="F526" s="9" t="n"/>
      <c r="G526" s="8" t="n"/>
      <c r="H526" s="9" t="n"/>
      <c r="I526" s="9" t="n"/>
      <c r="J526" s="10" t="n"/>
      <c r="K526" s="10" t="n"/>
      <c r="L526" s="11">
        <f>IF($S526="","",IF($S526="ITEM_PRICE_PLUS_DECLARED_DELIVERY",IF(OR($J526="",$K526=""),"",SUM($J526,$K526,$U526)),IF($S526="TOTAL_AMOUNT_INCLUDING_DELIVERY",IF($T526="","",$T526),IF($S526="DELIVERY_CHARGE_ONLY",IF($K526="","",SUM($K526,$U526)),IF($S526="EXACT_COLLECTION_AMOUNT",IF($T526="","",$T526),IF($S526="ITEM_PRICE_ONLY_DELIVERY_PAID_BY_MERCHANT",IF($J526="","",SUM($J526,$U526)),""))))))</f>
        <v/>
      </c>
      <c r="M526" s="12" t="n"/>
      <c r="N526" s="13" t="n"/>
      <c r="O526" s="13" t="n"/>
      <c r="P526" s="9" t="n"/>
      <c r="Q526" s="14" t="n"/>
      <c r="R526" s="15" t="n"/>
      <c r="S526" s="14" t="n"/>
      <c r="T526" s="16" t="n"/>
      <c r="U526" s="16" t="n"/>
      <c r="V526" s="16" t="n"/>
      <c r="W526" s="16" t="n"/>
      <c r="X526" s="16" t="n"/>
      <c r="Y526" s="16" t="n"/>
      <c r="Z526" s="14" t="n"/>
      <c r="AA526" s="14" t="n"/>
      <c r="AB526" s="14" t="n"/>
      <c r="AC526" s="17">
        <f>IFERROR(VLOOKUP($H526&amp;"|"&amp;$Q526,Tariff_Master!$A$2:$L$169,3,FALSE),"")</f>
        <v/>
      </c>
      <c r="AD526" s="17">
        <f>IFERROR(VLOOKUP($H526&amp;"|"&amp;$Q526,Tariff_Master!$A$2:$L$169,4,FALSE),"")</f>
        <v/>
      </c>
      <c r="AE526" s="18">
        <f>IFERROR(VLOOKUP($H526&amp;"|"&amp;$Q526,Tariff_Master!$A$2:$L$169,6,FALSE),"")</f>
        <v/>
      </c>
      <c r="AF526" s="19">
        <f>IFERROR(VLOOKUP($H526&amp;"|"&amp;$Q526,Tariff_Master!$A$2:$L$169,7,FALSE),"")</f>
        <v/>
      </c>
      <c r="AG526" s="18">
        <f>IFERROR(VLOOKUP($H526&amp;"|"&amp;$Q526,Tariff_Master!$A$2:$L$169,8,FALSE),"")</f>
        <v/>
      </c>
      <c r="AH526" s="20">
        <f>IFERROR(VLOOKUP($H526&amp;"|"&amp;$Q526,Tariff_Master!$A$2:$L$169,9,FALSE),"")</f>
        <v/>
      </c>
      <c r="AI526" s="18">
        <f>IFERROR(VLOOKUP($H526&amp;"|"&amp;$Q526,Tariff_Master!$A$2:$L$169,10,FALSE),"")</f>
        <v/>
      </c>
      <c r="AJ526" s="21">
        <f>IF($M526="","",ROUNDUP(MAX(0,$M526),0))</f>
        <v/>
      </c>
      <c r="AK526" s="21">
        <f>IF(OR($AJ526="",$AF526=""),"",MAX(0,$AJ526-$AF526))</f>
        <v/>
      </c>
      <c r="AL526" s="22">
        <f>IF(OR($AK526="",$AG526=""),"",MAX(0,$AK526*$AG526))</f>
        <v/>
      </c>
      <c r="AM526" s="22">
        <f>IF($AE526="","",MAX(0,SUM($AE526,$AL526,$V526,$W526)))</f>
        <v/>
      </c>
      <c r="AN526" s="22">
        <f>IF($AM526="","",IF(AND($Q526="COMMITMENT",$R526&gt;=$AH526),$AI526,0))</f>
        <v/>
      </c>
      <c r="AO526" s="23">
        <f>IF($AM526="","",MAX(0,$AM526-$AN526))</f>
        <v/>
      </c>
      <c r="AP526" s="22">
        <f>IF($S526="","",IF(OR($S526="ITEM_PRICE_PLUS_DECLARED_DELIVERY",$S526="DELIVERY_CHARGE_ONLY"),$K526,IF($S526="TOTAL_AMOUNT_INCLUDING_DELIVERY",IF(OR($T526="",$J526=""),"",MAX(0,$T526-$J526-$U526)),IF($S526="ITEM_PRICE_ONLY_DELIVERY_PAID_BY_MERCHANT",0,""))))</f>
        <v/>
      </c>
      <c r="AQ526" s="23">
        <f>IF(OR($AP526="",$AO526=""),"",$AP526-$AO526)</f>
        <v/>
      </c>
      <c r="AR526" s="24">
        <f>IF($S526="EXACT_COLLECTION_AMOUNT","BREAKDOWN_REQUIRED",IF($AQ526="","",IF($AQ526&gt;0,"CREDIT_TO_MERCHANT",IF($AQ526&lt;0,"DEDUCT_FROM_MERCHANT","NO_ADJUSTMENT"))))</f>
        <v/>
      </c>
      <c r="AS526" s="23">
        <f>IF(OR($AQ526="",$AR526="BREAKDOWN_REQUIRED"),"",$AQ526)</f>
        <v/>
      </c>
      <c r="AT526" s="23">
        <f>IF(OR($AR526="",$AR526="BREAKDOWN_REQUIRED"),"",SUM($J526,$AQ526,$Y526)-$X526)</f>
        <v/>
      </c>
      <c r="AU526" s="25">
        <f>IF(AND($A526="",$B526="",$F526="",$H526="",$J526="",$K526="",$M526="",$S526=""),"",IF(OR($H526="",$Q526="",$M526="",$S526=""),"ERROR",IF(OR($J526&lt;0,$K526&lt;0,$M526&lt;0,$T526&lt;0,$U526&lt;0,$V526&lt;0,$W526&lt;0,$X526&lt;0,$Y526&lt;0),"ERROR",IF($AE526="","ERROR",IF(AND(OR($S526="ITEM_PRICE_PLUS_DECLARED_DELIVERY",$S526="TOTAL_AMOUNT_INCLUDING_DELIVERY",$S526="ITEM_PRICE_ONLY_DELIVERY_PAID_BY_MERCHANT"),$J526=""),"ERROR",IF(AND(OR($S526="ITEM_PRICE_PLUS_DECLARED_DELIVERY",$S526="DELIVERY_CHARGE_ONLY"),$K526=""),"ERROR",IF(AND(OR($S526="TOTAL_AMOUNT_INCLUDING_DELIVERY",$S526="EXACT_COLLECTION_AMOUNT"),$T526=""),"ERROR",IF(AND($S526="TOTAL_AMOUNT_INCLUDING_DELIVERY",$T526&lt;SUM($J526,$U526)),"ERROR",IF($S526="EXACT_COLLECTION_AMOUNT","REVIEW","OK")))))))))</f>
        <v/>
      </c>
      <c r="AV526" s="25">
        <f>IF($AU526="","",IF($H526="","Township required",IF($Q526="","Customer tier required",IF($M526="","Weight required",IF($S526="","Amount entry type required",IF(OR($J526&lt;0,$K526&lt;0,$M526&lt;0,$T526&lt;0,$U526&lt;0,$V526&lt;0,$W526&lt;0,$X526&lt;0,$Y526&lt;0),"Negative amounts are not allowed",IF($AE526="","Tariff not found for township and tier",IF(AND(OR($S526="ITEM_PRICE_PLUS_DECLARED_DELIVERY",$S526="TOTAL_AMOUNT_INCLUDING_DELIVERY",$S526="ITEM_PRICE_ONLY_DELIVERY_PAID_BY_MERCHANT"),$J526=""),"Item price required for this amount type",IF(AND(OR($S526="ITEM_PRICE_PLUS_DECLARED_DELIVERY",$S526="DELIVERY_CHARGE_ONLY"),$K526=""),"Declared delivery charge required",IF(AND(OR($S526="TOTAL_AMOUNT_INCLUDING_DELIVERY",$S526="EXACT_COLLECTION_AMOUNT"),$T526=""),"Stated total amount required",IF(AND($S526="TOTAL_AMOUNT_INCLUDING_DELIVERY",$T526&lt;SUM($J526,$U526)),"Stated total is below item price plus additional charge",IF($S526="EXACT_COLLECTION_AMOUNT","Authorized amount breakdown required before settlement","Ready for collection and settlement"))))))))))))</f>
        <v/>
      </c>
      <c r="AW526" s="23">
        <f>IF($AU526="","","PARCEL_FINANCIAL_V2")</f>
        <v/>
      </c>
      <c r="AX526" s="17" t="n"/>
    </row>
    <row r="527">
      <c r="A527" s="8" t="n"/>
      <c r="B527" s="8" t="n"/>
      <c r="C527" s="8" t="n"/>
      <c r="D527" s="8" t="n"/>
      <c r="E527" s="9" t="n"/>
      <c r="F527" s="9" t="n"/>
      <c r="G527" s="8" t="n"/>
      <c r="H527" s="9" t="n"/>
      <c r="I527" s="9" t="n"/>
      <c r="J527" s="10" t="n"/>
      <c r="K527" s="10" t="n"/>
      <c r="L527" s="11">
        <f>IF($S527="","",IF($S527="ITEM_PRICE_PLUS_DECLARED_DELIVERY",IF(OR($J527="",$K527=""),"",SUM($J527,$K527,$U527)),IF($S527="TOTAL_AMOUNT_INCLUDING_DELIVERY",IF($T527="","",$T527),IF($S527="DELIVERY_CHARGE_ONLY",IF($K527="","",SUM($K527,$U527)),IF($S527="EXACT_COLLECTION_AMOUNT",IF($T527="","",$T527),IF($S527="ITEM_PRICE_ONLY_DELIVERY_PAID_BY_MERCHANT",IF($J527="","",SUM($J527,$U527)),""))))))</f>
        <v/>
      </c>
      <c r="M527" s="12" t="n"/>
      <c r="N527" s="13" t="n"/>
      <c r="O527" s="13" t="n"/>
      <c r="P527" s="9" t="n"/>
      <c r="Q527" s="14" t="n"/>
      <c r="R527" s="15" t="n"/>
      <c r="S527" s="14" t="n"/>
      <c r="T527" s="16" t="n"/>
      <c r="U527" s="16" t="n"/>
      <c r="V527" s="16" t="n"/>
      <c r="W527" s="16" t="n"/>
      <c r="X527" s="16" t="n"/>
      <c r="Y527" s="16" t="n"/>
      <c r="Z527" s="14" t="n"/>
      <c r="AA527" s="14" t="n"/>
      <c r="AB527" s="14" t="n"/>
      <c r="AC527" s="17">
        <f>IFERROR(VLOOKUP($H527&amp;"|"&amp;$Q527,Tariff_Master!$A$2:$L$169,3,FALSE),"")</f>
        <v/>
      </c>
      <c r="AD527" s="17">
        <f>IFERROR(VLOOKUP($H527&amp;"|"&amp;$Q527,Tariff_Master!$A$2:$L$169,4,FALSE),"")</f>
        <v/>
      </c>
      <c r="AE527" s="18">
        <f>IFERROR(VLOOKUP($H527&amp;"|"&amp;$Q527,Tariff_Master!$A$2:$L$169,6,FALSE),"")</f>
        <v/>
      </c>
      <c r="AF527" s="19">
        <f>IFERROR(VLOOKUP($H527&amp;"|"&amp;$Q527,Tariff_Master!$A$2:$L$169,7,FALSE),"")</f>
        <v/>
      </c>
      <c r="AG527" s="18">
        <f>IFERROR(VLOOKUP($H527&amp;"|"&amp;$Q527,Tariff_Master!$A$2:$L$169,8,FALSE),"")</f>
        <v/>
      </c>
      <c r="AH527" s="20">
        <f>IFERROR(VLOOKUP($H527&amp;"|"&amp;$Q527,Tariff_Master!$A$2:$L$169,9,FALSE),"")</f>
        <v/>
      </c>
      <c r="AI527" s="18">
        <f>IFERROR(VLOOKUP($H527&amp;"|"&amp;$Q527,Tariff_Master!$A$2:$L$169,10,FALSE),"")</f>
        <v/>
      </c>
      <c r="AJ527" s="21">
        <f>IF($M527="","",ROUNDUP(MAX(0,$M527),0))</f>
        <v/>
      </c>
      <c r="AK527" s="21">
        <f>IF(OR($AJ527="",$AF527=""),"",MAX(0,$AJ527-$AF527))</f>
        <v/>
      </c>
      <c r="AL527" s="22">
        <f>IF(OR($AK527="",$AG527=""),"",MAX(0,$AK527*$AG527))</f>
        <v/>
      </c>
      <c r="AM527" s="22">
        <f>IF($AE527="","",MAX(0,SUM($AE527,$AL527,$V527,$W527)))</f>
        <v/>
      </c>
      <c r="AN527" s="22">
        <f>IF($AM527="","",IF(AND($Q527="COMMITMENT",$R527&gt;=$AH527),$AI527,0))</f>
        <v/>
      </c>
      <c r="AO527" s="23">
        <f>IF($AM527="","",MAX(0,$AM527-$AN527))</f>
        <v/>
      </c>
      <c r="AP527" s="22">
        <f>IF($S527="","",IF(OR($S527="ITEM_PRICE_PLUS_DECLARED_DELIVERY",$S527="DELIVERY_CHARGE_ONLY"),$K527,IF($S527="TOTAL_AMOUNT_INCLUDING_DELIVERY",IF(OR($T527="",$J527=""),"",MAX(0,$T527-$J527-$U527)),IF($S527="ITEM_PRICE_ONLY_DELIVERY_PAID_BY_MERCHANT",0,""))))</f>
        <v/>
      </c>
      <c r="AQ527" s="23">
        <f>IF(OR($AP527="",$AO527=""),"",$AP527-$AO527)</f>
        <v/>
      </c>
      <c r="AR527" s="24">
        <f>IF($S527="EXACT_COLLECTION_AMOUNT","BREAKDOWN_REQUIRED",IF($AQ527="","",IF($AQ527&gt;0,"CREDIT_TO_MERCHANT",IF($AQ527&lt;0,"DEDUCT_FROM_MERCHANT","NO_ADJUSTMENT"))))</f>
        <v/>
      </c>
      <c r="AS527" s="23">
        <f>IF(OR($AQ527="",$AR527="BREAKDOWN_REQUIRED"),"",$AQ527)</f>
        <v/>
      </c>
      <c r="AT527" s="23">
        <f>IF(OR($AR527="",$AR527="BREAKDOWN_REQUIRED"),"",SUM($J527,$AQ527,$Y527)-$X527)</f>
        <v/>
      </c>
      <c r="AU527" s="25">
        <f>IF(AND($A527="",$B527="",$F527="",$H527="",$J527="",$K527="",$M527="",$S527=""),"",IF(OR($H527="",$Q527="",$M527="",$S527=""),"ERROR",IF(OR($J527&lt;0,$K527&lt;0,$M527&lt;0,$T527&lt;0,$U527&lt;0,$V527&lt;0,$W527&lt;0,$X527&lt;0,$Y527&lt;0),"ERROR",IF($AE527="","ERROR",IF(AND(OR($S527="ITEM_PRICE_PLUS_DECLARED_DELIVERY",$S527="TOTAL_AMOUNT_INCLUDING_DELIVERY",$S527="ITEM_PRICE_ONLY_DELIVERY_PAID_BY_MERCHANT"),$J527=""),"ERROR",IF(AND(OR($S527="ITEM_PRICE_PLUS_DECLARED_DELIVERY",$S527="DELIVERY_CHARGE_ONLY"),$K527=""),"ERROR",IF(AND(OR($S527="TOTAL_AMOUNT_INCLUDING_DELIVERY",$S527="EXACT_COLLECTION_AMOUNT"),$T527=""),"ERROR",IF(AND($S527="TOTAL_AMOUNT_INCLUDING_DELIVERY",$T527&lt;SUM($J527,$U527)),"ERROR",IF($S527="EXACT_COLLECTION_AMOUNT","REVIEW","OK")))))))))</f>
        <v/>
      </c>
      <c r="AV527" s="25">
        <f>IF($AU527="","",IF($H527="","Township required",IF($Q527="","Customer tier required",IF($M527="","Weight required",IF($S527="","Amount entry type required",IF(OR($J527&lt;0,$K527&lt;0,$M527&lt;0,$T527&lt;0,$U527&lt;0,$V527&lt;0,$W527&lt;0,$X527&lt;0,$Y527&lt;0),"Negative amounts are not allowed",IF($AE527="","Tariff not found for township and tier",IF(AND(OR($S527="ITEM_PRICE_PLUS_DECLARED_DELIVERY",$S527="TOTAL_AMOUNT_INCLUDING_DELIVERY",$S527="ITEM_PRICE_ONLY_DELIVERY_PAID_BY_MERCHANT"),$J527=""),"Item price required for this amount type",IF(AND(OR($S527="ITEM_PRICE_PLUS_DECLARED_DELIVERY",$S527="DELIVERY_CHARGE_ONLY"),$K527=""),"Declared delivery charge required",IF(AND(OR($S527="TOTAL_AMOUNT_INCLUDING_DELIVERY",$S527="EXACT_COLLECTION_AMOUNT"),$T527=""),"Stated total amount required",IF(AND($S527="TOTAL_AMOUNT_INCLUDING_DELIVERY",$T527&lt;SUM($J527,$U527)),"Stated total is below item price plus additional charge",IF($S527="EXACT_COLLECTION_AMOUNT","Authorized amount breakdown required before settlement","Ready for collection and settlement"))))))))))))</f>
        <v/>
      </c>
      <c r="AW527" s="23">
        <f>IF($AU527="","","PARCEL_FINANCIAL_V2")</f>
        <v/>
      </c>
      <c r="AX527" s="17" t="n"/>
    </row>
    <row r="528">
      <c r="A528" s="8" t="n"/>
      <c r="B528" s="8" t="n"/>
      <c r="C528" s="8" t="n"/>
      <c r="D528" s="8" t="n"/>
      <c r="E528" s="9" t="n"/>
      <c r="F528" s="9" t="n"/>
      <c r="G528" s="8" t="n"/>
      <c r="H528" s="9" t="n"/>
      <c r="I528" s="9" t="n"/>
      <c r="J528" s="10" t="n"/>
      <c r="K528" s="10" t="n"/>
      <c r="L528" s="11">
        <f>IF($S528="","",IF($S528="ITEM_PRICE_PLUS_DECLARED_DELIVERY",IF(OR($J528="",$K528=""),"",SUM($J528,$K528,$U528)),IF($S528="TOTAL_AMOUNT_INCLUDING_DELIVERY",IF($T528="","",$T528),IF($S528="DELIVERY_CHARGE_ONLY",IF($K528="","",SUM($K528,$U528)),IF($S528="EXACT_COLLECTION_AMOUNT",IF($T528="","",$T528),IF($S528="ITEM_PRICE_ONLY_DELIVERY_PAID_BY_MERCHANT",IF($J528="","",SUM($J528,$U528)),""))))))</f>
        <v/>
      </c>
      <c r="M528" s="12" t="n"/>
      <c r="N528" s="13" t="n"/>
      <c r="O528" s="13" t="n"/>
      <c r="P528" s="9" t="n"/>
      <c r="Q528" s="14" t="n"/>
      <c r="R528" s="15" t="n"/>
      <c r="S528" s="14" t="n"/>
      <c r="T528" s="16" t="n"/>
      <c r="U528" s="16" t="n"/>
      <c r="V528" s="16" t="n"/>
      <c r="W528" s="16" t="n"/>
      <c r="X528" s="16" t="n"/>
      <c r="Y528" s="16" t="n"/>
      <c r="Z528" s="14" t="n"/>
      <c r="AA528" s="14" t="n"/>
      <c r="AB528" s="14" t="n"/>
      <c r="AC528" s="17">
        <f>IFERROR(VLOOKUP($H528&amp;"|"&amp;$Q528,Tariff_Master!$A$2:$L$169,3,FALSE),"")</f>
        <v/>
      </c>
      <c r="AD528" s="17">
        <f>IFERROR(VLOOKUP($H528&amp;"|"&amp;$Q528,Tariff_Master!$A$2:$L$169,4,FALSE),"")</f>
        <v/>
      </c>
      <c r="AE528" s="18">
        <f>IFERROR(VLOOKUP($H528&amp;"|"&amp;$Q528,Tariff_Master!$A$2:$L$169,6,FALSE),"")</f>
        <v/>
      </c>
      <c r="AF528" s="19">
        <f>IFERROR(VLOOKUP($H528&amp;"|"&amp;$Q528,Tariff_Master!$A$2:$L$169,7,FALSE),"")</f>
        <v/>
      </c>
      <c r="AG528" s="18">
        <f>IFERROR(VLOOKUP($H528&amp;"|"&amp;$Q528,Tariff_Master!$A$2:$L$169,8,FALSE),"")</f>
        <v/>
      </c>
      <c r="AH528" s="20">
        <f>IFERROR(VLOOKUP($H528&amp;"|"&amp;$Q528,Tariff_Master!$A$2:$L$169,9,FALSE),"")</f>
        <v/>
      </c>
      <c r="AI528" s="18">
        <f>IFERROR(VLOOKUP($H528&amp;"|"&amp;$Q528,Tariff_Master!$A$2:$L$169,10,FALSE),"")</f>
        <v/>
      </c>
      <c r="AJ528" s="21">
        <f>IF($M528="","",ROUNDUP(MAX(0,$M528),0))</f>
        <v/>
      </c>
      <c r="AK528" s="21">
        <f>IF(OR($AJ528="",$AF528=""),"",MAX(0,$AJ528-$AF528))</f>
        <v/>
      </c>
      <c r="AL528" s="22">
        <f>IF(OR($AK528="",$AG528=""),"",MAX(0,$AK528*$AG528))</f>
        <v/>
      </c>
      <c r="AM528" s="22">
        <f>IF($AE528="","",MAX(0,SUM($AE528,$AL528,$V528,$W528)))</f>
        <v/>
      </c>
      <c r="AN528" s="22">
        <f>IF($AM528="","",IF(AND($Q528="COMMITMENT",$R528&gt;=$AH528),$AI528,0))</f>
        <v/>
      </c>
      <c r="AO528" s="23">
        <f>IF($AM528="","",MAX(0,$AM528-$AN528))</f>
        <v/>
      </c>
      <c r="AP528" s="22">
        <f>IF($S528="","",IF(OR($S528="ITEM_PRICE_PLUS_DECLARED_DELIVERY",$S528="DELIVERY_CHARGE_ONLY"),$K528,IF($S528="TOTAL_AMOUNT_INCLUDING_DELIVERY",IF(OR($T528="",$J528=""),"",MAX(0,$T528-$J528-$U528)),IF($S528="ITEM_PRICE_ONLY_DELIVERY_PAID_BY_MERCHANT",0,""))))</f>
        <v/>
      </c>
      <c r="AQ528" s="23">
        <f>IF(OR($AP528="",$AO528=""),"",$AP528-$AO528)</f>
        <v/>
      </c>
      <c r="AR528" s="24">
        <f>IF($S528="EXACT_COLLECTION_AMOUNT","BREAKDOWN_REQUIRED",IF($AQ528="","",IF($AQ528&gt;0,"CREDIT_TO_MERCHANT",IF($AQ528&lt;0,"DEDUCT_FROM_MERCHANT","NO_ADJUSTMENT"))))</f>
        <v/>
      </c>
      <c r="AS528" s="23">
        <f>IF(OR($AQ528="",$AR528="BREAKDOWN_REQUIRED"),"",$AQ528)</f>
        <v/>
      </c>
      <c r="AT528" s="23">
        <f>IF(OR($AR528="",$AR528="BREAKDOWN_REQUIRED"),"",SUM($J528,$AQ528,$Y528)-$X528)</f>
        <v/>
      </c>
      <c r="AU528" s="25">
        <f>IF(AND($A528="",$B528="",$F528="",$H528="",$J528="",$K528="",$M528="",$S528=""),"",IF(OR($H528="",$Q528="",$M528="",$S528=""),"ERROR",IF(OR($J528&lt;0,$K528&lt;0,$M528&lt;0,$T528&lt;0,$U528&lt;0,$V528&lt;0,$W528&lt;0,$X528&lt;0,$Y528&lt;0),"ERROR",IF($AE528="","ERROR",IF(AND(OR($S528="ITEM_PRICE_PLUS_DECLARED_DELIVERY",$S528="TOTAL_AMOUNT_INCLUDING_DELIVERY",$S528="ITEM_PRICE_ONLY_DELIVERY_PAID_BY_MERCHANT"),$J528=""),"ERROR",IF(AND(OR($S528="ITEM_PRICE_PLUS_DECLARED_DELIVERY",$S528="DELIVERY_CHARGE_ONLY"),$K528=""),"ERROR",IF(AND(OR($S528="TOTAL_AMOUNT_INCLUDING_DELIVERY",$S528="EXACT_COLLECTION_AMOUNT"),$T528=""),"ERROR",IF(AND($S528="TOTAL_AMOUNT_INCLUDING_DELIVERY",$T528&lt;SUM($J528,$U528)),"ERROR",IF($S528="EXACT_COLLECTION_AMOUNT","REVIEW","OK")))))))))</f>
        <v/>
      </c>
      <c r="AV528" s="25">
        <f>IF($AU528="","",IF($H528="","Township required",IF($Q528="","Customer tier required",IF($M528="","Weight required",IF($S528="","Amount entry type required",IF(OR($J528&lt;0,$K528&lt;0,$M528&lt;0,$T528&lt;0,$U528&lt;0,$V528&lt;0,$W528&lt;0,$X528&lt;0,$Y528&lt;0),"Negative amounts are not allowed",IF($AE528="","Tariff not found for township and tier",IF(AND(OR($S528="ITEM_PRICE_PLUS_DECLARED_DELIVERY",$S528="TOTAL_AMOUNT_INCLUDING_DELIVERY",$S528="ITEM_PRICE_ONLY_DELIVERY_PAID_BY_MERCHANT"),$J528=""),"Item price required for this amount type",IF(AND(OR($S528="ITEM_PRICE_PLUS_DECLARED_DELIVERY",$S528="DELIVERY_CHARGE_ONLY"),$K528=""),"Declared delivery charge required",IF(AND(OR($S528="TOTAL_AMOUNT_INCLUDING_DELIVERY",$S528="EXACT_COLLECTION_AMOUNT"),$T528=""),"Stated total amount required",IF(AND($S528="TOTAL_AMOUNT_INCLUDING_DELIVERY",$T528&lt;SUM($J528,$U528)),"Stated total is below item price plus additional charge",IF($S528="EXACT_COLLECTION_AMOUNT","Authorized amount breakdown required before settlement","Ready for collection and settlement"))))))))))))</f>
        <v/>
      </c>
      <c r="AW528" s="23">
        <f>IF($AU528="","","PARCEL_FINANCIAL_V2")</f>
        <v/>
      </c>
      <c r="AX528" s="17" t="n"/>
    </row>
    <row r="529">
      <c r="A529" s="8" t="n"/>
      <c r="B529" s="8" t="n"/>
      <c r="C529" s="8" t="n"/>
      <c r="D529" s="8" t="n"/>
      <c r="E529" s="9" t="n"/>
      <c r="F529" s="9" t="n"/>
      <c r="G529" s="8" t="n"/>
      <c r="H529" s="9" t="n"/>
      <c r="I529" s="9" t="n"/>
      <c r="J529" s="10" t="n"/>
      <c r="K529" s="10" t="n"/>
      <c r="L529" s="11">
        <f>IF($S529="","",IF($S529="ITEM_PRICE_PLUS_DECLARED_DELIVERY",IF(OR($J529="",$K529=""),"",SUM($J529,$K529,$U529)),IF($S529="TOTAL_AMOUNT_INCLUDING_DELIVERY",IF($T529="","",$T529),IF($S529="DELIVERY_CHARGE_ONLY",IF($K529="","",SUM($K529,$U529)),IF($S529="EXACT_COLLECTION_AMOUNT",IF($T529="","",$T529),IF($S529="ITEM_PRICE_ONLY_DELIVERY_PAID_BY_MERCHANT",IF($J529="","",SUM($J529,$U529)),""))))))</f>
        <v/>
      </c>
      <c r="M529" s="12" t="n"/>
      <c r="N529" s="13" t="n"/>
      <c r="O529" s="13" t="n"/>
      <c r="P529" s="9" t="n"/>
      <c r="Q529" s="14" t="n"/>
      <c r="R529" s="15" t="n"/>
      <c r="S529" s="14" t="n"/>
      <c r="T529" s="16" t="n"/>
      <c r="U529" s="16" t="n"/>
      <c r="V529" s="16" t="n"/>
      <c r="W529" s="16" t="n"/>
      <c r="X529" s="16" t="n"/>
      <c r="Y529" s="16" t="n"/>
      <c r="Z529" s="14" t="n"/>
      <c r="AA529" s="14" t="n"/>
      <c r="AB529" s="14" t="n"/>
      <c r="AC529" s="17">
        <f>IFERROR(VLOOKUP($H529&amp;"|"&amp;$Q529,Tariff_Master!$A$2:$L$169,3,FALSE),"")</f>
        <v/>
      </c>
      <c r="AD529" s="17">
        <f>IFERROR(VLOOKUP($H529&amp;"|"&amp;$Q529,Tariff_Master!$A$2:$L$169,4,FALSE),"")</f>
        <v/>
      </c>
      <c r="AE529" s="18">
        <f>IFERROR(VLOOKUP($H529&amp;"|"&amp;$Q529,Tariff_Master!$A$2:$L$169,6,FALSE),"")</f>
        <v/>
      </c>
      <c r="AF529" s="19">
        <f>IFERROR(VLOOKUP($H529&amp;"|"&amp;$Q529,Tariff_Master!$A$2:$L$169,7,FALSE),"")</f>
        <v/>
      </c>
      <c r="AG529" s="18">
        <f>IFERROR(VLOOKUP($H529&amp;"|"&amp;$Q529,Tariff_Master!$A$2:$L$169,8,FALSE),"")</f>
        <v/>
      </c>
      <c r="AH529" s="20">
        <f>IFERROR(VLOOKUP($H529&amp;"|"&amp;$Q529,Tariff_Master!$A$2:$L$169,9,FALSE),"")</f>
        <v/>
      </c>
      <c r="AI529" s="18">
        <f>IFERROR(VLOOKUP($H529&amp;"|"&amp;$Q529,Tariff_Master!$A$2:$L$169,10,FALSE),"")</f>
        <v/>
      </c>
      <c r="AJ529" s="21">
        <f>IF($M529="","",ROUNDUP(MAX(0,$M529),0))</f>
        <v/>
      </c>
      <c r="AK529" s="21">
        <f>IF(OR($AJ529="",$AF529=""),"",MAX(0,$AJ529-$AF529))</f>
        <v/>
      </c>
      <c r="AL529" s="22">
        <f>IF(OR($AK529="",$AG529=""),"",MAX(0,$AK529*$AG529))</f>
        <v/>
      </c>
      <c r="AM529" s="22">
        <f>IF($AE529="","",MAX(0,SUM($AE529,$AL529,$V529,$W529)))</f>
        <v/>
      </c>
      <c r="AN529" s="22">
        <f>IF($AM529="","",IF(AND($Q529="COMMITMENT",$R529&gt;=$AH529),$AI529,0))</f>
        <v/>
      </c>
      <c r="AO529" s="23">
        <f>IF($AM529="","",MAX(0,$AM529-$AN529))</f>
        <v/>
      </c>
      <c r="AP529" s="22">
        <f>IF($S529="","",IF(OR($S529="ITEM_PRICE_PLUS_DECLARED_DELIVERY",$S529="DELIVERY_CHARGE_ONLY"),$K529,IF($S529="TOTAL_AMOUNT_INCLUDING_DELIVERY",IF(OR($T529="",$J529=""),"",MAX(0,$T529-$J529-$U529)),IF($S529="ITEM_PRICE_ONLY_DELIVERY_PAID_BY_MERCHANT",0,""))))</f>
        <v/>
      </c>
      <c r="AQ529" s="23">
        <f>IF(OR($AP529="",$AO529=""),"",$AP529-$AO529)</f>
        <v/>
      </c>
      <c r="AR529" s="24">
        <f>IF($S529="EXACT_COLLECTION_AMOUNT","BREAKDOWN_REQUIRED",IF($AQ529="","",IF($AQ529&gt;0,"CREDIT_TO_MERCHANT",IF($AQ529&lt;0,"DEDUCT_FROM_MERCHANT","NO_ADJUSTMENT"))))</f>
        <v/>
      </c>
      <c r="AS529" s="23">
        <f>IF(OR($AQ529="",$AR529="BREAKDOWN_REQUIRED"),"",$AQ529)</f>
        <v/>
      </c>
      <c r="AT529" s="23">
        <f>IF(OR($AR529="",$AR529="BREAKDOWN_REQUIRED"),"",SUM($J529,$AQ529,$Y529)-$X529)</f>
        <v/>
      </c>
      <c r="AU529" s="25">
        <f>IF(AND($A529="",$B529="",$F529="",$H529="",$J529="",$K529="",$M529="",$S529=""),"",IF(OR($H529="",$Q529="",$M529="",$S529=""),"ERROR",IF(OR($J529&lt;0,$K529&lt;0,$M529&lt;0,$T529&lt;0,$U529&lt;0,$V529&lt;0,$W529&lt;0,$X529&lt;0,$Y529&lt;0),"ERROR",IF($AE529="","ERROR",IF(AND(OR($S529="ITEM_PRICE_PLUS_DECLARED_DELIVERY",$S529="TOTAL_AMOUNT_INCLUDING_DELIVERY",$S529="ITEM_PRICE_ONLY_DELIVERY_PAID_BY_MERCHANT"),$J529=""),"ERROR",IF(AND(OR($S529="ITEM_PRICE_PLUS_DECLARED_DELIVERY",$S529="DELIVERY_CHARGE_ONLY"),$K529=""),"ERROR",IF(AND(OR($S529="TOTAL_AMOUNT_INCLUDING_DELIVERY",$S529="EXACT_COLLECTION_AMOUNT"),$T529=""),"ERROR",IF(AND($S529="TOTAL_AMOUNT_INCLUDING_DELIVERY",$T529&lt;SUM($J529,$U529)),"ERROR",IF($S529="EXACT_COLLECTION_AMOUNT","REVIEW","OK")))))))))</f>
        <v/>
      </c>
      <c r="AV529" s="25">
        <f>IF($AU529="","",IF($H529="","Township required",IF($Q529="","Customer tier required",IF($M529="","Weight required",IF($S529="","Amount entry type required",IF(OR($J529&lt;0,$K529&lt;0,$M529&lt;0,$T529&lt;0,$U529&lt;0,$V529&lt;0,$W529&lt;0,$X529&lt;0,$Y529&lt;0),"Negative amounts are not allowed",IF($AE529="","Tariff not found for township and tier",IF(AND(OR($S529="ITEM_PRICE_PLUS_DECLARED_DELIVERY",$S529="TOTAL_AMOUNT_INCLUDING_DELIVERY",$S529="ITEM_PRICE_ONLY_DELIVERY_PAID_BY_MERCHANT"),$J529=""),"Item price required for this amount type",IF(AND(OR($S529="ITEM_PRICE_PLUS_DECLARED_DELIVERY",$S529="DELIVERY_CHARGE_ONLY"),$K529=""),"Declared delivery charge required",IF(AND(OR($S529="TOTAL_AMOUNT_INCLUDING_DELIVERY",$S529="EXACT_COLLECTION_AMOUNT"),$T529=""),"Stated total amount required",IF(AND($S529="TOTAL_AMOUNT_INCLUDING_DELIVERY",$T529&lt;SUM($J529,$U529)),"Stated total is below item price plus additional charge",IF($S529="EXACT_COLLECTION_AMOUNT","Authorized amount breakdown required before settlement","Ready for collection and settlement"))))))))))))</f>
        <v/>
      </c>
      <c r="AW529" s="23">
        <f>IF($AU529="","","PARCEL_FINANCIAL_V2")</f>
        <v/>
      </c>
      <c r="AX529" s="17" t="n"/>
    </row>
    <row r="530">
      <c r="A530" s="8" t="n"/>
      <c r="B530" s="8" t="n"/>
      <c r="C530" s="8" t="n"/>
      <c r="D530" s="8" t="n"/>
      <c r="E530" s="9" t="n"/>
      <c r="F530" s="9" t="n"/>
      <c r="G530" s="8" t="n"/>
      <c r="H530" s="9" t="n"/>
      <c r="I530" s="9" t="n"/>
      <c r="J530" s="10" t="n"/>
      <c r="K530" s="10" t="n"/>
      <c r="L530" s="11">
        <f>IF($S530="","",IF($S530="ITEM_PRICE_PLUS_DECLARED_DELIVERY",IF(OR($J530="",$K530=""),"",SUM($J530,$K530,$U530)),IF($S530="TOTAL_AMOUNT_INCLUDING_DELIVERY",IF($T530="","",$T530),IF($S530="DELIVERY_CHARGE_ONLY",IF($K530="","",SUM($K530,$U530)),IF($S530="EXACT_COLLECTION_AMOUNT",IF($T530="","",$T530),IF($S530="ITEM_PRICE_ONLY_DELIVERY_PAID_BY_MERCHANT",IF($J530="","",SUM($J530,$U530)),""))))))</f>
        <v/>
      </c>
      <c r="M530" s="12" t="n"/>
      <c r="N530" s="13" t="n"/>
      <c r="O530" s="13" t="n"/>
      <c r="P530" s="9" t="n"/>
      <c r="Q530" s="14" t="n"/>
      <c r="R530" s="15" t="n"/>
      <c r="S530" s="14" t="n"/>
      <c r="T530" s="16" t="n"/>
      <c r="U530" s="16" t="n"/>
      <c r="V530" s="16" t="n"/>
      <c r="W530" s="16" t="n"/>
      <c r="X530" s="16" t="n"/>
      <c r="Y530" s="16" t="n"/>
      <c r="Z530" s="14" t="n"/>
      <c r="AA530" s="14" t="n"/>
      <c r="AB530" s="14" t="n"/>
      <c r="AC530" s="17">
        <f>IFERROR(VLOOKUP($H530&amp;"|"&amp;$Q530,Tariff_Master!$A$2:$L$169,3,FALSE),"")</f>
        <v/>
      </c>
      <c r="AD530" s="17">
        <f>IFERROR(VLOOKUP($H530&amp;"|"&amp;$Q530,Tariff_Master!$A$2:$L$169,4,FALSE),"")</f>
        <v/>
      </c>
      <c r="AE530" s="18">
        <f>IFERROR(VLOOKUP($H530&amp;"|"&amp;$Q530,Tariff_Master!$A$2:$L$169,6,FALSE),"")</f>
        <v/>
      </c>
      <c r="AF530" s="19">
        <f>IFERROR(VLOOKUP($H530&amp;"|"&amp;$Q530,Tariff_Master!$A$2:$L$169,7,FALSE),"")</f>
        <v/>
      </c>
      <c r="AG530" s="18">
        <f>IFERROR(VLOOKUP($H530&amp;"|"&amp;$Q530,Tariff_Master!$A$2:$L$169,8,FALSE),"")</f>
        <v/>
      </c>
      <c r="AH530" s="20">
        <f>IFERROR(VLOOKUP($H530&amp;"|"&amp;$Q530,Tariff_Master!$A$2:$L$169,9,FALSE),"")</f>
        <v/>
      </c>
      <c r="AI530" s="18">
        <f>IFERROR(VLOOKUP($H530&amp;"|"&amp;$Q530,Tariff_Master!$A$2:$L$169,10,FALSE),"")</f>
        <v/>
      </c>
      <c r="AJ530" s="21">
        <f>IF($M530="","",ROUNDUP(MAX(0,$M530),0))</f>
        <v/>
      </c>
      <c r="AK530" s="21">
        <f>IF(OR($AJ530="",$AF530=""),"",MAX(0,$AJ530-$AF530))</f>
        <v/>
      </c>
      <c r="AL530" s="22">
        <f>IF(OR($AK530="",$AG530=""),"",MAX(0,$AK530*$AG530))</f>
        <v/>
      </c>
      <c r="AM530" s="22">
        <f>IF($AE530="","",MAX(0,SUM($AE530,$AL530,$V530,$W530)))</f>
        <v/>
      </c>
      <c r="AN530" s="22">
        <f>IF($AM530="","",IF(AND($Q530="COMMITMENT",$R530&gt;=$AH530),$AI530,0))</f>
        <v/>
      </c>
      <c r="AO530" s="23">
        <f>IF($AM530="","",MAX(0,$AM530-$AN530))</f>
        <v/>
      </c>
      <c r="AP530" s="22">
        <f>IF($S530="","",IF(OR($S530="ITEM_PRICE_PLUS_DECLARED_DELIVERY",$S530="DELIVERY_CHARGE_ONLY"),$K530,IF($S530="TOTAL_AMOUNT_INCLUDING_DELIVERY",IF(OR($T530="",$J530=""),"",MAX(0,$T530-$J530-$U530)),IF($S530="ITEM_PRICE_ONLY_DELIVERY_PAID_BY_MERCHANT",0,""))))</f>
        <v/>
      </c>
      <c r="AQ530" s="23">
        <f>IF(OR($AP530="",$AO530=""),"",$AP530-$AO530)</f>
        <v/>
      </c>
      <c r="AR530" s="24">
        <f>IF($S530="EXACT_COLLECTION_AMOUNT","BREAKDOWN_REQUIRED",IF($AQ530="","",IF($AQ530&gt;0,"CREDIT_TO_MERCHANT",IF($AQ530&lt;0,"DEDUCT_FROM_MERCHANT","NO_ADJUSTMENT"))))</f>
        <v/>
      </c>
      <c r="AS530" s="23">
        <f>IF(OR($AQ530="",$AR530="BREAKDOWN_REQUIRED"),"",$AQ530)</f>
        <v/>
      </c>
      <c r="AT530" s="23">
        <f>IF(OR($AR530="",$AR530="BREAKDOWN_REQUIRED"),"",SUM($J530,$AQ530,$Y530)-$X530)</f>
        <v/>
      </c>
      <c r="AU530" s="25">
        <f>IF(AND($A530="",$B530="",$F530="",$H530="",$J530="",$K530="",$M530="",$S530=""),"",IF(OR($H530="",$Q530="",$M530="",$S530=""),"ERROR",IF(OR($J530&lt;0,$K530&lt;0,$M530&lt;0,$T530&lt;0,$U530&lt;0,$V530&lt;0,$W530&lt;0,$X530&lt;0,$Y530&lt;0),"ERROR",IF($AE530="","ERROR",IF(AND(OR($S530="ITEM_PRICE_PLUS_DECLARED_DELIVERY",$S530="TOTAL_AMOUNT_INCLUDING_DELIVERY",$S530="ITEM_PRICE_ONLY_DELIVERY_PAID_BY_MERCHANT"),$J530=""),"ERROR",IF(AND(OR($S530="ITEM_PRICE_PLUS_DECLARED_DELIVERY",$S530="DELIVERY_CHARGE_ONLY"),$K530=""),"ERROR",IF(AND(OR($S530="TOTAL_AMOUNT_INCLUDING_DELIVERY",$S530="EXACT_COLLECTION_AMOUNT"),$T530=""),"ERROR",IF(AND($S530="TOTAL_AMOUNT_INCLUDING_DELIVERY",$T530&lt;SUM($J530,$U530)),"ERROR",IF($S530="EXACT_COLLECTION_AMOUNT","REVIEW","OK")))))))))</f>
        <v/>
      </c>
      <c r="AV530" s="25">
        <f>IF($AU530="","",IF($H530="","Township required",IF($Q530="","Customer tier required",IF($M530="","Weight required",IF($S530="","Amount entry type required",IF(OR($J530&lt;0,$K530&lt;0,$M530&lt;0,$T530&lt;0,$U530&lt;0,$V530&lt;0,$W530&lt;0,$X530&lt;0,$Y530&lt;0),"Negative amounts are not allowed",IF($AE530="","Tariff not found for township and tier",IF(AND(OR($S530="ITEM_PRICE_PLUS_DECLARED_DELIVERY",$S530="TOTAL_AMOUNT_INCLUDING_DELIVERY",$S530="ITEM_PRICE_ONLY_DELIVERY_PAID_BY_MERCHANT"),$J530=""),"Item price required for this amount type",IF(AND(OR($S530="ITEM_PRICE_PLUS_DECLARED_DELIVERY",$S530="DELIVERY_CHARGE_ONLY"),$K530=""),"Declared delivery charge required",IF(AND(OR($S530="TOTAL_AMOUNT_INCLUDING_DELIVERY",$S530="EXACT_COLLECTION_AMOUNT"),$T530=""),"Stated total amount required",IF(AND($S530="TOTAL_AMOUNT_INCLUDING_DELIVERY",$T530&lt;SUM($J530,$U530)),"Stated total is below item price plus additional charge",IF($S530="EXACT_COLLECTION_AMOUNT","Authorized amount breakdown required before settlement","Ready for collection and settlement"))))))))))))</f>
        <v/>
      </c>
      <c r="AW530" s="23">
        <f>IF($AU530="","","PARCEL_FINANCIAL_V2")</f>
        <v/>
      </c>
      <c r="AX530" s="17" t="n"/>
    </row>
    <row r="531">
      <c r="A531" s="8" t="n"/>
      <c r="B531" s="8" t="n"/>
      <c r="C531" s="8" t="n"/>
      <c r="D531" s="8" t="n"/>
      <c r="E531" s="9" t="n"/>
      <c r="F531" s="9" t="n"/>
      <c r="G531" s="8" t="n"/>
      <c r="H531" s="9" t="n"/>
      <c r="I531" s="9" t="n"/>
      <c r="J531" s="10" t="n"/>
      <c r="K531" s="10" t="n"/>
      <c r="L531" s="11">
        <f>IF($S531="","",IF($S531="ITEM_PRICE_PLUS_DECLARED_DELIVERY",IF(OR($J531="",$K531=""),"",SUM($J531,$K531,$U531)),IF($S531="TOTAL_AMOUNT_INCLUDING_DELIVERY",IF($T531="","",$T531),IF($S531="DELIVERY_CHARGE_ONLY",IF($K531="","",SUM($K531,$U531)),IF($S531="EXACT_COLLECTION_AMOUNT",IF($T531="","",$T531),IF($S531="ITEM_PRICE_ONLY_DELIVERY_PAID_BY_MERCHANT",IF($J531="","",SUM($J531,$U531)),""))))))</f>
        <v/>
      </c>
      <c r="M531" s="12" t="n"/>
      <c r="N531" s="13" t="n"/>
      <c r="O531" s="13" t="n"/>
      <c r="P531" s="9" t="n"/>
      <c r="Q531" s="14" t="n"/>
      <c r="R531" s="15" t="n"/>
      <c r="S531" s="14" t="n"/>
      <c r="T531" s="16" t="n"/>
      <c r="U531" s="16" t="n"/>
      <c r="V531" s="16" t="n"/>
      <c r="W531" s="16" t="n"/>
      <c r="X531" s="16" t="n"/>
      <c r="Y531" s="16" t="n"/>
      <c r="Z531" s="14" t="n"/>
      <c r="AA531" s="14" t="n"/>
      <c r="AB531" s="14" t="n"/>
      <c r="AC531" s="17">
        <f>IFERROR(VLOOKUP($H531&amp;"|"&amp;$Q531,Tariff_Master!$A$2:$L$169,3,FALSE),"")</f>
        <v/>
      </c>
      <c r="AD531" s="17">
        <f>IFERROR(VLOOKUP($H531&amp;"|"&amp;$Q531,Tariff_Master!$A$2:$L$169,4,FALSE),"")</f>
        <v/>
      </c>
      <c r="AE531" s="18">
        <f>IFERROR(VLOOKUP($H531&amp;"|"&amp;$Q531,Tariff_Master!$A$2:$L$169,6,FALSE),"")</f>
        <v/>
      </c>
      <c r="AF531" s="19">
        <f>IFERROR(VLOOKUP($H531&amp;"|"&amp;$Q531,Tariff_Master!$A$2:$L$169,7,FALSE),"")</f>
        <v/>
      </c>
      <c r="AG531" s="18">
        <f>IFERROR(VLOOKUP($H531&amp;"|"&amp;$Q531,Tariff_Master!$A$2:$L$169,8,FALSE),"")</f>
        <v/>
      </c>
      <c r="AH531" s="20">
        <f>IFERROR(VLOOKUP($H531&amp;"|"&amp;$Q531,Tariff_Master!$A$2:$L$169,9,FALSE),"")</f>
        <v/>
      </c>
      <c r="AI531" s="18">
        <f>IFERROR(VLOOKUP($H531&amp;"|"&amp;$Q531,Tariff_Master!$A$2:$L$169,10,FALSE),"")</f>
        <v/>
      </c>
      <c r="AJ531" s="21">
        <f>IF($M531="","",ROUNDUP(MAX(0,$M531),0))</f>
        <v/>
      </c>
      <c r="AK531" s="21">
        <f>IF(OR($AJ531="",$AF531=""),"",MAX(0,$AJ531-$AF531))</f>
        <v/>
      </c>
      <c r="AL531" s="22">
        <f>IF(OR($AK531="",$AG531=""),"",MAX(0,$AK531*$AG531))</f>
        <v/>
      </c>
      <c r="AM531" s="22">
        <f>IF($AE531="","",MAX(0,SUM($AE531,$AL531,$V531,$W531)))</f>
        <v/>
      </c>
      <c r="AN531" s="22">
        <f>IF($AM531="","",IF(AND($Q531="COMMITMENT",$R531&gt;=$AH531),$AI531,0))</f>
        <v/>
      </c>
      <c r="AO531" s="23">
        <f>IF($AM531="","",MAX(0,$AM531-$AN531))</f>
        <v/>
      </c>
      <c r="AP531" s="22">
        <f>IF($S531="","",IF(OR($S531="ITEM_PRICE_PLUS_DECLARED_DELIVERY",$S531="DELIVERY_CHARGE_ONLY"),$K531,IF($S531="TOTAL_AMOUNT_INCLUDING_DELIVERY",IF(OR($T531="",$J531=""),"",MAX(0,$T531-$J531-$U531)),IF($S531="ITEM_PRICE_ONLY_DELIVERY_PAID_BY_MERCHANT",0,""))))</f>
        <v/>
      </c>
      <c r="AQ531" s="23">
        <f>IF(OR($AP531="",$AO531=""),"",$AP531-$AO531)</f>
        <v/>
      </c>
      <c r="AR531" s="24">
        <f>IF($S531="EXACT_COLLECTION_AMOUNT","BREAKDOWN_REQUIRED",IF($AQ531="","",IF($AQ531&gt;0,"CREDIT_TO_MERCHANT",IF($AQ531&lt;0,"DEDUCT_FROM_MERCHANT","NO_ADJUSTMENT"))))</f>
        <v/>
      </c>
      <c r="AS531" s="23">
        <f>IF(OR($AQ531="",$AR531="BREAKDOWN_REQUIRED"),"",$AQ531)</f>
        <v/>
      </c>
      <c r="AT531" s="23">
        <f>IF(OR($AR531="",$AR531="BREAKDOWN_REQUIRED"),"",SUM($J531,$AQ531,$Y531)-$X531)</f>
        <v/>
      </c>
      <c r="AU531" s="25">
        <f>IF(AND($A531="",$B531="",$F531="",$H531="",$J531="",$K531="",$M531="",$S531=""),"",IF(OR($H531="",$Q531="",$M531="",$S531=""),"ERROR",IF(OR($J531&lt;0,$K531&lt;0,$M531&lt;0,$T531&lt;0,$U531&lt;0,$V531&lt;0,$W531&lt;0,$X531&lt;0,$Y531&lt;0),"ERROR",IF($AE531="","ERROR",IF(AND(OR($S531="ITEM_PRICE_PLUS_DECLARED_DELIVERY",$S531="TOTAL_AMOUNT_INCLUDING_DELIVERY",$S531="ITEM_PRICE_ONLY_DELIVERY_PAID_BY_MERCHANT"),$J531=""),"ERROR",IF(AND(OR($S531="ITEM_PRICE_PLUS_DECLARED_DELIVERY",$S531="DELIVERY_CHARGE_ONLY"),$K531=""),"ERROR",IF(AND(OR($S531="TOTAL_AMOUNT_INCLUDING_DELIVERY",$S531="EXACT_COLLECTION_AMOUNT"),$T531=""),"ERROR",IF(AND($S531="TOTAL_AMOUNT_INCLUDING_DELIVERY",$T531&lt;SUM($J531,$U531)),"ERROR",IF($S531="EXACT_COLLECTION_AMOUNT","REVIEW","OK")))))))))</f>
        <v/>
      </c>
      <c r="AV531" s="25">
        <f>IF($AU531="","",IF($H531="","Township required",IF($Q531="","Customer tier required",IF($M531="","Weight required",IF($S531="","Amount entry type required",IF(OR($J531&lt;0,$K531&lt;0,$M531&lt;0,$T531&lt;0,$U531&lt;0,$V531&lt;0,$W531&lt;0,$X531&lt;0,$Y531&lt;0),"Negative amounts are not allowed",IF($AE531="","Tariff not found for township and tier",IF(AND(OR($S531="ITEM_PRICE_PLUS_DECLARED_DELIVERY",$S531="TOTAL_AMOUNT_INCLUDING_DELIVERY",$S531="ITEM_PRICE_ONLY_DELIVERY_PAID_BY_MERCHANT"),$J531=""),"Item price required for this amount type",IF(AND(OR($S531="ITEM_PRICE_PLUS_DECLARED_DELIVERY",$S531="DELIVERY_CHARGE_ONLY"),$K531=""),"Declared delivery charge required",IF(AND(OR($S531="TOTAL_AMOUNT_INCLUDING_DELIVERY",$S531="EXACT_COLLECTION_AMOUNT"),$T531=""),"Stated total amount required",IF(AND($S531="TOTAL_AMOUNT_INCLUDING_DELIVERY",$T531&lt;SUM($J531,$U531)),"Stated total is below item price plus additional charge",IF($S531="EXACT_COLLECTION_AMOUNT","Authorized amount breakdown required before settlement","Ready for collection and settlement"))))))))))))</f>
        <v/>
      </c>
      <c r="AW531" s="23">
        <f>IF($AU531="","","PARCEL_FINANCIAL_V2")</f>
        <v/>
      </c>
      <c r="AX531" s="17" t="n"/>
    </row>
    <row r="532">
      <c r="A532" s="8" t="n"/>
      <c r="B532" s="8" t="n"/>
      <c r="C532" s="8" t="n"/>
      <c r="D532" s="8" t="n"/>
      <c r="E532" s="9" t="n"/>
      <c r="F532" s="9" t="n"/>
      <c r="G532" s="8" t="n"/>
      <c r="H532" s="9" t="n"/>
      <c r="I532" s="9" t="n"/>
      <c r="J532" s="10" t="n"/>
      <c r="K532" s="10" t="n"/>
      <c r="L532" s="11">
        <f>IF($S532="","",IF($S532="ITEM_PRICE_PLUS_DECLARED_DELIVERY",IF(OR($J532="",$K532=""),"",SUM($J532,$K532,$U532)),IF($S532="TOTAL_AMOUNT_INCLUDING_DELIVERY",IF($T532="","",$T532),IF($S532="DELIVERY_CHARGE_ONLY",IF($K532="","",SUM($K532,$U532)),IF($S532="EXACT_COLLECTION_AMOUNT",IF($T532="","",$T532),IF($S532="ITEM_PRICE_ONLY_DELIVERY_PAID_BY_MERCHANT",IF($J532="","",SUM($J532,$U532)),""))))))</f>
        <v/>
      </c>
      <c r="M532" s="12" t="n"/>
      <c r="N532" s="13" t="n"/>
      <c r="O532" s="13" t="n"/>
      <c r="P532" s="9" t="n"/>
      <c r="Q532" s="14" t="n"/>
      <c r="R532" s="15" t="n"/>
      <c r="S532" s="14" t="n"/>
      <c r="T532" s="16" t="n"/>
      <c r="U532" s="16" t="n"/>
      <c r="V532" s="16" t="n"/>
      <c r="W532" s="16" t="n"/>
      <c r="X532" s="16" t="n"/>
      <c r="Y532" s="16" t="n"/>
      <c r="Z532" s="14" t="n"/>
      <c r="AA532" s="14" t="n"/>
      <c r="AB532" s="14" t="n"/>
      <c r="AC532" s="17">
        <f>IFERROR(VLOOKUP($H532&amp;"|"&amp;$Q532,Tariff_Master!$A$2:$L$169,3,FALSE),"")</f>
        <v/>
      </c>
      <c r="AD532" s="17">
        <f>IFERROR(VLOOKUP($H532&amp;"|"&amp;$Q532,Tariff_Master!$A$2:$L$169,4,FALSE),"")</f>
        <v/>
      </c>
      <c r="AE532" s="18">
        <f>IFERROR(VLOOKUP($H532&amp;"|"&amp;$Q532,Tariff_Master!$A$2:$L$169,6,FALSE),"")</f>
        <v/>
      </c>
      <c r="AF532" s="19">
        <f>IFERROR(VLOOKUP($H532&amp;"|"&amp;$Q532,Tariff_Master!$A$2:$L$169,7,FALSE),"")</f>
        <v/>
      </c>
      <c r="AG532" s="18">
        <f>IFERROR(VLOOKUP($H532&amp;"|"&amp;$Q532,Tariff_Master!$A$2:$L$169,8,FALSE),"")</f>
        <v/>
      </c>
      <c r="AH532" s="20">
        <f>IFERROR(VLOOKUP($H532&amp;"|"&amp;$Q532,Tariff_Master!$A$2:$L$169,9,FALSE),"")</f>
        <v/>
      </c>
      <c r="AI532" s="18">
        <f>IFERROR(VLOOKUP($H532&amp;"|"&amp;$Q532,Tariff_Master!$A$2:$L$169,10,FALSE),"")</f>
        <v/>
      </c>
      <c r="AJ532" s="21">
        <f>IF($M532="","",ROUNDUP(MAX(0,$M532),0))</f>
        <v/>
      </c>
      <c r="AK532" s="21">
        <f>IF(OR($AJ532="",$AF532=""),"",MAX(0,$AJ532-$AF532))</f>
        <v/>
      </c>
      <c r="AL532" s="22">
        <f>IF(OR($AK532="",$AG532=""),"",MAX(0,$AK532*$AG532))</f>
        <v/>
      </c>
      <c r="AM532" s="22">
        <f>IF($AE532="","",MAX(0,SUM($AE532,$AL532,$V532,$W532)))</f>
        <v/>
      </c>
      <c r="AN532" s="22">
        <f>IF($AM532="","",IF(AND($Q532="COMMITMENT",$R532&gt;=$AH532),$AI532,0))</f>
        <v/>
      </c>
      <c r="AO532" s="23">
        <f>IF($AM532="","",MAX(0,$AM532-$AN532))</f>
        <v/>
      </c>
      <c r="AP532" s="22">
        <f>IF($S532="","",IF(OR($S532="ITEM_PRICE_PLUS_DECLARED_DELIVERY",$S532="DELIVERY_CHARGE_ONLY"),$K532,IF($S532="TOTAL_AMOUNT_INCLUDING_DELIVERY",IF(OR($T532="",$J532=""),"",MAX(0,$T532-$J532-$U532)),IF($S532="ITEM_PRICE_ONLY_DELIVERY_PAID_BY_MERCHANT",0,""))))</f>
        <v/>
      </c>
      <c r="AQ532" s="23">
        <f>IF(OR($AP532="",$AO532=""),"",$AP532-$AO532)</f>
        <v/>
      </c>
      <c r="AR532" s="24">
        <f>IF($S532="EXACT_COLLECTION_AMOUNT","BREAKDOWN_REQUIRED",IF($AQ532="","",IF($AQ532&gt;0,"CREDIT_TO_MERCHANT",IF($AQ532&lt;0,"DEDUCT_FROM_MERCHANT","NO_ADJUSTMENT"))))</f>
        <v/>
      </c>
      <c r="AS532" s="23">
        <f>IF(OR($AQ532="",$AR532="BREAKDOWN_REQUIRED"),"",$AQ532)</f>
        <v/>
      </c>
      <c r="AT532" s="23">
        <f>IF(OR($AR532="",$AR532="BREAKDOWN_REQUIRED"),"",SUM($J532,$AQ532,$Y532)-$X532)</f>
        <v/>
      </c>
      <c r="AU532" s="25">
        <f>IF(AND($A532="",$B532="",$F532="",$H532="",$J532="",$K532="",$M532="",$S532=""),"",IF(OR($H532="",$Q532="",$M532="",$S532=""),"ERROR",IF(OR($J532&lt;0,$K532&lt;0,$M532&lt;0,$T532&lt;0,$U532&lt;0,$V532&lt;0,$W532&lt;0,$X532&lt;0,$Y532&lt;0),"ERROR",IF($AE532="","ERROR",IF(AND(OR($S532="ITEM_PRICE_PLUS_DECLARED_DELIVERY",$S532="TOTAL_AMOUNT_INCLUDING_DELIVERY",$S532="ITEM_PRICE_ONLY_DELIVERY_PAID_BY_MERCHANT"),$J532=""),"ERROR",IF(AND(OR($S532="ITEM_PRICE_PLUS_DECLARED_DELIVERY",$S532="DELIVERY_CHARGE_ONLY"),$K532=""),"ERROR",IF(AND(OR($S532="TOTAL_AMOUNT_INCLUDING_DELIVERY",$S532="EXACT_COLLECTION_AMOUNT"),$T532=""),"ERROR",IF(AND($S532="TOTAL_AMOUNT_INCLUDING_DELIVERY",$T532&lt;SUM($J532,$U532)),"ERROR",IF($S532="EXACT_COLLECTION_AMOUNT","REVIEW","OK")))))))))</f>
        <v/>
      </c>
      <c r="AV532" s="25">
        <f>IF($AU532="","",IF($H532="","Township required",IF($Q532="","Customer tier required",IF($M532="","Weight required",IF($S532="","Amount entry type required",IF(OR($J532&lt;0,$K532&lt;0,$M532&lt;0,$T532&lt;0,$U532&lt;0,$V532&lt;0,$W532&lt;0,$X532&lt;0,$Y532&lt;0),"Negative amounts are not allowed",IF($AE532="","Tariff not found for township and tier",IF(AND(OR($S532="ITEM_PRICE_PLUS_DECLARED_DELIVERY",$S532="TOTAL_AMOUNT_INCLUDING_DELIVERY",$S532="ITEM_PRICE_ONLY_DELIVERY_PAID_BY_MERCHANT"),$J532=""),"Item price required for this amount type",IF(AND(OR($S532="ITEM_PRICE_PLUS_DECLARED_DELIVERY",$S532="DELIVERY_CHARGE_ONLY"),$K532=""),"Declared delivery charge required",IF(AND(OR($S532="TOTAL_AMOUNT_INCLUDING_DELIVERY",$S532="EXACT_COLLECTION_AMOUNT"),$T532=""),"Stated total amount required",IF(AND($S532="TOTAL_AMOUNT_INCLUDING_DELIVERY",$T532&lt;SUM($J532,$U532)),"Stated total is below item price plus additional charge",IF($S532="EXACT_COLLECTION_AMOUNT","Authorized amount breakdown required before settlement","Ready for collection and settlement"))))))))))))</f>
        <v/>
      </c>
      <c r="AW532" s="23">
        <f>IF($AU532="","","PARCEL_FINANCIAL_V2")</f>
        <v/>
      </c>
      <c r="AX532" s="17" t="n"/>
    </row>
    <row r="533">
      <c r="A533" s="8" t="n"/>
      <c r="B533" s="8" t="n"/>
      <c r="C533" s="8" t="n"/>
      <c r="D533" s="8" t="n"/>
      <c r="E533" s="9" t="n"/>
      <c r="F533" s="9" t="n"/>
      <c r="G533" s="8" t="n"/>
      <c r="H533" s="9" t="n"/>
      <c r="I533" s="9" t="n"/>
      <c r="J533" s="10" t="n"/>
      <c r="K533" s="10" t="n"/>
      <c r="L533" s="11">
        <f>IF($S533="","",IF($S533="ITEM_PRICE_PLUS_DECLARED_DELIVERY",IF(OR($J533="",$K533=""),"",SUM($J533,$K533,$U533)),IF($S533="TOTAL_AMOUNT_INCLUDING_DELIVERY",IF($T533="","",$T533),IF($S533="DELIVERY_CHARGE_ONLY",IF($K533="","",SUM($K533,$U533)),IF($S533="EXACT_COLLECTION_AMOUNT",IF($T533="","",$T533),IF($S533="ITEM_PRICE_ONLY_DELIVERY_PAID_BY_MERCHANT",IF($J533="","",SUM($J533,$U533)),""))))))</f>
        <v/>
      </c>
      <c r="M533" s="12" t="n"/>
      <c r="N533" s="13" t="n"/>
      <c r="O533" s="13" t="n"/>
      <c r="P533" s="9" t="n"/>
      <c r="Q533" s="14" t="n"/>
      <c r="R533" s="15" t="n"/>
      <c r="S533" s="14" t="n"/>
      <c r="T533" s="16" t="n"/>
      <c r="U533" s="16" t="n"/>
      <c r="V533" s="16" t="n"/>
      <c r="W533" s="16" t="n"/>
      <c r="X533" s="16" t="n"/>
      <c r="Y533" s="16" t="n"/>
      <c r="Z533" s="14" t="n"/>
      <c r="AA533" s="14" t="n"/>
      <c r="AB533" s="14" t="n"/>
      <c r="AC533" s="17">
        <f>IFERROR(VLOOKUP($H533&amp;"|"&amp;$Q533,Tariff_Master!$A$2:$L$169,3,FALSE),"")</f>
        <v/>
      </c>
      <c r="AD533" s="17">
        <f>IFERROR(VLOOKUP($H533&amp;"|"&amp;$Q533,Tariff_Master!$A$2:$L$169,4,FALSE),"")</f>
        <v/>
      </c>
      <c r="AE533" s="18">
        <f>IFERROR(VLOOKUP($H533&amp;"|"&amp;$Q533,Tariff_Master!$A$2:$L$169,6,FALSE),"")</f>
        <v/>
      </c>
      <c r="AF533" s="19">
        <f>IFERROR(VLOOKUP($H533&amp;"|"&amp;$Q533,Tariff_Master!$A$2:$L$169,7,FALSE),"")</f>
        <v/>
      </c>
      <c r="AG533" s="18">
        <f>IFERROR(VLOOKUP($H533&amp;"|"&amp;$Q533,Tariff_Master!$A$2:$L$169,8,FALSE),"")</f>
        <v/>
      </c>
      <c r="AH533" s="20">
        <f>IFERROR(VLOOKUP($H533&amp;"|"&amp;$Q533,Tariff_Master!$A$2:$L$169,9,FALSE),"")</f>
        <v/>
      </c>
      <c r="AI533" s="18">
        <f>IFERROR(VLOOKUP($H533&amp;"|"&amp;$Q533,Tariff_Master!$A$2:$L$169,10,FALSE),"")</f>
        <v/>
      </c>
      <c r="AJ533" s="21">
        <f>IF($M533="","",ROUNDUP(MAX(0,$M533),0))</f>
        <v/>
      </c>
      <c r="AK533" s="21">
        <f>IF(OR($AJ533="",$AF533=""),"",MAX(0,$AJ533-$AF533))</f>
        <v/>
      </c>
      <c r="AL533" s="22">
        <f>IF(OR($AK533="",$AG533=""),"",MAX(0,$AK533*$AG533))</f>
        <v/>
      </c>
      <c r="AM533" s="22">
        <f>IF($AE533="","",MAX(0,SUM($AE533,$AL533,$V533,$W533)))</f>
        <v/>
      </c>
      <c r="AN533" s="22">
        <f>IF($AM533="","",IF(AND($Q533="COMMITMENT",$R533&gt;=$AH533),$AI533,0))</f>
        <v/>
      </c>
      <c r="AO533" s="23">
        <f>IF($AM533="","",MAX(0,$AM533-$AN533))</f>
        <v/>
      </c>
      <c r="AP533" s="22">
        <f>IF($S533="","",IF(OR($S533="ITEM_PRICE_PLUS_DECLARED_DELIVERY",$S533="DELIVERY_CHARGE_ONLY"),$K533,IF($S533="TOTAL_AMOUNT_INCLUDING_DELIVERY",IF(OR($T533="",$J533=""),"",MAX(0,$T533-$J533-$U533)),IF($S533="ITEM_PRICE_ONLY_DELIVERY_PAID_BY_MERCHANT",0,""))))</f>
        <v/>
      </c>
      <c r="AQ533" s="23">
        <f>IF(OR($AP533="",$AO533=""),"",$AP533-$AO533)</f>
        <v/>
      </c>
      <c r="AR533" s="24">
        <f>IF($S533="EXACT_COLLECTION_AMOUNT","BREAKDOWN_REQUIRED",IF($AQ533="","",IF($AQ533&gt;0,"CREDIT_TO_MERCHANT",IF($AQ533&lt;0,"DEDUCT_FROM_MERCHANT","NO_ADJUSTMENT"))))</f>
        <v/>
      </c>
      <c r="AS533" s="23">
        <f>IF(OR($AQ533="",$AR533="BREAKDOWN_REQUIRED"),"",$AQ533)</f>
        <v/>
      </c>
      <c r="AT533" s="23">
        <f>IF(OR($AR533="",$AR533="BREAKDOWN_REQUIRED"),"",SUM($J533,$AQ533,$Y533)-$X533)</f>
        <v/>
      </c>
      <c r="AU533" s="25">
        <f>IF(AND($A533="",$B533="",$F533="",$H533="",$J533="",$K533="",$M533="",$S533=""),"",IF(OR($H533="",$Q533="",$M533="",$S533=""),"ERROR",IF(OR($J533&lt;0,$K533&lt;0,$M533&lt;0,$T533&lt;0,$U533&lt;0,$V533&lt;0,$W533&lt;0,$X533&lt;0,$Y533&lt;0),"ERROR",IF($AE533="","ERROR",IF(AND(OR($S533="ITEM_PRICE_PLUS_DECLARED_DELIVERY",$S533="TOTAL_AMOUNT_INCLUDING_DELIVERY",$S533="ITEM_PRICE_ONLY_DELIVERY_PAID_BY_MERCHANT"),$J533=""),"ERROR",IF(AND(OR($S533="ITEM_PRICE_PLUS_DECLARED_DELIVERY",$S533="DELIVERY_CHARGE_ONLY"),$K533=""),"ERROR",IF(AND(OR($S533="TOTAL_AMOUNT_INCLUDING_DELIVERY",$S533="EXACT_COLLECTION_AMOUNT"),$T533=""),"ERROR",IF(AND($S533="TOTAL_AMOUNT_INCLUDING_DELIVERY",$T533&lt;SUM($J533,$U533)),"ERROR",IF($S533="EXACT_COLLECTION_AMOUNT","REVIEW","OK")))))))))</f>
        <v/>
      </c>
      <c r="AV533" s="25">
        <f>IF($AU533="","",IF($H533="","Township required",IF($Q533="","Customer tier required",IF($M533="","Weight required",IF($S533="","Amount entry type required",IF(OR($J533&lt;0,$K533&lt;0,$M533&lt;0,$T533&lt;0,$U533&lt;0,$V533&lt;0,$W533&lt;0,$X533&lt;0,$Y533&lt;0),"Negative amounts are not allowed",IF($AE533="","Tariff not found for township and tier",IF(AND(OR($S533="ITEM_PRICE_PLUS_DECLARED_DELIVERY",$S533="TOTAL_AMOUNT_INCLUDING_DELIVERY",$S533="ITEM_PRICE_ONLY_DELIVERY_PAID_BY_MERCHANT"),$J533=""),"Item price required for this amount type",IF(AND(OR($S533="ITEM_PRICE_PLUS_DECLARED_DELIVERY",$S533="DELIVERY_CHARGE_ONLY"),$K533=""),"Declared delivery charge required",IF(AND(OR($S533="TOTAL_AMOUNT_INCLUDING_DELIVERY",$S533="EXACT_COLLECTION_AMOUNT"),$T533=""),"Stated total amount required",IF(AND($S533="TOTAL_AMOUNT_INCLUDING_DELIVERY",$T533&lt;SUM($J533,$U533)),"Stated total is below item price plus additional charge",IF($S533="EXACT_COLLECTION_AMOUNT","Authorized amount breakdown required before settlement","Ready for collection and settlement"))))))))))))</f>
        <v/>
      </c>
      <c r="AW533" s="23">
        <f>IF($AU533="","","PARCEL_FINANCIAL_V2")</f>
        <v/>
      </c>
      <c r="AX533" s="17" t="n"/>
    </row>
    <row r="534">
      <c r="A534" s="8" t="n"/>
      <c r="B534" s="8" t="n"/>
      <c r="C534" s="8" t="n"/>
      <c r="D534" s="8" t="n"/>
      <c r="E534" s="9" t="n"/>
      <c r="F534" s="9" t="n"/>
      <c r="G534" s="8" t="n"/>
      <c r="H534" s="9" t="n"/>
      <c r="I534" s="9" t="n"/>
      <c r="J534" s="10" t="n"/>
      <c r="K534" s="10" t="n"/>
      <c r="L534" s="11">
        <f>IF($S534="","",IF($S534="ITEM_PRICE_PLUS_DECLARED_DELIVERY",IF(OR($J534="",$K534=""),"",SUM($J534,$K534,$U534)),IF($S534="TOTAL_AMOUNT_INCLUDING_DELIVERY",IF($T534="","",$T534),IF($S534="DELIVERY_CHARGE_ONLY",IF($K534="","",SUM($K534,$U534)),IF($S534="EXACT_COLLECTION_AMOUNT",IF($T534="","",$T534),IF($S534="ITEM_PRICE_ONLY_DELIVERY_PAID_BY_MERCHANT",IF($J534="","",SUM($J534,$U534)),""))))))</f>
        <v/>
      </c>
      <c r="M534" s="12" t="n"/>
      <c r="N534" s="13" t="n"/>
      <c r="O534" s="13" t="n"/>
      <c r="P534" s="9" t="n"/>
      <c r="Q534" s="14" t="n"/>
      <c r="R534" s="15" t="n"/>
      <c r="S534" s="14" t="n"/>
      <c r="T534" s="16" t="n"/>
      <c r="U534" s="16" t="n"/>
      <c r="V534" s="16" t="n"/>
      <c r="W534" s="16" t="n"/>
      <c r="X534" s="16" t="n"/>
      <c r="Y534" s="16" t="n"/>
      <c r="Z534" s="14" t="n"/>
      <c r="AA534" s="14" t="n"/>
      <c r="AB534" s="14" t="n"/>
      <c r="AC534" s="17">
        <f>IFERROR(VLOOKUP($H534&amp;"|"&amp;$Q534,Tariff_Master!$A$2:$L$169,3,FALSE),"")</f>
        <v/>
      </c>
      <c r="AD534" s="17">
        <f>IFERROR(VLOOKUP($H534&amp;"|"&amp;$Q534,Tariff_Master!$A$2:$L$169,4,FALSE),"")</f>
        <v/>
      </c>
      <c r="AE534" s="18">
        <f>IFERROR(VLOOKUP($H534&amp;"|"&amp;$Q534,Tariff_Master!$A$2:$L$169,6,FALSE),"")</f>
        <v/>
      </c>
      <c r="AF534" s="19">
        <f>IFERROR(VLOOKUP($H534&amp;"|"&amp;$Q534,Tariff_Master!$A$2:$L$169,7,FALSE),"")</f>
        <v/>
      </c>
      <c r="AG534" s="18">
        <f>IFERROR(VLOOKUP($H534&amp;"|"&amp;$Q534,Tariff_Master!$A$2:$L$169,8,FALSE),"")</f>
        <v/>
      </c>
      <c r="AH534" s="20">
        <f>IFERROR(VLOOKUP($H534&amp;"|"&amp;$Q534,Tariff_Master!$A$2:$L$169,9,FALSE),"")</f>
        <v/>
      </c>
      <c r="AI534" s="18">
        <f>IFERROR(VLOOKUP($H534&amp;"|"&amp;$Q534,Tariff_Master!$A$2:$L$169,10,FALSE),"")</f>
        <v/>
      </c>
      <c r="AJ534" s="21">
        <f>IF($M534="","",ROUNDUP(MAX(0,$M534),0))</f>
        <v/>
      </c>
      <c r="AK534" s="21">
        <f>IF(OR($AJ534="",$AF534=""),"",MAX(0,$AJ534-$AF534))</f>
        <v/>
      </c>
      <c r="AL534" s="22">
        <f>IF(OR($AK534="",$AG534=""),"",MAX(0,$AK534*$AG534))</f>
        <v/>
      </c>
      <c r="AM534" s="22">
        <f>IF($AE534="","",MAX(0,SUM($AE534,$AL534,$V534,$W534)))</f>
        <v/>
      </c>
      <c r="AN534" s="22">
        <f>IF($AM534="","",IF(AND($Q534="COMMITMENT",$R534&gt;=$AH534),$AI534,0))</f>
        <v/>
      </c>
      <c r="AO534" s="23">
        <f>IF($AM534="","",MAX(0,$AM534-$AN534))</f>
        <v/>
      </c>
      <c r="AP534" s="22">
        <f>IF($S534="","",IF(OR($S534="ITEM_PRICE_PLUS_DECLARED_DELIVERY",$S534="DELIVERY_CHARGE_ONLY"),$K534,IF($S534="TOTAL_AMOUNT_INCLUDING_DELIVERY",IF(OR($T534="",$J534=""),"",MAX(0,$T534-$J534-$U534)),IF($S534="ITEM_PRICE_ONLY_DELIVERY_PAID_BY_MERCHANT",0,""))))</f>
        <v/>
      </c>
      <c r="AQ534" s="23">
        <f>IF(OR($AP534="",$AO534=""),"",$AP534-$AO534)</f>
        <v/>
      </c>
      <c r="AR534" s="24">
        <f>IF($S534="EXACT_COLLECTION_AMOUNT","BREAKDOWN_REQUIRED",IF($AQ534="","",IF($AQ534&gt;0,"CREDIT_TO_MERCHANT",IF($AQ534&lt;0,"DEDUCT_FROM_MERCHANT","NO_ADJUSTMENT"))))</f>
        <v/>
      </c>
      <c r="AS534" s="23">
        <f>IF(OR($AQ534="",$AR534="BREAKDOWN_REQUIRED"),"",$AQ534)</f>
        <v/>
      </c>
      <c r="AT534" s="23">
        <f>IF(OR($AR534="",$AR534="BREAKDOWN_REQUIRED"),"",SUM($J534,$AQ534,$Y534)-$X534)</f>
        <v/>
      </c>
      <c r="AU534" s="25">
        <f>IF(AND($A534="",$B534="",$F534="",$H534="",$J534="",$K534="",$M534="",$S534=""),"",IF(OR($H534="",$Q534="",$M534="",$S534=""),"ERROR",IF(OR($J534&lt;0,$K534&lt;0,$M534&lt;0,$T534&lt;0,$U534&lt;0,$V534&lt;0,$W534&lt;0,$X534&lt;0,$Y534&lt;0),"ERROR",IF($AE534="","ERROR",IF(AND(OR($S534="ITEM_PRICE_PLUS_DECLARED_DELIVERY",$S534="TOTAL_AMOUNT_INCLUDING_DELIVERY",$S534="ITEM_PRICE_ONLY_DELIVERY_PAID_BY_MERCHANT"),$J534=""),"ERROR",IF(AND(OR($S534="ITEM_PRICE_PLUS_DECLARED_DELIVERY",$S534="DELIVERY_CHARGE_ONLY"),$K534=""),"ERROR",IF(AND(OR($S534="TOTAL_AMOUNT_INCLUDING_DELIVERY",$S534="EXACT_COLLECTION_AMOUNT"),$T534=""),"ERROR",IF(AND($S534="TOTAL_AMOUNT_INCLUDING_DELIVERY",$T534&lt;SUM($J534,$U534)),"ERROR",IF($S534="EXACT_COLLECTION_AMOUNT","REVIEW","OK")))))))))</f>
        <v/>
      </c>
      <c r="AV534" s="25">
        <f>IF($AU534="","",IF($H534="","Township required",IF($Q534="","Customer tier required",IF($M534="","Weight required",IF($S534="","Amount entry type required",IF(OR($J534&lt;0,$K534&lt;0,$M534&lt;0,$T534&lt;0,$U534&lt;0,$V534&lt;0,$W534&lt;0,$X534&lt;0,$Y534&lt;0),"Negative amounts are not allowed",IF($AE534="","Tariff not found for township and tier",IF(AND(OR($S534="ITEM_PRICE_PLUS_DECLARED_DELIVERY",$S534="TOTAL_AMOUNT_INCLUDING_DELIVERY",$S534="ITEM_PRICE_ONLY_DELIVERY_PAID_BY_MERCHANT"),$J534=""),"Item price required for this amount type",IF(AND(OR($S534="ITEM_PRICE_PLUS_DECLARED_DELIVERY",$S534="DELIVERY_CHARGE_ONLY"),$K534=""),"Declared delivery charge required",IF(AND(OR($S534="TOTAL_AMOUNT_INCLUDING_DELIVERY",$S534="EXACT_COLLECTION_AMOUNT"),$T534=""),"Stated total amount required",IF(AND($S534="TOTAL_AMOUNT_INCLUDING_DELIVERY",$T534&lt;SUM($J534,$U534)),"Stated total is below item price plus additional charge",IF($S534="EXACT_COLLECTION_AMOUNT","Authorized amount breakdown required before settlement","Ready for collection and settlement"))))))))))))</f>
        <v/>
      </c>
      <c r="AW534" s="23">
        <f>IF($AU534="","","PARCEL_FINANCIAL_V2")</f>
        <v/>
      </c>
      <c r="AX534" s="17" t="n"/>
    </row>
    <row r="535">
      <c r="A535" s="8" t="n"/>
      <c r="B535" s="8" t="n"/>
      <c r="C535" s="8" t="n"/>
      <c r="D535" s="8" t="n"/>
      <c r="E535" s="9" t="n"/>
      <c r="F535" s="9" t="n"/>
      <c r="G535" s="8" t="n"/>
      <c r="H535" s="9" t="n"/>
      <c r="I535" s="9" t="n"/>
      <c r="J535" s="10" t="n"/>
      <c r="K535" s="10" t="n"/>
      <c r="L535" s="11">
        <f>IF($S535="","",IF($S535="ITEM_PRICE_PLUS_DECLARED_DELIVERY",IF(OR($J535="",$K535=""),"",SUM($J535,$K535,$U535)),IF($S535="TOTAL_AMOUNT_INCLUDING_DELIVERY",IF($T535="","",$T535),IF($S535="DELIVERY_CHARGE_ONLY",IF($K535="","",SUM($K535,$U535)),IF($S535="EXACT_COLLECTION_AMOUNT",IF($T535="","",$T535),IF($S535="ITEM_PRICE_ONLY_DELIVERY_PAID_BY_MERCHANT",IF($J535="","",SUM($J535,$U535)),""))))))</f>
        <v/>
      </c>
      <c r="M535" s="12" t="n"/>
      <c r="N535" s="13" t="n"/>
      <c r="O535" s="13" t="n"/>
      <c r="P535" s="9" t="n"/>
      <c r="Q535" s="14" t="n"/>
      <c r="R535" s="15" t="n"/>
      <c r="S535" s="14" t="n"/>
      <c r="T535" s="16" t="n"/>
      <c r="U535" s="16" t="n"/>
      <c r="V535" s="16" t="n"/>
      <c r="W535" s="16" t="n"/>
      <c r="X535" s="16" t="n"/>
      <c r="Y535" s="16" t="n"/>
      <c r="Z535" s="14" t="n"/>
      <c r="AA535" s="14" t="n"/>
      <c r="AB535" s="14" t="n"/>
      <c r="AC535" s="17">
        <f>IFERROR(VLOOKUP($H535&amp;"|"&amp;$Q535,Tariff_Master!$A$2:$L$169,3,FALSE),"")</f>
        <v/>
      </c>
      <c r="AD535" s="17">
        <f>IFERROR(VLOOKUP($H535&amp;"|"&amp;$Q535,Tariff_Master!$A$2:$L$169,4,FALSE),"")</f>
        <v/>
      </c>
      <c r="AE535" s="18">
        <f>IFERROR(VLOOKUP($H535&amp;"|"&amp;$Q535,Tariff_Master!$A$2:$L$169,6,FALSE),"")</f>
        <v/>
      </c>
      <c r="AF535" s="19">
        <f>IFERROR(VLOOKUP($H535&amp;"|"&amp;$Q535,Tariff_Master!$A$2:$L$169,7,FALSE),"")</f>
        <v/>
      </c>
      <c r="AG535" s="18">
        <f>IFERROR(VLOOKUP($H535&amp;"|"&amp;$Q535,Tariff_Master!$A$2:$L$169,8,FALSE),"")</f>
        <v/>
      </c>
      <c r="AH535" s="20">
        <f>IFERROR(VLOOKUP($H535&amp;"|"&amp;$Q535,Tariff_Master!$A$2:$L$169,9,FALSE),"")</f>
        <v/>
      </c>
      <c r="AI535" s="18">
        <f>IFERROR(VLOOKUP($H535&amp;"|"&amp;$Q535,Tariff_Master!$A$2:$L$169,10,FALSE),"")</f>
        <v/>
      </c>
      <c r="AJ535" s="21">
        <f>IF($M535="","",ROUNDUP(MAX(0,$M535),0))</f>
        <v/>
      </c>
      <c r="AK535" s="21">
        <f>IF(OR($AJ535="",$AF535=""),"",MAX(0,$AJ535-$AF535))</f>
        <v/>
      </c>
      <c r="AL535" s="22">
        <f>IF(OR($AK535="",$AG535=""),"",MAX(0,$AK535*$AG535))</f>
        <v/>
      </c>
      <c r="AM535" s="22">
        <f>IF($AE535="","",MAX(0,SUM($AE535,$AL535,$V535,$W535)))</f>
        <v/>
      </c>
      <c r="AN535" s="22">
        <f>IF($AM535="","",IF(AND($Q535="COMMITMENT",$R535&gt;=$AH535),$AI535,0))</f>
        <v/>
      </c>
      <c r="AO535" s="23">
        <f>IF($AM535="","",MAX(0,$AM535-$AN535))</f>
        <v/>
      </c>
      <c r="AP535" s="22">
        <f>IF($S535="","",IF(OR($S535="ITEM_PRICE_PLUS_DECLARED_DELIVERY",$S535="DELIVERY_CHARGE_ONLY"),$K535,IF($S535="TOTAL_AMOUNT_INCLUDING_DELIVERY",IF(OR($T535="",$J535=""),"",MAX(0,$T535-$J535-$U535)),IF($S535="ITEM_PRICE_ONLY_DELIVERY_PAID_BY_MERCHANT",0,""))))</f>
        <v/>
      </c>
      <c r="AQ535" s="23">
        <f>IF(OR($AP535="",$AO535=""),"",$AP535-$AO535)</f>
        <v/>
      </c>
      <c r="AR535" s="24">
        <f>IF($S535="EXACT_COLLECTION_AMOUNT","BREAKDOWN_REQUIRED",IF($AQ535="","",IF($AQ535&gt;0,"CREDIT_TO_MERCHANT",IF($AQ535&lt;0,"DEDUCT_FROM_MERCHANT","NO_ADJUSTMENT"))))</f>
        <v/>
      </c>
      <c r="AS535" s="23">
        <f>IF(OR($AQ535="",$AR535="BREAKDOWN_REQUIRED"),"",$AQ535)</f>
        <v/>
      </c>
      <c r="AT535" s="23">
        <f>IF(OR($AR535="",$AR535="BREAKDOWN_REQUIRED"),"",SUM($J535,$AQ535,$Y535)-$X535)</f>
        <v/>
      </c>
      <c r="AU535" s="25">
        <f>IF(AND($A535="",$B535="",$F535="",$H535="",$J535="",$K535="",$M535="",$S535=""),"",IF(OR($H535="",$Q535="",$M535="",$S535=""),"ERROR",IF(OR($J535&lt;0,$K535&lt;0,$M535&lt;0,$T535&lt;0,$U535&lt;0,$V535&lt;0,$W535&lt;0,$X535&lt;0,$Y535&lt;0),"ERROR",IF($AE535="","ERROR",IF(AND(OR($S535="ITEM_PRICE_PLUS_DECLARED_DELIVERY",$S535="TOTAL_AMOUNT_INCLUDING_DELIVERY",$S535="ITEM_PRICE_ONLY_DELIVERY_PAID_BY_MERCHANT"),$J535=""),"ERROR",IF(AND(OR($S535="ITEM_PRICE_PLUS_DECLARED_DELIVERY",$S535="DELIVERY_CHARGE_ONLY"),$K535=""),"ERROR",IF(AND(OR($S535="TOTAL_AMOUNT_INCLUDING_DELIVERY",$S535="EXACT_COLLECTION_AMOUNT"),$T535=""),"ERROR",IF(AND($S535="TOTAL_AMOUNT_INCLUDING_DELIVERY",$T535&lt;SUM($J535,$U535)),"ERROR",IF($S535="EXACT_COLLECTION_AMOUNT","REVIEW","OK")))))))))</f>
        <v/>
      </c>
      <c r="AV535" s="25">
        <f>IF($AU535="","",IF($H535="","Township required",IF($Q535="","Customer tier required",IF($M535="","Weight required",IF($S535="","Amount entry type required",IF(OR($J535&lt;0,$K535&lt;0,$M535&lt;0,$T535&lt;0,$U535&lt;0,$V535&lt;0,$W535&lt;0,$X535&lt;0,$Y535&lt;0),"Negative amounts are not allowed",IF($AE535="","Tariff not found for township and tier",IF(AND(OR($S535="ITEM_PRICE_PLUS_DECLARED_DELIVERY",$S535="TOTAL_AMOUNT_INCLUDING_DELIVERY",$S535="ITEM_PRICE_ONLY_DELIVERY_PAID_BY_MERCHANT"),$J535=""),"Item price required for this amount type",IF(AND(OR($S535="ITEM_PRICE_PLUS_DECLARED_DELIVERY",$S535="DELIVERY_CHARGE_ONLY"),$K535=""),"Declared delivery charge required",IF(AND(OR($S535="TOTAL_AMOUNT_INCLUDING_DELIVERY",$S535="EXACT_COLLECTION_AMOUNT"),$T535=""),"Stated total amount required",IF(AND($S535="TOTAL_AMOUNT_INCLUDING_DELIVERY",$T535&lt;SUM($J535,$U535)),"Stated total is below item price plus additional charge",IF($S535="EXACT_COLLECTION_AMOUNT","Authorized amount breakdown required before settlement","Ready for collection and settlement"))))))))))))</f>
        <v/>
      </c>
      <c r="AW535" s="23">
        <f>IF($AU535="","","PARCEL_FINANCIAL_V2")</f>
        <v/>
      </c>
      <c r="AX535" s="17" t="n"/>
    </row>
    <row r="536">
      <c r="A536" s="8" t="n"/>
      <c r="B536" s="8" t="n"/>
      <c r="C536" s="8" t="n"/>
      <c r="D536" s="8" t="n"/>
      <c r="E536" s="9" t="n"/>
      <c r="F536" s="9" t="n"/>
      <c r="G536" s="8" t="n"/>
      <c r="H536" s="9" t="n"/>
      <c r="I536" s="9" t="n"/>
      <c r="J536" s="10" t="n"/>
      <c r="K536" s="10" t="n"/>
      <c r="L536" s="11">
        <f>IF($S536="","",IF($S536="ITEM_PRICE_PLUS_DECLARED_DELIVERY",IF(OR($J536="",$K536=""),"",SUM($J536,$K536,$U536)),IF($S536="TOTAL_AMOUNT_INCLUDING_DELIVERY",IF($T536="","",$T536),IF($S536="DELIVERY_CHARGE_ONLY",IF($K536="","",SUM($K536,$U536)),IF($S536="EXACT_COLLECTION_AMOUNT",IF($T536="","",$T536),IF($S536="ITEM_PRICE_ONLY_DELIVERY_PAID_BY_MERCHANT",IF($J536="","",SUM($J536,$U536)),""))))))</f>
        <v/>
      </c>
      <c r="M536" s="12" t="n"/>
      <c r="N536" s="13" t="n"/>
      <c r="O536" s="13" t="n"/>
      <c r="P536" s="9" t="n"/>
      <c r="Q536" s="14" t="n"/>
      <c r="R536" s="15" t="n"/>
      <c r="S536" s="14" t="n"/>
      <c r="T536" s="16" t="n"/>
      <c r="U536" s="16" t="n"/>
      <c r="V536" s="16" t="n"/>
      <c r="W536" s="16" t="n"/>
      <c r="X536" s="16" t="n"/>
      <c r="Y536" s="16" t="n"/>
      <c r="Z536" s="14" t="n"/>
      <c r="AA536" s="14" t="n"/>
      <c r="AB536" s="14" t="n"/>
      <c r="AC536" s="17">
        <f>IFERROR(VLOOKUP($H536&amp;"|"&amp;$Q536,Tariff_Master!$A$2:$L$169,3,FALSE),"")</f>
        <v/>
      </c>
      <c r="AD536" s="17">
        <f>IFERROR(VLOOKUP($H536&amp;"|"&amp;$Q536,Tariff_Master!$A$2:$L$169,4,FALSE),"")</f>
        <v/>
      </c>
      <c r="AE536" s="18">
        <f>IFERROR(VLOOKUP($H536&amp;"|"&amp;$Q536,Tariff_Master!$A$2:$L$169,6,FALSE),"")</f>
        <v/>
      </c>
      <c r="AF536" s="19">
        <f>IFERROR(VLOOKUP($H536&amp;"|"&amp;$Q536,Tariff_Master!$A$2:$L$169,7,FALSE),"")</f>
        <v/>
      </c>
      <c r="AG536" s="18">
        <f>IFERROR(VLOOKUP($H536&amp;"|"&amp;$Q536,Tariff_Master!$A$2:$L$169,8,FALSE),"")</f>
        <v/>
      </c>
      <c r="AH536" s="20">
        <f>IFERROR(VLOOKUP($H536&amp;"|"&amp;$Q536,Tariff_Master!$A$2:$L$169,9,FALSE),"")</f>
        <v/>
      </c>
      <c r="AI536" s="18">
        <f>IFERROR(VLOOKUP($H536&amp;"|"&amp;$Q536,Tariff_Master!$A$2:$L$169,10,FALSE),"")</f>
        <v/>
      </c>
      <c r="AJ536" s="21">
        <f>IF($M536="","",ROUNDUP(MAX(0,$M536),0))</f>
        <v/>
      </c>
      <c r="AK536" s="21">
        <f>IF(OR($AJ536="",$AF536=""),"",MAX(0,$AJ536-$AF536))</f>
        <v/>
      </c>
      <c r="AL536" s="22">
        <f>IF(OR($AK536="",$AG536=""),"",MAX(0,$AK536*$AG536))</f>
        <v/>
      </c>
      <c r="AM536" s="22">
        <f>IF($AE536="","",MAX(0,SUM($AE536,$AL536,$V536,$W536)))</f>
        <v/>
      </c>
      <c r="AN536" s="22">
        <f>IF($AM536="","",IF(AND($Q536="COMMITMENT",$R536&gt;=$AH536),$AI536,0))</f>
        <v/>
      </c>
      <c r="AO536" s="23">
        <f>IF($AM536="","",MAX(0,$AM536-$AN536))</f>
        <v/>
      </c>
      <c r="AP536" s="22">
        <f>IF($S536="","",IF(OR($S536="ITEM_PRICE_PLUS_DECLARED_DELIVERY",$S536="DELIVERY_CHARGE_ONLY"),$K536,IF($S536="TOTAL_AMOUNT_INCLUDING_DELIVERY",IF(OR($T536="",$J536=""),"",MAX(0,$T536-$J536-$U536)),IF($S536="ITEM_PRICE_ONLY_DELIVERY_PAID_BY_MERCHANT",0,""))))</f>
        <v/>
      </c>
      <c r="AQ536" s="23">
        <f>IF(OR($AP536="",$AO536=""),"",$AP536-$AO536)</f>
        <v/>
      </c>
      <c r="AR536" s="24">
        <f>IF($S536="EXACT_COLLECTION_AMOUNT","BREAKDOWN_REQUIRED",IF($AQ536="","",IF($AQ536&gt;0,"CREDIT_TO_MERCHANT",IF($AQ536&lt;0,"DEDUCT_FROM_MERCHANT","NO_ADJUSTMENT"))))</f>
        <v/>
      </c>
      <c r="AS536" s="23">
        <f>IF(OR($AQ536="",$AR536="BREAKDOWN_REQUIRED"),"",$AQ536)</f>
        <v/>
      </c>
      <c r="AT536" s="23">
        <f>IF(OR($AR536="",$AR536="BREAKDOWN_REQUIRED"),"",SUM($J536,$AQ536,$Y536)-$X536)</f>
        <v/>
      </c>
      <c r="AU536" s="25">
        <f>IF(AND($A536="",$B536="",$F536="",$H536="",$J536="",$K536="",$M536="",$S536=""),"",IF(OR($H536="",$Q536="",$M536="",$S536=""),"ERROR",IF(OR($J536&lt;0,$K536&lt;0,$M536&lt;0,$T536&lt;0,$U536&lt;0,$V536&lt;0,$W536&lt;0,$X536&lt;0,$Y536&lt;0),"ERROR",IF($AE536="","ERROR",IF(AND(OR($S536="ITEM_PRICE_PLUS_DECLARED_DELIVERY",$S536="TOTAL_AMOUNT_INCLUDING_DELIVERY",$S536="ITEM_PRICE_ONLY_DELIVERY_PAID_BY_MERCHANT"),$J536=""),"ERROR",IF(AND(OR($S536="ITEM_PRICE_PLUS_DECLARED_DELIVERY",$S536="DELIVERY_CHARGE_ONLY"),$K536=""),"ERROR",IF(AND(OR($S536="TOTAL_AMOUNT_INCLUDING_DELIVERY",$S536="EXACT_COLLECTION_AMOUNT"),$T536=""),"ERROR",IF(AND($S536="TOTAL_AMOUNT_INCLUDING_DELIVERY",$T536&lt;SUM($J536,$U536)),"ERROR",IF($S536="EXACT_COLLECTION_AMOUNT","REVIEW","OK")))))))))</f>
        <v/>
      </c>
      <c r="AV536" s="25">
        <f>IF($AU536="","",IF($H536="","Township required",IF($Q536="","Customer tier required",IF($M536="","Weight required",IF($S536="","Amount entry type required",IF(OR($J536&lt;0,$K536&lt;0,$M536&lt;0,$T536&lt;0,$U536&lt;0,$V536&lt;0,$W536&lt;0,$X536&lt;0,$Y536&lt;0),"Negative amounts are not allowed",IF($AE536="","Tariff not found for township and tier",IF(AND(OR($S536="ITEM_PRICE_PLUS_DECLARED_DELIVERY",$S536="TOTAL_AMOUNT_INCLUDING_DELIVERY",$S536="ITEM_PRICE_ONLY_DELIVERY_PAID_BY_MERCHANT"),$J536=""),"Item price required for this amount type",IF(AND(OR($S536="ITEM_PRICE_PLUS_DECLARED_DELIVERY",$S536="DELIVERY_CHARGE_ONLY"),$K536=""),"Declared delivery charge required",IF(AND(OR($S536="TOTAL_AMOUNT_INCLUDING_DELIVERY",$S536="EXACT_COLLECTION_AMOUNT"),$T536=""),"Stated total amount required",IF(AND($S536="TOTAL_AMOUNT_INCLUDING_DELIVERY",$T536&lt;SUM($J536,$U536)),"Stated total is below item price plus additional charge",IF($S536="EXACT_COLLECTION_AMOUNT","Authorized amount breakdown required before settlement","Ready for collection and settlement"))))))))))))</f>
        <v/>
      </c>
      <c r="AW536" s="23">
        <f>IF($AU536="","","PARCEL_FINANCIAL_V2")</f>
        <v/>
      </c>
      <c r="AX536" s="17" t="n"/>
    </row>
    <row r="537">
      <c r="A537" s="8" t="n"/>
      <c r="B537" s="8" t="n"/>
      <c r="C537" s="8" t="n"/>
      <c r="D537" s="8" t="n"/>
      <c r="E537" s="9" t="n"/>
      <c r="F537" s="9" t="n"/>
      <c r="G537" s="8" t="n"/>
      <c r="H537" s="9" t="n"/>
      <c r="I537" s="9" t="n"/>
      <c r="J537" s="10" t="n"/>
      <c r="K537" s="10" t="n"/>
      <c r="L537" s="11">
        <f>IF($S537="","",IF($S537="ITEM_PRICE_PLUS_DECLARED_DELIVERY",IF(OR($J537="",$K537=""),"",SUM($J537,$K537,$U537)),IF($S537="TOTAL_AMOUNT_INCLUDING_DELIVERY",IF($T537="","",$T537),IF($S537="DELIVERY_CHARGE_ONLY",IF($K537="","",SUM($K537,$U537)),IF($S537="EXACT_COLLECTION_AMOUNT",IF($T537="","",$T537),IF($S537="ITEM_PRICE_ONLY_DELIVERY_PAID_BY_MERCHANT",IF($J537="","",SUM($J537,$U537)),""))))))</f>
        <v/>
      </c>
      <c r="M537" s="12" t="n"/>
      <c r="N537" s="13" t="n"/>
      <c r="O537" s="13" t="n"/>
      <c r="P537" s="9" t="n"/>
      <c r="Q537" s="14" t="n"/>
      <c r="R537" s="15" t="n"/>
      <c r="S537" s="14" t="n"/>
      <c r="T537" s="16" t="n"/>
      <c r="U537" s="16" t="n"/>
      <c r="V537" s="16" t="n"/>
      <c r="W537" s="16" t="n"/>
      <c r="X537" s="16" t="n"/>
      <c r="Y537" s="16" t="n"/>
      <c r="Z537" s="14" t="n"/>
      <c r="AA537" s="14" t="n"/>
      <c r="AB537" s="14" t="n"/>
      <c r="AC537" s="17">
        <f>IFERROR(VLOOKUP($H537&amp;"|"&amp;$Q537,Tariff_Master!$A$2:$L$169,3,FALSE),"")</f>
        <v/>
      </c>
      <c r="AD537" s="17">
        <f>IFERROR(VLOOKUP($H537&amp;"|"&amp;$Q537,Tariff_Master!$A$2:$L$169,4,FALSE),"")</f>
        <v/>
      </c>
      <c r="AE537" s="18">
        <f>IFERROR(VLOOKUP($H537&amp;"|"&amp;$Q537,Tariff_Master!$A$2:$L$169,6,FALSE),"")</f>
        <v/>
      </c>
      <c r="AF537" s="19">
        <f>IFERROR(VLOOKUP($H537&amp;"|"&amp;$Q537,Tariff_Master!$A$2:$L$169,7,FALSE),"")</f>
        <v/>
      </c>
      <c r="AG537" s="18">
        <f>IFERROR(VLOOKUP($H537&amp;"|"&amp;$Q537,Tariff_Master!$A$2:$L$169,8,FALSE),"")</f>
        <v/>
      </c>
      <c r="AH537" s="20">
        <f>IFERROR(VLOOKUP($H537&amp;"|"&amp;$Q537,Tariff_Master!$A$2:$L$169,9,FALSE),"")</f>
        <v/>
      </c>
      <c r="AI537" s="18">
        <f>IFERROR(VLOOKUP($H537&amp;"|"&amp;$Q537,Tariff_Master!$A$2:$L$169,10,FALSE),"")</f>
        <v/>
      </c>
      <c r="AJ537" s="21">
        <f>IF($M537="","",ROUNDUP(MAX(0,$M537),0))</f>
        <v/>
      </c>
      <c r="AK537" s="21">
        <f>IF(OR($AJ537="",$AF537=""),"",MAX(0,$AJ537-$AF537))</f>
        <v/>
      </c>
      <c r="AL537" s="22">
        <f>IF(OR($AK537="",$AG537=""),"",MAX(0,$AK537*$AG537))</f>
        <v/>
      </c>
      <c r="AM537" s="22">
        <f>IF($AE537="","",MAX(0,SUM($AE537,$AL537,$V537,$W537)))</f>
        <v/>
      </c>
      <c r="AN537" s="22">
        <f>IF($AM537="","",IF(AND($Q537="COMMITMENT",$R537&gt;=$AH537),$AI537,0))</f>
        <v/>
      </c>
      <c r="AO537" s="23">
        <f>IF($AM537="","",MAX(0,$AM537-$AN537))</f>
        <v/>
      </c>
      <c r="AP537" s="22">
        <f>IF($S537="","",IF(OR($S537="ITEM_PRICE_PLUS_DECLARED_DELIVERY",$S537="DELIVERY_CHARGE_ONLY"),$K537,IF($S537="TOTAL_AMOUNT_INCLUDING_DELIVERY",IF(OR($T537="",$J537=""),"",MAX(0,$T537-$J537-$U537)),IF($S537="ITEM_PRICE_ONLY_DELIVERY_PAID_BY_MERCHANT",0,""))))</f>
        <v/>
      </c>
      <c r="AQ537" s="23">
        <f>IF(OR($AP537="",$AO537=""),"",$AP537-$AO537)</f>
        <v/>
      </c>
      <c r="AR537" s="24">
        <f>IF($S537="EXACT_COLLECTION_AMOUNT","BREAKDOWN_REQUIRED",IF($AQ537="","",IF($AQ537&gt;0,"CREDIT_TO_MERCHANT",IF($AQ537&lt;0,"DEDUCT_FROM_MERCHANT","NO_ADJUSTMENT"))))</f>
        <v/>
      </c>
      <c r="AS537" s="23">
        <f>IF(OR($AQ537="",$AR537="BREAKDOWN_REQUIRED"),"",$AQ537)</f>
        <v/>
      </c>
      <c r="AT537" s="23">
        <f>IF(OR($AR537="",$AR537="BREAKDOWN_REQUIRED"),"",SUM($J537,$AQ537,$Y537)-$X537)</f>
        <v/>
      </c>
      <c r="AU537" s="25">
        <f>IF(AND($A537="",$B537="",$F537="",$H537="",$J537="",$K537="",$M537="",$S537=""),"",IF(OR($H537="",$Q537="",$M537="",$S537=""),"ERROR",IF(OR($J537&lt;0,$K537&lt;0,$M537&lt;0,$T537&lt;0,$U537&lt;0,$V537&lt;0,$W537&lt;0,$X537&lt;0,$Y537&lt;0),"ERROR",IF($AE537="","ERROR",IF(AND(OR($S537="ITEM_PRICE_PLUS_DECLARED_DELIVERY",$S537="TOTAL_AMOUNT_INCLUDING_DELIVERY",$S537="ITEM_PRICE_ONLY_DELIVERY_PAID_BY_MERCHANT"),$J537=""),"ERROR",IF(AND(OR($S537="ITEM_PRICE_PLUS_DECLARED_DELIVERY",$S537="DELIVERY_CHARGE_ONLY"),$K537=""),"ERROR",IF(AND(OR($S537="TOTAL_AMOUNT_INCLUDING_DELIVERY",$S537="EXACT_COLLECTION_AMOUNT"),$T537=""),"ERROR",IF(AND($S537="TOTAL_AMOUNT_INCLUDING_DELIVERY",$T537&lt;SUM($J537,$U537)),"ERROR",IF($S537="EXACT_COLLECTION_AMOUNT","REVIEW","OK")))))))))</f>
        <v/>
      </c>
      <c r="AV537" s="25">
        <f>IF($AU537="","",IF($H537="","Township required",IF($Q537="","Customer tier required",IF($M537="","Weight required",IF($S537="","Amount entry type required",IF(OR($J537&lt;0,$K537&lt;0,$M537&lt;0,$T537&lt;0,$U537&lt;0,$V537&lt;0,$W537&lt;0,$X537&lt;0,$Y537&lt;0),"Negative amounts are not allowed",IF($AE537="","Tariff not found for township and tier",IF(AND(OR($S537="ITEM_PRICE_PLUS_DECLARED_DELIVERY",$S537="TOTAL_AMOUNT_INCLUDING_DELIVERY",$S537="ITEM_PRICE_ONLY_DELIVERY_PAID_BY_MERCHANT"),$J537=""),"Item price required for this amount type",IF(AND(OR($S537="ITEM_PRICE_PLUS_DECLARED_DELIVERY",$S537="DELIVERY_CHARGE_ONLY"),$K537=""),"Declared delivery charge required",IF(AND(OR($S537="TOTAL_AMOUNT_INCLUDING_DELIVERY",$S537="EXACT_COLLECTION_AMOUNT"),$T537=""),"Stated total amount required",IF(AND($S537="TOTAL_AMOUNT_INCLUDING_DELIVERY",$T537&lt;SUM($J537,$U537)),"Stated total is below item price plus additional charge",IF($S537="EXACT_COLLECTION_AMOUNT","Authorized amount breakdown required before settlement","Ready for collection and settlement"))))))))))))</f>
        <v/>
      </c>
      <c r="AW537" s="23">
        <f>IF($AU537="","","PARCEL_FINANCIAL_V2")</f>
        <v/>
      </c>
      <c r="AX537" s="17" t="n"/>
    </row>
    <row r="538">
      <c r="A538" s="8" t="n"/>
      <c r="B538" s="8" t="n"/>
      <c r="C538" s="8" t="n"/>
      <c r="D538" s="8" t="n"/>
      <c r="E538" s="9" t="n"/>
      <c r="F538" s="9" t="n"/>
      <c r="G538" s="8" t="n"/>
      <c r="H538" s="9" t="n"/>
      <c r="I538" s="9" t="n"/>
      <c r="J538" s="10" t="n"/>
      <c r="K538" s="10" t="n"/>
      <c r="L538" s="11">
        <f>IF($S538="","",IF($S538="ITEM_PRICE_PLUS_DECLARED_DELIVERY",IF(OR($J538="",$K538=""),"",SUM($J538,$K538,$U538)),IF($S538="TOTAL_AMOUNT_INCLUDING_DELIVERY",IF($T538="","",$T538),IF($S538="DELIVERY_CHARGE_ONLY",IF($K538="","",SUM($K538,$U538)),IF($S538="EXACT_COLLECTION_AMOUNT",IF($T538="","",$T538),IF($S538="ITEM_PRICE_ONLY_DELIVERY_PAID_BY_MERCHANT",IF($J538="","",SUM($J538,$U538)),""))))))</f>
        <v/>
      </c>
      <c r="M538" s="12" t="n"/>
      <c r="N538" s="13" t="n"/>
      <c r="O538" s="13" t="n"/>
      <c r="P538" s="9" t="n"/>
      <c r="Q538" s="14" t="n"/>
      <c r="R538" s="15" t="n"/>
      <c r="S538" s="14" t="n"/>
      <c r="T538" s="16" t="n"/>
      <c r="U538" s="16" t="n"/>
      <c r="V538" s="16" t="n"/>
      <c r="W538" s="16" t="n"/>
      <c r="X538" s="16" t="n"/>
      <c r="Y538" s="16" t="n"/>
      <c r="Z538" s="14" t="n"/>
      <c r="AA538" s="14" t="n"/>
      <c r="AB538" s="14" t="n"/>
      <c r="AC538" s="17">
        <f>IFERROR(VLOOKUP($H538&amp;"|"&amp;$Q538,Tariff_Master!$A$2:$L$169,3,FALSE),"")</f>
        <v/>
      </c>
      <c r="AD538" s="17">
        <f>IFERROR(VLOOKUP($H538&amp;"|"&amp;$Q538,Tariff_Master!$A$2:$L$169,4,FALSE),"")</f>
        <v/>
      </c>
      <c r="AE538" s="18">
        <f>IFERROR(VLOOKUP($H538&amp;"|"&amp;$Q538,Tariff_Master!$A$2:$L$169,6,FALSE),"")</f>
        <v/>
      </c>
      <c r="AF538" s="19">
        <f>IFERROR(VLOOKUP($H538&amp;"|"&amp;$Q538,Tariff_Master!$A$2:$L$169,7,FALSE),"")</f>
        <v/>
      </c>
      <c r="AG538" s="18">
        <f>IFERROR(VLOOKUP($H538&amp;"|"&amp;$Q538,Tariff_Master!$A$2:$L$169,8,FALSE),"")</f>
        <v/>
      </c>
      <c r="AH538" s="20">
        <f>IFERROR(VLOOKUP($H538&amp;"|"&amp;$Q538,Tariff_Master!$A$2:$L$169,9,FALSE),"")</f>
        <v/>
      </c>
      <c r="AI538" s="18">
        <f>IFERROR(VLOOKUP($H538&amp;"|"&amp;$Q538,Tariff_Master!$A$2:$L$169,10,FALSE),"")</f>
        <v/>
      </c>
      <c r="AJ538" s="21">
        <f>IF($M538="","",ROUNDUP(MAX(0,$M538),0))</f>
        <v/>
      </c>
      <c r="AK538" s="21">
        <f>IF(OR($AJ538="",$AF538=""),"",MAX(0,$AJ538-$AF538))</f>
        <v/>
      </c>
      <c r="AL538" s="22">
        <f>IF(OR($AK538="",$AG538=""),"",MAX(0,$AK538*$AG538))</f>
        <v/>
      </c>
      <c r="AM538" s="22">
        <f>IF($AE538="","",MAX(0,SUM($AE538,$AL538,$V538,$W538)))</f>
        <v/>
      </c>
      <c r="AN538" s="22">
        <f>IF($AM538="","",IF(AND($Q538="COMMITMENT",$R538&gt;=$AH538),$AI538,0))</f>
        <v/>
      </c>
      <c r="AO538" s="23">
        <f>IF($AM538="","",MAX(0,$AM538-$AN538))</f>
        <v/>
      </c>
      <c r="AP538" s="22">
        <f>IF($S538="","",IF(OR($S538="ITEM_PRICE_PLUS_DECLARED_DELIVERY",$S538="DELIVERY_CHARGE_ONLY"),$K538,IF($S538="TOTAL_AMOUNT_INCLUDING_DELIVERY",IF(OR($T538="",$J538=""),"",MAX(0,$T538-$J538-$U538)),IF($S538="ITEM_PRICE_ONLY_DELIVERY_PAID_BY_MERCHANT",0,""))))</f>
        <v/>
      </c>
      <c r="AQ538" s="23">
        <f>IF(OR($AP538="",$AO538=""),"",$AP538-$AO538)</f>
        <v/>
      </c>
      <c r="AR538" s="24">
        <f>IF($S538="EXACT_COLLECTION_AMOUNT","BREAKDOWN_REQUIRED",IF($AQ538="","",IF($AQ538&gt;0,"CREDIT_TO_MERCHANT",IF($AQ538&lt;0,"DEDUCT_FROM_MERCHANT","NO_ADJUSTMENT"))))</f>
        <v/>
      </c>
      <c r="AS538" s="23">
        <f>IF(OR($AQ538="",$AR538="BREAKDOWN_REQUIRED"),"",$AQ538)</f>
        <v/>
      </c>
      <c r="AT538" s="23">
        <f>IF(OR($AR538="",$AR538="BREAKDOWN_REQUIRED"),"",SUM($J538,$AQ538,$Y538)-$X538)</f>
        <v/>
      </c>
      <c r="AU538" s="25">
        <f>IF(AND($A538="",$B538="",$F538="",$H538="",$J538="",$K538="",$M538="",$S538=""),"",IF(OR($H538="",$Q538="",$M538="",$S538=""),"ERROR",IF(OR($J538&lt;0,$K538&lt;0,$M538&lt;0,$T538&lt;0,$U538&lt;0,$V538&lt;0,$W538&lt;0,$X538&lt;0,$Y538&lt;0),"ERROR",IF($AE538="","ERROR",IF(AND(OR($S538="ITEM_PRICE_PLUS_DECLARED_DELIVERY",$S538="TOTAL_AMOUNT_INCLUDING_DELIVERY",$S538="ITEM_PRICE_ONLY_DELIVERY_PAID_BY_MERCHANT"),$J538=""),"ERROR",IF(AND(OR($S538="ITEM_PRICE_PLUS_DECLARED_DELIVERY",$S538="DELIVERY_CHARGE_ONLY"),$K538=""),"ERROR",IF(AND(OR($S538="TOTAL_AMOUNT_INCLUDING_DELIVERY",$S538="EXACT_COLLECTION_AMOUNT"),$T538=""),"ERROR",IF(AND($S538="TOTAL_AMOUNT_INCLUDING_DELIVERY",$T538&lt;SUM($J538,$U538)),"ERROR",IF($S538="EXACT_COLLECTION_AMOUNT","REVIEW","OK")))))))))</f>
        <v/>
      </c>
      <c r="AV538" s="25">
        <f>IF($AU538="","",IF($H538="","Township required",IF($Q538="","Customer tier required",IF($M538="","Weight required",IF($S538="","Amount entry type required",IF(OR($J538&lt;0,$K538&lt;0,$M538&lt;0,$T538&lt;0,$U538&lt;0,$V538&lt;0,$W538&lt;0,$X538&lt;0,$Y538&lt;0),"Negative amounts are not allowed",IF($AE538="","Tariff not found for township and tier",IF(AND(OR($S538="ITEM_PRICE_PLUS_DECLARED_DELIVERY",$S538="TOTAL_AMOUNT_INCLUDING_DELIVERY",$S538="ITEM_PRICE_ONLY_DELIVERY_PAID_BY_MERCHANT"),$J538=""),"Item price required for this amount type",IF(AND(OR($S538="ITEM_PRICE_PLUS_DECLARED_DELIVERY",$S538="DELIVERY_CHARGE_ONLY"),$K538=""),"Declared delivery charge required",IF(AND(OR($S538="TOTAL_AMOUNT_INCLUDING_DELIVERY",$S538="EXACT_COLLECTION_AMOUNT"),$T538=""),"Stated total amount required",IF(AND($S538="TOTAL_AMOUNT_INCLUDING_DELIVERY",$T538&lt;SUM($J538,$U538)),"Stated total is below item price plus additional charge",IF($S538="EXACT_COLLECTION_AMOUNT","Authorized amount breakdown required before settlement","Ready for collection and settlement"))))))))))))</f>
        <v/>
      </c>
      <c r="AW538" s="23">
        <f>IF($AU538="","","PARCEL_FINANCIAL_V2")</f>
        <v/>
      </c>
      <c r="AX538" s="17" t="n"/>
    </row>
    <row r="539">
      <c r="A539" s="8" t="n"/>
      <c r="B539" s="8" t="n"/>
      <c r="C539" s="8" t="n"/>
      <c r="D539" s="8" t="n"/>
      <c r="E539" s="9" t="n"/>
      <c r="F539" s="9" t="n"/>
      <c r="G539" s="8" t="n"/>
      <c r="H539" s="9" t="n"/>
      <c r="I539" s="9" t="n"/>
      <c r="J539" s="10" t="n"/>
      <c r="K539" s="10" t="n"/>
      <c r="L539" s="11">
        <f>IF($S539="","",IF($S539="ITEM_PRICE_PLUS_DECLARED_DELIVERY",IF(OR($J539="",$K539=""),"",SUM($J539,$K539,$U539)),IF($S539="TOTAL_AMOUNT_INCLUDING_DELIVERY",IF($T539="","",$T539),IF($S539="DELIVERY_CHARGE_ONLY",IF($K539="","",SUM($K539,$U539)),IF($S539="EXACT_COLLECTION_AMOUNT",IF($T539="","",$T539),IF($S539="ITEM_PRICE_ONLY_DELIVERY_PAID_BY_MERCHANT",IF($J539="","",SUM($J539,$U539)),""))))))</f>
        <v/>
      </c>
      <c r="M539" s="12" t="n"/>
      <c r="N539" s="13" t="n"/>
      <c r="O539" s="13" t="n"/>
      <c r="P539" s="9" t="n"/>
      <c r="Q539" s="14" t="n"/>
      <c r="R539" s="15" t="n"/>
      <c r="S539" s="14" t="n"/>
      <c r="T539" s="16" t="n"/>
      <c r="U539" s="16" t="n"/>
      <c r="V539" s="16" t="n"/>
      <c r="W539" s="16" t="n"/>
      <c r="X539" s="16" t="n"/>
      <c r="Y539" s="16" t="n"/>
      <c r="Z539" s="14" t="n"/>
      <c r="AA539" s="14" t="n"/>
      <c r="AB539" s="14" t="n"/>
      <c r="AC539" s="17">
        <f>IFERROR(VLOOKUP($H539&amp;"|"&amp;$Q539,Tariff_Master!$A$2:$L$169,3,FALSE),"")</f>
        <v/>
      </c>
      <c r="AD539" s="17">
        <f>IFERROR(VLOOKUP($H539&amp;"|"&amp;$Q539,Tariff_Master!$A$2:$L$169,4,FALSE),"")</f>
        <v/>
      </c>
      <c r="AE539" s="18">
        <f>IFERROR(VLOOKUP($H539&amp;"|"&amp;$Q539,Tariff_Master!$A$2:$L$169,6,FALSE),"")</f>
        <v/>
      </c>
      <c r="AF539" s="19">
        <f>IFERROR(VLOOKUP($H539&amp;"|"&amp;$Q539,Tariff_Master!$A$2:$L$169,7,FALSE),"")</f>
        <v/>
      </c>
      <c r="AG539" s="18">
        <f>IFERROR(VLOOKUP($H539&amp;"|"&amp;$Q539,Tariff_Master!$A$2:$L$169,8,FALSE),"")</f>
        <v/>
      </c>
      <c r="AH539" s="20">
        <f>IFERROR(VLOOKUP($H539&amp;"|"&amp;$Q539,Tariff_Master!$A$2:$L$169,9,FALSE),"")</f>
        <v/>
      </c>
      <c r="AI539" s="18">
        <f>IFERROR(VLOOKUP($H539&amp;"|"&amp;$Q539,Tariff_Master!$A$2:$L$169,10,FALSE),"")</f>
        <v/>
      </c>
      <c r="AJ539" s="21">
        <f>IF($M539="","",ROUNDUP(MAX(0,$M539),0))</f>
        <v/>
      </c>
      <c r="AK539" s="21">
        <f>IF(OR($AJ539="",$AF539=""),"",MAX(0,$AJ539-$AF539))</f>
        <v/>
      </c>
      <c r="AL539" s="22">
        <f>IF(OR($AK539="",$AG539=""),"",MAX(0,$AK539*$AG539))</f>
        <v/>
      </c>
      <c r="AM539" s="22">
        <f>IF($AE539="","",MAX(0,SUM($AE539,$AL539,$V539,$W539)))</f>
        <v/>
      </c>
      <c r="AN539" s="22">
        <f>IF($AM539="","",IF(AND($Q539="COMMITMENT",$R539&gt;=$AH539),$AI539,0))</f>
        <v/>
      </c>
      <c r="AO539" s="23">
        <f>IF($AM539="","",MAX(0,$AM539-$AN539))</f>
        <v/>
      </c>
      <c r="AP539" s="22">
        <f>IF($S539="","",IF(OR($S539="ITEM_PRICE_PLUS_DECLARED_DELIVERY",$S539="DELIVERY_CHARGE_ONLY"),$K539,IF($S539="TOTAL_AMOUNT_INCLUDING_DELIVERY",IF(OR($T539="",$J539=""),"",MAX(0,$T539-$J539-$U539)),IF($S539="ITEM_PRICE_ONLY_DELIVERY_PAID_BY_MERCHANT",0,""))))</f>
        <v/>
      </c>
      <c r="AQ539" s="23">
        <f>IF(OR($AP539="",$AO539=""),"",$AP539-$AO539)</f>
        <v/>
      </c>
      <c r="AR539" s="24">
        <f>IF($S539="EXACT_COLLECTION_AMOUNT","BREAKDOWN_REQUIRED",IF($AQ539="","",IF($AQ539&gt;0,"CREDIT_TO_MERCHANT",IF($AQ539&lt;0,"DEDUCT_FROM_MERCHANT","NO_ADJUSTMENT"))))</f>
        <v/>
      </c>
      <c r="AS539" s="23">
        <f>IF(OR($AQ539="",$AR539="BREAKDOWN_REQUIRED"),"",$AQ539)</f>
        <v/>
      </c>
      <c r="AT539" s="23">
        <f>IF(OR($AR539="",$AR539="BREAKDOWN_REQUIRED"),"",SUM($J539,$AQ539,$Y539)-$X539)</f>
        <v/>
      </c>
      <c r="AU539" s="25">
        <f>IF(AND($A539="",$B539="",$F539="",$H539="",$J539="",$K539="",$M539="",$S539=""),"",IF(OR($H539="",$Q539="",$M539="",$S539=""),"ERROR",IF(OR($J539&lt;0,$K539&lt;0,$M539&lt;0,$T539&lt;0,$U539&lt;0,$V539&lt;0,$W539&lt;0,$X539&lt;0,$Y539&lt;0),"ERROR",IF($AE539="","ERROR",IF(AND(OR($S539="ITEM_PRICE_PLUS_DECLARED_DELIVERY",$S539="TOTAL_AMOUNT_INCLUDING_DELIVERY",$S539="ITEM_PRICE_ONLY_DELIVERY_PAID_BY_MERCHANT"),$J539=""),"ERROR",IF(AND(OR($S539="ITEM_PRICE_PLUS_DECLARED_DELIVERY",$S539="DELIVERY_CHARGE_ONLY"),$K539=""),"ERROR",IF(AND(OR($S539="TOTAL_AMOUNT_INCLUDING_DELIVERY",$S539="EXACT_COLLECTION_AMOUNT"),$T539=""),"ERROR",IF(AND($S539="TOTAL_AMOUNT_INCLUDING_DELIVERY",$T539&lt;SUM($J539,$U539)),"ERROR",IF($S539="EXACT_COLLECTION_AMOUNT","REVIEW","OK")))))))))</f>
        <v/>
      </c>
      <c r="AV539" s="25">
        <f>IF($AU539="","",IF($H539="","Township required",IF($Q539="","Customer tier required",IF($M539="","Weight required",IF($S539="","Amount entry type required",IF(OR($J539&lt;0,$K539&lt;0,$M539&lt;0,$T539&lt;0,$U539&lt;0,$V539&lt;0,$W539&lt;0,$X539&lt;0,$Y539&lt;0),"Negative amounts are not allowed",IF($AE539="","Tariff not found for township and tier",IF(AND(OR($S539="ITEM_PRICE_PLUS_DECLARED_DELIVERY",$S539="TOTAL_AMOUNT_INCLUDING_DELIVERY",$S539="ITEM_PRICE_ONLY_DELIVERY_PAID_BY_MERCHANT"),$J539=""),"Item price required for this amount type",IF(AND(OR($S539="ITEM_PRICE_PLUS_DECLARED_DELIVERY",$S539="DELIVERY_CHARGE_ONLY"),$K539=""),"Declared delivery charge required",IF(AND(OR($S539="TOTAL_AMOUNT_INCLUDING_DELIVERY",$S539="EXACT_COLLECTION_AMOUNT"),$T539=""),"Stated total amount required",IF(AND($S539="TOTAL_AMOUNT_INCLUDING_DELIVERY",$T539&lt;SUM($J539,$U539)),"Stated total is below item price plus additional charge",IF($S539="EXACT_COLLECTION_AMOUNT","Authorized amount breakdown required before settlement","Ready for collection and settlement"))))))))))))</f>
        <v/>
      </c>
      <c r="AW539" s="23">
        <f>IF($AU539="","","PARCEL_FINANCIAL_V2")</f>
        <v/>
      </c>
      <c r="AX539" s="17" t="n"/>
    </row>
    <row r="540">
      <c r="A540" s="8" t="n"/>
      <c r="B540" s="8" t="n"/>
      <c r="C540" s="8" t="n"/>
      <c r="D540" s="8" t="n"/>
      <c r="E540" s="9" t="n"/>
      <c r="F540" s="9" t="n"/>
      <c r="G540" s="8" t="n"/>
      <c r="H540" s="9" t="n"/>
      <c r="I540" s="9" t="n"/>
      <c r="J540" s="10" t="n"/>
      <c r="K540" s="10" t="n"/>
      <c r="L540" s="11">
        <f>IF($S540="","",IF($S540="ITEM_PRICE_PLUS_DECLARED_DELIVERY",IF(OR($J540="",$K540=""),"",SUM($J540,$K540,$U540)),IF($S540="TOTAL_AMOUNT_INCLUDING_DELIVERY",IF($T540="","",$T540),IF($S540="DELIVERY_CHARGE_ONLY",IF($K540="","",SUM($K540,$U540)),IF($S540="EXACT_COLLECTION_AMOUNT",IF($T540="","",$T540),IF($S540="ITEM_PRICE_ONLY_DELIVERY_PAID_BY_MERCHANT",IF($J540="","",SUM($J540,$U540)),""))))))</f>
        <v/>
      </c>
      <c r="M540" s="12" t="n"/>
      <c r="N540" s="13" t="n"/>
      <c r="O540" s="13" t="n"/>
      <c r="P540" s="9" t="n"/>
      <c r="Q540" s="14" t="n"/>
      <c r="R540" s="15" t="n"/>
      <c r="S540" s="14" t="n"/>
      <c r="T540" s="16" t="n"/>
      <c r="U540" s="16" t="n"/>
      <c r="V540" s="16" t="n"/>
      <c r="W540" s="16" t="n"/>
      <c r="X540" s="16" t="n"/>
      <c r="Y540" s="16" t="n"/>
      <c r="Z540" s="14" t="n"/>
      <c r="AA540" s="14" t="n"/>
      <c r="AB540" s="14" t="n"/>
      <c r="AC540" s="17">
        <f>IFERROR(VLOOKUP($H540&amp;"|"&amp;$Q540,Tariff_Master!$A$2:$L$169,3,FALSE),"")</f>
        <v/>
      </c>
      <c r="AD540" s="17">
        <f>IFERROR(VLOOKUP($H540&amp;"|"&amp;$Q540,Tariff_Master!$A$2:$L$169,4,FALSE),"")</f>
        <v/>
      </c>
      <c r="AE540" s="18">
        <f>IFERROR(VLOOKUP($H540&amp;"|"&amp;$Q540,Tariff_Master!$A$2:$L$169,6,FALSE),"")</f>
        <v/>
      </c>
      <c r="AF540" s="19">
        <f>IFERROR(VLOOKUP($H540&amp;"|"&amp;$Q540,Tariff_Master!$A$2:$L$169,7,FALSE),"")</f>
        <v/>
      </c>
      <c r="AG540" s="18">
        <f>IFERROR(VLOOKUP($H540&amp;"|"&amp;$Q540,Tariff_Master!$A$2:$L$169,8,FALSE),"")</f>
        <v/>
      </c>
      <c r="AH540" s="20">
        <f>IFERROR(VLOOKUP($H540&amp;"|"&amp;$Q540,Tariff_Master!$A$2:$L$169,9,FALSE),"")</f>
        <v/>
      </c>
      <c r="AI540" s="18">
        <f>IFERROR(VLOOKUP($H540&amp;"|"&amp;$Q540,Tariff_Master!$A$2:$L$169,10,FALSE),"")</f>
        <v/>
      </c>
      <c r="AJ540" s="21">
        <f>IF($M540="","",ROUNDUP(MAX(0,$M540),0))</f>
        <v/>
      </c>
      <c r="AK540" s="21">
        <f>IF(OR($AJ540="",$AF540=""),"",MAX(0,$AJ540-$AF540))</f>
        <v/>
      </c>
      <c r="AL540" s="22">
        <f>IF(OR($AK540="",$AG540=""),"",MAX(0,$AK540*$AG540))</f>
        <v/>
      </c>
      <c r="AM540" s="22">
        <f>IF($AE540="","",MAX(0,SUM($AE540,$AL540,$V540,$W540)))</f>
        <v/>
      </c>
      <c r="AN540" s="22">
        <f>IF($AM540="","",IF(AND($Q540="COMMITMENT",$R540&gt;=$AH540),$AI540,0))</f>
        <v/>
      </c>
      <c r="AO540" s="23">
        <f>IF($AM540="","",MAX(0,$AM540-$AN540))</f>
        <v/>
      </c>
      <c r="AP540" s="22">
        <f>IF($S540="","",IF(OR($S540="ITEM_PRICE_PLUS_DECLARED_DELIVERY",$S540="DELIVERY_CHARGE_ONLY"),$K540,IF($S540="TOTAL_AMOUNT_INCLUDING_DELIVERY",IF(OR($T540="",$J540=""),"",MAX(0,$T540-$J540-$U540)),IF($S540="ITEM_PRICE_ONLY_DELIVERY_PAID_BY_MERCHANT",0,""))))</f>
        <v/>
      </c>
      <c r="AQ540" s="23">
        <f>IF(OR($AP540="",$AO540=""),"",$AP540-$AO540)</f>
        <v/>
      </c>
      <c r="AR540" s="24">
        <f>IF($S540="EXACT_COLLECTION_AMOUNT","BREAKDOWN_REQUIRED",IF($AQ540="","",IF($AQ540&gt;0,"CREDIT_TO_MERCHANT",IF($AQ540&lt;0,"DEDUCT_FROM_MERCHANT","NO_ADJUSTMENT"))))</f>
        <v/>
      </c>
      <c r="AS540" s="23">
        <f>IF(OR($AQ540="",$AR540="BREAKDOWN_REQUIRED"),"",$AQ540)</f>
        <v/>
      </c>
      <c r="AT540" s="23">
        <f>IF(OR($AR540="",$AR540="BREAKDOWN_REQUIRED"),"",SUM($J540,$AQ540,$Y540)-$X540)</f>
        <v/>
      </c>
      <c r="AU540" s="25">
        <f>IF(AND($A540="",$B540="",$F540="",$H540="",$J540="",$K540="",$M540="",$S540=""),"",IF(OR($H540="",$Q540="",$M540="",$S540=""),"ERROR",IF(OR($J540&lt;0,$K540&lt;0,$M540&lt;0,$T540&lt;0,$U540&lt;0,$V540&lt;0,$W540&lt;0,$X540&lt;0,$Y540&lt;0),"ERROR",IF($AE540="","ERROR",IF(AND(OR($S540="ITEM_PRICE_PLUS_DECLARED_DELIVERY",$S540="TOTAL_AMOUNT_INCLUDING_DELIVERY",$S540="ITEM_PRICE_ONLY_DELIVERY_PAID_BY_MERCHANT"),$J540=""),"ERROR",IF(AND(OR($S540="ITEM_PRICE_PLUS_DECLARED_DELIVERY",$S540="DELIVERY_CHARGE_ONLY"),$K540=""),"ERROR",IF(AND(OR($S540="TOTAL_AMOUNT_INCLUDING_DELIVERY",$S540="EXACT_COLLECTION_AMOUNT"),$T540=""),"ERROR",IF(AND($S540="TOTAL_AMOUNT_INCLUDING_DELIVERY",$T540&lt;SUM($J540,$U540)),"ERROR",IF($S540="EXACT_COLLECTION_AMOUNT","REVIEW","OK")))))))))</f>
        <v/>
      </c>
      <c r="AV540" s="25">
        <f>IF($AU540="","",IF($H540="","Township required",IF($Q540="","Customer tier required",IF($M540="","Weight required",IF($S540="","Amount entry type required",IF(OR($J540&lt;0,$K540&lt;0,$M540&lt;0,$T540&lt;0,$U540&lt;0,$V540&lt;0,$W540&lt;0,$X540&lt;0,$Y540&lt;0),"Negative amounts are not allowed",IF($AE540="","Tariff not found for township and tier",IF(AND(OR($S540="ITEM_PRICE_PLUS_DECLARED_DELIVERY",$S540="TOTAL_AMOUNT_INCLUDING_DELIVERY",$S540="ITEM_PRICE_ONLY_DELIVERY_PAID_BY_MERCHANT"),$J540=""),"Item price required for this amount type",IF(AND(OR($S540="ITEM_PRICE_PLUS_DECLARED_DELIVERY",$S540="DELIVERY_CHARGE_ONLY"),$K540=""),"Declared delivery charge required",IF(AND(OR($S540="TOTAL_AMOUNT_INCLUDING_DELIVERY",$S540="EXACT_COLLECTION_AMOUNT"),$T540=""),"Stated total amount required",IF(AND($S540="TOTAL_AMOUNT_INCLUDING_DELIVERY",$T540&lt;SUM($J540,$U540)),"Stated total is below item price plus additional charge",IF($S540="EXACT_COLLECTION_AMOUNT","Authorized amount breakdown required before settlement","Ready for collection and settlement"))))))))))))</f>
        <v/>
      </c>
      <c r="AW540" s="23">
        <f>IF($AU540="","","PARCEL_FINANCIAL_V2")</f>
        <v/>
      </c>
      <c r="AX540" s="17" t="n"/>
    </row>
    <row r="541">
      <c r="A541" s="8" t="n"/>
      <c r="B541" s="8" t="n"/>
      <c r="C541" s="8" t="n"/>
      <c r="D541" s="8" t="n"/>
      <c r="E541" s="9" t="n"/>
      <c r="F541" s="9" t="n"/>
      <c r="G541" s="8" t="n"/>
      <c r="H541" s="9" t="n"/>
      <c r="I541" s="9" t="n"/>
      <c r="J541" s="10" t="n"/>
      <c r="K541" s="10" t="n"/>
      <c r="L541" s="11">
        <f>IF($S541="","",IF($S541="ITEM_PRICE_PLUS_DECLARED_DELIVERY",IF(OR($J541="",$K541=""),"",SUM($J541,$K541,$U541)),IF($S541="TOTAL_AMOUNT_INCLUDING_DELIVERY",IF($T541="","",$T541),IF($S541="DELIVERY_CHARGE_ONLY",IF($K541="","",SUM($K541,$U541)),IF($S541="EXACT_COLLECTION_AMOUNT",IF($T541="","",$T541),IF($S541="ITEM_PRICE_ONLY_DELIVERY_PAID_BY_MERCHANT",IF($J541="","",SUM($J541,$U541)),""))))))</f>
        <v/>
      </c>
      <c r="M541" s="12" t="n"/>
      <c r="N541" s="13" t="n"/>
      <c r="O541" s="13" t="n"/>
      <c r="P541" s="9" t="n"/>
      <c r="Q541" s="14" t="n"/>
      <c r="R541" s="15" t="n"/>
      <c r="S541" s="14" t="n"/>
      <c r="T541" s="16" t="n"/>
      <c r="U541" s="16" t="n"/>
      <c r="V541" s="16" t="n"/>
      <c r="W541" s="16" t="n"/>
      <c r="X541" s="16" t="n"/>
      <c r="Y541" s="16" t="n"/>
      <c r="Z541" s="14" t="n"/>
      <c r="AA541" s="14" t="n"/>
      <c r="AB541" s="14" t="n"/>
      <c r="AC541" s="17">
        <f>IFERROR(VLOOKUP($H541&amp;"|"&amp;$Q541,Tariff_Master!$A$2:$L$169,3,FALSE),"")</f>
        <v/>
      </c>
      <c r="AD541" s="17">
        <f>IFERROR(VLOOKUP($H541&amp;"|"&amp;$Q541,Tariff_Master!$A$2:$L$169,4,FALSE),"")</f>
        <v/>
      </c>
      <c r="AE541" s="18">
        <f>IFERROR(VLOOKUP($H541&amp;"|"&amp;$Q541,Tariff_Master!$A$2:$L$169,6,FALSE),"")</f>
        <v/>
      </c>
      <c r="AF541" s="19">
        <f>IFERROR(VLOOKUP($H541&amp;"|"&amp;$Q541,Tariff_Master!$A$2:$L$169,7,FALSE),"")</f>
        <v/>
      </c>
      <c r="AG541" s="18">
        <f>IFERROR(VLOOKUP($H541&amp;"|"&amp;$Q541,Tariff_Master!$A$2:$L$169,8,FALSE),"")</f>
        <v/>
      </c>
      <c r="AH541" s="20">
        <f>IFERROR(VLOOKUP($H541&amp;"|"&amp;$Q541,Tariff_Master!$A$2:$L$169,9,FALSE),"")</f>
        <v/>
      </c>
      <c r="AI541" s="18">
        <f>IFERROR(VLOOKUP($H541&amp;"|"&amp;$Q541,Tariff_Master!$A$2:$L$169,10,FALSE),"")</f>
        <v/>
      </c>
      <c r="AJ541" s="21">
        <f>IF($M541="","",ROUNDUP(MAX(0,$M541),0))</f>
        <v/>
      </c>
      <c r="AK541" s="21">
        <f>IF(OR($AJ541="",$AF541=""),"",MAX(0,$AJ541-$AF541))</f>
        <v/>
      </c>
      <c r="AL541" s="22">
        <f>IF(OR($AK541="",$AG541=""),"",MAX(0,$AK541*$AG541))</f>
        <v/>
      </c>
      <c r="AM541" s="22">
        <f>IF($AE541="","",MAX(0,SUM($AE541,$AL541,$V541,$W541)))</f>
        <v/>
      </c>
      <c r="AN541" s="22">
        <f>IF($AM541="","",IF(AND($Q541="COMMITMENT",$R541&gt;=$AH541),$AI541,0))</f>
        <v/>
      </c>
      <c r="AO541" s="23">
        <f>IF($AM541="","",MAX(0,$AM541-$AN541))</f>
        <v/>
      </c>
      <c r="AP541" s="22">
        <f>IF($S541="","",IF(OR($S541="ITEM_PRICE_PLUS_DECLARED_DELIVERY",$S541="DELIVERY_CHARGE_ONLY"),$K541,IF($S541="TOTAL_AMOUNT_INCLUDING_DELIVERY",IF(OR($T541="",$J541=""),"",MAX(0,$T541-$J541-$U541)),IF($S541="ITEM_PRICE_ONLY_DELIVERY_PAID_BY_MERCHANT",0,""))))</f>
        <v/>
      </c>
      <c r="AQ541" s="23">
        <f>IF(OR($AP541="",$AO541=""),"",$AP541-$AO541)</f>
        <v/>
      </c>
      <c r="AR541" s="24">
        <f>IF($S541="EXACT_COLLECTION_AMOUNT","BREAKDOWN_REQUIRED",IF($AQ541="","",IF($AQ541&gt;0,"CREDIT_TO_MERCHANT",IF($AQ541&lt;0,"DEDUCT_FROM_MERCHANT","NO_ADJUSTMENT"))))</f>
        <v/>
      </c>
      <c r="AS541" s="23">
        <f>IF(OR($AQ541="",$AR541="BREAKDOWN_REQUIRED"),"",$AQ541)</f>
        <v/>
      </c>
      <c r="AT541" s="23">
        <f>IF(OR($AR541="",$AR541="BREAKDOWN_REQUIRED"),"",SUM($J541,$AQ541,$Y541)-$X541)</f>
        <v/>
      </c>
      <c r="AU541" s="25">
        <f>IF(AND($A541="",$B541="",$F541="",$H541="",$J541="",$K541="",$M541="",$S541=""),"",IF(OR($H541="",$Q541="",$M541="",$S541=""),"ERROR",IF(OR($J541&lt;0,$K541&lt;0,$M541&lt;0,$T541&lt;0,$U541&lt;0,$V541&lt;0,$W541&lt;0,$X541&lt;0,$Y541&lt;0),"ERROR",IF($AE541="","ERROR",IF(AND(OR($S541="ITEM_PRICE_PLUS_DECLARED_DELIVERY",$S541="TOTAL_AMOUNT_INCLUDING_DELIVERY",$S541="ITEM_PRICE_ONLY_DELIVERY_PAID_BY_MERCHANT"),$J541=""),"ERROR",IF(AND(OR($S541="ITEM_PRICE_PLUS_DECLARED_DELIVERY",$S541="DELIVERY_CHARGE_ONLY"),$K541=""),"ERROR",IF(AND(OR($S541="TOTAL_AMOUNT_INCLUDING_DELIVERY",$S541="EXACT_COLLECTION_AMOUNT"),$T541=""),"ERROR",IF(AND($S541="TOTAL_AMOUNT_INCLUDING_DELIVERY",$T541&lt;SUM($J541,$U541)),"ERROR",IF($S541="EXACT_COLLECTION_AMOUNT","REVIEW","OK")))))))))</f>
        <v/>
      </c>
      <c r="AV541" s="25">
        <f>IF($AU541="","",IF($H541="","Township required",IF($Q541="","Customer tier required",IF($M541="","Weight required",IF($S541="","Amount entry type required",IF(OR($J541&lt;0,$K541&lt;0,$M541&lt;0,$T541&lt;0,$U541&lt;0,$V541&lt;0,$W541&lt;0,$X541&lt;0,$Y541&lt;0),"Negative amounts are not allowed",IF($AE541="","Tariff not found for township and tier",IF(AND(OR($S541="ITEM_PRICE_PLUS_DECLARED_DELIVERY",$S541="TOTAL_AMOUNT_INCLUDING_DELIVERY",$S541="ITEM_PRICE_ONLY_DELIVERY_PAID_BY_MERCHANT"),$J541=""),"Item price required for this amount type",IF(AND(OR($S541="ITEM_PRICE_PLUS_DECLARED_DELIVERY",$S541="DELIVERY_CHARGE_ONLY"),$K541=""),"Declared delivery charge required",IF(AND(OR($S541="TOTAL_AMOUNT_INCLUDING_DELIVERY",$S541="EXACT_COLLECTION_AMOUNT"),$T541=""),"Stated total amount required",IF(AND($S541="TOTAL_AMOUNT_INCLUDING_DELIVERY",$T541&lt;SUM($J541,$U541)),"Stated total is below item price plus additional charge",IF($S541="EXACT_COLLECTION_AMOUNT","Authorized amount breakdown required before settlement","Ready for collection and settlement"))))))))))))</f>
        <v/>
      </c>
      <c r="AW541" s="23">
        <f>IF($AU541="","","PARCEL_FINANCIAL_V2")</f>
        <v/>
      </c>
      <c r="AX541" s="17" t="n"/>
    </row>
    <row r="542">
      <c r="A542" s="8" t="n"/>
      <c r="B542" s="8" t="n"/>
      <c r="C542" s="8" t="n"/>
      <c r="D542" s="8" t="n"/>
      <c r="E542" s="9" t="n"/>
      <c r="F542" s="9" t="n"/>
      <c r="G542" s="8" t="n"/>
      <c r="H542" s="9" t="n"/>
      <c r="I542" s="9" t="n"/>
      <c r="J542" s="10" t="n"/>
      <c r="K542" s="10" t="n"/>
      <c r="L542" s="11">
        <f>IF($S542="","",IF($S542="ITEM_PRICE_PLUS_DECLARED_DELIVERY",IF(OR($J542="",$K542=""),"",SUM($J542,$K542,$U542)),IF($S542="TOTAL_AMOUNT_INCLUDING_DELIVERY",IF($T542="","",$T542),IF($S542="DELIVERY_CHARGE_ONLY",IF($K542="","",SUM($K542,$U542)),IF($S542="EXACT_COLLECTION_AMOUNT",IF($T542="","",$T542),IF($S542="ITEM_PRICE_ONLY_DELIVERY_PAID_BY_MERCHANT",IF($J542="","",SUM($J542,$U542)),""))))))</f>
        <v/>
      </c>
      <c r="M542" s="12" t="n"/>
      <c r="N542" s="13" t="n"/>
      <c r="O542" s="13" t="n"/>
      <c r="P542" s="9" t="n"/>
      <c r="Q542" s="14" t="n"/>
      <c r="R542" s="15" t="n"/>
      <c r="S542" s="14" t="n"/>
      <c r="T542" s="16" t="n"/>
      <c r="U542" s="16" t="n"/>
      <c r="V542" s="16" t="n"/>
      <c r="W542" s="16" t="n"/>
      <c r="X542" s="16" t="n"/>
      <c r="Y542" s="16" t="n"/>
      <c r="Z542" s="14" t="n"/>
      <c r="AA542" s="14" t="n"/>
      <c r="AB542" s="14" t="n"/>
      <c r="AC542" s="17">
        <f>IFERROR(VLOOKUP($H542&amp;"|"&amp;$Q542,Tariff_Master!$A$2:$L$169,3,FALSE),"")</f>
        <v/>
      </c>
      <c r="AD542" s="17">
        <f>IFERROR(VLOOKUP($H542&amp;"|"&amp;$Q542,Tariff_Master!$A$2:$L$169,4,FALSE),"")</f>
        <v/>
      </c>
      <c r="AE542" s="18">
        <f>IFERROR(VLOOKUP($H542&amp;"|"&amp;$Q542,Tariff_Master!$A$2:$L$169,6,FALSE),"")</f>
        <v/>
      </c>
      <c r="AF542" s="19">
        <f>IFERROR(VLOOKUP($H542&amp;"|"&amp;$Q542,Tariff_Master!$A$2:$L$169,7,FALSE),"")</f>
        <v/>
      </c>
      <c r="AG542" s="18">
        <f>IFERROR(VLOOKUP($H542&amp;"|"&amp;$Q542,Tariff_Master!$A$2:$L$169,8,FALSE),"")</f>
        <v/>
      </c>
      <c r="AH542" s="20">
        <f>IFERROR(VLOOKUP($H542&amp;"|"&amp;$Q542,Tariff_Master!$A$2:$L$169,9,FALSE),"")</f>
        <v/>
      </c>
      <c r="AI542" s="18">
        <f>IFERROR(VLOOKUP($H542&amp;"|"&amp;$Q542,Tariff_Master!$A$2:$L$169,10,FALSE),"")</f>
        <v/>
      </c>
      <c r="AJ542" s="21">
        <f>IF($M542="","",ROUNDUP(MAX(0,$M542),0))</f>
        <v/>
      </c>
      <c r="AK542" s="21">
        <f>IF(OR($AJ542="",$AF542=""),"",MAX(0,$AJ542-$AF542))</f>
        <v/>
      </c>
      <c r="AL542" s="22">
        <f>IF(OR($AK542="",$AG542=""),"",MAX(0,$AK542*$AG542))</f>
        <v/>
      </c>
      <c r="AM542" s="22">
        <f>IF($AE542="","",MAX(0,SUM($AE542,$AL542,$V542,$W542)))</f>
        <v/>
      </c>
      <c r="AN542" s="22">
        <f>IF($AM542="","",IF(AND($Q542="COMMITMENT",$R542&gt;=$AH542),$AI542,0))</f>
        <v/>
      </c>
      <c r="AO542" s="23">
        <f>IF($AM542="","",MAX(0,$AM542-$AN542))</f>
        <v/>
      </c>
      <c r="AP542" s="22">
        <f>IF($S542="","",IF(OR($S542="ITEM_PRICE_PLUS_DECLARED_DELIVERY",$S542="DELIVERY_CHARGE_ONLY"),$K542,IF($S542="TOTAL_AMOUNT_INCLUDING_DELIVERY",IF(OR($T542="",$J542=""),"",MAX(0,$T542-$J542-$U542)),IF($S542="ITEM_PRICE_ONLY_DELIVERY_PAID_BY_MERCHANT",0,""))))</f>
        <v/>
      </c>
      <c r="AQ542" s="23">
        <f>IF(OR($AP542="",$AO542=""),"",$AP542-$AO542)</f>
        <v/>
      </c>
      <c r="AR542" s="24">
        <f>IF($S542="EXACT_COLLECTION_AMOUNT","BREAKDOWN_REQUIRED",IF($AQ542="","",IF($AQ542&gt;0,"CREDIT_TO_MERCHANT",IF($AQ542&lt;0,"DEDUCT_FROM_MERCHANT","NO_ADJUSTMENT"))))</f>
        <v/>
      </c>
      <c r="AS542" s="23">
        <f>IF(OR($AQ542="",$AR542="BREAKDOWN_REQUIRED"),"",$AQ542)</f>
        <v/>
      </c>
      <c r="AT542" s="23">
        <f>IF(OR($AR542="",$AR542="BREAKDOWN_REQUIRED"),"",SUM($J542,$AQ542,$Y542)-$X542)</f>
        <v/>
      </c>
      <c r="AU542" s="25">
        <f>IF(AND($A542="",$B542="",$F542="",$H542="",$J542="",$K542="",$M542="",$S542=""),"",IF(OR($H542="",$Q542="",$M542="",$S542=""),"ERROR",IF(OR($J542&lt;0,$K542&lt;0,$M542&lt;0,$T542&lt;0,$U542&lt;0,$V542&lt;0,$W542&lt;0,$X542&lt;0,$Y542&lt;0),"ERROR",IF($AE542="","ERROR",IF(AND(OR($S542="ITEM_PRICE_PLUS_DECLARED_DELIVERY",$S542="TOTAL_AMOUNT_INCLUDING_DELIVERY",$S542="ITEM_PRICE_ONLY_DELIVERY_PAID_BY_MERCHANT"),$J542=""),"ERROR",IF(AND(OR($S542="ITEM_PRICE_PLUS_DECLARED_DELIVERY",$S542="DELIVERY_CHARGE_ONLY"),$K542=""),"ERROR",IF(AND(OR($S542="TOTAL_AMOUNT_INCLUDING_DELIVERY",$S542="EXACT_COLLECTION_AMOUNT"),$T542=""),"ERROR",IF(AND($S542="TOTAL_AMOUNT_INCLUDING_DELIVERY",$T542&lt;SUM($J542,$U542)),"ERROR",IF($S542="EXACT_COLLECTION_AMOUNT","REVIEW","OK")))))))))</f>
        <v/>
      </c>
      <c r="AV542" s="25">
        <f>IF($AU542="","",IF($H542="","Township required",IF($Q542="","Customer tier required",IF($M542="","Weight required",IF($S542="","Amount entry type required",IF(OR($J542&lt;0,$K542&lt;0,$M542&lt;0,$T542&lt;0,$U542&lt;0,$V542&lt;0,$W542&lt;0,$X542&lt;0,$Y542&lt;0),"Negative amounts are not allowed",IF($AE542="","Tariff not found for township and tier",IF(AND(OR($S542="ITEM_PRICE_PLUS_DECLARED_DELIVERY",$S542="TOTAL_AMOUNT_INCLUDING_DELIVERY",$S542="ITEM_PRICE_ONLY_DELIVERY_PAID_BY_MERCHANT"),$J542=""),"Item price required for this amount type",IF(AND(OR($S542="ITEM_PRICE_PLUS_DECLARED_DELIVERY",$S542="DELIVERY_CHARGE_ONLY"),$K542=""),"Declared delivery charge required",IF(AND(OR($S542="TOTAL_AMOUNT_INCLUDING_DELIVERY",$S542="EXACT_COLLECTION_AMOUNT"),$T542=""),"Stated total amount required",IF(AND($S542="TOTAL_AMOUNT_INCLUDING_DELIVERY",$T542&lt;SUM($J542,$U542)),"Stated total is below item price plus additional charge",IF($S542="EXACT_COLLECTION_AMOUNT","Authorized amount breakdown required before settlement","Ready for collection and settlement"))))))))))))</f>
        <v/>
      </c>
      <c r="AW542" s="23">
        <f>IF($AU542="","","PARCEL_FINANCIAL_V2")</f>
        <v/>
      </c>
      <c r="AX542" s="17" t="n"/>
    </row>
    <row r="543">
      <c r="A543" s="8" t="n"/>
      <c r="B543" s="8" t="n"/>
      <c r="C543" s="8" t="n"/>
      <c r="D543" s="8" t="n"/>
      <c r="E543" s="9" t="n"/>
      <c r="F543" s="9" t="n"/>
      <c r="G543" s="8" t="n"/>
      <c r="H543" s="9" t="n"/>
      <c r="I543" s="9" t="n"/>
      <c r="J543" s="10" t="n"/>
      <c r="K543" s="10" t="n"/>
      <c r="L543" s="11">
        <f>IF($S543="","",IF($S543="ITEM_PRICE_PLUS_DECLARED_DELIVERY",IF(OR($J543="",$K543=""),"",SUM($J543,$K543,$U543)),IF($S543="TOTAL_AMOUNT_INCLUDING_DELIVERY",IF($T543="","",$T543),IF($S543="DELIVERY_CHARGE_ONLY",IF($K543="","",SUM($K543,$U543)),IF($S543="EXACT_COLLECTION_AMOUNT",IF($T543="","",$T543),IF($S543="ITEM_PRICE_ONLY_DELIVERY_PAID_BY_MERCHANT",IF($J543="","",SUM($J543,$U543)),""))))))</f>
        <v/>
      </c>
      <c r="M543" s="12" t="n"/>
      <c r="N543" s="13" t="n"/>
      <c r="O543" s="13" t="n"/>
      <c r="P543" s="9" t="n"/>
      <c r="Q543" s="14" t="n"/>
      <c r="R543" s="15" t="n"/>
      <c r="S543" s="14" t="n"/>
      <c r="T543" s="16" t="n"/>
      <c r="U543" s="16" t="n"/>
      <c r="V543" s="16" t="n"/>
      <c r="W543" s="16" t="n"/>
      <c r="X543" s="16" t="n"/>
      <c r="Y543" s="16" t="n"/>
      <c r="Z543" s="14" t="n"/>
      <c r="AA543" s="14" t="n"/>
      <c r="AB543" s="14" t="n"/>
      <c r="AC543" s="17">
        <f>IFERROR(VLOOKUP($H543&amp;"|"&amp;$Q543,Tariff_Master!$A$2:$L$169,3,FALSE),"")</f>
        <v/>
      </c>
      <c r="AD543" s="17">
        <f>IFERROR(VLOOKUP($H543&amp;"|"&amp;$Q543,Tariff_Master!$A$2:$L$169,4,FALSE),"")</f>
        <v/>
      </c>
      <c r="AE543" s="18">
        <f>IFERROR(VLOOKUP($H543&amp;"|"&amp;$Q543,Tariff_Master!$A$2:$L$169,6,FALSE),"")</f>
        <v/>
      </c>
      <c r="AF543" s="19">
        <f>IFERROR(VLOOKUP($H543&amp;"|"&amp;$Q543,Tariff_Master!$A$2:$L$169,7,FALSE),"")</f>
        <v/>
      </c>
      <c r="AG543" s="18">
        <f>IFERROR(VLOOKUP($H543&amp;"|"&amp;$Q543,Tariff_Master!$A$2:$L$169,8,FALSE),"")</f>
        <v/>
      </c>
      <c r="AH543" s="20">
        <f>IFERROR(VLOOKUP($H543&amp;"|"&amp;$Q543,Tariff_Master!$A$2:$L$169,9,FALSE),"")</f>
        <v/>
      </c>
      <c r="AI543" s="18">
        <f>IFERROR(VLOOKUP($H543&amp;"|"&amp;$Q543,Tariff_Master!$A$2:$L$169,10,FALSE),"")</f>
        <v/>
      </c>
      <c r="AJ543" s="21">
        <f>IF($M543="","",ROUNDUP(MAX(0,$M543),0))</f>
        <v/>
      </c>
      <c r="AK543" s="21">
        <f>IF(OR($AJ543="",$AF543=""),"",MAX(0,$AJ543-$AF543))</f>
        <v/>
      </c>
      <c r="AL543" s="22">
        <f>IF(OR($AK543="",$AG543=""),"",MAX(0,$AK543*$AG543))</f>
        <v/>
      </c>
      <c r="AM543" s="22">
        <f>IF($AE543="","",MAX(0,SUM($AE543,$AL543,$V543,$W543)))</f>
        <v/>
      </c>
      <c r="AN543" s="22">
        <f>IF($AM543="","",IF(AND($Q543="COMMITMENT",$R543&gt;=$AH543),$AI543,0))</f>
        <v/>
      </c>
      <c r="AO543" s="23">
        <f>IF($AM543="","",MAX(0,$AM543-$AN543))</f>
        <v/>
      </c>
      <c r="AP543" s="22">
        <f>IF($S543="","",IF(OR($S543="ITEM_PRICE_PLUS_DECLARED_DELIVERY",$S543="DELIVERY_CHARGE_ONLY"),$K543,IF($S543="TOTAL_AMOUNT_INCLUDING_DELIVERY",IF(OR($T543="",$J543=""),"",MAX(0,$T543-$J543-$U543)),IF($S543="ITEM_PRICE_ONLY_DELIVERY_PAID_BY_MERCHANT",0,""))))</f>
        <v/>
      </c>
      <c r="AQ543" s="23">
        <f>IF(OR($AP543="",$AO543=""),"",$AP543-$AO543)</f>
        <v/>
      </c>
      <c r="AR543" s="24">
        <f>IF($S543="EXACT_COLLECTION_AMOUNT","BREAKDOWN_REQUIRED",IF($AQ543="","",IF($AQ543&gt;0,"CREDIT_TO_MERCHANT",IF($AQ543&lt;0,"DEDUCT_FROM_MERCHANT","NO_ADJUSTMENT"))))</f>
        <v/>
      </c>
      <c r="AS543" s="23">
        <f>IF(OR($AQ543="",$AR543="BREAKDOWN_REQUIRED"),"",$AQ543)</f>
        <v/>
      </c>
      <c r="AT543" s="23">
        <f>IF(OR($AR543="",$AR543="BREAKDOWN_REQUIRED"),"",SUM($J543,$AQ543,$Y543)-$X543)</f>
        <v/>
      </c>
      <c r="AU543" s="25">
        <f>IF(AND($A543="",$B543="",$F543="",$H543="",$J543="",$K543="",$M543="",$S543=""),"",IF(OR($H543="",$Q543="",$M543="",$S543=""),"ERROR",IF(OR($J543&lt;0,$K543&lt;0,$M543&lt;0,$T543&lt;0,$U543&lt;0,$V543&lt;0,$W543&lt;0,$X543&lt;0,$Y543&lt;0),"ERROR",IF($AE543="","ERROR",IF(AND(OR($S543="ITEM_PRICE_PLUS_DECLARED_DELIVERY",$S543="TOTAL_AMOUNT_INCLUDING_DELIVERY",$S543="ITEM_PRICE_ONLY_DELIVERY_PAID_BY_MERCHANT"),$J543=""),"ERROR",IF(AND(OR($S543="ITEM_PRICE_PLUS_DECLARED_DELIVERY",$S543="DELIVERY_CHARGE_ONLY"),$K543=""),"ERROR",IF(AND(OR($S543="TOTAL_AMOUNT_INCLUDING_DELIVERY",$S543="EXACT_COLLECTION_AMOUNT"),$T543=""),"ERROR",IF(AND($S543="TOTAL_AMOUNT_INCLUDING_DELIVERY",$T543&lt;SUM($J543,$U543)),"ERROR",IF($S543="EXACT_COLLECTION_AMOUNT","REVIEW","OK")))))))))</f>
        <v/>
      </c>
      <c r="AV543" s="25">
        <f>IF($AU543="","",IF($H543="","Township required",IF($Q543="","Customer tier required",IF($M543="","Weight required",IF($S543="","Amount entry type required",IF(OR($J543&lt;0,$K543&lt;0,$M543&lt;0,$T543&lt;0,$U543&lt;0,$V543&lt;0,$W543&lt;0,$X543&lt;0,$Y543&lt;0),"Negative amounts are not allowed",IF($AE543="","Tariff not found for township and tier",IF(AND(OR($S543="ITEM_PRICE_PLUS_DECLARED_DELIVERY",$S543="TOTAL_AMOUNT_INCLUDING_DELIVERY",$S543="ITEM_PRICE_ONLY_DELIVERY_PAID_BY_MERCHANT"),$J543=""),"Item price required for this amount type",IF(AND(OR($S543="ITEM_PRICE_PLUS_DECLARED_DELIVERY",$S543="DELIVERY_CHARGE_ONLY"),$K543=""),"Declared delivery charge required",IF(AND(OR($S543="TOTAL_AMOUNT_INCLUDING_DELIVERY",$S543="EXACT_COLLECTION_AMOUNT"),$T543=""),"Stated total amount required",IF(AND($S543="TOTAL_AMOUNT_INCLUDING_DELIVERY",$T543&lt;SUM($J543,$U543)),"Stated total is below item price plus additional charge",IF($S543="EXACT_COLLECTION_AMOUNT","Authorized amount breakdown required before settlement","Ready for collection and settlement"))))))))))))</f>
        <v/>
      </c>
      <c r="AW543" s="23">
        <f>IF($AU543="","","PARCEL_FINANCIAL_V2")</f>
        <v/>
      </c>
      <c r="AX543" s="17" t="n"/>
    </row>
    <row r="544">
      <c r="A544" s="8" t="n"/>
      <c r="B544" s="8" t="n"/>
      <c r="C544" s="8" t="n"/>
      <c r="D544" s="8" t="n"/>
      <c r="E544" s="9" t="n"/>
      <c r="F544" s="9" t="n"/>
      <c r="G544" s="8" t="n"/>
      <c r="H544" s="9" t="n"/>
      <c r="I544" s="9" t="n"/>
      <c r="J544" s="10" t="n"/>
      <c r="K544" s="10" t="n"/>
      <c r="L544" s="11">
        <f>IF($S544="","",IF($S544="ITEM_PRICE_PLUS_DECLARED_DELIVERY",IF(OR($J544="",$K544=""),"",SUM($J544,$K544,$U544)),IF($S544="TOTAL_AMOUNT_INCLUDING_DELIVERY",IF($T544="","",$T544),IF($S544="DELIVERY_CHARGE_ONLY",IF($K544="","",SUM($K544,$U544)),IF($S544="EXACT_COLLECTION_AMOUNT",IF($T544="","",$T544),IF($S544="ITEM_PRICE_ONLY_DELIVERY_PAID_BY_MERCHANT",IF($J544="","",SUM($J544,$U544)),""))))))</f>
        <v/>
      </c>
      <c r="M544" s="12" t="n"/>
      <c r="N544" s="13" t="n"/>
      <c r="O544" s="13" t="n"/>
      <c r="P544" s="9" t="n"/>
      <c r="Q544" s="14" t="n"/>
      <c r="R544" s="15" t="n"/>
      <c r="S544" s="14" t="n"/>
      <c r="T544" s="16" t="n"/>
      <c r="U544" s="16" t="n"/>
      <c r="V544" s="16" t="n"/>
      <c r="W544" s="16" t="n"/>
      <c r="X544" s="16" t="n"/>
      <c r="Y544" s="16" t="n"/>
      <c r="Z544" s="14" t="n"/>
      <c r="AA544" s="14" t="n"/>
      <c r="AB544" s="14" t="n"/>
      <c r="AC544" s="17">
        <f>IFERROR(VLOOKUP($H544&amp;"|"&amp;$Q544,Tariff_Master!$A$2:$L$169,3,FALSE),"")</f>
        <v/>
      </c>
      <c r="AD544" s="17">
        <f>IFERROR(VLOOKUP($H544&amp;"|"&amp;$Q544,Tariff_Master!$A$2:$L$169,4,FALSE),"")</f>
        <v/>
      </c>
      <c r="AE544" s="18">
        <f>IFERROR(VLOOKUP($H544&amp;"|"&amp;$Q544,Tariff_Master!$A$2:$L$169,6,FALSE),"")</f>
        <v/>
      </c>
      <c r="AF544" s="19">
        <f>IFERROR(VLOOKUP($H544&amp;"|"&amp;$Q544,Tariff_Master!$A$2:$L$169,7,FALSE),"")</f>
        <v/>
      </c>
      <c r="AG544" s="18">
        <f>IFERROR(VLOOKUP($H544&amp;"|"&amp;$Q544,Tariff_Master!$A$2:$L$169,8,FALSE),"")</f>
        <v/>
      </c>
      <c r="AH544" s="20">
        <f>IFERROR(VLOOKUP($H544&amp;"|"&amp;$Q544,Tariff_Master!$A$2:$L$169,9,FALSE),"")</f>
        <v/>
      </c>
      <c r="AI544" s="18">
        <f>IFERROR(VLOOKUP($H544&amp;"|"&amp;$Q544,Tariff_Master!$A$2:$L$169,10,FALSE),"")</f>
        <v/>
      </c>
      <c r="AJ544" s="21">
        <f>IF($M544="","",ROUNDUP(MAX(0,$M544),0))</f>
        <v/>
      </c>
      <c r="AK544" s="21">
        <f>IF(OR($AJ544="",$AF544=""),"",MAX(0,$AJ544-$AF544))</f>
        <v/>
      </c>
      <c r="AL544" s="22">
        <f>IF(OR($AK544="",$AG544=""),"",MAX(0,$AK544*$AG544))</f>
        <v/>
      </c>
      <c r="AM544" s="22">
        <f>IF($AE544="","",MAX(0,SUM($AE544,$AL544,$V544,$W544)))</f>
        <v/>
      </c>
      <c r="AN544" s="22">
        <f>IF($AM544="","",IF(AND($Q544="COMMITMENT",$R544&gt;=$AH544),$AI544,0))</f>
        <v/>
      </c>
      <c r="AO544" s="23">
        <f>IF($AM544="","",MAX(0,$AM544-$AN544))</f>
        <v/>
      </c>
      <c r="AP544" s="22">
        <f>IF($S544="","",IF(OR($S544="ITEM_PRICE_PLUS_DECLARED_DELIVERY",$S544="DELIVERY_CHARGE_ONLY"),$K544,IF($S544="TOTAL_AMOUNT_INCLUDING_DELIVERY",IF(OR($T544="",$J544=""),"",MAX(0,$T544-$J544-$U544)),IF($S544="ITEM_PRICE_ONLY_DELIVERY_PAID_BY_MERCHANT",0,""))))</f>
        <v/>
      </c>
      <c r="AQ544" s="23">
        <f>IF(OR($AP544="",$AO544=""),"",$AP544-$AO544)</f>
        <v/>
      </c>
      <c r="AR544" s="24">
        <f>IF($S544="EXACT_COLLECTION_AMOUNT","BREAKDOWN_REQUIRED",IF($AQ544="","",IF($AQ544&gt;0,"CREDIT_TO_MERCHANT",IF($AQ544&lt;0,"DEDUCT_FROM_MERCHANT","NO_ADJUSTMENT"))))</f>
        <v/>
      </c>
      <c r="AS544" s="23">
        <f>IF(OR($AQ544="",$AR544="BREAKDOWN_REQUIRED"),"",$AQ544)</f>
        <v/>
      </c>
      <c r="AT544" s="23">
        <f>IF(OR($AR544="",$AR544="BREAKDOWN_REQUIRED"),"",SUM($J544,$AQ544,$Y544)-$X544)</f>
        <v/>
      </c>
      <c r="AU544" s="25">
        <f>IF(AND($A544="",$B544="",$F544="",$H544="",$J544="",$K544="",$M544="",$S544=""),"",IF(OR($H544="",$Q544="",$M544="",$S544=""),"ERROR",IF(OR($J544&lt;0,$K544&lt;0,$M544&lt;0,$T544&lt;0,$U544&lt;0,$V544&lt;0,$W544&lt;0,$X544&lt;0,$Y544&lt;0),"ERROR",IF($AE544="","ERROR",IF(AND(OR($S544="ITEM_PRICE_PLUS_DECLARED_DELIVERY",$S544="TOTAL_AMOUNT_INCLUDING_DELIVERY",$S544="ITEM_PRICE_ONLY_DELIVERY_PAID_BY_MERCHANT"),$J544=""),"ERROR",IF(AND(OR($S544="ITEM_PRICE_PLUS_DECLARED_DELIVERY",$S544="DELIVERY_CHARGE_ONLY"),$K544=""),"ERROR",IF(AND(OR($S544="TOTAL_AMOUNT_INCLUDING_DELIVERY",$S544="EXACT_COLLECTION_AMOUNT"),$T544=""),"ERROR",IF(AND($S544="TOTAL_AMOUNT_INCLUDING_DELIVERY",$T544&lt;SUM($J544,$U544)),"ERROR",IF($S544="EXACT_COLLECTION_AMOUNT","REVIEW","OK")))))))))</f>
        <v/>
      </c>
      <c r="AV544" s="25">
        <f>IF($AU544="","",IF($H544="","Township required",IF($Q544="","Customer tier required",IF($M544="","Weight required",IF($S544="","Amount entry type required",IF(OR($J544&lt;0,$K544&lt;0,$M544&lt;0,$T544&lt;0,$U544&lt;0,$V544&lt;0,$W544&lt;0,$X544&lt;0,$Y544&lt;0),"Negative amounts are not allowed",IF($AE544="","Tariff not found for township and tier",IF(AND(OR($S544="ITEM_PRICE_PLUS_DECLARED_DELIVERY",$S544="TOTAL_AMOUNT_INCLUDING_DELIVERY",$S544="ITEM_PRICE_ONLY_DELIVERY_PAID_BY_MERCHANT"),$J544=""),"Item price required for this amount type",IF(AND(OR($S544="ITEM_PRICE_PLUS_DECLARED_DELIVERY",$S544="DELIVERY_CHARGE_ONLY"),$K544=""),"Declared delivery charge required",IF(AND(OR($S544="TOTAL_AMOUNT_INCLUDING_DELIVERY",$S544="EXACT_COLLECTION_AMOUNT"),$T544=""),"Stated total amount required",IF(AND($S544="TOTAL_AMOUNT_INCLUDING_DELIVERY",$T544&lt;SUM($J544,$U544)),"Stated total is below item price plus additional charge",IF($S544="EXACT_COLLECTION_AMOUNT","Authorized amount breakdown required before settlement","Ready for collection and settlement"))))))))))))</f>
        <v/>
      </c>
      <c r="AW544" s="23">
        <f>IF($AU544="","","PARCEL_FINANCIAL_V2")</f>
        <v/>
      </c>
      <c r="AX544" s="17" t="n"/>
    </row>
    <row r="545">
      <c r="A545" s="8" t="n"/>
      <c r="B545" s="8" t="n"/>
      <c r="C545" s="8" t="n"/>
      <c r="D545" s="8" t="n"/>
      <c r="E545" s="9" t="n"/>
      <c r="F545" s="9" t="n"/>
      <c r="G545" s="8" t="n"/>
      <c r="H545" s="9" t="n"/>
      <c r="I545" s="9" t="n"/>
      <c r="J545" s="10" t="n"/>
      <c r="K545" s="10" t="n"/>
      <c r="L545" s="11">
        <f>IF($S545="","",IF($S545="ITEM_PRICE_PLUS_DECLARED_DELIVERY",IF(OR($J545="",$K545=""),"",SUM($J545,$K545,$U545)),IF($S545="TOTAL_AMOUNT_INCLUDING_DELIVERY",IF($T545="","",$T545),IF($S545="DELIVERY_CHARGE_ONLY",IF($K545="","",SUM($K545,$U545)),IF($S545="EXACT_COLLECTION_AMOUNT",IF($T545="","",$T545),IF($S545="ITEM_PRICE_ONLY_DELIVERY_PAID_BY_MERCHANT",IF($J545="","",SUM($J545,$U545)),""))))))</f>
        <v/>
      </c>
      <c r="M545" s="12" t="n"/>
      <c r="N545" s="13" t="n"/>
      <c r="O545" s="13" t="n"/>
      <c r="P545" s="9" t="n"/>
      <c r="Q545" s="14" t="n"/>
      <c r="R545" s="15" t="n"/>
      <c r="S545" s="14" t="n"/>
      <c r="T545" s="16" t="n"/>
      <c r="U545" s="16" t="n"/>
      <c r="V545" s="16" t="n"/>
      <c r="W545" s="16" t="n"/>
      <c r="X545" s="16" t="n"/>
      <c r="Y545" s="16" t="n"/>
      <c r="Z545" s="14" t="n"/>
      <c r="AA545" s="14" t="n"/>
      <c r="AB545" s="14" t="n"/>
      <c r="AC545" s="17">
        <f>IFERROR(VLOOKUP($H545&amp;"|"&amp;$Q545,Tariff_Master!$A$2:$L$169,3,FALSE),"")</f>
        <v/>
      </c>
      <c r="AD545" s="17">
        <f>IFERROR(VLOOKUP($H545&amp;"|"&amp;$Q545,Tariff_Master!$A$2:$L$169,4,FALSE),"")</f>
        <v/>
      </c>
      <c r="AE545" s="18">
        <f>IFERROR(VLOOKUP($H545&amp;"|"&amp;$Q545,Tariff_Master!$A$2:$L$169,6,FALSE),"")</f>
        <v/>
      </c>
      <c r="AF545" s="19">
        <f>IFERROR(VLOOKUP($H545&amp;"|"&amp;$Q545,Tariff_Master!$A$2:$L$169,7,FALSE),"")</f>
        <v/>
      </c>
      <c r="AG545" s="18">
        <f>IFERROR(VLOOKUP($H545&amp;"|"&amp;$Q545,Tariff_Master!$A$2:$L$169,8,FALSE),"")</f>
        <v/>
      </c>
      <c r="AH545" s="20">
        <f>IFERROR(VLOOKUP($H545&amp;"|"&amp;$Q545,Tariff_Master!$A$2:$L$169,9,FALSE),"")</f>
        <v/>
      </c>
      <c r="AI545" s="18">
        <f>IFERROR(VLOOKUP($H545&amp;"|"&amp;$Q545,Tariff_Master!$A$2:$L$169,10,FALSE),"")</f>
        <v/>
      </c>
      <c r="AJ545" s="21">
        <f>IF($M545="","",ROUNDUP(MAX(0,$M545),0))</f>
        <v/>
      </c>
      <c r="AK545" s="21">
        <f>IF(OR($AJ545="",$AF545=""),"",MAX(0,$AJ545-$AF545))</f>
        <v/>
      </c>
      <c r="AL545" s="22">
        <f>IF(OR($AK545="",$AG545=""),"",MAX(0,$AK545*$AG545))</f>
        <v/>
      </c>
      <c r="AM545" s="22">
        <f>IF($AE545="","",MAX(0,SUM($AE545,$AL545,$V545,$W545)))</f>
        <v/>
      </c>
      <c r="AN545" s="22">
        <f>IF($AM545="","",IF(AND($Q545="COMMITMENT",$R545&gt;=$AH545),$AI545,0))</f>
        <v/>
      </c>
      <c r="AO545" s="23">
        <f>IF($AM545="","",MAX(0,$AM545-$AN545))</f>
        <v/>
      </c>
      <c r="AP545" s="22">
        <f>IF($S545="","",IF(OR($S545="ITEM_PRICE_PLUS_DECLARED_DELIVERY",$S545="DELIVERY_CHARGE_ONLY"),$K545,IF($S545="TOTAL_AMOUNT_INCLUDING_DELIVERY",IF(OR($T545="",$J545=""),"",MAX(0,$T545-$J545-$U545)),IF($S545="ITEM_PRICE_ONLY_DELIVERY_PAID_BY_MERCHANT",0,""))))</f>
        <v/>
      </c>
      <c r="AQ545" s="23">
        <f>IF(OR($AP545="",$AO545=""),"",$AP545-$AO545)</f>
        <v/>
      </c>
      <c r="AR545" s="24">
        <f>IF($S545="EXACT_COLLECTION_AMOUNT","BREAKDOWN_REQUIRED",IF($AQ545="","",IF($AQ545&gt;0,"CREDIT_TO_MERCHANT",IF($AQ545&lt;0,"DEDUCT_FROM_MERCHANT","NO_ADJUSTMENT"))))</f>
        <v/>
      </c>
      <c r="AS545" s="23">
        <f>IF(OR($AQ545="",$AR545="BREAKDOWN_REQUIRED"),"",$AQ545)</f>
        <v/>
      </c>
      <c r="AT545" s="23">
        <f>IF(OR($AR545="",$AR545="BREAKDOWN_REQUIRED"),"",SUM($J545,$AQ545,$Y545)-$X545)</f>
        <v/>
      </c>
      <c r="AU545" s="25">
        <f>IF(AND($A545="",$B545="",$F545="",$H545="",$J545="",$K545="",$M545="",$S545=""),"",IF(OR($H545="",$Q545="",$M545="",$S545=""),"ERROR",IF(OR($J545&lt;0,$K545&lt;0,$M545&lt;0,$T545&lt;0,$U545&lt;0,$V545&lt;0,$W545&lt;0,$X545&lt;0,$Y545&lt;0),"ERROR",IF($AE545="","ERROR",IF(AND(OR($S545="ITEM_PRICE_PLUS_DECLARED_DELIVERY",$S545="TOTAL_AMOUNT_INCLUDING_DELIVERY",$S545="ITEM_PRICE_ONLY_DELIVERY_PAID_BY_MERCHANT"),$J545=""),"ERROR",IF(AND(OR($S545="ITEM_PRICE_PLUS_DECLARED_DELIVERY",$S545="DELIVERY_CHARGE_ONLY"),$K545=""),"ERROR",IF(AND(OR($S545="TOTAL_AMOUNT_INCLUDING_DELIVERY",$S545="EXACT_COLLECTION_AMOUNT"),$T545=""),"ERROR",IF(AND($S545="TOTAL_AMOUNT_INCLUDING_DELIVERY",$T545&lt;SUM($J545,$U545)),"ERROR",IF($S545="EXACT_COLLECTION_AMOUNT","REVIEW","OK")))))))))</f>
        <v/>
      </c>
      <c r="AV545" s="25">
        <f>IF($AU545="","",IF($H545="","Township required",IF($Q545="","Customer tier required",IF($M545="","Weight required",IF($S545="","Amount entry type required",IF(OR($J545&lt;0,$K545&lt;0,$M545&lt;0,$T545&lt;0,$U545&lt;0,$V545&lt;0,$W545&lt;0,$X545&lt;0,$Y545&lt;0),"Negative amounts are not allowed",IF($AE545="","Tariff not found for township and tier",IF(AND(OR($S545="ITEM_PRICE_PLUS_DECLARED_DELIVERY",$S545="TOTAL_AMOUNT_INCLUDING_DELIVERY",$S545="ITEM_PRICE_ONLY_DELIVERY_PAID_BY_MERCHANT"),$J545=""),"Item price required for this amount type",IF(AND(OR($S545="ITEM_PRICE_PLUS_DECLARED_DELIVERY",$S545="DELIVERY_CHARGE_ONLY"),$K545=""),"Declared delivery charge required",IF(AND(OR($S545="TOTAL_AMOUNT_INCLUDING_DELIVERY",$S545="EXACT_COLLECTION_AMOUNT"),$T545=""),"Stated total amount required",IF(AND($S545="TOTAL_AMOUNT_INCLUDING_DELIVERY",$T545&lt;SUM($J545,$U545)),"Stated total is below item price plus additional charge",IF($S545="EXACT_COLLECTION_AMOUNT","Authorized amount breakdown required before settlement","Ready for collection and settlement"))))))))))))</f>
        <v/>
      </c>
      <c r="AW545" s="23">
        <f>IF($AU545="","","PARCEL_FINANCIAL_V2")</f>
        <v/>
      </c>
      <c r="AX545" s="17" t="n"/>
    </row>
    <row r="546">
      <c r="A546" s="8" t="n"/>
      <c r="B546" s="8" t="n"/>
      <c r="C546" s="8" t="n"/>
      <c r="D546" s="8" t="n"/>
      <c r="E546" s="9" t="n"/>
      <c r="F546" s="9" t="n"/>
      <c r="G546" s="8" t="n"/>
      <c r="H546" s="9" t="n"/>
      <c r="I546" s="9" t="n"/>
      <c r="J546" s="10" t="n"/>
      <c r="K546" s="10" t="n"/>
      <c r="L546" s="11">
        <f>IF($S546="","",IF($S546="ITEM_PRICE_PLUS_DECLARED_DELIVERY",IF(OR($J546="",$K546=""),"",SUM($J546,$K546,$U546)),IF($S546="TOTAL_AMOUNT_INCLUDING_DELIVERY",IF($T546="","",$T546),IF($S546="DELIVERY_CHARGE_ONLY",IF($K546="","",SUM($K546,$U546)),IF($S546="EXACT_COLLECTION_AMOUNT",IF($T546="","",$T546),IF($S546="ITEM_PRICE_ONLY_DELIVERY_PAID_BY_MERCHANT",IF($J546="","",SUM($J546,$U546)),""))))))</f>
        <v/>
      </c>
      <c r="M546" s="12" t="n"/>
      <c r="N546" s="13" t="n"/>
      <c r="O546" s="13" t="n"/>
      <c r="P546" s="9" t="n"/>
      <c r="Q546" s="14" t="n"/>
      <c r="R546" s="15" t="n"/>
      <c r="S546" s="14" t="n"/>
      <c r="T546" s="16" t="n"/>
      <c r="U546" s="16" t="n"/>
      <c r="V546" s="16" t="n"/>
      <c r="W546" s="16" t="n"/>
      <c r="X546" s="16" t="n"/>
      <c r="Y546" s="16" t="n"/>
      <c r="Z546" s="14" t="n"/>
      <c r="AA546" s="14" t="n"/>
      <c r="AB546" s="14" t="n"/>
      <c r="AC546" s="17">
        <f>IFERROR(VLOOKUP($H546&amp;"|"&amp;$Q546,Tariff_Master!$A$2:$L$169,3,FALSE),"")</f>
        <v/>
      </c>
      <c r="AD546" s="17">
        <f>IFERROR(VLOOKUP($H546&amp;"|"&amp;$Q546,Tariff_Master!$A$2:$L$169,4,FALSE),"")</f>
        <v/>
      </c>
      <c r="AE546" s="18">
        <f>IFERROR(VLOOKUP($H546&amp;"|"&amp;$Q546,Tariff_Master!$A$2:$L$169,6,FALSE),"")</f>
        <v/>
      </c>
      <c r="AF546" s="19">
        <f>IFERROR(VLOOKUP($H546&amp;"|"&amp;$Q546,Tariff_Master!$A$2:$L$169,7,FALSE),"")</f>
        <v/>
      </c>
      <c r="AG546" s="18">
        <f>IFERROR(VLOOKUP($H546&amp;"|"&amp;$Q546,Tariff_Master!$A$2:$L$169,8,FALSE),"")</f>
        <v/>
      </c>
      <c r="AH546" s="20">
        <f>IFERROR(VLOOKUP($H546&amp;"|"&amp;$Q546,Tariff_Master!$A$2:$L$169,9,FALSE),"")</f>
        <v/>
      </c>
      <c r="AI546" s="18">
        <f>IFERROR(VLOOKUP($H546&amp;"|"&amp;$Q546,Tariff_Master!$A$2:$L$169,10,FALSE),"")</f>
        <v/>
      </c>
      <c r="AJ546" s="21">
        <f>IF($M546="","",ROUNDUP(MAX(0,$M546),0))</f>
        <v/>
      </c>
      <c r="AK546" s="21">
        <f>IF(OR($AJ546="",$AF546=""),"",MAX(0,$AJ546-$AF546))</f>
        <v/>
      </c>
      <c r="AL546" s="22">
        <f>IF(OR($AK546="",$AG546=""),"",MAX(0,$AK546*$AG546))</f>
        <v/>
      </c>
      <c r="AM546" s="22">
        <f>IF($AE546="","",MAX(0,SUM($AE546,$AL546,$V546,$W546)))</f>
        <v/>
      </c>
      <c r="AN546" s="22">
        <f>IF($AM546="","",IF(AND($Q546="COMMITMENT",$R546&gt;=$AH546),$AI546,0))</f>
        <v/>
      </c>
      <c r="AO546" s="23">
        <f>IF($AM546="","",MAX(0,$AM546-$AN546))</f>
        <v/>
      </c>
      <c r="AP546" s="22">
        <f>IF($S546="","",IF(OR($S546="ITEM_PRICE_PLUS_DECLARED_DELIVERY",$S546="DELIVERY_CHARGE_ONLY"),$K546,IF($S546="TOTAL_AMOUNT_INCLUDING_DELIVERY",IF(OR($T546="",$J546=""),"",MAX(0,$T546-$J546-$U546)),IF($S546="ITEM_PRICE_ONLY_DELIVERY_PAID_BY_MERCHANT",0,""))))</f>
        <v/>
      </c>
      <c r="AQ546" s="23">
        <f>IF(OR($AP546="",$AO546=""),"",$AP546-$AO546)</f>
        <v/>
      </c>
      <c r="AR546" s="24">
        <f>IF($S546="EXACT_COLLECTION_AMOUNT","BREAKDOWN_REQUIRED",IF($AQ546="","",IF($AQ546&gt;0,"CREDIT_TO_MERCHANT",IF($AQ546&lt;0,"DEDUCT_FROM_MERCHANT","NO_ADJUSTMENT"))))</f>
        <v/>
      </c>
      <c r="AS546" s="23">
        <f>IF(OR($AQ546="",$AR546="BREAKDOWN_REQUIRED"),"",$AQ546)</f>
        <v/>
      </c>
      <c r="AT546" s="23">
        <f>IF(OR($AR546="",$AR546="BREAKDOWN_REQUIRED"),"",SUM($J546,$AQ546,$Y546)-$X546)</f>
        <v/>
      </c>
      <c r="AU546" s="25">
        <f>IF(AND($A546="",$B546="",$F546="",$H546="",$J546="",$K546="",$M546="",$S546=""),"",IF(OR($H546="",$Q546="",$M546="",$S546=""),"ERROR",IF(OR($J546&lt;0,$K546&lt;0,$M546&lt;0,$T546&lt;0,$U546&lt;0,$V546&lt;0,$W546&lt;0,$X546&lt;0,$Y546&lt;0),"ERROR",IF($AE546="","ERROR",IF(AND(OR($S546="ITEM_PRICE_PLUS_DECLARED_DELIVERY",$S546="TOTAL_AMOUNT_INCLUDING_DELIVERY",$S546="ITEM_PRICE_ONLY_DELIVERY_PAID_BY_MERCHANT"),$J546=""),"ERROR",IF(AND(OR($S546="ITEM_PRICE_PLUS_DECLARED_DELIVERY",$S546="DELIVERY_CHARGE_ONLY"),$K546=""),"ERROR",IF(AND(OR($S546="TOTAL_AMOUNT_INCLUDING_DELIVERY",$S546="EXACT_COLLECTION_AMOUNT"),$T546=""),"ERROR",IF(AND($S546="TOTAL_AMOUNT_INCLUDING_DELIVERY",$T546&lt;SUM($J546,$U546)),"ERROR",IF($S546="EXACT_COLLECTION_AMOUNT","REVIEW","OK")))))))))</f>
        <v/>
      </c>
      <c r="AV546" s="25">
        <f>IF($AU546="","",IF($H546="","Township required",IF($Q546="","Customer tier required",IF($M546="","Weight required",IF($S546="","Amount entry type required",IF(OR($J546&lt;0,$K546&lt;0,$M546&lt;0,$T546&lt;0,$U546&lt;0,$V546&lt;0,$W546&lt;0,$X546&lt;0,$Y546&lt;0),"Negative amounts are not allowed",IF($AE546="","Tariff not found for township and tier",IF(AND(OR($S546="ITEM_PRICE_PLUS_DECLARED_DELIVERY",$S546="TOTAL_AMOUNT_INCLUDING_DELIVERY",$S546="ITEM_PRICE_ONLY_DELIVERY_PAID_BY_MERCHANT"),$J546=""),"Item price required for this amount type",IF(AND(OR($S546="ITEM_PRICE_PLUS_DECLARED_DELIVERY",$S546="DELIVERY_CHARGE_ONLY"),$K546=""),"Declared delivery charge required",IF(AND(OR($S546="TOTAL_AMOUNT_INCLUDING_DELIVERY",$S546="EXACT_COLLECTION_AMOUNT"),$T546=""),"Stated total amount required",IF(AND($S546="TOTAL_AMOUNT_INCLUDING_DELIVERY",$T546&lt;SUM($J546,$U546)),"Stated total is below item price plus additional charge",IF($S546="EXACT_COLLECTION_AMOUNT","Authorized amount breakdown required before settlement","Ready for collection and settlement"))))))))))))</f>
        <v/>
      </c>
      <c r="AW546" s="23">
        <f>IF($AU546="","","PARCEL_FINANCIAL_V2")</f>
        <v/>
      </c>
      <c r="AX546" s="17" t="n"/>
    </row>
    <row r="547">
      <c r="A547" s="8" t="n"/>
      <c r="B547" s="8" t="n"/>
      <c r="C547" s="8" t="n"/>
      <c r="D547" s="8" t="n"/>
      <c r="E547" s="9" t="n"/>
      <c r="F547" s="9" t="n"/>
      <c r="G547" s="8" t="n"/>
      <c r="H547" s="9" t="n"/>
      <c r="I547" s="9" t="n"/>
      <c r="J547" s="10" t="n"/>
      <c r="K547" s="10" t="n"/>
      <c r="L547" s="11">
        <f>IF($S547="","",IF($S547="ITEM_PRICE_PLUS_DECLARED_DELIVERY",IF(OR($J547="",$K547=""),"",SUM($J547,$K547,$U547)),IF($S547="TOTAL_AMOUNT_INCLUDING_DELIVERY",IF($T547="","",$T547),IF($S547="DELIVERY_CHARGE_ONLY",IF($K547="","",SUM($K547,$U547)),IF($S547="EXACT_COLLECTION_AMOUNT",IF($T547="","",$T547),IF($S547="ITEM_PRICE_ONLY_DELIVERY_PAID_BY_MERCHANT",IF($J547="","",SUM($J547,$U547)),""))))))</f>
        <v/>
      </c>
      <c r="M547" s="12" t="n"/>
      <c r="N547" s="13" t="n"/>
      <c r="O547" s="13" t="n"/>
      <c r="P547" s="9" t="n"/>
      <c r="Q547" s="14" t="n"/>
      <c r="R547" s="15" t="n"/>
      <c r="S547" s="14" t="n"/>
      <c r="T547" s="16" t="n"/>
      <c r="U547" s="16" t="n"/>
      <c r="V547" s="16" t="n"/>
      <c r="W547" s="16" t="n"/>
      <c r="X547" s="16" t="n"/>
      <c r="Y547" s="16" t="n"/>
      <c r="Z547" s="14" t="n"/>
      <c r="AA547" s="14" t="n"/>
      <c r="AB547" s="14" t="n"/>
      <c r="AC547" s="17">
        <f>IFERROR(VLOOKUP($H547&amp;"|"&amp;$Q547,Tariff_Master!$A$2:$L$169,3,FALSE),"")</f>
        <v/>
      </c>
      <c r="AD547" s="17">
        <f>IFERROR(VLOOKUP($H547&amp;"|"&amp;$Q547,Tariff_Master!$A$2:$L$169,4,FALSE),"")</f>
        <v/>
      </c>
      <c r="AE547" s="18">
        <f>IFERROR(VLOOKUP($H547&amp;"|"&amp;$Q547,Tariff_Master!$A$2:$L$169,6,FALSE),"")</f>
        <v/>
      </c>
      <c r="AF547" s="19">
        <f>IFERROR(VLOOKUP($H547&amp;"|"&amp;$Q547,Tariff_Master!$A$2:$L$169,7,FALSE),"")</f>
        <v/>
      </c>
      <c r="AG547" s="18">
        <f>IFERROR(VLOOKUP($H547&amp;"|"&amp;$Q547,Tariff_Master!$A$2:$L$169,8,FALSE),"")</f>
        <v/>
      </c>
      <c r="AH547" s="20">
        <f>IFERROR(VLOOKUP($H547&amp;"|"&amp;$Q547,Tariff_Master!$A$2:$L$169,9,FALSE),"")</f>
        <v/>
      </c>
      <c r="AI547" s="18">
        <f>IFERROR(VLOOKUP($H547&amp;"|"&amp;$Q547,Tariff_Master!$A$2:$L$169,10,FALSE),"")</f>
        <v/>
      </c>
      <c r="AJ547" s="21">
        <f>IF($M547="","",ROUNDUP(MAX(0,$M547),0))</f>
        <v/>
      </c>
      <c r="AK547" s="21">
        <f>IF(OR($AJ547="",$AF547=""),"",MAX(0,$AJ547-$AF547))</f>
        <v/>
      </c>
      <c r="AL547" s="22">
        <f>IF(OR($AK547="",$AG547=""),"",MAX(0,$AK547*$AG547))</f>
        <v/>
      </c>
      <c r="AM547" s="22">
        <f>IF($AE547="","",MAX(0,SUM($AE547,$AL547,$V547,$W547)))</f>
        <v/>
      </c>
      <c r="AN547" s="22">
        <f>IF($AM547="","",IF(AND($Q547="COMMITMENT",$R547&gt;=$AH547),$AI547,0))</f>
        <v/>
      </c>
      <c r="AO547" s="23">
        <f>IF($AM547="","",MAX(0,$AM547-$AN547))</f>
        <v/>
      </c>
      <c r="AP547" s="22">
        <f>IF($S547="","",IF(OR($S547="ITEM_PRICE_PLUS_DECLARED_DELIVERY",$S547="DELIVERY_CHARGE_ONLY"),$K547,IF($S547="TOTAL_AMOUNT_INCLUDING_DELIVERY",IF(OR($T547="",$J547=""),"",MAX(0,$T547-$J547-$U547)),IF($S547="ITEM_PRICE_ONLY_DELIVERY_PAID_BY_MERCHANT",0,""))))</f>
        <v/>
      </c>
      <c r="AQ547" s="23">
        <f>IF(OR($AP547="",$AO547=""),"",$AP547-$AO547)</f>
        <v/>
      </c>
      <c r="AR547" s="24">
        <f>IF($S547="EXACT_COLLECTION_AMOUNT","BREAKDOWN_REQUIRED",IF($AQ547="","",IF($AQ547&gt;0,"CREDIT_TO_MERCHANT",IF($AQ547&lt;0,"DEDUCT_FROM_MERCHANT","NO_ADJUSTMENT"))))</f>
        <v/>
      </c>
      <c r="AS547" s="23">
        <f>IF(OR($AQ547="",$AR547="BREAKDOWN_REQUIRED"),"",$AQ547)</f>
        <v/>
      </c>
      <c r="AT547" s="23">
        <f>IF(OR($AR547="",$AR547="BREAKDOWN_REQUIRED"),"",SUM($J547,$AQ547,$Y547)-$X547)</f>
        <v/>
      </c>
      <c r="AU547" s="25">
        <f>IF(AND($A547="",$B547="",$F547="",$H547="",$J547="",$K547="",$M547="",$S547=""),"",IF(OR($H547="",$Q547="",$M547="",$S547=""),"ERROR",IF(OR($J547&lt;0,$K547&lt;0,$M547&lt;0,$T547&lt;0,$U547&lt;0,$V547&lt;0,$W547&lt;0,$X547&lt;0,$Y547&lt;0),"ERROR",IF($AE547="","ERROR",IF(AND(OR($S547="ITEM_PRICE_PLUS_DECLARED_DELIVERY",$S547="TOTAL_AMOUNT_INCLUDING_DELIVERY",$S547="ITEM_PRICE_ONLY_DELIVERY_PAID_BY_MERCHANT"),$J547=""),"ERROR",IF(AND(OR($S547="ITEM_PRICE_PLUS_DECLARED_DELIVERY",$S547="DELIVERY_CHARGE_ONLY"),$K547=""),"ERROR",IF(AND(OR($S547="TOTAL_AMOUNT_INCLUDING_DELIVERY",$S547="EXACT_COLLECTION_AMOUNT"),$T547=""),"ERROR",IF(AND($S547="TOTAL_AMOUNT_INCLUDING_DELIVERY",$T547&lt;SUM($J547,$U547)),"ERROR",IF($S547="EXACT_COLLECTION_AMOUNT","REVIEW","OK")))))))))</f>
        <v/>
      </c>
      <c r="AV547" s="25">
        <f>IF($AU547="","",IF($H547="","Township required",IF($Q547="","Customer tier required",IF($M547="","Weight required",IF($S547="","Amount entry type required",IF(OR($J547&lt;0,$K547&lt;0,$M547&lt;0,$T547&lt;0,$U547&lt;0,$V547&lt;0,$W547&lt;0,$X547&lt;0,$Y547&lt;0),"Negative amounts are not allowed",IF($AE547="","Tariff not found for township and tier",IF(AND(OR($S547="ITEM_PRICE_PLUS_DECLARED_DELIVERY",$S547="TOTAL_AMOUNT_INCLUDING_DELIVERY",$S547="ITEM_PRICE_ONLY_DELIVERY_PAID_BY_MERCHANT"),$J547=""),"Item price required for this amount type",IF(AND(OR($S547="ITEM_PRICE_PLUS_DECLARED_DELIVERY",$S547="DELIVERY_CHARGE_ONLY"),$K547=""),"Declared delivery charge required",IF(AND(OR($S547="TOTAL_AMOUNT_INCLUDING_DELIVERY",$S547="EXACT_COLLECTION_AMOUNT"),$T547=""),"Stated total amount required",IF(AND($S547="TOTAL_AMOUNT_INCLUDING_DELIVERY",$T547&lt;SUM($J547,$U547)),"Stated total is below item price plus additional charge",IF($S547="EXACT_COLLECTION_AMOUNT","Authorized amount breakdown required before settlement","Ready for collection and settlement"))))))))))))</f>
        <v/>
      </c>
      <c r="AW547" s="23">
        <f>IF($AU547="","","PARCEL_FINANCIAL_V2")</f>
        <v/>
      </c>
      <c r="AX547" s="17" t="n"/>
    </row>
    <row r="548">
      <c r="A548" s="8" t="n"/>
      <c r="B548" s="8" t="n"/>
      <c r="C548" s="8" t="n"/>
      <c r="D548" s="8" t="n"/>
      <c r="E548" s="9" t="n"/>
      <c r="F548" s="9" t="n"/>
      <c r="G548" s="8" t="n"/>
      <c r="H548" s="9" t="n"/>
      <c r="I548" s="9" t="n"/>
      <c r="J548" s="10" t="n"/>
      <c r="K548" s="10" t="n"/>
      <c r="L548" s="11">
        <f>IF($S548="","",IF($S548="ITEM_PRICE_PLUS_DECLARED_DELIVERY",IF(OR($J548="",$K548=""),"",SUM($J548,$K548,$U548)),IF($S548="TOTAL_AMOUNT_INCLUDING_DELIVERY",IF($T548="","",$T548),IF($S548="DELIVERY_CHARGE_ONLY",IF($K548="","",SUM($K548,$U548)),IF($S548="EXACT_COLLECTION_AMOUNT",IF($T548="","",$T548),IF($S548="ITEM_PRICE_ONLY_DELIVERY_PAID_BY_MERCHANT",IF($J548="","",SUM($J548,$U548)),""))))))</f>
        <v/>
      </c>
      <c r="M548" s="12" t="n"/>
      <c r="N548" s="13" t="n"/>
      <c r="O548" s="13" t="n"/>
      <c r="P548" s="9" t="n"/>
      <c r="Q548" s="14" t="n"/>
      <c r="R548" s="15" t="n"/>
      <c r="S548" s="14" t="n"/>
      <c r="T548" s="16" t="n"/>
      <c r="U548" s="16" t="n"/>
      <c r="V548" s="16" t="n"/>
      <c r="W548" s="16" t="n"/>
      <c r="X548" s="16" t="n"/>
      <c r="Y548" s="16" t="n"/>
      <c r="Z548" s="14" t="n"/>
      <c r="AA548" s="14" t="n"/>
      <c r="AB548" s="14" t="n"/>
      <c r="AC548" s="17">
        <f>IFERROR(VLOOKUP($H548&amp;"|"&amp;$Q548,Tariff_Master!$A$2:$L$169,3,FALSE),"")</f>
        <v/>
      </c>
      <c r="AD548" s="17">
        <f>IFERROR(VLOOKUP($H548&amp;"|"&amp;$Q548,Tariff_Master!$A$2:$L$169,4,FALSE),"")</f>
        <v/>
      </c>
      <c r="AE548" s="18">
        <f>IFERROR(VLOOKUP($H548&amp;"|"&amp;$Q548,Tariff_Master!$A$2:$L$169,6,FALSE),"")</f>
        <v/>
      </c>
      <c r="AF548" s="19">
        <f>IFERROR(VLOOKUP($H548&amp;"|"&amp;$Q548,Tariff_Master!$A$2:$L$169,7,FALSE),"")</f>
        <v/>
      </c>
      <c r="AG548" s="18">
        <f>IFERROR(VLOOKUP($H548&amp;"|"&amp;$Q548,Tariff_Master!$A$2:$L$169,8,FALSE),"")</f>
        <v/>
      </c>
      <c r="AH548" s="20">
        <f>IFERROR(VLOOKUP($H548&amp;"|"&amp;$Q548,Tariff_Master!$A$2:$L$169,9,FALSE),"")</f>
        <v/>
      </c>
      <c r="AI548" s="18">
        <f>IFERROR(VLOOKUP($H548&amp;"|"&amp;$Q548,Tariff_Master!$A$2:$L$169,10,FALSE),"")</f>
        <v/>
      </c>
      <c r="AJ548" s="21">
        <f>IF($M548="","",ROUNDUP(MAX(0,$M548),0))</f>
        <v/>
      </c>
      <c r="AK548" s="21">
        <f>IF(OR($AJ548="",$AF548=""),"",MAX(0,$AJ548-$AF548))</f>
        <v/>
      </c>
      <c r="AL548" s="22">
        <f>IF(OR($AK548="",$AG548=""),"",MAX(0,$AK548*$AG548))</f>
        <v/>
      </c>
      <c r="AM548" s="22">
        <f>IF($AE548="","",MAX(0,SUM($AE548,$AL548,$V548,$W548)))</f>
        <v/>
      </c>
      <c r="AN548" s="22">
        <f>IF($AM548="","",IF(AND($Q548="COMMITMENT",$R548&gt;=$AH548),$AI548,0))</f>
        <v/>
      </c>
      <c r="AO548" s="23">
        <f>IF($AM548="","",MAX(0,$AM548-$AN548))</f>
        <v/>
      </c>
      <c r="AP548" s="22">
        <f>IF($S548="","",IF(OR($S548="ITEM_PRICE_PLUS_DECLARED_DELIVERY",$S548="DELIVERY_CHARGE_ONLY"),$K548,IF($S548="TOTAL_AMOUNT_INCLUDING_DELIVERY",IF(OR($T548="",$J548=""),"",MAX(0,$T548-$J548-$U548)),IF($S548="ITEM_PRICE_ONLY_DELIVERY_PAID_BY_MERCHANT",0,""))))</f>
        <v/>
      </c>
      <c r="AQ548" s="23">
        <f>IF(OR($AP548="",$AO548=""),"",$AP548-$AO548)</f>
        <v/>
      </c>
      <c r="AR548" s="24">
        <f>IF($S548="EXACT_COLLECTION_AMOUNT","BREAKDOWN_REQUIRED",IF($AQ548="","",IF($AQ548&gt;0,"CREDIT_TO_MERCHANT",IF($AQ548&lt;0,"DEDUCT_FROM_MERCHANT","NO_ADJUSTMENT"))))</f>
        <v/>
      </c>
      <c r="AS548" s="23">
        <f>IF(OR($AQ548="",$AR548="BREAKDOWN_REQUIRED"),"",$AQ548)</f>
        <v/>
      </c>
      <c r="AT548" s="23">
        <f>IF(OR($AR548="",$AR548="BREAKDOWN_REQUIRED"),"",SUM($J548,$AQ548,$Y548)-$X548)</f>
        <v/>
      </c>
      <c r="AU548" s="25">
        <f>IF(AND($A548="",$B548="",$F548="",$H548="",$J548="",$K548="",$M548="",$S548=""),"",IF(OR($H548="",$Q548="",$M548="",$S548=""),"ERROR",IF(OR($J548&lt;0,$K548&lt;0,$M548&lt;0,$T548&lt;0,$U548&lt;0,$V548&lt;0,$W548&lt;0,$X548&lt;0,$Y548&lt;0),"ERROR",IF($AE548="","ERROR",IF(AND(OR($S548="ITEM_PRICE_PLUS_DECLARED_DELIVERY",$S548="TOTAL_AMOUNT_INCLUDING_DELIVERY",$S548="ITEM_PRICE_ONLY_DELIVERY_PAID_BY_MERCHANT"),$J548=""),"ERROR",IF(AND(OR($S548="ITEM_PRICE_PLUS_DECLARED_DELIVERY",$S548="DELIVERY_CHARGE_ONLY"),$K548=""),"ERROR",IF(AND(OR($S548="TOTAL_AMOUNT_INCLUDING_DELIVERY",$S548="EXACT_COLLECTION_AMOUNT"),$T548=""),"ERROR",IF(AND($S548="TOTAL_AMOUNT_INCLUDING_DELIVERY",$T548&lt;SUM($J548,$U548)),"ERROR",IF($S548="EXACT_COLLECTION_AMOUNT","REVIEW","OK")))))))))</f>
        <v/>
      </c>
      <c r="AV548" s="25">
        <f>IF($AU548="","",IF($H548="","Township required",IF($Q548="","Customer tier required",IF($M548="","Weight required",IF($S548="","Amount entry type required",IF(OR($J548&lt;0,$K548&lt;0,$M548&lt;0,$T548&lt;0,$U548&lt;0,$V548&lt;0,$W548&lt;0,$X548&lt;0,$Y548&lt;0),"Negative amounts are not allowed",IF($AE548="","Tariff not found for township and tier",IF(AND(OR($S548="ITEM_PRICE_PLUS_DECLARED_DELIVERY",$S548="TOTAL_AMOUNT_INCLUDING_DELIVERY",$S548="ITEM_PRICE_ONLY_DELIVERY_PAID_BY_MERCHANT"),$J548=""),"Item price required for this amount type",IF(AND(OR($S548="ITEM_PRICE_PLUS_DECLARED_DELIVERY",$S548="DELIVERY_CHARGE_ONLY"),$K548=""),"Declared delivery charge required",IF(AND(OR($S548="TOTAL_AMOUNT_INCLUDING_DELIVERY",$S548="EXACT_COLLECTION_AMOUNT"),$T548=""),"Stated total amount required",IF(AND($S548="TOTAL_AMOUNT_INCLUDING_DELIVERY",$T548&lt;SUM($J548,$U548)),"Stated total is below item price plus additional charge",IF($S548="EXACT_COLLECTION_AMOUNT","Authorized amount breakdown required before settlement","Ready for collection and settlement"))))))))))))</f>
        <v/>
      </c>
      <c r="AW548" s="23">
        <f>IF($AU548="","","PARCEL_FINANCIAL_V2")</f>
        <v/>
      </c>
      <c r="AX548" s="17" t="n"/>
    </row>
    <row r="549">
      <c r="A549" s="8" t="n"/>
      <c r="B549" s="8" t="n"/>
      <c r="C549" s="8" t="n"/>
      <c r="D549" s="8" t="n"/>
      <c r="E549" s="9" t="n"/>
      <c r="F549" s="9" t="n"/>
      <c r="G549" s="8" t="n"/>
      <c r="H549" s="9" t="n"/>
      <c r="I549" s="9" t="n"/>
      <c r="J549" s="10" t="n"/>
      <c r="K549" s="10" t="n"/>
      <c r="L549" s="11">
        <f>IF($S549="","",IF($S549="ITEM_PRICE_PLUS_DECLARED_DELIVERY",IF(OR($J549="",$K549=""),"",SUM($J549,$K549,$U549)),IF($S549="TOTAL_AMOUNT_INCLUDING_DELIVERY",IF($T549="","",$T549),IF($S549="DELIVERY_CHARGE_ONLY",IF($K549="","",SUM($K549,$U549)),IF($S549="EXACT_COLLECTION_AMOUNT",IF($T549="","",$T549),IF($S549="ITEM_PRICE_ONLY_DELIVERY_PAID_BY_MERCHANT",IF($J549="","",SUM($J549,$U549)),""))))))</f>
        <v/>
      </c>
      <c r="M549" s="12" t="n"/>
      <c r="N549" s="13" t="n"/>
      <c r="O549" s="13" t="n"/>
      <c r="P549" s="9" t="n"/>
      <c r="Q549" s="14" t="n"/>
      <c r="R549" s="15" t="n"/>
      <c r="S549" s="14" t="n"/>
      <c r="T549" s="16" t="n"/>
      <c r="U549" s="16" t="n"/>
      <c r="V549" s="16" t="n"/>
      <c r="W549" s="16" t="n"/>
      <c r="X549" s="16" t="n"/>
      <c r="Y549" s="16" t="n"/>
      <c r="Z549" s="14" t="n"/>
      <c r="AA549" s="14" t="n"/>
      <c r="AB549" s="14" t="n"/>
      <c r="AC549" s="17">
        <f>IFERROR(VLOOKUP($H549&amp;"|"&amp;$Q549,Tariff_Master!$A$2:$L$169,3,FALSE),"")</f>
        <v/>
      </c>
      <c r="AD549" s="17">
        <f>IFERROR(VLOOKUP($H549&amp;"|"&amp;$Q549,Tariff_Master!$A$2:$L$169,4,FALSE),"")</f>
        <v/>
      </c>
      <c r="AE549" s="18">
        <f>IFERROR(VLOOKUP($H549&amp;"|"&amp;$Q549,Tariff_Master!$A$2:$L$169,6,FALSE),"")</f>
        <v/>
      </c>
      <c r="AF549" s="19">
        <f>IFERROR(VLOOKUP($H549&amp;"|"&amp;$Q549,Tariff_Master!$A$2:$L$169,7,FALSE),"")</f>
        <v/>
      </c>
      <c r="AG549" s="18">
        <f>IFERROR(VLOOKUP($H549&amp;"|"&amp;$Q549,Tariff_Master!$A$2:$L$169,8,FALSE),"")</f>
        <v/>
      </c>
      <c r="AH549" s="20">
        <f>IFERROR(VLOOKUP($H549&amp;"|"&amp;$Q549,Tariff_Master!$A$2:$L$169,9,FALSE),"")</f>
        <v/>
      </c>
      <c r="AI549" s="18">
        <f>IFERROR(VLOOKUP($H549&amp;"|"&amp;$Q549,Tariff_Master!$A$2:$L$169,10,FALSE),"")</f>
        <v/>
      </c>
      <c r="AJ549" s="21">
        <f>IF($M549="","",ROUNDUP(MAX(0,$M549),0))</f>
        <v/>
      </c>
      <c r="AK549" s="21">
        <f>IF(OR($AJ549="",$AF549=""),"",MAX(0,$AJ549-$AF549))</f>
        <v/>
      </c>
      <c r="AL549" s="22">
        <f>IF(OR($AK549="",$AG549=""),"",MAX(0,$AK549*$AG549))</f>
        <v/>
      </c>
      <c r="AM549" s="22">
        <f>IF($AE549="","",MAX(0,SUM($AE549,$AL549,$V549,$W549)))</f>
        <v/>
      </c>
      <c r="AN549" s="22">
        <f>IF($AM549="","",IF(AND($Q549="COMMITMENT",$R549&gt;=$AH549),$AI549,0))</f>
        <v/>
      </c>
      <c r="AO549" s="23">
        <f>IF($AM549="","",MAX(0,$AM549-$AN549))</f>
        <v/>
      </c>
      <c r="AP549" s="22">
        <f>IF($S549="","",IF(OR($S549="ITEM_PRICE_PLUS_DECLARED_DELIVERY",$S549="DELIVERY_CHARGE_ONLY"),$K549,IF($S549="TOTAL_AMOUNT_INCLUDING_DELIVERY",IF(OR($T549="",$J549=""),"",MAX(0,$T549-$J549-$U549)),IF($S549="ITEM_PRICE_ONLY_DELIVERY_PAID_BY_MERCHANT",0,""))))</f>
        <v/>
      </c>
      <c r="AQ549" s="23">
        <f>IF(OR($AP549="",$AO549=""),"",$AP549-$AO549)</f>
        <v/>
      </c>
      <c r="AR549" s="24">
        <f>IF($S549="EXACT_COLLECTION_AMOUNT","BREAKDOWN_REQUIRED",IF($AQ549="","",IF($AQ549&gt;0,"CREDIT_TO_MERCHANT",IF($AQ549&lt;0,"DEDUCT_FROM_MERCHANT","NO_ADJUSTMENT"))))</f>
        <v/>
      </c>
      <c r="AS549" s="23">
        <f>IF(OR($AQ549="",$AR549="BREAKDOWN_REQUIRED"),"",$AQ549)</f>
        <v/>
      </c>
      <c r="AT549" s="23">
        <f>IF(OR($AR549="",$AR549="BREAKDOWN_REQUIRED"),"",SUM($J549,$AQ549,$Y549)-$X549)</f>
        <v/>
      </c>
      <c r="AU549" s="25">
        <f>IF(AND($A549="",$B549="",$F549="",$H549="",$J549="",$K549="",$M549="",$S549=""),"",IF(OR($H549="",$Q549="",$M549="",$S549=""),"ERROR",IF(OR($J549&lt;0,$K549&lt;0,$M549&lt;0,$T549&lt;0,$U549&lt;0,$V549&lt;0,$W549&lt;0,$X549&lt;0,$Y549&lt;0),"ERROR",IF($AE549="","ERROR",IF(AND(OR($S549="ITEM_PRICE_PLUS_DECLARED_DELIVERY",$S549="TOTAL_AMOUNT_INCLUDING_DELIVERY",$S549="ITEM_PRICE_ONLY_DELIVERY_PAID_BY_MERCHANT"),$J549=""),"ERROR",IF(AND(OR($S549="ITEM_PRICE_PLUS_DECLARED_DELIVERY",$S549="DELIVERY_CHARGE_ONLY"),$K549=""),"ERROR",IF(AND(OR($S549="TOTAL_AMOUNT_INCLUDING_DELIVERY",$S549="EXACT_COLLECTION_AMOUNT"),$T549=""),"ERROR",IF(AND($S549="TOTAL_AMOUNT_INCLUDING_DELIVERY",$T549&lt;SUM($J549,$U549)),"ERROR",IF($S549="EXACT_COLLECTION_AMOUNT","REVIEW","OK")))))))))</f>
        <v/>
      </c>
      <c r="AV549" s="25">
        <f>IF($AU549="","",IF($H549="","Township required",IF($Q549="","Customer tier required",IF($M549="","Weight required",IF($S549="","Amount entry type required",IF(OR($J549&lt;0,$K549&lt;0,$M549&lt;0,$T549&lt;0,$U549&lt;0,$V549&lt;0,$W549&lt;0,$X549&lt;0,$Y549&lt;0),"Negative amounts are not allowed",IF($AE549="","Tariff not found for township and tier",IF(AND(OR($S549="ITEM_PRICE_PLUS_DECLARED_DELIVERY",$S549="TOTAL_AMOUNT_INCLUDING_DELIVERY",$S549="ITEM_PRICE_ONLY_DELIVERY_PAID_BY_MERCHANT"),$J549=""),"Item price required for this amount type",IF(AND(OR($S549="ITEM_PRICE_PLUS_DECLARED_DELIVERY",$S549="DELIVERY_CHARGE_ONLY"),$K549=""),"Declared delivery charge required",IF(AND(OR($S549="TOTAL_AMOUNT_INCLUDING_DELIVERY",$S549="EXACT_COLLECTION_AMOUNT"),$T549=""),"Stated total amount required",IF(AND($S549="TOTAL_AMOUNT_INCLUDING_DELIVERY",$T549&lt;SUM($J549,$U549)),"Stated total is below item price plus additional charge",IF($S549="EXACT_COLLECTION_AMOUNT","Authorized amount breakdown required before settlement","Ready for collection and settlement"))))))))))))</f>
        <v/>
      </c>
      <c r="AW549" s="23">
        <f>IF($AU549="","","PARCEL_FINANCIAL_V2")</f>
        <v/>
      </c>
      <c r="AX549" s="17" t="n"/>
    </row>
    <row r="550">
      <c r="A550" s="8" t="n"/>
      <c r="B550" s="8" t="n"/>
      <c r="C550" s="8" t="n"/>
      <c r="D550" s="8" t="n"/>
      <c r="E550" s="9" t="n"/>
      <c r="F550" s="9" t="n"/>
      <c r="G550" s="8" t="n"/>
      <c r="H550" s="9" t="n"/>
      <c r="I550" s="9" t="n"/>
      <c r="J550" s="10" t="n"/>
      <c r="K550" s="10" t="n"/>
      <c r="L550" s="11">
        <f>IF($S550="","",IF($S550="ITEM_PRICE_PLUS_DECLARED_DELIVERY",IF(OR($J550="",$K550=""),"",SUM($J550,$K550,$U550)),IF($S550="TOTAL_AMOUNT_INCLUDING_DELIVERY",IF($T550="","",$T550),IF($S550="DELIVERY_CHARGE_ONLY",IF($K550="","",SUM($K550,$U550)),IF($S550="EXACT_COLLECTION_AMOUNT",IF($T550="","",$T550),IF($S550="ITEM_PRICE_ONLY_DELIVERY_PAID_BY_MERCHANT",IF($J550="","",SUM($J550,$U550)),""))))))</f>
        <v/>
      </c>
      <c r="M550" s="12" t="n"/>
      <c r="N550" s="13" t="n"/>
      <c r="O550" s="13" t="n"/>
      <c r="P550" s="9" t="n"/>
      <c r="Q550" s="14" t="n"/>
      <c r="R550" s="15" t="n"/>
      <c r="S550" s="14" t="n"/>
      <c r="T550" s="16" t="n"/>
      <c r="U550" s="16" t="n"/>
      <c r="V550" s="16" t="n"/>
      <c r="W550" s="16" t="n"/>
      <c r="X550" s="16" t="n"/>
      <c r="Y550" s="16" t="n"/>
      <c r="Z550" s="14" t="n"/>
      <c r="AA550" s="14" t="n"/>
      <c r="AB550" s="14" t="n"/>
      <c r="AC550" s="17">
        <f>IFERROR(VLOOKUP($H550&amp;"|"&amp;$Q550,Tariff_Master!$A$2:$L$169,3,FALSE),"")</f>
        <v/>
      </c>
      <c r="AD550" s="17">
        <f>IFERROR(VLOOKUP($H550&amp;"|"&amp;$Q550,Tariff_Master!$A$2:$L$169,4,FALSE),"")</f>
        <v/>
      </c>
      <c r="AE550" s="18">
        <f>IFERROR(VLOOKUP($H550&amp;"|"&amp;$Q550,Tariff_Master!$A$2:$L$169,6,FALSE),"")</f>
        <v/>
      </c>
      <c r="AF550" s="19">
        <f>IFERROR(VLOOKUP($H550&amp;"|"&amp;$Q550,Tariff_Master!$A$2:$L$169,7,FALSE),"")</f>
        <v/>
      </c>
      <c r="AG550" s="18">
        <f>IFERROR(VLOOKUP($H550&amp;"|"&amp;$Q550,Tariff_Master!$A$2:$L$169,8,FALSE),"")</f>
        <v/>
      </c>
      <c r="AH550" s="20">
        <f>IFERROR(VLOOKUP($H550&amp;"|"&amp;$Q550,Tariff_Master!$A$2:$L$169,9,FALSE),"")</f>
        <v/>
      </c>
      <c r="AI550" s="18">
        <f>IFERROR(VLOOKUP($H550&amp;"|"&amp;$Q550,Tariff_Master!$A$2:$L$169,10,FALSE),"")</f>
        <v/>
      </c>
      <c r="AJ550" s="21">
        <f>IF($M550="","",ROUNDUP(MAX(0,$M550),0))</f>
        <v/>
      </c>
      <c r="AK550" s="21">
        <f>IF(OR($AJ550="",$AF550=""),"",MAX(0,$AJ550-$AF550))</f>
        <v/>
      </c>
      <c r="AL550" s="22">
        <f>IF(OR($AK550="",$AG550=""),"",MAX(0,$AK550*$AG550))</f>
        <v/>
      </c>
      <c r="AM550" s="22">
        <f>IF($AE550="","",MAX(0,SUM($AE550,$AL550,$V550,$W550)))</f>
        <v/>
      </c>
      <c r="AN550" s="22">
        <f>IF($AM550="","",IF(AND($Q550="COMMITMENT",$R550&gt;=$AH550),$AI550,0))</f>
        <v/>
      </c>
      <c r="AO550" s="23">
        <f>IF($AM550="","",MAX(0,$AM550-$AN550))</f>
        <v/>
      </c>
      <c r="AP550" s="22">
        <f>IF($S550="","",IF(OR($S550="ITEM_PRICE_PLUS_DECLARED_DELIVERY",$S550="DELIVERY_CHARGE_ONLY"),$K550,IF($S550="TOTAL_AMOUNT_INCLUDING_DELIVERY",IF(OR($T550="",$J550=""),"",MAX(0,$T550-$J550-$U550)),IF($S550="ITEM_PRICE_ONLY_DELIVERY_PAID_BY_MERCHANT",0,""))))</f>
        <v/>
      </c>
      <c r="AQ550" s="23">
        <f>IF(OR($AP550="",$AO550=""),"",$AP550-$AO550)</f>
        <v/>
      </c>
      <c r="AR550" s="24">
        <f>IF($S550="EXACT_COLLECTION_AMOUNT","BREAKDOWN_REQUIRED",IF($AQ550="","",IF($AQ550&gt;0,"CREDIT_TO_MERCHANT",IF($AQ550&lt;0,"DEDUCT_FROM_MERCHANT","NO_ADJUSTMENT"))))</f>
        <v/>
      </c>
      <c r="AS550" s="23">
        <f>IF(OR($AQ550="",$AR550="BREAKDOWN_REQUIRED"),"",$AQ550)</f>
        <v/>
      </c>
      <c r="AT550" s="23">
        <f>IF(OR($AR550="",$AR550="BREAKDOWN_REQUIRED"),"",SUM($J550,$AQ550,$Y550)-$X550)</f>
        <v/>
      </c>
      <c r="AU550" s="25">
        <f>IF(AND($A550="",$B550="",$F550="",$H550="",$J550="",$K550="",$M550="",$S550=""),"",IF(OR($H550="",$Q550="",$M550="",$S550=""),"ERROR",IF(OR($J550&lt;0,$K550&lt;0,$M550&lt;0,$T550&lt;0,$U550&lt;0,$V550&lt;0,$W550&lt;0,$X550&lt;0,$Y550&lt;0),"ERROR",IF($AE550="","ERROR",IF(AND(OR($S550="ITEM_PRICE_PLUS_DECLARED_DELIVERY",$S550="TOTAL_AMOUNT_INCLUDING_DELIVERY",$S550="ITEM_PRICE_ONLY_DELIVERY_PAID_BY_MERCHANT"),$J550=""),"ERROR",IF(AND(OR($S550="ITEM_PRICE_PLUS_DECLARED_DELIVERY",$S550="DELIVERY_CHARGE_ONLY"),$K550=""),"ERROR",IF(AND(OR($S550="TOTAL_AMOUNT_INCLUDING_DELIVERY",$S550="EXACT_COLLECTION_AMOUNT"),$T550=""),"ERROR",IF(AND($S550="TOTAL_AMOUNT_INCLUDING_DELIVERY",$T550&lt;SUM($J550,$U550)),"ERROR",IF($S550="EXACT_COLLECTION_AMOUNT","REVIEW","OK")))))))))</f>
        <v/>
      </c>
      <c r="AV550" s="25">
        <f>IF($AU550="","",IF($H550="","Township required",IF($Q550="","Customer tier required",IF($M550="","Weight required",IF($S550="","Amount entry type required",IF(OR($J550&lt;0,$K550&lt;0,$M550&lt;0,$T550&lt;0,$U550&lt;0,$V550&lt;0,$W550&lt;0,$X550&lt;0,$Y550&lt;0),"Negative amounts are not allowed",IF($AE550="","Tariff not found for township and tier",IF(AND(OR($S550="ITEM_PRICE_PLUS_DECLARED_DELIVERY",$S550="TOTAL_AMOUNT_INCLUDING_DELIVERY",$S550="ITEM_PRICE_ONLY_DELIVERY_PAID_BY_MERCHANT"),$J550=""),"Item price required for this amount type",IF(AND(OR($S550="ITEM_PRICE_PLUS_DECLARED_DELIVERY",$S550="DELIVERY_CHARGE_ONLY"),$K550=""),"Declared delivery charge required",IF(AND(OR($S550="TOTAL_AMOUNT_INCLUDING_DELIVERY",$S550="EXACT_COLLECTION_AMOUNT"),$T550=""),"Stated total amount required",IF(AND($S550="TOTAL_AMOUNT_INCLUDING_DELIVERY",$T550&lt;SUM($J550,$U550)),"Stated total is below item price plus additional charge",IF($S550="EXACT_COLLECTION_AMOUNT","Authorized amount breakdown required before settlement","Ready for collection and settlement"))))))))))))</f>
        <v/>
      </c>
      <c r="AW550" s="23">
        <f>IF($AU550="","","PARCEL_FINANCIAL_V2")</f>
        <v/>
      </c>
      <c r="AX550" s="17" t="n"/>
    </row>
    <row r="551">
      <c r="A551" s="8" t="n"/>
      <c r="B551" s="8" t="n"/>
      <c r="C551" s="8" t="n"/>
      <c r="D551" s="8" t="n"/>
      <c r="E551" s="9" t="n"/>
      <c r="F551" s="9" t="n"/>
      <c r="G551" s="8" t="n"/>
      <c r="H551" s="9" t="n"/>
      <c r="I551" s="9" t="n"/>
      <c r="J551" s="10" t="n"/>
      <c r="K551" s="10" t="n"/>
      <c r="L551" s="11">
        <f>IF($S551="","",IF($S551="ITEM_PRICE_PLUS_DECLARED_DELIVERY",IF(OR($J551="",$K551=""),"",SUM($J551,$K551,$U551)),IF($S551="TOTAL_AMOUNT_INCLUDING_DELIVERY",IF($T551="","",$T551),IF($S551="DELIVERY_CHARGE_ONLY",IF($K551="","",SUM($K551,$U551)),IF($S551="EXACT_COLLECTION_AMOUNT",IF($T551="","",$T551),IF($S551="ITEM_PRICE_ONLY_DELIVERY_PAID_BY_MERCHANT",IF($J551="","",SUM($J551,$U551)),""))))))</f>
        <v/>
      </c>
      <c r="M551" s="12" t="n"/>
      <c r="N551" s="13" t="n"/>
      <c r="O551" s="13" t="n"/>
      <c r="P551" s="9" t="n"/>
      <c r="Q551" s="14" t="n"/>
      <c r="R551" s="15" t="n"/>
      <c r="S551" s="14" t="n"/>
      <c r="T551" s="16" t="n"/>
      <c r="U551" s="16" t="n"/>
      <c r="V551" s="16" t="n"/>
      <c r="W551" s="16" t="n"/>
      <c r="X551" s="16" t="n"/>
      <c r="Y551" s="16" t="n"/>
      <c r="Z551" s="14" t="n"/>
      <c r="AA551" s="14" t="n"/>
      <c r="AB551" s="14" t="n"/>
      <c r="AC551" s="17">
        <f>IFERROR(VLOOKUP($H551&amp;"|"&amp;$Q551,Tariff_Master!$A$2:$L$169,3,FALSE),"")</f>
        <v/>
      </c>
      <c r="AD551" s="17">
        <f>IFERROR(VLOOKUP($H551&amp;"|"&amp;$Q551,Tariff_Master!$A$2:$L$169,4,FALSE),"")</f>
        <v/>
      </c>
      <c r="AE551" s="18">
        <f>IFERROR(VLOOKUP($H551&amp;"|"&amp;$Q551,Tariff_Master!$A$2:$L$169,6,FALSE),"")</f>
        <v/>
      </c>
      <c r="AF551" s="19">
        <f>IFERROR(VLOOKUP($H551&amp;"|"&amp;$Q551,Tariff_Master!$A$2:$L$169,7,FALSE),"")</f>
        <v/>
      </c>
      <c r="AG551" s="18">
        <f>IFERROR(VLOOKUP($H551&amp;"|"&amp;$Q551,Tariff_Master!$A$2:$L$169,8,FALSE),"")</f>
        <v/>
      </c>
      <c r="AH551" s="20">
        <f>IFERROR(VLOOKUP($H551&amp;"|"&amp;$Q551,Tariff_Master!$A$2:$L$169,9,FALSE),"")</f>
        <v/>
      </c>
      <c r="AI551" s="18">
        <f>IFERROR(VLOOKUP($H551&amp;"|"&amp;$Q551,Tariff_Master!$A$2:$L$169,10,FALSE),"")</f>
        <v/>
      </c>
      <c r="AJ551" s="21">
        <f>IF($M551="","",ROUNDUP(MAX(0,$M551),0))</f>
        <v/>
      </c>
      <c r="AK551" s="21">
        <f>IF(OR($AJ551="",$AF551=""),"",MAX(0,$AJ551-$AF551))</f>
        <v/>
      </c>
      <c r="AL551" s="22">
        <f>IF(OR($AK551="",$AG551=""),"",MAX(0,$AK551*$AG551))</f>
        <v/>
      </c>
      <c r="AM551" s="22">
        <f>IF($AE551="","",MAX(0,SUM($AE551,$AL551,$V551,$W551)))</f>
        <v/>
      </c>
      <c r="AN551" s="22">
        <f>IF($AM551="","",IF(AND($Q551="COMMITMENT",$R551&gt;=$AH551),$AI551,0))</f>
        <v/>
      </c>
      <c r="AO551" s="23">
        <f>IF($AM551="","",MAX(0,$AM551-$AN551))</f>
        <v/>
      </c>
      <c r="AP551" s="22">
        <f>IF($S551="","",IF(OR($S551="ITEM_PRICE_PLUS_DECLARED_DELIVERY",$S551="DELIVERY_CHARGE_ONLY"),$K551,IF($S551="TOTAL_AMOUNT_INCLUDING_DELIVERY",IF(OR($T551="",$J551=""),"",MAX(0,$T551-$J551-$U551)),IF($S551="ITEM_PRICE_ONLY_DELIVERY_PAID_BY_MERCHANT",0,""))))</f>
        <v/>
      </c>
      <c r="AQ551" s="23">
        <f>IF(OR($AP551="",$AO551=""),"",$AP551-$AO551)</f>
        <v/>
      </c>
      <c r="AR551" s="24">
        <f>IF($S551="EXACT_COLLECTION_AMOUNT","BREAKDOWN_REQUIRED",IF($AQ551="","",IF($AQ551&gt;0,"CREDIT_TO_MERCHANT",IF($AQ551&lt;0,"DEDUCT_FROM_MERCHANT","NO_ADJUSTMENT"))))</f>
        <v/>
      </c>
      <c r="AS551" s="23">
        <f>IF(OR($AQ551="",$AR551="BREAKDOWN_REQUIRED"),"",$AQ551)</f>
        <v/>
      </c>
      <c r="AT551" s="23">
        <f>IF(OR($AR551="",$AR551="BREAKDOWN_REQUIRED"),"",SUM($J551,$AQ551,$Y551)-$X551)</f>
        <v/>
      </c>
      <c r="AU551" s="25">
        <f>IF(AND($A551="",$B551="",$F551="",$H551="",$J551="",$K551="",$M551="",$S551=""),"",IF(OR($H551="",$Q551="",$M551="",$S551=""),"ERROR",IF(OR($J551&lt;0,$K551&lt;0,$M551&lt;0,$T551&lt;0,$U551&lt;0,$V551&lt;0,$W551&lt;0,$X551&lt;0,$Y551&lt;0),"ERROR",IF($AE551="","ERROR",IF(AND(OR($S551="ITEM_PRICE_PLUS_DECLARED_DELIVERY",$S551="TOTAL_AMOUNT_INCLUDING_DELIVERY",$S551="ITEM_PRICE_ONLY_DELIVERY_PAID_BY_MERCHANT"),$J551=""),"ERROR",IF(AND(OR($S551="ITEM_PRICE_PLUS_DECLARED_DELIVERY",$S551="DELIVERY_CHARGE_ONLY"),$K551=""),"ERROR",IF(AND(OR($S551="TOTAL_AMOUNT_INCLUDING_DELIVERY",$S551="EXACT_COLLECTION_AMOUNT"),$T551=""),"ERROR",IF(AND($S551="TOTAL_AMOUNT_INCLUDING_DELIVERY",$T551&lt;SUM($J551,$U551)),"ERROR",IF($S551="EXACT_COLLECTION_AMOUNT","REVIEW","OK")))))))))</f>
        <v/>
      </c>
      <c r="AV551" s="25">
        <f>IF($AU551="","",IF($H551="","Township required",IF($Q551="","Customer tier required",IF($M551="","Weight required",IF($S551="","Amount entry type required",IF(OR($J551&lt;0,$K551&lt;0,$M551&lt;0,$T551&lt;0,$U551&lt;0,$V551&lt;0,$W551&lt;0,$X551&lt;0,$Y551&lt;0),"Negative amounts are not allowed",IF($AE551="","Tariff not found for township and tier",IF(AND(OR($S551="ITEM_PRICE_PLUS_DECLARED_DELIVERY",$S551="TOTAL_AMOUNT_INCLUDING_DELIVERY",$S551="ITEM_PRICE_ONLY_DELIVERY_PAID_BY_MERCHANT"),$J551=""),"Item price required for this amount type",IF(AND(OR($S551="ITEM_PRICE_PLUS_DECLARED_DELIVERY",$S551="DELIVERY_CHARGE_ONLY"),$K551=""),"Declared delivery charge required",IF(AND(OR($S551="TOTAL_AMOUNT_INCLUDING_DELIVERY",$S551="EXACT_COLLECTION_AMOUNT"),$T551=""),"Stated total amount required",IF(AND($S551="TOTAL_AMOUNT_INCLUDING_DELIVERY",$T551&lt;SUM($J551,$U551)),"Stated total is below item price plus additional charge",IF($S551="EXACT_COLLECTION_AMOUNT","Authorized amount breakdown required before settlement","Ready for collection and settlement"))))))))))))</f>
        <v/>
      </c>
      <c r="AW551" s="23">
        <f>IF($AU551="","","PARCEL_FINANCIAL_V2")</f>
        <v/>
      </c>
      <c r="AX551" s="17" t="n"/>
    </row>
    <row r="552">
      <c r="A552" s="8" t="n"/>
      <c r="B552" s="8" t="n"/>
      <c r="C552" s="8" t="n"/>
      <c r="D552" s="8" t="n"/>
      <c r="E552" s="9" t="n"/>
      <c r="F552" s="9" t="n"/>
      <c r="G552" s="8" t="n"/>
      <c r="H552" s="9" t="n"/>
      <c r="I552" s="9" t="n"/>
      <c r="J552" s="10" t="n"/>
      <c r="K552" s="10" t="n"/>
      <c r="L552" s="11">
        <f>IF($S552="","",IF($S552="ITEM_PRICE_PLUS_DECLARED_DELIVERY",IF(OR($J552="",$K552=""),"",SUM($J552,$K552,$U552)),IF($S552="TOTAL_AMOUNT_INCLUDING_DELIVERY",IF($T552="","",$T552),IF($S552="DELIVERY_CHARGE_ONLY",IF($K552="","",SUM($K552,$U552)),IF($S552="EXACT_COLLECTION_AMOUNT",IF($T552="","",$T552),IF($S552="ITEM_PRICE_ONLY_DELIVERY_PAID_BY_MERCHANT",IF($J552="","",SUM($J552,$U552)),""))))))</f>
        <v/>
      </c>
      <c r="M552" s="12" t="n"/>
      <c r="N552" s="13" t="n"/>
      <c r="O552" s="13" t="n"/>
      <c r="P552" s="9" t="n"/>
      <c r="Q552" s="14" t="n"/>
      <c r="R552" s="15" t="n"/>
      <c r="S552" s="14" t="n"/>
      <c r="T552" s="16" t="n"/>
      <c r="U552" s="16" t="n"/>
      <c r="V552" s="16" t="n"/>
      <c r="W552" s="16" t="n"/>
      <c r="X552" s="16" t="n"/>
      <c r="Y552" s="16" t="n"/>
      <c r="Z552" s="14" t="n"/>
      <c r="AA552" s="14" t="n"/>
      <c r="AB552" s="14" t="n"/>
      <c r="AC552" s="17">
        <f>IFERROR(VLOOKUP($H552&amp;"|"&amp;$Q552,Tariff_Master!$A$2:$L$169,3,FALSE),"")</f>
        <v/>
      </c>
      <c r="AD552" s="17">
        <f>IFERROR(VLOOKUP($H552&amp;"|"&amp;$Q552,Tariff_Master!$A$2:$L$169,4,FALSE),"")</f>
        <v/>
      </c>
      <c r="AE552" s="18">
        <f>IFERROR(VLOOKUP($H552&amp;"|"&amp;$Q552,Tariff_Master!$A$2:$L$169,6,FALSE),"")</f>
        <v/>
      </c>
      <c r="AF552" s="19">
        <f>IFERROR(VLOOKUP($H552&amp;"|"&amp;$Q552,Tariff_Master!$A$2:$L$169,7,FALSE),"")</f>
        <v/>
      </c>
      <c r="AG552" s="18">
        <f>IFERROR(VLOOKUP($H552&amp;"|"&amp;$Q552,Tariff_Master!$A$2:$L$169,8,FALSE),"")</f>
        <v/>
      </c>
      <c r="AH552" s="20">
        <f>IFERROR(VLOOKUP($H552&amp;"|"&amp;$Q552,Tariff_Master!$A$2:$L$169,9,FALSE),"")</f>
        <v/>
      </c>
      <c r="AI552" s="18">
        <f>IFERROR(VLOOKUP($H552&amp;"|"&amp;$Q552,Tariff_Master!$A$2:$L$169,10,FALSE),"")</f>
        <v/>
      </c>
      <c r="AJ552" s="21">
        <f>IF($M552="","",ROUNDUP(MAX(0,$M552),0))</f>
        <v/>
      </c>
      <c r="AK552" s="21">
        <f>IF(OR($AJ552="",$AF552=""),"",MAX(0,$AJ552-$AF552))</f>
        <v/>
      </c>
      <c r="AL552" s="22">
        <f>IF(OR($AK552="",$AG552=""),"",MAX(0,$AK552*$AG552))</f>
        <v/>
      </c>
      <c r="AM552" s="22">
        <f>IF($AE552="","",MAX(0,SUM($AE552,$AL552,$V552,$W552)))</f>
        <v/>
      </c>
      <c r="AN552" s="22">
        <f>IF($AM552="","",IF(AND($Q552="COMMITMENT",$R552&gt;=$AH552),$AI552,0))</f>
        <v/>
      </c>
      <c r="AO552" s="23">
        <f>IF($AM552="","",MAX(0,$AM552-$AN552))</f>
        <v/>
      </c>
      <c r="AP552" s="22">
        <f>IF($S552="","",IF(OR($S552="ITEM_PRICE_PLUS_DECLARED_DELIVERY",$S552="DELIVERY_CHARGE_ONLY"),$K552,IF($S552="TOTAL_AMOUNT_INCLUDING_DELIVERY",IF(OR($T552="",$J552=""),"",MAX(0,$T552-$J552-$U552)),IF($S552="ITEM_PRICE_ONLY_DELIVERY_PAID_BY_MERCHANT",0,""))))</f>
        <v/>
      </c>
      <c r="AQ552" s="23">
        <f>IF(OR($AP552="",$AO552=""),"",$AP552-$AO552)</f>
        <v/>
      </c>
      <c r="AR552" s="24">
        <f>IF($S552="EXACT_COLLECTION_AMOUNT","BREAKDOWN_REQUIRED",IF($AQ552="","",IF($AQ552&gt;0,"CREDIT_TO_MERCHANT",IF($AQ552&lt;0,"DEDUCT_FROM_MERCHANT","NO_ADJUSTMENT"))))</f>
        <v/>
      </c>
      <c r="AS552" s="23">
        <f>IF(OR($AQ552="",$AR552="BREAKDOWN_REQUIRED"),"",$AQ552)</f>
        <v/>
      </c>
      <c r="AT552" s="23">
        <f>IF(OR($AR552="",$AR552="BREAKDOWN_REQUIRED"),"",SUM($J552,$AQ552,$Y552)-$X552)</f>
        <v/>
      </c>
      <c r="AU552" s="25">
        <f>IF(AND($A552="",$B552="",$F552="",$H552="",$J552="",$K552="",$M552="",$S552=""),"",IF(OR($H552="",$Q552="",$M552="",$S552=""),"ERROR",IF(OR($J552&lt;0,$K552&lt;0,$M552&lt;0,$T552&lt;0,$U552&lt;0,$V552&lt;0,$W552&lt;0,$X552&lt;0,$Y552&lt;0),"ERROR",IF($AE552="","ERROR",IF(AND(OR($S552="ITEM_PRICE_PLUS_DECLARED_DELIVERY",$S552="TOTAL_AMOUNT_INCLUDING_DELIVERY",$S552="ITEM_PRICE_ONLY_DELIVERY_PAID_BY_MERCHANT"),$J552=""),"ERROR",IF(AND(OR($S552="ITEM_PRICE_PLUS_DECLARED_DELIVERY",$S552="DELIVERY_CHARGE_ONLY"),$K552=""),"ERROR",IF(AND(OR($S552="TOTAL_AMOUNT_INCLUDING_DELIVERY",$S552="EXACT_COLLECTION_AMOUNT"),$T552=""),"ERROR",IF(AND($S552="TOTAL_AMOUNT_INCLUDING_DELIVERY",$T552&lt;SUM($J552,$U552)),"ERROR",IF($S552="EXACT_COLLECTION_AMOUNT","REVIEW","OK")))))))))</f>
        <v/>
      </c>
      <c r="AV552" s="25">
        <f>IF($AU552="","",IF($H552="","Township required",IF($Q552="","Customer tier required",IF($M552="","Weight required",IF($S552="","Amount entry type required",IF(OR($J552&lt;0,$K552&lt;0,$M552&lt;0,$T552&lt;0,$U552&lt;0,$V552&lt;0,$W552&lt;0,$X552&lt;0,$Y552&lt;0),"Negative amounts are not allowed",IF($AE552="","Tariff not found for township and tier",IF(AND(OR($S552="ITEM_PRICE_PLUS_DECLARED_DELIVERY",$S552="TOTAL_AMOUNT_INCLUDING_DELIVERY",$S552="ITEM_PRICE_ONLY_DELIVERY_PAID_BY_MERCHANT"),$J552=""),"Item price required for this amount type",IF(AND(OR($S552="ITEM_PRICE_PLUS_DECLARED_DELIVERY",$S552="DELIVERY_CHARGE_ONLY"),$K552=""),"Declared delivery charge required",IF(AND(OR($S552="TOTAL_AMOUNT_INCLUDING_DELIVERY",$S552="EXACT_COLLECTION_AMOUNT"),$T552=""),"Stated total amount required",IF(AND($S552="TOTAL_AMOUNT_INCLUDING_DELIVERY",$T552&lt;SUM($J552,$U552)),"Stated total is below item price plus additional charge",IF($S552="EXACT_COLLECTION_AMOUNT","Authorized amount breakdown required before settlement","Ready for collection and settlement"))))))))))))</f>
        <v/>
      </c>
      <c r="AW552" s="23">
        <f>IF($AU552="","","PARCEL_FINANCIAL_V2")</f>
        <v/>
      </c>
      <c r="AX552" s="17" t="n"/>
    </row>
    <row r="553">
      <c r="A553" s="8" t="n"/>
      <c r="B553" s="8" t="n"/>
      <c r="C553" s="8" t="n"/>
      <c r="D553" s="8" t="n"/>
      <c r="E553" s="9" t="n"/>
      <c r="F553" s="9" t="n"/>
      <c r="G553" s="8" t="n"/>
      <c r="H553" s="9" t="n"/>
      <c r="I553" s="9" t="n"/>
      <c r="J553" s="10" t="n"/>
      <c r="K553" s="10" t="n"/>
      <c r="L553" s="11">
        <f>IF($S553="","",IF($S553="ITEM_PRICE_PLUS_DECLARED_DELIVERY",IF(OR($J553="",$K553=""),"",SUM($J553,$K553,$U553)),IF($S553="TOTAL_AMOUNT_INCLUDING_DELIVERY",IF($T553="","",$T553),IF($S553="DELIVERY_CHARGE_ONLY",IF($K553="","",SUM($K553,$U553)),IF($S553="EXACT_COLLECTION_AMOUNT",IF($T553="","",$T553),IF($S553="ITEM_PRICE_ONLY_DELIVERY_PAID_BY_MERCHANT",IF($J553="","",SUM($J553,$U553)),""))))))</f>
        <v/>
      </c>
      <c r="M553" s="12" t="n"/>
      <c r="N553" s="13" t="n"/>
      <c r="O553" s="13" t="n"/>
      <c r="P553" s="9" t="n"/>
      <c r="Q553" s="14" t="n"/>
      <c r="R553" s="15" t="n"/>
      <c r="S553" s="14" t="n"/>
      <c r="T553" s="16" t="n"/>
      <c r="U553" s="16" t="n"/>
      <c r="V553" s="16" t="n"/>
      <c r="W553" s="16" t="n"/>
      <c r="X553" s="16" t="n"/>
      <c r="Y553" s="16" t="n"/>
      <c r="Z553" s="14" t="n"/>
      <c r="AA553" s="14" t="n"/>
      <c r="AB553" s="14" t="n"/>
      <c r="AC553" s="17">
        <f>IFERROR(VLOOKUP($H553&amp;"|"&amp;$Q553,Tariff_Master!$A$2:$L$169,3,FALSE),"")</f>
        <v/>
      </c>
      <c r="AD553" s="17">
        <f>IFERROR(VLOOKUP($H553&amp;"|"&amp;$Q553,Tariff_Master!$A$2:$L$169,4,FALSE),"")</f>
        <v/>
      </c>
      <c r="AE553" s="18">
        <f>IFERROR(VLOOKUP($H553&amp;"|"&amp;$Q553,Tariff_Master!$A$2:$L$169,6,FALSE),"")</f>
        <v/>
      </c>
      <c r="AF553" s="19">
        <f>IFERROR(VLOOKUP($H553&amp;"|"&amp;$Q553,Tariff_Master!$A$2:$L$169,7,FALSE),"")</f>
        <v/>
      </c>
      <c r="AG553" s="18">
        <f>IFERROR(VLOOKUP($H553&amp;"|"&amp;$Q553,Tariff_Master!$A$2:$L$169,8,FALSE),"")</f>
        <v/>
      </c>
      <c r="AH553" s="20">
        <f>IFERROR(VLOOKUP($H553&amp;"|"&amp;$Q553,Tariff_Master!$A$2:$L$169,9,FALSE),"")</f>
        <v/>
      </c>
      <c r="AI553" s="18">
        <f>IFERROR(VLOOKUP($H553&amp;"|"&amp;$Q553,Tariff_Master!$A$2:$L$169,10,FALSE),"")</f>
        <v/>
      </c>
      <c r="AJ553" s="21">
        <f>IF($M553="","",ROUNDUP(MAX(0,$M553),0))</f>
        <v/>
      </c>
      <c r="AK553" s="21">
        <f>IF(OR($AJ553="",$AF553=""),"",MAX(0,$AJ553-$AF553))</f>
        <v/>
      </c>
      <c r="AL553" s="22">
        <f>IF(OR($AK553="",$AG553=""),"",MAX(0,$AK553*$AG553))</f>
        <v/>
      </c>
      <c r="AM553" s="22">
        <f>IF($AE553="","",MAX(0,SUM($AE553,$AL553,$V553,$W553)))</f>
        <v/>
      </c>
      <c r="AN553" s="22">
        <f>IF($AM553="","",IF(AND($Q553="COMMITMENT",$R553&gt;=$AH553),$AI553,0))</f>
        <v/>
      </c>
      <c r="AO553" s="23">
        <f>IF($AM553="","",MAX(0,$AM553-$AN553))</f>
        <v/>
      </c>
      <c r="AP553" s="22">
        <f>IF($S553="","",IF(OR($S553="ITEM_PRICE_PLUS_DECLARED_DELIVERY",$S553="DELIVERY_CHARGE_ONLY"),$K553,IF($S553="TOTAL_AMOUNT_INCLUDING_DELIVERY",IF(OR($T553="",$J553=""),"",MAX(0,$T553-$J553-$U553)),IF($S553="ITEM_PRICE_ONLY_DELIVERY_PAID_BY_MERCHANT",0,""))))</f>
        <v/>
      </c>
      <c r="AQ553" s="23">
        <f>IF(OR($AP553="",$AO553=""),"",$AP553-$AO553)</f>
        <v/>
      </c>
      <c r="AR553" s="24">
        <f>IF($S553="EXACT_COLLECTION_AMOUNT","BREAKDOWN_REQUIRED",IF($AQ553="","",IF($AQ553&gt;0,"CREDIT_TO_MERCHANT",IF($AQ553&lt;0,"DEDUCT_FROM_MERCHANT","NO_ADJUSTMENT"))))</f>
        <v/>
      </c>
      <c r="AS553" s="23">
        <f>IF(OR($AQ553="",$AR553="BREAKDOWN_REQUIRED"),"",$AQ553)</f>
        <v/>
      </c>
      <c r="AT553" s="23">
        <f>IF(OR($AR553="",$AR553="BREAKDOWN_REQUIRED"),"",SUM($J553,$AQ553,$Y553)-$X553)</f>
        <v/>
      </c>
      <c r="AU553" s="25">
        <f>IF(AND($A553="",$B553="",$F553="",$H553="",$J553="",$K553="",$M553="",$S553=""),"",IF(OR($H553="",$Q553="",$M553="",$S553=""),"ERROR",IF(OR($J553&lt;0,$K553&lt;0,$M553&lt;0,$T553&lt;0,$U553&lt;0,$V553&lt;0,$W553&lt;0,$X553&lt;0,$Y553&lt;0),"ERROR",IF($AE553="","ERROR",IF(AND(OR($S553="ITEM_PRICE_PLUS_DECLARED_DELIVERY",$S553="TOTAL_AMOUNT_INCLUDING_DELIVERY",$S553="ITEM_PRICE_ONLY_DELIVERY_PAID_BY_MERCHANT"),$J553=""),"ERROR",IF(AND(OR($S553="ITEM_PRICE_PLUS_DECLARED_DELIVERY",$S553="DELIVERY_CHARGE_ONLY"),$K553=""),"ERROR",IF(AND(OR($S553="TOTAL_AMOUNT_INCLUDING_DELIVERY",$S553="EXACT_COLLECTION_AMOUNT"),$T553=""),"ERROR",IF(AND($S553="TOTAL_AMOUNT_INCLUDING_DELIVERY",$T553&lt;SUM($J553,$U553)),"ERROR",IF($S553="EXACT_COLLECTION_AMOUNT","REVIEW","OK")))))))))</f>
        <v/>
      </c>
      <c r="AV553" s="25">
        <f>IF($AU553="","",IF($H553="","Township required",IF($Q553="","Customer tier required",IF($M553="","Weight required",IF($S553="","Amount entry type required",IF(OR($J553&lt;0,$K553&lt;0,$M553&lt;0,$T553&lt;0,$U553&lt;0,$V553&lt;0,$W553&lt;0,$X553&lt;0,$Y553&lt;0),"Negative amounts are not allowed",IF($AE553="","Tariff not found for township and tier",IF(AND(OR($S553="ITEM_PRICE_PLUS_DECLARED_DELIVERY",$S553="TOTAL_AMOUNT_INCLUDING_DELIVERY",$S553="ITEM_PRICE_ONLY_DELIVERY_PAID_BY_MERCHANT"),$J553=""),"Item price required for this amount type",IF(AND(OR($S553="ITEM_PRICE_PLUS_DECLARED_DELIVERY",$S553="DELIVERY_CHARGE_ONLY"),$K553=""),"Declared delivery charge required",IF(AND(OR($S553="TOTAL_AMOUNT_INCLUDING_DELIVERY",$S553="EXACT_COLLECTION_AMOUNT"),$T553=""),"Stated total amount required",IF(AND($S553="TOTAL_AMOUNT_INCLUDING_DELIVERY",$T553&lt;SUM($J553,$U553)),"Stated total is below item price plus additional charge",IF($S553="EXACT_COLLECTION_AMOUNT","Authorized amount breakdown required before settlement","Ready for collection and settlement"))))))))))))</f>
        <v/>
      </c>
      <c r="AW553" s="23">
        <f>IF($AU553="","","PARCEL_FINANCIAL_V2")</f>
        <v/>
      </c>
      <c r="AX553" s="17" t="n"/>
    </row>
    <row r="554">
      <c r="A554" s="8" t="n"/>
      <c r="B554" s="8" t="n"/>
      <c r="C554" s="8" t="n"/>
      <c r="D554" s="8" t="n"/>
      <c r="E554" s="9" t="n"/>
      <c r="F554" s="9" t="n"/>
      <c r="G554" s="8" t="n"/>
      <c r="H554" s="9" t="n"/>
      <c r="I554" s="9" t="n"/>
      <c r="J554" s="10" t="n"/>
      <c r="K554" s="10" t="n"/>
      <c r="L554" s="11">
        <f>IF($S554="","",IF($S554="ITEM_PRICE_PLUS_DECLARED_DELIVERY",IF(OR($J554="",$K554=""),"",SUM($J554,$K554,$U554)),IF($S554="TOTAL_AMOUNT_INCLUDING_DELIVERY",IF($T554="","",$T554),IF($S554="DELIVERY_CHARGE_ONLY",IF($K554="","",SUM($K554,$U554)),IF($S554="EXACT_COLLECTION_AMOUNT",IF($T554="","",$T554),IF($S554="ITEM_PRICE_ONLY_DELIVERY_PAID_BY_MERCHANT",IF($J554="","",SUM($J554,$U554)),""))))))</f>
        <v/>
      </c>
      <c r="M554" s="12" t="n"/>
      <c r="N554" s="13" t="n"/>
      <c r="O554" s="13" t="n"/>
      <c r="P554" s="9" t="n"/>
      <c r="Q554" s="14" t="n"/>
      <c r="R554" s="15" t="n"/>
      <c r="S554" s="14" t="n"/>
      <c r="T554" s="16" t="n"/>
      <c r="U554" s="16" t="n"/>
      <c r="V554" s="16" t="n"/>
      <c r="W554" s="16" t="n"/>
      <c r="X554" s="16" t="n"/>
      <c r="Y554" s="16" t="n"/>
      <c r="Z554" s="14" t="n"/>
      <c r="AA554" s="14" t="n"/>
      <c r="AB554" s="14" t="n"/>
      <c r="AC554" s="17">
        <f>IFERROR(VLOOKUP($H554&amp;"|"&amp;$Q554,Tariff_Master!$A$2:$L$169,3,FALSE),"")</f>
        <v/>
      </c>
      <c r="AD554" s="17">
        <f>IFERROR(VLOOKUP($H554&amp;"|"&amp;$Q554,Tariff_Master!$A$2:$L$169,4,FALSE),"")</f>
        <v/>
      </c>
      <c r="AE554" s="18">
        <f>IFERROR(VLOOKUP($H554&amp;"|"&amp;$Q554,Tariff_Master!$A$2:$L$169,6,FALSE),"")</f>
        <v/>
      </c>
      <c r="AF554" s="19">
        <f>IFERROR(VLOOKUP($H554&amp;"|"&amp;$Q554,Tariff_Master!$A$2:$L$169,7,FALSE),"")</f>
        <v/>
      </c>
      <c r="AG554" s="18">
        <f>IFERROR(VLOOKUP($H554&amp;"|"&amp;$Q554,Tariff_Master!$A$2:$L$169,8,FALSE),"")</f>
        <v/>
      </c>
      <c r="AH554" s="20">
        <f>IFERROR(VLOOKUP($H554&amp;"|"&amp;$Q554,Tariff_Master!$A$2:$L$169,9,FALSE),"")</f>
        <v/>
      </c>
      <c r="AI554" s="18">
        <f>IFERROR(VLOOKUP($H554&amp;"|"&amp;$Q554,Tariff_Master!$A$2:$L$169,10,FALSE),"")</f>
        <v/>
      </c>
      <c r="AJ554" s="21">
        <f>IF($M554="","",ROUNDUP(MAX(0,$M554),0))</f>
        <v/>
      </c>
      <c r="AK554" s="21">
        <f>IF(OR($AJ554="",$AF554=""),"",MAX(0,$AJ554-$AF554))</f>
        <v/>
      </c>
      <c r="AL554" s="22">
        <f>IF(OR($AK554="",$AG554=""),"",MAX(0,$AK554*$AG554))</f>
        <v/>
      </c>
      <c r="AM554" s="22">
        <f>IF($AE554="","",MAX(0,SUM($AE554,$AL554,$V554,$W554)))</f>
        <v/>
      </c>
      <c r="AN554" s="22">
        <f>IF($AM554="","",IF(AND($Q554="COMMITMENT",$R554&gt;=$AH554),$AI554,0))</f>
        <v/>
      </c>
      <c r="AO554" s="23">
        <f>IF($AM554="","",MAX(0,$AM554-$AN554))</f>
        <v/>
      </c>
      <c r="AP554" s="22">
        <f>IF($S554="","",IF(OR($S554="ITEM_PRICE_PLUS_DECLARED_DELIVERY",$S554="DELIVERY_CHARGE_ONLY"),$K554,IF($S554="TOTAL_AMOUNT_INCLUDING_DELIVERY",IF(OR($T554="",$J554=""),"",MAX(0,$T554-$J554-$U554)),IF($S554="ITEM_PRICE_ONLY_DELIVERY_PAID_BY_MERCHANT",0,""))))</f>
        <v/>
      </c>
      <c r="AQ554" s="23">
        <f>IF(OR($AP554="",$AO554=""),"",$AP554-$AO554)</f>
        <v/>
      </c>
      <c r="AR554" s="24">
        <f>IF($S554="EXACT_COLLECTION_AMOUNT","BREAKDOWN_REQUIRED",IF($AQ554="","",IF($AQ554&gt;0,"CREDIT_TO_MERCHANT",IF($AQ554&lt;0,"DEDUCT_FROM_MERCHANT","NO_ADJUSTMENT"))))</f>
        <v/>
      </c>
      <c r="AS554" s="23">
        <f>IF(OR($AQ554="",$AR554="BREAKDOWN_REQUIRED"),"",$AQ554)</f>
        <v/>
      </c>
      <c r="AT554" s="23">
        <f>IF(OR($AR554="",$AR554="BREAKDOWN_REQUIRED"),"",SUM($J554,$AQ554,$Y554)-$X554)</f>
        <v/>
      </c>
      <c r="AU554" s="25">
        <f>IF(AND($A554="",$B554="",$F554="",$H554="",$J554="",$K554="",$M554="",$S554=""),"",IF(OR($H554="",$Q554="",$M554="",$S554=""),"ERROR",IF(OR($J554&lt;0,$K554&lt;0,$M554&lt;0,$T554&lt;0,$U554&lt;0,$V554&lt;0,$W554&lt;0,$X554&lt;0,$Y554&lt;0),"ERROR",IF($AE554="","ERROR",IF(AND(OR($S554="ITEM_PRICE_PLUS_DECLARED_DELIVERY",$S554="TOTAL_AMOUNT_INCLUDING_DELIVERY",$S554="ITEM_PRICE_ONLY_DELIVERY_PAID_BY_MERCHANT"),$J554=""),"ERROR",IF(AND(OR($S554="ITEM_PRICE_PLUS_DECLARED_DELIVERY",$S554="DELIVERY_CHARGE_ONLY"),$K554=""),"ERROR",IF(AND(OR($S554="TOTAL_AMOUNT_INCLUDING_DELIVERY",$S554="EXACT_COLLECTION_AMOUNT"),$T554=""),"ERROR",IF(AND($S554="TOTAL_AMOUNT_INCLUDING_DELIVERY",$T554&lt;SUM($J554,$U554)),"ERROR",IF($S554="EXACT_COLLECTION_AMOUNT","REVIEW","OK")))))))))</f>
        <v/>
      </c>
      <c r="AV554" s="25">
        <f>IF($AU554="","",IF($H554="","Township required",IF($Q554="","Customer tier required",IF($M554="","Weight required",IF($S554="","Amount entry type required",IF(OR($J554&lt;0,$K554&lt;0,$M554&lt;0,$T554&lt;0,$U554&lt;0,$V554&lt;0,$W554&lt;0,$X554&lt;0,$Y554&lt;0),"Negative amounts are not allowed",IF($AE554="","Tariff not found for township and tier",IF(AND(OR($S554="ITEM_PRICE_PLUS_DECLARED_DELIVERY",$S554="TOTAL_AMOUNT_INCLUDING_DELIVERY",$S554="ITEM_PRICE_ONLY_DELIVERY_PAID_BY_MERCHANT"),$J554=""),"Item price required for this amount type",IF(AND(OR($S554="ITEM_PRICE_PLUS_DECLARED_DELIVERY",$S554="DELIVERY_CHARGE_ONLY"),$K554=""),"Declared delivery charge required",IF(AND(OR($S554="TOTAL_AMOUNT_INCLUDING_DELIVERY",$S554="EXACT_COLLECTION_AMOUNT"),$T554=""),"Stated total amount required",IF(AND($S554="TOTAL_AMOUNT_INCLUDING_DELIVERY",$T554&lt;SUM($J554,$U554)),"Stated total is below item price plus additional charge",IF($S554="EXACT_COLLECTION_AMOUNT","Authorized amount breakdown required before settlement","Ready for collection and settlement"))))))))))))</f>
        <v/>
      </c>
      <c r="AW554" s="23">
        <f>IF($AU554="","","PARCEL_FINANCIAL_V2")</f>
        <v/>
      </c>
      <c r="AX554" s="17" t="n"/>
    </row>
    <row r="555">
      <c r="A555" s="8" t="n"/>
      <c r="B555" s="8" t="n"/>
      <c r="C555" s="8" t="n"/>
      <c r="D555" s="8" t="n"/>
      <c r="E555" s="9" t="n"/>
      <c r="F555" s="9" t="n"/>
      <c r="G555" s="8" t="n"/>
      <c r="H555" s="9" t="n"/>
      <c r="I555" s="9" t="n"/>
      <c r="J555" s="10" t="n"/>
      <c r="K555" s="10" t="n"/>
      <c r="L555" s="11">
        <f>IF($S555="","",IF($S555="ITEM_PRICE_PLUS_DECLARED_DELIVERY",IF(OR($J555="",$K555=""),"",SUM($J555,$K555,$U555)),IF($S555="TOTAL_AMOUNT_INCLUDING_DELIVERY",IF($T555="","",$T555),IF($S555="DELIVERY_CHARGE_ONLY",IF($K555="","",SUM($K555,$U555)),IF($S555="EXACT_COLLECTION_AMOUNT",IF($T555="","",$T555),IF($S555="ITEM_PRICE_ONLY_DELIVERY_PAID_BY_MERCHANT",IF($J555="","",SUM($J555,$U555)),""))))))</f>
        <v/>
      </c>
      <c r="M555" s="12" t="n"/>
      <c r="N555" s="13" t="n"/>
      <c r="O555" s="13" t="n"/>
      <c r="P555" s="9" t="n"/>
      <c r="Q555" s="14" t="n"/>
      <c r="R555" s="15" t="n"/>
      <c r="S555" s="14" t="n"/>
      <c r="T555" s="16" t="n"/>
      <c r="U555" s="16" t="n"/>
      <c r="V555" s="16" t="n"/>
      <c r="W555" s="16" t="n"/>
      <c r="X555" s="16" t="n"/>
      <c r="Y555" s="16" t="n"/>
      <c r="Z555" s="14" t="n"/>
      <c r="AA555" s="14" t="n"/>
      <c r="AB555" s="14" t="n"/>
      <c r="AC555" s="17">
        <f>IFERROR(VLOOKUP($H555&amp;"|"&amp;$Q555,Tariff_Master!$A$2:$L$169,3,FALSE),"")</f>
        <v/>
      </c>
      <c r="AD555" s="17">
        <f>IFERROR(VLOOKUP($H555&amp;"|"&amp;$Q555,Tariff_Master!$A$2:$L$169,4,FALSE),"")</f>
        <v/>
      </c>
      <c r="AE555" s="18">
        <f>IFERROR(VLOOKUP($H555&amp;"|"&amp;$Q555,Tariff_Master!$A$2:$L$169,6,FALSE),"")</f>
        <v/>
      </c>
      <c r="AF555" s="19">
        <f>IFERROR(VLOOKUP($H555&amp;"|"&amp;$Q555,Tariff_Master!$A$2:$L$169,7,FALSE),"")</f>
        <v/>
      </c>
      <c r="AG555" s="18">
        <f>IFERROR(VLOOKUP($H555&amp;"|"&amp;$Q555,Tariff_Master!$A$2:$L$169,8,FALSE),"")</f>
        <v/>
      </c>
      <c r="AH555" s="20">
        <f>IFERROR(VLOOKUP($H555&amp;"|"&amp;$Q555,Tariff_Master!$A$2:$L$169,9,FALSE),"")</f>
        <v/>
      </c>
      <c r="AI555" s="18">
        <f>IFERROR(VLOOKUP($H555&amp;"|"&amp;$Q555,Tariff_Master!$A$2:$L$169,10,FALSE),"")</f>
        <v/>
      </c>
      <c r="AJ555" s="21">
        <f>IF($M555="","",ROUNDUP(MAX(0,$M555),0))</f>
        <v/>
      </c>
      <c r="AK555" s="21">
        <f>IF(OR($AJ555="",$AF555=""),"",MAX(0,$AJ555-$AF555))</f>
        <v/>
      </c>
      <c r="AL555" s="22">
        <f>IF(OR($AK555="",$AG555=""),"",MAX(0,$AK555*$AG555))</f>
        <v/>
      </c>
      <c r="AM555" s="22">
        <f>IF($AE555="","",MAX(0,SUM($AE555,$AL555,$V555,$W555)))</f>
        <v/>
      </c>
      <c r="AN555" s="22">
        <f>IF($AM555="","",IF(AND($Q555="COMMITMENT",$R555&gt;=$AH555),$AI555,0))</f>
        <v/>
      </c>
      <c r="AO555" s="23">
        <f>IF($AM555="","",MAX(0,$AM555-$AN555))</f>
        <v/>
      </c>
      <c r="AP555" s="22">
        <f>IF($S555="","",IF(OR($S555="ITEM_PRICE_PLUS_DECLARED_DELIVERY",$S555="DELIVERY_CHARGE_ONLY"),$K555,IF($S555="TOTAL_AMOUNT_INCLUDING_DELIVERY",IF(OR($T555="",$J555=""),"",MAX(0,$T555-$J555-$U555)),IF($S555="ITEM_PRICE_ONLY_DELIVERY_PAID_BY_MERCHANT",0,""))))</f>
        <v/>
      </c>
      <c r="AQ555" s="23">
        <f>IF(OR($AP555="",$AO555=""),"",$AP555-$AO555)</f>
        <v/>
      </c>
      <c r="AR555" s="24">
        <f>IF($S555="EXACT_COLLECTION_AMOUNT","BREAKDOWN_REQUIRED",IF($AQ555="","",IF($AQ555&gt;0,"CREDIT_TO_MERCHANT",IF($AQ555&lt;0,"DEDUCT_FROM_MERCHANT","NO_ADJUSTMENT"))))</f>
        <v/>
      </c>
      <c r="AS555" s="23">
        <f>IF(OR($AQ555="",$AR555="BREAKDOWN_REQUIRED"),"",$AQ555)</f>
        <v/>
      </c>
      <c r="AT555" s="23">
        <f>IF(OR($AR555="",$AR555="BREAKDOWN_REQUIRED"),"",SUM($J555,$AQ555,$Y555)-$X555)</f>
        <v/>
      </c>
      <c r="AU555" s="25">
        <f>IF(AND($A555="",$B555="",$F555="",$H555="",$J555="",$K555="",$M555="",$S555=""),"",IF(OR($H555="",$Q555="",$M555="",$S555=""),"ERROR",IF(OR($J555&lt;0,$K555&lt;0,$M555&lt;0,$T555&lt;0,$U555&lt;0,$V555&lt;0,$W555&lt;0,$X555&lt;0,$Y555&lt;0),"ERROR",IF($AE555="","ERROR",IF(AND(OR($S555="ITEM_PRICE_PLUS_DECLARED_DELIVERY",$S555="TOTAL_AMOUNT_INCLUDING_DELIVERY",$S555="ITEM_PRICE_ONLY_DELIVERY_PAID_BY_MERCHANT"),$J555=""),"ERROR",IF(AND(OR($S555="ITEM_PRICE_PLUS_DECLARED_DELIVERY",$S555="DELIVERY_CHARGE_ONLY"),$K555=""),"ERROR",IF(AND(OR($S555="TOTAL_AMOUNT_INCLUDING_DELIVERY",$S555="EXACT_COLLECTION_AMOUNT"),$T555=""),"ERROR",IF(AND($S555="TOTAL_AMOUNT_INCLUDING_DELIVERY",$T555&lt;SUM($J555,$U555)),"ERROR",IF($S555="EXACT_COLLECTION_AMOUNT","REVIEW","OK")))))))))</f>
        <v/>
      </c>
      <c r="AV555" s="25">
        <f>IF($AU555="","",IF($H555="","Township required",IF($Q555="","Customer tier required",IF($M555="","Weight required",IF($S555="","Amount entry type required",IF(OR($J555&lt;0,$K555&lt;0,$M555&lt;0,$T555&lt;0,$U555&lt;0,$V555&lt;0,$W555&lt;0,$X555&lt;0,$Y555&lt;0),"Negative amounts are not allowed",IF($AE555="","Tariff not found for township and tier",IF(AND(OR($S555="ITEM_PRICE_PLUS_DECLARED_DELIVERY",$S555="TOTAL_AMOUNT_INCLUDING_DELIVERY",$S555="ITEM_PRICE_ONLY_DELIVERY_PAID_BY_MERCHANT"),$J555=""),"Item price required for this amount type",IF(AND(OR($S555="ITEM_PRICE_PLUS_DECLARED_DELIVERY",$S555="DELIVERY_CHARGE_ONLY"),$K555=""),"Declared delivery charge required",IF(AND(OR($S555="TOTAL_AMOUNT_INCLUDING_DELIVERY",$S555="EXACT_COLLECTION_AMOUNT"),$T555=""),"Stated total amount required",IF(AND($S555="TOTAL_AMOUNT_INCLUDING_DELIVERY",$T555&lt;SUM($J555,$U555)),"Stated total is below item price plus additional charge",IF($S555="EXACT_COLLECTION_AMOUNT","Authorized amount breakdown required before settlement","Ready for collection and settlement"))))))))))))</f>
        <v/>
      </c>
      <c r="AW555" s="23">
        <f>IF($AU555="","","PARCEL_FINANCIAL_V2")</f>
        <v/>
      </c>
      <c r="AX555" s="17" t="n"/>
    </row>
    <row r="556">
      <c r="A556" s="8" t="n"/>
      <c r="B556" s="8" t="n"/>
      <c r="C556" s="8" t="n"/>
      <c r="D556" s="8" t="n"/>
      <c r="E556" s="9" t="n"/>
      <c r="F556" s="9" t="n"/>
      <c r="G556" s="8" t="n"/>
      <c r="H556" s="9" t="n"/>
      <c r="I556" s="9" t="n"/>
      <c r="J556" s="10" t="n"/>
      <c r="K556" s="10" t="n"/>
      <c r="L556" s="11">
        <f>IF($S556="","",IF($S556="ITEM_PRICE_PLUS_DECLARED_DELIVERY",IF(OR($J556="",$K556=""),"",SUM($J556,$K556,$U556)),IF($S556="TOTAL_AMOUNT_INCLUDING_DELIVERY",IF($T556="","",$T556),IF($S556="DELIVERY_CHARGE_ONLY",IF($K556="","",SUM($K556,$U556)),IF($S556="EXACT_COLLECTION_AMOUNT",IF($T556="","",$T556),IF($S556="ITEM_PRICE_ONLY_DELIVERY_PAID_BY_MERCHANT",IF($J556="","",SUM($J556,$U556)),""))))))</f>
        <v/>
      </c>
      <c r="M556" s="12" t="n"/>
      <c r="N556" s="13" t="n"/>
      <c r="O556" s="13" t="n"/>
      <c r="P556" s="9" t="n"/>
      <c r="Q556" s="14" t="n"/>
      <c r="R556" s="15" t="n"/>
      <c r="S556" s="14" t="n"/>
      <c r="T556" s="16" t="n"/>
      <c r="U556" s="16" t="n"/>
      <c r="V556" s="16" t="n"/>
      <c r="W556" s="16" t="n"/>
      <c r="X556" s="16" t="n"/>
      <c r="Y556" s="16" t="n"/>
      <c r="Z556" s="14" t="n"/>
      <c r="AA556" s="14" t="n"/>
      <c r="AB556" s="14" t="n"/>
      <c r="AC556" s="17">
        <f>IFERROR(VLOOKUP($H556&amp;"|"&amp;$Q556,Tariff_Master!$A$2:$L$169,3,FALSE),"")</f>
        <v/>
      </c>
      <c r="AD556" s="17">
        <f>IFERROR(VLOOKUP($H556&amp;"|"&amp;$Q556,Tariff_Master!$A$2:$L$169,4,FALSE),"")</f>
        <v/>
      </c>
      <c r="AE556" s="18">
        <f>IFERROR(VLOOKUP($H556&amp;"|"&amp;$Q556,Tariff_Master!$A$2:$L$169,6,FALSE),"")</f>
        <v/>
      </c>
      <c r="AF556" s="19">
        <f>IFERROR(VLOOKUP($H556&amp;"|"&amp;$Q556,Tariff_Master!$A$2:$L$169,7,FALSE),"")</f>
        <v/>
      </c>
      <c r="AG556" s="18">
        <f>IFERROR(VLOOKUP($H556&amp;"|"&amp;$Q556,Tariff_Master!$A$2:$L$169,8,FALSE),"")</f>
        <v/>
      </c>
      <c r="AH556" s="20">
        <f>IFERROR(VLOOKUP($H556&amp;"|"&amp;$Q556,Tariff_Master!$A$2:$L$169,9,FALSE),"")</f>
        <v/>
      </c>
      <c r="AI556" s="18">
        <f>IFERROR(VLOOKUP($H556&amp;"|"&amp;$Q556,Tariff_Master!$A$2:$L$169,10,FALSE),"")</f>
        <v/>
      </c>
      <c r="AJ556" s="21">
        <f>IF($M556="","",ROUNDUP(MAX(0,$M556),0))</f>
        <v/>
      </c>
      <c r="AK556" s="21">
        <f>IF(OR($AJ556="",$AF556=""),"",MAX(0,$AJ556-$AF556))</f>
        <v/>
      </c>
      <c r="AL556" s="22">
        <f>IF(OR($AK556="",$AG556=""),"",MAX(0,$AK556*$AG556))</f>
        <v/>
      </c>
      <c r="AM556" s="22">
        <f>IF($AE556="","",MAX(0,SUM($AE556,$AL556,$V556,$W556)))</f>
        <v/>
      </c>
      <c r="AN556" s="22">
        <f>IF($AM556="","",IF(AND($Q556="COMMITMENT",$R556&gt;=$AH556),$AI556,0))</f>
        <v/>
      </c>
      <c r="AO556" s="23">
        <f>IF($AM556="","",MAX(0,$AM556-$AN556))</f>
        <v/>
      </c>
      <c r="AP556" s="22">
        <f>IF($S556="","",IF(OR($S556="ITEM_PRICE_PLUS_DECLARED_DELIVERY",$S556="DELIVERY_CHARGE_ONLY"),$K556,IF($S556="TOTAL_AMOUNT_INCLUDING_DELIVERY",IF(OR($T556="",$J556=""),"",MAX(0,$T556-$J556-$U556)),IF($S556="ITEM_PRICE_ONLY_DELIVERY_PAID_BY_MERCHANT",0,""))))</f>
        <v/>
      </c>
      <c r="AQ556" s="23">
        <f>IF(OR($AP556="",$AO556=""),"",$AP556-$AO556)</f>
        <v/>
      </c>
      <c r="AR556" s="24">
        <f>IF($S556="EXACT_COLLECTION_AMOUNT","BREAKDOWN_REQUIRED",IF($AQ556="","",IF($AQ556&gt;0,"CREDIT_TO_MERCHANT",IF($AQ556&lt;0,"DEDUCT_FROM_MERCHANT","NO_ADJUSTMENT"))))</f>
        <v/>
      </c>
      <c r="AS556" s="23">
        <f>IF(OR($AQ556="",$AR556="BREAKDOWN_REQUIRED"),"",$AQ556)</f>
        <v/>
      </c>
      <c r="AT556" s="23">
        <f>IF(OR($AR556="",$AR556="BREAKDOWN_REQUIRED"),"",SUM($J556,$AQ556,$Y556)-$X556)</f>
        <v/>
      </c>
      <c r="AU556" s="25">
        <f>IF(AND($A556="",$B556="",$F556="",$H556="",$J556="",$K556="",$M556="",$S556=""),"",IF(OR($H556="",$Q556="",$M556="",$S556=""),"ERROR",IF(OR($J556&lt;0,$K556&lt;0,$M556&lt;0,$T556&lt;0,$U556&lt;0,$V556&lt;0,$W556&lt;0,$X556&lt;0,$Y556&lt;0),"ERROR",IF($AE556="","ERROR",IF(AND(OR($S556="ITEM_PRICE_PLUS_DECLARED_DELIVERY",$S556="TOTAL_AMOUNT_INCLUDING_DELIVERY",$S556="ITEM_PRICE_ONLY_DELIVERY_PAID_BY_MERCHANT"),$J556=""),"ERROR",IF(AND(OR($S556="ITEM_PRICE_PLUS_DECLARED_DELIVERY",$S556="DELIVERY_CHARGE_ONLY"),$K556=""),"ERROR",IF(AND(OR($S556="TOTAL_AMOUNT_INCLUDING_DELIVERY",$S556="EXACT_COLLECTION_AMOUNT"),$T556=""),"ERROR",IF(AND($S556="TOTAL_AMOUNT_INCLUDING_DELIVERY",$T556&lt;SUM($J556,$U556)),"ERROR",IF($S556="EXACT_COLLECTION_AMOUNT","REVIEW","OK")))))))))</f>
        <v/>
      </c>
      <c r="AV556" s="25">
        <f>IF($AU556="","",IF($H556="","Township required",IF($Q556="","Customer tier required",IF($M556="","Weight required",IF($S556="","Amount entry type required",IF(OR($J556&lt;0,$K556&lt;0,$M556&lt;0,$T556&lt;0,$U556&lt;0,$V556&lt;0,$W556&lt;0,$X556&lt;0,$Y556&lt;0),"Negative amounts are not allowed",IF($AE556="","Tariff not found for township and tier",IF(AND(OR($S556="ITEM_PRICE_PLUS_DECLARED_DELIVERY",$S556="TOTAL_AMOUNT_INCLUDING_DELIVERY",$S556="ITEM_PRICE_ONLY_DELIVERY_PAID_BY_MERCHANT"),$J556=""),"Item price required for this amount type",IF(AND(OR($S556="ITEM_PRICE_PLUS_DECLARED_DELIVERY",$S556="DELIVERY_CHARGE_ONLY"),$K556=""),"Declared delivery charge required",IF(AND(OR($S556="TOTAL_AMOUNT_INCLUDING_DELIVERY",$S556="EXACT_COLLECTION_AMOUNT"),$T556=""),"Stated total amount required",IF(AND($S556="TOTAL_AMOUNT_INCLUDING_DELIVERY",$T556&lt;SUM($J556,$U556)),"Stated total is below item price plus additional charge",IF($S556="EXACT_COLLECTION_AMOUNT","Authorized amount breakdown required before settlement","Ready for collection and settlement"))))))))))))</f>
        <v/>
      </c>
      <c r="AW556" s="23">
        <f>IF($AU556="","","PARCEL_FINANCIAL_V2")</f>
        <v/>
      </c>
      <c r="AX556" s="17" t="n"/>
    </row>
    <row r="557">
      <c r="A557" s="8" t="n"/>
      <c r="B557" s="8" t="n"/>
      <c r="C557" s="8" t="n"/>
      <c r="D557" s="8" t="n"/>
      <c r="E557" s="9" t="n"/>
      <c r="F557" s="9" t="n"/>
      <c r="G557" s="8" t="n"/>
      <c r="H557" s="9" t="n"/>
      <c r="I557" s="9" t="n"/>
      <c r="J557" s="10" t="n"/>
      <c r="K557" s="10" t="n"/>
      <c r="L557" s="11">
        <f>IF($S557="","",IF($S557="ITEM_PRICE_PLUS_DECLARED_DELIVERY",IF(OR($J557="",$K557=""),"",SUM($J557,$K557,$U557)),IF($S557="TOTAL_AMOUNT_INCLUDING_DELIVERY",IF($T557="","",$T557),IF($S557="DELIVERY_CHARGE_ONLY",IF($K557="","",SUM($K557,$U557)),IF($S557="EXACT_COLLECTION_AMOUNT",IF($T557="","",$T557),IF($S557="ITEM_PRICE_ONLY_DELIVERY_PAID_BY_MERCHANT",IF($J557="","",SUM($J557,$U557)),""))))))</f>
        <v/>
      </c>
      <c r="M557" s="12" t="n"/>
      <c r="N557" s="13" t="n"/>
      <c r="O557" s="13" t="n"/>
      <c r="P557" s="9" t="n"/>
      <c r="Q557" s="14" t="n"/>
      <c r="R557" s="15" t="n"/>
      <c r="S557" s="14" t="n"/>
      <c r="T557" s="16" t="n"/>
      <c r="U557" s="16" t="n"/>
      <c r="V557" s="16" t="n"/>
      <c r="W557" s="16" t="n"/>
      <c r="X557" s="16" t="n"/>
      <c r="Y557" s="16" t="n"/>
      <c r="Z557" s="14" t="n"/>
      <c r="AA557" s="14" t="n"/>
      <c r="AB557" s="14" t="n"/>
      <c r="AC557" s="17">
        <f>IFERROR(VLOOKUP($H557&amp;"|"&amp;$Q557,Tariff_Master!$A$2:$L$169,3,FALSE),"")</f>
        <v/>
      </c>
      <c r="AD557" s="17">
        <f>IFERROR(VLOOKUP($H557&amp;"|"&amp;$Q557,Tariff_Master!$A$2:$L$169,4,FALSE),"")</f>
        <v/>
      </c>
      <c r="AE557" s="18">
        <f>IFERROR(VLOOKUP($H557&amp;"|"&amp;$Q557,Tariff_Master!$A$2:$L$169,6,FALSE),"")</f>
        <v/>
      </c>
      <c r="AF557" s="19">
        <f>IFERROR(VLOOKUP($H557&amp;"|"&amp;$Q557,Tariff_Master!$A$2:$L$169,7,FALSE),"")</f>
        <v/>
      </c>
      <c r="AG557" s="18">
        <f>IFERROR(VLOOKUP($H557&amp;"|"&amp;$Q557,Tariff_Master!$A$2:$L$169,8,FALSE),"")</f>
        <v/>
      </c>
      <c r="AH557" s="20">
        <f>IFERROR(VLOOKUP($H557&amp;"|"&amp;$Q557,Tariff_Master!$A$2:$L$169,9,FALSE),"")</f>
        <v/>
      </c>
      <c r="AI557" s="18">
        <f>IFERROR(VLOOKUP($H557&amp;"|"&amp;$Q557,Tariff_Master!$A$2:$L$169,10,FALSE),"")</f>
        <v/>
      </c>
      <c r="AJ557" s="21">
        <f>IF($M557="","",ROUNDUP(MAX(0,$M557),0))</f>
        <v/>
      </c>
      <c r="AK557" s="21">
        <f>IF(OR($AJ557="",$AF557=""),"",MAX(0,$AJ557-$AF557))</f>
        <v/>
      </c>
      <c r="AL557" s="22">
        <f>IF(OR($AK557="",$AG557=""),"",MAX(0,$AK557*$AG557))</f>
        <v/>
      </c>
      <c r="AM557" s="22">
        <f>IF($AE557="","",MAX(0,SUM($AE557,$AL557,$V557,$W557)))</f>
        <v/>
      </c>
      <c r="AN557" s="22">
        <f>IF($AM557="","",IF(AND($Q557="COMMITMENT",$R557&gt;=$AH557),$AI557,0))</f>
        <v/>
      </c>
      <c r="AO557" s="23">
        <f>IF($AM557="","",MAX(0,$AM557-$AN557))</f>
        <v/>
      </c>
      <c r="AP557" s="22">
        <f>IF($S557="","",IF(OR($S557="ITEM_PRICE_PLUS_DECLARED_DELIVERY",$S557="DELIVERY_CHARGE_ONLY"),$K557,IF($S557="TOTAL_AMOUNT_INCLUDING_DELIVERY",IF(OR($T557="",$J557=""),"",MAX(0,$T557-$J557-$U557)),IF($S557="ITEM_PRICE_ONLY_DELIVERY_PAID_BY_MERCHANT",0,""))))</f>
        <v/>
      </c>
      <c r="AQ557" s="23">
        <f>IF(OR($AP557="",$AO557=""),"",$AP557-$AO557)</f>
        <v/>
      </c>
      <c r="AR557" s="24">
        <f>IF($S557="EXACT_COLLECTION_AMOUNT","BREAKDOWN_REQUIRED",IF($AQ557="","",IF($AQ557&gt;0,"CREDIT_TO_MERCHANT",IF($AQ557&lt;0,"DEDUCT_FROM_MERCHANT","NO_ADJUSTMENT"))))</f>
        <v/>
      </c>
      <c r="AS557" s="23">
        <f>IF(OR($AQ557="",$AR557="BREAKDOWN_REQUIRED"),"",$AQ557)</f>
        <v/>
      </c>
      <c r="AT557" s="23">
        <f>IF(OR($AR557="",$AR557="BREAKDOWN_REQUIRED"),"",SUM($J557,$AQ557,$Y557)-$X557)</f>
        <v/>
      </c>
      <c r="AU557" s="25">
        <f>IF(AND($A557="",$B557="",$F557="",$H557="",$J557="",$K557="",$M557="",$S557=""),"",IF(OR($H557="",$Q557="",$M557="",$S557=""),"ERROR",IF(OR($J557&lt;0,$K557&lt;0,$M557&lt;0,$T557&lt;0,$U557&lt;0,$V557&lt;0,$W557&lt;0,$X557&lt;0,$Y557&lt;0),"ERROR",IF($AE557="","ERROR",IF(AND(OR($S557="ITEM_PRICE_PLUS_DECLARED_DELIVERY",$S557="TOTAL_AMOUNT_INCLUDING_DELIVERY",$S557="ITEM_PRICE_ONLY_DELIVERY_PAID_BY_MERCHANT"),$J557=""),"ERROR",IF(AND(OR($S557="ITEM_PRICE_PLUS_DECLARED_DELIVERY",$S557="DELIVERY_CHARGE_ONLY"),$K557=""),"ERROR",IF(AND(OR($S557="TOTAL_AMOUNT_INCLUDING_DELIVERY",$S557="EXACT_COLLECTION_AMOUNT"),$T557=""),"ERROR",IF(AND($S557="TOTAL_AMOUNT_INCLUDING_DELIVERY",$T557&lt;SUM($J557,$U557)),"ERROR",IF($S557="EXACT_COLLECTION_AMOUNT","REVIEW","OK")))))))))</f>
        <v/>
      </c>
      <c r="AV557" s="25">
        <f>IF($AU557="","",IF($H557="","Township required",IF($Q557="","Customer tier required",IF($M557="","Weight required",IF($S557="","Amount entry type required",IF(OR($J557&lt;0,$K557&lt;0,$M557&lt;0,$T557&lt;0,$U557&lt;0,$V557&lt;0,$W557&lt;0,$X557&lt;0,$Y557&lt;0),"Negative amounts are not allowed",IF($AE557="","Tariff not found for township and tier",IF(AND(OR($S557="ITEM_PRICE_PLUS_DECLARED_DELIVERY",$S557="TOTAL_AMOUNT_INCLUDING_DELIVERY",$S557="ITEM_PRICE_ONLY_DELIVERY_PAID_BY_MERCHANT"),$J557=""),"Item price required for this amount type",IF(AND(OR($S557="ITEM_PRICE_PLUS_DECLARED_DELIVERY",$S557="DELIVERY_CHARGE_ONLY"),$K557=""),"Declared delivery charge required",IF(AND(OR($S557="TOTAL_AMOUNT_INCLUDING_DELIVERY",$S557="EXACT_COLLECTION_AMOUNT"),$T557=""),"Stated total amount required",IF(AND($S557="TOTAL_AMOUNT_INCLUDING_DELIVERY",$T557&lt;SUM($J557,$U557)),"Stated total is below item price plus additional charge",IF($S557="EXACT_COLLECTION_AMOUNT","Authorized amount breakdown required before settlement","Ready for collection and settlement"))))))))))))</f>
        <v/>
      </c>
      <c r="AW557" s="23">
        <f>IF($AU557="","","PARCEL_FINANCIAL_V2")</f>
        <v/>
      </c>
      <c r="AX557" s="17" t="n"/>
    </row>
    <row r="558">
      <c r="A558" s="8" t="n"/>
      <c r="B558" s="8" t="n"/>
      <c r="C558" s="8" t="n"/>
      <c r="D558" s="8" t="n"/>
      <c r="E558" s="9" t="n"/>
      <c r="F558" s="9" t="n"/>
      <c r="G558" s="8" t="n"/>
      <c r="H558" s="9" t="n"/>
      <c r="I558" s="9" t="n"/>
      <c r="J558" s="10" t="n"/>
      <c r="K558" s="10" t="n"/>
      <c r="L558" s="11">
        <f>IF($S558="","",IF($S558="ITEM_PRICE_PLUS_DECLARED_DELIVERY",IF(OR($J558="",$K558=""),"",SUM($J558,$K558,$U558)),IF($S558="TOTAL_AMOUNT_INCLUDING_DELIVERY",IF($T558="","",$T558),IF($S558="DELIVERY_CHARGE_ONLY",IF($K558="","",SUM($K558,$U558)),IF($S558="EXACT_COLLECTION_AMOUNT",IF($T558="","",$T558),IF($S558="ITEM_PRICE_ONLY_DELIVERY_PAID_BY_MERCHANT",IF($J558="","",SUM($J558,$U558)),""))))))</f>
        <v/>
      </c>
      <c r="M558" s="12" t="n"/>
      <c r="N558" s="13" t="n"/>
      <c r="O558" s="13" t="n"/>
      <c r="P558" s="9" t="n"/>
      <c r="Q558" s="14" t="n"/>
      <c r="R558" s="15" t="n"/>
      <c r="S558" s="14" t="n"/>
      <c r="T558" s="16" t="n"/>
      <c r="U558" s="16" t="n"/>
      <c r="V558" s="16" t="n"/>
      <c r="W558" s="16" t="n"/>
      <c r="X558" s="16" t="n"/>
      <c r="Y558" s="16" t="n"/>
      <c r="Z558" s="14" t="n"/>
      <c r="AA558" s="14" t="n"/>
      <c r="AB558" s="14" t="n"/>
      <c r="AC558" s="17">
        <f>IFERROR(VLOOKUP($H558&amp;"|"&amp;$Q558,Tariff_Master!$A$2:$L$169,3,FALSE),"")</f>
        <v/>
      </c>
      <c r="AD558" s="17">
        <f>IFERROR(VLOOKUP($H558&amp;"|"&amp;$Q558,Tariff_Master!$A$2:$L$169,4,FALSE),"")</f>
        <v/>
      </c>
      <c r="AE558" s="18">
        <f>IFERROR(VLOOKUP($H558&amp;"|"&amp;$Q558,Tariff_Master!$A$2:$L$169,6,FALSE),"")</f>
        <v/>
      </c>
      <c r="AF558" s="19">
        <f>IFERROR(VLOOKUP($H558&amp;"|"&amp;$Q558,Tariff_Master!$A$2:$L$169,7,FALSE),"")</f>
        <v/>
      </c>
      <c r="AG558" s="18">
        <f>IFERROR(VLOOKUP($H558&amp;"|"&amp;$Q558,Tariff_Master!$A$2:$L$169,8,FALSE),"")</f>
        <v/>
      </c>
      <c r="AH558" s="20">
        <f>IFERROR(VLOOKUP($H558&amp;"|"&amp;$Q558,Tariff_Master!$A$2:$L$169,9,FALSE),"")</f>
        <v/>
      </c>
      <c r="AI558" s="18">
        <f>IFERROR(VLOOKUP($H558&amp;"|"&amp;$Q558,Tariff_Master!$A$2:$L$169,10,FALSE),"")</f>
        <v/>
      </c>
      <c r="AJ558" s="21">
        <f>IF($M558="","",ROUNDUP(MAX(0,$M558),0))</f>
        <v/>
      </c>
      <c r="AK558" s="21">
        <f>IF(OR($AJ558="",$AF558=""),"",MAX(0,$AJ558-$AF558))</f>
        <v/>
      </c>
      <c r="AL558" s="22">
        <f>IF(OR($AK558="",$AG558=""),"",MAX(0,$AK558*$AG558))</f>
        <v/>
      </c>
      <c r="AM558" s="22">
        <f>IF($AE558="","",MAX(0,SUM($AE558,$AL558,$V558,$W558)))</f>
        <v/>
      </c>
      <c r="AN558" s="22">
        <f>IF($AM558="","",IF(AND($Q558="COMMITMENT",$R558&gt;=$AH558),$AI558,0))</f>
        <v/>
      </c>
      <c r="AO558" s="23">
        <f>IF($AM558="","",MAX(0,$AM558-$AN558))</f>
        <v/>
      </c>
      <c r="AP558" s="22">
        <f>IF($S558="","",IF(OR($S558="ITEM_PRICE_PLUS_DECLARED_DELIVERY",$S558="DELIVERY_CHARGE_ONLY"),$K558,IF($S558="TOTAL_AMOUNT_INCLUDING_DELIVERY",IF(OR($T558="",$J558=""),"",MAX(0,$T558-$J558-$U558)),IF($S558="ITEM_PRICE_ONLY_DELIVERY_PAID_BY_MERCHANT",0,""))))</f>
        <v/>
      </c>
      <c r="AQ558" s="23">
        <f>IF(OR($AP558="",$AO558=""),"",$AP558-$AO558)</f>
        <v/>
      </c>
      <c r="AR558" s="24">
        <f>IF($S558="EXACT_COLLECTION_AMOUNT","BREAKDOWN_REQUIRED",IF($AQ558="","",IF($AQ558&gt;0,"CREDIT_TO_MERCHANT",IF($AQ558&lt;0,"DEDUCT_FROM_MERCHANT","NO_ADJUSTMENT"))))</f>
        <v/>
      </c>
      <c r="AS558" s="23">
        <f>IF(OR($AQ558="",$AR558="BREAKDOWN_REQUIRED"),"",$AQ558)</f>
        <v/>
      </c>
      <c r="AT558" s="23">
        <f>IF(OR($AR558="",$AR558="BREAKDOWN_REQUIRED"),"",SUM($J558,$AQ558,$Y558)-$X558)</f>
        <v/>
      </c>
      <c r="AU558" s="25">
        <f>IF(AND($A558="",$B558="",$F558="",$H558="",$J558="",$K558="",$M558="",$S558=""),"",IF(OR($H558="",$Q558="",$M558="",$S558=""),"ERROR",IF(OR($J558&lt;0,$K558&lt;0,$M558&lt;0,$T558&lt;0,$U558&lt;0,$V558&lt;0,$W558&lt;0,$X558&lt;0,$Y558&lt;0),"ERROR",IF($AE558="","ERROR",IF(AND(OR($S558="ITEM_PRICE_PLUS_DECLARED_DELIVERY",$S558="TOTAL_AMOUNT_INCLUDING_DELIVERY",$S558="ITEM_PRICE_ONLY_DELIVERY_PAID_BY_MERCHANT"),$J558=""),"ERROR",IF(AND(OR($S558="ITEM_PRICE_PLUS_DECLARED_DELIVERY",$S558="DELIVERY_CHARGE_ONLY"),$K558=""),"ERROR",IF(AND(OR($S558="TOTAL_AMOUNT_INCLUDING_DELIVERY",$S558="EXACT_COLLECTION_AMOUNT"),$T558=""),"ERROR",IF(AND($S558="TOTAL_AMOUNT_INCLUDING_DELIVERY",$T558&lt;SUM($J558,$U558)),"ERROR",IF($S558="EXACT_COLLECTION_AMOUNT","REVIEW","OK")))))))))</f>
        <v/>
      </c>
      <c r="AV558" s="25">
        <f>IF($AU558="","",IF($H558="","Township required",IF($Q558="","Customer tier required",IF($M558="","Weight required",IF($S558="","Amount entry type required",IF(OR($J558&lt;0,$K558&lt;0,$M558&lt;0,$T558&lt;0,$U558&lt;0,$V558&lt;0,$W558&lt;0,$X558&lt;0,$Y558&lt;0),"Negative amounts are not allowed",IF($AE558="","Tariff not found for township and tier",IF(AND(OR($S558="ITEM_PRICE_PLUS_DECLARED_DELIVERY",$S558="TOTAL_AMOUNT_INCLUDING_DELIVERY",$S558="ITEM_PRICE_ONLY_DELIVERY_PAID_BY_MERCHANT"),$J558=""),"Item price required for this amount type",IF(AND(OR($S558="ITEM_PRICE_PLUS_DECLARED_DELIVERY",$S558="DELIVERY_CHARGE_ONLY"),$K558=""),"Declared delivery charge required",IF(AND(OR($S558="TOTAL_AMOUNT_INCLUDING_DELIVERY",$S558="EXACT_COLLECTION_AMOUNT"),$T558=""),"Stated total amount required",IF(AND($S558="TOTAL_AMOUNT_INCLUDING_DELIVERY",$T558&lt;SUM($J558,$U558)),"Stated total is below item price plus additional charge",IF($S558="EXACT_COLLECTION_AMOUNT","Authorized amount breakdown required before settlement","Ready for collection and settlement"))))))))))))</f>
        <v/>
      </c>
      <c r="AW558" s="23">
        <f>IF($AU558="","","PARCEL_FINANCIAL_V2")</f>
        <v/>
      </c>
      <c r="AX558" s="17" t="n"/>
    </row>
    <row r="559">
      <c r="A559" s="8" t="n"/>
      <c r="B559" s="8" t="n"/>
      <c r="C559" s="8" t="n"/>
      <c r="D559" s="8" t="n"/>
      <c r="E559" s="9" t="n"/>
      <c r="F559" s="9" t="n"/>
      <c r="G559" s="8" t="n"/>
      <c r="H559" s="9" t="n"/>
      <c r="I559" s="9" t="n"/>
      <c r="J559" s="10" t="n"/>
      <c r="K559" s="10" t="n"/>
      <c r="L559" s="11">
        <f>IF($S559="","",IF($S559="ITEM_PRICE_PLUS_DECLARED_DELIVERY",IF(OR($J559="",$K559=""),"",SUM($J559,$K559,$U559)),IF($S559="TOTAL_AMOUNT_INCLUDING_DELIVERY",IF($T559="","",$T559),IF($S559="DELIVERY_CHARGE_ONLY",IF($K559="","",SUM($K559,$U559)),IF($S559="EXACT_COLLECTION_AMOUNT",IF($T559="","",$T559),IF($S559="ITEM_PRICE_ONLY_DELIVERY_PAID_BY_MERCHANT",IF($J559="","",SUM($J559,$U559)),""))))))</f>
        <v/>
      </c>
      <c r="M559" s="12" t="n"/>
      <c r="N559" s="13" t="n"/>
      <c r="O559" s="13" t="n"/>
      <c r="P559" s="9" t="n"/>
      <c r="Q559" s="14" t="n"/>
      <c r="R559" s="15" t="n"/>
      <c r="S559" s="14" t="n"/>
      <c r="T559" s="16" t="n"/>
      <c r="U559" s="16" t="n"/>
      <c r="V559" s="16" t="n"/>
      <c r="W559" s="16" t="n"/>
      <c r="X559" s="16" t="n"/>
      <c r="Y559" s="16" t="n"/>
      <c r="Z559" s="14" t="n"/>
      <c r="AA559" s="14" t="n"/>
      <c r="AB559" s="14" t="n"/>
      <c r="AC559" s="17">
        <f>IFERROR(VLOOKUP($H559&amp;"|"&amp;$Q559,Tariff_Master!$A$2:$L$169,3,FALSE),"")</f>
        <v/>
      </c>
      <c r="AD559" s="17">
        <f>IFERROR(VLOOKUP($H559&amp;"|"&amp;$Q559,Tariff_Master!$A$2:$L$169,4,FALSE),"")</f>
        <v/>
      </c>
      <c r="AE559" s="18">
        <f>IFERROR(VLOOKUP($H559&amp;"|"&amp;$Q559,Tariff_Master!$A$2:$L$169,6,FALSE),"")</f>
        <v/>
      </c>
      <c r="AF559" s="19">
        <f>IFERROR(VLOOKUP($H559&amp;"|"&amp;$Q559,Tariff_Master!$A$2:$L$169,7,FALSE),"")</f>
        <v/>
      </c>
      <c r="AG559" s="18">
        <f>IFERROR(VLOOKUP($H559&amp;"|"&amp;$Q559,Tariff_Master!$A$2:$L$169,8,FALSE),"")</f>
        <v/>
      </c>
      <c r="AH559" s="20">
        <f>IFERROR(VLOOKUP($H559&amp;"|"&amp;$Q559,Tariff_Master!$A$2:$L$169,9,FALSE),"")</f>
        <v/>
      </c>
      <c r="AI559" s="18">
        <f>IFERROR(VLOOKUP($H559&amp;"|"&amp;$Q559,Tariff_Master!$A$2:$L$169,10,FALSE),"")</f>
        <v/>
      </c>
      <c r="AJ559" s="21">
        <f>IF($M559="","",ROUNDUP(MAX(0,$M559),0))</f>
        <v/>
      </c>
      <c r="AK559" s="21">
        <f>IF(OR($AJ559="",$AF559=""),"",MAX(0,$AJ559-$AF559))</f>
        <v/>
      </c>
      <c r="AL559" s="22">
        <f>IF(OR($AK559="",$AG559=""),"",MAX(0,$AK559*$AG559))</f>
        <v/>
      </c>
      <c r="AM559" s="22">
        <f>IF($AE559="","",MAX(0,SUM($AE559,$AL559,$V559,$W559)))</f>
        <v/>
      </c>
      <c r="AN559" s="22">
        <f>IF($AM559="","",IF(AND($Q559="COMMITMENT",$R559&gt;=$AH559),$AI559,0))</f>
        <v/>
      </c>
      <c r="AO559" s="23">
        <f>IF($AM559="","",MAX(0,$AM559-$AN559))</f>
        <v/>
      </c>
      <c r="AP559" s="22">
        <f>IF($S559="","",IF(OR($S559="ITEM_PRICE_PLUS_DECLARED_DELIVERY",$S559="DELIVERY_CHARGE_ONLY"),$K559,IF($S559="TOTAL_AMOUNT_INCLUDING_DELIVERY",IF(OR($T559="",$J559=""),"",MAX(0,$T559-$J559-$U559)),IF($S559="ITEM_PRICE_ONLY_DELIVERY_PAID_BY_MERCHANT",0,""))))</f>
        <v/>
      </c>
      <c r="AQ559" s="23">
        <f>IF(OR($AP559="",$AO559=""),"",$AP559-$AO559)</f>
        <v/>
      </c>
      <c r="AR559" s="24">
        <f>IF($S559="EXACT_COLLECTION_AMOUNT","BREAKDOWN_REQUIRED",IF($AQ559="","",IF($AQ559&gt;0,"CREDIT_TO_MERCHANT",IF($AQ559&lt;0,"DEDUCT_FROM_MERCHANT","NO_ADJUSTMENT"))))</f>
        <v/>
      </c>
      <c r="AS559" s="23">
        <f>IF(OR($AQ559="",$AR559="BREAKDOWN_REQUIRED"),"",$AQ559)</f>
        <v/>
      </c>
      <c r="AT559" s="23">
        <f>IF(OR($AR559="",$AR559="BREAKDOWN_REQUIRED"),"",SUM($J559,$AQ559,$Y559)-$X559)</f>
        <v/>
      </c>
      <c r="AU559" s="25">
        <f>IF(AND($A559="",$B559="",$F559="",$H559="",$J559="",$K559="",$M559="",$S559=""),"",IF(OR($H559="",$Q559="",$M559="",$S559=""),"ERROR",IF(OR($J559&lt;0,$K559&lt;0,$M559&lt;0,$T559&lt;0,$U559&lt;0,$V559&lt;0,$W559&lt;0,$X559&lt;0,$Y559&lt;0),"ERROR",IF($AE559="","ERROR",IF(AND(OR($S559="ITEM_PRICE_PLUS_DECLARED_DELIVERY",$S559="TOTAL_AMOUNT_INCLUDING_DELIVERY",$S559="ITEM_PRICE_ONLY_DELIVERY_PAID_BY_MERCHANT"),$J559=""),"ERROR",IF(AND(OR($S559="ITEM_PRICE_PLUS_DECLARED_DELIVERY",$S559="DELIVERY_CHARGE_ONLY"),$K559=""),"ERROR",IF(AND(OR($S559="TOTAL_AMOUNT_INCLUDING_DELIVERY",$S559="EXACT_COLLECTION_AMOUNT"),$T559=""),"ERROR",IF(AND($S559="TOTAL_AMOUNT_INCLUDING_DELIVERY",$T559&lt;SUM($J559,$U559)),"ERROR",IF($S559="EXACT_COLLECTION_AMOUNT","REVIEW","OK")))))))))</f>
        <v/>
      </c>
      <c r="AV559" s="25">
        <f>IF($AU559="","",IF($H559="","Township required",IF($Q559="","Customer tier required",IF($M559="","Weight required",IF($S559="","Amount entry type required",IF(OR($J559&lt;0,$K559&lt;0,$M559&lt;0,$T559&lt;0,$U559&lt;0,$V559&lt;0,$W559&lt;0,$X559&lt;0,$Y559&lt;0),"Negative amounts are not allowed",IF($AE559="","Tariff not found for township and tier",IF(AND(OR($S559="ITEM_PRICE_PLUS_DECLARED_DELIVERY",$S559="TOTAL_AMOUNT_INCLUDING_DELIVERY",$S559="ITEM_PRICE_ONLY_DELIVERY_PAID_BY_MERCHANT"),$J559=""),"Item price required for this amount type",IF(AND(OR($S559="ITEM_PRICE_PLUS_DECLARED_DELIVERY",$S559="DELIVERY_CHARGE_ONLY"),$K559=""),"Declared delivery charge required",IF(AND(OR($S559="TOTAL_AMOUNT_INCLUDING_DELIVERY",$S559="EXACT_COLLECTION_AMOUNT"),$T559=""),"Stated total amount required",IF(AND($S559="TOTAL_AMOUNT_INCLUDING_DELIVERY",$T559&lt;SUM($J559,$U559)),"Stated total is below item price plus additional charge",IF($S559="EXACT_COLLECTION_AMOUNT","Authorized amount breakdown required before settlement","Ready for collection and settlement"))))))))))))</f>
        <v/>
      </c>
      <c r="AW559" s="23">
        <f>IF($AU559="","","PARCEL_FINANCIAL_V2")</f>
        <v/>
      </c>
      <c r="AX559" s="17" t="n"/>
    </row>
    <row r="560">
      <c r="A560" s="8" t="n"/>
      <c r="B560" s="8" t="n"/>
      <c r="C560" s="8" t="n"/>
      <c r="D560" s="8" t="n"/>
      <c r="E560" s="9" t="n"/>
      <c r="F560" s="9" t="n"/>
      <c r="G560" s="8" t="n"/>
      <c r="H560" s="9" t="n"/>
      <c r="I560" s="9" t="n"/>
      <c r="J560" s="10" t="n"/>
      <c r="K560" s="10" t="n"/>
      <c r="L560" s="11">
        <f>IF($S560="","",IF($S560="ITEM_PRICE_PLUS_DECLARED_DELIVERY",IF(OR($J560="",$K560=""),"",SUM($J560,$K560,$U560)),IF($S560="TOTAL_AMOUNT_INCLUDING_DELIVERY",IF($T560="","",$T560),IF($S560="DELIVERY_CHARGE_ONLY",IF($K560="","",SUM($K560,$U560)),IF($S560="EXACT_COLLECTION_AMOUNT",IF($T560="","",$T560),IF($S560="ITEM_PRICE_ONLY_DELIVERY_PAID_BY_MERCHANT",IF($J560="","",SUM($J560,$U560)),""))))))</f>
        <v/>
      </c>
      <c r="M560" s="12" t="n"/>
      <c r="N560" s="13" t="n"/>
      <c r="O560" s="13" t="n"/>
      <c r="P560" s="9" t="n"/>
      <c r="Q560" s="14" t="n"/>
      <c r="R560" s="15" t="n"/>
      <c r="S560" s="14" t="n"/>
      <c r="T560" s="16" t="n"/>
      <c r="U560" s="16" t="n"/>
      <c r="V560" s="16" t="n"/>
      <c r="W560" s="16" t="n"/>
      <c r="X560" s="16" t="n"/>
      <c r="Y560" s="16" t="n"/>
      <c r="Z560" s="14" t="n"/>
      <c r="AA560" s="14" t="n"/>
      <c r="AB560" s="14" t="n"/>
      <c r="AC560" s="17">
        <f>IFERROR(VLOOKUP($H560&amp;"|"&amp;$Q560,Tariff_Master!$A$2:$L$169,3,FALSE),"")</f>
        <v/>
      </c>
      <c r="AD560" s="17">
        <f>IFERROR(VLOOKUP($H560&amp;"|"&amp;$Q560,Tariff_Master!$A$2:$L$169,4,FALSE),"")</f>
        <v/>
      </c>
      <c r="AE560" s="18">
        <f>IFERROR(VLOOKUP($H560&amp;"|"&amp;$Q560,Tariff_Master!$A$2:$L$169,6,FALSE),"")</f>
        <v/>
      </c>
      <c r="AF560" s="19">
        <f>IFERROR(VLOOKUP($H560&amp;"|"&amp;$Q560,Tariff_Master!$A$2:$L$169,7,FALSE),"")</f>
        <v/>
      </c>
      <c r="AG560" s="18">
        <f>IFERROR(VLOOKUP($H560&amp;"|"&amp;$Q560,Tariff_Master!$A$2:$L$169,8,FALSE),"")</f>
        <v/>
      </c>
      <c r="AH560" s="20">
        <f>IFERROR(VLOOKUP($H560&amp;"|"&amp;$Q560,Tariff_Master!$A$2:$L$169,9,FALSE),"")</f>
        <v/>
      </c>
      <c r="AI560" s="18">
        <f>IFERROR(VLOOKUP($H560&amp;"|"&amp;$Q560,Tariff_Master!$A$2:$L$169,10,FALSE),"")</f>
        <v/>
      </c>
      <c r="AJ560" s="21">
        <f>IF($M560="","",ROUNDUP(MAX(0,$M560),0))</f>
        <v/>
      </c>
      <c r="AK560" s="21">
        <f>IF(OR($AJ560="",$AF560=""),"",MAX(0,$AJ560-$AF560))</f>
        <v/>
      </c>
      <c r="AL560" s="22">
        <f>IF(OR($AK560="",$AG560=""),"",MAX(0,$AK560*$AG560))</f>
        <v/>
      </c>
      <c r="AM560" s="22">
        <f>IF($AE560="","",MAX(0,SUM($AE560,$AL560,$V560,$W560)))</f>
        <v/>
      </c>
      <c r="AN560" s="22">
        <f>IF($AM560="","",IF(AND($Q560="COMMITMENT",$R560&gt;=$AH560),$AI560,0))</f>
        <v/>
      </c>
      <c r="AO560" s="23">
        <f>IF($AM560="","",MAX(0,$AM560-$AN560))</f>
        <v/>
      </c>
      <c r="AP560" s="22">
        <f>IF($S560="","",IF(OR($S560="ITEM_PRICE_PLUS_DECLARED_DELIVERY",$S560="DELIVERY_CHARGE_ONLY"),$K560,IF($S560="TOTAL_AMOUNT_INCLUDING_DELIVERY",IF(OR($T560="",$J560=""),"",MAX(0,$T560-$J560-$U560)),IF($S560="ITEM_PRICE_ONLY_DELIVERY_PAID_BY_MERCHANT",0,""))))</f>
        <v/>
      </c>
      <c r="AQ560" s="23">
        <f>IF(OR($AP560="",$AO560=""),"",$AP560-$AO560)</f>
        <v/>
      </c>
      <c r="AR560" s="24">
        <f>IF($S560="EXACT_COLLECTION_AMOUNT","BREAKDOWN_REQUIRED",IF($AQ560="","",IF($AQ560&gt;0,"CREDIT_TO_MERCHANT",IF($AQ560&lt;0,"DEDUCT_FROM_MERCHANT","NO_ADJUSTMENT"))))</f>
        <v/>
      </c>
      <c r="AS560" s="23">
        <f>IF(OR($AQ560="",$AR560="BREAKDOWN_REQUIRED"),"",$AQ560)</f>
        <v/>
      </c>
      <c r="AT560" s="23">
        <f>IF(OR($AR560="",$AR560="BREAKDOWN_REQUIRED"),"",SUM($J560,$AQ560,$Y560)-$X560)</f>
        <v/>
      </c>
      <c r="AU560" s="25">
        <f>IF(AND($A560="",$B560="",$F560="",$H560="",$J560="",$K560="",$M560="",$S560=""),"",IF(OR($H560="",$Q560="",$M560="",$S560=""),"ERROR",IF(OR($J560&lt;0,$K560&lt;0,$M560&lt;0,$T560&lt;0,$U560&lt;0,$V560&lt;0,$W560&lt;0,$X560&lt;0,$Y560&lt;0),"ERROR",IF($AE560="","ERROR",IF(AND(OR($S560="ITEM_PRICE_PLUS_DECLARED_DELIVERY",$S560="TOTAL_AMOUNT_INCLUDING_DELIVERY",$S560="ITEM_PRICE_ONLY_DELIVERY_PAID_BY_MERCHANT"),$J560=""),"ERROR",IF(AND(OR($S560="ITEM_PRICE_PLUS_DECLARED_DELIVERY",$S560="DELIVERY_CHARGE_ONLY"),$K560=""),"ERROR",IF(AND(OR($S560="TOTAL_AMOUNT_INCLUDING_DELIVERY",$S560="EXACT_COLLECTION_AMOUNT"),$T560=""),"ERROR",IF(AND($S560="TOTAL_AMOUNT_INCLUDING_DELIVERY",$T560&lt;SUM($J560,$U560)),"ERROR",IF($S560="EXACT_COLLECTION_AMOUNT","REVIEW","OK")))))))))</f>
        <v/>
      </c>
      <c r="AV560" s="25">
        <f>IF($AU560="","",IF($H560="","Township required",IF($Q560="","Customer tier required",IF($M560="","Weight required",IF($S560="","Amount entry type required",IF(OR($J560&lt;0,$K560&lt;0,$M560&lt;0,$T560&lt;0,$U560&lt;0,$V560&lt;0,$W560&lt;0,$X560&lt;0,$Y560&lt;0),"Negative amounts are not allowed",IF($AE560="","Tariff not found for township and tier",IF(AND(OR($S560="ITEM_PRICE_PLUS_DECLARED_DELIVERY",$S560="TOTAL_AMOUNT_INCLUDING_DELIVERY",$S560="ITEM_PRICE_ONLY_DELIVERY_PAID_BY_MERCHANT"),$J560=""),"Item price required for this amount type",IF(AND(OR($S560="ITEM_PRICE_PLUS_DECLARED_DELIVERY",$S560="DELIVERY_CHARGE_ONLY"),$K560=""),"Declared delivery charge required",IF(AND(OR($S560="TOTAL_AMOUNT_INCLUDING_DELIVERY",$S560="EXACT_COLLECTION_AMOUNT"),$T560=""),"Stated total amount required",IF(AND($S560="TOTAL_AMOUNT_INCLUDING_DELIVERY",$T560&lt;SUM($J560,$U560)),"Stated total is below item price plus additional charge",IF($S560="EXACT_COLLECTION_AMOUNT","Authorized amount breakdown required before settlement","Ready for collection and settlement"))))))))))))</f>
        <v/>
      </c>
      <c r="AW560" s="23">
        <f>IF($AU560="","","PARCEL_FINANCIAL_V2")</f>
        <v/>
      </c>
      <c r="AX560" s="17" t="n"/>
    </row>
    <row r="561">
      <c r="A561" s="8" t="n"/>
      <c r="B561" s="8" t="n"/>
      <c r="C561" s="8" t="n"/>
      <c r="D561" s="8" t="n"/>
      <c r="E561" s="9" t="n"/>
      <c r="F561" s="9" t="n"/>
      <c r="G561" s="8" t="n"/>
      <c r="H561" s="9" t="n"/>
      <c r="I561" s="9" t="n"/>
      <c r="J561" s="10" t="n"/>
      <c r="K561" s="10" t="n"/>
      <c r="L561" s="11">
        <f>IF($S561="","",IF($S561="ITEM_PRICE_PLUS_DECLARED_DELIVERY",IF(OR($J561="",$K561=""),"",SUM($J561,$K561,$U561)),IF($S561="TOTAL_AMOUNT_INCLUDING_DELIVERY",IF($T561="","",$T561),IF($S561="DELIVERY_CHARGE_ONLY",IF($K561="","",SUM($K561,$U561)),IF($S561="EXACT_COLLECTION_AMOUNT",IF($T561="","",$T561),IF($S561="ITEM_PRICE_ONLY_DELIVERY_PAID_BY_MERCHANT",IF($J561="","",SUM($J561,$U561)),""))))))</f>
        <v/>
      </c>
      <c r="M561" s="12" t="n"/>
      <c r="N561" s="13" t="n"/>
      <c r="O561" s="13" t="n"/>
      <c r="P561" s="9" t="n"/>
      <c r="Q561" s="14" t="n"/>
      <c r="R561" s="15" t="n"/>
      <c r="S561" s="14" t="n"/>
      <c r="T561" s="16" t="n"/>
      <c r="U561" s="16" t="n"/>
      <c r="V561" s="16" t="n"/>
      <c r="W561" s="16" t="n"/>
      <c r="X561" s="16" t="n"/>
      <c r="Y561" s="16" t="n"/>
      <c r="Z561" s="14" t="n"/>
      <c r="AA561" s="14" t="n"/>
      <c r="AB561" s="14" t="n"/>
      <c r="AC561" s="17">
        <f>IFERROR(VLOOKUP($H561&amp;"|"&amp;$Q561,Tariff_Master!$A$2:$L$169,3,FALSE),"")</f>
        <v/>
      </c>
      <c r="AD561" s="17">
        <f>IFERROR(VLOOKUP($H561&amp;"|"&amp;$Q561,Tariff_Master!$A$2:$L$169,4,FALSE),"")</f>
        <v/>
      </c>
      <c r="AE561" s="18">
        <f>IFERROR(VLOOKUP($H561&amp;"|"&amp;$Q561,Tariff_Master!$A$2:$L$169,6,FALSE),"")</f>
        <v/>
      </c>
      <c r="AF561" s="19">
        <f>IFERROR(VLOOKUP($H561&amp;"|"&amp;$Q561,Tariff_Master!$A$2:$L$169,7,FALSE),"")</f>
        <v/>
      </c>
      <c r="AG561" s="18">
        <f>IFERROR(VLOOKUP($H561&amp;"|"&amp;$Q561,Tariff_Master!$A$2:$L$169,8,FALSE),"")</f>
        <v/>
      </c>
      <c r="AH561" s="20">
        <f>IFERROR(VLOOKUP($H561&amp;"|"&amp;$Q561,Tariff_Master!$A$2:$L$169,9,FALSE),"")</f>
        <v/>
      </c>
      <c r="AI561" s="18">
        <f>IFERROR(VLOOKUP($H561&amp;"|"&amp;$Q561,Tariff_Master!$A$2:$L$169,10,FALSE),"")</f>
        <v/>
      </c>
      <c r="AJ561" s="21">
        <f>IF($M561="","",ROUNDUP(MAX(0,$M561),0))</f>
        <v/>
      </c>
      <c r="AK561" s="21">
        <f>IF(OR($AJ561="",$AF561=""),"",MAX(0,$AJ561-$AF561))</f>
        <v/>
      </c>
      <c r="AL561" s="22">
        <f>IF(OR($AK561="",$AG561=""),"",MAX(0,$AK561*$AG561))</f>
        <v/>
      </c>
      <c r="AM561" s="22">
        <f>IF($AE561="","",MAX(0,SUM($AE561,$AL561,$V561,$W561)))</f>
        <v/>
      </c>
      <c r="AN561" s="22">
        <f>IF($AM561="","",IF(AND($Q561="COMMITMENT",$R561&gt;=$AH561),$AI561,0))</f>
        <v/>
      </c>
      <c r="AO561" s="23">
        <f>IF($AM561="","",MAX(0,$AM561-$AN561))</f>
        <v/>
      </c>
      <c r="AP561" s="22">
        <f>IF($S561="","",IF(OR($S561="ITEM_PRICE_PLUS_DECLARED_DELIVERY",$S561="DELIVERY_CHARGE_ONLY"),$K561,IF($S561="TOTAL_AMOUNT_INCLUDING_DELIVERY",IF(OR($T561="",$J561=""),"",MAX(0,$T561-$J561-$U561)),IF($S561="ITEM_PRICE_ONLY_DELIVERY_PAID_BY_MERCHANT",0,""))))</f>
        <v/>
      </c>
      <c r="AQ561" s="23">
        <f>IF(OR($AP561="",$AO561=""),"",$AP561-$AO561)</f>
        <v/>
      </c>
      <c r="AR561" s="24">
        <f>IF($S561="EXACT_COLLECTION_AMOUNT","BREAKDOWN_REQUIRED",IF($AQ561="","",IF($AQ561&gt;0,"CREDIT_TO_MERCHANT",IF($AQ561&lt;0,"DEDUCT_FROM_MERCHANT","NO_ADJUSTMENT"))))</f>
        <v/>
      </c>
      <c r="AS561" s="23">
        <f>IF(OR($AQ561="",$AR561="BREAKDOWN_REQUIRED"),"",$AQ561)</f>
        <v/>
      </c>
      <c r="AT561" s="23">
        <f>IF(OR($AR561="",$AR561="BREAKDOWN_REQUIRED"),"",SUM($J561,$AQ561,$Y561)-$X561)</f>
        <v/>
      </c>
      <c r="AU561" s="25">
        <f>IF(AND($A561="",$B561="",$F561="",$H561="",$J561="",$K561="",$M561="",$S561=""),"",IF(OR($H561="",$Q561="",$M561="",$S561=""),"ERROR",IF(OR($J561&lt;0,$K561&lt;0,$M561&lt;0,$T561&lt;0,$U561&lt;0,$V561&lt;0,$W561&lt;0,$X561&lt;0,$Y561&lt;0),"ERROR",IF($AE561="","ERROR",IF(AND(OR($S561="ITEM_PRICE_PLUS_DECLARED_DELIVERY",$S561="TOTAL_AMOUNT_INCLUDING_DELIVERY",$S561="ITEM_PRICE_ONLY_DELIVERY_PAID_BY_MERCHANT"),$J561=""),"ERROR",IF(AND(OR($S561="ITEM_PRICE_PLUS_DECLARED_DELIVERY",$S561="DELIVERY_CHARGE_ONLY"),$K561=""),"ERROR",IF(AND(OR($S561="TOTAL_AMOUNT_INCLUDING_DELIVERY",$S561="EXACT_COLLECTION_AMOUNT"),$T561=""),"ERROR",IF(AND($S561="TOTAL_AMOUNT_INCLUDING_DELIVERY",$T561&lt;SUM($J561,$U561)),"ERROR",IF($S561="EXACT_COLLECTION_AMOUNT","REVIEW","OK")))))))))</f>
        <v/>
      </c>
      <c r="AV561" s="25">
        <f>IF($AU561="","",IF($H561="","Township required",IF($Q561="","Customer tier required",IF($M561="","Weight required",IF($S561="","Amount entry type required",IF(OR($J561&lt;0,$K561&lt;0,$M561&lt;0,$T561&lt;0,$U561&lt;0,$V561&lt;0,$W561&lt;0,$X561&lt;0,$Y561&lt;0),"Negative amounts are not allowed",IF($AE561="","Tariff not found for township and tier",IF(AND(OR($S561="ITEM_PRICE_PLUS_DECLARED_DELIVERY",$S561="TOTAL_AMOUNT_INCLUDING_DELIVERY",$S561="ITEM_PRICE_ONLY_DELIVERY_PAID_BY_MERCHANT"),$J561=""),"Item price required for this amount type",IF(AND(OR($S561="ITEM_PRICE_PLUS_DECLARED_DELIVERY",$S561="DELIVERY_CHARGE_ONLY"),$K561=""),"Declared delivery charge required",IF(AND(OR($S561="TOTAL_AMOUNT_INCLUDING_DELIVERY",$S561="EXACT_COLLECTION_AMOUNT"),$T561=""),"Stated total amount required",IF(AND($S561="TOTAL_AMOUNT_INCLUDING_DELIVERY",$T561&lt;SUM($J561,$U561)),"Stated total is below item price plus additional charge",IF($S561="EXACT_COLLECTION_AMOUNT","Authorized amount breakdown required before settlement","Ready for collection and settlement"))))))))))))</f>
        <v/>
      </c>
      <c r="AW561" s="23">
        <f>IF($AU561="","","PARCEL_FINANCIAL_V2")</f>
        <v/>
      </c>
      <c r="AX561" s="17" t="n"/>
    </row>
    <row r="562">
      <c r="A562" s="8" t="n"/>
      <c r="B562" s="8" t="n"/>
      <c r="C562" s="8" t="n"/>
      <c r="D562" s="8" t="n"/>
      <c r="E562" s="9" t="n"/>
      <c r="F562" s="9" t="n"/>
      <c r="G562" s="8" t="n"/>
      <c r="H562" s="9" t="n"/>
      <c r="I562" s="9" t="n"/>
      <c r="J562" s="10" t="n"/>
      <c r="K562" s="10" t="n"/>
      <c r="L562" s="11">
        <f>IF($S562="","",IF($S562="ITEM_PRICE_PLUS_DECLARED_DELIVERY",IF(OR($J562="",$K562=""),"",SUM($J562,$K562,$U562)),IF($S562="TOTAL_AMOUNT_INCLUDING_DELIVERY",IF($T562="","",$T562),IF($S562="DELIVERY_CHARGE_ONLY",IF($K562="","",SUM($K562,$U562)),IF($S562="EXACT_COLLECTION_AMOUNT",IF($T562="","",$T562),IF($S562="ITEM_PRICE_ONLY_DELIVERY_PAID_BY_MERCHANT",IF($J562="","",SUM($J562,$U562)),""))))))</f>
        <v/>
      </c>
      <c r="M562" s="12" t="n"/>
      <c r="N562" s="13" t="n"/>
      <c r="O562" s="13" t="n"/>
      <c r="P562" s="9" t="n"/>
      <c r="Q562" s="14" t="n"/>
      <c r="R562" s="15" t="n"/>
      <c r="S562" s="14" t="n"/>
      <c r="T562" s="16" t="n"/>
      <c r="U562" s="16" t="n"/>
      <c r="V562" s="16" t="n"/>
      <c r="W562" s="16" t="n"/>
      <c r="X562" s="16" t="n"/>
      <c r="Y562" s="16" t="n"/>
      <c r="Z562" s="14" t="n"/>
      <c r="AA562" s="14" t="n"/>
      <c r="AB562" s="14" t="n"/>
      <c r="AC562" s="17">
        <f>IFERROR(VLOOKUP($H562&amp;"|"&amp;$Q562,Tariff_Master!$A$2:$L$169,3,FALSE),"")</f>
        <v/>
      </c>
      <c r="AD562" s="17">
        <f>IFERROR(VLOOKUP($H562&amp;"|"&amp;$Q562,Tariff_Master!$A$2:$L$169,4,FALSE),"")</f>
        <v/>
      </c>
      <c r="AE562" s="18">
        <f>IFERROR(VLOOKUP($H562&amp;"|"&amp;$Q562,Tariff_Master!$A$2:$L$169,6,FALSE),"")</f>
        <v/>
      </c>
      <c r="AF562" s="19">
        <f>IFERROR(VLOOKUP($H562&amp;"|"&amp;$Q562,Tariff_Master!$A$2:$L$169,7,FALSE),"")</f>
        <v/>
      </c>
      <c r="AG562" s="18">
        <f>IFERROR(VLOOKUP($H562&amp;"|"&amp;$Q562,Tariff_Master!$A$2:$L$169,8,FALSE),"")</f>
        <v/>
      </c>
      <c r="AH562" s="20">
        <f>IFERROR(VLOOKUP($H562&amp;"|"&amp;$Q562,Tariff_Master!$A$2:$L$169,9,FALSE),"")</f>
        <v/>
      </c>
      <c r="AI562" s="18">
        <f>IFERROR(VLOOKUP($H562&amp;"|"&amp;$Q562,Tariff_Master!$A$2:$L$169,10,FALSE),"")</f>
        <v/>
      </c>
      <c r="AJ562" s="21">
        <f>IF($M562="","",ROUNDUP(MAX(0,$M562),0))</f>
        <v/>
      </c>
      <c r="AK562" s="21">
        <f>IF(OR($AJ562="",$AF562=""),"",MAX(0,$AJ562-$AF562))</f>
        <v/>
      </c>
      <c r="AL562" s="22">
        <f>IF(OR($AK562="",$AG562=""),"",MAX(0,$AK562*$AG562))</f>
        <v/>
      </c>
      <c r="AM562" s="22">
        <f>IF($AE562="","",MAX(0,SUM($AE562,$AL562,$V562,$W562)))</f>
        <v/>
      </c>
      <c r="AN562" s="22">
        <f>IF($AM562="","",IF(AND($Q562="COMMITMENT",$R562&gt;=$AH562),$AI562,0))</f>
        <v/>
      </c>
      <c r="AO562" s="23">
        <f>IF($AM562="","",MAX(0,$AM562-$AN562))</f>
        <v/>
      </c>
      <c r="AP562" s="22">
        <f>IF($S562="","",IF(OR($S562="ITEM_PRICE_PLUS_DECLARED_DELIVERY",$S562="DELIVERY_CHARGE_ONLY"),$K562,IF($S562="TOTAL_AMOUNT_INCLUDING_DELIVERY",IF(OR($T562="",$J562=""),"",MAX(0,$T562-$J562-$U562)),IF($S562="ITEM_PRICE_ONLY_DELIVERY_PAID_BY_MERCHANT",0,""))))</f>
        <v/>
      </c>
      <c r="AQ562" s="23">
        <f>IF(OR($AP562="",$AO562=""),"",$AP562-$AO562)</f>
        <v/>
      </c>
      <c r="AR562" s="24">
        <f>IF($S562="EXACT_COLLECTION_AMOUNT","BREAKDOWN_REQUIRED",IF($AQ562="","",IF($AQ562&gt;0,"CREDIT_TO_MERCHANT",IF($AQ562&lt;0,"DEDUCT_FROM_MERCHANT","NO_ADJUSTMENT"))))</f>
        <v/>
      </c>
      <c r="AS562" s="23">
        <f>IF(OR($AQ562="",$AR562="BREAKDOWN_REQUIRED"),"",$AQ562)</f>
        <v/>
      </c>
      <c r="AT562" s="23">
        <f>IF(OR($AR562="",$AR562="BREAKDOWN_REQUIRED"),"",SUM($J562,$AQ562,$Y562)-$X562)</f>
        <v/>
      </c>
      <c r="AU562" s="25">
        <f>IF(AND($A562="",$B562="",$F562="",$H562="",$J562="",$K562="",$M562="",$S562=""),"",IF(OR($H562="",$Q562="",$M562="",$S562=""),"ERROR",IF(OR($J562&lt;0,$K562&lt;0,$M562&lt;0,$T562&lt;0,$U562&lt;0,$V562&lt;0,$W562&lt;0,$X562&lt;0,$Y562&lt;0),"ERROR",IF($AE562="","ERROR",IF(AND(OR($S562="ITEM_PRICE_PLUS_DECLARED_DELIVERY",$S562="TOTAL_AMOUNT_INCLUDING_DELIVERY",$S562="ITEM_PRICE_ONLY_DELIVERY_PAID_BY_MERCHANT"),$J562=""),"ERROR",IF(AND(OR($S562="ITEM_PRICE_PLUS_DECLARED_DELIVERY",$S562="DELIVERY_CHARGE_ONLY"),$K562=""),"ERROR",IF(AND(OR($S562="TOTAL_AMOUNT_INCLUDING_DELIVERY",$S562="EXACT_COLLECTION_AMOUNT"),$T562=""),"ERROR",IF(AND($S562="TOTAL_AMOUNT_INCLUDING_DELIVERY",$T562&lt;SUM($J562,$U562)),"ERROR",IF($S562="EXACT_COLLECTION_AMOUNT","REVIEW","OK")))))))))</f>
        <v/>
      </c>
      <c r="AV562" s="25">
        <f>IF($AU562="","",IF($H562="","Township required",IF($Q562="","Customer tier required",IF($M562="","Weight required",IF($S562="","Amount entry type required",IF(OR($J562&lt;0,$K562&lt;0,$M562&lt;0,$T562&lt;0,$U562&lt;0,$V562&lt;0,$W562&lt;0,$X562&lt;0,$Y562&lt;0),"Negative amounts are not allowed",IF($AE562="","Tariff not found for township and tier",IF(AND(OR($S562="ITEM_PRICE_PLUS_DECLARED_DELIVERY",$S562="TOTAL_AMOUNT_INCLUDING_DELIVERY",$S562="ITEM_PRICE_ONLY_DELIVERY_PAID_BY_MERCHANT"),$J562=""),"Item price required for this amount type",IF(AND(OR($S562="ITEM_PRICE_PLUS_DECLARED_DELIVERY",$S562="DELIVERY_CHARGE_ONLY"),$K562=""),"Declared delivery charge required",IF(AND(OR($S562="TOTAL_AMOUNT_INCLUDING_DELIVERY",$S562="EXACT_COLLECTION_AMOUNT"),$T562=""),"Stated total amount required",IF(AND($S562="TOTAL_AMOUNT_INCLUDING_DELIVERY",$T562&lt;SUM($J562,$U562)),"Stated total is below item price plus additional charge",IF($S562="EXACT_COLLECTION_AMOUNT","Authorized amount breakdown required before settlement","Ready for collection and settlement"))))))))))))</f>
        <v/>
      </c>
      <c r="AW562" s="23">
        <f>IF($AU562="","","PARCEL_FINANCIAL_V2")</f>
        <v/>
      </c>
      <c r="AX562" s="17" t="n"/>
    </row>
    <row r="563">
      <c r="A563" s="8" t="n"/>
      <c r="B563" s="8" t="n"/>
      <c r="C563" s="8" t="n"/>
      <c r="D563" s="8" t="n"/>
      <c r="E563" s="9" t="n"/>
      <c r="F563" s="9" t="n"/>
      <c r="G563" s="8" t="n"/>
      <c r="H563" s="9" t="n"/>
      <c r="I563" s="9" t="n"/>
      <c r="J563" s="10" t="n"/>
      <c r="K563" s="10" t="n"/>
      <c r="L563" s="11">
        <f>IF($S563="","",IF($S563="ITEM_PRICE_PLUS_DECLARED_DELIVERY",IF(OR($J563="",$K563=""),"",SUM($J563,$K563,$U563)),IF($S563="TOTAL_AMOUNT_INCLUDING_DELIVERY",IF($T563="","",$T563),IF($S563="DELIVERY_CHARGE_ONLY",IF($K563="","",SUM($K563,$U563)),IF($S563="EXACT_COLLECTION_AMOUNT",IF($T563="","",$T563),IF($S563="ITEM_PRICE_ONLY_DELIVERY_PAID_BY_MERCHANT",IF($J563="","",SUM($J563,$U563)),""))))))</f>
        <v/>
      </c>
      <c r="M563" s="12" t="n"/>
      <c r="N563" s="13" t="n"/>
      <c r="O563" s="13" t="n"/>
      <c r="P563" s="9" t="n"/>
      <c r="Q563" s="14" t="n"/>
      <c r="R563" s="15" t="n"/>
      <c r="S563" s="14" t="n"/>
      <c r="T563" s="16" t="n"/>
      <c r="U563" s="16" t="n"/>
      <c r="V563" s="16" t="n"/>
      <c r="W563" s="16" t="n"/>
      <c r="X563" s="16" t="n"/>
      <c r="Y563" s="16" t="n"/>
      <c r="Z563" s="14" t="n"/>
      <c r="AA563" s="14" t="n"/>
      <c r="AB563" s="14" t="n"/>
      <c r="AC563" s="17">
        <f>IFERROR(VLOOKUP($H563&amp;"|"&amp;$Q563,Tariff_Master!$A$2:$L$169,3,FALSE),"")</f>
        <v/>
      </c>
      <c r="AD563" s="17">
        <f>IFERROR(VLOOKUP($H563&amp;"|"&amp;$Q563,Tariff_Master!$A$2:$L$169,4,FALSE),"")</f>
        <v/>
      </c>
      <c r="AE563" s="18">
        <f>IFERROR(VLOOKUP($H563&amp;"|"&amp;$Q563,Tariff_Master!$A$2:$L$169,6,FALSE),"")</f>
        <v/>
      </c>
      <c r="AF563" s="19">
        <f>IFERROR(VLOOKUP($H563&amp;"|"&amp;$Q563,Tariff_Master!$A$2:$L$169,7,FALSE),"")</f>
        <v/>
      </c>
      <c r="AG563" s="18">
        <f>IFERROR(VLOOKUP($H563&amp;"|"&amp;$Q563,Tariff_Master!$A$2:$L$169,8,FALSE),"")</f>
        <v/>
      </c>
      <c r="AH563" s="20">
        <f>IFERROR(VLOOKUP($H563&amp;"|"&amp;$Q563,Tariff_Master!$A$2:$L$169,9,FALSE),"")</f>
        <v/>
      </c>
      <c r="AI563" s="18">
        <f>IFERROR(VLOOKUP($H563&amp;"|"&amp;$Q563,Tariff_Master!$A$2:$L$169,10,FALSE),"")</f>
        <v/>
      </c>
      <c r="AJ563" s="21">
        <f>IF($M563="","",ROUNDUP(MAX(0,$M563),0))</f>
        <v/>
      </c>
      <c r="AK563" s="21">
        <f>IF(OR($AJ563="",$AF563=""),"",MAX(0,$AJ563-$AF563))</f>
        <v/>
      </c>
      <c r="AL563" s="22">
        <f>IF(OR($AK563="",$AG563=""),"",MAX(0,$AK563*$AG563))</f>
        <v/>
      </c>
      <c r="AM563" s="22">
        <f>IF($AE563="","",MAX(0,SUM($AE563,$AL563,$V563,$W563)))</f>
        <v/>
      </c>
      <c r="AN563" s="22">
        <f>IF($AM563="","",IF(AND($Q563="COMMITMENT",$R563&gt;=$AH563),$AI563,0))</f>
        <v/>
      </c>
      <c r="AO563" s="23">
        <f>IF($AM563="","",MAX(0,$AM563-$AN563))</f>
        <v/>
      </c>
      <c r="AP563" s="22">
        <f>IF($S563="","",IF(OR($S563="ITEM_PRICE_PLUS_DECLARED_DELIVERY",$S563="DELIVERY_CHARGE_ONLY"),$K563,IF($S563="TOTAL_AMOUNT_INCLUDING_DELIVERY",IF(OR($T563="",$J563=""),"",MAX(0,$T563-$J563-$U563)),IF($S563="ITEM_PRICE_ONLY_DELIVERY_PAID_BY_MERCHANT",0,""))))</f>
        <v/>
      </c>
      <c r="AQ563" s="23">
        <f>IF(OR($AP563="",$AO563=""),"",$AP563-$AO563)</f>
        <v/>
      </c>
      <c r="AR563" s="24">
        <f>IF($S563="EXACT_COLLECTION_AMOUNT","BREAKDOWN_REQUIRED",IF($AQ563="","",IF($AQ563&gt;0,"CREDIT_TO_MERCHANT",IF($AQ563&lt;0,"DEDUCT_FROM_MERCHANT","NO_ADJUSTMENT"))))</f>
        <v/>
      </c>
      <c r="AS563" s="23">
        <f>IF(OR($AQ563="",$AR563="BREAKDOWN_REQUIRED"),"",$AQ563)</f>
        <v/>
      </c>
      <c r="AT563" s="23">
        <f>IF(OR($AR563="",$AR563="BREAKDOWN_REQUIRED"),"",SUM($J563,$AQ563,$Y563)-$X563)</f>
        <v/>
      </c>
      <c r="AU563" s="25">
        <f>IF(AND($A563="",$B563="",$F563="",$H563="",$J563="",$K563="",$M563="",$S563=""),"",IF(OR($H563="",$Q563="",$M563="",$S563=""),"ERROR",IF(OR($J563&lt;0,$K563&lt;0,$M563&lt;0,$T563&lt;0,$U563&lt;0,$V563&lt;0,$W563&lt;0,$X563&lt;0,$Y563&lt;0),"ERROR",IF($AE563="","ERROR",IF(AND(OR($S563="ITEM_PRICE_PLUS_DECLARED_DELIVERY",$S563="TOTAL_AMOUNT_INCLUDING_DELIVERY",$S563="ITEM_PRICE_ONLY_DELIVERY_PAID_BY_MERCHANT"),$J563=""),"ERROR",IF(AND(OR($S563="ITEM_PRICE_PLUS_DECLARED_DELIVERY",$S563="DELIVERY_CHARGE_ONLY"),$K563=""),"ERROR",IF(AND(OR($S563="TOTAL_AMOUNT_INCLUDING_DELIVERY",$S563="EXACT_COLLECTION_AMOUNT"),$T563=""),"ERROR",IF(AND($S563="TOTAL_AMOUNT_INCLUDING_DELIVERY",$T563&lt;SUM($J563,$U563)),"ERROR",IF($S563="EXACT_COLLECTION_AMOUNT","REVIEW","OK")))))))))</f>
        <v/>
      </c>
      <c r="AV563" s="25">
        <f>IF($AU563="","",IF($H563="","Township required",IF($Q563="","Customer tier required",IF($M563="","Weight required",IF($S563="","Amount entry type required",IF(OR($J563&lt;0,$K563&lt;0,$M563&lt;0,$T563&lt;0,$U563&lt;0,$V563&lt;0,$W563&lt;0,$X563&lt;0,$Y563&lt;0),"Negative amounts are not allowed",IF($AE563="","Tariff not found for township and tier",IF(AND(OR($S563="ITEM_PRICE_PLUS_DECLARED_DELIVERY",$S563="TOTAL_AMOUNT_INCLUDING_DELIVERY",$S563="ITEM_PRICE_ONLY_DELIVERY_PAID_BY_MERCHANT"),$J563=""),"Item price required for this amount type",IF(AND(OR($S563="ITEM_PRICE_PLUS_DECLARED_DELIVERY",$S563="DELIVERY_CHARGE_ONLY"),$K563=""),"Declared delivery charge required",IF(AND(OR($S563="TOTAL_AMOUNT_INCLUDING_DELIVERY",$S563="EXACT_COLLECTION_AMOUNT"),$T563=""),"Stated total amount required",IF(AND($S563="TOTAL_AMOUNT_INCLUDING_DELIVERY",$T563&lt;SUM($J563,$U563)),"Stated total is below item price plus additional charge",IF($S563="EXACT_COLLECTION_AMOUNT","Authorized amount breakdown required before settlement","Ready for collection and settlement"))))))))))))</f>
        <v/>
      </c>
      <c r="AW563" s="23">
        <f>IF($AU563="","","PARCEL_FINANCIAL_V2")</f>
        <v/>
      </c>
      <c r="AX563" s="17" t="n"/>
    </row>
    <row r="564">
      <c r="A564" s="8" t="n"/>
      <c r="B564" s="8" t="n"/>
      <c r="C564" s="8" t="n"/>
      <c r="D564" s="8" t="n"/>
      <c r="E564" s="9" t="n"/>
      <c r="F564" s="9" t="n"/>
      <c r="G564" s="8" t="n"/>
      <c r="H564" s="9" t="n"/>
      <c r="I564" s="9" t="n"/>
      <c r="J564" s="10" t="n"/>
      <c r="K564" s="10" t="n"/>
      <c r="L564" s="11">
        <f>IF($S564="","",IF($S564="ITEM_PRICE_PLUS_DECLARED_DELIVERY",IF(OR($J564="",$K564=""),"",SUM($J564,$K564,$U564)),IF($S564="TOTAL_AMOUNT_INCLUDING_DELIVERY",IF($T564="","",$T564),IF($S564="DELIVERY_CHARGE_ONLY",IF($K564="","",SUM($K564,$U564)),IF($S564="EXACT_COLLECTION_AMOUNT",IF($T564="","",$T564),IF($S564="ITEM_PRICE_ONLY_DELIVERY_PAID_BY_MERCHANT",IF($J564="","",SUM($J564,$U564)),""))))))</f>
        <v/>
      </c>
      <c r="M564" s="12" t="n"/>
      <c r="N564" s="13" t="n"/>
      <c r="O564" s="13" t="n"/>
      <c r="P564" s="9" t="n"/>
      <c r="Q564" s="14" t="n"/>
      <c r="R564" s="15" t="n"/>
      <c r="S564" s="14" t="n"/>
      <c r="T564" s="16" t="n"/>
      <c r="U564" s="16" t="n"/>
      <c r="V564" s="16" t="n"/>
      <c r="W564" s="16" t="n"/>
      <c r="X564" s="16" t="n"/>
      <c r="Y564" s="16" t="n"/>
      <c r="Z564" s="14" t="n"/>
      <c r="AA564" s="14" t="n"/>
      <c r="AB564" s="14" t="n"/>
      <c r="AC564" s="17">
        <f>IFERROR(VLOOKUP($H564&amp;"|"&amp;$Q564,Tariff_Master!$A$2:$L$169,3,FALSE),"")</f>
        <v/>
      </c>
      <c r="AD564" s="17">
        <f>IFERROR(VLOOKUP($H564&amp;"|"&amp;$Q564,Tariff_Master!$A$2:$L$169,4,FALSE),"")</f>
        <v/>
      </c>
      <c r="AE564" s="18">
        <f>IFERROR(VLOOKUP($H564&amp;"|"&amp;$Q564,Tariff_Master!$A$2:$L$169,6,FALSE),"")</f>
        <v/>
      </c>
      <c r="AF564" s="19">
        <f>IFERROR(VLOOKUP($H564&amp;"|"&amp;$Q564,Tariff_Master!$A$2:$L$169,7,FALSE),"")</f>
        <v/>
      </c>
      <c r="AG564" s="18">
        <f>IFERROR(VLOOKUP($H564&amp;"|"&amp;$Q564,Tariff_Master!$A$2:$L$169,8,FALSE),"")</f>
        <v/>
      </c>
      <c r="AH564" s="20">
        <f>IFERROR(VLOOKUP($H564&amp;"|"&amp;$Q564,Tariff_Master!$A$2:$L$169,9,FALSE),"")</f>
        <v/>
      </c>
      <c r="AI564" s="18">
        <f>IFERROR(VLOOKUP($H564&amp;"|"&amp;$Q564,Tariff_Master!$A$2:$L$169,10,FALSE),"")</f>
        <v/>
      </c>
      <c r="AJ564" s="21">
        <f>IF($M564="","",ROUNDUP(MAX(0,$M564),0))</f>
        <v/>
      </c>
      <c r="AK564" s="21">
        <f>IF(OR($AJ564="",$AF564=""),"",MAX(0,$AJ564-$AF564))</f>
        <v/>
      </c>
      <c r="AL564" s="22">
        <f>IF(OR($AK564="",$AG564=""),"",MAX(0,$AK564*$AG564))</f>
        <v/>
      </c>
      <c r="AM564" s="22">
        <f>IF($AE564="","",MAX(0,SUM($AE564,$AL564,$V564,$W564)))</f>
        <v/>
      </c>
      <c r="AN564" s="22">
        <f>IF($AM564="","",IF(AND($Q564="COMMITMENT",$R564&gt;=$AH564),$AI564,0))</f>
        <v/>
      </c>
      <c r="AO564" s="23">
        <f>IF($AM564="","",MAX(0,$AM564-$AN564))</f>
        <v/>
      </c>
      <c r="AP564" s="22">
        <f>IF($S564="","",IF(OR($S564="ITEM_PRICE_PLUS_DECLARED_DELIVERY",$S564="DELIVERY_CHARGE_ONLY"),$K564,IF($S564="TOTAL_AMOUNT_INCLUDING_DELIVERY",IF(OR($T564="",$J564=""),"",MAX(0,$T564-$J564-$U564)),IF($S564="ITEM_PRICE_ONLY_DELIVERY_PAID_BY_MERCHANT",0,""))))</f>
        <v/>
      </c>
      <c r="AQ564" s="23">
        <f>IF(OR($AP564="",$AO564=""),"",$AP564-$AO564)</f>
        <v/>
      </c>
      <c r="AR564" s="24">
        <f>IF($S564="EXACT_COLLECTION_AMOUNT","BREAKDOWN_REQUIRED",IF($AQ564="","",IF($AQ564&gt;0,"CREDIT_TO_MERCHANT",IF($AQ564&lt;0,"DEDUCT_FROM_MERCHANT","NO_ADJUSTMENT"))))</f>
        <v/>
      </c>
      <c r="AS564" s="23">
        <f>IF(OR($AQ564="",$AR564="BREAKDOWN_REQUIRED"),"",$AQ564)</f>
        <v/>
      </c>
      <c r="AT564" s="23">
        <f>IF(OR($AR564="",$AR564="BREAKDOWN_REQUIRED"),"",SUM($J564,$AQ564,$Y564)-$X564)</f>
        <v/>
      </c>
      <c r="AU564" s="25">
        <f>IF(AND($A564="",$B564="",$F564="",$H564="",$J564="",$K564="",$M564="",$S564=""),"",IF(OR($H564="",$Q564="",$M564="",$S564=""),"ERROR",IF(OR($J564&lt;0,$K564&lt;0,$M564&lt;0,$T564&lt;0,$U564&lt;0,$V564&lt;0,$W564&lt;0,$X564&lt;0,$Y564&lt;0),"ERROR",IF($AE564="","ERROR",IF(AND(OR($S564="ITEM_PRICE_PLUS_DECLARED_DELIVERY",$S564="TOTAL_AMOUNT_INCLUDING_DELIVERY",$S564="ITEM_PRICE_ONLY_DELIVERY_PAID_BY_MERCHANT"),$J564=""),"ERROR",IF(AND(OR($S564="ITEM_PRICE_PLUS_DECLARED_DELIVERY",$S564="DELIVERY_CHARGE_ONLY"),$K564=""),"ERROR",IF(AND(OR($S564="TOTAL_AMOUNT_INCLUDING_DELIVERY",$S564="EXACT_COLLECTION_AMOUNT"),$T564=""),"ERROR",IF(AND($S564="TOTAL_AMOUNT_INCLUDING_DELIVERY",$T564&lt;SUM($J564,$U564)),"ERROR",IF($S564="EXACT_COLLECTION_AMOUNT","REVIEW","OK")))))))))</f>
        <v/>
      </c>
      <c r="AV564" s="25">
        <f>IF($AU564="","",IF($H564="","Township required",IF($Q564="","Customer tier required",IF($M564="","Weight required",IF($S564="","Amount entry type required",IF(OR($J564&lt;0,$K564&lt;0,$M564&lt;0,$T564&lt;0,$U564&lt;0,$V564&lt;0,$W564&lt;0,$X564&lt;0,$Y564&lt;0),"Negative amounts are not allowed",IF($AE564="","Tariff not found for township and tier",IF(AND(OR($S564="ITEM_PRICE_PLUS_DECLARED_DELIVERY",$S564="TOTAL_AMOUNT_INCLUDING_DELIVERY",$S564="ITEM_PRICE_ONLY_DELIVERY_PAID_BY_MERCHANT"),$J564=""),"Item price required for this amount type",IF(AND(OR($S564="ITEM_PRICE_PLUS_DECLARED_DELIVERY",$S564="DELIVERY_CHARGE_ONLY"),$K564=""),"Declared delivery charge required",IF(AND(OR($S564="TOTAL_AMOUNT_INCLUDING_DELIVERY",$S564="EXACT_COLLECTION_AMOUNT"),$T564=""),"Stated total amount required",IF(AND($S564="TOTAL_AMOUNT_INCLUDING_DELIVERY",$T564&lt;SUM($J564,$U564)),"Stated total is below item price plus additional charge",IF($S564="EXACT_COLLECTION_AMOUNT","Authorized amount breakdown required before settlement","Ready for collection and settlement"))))))))))))</f>
        <v/>
      </c>
      <c r="AW564" s="23">
        <f>IF($AU564="","","PARCEL_FINANCIAL_V2")</f>
        <v/>
      </c>
      <c r="AX564" s="17" t="n"/>
    </row>
    <row r="565">
      <c r="A565" s="8" t="n"/>
      <c r="B565" s="8" t="n"/>
      <c r="C565" s="8" t="n"/>
      <c r="D565" s="8" t="n"/>
      <c r="E565" s="9" t="n"/>
      <c r="F565" s="9" t="n"/>
      <c r="G565" s="8" t="n"/>
      <c r="H565" s="9" t="n"/>
      <c r="I565" s="9" t="n"/>
      <c r="J565" s="10" t="n"/>
      <c r="K565" s="10" t="n"/>
      <c r="L565" s="11">
        <f>IF($S565="","",IF($S565="ITEM_PRICE_PLUS_DECLARED_DELIVERY",IF(OR($J565="",$K565=""),"",SUM($J565,$K565,$U565)),IF($S565="TOTAL_AMOUNT_INCLUDING_DELIVERY",IF($T565="","",$T565),IF($S565="DELIVERY_CHARGE_ONLY",IF($K565="","",SUM($K565,$U565)),IF($S565="EXACT_COLLECTION_AMOUNT",IF($T565="","",$T565),IF($S565="ITEM_PRICE_ONLY_DELIVERY_PAID_BY_MERCHANT",IF($J565="","",SUM($J565,$U565)),""))))))</f>
        <v/>
      </c>
      <c r="M565" s="12" t="n"/>
      <c r="N565" s="13" t="n"/>
      <c r="O565" s="13" t="n"/>
      <c r="P565" s="9" t="n"/>
      <c r="Q565" s="14" t="n"/>
      <c r="R565" s="15" t="n"/>
      <c r="S565" s="14" t="n"/>
      <c r="T565" s="16" t="n"/>
      <c r="U565" s="16" t="n"/>
      <c r="V565" s="16" t="n"/>
      <c r="W565" s="16" t="n"/>
      <c r="X565" s="16" t="n"/>
      <c r="Y565" s="16" t="n"/>
      <c r="Z565" s="14" t="n"/>
      <c r="AA565" s="14" t="n"/>
      <c r="AB565" s="14" t="n"/>
      <c r="AC565" s="17">
        <f>IFERROR(VLOOKUP($H565&amp;"|"&amp;$Q565,Tariff_Master!$A$2:$L$169,3,FALSE),"")</f>
        <v/>
      </c>
      <c r="AD565" s="17">
        <f>IFERROR(VLOOKUP($H565&amp;"|"&amp;$Q565,Tariff_Master!$A$2:$L$169,4,FALSE),"")</f>
        <v/>
      </c>
      <c r="AE565" s="18">
        <f>IFERROR(VLOOKUP($H565&amp;"|"&amp;$Q565,Tariff_Master!$A$2:$L$169,6,FALSE),"")</f>
        <v/>
      </c>
      <c r="AF565" s="19">
        <f>IFERROR(VLOOKUP($H565&amp;"|"&amp;$Q565,Tariff_Master!$A$2:$L$169,7,FALSE),"")</f>
        <v/>
      </c>
      <c r="AG565" s="18">
        <f>IFERROR(VLOOKUP($H565&amp;"|"&amp;$Q565,Tariff_Master!$A$2:$L$169,8,FALSE),"")</f>
        <v/>
      </c>
      <c r="AH565" s="20">
        <f>IFERROR(VLOOKUP($H565&amp;"|"&amp;$Q565,Tariff_Master!$A$2:$L$169,9,FALSE),"")</f>
        <v/>
      </c>
      <c r="AI565" s="18">
        <f>IFERROR(VLOOKUP($H565&amp;"|"&amp;$Q565,Tariff_Master!$A$2:$L$169,10,FALSE),"")</f>
        <v/>
      </c>
      <c r="AJ565" s="21">
        <f>IF($M565="","",ROUNDUP(MAX(0,$M565),0))</f>
        <v/>
      </c>
      <c r="AK565" s="21">
        <f>IF(OR($AJ565="",$AF565=""),"",MAX(0,$AJ565-$AF565))</f>
        <v/>
      </c>
      <c r="AL565" s="22">
        <f>IF(OR($AK565="",$AG565=""),"",MAX(0,$AK565*$AG565))</f>
        <v/>
      </c>
      <c r="AM565" s="22">
        <f>IF($AE565="","",MAX(0,SUM($AE565,$AL565,$V565,$W565)))</f>
        <v/>
      </c>
      <c r="AN565" s="22">
        <f>IF($AM565="","",IF(AND($Q565="COMMITMENT",$R565&gt;=$AH565),$AI565,0))</f>
        <v/>
      </c>
      <c r="AO565" s="23">
        <f>IF($AM565="","",MAX(0,$AM565-$AN565))</f>
        <v/>
      </c>
      <c r="AP565" s="22">
        <f>IF($S565="","",IF(OR($S565="ITEM_PRICE_PLUS_DECLARED_DELIVERY",$S565="DELIVERY_CHARGE_ONLY"),$K565,IF($S565="TOTAL_AMOUNT_INCLUDING_DELIVERY",IF(OR($T565="",$J565=""),"",MAX(0,$T565-$J565-$U565)),IF($S565="ITEM_PRICE_ONLY_DELIVERY_PAID_BY_MERCHANT",0,""))))</f>
        <v/>
      </c>
      <c r="AQ565" s="23">
        <f>IF(OR($AP565="",$AO565=""),"",$AP565-$AO565)</f>
        <v/>
      </c>
      <c r="AR565" s="24">
        <f>IF($S565="EXACT_COLLECTION_AMOUNT","BREAKDOWN_REQUIRED",IF($AQ565="","",IF($AQ565&gt;0,"CREDIT_TO_MERCHANT",IF($AQ565&lt;0,"DEDUCT_FROM_MERCHANT","NO_ADJUSTMENT"))))</f>
        <v/>
      </c>
      <c r="AS565" s="23">
        <f>IF(OR($AQ565="",$AR565="BREAKDOWN_REQUIRED"),"",$AQ565)</f>
        <v/>
      </c>
      <c r="AT565" s="23">
        <f>IF(OR($AR565="",$AR565="BREAKDOWN_REQUIRED"),"",SUM($J565,$AQ565,$Y565)-$X565)</f>
        <v/>
      </c>
      <c r="AU565" s="25">
        <f>IF(AND($A565="",$B565="",$F565="",$H565="",$J565="",$K565="",$M565="",$S565=""),"",IF(OR($H565="",$Q565="",$M565="",$S565=""),"ERROR",IF(OR($J565&lt;0,$K565&lt;0,$M565&lt;0,$T565&lt;0,$U565&lt;0,$V565&lt;0,$W565&lt;0,$X565&lt;0,$Y565&lt;0),"ERROR",IF($AE565="","ERROR",IF(AND(OR($S565="ITEM_PRICE_PLUS_DECLARED_DELIVERY",$S565="TOTAL_AMOUNT_INCLUDING_DELIVERY",$S565="ITEM_PRICE_ONLY_DELIVERY_PAID_BY_MERCHANT"),$J565=""),"ERROR",IF(AND(OR($S565="ITEM_PRICE_PLUS_DECLARED_DELIVERY",$S565="DELIVERY_CHARGE_ONLY"),$K565=""),"ERROR",IF(AND(OR($S565="TOTAL_AMOUNT_INCLUDING_DELIVERY",$S565="EXACT_COLLECTION_AMOUNT"),$T565=""),"ERROR",IF(AND($S565="TOTAL_AMOUNT_INCLUDING_DELIVERY",$T565&lt;SUM($J565,$U565)),"ERROR",IF($S565="EXACT_COLLECTION_AMOUNT","REVIEW","OK")))))))))</f>
        <v/>
      </c>
      <c r="AV565" s="25">
        <f>IF($AU565="","",IF($H565="","Township required",IF($Q565="","Customer tier required",IF($M565="","Weight required",IF($S565="","Amount entry type required",IF(OR($J565&lt;0,$K565&lt;0,$M565&lt;0,$T565&lt;0,$U565&lt;0,$V565&lt;0,$W565&lt;0,$X565&lt;0,$Y565&lt;0),"Negative amounts are not allowed",IF($AE565="","Tariff not found for township and tier",IF(AND(OR($S565="ITEM_PRICE_PLUS_DECLARED_DELIVERY",$S565="TOTAL_AMOUNT_INCLUDING_DELIVERY",$S565="ITEM_PRICE_ONLY_DELIVERY_PAID_BY_MERCHANT"),$J565=""),"Item price required for this amount type",IF(AND(OR($S565="ITEM_PRICE_PLUS_DECLARED_DELIVERY",$S565="DELIVERY_CHARGE_ONLY"),$K565=""),"Declared delivery charge required",IF(AND(OR($S565="TOTAL_AMOUNT_INCLUDING_DELIVERY",$S565="EXACT_COLLECTION_AMOUNT"),$T565=""),"Stated total amount required",IF(AND($S565="TOTAL_AMOUNT_INCLUDING_DELIVERY",$T565&lt;SUM($J565,$U565)),"Stated total is below item price plus additional charge",IF($S565="EXACT_COLLECTION_AMOUNT","Authorized amount breakdown required before settlement","Ready for collection and settlement"))))))))))))</f>
        <v/>
      </c>
      <c r="AW565" s="23">
        <f>IF($AU565="","","PARCEL_FINANCIAL_V2")</f>
        <v/>
      </c>
      <c r="AX565" s="17" t="n"/>
    </row>
    <row r="566">
      <c r="A566" s="8" t="n"/>
      <c r="B566" s="8" t="n"/>
      <c r="C566" s="8" t="n"/>
      <c r="D566" s="8" t="n"/>
      <c r="E566" s="9" t="n"/>
      <c r="F566" s="9" t="n"/>
      <c r="G566" s="8" t="n"/>
      <c r="H566" s="9" t="n"/>
      <c r="I566" s="9" t="n"/>
      <c r="J566" s="10" t="n"/>
      <c r="K566" s="10" t="n"/>
      <c r="L566" s="11">
        <f>IF($S566="","",IF($S566="ITEM_PRICE_PLUS_DECLARED_DELIVERY",IF(OR($J566="",$K566=""),"",SUM($J566,$K566,$U566)),IF($S566="TOTAL_AMOUNT_INCLUDING_DELIVERY",IF($T566="","",$T566),IF($S566="DELIVERY_CHARGE_ONLY",IF($K566="","",SUM($K566,$U566)),IF($S566="EXACT_COLLECTION_AMOUNT",IF($T566="","",$T566),IF($S566="ITEM_PRICE_ONLY_DELIVERY_PAID_BY_MERCHANT",IF($J566="","",SUM($J566,$U566)),""))))))</f>
        <v/>
      </c>
      <c r="M566" s="12" t="n"/>
      <c r="N566" s="13" t="n"/>
      <c r="O566" s="13" t="n"/>
      <c r="P566" s="9" t="n"/>
      <c r="Q566" s="14" t="n"/>
      <c r="R566" s="15" t="n"/>
      <c r="S566" s="14" t="n"/>
      <c r="T566" s="16" t="n"/>
      <c r="U566" s="16" t="n"/>
      <c r="V566" s="16" t="n"/>
      <c r="W566" s="16" t="n"/>
      <c r="X566" s="16" t="n"/>
      <c r="Y566" s="16" t="n"/>
      <c r="Z566" s="14" t="n"/>
      <c r="AA566" s="14" t="n"/>
      <c r="AB566" s="14" t="n"/>
      <c r="AC566" s="17">
        <f>IFERROR(VLOOKUP($H566&amp;"|"&amp;$Q566,Tariff_Master!$A$2:$L$169,3,FALSE),"")</f>
        <v/>
      </c>
      <c r="AD566" s="17">
        <f>IFERROR(VLOOKUP($H566&amp;"|"&amp;$Q566,Tariff_Master!$A$2:$L$169,4,FALSE),"")</f>
        <v/>
      </c>
      <c r="AE566" s="18">
        <f>IFERROR(VLOOKUP($H566&amp;"|"&amp;$Q566,Tariff_Master!$A$2:$L$169,6,FALSE),"")</f>
        <v/>
      </c>
      <c r="AF566" s="19">
        <f>IFERROR(VLOOKUP($H566&amp;"|"&amp;$Q566,Tariff_Master!$A$2:$L$169,7,FALSE),"")</f>
        <v/>
      </c>
      <c r="AG566" s="18">
        <f>IFERROR(VLOOKUP($H566&amp;"|"&amp;$Q566,Tariff_Master!$A$2:$L$169,8,FALSE),"")</f>
        <v/>
      </c>
      <c r="AH566" s="20">
        <f>IFERROR(VLOOKUP($H566&amp;"|"&amp;$Q566,Tariff_Master!$A$2:$L$169,9,FALSE),"")</f>
        <v/>
      </c>
      <c r="AI566" s="18">
        <f>IFERROR(VLOOKUP($H566&amp;"|"&amp;$Q566,Tariff_Master!$A$2:$L$169,10,FALSE),"")</f>
        <v/>
      </c>
      <c r="AJ566" s="21">
        <f>IF($M566="","",ROUNDUP(MAX(0,$M566),0))</f>
        <v/>
      </c>
      <c r="AK566" s="21">
        <f>IF(OR($AJ566="",$AF566=""),"",MAX(0,$AJ566-$AF566))</f>
        <v/>
      </c>
      <c r="AL566" s="22">
        <f>IF(OR($AK566="",$AG566=""),"",MAX(0,$AK566*$AG566))</f>
        <v/>
      </c>
      <c r="AM566" s="22">
        <f>IF($AE566="","",MAX(0,SUM($AE566,$AL566,$V566,$W566)))</f>
        <v/>
      </c>
      <c r="AN566" s="22">
        <f>IF($AM566="","",IF(AND($Q566="COMMITMENT",$R566&gt;=$AH566),$AI566,0))</f>
        <v/>
      </c>
      <c r="AO566" s="23">
        <f>IF($AM566="","",MAX(0,$AM566-$AN566))</f>
        <v/>
      </c>
      <c r="AP566" s="22">
        <f>IF($S566="","",IF(OR($S566="ITEM_PRICE_PLUS_DECLARED_DELIVERY",$S566="DELIVERY_CHARGE_ONLY"),$K566,IF($S566="TOTAL_AMOUNT_INCLUDING_DELIVERY",IF(OR($T566="",$J566=""),"",MAX(0,$T566-$J566-$U566)),IF($S566="ITEM_PRICE_ONLY_DELIVERY_PAID_BY_MERCHANT",0,""))))</f>
        <v/>
      </c>
      <c r="AQ566" s="23">
        <f>IF(OR($AP566="",$AO566=""),"",$AP566-$AO566)</f>
        <v/>
      </c>
      <c r="AR566" s="24">
        <f>IF($S566="EXACT_COLLECTION_AMOUNT","BREAKDOWN_REQUIRED",IF($AQ566="","",IF($AQ566&gt;0,"CREDIT_TO_MERCHANT",IF($AQ566&lt;0,"DEDUCT_FROM_MERCHANT","NO_ADJUSTMENT"))))</f>
        <v/>
      </c>
      <c r="AS566" s="23">
        <f>IF(OR($AQ566="",$AR566="BREAKDOWN_REQUIRED"),"",$AQ566)</f>
        <v/>
      </c>
      <c r="AT566" s="23">
        <f>IF(OR($AR566="",$AR566="BREAKDOWN_REQUIRED"),"",SUM($J566,$AQ566,$Y566)-$X566)</f>
        <v/>
      </c>
      <c r="AU566" s="25">
        <f>IF(AND($A566="",$B566="",$F566="",$H566="",$J566="",$K566="",$M566="",$S566=""),"",IF(OR($H566="",$Q566="",$M566="",$S566=""),"ERROR",IF(OR($J566&lt;0,$K566&lt;0,$M566&lt;0,$T566&lt;0,$U566&lt;0,$V566&lt;0,$W566&lt;0,$X566&lt;0,$Y566&lt;0),"ERROR",IF($AE566="","ERROR",IF(AND(OR($S566="ITEM_PRICE_PLUS_DECLARED_DELIVERY",$S566="TOTAL_AMOUNT_INCLUDING_DELIVERY",$S566="ITEM_PRICE_ONLY_DELIVERY_PAID_BY_MERCHANT"),$J566=""),"ERROR",IF(AND(OR($S566="ITEM_PRICE_PLUS_DECLARED_DELIVERY",$S566="DELIVERY_CHARGE_ONLY"),$K566=""),"ERROR",IF(AND(OR($S566="TOTAL_AMOUNT_INCLUDING_DELIVERY",$S566="EXACT_COLLECTION_AMOUNT"),$T566=""),"ERROR",IF(AND($S566="TOTAL_AMOUNT_INCLUDING_DELIVERY",$T566&lt;SUM($J566,$U566)),"ERROR",IF($S566="EXACT_COLLECTION_AMOUNT","REVIEW","OK")))))))))</f>
        <v/>
      </c>
      <c r="AV566" s="25">
        <f>IF($AU566="","",IF($H566="","Township required",IF($Q566="","Customer tier required",IF($M566="","Weight required",IF($S566="","Amount entry type required",IF(OR($J566&lt;0,$K566&lt;0,$M566&lt;0,$T566&lt;0,$U566&lt;0,$V566&lt;0,$W566&lt;0,$X566&lt;0,$Y566&lt;0),"Negative amounts are not allowed",IF($AE566="","Tariff not found for township and tier",IF(AND(OR($S566="ITEM_PRICE_PLUS_DECLARED_DELIVERY",$S566="TOTAL_AMOUNT_INCLUDING_DELIVERY",$S566="ITEM_PRICE_ONLY_DELIVERY_PAID_BY_MERCHANT"),$J566=""),"Item price required for this amount type",IF(AND(OR($S566="ITEM_PRICE_PLUS_DECLARED_DELIVERY",$S566="DELIVERY_CHARGE_ONLY"),$K566=""),"Declared delivery charge required",IF(AND(OR($S566="TOTAL_AMOUNT_INCLUDING_DELIVERY",$S566="EXACT_COLLECTION_AMOUNT"),$T566=""),"Stated total amount required",IF(AND($S566="TOTAL_AMOUNT_INCLUDING_DELIVERY",$T566&lt;SUM($J566,$U566)),"Stated total is below item price plus additional charge",IF($S566="EXACT_COLLECTION_AMOUNT","Authorized amount breakdown required before settlement","Ready for collection and settlement"))))))))))))</f>
        <v/>
      </c>
      <c r="AW566" s="23">
        <f>IF($AU566="","","PARCEL_FINANCIAL_V2")</f>
        <v/>
      </c>
      <c r="AX566" s="17" t="n"/>
    </row>
    <row r="567">
      <c r="A567" s="8" t="n"/>
      <c r="B567" s="8" t="n"/>
      <c r="C567" s="8" t="n"/>
      <c r="D567" s="8" t="n"/>
      <c r="E567" s="9" t="n"/>
      <c r="F567" s="9" t="n"/>
      <c r="G567" s="8" t="n"/>
      <c r="H567" s="9" t="n"/>
      <c r="I567" s="9" t="n"/>
      <c r="J567" s="10" t="n"/>
      <c r="K567" s="10" t="n"/>
      <c r="L567" s="11">
        <f>IF($S567="","",IF($S567="ITEM_PRICE_PLUS_DECLARED_DELIVERY",IF(OR($J567="",$K567=""),"",SUM($J567,$K567,$U567)),IF($S567="TOTAL_AMOUNT_INCLUDING_DELIVERY",IF($T567="","",$T567),IF($S567="DELIVERY_CHARGE_ONLY",IF($K567="","",SUM($K567,$U567)),IF($S567="EXACT_COLLECTION_AMOUNT",IF($T567="","",$T567),IF($S567="ITEM_PRICE_ONLY_DELIVERY_PAID_BY_MERCHANT",IF($J567="","",SUM($J567,$U567)),""))))))</f>
        <v/>
      </c>
      <c r="M567" s="12" t="n"/>
      <c r="N567" s="13" t="n"/>
      <c r="O567" s="13" t="n"/>
      <c r="P567" s="9" t="n"/>
      <c r="Q567" s="14" t="n"/>
      <c r="R567" s="15" t="n"/>
      <c r="S567" s="14" t="n"/>
      <c r="T567" s="16" t="n"/>
      <c r="U567" s="16" t="n"/>
      <c r="V567" s="16" t="n"/>
      <c r="W567" s="16" t="n"/>
      <c r="X567" s="16" t="n"/>
      <c r="Y567" s="16" t="n"/>
      <c r="Z567" s="14" t="n"/>
      <c r="AA567" s="14" t="n"/>
      <c r="AB567" s="14" t="n"/>
      <c r="AC567" s="17">
        <f>IFERROR(VLOOKUP($H567&amp;"|"&amp;$Q567,Tariff_Master!$A$2:$L$169,3,FALSE),"")</f>
        <v/>
      </c>
      <c r="AD567" s="17">
        <f>IFERROR(VLOOKUP($H567&amp;"|"&amp;$Q567,Tariff_Master!$A$2:$L$169,4,FALSE),"")</f>
        <v/>
      </c>
      <c r="AE567" s="18">
        <f>IFERROR(VLOOKUP($H567&amp;"|"&amp;$Q567,Tariff_Master!$A$2:$L$169,6,FALSE),"")</f>
        <v/>
      </c>
      <c r="AF567" s="19">
        <f>IFERROR(VLOOKUP($H567&amp;"|"&amp;$Q567,Tariff_Master!$A$2:$L$169,7,FALSE),"")</f>
        <v/>
      </c>
      <c r="AG567" s="18">
        <f>IFERROR(VLOOKUP($H567&amp;"|"&amp;$Q567,Tariff_Master!$A$2:$L$169,8,FALSE),"")</f>
        <v/>
      </c>
      <c r="AH567" s="20">
        <f>IFERROR(VLOOKUP($H567&amp;"|"&amp;$Q567,Tariff_Master!$A$2:$L$169,9,FALSE),"")</f>
        <v/>
      </c>
      <c r="AI567" s="18">
        <f>IFERROR(VLOOKUP($H567&amp;"|"&amp;$Q567,Tariff_Master!$A$2:$L$169,10,FALSE),"")</f>
        <v/>
      </c>
      <c r="AJ567" s="21">
        <f>IF($M567="","",ROUNDUP(MAX(0,$M567),0))</f>
        <v/>
      </c>
      <c r="AK567" s="21">
        <f>IF(OR($AJ567="",$AF567=""),"",MAX(0,$AJ567-$AF567))</f>
        <v/>
      </c>
      <c r="AL567" s="22">
        <f>IF(OR($AK567="",$AG567=""),"",MAX(0,$AK567*$AG567))</f>
        <v/>
      </c>
      <c r="AM567" s="22">
        <f>IF($AE567="","",MAX(0,SUM($AE567,$AL567,$V567,$W567)))</f>
        <v/>
      </c>
      <c r="AN567" s="22">
        <f>IF($AM567="","",IF(AND($Q567="COMMITMENT",$R567&gt;=$AH567),$AI567,0))</f>
        <v/>
      </c>
      <c r="AO567" s="23">
        <f>IF($AM567="","",MAX(0,$AM567-$AN567))</f>
        <v/>
      </c>
      <c r="AP567" s="22">
        <f>IF($S567="","",IF(OR($S567="ITEM_PRICE_PLUS_DECLARED_DELIVERY",$S567="DELIVERY_CHARGE_ONLY"),$K567,IF($S567="TOTAL_AMOUNT_INCLUDING_DELIVERY",IF(OR($T567="",$J567=""),"",MAX(0,$T567-$J567-$U567)),IF($S567="ITEM_PRICE_ONLY_DELIVERY_PAID_BY_MERCHANT",0,""))))</f>
        <v/>
      </c>
      <c r="AQ567" s="23">
        <f>IF(OR($AP567="",$AO567=""),"",$AP567-$AO567)</f>
        <v/>
      </c>
      <c r="AR567" s="24">
        <f>IF($S567="EXACT_COLLECTION_AMOUNT","BREAKDOWN_REQUIRED",IF($AQ567="","",IF($AQ567&gt;0,"CREDIT_TO_MERCHANT",IF($AQ567&lt;0,"DEDUCT_FROM_MERCHANT","NO_ADJUSTMENT"))))</f>
        <v/>
      </c>
      <c r="AS567" s="23">
        <f>IF(OR($AQ567="",$AR567="BREAKDOWN_REQUIRED"),"",$AQ567)</f>
        <v/>
      </c>
      <c r="AT567" s="23">
        <f>IF(OR($AR567="",$AR567="BREAKDOWN_REQUIRED"),"",SUM($J567,$AQ567,$Y567)-$X567)</f>
        <v/>
      </c>
      <c r="AU567" s="25">
        <f>IF(AND($A567="",$B567="",$F567="",$H567="",$J567="",$K567="",$M567="",$S567=""),"",IF(OR($H567="",$Q567="",$M567="",$S567=""),"ERROR",IF(OR($J567&lt;0,$K567&lt;0,$M567&lt;0,$T567&lt;0,$U567&lt;0,$V567&lt;0,$W567&lt;0,$X567&lt;0,$Y567&lt;0),"ERROR",IF($AE567="","ERROR",IF(AND(OR($S567="ITEM_PRICE_PLUS_DECLARED_DELIVERY",$S567="TOTAL_AMOUNT_INCLUDING_DELIVERY",$S567="ITEM_PRICE_ONLY_DELIVERY_PAID_BY_MERCHANT"),$J567=""),"ERROR",IF(AND(OR($S567="ITEM_PRICE_PLUS_DECLARED_DELIVERY",$S567="DELIVERY_CHARGE_ONLY"),$K567=""),"ERROR",IF(AND(OR($S567="TOTAL_AMOUNT_INCLUDING_DELIVERY",$S567="EXACT_COLLECTION_AMOUNT"),$T567=""),"ERROR",IF(AND($S567="TOTAL_AMOUNT_INCLUDING_DELIVERY",$T567&lt;SUM($J567,$U567)),"ERROR",IF($S567="EXACT_COLLECTION_AMOUNT","REVIEW","OK")))))))))</f>
        <v/>
      </c>
      <c r="AV567" s="25">
        <f>IF($AU567="","",IF($H567="","Township required",IF($Q567="","Customer tier required",IF($M567="","Weight required",IF($S567="","Amount entry type required",IF(OR($J567&lt;0,$K567&lt;0,$M567&lt;0,$T567&lt;0,$U567&lt;0,$V567&lt;0,$W567&lt;0,$X567&lt;0,$Y567&lt;0),"Negative amounts are not allowed",IF($AE567="","Tariff not found for township and tier",IF(AND(OR($S567="ITEM_PRICE_PLUS_DECLARED_DELIVERY",$S567="TOTAL_AMOUNT_INCLUDING_DELIVERY",$S567="ITEM_PRICE_ONLY_DELIVERY_PAID_BY_MERCHANT"),$J567=""),"Item price required for this amount type",IF(AND(OR($S567="ITEM_PRICE_PLUS_DECLARED_DELIVERY",$S567="DELIVERY_CHARGE_ONLY"),$K567=""),"Declared delivery charge required",IF(AND(OR($S567="TOTAL_AMOUNT_INCLUDING_DELIVERY",$S567="EXACT_COLLECTION_AMOUNT"),$T567=""),"Stated total amount required",IF(AND($S567="TOTAL_AMOUNT_INCLUDING_DELIVERY",$T567&lt;SUM($J567,$U567)),"Stated total is below item price plus additional charge",IF($S567="EXACT_COLLECTION_AMOUNT","Authorized amount breakdown required before settlement","Ready for collection and settlement"))))))))))))</f>
        <v/>
      </c>
      <c r="AW567" s="23">
        <f>IF($AU567="","","PARCEL_FINANCIAL_V2")</f>
        <v/>
      </c>
      <c r="AX567" s="17" t="n"/>
    </row>
    <row r="568">
      <c r="A568" s="8" t="n"/>
      <c r="B568" s="8" t="n"/>
      <c r="C568" s="8" t="n"/>
      <c r="D568" s="8" t="n"/>
      <c r="E568" s="9" t="n"/>
      <c r="F568" s="9" t="n"/>
      <c r="G568" s="8" t="n"/>
      <c r="H568" s="9" t="n"/>
      <c r="I568" s="9" t="n"/>
      <c r="J568" s="10" t="n"/>
      <c r="K568" s="10" t="n"/>
      <c r="L568" s="11">
        <f>IF($S568="","",IF($S568="ITEM_PRICE_PLUS_DECLARED_DELIVERY",IF(OR($J568="",$K568=""),"",SUM($J568,$K568,$U568)),IF($S568="TOTAL_AMOUNT_INCLUDING_DELIVERY",IF($T568="","",$T568),IF($S568="DELIVERY_CHARGE_ONLY",IF($K568="","",SUM($K568,$U568)),IF($S568="EXACT_COLLECTION_AMOUNT",IF($T568="","",$T568),IF($S568="ITEM_PRICE_ONLY_DELIVERY_PAID_BY_MERCHANT",IF($J568="","",SUM($J568,$U568)),""))))))</f>
        <v/>
      </c>
      <c r="M568" s="12" t="n"/>
      <c r="N568" s="13" t="n"/>
      <c r="O568" s="13" t="n"/>
      <c r="P568" s="9" t="n"/>
      <c r="Q568" s="14" t="n"/>
      <c r="R568" s="15" t="n"/>
      <c r="S568" s="14" t="n"/>
      <c r="T568" s="16" t="n"/>
      <c r="U568" s="16" t="n"/>
      <c r="V568" s="16" t="n"/>
      <c r="W568" s="16" t="n"/>
      <c r="X568" s="16" t="n"/>
      <c r="Y568" s="16" t="n"/>
      <c r="Z568" s="14" t="n"/>
      <c r="AA568" s="14" t="n"/>
      <c r="AB568" s="14" t="n"/>
      <c r="AC568" s="17">
        <f>IFERROR(VLOOKUP($H568&amp;"|"&amp;$Q568,Tariff_Master!$A$2:$L$169,3,FALSE),"")</f>
        <v/>
      </c>
      <c r="AD568" s="17">
        <f>IFERROR(VLOOKUP($H568&amp;"|"&amp;$Q568,Tariff_Master!$A$2:$L$169,4,FALSE),"")</f>
        <v/>
      </c>
      <c r="AE568" s="18">
        <f>IFERROR(VLOOKUP($H568&amp;"|"&amp;$Q568,Tariff_Master!$A$2:$L$169,6,FALSE),"")</f>
        <v/>
      </c>
      <c r="AF568" s="19">
        <f>IFERROR(VLOOKUP($H568&amp;"|"&amp;$Q568,Tariff_Master!$A$2:$L$169,7,FALSE),"")</f>
        <v/>
      </c>
      <c r="AG568" s="18">
        <f>IFERROR(VLOOKUP($H568&amp;"|"&amp;$Q568,Tariff_Master!$A$2:$L$169,8,FALSE),"")</f>
        <v/>
      </c>
      <c r="AH568" s="20">
        <f>IFERROR(VLOOKUP($H568&amp;"|"&amp;$Q568,Tariff_Master!$A$2:$L$169,9,FALSE),"")</f>
        <v/>
      </c>
      <c r="AI568" s="18">
        <f>IFERROR(VLOOKUP($H568&amp;"|"&amp;$Q568,Tariff_Master!$A$2:$L$169,10,FALSE),"")</f>
        <v/>
      </c>
      <c r="AJ568" s="21">
        <f>IF($M568="","",ROUNDUP(MAX(0,$M568),0))</f>
        <v/>
      </c>
      <c r="AK568" s="21">
        <f>IF(OR($AJ568="",$AF568=""),"",MAX(0,$AJ568-$AF568))</f>
        <v/>
      </c>
      <c r="AL568" s="22">
        <f>IF(OR($AK568="",$AG568=""),"",MAX(0,$AK568*$AG568))</f>
        <v/>
      </c>
      <c r="AM568" s="22">
        <f>IF($AE568="","",MAX(0,SUM($AE568,$AL568,$V568,$W568)))</f>
        <v/>
      </c>
      <c r="AN568" s="22">
        <f>IF($AM568="","",IF(AND($Q568="COMMITMENT",$R568&gt;=$AH568),$AI568,0))</f>
        <v/>
      </c>
      <c r="AO568" s="23">
        <f>IF($AM568="","",MAX(0,$AM568-$AN568))</f>
        <v/>
      </c>
      <c r="AP568" s="22">
        <f>IF($S568="","",IF(OR($S568="ITEM_PRICE_PLUS_DECLARED_DELIVERY",$S568="DELIVERY_CHARGE_ONLY"),$K568,IF($S568="TOTAL_AMOUNT_INCLUDING_DELIVERY",IF(OR($T568="",$J568=""),"",MAX(0,$T568-$J568-$U568)),IF($S568="ITEM_PRICE_ONLY_DELIVERY_PAID_BY_MERCHANT",0,""))))</f>
        <v/>
      </c>
      <c r="AQ568" s="23">
        <f>IF(OR($AP568="",$AO568=""),"",$AP568-$AO568)</f>
        <v/>
      </c>
      <c r="AR568" s="24">
        <f>IF($S568="EXACT_COLLECTION_AMOUNT","BREAKDOWN_REQUIRED",IF($AQ568="","",IF($AQ568&gt;0,"CREDIT_TO_MERCHANT",IF($AQ568&lt;0,"DEDUCT_FROM_MERCHANT","NO_ADJUSTMENT"))))</f>
        <v/>
      </c>
      <c r="AS568" s="23">
        <f>IF(OR($AQ568="",$AR568="BREAKDOWN_REQUIRED"),"",$AQ568)</f>
        <v/>
      </c>
      <c r="AT568" s="23">
        <f>IF(OR($AR568="",$AR568="BREAKDOWN_REQUIRED"),"",SUM($J568,$AQ568,$Y568)-$X568)</f>
        <v/>
      </c>
      <c r="AU568" s="25">
        <f>IF(AND($A568="",$B568="",$F568="",$H568="",$J568="",$K568="",$M568="",$S568=""),"",IF(OR($H568="",$Q568="",$M568="",$S568=""),"ERROR",IF(OR($J568&lt;0,$K568&lt;0,$M568&lt;0,$T568&lt;0,$U568&lt;0,$V568&lt;0,$W568&lt;0,$X568&lt;0,$Y568&lt;0),"ERROR",IF($AE568="","ERROR",IF(AND(OR($S568="ITEM_PRICE_PLUS_DECLARED_DELIVERY",$S568="TOTAL_AMOUNT_INCLUDING_DELIVERY",$S568="ITEM_PRICE_ONLY_DELIVERY_PAID_BY_MERCHANT"),$J568=""),"ERROR",IF(AND(OR($S568="ITEM_PRICE_PLUS_DECLARED_DELIVERY",$S568="DELIVERY_CHARGE_ONLY"),$K568=""),"ERROR",IF(AND(OR($S568="TOTAL_AMOUNT_INCLUDING_DELIVERY",$S568="EXACT_COLLECTION_AMOUNT"),$T568=""),"ERROR",IF(AND($S568="TOTAL_AMOUNT_INCLUDING_DELIVERY",$T568&lt;SUM($J568,$U568)),"ERROR",IF($S568="EXACT_COLLECTION_AMOUNT","REVIEW","OK")))))))))</f>
        <v/>
      </c>
      <c r="AV568" s="25">
        <f>IF($AU568="","",IF($H568="","Township required",IF($Q568="","Customer tier required",IF($M568="","Weight required",IF($S568="","Amount entry type required",IF(OR($J568&lt;0,$K568&lt;0,$M568&lt;0,$T568&lt;0,$U568&lt;0,$V568&lt;0,$W568&lt;0,$X568&lt;0,$Y568&lt;0),"Negative amounts are not allowed",IF($AE568="","Tariff not found for township and tier",IF(AND(OR($S568="ITEM_PRICE_PLUS_DECLARED_DELIVERY",$S568="TOTAL_AMOUNT_INCLUDING_DELIVERY",$S568="ITEM_PRICE_ONLY_DELIVERY_PAID_BY_MERCHANT"),$J568=""),"Item price required for this amount type",IF(AND(OR($S568="ITEM_PRICE_PLUS_DECLARED_DELIVERY",$S568="DELIVERY_CHARGE_ONLY"),$K568=""),"Declared delivery charge required",IF(AND(OR($S568="TOTAL_AMOUNT_INCLUDING_DELIVERY",$S568="EXACT_COLLECTION_AMOUNT"),$T568=""),"Stated total amount required",IF(AND($S568="TOTAL_AMOUNT_INCLUDING_DELIVERY",$T568&lt;SUM($J568,$U568)),"Stated total is below item price plus additional charge",IF($S568="EXACT_COLLECTION_AMOUNT","Authorized amount breakdown required before settlement","Ready for collection and settlement"))))))))))))</f>
        <v/>
      </c>
      <c r="AW568" s="23">
        <f>IF($AU568="","","PARCEL_FINANCIAL_V2")</f>
        <v/>
      </c>
      <c r="AX568" s="17" t="n"/>
    </row>
    <row r="569">
      <c r="A569" s="8" t="n"/>
      <c r="B569" s="8" t="n"/>
      <c r="C569" s="8" t="n"/>
      <c r="D569" s="8" t="n"/>
      <c r="E569" s="9" t="n"/>
      <c r="F569" s="9" t="n"/>
      <c r="G569" s="8" t="n"/>
      <c r="H569" s="9" t="n"/>
      <c r="I569" s="9" t="n"/>
      <c r="J569" s="10" t="n"/>
      <c r="K569" s="10" t="n"/>
      <c r="L569" s="11">
        <f>IF($S569="","",IF($S569="ITEM_PRICE_PLUS_DECLARED_DELIVERY",IF(OR($J569="",$K569=""),"",SUM($J569,$K569,$U569)),IF($S569="TOTAL_AMOUNT_INCLUDING_DELIVERY",IF($T569="","",$T569),IF($S569="DELIVERY_CHARGE_ONLY",IF($K569="","",SUM($K569,$U569)),IF($S569="EXACT_COLLECTION_AMOUNT",IF($T569="","",$T569),IF($S569="ITEM_PRICE_ONLY_DELIVERY_PAID_BY_MERCHANT",IF($J569="","",SUM($J569,$U569)),""))))))</f>
        <v/>
      </c>
      <c r="M569" s="12" t="n"/>
      <c r="N569" s="13" t="n"/>
      <c r="O569" s="13" t="n"/>
      <c r="P569" s="9" t="n"/>
      <c r="Q569" s="14" t="n"/>
      <c r="R569" s="15" t="n"/>
      <c r="S569" s="14" t="n"/>
      <c r="T569" s="16" t="n"/>
      <c r="U569" s="16" t="n"/>
      <c r="V569" s="16" t="n"/>
      <c r="W569" s="16" t="n"/>
      <c r="X569" s="16" t="n"/>
      <c r="Y569" s="16" t="n"/>
      <c r="Z569" s="14" t="n"/>
      <c r="AA569" s="14" t="n"/>
      <c r="AB569" s="14" t="n"/>
      <c r="AC569" s="17">
        <f>IFERROR(VLOOKUP($H569&amp;"|"&amp;$Q569,Tariff_Master!$A$2:$L$169,3,FALSE),"")</f>
        <v/>
      </c>
      <c r="AD569" s="17">
        <f>IFERROR(VLOOKUP($H569&amp;"|"&amp;$Q569,Tariff_Master!$A$2:$L$169,4,FALSE),"")</f>
        <v/>
      </c>
      <c r="AE569" s="18">
        <f>IFERROR(VLOOKUP($H569&amp;"|"&amp;$Q569,Tariff_Master!$A$2:$L$169,6,FALSE),"")</f>
        <v/>
      </c>
      <c r="AF569" s="19">
        <f>IFERROR(VLOOKUP($H569&amp;"|"&amp;$Q569,Tariff_Master!$A$2:$L$169,7,FALSE),"")</f>
        <v/>
      </c>
      <c r="AG569" s="18">
        <f>IFERROR(VLOOKUP($H569&amp;"|"&amp;$Q569,Tariff_Master!$A$2:$L$169,8,FALSE),"")</f>
        <v/>
      </c>
      <c r="AH569" s="20">
        <f>IFERROR(VLOOKUP($H569&amp;"|"&amp;$Q569,Tariff_Master!$A$2:$L$169,9,FALSE),"")</f>
        <v/>
      </c>
      <c r="AI569" s="18">
        <f>IFERROR(VLOOKUP($H569&amp;"|"&amp;$Q569,Tariff_Master!$A$2:$L$169,10,FALSE),"")</f>
        <v/>
      </c>
      <c r="AJ569" s="21">
        <f>IF($M569="","",ROUNDUP(MAX(0,$M569),0))</f>
        <v/>
      </c>
      <c r="AK569" s="21">
        <f>IF(OR($AJ569="",$AF569=""),"",MAX(0,$AJ569-$AF569))</f>
        <v/>
      </c>
      <c r="AL569" s="22">
        <f>IF(OR($AK569="",$AG569=""),"",MAX(0,$AK569*$AG569))</f>
        <v/>
      </c>
      <c r="AM569" s="22">
        <f>IF($AE569="","",MAX(0,SUM($AE569,$AL569,$V569,$W569)))</f>
        <v/>
      </c>
      <c r="AN569" s="22">
        <f>IF($AM569="","",IF(AND($Q569="COMMITMENT",$R569&gt;=$AH569),$AI569,0))</f>
        <v/>
      </c>
      <c r="AO569" s="23">
        <f>IF($AM569="","",MAX(0,$AM569-$AN569))</f>
        <v/>
      </c>
      <c r="AP569" s="22">
        <f>IF($S569="","",IF(OR($S569="ITEM_PRICE_PLUS_DECLARED_DELIVERY",$S569="DELIVERY_CHARGE_ONLY"),$K569,IF($S569="TOTAL_AMOUNT_INCLUDING_DELIVERY",IF(OR($T569="",$J569=""),"",MAX(0,$T569-$J569-$U569)),IF($S569="ITEM_PRICE_ONLY_DELIVERY_PAID_BY_MERCHANT",0,""))))</f>
        <v/>
      </c>
      <c r="AQ569" s="23">
        <f>IF(OR($AP569="",$AO569=""),"",$AP569-$AO569)</f>
        <v/>
      </c>
      <c r="AR569" s="24">
        <f>IF($S569="EXACT_COLLECTION_AMOUNT","BREAKDOWN_REQUIRED",IF($AQ569="","",IF($AQ569&gt;0,"CREDIT_TO_MERCHANT",IF($AQ569&lt;0,"DEDUCT_FROM_MERCHANT","NO_ADJUSTMENT"))))</f>
        <v/>
      </c>
      <c r="AS569" s="23">
        <f>IF(OR($AQ569="",$AR569="BREAKDOWN_REQUIRED"),"",$AQ569)</f>
        <v/>
      </c>
      <c r="AT569" s="23">
        <f>IF(OR($AR569="",$AR569="BREAKDOWN_REQUIRED"),"",SUM($J569,$AQ569,$Y569)-$X569)</f>
        <v/>
      </c>
      <c r="AU569" s="25">
        <f>IF(AND($A569="",$B569="",$F569="",$H569="",$J569="",$K569="",$M569="",$S569=""),"",IF(OR($H569="",$Q569="",$M569="",$S569=""),"ERROR",IF(OR($J569&lt;0,$K569&lt;0,$M569&lt;0,$T569&lt;0,$U569&lt;0,$V569&lt;0,$W569&lt;0,$X569&lt;0,$Y569&lt;0),"ERROR",IF($AE569="","ERROR",IF(AND(OR($S569="ITEM_PRICE_PLUS_DECLARED_DELIVERY",$S569="TOTAL_AMOUNT_INCLUDING_DELIVERY",$S569="ITEM_PRICE_ONLY_DELIVERY_PAID_BY_MERCHANT"),$J569=""),"ERROR",IF(AND(OR($S569="ITEM_PRICE_PLUS_DECLARED_DELIVERY",$S569="DELIVERY_CHARGE_ONLY"),$K569=""),"ERROR",IF(AND(OR($S569="TOTAL_AMOUNT_INCLUDING_DELIVERY",$S569="EXACT_COLLECTION_AMOUNT"),$T569=""),"ERROR",IF(AND($S569="TOTAL_AMOUNT_INCLUDING_DELIVERY",$T569&lt;SUM($J569,$U569)),"ERROR",IF($S569="EXACT_COLLECTION_AMOUNT","REVIEW","OK")))))))))</f>
        <v/>
      </c>
      <c r="AV569" s="25">
        <f>IF($AU569="","",IF($H569="","Township required",IF($Q569="","Customer tier required",IF($M569="","Weight required",IF($S569="","Amount entry type required",IF(OR($J569&lt;0,$K569&lt;0,$M569&lt;0,$T569&lt;0,$U569&lt;0,$V569&lt;0,$W569&lt;0,$X569&lt;0,$Y569&lt;0),"Negative amounts are not allowed",IF($AE569="","Tariff not found for township and tier",IF(AND(OR($S569="ITEM_PRICE_PLUS_DECLARED_DELIVERY",$S569="TOTAL_AMOUNT_INCLUDING_DELIVERY",$S569="ITEM_PRICE_ONLY_DELIVERY_PAID_BY_MERCHANT"),$J569=""),"Item price required for this amount type",IF(AND(OR($S569="ITEM_PRICE_PLUS_DECLARED_DELIVERY",$S569="DELIVERY_CHARGE_ONLY"),$K569=""),"Declared delivery charge required",IF(AND(OR($S569="TOTAL_AMOUNT_INCLUDING_DELIVERY",$S569="EXACT_COLLECTION_AMOUNT"),$T569=""),"Stated total amount required",IF(AND($S569="TOTAL_AMOUNT_INCLUDING_DELIVERY",$T569&lt;SUM($J569,$U569)),"Stated total is below item price plus additional charge",IF($S569="EXACT_COLLECTION_AMOUNT","Authorized amount breakdown required before settlement","Ready for collection and settlement"))))))))))))</f>
        <v/>
      </c>
      <c r="AW569" s="23">
        <f>IF($AU569="","","PARCEL_FINANCIAL_V2")</f>
        <v/>
      </c>
      <c r="AX569" s="17" t="n"/>
    </row>
    <row r="570">
      <c r="A570" s="8" t="n"/>
      <c r="B570" s="8" t="n"/>
      <c r="C570" s="8" t="n"/>
      <c r="D570" s="8" t="n"/>
      <c r="E570" s="9" t="n"/>
      <c r="F570" s="9" t="n"/>
      <c r="G570" s="8" t="n"/>
      <c r="H570" s="9" t="n"/>
      <c r="I570" s="9" t="n"/>
      <c r="J570" s="10" t="n"/>
      <c r="K570" s="10" t="n"/>
      <c r="L570" s="11">
        <f>IF($S570="","",IF($S570="ITEM_PRICE_PLUS_DECLARED_DELIVERY",IF(OR($J570="",$K570=""),"",SUM($J570,$K570,$U570)),IF($S570="TOTAL_AMOUNT_INCLUDING_DELIVERY",IF($T570="","",$T570),IF($S570="DELIVERY_CHARGE_ONLY",IF($K570="","",SUM($K570,$U570)),IF($S570="EXACT_COLLECTION_AMOUNT",IF($T570="","",$T570),IF($S570="ITEM_PRICE_ONLY_DELIVERY_PAID_BY_MERCHANT",IF($J570="","",SUM($J570,$U570)),""))))))</f>
        <v/>
      </c>
      <c r="M570" s="12" t="n"/>
      <c r="N570" s="13" t="n"/>
      <c r="O570" s="13" t="n"/>
      <c r="P570" s="9" t="n"/>
      <c r="Q570" s="14" t="n"/>
      <c r="R570" s="15" t="n"/>
      <c r="S570" s="14" t="n"/>
      <c r="T570" s="16" t="n"/>
      <c r="U570" s="16" t="n"/>
      <c r="V570" s="16" t="n"/>
      <c r="W570" s="16" t="n"/>
      <c r="X570" s="16" t="n"/>
      <c r="Y570" s="16" t="n"/>
      <c r="Z570" s="14" t="n"/>
      <c r="AA570" s="14" t="n"/>
      <c r="AB570" s="14" t="n"/>
      <c r="AC570" s="17">
        <f>IFERROR(VLOOKUP($H570&amp;"|"&amp;$Q570,Tariff_Master!$A$2:$L$169,3,FALSE),"")</f>
        <v/>
      </c>
      <c r="AD570" s="17">
        <f>IFERROR(VLOOKUP($H570&amp;"|"&amp;$Q570,Tariff_Master!$A$2:$L$169,4,FALSE),"")</f>
        <v/>
      </c>
      <c r="AE570" s="18">
        <f>IFERROR(VLOOKUP($H570&amp;"|"&amp;$Q570,Tariff_Master!$A$2:$L$169,6,FALSE),"")</f>
        <v/>
      </c>
      <c r="AF570" s="19">
        <f>IFERROR(VLOOKUP($H570&amp;"|"&amp;$Q570,Tariff_Master!$A$2:$L$169,7,FALSE),"")</f>
        <v/>
      </c>
      <c r="AG570" s="18">
        <f>IFERROR(VLOOKUP($H570&amp;"|"&amp;$Q570,Tariff_Master!$A$2:$L$169,8,FALSE),"")</f>
        <v/>
      </c>
      <c r="AH570" s="20">
        <f>IFERROR(VLOOKUP($H570&amp;"|"&amp;$Q570,Tariff_Master!$A$2:$L$169,9,FALSE),"")</f>
        <v/>
      </c>
      <c r="AI570" s="18">
        <f>IFERROR(VLOOKUP($H570&amp;"|"&amp;$Q570,Tariff_Master!$A$2:$L$169,10,FALSE),"")</f>
        <v/>
      </c>
      <c r="AJ570" s="21">
        <f>IF($M570="","",ROUNDUP(MAX(0,$M570),0))</f>
        <v/>
      </c>
      <c r="AK570" s="21">
        <f>IF(OR($AJ570="",$AF570=""),"",MAX(0,$AJ570-$AF570))</f>
        <v/>
      </c>
      <c r="AL570" s="22">
        <f>IF(OR($AK570="",$AG570=""),"",MAX(0,$AK570*$AG570))</f>
        <v/>
      </c>
      <c r="AM570" s="22">
        <f>IF($AE570="","",MAX(0,SUM($AE570,$AL570,$V570,$W570)))</f>
        <v/>
      </c>
      <c r="AN570" s="22">
        <f>IF($AM570="","",IF(AND($Q570="COMMITMENT",$R570&gt;=$AH570),$AI570,0))</f>
        <v/>
      </c>
      <c r="AO570" s="23">
        <f>IF($AM570="","",MAX(0,$AM570-$AN570))</f>
        <v/>
      </c>
      <c r="AP570" s="22">
        <f>IF($S570="","",IF(OR($S570="ITEM_PRICE_PLUS_DECLARED_DELIVERY",$S570="DELIVERY_CHARGE_ONLY"),$K570,IF($S570="TOTAL_AMOUNT_INCLUDING_DELIVERY",IF(OR($T570="",$J570=""),"",MAX(0,$T570-$J570-$U570)),IF($S570="ITEM_PRICE_ONLY_DELIVERY_PAID_BY_MERCHANT",0,""))))</f>
        <v/>
      </c>
      <c r="AQ570" s="23">
        <f>IF(OR($AP570="",$AO570=""),"",$AP570-$AO570)</f>
        <v/>
      </c>
      <c r="AR570" s="24">
        <f>IF($S570="EXACT_COLLECTION_AMOUNT","BREAKDOWN_REQUIRED",IF($AQ570="","",IF($AQ570&gt;0,"CREDIT_TO_MERCHANT",IF($AQ570&lt;0,"DEDUCT_FROM_MERCHANT","NO_ADJUSTMENT"))))</f>
        <v/>
      </c>
      <c r="AS570" s="23">
        <f>IF(OR($AQ570="",$AR570="BREAKDOWN_REQUIRED"),"",$AQ570)</f>
        <v/>
      </c>
      <c r="AT570" s="23">
        <f>IF(OR($AR570="",$AR570="BREAKDOWN_REQUIRED"),"",SUM($J570,$AQ570,$Y570)-$X570)</f>
        <v/>
      </c>
      <c r="AU570" s="25">
        <f>IF(AND($A570="",$B570="",$F570="",$H570="",$J570="",$K570="",$M570="",$S570=""),"",IF(OR($H570="",$Q570="",$M570="",$S570=""),"ERROR",IF(OR($J570&lt;0,$K570&lt;0,$M570&lt;0,$T570&lt;0,$U570&lt;0,$V570&lt;0,$W570&lt;0,$X570&lt;0,$Y570&lt;0),"ERROR",IF($AE570="","ERROR",IF(AND(OR($S570="ITEM_PRICE_PLUS_DECLARED_DELIVERY",$S570="TOTAL_AMOUNT_INCLUDING_DELIVERY",$S570="ITEM_PRICE_ONLY_DELIVERY_PAID_BY_MERCHANT"),$J570=""),"ERROR",IF(AND(OR($S570="ITEM_PRICE_PLUS_DECLARED_DELIVERY",$S570="DELIVERY_CHARGE_ONLY"),$K570=""),"ERROR",IF(AND(OR($S570="TOTAL_AMOUNT_INCLUDING_DELIVERY",$S570="EXACT_COLLECTION_AMOUNT"),$T570=""),"ERROR",IF(AND($S570="TOTAL_AMOUNT_INCLUDING_DELIVERY",$T570&lt;SUM($J570,$U570)),"ERROR",IF($S570="EXACT_COLLECTION_AMOUNT","REVIEW","OK")))))))))</f>
        <v/>
      </c>
      <c r="AV570" s="25">
        <f>IF($AU570="","",IF($H570="","Township required",IF($Q570="","Customer tier required",IF($M570="","Weight required",IF($S570="","Amount entry type required",IF(OR($J570&lt;0,$K570&lt;0,$M570&lt;0,$T570&lt;0,$U570&lt;0,$V570&lt;0,$W570&lt;0,$X570&lt;0,$Y570&lt;0),"Negative amounts are not allowed",IF($AE570="","Tariff not found for township and tier",IF(AND(OR($S570="ITEM_PRICE_PLUS_DECLARED_DELIVERY",$S570="TOTAL_AMOUNT_INCLUDING_DELIVERY",$S570="ITEM_PRICE_ONLY_DELIVERY_PAID_BY_MERCHANT"),$J570=""),"Item price required for this amount type",IF(AND(OR($S570="ITEM_PRICE_PLUS_DECLARED_DELIVERY",$S570="DELIVERY_CHARGE_ONLY"),$K570=""),"Declared delivery charge required",IF(AND(OR($S570="TOTAL_AMOUNT_INCLUDING_DELIVERY",$S570="EXACT_COLLECTION_AMOUNT"),$T570=""),"Stated total amount required",IF(AND($S570="TOTAL_AMOUNT_INCLUDING_DELIVERY",$T570&lt;SUM($J570,$U570)),"Stated total is below item price plus additional charge",IF($S570="EXACT_COLLECTION_AMOUNT","Authorized amount breakdown required before settlement","Ready for collection and settlement"))))))))))))</f>
        <v/>
      </c>
      <c r="AW570" s="23">
        <f>IF($AU570="","","PARCEL_FINANCIAL_V2")</f>
        <v/>
      </c>
      <c r="AX570" s="17" t="n"/>
    </row>
    <row r="571">
      <c r="A571" s="8" t="n"/>
      <c r="B571" s="8" t="n"/>
      <c r="C571" s="8" t="n"/>
      <c r="D571" s="8" t="n"/>
      <c r="E571" s="9" t="n"/>
      <c r="F571" s="9" t="n"/>
      <c r="G571" s="8" t="n"/>
      <c r="H571" s="9" t="n"/>
      <c r="I571" s="9" t="n"/>
      <c r="J571" s="10" t="n"/>
      <c r="K571" s="10" t="n"/>
      <c r="L571" s="11">
        <f>IF($S571="","",IF($S571="ITEM_PRICE_PLUS_DECLARED_DELIVERY",IF(OR($J571="",$K571=""),"",SUM($J571,$K571,$U571)),IF($S571="TOTAL_AMOUNT_INCLUDING_DELIVERY",IF($T571="","",$T571),IF($S571="DELIVERY_CHARGE_ONLY",IF($K571="","",SUM($K571,$U571)),IF($S571="EXACT_COLLECTION_AMOUNT",IF($T571="","",$T571),IF($S571="ITEM_PRICE_ONLY_DELIVERY_PAID_BY_MERCHANT",IF($J571="","",SUM($J571,$U571)),""))))))</f>
        <v/>
      </c>
      <c r="M571" s="12" t="n"/>
      <c r="N571" s="13" t="n"/>
      <c r="O571" s="13" t="n"/>
      <c r="P571" s="9" t="n"/>
      <c r="Q571" s="14" t="n"/>
      <c r="R571" s="15" t="n"/>
      <c r="S571" s="14" t="n"/>
      <c r="T571" s="16" t="n"/>
      <c r="U571" s="16" t="n"/>
      <c r="V571" s="16" t="n"/>
      <c r="W571" s="16" t="n"/>
      <c r="X571" s="16" t="n"/>
      <c r="Y571" s="16" t="n"/>
      <c r="Z571" s="14" t="n"/>
      <c r="AA571" s="14" t="n"/>
      <c r="AB571" s="14" t="n"/>
      <c r="AC571" s="17">
        <f>IFERROR(VLOOKUP($H571&amp;"|"&amp;$Q571,Tariff_Master!$A$2:$L$169,3,FALSE),"")</f>
        <v/>
      </c>
      <c r="AD571" s="17">
        <f>IFERROR(VLOOKUP($H571&amp;"|"&amp;$Q571,Tariff_Master!$A$2:$L$169,4,FALSE),"")</f>
        <v/>
      </c>
      <c r="AE571" s="18">
        <f>IFERROR(VLOOKUP($H571&amp;"|"&amp;$Q571,Tariff_Master!$A$2:$L$169,6,FALSE),"")</f>
        <v/>
      </c>
      <c r="AF571" s="19">
        <f>IFERROR(VLOOKUP($H571&amp;"|"&amp;$Q571,Tariff_Master!$A$2:$L$169,7,FALSE),"")</f>
        <v/>
      </c>
      <c r="AG571" s="18">
        <f>IFERROR(VLOOKUP($H571&amp;"|"&amp;$Q571,Tariff_Master!$A$2:$L$169,8,FALSE),"")</f>
        <v/>
      </c>
      <c r="AH571" s="20">
        <f>IFERROR(VLOOKUP($H571&amp;"|"&amp;$Q571,Tariff_Master!$A$2:$L$169,9,FALSE),"")</f>
        <v/>
      </c>
      <c r="AI571" s="18">
        <f>IFERROR(VLOOKUP($H571&amp;"|"&amp;$Q571,Tariff_Master!$A$2:$L$169,10,FALSE),"")</f>
        <v/>
      </c>
      <c r="AJ571" s="21">
        <f>IF($M571="","",ROUNDUP(MAX(0,$M571),0))</f>
        <v/>
      </c>
      <c r="AK571" s="21">
        <f>IF(OR($AJ571="",$AF571=""),"",MAX(0,$AJ571-$AF571))</f>
        <v/>
      </c>
      <c r="AL571" s="22">
        <f>IF(OR($AK571="",$AG571=""),"",MAX(0,$AK571*$AG571))</f>
        <v/>
      </c>
      <c r="AM571" s="22">
        <f>IF($AE571="","",MAX(0,SUM($AE571,$AL571,$V571,$W571)))</f>
        <v/>
      </c>
      <c r="AN571" s="22">
        <f>IF($AM571="","",IF(AND($Q571="COMMITMENT",$R571&gt;=$AH571),$AI571,0))</f>
        <v/>
      </c>
      <c r="AO571" s="23">
        <f>IF($AM571="","",MAX(0,$AM571-$AN571))</f>
        <v/>
      </c>
      <c r="AP571" s="22">
        <f>IF($S571="","",IF(OR($S571="ITEM_PRICE_PLUS_DECLARED_DELIVERY",$S571="DELIVERY_CHARGE_ONLY"),$K571,IF($S571="TOTAL_AMOUNT_INCLUDING_DELIVERY",IF(OR($T571="",$J571=""),"",MAX(0,$T571-$J571-$U571)),IF($S571="ITEM_PRICE_ONLY_DELIVERY_PAID_BY_MERCHANT",0,""))))</f>
        <v/>
      </c>
      <c r="AQ571" s="23">
        <f>IF(OR($AP571="",$AO571=""),"",$AP571-$AO571)</f>
        <v/>
      </c>
      <c r="AR571" s="24">
        <f>IF($S571="EXACT_COLLECTION_AMOUNT","BREAKDOWN_REQUIRED",IF($AQ571="","",IF($AQ571&gt;0,"CREDIT_TO_MERCHANT",IF($AQ571&lt;0,"DEDUCT_FROM_MERCHANT","NO_ADJUSTMENT"))))</f>
        <v/>
      </c>
      <c r="AS571" s="23">
        <f>IF(OR($AQ571="",$AR571="BREAKDOWN_REQUIRED"),"",$AQ571)</f>
        <v/>
      </c>
      <c r="AT571" s="23">
        <f>IF(OR($AR571="",$AR571="BREAKDOWN_REQUIRED"),"",SUM($J571,$AQ571,$Y571)-$X571)</f>
        <v/>
      </c>
      <c r="AU571" s="25">
        <f>IF(AND($A571="",$B571="",$F571="",$H571="",$J571="",$K571="",$M571="",$S571=""),"",IF(OR($H571="",$Q571="",$M571="",$S571=""),"ERROR",IF(OR($J571&lt;0,$K571&lt;0,$M571&lt;0,$T571&lt;0,$U571&lt;0,$V571&lt;0,$W571&lt;0,$X571&lt;0,$Y571&lt;0),"ERROR",IF($AE571="","ERROR",IF(AND(OR($S571="ITEM_PRICE_PLUS_DECLARED_DELIVERY",$S571="TOTAL_AMOUNT_INCLUDING_DELIVERY",$S571="ITEM_PRICE_ONLY_DELIVERY_PAID_BY_MERCHANT"),$J571=""),"ERROR",IF(AND(OR($S571="ITEM_PRICE_PLUS_DECLARED_DELIVERY",$S571="DELIVERY_CHARGE_ONLY"),$K571=""),"ERROR",IF(AND(OR($S571="TOTAL_AMOUNT_INCLUDING_DELIVERY",$S571="EXACT_COLLECTION_AMOUNT"),$T571=""),"ERROR",IF(AND($S571="TOTAL_AMOUNT_INCLUDING_DELIVERY",$T571&lt;SUM($J571,$U571)),"ERROR",IF($S571="EXACT_COLLECTION_AMOUNT","REVIEW","OK")))))))))</f>
        <v/>
      </c>
      <c r="AV571" s="25">
        <f>IF($AU571="","",IF($H571="","Township required",IF($Q571="","Customer tier required",IF($M571="","Weight required",IF($S571="","Amount entry type required",IF(OR($J571&lt;0,$K571&lt;0,$M571&lt;0,$T571&lt;0,$U571&lt;0,$V571&lt;0,$W571&lt;0,$X571&lt;0,$Y571&lt;0),"Negative amounts are not allowed",IF($AE571="","Tariff not found for township and tier",IF(AND(OR($S571="ITEM_PRICE_PLUS_DECLARED_DELIVERY",$S571="TOTAL_AMOUNT_INCLUDING_DELIVERY",$S571="ITEM_PRICE_ONLY_DELIVERY_PAID_BY_MERCHANT"),$J571=""),"Item price required for this amount type",IF(AND(OR($S571="ITEM_PRICE_PLUS_DECLARED_DELIVERY",$S571="DELIVERY_CHARGE_ONLY"),$K571=""),"Declared delivery charge required",IF(AND(OR($S571="TOTAL_AMOUNT_INCLUDING_DELIVERY",$S571="EXACT_COLLECTION_AMOUNT"),$T571=""),"Stated total amount required",IF(AND($S571="TOTAL_AMOUNT_INCLUDING_DELIVERY",$T571&lt;SUM($J571,$U571)),"Stated total is below item price plus additional charge",IF($S571="EXACT_COLLECTION_AMOUNT","Authorized amount breakdown required before settlement","Ready for collection and settlement"))))))))))))</f>
        <v/>
      </c>
      <c r="AW571" s="23">
        <f>IF($AU571="","","PARCEL_FINANCIAL_V2")</f>
        <v/>
      </c>
      <c r="AX571" s="17" t="n"/>
    </row>
    <row r="572">
      <c r="A572" s="8" t="n"/>
      <c r="B572" s="8" t="n"/>
      <c r="C572" s="8" t="n"/>
      <c r="D572" s="8" t="n"/>
      <c r="E572" s="9" t="n"/>
      <c r="F572" s="9" t="n"/>
      <c r="G572" s="8" t="n"/>
      <c r="H572" s="9" t="n"/>
      <c r="I572" s="9" t="n"/>
      <c r="J572" s="10" t="n"/>
      <c r="K572" s="10" t="n"/>
      <c r="L572" s="11">
        <f>IF($S572="","",IF($S572="ITEM_PRICE_PLUS_DECLARED_DELIVERY",IF(OR($J572="",$K572=""),"",SUM($J572,$K572,$U572)),IF($S572="TOTAL_AMOUNT_INCLUDING_DELIVERY",IF($T572="","",$T572),IF($S572="DELIVERY_CHARGE_ONLY",IF($K572="","",SUM($K572,$U572)),IF($S572="EXACT_COLLECTION_AMOUNT",IF($T572="","",$T572),IF($S572="ITEM_PRICE_ONLY_DELIVERY_PAID_BY_MERCHANT",IF($J572="","",SUM($J572,$U572)),""))))))</f>
        <v/>
      </c>
      <c r="M572" s="12" t="n"/>
      <c r="N572" s="13" t="n"/>
      <c r="O572" s="13" t="n"/>
      <c r="P572" s="9" t="n"/>
      <c r="Q572" s="14" t="n"/>
      <c r="R572" s="15" t="n"/>
      <c r="S572" s="14" t="n"/>
      <c r="T572" s="16" t="n"/>
      <c r="U572" s="16" t="n"/>
      <c r="V572" s="16" t="n"/>
      <c r="W572" s="16" t="n"/>
      <c r="X572" s="16" t="n"/>
      <c r="Y572" s="16" t="n"/>
      <c r="Z572" s="14" t="n"/>
      <c r="AA572" s="14" t="n"/>
      <c r="AB572" s="14" t="n"/>
      <c r="AC572" s="17">
        <f>IFERROR(VLOOKUP($H572&amp;"|"&amp;$Q572,Tariff_Master!$A$2:$L$169,3,FALSE),"")</f>
        <v/>
      </c>
      <c r="AD572" s="17">
        <f>IFERROR(VLOOKUP($H572&amp;"|"&amp;$Q572,Tariff_Master!$A$2:$L$169,4,FALSE),"")</f>
        <v/>
      </c>
      <c r="AE572" s="18">
        <f>IFERROR(VLOOKUP($H572&amp;"|"&amp;$Q572,Tariff_Master!$A$2:$L$169,6,FALSE),"")</f>
        <v/>
      </c>
      <c r="AF572" s="19">
        <f>IFERROR(VLOOKUP($H572&amp;"|"&amp;$Q572,Tariff_Master!$A$2:$L$169,7,FALSE),"")</f>
        <v/>
      </c>
      <c r="AG572" s="18">
        <f>IFERROR(VLOOKUP($H572&amp;"|"&amp;$Q572,Tariff_Master!$A$2:$L$169,8,FALSE),"")</f>
        <v/>
      </c>
      <c r="AH572" s="20">
        <f>IFERROR(VLOOKUP($H572&amp;"|"&amp;$Q572,Tariff_Master!$A$2:$L$169,9,FALSE),"")</f>
        <v/>
      </c>
      <c r="AI572" s="18">
        <f>IFERROR(VLOOKUP($H572&amp;"|"&amp;$Q572,Tariff_Master!$A$2:$L$169,10,FALSE),"")</f>
        <v/>
      </c>
      <c r="AJ572" s="21">
        <f>IF($M572="","",ROUNDUP(MAX(0,$M572),0))</f>
        <v/>
      </c>
      <c r="AK572" s="21">
        <f>IF(OR($AJ572="",$AF572=""),"",MAX(0,$AJ572-$AF572))</f>
        <v/>
      </c>
      <c r="AL572" s="22">
        <f>IF(OR($AK572="",$AG572=""),"",MAX(0,$AK572*$AG572))</f>
        <v/>
      </c>
      <c r="AM572" s="22">
        <f>IF($AE572="","",MAX(0,SUM($AE572,$AL572,$V572,$W572)))</f>
        <v/>
      </c>
      <c r="AN572" s="22">
        <f>IF($AM572="","",IF(AND($Q572="COMMITMENT",$R572&gt;=$AH572),$AI572,0))</f>
        <v/>
      </c>
      <c r="AO572" s="23">
        <f>IF($AM572="","",MAX(0,$AM572-$AN572))</f>
        <v/>
      </c>
      <c r="AP572" s="22">
        <f>IF($S572="","",IF(OR($S572="ITEM_PRICE_PLUS_DECLARED_DELIVERY",$S572="DELIVERY_CHARGE_ONLY"),$K572,IF($S572="TOTAL_AMOUNT_INCLUDING_DELIVERY",IF(OR($T572="",$J572=""),"",MAX(0,$T572-$J572-$U572)),IF($S572="ITEM_PRICE_ONLY_DELIVERY_PAID_BY_MERCHANT",0,""))))</f>
        <v/>
      </c>
      <c r="AQ572" s="23">
        <f>IF(OR($AP572="",$AO572=""),"",$AP572-$AO572)</f>
        <v/>
      </c>
      <c r="AR572" s="24">
        <f>IF($S572="EXACT_COLLECTION_AMOUNT","BREAKDOWN_REQUIRED",IF($AQ572="","",IF($AQ572&gt;0,"CREDIT_TO_MERCHANT",IF($AQ572&lt;0,"DEDUCT_FROM_MERCHANT","NO_ADJUSTMENT"))))</f>
        <v/>
      </c>
      <c r="AS572" s="23">
        <f>IF(OR($AQ572="",$AR572="BREAKDOWN_REQUIRED"),"",$AQ572)</f>
        <v/>
      </c>
      <c r="AT572" s="23">
        <f>IF(OR($AR572="",$AR572="BREAKDOWN_REQUIRED"),"",SUM($J572,$AQ572,$Y572)-$X572)</f>
        <v/>
      </c>
      <c r="AU572" s="25">
        <f>IF(AND($A572="",$B572="",$F572="",$H572="",$J572="",$K572="",$M572="",$S572=""),"",IF(OR($H572="",$Q572="",$M572="",$S572=""),"ERROR",IF(OR($J572&lt;0,$K572&lt;0,$M572&lt;0,$T572&lt;0,$U572&lt;0,$V572&lt;0,$W572&lt;0,$X572&lt;0,$Y572&lt;0),"ERROR",IF($AE572="","ERROR",IF(AND(OR($S572="ITEM_PRICE_PLUS_DECLARED_DELIVERY",$S572="TOTAL_AMOUNT_INCLUDING_DELIVERY",$S572="ITEM_PRICE_ONLY_DELIVERY_PAID_BY_MERCHANT"),$J572=""),"ERROR",IF(AND(OR($S572="ITEM_PRICE_PLUS_DECLARED_DELIVERY",$S572="DELIVERY_CHARGE_ONLY"),$K572=""),"ERROR",IF(AND(OR($S572="TOTAL_AMOUNT_INCLUDING_DELIVERY",$S572="EXACT_COLLECTION_AMOUNT"),$T572=""),"ERROR",IF(AND($S572="TOTAL_AMOUNT_INCLUDING_DELIVERY",$T572&lt;SUM($J572,$U572)),"ERROR",IF($S572="EXACT_COLLECTION_AMOUNT","REVIEW","OK")))))))))</f>
        <v/>
      </c>
      <c r="AV572" s="25">
        <f>IF($AU572="","",IF($H572="","Township required",IF($Q572="","Customer tier required",IF($M572="","Weight required",IF($S572="","Amount entry type required",IF(OR($J572&lt;0,$K572&lt;0,$M572&lt;0,$T572&lt;0,$U572&lt;0,$V572&lt;0,$W572&lt;0,$X572&lt;0,$Y572&lt;0),"Negative amounts are not allowed",IF($AE572="","Tariff not found for township and tier",IF(AND(OR($S572="ITEM_PRICE_PLUS_DECLARED_DELIVERY",$S572="TOTAL_AMOUNT_INCLUDING_DELIVERY",$S572="ITEM_PRICE_ONLY_DELIVERY_PAID_BY_MERCHANT"),$J572=""),"Item price required for this amount type",IF(AND(OR($S572="ITEM_PRICE_PLUS_DECLARED_DELIVERY",$S572="DELIVERY_CHARGE_ONLY"),$K572=""),"Declared delivery charge required",IF(AND(OR($S572="TOTAL_AMOUNT_INCLUDING_DELIVERY",$S572="EXACT_COLLECTION_AMOUNT"),$T572=""),"Stated total amount required",IF(AND($S572="TOTAL_AMOUNT_INCLUDING_DELIVERY",$T572&lt;SUM($J572,$U572)),"Stated total is below item price plus additional charge",IF($S572="EXACT_COLLECTION_AMOUNT","Authorized amount breakdown required before settlement","Ready for collection and settlement"))))))))))))</f>
        <v/>
      </c>
      <c r="AW572" s="23">
        <f>IF($AU572="","","PARCEL_FINANCIAL_V2")</f>
        <v/>
      </c>
      <c r="AX572" s="17" t="n"/>
    </row>
    <row r="573">
      <c r="A573" s="8" t="n"/>
      <c r="B573" s="8" t="n"/>
      <c r="C573" s="8" t="n"/>
      <c r="D573" s="8" t="n"/>
      <c r="E573" s="9" t="n"/>
      <c r="F573" s="9" t="n"/>
      <c r="G573" s="8" t="n"/>
      <c r="H573" s="9" t="n"/>
      <c r="I573" s="9" t="n"/>
      <c r="J573" s="10" t="n"/>
      <c r="K573" s="10" t="n"/>
      <c r="L573" s="11">
        <f>IF($S573="","",IF($S573="ITEM_PRICE_PLUS_DECLARED_DELIVERY",IF(OR($J573="",$K573=""),"",SUM($J573,$K573,$U573)),IF($S573="TOTAL_AMOUNT_INCLUDING_DELIVERY",IF($T573="","",$T573),IF($S573="DELIVERY_CHARGE_ONLY",IF($K573="","",SUM($K573,$U573)),IF($S573="EXACT_COLLECTION_AMOUNT",IF($T573="","",$T573),IF($S573="ITEM_PRICE_ONLY_DELIVERY_PAID_BY_MERCHANT",IF($J573="","",SUM($J573,$U573)),""))))))</f>
        <v/>
      </c>
      <c r="M573" s="12" t="n"/>
      <c r="N573" s="13" t="n"/>
      <c r="O573" s="13" t="n"/>
      <c r="P573" s="9" t="n"/>
      <c r="Q573" s="14" t="n"/>
      <c r="R573" s="15" t="n"/>
      <c r="S573" s="14" t="n"/>
      <c r="T573" s="16" t="n"/>
      <c r="U573" s="16" t="n"/>
      <c r="V573" s="16" t="n"/>
      <c r="W573" s="16" t="n"/>
      <c r="X573" s="16" t="n"/>
      <c r="Y573" s="16" t="n"/>
      <c r="Z573" s="14" t="n"/>
      <c r="AA573" s="14" t="n"/>
      <c r="AB573" s="14" t="n"/>
      <c r="AC573" s="17">
        <f>IFERROR(VLOOKUP($H573&amp;"|"&amp;$Q573,Tariff_Master!$A$2:$L$169,3,FALSE),"")</f>
        <v/>
      </c>
      <c r="AD573" s="17">
        <f>IFERROR(VLOOKUP($H573&amp;"|"&amp;$Q573,Tariff_Master!$A$2:$L$169,4,FALSE),"")</f>
        <v/>
      </c>
      <c r="AE573" s="18">
        <f>IFERROR(VLOOKUP($H573&amp;"|"&amp;$Q573,Tariff_Master!$A$2:$L$169,6,FALSE),"")</f>
        <v/>
      </c>
      <c r="AF573" s="19">
        <f>IFERROR(VLOOKUP($H573&amp;"|"&amp;$Q573,Tariff_Master!$A$2:$L$169,7,FALSE),"")</f>
        <v/>
      </c>
      <c r="AG573" s="18">
        <f>IFERROR(VLOOKUP($H573&amp;"|"&amp;$Q573,Tariff_Master!$A$2:$L$169,8,FALSE),"")</f>
        <v/>
      </c>
      <c r="AH573" s="20">
        <f>IFERROR(VLOOKUP($H573&amp;"|"&amp;$Q573,Tariff_Master!$A$2:$L$169,9,FALSE),"")</f>
        <v/>
      </c>
      <c r="AI573" s="18">
        <f>IFERROR(VLOOKUP($H573&amp;"|"&amp;$Q573,Tariff_Master!$A$2:$L$169,10,FALSE),"")</f>
        <v/>
      </c>
      <c r="AJ573" s="21">
        <f>IF($M573="","",ROUNDUP(MAX(0,$M573),0))</f>
        <v/>
      </c>
      <c r="AK573" s="21">
        <f>IF(OR($AJ573="",$AF573=""),"",MAX(0,$AJ573-$AF573))</f>
        <v/>
      </c>
      <c r="AL573" s="22">
        <f>IF(OR($AK573="",$AG573=""),"",MAX(0,$AK573*$AG573))</f>
        <v/>
      </c>
      <c r="AM573" s="22">
        <f>IF($AE573="","",MAX(0,SUM($AE573,$AL573,$V573,$W573)))</f>
        <v/>
      </c>
      <c r="AN573" s="22">
        <f>IF($AM573="","",IF(AND($Q573="COMMITMENT",$R573&gt;=$AH573),$AI573,0))</f>
        <v/>
      </c>
      <c r="AO573" s="23">
        <f>IF($AM573="","",MAX(0,$AM573-$AN573))</f>
        <v/>
      </c>
      <c r="AP573" s="22">
        <f>IF($S573="","",IF(OR($S573="ITEM_PRICE_PLUS_DECLARED_DELIVERY",$S573="DELIVERY_CHARGE_ONLY"),$K573,IF($S573="TOTAL_AMOUNT_INCLUDING_DELIVERY",IF(OR($T573="",$J573=""),"",MAX(0,$T573-$J573-$U573)),IF($S573="ITEM_PRICE_ONLY_DELIVERY_PAID_BY_MERCHANT",0,""))))</f>
        <v/>
      </c>
      <c r="AQ573" s="23">
        <f>IF(OR($AP573="",$AO573=""),"",$AP573-$AO573)</f>
        <v/>
      </c>
      <c r="AR573" s="24">
        <f>IF($S573="EXACT_COLLECTION_AMOUNT","BREAKDOWN_REQUIRED",IF($AQ573="","",IF($AQ573&gt;0,"CREDIT_TO_MERCHANT",IF($AQ573&lt;0,"DEDUCT_FROM_MERCHANT","NO_ADJUSTMENT"))))</f>
        <v/>
      </c>
      <c r="AS573" s="23">
        <f>IF(OR($AQ573="",$AR573="BREAKDOWN_REQUIRED"),"",$AQ573)</f>
        <v/>
      </c>
      <c r="AT573" s="23">
        <f>IF(OR($AR573="",$AR573="BREAKDOWN_REQUIRED"),"",SUM($J573,$AQ573,$Y573)-$X573)</f>
        <v/>
      </c>
      <c r="AU573" s="25">
        <f>IF(AND($A573="",$B573="",$F573="",$H573="",$J573="",$K573="",$M573="",$S573=""),"",IF(OR($H573="",$Q573="",$M573="",$S573=""),"ERROR",IF(OR($J573&lt;0,$K573&lt;0,$M573&lt;0,$T573&lt;0,$U573&lt;0,$V573&lt;0,$W573&lt;0,$X573&lt;0,$Y573&lt;0),"ERROR",IF($AE573="","ERROR",IF(AND(OR($S573="ITEM_PRICE_PLUS_DECLARED_DELIVERY",$S573="TOTAL_AMOUNT_INCLUDING_DELIVERY",$S573="ITEM_PRICE_ONLY_DELIVERY_PAID_BY_MERCHANT"),$J573=""),"ERROR",IF(AND(OR($S573="ITEM_PRICE_PLUS_DECLARED_DELIVERY",$S573="DELIVERY_CHARGE_ONLY"),$K573=""),"ERROR",IF(AND(OR($S573="TOTAL_AMOUNT_INCLUDING_DELIVERY",$S573="EXACT_COLLECTION_AMOUNT"),$T573=""),"ERROR",IF(AND($S573="TOTAL_AMOUNT_INCLUDING_DELIVERY",$T573&lt;SUM($J573,$U573)),"ERROR",IF($S573="EXACT_COLLECTION_AMOUNT","REVIEW","OK")))))))))</f>
        <v/>
      </c>
      <c r="AV573" s="25">
        <f>IF($AU573="","",IF($H573="","Township required",IF($Q573="","Customer tier required",IF($M573="","Weight required",IF($S573="","Amount entry type required",IF(OR($J573&lt;0,$K573&lt;0,$M573&lt;0,$T573&lt;0,$U573&lt;0,$V573&lt;0,$W573&lt;0,$X573&lt;0,$Y573&lt;0),"Negative amounts are not allowed",IF($AE573="","Tariff not found for township and tier",IF(AND(OR($S573="ITEM_PRICE_PLUS_DECLARED_DELIVERY",$S573="TOTAL_AMOUNT_INCLUDING_DELIVERY",$S573="ITEM_PRICE_ONLY_DELIVERY_PAID_BY_MERCHANT"),$J573=""),"Item price required for this amount type",IF(AND(OR($S573="ITEM_PRICE_PLUS_DECLARED_DELIVERY",$S573="DELIVERY_CHARGE_ONLY"),$K573=""),"Declared delivery charge required",IF(AND(OR($S573="TOTAL_AMOUNT_INCLUDING_DELIVERY",$S573="EXACT_COLLECTION_AMOUNT"),$T573=""),"Stated total amount required",IF(AND($S573="TOTAL_AMOUNT_INCLUDING_DELIVERY",$T573&lt;SUM($J573,$U573)),"Stated total is below item price plus additional charge",IF($S573="EXACT_COLLECTION_AMOUNT","Authorized amount breakdown required before settlement","Ready for collection and settlement"))))))))))))</f>
        <v/>
      </c>
      <c r="AW573" s="23">
        <f>IF($AU573="","","PARCEL_FINANCIAL_V2")</f>
        <v/>
      </c>
      <c r="AX573" s="17" t="n"/>
    </row>
    <row r="574">
      <c r="A574" s="8" t="n"/>
      <c r="B574" s="8" t="n"/>
      <c r="C574" s="8" t="n"/>
      <c r="D574" s="8" t="n"/>
      <c r="E574" s="9" t="n"/>
      <c r="F574" s="9" t="n"/>
      <c r="G574" s="8" t="n"/>
      <c r="H574" s="9" t="n"/>
      <c r="I574" s="9" t="n"/>
      <c r="J574" s="10" t="n"/>
      <c r="K574" s="10" t="n"/>
      <c r="L574" s="11">
        <f>IF($S574="","",IF($S574="ITEM_PRICE_PLUS_DECLARED_DELIVERY",IF(OR($J574="",$K574=""),"",SUM($J574,$K574,$U574)),IF($S574="TOTAL_AMOUNT_INCLUDING_DELIVERY",IF($T574="","",$T574),IF($S574="DELIVERY_CHARGE_ONLY",IF($K574="","",SUM($K574,$U574)),IF($S574="EXACT_COLLECTION_AMOUNT",IF($T574="","",$T574),IF($S574="ITEM_PRICE_ONLY_DELIVERY_PAID_BY_MERCHANT",IF($J574="","",SUM($J574,$U574)),""))))))</f>
        <v/>
      </c>
      <c r="M574" s="12" t="n"/>
      <c r="N574" s="13" t="n"/>
      <c r="O574" s="13" t="n"/>
      <c r="P574" s="9" t="n"/>
      <c r="Q574" s="14" t="n"/>
      <c r="R574" s="15" t="n"/>
      <c r="S574" s="14" t="n"/>
      <c r="T574" s="16" t="n"/>
      <c r="U574" s="16" t="n"/>
      <c r="V574" s="16" t="n"/>
      <c r="W574" s="16" t="n"/>
      <c r="X574" s="16" t="n"/>
      <c r="Y574" s="16" t="n"/>
      <c r="Z574" s="14" t="n"/>
      <c r="AA574" s="14" t="n"/>
      <c r="AB574" s="14" t="n"/>
      <c r="AC574" s="17">
        <f>IFERROR(VLOOKUP($H574&amp;"|"&amp;$Q574,Tariff_Master!$A$2:$L$169,3,FALSE),"")</f>
        <v/>
      </c>
      <c r="AD574" s="17">
        <f>IFERROR(VLOOKUP($H574&amp;"|"&amp;$Q574,Tariff_Master!$A$2:$L$169,4,FALSE),"")</f>
        <v/>
      </c>
      <c r="AE574" s="18">
        <f>IFERROR(VLOOKUP($H574&amp;"|"&amp;$Q574,Tariff_Master!$A$2:$L$169,6,FALSE),"")</f>
        <v/>
      </c>
      <c r="AF574" s="19">
        <f>IFERROR(VLOOKUP($H574&amp;"|"&amp;$Q574,Tariff_Master!$A$2:$L$169,7,FALSE),"")</f>
        <v/>
      </c>
      <c r="AG574" s="18">
        <f>IFERROR(VLOOKUP($H574&amp;"|"&amp;$Q574,Tariff_Master!$A$2:$L$169,8,FALSE),"")</f>
        <v/>
      </c>
      <c r="AH574" s="20">
        <f>IFERROR(VLOOKUP($H574&amp;"|"&amp;$Q574,Tariff_Master!$A$2:$L$169,9,FALSE),"")</f>
        <v/>
      </c>
      <c r="AI574" s="18">
        <f>IFERROR(VLOOKUP($H574&amp;"|"&amp;$Q574,Tariff_Master!$A$2:$L$169,10,FALSE),"")</f>
        <v/>
      </c>
      <c r="AJ574" s="21">
        <f>IF($M574="","",ROUNDUP(MAX(0,$M574),0))</f>
        <v/>
      </c>
      <c r="AK574" s="21">
        <f>IF(OR($AJ574="",$AF574=""),"",MAX(0,$AJ574-$AF574))</f>
        <v/>
      </c>
      <c r="AL574" s="22">
        <f>IF(OR($AK574="",$AG574=""),"",MAX(0,$AK574*$AG574))</f>
        <v/>
      </c>
      <c r="AM574" s="22">
        <f>IF($AE574="","",MAX(0,SUM($AE574,$AL574,$V574,$W574)))</f>
        <v/>
      </c>
      <c r="AN574" s="22">
        <f>IF($AM574="","",IF(AND($Q574="COMMITMENT",$R574&gt;=$AH574),$AI574,0))</f>
        <v/>
      </c>
      <c r="AO574" s="23">
        <f>IF($AM574="","",MAX(0,$AM574-$AN574))</f>
        <v/>
      </c>
      <c r="AP574" s="22">
        <f>IF($S574="","",IF(OR($S574="ITEM_PRICE_PLUS_DECLARED_DELIVERY",$S574="DELIVERY_CHARGE_ONLY"),$K574,IF($S574="TOTAL_AMOUNT_INCLUDING_DELIVERY",IF(OR($T574="",$J574=""),"",MAX(0,$T574-$J574-$U574)),IF($S574="ITEM_PRICE_ONLY_DELIVERY_PAID_BY_MERCHANT",0,""))))</f>
        <v/>
      </c>
      <c r="AQ574" s="23">
        <f>IF(OR($AP574="",$AO574=""),"",$AP574-$AO574)</f>
        <v/>
      </c>
      <c r="AR574" s="24">
        <f>IF($S574="EXACT_COLLECTION_AMOUNT","BREAKDOWN_REQUIRED",IF($AQ574="","",IF($AQ574&gt;0,"CREDIT_TO_MERCHANT",IF($AQ574&lt;0,"DEDUCT_FROM_MERCHANT","NO_ADJUSTMENT"))))</f>
        <v/>
      </c>
      <c r="AS574" s="23">
        <f>IF(OR($AQ574="",$AR574="BREAKDOWN_REQUIRED"),"",$AQ574)</f>
        <v/>
      </c>
      <c r="AT574" s="23">
        <f>IF(OR($AR574="",$AR574="BREAKDOWN_REQUIRED"),"",SUM($J574,$AQ574,$Y574)-$X574)</f>
        <v/>
      </c>
      <c r="AU574" s="25">
        <f>IF(AND($A574="",$B574="",$F574="",$H574="",$J574="",$K574="",$M574="",$S574=""),"",IF(OR($H574="",$Q574="",$M574="",$S574=""),"ERROR",IF(OR($J574&lt;0,$K574&lt;0,$M574&lt;0,$T574&lt;0,$U574&lt;0,$V574&lt;0,$W574&lt;0,$X574&lt;0,$Y574&lt;0),"ERROR",IF($AE574="","ERROR",IF(AND(OR($S574="ITEM_PRICE_PLUS_DECLARED_DELIVERY",$S574="TOTAL_AMOUNT_INCLUDING_DELIVERY",$S574="ITEM_PRICE_ONLY_DELIVERY_PAID_BY_MERCHANT"),$J574=""),"ERROR",IF(AND(OR($S574="ITEM_PRICE_PLUS_DECLARED_DELIVERY",$S574="DELIVERY_CHARGE_ONLY"),$K574=""),"ERROR",IF(AND(OR($S574="TOTAL_AMOUNT_INCLUDING_DELIVERY",$S574="EXACT_COLLECTION_AMOUNT"),$T574=""),"ERROR",IF(AND($S574="TOTAL_AMOUNT_INCLUDING_DELIVERY",$T574&lt;SUM($J574,$U574)),"ERROR",IF($S574="EXACT_COLLECTION_AMOUNT","REVIEW","OK")))))))))</f>
        <v/>
      </c>
      <c r="AV574" s="25">
        <f>IF($AU574="","",IF($H574="","Township required",IF($Q574="","Customer tier required",IF($M574="","Weight required",IF($S574="","Amount entry type required",IF(OR($J574&lt;0,$K574&lt;0,$M574&lt;0,$T574&lt;0,$U574&lt;0,$V574&lt;0,$W574&lt;0,$X574&lt;0,$Y574&lt;0),"Negative amounts are not allowed",IF($AE574="","Tariff not found for township and tier",IF(AND(OR($S574="ITEM_PRICE_PLUS_DECLARED_DELIVERY",$S574="TOTAL_AMOUNT_INCLUDING_DELIVERY",$S574="ITEM_PRICE_ONLY_DELIVERY_PAID_BY_MERCHANT"),$J574=""),"Item price required for this amount type",IF(AND(OR($S574="ITEM_PRICE_PLUS_DECLARED_DELIVERY",$S574="DELIVERY_CHARGE_ONLY"),$K574=""),"Declared delivery charge required",IF(AND(OR($S574="TOTAL_AMOUNT_INCLUDING_DELIVERY",$S574="EXACT_COLLECTION_AMOUNT"),$T574=""),"Stated total amount required",IF(AND($S574="TOTAL_AMOUNT_INCLUDING_DELIVERY",$T574&lt;SUM($J574,$U574)),"Stated total is below item price plus additional charge",IF($S574="EXACT_COLLECTION_AMOUNT","Authorized amount breakdown required before settlement","Ready for collection and settlement"))))))))))))</f>
        <v/>
      </c>
      <c r="AW574" s="23">
        <f>IF($AU574="","","PARCEL_FINANCIAL_V2")</f>
        <v/>
      </c>
      <c r="AX574" s="17" t="n"/>
    </row>
    <row r="575">
      <c r="A575" s="8" t="n"/>
      <c r="B575" s="8" t="n"/>
      <c r="C575" s="8" t="n"/>
      <c r="D575" s="8" t="n"/>
      <c r="E575" s="9" t="n"/>
      <c r="F575" s="9" t="n"/>
      <c r="G575" s="8" t="n"/>
      <c r="H575" s="9" t="n"/>
      <c r="I575" s="9" t="n"/>
      <c r="J575" s="10" t="n"/>
      <c r="K575" s="10" t="n"/>
      <c r="L575" s="11">
        <f>IF($S575="","",IF($S575="ITEM_PRICE_PLUS_DECLARED_DELIVERY",IF(OR($J575="",$K575=""),"",SUM($J575,$K575,$U575)),IF($S575="TOTAL_AMOUNT_INCLUDING_DELIVERY",IF($T575="","",$T575),IF($S575="DELIVERY_CHARGE_ONLY",IF($K575="","",SUM($K575,$U575)),IF($S575="EXACT_COLLECTION_AMOUNT",IF($T575="","",$T575),IF($S575="ITEM_PRICE_ONLY_DELIVERY_PAID_BY_MERCHANT",IF($J575="","",SUM($J575,$U575)),""))))))</f>
        <v/>
      </c>
      <c r="M575" s="12" t="n"/>
      <c r="N575" s="13" t="n"/>
      <c r="O575" s="13" t="n"/>
      <c r="P575" s="9" t="n"/>
      <c r="Q575" s="14" t="n"/>
      <c r="R575" s="15" t="n"/>
      <c r="S575" s="14" t="n"/>
      <c r="T575" s="16" t="n"/>
      <c r="U575" s="16" t="n"/>
      <c r="V575" s="16" t="n"/>
      <c r="W575" s="16" t="n"/>
      <c r="X575" s="16" t="n"/>
      <c r="Y575" s="16" t="n"/>
      <c r="Z575" s="14" t="n"/>
      <c r="AA575" s="14" t="n"/>
      <c r="AB575" s="14" t="n"/>
      <c r="AC575" s="17">
        <f>IFERROR(VLOOKUP($H575&amp;"|"&amp;$Q575,Tariff_Master!$A$2:$L$169,3,FALSE),"")</f>
        <v/>
      </c>
      <c r="AD575" s="17">
        <f>IFERROR(VLOOKUP($H575&amp;"|"&amp;$Q575,Tariff_Master!$A$2:$L$169,4,FALSE),"")</f>
        <v/>
      </c>
      <c r="AE575" s="18">
        <f>IFERROR(VLOOKUP($H575&amp;"|"&amp;$Q575,Tariff_Master!$A$2:$L$169,6,FALSE),"")</f>
        <v/>
      </c>
      <c r="AF575" s="19">
        <f>IFERROR(VLOOKUP($H575&amp;"|"&amp;$Q575,Tariff_Master!$A$2:$L$169,7,FALSE),"")</f>
        <v/>
      </c>
      <c r="AG575" s="18">
        <f>IFERROR(VLOOKUP($H575&amp;"|"&amp;$Q575,Tariff_Master!$A$2:$L$169,8,FALSE),"")</f>
        <v/>
      </c>
      <c r="AH575" s="20">
        <f>IFERROR(VLOOKUP($H575&amp;"|"&amp;$Q575,Tariff_Master!$A$2:$L$169,9,FALSE),"")</f>
        <v/>
      </c>
      <c r="AI575" s="18">
        <f>IFERROR(VLOOKUP($H575&amp;"|"&amp;$Q575,Tariff_Master!$A$2:$L$169,10,FALSE),"")</f>
        <v/>
      </c>
      <c r="AJ575" s="21">
        <f>IF($M575="","",ROUNDUP(MAX(0,$M575),0))</f>
        <v/>
      </c>
      <c r="AK575" s="21">
        <f>IF(OR($AJ575="",$AF575=""),"",MAX(0,$AJ575-$AF575))</f>
        <v/>
      </c>
      <c r="AL575" s="22">
        <f>IF(OR($AK575="",$AG575=""),"",MAX(0,$AK575*$AG575))</f>
        <v/>
      </c>
      <c r="AM575" s="22">
        <f>IF($AE575="","",MAX(0,SUM($AE575,$AL575,$V575,$W575)))</f>
        <v/>
      </c>
      <c r="AN575" s="22">
        <f>IF($AM575="","",IF(AND($Q575="COMMITMENT",$R575&gt;=$AH575),$AI575,0))</f>
        <v/>
      </c>
      <c r="AO575" s="23">
        <f>IF($AM575="","",MAX(0,$AM575-$AN575))</f>
        <v/>
      </c>
      <c r="AP575" s="22">
        <f>IF($S575="","",IF(OR($S575="ITEM_PRICE_PLUS_DECLARED_DELIVERY",$S575="DELIVERY_CHARGE_ONLY"),$K575,IF($S575="TOTAL_AMOUNT_INCLUDING_DELIVERY",IF(OR($T575="",$J575=""),"",MAX(0,$T575-$J575-$U575)),IF($S575="ITEM_PRICE_ONLY_DELIVERY_PAID_BY_MERCHANT",0,""))))</f>
        <v/>
      </c>
      <c r="AQ575" s="23">
        <f>IF(OR($AP575="",$AO575=""),"",$AP575-$AO575)</f>
        <v/>
      </c>
      <c r="AR575" s="24">
        <f>IF($S575="EXACT_COLLECTION_AMOUNT","BREAKDOWN_REQUIRED",IF($AQ575="","",IF($AQ575&gt;0,"CREDIT_TO_MERCHANT",IF($AQ575&lt;0,"DEDUCT_FROM_MERCHANT","NO_ADJUSTMENT"))))</f>
        <v/>
      </c>
      <c r="AS575" s="23">
        <f>IF(OR($AQ575="",$AR575="BREAKDOWN_REQUIRED"),"",$AQ575)</f>
        <v/>
      </c>
      <c r="AT575" s="23">
        <f>IF(OR($AR575="",$AR575="BREAKDOWN_REQUIRED"),"",SUM($J575,$AQ575,$Y575)-$X575)</f>
        <v/>
      </c>
      <c r="AU575" s="25">
        <f>IF(AND($A575="",$B575="",$F575="",$H575="",$J575="",$K575="",$M575="",$S575=""),"",IF(OR($H575="",$Q575="",$M575="",$S575=""),"ERROR",IF(OR($J575&lt;0,$K575&lt;0,$M575&lt;0,$T575&lt;0,$U575&lt;0,$V575&lt;0,$W575&lt;0,$X575&lt;0,$Y575&lt;0),"ERROR",IF($AE575="","ERROR",IF(AND(OR($S575="ITEM_PRICE_PLUS_DECLARED_DELIVERY",$S575="TOTAL_AMOUNT_INCLUDING_DELIVERY",$S575="ITEM_PRICE_ONLY_DELIVERY_PAID_BY_MERCHANT"),$J575=""),"ERROR",IF(AND(OR($S575="ITEM_PRICE_PLUS_DECLARED_DELIVERY",$S575="DELIVERY_CHARGE_ONLY"),$K575=""),"ERROR",IF(AND(OR($S575="TOTAL_AMOUNT_INCLUDING_DELIVERY",$S575="EXACT_COLLECTION_AMOUNT"),$T575=""),"ERROR",IF(AND($S575="TOTAL_AMOUNT_INCLUDING_DELIVERY",$T575&lt;SUM($J575,$U575)),"ERROR",IF($S575="EXACT_COLLECTION_AMOUNT","REVIEW","OK")))))))))</f>
        <v/>
      </c>
      <c r="AV575" s="25">
        <f>IF($AU575="","",IF($H575="","Township required",IF($Q575="","Customer tier required",IF($M575="","Weight required",IF($S575="","Amount entry type required",IF(OR($J575&lt;0,$K575&lt;0,$M575&lt;0,$T575&lt;0,$U575&lt;0,$V575&lt;0,$W575&lt;0,$X575&lt;0,$Y575&lt;0),"Negative amounts are not allowed",IF($AE575="","Tariff not found for township and tier",IF(AND(OR($S575="ITEM_PRICE_PLUS_DECLARED_DELIVERY",$S575="TOTAL_AMOUNT_INCLUDING_DELIVERY",$S575="ITEM_PRICE_ONLY_DELIVERY_PAID_BY_MERCHANT"),$J575=""),"Item price required for this amount type",IF(AND(OR($S575="ITEM_PRICE_PLUS_DECLARED_DELIVERY",$S575="DELIVERY_CHARGE_ONLY"),$K575=""),"Declared delivery charge required",IF(AND(OR($S575="TOTAL_AMOUNT_INCLUDING_DELIVERY",$S575="EXACT_COLLECTION_AMOUNT"),$T575=""),"Stated total amount required",IF(AND($S575="TOTAL_AMOUNT_INCLUDING_DELIVERY",$T575&lt;SUM($J575,$U575)),"Stated total is below item price plus additional charge",IF($S575="EXACT_COLLECTION_AMOUNT","Authorized amount breakdown required before settlement","Ready for collection and settlement"))))))))))))</f>
        <v/>
      </c>
      <c r="AW575" s="23">
        <f>IF($AU575="","","PARCEL_FINANCIAL_V2")</f>
        <v/>
      </c>
      <c r="AX575" s="17" t="n"/>
    </row>
    <row r="576">
      <c r="A576" s="8" t="n"/>
      <c r="B576" s="8" t="n"/>
      <c r="C576" s="8" t="n"/>
      <c r="D576" s="8" t="n"/>
      <c r="E576" s="9" t="n"/>
      <c r="F576" s="9" t="n"/>
      <c r="G576" s="8" t="n"/>
      <c r="H576" s="9" t="n"/>
      <c r="I576" s="9" t="n"/>
      <c r="J576" s="10" t="n"/>
      <c r="K576" s="10" t="n"/>
      <c r="L576" s="11">
        <f>IF($S576="","",IF($S576="ITEM_PRICE_PLUS_DECLARED_DELIVERY",IF(OR($J576="",$K576=""),"",SUM($J576,$K576,$U576)),IF($S576="TOTAL_AMOUNT_INCLUDING_DELIVERY",IF($T576="","",$T576),IF($S576="DELIVERY_CHARGE_ONLY",IF($K576="","",SUM($K576,$U576)),IF($S576="EXACT_COLLECTION_AMOUNT",IF($T576="","",$T576),IF($S576="ITEM_PRICE_ONLY_DELIVERY_PAID_BY_MERCHANT",IF($J576="","",SUM($J576,$U576)),""))))))</f>
        <v/>
      </c>
      <c r="M576" s="12" t="n"/>
      <c r="N576" s="13" t="n"/>
      <c r="O576" s="13" t="n"/>
      <c r="P576" s="9" t="n"/>
      <c r="Q576" s="14" t="n"/>
      <c r="R576" s="15" t="n"/>
      <c r="S576" s="14" t="n"/>
      <c r="T576" s="16" t="n"/>
      <c r="U576" s="16" t="n"/>
      <c r="V576" s="16" t="n"/>
      <c r="W576" s="16" t="n"/>
      <c r="X576" s="16" t="n"/>
      <c r="Y576" s="16" t="n"/>
      <c r="Z576" s="14" t="n"/>
      <c r="AA576" s="14" t="n"/>
      <c r="AB576" s="14" t="n"/>
      <c r="AC576" s="17">
        <f>IFERROR(VLOOKUP($H576&amp;"|"&amp;$Q576,Tariff_Master!$A$2:$L$169,3,FALSE),"")</f>
        <v/>
      </c>
      <c r="AD576" s="17">
        <f>IFERROR(VLOOKUP($H576&amp;"|"&amp;$Q576,Tariff_Master!$A$2:$L$169,4,FALSE),"")</f>
        <v/>
      </c>
      <c r="AE576" s="18">
        <f>IFERROR(VLOOKUP($H576&amp;"|"&amp;$Q576,Tariff_Master!$A$2:$L$169,6,FALSE),"")</f>
        <v/>
      </c>
      <c r="AF576" s="19">
        <f>IFERROR(VLOOKUP($H576&amp;"|"&amp;$Q576,Tariff_Master!$A$2:$L$169,7,FALSE),"")</f>
        <v/>
      </c>
      <c r="AG576" s="18">
        <f>IFERROR(VLOOKUP($H576&amp;"|"&amp;$Q576,Tariff_Master!$A$2:$L$169,8,FALSE),"")</f>
        <v/>
      </c>
      <c r="AH576" s="20">
        <f>IFERROR(VLOOKUP($H576&amp;"|"&amp;$Q576,Tariff_Master!$A$2:$L$169,9,FALSE),"")</f>
        <v/>
      </c>
      <c r="AI576" s="18">
        <f>IFERROR(VLOOKUP($H576&amp;"|"&amp;$Q576,Tariff_Master!$A$2:$L$169,10,FALSE),"")</f>
        <v/>
      </c>
      <c r="AJ576" s="21">
        <f>IF($M576="","",ROUNDUP(MAX(0,$M576),0))</f>
        <v/>
      </c>
      <c r="AK576" s="21">
        <f>IF(OR($AJ576="",$AF576=""),"",MAX(0,$AJ576-$AF576))</f>
        <v/>
      </c>
      <c r="AL576" s="22">
        <f>IF(OR($AK576="",$AG576=""),"",MAX(0,$AK576*$AG576))</f>
        <v/>
      </c>
      <c r="AM576" s="22">
        <f>IF($AE576="","",MAX(0,SUM($AE576,$AL576,$V576,$W576)))</f>
        <v/>
      </c>
      <c r="AN576" s="22">
        <f>IF($AM576="","",IF(AND($Q576="COMMITMENT",$R576&gt;=$AH576),$AI576,0))</f>
        <v/>
      </c>
      <c r="AO576" s="23">
        <f>IF($AM576="","",MAX(0,$AM576-$AN576))</f>
        <v/>
      </c>
      <c r="AP576" s="22">
        <f>IF($S576="","",IF(OR($S576="ITEM_PRICE_PLUS_DECLARED_DELIVERY",$S576="DELIVERY_CHARGE_ONLY"),$K576,IF($S576="TOTAL_AMOUNT_INCLUDING_DELIVERY",IF(OR($T576="",$J576=""),"",MAX(0,$T576-$J576-$U576)),IF($S576="ITEM_PRICE_ONLY_DELIVERY_PAID_BY_MERCHANT",0,""))))</f>
        <v/>
      </c>
      <c r="AQ576" s="23">
        <f>IF(OR($AP576="",$AO576=""),"",$AP576-$AO576)</f>
        <v/>
      </c>
      <c r="AR576" s="24">
        <f>IF($S576="EXACT_COLLECTION_AMOUNT","BREAKDOWN_REQUIRED",IF($AQ576="","",IF($AQ576&gt;0,"CREDIT_TO_MERCHANT",IF($AQ576&lt;0,"DEDUCT_FROM_MERCHANT","NO_ADJUSTMENT"))))</f>
        <v/>
      </c>
      <c r="AS576" s="23">
        <f>IF(OR($AQ576="",$AR576="BREAKDOWN_REQUIRED"),"",$AQ576)</f>
        <v/>
      </c>
      <c r="AT576" s="23">
        <f>IF(OR($AR576="",$AR576="BREAKDOWN_REQUIRED"),"",SUM($J576,$AQ576,$Y576)-$X576)</f>
        <v/>
      </c>
      <c r="AU576" s="25">
        <f>IF(AND($A576="",$B576="",$F576="",$H576="",$J576="",$K576="",$M576="",$S576=""),"",IF(OR($H576="",$Q576="",$M576="",$S576=""),"ERROR",IF(OR($J576&lt;0,$K576&lt;0,$M576&lt;0,$T576&lt;0,$U576&lt;0,$V576&lt;0,$W576&lt;0,$X576&lt;0,$Y576&lt;0),"ERROR",IF($AE576="","ERROR",IF(AND(OR($S576="ITEM_PRICE_PLUS_DECLARED_DELIVERY",$S576="TOTAL_AMOUNT_INCLUDING_DELIVERY",$S576="ITEM_PRICE_ONLY_DELIVERY_PAID_BY_MERCHANT"),$J576=""),"ERROR",IF(AND(OR($S576="ITEM_PRICE_PLUS_DECLARED_DELIVERY",$S576="DELIVERY_CHARGE_ONLY"),$K576=""),"ERROR",IF(AND(OR($S576="TOTAL_AMOUNT_INCLUDING_DELIVERY",$S576="EXACT_COLLECTION_AMOUNT"),$T576=""),"ERROR",IF(AND($S576="TOTAL_AMOUNT_INCLUDING_DELIVERY",$T576&lt;SUM($J576,$U576)),"ERROR",IF($S576="EXACT_COLLECTION_AMOUNT","REVIEW","OK")))))))))</f>
        <v/>
      </c>
      <c r="AV576" s="25">
        <f>IF($AU576="","",IF($H576="","Township required",IF($Q576="","Customer tier required",IF($M576="","Weight required",IF($S576="","Amount entry type required",IF(OR($J576&lt;0,$K576&lt;0,$M576&lt;0,$T576&lt;0,$U576&lt;0,$V576&lt;0,$W576&lt;0,$X576&lt;0,$Y576&lt;0),"Negative amounts are not allowed",IF($AE576="","Tariff not found for township and tier",IF(AND(OR($S576="ITEM_PRICE_PLUS_DECLARED_DELIVERY",$S576="TOTAL_AMOUNT_INCLUDING_DELIVERY",$S576="ITEM_PRICE_ONLY_DELIVERY_PAID_BY_MERCHANT"),$J576=""),"Item price required for this amount type",IF(AND(OR($S576="ITEM_PRICE_PLUS_DECLARED_DELIVERY",$S576="DELIVERY_CHARGE_ONLY"),$K576=""),"Declared delivery charge required",IF(AND(OR($S576="TOTAL_AMOUNT_INCLUDING_DELIVERY",$S576="EXACT_COLLECTION_AMOUNT"),$T576=""),"Stated total amount required",IF(AND($S576="TOTAL_AMOUNT_INCLUDING_DELIVERY",$T576&lt;SUM($J576,$U576)),"Stated total is below item price plus additional charge",IF($S576="EXACT_COLLECTION_AMOUNT","Authorized amount breakdown required before settlement","Ready for collection and settlement"))))))))))))</f>
        <v/>
      </c>
      <c r="AW576" s="23">
        <f>IF($AU576="","","PARCEL_FINANCIAL_V2")</f>
        <v/>
      </c>
      <c r="AX576" s="17" t="n"/>
    </row>
    <row r="577">
      <c r="A577" s="8" t="n"/>
      <c r="B577" s="8" t="n"/>
      <c r="C577" s="8" t="n"/>
      <c r="D577" s="8" t="n"/>
      <c r="E577" s="9" t="n"/>
      <c r="F577" s="9" t="n"/>
      <c r="G577" s="8" t="n"/>
      <c r="H577" s="9" t="n"/>
      <c r="I577" s="9" t="n"/>
      <c r="J577" s="10" t="n"/>
      <c r="K577" s="10" t="n"/>
      <c r="L577" s="11">
        <f>IF($S577="","",IF($S577="ITEM_PRICE_PLUS_DECLARED_DELIVERY",IF(OR($J577="",$K577=""),"",SUM($J577,$K577,$U577)),IF($S577="TOTAL_AMOUNT_INCLUDING_DELIVERY",IF($T577="","",$T577),IF($S577="DELIVERY_CHARGE_ONLY",IF($K577="","",SUM($K577,$U577)),IF($S577="EXACT_COLLECTION_AMOUNT",IF($T577="","",$T577),IF($S577="ITEM_PRICE_ONLY_DELIVERY_PAID_BY_MERCHANT",IF($J577="","",SUM($J577,$U577)),""))))))</f>
        <v/>
      </c>
      <c r="M577" s="12" t="n"/>
      <c r="N577" s="13" t="n"/>
      <c r="O577" s="13" t="n"/>
      <c r="P577" s="9" t="n"/>
      <c r="Q577" s="14" t="n"/>
      <c r="R577" s="15" t="n"/>
      <c r="S577" s="14" t="n"/>
      <c r="T577" s="16" t="n"/>
      <c r="U577" s="16" t="n"/>
      <c r="V577" s="16" t="n"/>
      <c r="W577" s="16" t="n"/>
      <c r="X577" s="16" t="n"/>
      <c r="Y577" s="16" t="n"/>
      <c r="Z577" s="14" t="n"/>
      <c r="AA577" s="14" t="n"/>
      <c r="AB577" s="14" t="n"/>
      <c r="AC577" s="17">
        <f>IFERROR(VLOOKUP($H577&amp;"|"&amp;$Q577,Tariff_Master!$A$2:$L$169,3,FALSE),"")</f>
        <v/>
      </c>
      <c r="AD577" s="17">
        <f>IFERROR(VLOOKUP($H577&amp;"|"&amp;$Q577,Tariff_Master!$A$2:$L$169,4,FALSE),"")</f>
        <v/>
      </c>
      <c r="AE577" s="18">
        <f>IFERROR(VLOOKUP($H577&amp;"|"&amp;$Q577,Tariff_Master!$A$2:$L$169,6,FALSE),"")</f>
        <v/>
      </c>
      <c r="AF577" s="19">
        <f>IFERROR(VLOOKUP($H577&amp;"|"&amp;$Q577,Tariff_Master!$A$2:$L$169,7,FALSE),"")</f>
        <v/>
      </c>
      <c r="AG577" s="18">
        <f>IFERROR(VLOOKUP($H577&amp;"|"&amp;$Q577,Tariff_Master!$A$2:$L$169,8,FALSE),"")</f>
        <v/>
      </c>
      <c r="AH577" s="20">
        <f>IFERROR(VLOOKUP($H577&amp;"|"&amp;$Q577,Tariff_Master!$A$2:$L$169,9,FALSE),"")</f>
        <v/>
      </c>
      <c r="AI577" s="18">
        <f>IFERROR(VLOOKUP($H577&amp;"|"&amp;$Q577,Tariff_Master!$A$2:$L$169,10,FALSE),"")</f>
        <v/>
      </c>
      <c r="AJ577" s="21">
        <f>IF($M577="","",ROUNDUP(MAX(0,$M577),0))</f>
        <v/>
      </c>
      <c r="AK577" s="21">
        <f>IF(OR($AJ577="",$AF577=""),"",MAX(0,$AJ577-$AF577))</f>
        <v/>
      </c>
      <c r="AL577" s="22">
        <f>IF(OR($AK577="",$AG577=""),"",MAX(0,$AK577*$AG577))</f>
        <v/>
      </c>
      <c r="AM577" s="22">
        <f>IF($AE577="","",MAX(0,SUM($AE577,$AL577,$V577,$W577)))</f>
        <v/>
      </c>
      <c r="AN577" s="22">
        <f>IF($AM577="","",IF(AND($Q577="COMMITMENT",$R577&gt;=$AH577),$AI577,0))</f>
        <v/>
      </c>
      <c r="AO577" s="23">
        <f>IF($AM577="","",MAX(0,$AM577-$AN577))</f>
        <v/>
      </c>
      <c r="AP577" s="22">
        <f>IF($S577="","",IF(OR($S577="ITEM_PRICE_PLUS_DECLARED_DELIVERY",$S577="DELIVERY_CHARGE_ONLY"),$K577,IF($S577="TOTAL_AMOUNT_INCLUDING_DELIVERY",IF(OR($T577="",$J577=""),"",MAX(0,$T577-$J577-$U577)),IF($S577="ITEM_PRICE_ONLY_DELIVERY_PAID_BY_MERCHANT",0,""))))</f>
        <v/>
      </c>
      <c r="AQ577" s="23">
        <f>IF(OR($AP577="",$AO577=""),"",$AP577-$AO577)</f>
        <v/>
      </c>
      <c r="AR577" s="24">
        <f>IF($S577="EXACT_COLLECTION_AMOUNT","BREAKDOWN_REQUIRED",IF($AQ577="","",IF($AQ577&gt;0,"CREDIT_TO_MERCHANT",IF($AQ577&lt;0,"DEDUCT_FROM_MERCHANT","NO_ADJUSTMENT"))))</f>
        <v/>
      </c>
      <c r="AS577" s="23">
        <f>IF(OR($AQ577="",$AR577="BREAKDOWN_REQUIRED"),"",$AQ577)</f>
        <v/>
      </c>
      <c r="AT577" s="23">
        <f>IF(OR($AR577="",$AR577="BREAKDOWN_REQUIRED"),"",SUM($J577,$AQ577,$Y577)-$X577)</f>
        <v/>
      </c>
      <c r="AU577" s="25">
        <f>IF(AND($A577="",$B577="",$F577="",$H577="",$J577="",$K577="",$M577="",$S577=""),"",IF(OR($H577="",$Q577="",$M577="",$S577=""),"ERROR",IF(OR($J577&lt;0,$K577&lt;0,$M577&lt;0,$T577&lt;0,$U577&lt;0,$V577&lt;0,$W577&lt;0,$X577&lt;0,$Y577&lt;0),"ERROR",IF($AE577="","ERROR",IF(AND(OR($S577="ITEM_PRICE_PLUS_DECLARED_DELIVERY",$S577="TOTAL_AMOUNT_INCLUDING_DELIVERY",$S577="ITEM_PRICE_ONLY_DELIVERY_PAID_BY_MERCHANT"),$J577=""),"ERROR",IF(AND(OR($S577="ITEM_PRICE_PLUS_DECLARED_DELIVERY",$S577="DELIVERY_CHARGE_ONLY"),$K577=""),"ERROR",IF(AND(OR($S577="TOTAL_AMOUNT_INCLUDING_DELIVERY",$S577="EXACT_COLLECTION_AMOUNT"),$T577=""),"ERROR",IF(AND($S577="TOTAL_AMOUNT_INCLUDING_DELIVERY",$T577&lt;SUM($J577,$U577)),"ERROR",IF($S577="EXACT_COLLECTION_AMOUNT","REVIEW","OK")))))))))</f>
        <v/>
      </c>
      <c r="AV577" s="25">
        <f>IF($AU577="","",IF($H577="","Township required",IF($Q577="","Customer tier required",IF($M577="","Weight required",IF($S577="","Amount entry type required",IF(OR($J577&lt;0,$K577&lt;0,$M577&lt;0,$T577&lt;0,$U577&lt;0,$V577&lt;0,$W577&lt;0,$X577&lt;0,$Y577&lt;0),"Negative amounts are not allowed",IF($AE577="","Tariff not found for township and tier",IF(AND(OR($S577="ITEM_PRICE_PLUS_DECLARED_DELIVERY",$S577="TOTAL_AMOUNT_INCLUDING_DELIVERY",$S577="ITEM_PRICE_ONLY_DELIVERY_PAID_BY_MERCHANT"),$J577=""),"Item price required for this amount type",IF(AND(OR($S577="ITEM_PRICE_PLUS_DECLARED_DELIVERY",$S577="DELIVERY_CHARGE_ONLY"),$K577=""),"Declared delivery charge required",IF(AND(OR($S577="TOTAL_AMOUNT_INCLUDING_DELIVERY",$S577="EXACT_COLLECTION_AMOUNT"),$T577=""),"Stated total amount required",IF(AND($S577="TOTAL_AMOUNT_INCLUDING_DELIVERY",$T577&lt;SUM($J577,$U577)),"Stated total is below item price plus additional charge",IF($S577="EXACT_COLLECTION_AMOUNT","Authorized amount breakdown required before settlement","Ready for collection and settlement"))))))))))))</f>
        <v/>
      </c>
      <c r="AW577" s="23">
        <f>IF($AU577="","","PARCEL_FINANCIAL_V2")</f>
        <v/>
      </c>
      <c r="AX577" s="17" t="n"/>
    </row>
    <row r="578">
      <c r="A578" s="8" t="n"/>
      <c r="B578" s="8" t="n"/>
      <c r="C578" s="8" t="n"/>
      <c r="D578" s="8" t="n"/>
      <c r="E578" s="9" t="n"/>
      <c r="F578" s="9" t="n"/>
      <c r="G578" s="8" t="n"/>
      <c r="H578" s="9" t="n"/>
      <c r="I578" s="9" t="n"/>
      <c r="J578" s="10" t="n"/>
      <c r="K578" s="10" t="n"/>
      <c r="L578" s="11">
        <f>IF($S578="","",IF($S578="ITEM_PRICE_PLUS_DECLARED_DELIVERY",IF(OR($J578="",$K578=""),"",SUM($J578,$K578,$U578)),IF($S578="TOTAL_AMOUNT_INCLUDING_DELIVERY",IF($T578="","",$T578),IF($S578="DELIVERY_CHARGE_ONLY",IF($K578="","",SUM($K578,$U578)),IF($S578="EXACT_COLLECTION_AMOUNT",IF($T578="","",$T578),IF($S578="ITEM_PRICE_ONLY_DELIVERY_PAID_BY_MERCHANT",IF($J578="","",SUM($J578,$U578)),""))))))</f>
        <v/>
      </c>
      <c r="M578" s="12" t="n"/>
      <c r="N578" s="13" t="n"/>
      <c r="O578" s="13" t="n"/>
      <c r="P578" s="9" t="n"/>
      <c r="Q578" s="14" t="n"/>
      <c r="R578" s="15" t="n"/>
      <c r="S578" s="14" t="n"/>
      <c r="T578" s="16" t="n"/>
      <c r="U578" s="16" t="n"/>
      <c r="V578" s="16" t="n"/>
      <c r="W578" s="16" t="n"/>
      <c r="X578" s="16" t="n"/>
      <c r="Y578" s="16" t="n"/>
      <c r="Z578" s="14" t="n"/>
      <c r="AA578" s="14" t="n"/>
      <c r="AB578" s="14" t="n"/>
      <c r="AC578" s="17">
        <f>IFERROR(VLOOKUP($H578&amp;"|"&amp;$Q578,Tariff_Master!$A$2:$L$169,3,FALSE),"")</f>
        <v/>
      </c>
      <c r="AD578" s="17">
        <f>IFERROR(VLOOKUP($H578&amp;"|"&amp;$Q578,Tariff_Master!$A$2:$L$169,4,FALSE),"")</f>
        <v/>
      </c>
      <c r="AE578" s="18">
        <f>IFERROR(VLOOKUP($H578&amp;"|"&amp;$Q578,Tariff_Master!$A$2:$L$169,6,FALSE),"")</f>
        <v/>
      </c>
      <c r="AF578" s="19">
        <f>IFERROR(VLOOKUP($H578&amp;"|"&amp;$Q578,Tariff_Master!$A$2:$L$169,7,FALSE),"")</f>
        <v/>
      </c>
      <c r="AG578" s="18">
        <f>IFERROR(VLOOKUP($H578&amp;"|"&amp;$Q578,Tariff_Master!$A$2:$L$169,8,FALSE),"")</f>
        <v/>
      </c>
      <c r="AH578" s="20">
        <f>IFERROR(VLOOKUP($H578&amp;"|"&amp;$Q578,Tariff_Master!$A$2:$L$169,9,FALSE),"")</f>
        <v/>
      </c>
      <c r="AI578" s="18">
        <f>IFERROR(VLOOKUP($H578&amp;"|"&amp;$Q578,Tariff_Master!$A$2:$L$169,10,FALSE),"")</f>
        <v/>
      </c>
      <c r="AJ578" s="21">
        <f>IF($M578="","",ROUNDUP(MAX(0,$M578),0))</f>
        <v/>
      </c>
      <c r="AK578" s="21">
        <f>IF(OR($AJ578="",$AF578=""),"",MAX(0,$AJ578-$AF578))</f>
        <v/>
      </c>
      <c r="AL578" s="22">
        <f>IF(OR($AK578="",$AG578=""),"",MAX(0,$AK578*$AG578))</f>
        <v/>
      </c>
      <c r="AM578" s="22">
        <f>IF($AE578="","",MAX(0,SUM($AE578,$AL578,$V578,$W578)))</f>
        <v/>
      </c>
      <c r="AN578" s="22">
        <f>IF($AM578="","",IF(AND($Q578="COMMITMENT",$R578&gt;=$AH578),$AI578,0))</f>
        <v/>
      </c>
      <c r="AO578" s="23">
        <f>IF($AM578="","",MAX(0,$AM578-$AN578))</f>
        <v/>
      </c>
      <c r="AP578" s="22">
        <f>IF($S578="","",IF(OR($S578="ITEM_PRICE_PLUS_DECLARED_DELIVERY",$S578="DELIVERY_CHARGE_ONLY"),$K578,IF($S578="TOTAL_AMOUNT_INCLUDING_DELIVERY",IF(OR($T578="",$J578=""),"",MAX(0,$T578-$J578-$U578)),IF($S578="ITEM_PRICE_ONLY_DELIVERY_PAID_BY_MERCHANT",0,""))))</f>
        <v/>
      </c>
      <c r="AQ578" s="23">
        <f>IF(OR($AP578="",$AO578=""),"",$AP578-$AO578)</f>
        <v/>
      </c>
      <c r="AR578" s="24">
        <f>IF($S578="EXACT_COLLECTION_AMOUNT","BREAKDOWN_REQUIRED",IF($AQ578="","",IF($AQ578&gt;0,"CREDIT_TO_MERCHANT",IF($AQ578&lt;0,"DEDUCT_FROM_MERCHANT","NO_ADJUSTMENT"))))</f>
        <v/>
      </c>
      <c r="AS578" s="23">
        <f>IF(OR($AQ578="",$AR578="BREAKDOWN_REQUIRED"),"",$AQ578)</f>
        <v/>
      </c>
      <c r="AT578" s="23">
        <f>IF(OR($AR578="",$AR578="BREAKDOWN_REQUIRED"),"",SUM($J578,$AQ578,$Y578)-$X578)</f>
        <v/>
      </c>
      <c r="AU578" s="25">
        <f>IF(AND($A578="",$B578="",$F578="",$H578="",$J578="",$K578="",$M578="",$S578=""),"",IF(OR($H578="",$Q578="",$M578="",$S578=""),"ERROR",IF(OR($J578&lt;0,$K578&lt;0,$M578&lt;0,$T578&lt;0,$U578&lt;0,$V578&lt;0,$W578&lt;0,$X578&lt;0,$Y578&lt;0),"ERROR",IF($AE578="","ERROR",IF(AND(OR($S578="ITEM_PRICE_PLUS_DECLARED_DELIVERY",$S578="TOTAL_AMOUNT_INCLUDING_DELIVERY",$S578="ITEM_PRICE_ONLY_DELIVERY_PAID_BY_MERCHANT"),$J578=""),"ERROR",IF(AND(OR($S578="ITEM_PRICE_PLUS_DECLARED_DELIVERY",$S578="DELIVERY_CHARGE_ONLY"),$K578=""),"ERROR",IF(AND(OR($S578="TOTAL_AMOUNT_INCLUDING_DELIVERY",$S578="EXACT_COLLECTION_AMOUNT"),$T578=""),"ERROR",IF(AND($S578="TOTAL_AMOUNT_INCLUDING_DELIVERY",$T578&lt;SUM($J578,$U578)),"ERROR",IF($S578="EXACT_COLLECTION_AMOUNT","REVIEW","OK")))))))))</f>
        <v/>
      </c>
      <c r="AV578" s="25">
        <f>IF($AU578="","",IF($H578="","Township required",IF($Q578="","Customer tier required",IF($M578="","Weight required",IF($S578="","Amount entry type required",IF(OR($J578&lt;0,$K578&lt;0,$M578&lt;0,$T578&lt;0,$U578&lt;0,$V578&lt;0,$W578&lt;0,$X578&lt;0,$Y578&lt;0),"Negative amounts are not allowed",IF($AE578="","Tariff not found for township and tier",IF(AND(OR($S578="ITEM_PRICE_PLUS_DECLARED_DELIVERY",$S578="TOTAL_AMOUNT_INCLUDING_DELIVERY",$S578="ITEM_PRICE_ONLY_DELIVERY_PAID_BY_MERCHANT"),$J578=""),"Item price required for this amount type",IF(AND(OR($S578="ITEM_PRICE_PLUS_DECLARED_DELIVERY",$S578="DELIVERY_CHARGE_ONLY"),$K578=""),"Declared delivery charge required",IF(AND(OR($S578="TOTAL_AMOUNT_INCLUDING_DELIVERY",$S578="EXACT_COLLECTION_AMOUNT"),$T578=""),"Stated total amount required",IF(AND($S578="TOTAL_AMOUNT_INCLUDING_DELIVERY",$T578&lt;SUM($J578,$U578)),"Stated total is below item price plus additional charge",IF($S578="EXACT_COLLECTION_AMOUNT","Authorized amount breakdown required before settlement","Ready for collection and settlement"))))))))))))</f>
        <v/>
      </c>
      <c r="AW578" s="23">
        <f>IF($AU578="","","PARCEL_FINANCIAL_V2")</f>
        <v/>
      </c>
      <c r="AX578" s="17" t="n"/>
    </row>
    <row r="579">
      <c r="A579" s="8" t="n"/>
      <c r="B579" s="8" t="n"/>
      <c r="C579" s="8" t="n"/>
      <c r="D579" s="8" t="n"/>
      <c r="E579" s="9" t="n"/>
      <c r="F579" s="9" t="n"/>
      <c r="G579" s="8" t="n"/>
      <c r="H579" s="9" t="n"/>
      <c r="I579" s="9" t="n"/>
      <c r="J579" s="10" t="n"/>
      <c r="K579" s="10" t="n"/>
      <c r="L579" s="11">
        <f>IF($S579="","",IF($S579="ITEM_PRICE_PLUS_DECLARED_DELIVERY",IF(OR($J579="",$K579=""),"",SUM($J579,$K579,$U579)),IF($S579="TOTAL_AMOUNT_INCLUDING_DELIVERY",IF($T579="","",$T579),IF($S579="DELIVERY_CHARGE_ONLY",IF($K579="","",SUM($K579,$U579)),IF($S579="EXACT_COLLECTION_AMOUNT",IF($T579="","",$T579),IF($S579="ITEM_PRICE_ONLY_DELIVERY_PAID_BY_MERCHANT",IF($J579="","",SUM($J579,$U579)),""))))))</f>
        <v/>
      </c>
      <c r="M579" s="12" t="n"/>
      <c r="N579" s="13" t="n"/>
      <c r="O579" s="13" t="n"/>
      <c r="P579" s="9" t="n"/>
      <c r="Q579" s="14" t="n"/>
      <c r="R579" s="15" t="n"/>
      <c r="S579" s="14" t="n"/>
      <c r="T579" s="16" t="n"/>
      <c r="U579" s="16" t="n"/>
      <c r="V579" s="16" t="n"/>
      <c r="W579" s="16" t="n"/>
      <c r="X579" s="16" t="n"/>
      <c r="Y579" s="16" t="n"/>
      <c r="Z579" s="14" t="n"/>
      <c r="AA579" s="14" t="n"/>
      <c r="AB579" s="14" t="n"/>
      <c r="AC579" s="17">
        <f>IFERROR(VLOOKUP($H579&amp;"|"&amp;$Q579,Tariff_Master!$A$2:$L$169,3,FALSE),"")</f>
        <v/>
      </c>
      <c r="AD579" s="17">
        <f>IFERROR(VLOOKUP($H579&amp;"|"&amp;$Q579,Tariff_Master!$A$2:$L$169,4,FALSE),"")</f>
        <v/>
      </c>
      <c r="AE579" s="18">
        <f>IFERROR(VLOOKUP($H579&amp;"|"&amp;$Q579,Tariff_Master!$A$2:$L$169,6,FALSE),"")</f>
        <v/>
      </c>
      <c r="AF579" s="19">
        <f>IFERROR(VLOOKUP($H579&amp;"|"&amp;$Q579,Tariff_Master!$A$2:$L$169,7,FALSE),"")</f>
        <v/>
      </c>
      <c r="AG579" s="18">
        <f>IFERROR(VLOOKUP($H579&amp;"|"&amp;$Q579,Tariff_Master!$A$2:$L$169,8,FALSE),"")</f>
        <v/>
      </c>
      <c r="AH579" s="20">
        <f>IFERROR(VLOOKUP($H579&amp;"|"&amp;$Q579,Tariff_Master!$A$2:$L$169,9,FALSE),"")</f>
        <v/>
      </c>
      <c r="AI579" s="18">
        <f>IFERROR(VLOOKUP($H579&amp;"|"&amp;$Q579,Tariff_Master!$A$2:$L$169,10,FALSE),"")</f>
        <v/>
      </c>
      <c r="AJ579" s="21">
        <f>IF($M579="","",ROUNDUP(MAX(0,$M579),0))</f>
        <v/>
      </c>
      <c r="AK579" s="21">
        <f>IF(OR($AJ579="",$AF579=""),"",MAX(0,$AJ579-$AF579))</f>
        <v/>
      </c>
      <c r="AL579" s="22">
        <f>IF(OR($AK579="",$AG579=""),"",MAX(0,$AK579*$AG579))</f>
        <v/>
      </c>
      <c r="AM579" s="22">
        <f>IF($AE579="","",MAX(0,SUM($AE579,$AL579,$V579,$W579)))</f>
        <v/>
      </c>
      <c r="AN579" s="22">
        <f>IF($AM579="","",IF(AND($Q579="COMMITMENT",$R579&gt;=$AH579),$AI579,0))</f>
        <v/>
      </c>
      <c r="AO579" s="23">
        <f>IF($AM579="","",MAX(0,$AM579-$AN579))</f>
        <v/>
      </c>
      <c r="AP579" s="22">
        <f>IF($S579="","",IF(OR($S579="ITEM_PRICE_PLUS_DECLARED_DELIVERY",$S579="DELIVERY_CHARGE_ONLY"),$K579,IF($S579="TOTAL_AMOUNT_INCLUDING_DELIVERY",IF(OR($T579="",$J579=""),"",MAX(0,$T579-$J579-$U579)),IF($S579="ITEM_PRICE_ONLY_DELIVERY_PAID_BY_MERCHANT",0,""))))</f>
        <v/>
      </c>
      <c r="AQ579" s="23">
        <f>IF(OR($AP579="",$AO579=""),"",$AP579-$AO579)</f>
        <v/>
      </c>
      <c r="AR579" s="24">
        <f>IF($S579="EXACT_COLLECTION_AMOUNT","BREAKDOWN_REQUIRED",IF($AQ579="","",IF($AQ579&gt;0,"CREDIT_TO_MERCHANT",IF($AQ579&lt;0,"DEDUCT_FROM_MERCHANT","NO_ADJUSTMENT"))))</f>
        <v/>
      </c>
      <c r="AS579" s="23">
        <f>IF(OR($AQ579="",$AR579="BREAKDOWN_REQUIRED"),"",$AQ579)</f>
        <v/>
      </c>
      <c r="AT579" s="23">
        <f>IF(OR($AR579="",$AR579="BREAKDOWN_REQUIRED"),"",SUM($J579,$AQ579,$Y579)-$X579)</f>
        <v/>
      </c>
      <c r="AU579" s="25">
        <f>IF(AND($A579="",$B579="",$F579="",$H579="",$J579="",$K579="",$M579="",$S579=""),"",IF(OR($H579="",$Q579="",$M579="",$S579=""),"ERROR",IF(OR($J579&lt;0,$K579&lt;0,$M579&lt;0,$T579&lt;0,$U579&lt;0,$V579&lt;0,$W579&lt;0,$X579&lt;0,$Y579&lt;0),"ERROR",IF($AE579="","ERROR",IF(AND(OR($S579="ITEM_PRICE_PLUS_DECLARED_DELIVERY",$S579="TOTAL_AMOUNT_INCLUDING_DELIVERY",$S579="ITEM_PRICE_ONLY_DELIVERY_PAID_BY_MERCHANT"),$J579=""),"ERROR",IF(AND(OR($S579="ITEM_PRICE_PLUS_DECLARED_DELIVERY",$S579="DELIVERY_CHARGE_ONLY"),$K579=""),"ERROR",IF(AND(OR($S579="TOTAL_AMOUNT_INCLUDING_DELIVERY",$S579="EXACT_COLLECTION_AMOUNT"),$T579=""),"ERROR",IF(AND($S579="TOTAL_AMOUNT_INCLUDING_DELIVERY",$T579&lt;SUM($J579,$U579)),"ERROR",IF($S579="EXACT_COLLECTION_AMOUNT","REVIEW","OK")))))))))</f>
        <v/>
      </c>
      <c r="AV579" s="25">
        <f>IF($AU579="","",IF($H579="","Township required",IF($Q579="","Customer tier required",IF($M579="","Weight required",IF($S579="","Amount entry type required",IF(OR($J579&lt;0,$K579&lt;0,$M579&lt;0,$T579&lt;0,$U579&lt;0,$V579&lt;0,$W579&lt;0,$X579&lt;0,$Y579&lt;0),"Negative amounts are not allowed",IF($AE579="","Tariff not found for township and tier",IF(AND(OR($S579="ITEM_PRICE_PLUS_DECLARED_DELIVERY",$S579="TOTAL_AMOUNT_INCLUDING_DELIVERY",$S579="ITEM_PRICE_ONLY_DELIVERY_PAID_BY_MERCHANT"),$J579=""),"Item price required for this amount type",IF(AND(OR($S579="ITEM_PRICE_PLUS_DECLARED_DELIVERY",$S579="DELIVERY_CHARGE_ONLY"),$K579=""),"Declared delivery charge required",IF(AND(OR($S579="TOTAL_AMOUNT_INCLUDING_DELIVERY",$S579="EXACT_COLLECTION_AMOUNT"),$T579=""),"Stated total amount required",IF(AND($S579="TOTAL_AMOUNT_INCLUDING_DELIVERY",$T579&lt;SUM($J579,$U579)),"Stated total is below item price plus additional charge",IF($S579="EXACT_COLLECTION_AMOUNT","Authorized amount breakdown required before settlement","Ready for collection and settlement"))))))))))))</f>
        <v/>
      </c>
      <c r="AW579" s="23">
        <f>IF($AU579="","","PARCEL_FINANCIAL_V2")</f>
        <v/>
      </c>
      <c r="AX579" s="17" t="n"/>
    </row>
    <row r="580">
      <c r="A580" s="8" t="n"/>
      <c r="B580" s="8" t="n"/>
      <c r="C580" s="8" t="n"/>
      <c r="D580" s="8" t="n"/>
      <c r="E580" s="9" t="n"/>
      <c r="F580" s="9" t="n"/>
      <c r="G580" s="8" t="n"/>
      <c r="H580" s="9" t="n"/>
      <c r="I580" s="9" t="n"/>
      <c r="J580" s="10" t="n"/>
      <c r="K580" s="10" t="n"/>
      <c r="L580" s="11">
        <f>IF($S580="","",IF($S580="ITEM_PRICE_PLUS_DECLARED_DELIVERY",IF(OR($J580="",$K580=""),"",SUM($J580,$K580,$U580)),IF($S580="TOTAL_AMOUNT_INCLUDING_DELIVERY",IF($T580="","",$T580),IF($S580="DELIVERY_CHARGE_ONLY",IF($K580="","",SUM($K580,$U580)),IF($S580="EXACT_COLLECTION_AMOUNT",IF($T580="","",$T580),IF($S580="ITEM_PRICE_ONLY_DELIVERY_PAID_BY_MERCHANT",IF($J580="","",SUM($J580,$U580)),""))))))</f>
        <v/>
      </c>
      <c r="M580" s="12" t="n"/>
      <c r="N580" s="13" t="n"/>
      <c r="O580" s="13" t="n"/>
      <c r="P580" s="9" t="n"/>
      <c r="Q580" s="14" t="n"/>
      <c r="R580" s="15" t="n"/>
      <c r="S580" s="14" t="n"/>
      <c r="T580" s="16" t="n"/>
      <c r="U580" s="16" t="n"/>
      <c r="V580" s="16" t="n"/>
      <c r="W580" s="16" t="n"/>
      <c r="X580" s="16" t="n"/>
      <c r="Y580" s="16" t="n"/>
      <c r="Z580" s="14" t="n"/>
      <c r="AA580" s="14" t="n"/>
      <c r="AB580" s="14" t="n"/>
      <c r="AC580" s="17">
        <f>IFERROR(VLOOKUP($H580&amp;"|"&amp;$Q580,Tariff_Master!$A$2:$L$169,3,FALSE),"")</f>
        <v/>
      </c>
      <c r="AD580" s="17">
        <f>IFERROR(VLOOKUP($H580&amp;"|"&amp;$Q580,Tariff_Master!$A$2:$L$169,4,FALSE),"")</f>
        <v/>
      </c>
      <c r="AE580" s="18">
        <f>IFERROR(VLOOKUP($H580&amp;"|"&amp;$Q580,Tariff_Master!$A$2:$L$169,6,FALSE),"")</f>
        <v/>
      </c>
      <c r="AF580" s="19">
        <f>IFERROR(VLOOKUP($H580&amp;"|"&amp;$Q580,Tariff_Master!$A$2:$L$169,7,FALSE),"")</f>
        <v/>
      </c>
      <c r="AG580" s="18">
        <f>IFERROR(VLOOKUP($H580&amp;"|"&amp;$Q580,Tariff_Master!$A$2:$L$169,8,FALSE),"")</f>
        <v/>
      </c>
      <c r="AH580" s="20">
        <f>IFERROR(VLOOKUP($H580&amp;"|"&amp;$Q580,Tariff_Master!$A$2:$L$169,9,FALSE),"")</f>
        <v/>
      </c>
      <c r="AI580" s="18">
        <f>IFERROR(VLOOKUP($H580&amp;"|"&amp;$Q580,Tariff_Master!$A$2:$L$169,10,FALSE),"")</f>
        <v/>
      </c>
      <c r="AJ580" s="21">
        <f>IF($M580="","",ROUNDUP(MAX(0,$M580),0))</f>
        <v/>
      </c>
      <c r="AK580" s="21">
        <f>IF(OR($AJ580="",$AF580=""),"",MAX(0,$AJ580-$AF580))</f>
        <v/>
      </c>
      <c r="AL580" s="22">
        <f>IF(OR($AK580="",$AG580=""),"",MAX(0,$AK580*$AG580))</f>
        <v/>
      </c>
      <c r="AM580" s="22">
        <f>IF($AE580="","",MAX(0,SUM($AE580,$AL580,$V580,$W580)))</f>
        <v/>
      </c>
      <c r="AN580" s="22">
        <f>IF($AM580="","",IF(AND($Q580="COMMITMENT",$R580&gt;=$AH580),$AI580,0))</f>
        <v/>
      </c>
      <c r="AO580" s="23">
        <f>IF($AM580="","",MAX(0,$AM580-$AN580))</f>
        <v/>
      </c>
      <c r="AP580" s="22">
        <f>IF($S580="","",IF(OR($S580="ITEM_PRICE_PLUS_DECLARED_DELIVERY",$S580="DELIVERY_CHARGE_ONLY"),$K580,IF($S580="TOTAL_AMOUNT_INCLUDING_DELIVERY",IF(OR($T580="",$J580=""),"",MAX(0,$T580-$J580-$U580)),IF($S580="ITEM_PRICE_ONLY_DELIVERY_PAID_BY_MERCHANT",0,""))))</f>
        <v/>
      </c>
      <c r="AQ580" s="23">
        <f>IF(OR($AP580="",$AO580=""),"",$AP580-$AO580)</f>
        <v/>
      </c>
      <c r="AR580" s="24">
        <f>IF($S580="EXACT_COLLECTION_AMOUNT","BREAKDOWN_REQUIRED",IF($AQ580="","",IF($AQ580&gt;0,"CREDIT_TO_MERCHANT",IF($AQ580&lt;0,"DEDUCT_FROM_MERCHANT","NO_ADJUSTMENT"))))</f>
        <v/>
      </c>
      <c r="AS580" s="23">
        <f>IF(OR($AQ580="",$AR580="BREAKDOWN_REQUIRED"),"",$AQ580)</f>
        <v/>
      </c>
      <c r="AT580" s="23">
        <f>IF(OR($AR580="",$AR580="BREAKDOWN_REQUIRED"),"",SUM($J580,$AQ580,$Y580)-$X580)</f>
        <v/>
      </c>
      <c r="AU580" s="25">
        <f>IF(AND($A580="",$B580="",$F580="",$H580="",$J580="",$K580="",$M580="",$S580=""),"",IF(OR($H580="",$Q580="",$M580="",$S580=""),"ERROR",IF(OR($J580&lt;0,$K580&lt;0,$M580&lt;0,$T580&lt;0,$U580&lt;0,$V580&lt;0,$W580&lt;0,$X580&lt;0,$Y580&lt;0),"ERROR",IF($AE580="","ERROR",IF(AND(OR($S580="ITEM_PRICE_PLUS_DECLARED_DELIVERY",$S580="TOTAL_AMOUNT_INCLUDING_DELIVERY",$S580="ITEM_PRICE_ONLY_DELIVERY_PAID_BY_MERCHANT"),$J580=""),"ERROR",IF(AND(OR($S580="ITEM_PRICE_PLUS_DECLARED_DELIVERY",$S580="DELIVERY_CHARGE_ONLY"),$K580=""),"ERROR",IF(AND(OR($S580="TOTAL_AMOUNT_INCLUDING_DELIVERY",$S580="EXACT_COLLECTION_AMOUNT"),$T580=""),"ERROR",IF(AND($S580="TOTAL_AMOUNT_INCLUDING_DELIVERY",$T580&lt;SUM($J580,$U580)),"ERROR",IF($S580="EXACT_COLLECTION_AMOUNT","REVIEW","OK")))))))))</f>
        <v/>
      </c>
      <c r="AV580" s="25">
        <f>IF($AU580="","",IF($H580="","Township required",IF($Q580="","Customer tier required",IF($M580="","Weight required",IF($S580="","Amount entry type required",IF(OR($J580&lt;0,$K580&lt;0,$M580&lt;0,$T580&lt;0,$U580&lt;0,$V580&lt;0,$W580&lt;0,$X580&lt;0,$Y580&lt;0),"Negative amounts are not allowed",IF($AE580="","Tariff not found for township and tier",IF(AND(OR($S580="ITEM_PRICE_PLUS_DECLARED_DELIVERY",$S580="TOTAL_AMOUNT_INCLUDING_DELIVERY",$S580="ITEM_PRICE_ONLY_DELIVERY_PAID_BY_MERCHANT"),$J580=""),"Item price required for this amount type",IF(AND(OR($S580="ITEM_PRICE_PLUS_DECLARED_DELIVERY",$S580="DELIVERY_CHARGE_ONLY"),$K580=""),"Declared delivery charge required",IF(AND(OR($S580="TOTAL_AMOUNT_INCLUDING_DELIVERY",$S580="EXACT_COLLECTION_AMOUNT"),$T580=""),"Stated total amount required",IF(AND($S580="TOTAL_AMOUNT_INCLUDING_DELIVERY",$T580&lt;SUM($J580,$U580)),"Stated total is below item price plus additional charge",IF($S580="EXACT_COLLECTION_AMOUNT","Authorized amount breakdown required before settlement","Ready for collection and settlement"))))))))))))</f>
        <v/>
      </c>
      <c r="AW580" s="23">
        <f>IF($AU580="","","PARCEL_FINANCIAL_V2")</f>
        <v/>
      </c>
      <c r="AX580" s="17" t="n"/>
    </row>
    <row r="581">
      <c r="A581" s="8" t="n"/>
      <c r="B581" s="8" t="n"/>
      <c r="C581" s="8" t="n"/>
      <c r="D581" s="8" t="n"/>
      <c r="E581" s="9" t="n"/>
      <c r="F581" s="9" t="n"/>
      <c r="G581" s="8" t="n"/>
      <c r="H581" s="9" t="n"/>
      <c r="I581" s="9" t="n"/>
      <c r="J581" s="10" t="n"/>
      <c r="K581" s="10" t="n"/>
      <c r="L581" s="11">
        <f>IF($S581="","",IF($S581="ITEM_PRICE_PLUS_DECLARED_DELIVERY",IF(OR($J581="",$K581=""),"",SUM($J581,$K581,$U581)),IF($S581="TOTAL_AMOUNT_INCLUDING_DELIVERY",IF($T581="","",$T581),IF($S581="DELIVERY_CHARGE_ONLY",IF($K581="","",SUM($K581,$U581)),IF($S581="EXACT_COLLECTION_AMOUNT",IF($T581="","",$T581),IF($S581="ITEM_PRICE_ONLY_DELIVERY_PAID_BY_MERCHANT",IF($J581="","",SUM($J581,$U581)),""))))))</f>
        <v/>
      </c>
      <c r="M581" s="12" t="n"/>
      <c r="N581" s="13" t="n"/>
      <c r="O581" s="13" t="n"/>
      <c r="P581" s="9" t="n"/>
      <c r="Q581" s="14" t="n"/>
      <c r="R581" s="15" t="n"/>
      <c r="S581" s="14" t="n"/>
      <c r="T581" s="16" t="n"/>
      <c r="U581" s="16" t="n"/>
      <c r="V581" s="16" t="n"/>
      <c r="W581" s="16" t="n"/>
      <c r="X581" s="16" t="n"/>
      <c r="Y581" s="16" t="n"/>
      <c r="Z581" s="14" t="n"/>
      <c r="AA581" s="14" t="n"/>
      <c r="AB581" s="14" t="n"/>
      <c r="AC581" s="17">
        <f>IFERROR(VLOOKUP($H581&amp;"|"&amp;$Q581,Tariff_Master!$A$2:$L$169,3,FALSE),"")</f>
        <v/>
      </c>
      <c r="AD581" s="17">
        <f>IFERROR(VLOOKUP($H581&amp;"|"&amp;$Q581,Tariff_Master!$A$2:$L$169,4,FALSE),"")</f>
        <v/>
      </c>
      <c r="AE581" s="18">
        <f>IFERROR(VLOOKUP($H581&amp;"|"&amp;$Q581,Tariff_Master!$A$2:$L$169,6,FALSE),"")</f>
        <v/>
      </c>
      <c r="AF581" s="19">
        <f>IFERROR(VLOOKUP($H581&amp;"|"&amp;$Q581,Tariff_Master!$A$2:$L$169,7,FALSE),"")</f>
        <v/>
      </c>
      <c r="AG581" s="18">
        <f>IFERROR(VLOOKUP($H581&amp;"|"&amp;$Q581,Tariff_Master!$A$2:$L$169,8,FALSE),"")</f>
        <v/>
      </c>
      <c r="AH581" s="20">
        <f>IFERROR(VLOOKUP($H581&amp;"|"&amp;$Q581,Tariff_Master!$A$2:$L$169,9,FALSE),"")</f>
        <v/>
      </c>
      <c r="AI581" s="18">
        <f>IFERROR(VLOOKUP($H581&amp;"|"&amp;$Q581,Tariff_Master!$A$2:$L$169,10,FALSE),"")</f>
        <v/>
      </c>
      <c r="AJ581" s="21">
        <f>IF($M581="","",ROUNDUP(MAX(0,$M581),0))</f>
        <v/>
      </c>
      <c r="AK581" s="21">
        <f>IF(OR($AJ581="",$AF581=""),"",MAX(0,$AJ581-$AF581))</f>
        <v/>
      </c>
      <c r="AL581" s="22">
        <f>IF(OR($AK581="",$AG581=""),"",MAX(0,$AK581*$AG581))</f>
        <v/>
      </c>
      <c r="AM581" s="22">
        <f>IF($AE581="","",MAX(0,SUM($AE581,$AL581,$V581,$W581)))</f>
        <v/>
      </c>
      <c r="AN581" s="22">
        <f>IF($AM581="","",IF(AND($Q581="COMMITMENT",$R581&gt;=$AH581),$AI581,0))</f>
        <v/>
      </c>
      <c r="AO581" s="23">
        <f>IF($AM581="","",MAX(0,$AM581-$AN581))</f>
        <v/>
      </c>
      <c r="AP581" s="22">
        <f>IF($S581="","",IF(OR($S581="ITEM_PRICE_PLUS_DECLARED_DELIVERY",$S581="DELIVERY_CHARGE_ONLY"),$K581,IF($S581="TOTAL_AMOUNT_INCLUDING_DELIVERY",IF(OR($T581="",$J581=""),"",MAX(0,$T581-$J581-$U581)),IF($S581="ITEM_PRICE_ONLY_DELIVERY_PAID_BY_MERCHANT",0,""))))</f>
        <v/>
      </c>
      <c r="AQ581" s="23">
        <f>IF(OR($AP581="",$AO581=""),"",$AP581-$AO581)</f>
        <v/>
      </c>
      <c r="AR581" s="24">
        <f>IF($S581="EXACT_COLLECTION_AMOUNT","BREAKDOWN_REQUIRED",IF($AQ581="","",IF($AQ581&gt;0,"CREDIT_TO_MERCHANT",IF($AQ581&lt;0,"DEDUCT_FROM_MERCHANT","NO_ADJUSTMENT"))))</f>
        <v/>
      </c>
      <c r="AS581" s="23">
        <f>IF(OR($AQ581="",$AR581="BREAKDOWN_REQUIRED"),"",$AQ581)</f>
        <v/>
      </c>
      <c r="AT581" s="23">
        <f>IF(OR($AR581="",$AR581="BREAKDOWN_REQUIRED"),"",SUM($J581,$AQ581,$Y581)-$X581)</f>
        <v/>
      </c>
      <c r="AU581" s="25">
        <f>IF(AND($A581="",$B581="",$F581="",$H581="",$J581="",$K581="",$M581="",$S581=""),"",IF(OR($H581="",$Q581="",$M581="",$S581=""),"ERROR",IF(OR($J581&lt;0,$K581&lt;0,$M581&lt;0,$T581&lt;0,$U581&lt;0,$V581&lt;0,$W581&lt;0,$X581&lt;0,$Y581&lt;0),"ERROR",IF($AE581="","ERROR",IF(AND(OR($S581="ITEM_PRICE_PLUS_DECLARED_DELIVERY",$S581="TOTAL_AMOUNT_INCLUDING_DELIVERY",$S581="ITEM_PRICE_ONLY_DELIVERY_PAID_BY_MERCHANT"),$J581=""),"ERROR",IF(AND(OR($S581="ITEM_PRICE_PLUS_DECLARED_DELIVERY",$S581="DELIVERY_CHARGE_ONLY"),$K581=""),"ERROR",IF(AND(OR($S581="TOTAL_AMOUNT_INCLUDING_DELIVERY",$S581="EXACT_COLLECTION_AMOUNT"),$T581=""),"ERROR",IF(AND($S581="TOTAL_AMOUNT_INCLUDING_DELIVERY",$T581&lt;SUM($J581,$U581)),"ERROR",IF($S581="EXACT_COLLECTION_AMOUNT","REVIEW","OK")))))))))</f>
        <v/>
      </c>
      <c r="AV581" s="25">
        <f>IF($AU581="","",IF($H581="","Township required",IF($Q581="","Customer tier required",IF($M581="","Weight required",IF($S581="","Amount entry type required",IF(OR($J581&lt;0,$K581&lt;0,$M581&lt;0,$T581&lt;0,$U581&lt;0,$V581&lt;0,$W581&lt;0,$X581&lt;0,$Y581&lt;0),"Negative amounts are not allowed",IF($AE581="","Tariff not found for township and tier",IF(AND(OR($S581="ITEM_PRICE_PLUS_DECLARED_DELIVERY",$S581="TOTAL_AMOUNT_INCLUDING_DELIVERY",$S581="ITEM_PRICE_ONLY_DELIVERY_PAID_BY_MERCHANT"),$J581=""),"Item price required for this amount type",IF(AND(OR($S581="ITEM_PRICE_PLUS_DECLARED_DELIVERY",$S581="DELIVERY_CHARGE_ONLY"),$K581=""),"Declared delivery charge required",IF(AND(OR($S581="TOTAL_AMOUNT_INCLUDING_DELIVERY",$S581="EXACT_COLLECTION_AMOUNT"),$T581=""),"Stated total amount required",IF(AND($S581="TOTAL_AMOUNT_INCLUDING_DELIVERY",$T581&lt;SUM($J581,$U581)),"Stated total is below item price plus additional charge",IF($S581="EXACT_COLLECTION_AMOUNT","Authorized amount breakdown required before settlement","Ready for collection and settlement"))))))))))))</f>
        <v/>
      </c>
      <c r="AW581" s="23">
        <f>IF($AU581="","","PARCEL_FINANCIAL_V2")</f>
        <v/>
      </c>
      <c r="AX581" s="17" t="n"/>
    </row>
    <row r="582">
      <c r="A582" s="8" t="n"/>
      <c r="B582" s="8" t="n"/>
      <c r="C582" s="8" t="n"/>
      <c r="D582" s="8" t="n"/>
      <c r="E582" s="9" t="n"/>
      <c r="F582" s="9" t="n"/>
      <c r="G582" s="8" t="n"/>
      <c r="H582" s="9" t="n"/>
      <c r="I582" s="9" t="n"/>
      <c r="J582" s="10" t="n"/>
      <c r="K582" s="10" t="n"/>
      <c r="L582" s="11">
        <f>IF($S582="","",IF($S582="ITEM_PRICE_PLUS_DECLARED_DELIVERY",IF(OR($J582="",$K582=""),"",SUM($J582,$K582,$U582)),IF($S582="TOTAL_AMOUNT_INCLUDING_DELIVERY",IF($T582="","",$T582),IF($S582="DELIVERY_CHARGE_ONLY",IF($K582="","",SUM($K582,$U582)),IF($S582="EXACT_COLLECTION_AMOUNT",IF($T582="","",$T582),IF($S582="ITEM_PRICE_ONLY_DELIVERY_PAID_BY_MERCHANT",IF($J582="","",SUM($J582,$U582)),""))))))</f>
        <v/>
      </c>
      <c r="M582" s="12" t="n"/>
      <c r="N582" s="13" t="n"/>
      <c r="O582" s="13" t="n"/>
      <c r="P582" s="9" t="n"/>
      <c r="Q582" s="14" t="n"/>
      <c r="R582" s="15" t="n"/>
      <c r="S582" s="14" t="n"/>
      <c r="T582" s="16" t="n"/>
      <c r="U582" s="16" t="n"/>
      <c r="V582" s="16" t="n"/>
      <c r="W582" s="16" t="n"/>
      <c r="X582" s="16" t="n"/>
      <c r="Y582" s="16" t="n"/>
      <c r="Z582" s="14" t="n"/>
      <c r="AA582" s="14" t="n"/>
      <c r="AB582" s="14" t="n"/>
      <c r="AC582" s="17">
        <f>IFERROR(VLOOKUP($H582&amp;"|"&amp;$Q582,Tariff_Master!$A$2:$L$169,3,FALSE),"")</f>
        <v/>
      </c>
      <c r="AD582" s="17">
        <f>IFERROR(VLOOKUP($H582&amp;"|"&amp;$Q582,Tariff_Master!$A$2:$L$169,4,FALSE),"")</f>
        <v/>
      </c>
      <c r="AE582" s="18">
        <f>IFERROR(VLOOKUP($H582&amp;"|"&amp;$Q582,Tariff_Master!$A$2:$L$169,6,FALSE),"")</f>
        <v/>
      </c>
      <c r="AF582" s="19">
        <f>IFERROR(VLOOKUP($H582&amp;"|"&amp;$Q582,Tariff_Master!$A$2:$L$169,7,FALSE),"")</f>
        <v/>
      </c>
      <c r="AG582" s="18">
        <f>IFERROR(VLOOKUP($H582&amp;"|"&amp;$Q582,Tariff_Master!$A$2:$L$169,8,FALSE),"")</f>
        <v/>
      </c>
      <c r="AH582" s="20">
        <f>IFERROR(VLOOKUP($H582&amp;"|"&amp;$Q582,Tariff_Master!$A$2:$L$169,9,FALSE),"")</f>
        <v/>
      </c>
      <c r="AI582" s="18">
        <f>IFERROR(VLOOKUP($H582&amp;"|"&amp;$Q582,Tariff_Master!$A$2:$L$169,10,FALSE),"")</f>
        <v/>
      </c>
      <c r="AJ582" s="21">
        <f>IF($M582="","",ROUNDUP(MAX(0,$M582),0))</f>
        <v/>
      </c>
      <c r="AK582" s="21">
        <f>IF(OR($AJ582="",$AF582=""),"",MAX(0,$AJ582-$AF582))</f>
        <v/>
      </c>
      <c r="AL582" s="22">
        <f>IF(OR($AK582="",$AG582=""),"",MAX(0,$AK582*$AG582))</f>
        <v/>
      </c>
      <c r="AM582" s="22">
        <f>IF($AE582="","",MAX(0,SUM($AE582,$AL582,$V582,$W582)))</f>
        <v/>
      </c>
      <c r="AN582" s="22">
        <f>IF($AM582="","",IF(AND($Q582="COMMITMENT",$R582&gt;=$AH582),$AI582,0))</f>
        <v/>
      </c>
      <c r="AO582" s="23">
        <f>IF($AM582="","",MAX(0,$AM582-$AN582))</f>
        <v/>
      </c>
      <c r="AP582" s="22">
        <f>IF($S582="","",IF(OR($S582="ITEM_PRICE_PLUS_DECLARED_DELIVERY",$S582="DELIVERY_CHARGE_ONLY"),$K582,IF($S582="TOTAL_AMOUNT_INCLUDING_DELIVERY",IF(OR($T582="",$J582=""),"",MAX(0,$T582-$J582-$U582)),IF($S582="ITEM_PRICE_ONLY_DELIVERY_PAID_BY_MERCHANT",0,""))))</f>
        <v/>
      </c>
      <c r="AQ582" s="23">
        <f>IF(OR($AP582="",$AO582=""),"",$AP582-$AO582)</f>
        <v/>
      </c>
      <c r="AR582" s="24">
        <f>IF($S582="EXACT_COLLECTION_AMOUNT","BREAKDOWN_REQUIRED",IF($AQ582="","",IF($AQ582&gt;0,"CREDIT_TO_MERCHANT",IF($AQ582&lt;0,"DEDUCT_FROM_MERCHANT","NO_ADJUSTMENT"))))</f>
        <v/>
      </c>
      <c r="AS582" s="23">
        <f>IF(OR($AQ582="",$AR582="BREAKDOWN_REQUIRED"),"",$AQ582)</f>
        <v/>
      </c>
      <c r="AT582" s="23">
        <f>IF(OR($AR582="",$AR582="BREAKDOWN_REQUIRED"),"",SUM($J582,$AQ582,$Y582)-$X582)</f>
        <v/>
      </c>
      <c r="AU582" s="25">
        <f>IF(AND($A582="",$B582="",$F582="",$H582="",$J582="",$K582="",$M582="",$S582=""),"",IF(OR($H582="",$Q582="",$M582="",$S582=""),"ERROR",IF(OR($J582&lt;0,$K582&lt;0,$M582&lt;0,$T582&lt;0,$U582&lt;0,$V582&lt;0,$W582&lt;0,$X582&lt;0,$Y582&lt;0),"ERROR",IF($AE582="","ERROR",IF(AND(OR($S582="ITEM_PRICE_PLUS_DECLARED_DELIVERY",$S582="TOTAL_AMOUNT_INCLUDING_DELIVERY",$S582="ITEM_PRICE_ONLY_DELIVERY_PAID_BY_MERCHANT"),$J582=""),"ERROR",IF(AND(OR($S582="ITEM_PRICE_PLUS_DECLARED_DELIVERY",$S582="DELIVERY_CHARGE_ONLY"),$K582=""),"ERROR",IF(AND(OR($S582="TOTAL_AMOUNT_INCLUDING_DELIVERY",$S582="EXACT_COLLECTION_AMOUNT"),$T582=""),"ERROR",IF(AND($S582="TOTAL_AMOUNT_INCLUDING_DELIVERY",$T582&lt;SUM($J582,$U582)),"ERROR",IF($S582="EXACT_COLLECTION_AMOUNT","REVIEW","OK")))))))))</f>
        <v/>
      </c>
      <c r="AV582" s="25">
        <f>IF($AU582="","",IF($H582="","Township required",IF($Q582="","Customer tier required",IF($M582="","Weight required",IF($S582="","Amount entry type required",IF(OR($J582&lt;0,$K582&lt;0,$M582&lt;0,$T582&lt;0,$U582&lt;0,$V582&lt;0,$W582&lt;0,$X582&lt;0,$Y582&lt;0),"Negative amounts are not allowed",IF($AE582="","Tariff not found for township and tier",IF(AND(OR($S582="ITEM_PRICE_PLUS_DECLARED_DELIVERY",$S582="TOTAL_AMOUNT_INCLUDING_DELIVERY",$S582="ITEM_PRICE_ONLY_DELIVERY_PAID_BY_MERCHANT"),$J582=""),"Item price required for this amount type",IF(AND(OR($S582="ITEM_PRICE_PLUS_DECLARED_DELIVERY",$S582="DELIVERY_CHARGE_ONLY"),$K582=""),"Declared delivery charge required",IF(AND(OR($S582="TOTAL_AMOUNT_INCLUDING_DELIVERY",$S582="EXACT_COLLECTION_AMOUNT"),$T582=""),"Stated total amount required",IF(AND($S582="TOTAL_AMOUNT_INCLUDING_DELIVERY",$T582&lt;SUM($J582,$U582)),"Stated total is below item price plus additional charge",IF($S582="EXACT_COLLECTION_AMOUNT","Authorized amount breakdown required before settlement","Ready for collection and settlement"))))))))))))</f>
        <v/>
      </c>
      <c r="AW582" s="23">
        <f>IF($AU582="","","PARCEL_FINANCIAL_V2")</f>
        <v/>
      </c>
      <c r="AX582" s="17" t="n"/>
    </row>
    <row r="583">
      <c r="A583" s="8" t="n"/>
      <c r="B583" s="8" t="n"/>
      <c r="C583" s="8" t="n"/>
      <c r="D583" s="8" t="n"/>
      <c r="E583" s="9" t="n"/>
      <c r="F583" s="9" t="n"/>
      <c r="G583" s="8" t="n"/>
      <c r="H583" s="9" t="n"/>
      <c r="I583" s="9" t="n"/>
      <c r="J583" s="10" t="n"/>
      <c r="K583" s="10" t="n"/>
      <c r="L583" s="11">
        <f>IF($S583="","",IF($S583="ITEM_PRICE_PLUS_DECLARED_DELIVERY",IF(OR($J583="",$K583=""),"",SUM($J583,$K583,$U583)),IF($S583="TOTAL_AMOUNT_INCLUDING_DELIVERY",IF($T583="","",$T583),IF($S583="DELIVERY_CHARGE_ONLY",IF($K583="","",SUM($K583,$U583)),IF($S583="EXACT_COLLECTION_AMOUNT",IF($T583="","",$T583),IF($S583="ITEM_PRICE_ONLY_DELIVERY_PAID_BY_MERCHANT",IF($J583="","",SUM($J583,$U583)),""))))))</f>
        <v/>
      </c>
      <c r="M583" s="12" t="n"/>
      <c r="N583" s="13" t="n"/>
      <c r="O583" s="13" t="n"/>
      <c r="P583" s="9" t="n"/>
      <c r="Q583" s="14" t="n"/>
      <c r="R583" s="15" t="n"/>
      <c r="S583" s="14" t="n"/>
      <c r="T583" s="16" t="n"/>
      <c r="U583" s="16" t="n"/>
      <c r="V583" s="16" t="n"/>
      <c r="W583" s="16" t="n"/>
      <c r="X583" s="16" t="n"/>
      <c r="Y583" s="16" t="n"/>
      <c r="Z583" s="14" t="n"/>
      <c r="AA583" s="14" t="n"/>
      <c r="AB583" s="14" t="n"/>
      <c r="AC583" s="17">
        <f>IFERROR(VLOOKUP($H583&amp;"|"&amp;$Q583,Tariff_Master!$A$2:$L$169,3,FALSE),"")</f>
        <v/>
      </c>
      <c r="AD583" s="17">
        <f>IFERROR(VLOOKUP($H583&amp;"|"&amp;$Q583,Tariff_Master!$A$2:$L$169,4,FALSE),"")</f>
        <v/>
      </c>
      <c r="AE583" s="18">
        <f>IFERROR(VLOOKUP($H583&amp;"|"&amp;$Q583,Tariff_Master!$A$2:$L$169,6,FALSE),"")</f>
        <v/>
      </c>
      <c r="AF583" s="19">
        <f>IFERROR(VLOOKUP($H583&amp;"|"&amp;$Q583,Tariff_Master!$A$2:$L$169,7,FALSE),"")</f>
        <v/>
      </c>
      <c r="AG583" s="18">
        <f>IFERROR(VLOOKUP($H583&amp;"|"&amp;$Q583,Tariff_Master!$A$2:$L$169,8,FALSE),"")</f>
        <v/>
      </c>
      <c r="AH583" s="20">
        <f>IFERROR(VLOOKUP($H583&amp;"|"&amp;$Q583,Tariff_Master!$A$2:$L$169,9,FALSE),"")</f>
        <v/>
      </c>
      <c r="AI583" s="18">
        <f>IFERROR(VLOOKUP($H583&amp;"|"&amp;$Q583,Tariff_Master!$A$2:$L$169,10,FALSE),"")</f>
        <v/>
      </c>
      <c r="AJ583" s="21">
        <f>IF($M583="","",ROUNDUP(MAX(0,$M583),0))</f>
        <v/>
      </c>
      <c r="AK583" s="21">
        <f>IF(OR($AJ583="",$AF583=""),"",MAX(0,$AJ583-$AF583))</f>
        <v/>
      </c>
      <c r="AL583" s="22">
        <f>IF(OR($AK583="",$AG583=""),"",MAX(0,$AK583*$AG583))</f>
        <v/>
      </c>
      <c r="AM583" s="22">
        <f>IF($AE583="","",MAX(0,SUM($AE583,$AL583,$V583,$W583)))</f>
        <v/>
      </c>
      <c r="AN583" s="22">
        <f>IF($AM583="","",IF(AND($Q583="COMMITMENT",$R583&gt;=$AH583),$AI583,0))</f>
        <v/>
      </c>
      <c r="AO583" s="23">
        <f>IF($AM583="","",MAX(0,$AM583-$AN583))</f>
        <v/>
      </c>
      <c r="AP583" s="22">
        <f>IF($S583="","",IF(OR($S583="ITEM_PRICE_PLUS_DECLARED_DELIVERY",$S583="DELIVERY_CHARGE_ONLY"),$K583,IF($S583="TOTAL_AMOUNT_INCLUDING_DELIVERY",IF(OR($T583="",$J583=""),"",MAX(0,$T583-$J583-$U583)),IF($S583="ITEM_PRICE_ONLY_DELIVERY_PAID_BY_MERCHANT",0,""))))</f>
        <v/>
      </c>
      <c r="AQ583" s="23">
        <f>IF(OR($AP583="",$AO583=""),"",$AP583-$AO583)</f>
        <v/>
      </c>
      <c r="AR583" s="24">
        <f>IF($S583="EXACT_COLLECTION_AMOUNT","BREAKDOWN_REQUIRED",IF($AQ583="","",IF($AQ583&gt;0,"CREDIT_TO_MERCHANT",IF($AQ583&lt;0,"DEDUCT_FROM_MERCHANT","NO_ADJUSTMENT"))))</f>
        <v/>
      </c>
      <c r="AS583" s="23">
        <f>IF(OR($AQ583="",$AR583="BREAKDOWN_REQUIRED"),"",$AQ583)</f>
        <v/>
      </c>
      <c r="AT583" s="23">
        <f>IF(OR($AR583="",$AR583="BREAKDOWN_REQUIRED"),"",SUM($J583,$AQ583,$Y583)-$X583)</f>
        <v/>
      </c>
      <c r="AU583" s="25">
        <f>IF(AND($A583="",$B583="",$F583="",$H583="",$J583="",$K583="",$M583="",$S583=""),"",IF(OR($H583="",$Q583="",$M583="",$S583=""),"ERROR",IF(OR($J583&lt;0,$K583&lt;0,$M583&lt;0,$T583&lt;0,$U583&lt;0,$V583&lt;0,$W583&lt;0,$X583&lt;0,$Y583&lt;0),"ERROR",IF($AE583="","ERROR",IF(AND(OR($S583="ITEM_PRICE_PLUS_DECLARED_DELIVERY",$S583="TOTAL_AMOUNT_INCLUDING_DELIVERY",$S583="ITEM_PRICE_ONLY_DELIVERY_PAID_BY_MERCHANT"),$J583=""),"ERROR",IF(AND(OR($S583="ITEM_PRICE_PLUS_DECLARED_DELIVERY",$S583="DELIVERY_CHARGE_ONLY"),$K583=""),"ERROR",IF(AND(OR($S583="TOTAL_AMOUNT_INCLUDING_DELIVERY",$S583="EXACT_COLLECTION_AMOUNT"),$T583=""),"ERROR",IF(AND($S583="TOTAL_AMOUNT_INCLUDING_DELIVERY",$T583&lt;SUM($J583,$U583)),"ERROR",IF($S583="EXACT_COLLECTION_AMOUNT","REVIEW","OK")))))))))</f>
        <v/>
      </c>
      <c r="AV583" s="25">
        <f>IF($AU583="","",IF($H583="","Township required",IF($Q583="","Customer tier required",IF($M583="","Weight required",IF($S583="","Amount entry type required",IF(OR($J583&lt;0,$K583&lt;0,$M583&lt;0,$T583&lt;0,$U583&lt;0,$V583&lt;0,$W583&lt;0,$X583&lt;0,$Y583&lt;0),"Negative amounts are not allowed",IF($AE583="","Tariff not found for township and tier",IF(AND(OR($S583="ITEM_PRICE_PLUS_DECLARED_DELIVERY",$S583="TOTAL_AMOUNT_INCLUDING_DELIVERY",$S583="ITEM_PRICE_ONLY_DELIVERY_PAID_BY_MERCHANT"),$J583=""),"Item price required for this amount type",IF(AND(OR($S583="ITEM_PRICE_PLUS_DECLARED_DELIVERY",$S583="DELIVERY_CHARGE_ONLY"),$K583=""),"Declared delivery charge required",IF(AND(OR($S583="TOTAL_AMOUNT_INCLUDING_DELIVERY",$S583="EXACT_COLLECTION_AMOUNT"),$T583=""),"Stated total amount required",IF(AND($S583="TOTAL_AMOUNT_INCLUDING_DELIVERY",$T583&lt;SUM($J583,$U583)),"Stated total is below item price plus additional charge",IF($S583="EXACT_COLLECTION_AMOUNT","Authorized amount breakdown required before settlement","Ready for collection and settlement"))))))))))))</f>
        <v/>
      </c>
      <c r="AW583" s="23">
        <f>IF($AU583="","","PARCEL_FINANCIAL_V2")</f>
        <v/>
      </c>
      <c r="AX583" s="17" t="n"/>
    </row>
    <row r="584">
      <c r="A584" s="8" t="n"/>
      <c r="B584" s="8" t="n"/>
      <c r="C584" s="8" t="n"/>
      <c r="D584" s="8" t="n"/>
      <c r="E584" s="9" t="n"/>
      <c r="F584" s="9" t="n"/>
      <c r="G584" s="8" t="n"/>
      <c r="H584" s="9" t="n"/>
      <c r="I584" s="9" t="n"/>
      <c r="J584" s="10" t="n"/>
      <c r="K584" s="10" t="n"/>
      <c r="L584" s="11">
        <f>IF($S584="","",IF($S584="ITEM_PRICE_PLUS_DECLARED_DELIVERY",IF(OR($J584="",$K584=""),"",SUM($J584,$K584,$U584)),IF($S584="TOTAL_AMOUNT_INCLUDING_DELIVERY",IF($T584="","",$T584),IF($S584="DELIVERY_CHARGE_ONLY",IF($K584="","",SUM($K584,$U584)),IF($S584="EXACT_COLLECTION_AMOUNT",IF($T584="","",$T584),IF($S584="ITEM_PRICE_ONLY_DELIVERY_PAID_BY_MERCHANT",IF($J584="","",SUM($J584,$U584)),""))))))</f>
        <v/>
      </c>
      <c r="M584" s="12" t="n"/>
      <c r="N584" s="13" t="n"/>
      <c r="O584" s="13" t="n"/>
      <c r="P584" s="9" t="n"/>
      <c r="Q584" s="14" t="n"/>
      <c r="R584" s="15" t="n"/>
      <c r="S584" s="14" t="n"/>
      <c r="T584" s="16" t="n"/>
      <c r="U584" s="16" t="n"/>
      <c r="V584" s="16" t="n"/>
      <c r="W584" s="16" t="n"/>
      <c r="X584" s="16" t="n"/>
      <c r="Y584" s="16" t="n"/>
      <c r="Z584" s="14" t="n"/>
      <c r="AA584" s="14" t="n"/>
      <c r="AB584" s="14" t="n"/>
      <c r="AC584" s="17">
        <f>IFERROR(VLOOKUP($H584&amp;"|"&amp;$Q584,Tariff_Master!$A$2:$L$169,3,FALSE),"")</f>
        <v/>
      </c>
      <c r="AD584" s="17">
        <f>IFERROR(VLOOKUP($H584&amp;"|"&amp;$Q584,Tariff_Master!$A$2:$L$169,4,FALSE),"")</f>
        <v/>
      </c>
      <c r="AE584" s="18">
        <f>IFERROR(VLOOKUP($H584&amp;"|"&amp;$Q584,Tariff_Master!$A$2:$L$169,6,FALSE),"")</f>
        <v/>
      </c>
      <c r="AF584" s="19">
        <f>IFERROR(VLOOKUP($H584&amp;"|"&amp;$Q584,Tariff_Master!$A$2:$L$169,7,FALSE),"")</f>
        <v/>
      </c>
      <c r="AG584" s="18">
        <f>IFERROR(VLOOKUP($H584&amp;"|"&amp;$Q584,Tariff_Master!$A$2:$L$169,8,FALSE),"")</f>
        <v/>
      </c>
      <c r="AH584" s="20">
        <f>IFERROR(VLOOKUP($H584&amp;"|"&amp;$Q584,Tariff_Master!$A$2:$L$169,9,FALSE),"")</f>
        <v/>
      </c>
      <c r="AI584" s="18">
        <f>IFERROR(VLOOKUP($H584&amp;"|"&amp;$Q584,Tariff_Master!$A$2:$L$169,10,FALSE),"")</f>
        <v/>
      </c>
      <c r="AJ584" s="21">
        <f>IF($M584="","",ROUNDUP(MAX(0,$M584),0))</f>
        <v/>
      </c>
      <c r="AK584" s="21">
        <f>IF(OR($AJ584="",$AF584=""),"",MAX(0,$AJ584-$AF584))</f>
        <v/>
      </c>
      <c r="AL584" s="22">
        <f>IF(OR($AK584="",$AG584=""),"",MAX(0,$AK584*$AG584))</f>
        <v/>
      </c>
      <c r="AM584" s="22">
        <f>IF($AE584="","",MAX(0,SUM($AE584,$AL584,$V584,$W584)))</f>
        <v/>
      </c>
      <c r="AN584" s="22">
        <f>IF($AM584="","",IF(AND($Q584="COMMITMENT",$R584&gt;=$AH584),$AI584,0))</f>
        <v/>
      </c>
      <c r="AO584" s="23">
        <f>IF($AM584="","",MAX(0,$AM584-$AN584))</f>
        <v/>
      </c>
      <c r="AP584" s="22">
        <f>IF($S584="","",IF(OR($S584="ITEM_PRICE_PLUS_DECLARED_DELIVERY",$S584="DELIVERY_CHARGE_ONLY"),$K584,IF($S584="TOTAL_AMOUNT_INCLUDING_DELIVERY",IF(OR($T584="",$J584=""),"",MAX(0,$T584-$J584-$U584)),IF($S584="ITEM_PRICE_ONLY_DELIVERY_PAID_BY_MERCHANT",0,""))))</f>
        <v/>
      </c>
      <c r="AQ584" s="23">
        <f>IF(OR($AP584="",$AO584=""),"",$AP584-$AO584)</f>
        <v/>
      </c>
      <c r="AR584" s="24">
        <f>IF($S584="EXACT_COLLECTION_AMOUNT","BREAKDOWN_REQUIRED",IF($AQ584="","",IF($AQ584&gt;0,"CREDIT_TO_MERCHANT",IF($AQ584&lt;0,"DEDUCT_FROM_MERCHANT","NO_ADJUSTMENT"))))</f>
        <v/>
      </c>
      <c r="AS584" s="23">
        <f>IF(OR($AQ584="",$AR584="BREAKDOWN_REQUIRED"),"",$AQ584)</f>
        <v/>
      </c>
      <c r="AT584" s="23">
        <f>IF(OR($AR584="",$AR584="BREAKDOWN_REQUIRED"),"",SUM($J584,$AQ584,$Y584)-$X584)</f>
        <v/>
      </c>
      <c r="AU584" s="25">
        <f>IF(AND($A584="",$B584="",$F584="",$H584="",$J584="",$K584="",$M584="",$S584=""),"",IF(OR($H584="",$Q584="",$M584="",$S584=""),"ERROR",IF(OR($J584&lt;0,$K584&lt;0,$M584&lt;0,$T584&lt;0,$U584&lt;0,$V584&lt;0,$W584&lt;0,$X584&lt;0,$Y584&lt;0),"ERROR",IF($AE584="","ERROR",IF(AND(OR($S584="ITEM_PRICE_PLUS_DECLARED_DELIVERY",$S584="TOTAL_AMOUNT_INCLUDING_DELIVERY",$S584="ITEM_PRICE_ONLY_DELIVERY_PAID_BY_MERCHANT"),$J584=""),"ERROR",IF(AND(OR($S584="ITEM_PRICE_PLUS_DECLARED_DELIVERY",$S584="DELIVERY_CHARGE_ONLY"),$K584=""),"ERROR",IF(AND(OR($S584="TOTAL_AMOUNT_INCLUDING_DELIVERY",$S584="EXACT_COLLECTION_AMOUNT"),$T584=""),"ERROR",IF(AND($S584="TOTAL_AMOUNT_INCLUDING_DELIVERY",$T584&lt;SUM($J584,$U584)),"ERROR",IF($S584="EXACT_COLLECTION_AMOUNT","REVIEW","OK")))))))))</f>
        <v/>
      </c>
      <c r="AV584" s="25">
        <f>IF($AU584="","",IF($H584="","Township required",IF($Q584="","Customer tier required",IF($M584="","Weight required",IF($S584="","Amount entry type required",IF(OR($J584&lt;0,$K584&lt;0,$M584&lt;0,$T584&lt;0,$U584&lt;0,$V584&lt;0,$W584&lt;0,$X584&lt;0,$Y584&lt;0),"Negative amounts are not allowed",IF($AE584="","Tariff not found for township and tier",IF(AND(OR($S584="ITEM_PRICE_PLUS_DECLARED_DELIVERY",$S584="TOTAL_AMOUNT_INCLUDING_DELIVERY",$S584="ITEM_PRICE_ONLY_DELIVERY_PAID_BY_MERCHANT"),$J584=""),"Item price required for this amount type",IF(AND(OR($S584="ITEM_PRICE_PLUS_DECLARED_DELIVERY",$S584="DELIVERY_CHARGE_ONLY"),$K584=""),"Declared delivery charge required",IF(AND(OR($S584="TOTAL_AMOUNT_INCLUDING_DELIVERY",$S584="EXACT_COLLECTION_AMOUNT"),$T584=""),"Stated total amount required",IF(AND($S584="TOTAL_AMOUNT_INCLUDING_DELIVERY",$T584&lt;SUM($J584,$U584)),"Stated total is below item price plus additional charge",IF($S584="EXACT_COLLECTION_AMOUNT","Authorized amount breakdown required before settlement","Ready for collection and settlement"))))))))))))</f>
        <v/>
      </c>
      <c r="AW584" s="23">
        <f>IF($AU584="","","PARCEL_FINANCIAL_V2")</f>
        <v/>
      </c>
      <c r="AX584" s="17" t="n"/>
    </row>
    <row r="585">
      <c r="A585" s="8" t="n"/>
      <c r="B585" s="8" t="n"/>
      <c r="C585" s="8" t="n"/>
      <c r="D585" s="8" t="n"/>
      <c r="E585" s="9" t="n"/>
      <c r="F585" s="9" t="n"/>
      <c r="G585" s="8" t="n"/>
      <c r="H585" s="9" t="n"/>
      <c r="I585" s="9" t="n"/>
      <c r="J585" s="10" t="n"/>
      <c r="K585" s="10" t="n"/>
      <c r="L585" s="11">
        <f>IF($S585="","",IF($S585="ITEM_PRICE_PLUS_DECLARED_DELIVERY",IF(OR($J585="",$K585=""),"",SUM($J585,$K585,$U585)),IF($S585="TOTAL_AMOUNT_INCLUDING_DELIVERY",IF($T585="","",$T585),IF($S585="DELIVERY_CHARGE_ONLY",IF($K585="","",SUM($K585,$U585)),IF($S585="EXACT_COLLECTION_AMOUNT",IF($T585="","",$T585),IF($S585="ITEM_PRICE_ONLY_DELIVERY_PAID_BY_MERCHANT",IF($J585="","",SUM($J585,$U585)),""))))))</f>
        <v/>
      </c>
      <c r="M585" s="12" t="n"/>
      <c r="N585" s="13" t="n"/>
      <c r="O585" s="13" t="n"/>
      <c r="P585" s="9" t="n"/>
      <c r="Q585" s="14" t="n"/>
      <c r="R585" s="15" t="n"/>
      <c r="S585" s="14" t="n"/>
      <c r="T585" s="16" t="n"/>
      <c r="U585" s="16" t="n"/>
      <c r="V585" s="16" t="n"/>
      <c r="W585" s="16" t="n"/>
      <c r="X585" s="16" t="n"/>
      <c r="Y585" s="16" t="n"/>
      <c r="Z585" s="14" t="n"/>
      <c r="AA585" s="14" t="n"/>
      <c r="AB585" s="14" t="n"/>
      <c r="AC585" s="17">
        <f>IFERROR(VLOOKUP($H585&amp;"|"&amp;$Q585,Tariff_Master!$A$2:$L$169,3,FALSE),"")</f>
        <v/>
      </c>
      <c r="AD585" s="17">
        <f>IFERROR(VLOOKUP($H585&amp;"|"&amp;$Q585,Tariff_Master!$A$2:$L$169,4,FALSE),"")</f>
        <v/>
      </c>
      <c r="AE585" s="18">
        <f>IFERROR(VLOOKUP($H585&amp;"|"&amp;$Q585,Tariff_Master!$A$2:$L$169,6,FALSE),"")</f>
        <v/>
      </c>
      <c r="AF585" s="19">
        <f>IFERROR(VLOOKUP($H585&amp;"|"&amp;$Q585,Tariff_Master!$A$2:$L$169,7,FALSE),"")</f>
        <v/>
      </c>
      <c r="AG585" s="18">
        <f>IFERROR(VLOOKUP($H585&amp;"|"&amp;$Q585,Tariff_Master!$A$2:$L$169,8,FALSE),"")</f>
        <v/>
      </c>
      <c r="AH585" s="20">
        <f>IFERROR(VLOOKUP($H585&amp;"|"&amp;$Q585,Tariff_Master!$A$2:$L$169,9,FALSE),"")</f>
        <v/>
      </c>
      <c r="AI585" s="18">
        <f>IFERROR(VLOOKUP($H585&amp;"|"&amp;$Q585,Tariff_Master!$A$2:$L$169,10,FALSE),"")</f>
        <v/>
      </c>
      <c r="AJ585" s="21">
        <f>IF($M585="","",ROUNDUP(MAX(0,$M585),0))</f>
        <v/>
      </c>
      <c r="AK585" s="21">
        <f>IF(OR($AJ585="",$AF585=""),"",MAX(0,$AJ585-$AF585))</f>
        <v/>
      </c>
      <c r="AL585" s="22">
        <f>IF(OR($AK585="",$AG585=""),"",MAX(0,$AK585*$AG585))</f>
        <v/>
      </c>
      <c r="AM585" s="22">
        <f>IF($AE585="","",MAX(0,SUM($AE585,$AL585,$V585,$W585)))</f>
        <v/>
      </c>
      <c r="AN585" s="22">
        <f>IF($AM585="","",IF(AND($Q585="COMMITMENT",$R585&gt;=$AH585),$AI585,0))</f>
        <v/>
      </c>
      <c r="AO585" s="23">
        <f>IF($AM585="","",MAX(0,$AM585-$AN585))</f>
        <v/>
      </c>
      <c r="AP585" s="22">
        <f>IF($S585="","",IF(OR($S585="ITEM_PRICE_PLUS_DECLARED_DELIVERY",$S585="DELIVERY_CHARGE_ONLY"),$K585,IF($S585="TOTAL_AMOUNT_INCLUDING_DELIVERY",IF(OR($T585="",$J585=""),"",MAX(0,$T585-$J585-$U585)),IF($S585="ITEM_PRICE_ONLY_DELIVERY_PAID_BY_MERCHANT",0,""))))</f>
        <v/>
      </c>
      <c r="AQ585" s="23">
        <f>IF(OR($AP585="",$AO585=""),"",$AP585-$AO585)</f>
        <v/>
      </c>
      <c r="AR585" s="24">
        <f>IF($S585="EXACT_COLLECTION_AMOUNT","BREAKDOWN_REQUIRED",IF($AQ585="","",IF($AQ585&gt;0,"CREDIT_TO_MERCHANT",IF($AQ585&lt;0,"DEDUCT_FROM_MERCHANT","NO_ADJUSTMENT"))))</f>
        <v/>
      </c>
      <c r="AS585" s="23">
        <f>IF(OR($AQ585="",$AR585="BREAKDOWN_REQUIRED"),"",$AQ585)</f>
        <v/>
      </c>
      <c r="AT585" s="23">
        <f>IF(OR($AR585="",$AR585="BREAKDOWN_REQUIRED"),"",SUM($J585,$AQ585,$Y585)-$X585)</f>
        <v/>
      </c>
      <c r="AU585" s="25">
        <f>IF(AND($A585="",$B585="",$F585="",$H585="",$J585="",$K585="",$M585="",$S585=""),"",IF(OR($H585="",$Q585="",$M585="",$S585=""),"ERROR",IF(OR($J585&lt;0,$K585&lt;0,$M585&lt;0,$T585&lt;0,$U585&lt;0,$V585&lt;0,$W585&lt;0,$X585&lt;0,$Y585&lt;0),"ERROR",IF($AE585="","ERROR",IF(AND(OR($S585="ITEM_PRICE_PLUS_DECLARED_DELIVERY",$S585="TOTAL_AMOUNT_INCLUDING_DELIVERY",$S585="ITEM_PRICE_ONLY_DELIVERY_PAID_BY_MERCHANT"),$J585=""),"ERROR",IF(AND(OR($S585="ITEM_PRICE_PLUS_DECLARED_DELIVERY",$S585="DELIVERY_CHARGE_ONLY"),$K585=""),"ERROR",IF(AND(OR($S585="TOTAL_AMOUNT_INCLUDING_DELIVERY",$S585="EXACT_COLLECTION_AMOUNT"),$T585=""),"ERROR",IF(AND($S585="TOTAL_AMOUNT_INCLUDING_DELIVERY",$T585&lt;SUM($J585,$U585)),"ERROR",IF($S585="EXACT_COLLECTION_AMOUNT","REVIEW","OK")))))))))</f>
        <v/>
      </c>
      <c r="AV585" s="25">
        <f>IF($AU585="","",IF($H585="","Township required",IF($Q585="","Customer tier required",IF($M585="","Weight required",IF($S585="","Amount entry type required",IF(OR($J585&lt;0,$K585&lt;0,$M585&lt;0,$T585&lt;0,$U585&lt;0,$V585&lt;0,$W585&lt;0,$X585&lt;0,$Y585&lt;0),"Negative amounts are not allowed",IF($AE585="","Tariff not found for township and tier",IF(AND(OR($S585="ITEM_PRICE_PLUS_DECLARED_DELIVERY",$S585="TOTAL_AMOUNT_INCLUDING_DELIVERY",$S585="ITEM_PRICE_ONLY_DELIVERY_PAID_BY_MERCHANT"),$J585=""),"Item price required for this amount type",IF(AND(OR($S585="ITEM_PRICE_PLUS_DECLARED_DELIVERY",$S585="DELIVERY_CHARGE_ONLY"),$K585=""),"Declared delivery charge required",IF(AND(OR($S585="TOTAL_AMOUNT_INCLUDING_DELIVERY",$S585="EXACT_COLLECTION_AMOUNT"),$T585=""),"Stated total amount required",IF(AND($S585="TOTAL_AMOUNT_INCLUDING_DELIVERY",$T585&lt;SUM($J585,$U585)),"Stated total is below item price plus additional charge",IF($S585="EXACT_COLLECTION_AMOUNT","Authorized amount breakdown required before settlement","Ready for collection and settlement"))))))))))))</f>
        <v/>
      </c>
      <c r="AW585" s="23">
        <f>IF($AU585="","","PARCEL_FINANCIAL_V2")</f>
        <v/>
      </c>
      <c r="AX585" s="17" t="n"/>
    </row>
    <row r="586">
      <c r="A586" s="8" t="n"/>
      <c r="B586" s="8" t="n"/>
      <c r="C586" s="8" t="n"/>
      <c r="D586" s="8" t="n"/>
      <c r="E586" s="9" t="n"/>
      <c r="F586" s="9" t="n"/>
      <c r="G586" s="8" t="n"/>
      <c r="H586" s="9" t="n"/>
      <c r="I586" s="9" t="n"/>
      <c r="J586" s="10" t="n"/>
      <c r="K586" s="10" t="n"/>
      <c r="L586" s="11">
        <f>IF($S586="","",IF($S586="ITEM_PRICE_PLUS_DECLARED_DELIVERY",IF(OR($J586="",$K586=""),"",SUM($J586,$K586,$U586)),IF($S586="TOTAL_AMOUNT_INCLUDING_DELIVERY",IF($T586="","",$T586),IF($S586="DELIVERY_CHARGE_ONLY",IF($K586="","",SUM($K586,$U586)),IF($S586="EXACT_COLLECTION_AMOUNT",IF($T586="","",$T586),IF($S586="ITEM_PRICE_ONLY_DELIVERY_PAID_BY_MERCHANT",IF($J586="","",SUM($J586,$U586)),""))))))</f>
        <v/>
      </c>
      <c r="M586" s="12" t="n"/>
      <c r="N586" s="13" t="n"/>
      <c r="O586" s="13" t="n"/>
      <c r="P586" s="9" t="n"/>
      <c r="Q586" s="14" t="n"/>
      <c r="R586" s="15" t="n"/>
      <c r="S586" s="14" t="n"/>
      <c r="T586" s="16" t="n"/>
      <c r="U586" s="16" t="n"/>
      <c r="V586" s="16" t="n"/>
      <c r="W586" s="16" t="n"/>
      <c r="X586" s="16" t="n"/>
      <c r="Y586" s="16" t="n"/>
      <c r="Z586" s="14" t="n"/>
      <c r="AA586" s="14" t="n"/>
      <c r="AB586" s="14" t="n"/>
      <c r="AC586" s="17">
        <f>IFERROR(VLOOKUP($H586&amp;"|"&amp;$Q586,Tariff_Master!$A$2:$L$169,3,FALSE),"")</f>
        <v/>
      </c>
      <c r="AD586" s="17">
        <f>IFERROR(VLOOKUP($H586&amp;"|"&amp;$Q586,Tariff_Master!$A$2:$L$169,4,FALSE),"")</f>
        <v/>
      </c>
      <c r="AE586" s="18">
        <f>IFERROR(VLOOKUP($H586&amp;"|"&amp;$Q586,Tariff_Master!$A$2:$L$169,6,FALSE),"")</f>
        <v/>
      </c>
      <c r="AF586" s="19">
        <f>IFERROR(VLOOKUP($H586&amp;"|"&amp;$Q586,Tariff_Master!$A$2:$L$169,7,FALSE),"")</f>
        <v/>
      </c>
      <c r="AG586" s="18">
        <f>IFERROR(VLOOKUP($H586&amp;"|"&amp;$Q586,Tariff_Master!$A$2:$L$169,8,FALSE),"")</f>
        <v/>
      </c>
      <c r="AH586" s="20">
        <f>IFERROR(VLOOKUP($H586&amp;"|"&amp;$Q586,Tariff_Master!$A$2:$L$169,9,FALSE),"")</f>
        <v/>
      </c>
      <c r="AI586" s="18">
        <f>IFERROR(VLOOKUP($H586&amp;"|"&amp;$Q586,Tariff_Master!$A$2:$L$169,10,FALSE),"")</f>
        <v/>
      </c>
      <c r="AJ586" s="21">
        <f>IF($M586="","",ROUNDUP(MAX(0,$M586),0))</f>
        <v/>
      </c>
      <c r="AK586" s="21">
        <f>IF(OR($AJ586="",$AF586=""),"",MAX(0,$AJ586-$AF586))</f>
        <v/>
      </c>
      <c r="AL586" s="22">
        <f>IF(OR($AK586="",$AG586=""),"",MAX(0,$AK586*$AG586))</f>
        <v/>
      </c>
      <c r="AM586" s="22">
        <f>IF($AE586="","",MAX(0,SUM($AE586,$AL586,$V586,$W586)))</f>
        <v/>
      </c>
      <c r="AN586" s="22">
        <f>IF($AM586="","",IF(AND($Q586="COMMITMENT",$R586&gt;=$AH586),$AI586,0))</f>
        <v/>
      </c>
      <c r="AO586" s="23">
        <f>IF($AM586="","",MAX(0,$AM586-$AN586))</f>
        <v/>
      </c>
      <c r="AP586" s="22">
        <f>IF($S586="","",IF(OR($S586="ITEM_PRICE_PLUS_DECLARED_DELIVERY",$S586="DELIVERY_CHARGE_ONLY"),$K586,IF($S586="TOTAL_AMOUNT_INCLUDING_DELIVERY",IF(OR($T586="",$J586=""),"",MAX(0,$T586-$J586-$U586)),IF($S586="ITEM_PRICE_ONLY_DELIVERY_PAID_BY_MERCHANT",0,""))))</f>
        <v/>
      </c>
      <c r="AQ586" s="23">
        <f>IF(OR($AP586="",$AO586=""),"",$AP586-$AO586)</f>
        <v/>
      </c>
      <c r="AR586" s="24">
        <f>IF($S586="EXACT_COLLECTION_AMOUNT","BREAKDOWN_REQUIRED",IF($AQ586="","",IF($AQ586&gt;0,"CREDIT_TO_MERCHANT",IF($AQ586&lt;0,"DEDUCT_FROM_MERCHANT","NO_ADJUSTMENT"))))</f>
        <v/>
      </c>
      <c r="AS586" s="23">
        <f>IF(OR($AQ586="",$AR586="BREAKDOWN_REQUIRED"),"",$AQ586)</f>
        <v/>
      </c>
      <c r="AT586" s="23">
        <f>IF(OR($AR586="",$AR586="BREAKDOWN_REQUIRED"),"",SUM($J586,$AQ586,$Y586)-$X586)</f>
        <v/>
      </c>
      <c r="AU586" s="25">
        <f>IF(AND($A586="",$B586="",$F586="",$H586="",$J586="",$K586="",$M586="",$S586=""),"",IF(OR($H586="",$Q586="",$M586="",$S586=""),"ERROR",IF(OR($J586&lt;0,$K586&lt;0,$M586&lt;0,$T586&lt;0,$U586&lt;0,$V586&lt;0,$W586&lt;0,$X586&lt;0,$Y586&lt;0),"ERROR",IF($AE586="","ERROR",IF(AND(OR($S586="ITEM_PRICE_PLUS_DECLARED_DELIVERY",$S586="TOTAL_AMOUNT_INCLUDING_DELIVERY",$S586="ITEM_PRICE_ONLY_DELIVERY_PAID_BY_MERCHANT"),$J586=""),"ERROR",IF(AND(OR($S586="ITEM_PRICE_PLUS_DECLARED_DELIVERY",$S586="DELIVERY_CHARGE_ONLY"),$K586=""),"ERROR",IF(AND(OR($S586="TOTAL_AMOUNT_INCLUDING_DELIVERY",$S586="EXACT_COLLECTION_AMOUNT"),$T586=""),"ERROR",IF(AND($S586="TOTAL_AMOUNT_INCLUDING_DELIVERY",$T586&lt;SUM($J586,$U586)),"ERROR",IF($S586="EXACT_COLLECTION_AMOUNT","REVIEW","OK")))))))))</f>
        <v/>
      </c>
      <c r="AV586" s="25">
        <f>IF($AU586="","",IF($H586="","Township required",IF($Q586="","Customer tier required",IF($M586="","Weight required",IF($S586="","Amount entry type required",IF(OR($J586&lt;0,$K586&lt;0,$M586&lt;0,$T586&lt;0,$U586&lt;0,$V586&lt;0,$W586&lt;0,$X586&lt;0,$Y586&lt;0),"Negative amounts are not allowed",IF($AE586="","Tariff not found for township and tier",IF(AND(OR($S586="ITEM_PRICE_PLUS_DECLARED_DELIVERY",$S586="TOTAL_AMOUNT_INCLUDING_DELIVERY",$S586="ITEM_PRICE_ONLY_DELIVERY_PAID_BY_MERCHANT"),$J586=""),"Item price required for this amount type",IF(AND(OR($S586="ITEM_PRICE_PLUS_DECLARED_DELIVERY",$S586="DELIVERY_CHARGE_ONLY"),$K586=""),"Declared delivery charge required",IF(AND(OR($S586="TOTAL_AMOUNT_INCLUDING_DELIVERY",$S586="EXACT_COLLECTION_AMOUNT"),$T586=""),"Stated total amount required",IF(AND($S586="TOTAL_AMOUNT_INCLUDING_DELIVERY",$T586&lt;SUM($J586,$U586)),"Stated total is below item price plus additional charge",IF($S586="EXACT_COLLECTION_AMOUNT","Authorized amount breakdown required before settlement","Ready for collection and settlement"))))))))))))</f>
        <v/>
      </c>
      <c r="AW586" s="23">
        <f>IF($AU586="","","PARCEL_FINANCIAL_V2")</f>
        <v/>
      </c>
      <c r="AX586" s="17" t="n"/>
    </row>
    <row r="587">
      <c r="A587" s="8" t="n"/>
      <c r="B587" s="8" t="n"/>
      <c r="C587" s="8" t="n"/>
      <c r="D587" s="8" t="n"/>
      <c r="E587" s="9" t="n"/>
      <c r="F587" s="9" t="n"/>
      <c r="G587" s="8" t="n"/>
      <c r="H587" s="9" t="n"/>
      <c r="I587" s="9" t="n"/>
      <c r="J587" s="10" t="n"/>
      <c r="K587" s="10" t="n"/>
      <c r="L587" s="11">
        <f>IF($S587="","",IF($S587="ITEM_PRICE_PLUS_DECLARED_DELIVERY",IF(OR($J587="",$K587=""),"",SUM($J587,$K587,$U587)),IF($S587="TOTAL_AMOUNT_INCLUDING_DELIVERY",IF($T587="","",$T587),IF($S587="DELIVERY_CHARGE_ONLY",IF($K587="","",SUM($K587,$U587)),IF($S587="EXACT_COLLECTION_AMOUNT",IF($T587="","",$T587),IF($S587="ITEM_PRICE_ONLY_DELIVERY_PAID_BY_MERCHANT",IF($J587="","",SUM($J587,$U587)),""))))))</f>
        <v/>
      </c>
      <c r="M587" s="12" t="n"/>
      <c r="N587" s="13" t="n"/>
      <c r="O587" s="13" t="n"/>
      <c r="P587" s="9" t="n"/>
      <c r="Q587" s="14" t="n"/>
      <c r="R587" s="15" t="n"/>
      <c r="S587" s="14" t="n"/>
      <c r="T587" s="16" t="n"/>
      <c r="U587" s="16" t="n"/>
      <c r="V587" s="16" t="n"/>
      <c r="W587" s="16" t="n"/>
      <c r="X587" s="16" t="n"/>
      <c r="Y587" s="16" t="n"/>
      <c r="Z587" s="14" t="n"/>
      <c r="AA587" s="14" t="n"/>
      <c r="AB587" s="14" t="n"/>
      <c r="AC587" s="17">
        <f>IFERROR(VLOOKUP($H587&amp;"|"&amp;$Q587,Tariff_Master!$A$2:$L$169,3,FALSE),"")</f>
        <v/>
      </c>
      <c r="AD587" s="17">
        <f>IFERROR(VLOOKUP($H587&amp;"|"&amp;$Q587,Tariff_Master!$A$2:$L$169,4,FALSE),"")</f>
        <v/>
      </c>
      <c r="AE587" s="18">
        <f>IFERROR(VLOOKUP($H587&amp;"|"&amp;$Q587,Tariff_Master!$A$2:$L$169,6,FALSE),"")</f>
        <v/>
      </c>
      <c r="AF587" s="19">
        <f>IFERROR(VLOOKUP($H587&amp;"|"&amp;$Q587,Tariff_Master!$A$2:$L$169,7,FALSE),"")</f>
        <v/>
      </c>
      <c r="AG587" s="18">
        <f>IFERROR(VLOOKUP($H587&amp;"|"&amp;$Q587,Tariff_Master!$A$2:$L$169,8,FALSE),"")</f>
        <v/>
      </c>
      <c r="AH587" s="20">
        <f>IFERROR(VLOOKUP($H587&amp;"|"&amp;$Q587,Tariff_Master!$A$2:$L$169,9,FALSE),"")</f>
        <v/>
      </c>
      <c r="AI587" s="18">
        <f>IFERROR(VLOOKUP($H587&amp;"|"&amp;$Q587,Tariff_Master!$A$2:$L$169,10,FALSE),"")</f>
        <v/>
      </c>
      <c r="AJ587" s="21">
        <f>IF($M587="","",ROUNDUP(MAX(0,$M587),0))</f>
        <v/>
      </c>
      <c r="AK587" s="21">
        <f>IF(OR($AJ587="",$AF587=""),"",MAX(0,$AJ587-$AF587))</f>
        <v/>
      </c>
      <c r="AL587" s="22">
        <f>IF(OR($AK587="",$AG587=""),"",MAX(0,$AK587*$AG587))</f>
        <v/>
      </c>
      <c r="AM587" s="22">
        <f>IF($AE587="","",MAX(0,SUM($AE587,$AL587,$V587,$W587)))</f>
        <v/>
      </c>
      <c r="AN587" s="22">
        <f>IF($AM587="","",IF(AND($Q587="COMMITMENT",$R587&gt;=$AH587),$AI587,0))</f>
        <v/>
      </c>
      <c r="AO587" s="23">
        <f>IF($AM587="","",MAX(0,$AM587-$AN587))</f>
        <v/>
      </c>
      <c r="AP587" s="22">
        <f>IF($S587="","",IF(OR($S587="ITEM_PRICE_PLUS_DECLARED_DELIVERY",$S587="DELIVERY_CHARGE_ONLY"),$K587,IF($S587="TOTAL_AMOUNT_INCLUDING_DELIVERY",IF(OR($T587="",$J587=""),"",MAX(0,$T587-$J587-$U587)),IF($S587="ITEM_PRICE_ONLY_DELIVERY_PAID_BY_MERCHANT",0,""))))</f>
        <v/>
      </c>
      <c r="AQ587" s="23">
        <f>IF(OR($AP587="",$AO587=""),"",$AP587-$AO587)</f>
        <v/>
      </c>
      <c r="AR587" s="24">
        <f>IF($S587="EXACT_COLLECTION_AMOUNT","BREAKDOWN_REQUIRED",IF($AQ587="","",IF($AQ587&gt;0,"CREDIT_TO_MERCHANT",IF($AQ587&lt;0,"DEDUCT_FROM_MERCHANT","NO_ADJUSTMENT"))))</f>
        <v/>
      </c>
      <c r="AS587" s="23">
        <f>IF(OR($AQ587="",$AR587="BREAKDOWN_REQUIRED"),"",$AQ587)</f>
        <v/>
      </c>
      <c r="AT587" s="23">
        <f>IF(OR($AR587="",$AR587="BREAKDOWN_REQUIRED"),"",SUM($J587,$AQ587,$Y587)-$X587)</f>
        <v/>
      </c>
      <c r="AU587" s="25">
        <f>IF(AND($A587="",$B587="",$F587="",$H587="",$J587="",$K587="",$M587="",$S587=""),"",IF(OR($H587="",$Q587="",$M587="",$S587=""),"ERROR",IF(OR($J587&lt;0,$K587&lt;0,$M587&lt;0,$T587&lt;0,$U587&lt;0,$V587&lt;0,$W587&lt;0,$X587&lt;0,$Y587&lt;0),"ERROR",IF($AE587="","ERROR",IF(AND(OR($S587="ITEM_PRICE_PLUS_DECLARED_DELIVERY",$S587="TOTAL_AMOUNT_INCLUDING_DELIVERY",$S587="ITEM_PRICE_ONLY_DELIVERY_PAID_BY_MERCHANT"),$J587=""),"ERROR",IF(AND(OR($S587="ITEM_PRICE_PLUS_DECLARED_DELIVERY",$S587="DELIVERY_CHARGE_ONLY"),$K587=""),"ERROR",IF(AND(OR($S587="TOTAL_AMOUNT_INCLUDING_DELIVERY",$S587="EXACT_COLLECTION_AMOUNT"),$T587=""),"ERROR",IF(AND($S587="TOTAL_AMOUNT_INCLUDING_DELIVERY",$T587&lt;SUM($J587,$U587)),"ERROR",IF($S587="EXACT_COLLECTION_AMOUNT","REVIEW","OK")))))))))</f>
        <v/>
      </c>
      <c r="AV587" s="25">
        <f>IF($AU587="","",IF($H587="","Township required",IF($Q587="","Customer tier required",IF($M587="","Weight required",IF($S587="","Amount entry type required",IF(OR($J587&lt;0,$K587&lt;0,$M587&lt;0,$T587&lt;0,$U587&lt;0,$V587&lt;0,$W587&lt;0,$X587&lt;0,$Y587&lt;0),"Negative amounts are not allowed",IF($AE587="","Tariff not found for township and tier",IF(AND(OR($S587="ITEM_PRICE_PLUS_DECLARED_DELIVERY",$S587="TOTAL_AMOUNT_INCLUDING_DELIVERY",$S587="ITEM_PRICE_ONLY_DELIVERY_PAID_BY_MERCHANT"),$J587=""),"Item price required for this amount type",IF(AND(OR($S587="ITEM_PRICE_PLUS_DECLARED_DELIVERY",$S587="DELIVERY_CHARGE_ONLY"),$K587=""),"Declared delivery charge required",IF(AND(OR($S587="TOTAL_AMOUNT_INCLUDING_DELIVERY",$S587="EXACT_COLLECTION_AMOUNT"),$T587=""),"Stated total amount required",IF(AND($S587="TOTAL_AMOUNT_INCLUDING_DELIVERY",$T587&lt;SUM($J587,$U587)),"Stated total is below item price plus additional charge",IF($S587="EXACT_COLLECTION_AMOUNT","Authorized amount breakdown required before settlement","Ready for collection and settlement"))))))))))))</f>
        <v/>
      </c>
      <c r="AW587" s="23">
        <f>IF($AU587="","","PARCEL_FINANCIAL_V2")</f>
        <v/>
      </c>
      <c r="AX587" s="17" t="n"/>
    </row>
    <row r="588">
      <c r="A588" s="8" t="n"/>
      <c r="B588" s="8" t="n"/>
      <c r="C588" s="8" t="n"/>
      <c r="D588" s="8" t="n"/>
      <c r="E588" s="9" t="n"/>
      <c r="F588" s="9" t="n"/>
      <c r="G588" s="8" t="n"/>
      <c r="H588" s="9" t="n"/>
      <c r="I588" s="9" t="n"/>
      <c r="J588" s="10" t="n"/>
      <c r="K588" s="10" t="n"/>
      <c r="L588" s="11">
        <f>IF($S588="","",IF($S588="ITEM_PRICE_PLUS_DECLARED_DELIVERY",IF(OR($J588="",$K588=""),"",SUM($J588,$K588,$U588)),IF($S588="TOTAL_AMOUNT_INCLUDING_DELIVERY",IF($T588="","",$T588),IF($S588="DELIVERY_CHARGE_ONLY",IF($K588="","",SUM($K588,$U588)),IF($S588="EXACT_COLLECTION_AMOUNT",IF($T588="","",$T588),IF($S588="ITEM_PRICE_ONLY_DELIVERY_PAID_BY_MERCHANT",IF($J588="","",SUM($J588,$U588)),""))))))</f>
        <v/>
      </c>
      <c r="M588" s="12" t="n"/>
      <c r="N588" s="13" t="n"/>
      <c r="O588" s="13" t="n"/>
      <c r="P588" s="9" t="n"/>
      <c r="Q588" s="14" t="n"/>
      <c r="R588" s="15" t="n"/>
      <c r="S588" s="14" t="n"/>
      <c r="T588" s="16" t="n"/>
      <c r="U588" s="16" t="n"/>
      <c r="V588" s="16" t="n"/>
      <c r="W588" s="16" t="n"/>
      <c r="X588" s="16" t="n"/>
      <c r="Y588" s="16" t="n"/>
      <c r="Z588" s="14" t="n"/>
      <c r="AA588" s="14" t="n"/>
      <c r="AB588" s="14" t="n"/>
      <c r="AC588" s="17">
        <f>IFERROR(VLOOKUP($H588&amp;"|"&amp;$Q588,Tariff_Master!$A$2:$L$169,3,FALSE),"")</f>
        <v/>
      </c>
      <c r="AD588" s="17">
        <f>IFERROR(VLOOKUP($H588&amp;"|"&amp;$Q588,Tariff_Master!$A$2:$L$169,4,FALSE),"")</f>
        <v/>
      </c>
      <c r="AE588" s="18">
        <f>IFERROR(VLOOKUP($H588&amp;"|"&amp;$Q588,Tariff_Master!$A$2:$L$169,6,FALSE),"")</f>
        <v/>
      </c>
      <c r="AF588" s="19">
        <f>IFERROR(VLOOKUP($H588&amp;"|"&amp;$Q588,Tariff_Master!$A$2:$L$169,7,FALSE),"")</f>
        <v/>
      </c>
      <c r="AG588" s="18">
        <f>IFERROR(VLOOKUP($H588&amp;"|"&amp;$Q588,Tariff_Master!$A$2:$L$169,8,FALSE),"")</f>
        <v/>
      </c>
      <c r="AH588" s="20">
        <f>IFERROR(VLOOKUP($H588&amp;"|"&amp;$Q588,Tariff_Master!$A$2:$L$169,9,FALSE),"")</f>
        <v/>
      </c>
      <c r="AI588" s="18">
        <f>IFERROR(VLOOKUP($H588&amp;"|"&amp;$Q588,Tariff_Master!$A$2:$L$169,10,FALSE),"")</f>
        <v/>
      </c>
      <c r="AJ588" s="21">
        <f>IF($M588="","",ROUNDUP(MAX(0,$M588),0))</f>
        <v/>
      </c>
      <c r="AK588" s="21">
        <f>IF(OR($AJ588="",$AF588=""),"",MAX(0,$AJ588-$AF588))</f>
        <v/>
      </c>
      <c r="AL588" s="22">
        <f>IF(OR($AK588="",$AG588=""),"",MAX(0,$AK588*$AG588))</f>
        <v/>
      </c>
      <c r="AM588" s="22">
        <f>IF($AE588="","",MAX(0,SUM($AE588,$AL588,$V588,$W588)))</f>
        <v/>
      </c>
      <c r="AN588" s="22">
        <f>IF($AM588="","",IF(AND($Q588="COMMITMENT",$R588&gt;=$AH588),$AI588,0))</f>
        <v/>
      </c>
      <c r="AO588" s="23">
        <f>IF($AM588="","",MAX(0,$AM588-$AN588))</f>
        <v/>
      </c>
      <c r="AP588" s="22">
        <f>IF($S588="","",IF(OR($S588="ITEM_PRICE_PLUS_DECLARED_DELIVERY",$S588="DELIVERY_CHARGE_ONLY"),$K588,IF($S588="TOTAL_AMOUNT_INCLUDING_DELIVERY",IF(OR($T588="",$J588=""),"",MAX(0,$T588-$J588-$U588)),IF($S588="ITEM_PRICE_ONLY_DELIVERY_PAID_BY_MERCHANT",0,""))))</f>
        <v/>
      </c>
      <c r="AQ588" s="23">
        <f>IF(OR($AP588="",$AO588=""),"",$AP588-$AO588)</f>
        <v/>
      </c>
      <c r="AR588" s="24">
        <f>IF($S588="EXACT_COLLECTION_AMOUNT","BREAKDOWN_REQUIRED",IF($AQ588="","",IF($AQ588&gt;0,"CREDIT_TO_MERCHANT",IF($AQ588&lt;0,"DEDUCT_FROM_MERCHANT","NO_ADJUSTMENT"))))</f>
        <v/>
      </c>
      <c r="AS588" s="23">
        <f>IF(OR($AQ588="",$AR588="BREAKDOWN_REQUIRED"),"",$AQ588)</f>
        <v/>
      </c>
      <c r="AT588" s="23">
        <f>IF(OR($AR588="",$AR588="BREAKDOWN_REQUIRED"),"",SUM($J588,$AQ588,$Y588)-$X588)</f>
        <v/>
      </c>
      <c r="AU588" s="25">
        <f>IF(AND($A588="",$B588="",$F588="",$H588="",$J588="",$K588="",$M588="",$S588=""),"",IF(OR($H588="",$Q588="",$M588="",$S588=""),"ERROR",IF(OR($J588&lt;0,$K588&lt;0,$M588&lt;0,$T588&lt;0,$U588&lt;0,$V588&lt;0,$W588&lt;0,$X588&lt;0,$Y588&lt;0),"ERROR",IF($AE588="","ERROR",IF(AND(OR($S588="ITEM_PRICE_PLUS_DECLARED_DELIVERY",$S588="TOTAL_AMOUNT_INCLUDING_DELIVERY",$S588="ITEM_PRICE_ONLY_DELIVERY_PAID_BY_MERCHANT"),$J588=""),"ERROR",IF(AND(OR($S588="ITEM_PRICE_PLUS_DECLARED_DELIVERY",$S588="DELIVERY_CHARGE_ONLY"),$K588=""),"ERROR",IF(AND(OR($S588="TOTAL_AMOUNT_INCLUDING_DELIVERY",$S588="EXACT_COLLECTION_AMOUNT"),$T588=""),"ERROR",IF(AND($S588="TOTAL_AMOUNT_INCLUDING_DELIVERY",$T588&lt;SUM($J588,$U588)),"ERROR",IF($S588="EXACT_COLLECTION_AMOUNT","REVIEW","OK")))))))))</f>
        <v/>
      </c>
      <c r="AV588" s="25">
        <f>IF($AU588="","",IF($H588="","Township required",IF($Q588="","Customer tier required",IF($M588="","Weight required",IF($S588="","Amount entry type required",IF(OR($J588&lt;0,$K588&lt;0,$M588&lt;0,$T588&lt;0,$U588&lt;0,$V588&lt;0,$W588&lt;0,$X588&lt;0,$Y588&lt;0),"Negative amounts are not allowed",IF($AE588="","Tariff not found for township and tier",IF(AND(OR($S588="ITEM_PRICE_PLUS_DECLARED_DELIVERY",$S588="TOTAL_AMOUNT_INCLUDING_DELIVERY",$S588="ITEM_PRICE_ONLY_DELIVERY_PAID_BY_MERCHANT"),$J588=""),"Item price required for this amount type",IF(AND(OR($S588="ITEM_PRICE_PLUS_DECLARED_DELIVERY",$S588="DELIVERY_CHARGE_ONLY"),$K588=""),"Declared delivery charge required",IF(AND(OR($S588="TOTAL_AMOUNT_INCLUDING_DELIVERY",$S588="EXACT_COLLECTION_AMOUNT"),$T588=""),"Stated total amount required",IF(AND($S588="TOTAL_AMOUNT_INCLUDING_DELIVERY",$T588&lt;SUM($J588,$U588)),"Stated total is below item price plus additional charge",IF($S588="EXACT_COLLECTION_AMOUNT","Authorized amount breakdown required before settlement","Ready for collection and settlement"))))))))))))</f>
        <v/>
      </c>
      <c r="AW588" s="23">
        <f>IF($AU588="","","PARCEL_FINANCIAL_V2")</f>
        <v/>
      </c>
      <c r="AX588" s="17" t="n"/>
    </row>
    <row r="589">
      <c r="A589" s="8" t="n"/>
      <c r="B589" s="8" t="n"/>
      <c r="C589" s="8" t="n"/>
      <c r="D589" s="8" t="n"/>
      <c r="E589" s="9" t="n"/>
      <c r="F589" s="9" t="n"/>
      <c r="G589" s="8" t="n"/>
      <c r="H589" s="9" t="n"/>
      <c r="I589" s="9" t="n"/>
      <c r="J589" s="10" t="n"/>
      <c r="K589" s="10" t="n"/>
      <c r="L589" s="11">
        <f>IF($S589="","",IF($S589="ITEM_PRICE_PLUS_DECLARED_DELIVERY",IF(OR($J589="",$K589=""),"",SUM($J589,$K589,$U589)),IF($S589="TOTAL_AMOUNT_INCLUDING_DELIVERY",IF($T589="","",$T589),IF($S589="DELIVERY_CHARGE_ONLY",IF($K589="","",SUM($K589,$U589)),IF($S589="EXACT_COLLECTION_AMOUNT",IF($T589="","",$T589),IF($S589="ITEM_PRICE_ONLY_DELIVERY_PAID_BY_MERCHANT",IF($J589="","",SUM($J589,$U589)),""))))))</f>
        <v/>
      </c>
      <c r="M589" s="12" t="n"/>
      <c r="N589" s="13" t="n"/>
      <c r="O589" s="13" t="n"/>
      <c r="P589" s="9" t="n"/>
      <c r="Q589" s="14" t="n"/>
      <c r="R589" s="15" t="n"/>
      <c r="S589" s="14" t="n"/>
      <c r="T589" s="16" t="n"/>
      <c r="U589" s="16" t="n"/>
      <c r="V589" s="16" t="n"/>
      <c r="W589" s="16" t="n"/>
      <c r="X589" s="16" t="n"/>
      <c r="Y589" s="16" t="n"/>
      <c r="Z589" s="14" t="n"/>
      <c r="AA589" s="14" t="n"/>
      <c r="AB589" s="14" t="n"/>
      <c r="AC589" s="17">
        <f>IFERROR(VLOOKUP($H589&amp;"|"&amp;$Q589,Tariff_Master!$A$2:$L$169,3,FALSE),"")</f>
        <v/>
      </c>
      <c r="AD589" s="17">
        <f>IFERROR(VLOOKUP($H589&amp;"|"&amp;$Q589,Tariff_Master!$A$2:$L$169,4,FALSE),"")</f>
        <v/>
      </c>
      <c r="AE589" s="18">
        <f>IFERROR(VLOOKUP($H589&amp;"|"&amp;$Q589,Tariff_Master!$A$2:$L$169,6,FALSE),"")</f>
        <v/>
      </c>
      <c r="AF589" s="19">
        <f>IFERROR(VLOOKUP($H589&amp;"|"&amp;$Q589,Tariff_Master!$A$2:$L$169,7,FALSE),"")</f>
        <v/>
      </c>
      <c r="AG589" s="18">
        <f>IFERROR(VLOOKUP($H589&amp;"|"&amp;$Q589,Tariff_Master!$A$2:$L$169,8,FALSE),"")</f>
        <v/>
      </c>
      <c r="AH589" s="20">
        <f>IFERROR(VLOOKUP($H589&amp;"|"&amp;$Q589,Tariff_Master!$A$2:$L$169,9,FALSE),"")</f>
        <v/>
      </c>
      <c r="AI589" s="18">
        <f>IFERROR(VLOOKUP($H589&amp;"|"&amp;$Q589,Tariff_Master!$A$2:$L$169,10,FALSE),"")</f>
        <v/>
      </c>
      <c r="AJ589" s="21">
        <f>IF($M589="","",ROUNDUP(MAX(0,$M589),0))</f>
        <v/>
      </c>
      <c r="AK589" s="21">
        <f>IF(OR($AJ589="",$AF589=""),"",MAX(0,$AJ589-$AF589))</f>
        <v/>
      </c>
      <c r="AL589" s="22">
        <f>IF(OR($AK589="",$AG589=""),"",MAX(0,$AK589*$AG589))</f>
        <v/>
      </c>
      <c r="AM589" s="22">
        <f>IF($AE589="","",MAX(0,SUM($AE589,$AL589,$V589,$W589)))</f>
        <v/>
      </c>
      <c r="AN589" s="22">
        <f>IF($AM589="","",IF(AND($Q589="COMMITMENT",$R589&gt;=$AH589),$AI589,0))</f>
        <v/>
      </c>
      <c r="AO589" s="23">
        <f>IF($AM589="","",MAX(0,$AM589-$AN589))</f>
        <v/>
      </c>
      <c r="AP589" s="22">
        <f>IF($S589="","",IF(OR($S589="ITEM_PRICE_PLUS_DECLARED_DELIVERY",$S589="DELIVERY_CHARGE_ONLY"),$K589,IF($S589="TOTAL_AMOUNT_INCLUDING_DELIVERY",IF(OR($T589="",$J589=""),"",MAX(0,$T589-$J589-$U589)),IF($S589="ITEM_PRICE_ONLY_DELIVERY_PAID_BY_MERCHANT",0,""))))</f>
        <v/>
      </c>
      <c r="AQ589" s="23">
        <f>IF(OR($AP589="",$AO589=""),"",$AP589-$AO589)</f>
        <v/>
      </c>
      <c r="AR589" s="24">
        <f>IF($S589="EXACT_COLLECTION_AMOUNT","BREAKDOWN_REQUIRED",IF($AQ589="","",IF($AQ589&gt;0,"CREDIT_TO_MERCHANT",IF($AQ589&lt;0,"DEDUCT_FROM_MERCHANT","NO_ADJUSTMENT"))))</f>
        <v/>
      </c>
      <c r="AS589" s="23">
        <f>IF(OR($AQ589="",$AR589="BREAKDOWN_REQUIRED"),"",$AQ589)</f>
        <v/>
      </c>
      <c r="AT589" s="23">
        <f>IF(OR($AR589="",$AR589="BREAKDOWN_REQUIRED"),"",SUM($J589,$AQ589,$Y589)-$X589)</f>
        <v/>
      </c>
      <c r="AU589" s="25">
        <f>IF(AND($A589="",$B589="",$F589="",$H589="",$J589="",$K589="",$M589="",$S589=""),"",IF(OR($H589="",$Q589="",$M589="",$S589=""),"ERROR",IF(OR($J589&lt;0,$K589&lt;0,$M589&lt;0,$T589&lt;0,$U589&lt;0,$V589&lt;0,$W589&lt;0,$X589&lt;0,$Y589&lt;0),"ERROR",IF($AE589="","ERROR",IF(AND(OR($S589="ITEM_PRICE_PLUS_DECLARED_DELIVERY",$S589="TOTAL_AMOUNT_INCLUDING_DELIVERY",$S589="ITEM_PRICE_ONLY_DELIVERY_PAID_BY_MERCHANT"),$J589=""),"ERROR",IF(AND(OR($S589="ITEM_PRICE_PLUS_DECLARED_DELIVERY",$S589="DELIVERY_CHARGE_ONLY"),$K589=""),"ERROR",IF(AND(OR($S589="TOTAL_AMOUNT_INCLUDING_DELIVERY",$S589="EXACT_COLLECTION_AMOUNT"),$T589=""),"ERROR",IF(AND($S589="TOTAL_AMOUNT_INCLUDING_DELIVERY",$T589&lt;SUM($J589,$U589)),"ERROR",IF($S589="EXACT_COLLECTION_AMOUNT","REVIEW","OK")))))))))</f>
        <v/>
      </c>
      <c r="AV589" s="25">
        <f>IF($AU589="","",IF($H589="","Township required",IF($Q589="","Customer tier required",IF($M589="","Weight required",IF($S589="","Amount entry type required",IF(OR($J589&lt;0,$K589&lt;0,$M589&lt;0,$T589&lt;0,$U589&lt;0,$V589&lt;0,$W589&lt;0,$X589&lt;0,$Y589&lt;0),"Negative amounts are not allowed",IF($AE589="","Tariff not found for township and tier",IF(AND(OR($S589="ITEM_PRICE_PLUS_DECLARED_DELIVERY",$S589="TOTAL_AMOUNT_INCLUDING_DELIVERY",$S589="ITEM_PRICE_ONLY_DELIVERY_PAID_BY_MERCHANT"),$J589=""),"Item price required for this amount type",IF(AND(OR($S589="ITEM_PRICE_PLUS_DECLARED_DELIVERY",$S589="DELIVERY_CHARGE_ONLY"),$K589=""),"Declared delivery charge required",IF(AND(OR($S589="TOTAL_AMOUNT_INCLUDING_DELIVERY",$S589="EXACT_COLLECTION_AMOUNT"),$T589=""),"Stated total amount required",IF(AND($S589="TOTAL_AMOUNT_INCLUDING_DELIVERY",$T589&lt;SUM($J589,$U589)),"Stated total is below item price plus additional charge",IF($S589="EXACT_COLLECTION_AMOUNT","Authorized amount breakdown required before settlement","Ready for collection and settlement"))))))))))))</f>
        <v/>
      </c>
      <c r="AW589" s="23">
        <f>IF($AU589="","","PARCEL_FINANCIAL_V2")</f>
        <v/>
      </c>
      <c r="AX589" s="17" t="n"/>
    </row>
    <row r="590">
      <c r="A590" s="8" t="n"/>
      <c r="B590" s="8" t="n"/>
      <c r="C590" s="8" t="n"/>
      <c r="D590" s="8" t="n"/>
      <c r="E590" s="9" t="n"/>
      <c r="F590" s="9" t="n"/>
      <c r="G590" s="8" t="n"/>
      <c r="H590" s="9" t="n"/>
      <c r="I590" s="9" t="n"/>
      <c r="J590" s="10" t="n"/>
      <c r="K590" s="10" t="n"/>
      <c r="L590" s="11">
        <f>IF($S590="","",IF($S590="ITEM_PRICE_PLUS_DECLARED_DELIVERY",IF(OR($J590="",$K590=""),"",SUM($J590,$K590,$U590)),IF($S590="TOTAL_AMOUNT_INCLUDING_DELIVERY",IF($T590="","",$T590),IF($S590="DELIVERY_CHARGE_ONLY",IF($K590="","",SUM($K590,$U590)),IF($S590="EXACT_COLLECTION_AMOUNT",IF($T590="","",$T590),IF($S590="ITEM_PRICE_ONLY_DELIVERY_PAID_BY_MERCHANT",IF($J590="","",SUM($J590,$U590)),""))))))</f>
        <v/>
      </c>
      <c r="M590" s="12" t="n"/>
      <c r="N590" s="13" t="n"/>
      <c r="O590" s="13" t="n"/>
      <c r="P590" s="9" t="n"/>
      <c r="Q590" s="14" t="n"/>
      <c r="R590" s="15" t="n"/>
      <c r="S590" s="14" t="n"/>
      <c r="T590" s="16" t="n"/>
      <c r="U590" s="16" t="n"/>
      <c r="V590" s="16" t="n"/>
      <c r="W590" s="16" t="n"/>
      <c r="X590" s="16" t="n"/>
      <c r="Y590" s="16" t="n"/>
      <c r="Z590" s="14" t="n"/>
      <c r="AA590" s="14" t="n"/>
      <c r="AB590" s="14" t="n"/>
      <c r="AC590" s="17">
        <f>IFERROR(VLOOKUP($H590&amp;"|"&amp;$Q590,Tariff_Master!$A$2:$L$169,3,FALSE),"")</f>
        <v/>
      </c>
      <c r="AD590" s="17">
        <f>IFERROR(VLOOKUP($H590&amp;"|"&amp;$Q590,Tariff_Master!$A$2:$L$169,4,FALSE),"")</f>
        <v/>
      </c>
      <c r="AE590" s="18">
        <f>IFERROR(VLOOKUP($H590&amp;"|"&amp;$Q590,Tariff_Master!$A$2:$L$169,6,FALSE),"")</f>
        <v/>
      </c>
      <c r="AF590" s="19">
        <f>IFERROR(VLOOKUP($H590&amp;"|"&amp;$Q590,Tariff_Master!$A$2:$L$169,7,FALSE),"")</f>
        <v/>
      </c>
      <c r="AG590" s="18">
        <f>IFERROR(VLOOKUP($H590&amp;"|"&amp;$Q590,Tariff_Master!$A$2:$L$169,8,FALSE),"")</f>
        <v/>
      </c>
      <c r="AH590" s="20">
        <f>IFERROR(VLOOKUP($H590&amp;"|"&amp;$Q590,Tariff_Master!$A$2:$L$169,9,FALSE),"")</f>
        <v/>
      </c>
      <c r="AI590" s="18">
        <f>IFERROR(VLOOKUP($H590&amp;"|"&amp;$Q590,Tariff_Master!$A$2:$L$169,10,FALSE),"")</f>
        <v/>
      </c>
      <c r="AJ590" s="21">
        <f>IF($M590="","",ROUNDUP(MAX(0,$M590),0))</f>
        <v/>
      </c>
      <c r="AK590" s="21">
        <f>IF(OR($AJ590="",$AF590=""),"",MAX(0,$AJ590-$AF590))</f>
        <v/>
      </c>
      <c r="AL590" s="22">
        <f>IF(OR($AK590="",$AG590=""),"",MAX(0,$AK590*$AG590))</f>
        <v/>
      </c>
      <c r="AM590" s="22">
        <f>IF($AE590="","",MAX(0,SUM($AE590,$AL590,$V590,$W590)))</f>
        <v/>
      </c>
      <c r="AN590" s="22">
        <f>IF($AM590="","",IF(AND($Q590="COMMITMENT",$R590&gt;=$AH590),$AI590,0))</f>
        <v/>
      </c>
      <c r="AO590" s="23">
        <f>IF($AM590="","",MAX(0,$AM590-$AN590))</f>
        <v/>
      </c>
      <c r="AP590" s="22">
        <f>IF($S590="","",IF(OR($S590="ITEM_PRICE_PLUS_DECLARED_DELIVERY",$S590="DELIVERY_CHARGE_ONLY"),$K590,IF($S590="TOTAL_AMOUNT_INCLUDING_DELIVERY",IF(OR($T590="",$J590=""),"",MAX(0,$T590-$J590-$U590)),IF($S590="ITEM_PRICE_ONLY_DELIVERY_PAID_BY_MERCHANT",0,""))))</f>
        <v/>
      </c>
      <c r="AQ590" s="23">
        <f>IF(OR($AP590="",$AO590=""),"",$AP590-$AO590)</f>
        <v/>
      </c>
      <c r="AR590" s="24">
        <f>IF($S590="EXACT_COLLECTION_AMOUNT","BREAKDOWN_REQUIRED",IF($AQ590="","",IF($AQ590&gt;0,"CREDIT_TO_MERCHANT",IF($AQ590&lt;0,"DEDUCT_FROM_MERCHANT","NO_ADJUSTMENT"))))</f>
        <v/>
      </c>
      <c r="AS590" s="23">
        <f>IF(OR($AQ590="",$AR590="BREAKDOWN_REQUIRED"),"",$AQ590)</f>
        <v/>
      </c>
      <c r="AT590" s="23">
        <f>IF(OR($AR590="",$AR590="BREAKDOWN_REQUIRED"),"",SUM($J590,$AQ590,$Y590)-$X590)</f>
        <v/>
      </c>
      <c r="AU590" s="25">
        <f>IF(AND($A590="",$B590="",$F590="",$H590="",$J590="",$K590="",$M590="",$S590=""),"",IF(OR($H590="",$Q590="",$M590="",$S590=""),"ERROR",IF(OR($J590&lt;0,$K590&lt;0,$M590&lt;0,$T590&lt;0,$U590&lt;0,$V590&lt;0,$W590&lt;0,$X590&lt;0,$Y590&lt;0),"ERROR",IF($AE590="","ERROR",IF(AND(OR($S590="ITEM_PRICE_PLUS_DECLARED_DELIVERY",$S590="TOTAL_AMOUNT_INCLUDING_DELIVERY",$S590="ITEM_PRICE_ONLY_DELIVERY_PAID_BY_MERCHANT"),$J590=""),"ERROR",IF(AND(OR($S590="ITEM_PRICE_PLUS_DECLARED_DELIVERY",$S590="DELIVERY_CHARGE_ONLY"),$K590=""),"ERROR",IF(AND(OR($S590="TOTAL_AMOUNT_INCLUDING_DELIVERY",$S590="EXACT_COLLECTION_AMOUNT"),$T590=""),"ERROR",IF(AND($S590="TOTAL_AMOUNT_INCLUDING_DELIVERY",$T590&lt;SUM($J590,$U590)),"ERROR",IF($S590="EXACT_COLLECTION_AMOUNT","REVIEW","OK")))))))))</f>
        <v/>
      </c>
      <c r="AV590" s="25">
        <f>IF($AU590="","",IF($H590="","Township required",IF($Q590="","Customer tier required",IF($M590="","Weight required",IF($S590="","Amount entry type required",IF(OR($J590&lt;0,$K590&lt;0,$M590&lt;0,$T590&lt;0,$U590&lt;0,$V590&lt;0,$W590&lt;0,$X590&lt;0,$Y590&lt;0),"Negative amounts are not allowed",IF($AE590="","Tariff not found for township and tier",IF(AND(OR($S590="ITEM_PRICE_PLUS_DECLARED_DELIVERY",$S590="TOTAL_AMOUNT_INCLUDING_DELIVERY",$S590="ITEM_PRICE_ONLY_DELIVERY_PAID_BY_MERCHANT"),$J590=""),"Item price required for this amount type",IF(AND(OR($S590="ITEM_PRICE_PLUS_DECLARED_DELIVERY",$S590="DELIVERY_CHARGE_ONLY"),$K590=""),"Declared delivery charge required",IF(AND(OR($S590="TOTAL_AMOUNT_INCLUDING_DELIVERY",$S590="EXACT_COLLECTION_AMOUNT"),$T590=""),"Stated total amount required",IF(AND($S590="TOTAL_AMOUNT_INCLUDING_DELIVERY",$T590&lt;SUM($J590,$U590)),"Stated total is below item price plus additional charge",IF($S590="EXACT_COLLECTION_AMOUNT","Authorized amount breakdown required before settlement","Ready for collection and settlement"))))))))))))</f>
        <v/>
      </c>
      <c r="AW590" s="23">
        <f>IF($AU590="","","PARCEL_FINANCIAL_V2")</f>
        <v/>
      </c>
      <c r="AX590" s="17" t="n"/>
    </row>
    <row r="591">
      <c r="A591" s="8" t="n"/>
      <c r="B591" s="8" t="n"/>
      <c r="C591" s="8" t="n"/>
      <c r="D591" s="8" t="n"/>
      <c r="E591" s="9" t="n"/>
      <c r="F591" s="9" t="n"/>
      <c r="G591" s="8" t="n"/>
      <c r="H591" s="9" t="n"/>
      <c r="I591" s="9" t="n"/>
      <c r="J591" s="10" t="n"/>
      <c r="K591" s="10" t="n"/>
      <c r="L591" s="11">
        <f>IF($S591="","",IF($S591="ITEM_PRICE_PLUS_DECLARED_DELIVERY",IF(OR($J591="",$K591=""),"",SUM($J591,$K591,$U591)),IF($S591="TOTAL_AMOUNT_INCLUDING_DELIVERY",IF($T591="","",$T591),IF($S591="DELIVERY_CHARGE_ONLY",IF($K591="","",SUM($K591,$U591)),IF($S591="EXACT_COLLECTION_AMOUNT",IF($T591="","",$T591),IF($S591="ITEM_PRICE_ONLY_DELIVERY_PAID_BY_MERCHANT",IF($J591="","",SUM($J591,$U591)),""))))))</f>
        <v/>
      </c>
      <c r="M591" s="12" t="n"/>
      <c r="N591" s="13" t="n"/>
      <c r="O591" s="13" t="n"/>
      <c r="P591" s="9" t="n"/>
      <c r="Q591" s="14" t="n"/>
      <c r="R591" s="15" t="n"/>
      <c r="S591" s="14" t="n"/>
      <c r="T591" s="16" t="n"/>
      <c r="U591" s="16" t="n"/>
      <c r="V591" s="16" t="n"/>
      <c r="W591" s="16" t="n"/>
      <c r="X591" s="16" t="n"/>
      <c r="Y591" s="16" t="n"/>
      <c r="Z591" s="14" t="n"/>
      <c r="AA591" s="14" t="n"/>
      <c r="AB591" s="14" t="n"/>
      <c r="AC591" s="17">
        <f>IFERROR(VLOOKUP($H591&amp;"|"&amp;$Q591,Tariff_Master!$A$2:$L$169,3,FALSE),"")</f>
        <v/>
      </c>
      <c r="AD591" s="17">
        <f>IFERROR(VLOOKUP($H591&amp;"|"&amp;$Q591,Tariff_Master!$A$2:$L$169,4,FALSE),"")</f>
        <v/>
      </c>
      <c r="AE591" s="18">
        <f>IFERROR(VLOOKUP($H591&amp;"|"&amp;$Q591,Tariff_Master!$A$2:$L$169,6,FALSE),"")</f>
        <v/>
      </c>
      <c r="AF591" s="19">
        <f>IFERROR(VLOOKUP($H591&amp;"|"&amp;$Q591,Tariff_Master!$A$2:$L$169,7,FALSE),"")</f>
        <v/>
      </c>
      <c r="AG591" s="18">
        <f>IFERROR(VLOOKUP($H591&amp;"|"&amp;$Q591,Tariff_Master!$A$2:$L$169,8,FALSE),"")</f>
        <v/>
      </c>
      <c r="AH591" s="20">
        <f>IFERROR(VLOOKUP($H591&amp;"|"&amp;$Q591,Tariff_Master!$A$2:$L$169,9,FALSE),"")</f>
        <v/>
      </c>
      <c r="AI591" s="18">
        <f>IFERROR(VLOOKUP($H591&amp;"|"&amp;$Q591,Tariff_Master!$A$2:$L$169,10,FALSE),"")</f>
        <v/>
      </c>
      <c r="AJ591" s="21">
        <f>IF($M591="","",ROUNDUP(MAX(0,$M591),0))</f>
        <v/>
      </c>
      <c r="AK591" s="21">
        <f>IF(OR($AJ591="",$AF591=""),"",MAX(0,$AJ591-$AF591))</f>
        <v/>
      </c>
      <c r="AL591" s="22">
        <f>IF(OR($AK591="",$AG591=""),"",MAX(0,$AK591*$AG591))</f>
        <v/>
      </c>
      <c r="AM591" s="22">
        <f>IF($AE591="","",MAX(0,SUM($AE591,$AL591,$V591,$W591)))</f>
        <v/>
      </c>
      <c r="AN591" s="22">
        <f>IF($AM591="","",IF(AND($Q591="COMMITMENT",$R591&gt;=$AH591),$AI591,0))</f>
        <v/>
      </c>
      <c r="AO591" s="23">
        <f>IF($AM591="","",MAX(0,$AM591-$AN591))</f>
        <v/>
      </c>
      <c r="AP591" s="22">
        <f>IF($S591="","",IF(OR($S591="ITEM_PRICE_PLUS_DECLARED_DELIVERY",$S591="DELIVERY_CHARGE_ONLY"),$K591,IF($S591="TOTAL_AMOUNT_INCLUDING_DELIVERY",IF(OR($T591="",$J591=""),"",MAX(0,$T591-$J591-$U591)),IF($S591="ITEM_PRICE_ONLY_DELIVERY_PAID_BY_MERCHANT",0,""))))</f>
        <v/>
      </c>
      <c r="AQ591" s="23">
        <f>IF(OR($AP591="",$AO591=""),"",$AP591-$AO591)</f>
        <v/>
      </c>
      <c r="AR591" s="24">
        <f>IF($S591="EXACT_COLLECTION_AMOUNT","BREAKDOWN_REQUIRED",IF($AQ591="","",IF($AQ591&gt;0,"CREDIT_TO_MERCHANT",IF($AQ591&lt;0,"DEDUCT_FROM_MERCHANT","NO_ADJUSTMENT"))))</f>
        <v/>
      </c>
      <c r="AS591" s="23">
        <f>IF(OR($AQ591="",$AR591="BREAKDOWN_REQUIRED"),"",$AQ591)</f>
        <v/>
      </c>
      <c r="AT591" s="23">
        <f>IF(OR($AR591="",$AR591="BREAKDOWN_REQUIRED"),"",SUM($J591,$AQ591,$Y591)-$X591)</f>
        <v/>
      </c>
      <c r="AU591" s="25">
        <f>IF(AND($A591="",$B591="",$F591="",$H591="",$J591="",$K591="",$M591="",$S591=""),"",IF(OR($H591="",$Q591="",$M591="",$S591=""),"ERROR",IF(OR($J591&lt;0,$K591&lt;0,$M591&lt;0,$T591&lt;0,$U591&lt;0,$V591&lt;0,$W591&lt;0,$X591&lt;0,$Y591&lt;0),"ERROR",IF($AE591="","ERROR",IF(AND(OR($S591="ITEM_PRICE_PLUS_DECLARED_DELIVERY",$S591="TOTAL_AMOUNT_INCLUDING_DELIVERY",$S591="ITEM_PRICE_ONLY_DELIVERY_PAID_BY_MERCHANT"),$J591=""),"ERROR",IF(AND(OR($S591="ITEM_PRICE_PLUS_DECLARED_DELIVERY",$S591="DELIVERY_CHARGE_ONLY"),$K591=""),"ERROR",IF(AND(OR($S591="TOTAL_AMOUNT_INCLUDING_DELIVERY",$S591="EXACT_COLLECTION_AMOUNT"),$T591=""),"ERROR",IF(AND($S591="TOTAL_AMOUNT_INCLUDING_DELIVERY",$T591&lt;SUM($J591,$U591)),"ERROR",IF($S591="EXACT_COLLECTION_AMOUNT","REVIEW","OK")))))))))</f>
        <v/>
      </c>
      <c r="AV591" s="25">
        <f>IF($AU591="","",IF($H591="","Township required",IF($Q591="","Customer tier required",IF($M591="","Weight required",IF($S591="","Amount entry type required",IF(OR($J591&lt;0,$K591&lt;0,$M591&lt;0,$T591&lt;0,$U591&lt;0,$V591&lt;0,$W591&lt;0,$X591&lt;0,$Y591&lt;0),"Negative amounts are not allowed",IF($AE591="","Tariff not found for township and tier",IF(AND(OR($S591="ITEM_PRICE_PLUS_DECLARED_DELIVERY",$S591="TOTAL_AMOUNT_INCLUDING_DELIVERY",$S591="ITEM_PRICE_ONLY_DELIVERY_PAID_BY_MERCHANT"),$J591=""),"Item price required for this amount type",IF(AND(OR($S591="ITEM_PRICE_PLUS_DECLARED_DELIVERY",$S591="DELIVERY_CHARGE_ONLY"),$K591=""),"Declared delivery charge required",IF(AND(OR($S591="TOTAL_AMOUNT_INCLUDING_DELIVERY",$S591="EXACT_COLLECTION_AMOUNT"),$T591=""),"Stated total amount required",IF(AND($S591="TOTAL_AMOUNT_INCLUDING_DELIVERY",$T591&lt;SUM($J591,$U591)),"Stated total is below item price plus additional charge",IF($S591="EXACT_COLLECTION_AMOUNT","Authorized amount breakdown required before settlement","Ready for collection and settlement"))))))))))))</f>
        <v/>
      </c>
      <c r="AW591" s="23">
        <f>IF($AU591="","","PARCEL_FINANCIAL_V2")</f>
        <v/>
      </c>
      <c r="AX591" s="17" t="n"/>
    </row>
    <row r="592">
      <c r="A592" s="8" t="n"/>
      <c r="B592" s="8" t="n"/>
      <c r="C592" s="8" t="n"/>
      <c r="D592" s="8" t="n"/>
      <c r="E592" s="9" t="n"/>
      <c r="F592" s="9" t="n"/>
      <c r="G592" s="8" t="n"/>
      <c r="H592" s="9" t="n"/>
      <c r="I592" s="9" t="n"/>
      <c r="J592" s="10" t="n"/>
      <c r="K592" s="10" t="n"/>
      <c r="L592" s="11">
        <f>IF($S592="","",IF($S592="ITEM_PRICE_PLUS_DECLARED_DELIVERY",IF(OR($J592="",$K592=""),"",SUM($J592,$K592,$U592)),IF($S592="TOTAL_AMOUNT_INCLUDING_DELIVERY",IF($T592="","",$T592),IF($S592="DELIVERY_CHARGE_ONLY",IF($K592="","",SUM($K592,$U592)),IF($S592="EXACT_COLLECTION_AMOUNT",IF($T592="","",$T592),IF($S592="ITEM_PRICE_ONLY_DELIVERY_PAID_BY_MERCHANT",IF($J592="","",SUM($J592,$U592)),""))))))</f>
        <v/>
      </c>
      <c r="M592" s="12" t="n"/>
      <c r="N592" s="13" t="n"/>
      <c r="O592" s="13" t="n"/>
      <c r="P592" s="9" t="n"/>
      <c r="Q592" s="14" t="n"/>
      <c r="R592" s="15" t="n"/>
      <c r="S592" s="14" t="n"/>
      <c r="T592" s="16" t="n"/>
      <c r="U592" s="16" t="n"/>
      <c r="V592" s="16" t="n"/>
      <c r="W592" s="16" t="n"/>
      <c r="X592" s="16" t="n"/>
      <c r="Y592" s="16" t="n"/>
      <c r="Z592" s="14" t="n"/>
      <c r="AA592" s="14" t="n"/>
      <c r="AB592" s="14" t="n"/>
      <c r="AC592" s="17">
        <f>IFERROR(VLOOKUP($H592&amp;"|"&amp;$Q592,Tariff_Master!$A$2:$L$169,3,FALSE),"")</f>
        <v/>
      </c>
      <c r="AD592" s="17">
        <f>IFERROR(VLOOKUP($H592&amp;"|"&amp;$Q592,Tariff_Master!$A$2:$L$169,4,FALSE),"")</f>
        <v/>
      </c>
      <c r="AE592" s="18">
        <f>IFERROR(VLOOKUP($H592&amp;"|"&amp;$Q592,Tariff_Master!$A$2:$L$169,6,FALSE),"")</f>
        <v/>
      </c>
      <c r="AF592" s="19">
        <f>IFERROR(VLOOKUP($H592&amp;"|"&amp;$Q592,Tariff_Master!$A$2:$L$169,7,FALSE),"")</f>
        <v/>
      </c>
      <c r="AG592" s="18">
        <f>IFERROR(VLOOKUP($H592&amp;"|"&amp;$Q592,Tariff_Master!$A$2:$L$169,8,FALSE),"")</f>
        <v/>
      </c>
      <c r="AH592" s="20">
        <f>IFERROR(VLOOKUP($H592&amp;"|"&amp;$Q592,Tariff_Master!$A$2:$L$169,9,FALSE),"")</f>
        <v/>
      </c>
      <c r="AI592" s="18">
        <f>IFERROR(VLOOKUP($H592&amp;"|"&amp;$Q592,Tariff_Master!$A$2:$L$169,10,FALSE),"")</f>
        <v/>
      </c>
      <c r="AJ592" s="21">
        <f>IF($M592="","",ROUNDUP(MAX(0,$M592),0))</f>
        <v/>
      </c>
      <c r="AK592" s="21">
        <f>IF(OR($AJ592="",$AF592=""),"",MAX(0,$AJ592-$AF592))</f>
        <v/>
      </c>
      <c r="AL592" s="22">
        <f>IF(OR($AK592="",$AG592=""),"",MAX(0,$AK592*$AG592))</f>
        <v/>
      </c>
      <c r="AM592" s="22">
        <f>IF($AE592="","",MAX(0,SUM($AE592,$AL592,$V592,$W592)))</f>
        <v/>
      </c>
      <c r="AN592" s="22">
        <f>IF($AM592="","",IF(AND($Q592="COMMITMENT",$R592&gt;=$AH592),$AI592,0))</f>
        <v/>
      </c>
      <c r="AO592" s="23">
        <f>IF($AM592="","",MAX(0,$AM592-$AN592))</f>
        <v/>
      </c>
      <c r="AP592" s="22">
        <f>IF($S592="","",IF(OR($S592="ITEM_PRICE_PLUS_DECLARED_DELIVERY",$S592="DELIVERY_CHARGE_ONLY"),$K592,IF($S592="TOTAL_AMOUNT_INCLUDING_DELIVERY",IF(OR($T592="",$J592=""),"",MAX(0,$T592-$J592-$U592)),IF($S592="ITEM_PRICE_ONLY_DELIVERY_PAID_BY_MERCHANT",0,""))))</f>
        <v/>
      </c>
      <c r="AQ592" s="23">
        <f>IF(OR($AP592="",$AO592=""),"",$AP592-$AO592)</f>
        <v/>
      </c>
      <c r="AR592" s="24">
        <f>IF($S592="EXACT_COLLECTION_AMOUNT","BREAKDOWN_REQUIRED",IF($AQ592="","",IF($AQ592&gt;0,"CREDIT_TO_MERCHANT",IF($AQ592&lt;0,"DEDUCT_FROM_MERCHANT","NO_ADJUSTMENT"))))</f>
        <v/>
      </c>
      <c r="AS592" s="23">
        <f>IF(OR($AQ592="",$AR592="BREAKDOWN_REQUIRED"),"",$AQ592)</f>
        <v/>
      </c>
      <c r="AT592" s="23">
        <f>IF(OR($AR592="",$AR592="BREAKDOWN_REQUIRED"),"",SUM($J592,$AQ592,$Y592)-$X592)</f>
        <v/>
      </c>
      <c r="AU592" s="25">
        <f>IF(AND($A592="",$B592="",$F592="",$H592="",$J592="",$K592="",$M592="",$S592=""),"",IF(OR($H592="",$Q592="",$M592="",$S592=""),"ERROR",IF(OR($J592&lt;0,$K592&lt;0,$M592&lt;0,$T592&lt;0,$U592&lt;0,$V592&lt;0,$W592&lt;0,$X592&lt;0,$Y592&lt;0),"ERROR",IF($AE592="","ERROR",IF(AND(OR($S592="ITEM_PRICE_PLUS_DECLARED_DELIVERY",$S592="TOTAL_AMOUNT_INCLUDING_DELIVERY",$S592="ITEM_PRICE_ONLY_DELIVERY_PAID_BY_MERCHANT"),$J592=""),"ERROR",IF(AND(OR($S592="ITEM_PRICE_PLUS_DECLARED_DELIVERY",$S592="DELIVERY_CHARGE_ONLY"),$K592=""),"ERROR",IF(AND(OR($S592="TOTAL_AMOUNT_INCLUDING_DELIVERY",$S592="EXACT_COLLECTION_AMOUNT"),$T592=""),"ERROR",IF(AND($S592="TOTAL_AMOUNT_INCLUDING_DELIVERY",$T592&lt;SUM($J592,$U592)),"ERROR",IF($S592="EXACT_COLLECTION_AMOUNT","REVIEW","OK")))))))))</f>
        <v/>
      </c>
      <c r="AV592" s="25">
        <f>IF($AU592="","",IF($H592="","Township required",IF($Q592="","Customer tier required",IF($M592="","Weight required",IF($S592="","Amount entry type required",IF(OR($J592&lt;0,$K592&lt;0,$M592&lt;0,$T592&lt;0,$U592&lt;0,$V592&lt;0,$W592&lt;0,$X592&lt;0,$Y592&lt;0),"Negative amounts are not allowed",IF($AE592="","Tariff not found for township and tier",IF(AND(OR($S592="ITEM_PRICE_PLUS_DECLARED_DELIVERY",$S592="TOTAL_AMOUNT_INCLUDING_DELIVERY",$S592="ITEM_PRICE_ONLY_DELIVERY_PAID_BY_MERCHANT"),$J592=""),"Item price required for this amount type",IF(AND(OR($S592="ITEM_PRICE_PLUS_DECLARED_DELIVERY",$S592="DELIVERY_CHARGE_ONLY"),$K592=""),"Declared delivery charge required",IF(AND(OR($S592="TOTAL_AMOUNT_INCLUDING_DELIVERY",$S592="EXACT_COLLECTION_AMOUNT"),$T592=""),"Stated total amount required",IF(AND($S592="TOTAL_AMOUNT_INCLUDING_DELIVERY",$T592&lt;SUM($J592,$U592)),"Stated total is below item price plus additional charge",IF($S592="EXACT_COLLECTION_AMOUNT","Authorized amount breakdown required before settlement","Ready for collection and settlement"))))))))))))</f>
        <v/>
      </c>
      <c r="AW592" s="23">
        <f>IF($AU592="","","PARCEL_FINANCIAL_V2")</f>
        <v/>
      </c>
      <c r="AX592" s="17" t="n"/>
    </row>
    <row r="593">
      <c r="A593" s="8" t="n"/>
      <c r="B593" s="8" t="n"/>
      <c r="C593" s="8" t="n"/>
      <c r="D593" s="8" t="n"/>
      <c r="E593" s="9" t="n"/>
      <c r="F593" s="9" t="n"/>
      <c r="G593" s="8" t="n"/>
      <c r="H593" s="9" t="n"/>
      <c r="I593" s="9" t="n"/>
      <c r="J593" s="10" t="n"/>
      <c r="K593" s="10" t="n"/>
      <c r="L593" s="11">
        <f>IF($S593="","",IF($S593="ITEM_PRICE_PLUS_DECLARED_DELIVERY",IF(OR($J593="",$K593=""),"",SUM($J593,$K593,$U593)),IF($S593="TOTAL_AMOUNT_INCLUDING_DELIVERY",IF($T593="","",$T593),IF($S593="DELIVERY_CHARGE_ONLY",IF($K593="","",SUM($K593,$U593)),IF($S593="EXACT_COLLECTION_AMOUNT",IF($T593="","",$T593),IF($S593="ITEM_PRICE_ONLY_DELIVERY_PAID_BY_MERCHANT",IF($J593="","",SUM($J593,$U593)),""))))))</f>
        <v/>
      </c>
      <c r="M593" s="12" t="n"/>
      <c r="N593" s="13" t="n"/>
      <c r="O593" s="13" t="n"/>
      <c r="P593" s="9" t="n"/>
      <c r="Q593" s="14" t="n"/>
      <c r="R593" s="15" t="n"/>
      <c r="S593" s="14" t="n"/>
      <c r="T593" s="16" t="n"/>
      <c r="U593" s="16" t="n"/>
      <c r="V593" s="16" t="n"/>
      <c r="W593" s="16" t="n"/>
      <c r="X593" s="16" t="n"/>
      <c r="Y593" s="16" t="n"/>
      <c r="Z593" s="14" t="n"/>
      <c r="AA593" s="14" t="n"/>
      <c r="AB593" s="14" t="n"/>
      <c r="AC593" s="17">
        <f>IFERROR(VLOOKUP($H593&amp;"|"&amp;$Q593,Tariff_Master!$A$2:$L$169,3,FALSE),"")</f>
        <v/>
      </c>
      <c r="AD593" s="17">
        <f>IFERROR(VLOOKUP($H593&amp;"|"&amp;$Q593,Tariff_Master!$A$2:$L$169,4,FALSE),"")</f>
        <v/>
      </c>
      <c r="AE593" s="18">
        <f>IFERROR(VLOOKUP($H593&amp;"|"&amp;$Q593,Tariff_Master!$A$2:$L$169,6,FALSE),"")</f>
        <v/>
      </c>
      <c r="AF593" s="19">
        <f>IFERROR(VLOOKUP($H593&amp;"|"&amp;$Q593,Tariff_Master!$A$2:$L$169,7,FALSE),"")</f>
        <v/>
      </c>
      <c r="AG593" s="18">
        <f>IFERROR(VLOOKUP($H593&amp;"|"&amp;$Q593,Tariff_Master!$A$2:$L$169,8,FALSE),"")</f>
        <v/>
      </c>
      <c r="AH593" s="20">
        <f>IFERROR(VLOOKUP($H593&amp;"|"&amp;$Q593,Tariff_Master!$A$2:$L$169,9,FALSE),"")</f>
        <v/>
      </c>
      <c r="AI593" s="18">
        <f>IFERROR(VLOOKUP($H593&amp;"|"&amp;$Q593,Tariff_Master!$A$2:$L$169,10,FALSE),"")</f>
        <v/>
      </c>
      <c r="AJ593" s="21">
        <f>IF($M593="","",ROUNDUP(MAX(0,$M593),0))</f>
        <v/>
      </c>
      <c r="AK593" s="21">
        <f>IF(OR($AJ593="",$AF593=""),"",MAX(0,$AJ593-$AF593))</f>
        <v/>
      </c>
      <c r="AL593" s="22">
        <f>IF(OR($AK593="",$AG593=""),"",MAX(0,$AK593*$AG593))</f>
        <v/>
      </c>
      <c r="AM593" s="22">
        <f>IF($AE593="","",MAX(0,SUM($AE593,$AL593,$V593,$W593)))</f>
        <v/>
      </c>
      <c r="AN593" s="22">
        <f>IF($AM593="","",IF(AND($Q593="COMMITMENT",$R593&gt;=$AH593),$AI593,0))</f>
        <v/>
      </c>
      <c r="AO593" s="23">
        <f>IF($AM593="","",MAX(0,$AM593-$AN593))</f>
        <v/>
      </c>
      <c r="AP593" s="22">
        <f>IF($S593="","",IF(OR($S593="ITEM_PRICE_PLUS_DECLARED_DELIVERY",$S593="DELIVERY_CHARGE_ONLY"),$K593,IF($S593="TOTAL_AMOUNT_INCLUDING_DELIVERY",IF(OR($T593="",$J593=""),"",MAX(0,$T593-$J593-$U593)),IF($S593="ITEM_PRICE_ONLY_DELIVERY_PAID_BY_MERCHANT",0,""))))</f>
        <v/>
      </c>
      <c r="AQ593" s="23">
        <f>IF(OR($AP593="",$AO593=""),"",$AP593-$AO593)</f>
        <v/>
      </c>
      <c r="AR593" s="24">
        <f>IF($S593="EXACT_COLLECTION_AMOUNT","BREAKDOWN_REQUIRED",IF($AQ593="","",IF($AQ593&gt;0,"CREDIT_TO_MERCHANT",IF($AQ593&lt;0,"DEDUCT_FROM_MERCHANT","NO_ADJUSTMENT"))))</f>
        <v/>
      </c>
      <c r="AS593" s="23">
        <f>IF(OR($AQ593="",$AR593="BREAKDOWN_REQUIRED"),"",$AQ593)</f>
        <v/>
      </c>
      <c r="AT593" s="23">
        <f>IF(OR($AR593="",$AR593="BREAKDOWN_REQUIRED"),"",SUM($J593,$AQ593,$Y593)-$X593)</f>
        <v/>
      </c>
      <c r="AU593" s="25">
        <f>IF(AND($A593="",$B593="",$F593="",$H593="",$J593="",$K593="",$M593="",$S593=""),"",IF(OR($H593="",$Q593="",$M593="",$S593=""),"ERROR",IF(OR($J593&lt;0,$K593&lt;0,$M593&lt;0,$T593&lt;0,$U593&lt;0,$V593&lt;0,$W593&lt;0,$X593&lt;0,$Y593&lt;0),"ERROR",IF($AE593="","ERROR",IF(AND(OR($S593="ITEM_PRICE_PLUS_DECLARED_DELIVERY",$S593="TOTAL_AMOUNT_INCLUDING_DELIVERY",$S593="ITEM_PRICE_ONLY_DELIVERY_PAID_BY_MERCHANT"),$J593=""),"ERROR",IF(AND(OR($S593="ITEM_PRICE_PLUS_DECLARED_DELIVERY",$S593="DELIVERY_CHARGE_ONLY"),$K593=""),"ERROR",IF(AND(OR($S593="TOTAL_AMOUNT_INCLUDING_DELIVERY",$S593="EXACT_COLLECTION_AMOUNT"),$T593=""),"ERROR",IF(AND($S593="TOTAL_AMOUNT_INCLUDING_DELIVERY",$T593&lt;SUM($J593,$U593)),"ERROR",IF($S593="EXACT_COLLECTION_AMOUNT","REVIEW","OK")))))))))</f>
        <v/>
      </c>
      <c r="AV593" s="25">
        <f>IF($AU593="","",IF($H593="","Township required",IF($Q593="","Customer tier required",IF($M593="","Weight required",IF($S593="","Amount entry type required",IF(OR($J593&lt;0,$K593&lt;0,$M593&lt;0,$T593&lt;0,$U593&lt;0,$V593&lt;0,$W593&lt;0,$X593&lt;0,$Y593&lt;0),"Negative amounts are not allowed",IF($AE593="","Tariff not found for township and tier",IF(AND(OR($S593="ITEM_PRICE_PLUS_DECLARED_DELIVERY",$S593="TOTAL_AMOUNT_INCLUDING_DELIVERY",$S593="ITEM_PRICE_ONLY_DELIVERY_PAID_BY_MERCHANT"),$J593=""),"Item price required for this amount type",IF(AND(OR($S593="ITEM_PRICE_PLUS_DECLARED_DELIVERY",$S593="DELIVERY_CHARGE_ONLY"),$K593=""),"Declared delivery charge required",IF(AND(OR($S593="TOTAL_AMOUNT_INCLUDING_DELIVERY",$S593="EXACT_COLLECTION_AMOUNT"),$T593=""),"Stated total amount required",IF(AND($S593="TOTAL_AMOUNT_INCLUDING_DELIVERY",$T593&lt;SUM($J593,$U593)),"Stated total is below item price plus additional charge",IF($S593="EXACT_COLLECTION_AMOUNT","Authorized amount breakdown required before settlement","Ready for collection and settlement"))))))))))))</f>
        <v/>
      </c>
      <c r="AW593" s="23">
        <f>IF($AU593="","","PARCEL_FINANCIAL_V2")</f>
        <v/>
      </c>
      <c r="AX593" s="17" t="n"/>
    </row>
    <row r="594">
      <c r="A594" s="8" t="n"/>
      <c r="B594" s="8" t="n"/>
      <c r="C594" s="8" t="n"/>
      <c r="D594" s="8" t="n"/>
      <c r="E594" s="9" t="n"/>
      <c r="F594" s="9" t="n"/>
      <c r="G594" s="8" t="n"/>
      <c r="H594" s="9" t="n"/>
      <c r="I594" s="9" t="n"/>
      <c r="J594" s="10" t="n"/>
      <c r="K594" s="10" t="n"/>
      <c r="L594" s="11">
        <f>IF($S594="","",IF($S594="ITEM_PRICE_PLUS_DECLARED_DELIVERY",IF(OR($J594="",$K594=""),"",SUM($J594,$K594,$U594)),IF($S594="TOTAL_AMOUNT_INCLUDING_DELIVERY",IF($T594="","",$T594),IF($S594="DELIVERY_CHARGE_ONLY",IF($K594="","",SUM($K594,$U594)),IF($S594="EXACT_COLLECTION_AMOUNT",IF($T594="","",$T594),IF($S594="ITEM_PRICE_ONLY_DELIVERY_PAID_BY_MERCHANT",IF($J594="","",SUM($J594,$U594)),""))))))</f>
        <v/>
      </c>
      <c r="M594" s="12" t="n"/>
      <c r="N594" s="13" t="n"/>
      <c r="O594" s="13" t="n"/>
      <c r="P594" s="9" t="n"/>
      <c r="Q594" s="14" t="n"/>
      <c r="R594" s="15" t="n"/>
      <c r="S594" s="14" t="n"/>
      <c r="T594" s="16" t="n"/>
      <c r="U594" s="16" t="n"/>
      <c r="V594" s="16" t="n"/>
      <c r="W594" s="16" t="n"/>
      <c r="X594" s="16" t="n"/>
      <c r="Y594" s="16" t="n"/>
      <c r="Z594" s="14" t="n"/>
      <c r="AA594" s="14" t="n"/>
      <c r="AB594" s="14" t="n"/>
      <c r="AC594" s="17">
        <f>IFERROR(VLOOKUP($H594&amp;"|"&amp;$Q594,Tariff_Master!$A$2:$L$169,3,FALSE),"")</f>
        <v/>
      </c>
      <c r="AD594" s="17">
        <f>IFERROR(VLOOKUP($H594&amp;"|"&amp;$Q594,Tariff_Master!$A$2:$L$169,4,FALSE),"")</f>
        <v/>
      </c>
      <c r="AE594" s="18">
        <f>IFERROR(VLOOKUP($H594&amp;"|"&amp;$Q594,Tariff_Master!$A$2:$L$169,6,FALSE),"")</f>
        <v/>
      </c>
      <c r="AF594" s="19">
        <f>IFERROR(VLOOKUP($H594&amp;"|"&amp;$Q594,Tariff_Master!$A$2:$L$169,7,FALSE),"")</f>
        <v/>
      </c>
      <c r="AG594" s="18">
        <f>IFERROR(VLOOKUP($H594&amp;"|"&amp;$Q594,Tariff_Master!$A$2:$L$169,8,FALSE),"")</f>
        <v/>
      </c>
      <c r="AH594" s="20">
        <f>IFERROR(VLOOKUP($H594&amp;"|"&amp;$Q594,Tariff_Master!$A$2:$L$169,9,FALSE),"")</f>
        <v/>
      </c>
      <c r="AI594" s="18">
        <f>IFERROR(VLOOKUP($H594&amp;"|"&amp;$Q594,Tariff_Master!$A$2:$L$169,10,FALSE),"")</f>
        <v/>
      </c>
      <c r="AJ594" s="21">
        <f>IF($M594="","",ROUNDUP(MAX(0,$M594),0))</f>
        <v/>
      </c>
      <c r="AK594" s="21">
        <f>IF(OR($AJ594="",$AF594=""),"",MAX(0,$AJ594-$AF594))</f>
        <v/>
      </c>
      <c r="AL594" s="22">
        <f>IF(OR($AK594="",$AG594=""),"",MAX(0,$AK594*$AG594))</f>
        <v/>
      </c>
      <c r="AM594" s="22">
        <f>IF($AE594="","",MAX(0,SUM($AE594,$AL594,$V594,$W594)))</f>
        <v/>
      </c>
      <c r="AN594" s="22">
        <f>IF($AM594="","",IF(AND($Q594="COMMITMENT",$R594&gt;=$AH594),$AI594,0))</f>
        <v/>
      </c>
      <c r="AO594" s="23">
        <f>IF($AM594="","",MAX(0,$AM594-$AN594))</f>
        <v/>
      </c>
      <c r="AP594" s="22">
        <f>IF($S594="","",IF(OR($S594="ITEM_PRICE_PLUS_DECLARED_DELIVERY",$S594="DELIVERY_CHARGE_ONLY"),$K594,IF($S594="TOTAL_AMOUNT_INCLUDING_DELIVERY",IF(OR($T594="",$J594=""),"",MAX(0,$T594-$J594-$U594)),IF($S594="ITEM_PRICE_ONLY_DELIVERY_PAID_BY_MERCHANT",0,""))))</f>
        <v/>
      </c>
      <c r="AQ594" s="23">
        <f>IF(OR($AP594="",$AO594=""),"",$AP594-$AO594)</f>
        <v/>
      </c>
      <c r="AR594" s="24">
        <f>IF($S594="EXACT_COLLECTION_AMOUNT","BREAKDOWN_REQUIRED",IF($AQ594="","",IF($AQ594&gt;0,"CREDIT_TO_MERCHANT",IF($AQ594&lt;0,"DEDUCT_FROM_MERCHANT","NO_ADJUSTMENT"))))</f>
        <v/>
      </c>
      <c r="AS594" s="23">
        <f>IF(OR($AQ594="",$AR594="BREAKDOWN_REQUIRED"),"",$AQ594)</f>
        <v/>
      </c>
      <c r="AT594" s="23">
        <f>IF(OR($AR594="",$AR594="BREAKDOWN_REQUIRED"),"",SUM($J594,$AQ594,$Y594)-$X594)</f>
        <v/>
      </c>
      <c r="AU594" s="25">
        <f>IF(AND($A594="",$B594="",$F594="",$H594="",$J594="",$K594="",$M594="",$S594=""),"",IF(OR($H594="",$Q594="",$M594="",$S594=""),"ERROR",IF(OR($J594&lt;0,$K594&lt;0,$M594&lt;0,$T594&lt;0,$U594&lt;0,$V594&lt;0,$W594&lt;0,$X594&lt;0,$Y594&lt;0),"ERROR",IF($AE594="","ERROR",IF(AND(OR($S594="ITEM_PRICE_PLUS_DECLARED_DELIVERY",$S594="TOTAL_AMOUNT_INCLUDING_DELIVERY",$S594="ITEM_PRICE_ONLY_DELIVERY_PAID_BY_MERCHANT"),$J594=""),"ERROR",IF(AND(OR($S594="ITEM_PRICE_PLUS_DECLARED_DELIVERY",$S594="DELIVERY_CHARGE_ONLY"),$K594=""),"ERROR",IF(AND(OR($S594="TOTAL_AMOUNT_INCLUDING_DELIVERY",$S594="EXACT_COLLECTION_AMOUNT"),$T594=""),"ERROR",IF(AND($S594="TOTAL_AMOUNT_INCLUDING_DELIVERY",$T594&lt;SUM($J594,$U594)),"ERROR",IF($S594="EXACT_COLLECTION_AMOUNT","REVIEW","OK")))))))))</f>
        <v/>
      </c>
      <c r="AV594" s="25">
        <f>IF($AU594="","",IF($H594="","Township required",IF($Q594="","Customer tier required",IF($M594="","Weight required",IF($S594="","Amount entry type required",IF(OR($J594&lt;0,$K594&lt;0,$M594&lt;0,$T594&lt;0,$U594&lt;0,$V594&lt;0,$W594&lt;0,$X594&lt;0,$Y594&lt;0),"Negative amounts are not allowed",IF($AE594="","Tariff not found for township and tier",IF(AND(OR($S594="ITEM_PRICE_PLUS_DECLARED_DELIVERY",$S594="TOTAL_AMOUNT_INCLUDING_DELIVERY",$S594="ITEM_PRICE_ONLY_DELIVERY_PAID_BY_MERCHANT"),$J594=""),"Item price required for this amount type",IF(AND(OR($S594="ITEM_PRICE_PLUS_DECLARED_DELIVERY",$S594="DELIVERY_CHARGE_ONLY"),$K594=""),"Declared delivery charge required",IF(AND(OR($S594="TOTAL_AMOUNT_INCLUDING_DELIVERY",$S594="EXACT_COLLECTION_AMOUNT"),$T594=""),"Stated total amount required",IF(AND($S594="TOTAL_AMOUNT_INCLUDING_DELIVERY",$T594&lt;SUM($J594,$U594)),"Stated total is below item price plus additional charge",IF($S594="EXACT_COLLECTION_AMOUNT","Authorized amount breakdown required before settlement","Ready for collection and settlement"))))))))))))</f>
        <v/>
      </c>
      <c r="AW594" s="23">
        <f>IF($AU594="","","PARCEL_FINANCIAL_V2")</f>
        <v/>
      </c>
      <c r="AX594" s="17" t="n"/>
    </row>
    <row r="595">
      <c r="A595" s="8" t="n"/>
      <c r="B595" s="8" t="n"/>
      <c r="C595" s="8" t="n"/>
      <c r="D595" s="8" t="n"/>
      <c r="E595" s="9" t="n"/>
      <c r="F595" s="9" t="n"/>
      <c r="G595" s="8" t="n"/>
      <c r="H595" s="9" t="n"/>
      <c r="I595" s="9" t="n"/>
      <c r="J595" s="10" t="n"/>
      <c r="K595" s="10" t="n"/>
      <c r="L595" s="11">
        <f>IF($S595="","",IF($S595="ITEM_PRICE_PLUS_DECLARED_DELIVERY",IF(OR($J595="",$K595=""),"",SUM($J595,$K595,$U595)),IF($S595="TOTAL_AMOUNT_INCLUDING_DELIVERY",IF($T595="","",$T595),IF($S595="DELIVERY_CHARGE_ONLY",IF($K595="","",SUM($K595,$U595)),IF($S595="EXACT_COLLECTION_AMOUNT",IF($T595="","",$T595),IF($S595="ITEM_PRICE_ONLY_DELIVERY_PAID_BY_MERCHANT",IF($J595="","",SUM($J595,$U595)),""))))))</f>
        <v/>
      </c>
      <c r="M595" s="12" t="n"/>
      <c r="N595" s="13" t="n"/>
      <c r="O595" s="13" t="n"/>
      <c r="P595" s="9" t="n"/>
      <c r="Q595" s="14" t="n"/>
      <c r="R595" s="15" t="n"/>
      <c r="S595" s="14" t="n"/>
      <c r="T595" s="16" t="n"/>
      <c r="U595" s="16" t="n"/>
      <c r="V595" s="16" t="n"/>
      <c r="W595" s="16" t="n"/>
      <c r="X595" s="16" t="n"/>
      <c r="Y595" s="16" t="n"/>
      <c r="Z595" s="14" t="n"/>
      <c r="AA595" s="14" t="n"/>
      <c r="AB595" s="14" t="n"/>
      <c r="AC595" s="17">
        <f>IFERROR(VLOOKUP($H595&amp;"|"&amp;$Q595,Tariff_Master!$A$2:$L$169,3,FALSE),"")</f>
        <v/>
      </c>
      <c r="AD595" s="17">
        <f>IFERROR(VLOOKUP($H595&amp;"|"&amp;$Q595,Tariff_Master!$A$2:$L$169,4,FALSE),"")</f>
        <v/>
      </c>
      <c r="AE595" s="18">
        <f>IFERROR(VLOOKUP($H595&amp;"|"&amp;$Q595,Tariff_Master!$A$2:$L$169,6,FALSE),"")</f>
        <v/>
      </c>
      <c r="AF595" s="19">
        <f>IFERROR(VLOOKUP($H595&amp;"|"&amp;$Q595,Tariff_Master!$A$2:$L$169,7,FALSE),"")</f>
        <v/>
      </c>
      <c r="AG595" s="18">
        <f>IFERROR(VLOOKUP($H595&amp;"|"&amp;$Q595,Tariff_Master!$A$2:$L$169,8,FALSE),"")</f>
        <v/>
      </c>
      <c r="AH595" s="20">
        <f>IFERROR(VLOOKUP($H595&amp;"|"&amp;$Q595,Tariff_Master!$A$2:$L$169,9,FALSE),"")</f>
        <v/>
      </c>
      <c r="AI595" s="18">
        <f>IFERROR(VLOOKUP($H595&amp;"|"&amp;$Q595,Tariff_Master!$A$2:$L$169,10,FALSE),"")</f>
        <v/>
      </c>
      <c r="AJ595" s="21">
        <f>IF($M595="","",ROUNDUP(MAX(0,$M595),0))</f>
        <v/>
      </c>
      <c r="AK595" s="21">
        <f>IF(OR($AJ595="",$AF595=""),"",MAX(0,$AJ595-$AF595))</f>
        <v/>
      </c>
      <c r="AL595" s="22">
        <f>IF(OR($AK595="",$AG595=""),"",MAX(0,$AK595*$AG595))</f>
        <v/>
      </c>
      <c r="AM595" s="22">
        <f>IF($AE595="","",MAX(0,SUM($AE595,$AL595,$V595,$W595)))</f>
        <v/>
      </c>
      <c r="AN595" s="22">
        <f>IF($AM595="","",IF(AND($Q595="COMMITMENT",$R595&gt;=$AH595),$AI595,0))</f>
        <v/>
      </c>
      <c r="AO595" s="23">
        <f>IF($AM595="","",MAX(0,$AM595-$AN595))</f>
        <v/>
      </c>
      <c r="AP595" s="22">
        <f>IF($S595="","",IF(OR($S595="ITEM_PRICE_PLUS_DECLARED_DELIVERY",$S595="DELIVERY_CHARGE_ONLY"),$K595,IF($S595="TOTAL_AMOUNT_INCLUDING_DELIVERY",IF(OR($T595="",$J595=""),"",MAX(0,$T595-$J595-$U595)),IF($S595="ITEM_PRICE_ONLY_DELIVERY_PAID_BY_MERCHANT",0,""))))</f>
        <v/>
      </c>
      <c r="AQ595" s="23">
        <f>IF(OR($AP595="",$AO595=""),"",$AP595-$AO595)</f>
        <v/>
      </c>
      <c r="AR595" s="24">
        <f>IF($S595="EXACT_COLLECTION_AMOUNT","BREAKDOWN_REQUIRED",IF($AQ595="","",IF($AQ595&gt;0,"CREDIT_TO_MERCHANT",IF($AQ595&lt;0,"DEDUCT_FROM_MERCHANT","NO_ADJUSTMENT"))))</f>
        <v/>
      </c>
      <c r="AS595" s="23">
        <f>IF(OR($AQ595="",$AR595="BREAKDOWN_REQUIRED"),"",$AQ595)</f>
        <v/>
      </c>
      <c r="AT595" s="23">
        <f>IF(OR($AR595="",$AR595="BREAKDOWN_REQUIRED"),"",SUM($J595,$AQ595,$Y595)-$X595)</f>
        <v/>
      </c>
      <c r="AU595" s="25">
        <f>IF(AND($A595="",$B595="",$F595="",$H595="",$J595="",$K595="",$M595="",$S595=""),"",IF(OR($H595="",$Q595="",$M595="",$S595=""),"ERROR",IF(OR($J595&lt;0,$K595&lt;0,$M595&lt;0,$T595&lt;0,$U595&lt;0,$V595&lt;0,$W595&lt;0,$X595&lt;0,$Y595&lt;0),"ERROR",IF($AE595="","ERROR",IF(AND(OR($S595="ITEM_PRICE_PLUS_DECLARED_DELIVERY",$S595="TOTAL_AMOUNT_INCLUDING_DELIVERY",$S595="ITEM_PRICE_ONLY_DELIVERY_PAID_BY_MERCHANT"),$J595=""),"ERROR",IF(AND(OR($S595="ITEM_PRICE_PLUS_DECLARED_DELIVERY",$S595="DELIVERY_CHARGE_ONLY"),$K595=""),"ERROR",IF(AND(OR($S595="TOTAL_AMOUNT_INCLUDING_DELIVERY",$S595="EXACT_COLLECTION_AMOUNT"),$T595=""),"ERROR",IF(AND($S595="TOTAL_AMOUNT_INCLUDING_DELIVERY",$T595&lt;SUM($J595,$U595)),"ERROR",IF($S595="EXACT_COLLECTION_AMOUNT","REVIEW","OK")))))))))</f>
        <v/>
      </c>
      <c r="AV595" s="25">
        <f>IF($AU595="","",IF($H595="","Township required",IF($Q595="","Customer tier required",IF($M595="","Weight required",IF($S595="","Amount entry type required",IF(OR($J595&lt;0,$K595&lt;0,$M595&lt;0,$T595&lt;0,$U595&lt;0,$V595&lt;0,$W595&lt;0,$X595&lt;0,$Y595&lt;0),"Negative amounts are not allowed",IF($AE595="","Tariff not found for township and tier",IF(AND(OR($S595="ITEM_PRICE_PLUS_DECLARED_DELIVERY",$S595="TOTAL_AMOUNT_INCLUDING_DELIVERY",$S595="ITEM_PRICE_ONLY_DELIVERY_PAID_BY_MERCHANT"),$J595=""),"Item price required for this amount type",IF(AND(OR($S595="ITEM_PRICE_PLUS_DECLARED_DELIVERY",$S595="DELIVERY_CHARGE_ONLY"),$K595=""),"Declared delivery charge required",IF(AND(OR($S595="TOTAL_AMOUNT_INCLUDING_DELIVERY",$S595="EXACT_COLLECTION_AMOUNT"),$T595=""),"Stated total amount required",IF(AND($S595="TOTAL_AMOUNT_INCLUDING_DELIVERY",$T595&lt;SUM($J595,$U595)),"Stated total is below item price plus additional charge",IF($S595="EXACT_COLLECTION_AMOUNT","Authorized amount breakdown required before settlement","Ready for collection and settlement"))))))))))))</f>
        <v/>
      </c>
      <c r="AW595" s="23">
        <f>IF($AU595="","","PARCEL_FINANCIAL_V2")</f>
        <v/>
      </c>
      <c r="AX595" s="17" t="n"/>
    </row>
    <row r="596">
      <c r="A596" s="8" t="n"/>
      <c r="B596" s="8" t="n"/>
      <c r="C596" s="8" t="n"/>
      <c r="D596" s="8" t="n"/>
      <c r="E596" s="9" t="n"/>
      <c r="F596" s="9" t="n"/>
      <c r="G596" s="8" t="n"/>
      <c r="H596" s="9" t="n"/>
      <c r="I596" s="9" t="n"/>
      <c r="J596" s="10" t="n"/>
      <c r="K596" s="10" t="n"/>
      <c r="L596" s="11">
        <f>IF($S596="","",IF($S596="ITEM_PRICE_PLUS_DECLARED_DELIVERY",IF(OR($J596="",$K596=""),"",SUM($J596,$K596,$U596)),IF($S596="TOTAL_AMOUNT_INCLUDING_DELIVERY",IF($T596="","",$T596),IF($S596="DELIVERY_CHARGE_ONLY",IF($K596="","",SUM($K596,$U596)),IF($S596="EXACT_COLLECTION_AMOUNT",IF($T596="","",$T596),IF($S596="ITEM_PRICE_ONLY_DELIVERY_PAID_BY_MERCHANT",IF($J596="","",SUM($J596,$U596)),""))))))</f>
        <v/>
      </c>
      <c r="M596" s="12" t="n"/>
      <c r="N596" s="13" t="n"/>
      <c r="O596" s="13" t="n"/>
      <c r="P596" s="9" t="n"/>
      <c r="Q596" s="14" t="n"/>
      <c r="R596" s="15" t="n"/>
      <c r="S596" s="14" t="n"/>
      <c r="T596" s="16" t="n"/>
      <c r="U596" s="16" t="n"/>
      <c r="V596" s="16" t="n"/>
      <c r="W596" s="16" t="n"/>
      <c r="X596" s="16" t="n"/>
      <c r="Y596" s="16" t="n"/>
      <c r="Z596" s="14" t="n"/>
      <c r="AA596" s="14" t="n"/>
      <c r="AB596" s="14" t="n"/>
      <c r="AC596" s="17">
        <f>IFERROR(VLOOKUP($H596&amp;"|"&amp;$Q596,Tariff_Master!$A$2:$L$169,3,FALSE),"")</f>
        <v/>
      </c>
      <c r="AD596" s="17">
        <f>IFERROR(VLOOKUP($H596&amp;"|"&amp;$Q596,Tariff_Master!$A$2:$L$169,4,FALSE),"")</f>
        <v/>
      </c>
      <c r="AE596" s="18">
        <f>IFERROR(VLOOKUP($H596&amp;"|"&amp;$Q596,Tariff_Master!$A$2:$L$169,6,FALSE),"")</f>
        <v/>
      </c>
      <c r="AF596" s="19">
        <f>IFERROR(VLOOKUP($H596&amp;"|"&amp;$Q596,Tariff_Master!$A$2:$L$169,7,FALSE),"")</f>
        <v/>
      </c>
      <c r="AG596" s="18">
        <f>IFERROR(VLOOKUP($H596&amp;"|"&amp;$Q596,Tariff_Master!$A$2:$L$169,8,FALSE),"")</f>
        <v/>
      </c>
      <c r="AH596" s="20">
        <f>IFERROR(VLOOKUP($H596&amp;"|"&amp;$Q596,Tariff_Master!$A$2:$L$169,9,FALSE),"")</f>
        <v/>
      </c>
      <c r="AI596" s="18">
        <f>IFERROR(VLOOKUP($H596&amp;"|"&amp;$Q596,Tariff_Master!$A$2:$L$169,10,FALSE),"")</f>
        <v/>
      </c>
      <c r="AJ596" s="21">
        <f>IF($M596="","",ROUNDUP(MAX(0,$M596),0))</f>
        <v/>
      </c>
      <c r="AK596" s="21">
        <f>IF(OR($AJ596="",$AF596=""),"",MAX(0,$AJ596-$AF596))</f>
        <v/>
      </c>
      <c r="AL596" s="22">
        <f>IF(OR($AK596="",$AG596=""),"",MAX(0,$AK596*$AG596))</f>
        <v/>
      </c>
      <c r="AM596" s="22">
        <f>IF($AE596="","",MAX(0,SUM($AE596,$AL596,$V596,$W596)))</f>
        <v/>
      </c>
      <c r="AN596" s="22">
        <f>IF($AM596="","",IF(AND($Q596="COMMITMENT",$R596&gt;=$AH596),$AI596,0))</f>
        <v/>
      </c>
      <c r="AO596" s="23">
        <f>IF($AM596="","",MAX(0,$AM596-$AN596))</f>
        <v/>
      </c>
      <c r="AP596" s="22">
        <f>IF($S596="","",IF(OR($S596="ITEM_PRICE_PLUS_DECLARED_DELIVERY",$S596="DELIVERY_CHARGE_ONLY"),$K596,IF($S596="TOTAL_AMOUNT_INCLUDING_DELIVERY",IF(OR($T596="",$J596=""),"",MAX(0,$T596-$J596-$U596)),IF($S596="ITEM_PRICE_ONLY_DELIVERY_PAID_BY_MERCHANT",0,""))))</f>
        <v/>
      </c>
      <c r="AQ596" s="23">
        <f>IF(OR($AP596="",$AO596=""),"",$AP596-$AO596)</f>
        <v/>
      </c>
      <c r="AR596" s="24">
        <f>IF($S596="EXACT_COLLECTION_AMOUNT","BREAKDOWN_REQUIRED",IF($AQ596="","",IF($AQ596&gt;0,"CREDIT_TO_MERCHANT",IF($AQ596&lt;0,"DEDUCT_FROM_MERCHANT","NO_ADJUSTMENT"))))</f>
        <v/>
      </c>
      <c r="AS596" s="23">
        <f>IF(OR($AQ596="",$AR596="BREAKDOWN_REQUIRED"),"",$AQ596)</f>
        <v/>
      </c>
      <c r="AT596" s="23">
        <f>IF(OR($AR596="",$AR596="BREAKDOWN_REQUIRED"),"",SUM($J596,$AQ596,$Y596)-$X596)</f>
        <v/>
      </c>
      <c r="AU596" s="25">
        <f>IF(AND($A596="",$B596="",$F596="",$H596="",$J596="",$K596="",$M596="",$S596=""),"",IF(OR($H596="",$Q596="",$M596="",$S596=""),"ERROR",IF(OR($J596&lt;0,$K596&lt;0,$M596&lt;0,$T596&lt;0,$U596&lt;0,$V596&lt;0,$W596&lt;0,$X596&lt;0,$Y596&lt;0),"ERROR",IF($AE596="","ERROR",IF(AND(OR($S596="ITEM_PRICE_PLUS_DECLARED_DELIVERY",$S596="TOTAL_AMOUNT_INCLUDING_DELIVERY",$S596="ITEM_PRICE_ONLY_DELIVERY_PAID_BY_MERCHANT"),$J596=""),"ERROR",IF(AND(OR($S596="ITEM_PRICE_PLUS_DECLARED_DELIVERY",$S596="DELIVERY_CHARGE_ONLY"),$K596=""),"ERROR",IF(AND(OR($S596="TOTAL_AMOUNT_INCLUDING_DELIVERY",$S596="EXACT_COLLECTION_AMOUNT"),$T596=""),"ERROR",IF(AND($S596="TOTAL_AMOUNT_INCLUDING_DELIVERY",$T596&lt;SUM($J596,$U596)),"ERROR",IF($S596="EXACT_COLLECTION_AMOUNT","REVIEW","OK")))))))))</f>
        <v/>
      </c>
      <c r="AV596" s="25">
        <f>IF($AU596="","",IF($H596="","Township required",IF($Q596="","Customer tier required",IF($M596="","Weight required",IF($S596="","Amount entry type required",IF(OR($J596&lt;0,$K596&lt;0,$M596&lt;0,$T596&lt;0,$U596&lt;0,$V596&lt;0,$W596&lt;0,$X596&lt;0,$Y596&lt;0),"Negative amounts are not allowed",IF($AE596="","Tariff not found for township and tier",IF(AND(OR($S596="ITEM_PRICE_PLUS_DECLARED_DELIVERY",$S596="TOTAL_AMOUNT_INCLUDING_DELIVERY",$S596="ITEM_PRICE_ONLY_DELIVERY_PAID_BY_MERCHANT"),$J596=""),"Item price required for this amount type",IF(AND(OR($S596="ITEM_PRICE_PLUS_DECLARED_DELIVERY",$S596="DELIVERY_CHARGE_ONLY"),$K596=""),"Declared delivery charge required",IF(AND(OR($S596="TOTAL_AMOUNT_INCLUDING_DELIVERY",$S596="EXACT_COLLECTION_AMOUNT"),$T596=""),"Stated total amount required",IF(AND($S596="TOTAL_AMOUNT_INCLUDING_DELIVERY",$T596&lt;SUM($J596,$U596)),"Stated total is below item price plus additional charge",IF($S596="EXACT_COLLECTION_AMOUNT","Authorized amount breakdown required before settlement","Ready for collection and settlement"))))))))))))</f>
        <v/>
      </c>
      <c r="AW596" s="23">
        <f>IF($AU596="","","PARCEL_FINANCIAL_V2")</f>
        <v/>
      </c>
      <c r="AX596" s="17" t="n"/>
    </row>
    <row r="597">
      <c r="A597" s="8" t="n"/>
      <c r="B597" s="8" t="n"/>
      <c r="C597" s="8" t="n"/>
      <c r="D597" s="8" t="n"/>
      <c r="E597" s="9" t="n"/>
      <c r="F597" s="9" t="n"/>
      <c r="G597" s="8" t="n"/>
      <c r="H597" s="9" t="n"/>
      <c r="I597" s="9" t="n"/>
      <c r="J597" s="10" t="n"/>
      <c r="K597" s="10" t="n"/>
      <c r="L597" s="11">
        <f>IF($S597="","",IF($S597="ITEM_PRICE_PLUS_DECLARED_DELIVERY",IF(OR($J597="",$K597=""),"",SUM($J597,$K597,$U597)),IF($S597="TOTAL_AMOUNT_INCLUDING_DELIVERY",IF($T597="","",$T597),IF($S597="DELIVERY_CHARGE_ONLY",IF($K597="","",SUM($K597,$U597)),IF($S597="EXACT_COLLECTION_AMOUNT",IF($T597="","",$T597),IF($S597="ITEM_PRICE_ONLY_DELIVERY_PAID_BY_MERCHANT",IF($J597="","",SUM($J597,$U597)),""))))))</f>
        <v/>
      </c>
      <c r="M597" s="12" t="n"/>
      <c r="N597" s="13" t="n"/>
      <c r="O597" s="13" t="n"/>
      <c r="P597" s="9" t="n"/>
      <c r="Q597" s="14" t="n"/>
      <c r="R597" s="15" t="n"/>
      <c r="S597" s="14" t="n"/>
      <c r="T597" s="16" t="n"/>
      <c r="U597" s="16" t="n"/>
      <c r="V597" s="16" t="n"/>
      <c r="W597" s="16" t="n"/>
      <c r="X597" s="16" t="n"/>
      <c r="Y597" s="16" t="n"/>
      <c r="Z597" s="14" t="n"/>
      <c r="AA597" s="14" t="n"/>
      <c r="AB597" s="14" t="n"/>
      <c r="AC597" s="17">
        <f>IFERROR(VLOOKUP($H597&amp;"|"&amp;$Q597,Tariff_Master!$A$2:$L$169,3,FALSE),"")</f>
        <v/>
      </c>
      <c r="AD597" s="17">
        <f>IFERROR(VLOOKUP($H597&amp;"|"&amp;$Q597,Tariff_Master!$A$2:$L$169,4,FALSE),"")</f>
        <v/>
      </c>
      <c r="AE597" s="18">
        <f>IFERROR(VLOOKUP($H597&amp;"|"&amp;$Q597,Tariff_Master!$A$2:$L$169,6,FALSE),"")</f>
        <v/>
      </c>
      <c r="AF597" s="19">
        <f>IFERROR(VLOOKUP($H597&amp;"|"&amp;$Q597,Tariff_Master!$A$2:$L$169,7,FALSE),"")</f>
        <v/>
      </c>
      <c r="AG597" s="18">
        <f>IFERROR(VLOOKUP($H597&amp;"|"&amp;$Q597,Tariff_Master!$A$2:$L$169,8,FALSE),"")</f>
        <v/>
      </c>
      <c r="AH597" s="20">
        <f>IFERROR(VLOOKUP($H597&amp;"|"&amp;$Q597,Tariff_Master!$A$2:$L$169,9,FALSE),"")</f>
        <v/>
      </c>
      <c r="AI597" s="18">
        <f>IFERROR(VLOOKUP($H597&amp;"|"&amp;$Q597,Tariff_Master!$A$2:$L$169,10,FALSE),"")</f>
        <v/>
      </c>
      <c r="AJ597" s="21">
        <f>IF($M597="","",ROUNDUP(MAX(0,$M597),0))</f>
        <v/>
      </c>
      <c r="AK597" s="21">
        <f>IF(OR($AJ597="",$AF597=""),"",MAX(0,$AJ597-$AF597))</f>
        <v/>
      </c>
      <c r="AL597" s="22">
        <f>IF(OR($AK597="",$AG597=""),"",MAX(0,$AK597*$AG597))</f>
        <v/>
      </c>
      <c r="AM597" s="22">
        <f>IF($AE597="","",MAX(0,SUM($AE597,$AL597,$V597,$W597)))</f>
        <v/>
      </c>
      <c r="AN597" s="22">
        <f>IF($AM597="","",IF(AND($Q597="COMMITMENT",$R597&gt;=$AH597),$AI597,0))</f>
        <v/>
      </c>
      <c r="AO597" s="23">
        <f>IF($AM597="","",MAX(0,$AM597-$AN597))</f>
        <v/>
      </c>
      <c r="AP597" s="22">
        <f>IF($S597="","",IF(OR($S597="ITEM_PRICE_PLUS_DECLARED_DELIVERY",$S597="DELIVERY_CHARGE_ONLY"),$K597,IF($S597="TOTAL_AMOUNT_INCLUDING_DELIVERY",IF(OR($T597="",$J597=""),"",MAX(0,$T597-$J597-$U597)),IF($S597="ITEM_PRICE_ONLY_DELIVERY_PAID_BY_MERCHANT",0,""))))</f>
        <v/>
      </c>
      <c r="AQ597" s="23">
        <f>IF(OR($AP597="",$AO597=""),"",$AP597-$AO597)</f>
        <v/>
      </c>
      <c r="AR597" s="24">
        <f>IF($S597="EXACT_COLLECTION_AMOUNT","BREAKDOWN_REQUIRED",IF($AQ597="","",IF($AQ597&gt;0,"CREDIT_TO_MERCHANT",IF($AQ597&lt;0,"DEDUCT_FROM_MERCHANT","NO_ADJUSTMENT"))))</f>
        <v/>
      </c>
      <c r="AS597" s="23">
        <f>IF(OR($AQ597="",$AR597="BREAKDOWN_REQUIRED"),"",$AQ597)</f>
        <v/>
      </c>
      <c r="AT597" s="23">
        <f>IF(OR($AR597="",$AR597="BREAKDOWN_REQUIRED"),"",SUM($J597,$AQ597,$Y597)-$X597)</f>
        <v/>
      </c>
      <c r="AU597" s="25">
        <f>IF(AND($A597="",$B597="",$F597="",$H597="",$J597="",$K597="",$M597="",$S597=""),"",IF(OR($H597="",$Q597="",$M597="",$S597=""),"ERROR",IF(OR($J597&lt;0,$K597&lt;0,$M597&lt;0,$T597&lt;0,$U597&lt;0,$V597&lt;0,$W597&lt;0,$X597&lt;0,$Y597&lt;0),"ERROR",IF($AE597="","ERROR",IF(AND(OR($S597="ITEM_PRICE_PLUS_DECLARED_DELIVERY",$S597="TOTAL_AMOUNT_INCLUDING_DELIVERY",$S597="ITEM_PRICE_ONLY_DELIVERY_PAID_BY_MERCHANT"),$J597=""),"ERROR",IF(AND(OR($S597="ITEM_PRICE_PLUS_DECLARED_DELIVERY",$S597="DELIVERY_CHARGE_ONLY"),$K597=""),"ERROR",IF(AND(OR($S597="TOTAL_AMOUNT_INCLUDING_DELIVERY",$S597="EXACT_COLLECTION_AMOUNT"),$T597=""),"ERROR",IF(AND($S597="TOTAL_AMOUNT_INCLUDING_DELIVERY",$T597&lt;SUM($J597,$U597)),"ERROR",IF($S597="EXACT_COLLECTION_AMOUNT","REVIEW","OK")))))))))</f>
        <v/>
      </c>
      <c r="AV597" s="25">
        <f>IF($AU597="","",IF($H597="","Township required",IF($Q597="","Customer tier required",IF($M597="","Weight required",IF($S597="","Amount entry type required",IF(OR($J597&lt;0,$K597&lt;0,$M597&lt;0,$T597&lt;0,$U597&lt;0,$V597&lt;0,$W597&lt;0,$X597&lt;0,$Y597&lt;0),"Negative amounts are not allowed",IF($AE597="","Tariff not found for township and tier",IF(AND(OR($S597="ITEM_PRICE_PLUS_DECLARED_DELIVERY",$S597="TOTAL_AMOUNT_INCLUDING_DELIVERY",$S597="ITEM_PRICE_ONLY_DELIVERY_PAID_BY_MERCHANT"),$J597=""),"Item price required for this amount type",IF(AND(OR($S597="ITEM_PRICE_PLUS_DECLARED_DELIVERY",$S597="DELIVERY_CHARGE_ONLY"),$K597=""),"Declared delivery charge required",IF(AND(OR($S597="TOTAL_AMOUNT_INCLUDING_DELIVERY",$S597="EXACT_COLLECTION_AMOUNT"),$T597=""),"Stated total amount required",IF(AND($S597="TOTAL_AMOUNT_INCLUDING_DELIVERY",$T597&lt;SUM($J597,$U597)),"Stated total is below item price plus additional charge",IF($S597="EXACT_COLLECTION_AMOUNT","Authorized amount breakdown required before settlement","Ready for collection and settlement"))))))))))))</f>
        <v/>
      </c>
      <c r="AW597" s="23">
        <f>IF($AU597="","","PARCEL_FINANCIAL_V2")</f>
        <v/>
      </c>
      <c r="AX597" s="17" t="n"/>
    </row>
    <row r="598">
      <c r="A598" s="8" t="n"/>
      <c r="B598" s="8" t="n"/>
      <c r="C598" s="8" t="n"/>
      <c r="D598" s="8" t="n"/>
      <c r="E598" s="9" t="n"/>
      <c r="F598" s="9" t="n"/>
      <c r="G598" s="8" t="n"/>
      <c r="H598" s="9" t="n"/>
      <c r="I598" s="9" t="n"/>
      <c r="J598" s="10" t="n"/>
      <c r="K598" s="10" t="n"/>
      <c r="L598" s="11">
        <f>IF($S598="","",IF($S598="ITEM_PRICE_PLUS_DECLARED_DELIVERY",IF(OR($J598="",$K598=""),"",SUM($J598,$K598,$U598)),IF($S598="TOTAL_AMOUNT_INCLUDING_DELIVERY",IF($T598="","",$T598),IF($S598="DELIVERY_CHARGE_ONLY",IF($K598="","",SUM($K598,$U598)),IF($S598="EXACT_COLLECTION_AMOUNT",IF($T598="","",$T598),IF($S598="ITEM_PRICE_ONLY_DELIVERY_PAID_BY_MERCHANT",IF($J598="","",SUM($J598,$U598)),""))))))</f>
        <v/>
      </c>
      <c r="M598" s="12" t="n"/>
      <c r="N598" s="13" t="n"/>
      <c r="O598" s="13" t="n"/>
      <c r="P598" s="9" t="n"/>
      <c r="Q598" s="14" t="n"/>
      <c r="R598" s="15" t="n"/>
      <c r="S598" s="14" t="n"/>
      <c r="T598" s="16" t="n"/>
      <c r="U598" s="16" t="n"/>
      <c r="V598" s="16" t="n"/>
      <c r="W598" s="16" t="n"/>
      <c r="X598" s="16" t="n"/>
      <c r="Y598" s="16" t="n"/>
      <c r="Z598" s="14" t="n"/>
      <c r="AA598" s="14" t="n"/>
      <c r="AB598" s="14" t="n"/>
      <c r="AC598" s="17">
        <f>IFERROR(VLOOKUP($H598&amp;"|"&amp;$Q598,Tariff_Master!$A$2:$L$169,3,FALSE),"")</f>
        <v/>
      </c>
      <c r="AD598" s="17">
        <f>IFERROR(VLOOKUP($H598&amp;"|"&amp;$Q598,Tariff_Master!$A$2:$L$169,4,FALSE),"")</f>
        <v/>
      </c>
      <c r="AE598" s="18">
        <f>IFERROR(VLOOKUP($H598&amp;"|"&amp;$Q598,Tariff_Master!$A$2:$L$169,6,FALSE),"")</f>
        <v/>
      </c>
      <c r="AF598" s="19">
        <f>IFERROR(VLOOKUP($H598&amp;"|"&amp;$Q598,Tariff_Master!$A$2:$L$169,7,FALSE),"")</f>
        <v/>
      </c>
      <c r="AG598" s="18">
        <f>IFERROR(VLOOKUP($H598&amp;"|"&amp;$Q598,Tariff_Master!$A$2:$L$169,8,FALSE),"")</f>
        <v/>
      </c>
      <c r="AH598" s="20">
        <f>IFERROR(VLOOKUP($H598&amp;"|"&amp;$Q598,Tariff_Master!$A$2:$L$169,9,FALSE),"")</f>
        <v/>
      </c>
      <c r="AI598" s="18">
        <f>IFERROR(VLOOKUP($H598&amp;"|"&amp;$Q598,Tariff_Master!$A$2:$L$169,10,FALSE),"")</f>
        <v/>
      </c>
      <c r="AJ598" s="21">
        <f>IF($M598="","",ROUNDUP(MAX(0,$M598),0))</f>
        <v/>
      </c>
      <c r="AK598" s="21">
        <f>IF(OR($AJ598="",$AF598=""),"",MAX(0,$AJ598-$AF598))</f>
        <v/>
      </c>
      <c r="AL598" s="22">
        <f>IF(OR($AK598="",$AG598=""),"",MAX(0,$AK598*$AG598))</f>
        <v/>
      </c>
      <c r="AM598" s="22">
        <f>IF($AE598="","",MAX(0,SUM($AE598,$AL598,$V598,$W598)))</f>
        <v/>
      </c>
      <c r="AN598" s="22">
        <f>IF($AM598="","",IF(AND($Q598="COMMITMENT",$R598&gt;=$AH598),$AI598,0))</f>
        <v/>
      </c>
      <c r="AO598" s="23">
        <f>IF($AM598="","",MAX(0,$AM598-$AN598))</f>
        <v/>
      </c>
      <c r="AP598" s="22">
        <f>IF($S598="","",IF(OR($S598="ITEM_PRICE_PLUS_DECLARED_DELIVERY",$S598="DELIVERY_CHARGE_ONLY"),$K598,IF($S598="TOTAL_AMOUNT_INCLUDING_DELIVERY",IF(OR($T598="",$J598=""),"",MAX(0,$T598-$J598-$U598)),IF($S598="ITEM_PRICE_ONLY_DELIVERY_PAID_BY_MERCHANT",0,""))))</f>
        <v/>
      </c>
      <c r="AQ598" s="23">
        <f>IF(OR($AP598="",$AO598=""),"",$AP598-$AO598)</f>
        <v/>
      </c>
      <c r="AR598" s="24">
        <f>IF($S598="EXACT_COLLECTION_AMOUNT","BREAKDOWN_REQUIRED",IF($AQ598="","",IF($AQ598&gt;0,"CREDIT_TO_MERCHANT",IF($AQ598&lt;0,"DEDUCT_FROM_MERCHANT","NO_ADJUSTMENT"))))</f>
        <v/>
      </c>
      <c r="AS598" s="23">
        <f>IF(OR($AQ598="",$AR598="BREAKDOWN_REQUIRED"),"",$AQ598)</f>
        <v/>
      </c>
      <c r="AT598" s="23">
        <f>IF(OR($AR598="",$AR598="BREAKDOWN_REQUIRED"),"",SUM($J598,$AQ598,$Y598)-$X598)</f>
        <v/>
      </c>
      <c r="AU598" s="25">
        <f>IF(AND($A598="",$B598="",$F598="",$H598="",$J598="",$K598="",$M598="",$S598=""),"",IF(OR($H598="",$Q598="",$M598="",$S598=""),"ERROR",IF(OR($J598&lt;0,$K598&lt;0,$M598&lt;0,$T598&lt;0,$U598&lt;0,$V598&lt;0,$W598&lt;0,$X598&lt;0,$Y598&lt;0),"ERROR",IF($AE598="","ERROR",IF(AND(OR($S598="ITEM_PRICE_PLUS_DECLARED_DELIVERY",$S598="TOTAL_AMOUNT_INCLUDING_DELIVERY",$S598="ITEM_PRICE_ONLY_DELIVERY_PAID_BY_MERCHANT"),$J598=""),"ERROR",IF(AND(OR($S598="ITEM_PRICE_PLUS_DECLARED_DELIVERY",$S598="DELIVERY_CHARGE_ONLY"),$K598=""),"ERROR",IF(AND(OR($S598="TOTAL_AMOUNT_INCLUDING_DELIVERY",$S598="EXACT_COLLECTION_AMOUNT"),$T598=""),"ERROR",IF(AND($S598="TOTAL_AMOUNT_INCLUDING_DELIVERY",$T598&lt;SUM($J598,$U598)),"ERROR",IF($S598="EXACT_COLLECTION_AMOUNT","REVIEW","OK")))))))))</f>
        <v/>
      </c>
      <c r="AV598" s="25">
        <f>IF($AU598="","",IF($H598="","Township required",IF($Q598="","Customer tier required",IF($M598="","Weight required",IF($S598="","Amount entry type required",IF(OR($J598&lt;0,$K598&lt;0,$M598&lt;0,$T598&lt;0,$U598&lt;0,$V598&lt;0,$W598&lt;0,$X598&lt;0,$Y598&lt;0),"Negative amounts are not allowed",IF($AE598="","Tariff not found for township and tier",IF(AND(OR($S598="ITEM_PRICE_PLUS_DECLARED_DELIVERY",$S598="TOTAL_AMOUNT_INCLUDING_DELIVERY",$S598="ITEM_PRICE_ONLY_DELIVERY_PAID_BY_MERCHANT"),$J598=""),"Item price required for this amount type",IF(AND(OR($S598="ITEM_PRICE_PLUS_DECLARED_DELIVERY",$S598="DELIVERY_CHARGE_ONLY"),$K598=""),"Declared delivery charge required",IF(AND(OR($S598="TOTAL_AMOUNT_INCLUDING_DELIVERY",$S598="EXACT_COLLECTION_AMOUNT"),$T598=""),"Stated total amount required",IF(AND($S598="TOTAL_AMOUNT_INCLUDING_DELIVERY",$T598&lt;SUM($J598,$U598)),"Stated total is below item price plus additional charge",IF($S598="EXACT_COLLECTION_AMOUNT","Authorized amount breakdown required before settlement","Ready for collection and settlement"))))))))))))</f>
        <v/>
      </c>
      <c r="AW598" s="23">
        <f>IF($AU598="","","PARCEL_FINANCIAL_V2")</f>
        <v/>
      </c>
      <c r="AX598" s="17" t="n"/>
    </row>
    <row r="599">
      <c r="A599" s="8" t="n"/>
      <c r="B599" s="8" t="n"/>
      <c r="C599" s="8" t="n"/>
      <c r="D599" s="8" t="n"/>
      <c r="E599" s="9" t="n"/>
      <c r="F599" s="9" t="n"/>
      <c r="G599" s="8" t="n"/>
      <c r="H599" s="9" t="n"/>
      <c r="I599" s="9" t="n"/>
      <c r="J599" s="10" t="n"/>
      <c r="K599" s="10" t="n"/>
      <c r="L599" s="11">
        <f>IF($S599="","",IF($S599="ITEM_PRICE_PLUS_DECLARED_DELIVERY",IF(OR($J599="",$K599=""),"",SUM($J599,$K599,$U599)),IF($S599="TOTAL_AMOUNT_INCLUDING_DELIVERY",IF($T599="","",$T599),IF($S599="DELIVERY_CHARGE_ONLY",IF($K599="","",SUM($K599,$U599)),IF($S599="EXACT_COLLECTION_AMOUNT",IF($T599="","",$T599),IF($S599="ITEM_PRICE_ONLY_DELIVERY_PAID_BY_MERCHANT",IF($J599="","",SUM($J599,$U599)),""))))))</f>
        <v/>
      </c>
      <c r="M599" s="12" t="n"/>
      <c r="N599" s="13" t="n"/>
      <c r="O599" s="13" t="n"/>
      <c r="P599" s="9" t="n"/>
      <c r="Q599" s="14" t="n"/>
      <c r="R599" s="15" t="n"/>
      <c r="S599" s="14" t="n"/>
      <c r="T599" s="16" t="n"/>
      <c r="U599" s="16" t="n"/>
      <c r="V599" s="16" t="n"/>
      <c r="W599" s="16" t="n"/>
      <c r="X599" s="16" t="n"/>
      <c r="Y599" s="16" t="n"/>
      <c r="Z599" s="14" t="n"/>
      <c r="AA599" s="14" t="n"/>
      <c r="AB599" s="14" t="n"/>
      <c r="AC599" s="17">
        <f>IFERROR(VLOOKUP($H599&amp;"|"&amp;$Q599,Tariff_Master!$A$2:$L$169,3,FALSE),"")</f>
        <v/>
      </c>
      <c r="AD599" s="17">
        <f>IFERROR(VLOOKUP($H599&amp;"|"&amp;$Q599,Tariff_Master!$A$2:$L$169,4,FALSE),"")</f>
        <v/>
      </c>
      <c r="AE599" s="18">
        <f>IFERROR(VLOOKUP($H599&amp;"|"&amp;$Q599,Tariff_Master!$A$2:$L$169,6,FALSE),"")</f>
        <v/>
      </c>
      <c r="AF599" s="19">
        <f>IFERROR(VLOOKUP($H599&amp;"|"&amp;$Q599,Tariff_Master!$A$2:$L$169,7,FALSE),"")</f>
        <v/>
      </c>
      <c r="AG599" s="18">
        <f>IFERROR(VLOOKUP($H599&amp;"|"&amp;$Q599,Tariff_Master!$A$2:$L$169,8,FALSE),"")</f>
        <v/>
      </c>
      <c r="AH599" s="20">
        <f>IFERROR(VLOOKUP($H599&amp;"|"&amp;$Q599,Tariff_Master!$A$2:$L$169,9,FALSE),"")</f>
        <v/>
      </c>
      <c r="AI599" s="18">
        <f>IFERROR(VLOOKUP($H599&amp;"|"&amp;$Q599,Tariff_Master!$A$2:$L$169,10,FALSE),"")</f>
        <v/>
      </c>
      <c r="AJ599" s="21">
        <f>IF($M599="","",ROUNDUP(MAX(0,$M599),0))</f>
        <v/>
      </c>
      <c r="AK599" s="21">
        <f>IF(OR($AJ599="",$AF599=""),"",MAX(0,$AJ599-$AF599))</f>
        <v/>
      </c>
      <c r="AL599" s="22">
        <f>IF(OR($AK599="",$AG599=""),"",MAX(0,$AK599*$AG599))</f>
        <v/>
      </c>
      <c r="AM599" s="22">
        <f>IF($AE599="","",MAX(0,SUM($AE599,$AL599,$V599,$W599)))</f>
        <v/>
      </c>
      <c r="AN599" s="22">
        <f>IF($AM599="","",IF(AND($Q599="COMMITMENT",$R599&gt;=$AH599),$AI599,0))</f>
        <v/>
      </c>
      <c r="AO599" s="23">
        <f>IF($AM599="","",MAX(0,$AM599-$AN599))</f>
        <v/>
      </c>
      <c r="AP599" s="22">
        <f>IF($S599="","",IF(OR($S599="ITEM_PRICE_PLUS_DECLARED_DELIVERY",$S599="DELIVERY_CHARGE_ONLY"),$K599,IF($S599="TOTAL_AMOUNT_INCLUDING_DELIVERY",IF(OR($T599="",$J599=""),"",MAX(0,$T599-$J599-$U599)),IF($S599="ITEM_PRICE_ONLY_DELIVERY_PAID_BY_MERCHANT",0,""))))</f>
        <v/>
      </c>
      <c r="AQ599" s="23">
        <f>IF(OR($AP599="",$AO599=""),"",$AP599-$AO599)</f>
        <v/>
      </c>
      <c r="AR599" s="24">
        <f>IF($S599="EXACT_COLLECTION_AMOUNT","BREAKDOWN_REQUIRED",IF($AQ599="","",IF($AQ599&gt;0,"CREDIT_TO_MERCHANT",IF($AQ599&lt;0,"DEDUCT_FROM_MERCHANT","NO_ADJUSTMENT"))))</f>
        <v/>
      </c>
      <c r="AS599" s="23">
        <f>IF(OR($AQ599="",$AR599="BREAKDOWN_REQUIRED"),"",$AQ599)</f>
        <v/>
      </c>
      <c r="AT599" s="23">
        <f>IF(OR($AR599="",$AR599="BREAKDOWN_REQUIRED"),"",SUM($J599,$AQ599,$Y599)-$X599)</f>
        <v/>
      </c>
      <c r="AU599" s="25">
        <f>IF(AND($A599="",$B599="",$F599="",$H599="",$J599="",$K599="",$M599="",$S599=""),"",IF(OR($H599="",$Q599="",$M599="",$S599=""),"ERROR",IF(OR($J599&lt;0,$K599&lt;0,$M599&lt;0,$T599&lt;0,$U599&lt;0,$V599&lt;0,$W599&lt;0,$X599&lt;0,$Y599&lt;0),"ERROR",IF($AE599="","ERROR",IF(AND(OR($S599="ITEM_PRICE_PLUS_DECLARED_DELIVERY",$S599="TOTAL_AMOUNT_INCLUDING_DELIVERY",$S599="ITEM_PRICE_ONLY_DELIVERY_PAID_BY_MERCHANT"),$J599=""),"ERROR",IF(AND(OR($S599="ITEM_PRICE_PLUS_DECLARED_DELIVERY",$S599="DELIVERY_CHARGE_ONLY"),$K599=""),"ERROR",IF(AND(OR($S599="TOTAL_AMOUNT_INCLUDING_DELIVERY",$S599="EXACT_COLLECTION_AMOUNT"),$T599=""),"ERROR",IF(AND($S599="TOTAL_AMOUNT_INCLUDING_DELIVERY",$T599&lt;SUM($J599,$U599)),"ERROR",IF($S599="EXACT_COLLECTION_AMOUNT","REVIEW","OK")))))))))</f>
        <v/>
      </c>
      <c r="AV599" s="25">
        <f>IF($AU599="","",IF($H599="","Township required",IF($Q599="","Customer tier required",IF($M599="","Weight required",IF($S599="","Amount entry type required",IF(OR($J599&lt;0,$K599&lt;0,$M599&lt;0,$T599&lt;0,$U599&lt;0,$V599&lt;0,$W599&lt;0,$X599&lt;0,$Y599&lt;0),"Negative amounts are not allowed",IF($AE599="","Tariff not found for township and tier",IF(AND(OR($S599="ITEM_PRICE_PLUS_DECLARED_DELIVERY",$S599="TOTAL_AMOUNT_INCLUDING_DELIVERY",$S599="ITEM_PRICE_ONLY_DELIVERY_PAID_BY_MERCHANT"),$J599=""),"Item price required for this amount type",IF(AND(OR($S599="ITEM_PRICE_PLUS_DECLARED_DELIVERY",$S599="DELIVERY_CHARGE_ONLY"),$K599=""),"Declared delivery charge required",IF(AND(OR($S599="TOTAL_AMOUNT_INCLUDING_DELIVERY",$S599="EXACT_COLLECTION_AMOUNT"),$T599=""),"Stated total amount required",IF(AND($S599="TOTAL_AMOUNT_INCLUDING_DELIVERY",$T599&lt;SUM($J599,$U599)),"Stated total is below item price plus additional charge",IF($S599="EXACT_COLLECTION_AMOUNT","Authorized amount breakdown required before settlement","Ready for collection and settlement"))))))))))))</f>
        <v/>
      </c>
      <c r="AW599" s="23">
        <f>IF($AU599="","","PARCEL_FINANCIAL_V2")</f>
        <v/>
      </c>
      <c r="AX599" s="17" t="n"/>
    </row>
    <row r="600">
      <c r="A600" s="8" t="n"/>
      <c r="B600" s="8" t="n"/>
      <c r="C600" s="8" t="n"/>
      <c r="D600" s="8" t="n"/>
      <c r="E600" s="9" t="n"/>
      <c r="F600" s="9" t="n"/>
      <c r="G600" s="8" t="n"/>
      <c r="H600" s="9" t="n"/>
      <c r="I600" s="9" t="n"/>
      <c r="J600" s="10" t="n"/>
      <c r="K600" s="10" t="n"/>
      <c r="L600" s="11">
        <f>IF($S600="","",IF($S600="ITEM_PRICE_PLUS_DECLARED_DELIVERY",IF(OR($J600="",$K600=""),"",SUM($J600,$K600,$U600)),IF($S600="TOTAL_AMOUNT_INCLUDING_DELIVERY",IF($T600="","",$T600),IF($S600="DELIVERY_CHARGE_ONLY",IF($K600="","",SUM($K600,$U600)),IF($S600="EXACT_COLLECTION_AMOUNT",IF($T600="","",$T600),IF($S600="ITEM_PRICE_ONLY_DELIVERY_PAID_BY_MERCHANT",IF($J600="","",SUM($J600,$U600)),""))))))</f>
        <v/>
      </c>
      <c r="M600" s="12" t="n"/>
      <c r="N600" s="13" t="n"/>
      <c r="O600" s="13" t="n"/>
      <c r="P600" s="9" t="n"/>
      <c r="Q600" s="14" t="n"/>
      <c r="R600" s="15" t="n"/>
      <c r="S600" s="14" t="n"/>
      <c r="T600" s="16" t="n"/>
      <c r="U600" s="16" t="n"/>
      <c r="V600" s="16" t="n"/>
      <c r="W600" s="16" t="n"/>
      <c r="X600" s="16" t="n"/>
      <c r="Y600" s="16" t="n"/>
      <c r="Z600" s="14" t="n"/>
      <c r="AA600" s="14" t="n"/>
      <c r="AB600" s="14" t="n"/>
      <c r="AC600" s="17">
        <f>IFERROR(VLOOKUP($H600&amp;"|"&amp;$Q600,Tariff_Master!$A$2:$L$169,3,FALSE),"")</f>
        <v/>
      </c>
      <c r="AD600" s="17">
        <f>IFERROR(VLOOKUP($H600&amp;"|"&amp;$Q600,Tariff_Master!$A$2:$L$169,4,FALSE),"")</f>
        <v/>
      </c>
      <c r="AE600" s="18">
        <f>IFERROR(VLOOKUP($H600&amp;"|"&amp;$Q600,Tariff_Master!$A$2:$L$169,6,FALSE),"")</f>
        <v/>
      </c>
      <c r="AF600" s="19">
        <f>IFERROR(VLOOKUP($H600&amp;"|"&amp;$Q600,Tariff_Master!$A$2:$L$169,7,FALSE),"")</f>
        <v/>
      </c>
      <c r="AG600" s="18">
        <f>IFERROR(VLOOKUP($H600&amp;"|"&amp;$Q600,Tariff_Master!$A$2:$L$169,8,FALSE),"")</f>
        <v/>
      </c>
      <c r="AH600" s="20">
        <f>IFERROR(VLOOKUP($H600&amp;"|"&amp;$Q600,Tariff_Master!$A$2:$L$169,9,FALSE),"")</f>
        <v/>
      </c>
      <c r="AI600" s="18">
        <f>IFERROR(VLOOKUP($H600&amp;"|"&amp;$Q600,Tariff_Master!$A$2:$L$169,10,FALSE),"")</f>
        <v/>
      </c>
      <c r="AJ600" s="21">
        <f>IF($M600="","",ROUNDUP(MAX(0,$M600),0))</f>
        <v/>
      </c>
      <c r="AK600" s="21">
        <f>IF(OR($AJ600="",$AF600=""),"",MAX(0,$AJ600-$AF600))</f>
        <v/>
      </c>
      <c r="AL600" s="22">
        <f>IF(OR($AK600="",$AG600=""),"",MAX(0,$AK600*$AG600))</f>
        <v/>
      </c>
      <c r="AM600" s="22">
        <f>IF($AE600="","",MAX(0,SUM($AE600,$AL600,$V600,$W600)))</f>
        <v/>
      </c>
      <c r="AN600" s="22">
        <f>IF($AM600="","",IF(AND($Q600="COMMITMENT",$R600&gt;=$AH600),$AI600,0))</f>
        <v/>
      </c>
      <c r="AO600" s="23">
        <f>IF($AM600="","",MAX(0,$AM600-$AN600))</f>
        <v/>
      </c>
      <c r="AP600" s="22">
        <f>IF($S600="","",IF(OR($S600="ITEM_PRICE_PLUS_DECLARED_DELIVERY",$S600="DELIVERY_CHARGE_ONLY"),$K600,IF($S600="TOTAL_AMOUNT_INCLUDING_DELIVERY",IF(OR($T600="",$J600=""),"",MAX(0,$T600-$J600-$U600)),IF($S600="ITEM_PRICE_ONLY_DELIVERY_PAID_BY_MERCHANT",0,""))))</f>
        <v/>
      </c>
      <c r="AQ600" s="23">
        <f>IF(OR($AP600="",$AO600=""),"",$AP600-$AO600)</f>
        <v/>
      </c>
      <c r="AR600" s="24">
        <f>IF($S600="EXACT_COLLECTION_AMOUNT","BREAKDOWN_REQUIRED",IF($AQ600="","",IF($AQ600&gt;0,"CREDIT_TO_MERCHANT",IF($AQ600&lt;0,"DEDUCT_FROM_MERCHANT","NO_ADJUSTMENT"))))</f>
        <v/>
      </c>
      <c r="AS600" s="23">
        <f>IF(OR($AQ600="",$AR600="BREAKDOWN_REQUIRED"),"",$AQ600)</f>
        <v/>
      </c>
      <c r="AT600" s="23">
        <f>IF(OR($AR600="",$AR600="BREAKDOWN_REQUIRED"),"",SUM($J600,$AQ600,$Y600)-$X600)</f>
        <v/>
      </c>
      <c r="AU600" s="25">
        <f>IF(AND($A600="",$B600="",$F600="",$H600="",$J600="",$K600="",$M600="",$S600=""),"",IF(OR($H600="",$Q600="",$M600="",$S600=""),"ERROR",IF(OR($J600&lt;0,$K600&lt;0,$M600&lt;0,$T600&lt;0,$U600&lt;0,$V600&lt;0,$W600&lt;0,$X600&lt;0,$Y600&lt;0),"ERROR",IF($AE600="","ERROR",IF(AND(OR($S600="ITEM_PRICE_PLUS_DECLARED_DELIVERY",$S600="TOTAL_AMOUNT_INCLUDING_DELIVERY",$S600="ITEM_PRICE_ONLY_DELIVERY_PAID_BY_MERCHANT"),$J600=""),"ERROR",IF(AND(OR($S600="ITEM_PRICE_PLUS_DECLARED_DELIVERY",$S600="DELIVERY_CHARGE_ONLY"),$K600=""),"ERROR",IF(AND(OR($S600="TOTAL_AMOUNT_INCLUDING_DELIVERY",$S600="EXACT_COLLECTION_AMOUNT"),$T600=""),"ERROR",IF(AND($S600="TOTAL_AMOUNT_INCLUDING_DELIVERY",$T600&lt;SUM($J600,$U600)),"ERROR",IF($S600="EXACT_COLLECTION_AMOUNT","REVIEW","OK")))))))))</f>
        <v/>
      </c>
      <c r="AV600" s="25">
        <f>IF($AU600="","",IF($H600="","Township required",IF($Q600="","Customer tier required",IF($M600="","Weight required",IF($S600="","Amount entry type required",IF(OR($J600&lt;0,$K600&lt;0,$M600&lt;0,$T600&lt;0,$U600&lt;0,$V600&lt;0,$W600&lt;0,$X600&lt;0,$Y600&lt;0),"Negative amounts are not allowed",IF($AE600="","Tariff not found for township and tier",IF(AND(OR($S600="ITEM_PRICE_PLUS_DECLARED_DELIVERY",$S600="TOTAL_AMOUNT_INCLUDING_DELIVERY",$S600="ITEM_PRICE_ONLY_DELIVERY_PAID_BY_MERCHANT"),$J600=""),"Item price required for this amount type",IF(AND(OR($S600="ITEM_PRICE_PLUS_DECLARED_DELIVERY",$S600="DELIVERY_CHARGE_ONLY"),$K600=""),"Declared delivery charge required",IF(AND(OR($S600="TOTAL_AMOUNT_INCLUDING_DELIVERY",$S600="EXACT_COLLECTION_AMOUNT"),$T600=""),"Stated total amount required",IF(AND($S600="TOTAL_AMOUNT_INCLUDING_DELIVERY",$T600&lt;SUM($J600,$U600)),"Stated total is below item price plus additional charge",IF($S600="EXACT_COLLECTION_AMOUNT","Authorized amount breakdown required before settlement","Ready for collection and settlement"))))))))))))</f>
        <v/>
      </c>
      <c r="AW600" s="23">
        <f>IF($AU600="","","PARCEL_FINANCIAL_V2")</f>
        <v/>
      </c>
      <c r="AX600" s="17" t="n"/>
    </row>
    <row r="601">
      <c r="A601" s="8" t="n"/>
      <c r="B601" s="8" t="n"/>
      <c r="C601" s="8" t="n"/>
      <c r="D601" s="8" t="n"/>
      <c r="E601" s="9" t="n"/>
      <c r="F601" s="9" t="n"/>
      <c r="G601" s="8" t="n"/>
      <c r="H601" s="9" t="n"/>
      <c r="I601" s="9" t="n"/>
      <c r="J601" s="10" t="n"/>
      <c r="K601" s="10" t="n"/>
      <c r="L601" s="11">
        <f>IF($S601="","",IF($S601="ITEM_PRICE_PLUS_DECLARED_DELIVERY",IF(OR($J601="",$K601=""),"",SUM($J601,$K601,$U601)),IF($S601="TOTAL_AMOUNT_INCLUDING_DELIVERY",IF($T601="","",$T601),IF($S601="DELIVERY_CHARGE_ONLY",IF($K601="","",SUM($K601,$U601)),IF($S601="EXACT_COLLECTION_AMOUNT",IF($T601="","",$T601),IF($S601="ITEM_PRICE_ONLY_DELIVERY_PAID_BY_MERCHANT",IF($J601="","",SUM($J601,$U601)),""))))))</f>
        <v/>
      </c>
      <c r="M601" s="12" t="n"/>
      <c r="N601" s="13" t="n"/>
      <c r="O601" s="13" t="n"/>
      <c r="P601" s="9" t="n"/>
      <c r="Q601" s="14" t="n"/>
      <c r="R601" s="15" t="n"/>
      <c r="S601" s="14" t="n"/>
      <c r="T601" s="16" t="n"/>
      <c r="U601" s="16" t="n"/>
      <c r="V601" s="16" t="n"/>
      <c r="W601" s="16" t="n"/>
      <c r="X601" s="16" t="n"/>
      <c r="Y601" s="16" t="n"/>
      <c r="Z601" s="14" t="n"/>
      <c r="AA601" s="14" t="n"/>
      <c r="AB601" s="14" t="n"/>
      <c r="AC601" s="17">
        <f>IFERROR(VLOOKUP($H601&amp;"|"&amp;$Q601,Tariff_Master!$A$2:$L$169,3,FALSE),"")</f>
        <v/>
      </c>
      <c r="AD601" s="17">
        <f>IFERROR(VLOOKUP($H601&amp;"|"&amp;$Q601,Tariff_Master!$A$2:$L$169,4,FALSE),"")</f>
        <v/>
      </c>
      <c r="AE601" s="18">
        <f>IFERROR(VLOOKUP($H601&amp;"|"&amp;$Q601,Tariff_Master!$A$2:$L$169,6,FALSE),"")</f>
        <v/>
      </c>
      <c r="AF601" s="19">
        <f>IFERROR(VLOOKUP($H601&amp;"|"&amp;$Q601,Tariff_Master!$A$2:$L$169,7,FALSE),"")</f>
        <v/>
      </c>
      <c r="AG601" s="18">
        <f>IFERROR(VLOOKUP($H601&amp;"|"&amp;$Q601,Tariff_Master!$A$2:$L$169,8,FALSE),"")</f>
        <v/>
      </c>
      <c r="AH601" s="20">
        <f>IFERROR(VLOOKUP($H601&amp;"|"&amp;$Q601,Tariff_Master!$A$2:$L$169,9,FALSE),"")</f>
        <v/>
      </c>
      <c r="AI601" s="18">
        <f>IFERROR(VLOOKUP($H601&amp;"|"&amp;$Q601,Tariff_Master!$A$2:$L$169,10,FALSE),"")</f>
        <v/>
      </c>
      <c r="AJ601" s="21">
        <f>IF($M601="","",ROUNDUP(MAX(0,$M601),0))</f>
        <v/>
      </c>
      <c r="AK601" s="21">
        <f>IF(OR($AJ601="",$AF601=""),"",MAX(0,$AJ601-$AF601))</f>
        <v/>
      </c>
      <c r="AL601" s="22">
        <f>IF(OR($AK601="",$AG601=""),"",MAX(0,$AK601*$AG601))</f>
        <v/>
      </c>
      <c r="AM601" s="22">
        <f>IF($AE601="","",MAX(0,SUM($AE601,$AL601,$V601,$W601)))</f>
        <v/>
      </c>
      <c r="AN601" s="22">
        <f>IF($AM601="","",IF(AND($Q601="COMMITMENT",$R601&gt;=$AH601),$AI601,0))</f>
        <v/>
      </c>
      <c r="AO601" s="23">
        <f>IF($AM601="","",MAX(0,$AM601-$AN601))</f>
        <v/>
      </c>
      <c r="AP601" s="22">
        <f>IF($S601="","",IF(OR($S601="ITEM_PRICE_PLUS_DECLARED_DELIVERY",$S601="DELIVERY_CHARGE_ONLY"),$K601,IF($S601="TOTAL_AMOUNT_INCLUDING_DELIVERY",IF(OR($T601="",$J601=""),"",MAX(0,$T601-$J601-$U601)),IF($S601="ITEM_PRICE_ONLY_DELIVERY_PAID_BY_MERCHANT",0,""))))</f>
        <v/>
      </c>
      <c r="AQ601" s="23">
        <f>IF(OR($AP601="",$AO601=""),"",$AP601-$AO601)</f>
        <v/>
      </c>
      <c r="AR601" s="24">
        <f>IF($S601="EXACT_COLLECTION_AMOUNT","BREAKDOWN_REQUIRED",IF($AQ601="","",IF($AQ601&gt;0,"CREDIT_TO_MERCHANT",IF($AQ601&lt;0,"DEDUCT_FROM_MERCHANT","NO_ADJUSTMENT"))))</f>
        <v/>
      </c>
      <c r="AS601" s="23">
        <f>IF(OR($AQ601="",$AR601="BREAKDOWN_REQUIRED"),"",$AQ601)</f>
        <v/>
      </c>
      <c r="AT601" s="23">
        <f>IF(OR($AR601="",$AR601="BREAKDOWN_REQUIRED"),"",SUM($J601,$AQ601,$Y601)-$X601)</f>
        <v/>
      </c>
      <c r="AU601" s="25">
        <f>IF(AND($A601="",$B601="",$F601="",$H601="",$J601="",$K601="",$M601="",$S601=""),"",IF(OR($H601="",$Q601="",$M601="",$S601=""),"ERROR",IF(OR($J601&lt;0,$K601&lt;0,$M601&lt;0,$T601&lt;0,$U601&lt;0,$V601&lt;0,$W601&lt;0,$X601&lt;0,$Y601&lt;0),"ERROR",IF($AE601="","ERROR",IF(AND(OR($S601="ITEM_PRICE_PLUS_DECLARED_DELIVERY",$S601="TOTAL_AMOUNT_INCLUDING_DELIVERY",$S601="ITEM_PRICE_ONLY_DELIVERY_PAID_BY_MERCHANT"),$J601=""),"ERROR",IF(AND(OR($S601="ITEM_PRICE_PLUS_DECLARED_DELIVERY",$S601="DELIVERY_CHARGE_ONLY"),$K601=""),"ERROR",IF(AND(OR($S601="TOTAL_AMOUNT_INCLUDING_DELIVERY",$S601="EXACT_COLLECTION_AMOUNT"),$T601=""),"ERROR",IF(AND($S601="TOTAL_AMOUNT_INCLUDING_DELIVERY",$T601&lt;SUM($J601,$U601)),"ERROR",IF($S601="EXACT_COLLECTION_AMOUNT","REVIEW","OK")))))))))</f>
        <v/>
      </c>
      <c r="AV601" s="25">
        <f>IF($AU601="","",IF($H601="","Township required",IF($Q601="","Customer tier required",IF($M601="","Weight required",IF($S601="","Amount entry type required",IF(OR($J601&lt;0,$K601&lt;0,$M601&lt;0,$T601&lt;0,$U601&lt;0,$V601&lt;0,$W601&lt;0,$X601&lt;0,$Y601&lt;0),"Negative amounts are not allowed",IF($AE601="","Tariff not found for township and tier",IF(AND(OR($S601="ITEM_PRICE_PLUS_DECLARED_DELIVERY",$S601="TOTAL_AMOUNT_INCLUDING_DELIVERY",$S601="ITEM_PRICE_ONLY_DELIVERY_PAID_BY_MERCHANT"),$J601=""),"Item price required for this amount type",IF(AND(OR($S601="ITEM_PRICE_PLUS_DECLARED_DELIVERY",$S601="DELIVERY_CHARGE_ONLY"),$K601=""),"Declared delivery charge required",IF(AND(OR($S601="TOTAL_AMOUNT_INCLUDING_DELIVERY",$S601="EXACT_COLLECTION_AMOUNT"),$T601=""),"Stated total amount required",IF(AND($S601="TOTAL_AMOUNT_INCLUDING_DELIVERY",$T601&lt;SUM($J601,$U601)),"Stated total is below item price plus additional charge",IF($S601="EXACT_COLLECTION_AMOUNT","Authorized amount breakdown required before settlement","Ready for collection and settlement"))))))))))))</f>
        <v/>
      </c>
      <c r="AW601" s="23">
        <f>IF($AU601="","","PARCEL_FINANCIAL_V2")</f>
        <v/>
      </c>
      <c r="AX601" s="17" t="n"/>
    </row>
    <row r="602">
      <c r="A602" s="8" t="n"/>
      <c r="B602" s="8" t="n"/>
      <c r="C602" s="8" t="n"/>
      <c r="D602" s="8" t="n"/>
      <c r="E602" s="9" t="n"/>
      <c r="F602" s="9" t="n"/>
      <c r="G602" s="8" t="n"/>
      <c r="H602" s="9" t="n"/>
      <c r="I602" s="9" t="n"/>
      <c r="J602" s="10" t="n"/>
      <c r="K602" s="10" t="n"/>
      <c r="L602" s="11">
        <f>IF($S602="","",IF($S602="ITEM_PRICE_PLUS_DECLARED_DELIVERY",IF(OR($J602="",$K602=""),"",SUM($J602,$K602,$U602)),IF($S602="TOTAL_AMOUNT_INCLUDING_DELIVERY",IF($T602="","",$T602),IF($S602="DELIVERY_CHARGE_ONLY",IF($K602="","",SUM($K602,$U602)),IF($S602="EXACT_COLLECTION_AMOUNT",IF($T602="","",$T602),IF($S602="ITEM_PRICE_ONLY_DELIVERY_PAID_BY_MERCHANT",IF($J602="","",SUM($J602,$U602)),""))))))</f>
        <v/>
      </c>
      <c r="M602" s="12" t="n"/>
      <c r="N602" s="13" t="n"/>
      <c r="O602" s="13" t="n"/>
      <c r="P602" s="9" t="n"/>
      <c r="Q602" s="14" t="n"/>
      <c r="R602" s="15" t="n"/>
      <c r="S602" s="14" t="n"/>
      <c r="T602" s="16" t="n"/>
      <c r="U602" s="16" t="n"/>
      <c r="V602" s="16" t="n"/>
      <c r="W602" s="16" t="n"/>
      <c r="X602" s="16" t="n"/>
      <c r="Y602" s="16" t="n"/>
      <c r="Z602" s="14" t="n"/>
      <c r="AA602" s="14" t="n"/>
      <c r="AB602" s="14" t="n"/>
      <c r="AC602" s="17">
        <f>IFERROR(VLOOKUP($H602&amp;"|"&amp;$Q602,Tariff_Master!$A$2:$L$169,3,FALSE),"")</f>
        <v/>
      </c>
      <c r="AD602" s="17">
        <f>IFERROR(VLOOKUP($H602&amp;"|"&amp;$Q602,Tariff_Master!$A$2:$L$169,4,FALSE),"")</f>
        <v/>
      </c>
      <c r="AE602" s="18">
        <f>IFERROR(VLOOKUP($H602&amp;"|"&amp;$Q602,Tariff_Master!$A$2:$L$169,6,FALSE),"")</f>
        <v/>
      </c>
      <c r="AF602" s="19">
        <f>IFERROR(VLOOKUP($H602&amp;"|"&amp;$Q602,Tariff_Master!$A$2:$L$169,7,FALSE),"")</f>
        <v/>
      </c>
      <c r="AG602" s="18">
        <f>IFERROR(VLOOKUP($H602&amp;"|"&amp;$Q602,Tariff_Master!$A$2:$L$169,8,FALSE),"")</f>
        <v/>
      </c>
      <c r="AH602" s="20">
        <f>IFERROR(VLOOKUP($H602&amp;"|"&amp;$Q602,Tariff_Master!$A$2:$L$169,9,FALSE),"")</f>
        <v/>
      </c>
      <c r="AI602" s="18">
        <f>IFERROR(VLOOKUP($H602&amp;"|"&amp;$Q602,Tariff_Master!$A$2:$L$169,10,FALSE),"")</f>
        <v/>
      </c>
      <c r="AJ602" s="21">
        <f>IF($M602="","",ROUNDUP(MAX(0,$M602),0))</f>
        <v/>
      </c>
      <c r="AK602" s="21">
        <f>IF(OR($AJ602="",$AF602=""),"",MAX(0,$AJ602-$AF602))</f>
        <v/>
      </c>
      <c r="AL602" s="22">
        <f>IF(OR($AK602="",$AG602=""),"",MAX(0,$AK602*$AG602))</f>
        <v/>
      </c>
      <c r="AM602" s="22">
        <f>IF($AE602="","",MAX(0,SUM($AE602,$AL602,$V602,$W602)))</f>
        <v/>
      </c>
      <c r="AN602" s="22">
        <f>IF($AM602="","",IF(AND($Q602="COMMITMENT",$R602&gt;=$AH602),$AI602,0))</f>
        <v/>
      </c>
      <c r="AO602" s="23">
        <f>IF($AM602="","",MAX(0,$AM602-$AN602))</f>
        <v/>
      </c>
      <c r="AP602" s="22">
        <f>IF($S602="","",IF(OR($S602="ITEM_PRICE_PLUS_DECLARED_DELIVERY",$S602="DELIVERY_CHARGE_ONLY"),$K602,IF($S602="TOTAL_AMOUNT_INCLUDING_DELIVERY",IF(OR($T602="",$J602=""),"",MAX(0,$T602-$J602-$U602)),IF($S602="ITEM_PRICE_ONLY_DELIVERY_PAID_BY_MERCHANT",0,""))))</f>
        <v/>
      </c>
      <c r="AQ602" s="23">
        <f>IF(OR($AP602="",$AO602=""),"",$AP602-$AO602)</f>
        <v/>
      </c>
      <c r="AR602" s="24">
        <f>IF($S602="EXACT_COLLECTION_AMOUNT","BREAKDOWN_REQUIRED",IF($AQ602="","",IF($AQ602&gt;0,"CREDIT_TO_MERCHANT",IF($AQ602&lt;0,"DEDUCT_FROM_MERCHANT","NO_ADJUSTMENT"))))</f>
        <v/>
      </c>
      <c r="AS602" s="23">
        <f>IF(OR($AQ602="",$AR602="BREAKDOWN_REQUIRED"),"",$AQ602)</f>
        <v/>
      </c>
      <c r="AT602" s="23">
        <f>IF(OR($AR602="",$AR602="BREAKDOWN_REQUIRED"),"",SUM($J602,$AQ602,$Y602)-$X602)</f>
        <v/>
      </c>
      <c r="AU602" s="25">
        <f>IF(AND($A602="",$B602="",$F602="",$H602="",$J602="",$K602="",$M602="",$S602=""),"",IF(OR($H602="",$Q602="",$M602="",$S602=""),"ERROR",IF(OR($J602&lt;0,$K602&lt;0,$M602&lt;0,$T602&lt;0,$U602&lt;0,$V602&lt;0,$W602&lt;0,$X602&lt;0,$Y602&lt;0),"ERROR",IF($AE602="","ERROR",IF(AND(OR($S602="ITEM_PRICE_PLUS_DECLARED_DELIVERY",$S602="TOTAL_AMOUNT_INCLUDING_DELIVERY",$S602="ITEM_PRICE_ONLY_DELIVERY_PAID_BY_MERCHANT"),$J602=""),"ERROR",IF(AND(OR($S602="ITEM_PRICE_PLUS_DECLARED_DELIVERY",$S602="DELIVERY_CHARGE_ONLY"),$K602=""),"ERROR",IF(AND(OR($S602="TOTAL_AMOUNT_INCLUDING_DELIVERY",$S602="EXACT_COLLECTION_AMOUNT"),$T602=""),"ERROR",IF(AND($S602="TOTAL_AMOUNT_INCLUDING_DELIVERY",$T602&lt;SUM($J602,$U602)),"ERROR",IF($S602="EXACT_COLLECTION_AMOUNT","REVIEW","OK")))))))))</f>
        <v/>
      </c>
      <c r="AV602" s="25">
        <f>IF($AU602="","",IF($H602="","Township required",IF($Q602="","Customer tier required",IF($M602="","Weight required",IF($S602="","Amount entry type required",IF(OR($J602&lt;0,$K602&lt;0,$M602&lt;0,$T602&lt;0,$U602&lt;0,$V602&lt;0,$W602&lt;0,$X602&lt;0,$Y602&lt;0),"Negative amounts are not allowed",IF($AE602="","Tariff not found for township and tier",IF(AND(OR($S602="ITEM_PRICE_PLUS_DECLARED_DELIVERY",$S602="TOTAL_AMOUNT_INCLUDING_DELIVERY",$S602="ITEM_PRICE_ONLY_DELIVERY_PAID_BY_MERCHANT"),$J602=""),"Item price required for this amount type",IF(AND(OR($S602="ITEM_PRICE_PLUS_DECLARED_DELIVERY",$S602="DELIVERY_CHARGE_ONLY"),$K602=""),"Declared delivery charge required",IF(AND(OR($S602="TOTAL_AMOUNT_INCLUDING_DELIVERY",$S602="EXACT_COLLECTION_AMOUNT"),$T602=""),"Stated total amount required",IF(AND($S602="TOTAL_AMOUNT_INCLUDING_DELIVERY",$T602&lt;SUM($J602,$U602)),"Stated total is below item price plus additional charge",IF($S602="EXACT_COLLECTION_AMOUNT","Authorized amount breakdown required before settlement","Ready for collection and settlement"))))))))))))</f>
        <v/>
      </c>
      <c r="AW602" s="23">
        <f>IF($AU602="","","PARCEL_FINANCIAL_V2")</f>
        <v/>
      </c>
      <c r="AX602" s="17" t="n"/>
    </row>
    <row r="603">
      <c r="A603" s="8" t="n"/>
      <c r="B603" s="8" t="n"/>
      <c r="C603" s="8" t="n"/>
      <c r="D603" s="8" t="n"/>
      <c r="E603" s="9" t="n"/>
      <c r="F603" s="9" t="n"/>
      <c r="G603" s="8" t="n"/>
      <c r="H603" s="9" t="n"/>
      <c r="I603" s="9" t="n"/>
      <c r="J603" s="10" t="n"/>
      <c r="K603" s="10" t="n"/>
      <c r="L603" s="11">
        <f>IF($S603="","",IF($S603="ITEM_PRICE_PLUS_DECLARED_DELIVERY",IF(OR($J603="",$K603=""),"",SUM($J603,$K603,$U603)),IF($S603="TOTAL_AMOUNT_INCLUDING_DELIVERY",IF($T603="","",$T603),IF($S603="DELIVERY_CHARGE_ONLY",IF($K603="","",SUM($K603,$U603)),IF($S603="EXACT_COLLECTION_AMOUNT",IF($T603="","",$T603),IF($S603="ITEM_PRICE_ONLY_DELIVERY_PAID_BY_MERCHANT",IF($J603="","",SUM($J603,$U603)),""))))))</f>
        <v/>
      </c>
      <c r="M603" s="12" t="n"/>
      <c r="N603" s="13" t="n"/>
      <c r="O603" s="13" t="n"/>
      <c r="P603" s="9" t="n"/>
      <c r="Q603" s="14" t="n"/>
      <c r="R603" s="15" t="n"/>
      <c r="S603" s="14" t="n"/>
      <c r="T603" s="16" t="n"/>
      <c r="U603" s="16" t="n"/>
      <c r="V603" s="16" t="n"/>
      <c r="W603" s="16" t="n"/>
      <c r="X603" s="16" t="n"/>
      <c r="Y603" s="16" t="n"/>
      <c r="Z603" s="14" t="n"/>
      <c r="AA603" s="14" t="n"/>
      <c r="AB603" s="14" t="n"/>
      <c r="AC603" s="17">
        <f>IFERROR(VLOOKUP($H603&amp;"|"&amp;$Q603,Tariff_Master!$A$2:$L$169,3,FALSE),"")</f>
        <v/>
      </c>
      <c r="AD603" s="17">
        <f>IFERROR(VLOOKUP($H603&amp;"|"&amp;$Q603,Tariff_Master!$A$2:$L$169,4,FALSE),"")</f>
        <v/>
      </c>
      <c r="AE603" s="18">
        <f>IFERROR(VLOOKUP($H603&amp;"|"&amp;$Q603,Tariff_Master!$A$2:$L$169,6,FALSE),"")</f>
        <v/>
      </c>
      <c r="AF603" s="19">
        <f>IFERROR(VLOOKUP($H603&amp;"|"&amp;$Q603,Tariff_Master!$A$2:$L$169,7,FALSE),"")</f>
        <v/>
      </c>
      <c r="AG603" s="18">
        <f>IFERROR(VLOOKUP($H603&amp;"|"&amp;$Q603,Tariff_Master!$A$2:$L$169,8,FALSE),"")</f>
        <v/>
      </c>
      <c r="AH603" s="20">
        <f>IFERROR(VLOOKUP($H603&amp;"|"&amp;$Q603,Tariff_Master!$A$2:$L$169,9,FALSE),"")</f>
        <v/>
      </c>
      <c r="AI603" s="18">
        <f>IFERROR(VLOOKUP($H603&amp;"|"&amp;$Q603,Tariff_Master!$A$2:$L$169,10,FALSE),"")</f>
        <v/>
      </c>
      <c r="AJ603" s="21">
        <f>IF($M603="","",ROUNDUP(MAX(0,$M603),0))</f>
        <v/>
      </c>
      <c r="AK603" s="21">
        <f>IF(OR($AJ603="",$AF603=""),"",MAX(0,$AJ603-$AF603))</f>
        <v/>
      </c>
      <c r="AL603" s="22">
        <f>IF(OR($AK603="",$AG603=""),"",MAX(0,$AK603*$AG603))</f>
        <v/>
      </c>
      <c r="AM603" s="22">
        <f>IF($AE603="","",MAX(0,SUM($AE603,$AL603,$V603,$W603)))</f>
        <v/>
      </c>
      <c r="AN603" s="22">
        <f>IF($AM603="","",IF(AND($Q603="COMMITMENT",$R603&gt;=$AH603),$AI603,0))</f>
        <v/>
      </c>
      <c r="AO603" s="23">
        <f>IF($AM603="","",MAX(0,$AM603-$AN603))</f>
        <v/>
      </c>
      <c r="AP603" s="22">
        <f>IF($S603="","",IF(OR($S603="ITEM_PRICE_PLUS_DECLARED_DELIVERY",$S603="DELIVERY_CHARGE_ONLY"),$K603,IF($S603="TOTAL_AMOUNT_INCLUDING_DELIVERY",IF(OR($T603="",$J603=""),"",MAX(0,$T603-$J603-$U603)),IF($S603="ITEM_PRICE_ONLY_DELIVERY_PAID_BY_MERCHANT",0,""))))</f>
        <v/>
      </c>
      <c r="AQ603" s="23">
        <f>IF(OR($AP603="",$AO603=""),"",$AP603-$AO603)</f>
        <v/>
      </c>
      <c r="AR603" s="24">
        <f>IF($S603="EXACT_COLLECTION_AMOUNT","BREAKDOWN_REQUIRED",IF($AQ603="","",IF($AQ603&gt;0,"CREDIT_TO_MERCHANT",IF($AQ603&lt;0,"DEDUCT_FROM_MERCHANT","NO_ADJUSTMENT"))))</f>
        <v/>
      </c>
      <c r="AS603" s="23">
        <f>IF(OR($AQ603="",$AR603="BREAKDOWN_REQUIRED"),"",$AQ603)</f>
        <v/>
      </c>
      <c r="AT603" s="23">
        <f>IF(OR($AR603="",$AR603="BREAKDOWN_REQUIRED"),"",SUM($J603,$AQ603,$Y603)-$X603)</f>
        <v/>
      </c>
      <c r="AU603" s="25">
        <f>IF(AND($A603="",$B603="",$F603="",$H603="",$J603="",$K603="",$M603="",$S603=""),"",IF(OR($H603="",$Q603="",$M603="",$S603=""),"ERROR",IF(OR($J603&lt;0,$K603&lt;0,$M603&lt;0,$T603&lt;0,$U603&lt;0,$V603&lt;0,$W603&lt;0,$X603&lt;0,$Y603&lt;0),"ERROR",IF($AE603="","ERROR",IF(AND(OR($S603="ITEM_PRICE_PLUS_DECLARED_DELIVERY",$S603="TOTAL_AMOUNT_INCLUDING_DELIVERY",$S603="ITEM_PRICE_ONLY_DELIVERY_PAID_BY_MERCHANT"),$J603=""),"ERROR",IF(AND(OR($S603="ITEM_PRICE_PLUS_DECLARED_DELIVERY",$S603="DELIVERY_CHARGE_ONLY"),$K603=""),"ERROR",IF(AND(OR($S603="TOTAL_AMOUNT_INCLUDING_DELIVERY",$S603="EXACT_COLLECTION_AMOUNT"),$T603=""),"ERROR",IF(AND($S603="TOTAL_AMOUNT_INCLUDING_DELIVERY",$T603&lt;SUM($J603,$U603)),"ERROR",IF($S603="EXACT_COLLECTION_AMOUNT","REVIEW","OK")))))))))</f>
        <v/>
      </c>
      <c r="AV603" s="25">
        <f>IF($AU603="","",IF($H603="","Township required",IF($Q603="","Customer tier required",IF($M603="","Weight required",IF($S603="","Amount entry type required",IF(OR($J603&lt;0,$K603&lt;0,$M603&lt;0,$T603&lt;0,$U603&lt;0,$V603&lt;0,$W603&lt;0,$X603&lt;0,$Y603&lt;0),"Negative amounts are not allowed",IF($AE603="","Tariff not found for township and tier",IF(AND(OR($S603="ITEM_PRICE_PLUS_DECLARED_DELIVERY",$S603="TOTAL_AMOUNT_INCLUDING_DELIVERY",$S603="ITEM_PRICE_ONLY_DELIVERY_PAID_BY_MERCHANT"),$J603=""),"Item price required for this amount type",IF(AND(OR($S603="ITEM_PRICE_PLUS_DECLARED_DELIVERY",$S603="DELIVERY_CHARGE_ONLY"),$K603=""),"Declared delivery charge required",IF(AND(OR($S603="TOTAL_AMOUNT_INCLUDING_DELIVERY",$S603="EXACT_COLLECTION_AMOUNT"),$T603=""),"Stated total amount required",IF(AND($S603="TOTAL_AMOUNT_INCLUDING_DELIVERY",$T603&lt;SUM($J603,$U603)),"Stated total is below item price plus additional charge",IF($S603="EXACT_COLLECTION_AMOUNT","Authorized amount breakdown required before settlement","Ready for collection and settlement"))))))))))))</f>
        <v/>
      </c>
      <c r="AW603" s="23">
        <f>IF($AU603="","","PARCEL_FINANCIAL_V2")</f>
        <v/>
      </c>
      <c r="AX603" s="17" t="n"/>
    </row>
    <row r="604">
      <c r="A604" s="8" t="n"/>
      <c r="B604" s="8" t="n"/>
      <c r="C604" s="8" t="n"/>
      <c r="D604" s="8" t="n"/>
      <c r="E604" s="9" t="n"/>
      <c r="F604" s="9" t="n"/>
      <c r="G604" s="8" t="n"/>
      <c r="H604" s="9" t="n"/>
      <c r="I604" s="9" t="n"/>
      <c r="J604" s="10" t="n"/>
      <c r="K604" s="10" t="n"/>
      <c r="L604" s="11">
        <f>IF($S604="","",IF($S604="ITEM_PRICE_PLUS_DECLARED_DELIVERY",IF(OR($J604="",$K604=""),"",SUM($J604,$K604,$U604)),IF($S604="TOTAL_AMOUNT_INCLUDING_DELIVERY",IF($T604="","",$T604),IF($S604="DELIVERY_CHARGE_ONLY",IF($K604="","",SUM($K604,$U604)),IF($S604="EXACT_COLLECTION_AMOUNT",IF($T604="","",$T604),IF($S604="ITEM_PRICE_ONLY_DELIVERY_PAID_BY_MERCHANT",IF($J604="","",SUM($J604,$U604)),""))))))</f>
        <v/>
      </c>
      <c r="M604" s="12" t="n"/>
      <c r="N604" s="13" t="n"/>
      <c r="O604" s="13" t="n"/>
      <c r="P604" s="9" t="n"/>
      <c r="Q604" s="14" t="n"/>
      <c r="R604" s="15" t="n"/>
      <c r="S604" s="14" t="n"/>
      <c r="T604" s="16" t="n"/>
      <c r="U604" s="16" t="n"/>
      <c r="V604" s="16" t="n"/>
      <c r="W604" s="16" t="n"/>
      <c r="X604" s="16" t="n"/>
      <c r="Y604" s="16" t="n"/>
      <c r="Z604" s="14" t="n"/>
      <c r="AA604" s="14" t="n"/>
      <c r="AB604" s="14" t="n"/>
      <c r="AC604" s="17">
        <f>IFERROR(VLOOKUP($H604&amp;"|"&amp;$Q604,Tariff_Master!$A$2:$L$169,3,FALSE),"")</f>
        <v/>
      </c>
      <c r="AD604" s="17">
        <f>IFERROR(VLOOKUP($H604&amp;"|"&amp;$Q604,Tariff_Master!$A$2:$L$169,4,FALSE),"")</f>
        <v/>
      </c>
      <c r="AE604" s="18">
        <f>IFERROR(VLOOKUP($H604&amp;"|"&amp;$Q604,Tariff_Master!$A$2:$L$169,6,FALSE),"")</f>
        <v/>
      </c>
      <c r="AF604" s="19">
        <f>IFERROR(VLOOKUP($H604&amp;"|"&amp;$Q604,Tariff_Master!$A$2:$L$169,7,FALSE),"")</f>
        <v/>
      </c>
      <c r="AG604" s="18">
        <f>IFERROR(VLOOKUP($H604&amp;"|"&amp;$Q604,Tariff_Master!$A$2:$L$169,8,FALSE),"")</f>
        <v/>
      </c>
      <c r="AH604" s="20">
        <f>IFERROR(VLOOKUP($H604&amp;"|"&amp;$Q604,Tariff_Master!$A$2:$L$169,9,FALSE),"")</f>
        <v/>
      </c>
      <c r="AI604" s="18">
        <f>IFERROR(VLOOKUP($H604&amp;"|"&amp;$Q604,Tariff_Master!$A$2:$L$169,10,FALSE),"")</f>
        <v/>
      </c>
      <c r="AJ604" s="21">
        <f>IF($M604="","",ROUNDUP(MAX(0,$M604),0))</f>
        <v/>
      </c>
      <c r="AK604" s="21">
        <f>IF(OR($AJ604="",$AF604=""),"",MAX(0,$AJ604-$AF604))</f>
        <v/>
      </c>
      <c r="AL604" s="22">
        <f>IF(OR($AK604="",$AG604=""),"",MAX(0,$AK604*$AG604))</f>
        <v/>
      </c>
      <c r="AM604" s="22">
        <f>IF($AE604="","",MAX(0,SUM($AE604,$AL604,$V604,$W604)))</f>
        <v/>
      </c>
      <c r="AN604" s="22">
        <f>IF($AM604="","",IF(AND($Q604="COMMITMENT",$R604&gt;=$AH604),$AI604,0))</f>
        <v/>
      </c>
      <c r="AO604" s="23">
        <f>IF($AM604="","",MAX(0,$AM604-$AN604))</f>
        <v/>
      </c>
      <c r="AP604" s="22">
        <f>IF($S604="","",IF(OR($S604="ITEM_PRICE_PLUS_DECLARED_DELIVERY",$S604="DELIVERY_CHARGE_ONLY"),$K604,IF($S604="TOTAL_AMOUNT_INCLUDING_DELIVERY",IF(OR($T604="",$J604=""),"",MAX(0,$T604-$J604-$U604)),IF($S604="ITEM_PRICE_ONLY_DELIVERY_PAID_BY_MERCHANT",0,""))))</f>
        <v/>
      </c>
      <c r="AQ604" s="23">
        <f>IF(OR($AP604="",$AO604=""),"",$AP604-$AO604)</f>
        <v/>
      </c>
      <c r="AR604" s="24">
        <f>IF($S604="EXACT_COLLECTION_AMOUNT","BREAKDOWN_REQUIRED",IF($AQ604="","",IF($AQ604&gt;0,"CREDIT_TO_MERCHANT",IF($AQ604&lt;0,"DEDUCT_FROM_MERCHANT","NO_ADJUSTMENT"))))</f>
        <v/>
      </c>
      <c r="AS604" s="23">
        <f>IF(OR($AQ604="",$AR604="BREAKDOWN_REQUIRED"),"",$AQ604)</f>
        <v/>
      </c>
      <c r="AT604" s="23">
        <f>IF(OR($AR604="",$AR604="BREAKDOWN_REQUIRED"),"",SUM($J604,$AQ604,$Y604)-$X604)</f>
        <v/>
      </c>
      <c r="AU604" s="25">
        <f>IF(AND($A604="",$B604="",$F604="",$H604="",$J604="",$K604="",$M604="",$S604=""),"",IF(OR($H604="",$Q604="",$M604="",$S604=""),"ERROR",IF(OR($J604&lt;0,$K604&lt;0,$M604&lt;0,$T604&lt;0,$U604&lt;0,$V604&lt;0,$W604&lt;0,$X604&lt;0,$Y604&lt;0),"ERROR",IF($AE604="","ERROR",IF(AND(OR($S604="ITEM_PRICE_PLUS_DECLARED_DELIVERY",$S604="TOTAL_AMOUNT_INCLUDING_DELIVERY",$S604="ITEM_PRICE_ONLY_DELIVERY_PAID_BY_MERCHANT"),$J604=""),"ERROR",IF(AND(OR($S604="ITEM_PRICE_PLUS_DECLARED_DELIVERY",$S604="DELIVERY_CHARGE_ONLY"),$K604=""),"ERROR",IF(AND(OR($S604="TOTAL_AMOUNT_INCLUDING_DELIVERY",$S604="EXACT_COLLECTION_AMOUNT"),$T604=""),"ERROR",IF(AND($S604="TOTAL_AMOUNT_INCLUDING_DELIVERY",$T604&lt;SUM($J604,$U604)),"ERROR",IF($S604="EXACT_COLLECTION_AMOUNT","REVIEW","OK")))))))))</f>
        <v/>
      </c>
      <c r="AV604" s="25">
        <f>IF($AU604="","",IF($H604="","Township required",IF($Q604="","Customer tier required",IF($M604="","Weight required",IF($S604="","Amount entry type required",IF(OR($J604&lt;0,$K604&lt;0,$M604&lt;0,$T604&lt;0,$U604&lt;0,$V604&lt;0,$W604&lt;0,$X604&lt;0,$Y604&lt;0),"Negative amounts are not allowed",IF($AE604="","Tariff not found for township and tier",IF(AND(OR($S604="ITEM_PRICE_PLUS_DECLARED_DELIVERY",$S604="TOTAL_AMOUNT_INCLUDING_DELIVERY",$S604="ITEM_PRICE_ONLY_DELIVERY_PAID_BY_MERCHANT"),$J604=""),"Item price required for this amount type",IF(AND(OR($S604="ITEM_PRICE_PLUS_DECLARED_DELIVERY",$S604="DELIVERY_CHARGE_ONLY"),$K604=""),"Declared delivery charge required",IF(AND(OR($S604="TOTAL_AMOUNT_INCLUDING_DELIVERY",$S604="EXACT_COLLECTION_AMOUNT"),$T604=""),"Stated total amount required",IF(AND($S604="TOTAL_AMOUNT_INCLUDING_DELIVERY",$T604&lt;SUM($J604,$U604)),"Stated total is below item price plus additional charge",IF($S604="EXACT_COLLECTION_AMOUNT","Authorized amount breakdown required before settlement","Ready for collection and settlement"))))))))))))</f>
        <v/>
      </c>
      <c r="AW604" s="23">
        <f>IF($AU604="","","PARCEL_FINANCIAL_V2")</f>
        <v/>
      </c>
      <c r="AX604" s="17" t="n"/>
    </row>
    <row r="605">
      <c r="A605" s="8" t="n"/>
      <c r="B605" s="8" t="n"/>
      <c r="C605" s="8" t="n"/>
      <c r="D605" s="8" t="n"/>
      <c r="E605" s="9" t="n"/>
      <c r="F605" s="9" t="n"/>
      <c r="G605" s="8" t="n"/>
      <c r="H605" s="9" t="n"/>
      <c r="I605" s="9" t="n"/>
      <c r="J605" s="10" t="n"/>
      <c r="K605" s="10" t="n"/>
      <c r="L605" s="11">
        <f>IF($S605="","",IF($S605="ITEM_PRICE_PLUS_DECLARED_DELIVERY",IF(OR($J605="",$K605=""),"",SUM($J605,$K605,$U605)),IF($S605="TOTAL_AMOUNT_INCLUDING_DELIVERY",IF($T605="","",$T605),IF($S605="DELIVERY_CHARGE_ONLY",IF($K605="","",SUM($K605,$U605)),IF($S605="EXACT_COLLECTION_AMOUNT",IF($T605="","",$T605),IF($S605="ITEM_PRICE_ONLY_DELIVERY_PAID_BY_MERCHANT",IF($J605="","",SUM($J605,$U605)),""))))))</f>
        <v/>
      </c>
      <c r="M605" s="12" t="n"/>
      <c r="N605" s="13" t="n"/>
      <c r="O605" s="13" t="n"/>
      <c r="P605" s="9" t="n"/>
      <c r="Q605" s="14" t="n"/>
      <c r="R605" s="15" t="n"/>
      <c r="S605" s="14" t="n"/>
      <c r="T605" s="16" t="n"/>
      <c r="U605" s="16" t="n"/>
      <c r="V605" s="16" t="n"/>
      <c r="W605" s="16" t="n"/>
      <c r="X605" s="16" t="n"/>
      <c r="Y605" s="16" t="n"/>
      <c r="Z605" s="14" t="n"/>
      <c r="AA605" s="14" t="n"/>
      <c r="AB605" s="14" t="n"/>
      <c r="AC605" s="17">
        <f>IFERROR(VLOOKUP($H605&amp;"|"&amp;$Q605,Tariff_Master!$A$2:$L$169,3,FALSE),"")</f>
        <v/>
      </c>
      <c r="AD605" s="17">
        <f>IFERROR(VLOOKUP($H605&amp;"|"&amp;$Q605,Tariff_Master!$A$2:$L$169,4,FALSE),"")</f>
        <v/>
      </c>
      <c r="AE605" s="18">
        <f>IFERROR(VLOOKUP($H605&amp;"|"&amp;$Q605,Tariff_Master!$A$2:$L$169,6,FALSE),"")</f>
        <v/>
      </c>
      <c r="AF605" s="19">
        <f>IFERROR(VLOOKUP($H605&amp;"|"&amp;$Q605,Tariff_Master!$A$2:$L$169,7,FALSE),"")</f>
        <v/>
      </c>
      <c r="AG605" s="18">
        <f>IFERROR(VLOOKUP($H605&amp;"|"&amp;$Q605,Tariff_Master!$A$2:$L$169,8,FALSE),"")</f>
        <v/>
      </c>
      <c r="AH605" s="20">
        <f>IFERROR(VLOOKUP($H605&amp;"|"&amp;$Q605,Tariff_Master!$A$2:$L$169,9,FALSE),"")</f>
        <v/>
      </c>
      <c r="AI605" s="18">
        <f>IFERROR(VLOOKUP($H605&amp;"|"&amp;$Q605,Tariff_Master!$A$2:$L$169,10,FALSE),"")</f>
        <v/>
      </c>
      <c r="AJ605" s="21">
        <f>IF($M605="","",ROUNDUP(MAX(0,$M605),0))</f>
        <v/>
      </c>
      <c r="AK605" s="21">
        <f>IF(OR($AJ605="",$AF605=""),"",MAX(0,$AJ605-$AF605))</f>
        <v/>
      </c>
      <c r="AL605" s="22">
        <f>IF(OR($AK605="",$AG605=""),"",MAX(0,$AK605*$AG605))</f>
        <v/>
      </c>
      <c r="AM605" s="22">
        <f>IF($AE605="","",MAX(0,SUM($AE605,$AL605,$V605,$W605)))</f>
        <v/>
      </c>
      <c r="AN605" s="22">
        <f>IF($AM605="","",IF(AND($Q605="COMMITMENT",$R605&gt;=$AH605),$AI605,0))</f>
        <v/>
      </c>
      <c r="AO605" s="23">
        <f>IF($AM605="","",MAX(0,$AM605-$AN605))</f>
        <v/>
      </c>
      <c r="AP605" s="22">
        <f>IF($S605="","",IF(OR($S605="ITEM_PRICE_PLUS_DECLARED_DELIVERY",$S605="DELIVERY_CHARGE_ONLY"),$K605,IF($S605="TOTAL_AMOUNT_INCLUDING_DELIVERY",IF(OR($T605="",$J605=""),"",MAX(0,$T605-$J605-$U605)),IF($S605="ITEM_PRICE_ONLY_DELIVERY_PAID_BY_MERCHANT",0,""))))</f>
        <v/>
      </c>
      <c r="AQ605" s="23">
        <f>IF(OR($AP605="",$AO605=""),"",$AP605-$AO605)</f>
        <v/>
      </c>
      <c r="AR605" s="24">
        <f>IF($S605="EXACT_COLLECTION_AMOUNT","BREAKDOWN_REQUIRED",IF($AQ605="","",IF($AQ605&gt;0,"CREDIT_TO_MERCHANT",IF($AQ605&lt;0,"DEDUCT_FROM_MERCHANT","NO_ADJUSTMENT"))))</f>
        <v/>
      </c>
      <c r="AS605" s="23">
        <f>IF(OR($AQ605="",$AR605="BREAKDOWN_REQUIRED"),"",$AQ605)</f>
        <v/>
      </c>
      <c r="AT605" s="23">
        <f>IF(OR($AR605="",$AR605="BREAKDOWN_REQUIRED"),"",SUM($J605,$AQ605,$Y605)-$X605)</f>
        <v/>
      </c>
      <c r="AU605" s="25">
        <f>IF(AND($A605="",$B605="",$F605="",$H605="",$J605="",$K605="",$M605="",$S605=""),"",IF(OR($H605="",$Q605="",$M605="",$S605=""),"ERROR",IF(OR($J605&lt;0,$K605&lt;0,$M605&lt;0,$T605&lt;0,$U605&lt;0,$V605&lt;0,$W605&lt;0,$X605&lt;0,$Y605&lt;0),"ERROR",IF($AE605="","ERROR",IF(AND(OR($S605="ITEM_PRICE_PLUS_DECLARED_DELIVERY",$S605="TOTAL_AMOUNT_INCLUDING_DELIVERY",$S605="ITEM_PRICE_ONLY_DELIVERY_PAID_BY_MERCHANT"),$J605=""),"ERROR",IF(AND(OR($S605="ITEM_PRICE_PLUS_DECLARED_DELIVERY",$S605="DELIVERY_CHARGE_ONLY"),$K605=""),"ERROR",IF(AND(OR($S605="TOTAL_AMOUNT_INCLUDING_DELIVERY",$S605="EXACT_COLLECTION_AMOUNT"),$T605=""),"ERROR",IF(AND($S605="TOTAL_AMOUNT_INCLUDING_DELIVERY",$T605&lt;SUM($J605,$U605)),"ERROR",IF($S605="EXACT_COLLECTION_AMOUNT","REVIEW","OK")))))))))</f>
        <v/>
      </c>
      <c r="AV605" s="25">
        <f>IF($AU605="","",IF($H605="","Township required",IF($Q605="","Customer tier required",IF($M605="","Weight required",IF($S605="","Amount entry type required",IF(OR($J605&lt;0,$K605&lt;0,$M605&lt;0,$T605&lt;0,$U605&lt;0,$V605&lt;0,$W605&lt;0,$X605&lt;0,$Y605&lt;0),"Negative amounts are not allowed",IF($AE605="","Tariff not found for township and tier",IF(AND(OR($S605="ITEM_PRICE_PLUS_DECLARED_DELIVERY",$S605="TOTAL_AMOUNT_INCLUDING_DELIVERY",$S605="ITEM_PRICE_ONLY_DELIVERY_PAID_BY_MERCHANT"),$J605=""),"Item price required for this amount type",IF(AND(OR($S605="ITEM_PRICE_PLUS_DECLARED_DELIVERY",$S605="DELIVERY_CHARGE_ONLY"),$K605=""),"Declared delivery charge required",IF(AND(OR($S605="TOTAL_AMOUNT_INCLUDING_DELIVERY",$S605="EXACT_COLLECTION_AMOUNT"),$T605=""),"Stated total amount required",IF(AND($S605="TOTAL_AMOUNT_INCLUDING_DELIVERY",$T605&lt;SUM($J605,$U605)),"Stated total is below item price plus additional charge",IF($S605="EXACT_COLLECTION_AMOUNT","Authorized amount breakdown required before settlement","Ready for collection and settlement"))))))))))))</f>
        <v/>
      </c>
      <c r="AW605" s="23">
        <f>IF($AU605="","","PARCEL_FINANCIAL_V2")</f>
        <v/>
      </c>
      <c r="AX605" s="17" t="n"/>
    </row>
    <row r="606">
      <c r="A606" s="8" t="n"/>
      <c r="B606" s="8" t="n"/>
      <c r="C606" s="8" t="n"/>
      <c r="D606" s="8" t="n"/>
      <c r="E606" s="9" t="n"/>
      <c r="F606" s="9" t="n"/>
      <c r="G606" s="8" t="n"/>
      <c r="H606" s="9" t="n"/>
      <c r="I606" s="9" t="n"/>
      <c r="J606" s="10" t="n"/>
      <c r="K606" s="10" t="n"/>
      <c r="L606" s="11">
        <f>IF($S606="","",IF($S606="ITEM_PRICE_PLUS_DECLARED_DELIVERY",IF(OR($J606="",$K606=""),"",SUM($J606,$K606,$U606)),IF($S606="TOTAL_AMOUNT_INCLUDING_DELIVERY",IF($T606="","",$T606),IF($S606="DELIVERY_CHARGE_ONLY",IF($K606="","",SUM($K606,$U606)),IF($S606="EXACT_COLLECTION_AMOUNT",IF($T606="","",$T606),IF($S606="ITEM_PRICE_ONLY_DELIVERY_PAID_BY_MERCHANT",IF($J606="","",SUM($J606,$U606)),""))))))</f>
        <v/>
      </c>
      <c r="M606" s="12" t="n"/>
      <c r="N606" s="13" t="n"/>
      <c r="O606" s="13" t="n"/>
      <c r="P606" s="9" t="n"/>
      <c r="Q606" s="14" t="n"/>
      <c r="R606" s="15" t="n"/>
      <c r="S606" s="14" t="n"/>
      <c r="T606" s="16" t="n"/>
      <c r="U606" s="16" t="n"/>
      <c r="V606" s="16" t="n"/>
      <c r="W606" s="16" t="n"/>
      <c r="X606" s="16" t="n"/>
      <c r="Y606" s="16" t="n"/>
      <c r="Z606" s="14" t="n"/>
      <c r="AA606" s="14" t="n"/>
      <c r="AB606" s="14" t="n"/>
      <c r="AC606" s="17">
        <f>IFERROR(VLOOKUP($H606&amp;"|"&amp;$Q606,Tariff_Master!$A$2:$L$169,3,FALSE),"")</f>
        <v/>
      </c>
      <c r="AD606" s="17">
        <f>IFERROR(VLOOKUP($H606&amp;"|"&amp;$Q606,Tariff_Master!$A$2:$L$169,4,FALSE),"")</f>
        <v/>
      </c>
      <c r="AE606" s="18">
        <f>IFERROR(VLOOKUP($H606&amp;"|"&amp;$Q606,Tariff_Master!$A$2:$L$169,6,FALSE),"")</f>
        <v/>
      </c>
      <c r="AF606" s="19">
        <f>IFERROR(VLOOKUP($H606&amp;"|"&amp;$Q606,Tariff_Master!$A$2:$L$169,7,FALSE),"")</f>
        <v/>
      </c>
      <c r="AG606" s="18">
        <f>IFERROR(VLOOKUP($H606&amp;"|"&amp;$Q606,Tariff_Master!$A$2:$L$169,8,FALSE),"")</f>
        <v/>
      </c>
      <c r="AH606" s="20">
        <f>IFERROR(VLOOKUP($H606&amp;"|"&amp;$Q606,Tariff_Master!$A$2:$L$169,9,FALSE),"")</f>
        <v/>
      </c>
      <c r="AI606" s="18">
        <f>IFERROR(VLOOKUP($H606&amp;"|"&amp;$Q606,Tariff_Master!$A$2:$L$169,10,FALSE),"")</f>
        <v/>
      </c>
      <c r="AJ606" s="21">
        <f>IF($M606="","",ROUNDUP(MAX(0,$M606),0))</f>
        <v/>
      </c>
      <c r="AK606" s="21">
        <f>IF(OR($AJ606="",$AF606=""),"",MAX(0,$AJ606-$AF606))</f>
        <v/>
      </c>
      <c r="AL606" s="22">
        <f>IF(OR($AK606="",$AG606=""),"",MAX(0,$AK606*$AG606))</f>
        <v/>
      </c>
      <c r="AM606" s="22">
        <f>IF($AE606="","",MAX(0,SUM($AE606,$AL606,$V606,$W606)))</f>
        <v/>
      </c>
      <c r="AN606" s="22">
        <f>IF($AM606="","",IF(AND($Q606="COMMITMENT",$R606&gt;=$AH606),$AI606,0))</f>
        <v/>
      </c>
      <c r="AO606" s="23">
        <f>IF($AM606="","",MAX(0,$AM606-$AN606))</f>
        <v/>
      </c>
      <c r="AP606" s="22">
        <f>IF($S606="","",IF(OR($S606="ITEM_PRICE_PLUS_DECLARED_DELIVERY",$S606="DELIVERY_CHARGE_ONLY"),$K606,IF($S606="TOTAL_AMOUNT_INCLUDING_DELIVERY",IF(OR($T606="",$J606=""),"",MAX(0,$T606-$J606-$U606)),IF($S606="ITEM_PRICE_ONLY_DELIVERY_PAID_BY_MERCHANT",0,""))))</f>
        <v/>
      </c>
      <c r="AQ606" s="23">
        <f>IF(OR($AP606="",$AO606=""),"",$AP606-$AO606)</f>
        <v/>
      </c>
      <c r="AR606" s="24">
        <f>IF($S606="EXACT_COLLECTION_AMOUNT","BREAKDOWN_REQUIRED",IF($AQ606="","",IF($AQ606&gt;0,"CREDIT_TO_MERCHANT",IF($AQ606&lt;0,"DEDUCT_FROM_MERCHANT","NO_ADJUSTMENT"))))</f>
        <v/>
      </c>
      <c r="AS606" s="23">
        <f>IF(OR($AQ606="",$AR606="BREAKDOWN_REQUIRED"),"",$AQ606)</f>
        <v/>
      </c>
      <c r="AT606" s="23">
        <f>IF(OR($AR606="",$AR606="BREAKDOWN_REQUIRED"),"",SUM($J606,$AQ606,$Y606)-$X606)</f>
        <v/>
      </c>
      <c r="AU606" s="25">
        <f>IF(AND($A606="",$B606="",$F606="",$H606="",$J606="",$K606="",$M606="",$S606=""),"",IF(OR($H606="",$Q606="",$M606="",$S606=""),"ERROR",IF(OR($J606&lt;0,$K606&lt;0,$M606&lt;0,$T606&lt;0,$U606&lt;0,$V606&lt;0,$W606&lt;0,$X606&lt;0,$Y606&lt;0),"ERROR",IF($AE606="","ERROR",IF(AND(OR($S606="ITEM_PRICE_PLUS_DECLARED_DELIVERY",$S606="TOTAL_AMOUNT_INCLUDING_DELIVERY",$S606="ITEM_PRICE_ONLY_DELIVERY_PAID_BY_MERCHANT"),$J606=""),"ERROR",IF(AND(OR($S606="ITEM_PRICE_PLUS_DECLARED_DELIVERY",$S606="DELIVERY_CHARGE_ONLY"),$K606=""),"ERROR",IF(AND(OR($S606="TOTAL_AMOUNT_INCLUDING_DELIVERY",$S606="EXACT_COLLECTION_AMOUNT"),$T606=""),"ERROR",IF(AND($S606="TOTAL_AMOUNT_INCLUDING_DELIVERY",$T606&lt;SUM($J606,$U606)),"ERROR",IF($S606="EXACT_COLLECTION_AMOUNT","REVIEW","OK")))))))))</f>
        <v/>
      </c>
      <c r="AV606" s="25">
        <f>IF($AU606="","",IF($H606="","Township required",IF($Q606="","Customer tier required",IF($M606="","Weight required",IF($S606="","Amount entry type required",IF(OR($J606&lt;0,$K606&lt;0,$M606&lt;0,$T606&lt;0,$U606&lt;0,$V606&lt;0,$W606&lt;0,$X606&lt;0,$Y606&lt;0),"Negative amounts are not allowed",IF($AE606="","Tariff not found for township and tier",IF(AND(OR($S606="ITEM_PRICE_PLUS_DECLARED_DELIVERY",$S606="TOTAL_AMOUNT_INCLUDING_DELIVERY",$S606="ITEM_PRICE_ONLY_DELIVERY_PAID_BY_MERCHANT"),$J606=""),"Item price required for this amount type",IF(AND(OR($S606="ITEM_PRICE_PLUS_DECLARED_DELIVERY",$S606="DELIVERY_CHARGE_ONLY"),$K606=""),"Declared delivery charge required",IF(AND(OR($S606="TOTAL_AMOUNT_INCLUDING_DELIVERY",$S606="EXACT_COLLECTION_AMOUNT"),$T606=""),"Stated total amount required",IF(AND($S606="TOTAL_AMOUNT_INCLUDING_DELIVERY",$T606&lt;SUM($J606,$U606)),"Stated total is below item price plus additional charge",IF($S606="EXACT_COLLECTION_AMOUNT","Authorized amount breakdown required before settlement","Ready for collection and settlement"))))))))))))</f>
        <v/>
      </c>
      <c r="AW606" s="23">
        <f>IF($AU606="","","PARCEL_FINANCIAL_V2")</f>
        <v/>
      </c>
      <c r="AX606" s="17" t="n"/>
    </row>
    <row r="607">
      <c r="A607" s="8" t="n"/>
      <c r="B607" s="8" t="n"/>
      <c r="C607" s="8" t="n"/>
      <c r="D607" s="8" t="n"/>
      <c r="E607" s="9" t="n"/>
      <c r="F607" s="9" t="n"/>
      <c r="G607" s="8" t="n"/>
      <c r="H607" s="9" t="n"/>
      <c r="I607" s="9" t="n"/>
      <c r="J607" s="10" t="n"/>
      <c r="K607" s="10" t="n"/>
      <c r="L607" s="11">
        <f>IF($S607="","",IF($S607="ITEM_PRICE_PLUS_DECLARED_DELIVERY",IF(OR($J607="",$K607=""),"",SUM($J607,$K607,$U607)),IF($S607="TOTAL_AMOUNT_INCLUDING_DELIVERY",IF($T607="","",$T607),IF($S607="DELIVERY_CHARGE_ONLY",IF($K607="","",SUM($K607,$U607)),IF($S607="EXACT_COLLECTION_AMOUNT",IF($T607="","",$T607),IF($S607="ITEM_PRICE_ONLY_DELIVERY_PAID_BY_MERCHANT",IF($J607="","",SUM($J607,$U607)),""))))))</f>
        <v/>
      </c>
      <c r="M607" s="12" t="n"/>
      <c r="N607" s="13" t="n"/>
      <c r="O607" s="13" t="n"/>
      <c r="P607" s="9" t="n"/>
      <c r="Q607" s="14" t="n"/>
      <c r="R607" s="15" t="n"/>
      <c r="S607" s="14" t="n"/>
      <c r="T607" s="16" t="n"/>
      <c r="U607" s="16" t="n"/>
      <c r="V607" s="16" t="n"/>
      <c r="W607" s="16" t="n"/>
      <c r="X607" s="16" t="n"/>
      <c r="Y607" s="16" t="n"/>
      <c r="Z607" s="14" t="n"/>
      <c r="AA607" s="14" t="n"/>
      <c r="AB607" s="14" t="n"/>
      <c r="AC607" s="17">
        <f>IFERROR(VLOOKUP($H607&amp;"|"&amp;$Q607,Tariff_Master!$A$2:$L$169,3,FALSE),"")</f>
        <v/>
      </c>
      <c r="AD607" s="17">
        <f>IFERROR(VLOOKUP($H607&amp;"|"&amp;$Q607,Tariff_Master!$A$2:$L$169,4,FALSE),"")</f>
        <v/>
      </c>
      <c r="AE607" s="18">
        <f>IFERROR(VLOOKUP($H607&amp;"|"&amp;$Q607,Tariff_Master!$A$2:$L$169,6,FALSE),"")</f>
        <v/>
      </c>
      <c r="AF607" s="19">
        <f>IFERROR(VLOOKUP($H607&amp;"|"&amp;$Q607,Tariff_Master!$A$2:$L$169,7,FALSE),"")</f>
        <v/>
      </c>
      <c r="AG607" s="18">
        <f>IFERROR(VLOOKUP($H607&amp;"|"&amp;$Q607,Tariff_Master!$A$2:$L$169,8,FALSE),"")</f>
        <v/>
      </c>
      <c r="AH607" s="20">
        <f>IFERROR(VLOOKUP($H607&amp;"|"&amp;$Q607,Tariff_Master!$A$2:$L$169,9,FALSE),"")</f>
        <v/>
      </c>
      <c r="AI607" s="18">
        <f>IFERROR(VLOOKUP($H607&amp;"|"&amp;$Q607,Tariff_Master!$A$2:$L$169,10,FALSE),"")</f>
        <v/>
      </c>
      <c r="AJ607" s="21">
        <f>IF($M607="","",ROUNDUP(MAX(0,$M607),0))</f>
        <v/>
      </c>
      <c r="AK607" s="21">
        <f>IF(OR($AJ607="",$AF607=""),"",MAX(0,$AJ607-$AF607))</f>
        <v/>
      </c>
      <c r="AL607" s="22">
        <f>IF(OR($AK607="",$AG607=""),"",MAX(0,$AK607*$AG607))</f>
        <v/>
      </c>
      <c r="AM607" s="22">
        <f>IF($AE607="","",MAX(0,SUM($AE607,$AL607,$V607,$W607)))</f>
        <v/>
      </c>
      <c r="AN607" s="22">
        <f>IF($AM607="","",IF(AND($Q607="COMMITMENT",$R607&gt;=$AH607),$AI607,0))</f>
        <v/>
      </c>
      <c r="AO607" s="23">
        <f>IF($AM607="","",MAX(0,$AM607-$AN607))</f>
        <v/>
      </c>
      <c r="AP607" s="22">
        <f>IF($S607="","",IF(OR($S607="ITEM_PRICE_PLUS_DECLARED_DELIVERY",$S607="DELIVERY_CHARGE_ONLY"),$K607,IF($S607="TOTAL_AMOUNT_INCLUDING_DELIVERY",IF(OR($T607="",$J607=""),"",MAX(0,$T607-$J607-$U607)),IF($S607="ITEM_PRICE_ONLY_DELIVERY_PAID_BY_MERCHANT",0,""))))</f>
        <v/>
      </c>
      <c r="AQ607" s="23">
        <f>IF(OR($AP607="",$AO607=""),"",$AP607-$AO607)</f>
        <v/>
      </c>
      <c r="AR607" s="24">
        <f>IF($S607="EXACT_COLLECTION_AMOUNT","BREAKDOWN_REQUIRED",IF($AQ607="","",IF($AQ607&gt;0,"CREDIT_TO_MERCHANT",IF($AQ607&lt;0,"DEDUCT_FROM_MERCHANT","NO_ADJUSTMENT"))))</f>
        <v/>
      </c>
      <c r="AS607" s="23">
        <f>IF(OR($AQ607="",$AR607="BREAKDOWN_REQUIRED"),"",$AQ607)</f>
        <v/>
      </c>
      <c r="AT607" s="23">
        <f>IF(OR($AR607="",$AR607="BREAKDOWN_REQUIRED"),"",SUM($J607,$AQ607,$Y607)-$X607)</f>
        <v/>
      </c>
      <c r="AU607" s="25">
        <f>IF(AND($A607="",$B607="",$F607="",$H607="",$J607="",$K607="",$M607="",$S607=""),"",IF(OR($H607="",$Q607="",$M607="",$S607=""),"ERROR",IF(OR($J607&lt;0,$K607&lt;0,$M607&lt;0,$T607&lt;0,$U607&lt;0,$V607&lt;0,$W607&lt;0,$X607&lt;0,$Y607&lt;0),"ERROR",IF($AE607="","ERROR",IF(AND(OR($S607="ITEM_PRICE_PLUS_DECLARED_DELIVERY",$S607="TOTAL_AMOUNT_INCLUDING_DELIVERY",$S607="ITEM_PRICE_ONLY_DELIVERY_PAID_BY_MERCHANT"),$J607=""),"ERROR",IF(AND(OR($S607="ITEM_PRICE_PLUS_DECLARED_DELIVERY",$S607="DELIVERY_CHARGE_ONLY"),$K607=""),"ERROR",IF(AND(OR($S607="TOTAL_AMOUNT_INCLUDING_DELIVERY",$S607="EXACT_COLLECTION_AMOUNT"),$T607=""),"ERROR",IF(AND($S607="TOTAL_AMOUNT_INCLUDING_DELIVERY",$T607&lt;SUM($J607,$U607)),"ERROR",IF($S607="EXACT_COLLECTION_AMOUNT","REVIEW","OK")))))))))</f>
        <v/>
      </c>
      <c r="AV607" s="25">
        <f>IF($AU607="","",IF($H607="","Township required",IF($Q607="","Customer tier required",IF($M607="","Weight required",IF($S607="","Amount entry type required",IF(OR($J607&lt;0,$K607&lt;0,$M607&lt;0,$T607&lt;0,$U607&lt;0,$V607&lt;0,$W607&lt;0,$X607&lt;0,$Y607&lt;0),"Negative amounts are not allowed",IF($AE607="","Tariff not found for township and tier",IF(AND(OR($S607="ITEM_PRICE_PLUS_DECLARED_DELIVERY",$S607="TOTAL_AMOUNT_INCLUDING_DELIVERY",$S607="ITEM_PRICE_ONLY_DELIVERY_PAID_BY_MERCHANT"),$J607=""),"Item price required for this amount type",IF(AND(OR($S607="ITEM_PRICE_PLUS_DECLARED_DELIVERY",$S607="DELIVERY_CHARGE_ONLY"),$K607=""),"Declared delivery charge required",IF(AND(OR($S607="TOTAL_AMOUNT_INCLUDING_DELIVERY",$S607="EXACT_COLLECTION_AMOUNT"),$T607=""),"Stated total amount required",IF(AND($S607="TOTAL_AMOUNT_INCLUDING_DELIVERY",$T607&lt;SUM($J607,$U607)),"Stated total is below item price plus additional charge",IF($S607="EXACT_COLLECTION_AMOUNT","Authorized amount breakdown required before settlement","Ready for collection and settlement"))))))))))))</f>
        <v/>
      </c>
      <c r="AW607" s="23">
        <f>IF($AU607="","","PARCEL_FINANCIAL_V2")</f>
        <v/>
      </c>
      <c r="AX607" s="17" t="n"/>
    </row>
    <row r="608">
      <c r="A608" s="8" t="n"/>
      <c r="B608" s="8" t="n"/>
      <c r="C608" s="8" t="n"/>
      <c r="D608" s="8" t="n"/>
      <c r="E608" s="9" t="n"/>
      <c r="F608" s="9" t="n"/>
      <c r="G608" s="8" t="n"/>
      <c r="H608" s="9" t="n"/>
      <c r="I608" s="9" t="n"/>
      <c r="J608" s="10" t="n"/>
      <c r="K608" s="10" t="n"/>
      <c r="L608" s="11">
        <f>IF($S608="","",IF($S608="ITEM_PRICE_PLUS_DECLARED_DELIVERY",IF(OR($J608="",$K608=""),"",SUM($J608,$K608,$U608)),IF($S608="TOTAL_AMOUNT_INCLUDING_DELIVERY",IF($T608="","",$T608),IF($S608="DELIVERY_CHARGE_ONLY",IF($K608="","",SUM($K608,$U608)),IF($S608="EXACT_COLLECTION_AMOUNT",IF($T608="","",$T608),IF($S608="ITEM_PRICE_ONLY_DELIVERY_PAID_BY_MERCHANT",IF($J608="","",SUM($J608,$U608)),""))))))</f>
        <v/>
      </c>
      <c r="M608" s="12" t="n"/>
      <c r="N608" s="13" t="n"/>
      <c r="O608" s="13" t="n"/>
      <c r="P608" s="9" t="n"/>
      <c r="Q608" s="14" t="n"/>
      <c r="R608" s="15" t="n"/>
      <c r="S608" s="14" t="n"/>
      <c r="T608" s="16" t="n"/>
      <c r="U608" s="16" t="n"/>
      <c r="V608" s="16" t="n"/>
      <c r="W608" s="16" t="n"/>
      <c r="X608" s="16" t="n"/>
      <c r="Y608" s="16" t="n"/>
      <c r="Z608" s="14" t="n"/>
      <c r="AA608" s="14" t="n"/>
      <c r="AB608" s="14" t="n"/>
      <c r="AC608" s="17">
        <f>IFERROR(VLOOKUP($H608&amp;"|"&amp;$Q608,Tariff_Master!$A$2:$L$169,3,FALSE),"")</f>
        <v/>
      </c>
      <c r="AD608" s="17">
        <f>IFERROR(VLOOKUP($H608&amp;"|"&amp;$Q608,Tariff_Master!$A$2:$L$169,4,FALSE),"")</f>
        <v/>
      </c>
      <c r="AE608" s="18">
        <f>IFERROR(VLOOKUP($H608&amp;"|"&amp;$Q608,Tariff_Master!$A$2:$L$169,6,FALSE),"")</f>
        <v/>
      </c>
      <c r="AF608" s="19">
        <f>IFERROR(VLOOKUP($H608&amp;"|"&amp;$Q608,Tariff_Master!$A$2:$L$169,7,FALSE),"")</f>
        <v/>
      </c>
      <c r="AG608" s="18">
        <f>IFERROR(VLOOKUP($H608&amp;"|"&amp;$Q608,Tariff_Master!$A$2:$L$169,8,FALSE),"")</f>
        <v/>
      </c>
      <c r="AH608" s="20">
        <f>IFERROR(VLOOKUP($H608&amp;"|"&amp;$Q608,Tariff_Master!$A$2:$L$169,9,FALSE),"")</f>
        <v/>
      </c>
      <c r="AI608" s="18">
        <f>IFERROR(VLOOKUP($H608&amp;"|"&amp;$Q608,Tariff_Master!$A$2:$L$169,10,FALSE),"")</f>
        <v/>
      </c>
      <c r="AJ608" s="21">
        <f>IF($M608="","",ROUNDUP(MAX(0,$M608),0))</f>
        <v/>
      </c>
      <c r="AK608" s="21">
        <f>IF(OR($AJ608="",$AF608=""),"",MAX(0,$AJ608-$AF608))</f>
        <v/>
      </c>
      <c r="AL608" s="22">
        <f>IF(OR($AK608="",$AG608=""),"",MAX(0,$AK608*$AG608))</f>
        <v/>
      </c>
      <c r="AM608" s="22">
        <f>IF($AE608="","",MAX(0,SUM($AE608,$AL608,$V608,$W608)))</f>
        <v/>
      </c>
      <c r="AN608" s="22">
        <f>IF($AM608="","",IF(AND($Q608="COMMITMENT",$R608&gt;=$AH608),$AI608,0))</f>
        <v/>
      </c>
      <c r="AO608" s="23">
        <f>IF($AM608="","",MAX(0,$AM608-$AN608))</f>
        <v/>
      </c>
      <c r="AP608" s="22">
        <f>IF($S608="","",IF(OR($S608="ITEM_PRICE_PLUS_DECLARED_DELIVERY",$S608="DELIVERY_CHARGE_ONLY"),$K608,IF($S608="TOTAL_AMOUNT_INCLUDING_DELIVERY",IF(OR($T608="",$J608=""),"",MAX(0,$T608-$J608-$U608)),IF($S608="ITEM_PRICE_ONLY_DELIVERY_PAID_BY_MERCHANT",0,""))))</f>
        <v/>
      </c>
      <c r="AQ608" s="23">
        <f>IF(OR($AP608="",$AO608=""),"",$AP608-$AO608)</f>
        <v/>
      </c>
      <c r="AR608" s="24">
        <f>IF($S608="EXACT_COLLECTION_AMOUNT","BREAKDOWN_REQUIRED",IF($AQ608="","",IF($AQ608&gt;0,"CREDIT_TO_MERCHANT",IF($AQ608&lt;0,"DEDUCT_FROM_MERCHANT","NO_ADJUSTMENT"))))</f>
        <v/>
      </c>
      <c r="AS608" s="23">
        <f>IF(OR($AQ608="",$AR608="BREAKDOWN_REQUIRED"),"",$AQ608)</f>
        <v/>
      </c>
      <c r="AT608" s="23">
        <f>IF(OR($AR608="",$AR608="BREAKDOWN_REQUIRED"),"",SUM($J608,$AQ608,$Y608)-$X608)</f>
        <v/>
      </c>
      <c r="AU608" s="25">
        <f>IF(AND($A608="",$B608="",$F608="",$H608="",$J608="",$K608="",$M608="",$S608=""),"",IF(OR($H608="",$Q608="",$M608="",$S608=""),"ERROR",IF(OR($J608&lt;0,$K608&lt;0,$M608&lt;0,$T608&lt;0,$U608&lt;0,$V608&lt;0,$W608&lt;0,$X608&lt;0,$Y608&lt;0),"ERROR",IF($AE608="","ERROR",IF(AND(OR($S608="ITEM_PRICE_PLUS_DECLARED_DELIVERY",$S608="TOTAL_AMOUNT_INCLUDING_DELIVERY",$S608="ITEM_PRICE_ONLY_DELIVERY_PAID_BY_MERCHANT"),$J608=""),"ERROR",IF(AND(OR($S608="ITEM_PRICE_PLUS_DECLARED_DELIVERY",$S608="DELIVERY_CHARGE_ONLY"),$K608=""),"ERROR",IF(AND(OR($S608="TOTAL_AMOUNT_INCLUDING_DELIVERY",$S608="EXACT_COLLECTION_AMOUNT"),$T608=""),"ERROR",IF(AND($S608="TOTAL_AMOUNT_INCLUDING_DELIVERY",$T608&lt;SUM($J608,$U608)),"ERROR",IF($S608="EXACT_COLLECTION_AMOUNT","REVIEW","OK")))))))))</f>
        <v/>
      </c>
      <c r="AV608" s="25">
        <f>IF($AU608="","",IF($H608="","Township required",IF($Q608="","Customer tier required",IF($M608="","Weight required",IF($S608="","Amount entry type required",IF(OR($J608&lt;0,$K608&lt;0,$M608&lt;0,$T608&lt;0,$U608&lt;0,$V608&lt;0,$W608&lt;0,$X608&lt;0,$Y608&lt;0),"Negative amounts are not allowed",IF($AE608="","Tariff not found for township and tier",IF(AND(OR($S608="ITEM_PRICE_PLUS_DECLARED_DELIVERY",$S608="TOTAL_AMOUNT_INCLUDING_DELIVERY",$S608="ITEM_PRICE_ONLY_DELIVERY_PAID_BY_MERCHANT"),$J608=""),"Item price required for this amount type",IF(AND(OR($S608="ITEM_PRICE_PLUS_DECLARED_DELIVERY",$S608="DELIVERY_CHARGE_ONLY"),$K608=""),"Declared delivery charge required",IF(AND(OR($S608="TOTAL_AMOUNT_INCLUDING_DELIVERY",$S608="EXACT_COLLECTION_AMOUNT"),$T608=""),"Stated total amount required",IF(AND($S608="TOTAL_AMOUNT_INCLUDING_DELIVERY",$T608&lt;SUM($J608,$U608)),"Stated total is below item price plus additional charge",IF($S608="EXACT_COLLECTION_AMOUNT","Authorized amount breakdown required before settlement","Ready for collection and settlement"))))))))))))</f>
        <v/>
      </c>
      <c r="AW608" s="23">
        <f>IF($AU608="","","PARCEL_FINANCIAL_V2")</f>
        <v/>
      </c>
      <c r="AX608" s="17" t="n"/>
    </row>
    <row r="609">
      <c r="A609" s="8" t="n"/>
      <c r="B609" s="8" t="n"/>
      <c r="C609" s="8" t="n"/>
      <c r="D609" s="8" t="n"/>
      <c r="E609" s="9" t="n"/>
      <c r="F609" s="9" t="n"/>
      <c r="G609" s="8" t="n"/>
      <c r="H609" s="9" t="n"/>
      <c r="I609" s="9" t="n"/>
      <c r="J609" s="10" t="n"/>
      <c r="K609" s="10" t="n"/>
      <c r="L609" s="11">
        <f>IF($S609="","",IF($S609="ITEM_PRICE_PLUS_DECLARED_DELIVERY",IF(OR($J609="",$K609=""),"",SUM($J609,$K609,$U609)),IF($S609="TOTAL_AMOUNT_INCLUDING_DELIVERY",IF($T609="","",$T609),IF($S609="DELIVERY_CHARGE_ONLY",IF($K609="","",SUM($K609,$U609)),IF($S609="EXACT_COLLECTION_AMOUNT",IF($T609="","",$T609),IF($S609="ITEM_PRICE_ONLY_DELIVERY_PAID_BY_MERCHANT",IF($J609="","",SUM($J609,$U609)),""))))))</f>
        <v/>
      </c>
      <c r="M609" s="12" t="n"/>
      <c r="N609" s="13" t="n"/>
      <c r="O609" s="13" t="n"/>
      <c r="P609" s="9" t="n"/>
      <c r="Q609" s="14" t="n"/>
      <c r="R609" s="15" t="n"/>
      <c r="S609" s="14" t="n"/>
      <c r="T609" s="16" t="n"/>
      <c r="U609" s="16" t="n"/>
      <c r="V609" s="16" t="n"/>
      <c r="W609" s="16" t="n"/>
      <c r="X609" s="16" t="n"/>
      <c r="Y609" s="16" t="n"/>
      <c r="Z609" s="14" t="n"/>
      <c r="AA609" s="14" t="n"/>
      <c r="AB609" s="14" t="n"/>
      <c r="AC609" s="17">
        <f>IFERROR(VLOOKUP($H609&amp;"|"&amp;$Q609,Tariff_Master!$A$2:$L$169,3,FALSE),"")</f>
        <v/>
      </c>
      <c r="AD609" s="17">
        <f>IFERROR(VLOOKUP($H609&amp;"|"&amp;$Q609,Tariff_Master!$A$2:$L$169,4,FALSE),"")</f>
        <v/>
      </c>
      <c r="AE609" s="18">
        <f>IFERROR(VLOOKUP($H609&amp;"|"&amp;$Q609,Tariff_Master!$A$2:$L$169,6,FALSE),"")</f>
        <v/>
      </c>
      <c r="AF609" s="19">
        <f>IFERROR(VLOOKUP($H609&amp;"|"&amp;$Q609,Tariff_Master!$A$2:$L$169,7,FALSE),"")</f>
        <v/>
      </c>
      <c r="AG609" s="18">
        <f>IFERROR(VLOOKUP($H609&amp;"|"&amp;$Q609,Tariff_Master!$A$2:$L$169,8,FALSE),"")</f>
        <v/>
      </c>
      <c r="AH609" s="20">
        <f>IFERROR(VLOOKUP($H609&amp;"|"&amp;$Q609,Tariff_Master!$A$2:$L$169,9,FALSE),"")</f>
        <v/>
      </c>
      <c r="AI609" s="18">
        <f>IFERROR(VLOOKUP($H609&amp;"|"&amp;$Q609,Tariff_Master!$A$2:$L$169,10,FALSE),"")</f>
        <v/>
      </c>
      <c r="AJ609" s="21">
        <f>IF($M609="","",ROUNDUP(MAX(0,$M609),0))</f>
        <v/>
      </c>
      <c r="AK609" s="21">
        <f>IF(OR($AJ609="",$AF609=""),"",MAX(0,$AJ609-$AF609))</f>
        <v/>
      </c>
      <c r="AL609" s="22">
        <f>IF(OR($AK609="",$AG609=""),"",MAX(0,$AK609*$AG609))</f>
        <v/>
      </c>
      <c r="AM609" s="22">
        <f>IF($AE609="","",MAX(0,SUM($AE609,$AL609,$V609,$W609)))</f>
        <v/>
      </c>
      <c r="AN609" s="22">
        <f>IF($AM609="","",IF(AND($Q609="COMMITMENT",$R609&gt;=$AH609),$AI609,0))</f>
        <v/>
      </c>
      <c r="AO609" s="23">
        <f>IF($AM609="","",MAX(0,$AM609-$AN609))</f>
        <v/>
      </c>
      <c r="AP609" s="22">
        <f>IF($S609="","",IF(OR($S609="ITEM_PRICE_PLUS_DECLARED_DELIVERY",$S609="DELIVERY_CHARGE_ONLY"),$K609,IF($S609="TOTAL_AMOUNT_INCLUDING_DELIVERY",IF(OR($T609="",$J609=""),"",MAX(0,$T609-$J609-$U609)),IF($S609="ITEM_PRICE_ONLY_DELIVERY_PAID_BY_MERCHANT",0,""))))</f>
        <v/>
      </c>
      <c r="AQ609" s="23">
        <f>IF(OR($AP609="",$AO609=""),"",$AP609-$AO609)</f>
        <v/>
      </c>
      <c r="AR609" s="24">
        <f>IF($S609="EXACT_COLLECTION_AMOUNT","BREAKDOWN_REQUIRED",IF($AQ609="","",IF($AQ609&gt;0,"CREDIT_TO_MERCHANT",IF($AQ609&lt;0,"DEDUCT_FROM_MERCHANT","NO_ADJUSTMENT"))))</f>
        <v/>
      </c>
      <c r="AS609" s="23">
        <f>IF(OR($AQ609="",$AR609="BREAKDOWN_REQUIRED"),"",$AQ609)</f>
        <v/>
      </c>
      <c r="AT609" s="23">
        <f>IF(OR($AR609="",$AR609="BREAKDOWN_REQUIRED"),"",SUM($J609,$AQ609,$Y609)-$X609)</f>
        <v/>
      </c>
      <c r="AU609" s="25">
        <f>IF(AND($A609="",$B609="",$F609="",$H609="",$J609="",$K609="",$M609="",$S609=""),"",IF(OR($H609="",$Q609="",$M609="",$S609=""),"ERROR",IF(OR($J609&lt;0,$K609&lt;0,$M609&lt;0,$T609&lt;0,$U609&lt;0,$V609&lt;0,$W609&lt;0,$X609&lt;0,$Y609&lt;0),"ERROR",IF($AE609="","ERROR",IF(AND(OR($S609="ITEM_PRICE_PLUS_DECLARED_DELIVERY",$S609="TOTAL_AMOUNT_INCLUDING_DELIVERY",$S609="ITEM_PRICE_ONLY_DELIVERY_PAID_BY_MERCHANT"),$J609=""),"ERROR",IF(AND(OR($S609="ITEM_PRICE_PLUS_DECLARED_DELIVERY",$S609="DELIVERY_CHARGE_ONLY"),$K609=""),"ERROR",IF(AND(OR($S609="TOTAL_AMOUNT_INCLUDING_DELIVERY",$S609="EXACT_COLLECTION_AMOUNT"),$T609=""),"ERROR",IF(AND($S609="TOTAL_AMOUNT_INCLUDING_DELIVERY",$T609&lt;SUM($J609,$U609)),"ERROR",IF($S609="EXACT_COLLECTION_AMOUNT","REVIEW","OK")))))))))</f>
        <v/>
      </c>
      <c r="AV609" s="25">
        <f>IF($AU609="","",IF($H609="","Township required",IF($Q609="","Customer tier required",IF($M609="","Weight required",IF($S609="","Amount entry type required",IF(OR($J609&lt;0,$K609&lt;0,$M609&lt;0,$T609&lt;0,$U609&lt;0,$V609&lt;0,$W609&lt;0,$X609&lt;0,$Y609&lt;0),"Negative amounts are not allowed",IF($AE609="","Tariff not found for township and tier",IF(AND(OR($S609="ITEM_PRICE_PLUS_DECLARED_DELIVERY",$S609="TOTAL_AMOUNT_INCLUDING_DELIVERY",$S609="ITEM_PRICE_ONLY_DELIVERY_PAID_BY_MERCHANT"),$J609=""),"Item price required for this amount type",IF(AND(OR($S609="ITEM_PRICE_PLUS_DECLARED_DELIVERY",$S609="DELIVERY_CHARGE_ONLY"),$K609=""),"Declared delivery charge required",IF(AND(OR($S609="TOTAL_AMOUNT_INCLUDING_DELIVERY",$S609="EXACT_COLLECTION_AMOUNT"),$T609=""),"Stated total amount required",IF(AND($S609="TOTAL_AMOUNT_INCLUDING_DELIVERY",$T609&lt;SUM($J609,$U609)),"Stated total is below item price plus additional charge",IF($S609="EXACT_COLLECTION_AMOUNT","Authorized amount breakdown required before settlement","Ready for collection and settlement"))))))))))))</f>
        <v/>
      </c>
      <c r="AW609" s="23">
        <f>IF($AU609="","","PARCEL_FINANCIAL_V2")</f>
        <v/>
      </c>
      <c r="AX609" s="17" t="n"/>
    </row>
    <row r="610">
      <c r="A610" s="8" t="n"/>
      <c r="B610" s="8" t="n"/>
      <c r="C610" s="8" t="n"/>
      <c r="D610" s="8" t="n"/>
      <c r="E610" s="9" t="n"/>
      <c r="F610" s="9" t="n"/>
      <c r="G610" s="8" t="n"/>
      <c r="H610" s="9" t="n"/>
      <c r="I610" s="9" t="n"/>
      <c r="J610" s="10" t="n"/>
      <c r="K610" s="10" t="n"/>
      <c r="L610" s="11">
        <f>IF($S610="","",IF($S610="ITEM_PRICE_PLUS_DECLARED_DELIVERY",IF(OR($J610="",$K610=""),"",SUM($J610,$K610,$U610)),IF($S610="TOTAL_AMOUNT_INCLUDING_DELIVERY",IF($T610="","",$T610),IF($S610="DELIVERY_CHARGE_ONLY",IF($K610="","",SUM($K610,$U610)),IF($S610="EXACT_COLLECTION_AMOUNT",IF($T610="","",$T610),IF($S610="ITEM_PRICE_ONLY_DELIVERY_PAID_BY_MERCHANT",IF($J610="","",SUM($J610,$U610)),""))))))</f>
        <v/>
      </c>
      <c r="M610" s="12" t="n"/>
      <c r="N610" s="13" t="n"/>
      <c r="O610" s="13" t="n"/>
      <c r="P610" s="9" t="n"/>
      <c r="Q610" s="14" t="n"/>
      <c r="R610" s="15" t="n"/>
      <c r="S610" s="14" t="n"/>
      <c r="T610" s="16" t="n"/>
      <c r="U610" s="16" t="n"/>
      <c r="V610" s="16" t="n"/>
      <c r="W610" s="16" t="n"/>
      <c r="X610" s="16" t="n"/>
      <c r="Y610" s="16" t="n"/>
      <c r="Z610" s="14" t="n"/>
      <c r="AA610" s="14" t="n"/>
      <c r="AB610" s="14" t="n"/>
      <c r="AC610" s="17">
        <f>IFERROR(VLOOKUP($H610&amp;"|"&amp;$Q610,Tariff_Master!$A$2:$L$169,3,FALSE),"")</f>
        <v/>
      </c>
      <c r="AD610" s="17">
        <f>IFERROR(VLOOKUP($H610&amp;"|"&amp;$Q610,Tariff_Master!$A$2:$L$169,4,FALSE),"")</f>
        <v/>
      </c>
      <c r="AE610" s="18">
        <f>IFERROR(VLOOKUP($H610&amp;"|"&amp;$Q610,Tariff_Master!$A$2:$L$169,6,FALSE),"")</f>
        <v/>
      </c>
      <c r="AF610" s="19">
        <f>IFERROR(VLOOKUP($H610&amp;"|"&amp;$Q610,Tariff_Master!$A$2:$L$169,7,FALSE),"")</f>
        <v/>
      </c>
      <c r="AG610" s="18">
        <f>IFERROR(VLOOKUP($H610&amp;"|"&amp;$Q610,Tariff_Master!$A$2:$L$169,8,FALSE),"")</f>
        <v/>
      </c>
      <c r="AH610" s="20">
        <f>IFERROR(VLOOKUP($H610&amp;"|"&amp;$Q610,Tariff_Master!$A$2:$L$169,9,FALSE),"")</f>
        <v/>
      </c>
      <c r="AI610" s="18">
        <f>IFERROR(VLOOKUP($H610&amp;"|"&amp;$Q610,Tariff_Master!$A$2:$L$169,10,FALSE),"")</f>
        <v/>
      </c>
      <c r="AJ610" s="21">
        <f>IF($M610="","",ROUNDUP(MAX(0,$M610),0))</f>
        <v/>
      </c>
      <c r="AK610" s="21">
        <f>IF(OR($AJ610="",$AF610=""),"",MAX(0,$AJ610-$AF610))</f>
        <v/>
      </c>
      <c r="AL610" s="22">
        <f>IF(OR($AK610="",$AG610=""),"",MAX(0,$AK610*$AG610))</f>
        <v/>
      </c>
      <c r="AM610" s="22">
        <f>IF($AE610="","",MAX(0,SUM($AE610,$AL610,$V610,$W610)))</f>
        <v/>
      </c>
      <c r="AN610" s="22">
        <f>IF($AM610="","",IF(AND($Q610="COMMITMENT",$R610&gt;=$AH610),$AI610,0))</f>
        <v/>
      </c>
      <c r="AO610" s="23">
        <f>IF($AM610="","",MAX(0,$AM610-$AN610))</f>
        <v/>
      </c>
      <c r="AP610" s="22">
        <f>IF($S610="","",IF(OR($S610="ITEM_PRICE_PLUS_DECLARED_DELIVERY",$S610="DELIVERY_CHARGE_ONLY"),$K610,IF($S610="TOTAL_AMOUNT_INCLUDING_DELIVERY",IF(OR($T610="",$J610=""),"",MAX(0,$T610-$J610-$U610)),IF($S610="ITEM_PRICE_ONLY_DELIVERY_PAID_BY_MERCHANT",0,""))))</f>
        <v/>
      </c>
      <c r="AQ610" s="23">
        <f>IF(OR($AP610="",$AO610=""),"",$AP610-$AO610)</f>
        <v/>
      </c>
      <c r="AR610" s="24">
        <f>IF($S610="EXACT_COLLECTION_AMOUNT","BREAKDOWN_REQUIRED",IF($AQ610="","",IF($AQ610&gt;0,"CREDIT_TO_MERCHANT",IF($AQ610&lt;0,"DEDUCT_FROM_MERCHANT","NO_ADJUSTMENT"))))</f>
        <v/>
      </c>
      <c r="AS610" s="23">
        <f>IF(OR($AQ610="",$AR610="BREAKDOWN_REQUIRED"),"",$AQ610)</f>
        <v/>
      </c>
      <c r="AT610" s="23">
        <f>IF(OR($AR610="",$AR610="BREAKDOWN_REQUIRED"),"",SUM($J610,$AQ610,$Y610)-$X610)</f>
        <v/>
      </c>
      <c r="AU610" s="25">
        <f>IF(AND($A610="",$B610="",$F610="",$H610="",$J610="",$K610="",$M610="",$S610=""),"",IF(OR($H610="",$Q610="",$M610="",$S610=""),"ERROR",IF(OR($J610&lt;0,$K610&lt;0,$M610&lt;0,$T610&lt;0,$U610&lt;0,$V610&lt;0,$W610&lt;0,$X610&lt;0,$Y610&lt;0),"ERROR",IF($AE610="","ERROR",IF(AND(OR($S610="ITEM_PRICE_PLUS_DECLARED_DELIVERY",$S610="TOTAL_AMOUNT_INCLUDING_DELIVERY",$S610="ITEM_PRICE_ONLY_DELIVERY_PAID_BY_MERCHANT"),$J610=""),"ERROR",IF(AND(OR($S610="ITEM_PRICE_PLUS_DECLARED_DELIVERY",$S610="DELIVERY_CHARGE_ONLY"),$K610=""),"ERROR",IF(AND(OR($S610="TOTAL_AMOUNT_INCLUDING_DELIVERY",$S610="EXACT_COLLECTION_AMOUNT"),$T610=""),"ERROR",IF(AND($S610="TOTAL_AMOUNT_INCLUDING_DELIVERY",$T610&lt;SUM($J610,$U610)),"ERROR",IF($S610="EXACT_COLLECTION_AMOUNT","REVIEW","OK")))))))))</f>
        <v/>
      </c>
      <c r="AV610" s="25">
        <f>IF($AU610="","",IF($H610="","Township required",IF($Q610="","Customer tier required",IF($M610="","Weight required",IF($S610="","Amount entry type required",IF(OR($J610&lt;0,$K610&lt;0,$M610&lt;0,$T610&lt;0,$U610&lt;0,$V610&lt;0,$W610&lt;0,$X610&lt;0,$Y610&lt;0),"Negative amounts are not allowed",IF($AE610="","Tariff not found for township and tier",IF(AND(OR($S610="ITEM_PRICE_PLUS_DECLARED_DELIVERY",$S610="TOTAL_AMOUNT_INCLUDING_DELIVERY",$S610="ITEM_PRICE_ONLY_DELIVERY_PAID_BY_MERCHANT"),$J610=""),"Item price required for this amount type",IF(AND(OR($S610="ITEM_PRICE_PLUS_DECLARED_DELIVERY",$S610="DELIVERY_CHARGE_ONLY"),$K610=""),"Declared delivery charge required",IF(AND(OR($S610="TOTAL_AMOUNT_INCLUDING_DELIVERY",$S610="EXACT_COLLECTION_AMOUNT"),$T610=""),"Stated total amount required",IF(AND($S610="TOTAL_AMOUNT_INCLUDING_DELIVERY",$T610&lt;SUM($J610,$U610)),"Stated total is below item price plus additional charge",IF($S610="EXACT_COLLECTION_AMOUNT","Authorized amount breakdown required before settlement","Ready for collection and settlement"))))))))))))</f>
        <v/>
      </c>
      <c r="AW610" s="23">
        <f>IF($AU610="","","PARCEL_FINANCIAL_V2")</f>
        <v/>
      </c>
      <c r="AX610" s="17" t="n"/>
    </row>
    <row r="611">
      <c r="A611" s="8" t="n"/>
      <c r="B611" s="8" t="n"/>
      <c r="C611" s="8" t="n"/>
      <c r="D611" s="8" t="n"/>
      <c r="E611" s="9" t="n"/>
      <c r="F611" s="9" t="n"/>
      <c r="G611" s="8" t="n"/>
      <c r="H611" s="9" t="n"/>
      <c r="I611" s="9" t="n"/>
      <c r="J611" s="10" t="n"/>
      <c r="K611" s="10" t="n"/>
      <c r="L611" s="11">
        <f>IF($S611="","",IF($S611="ITEM_PRICE_PLUS_DECLARED_DELIVERY",IF(OR($J611="",$K611=""),"",SUM($J611,$K611,$U611)),IF($S611="TOTAL_AMOUNT_INCLUDING_DELIVERY",IF($T611="","",$T611),IF($S611="DELIVERY_CHARGE_ONLY",IF($K611="","",SUM($K611,$U611)),IF($S611="EXACT_COLLECTION_AMOUNT",IF($T611="","",$T611),IF($S611="ITEM_PRICE_ONLY_DELIVERY_PAID_BY_MERCHANT",IF($J611="","",SUM($J611,$U611)),""))))))</f>
        <v/>
      </c>
      <c r="M611" s="12" t="n"/>
      <c r="N611" s="13" t="n"/>
      <c r="O611" s="13" t="n"/>
      <c r="P611" s="9" t="n"/>
      <c r="Q611" s="14" t="n"/>
      <c r="R611" s="15" t="n"/>
      <c r="S611" s="14" t="n"/>
      <c r="T611" s="16" t="n"/>
      <c r="U611" s="16" t="n"/>
      <c r="V611" s="16" t="n"/>
      <c r="W611" s="16" t="n"/>
      <c r="X611" s="16" t="n"/>
      <c r="Y611" s="16" t="n"/>
      <c r="Z611" s="14" t="n"/>
      <c r="AA611" s="14" t="n"/>
      <c r="AB611" s="14" t="n"/>
      <c r="AC611" s="17">
        <f>IFERROR(VLOOKUP($H611&amp;"|"&amp;$Q611,Tariff_Master!$A$2:$L$169,3,FALSE),"")</f>
        <v/>
      </c>
      <c r="AD611" s="17">
        <f>IFERROR(VLOOKUP($H611&amp;"|"&amp;$Q611,Tariff_Master!$A$2:$L$169,4,FALSE),"")</f>
        <v/>
      </c>
      <c r="AE611" s="18">
        <f>IFERROR(VLOOKUP($H611&amp;"|"&amp;$Q611,Tariff_Master!$A$2:$L$169,6,FALSE),"")</f>
        <v/>
      </c>
      <c r="AF611" s="19">
        <f>IFERROR(VLOOKUP($H611&amp;"|"&amp;$Q611,Tariff_Master!$A$2:$L$169,7,FALSE),"")</f>
        <v/>
      </c>
      <c r="AG611" s="18">
        <f>IFERROR(VLOOKUP($H611&amp;"|"&amp;$Q611,Tariff_Master!$A$2:$L$169,8,FALSE),"")</f>
        <v/>
      </c>
      <c r="AH611" s="20">
        <f>IFERROR(VLOOKUP($H611&amp;"|"&amp;$Q611,Tariff_Master!$A$2:$L$169,9,FALSE),"")</f>
        <v/>
      </c>
      <c r="AI611" s="18">
        <f>IFERROR(VLOOKUP($H611&amp;"|"&amp;$Q611,Tariff_Master!$A$2:$L$169,10,FALSE),"")</f>
        <v/>
      </c>
      <c r="AJ611" s="21">
        <f>IF($M611="","",ROUNDUP(MAX(0,$M611),0))</f>
        <v/>
      </c>
      <c r="AK611" s="21">
        <f>IF(OR($AJ611="",$AF611=""),"",MAX(0,$AJ611-$AF611))</f>
        <v/>
      </c>
      <c r="AL611" s="22">
        <f>IF(OR($AK611="",$AG611=""),"",MAX(0,$AK611*$AG611))</f>
        <v/>
      </c>
      <c r="AM611" s="22">
        <f>IF($AE611="","",MAX(0,SUM($AE611,$AL611,$V611,$W611)))</f>
        <v/>
      </c>
      <c r="AN611" s="22">
        <f>IF($AM611="","",IF(AND($Q611="COMMITMENT",$R611&gt;=$AH611),$AI611,0))</f>
        <v/>
      </c>
      <c r="AO611" s="23">
        <f>IF($AM611="","",MAX(0,$AM611-$AN611))</f>
        <v/>
      </c>
      <c r="AP611" s="22">
        <f>IF($S611="","",IF(OR($S611="ITEM_PRICE_PLUS_DECLARED_DELIVERY",$S611="DELIVERY_CHARGE_ONLY"),$K611,IF($S611="TOTAL_AMOUNT_INCLUDING_DELIVERY",IF(OR($T611="",$J611=""),"",MAX(0,$T611-$J611-$U611)),IF($S611="ITEM_PRICE_ONLY_DELIVERY_PAID_BY_MERCHANT",0,""))))</f>
        <v/>
      </c>
      <c r="AQ611" s="23">
        <f>IF(OR($AP611="",$AO611=""),"",$AP611-$AO611)</f>
        <v/>
      </c>
      <c r="AR611" s="24">
        <f>IF($S611="EXACT_COLLECTION_AMOUNT","BREAKDOWN_REQUIRED",IF($AQ611="","",IF($AQ611&gt;0,"CREDIT_TO_MERCHANT",IF($AQ611&lt;0,"DEDUCT_FROM_MERCHANT","NO_ADJUSTMENT"))))</f>
        <v/>
      </c>
      <c r="AS611" s="23">
        <f>IF(OR($AQ611="",$AR611="BREAKDOWN_REQUIRED"),"",$AQ611)</f>
        <v/>
      </c>
      <c r="AT611" s="23">
        <f>IF(OR($AR611="",$AR611="BREAKDOWN_REQUIRED"),"",SUM($J611,$AQ611,$Y611)-$X611)</f>
        <v/>
      </c>
      <c r="AU611" s="25">
        <f>IF(AND($A611="",$B611="",$F611="",$H611="",$J611="",$K611="",$M611="",$S611=""),"",IF(OR($H611="",$Q611="",$M611="",$S611=""),"ERROR",IF(OR($J611&lt;0,$K611&lt;0,$M611&lt;0,$T611&lt;0,$U611&lt;0,$V611&lt;0,$W611&lt;0,$X611&lt;0,$Y611&lt;0),"ERROR",IF($AE611="","ERROR",IF(AND(OR($S611="ITEM_PRICE_PLUS_DECLARED_DELIVERY",$S611="TOTAL_AMOUNT_INCLUDING_DELIVERY",$S611="ITEM_PRICE_ONLY_DELIVERY_PAID_BY_MERCHANT"),$J611=""),"ERROR",IF(AND(OR($S611="ITEM_PRICE_PLUS_DECLARED_DELIVERY",$S611="DELIVERY_CHARGE_ONLY"),$K611=""),"ERROR",IF(AND(OR($S611="TOTAL_AMOUNT_INCLUDING_DELIVERY",$S611="EXACT_COLLECTION_AMOUNT"),$T611=""),"ERROR",IF(AND($S611="TOTAL_AMOUNT_INCLUDING_DELIVERY",$T611&lt;SUM($J611,$U611)),"ERROR",IF($S611="EXACT_COLLECTION_AMOUNT","REVIEW","OK")))))))))</f>
        <v/>
      </c>
      <c r="AV611" s="25">
        <f>IF($AU611="","",IF($H611="","Township required",IF($Q611="","Customer tier required",IF($M611="","Weight required",IF($S611="","Amount entry type required",IF(OR($J611&lt;0,$K611&lt;0,$M611&lt;0,$T611&lt;0,$U611&lt;0,$V611&lt;0,$W611&lt;0,$X611&lt;0,$Y611&lt;0),"Negative amounts are not allowed",IF($AE611="","Tariff not found for township and tier",IF(AND(OR($S611="ITEM_PRICE_PLUS_DECLARED_DELIVERY",$S611="TOTAL_AMOUNT_INCLUDING_DELIVERY",$S611="ITEM_PRICE_ONLY_DELIVERY_PAID_BY_MERCHANT"),$J611=""),"Item price required for this amount type",IF(AND(OR($S611="ITEM_PRICE_PLUS_DECLARED_DELIVERY",$S611="DELIVERY_CHARGE_ONLY"),$K611=""),"Declared delivery charge required",IF(AND(OR($S611="TOTAL_AMOUNT_INCLUDING_DELIVERY",$S611="EXACT_COLLECTION_AMOUNT"),$T611=""),"Stated total amount required",IF(AND($S611="TOTAL_AMOUNT_INCLUDING_DELIVERY",$T611&lt;SUM($J611,$U611)),"Stated total is below item price plus additional charge",IF($S611="EXACT_COLLECTION_AMOUNT","Authorized amount breakdown required before settlement","Ready for collection and settlement"))))))))))))</f>
        <v/>
      </c>
      <c r="AW611" s="23">
        <f>IF($AU611="","","PARCEL_FINANCIAL_V2")</f>
        <v/>
      </c>
      <c r="AX611" s="17" t="n"/>
    </row>
    <row r="612">
      <c r="A612" s="8" t="n"/>
      <c r="B612" s="8" t="n"/>
      <c r="C612" s="8" t="n"/>
      <c r="D612" s="8" t="n"/>
      <c r="E612" s="9" t="n"/>
      <c r="F612" s="9" t="n"/>
      <c r="G612" s="8" t="n"/>
      <c r="H612" s="9" t="n"/>
      <c r="I612" s="9" t="n"/>
      <c r="J612" s="10" t="n"/>
      <c r="K612" s="10" t="n"/>
      <c r="L612" s="11">
        <f>IF($S612="","",IF($S612="ITEM_PRICE_PLUS_DECLARED_DELIVERY",IF(OR($J612="",$K612=""),"",SUM($J612,$K612,$U612)),IF($S612="TOTAL_AMOUNT_INCLUDING_DELIVERY",IF($T612="","",$T612),IF($S612="DELIVERY_CHARGE_ONLY",IF($K612="","",SUM($K612,$U612)),IF($S612="EXACT_COLLECTION_AMOUNT",IF($T612="","",$T612),IF($S612="ITEM_PRICE_ONLY_DELIVERY_PAID_BY_MERCHANT",IF($J612="","",SUM($J612,$U612)),""))))))</f>
        <v/>
      </c>
      <c r="M612" s="12" t="n"/>
      <c r="N612" s="13" t="n"/>
      <c r="O612" s="13" t="n"/>
      <c r="P612" s="9" t="n"/>
      <c r="Q612" s="14" t="n"/>
      <c r="R612" s="15" t="n"/>
      <c r="S612" s="14" t="n"/>
      <c r="T612" s="16" t="n"/>
      <c r="U612" s="16" t="n"/>
      <c r="V612" s="16" t="n"/>
      <c r="W612" s="16" t="n"/>
      <c r="X612" s="16" t="n"/>
      <c r="Y612" s="16" t="n"/>
      <c r="Z612" s="14" t="n"/>
      <c r="AA612" s="14" t="n"/>
      <c r="AB612" s="14" t="n"/>
      <c r="AC612" s="17">
        <f>IFERROR(VLOOKUP($H612&amp;"|"&amp;$Q612,Tariff_Master!$A$2:$L$169,3,FALSE),"")</f>
        <v/>
      </c>
      <c r="AD612" s="17">
        <f>IFERROR(VLOOKUP($H612&amp;"|"&amp;$Q612,Tariff_Master!$A$2:$L$169,4,FALSE),"")</f>
        <v/>
      </c>
      <c r="AE612" s="18">
        <f>IFERROR(VLOOKUP($H612&amp;"|"&amp;$Q612,Tariff_Master!$A$2:$L$169,6,FALSE),"")</f>
        <v/>
      </c>
      <c r="AF612" s="19">
        <f>IFERROR(VLOOKUP($H612&amp;"|"&amp;$Q612,Tariff_Master!$A$2:$L$169,7,FALSE),"")</f>
        <v/>
      </c>
      <c r="AG612" s="18">
        <f>IFERROR(VLOOKUP($H612&amp;"|"&amp;$Q612,Tariff_Master!$A$2:$L$169,8,FALSE),"")</f>
        <v/>
      </c>
      <c r="AH612" s="20">
        <f>IFERROR(VLOOKUP($H612&amp;"|"&amp;$Q612,Tariff_Master!$A$2:$L$169,9,FALSE),"")</f>
        <v/>
      </c>
      <c r="AI612" s="18">
        <f>IFERROR(VLOOKUP($H612&amp;"|"&amp;$Q612,Tariff_Master!$A$2:$L$169,10,FALSE),"")</f>
        <v/>
      </c>
      <c r="AJ612" s="21">
        <f>IF($M612="","",ROUNDUP(MAX(0,$M612),0))</f>
        <v/>
      </c>
      <c r="AK612" s="21">
        <f>IF(OR($AJ612="",$AF612=""),"",MAX(0,$AJ612-$AF612))</f>
        <v/>
      </c>
      <c r="AL612" s="22">
        <f>IF(OR($AK612="",$AG612=""),"",MAX(0,$AK612*$AG612))</f>
        <v/>
      </c>
      <c r="AM612" s="22">
        <f>IF($AE612="","",MAX(0,SUM($AE612,$AL612,$V612,$W612)))</f>
        <v/>
      </c>
      <c r="AN612" s="22">
        <f>IF($AM612="","",IF(AND($Q612="COMMITMENT",$R612&gt;=$AH612),$AI612,0))</f>
        <v/>
      </c>
      <c r="AO612" s="23">
        <f>IF($AM612="","",MAX(0,$AM612-$AN612))</f>
        <v/>
      </c>
      <c r="AP612" s="22">
        <f>IF($S612="","",IF(OR($S612="ITEM_PRICE_PLUS_DECLARED_DELIVERY",$S612="DELIVERY_CHARGE_ONLY"),$K612,IF($S612="TOTAL_AMOUNT_INCLUDING_DELIVERY",IF(OR($T612="",$J612=""),"",MAX(0,$T612-$J612-$U612)),IF($S612="ITEM_PRICE_ONLY_DELIVERY_PAID_BY_MERCHANT",0,""))))</f>
        <v/>
      </c>
      <c r="AQ612" s="23">
        <f>IF(OR($AP612="",$AO612=""),"",$AP612-$AO612)</f>
        <v/>
      </c>
      <c r="AR612" s="24">
        <f>IF($S612="EXACT_COLLECTION_AMOUNT","BREAKDOWN_REQUIRED",IF($AQ612="","",IF($AQ612&gt;0,"CREDIT_TO_MERCHANT",IF($AQ612&lt;0,"DEDUCT_FROM_MERCHANT","NO_ADJUSTMENT"))))</f>
        <v/>
      </c>
      <c r="AS612" s="23">
        <f>IF(OR($AQ612="",$AR612="BREAKDOWN_REQUIRED"),"",$AQ612)</f>
        <v/>
      </c>
      <c r="AT612" s="23">
        <f>IF(OR($AR612="",$AR612="BREAKDOWN_REQUIRED"),"",SUM($J612,$AQ612,$Y612)-$X612)</f>
        <v/>
      </c>
      <c r="AU612" s="25">
        <f>IF(AND($A612="",$B612="",$F612="",$H612="",$J612="",$K612="",$M612="",$S612=""),"",IF(OR($H612="",$Q612="",$M612="",$S612=""),"ERROR",IF(OR($J612&lt;0,$K612&lt;0,$M612&lt;0,$T612&lt;0,$U612&lt;0,$V612&lt;0,$W612&lt;0,$X612&lt;0,$Y612&lt;0),"ERROR",IF($AE612="","ERROR",IF(AND(OR($S612="ITEM_PRICE_PLUS_DECLARED_DELIVERY",$S612="TOTAL_AMOUNT_INCLUDING_DELIVERY",$S612="ITEM_PRICE_ONLY_DELIVERY_PAID_BY_MERCHANT"),$J612=""),"ERROR",IF(AND(OR($S612="ITEM_PRICE_PLUS_DECLARED_DELIVERY",$S612="DELIVERY_CHARGE_ONLY"),$K612=""),"ERROR",IF(AND(OR($S612="TOTAL_AMOUNT_INCLUDING_DELIVERY",$S612="EXACT_COLLECTION_AMOUNT"),$T612=""),"ERROR",IF(AND($S612="TOTAL_AMOUNT_INCLUDING_DELIVERY",$T612&lt;SUM($J612,$U612)),"ERROR",IF($S612="EXACT_COLLECTION_AMOUNT","REVIEW","OK")))))))))</f>
        <v/>
      </c>
      <c r="AV612" s="25">
        <f>IF($AU612="","",IF($H612="","Township required",IF($Q612="","Customer tier required",IF($M612="","Weight required",IF($S612="","Amount entry type required",IF(OR($J612&lt;0,$K612&lt;0,$M612&lt;0,$T612&lt;0,$U612&lt;0,$V612&lt;0,$W612&lt;0,$X612&lt;0,$Y612&lt;0),"Negative amounts are not allowed",IF($AE612="","Tariff not found for township and tier",IF(AND(OR($S612="ITEM_PRICE_PLUS_DECLARED_DELIVERY",$S612="TOTAL_AMOUNT_INCLUDING_DELIVERY",$S612="ITEM_PRICE_ONLY_DELIVERY_PAID_BY_MERCHANT"),$J612=""),"Item price required for this amount type",IF(AND(OR($S612="ITEM_PRICE_PLUS_DECLARED_DELIVERY",$S612="DELIVERY_CHARGE_ONLY"),$K612=""),"Declared delivery charge required",IF(AND(OR($S612="TOTAL_AMOUNT_INCLUDING_DELIVERY",$S612="EXACT_COLLECTION_AMOUNT"),$T612=""),"Stated total amount required",IF(AND($S612="TOTAL_AMOUNT_INCLUDING_DELIVERY",$T612&lt;SUM($J612,$U612)),"Stated total is below item price plus additional charge",IF($S612="EXACT_COLLECTION_AMOUNT","Authorized amount breakdown required before settlement","Ready for collection and settlement"))))))))))))</f>
        <v/>
      </c>
      <c r="AW612" s="23">
        <f>IF($AU612="","","PARCEL_FINANCIAL_V2")</f>
        <v/>
      </c>
      <c r="AX612" s="17" t="n"/>
    </row>
    <row r="613">
      <c r="A613" s="8" t="n"/>
      <c r="B613" s="8" t="n"/>
      <c r="C613" s="8" t="n"/>
      <c r="D613" s="8" t="n"/>
      <c r="E613" s="9" t="n"/>
      <c r="F613" s="9" t="n"/>
      <c r="G613" s="8" t="n"/>
      <c r="H613" s="9" t="n"/>
      <c r="I613" s="9" t="n"/>
      <c r="J613" s="10" t="n"/>
      <c r="K613" s="10" t="n"/>
      <c r="L613" s="11">
        <f>IF($S613="","",IF($S613="ITEM_PRICE_PLUS_DECLARED_DELIVERY",IF(OR($J613="",$K613=""),"",SUM($J613,$K613,$U613)),IF($S613="TOTAL_AMOUNT_INCLUDING_DELIVERY",IF($T613="","",$T613),IF($S613="DELIVERY_CHARGE_ONLY",IF($K613="","",SUM($K613,$U613)),IF($S613="EXACT_COLLECTION_AMOUNT",IF($T613="","",$T613),IF($S613="ITEM_PRICE_ONLY_DELIVERY_PAID_BY_MERCHANT",IF($J613="","",SUM($J613,$U613)),""))))))</f>
        <v/>
      </c>
      <c r="M613" s="12" t="n"/>
      <c r="N613" s="13" t="n"/>
      <c r="O613" s="13" t="n"/>
      <c r="P613" s="9" t="n"/>
      <c r="Q613" s="14" t="n"/>
      <c r="R613" s="15" t="n"/>
      <c r="S613" s="14" t="n"/>
      <c r="T613" s="16" t="n"/>
      <c r="U613" s="16" t="n"/>
      <c r="V613" s="16" t="n"/>
      <c r="W613" s="16" t="n"/>
      <c r="X613" s="16" t="n"/>
      <c r="Y613" s="16" t="n"/>
      <c r="Z613" s="14" t="n"/>
      <c r="AA613" s="14" t="n"/>
      <c r="AB613" s="14" t="n"/>
      <c r="AC613" s="17">
        <f>IFERROR(VLOOKUP($H613&amp;"|"&amp;$Q613,Tariff_Master!$A$2:$L$169,3,FALSE),"")</f>
        <v/>
      </c>
      <c r="AD613" s="17">
        <f>IFERROR(VLOOKUP($H613&amp;"|"&amp;$Q613,Tariff_Master!$A$2:$L$169,4,FALSE),"")</f>
        <v/>
      </c>
      <c r="AE613" s="18">
        <f>IFERROR(VLOOKUP($H613&amp;"|"&amp;$Q613,Tariff_Master!$A$2:$L$169,6,FALSE),"")</f>
        <v/>
      </c>
      <c r="AF613" s="19">
        <f>IFERROR(VLOOKUP($H613&amp;"|"&amp;$Q613,Tariff_Master!$A$2:$L$169,7,FALSE),"")</f>
        <v/>
      </c>
      <c r="AG613" s="18">
        <f>IFERROR(VLOOKUP($H613&amp;"|"&amp;$Q613,Tariff_Master!$A$2:$L$169,8,FALSE),"")</f>
        <v/>
      </c>
      <c r="AH613" s="20">
        <f>IFERROR(VLOOKUP($H613&amp;"|"&amp;$Q613,Tariff_Master!$A$2:$L$169,9,FALSE),"")</f>
        <v/>
      </c>
      <c r="AI613" s="18">
        <f>IFERROR(VLOOKUP($H613&amp;"|"&amp;$Q613,Tariff_Master!$A$2:$L$169,10,FALSE),"")</f>
        <v/>
      </c>
      <c r="AJ613" s="21">
        <f>IF($M613="","",ROUNDUP(MAX(0,$M613),0))</f>
        <v/>
      </c>
      <c r="AK613" s="21">
        <f>IF(OR($AJ613="",$AF613=""),"",MAX(0,$AJ613-$AF613))</f>
        <v/>
      </c>
      <c r="AL613" s="22">
        <f>IF(OR($AK613="",$AG613=""),"",MAX(0,$AK613*$AG613))</f>
        <v/>
      </c>
      <c r="AM613" s="22">
        <f>IF($AE613="","",MAX(0,SUM($AE613,$AL613,$V613,$W613)))</f>
        <v/>
      </c>
      <c r="AN613" s="22">
        <f>IF($AM613="","",IF(AND($Q613="COMMITMENT",$R613&gt;=$AH613),$AI613,0))</f>
        <v/>
      </c>
      <c r="AO613" s="23">
        <f>IF($AM613="","",MAX(0,$AM613-$AN613))</f>
        <v/>
      </c>
      <c r="AP613" s="22">
        <f>IF($S613="","",IF(OR($S613="ITEM_PRICE_PLUS_DECLARED_DELIVERY",$S613="DELIVERY_CHARGE_ONLY"),$K613,IF($S613="TOTAL_AMOUNT_INCLUDING_DELIVERY",IF(OR($T613="",$J613=""),"",MAX(0,$T613-$J613-$U613)),IF($S613="ITEM_PRICE_ONLY_DELIVERY_PAID_BY_MERCHANT",0,""))))</f>
        <v/>
      </c>
      <c r="AQ613" s="23">
        <f>IF(OR($AP613="",$AO613=""),"",$AP613-$AO613)</f>
        <v/>
      </c>
      <c r="AR613" s="24">
        <f>IF($S613="EXACT_COLLECTION_AMOUNT","BREAKDOWN_REQUIRED",IF($AQ613="","",IF($AQ613&gt;0,"CREDIT_TO_MERCHANT",IF($AQ613&lt;0,"DEDUCT_FROM_MERCHANT","NO_ADJUSTMENT"))))</f>
        <v/>
      </c>
      <c r="AS613" s="23">
        <f>IF(OR($AQ613="",$AR613="BREAKDOWN_REQUIRED"),"",$AQ613)</f>
        <v/>
      </c>
      <c r="AT613" s="23">
        <f>IF(OR($AR613="",$AR613="BREAKDOWN_REQUIRED"),"",SUM($J613,$AQ613,$Y613)-$X613)</f>
        <v/>
      </c>
      <c r="AU613" s="25">
        <f>IF(AND($A613="",$B613="",$F613="",$H613="",$J613="",$K613="",$M613="",$S613=""),"",IF(OR($H613="",$Q613="",$M613="",$S613=""),"ERROR",IF(OR($J613&lt;0,$K613&lt;0,$M613&lt;0,$T613&lt;0,$U613&lt;0,$V613&lt;0,$W613&lt;0,$X613&lt;0,$Y613&lt;0),"ERROR",IF($AE613="","ERROR",IF(AND(OR($S613="ITEM_PRICE_PLUS_DECLARED_DELIVERY",$S613="TOTAL_AMOUNT_INCLUDING_DELIVERY",$S613="ITEM_PRICE_ONLY_DELIVERY_PAID_BY_MERCHANT"),$J613=""),"ERROR",IF(AND(OR($S613="ITEM_PRICE_PLUS_DECLARED_DELIVERY",$S613="DELIVERY_CHARGE_ONLY"),$K613=""),"ERROR",IF(AND(OR($S613="TOTAL_AMOUNT_INCLUDING_DELIVERY",$S613="EXACT_COLLECTION_AMOUNT"),$T613=""),"ERROR",IF(AND($S613="TOTAL_AMOUNT_INCLUDING_DELIVERY",$T613&lt;SUM($J613,$U613)),"ERROR",IF($S613="EXACT_COLLECTION_AMOUNT","REVIEW","OK")))))))))</f>
        <v/>
      </c>
      <c r="AV613" s="25">
        <f>IF($AU613="","",IF($H613="","Township required",IF($Q613="","Customer tier required",IF($M613="","Weight required",IF($S613="","Amount entry type required",IF(OR($J613&lt;0,$K613&lt;0,$M613&lt;0,$T613&lt;0,$U613&lt;0,$V613&lt;0,$W613&lt;0,$X613&lt;0,$Y613&lt;0),"Negative amounts are not allowed",IF($AE613="","Tariff not found for township and tier",IF(AND(OR($S613="ITEM_PRICE_PLUS_DECLARED_DELIVERY",$S613="TOTAL_AMOUNT_INCLUDING_DELIVERY",$S613="ITEM_PRICE_ONLY_DELIVERY_PAID_BY_MERCHANT"),$J613=""),"Item price required for this amount type",IF(AND(OR($S613="ITEM_PRICE_PLUS_DECLARED_DELIVERY",$S613="DELIVERY_CHARGE_ONLY"),$K613=""),"Declared delivery charge required",IF(AND(OR($S613="TOTAL_AMOUNT_INCLUDING_DELIVERY",$S613="EXACT_COLLECTION_AMOUNT"),$T613=""),"Stated total amount required",IF(AND($S613="TOTAL_AMOUNT_INCLUDING_DELIVERY",$T613&lt;SUM($J613,$U613)),"Stated total is below item price plus additional charge",IF($S613="EXACT_COLLECTION_AMOUNT","Authorized amount breakdown required before settlement","Ready for collection and settlement"))))))))))))</f>
        <v/>
      </c>
      <c r="AW613" s="23">
        <f>IF($AU613="","","PARCEL_FINANCIAL_V2")</f>
        <v/>
      </c>
      <c r="AX613" s="17" t="n"/>
    </row>
    <row r="614">
      <c r="A614" s="8" t="n"/>
      <c r="B614" s="8" t="n"/>
      <c r="C614" s="8" t="n"/>
      <c r="D614" s="8" t="n"/>
      <c r="E614" s="9" t="n"/>
      <c r="F614" s="9" t="n"/>
      <c r="G614" s="8" t="n"/>
      <c r="H614" s="9" t="n"/>
      <c r="I614" s="9" t="n"/>
      <c r="J614" s="10" t="n"/>
      <c r="K614" s="10" t="n"/>
      <c r="L614" s="11">
        <f>IF($S614="","",IF($S614="ITEM_PRICE_PLUS_DECLARED_DELIVERY",IF(OR($J614="",$K614=""),"",SUM($J614,$K614,$U614)),IF($S614="TOTAL_AMOUNT_INCLUDING_DELIVERY",IF($T614="","",$T614),IF($S614="DELIVERY_CHARGE_ONLY",IF($K614="","",SUM($K614,$U614)),IF($S614="EXACT_COLLECTION_AMOUNT",IF($T614="","",$T614),IF($S614="ITEM_PRICE_ONLY_DELIVERY_PAID_BY_MERCHANT",IF($J614="","",SUM($J614,$U614)),""))))))</f>
        <v/>
      </c>
      <c r="M614" s="12" t="n"/>
      <c r="N614" s="13" t="n"/>
      <c r="O614" s="13" t="n"/>
      <c r="P614" s="9" t="n"/>
      <c r="Q614" s="14" t="n"/>
      <c r="R614" s="15" t="n"/>
      <c r="S614" s="14" t="n"/>
      <c r="T614" s="16" t="n"/>
      <c r="U614" s="16" t="n"/>
      <c r="V614" s="16" t="n"/>
      <c r="W614" s="16" t="n"/>
      <c r="X614" s="16" t="n"/>
      <c r="Y614" s="16" t="n"/>
      <c r="Z614" s="14" t="n"/>
      <c r="AA614" s="14" t="n"/>
      <c r="AB614" s="14" t="n"/>
      <c r="AC614" s="17">
        <f>IFERROR(VLOOKUP($H614&amp;"|"&amp;$Q614,Tariff_Master!$A$2:$L$169,3,FALSE),"")</f>
        <v/>
      </c>
      <c r="AD614" s="17">
        <f>IFERROR(VLOOKUP($H614&amp;"|"&amp;$Q614,Tariff_Master!$A$2:$L$169,4,FALSE),"")</f>
        <v/>
      </c>
      <c r="AE614" s="18">
        <f>IFERROR(VLOOKUP($H614&amp;"|"&amp;$Q614,Tariff_Master!$A$2:$L$169,6,FALSE),"")</f>
        <v/>
      </c>
      <c r="AF614" s="19">
        <f>IFERROR(VLOOKUP($H614&amp;"|"&amp;$Q614,Tariff_Master!$A$2:$L$169,7,FALSE),"")</f>
        <v/>
      </c>
      <c r="AG614" s="18">
        <f>IFERROR(VLOOKUP($H614&amp;"|"&amp;$Q614,Tariff_Master!$A$2:$L$169,8,FALSE),"")</f>
        <v/>
      </c>
      <c r="AH614" s="20">
        <f>IFERROR(VLOOKUP($H614&amp;"|"&amp;$Q614,Tariff_Master!$A$2:$L$169,9,FALSE),"")</f>
        <v/>
      </c>
      <c r="AI614" s="18">
        <f>IFERROR(VLOOKUP($H614&amp;"|"&amp;$Q614,Tariff_Master!$A$2:$L$169,10,FALSE),"")</f>
        <v/>
      </c>
      <c r="AJ614" s="21">
        <f>IF($M614="","",ROUNDUP(MAX(0,$M614),0))</f>
        <v/>
      </c>
      <c r="AK614" s="21">
        <f>IF(OR($AJ614="",$AF614=""),"",MAX(0,$AJ614-$AF614))</f>
        <v/>
      </c>
      <c r="AL614" s="22">
        <f>IF(OR($AK614="",$AG614=""),"",MAX(0,$AK614*$AG614))</f>
        <v/>
      </c>
      <c r="AM614" s="22">
        <f>IF($AE614="","",MAX(0,SUM($AE614,$AL614,$V614,$W614)))</f>
        <v/>
      </c>
      <c r="AN614" s="22">
        <f>IF($AM614="","",IF(AND($Q614="COMMITMENT",$R614&gt;=$AH614),$AI614,0))</f>
        <v/>
      </c>
      <c r="AO614" s="23">
        <f>IF($AM614="","",MAX(0,$AM614-$AN614))</f>
        <v/>
      </c>
      <c r="AP614" s="22">
        <f>IF($S614="","",IF(OR($S614="ITEM_PRICE_PLUS_DECLARED_DELIVERY",$S614="DELIVERY_CHARGE_ONLY"),$K614,IF($S614="TOTAL_AMOUNT_INCLUDING_DELIVERY",IF(OR($T614="",$J614=""),"",MAX(0,$T614-$J614-$U614)),IF($S614="ITEM_PRICE_ONLY_DELIVERY_PAID_BY_MERCHANT",0,""))))</f>
        <v/>
      </c>
      <c r="AQ614" s="23">
        <f>IF(OR($AP614="",$AO614=""),"",$AP614-$AO614)</f>
        <v/>
      </c>
      <c r="AR614" s="24">
        <f>IF($S614="EXACT_COLLECTION_AMOUNT","BREAKDOWN_REQUIRED",IF($AQ614="","",IF($AQ614&gt;0,"CREDIT_TO_MERCHANT",IF($AQ614&lt;0,"DEDUCT_FROM_MERCHANT","NO_ADJUSTMENT"))))</f>
        <v/>
      </c>
      <c r="AS614" s="23">
        <f>IF(OR($AQ614="",$AR614="BREAKDOWN_REQUIRED"),"",$AQ614)</f>
        <v/>
      </c>
      <c r="AT614" s="23">
        <f>IF(OR($AR614="",$AR614="BREAKDOWN_REQUIRED"),"",SUM($J614,$AQ614,$Y614)-$X614)</f>
        <v/>
      </c>
      <c r="AU614" s="25">
        <f>IF(AND($A614="",$B614="",$F614="",$H614="",$J614="",$K614="",$M614="",$S614=""),"",IF(OR($H614="",$Q614="",$M614="",$S614=""),"ERROR",IF(OR($J614&lt;0,$K614&lt;0,$M614&lt;0,$T614&lt;0,$U614&lt;0,$V614&lt;0,$W614&lt;0,$X614&lt;0,$Y614&lt;0),"ERROR",IF($AE614="","ERROR",IF(AND(OR($S614="ITEM_PRICE_PLUS_DECLARED_DELIVERY",$S614="TOTAL_AMOUNT_INCLUDING_DELIVERY",$S614="ITEM_PRICE_ONLY_DELIVERY_PAID_BY_MERCHANT"),$J614=""),"ERROR",IF(AND(OR($S614="ITEM_PRICE_PLUS_DECLARED_DELIVERY",$S614="DELIVERY_CHARGE_ONLY"),$K614=""),"ERROR",IF(AND(OR($S614="TOTAL_AMOUNT_INCLUDING_DELIVERY",$S614="EXACT_COLLECTION_AMOUNT"),$T614=""),"ERROR",IF(AND($S614="TOTAL_AMOUNT_INCLUDING_DELIVERY",$T614&lt;SUM($J614,$U614)),"ERROR",IF($S614="EXACT_COLLECTION_AMOUNT","REVIEW","OK")))))))))</f>
        <v/>
      </c>
      <c r="AV614" s="25">
        <f>IF($AU614="","",IF($H614="","Township required",IF($Q614="","Customer tier required",IF($M614="","Weight required",IF($S614="","Amount entry type required",IF(OR($J614&lt;0,$K614&lt;0,$M614&lt;0,$T614&lt;0,$U614&lt;0,$V614&lt;0,$W614&lt;0,$X614&lt;0,$Y614&lt;0),"Negative amounts are not allowed",IF($AE614="","Tariff not found for township and tier",IF(AND(OR($S614="ITEM_PRICE_PLUS_DECLARED_DELIVERY",$S614="TOTAL_AMOUNT_INCLUDING_DELIVERY",$S614="ITEM_PRICE_ONLY_DELIVERY_PAID_BY_MERCHANT"),$J614=""),"Item price required for this amount type",IF(AND(OR($S614="ITEM_PRICE_PLUS_DECLARED_DELIVERY",$S614="DELIVERY_CHARGE_ONLY"),$K614=""),"Declared delivery charge required",IF(AND(OR($S614="TOTAL_AMOUNT_INCLUDING_DELIVERY",$S614="EXACT_COLLECTION_AMOUNT"),$T614=""),"Stated total amount required",IF(AND($S614="TOTAL_AMOUNT_INCLUDING_DELIVERY",$T614&lt;SUM($J614,$U614)),"Stated total is below item price plus additional charge",IF($S614="EXACT_COLLECTION_AMOUNT","Authorized amount breakdown required before settlement","Ready for collection and settlement"))))))))))))</f>
        <v/>
      </c>
      <c r="AW614" s="23">
        <f>IF($AU614="","","PARCEL_FINANCIAL_V2")</f>
        <v/>
      </c>
      <c r="AX614" s="17" t="n"/>
    </row>
    <row r="615">
      <c r="A615" s="8" t="n"/>
      <c r="B615" s="8" t="n"/>
      <c r="C615" s="8" t="n"/>
      <c r="D615" s="8" t="n"/>
      <c r="E615" s="9" t="n"/>
      <c r="F615" s="9" t="n"/>
      <c r="G615" s="8" t="n"/>
      <c r="H615" s="9" t="n"/>
      <c r="I615" s="9" t="n"/>
      <c r="J615" s="10" t="n"/>
      <c r="K615" s="10" t="n"/>
      <c r="L615" s="11">
        <f>IF($S615="","",IF($S615="ITEM_PRICE_PLUS_DECLARED_DELIVERY",IF(OR($J615="",$K615=""),"",SUM($J615,$K615,$U615)),IF($S615="TOTAL_AMOUNT_INCLUDING_DELIVERY",IF($T615="","",$T615),IF($S615="DELIVERY_CHARGE_ONLY",IF($K615="","",SUM($K615,$U615)),IF($S615="EXACT_COLLECTION_AMOUNT",IF($T615="","",$T615),IF($S615="ITEM_PRICE_ONLY_DELIVERY_PAID_BY_MERCHANT",IF($J615="","",SUM($J615,$U615)),""))))))</f>
        <v/>
      </c>
      <c r="M615" s="12" t="n"/>
      <c r="N615" s="13" t="n"/>
      <c r="O615" s="13" t="n"/>
      <c r="P615" s="9" t="n"/>
      <c r="Q615" s="14" t="n"/>
      <c r="R615" s="15" t="n"/>
      <c r="S615" s="14" t="n"/>
      <c r="T615" s="16" t="n"/>
      <c r="U615" s="16" t="n"/>
      <c r="V615" s="16" t="n"/>
      <c r="W615" s="16" t="n"/>
      <c r="X615" s="16" t="n"/>
      <c r="Y615" s="16" t="n"/>
      <c r="Z615" s="14" t="n"/>
      <c r="AA615" s="14" t="n"/>
      <c r="AB615" s="14" t="n"/>
      <c r="AC615" s="17">
        <f>IFERROR(VLOOKUP($H615&amp;"|"&amp;$Q615,Tariff_Master!$A$2:$L$169,3,FALSE),"")</f>
        <v/>
      </c>
      <c r="AD615" s="17">
        <f>IFERROR(VLOOKUP($H615&amp;"|"&amp;$Q615,Tariff_Master!$A$2:$L$169,4,FALSE),"")</f>
        <v/>
      </c>
      <c r="AE615" s="18">
        <f>IFERROR(VLOOKUP($H615&amp;"|"&amp;$Q615,Tariff_Master!$A$2:$L$169,6,FALSE),"")</f>
        <v/>
      </c>
      <c r="AF615" s="19">
        <f>IFERROR(VLOOKUP($H615&amp;"|"&amp;$Q615,Tariff_Master!$A$2:$L$169,7,FALSE),"")</f>
        <v/>
      </c>
      <c r="AG615" s="18">
        <f>IFERROR(VLOOKUP($H615&amp;"|"&amp;$Q615,Tariff_Master!$A$2:$L$169,8,FALSE),"")</f>
        <v/>
      </c>
      <c r="AH615" s="20">
        <f>IFERROR(VLOOKUP($H615&amp;"|"&amp;$Q615,Tariff_Master!$A$2:$L$169,9,FALSE),"")</f>
        <v/>
      </c>
      <c r="AI615" s="18">
        <f>IFERROR(VLOOKUP($H615&amp;"|"&amp;$Q615,Tariff_Master!$A$2:$L$169,10,FALSE),"")</f>
        <v/>
      </c>
      <c r="AJ615" s="21">
        <f>IF($M615="","",ROUNDUP(MAX(0,$M615),0))</f>
        <v/>
      </c>
      <c r="AK615" s="21">
        <f>IF(OR($AJ615="",$AF615=""),"",MAX(0,$AJ615-$AF615))</f>
        <v/>
      </c>
      <c r="AL615" s="22">
        <f>IF(OR($AK615="",$AG615=""),"",MAX(0,$AK615*$AG615))</f>
        <v/>
      </c>
      <c r="AM615" s="22">
        <f>IF($AE615="","",MAX(0,SUM($AE615,$AL615,$V615,$W615)))</f>
        <v/>
      </c>
      <c r="AN615" s="22">
        <f>IF($AM615="","",IF(AND($Q615="COMMITMENT",$R615&gt;=$AH615),$AI615,0))</f>
        <v/>
      </c>
      <c r="AO615" s="23">
        <f>IF($AM615="","",MAX(0,$AM615-$AN615))</f>
        <v/>
      </c>
      <c r="AP615" s="22">
        <f>IF($S615="","",IF(OR($S615="ITEM_PRICE_PLUS_DECLARED_DELIVERY",$S615="DELIVERY_CHARGE_ONLY"),$K615,IF($S615="TOTAL_AMOUNT_INCLUDING_DELIVERY",IF(OR($T615="",$J615=""),"",MAX(0,$T615-$J615-$U615)),IF($S615="ITEM_PRICE_ONLY_DELIVERY_PAID_BY_MERCHANT",0,""))))</f>
        <v/>
      </c>
      <c r="AQ615" s="23">
        <f>IF(OR($AP615="",$AO615=""),"",$AP615-$AO615)</f>
        <v/>
      </c>
      <c r="AR615" s="24">
        <f>IF($S615="EXACT_COLLECTION_AMOUNT","BREAKDOWN_REQUIRED",IF($AQ615="","",IF($AQ615&gt;0,"CREDIT_TO_MERCHANT",IF($AQ615&lt;0,"DEDUCT_FROM_MERCHANT","NO_ADJUSTMENT"))))</f>
        <v/>
      </c>
      <c r="AS615" s="23">
        <f>IF(OR($AQ615="",$AR615="BREAKDOWN_REQUIRED"),"",$AQ615)</f>
        <v/>
      </c>
      <c r="AT615" s="23">
        <f>IF(OR($AR615="",$AR615="BREAKDOWN_REQUIRED"),"",SUM($J615,$AQ615,$Y615)-$X615)</f>
        <v/>
      </c>
      <c r="AU615" s="25">
        <f>IF(AND($A615="",$B615="",$F615="",$H615="",$J615="",$K615="",$M615="",$S615=""),"",IF(OR($H615="",$Q615="",$M615="",$S615=""),"ERROR",IF(OR($J615&lt;0,$K615&lt;0,$M615&lt;0,$T615&lt;0,$U615&lt;0,$V615&lt;0,$W615&lt;0,$X615&lt;0,$Y615&lt;0),"ERROR",IF($AE615="","ERROR",IF(AND(OR($S615="ITEM_PRICE_PLUS_DECLARED_DELIVERY",$S615="TOTAL_AMOUNT_INCLUDING_DELIVERY",$S615="ITEM_PRICE_ONLY_DELIVERY_PAID_BY_MERCHANT"),$J615=""),"ERROR",IF(AND(OR($S615="ITEM_PRICE_PLUS_DECLARED_DELIVERY",$S615="DELIVERY_CHARGE_ONLY"),$K615=""),"ERROR",IF(AND(OR($S615="TOTAL_AMOUNT_INCLUDING_DELIVERY",$S615="EXACT_COLLECTION_AMOUNT"),$T615=""),"ERROR",IF(AND($S615="TOTAL_AMOUNT_INCLUDING_DELIVERY",$T615&lt;SUM($J615,$U615)),"ERROR",IF($S615="EXACT_COLLECTION_AMOUNT","REVIEW","OK")))))))))</f>
        <v/>
      </c>
      <c r="AV615" s="25">
        <f>IF($AU615="","",IF($H615="","Township required",IF($Q615="","Customer tier required",IF($M615="","Weight required",IF($S615="","Amount entry type required",IF(OR($J615&lt;0,$K615&lt;0,$M615&lt;0,$T615&lt;0,$U615&lt;0,$V615&lt;0,$W615&lt;0,$X615&lt;0,$Y615&lt;0),"Negative amounts are not allowed",IF($AE615="","Tariff not found for township and tier",IF(AND(OR($S615="ITEM_PRICE_PLUS_DECLARED_DELIVERY",$S615="TOTAL_AMOUNT_INCLUDING_DELIVERY",$S615="ITEM_PRICE_ONLY_DELIVERY_PAID_BY_MERCHANT"),$J615=""),"Item price required for this amount type",IF(AND(OR($S615="ITEM_PRICE_PLUS_DECLARED_DELIVERY",$S615="DELIVERY_CHARGE_ONLY"),$K615=""),"Declared delivery charge required",IF(AND(OR($S615="TOTAL_AMOUNT_INCLUDING_DELIVERY",$S615="EXACT_COLLECTION_AMOUNT"),$T615=""),"Stated total amount required",IF(AND($S615="TOTAL_AMOUNT_INCLUDING_DELIVERY",$T615&lt;SUM($J615,$U615)),"Stated total is below item price plus additional charge",IF($S615="EXACT_COLLECTION_AMOUNT","Authorized amount breakdown required before settlement","Ready for collection and settlement"))))))))))))</f>
        <v/>
      </c>
      <c r="AW615" s="23">
        <f>IF($AU615="","","PARCEL_FINANCIAL_V2")</f>
        <v/>
      </c>
      <c r="AX615" s="17" t="n"/>
    </row>
    <row r="616">
      <c r="A616" s="8" t="n"/>
      <c r="B616" s="8" t="n"/>
      <c r="C616" s="8" t="n"/>
      <c r="D616" s="8" t="n"/>
      <c r="E616" s="9" t="n"/>
      <c r="F616" s="9" t="n"/>
      <c r="G616" s="8" t="n"/>
      <c r="H616" s="9" t="n"/>
      <c r="I616" s="9" t="n"/>
      <c r="J616" s="10" t="n"/>
      <c r="K616" s="10" t="n"/>
      <c r="L616" s="11">
        <f>IF($S616="","",IF($S616="ITEM_PRICE_PLUS_DECLARED_DELIVERY",IF(OR($J616="",$K616=""),"",SUM($J616,$K616,$U616)),IF($S616="TOTAL_AMOUNT_INCLUDING_DELIVERY",IF($T616="","",$T616),IF($S616="DELIVERY_CHARGE_ONLY",IF($K616="","",SUM($K616,$U616)),IF($S616="EXACT_COLLECTION_AMOUNT",IF($T616="","",$T616),IF($S616="ITEM_PRICE_ONLY_DELIVERY_PAID_BY_MERCHANT",IF($J616="","",SUM($J616,$U616)),""))))))</f>
        <v/>
      </c>
      <c r="M616" s="12" t="n"/>
      <c r="N616" s="13" t="n"/>
      <c r="O616" s="13" t="n"/>
      <c r="P616" s="9" t="n"/>
      <c r="Q616" s="14" t="n"/>
      <c r="R616" s="15" t="n"/>
      <c r="S616" s="14" t="n"/>
      <c r="T616" s="16" t="n"/>
      <c r="U616" s="16" t="n"/>
      <c r="V616" s="16" t="n"/>
      <c r="W616" s="16" t="n"/>
      <c r="X616" s="16" t="n"/>
      <c r="Y616" s="16" t="n"/>
      <c r="Z616" s="14" t="n"/>
      <c r="AA616" s="14" t="n"/>
      <c r="AB616" s="14" t="n"/>
      <c r="AC616" s="17">
        <f>IFERROR(VLOOKUP($H616&amp;"|"&amp;$Q616,Tariff_Master!$A$2:$L$169,3,FALSE),"")</f>
        <v/>
      </c>
      <c r="AD616" s="17">
        <f>IFERROR(VLOOKUP($H616&amp;"|"&amp;$Q616,Tariff_Master!$A$2:$L$169,4,FALSE),"")</f>
        <v/>
      </c>
      <c r="AE616" s="18">
        <f>IFERROR(VLOOKUP($H616&amp;"|"&amp;$Q616,Tariff_Master!$A$2:$L$169,6,FALSE),"")</f>
        <v/>
      </c>
      <c r="AF616" s="19">
        <f>IFERROR(VLOOKUP($H616&amp;"|"&amp;$Q616,Tariff_Master!$A$2:$L$169,7,FALSE),"")</f>
        <v/>
      </c>
      <c r="AG616" s="18">
        <f>IFERROR(VLOOKUP($H616&amp;"|"&amp;$Q616,Tariff_Master!$A$2:$L$169,8,FALSE),"")</f>
        <v/>
      </c>
      <c r="AH616" s="20">
        <f>IFERROR(VLOOKUP($H616&amp;"|"&amp;$Q616,Tariff_Master!$A$2:$L$169,9,FALSE),"")</f>
        <v/>
      </c>
      <c r="AI616" s="18">
        <f>IFERROR(VLOOKUP($H616&amp;"|"&amp;$Q616,Tariff_Master!$A$2:$L$169,10,FALSE),"")</f>
        <v/>
      </c>
      <c r="AJ616" s="21">
        <f>IF($M616="","",ROUNDUP(MAX(0,$M616),0))</f>
        <v/>
      </c>
      <c r="AK616" s="21">
        <f>IF(OR($AJ616="",$AF616=""),"",MAX(0,$AJ616-$AF616))</f>
        <v/>
      </c>
      <c r="AL616" s="22">
        <f>IF(OR($AK616="",$AG616=""),"",MAX(0,$AK616*$AG616))</f>
        <v/>
      </c>
      <c r="AM616" s="22">
        <f>IF($AE616="","",MAX(0,SUM($AE616,$AL616,$V616,$W616)))</f>
        <v/>
      </c>
      <c r="AN616" s="22">
        <f>IF($AM616="","",IF(AND($Q616="COMMITMENT",$R616&gt;=$AH616),$AI616,0))</f>
        <v/>
      </c>
      <c r="AO616" s="23">
        <f>IF($AM616="","",MAX(0,$AM616-$AN616))</f>
        <v/>
      </c>
      <c r="AP616" s="22">
        <f>IF($S616="","",IF(OR($S616="ITEM_PRICE_PLUS_DECLARED_DELIVERY",$S616="DELIVERY_CHARGE_ONLY"),$K616,IF($S616="TOTAL_AMOUNT_INCLUDING_DELIVERY",IF(OR($T616="",$J616=""),"",MAX(0,$T616-$J616-$U616)),IF($S616="ITEM_PRICE_ONLY_DELIVERY_PAID_BY_MERCHANT",0,""))))</f>
        <v/>
      </c>
      <c r="AQ616" s="23">
        <f>IF(OR($AP616="",$AO616=""),"",$AP616-$AO616)</f>
        <v/>
      </c>
      <c r="AR616" s="24">
        <f>IF($S616="EXACT_COLLECTION_AMOUNT","BREAKDOWN_REQUIRED",IF($AQ616="","",IF($AQ616&gt;0,"CREDIT_TO_MERCHANT",IF($AQ616&lt;0,"DEDUCT_FROM_MERCHANT","NO_ADJUSTMENT"))))</f>
        <v/>
      </c>
      <c r="AS616" s="23">
        <f>IF(OR($AQ616="",$AR616="BREAKDOWN_REQUIRED"),"",$AQ616)</f>
        <v/>
      </c>
      <c r="AT616" s="23">
        <f>IF(OR($AR616="",$AR616="BREAKDOWN_REQUIRED"),"",SUM($J616,$AQ616,$Y616)-$X616)</f>
        <v/>
      </c>
      <c r="AU616" s="25">
        <f>IF(AND($A616="",$B616="",$F616="",$H616="",$J616="",$K616="",$M616="",$S616=""),"",IF(OR($H616="",$Q616="",$M616="",$S616=""),"ERROR",IF(OR($J616&lt;0,$K616&lt;0,$M616&lt;0,$T616&lt;0,$U616&lt;0,$V616&lt;0,$W616&lt;0,$X616&lt;0,$Y616&lt;0),"ERROR",IF($AE616="","ERROR",IF(AND(OR($S616="ITEM_PRICE_PLUS_DECLARED_DELIVERY",$S616="TOTAL_AMOUNT_INCLUDING_DELIVERY",$S616="ITEM_PRICE_ONLY_DELIVERY_PAID_BY_MERCHANT"),$J616=""),"ERROR",IF(AND(OR($S616="ITEM_PRICE_PLUS_DECLARED_DELIVERY",$S616="DELIVERY_CHARGE_ONLY"),$K616=""),"ERROR",IF(AND(OR($S616="TOTAL_AMOUNT_INCLUDING_DELIVERY",$S616="EXACT_COLLECTION_AMOUNT"),$T616=""),"ERROR",IF(AND($S616="TOTAL_AMOUNT_INCLUDING_DELIVERY",$T616&lt;SUM($J616,$U616)),"ERROR",IF($S616="EXACT_COLLECTION_AMOUNT","REVIEW","OK")))))))))</f>
        <v/>
      </c>
      <c r="AV616" s="25">
        <f>IF($AU616="","",IF($H616="","Township required",IF($Q616="","Customer tier required",IF($M616="","Weight required",IF($S616="","Amount entry type required",IF(OR($J616&lt;0,$K616&lt;0,$M616&lt;0,$T616&lt;0,$U616&lt;0,$V616&lt;0,$W616&lt;0,$X616&lt;0,$Y616&lt;0),"Negative amounts are not allowed",IF($AE616="","Tariff not found for township and tier",IF(AND(OR($S616="ITEM_PRICE_PLUS_DECLARED_DELIVERY",$S616="TOTAL_AMOUNT_INCLUDING_DELIVERY",$S616="ITEM_PRICE_ONLY_DELIVERY_PAID_BY_MERCHANT"),$J616=""),"Item price required for this amount type",IF(AND(OR($S616="ITEM_PRICE_PLUS_DECLARED_DELIVERY",$S616="DELIVERY_CHARGE_ONLY"),$K616=""),"Declared delivery charge required",IF(AND(OR($S616="TOTAL_AMOUNT_INCLUDING_DELIVERY",$S616="EXACT_COLLECTION_AMOUNT"),$T616=""),"Stated total amount required",IF(AND($S616="TOTAL_AMOUNT_INCLUDING_DELIVERY",$T616&lt;SUM($J616,$U616)),"Stated total is below item price plus additional charge",IF($S616="EXACT_COLLECTION_AMOUNT","Authorized amount breakdown required before settlement","Ready for collection and settlement"))))))))))))</f>
        <v/>
      </c>
      <c r="AW616" s="23">
        <f>IF($AU616="","","PARCEL_FINANCIAL_V2")</f>
        <v/>
      </c>
      <c r="AX616" s="17" t="n"/>
    </row>
    <row r="617">
      <c r="A617" s="8" t="n"/>
      <c r="B617" s="8" t="n"/>
      <c r="C617" s="8" t="n"/>
      <c r="D617" s="8" t="n"/>
      <c r="E617" s="9" t="n"/>
      <c r="F617" s="9" t="n"/>
      <c r="G617" s="8" t="n"/>
      <c r="H617" s="9" t="n"/>
      <c r="I617" s="9" t="n"/>
      <c r="J617" s="10" t="n"/>
      <c r="K617" s="10" t="n"/>
      <c r="L617" s="11">
        <f>IF($S617="","",IF($S617="ITEM_PRICE_PLUS_DECLARED_DELIVERY",IF(OR($J617="",$K617=""),"",SUM($J617,$K617,$U617)),IF($S617="TOTAL_AMOUNT_INCLUDING_DELIVERY",IF($T617="","",$T617),IF($S617="DELIVERY_CHARGE_ONLY",IF($K617="","",SUM($K617,$U617)),IF($S617="EXACT_COLLECTION_AMOUNT",IF($T617="","",$T617),IF($S617="ITEM_PRICE_ONLY_DELIVERY_PAID_BY_MERCHANT",IF($J617="","",SUM($J617,$U617)),""))))))</f>
        <v/>
      </c>
      <c r="M617" s="12" t="n"/>
      <c r="N617" s="13" t="n"/>
      <c r="O617" s="13" t="n"/>
      <c r="P617" s="9" t="n"/>
      <c r="Q617" s="14" t="n"/>
      <c r="R617" s="15" t="n"/>
      <c r="S617" s="14" t="n"/>
      <c r="T617" s="16" t="n"/>
      <c r="U617" s="16" t="n"/>
      <c r="V617" s="16" t="n"/>
      <c r="W617" s="16" t="n"/>
      <c r="X617" s="16" t="n"/>
      <c r="Y617" s="16" t="n"/>
      <c r="Z617" s="14" t="n"/>
      <c r="AA617" s="14" t="n"/>
      <c r="AB617" s="14" t="n"/>
      <c r="AC617" s="17">
        <f>IFERROR(VLOOKUP($H617&amp;"|"&amp;$Q617,Tariff_Master!$A$2:$L$169,3,FALSE),"")</f>
        <v/>
      </c>
      <c r="AD617" s="17">
        <f>IFERROR(VLOOKUP($H617&amp;"|"&amp;$Q617,Tariff_Master!$A$2:$L$169,4,FALSE),"")</f>
        <v/>
      </c>
      <c r="AE617" s="18">
        <f>IFERROR(VLOOKUP($H617&amp;"|"&amp;$Q617,Tariff_Master!$A$2:$L$169,6,FALSE),"")</f>
        <v/>
      </c>
      <c r="AF617" s="19">
        <f>IFERROR(VLOOKUP($H617&amp;"|"&amp;$Q617,Tariff_Master!$A$2:$L$169,7,FALSE),"")</f>
        <v/>
      </c>
      <c r="AG617" s="18">
        <f>IFERROR(VLOOKUP($H617&amp;"|"&amp;$Q617,Tariff_Master!$A$2:$L$169,8,FALSE),"")</f>
        <v/>
      </c>
      <c r="AH617" s="20">
        <f>IFERROR(VLOOKUP($H617&amp;"|"&amp;$Q617,Tariff_Master!$A$2:$L$169,9,FALSE),"")</f>
        <v/>
      </c>
      <c r="AI617" s="18">
        <f>IFERROR(VLOOKUP($H617&amp;"|"&amp;$Q617,Tariff_Master!$A$2:$L$169,10,FALSE),"")</f>
        <v/>
      </c>
      <c r="AJ617" s="21">
        <f>IF($M617="","",ROUNDUP(MAX(0,$M617),0))</f>
        <v/>
      </c>
      <c r="AK617" s="21">
        <f>IF(OR($AJ617="",$AF617=""),"",MAX(0,$AJ617-$AF617))</f>
        <v/>
      </c>
      <c r="AL617" s="22">
        <f>IF(OR($AK617="",$AG617=""),"",MAX(0,$AK617*$AG617))</f>
        <v/>
      </c>
      <c r="AM617" s="22">
        <f>IF($AE617="","",MAX(0,SUM($AE617,$AL617,$V617,$W617)))</f>
        <v/>
      </c>
      <c r="AN617" s="22">
        <f>IF($AM617="","",IF(AND($Q617="COMMITMENT",$R617&gt;=$AH617),$AI617,0))</f>
        <v/>
      </c>
      <c r="AO617" s="23">
        <f>IF($AM617="","",MAX(0,$AM617-$AN617))</f>
        <v/>
      </c>
      <c r="AP617" s="22">
        <f>IF($S617="","",IF(OR($S617="ITEM_PRICE_PLUS_DECLARED_DELIVERY",$S617="DELIVERY_CHARGE_ONLY"),$K617,IF($S617="TOTAL_AMOUNT_INCLUDING_DELIVERY",IF(OR($T617="",$J617=""),"",MAX(0,$T617-$J617-$U617)),IF($S617="ITEM_PRICE_ONLY_DELIVERY_PAID_BY_MERCHANT",0,""))))</f>
        <v/>
      </c>
      <c r="AQ617" s="23">
        <f>IF(OR($AP617="",$AO617=""),"",$AP617-$AO617)</f>
        <v/>
      </c>
      <c r="AR617" s="24">
        <f>IF($S617="EXACT_COLLECTION_AMOUNT","BREAKDOWN_REQUIRED",IF($AQ617="","",IF($AQ617&gt;0,"CREDIT_TO_MERCHANT",IF($AQ617&lt;0,"DEDUCT_FROM_MERCHANT","NO_ADJUSTMENT"))))</f>
        <v/>
      </c>
      <c r="AS617" s="23">
        <f>IF(OR($AQ617="",$AR617="BREAKDOWN_REQUIRED"),"",$AQ617)</f>
        <v/>
      </c>
      <c r="AT617" s="23">
        <f>IF(OR($AR617="",$AR617="BREAKDOWN_REQUIRED"),"",SUM($J617,$AQ617,$Y617)-$X617)</f>
        <v/>
      </c>
      <c r="AU617" s="25">
        <f>IF(AND($A617="",$B617="",$F617="",$H617="",$J617="",$K617="",$M617="",$S617=""),"",IF(OR($H617="",$Q617="",$M617="",$S617=""),"ERROR",IF(OR($J617&lt;0,$K617&lt;0,$M617&lt;0,$T617&lt;0,$U617&lt;0,$V617&lt;0,$W617&lt;0,$X617&lt;0,$Y617&lt;0),"ERROR",IF($AE617="","ERROR",IF(AND(OR($S617="ITEM_PRICE_PLUS_DECLARED_DELIVERY",$S617="TOTAL_AMOUNT_INCLUDING_DELIVERY",$S617="ITEM_PRICE_ONLY_DELIVERY_PAID_BY_MERCHANT"),$J617=""),"ERROR",IF(AND(OR($S617="ITEM_PRICE_PLUS_DECLARED_DELIVERY",$S617="DELIVERY_CHARGE_ONLY"),$K617=""),"ERROR",IF(AND(OR($S617="TOTAL_AMOUNT_INCLUDING_DELIVERY",$S617="EXACT_COLLECTION_AMOUNT"),$T617=""),"ERROR",IF(AND($S617="TOTAL_AMOUNT_INCLUDING_DELIVERY",$T617&lt;SUM($J617,$U617)),"ERROR",IF($S617="EXACT_COLLECTION_AMOUNT","REVIEW","OK")))))))))</f>
        <v/>
      </c>
      <c r="AV617" s="25">
        <f>IF($AU617="","",IF($H617="","Township required",IF($Q617="","Customer tier required",IF($M617="","Weight required",IF($S617="","Amount entry type required",IF(OR($J617&lt;0,$K617&lt;0,$M617&lt;0,$T617&lt;0,$U617&lt;0,$V617&lt;0,$W617&lt;0,$X617&lt;0,$Y617&lt;0),"Negative amounts are not allowed",IF($AE617="","Tariff not found for township and tier",IF(AND(OR($S617="ITEM_PRICE_PLUS_DECLARED_DELIVERY",$S617="TOTAL_AMOUNT_INCLUDING_DELIVERY",$S617="ITEM_PRICE_ONLY_DELIVERY_PAID_BY_MERCHANT"),$J617=""),"Item price required for this amount type",IF(AND(OR($S617="ITEM_PRICE_PLUS_DECLARED_DELIVERY",$S617="DELIVERY_CHARGE_ONLY"),$K617=""),"Declared delivery charge required",IF(AND(OR($S617="TOTAL_AMOUNT_INCLUDING_DELIVERY",$S617="EXACT_COLLECTION_AMOUNT"),$T617=""),"Stated total amount required",IF(AND($S617="TOTAL_AMOUNT_INCLUDING_DELIVERY",$T617&lt;SUM($J617,$U617)),"Stated total is below item price plus additional charge",IF($S617="EXACT_COLLECTION_AMOUNT","Authorized amount breakdown required before settlement","Ready for collection and settlement"))))))))))))</f>
        <v/>
      </c>
      <c r="AW617" s="23">
        <f>IF($AU617="","","PARCEL_FINANCIAL_V2")</f>
        <v/>
      </c>
      <c r="AX617" s="17" t="n"/>
    </row>
    <row r="618">
      <c r="A618" s="8" t="n"/>
      <c r="B618" s="8" t="n"/>
      <c r="C618" s="8" t="n"/>
      <c r="D618" s="8" t="n"/>
      <c r="E618" s="9" t="n"/>
      <c r="F618" s="9" t="n"/>
      <c r="G618" s="8" t="n"/>
      <c r="H618" s="9" t="n"/>
      <c r="I618" s="9" t="n"/>
      <c r="J618" s="10" t="n"/>
      <c r="K618" s="10" t="n"/>
      <c r="L618" s="11">
        <f>IF($S618="","",IF($S618="ITEM_PRICE_PLUS_DECLARED_DELIVERY",IF(OR($J618="",$K618=""),"",SUM($J618,$K618,$U618)),IF($S618="TOTAL_AMOUNT_INCLUDING_DELIVERY",IF($T618="","",$T618),IF($S618="DELIVERY_CHARGE_ONLY",IF($K618="","",SUM($K618,$U618)),IF($S618="EXACT_COLLECTION_AMOUNT",IF($T618="","",$T618),IF($S618="ITEM_PRICE_ONLY_DELIVERY_PAID_BY_MERCHANT",IF($J618="","",SUM($J618,$U618)),""))))))</f>
        <v/>
      </c>
      <c r="M618" s="12" t="n"/>
      <c r="N618" s="13" t="n"/>
      <c r="O618" s="13" t="n"/>
      <c r="P618" s="9" t="n"/>
      <c r="Q618" s="14" t="n"/>
      <c r="R618" s="15" t="n"/>
      <c r="S618" s="14" t="n"/>
      <c r="T618" s="16" t="n"/>
      <c r="U618" s="16" t="n"/>
      <c r="V618" s="16" t="n"/>
      <c r="W618" s="16" t="n"/>
      <c r="X618" s="16" t="n"/>
      <c r="Y618" s="16" t="n"/>
      <c r="Z618" s="14" t="n"/>
      <c r="AA618" s="14" t="n"/>
      <c r="AB618" s="14" t="n"/>
      <c r="AC618" s="17">
        <f>IFERROR(VLOOKUP($H618&amp;"|"&amp;$Q618,Tariff_Master!$A$2:$L$169,3,FALSE),"")</f>
        <v/>
      </c>
      <c r="AD618" s="17">
        <f>IFERROR(VLOOKUP($H618&amp;"|"&amp;$Q618,Tariff_Master!$A$2:$L$169,4,FALSE),"")</f>
        <v/>
      </c>
      <c r="AE618" s="18">
        <f>IFERROR(VLOOKUP($H618&amp;"|"&amp;$Q618,Tariff_Master!$A$2:$L$169,6,FALSE),"")</f>
        <v/>
      </c>
      <c r="AF618" s="19">
        <f>IFERROR(VLOOKUP($H618&amp;"|"&amp;$Q618,Tariff_Master!$A$2:$L$169,7,FALSE),"")</f>
        <v/>
      </c>
      <c r="AG618" s="18">
        <f>IFERROR(VLOOKUP($H618&amp;"|"&amp;$Q618,Tariff_Master!$A$2:$L$169,8,FALSE),"")</f>
        <v/>
      </c>
      <c r="AH618" s="20">
        <f>IFERROR(VLOOKUP($H618&amp;"|"&amp;$Q618,Tariff_Master!$A$2:$L$169,9,FALSE),"")</f>
        <v/>
      </c>
      <c r="AI618" s="18">
        <f>IFERROR(VLOOKUP($H618&amp;"|"&amp;$Q618,Tariff_Master!$A$2:$L$169,10,FALSE),"")</f>
        <v/>
      </c>
      <c r="AJ618" s="21">
        <f>IF($M618="","",ROUNDUP(MAX(0,$M618),0))</f>
        <v/>
      </c>
      <c r="AK618" s="21">
        <f>IF(OR($AJ618="",$AF618=""),"",MAX(0,$AJ618-$AF618))</f>
        <v/>
      </c>
      <c r="AL618" s="22">
        <f>IF(OR($AK618="",$AG618=""),"",MAX(0,$AK618*$AG618))</f>
        <v/>
      </c>
      <c r="AM618" s="22">
        <f>IF($AE618="","",MAX(0,SUM($AE618,$AL618,$V618,$W618)))</f>
        <v/>
      </c>
      <c r="AN618" s="22">
        <f>IF($AM618="","",IF(AND($Q618="COMMITMENT",$R618&gt;=$AH618),$AI618,0))</f>
        <v/>
      </c>
      <c r="AO618" s="23">
        <f>IF($AM618="","",MAX(0,$AM618-$AN618))</f>
        <v/>
      </c>
      <c r="AP618" s="22">
        <f>IF($S618="","",IF(OR($S618="ITEM_PRICE_PLUS_DECLARED_DELIVERY",$S618="DELIVERY_CHARGE_ONLY"),$K618,IF($S618="TOTAL_AMOUNT_INCLUDING_DELIVERY",IF(OR($T618="",$J618=""),"",MAX(0,$T618-$J618-$U618)),IF($S618="ITEM_PRICE_ONLY_DELIVERY_PAID_BY_MERCHANT",0,""))))</f>
        <v/>
      </c>
      <c r="AQ618" s="23">
        <f>IF(OR($AP618="",$AO618=""),"",$AP618-$AO618)</f>
        <v/>
      </c>
      <c r="AR618" s="24">
        <f>IF($S618="EXACT_COLLECTION_AMOUNT","BREAKDOWN_REQUIRED",IF($AQ618="","",IF($AQ618&gt;0,"CREDIT_TO_MERCHANT",IF($AQ618&lt;0,"DEDUCT_FROM_MERCHANT","NO_ADJUSTMENT"))))</f>
        <v/>
      </c>
      <c r="AS618" s="23">
        <f>IF(OR($AQ618="",$AR618="BREAKDOWN_REQUIRED"),"",$AQ618)</f>
        <v/>
      </c>
      <c r="AT618" s="23">
        <f>IF(OR($AR618="",$AR618="BREAKDOWN_REQUIRED"),"",SUM($J618,$AQ618,$Y618)-$X618)</f>
        <v/>
      </c>
      <c r="AU618" s="25">
        <f>IF(AND($A618="",$B618="",$F618="",$H618="",$J618="",$K618="",$M618="",$S618=""),"",IF(OR($H618="",$Q618="",$M618="",$S618=""),"ERROR",IF(OR($J618&lt;0,$K618&lt;0,$M618&lt;0,$T618&lt;0,$U618&lt;0,$V618&lt;0,$W618&lt;0,$X618&lt;0,$Y618&lt;0),"ERROR",IF($AE618="","ERROR",IF(AND(OR($S618="ITEM_PRICE_PLUS_DECLARED_DELIVERY",$S618="TOTAL_AMOUNT_INCLUDING_DELIVERY",$S618="ITEM_PRICE_ONLY_DELIVERY_PAID_BY_MERCHANT"),$J618=""),"ERROR",IF(AND(OR($S618="ITEM_PRICE_PLUS_DECLARED_DELIVERY",$S618="DELIVERY_CHARGE_ONLY"),$K618=""),"ERROR",IF(AND(OR($S618="TOTAL_AMOUNT_INCLUDING_DELIVERY",$S618="EXACT_COLLECTION_AMOUNT"),$T618=""),"ERROR",IF(AND($S618="TOTAL_AMOUNT_INCLUDING_DELIVERY",$T618&lt;SUM($J618,$U618)),"ERROR",IF($S618="EXACT_COLLECTION_AMOUNT","REVIEW","OK")))))))))</f>
        <v/>
      </c>
      <c r="AV618" s="25">
        <f>IF($AU618="","",IF($H618="","Township required",IF($Q618="","Customer tier required",IF($M618="","Weight required",IF($S618="","Amount entry type required",IF(OR($J618&lt;0,$K618&lt;0,$M618&lt;0,$T618&lt;0,$U618&lt;0,$V618&lt;0,$W618&lt;0,$X618&lt;0,$Y618&lt;0),"Negative amounts are not allowed",IF($AE618="","Tariff not found for township and tier",IF(AND(OR($S618="ITEM_PRICE_PLUS_DECLARED_DELIVERY",$S618="TOTAL_AMOUNT_INCLUDING_DELIVERY",$S618="ITEM_PRICE_ONLY_DELIVERY_PAID_BY_MERCHANT"),$J618=""),"Item price required for this amount type",IF(AND(OR($S618="ITEM_PRICE_PLUS_DECLARED_DELIVERY",$S618="DELIVERY_CHARGE_ONLY"),$K618=""),"Declared delivery charge required",IF(AND(OR($S618="TOTAL_AMOUNT_INCLUDING_DELIVERY",$S618="EXACT_COLLECTION_AMOUNT"),$T618=""),"Stated total amount required",IF(AND($S618="TOTAL_AMOUNT_INCLUDING_DELIVERY",$T618&lt;SUM($J618,$U618)),"Stated total is below item price plus additional charge",IF($S618="EXACT_COLLECTION_AMOUNT","Authorized amount breakdown required before settlement","Ready for collection and settlement"))))))))))))</f>
        <v/>
      </c>
      <c r="AW618" s="23">
        <f>IF($AU618="","","PARCEL_FINANCIAL_V2")</f>
        <v/>
      </c>
      <c r="AX618" s="17" t="n"/>
    </row>
    <row r="619">
      <c r="A619" s="8" t="n"/>
      <c r="B619" s="8" t="n"/>
      <c r="C619" s="8" t="n"/>
      <c r="D619" s="8" t="n"/>
      <c r="E619" s="9" t="n"/>
      <c r="F619" s="9" t="n"/>
      <c r="G619" s="8" t="n"/>
      <c r="H619" s="9" t="n"/>
      <c r="I619" s="9" t="n"/>
      <c r="J619" s="10" t="n"/>
      <c r="K619" s="10" t="n"/>
      <c r="L619" s="11">
        <f>IF($S619="","",IF($S619="ITEM_PRICE_PLUS_DECLARED_DELIVERY",IF(OR($J619="",$K619=""),"",SUM($J619,$K619,$U619)),IF($S619="TOTAL_AMOUNT_INCLUDING_DELIVERY",IF($T619="","",$T619),IF($S619="DELIVERY_CHARGE_ONLY",IF($K619="","",SUM($K619,$U619)),IF($S619="EXACT_COLLECTION_AMOUNT",IF($T619="","",$T619),IF($S619="ITEM_PRICE_ONLY_DELIVERY_PAID_BY_MERCHANT",IF($J619="","",SUM($J619,$U619)),""))))))</f>
        <v/>
      </c>
      <c r="M619" s="12" t="n"/>
      <c r="N619" s="13" t="n"/>
      <c r="O619" s="13" t="n"/>
      <c r="P619" s="9" t="n"/>
      <c r="Q619" s="14" t="n"/>
      <c r="R619" s="15" t="n"/>
      <c r="S619" s="14" t="n"/>
      <c r="T619" s="16" t="n"/>
      <c r="U619" s="16" t="n"/>
      <c r="V619" s="16" t="n"/>
      <c r="W619" s="16" t="n"/>
      <c r="X619" s="16" t="n"/>
      <c r="Y619" s="16" t="n"/>
      <c r="Z619" s="14" t="n"/>
      <c r="AA619" s="14" t="n"/>
      <c r="AB619" s="14" t="n"/>
      <c r="AC619" s="17">
        <f>IFERROR(VLOOKUP($H619&amp;"|"&amp;$Q619,Tariff_Master!$A$2:$L$169,3,FALSE),"")</f>
        <v/>
      </c>
      <c r="AD619" s="17">
        <f>IFERROR(VLOOKUP($H619&amp;"|"&amp;$Q619,Tariff_Master!$A$2:$L$169,4,FALSE),"")</f>
        <v/>
      </c>
      <c r="AE619" s="18">
        <f>IFERROR(VLOOKUP($H619&amp;"|"&amp;$Q619,Tariff_Master!$A$2:$L$169,6,FALSE),"")</f>
        <v/>
      </c>
      <c r="AF619" s="19">
        <f>IFERROR(VLOOKUP($H619&amp;"|"&amp;$Q619,Tariff_Master!$A$2:$L$169,7,FALSE),"")</f>
        <v/>
      </c>
      <c r="AG619" s="18">
        <f>IFERROR(VLOOKUP($H619&amp;"|"&amp;$Q619,Tariff_Master!$A$2:$L$169,8,FALSE),"")</f>
        <v/>
      </c>
      <c r="AH619" s="20">
        <f>IFERROR(VLOOKUP($H619&amp;"|"&amp;$Q619,Tariff_Master!$A$2:$L$169,9,FALSE),"")</f>
        <v/>
      </c>
      <c r="AI619" s="18">
        <f>IFERROR(VLOOKUP($H619&amp;"|"&amp;$Q619,Tariff_Master!$A$2:$L$169,10,FALSE),"")</f>
        <v/>
      </c>
      <c r="AJ619" s="21">
        <f>IF($M619="","",ROUNDUP(MAX(0,$M619),0))</f>
        <v/>
      </c>
      <c r="AK619" s="21">
        <f>IF(OR($AJ619="",$AF619=""),"",MAX(0,$AJ619-$AF619))</f>
        <v/>
      </c>
      <c r="AL619" s="22">
        <f>IF(OR($AK619="",$AG619=""),"",MAX(0,$AK619*$AG619))</f>
        <v/>
      </c>
      <c r="AM619" s="22">
        <f>IF($AE619="","",MAX(0,SUM($AE619,$AL619,$V619,$W619)))</f>
        <v/>
      </c>
      <c r="AN619" s="22">
        <f>IF($AM619="","",IF(AND($Q619="COMMITMENT",$R619&gt;=$AH619),$AI619,0))</f>
        <v/>
      </c>
      <c r="AO619" s="23">
        <f>IF($AM619="","",MAX(0,$AM619-$AN619))</f>
        <v/>
      </c>
      <c r="AP619" s="22">
        <f>IF($S619="","",IF(OR($S619="ITEM_PRICE_PLUS_DECLARED_DELIVERY",$S619="DELIVERY_CHARGE_ONLY"),$K619,IF($S619="TOTAL_AMOUNT_INCLUDING_DELIVERY",IF(OR($T619="",$J619=""),"",MAX(0,$T619-$J619-$U619)),IF($S619="ITEM_PRICE_ONLY_DELIVERY_PAID_BY_MERCHANT",0,""))))</f>
        <v/>
      </c>
      <c r="AQ619" s="23">
        <f>IF(OR($AP619="",$AO619=""),"",$AP619-$AO619)</f>
        <v/>
      </c>
      <c r="AR619" s="24">
        <f>IF($S619="EXACT_COLLECTION_AMOUNT","BREAKDOWN_REQUIRED",IF($AQ619="","",IF($AQ619&gt;0,"CREDIT_TO_MERCHANT",IF($AQ619&lt;0,"DEDUCT_FROM_MERCHANT","NO_ADJUSTMENT"))))</f>
        <v/>
      </c>
      <c r="AS619" s="23">
        <f>IF(OR($AQ619="",$AR619="BREAKDOWN_REQUIRED"),"",$AQ619)</f>
        <v/>
      </c>
      <c r="AT619" s="23">
        <f>IF(OR($AR619="",$AR619="BREAKDOWN_REQUIRED"),"",SUM($J619,$AQ619,$Y619)-$X619)</f>
        <v/>
      </c>
      <c r="AU619" s="25">
        <f>IF(AND($A619="",$B619="",$F619="",$H619="",$J619="",$K619="",$M619="",$S619=""),"",IF(OR($H619="",$Q619="",$M619="",$S619=""),"ERROR",IF(OR($J619&lt;0,$K619&lt;0,$M619&lt;0,$T619&lt;0,$U619&lt;0,$V619&lt;0,$W619&lt;0,$X619&lt;0,$Y619&lt;0),"ERROR",IF($AE619="","ERROR",IF(AND(OR($S619="ITEM_PRICE_PLUS_DECLARED_DELIVERY",$S619="TOTAL_AMOUNT_INCLUDING_DELIVERY",$S619="ITEM_PRICE_ONLY_DELIVERY_PAID_BY_MERCHANT"),$J619=""),"ERROR",IF(AND(OR($S619="ITEM_PRICE_PLUS_DECLARED_DELIVERY",$S619="DELIVERY_CHARGE_ONLY"),$K619=""),"ERROR",IF(AND(OR($S619="TOTAL_AMOUNT_INCLUDING_DELIVERY",$S619="EXACT_COLLECTION_AMOUNT"),$T619=""),"ERROR",IF(AND($S619="TOTAL_AMOUNT_INCLUDING_DELIVERY",$T619&lt;SUM($J619,$U619)),"ERROR",IF($S619="EXACT_COLLECTION_AMOUNT","REVIEW","OK")))))))))</f>
        <v/>
      </c>
      <c r="AV619" s="25">
        <f>IF($AU619="","",IF($H619="","Township required",IF($Q619="","Customer tier required",IF($M619="","Weight required",IF($S619="","Amount entry type required",IF(OR($J619&lt;0,$K619&lt;0,$M619&lt;0,$T619&lt;0,$U619&lt;0,$V619&lt;0,$W619&lt;0,$X619&lt;0,$Y619&lt;0),"Negative amounts are not allowed",IF($AE619="","Tariff not found for township and tier",IF(AND(OR($S619="ITEM_PRICE_PLUS_DECLARED_DELIVERY",$S619="TOTAL_AMOUNT_INCLUDING_DELIVERY",$S619="ITEM_PRICE_ONLY_DELIVERY_PAID_BY_MERCHANT"),$J619=""),"Item price required for this amount type",IF(AND(OR($S619="ITEM_PRICE_PLUS_DECLARED_DELIVERY",$S619="DELIVERY_CHARGE_ONLY"),$K619=""),"Declared delivery charge required",IF(AND(OR($S619="TOTAL_AMOUNT_INCLUDING_DELIVERY",$S619="EXACT_COLLECTION_AMOUNT"),$T619=""),"Stated total amount required",IF(AND($S619="TOTAL_AMOUNT_INCLUDING_DELIVERY",$T619&lt;SUM($J619,$U619)),"Stated total is below item price plus additional charge",IF($S619="EXACT_COLLECTION_AMOUNT","Authorized amount breakdown required before settlement","Ready for collection and settlement"))))))))))))</f>
        <v/>
      </c>
      <c r="AW619" s="23">
        <f>IF($AU619="","","PARCEL_FINANCIAL_V2")</f>
        <v/>
      </c>
      <c r="AX619" s="17" t="n"/>
    </row>
    <row r="620">
      <c r="A620" s="8" t="n"/>
      <c r="B620" s="8" t="n"/>
      <c r="C620" s="8" t="n"/>
      <c r="D620" s="8" t="n"/>
      <c r="E620" s="9" t="n"/>
      <c r="F620" s="9" t="n"/>
      <c r="G620" s="8" t="n"/>
      <c r="H620" s="9" t="n"/>
      <c r="I620" s="9" t="n"/>
      <c r="J620" s="10" t="n"/>
      <c r="K620" s="10" t="n"/>
      <c r="L620" s="11">
        <f>IF($S620="","",IF($S620="ITEM_PRICE_PLUS_DECLARED_DELIVERY",IF(OR($J620="",$K620=""),"",SUM($J620,$K620,$U620)),IF($S620="TOTAL_AMOUNT_INCLUDING_DELIVERY",IF($T620="","",$T620),IF($S620="DELIVERY_CHARGE_ONLY",IF($K620="","",SUM($K620,$U620)),IF($S620="EXACT_COLLECTION_AMOUNT",IF($T620="","",$T620),IF($S620="ITEM_PRICE_ONLY_DELIVERY_PAID_BY_MERCHANT",IF($J620="","",SUM($J620,$U620)),""))))))</f>
        <v/>
      </c>
      <c r="M620" s="12" t="n"/>
      <c r="N620" s="13" t="n"/>
      <c r="O620" s="13" t="n"/>
      <c r="P620" s="9" t="n"/>
      <c r="Q620" s="14" t="n"/>
      <c r="R620" s="15" t="n"/>
      <c r="S620" s="14" t="n"/>
      <c r="T620" s="16" t="n"/>
      <c r="U620" s="16" t="n"/>
      <c r="V620" s="16" t="n"/>
      <c r="W620" s="16" t="n"/>
      <c r="X620" s="16" t="n"/>
      <c r="Y620" s="16" t="n"/>
      <c r="Z620" s="14" t="n"/>
      <c r="AA620" s="14" t="n"/>
      <c r="AB620" s="14" t="n"/>
      <c r="AC620" s="17">
        <f>IFERROR(VLOOKUP($H620&amp;"|"&amp;$Q620,Tariff_Master!$A$2:$L$169,3,FALSE),"")</f>
        <v/>
      </c>
      <c r="AD620" s="17">
        <f>IFERROR(VLOOKUP($H620&amp;"|"&amp;$Q620,Tariff_Master!$A$2:$L$169,4,FALSE),"")</f>
        <v/>
      </c>
      <c r="AE620" s="18">
        <f>IFERROR(VLOOKUP($H620&amp;"|"&amp;$Q620,Tariff_Master!$A$2:$L$169,6,FALSE),"")</f>
        <v/>
      </c>
      <c r="AF620" s="19">
        <f>IFERROR(VLOOKUP($H620&amp;"|"&amp;$Q620,Tariff_Master!$A$2:$L$169,7,FALSE),"")</f>
        <v/>
      </c>
      <c r="AG620" s="18">
        <f>IFERROR(VLOOKUP($H620&amp;"|"&amp;$Q620,Tariff_Master!$A$2:$L$169,8,FALSE),"")</f>
        <v/>
      </c>
      <c r="AH620" s="20">
        <f>IFERROR(VLOOKUP($H620&amp;"|"&amp;$Q620,Tariff_Master!$A$2:$L$169,9,FALSE),"")</f>
        <v/>
      </c>
      <c r="AI620" s="18">
        <f>IFERROR(VLOOKUP($H620&amp;"|"&amp;$Q620,Tariff_Master!$A$2:$L$169,10,FALSE),"")</f>
        <v/>
      </c>
      <c r="AJ620" s="21">
        <f>IF($M620="","",ROUNDUP(MAX(0,$M620),0))</f>
        <v/>
      </c>
      <c r="AK620" s="21">
        <f>IF(OR($AJ620="",$AF620=""),"",MAX(0,$AJ620-$AF620))</f>
        <v/>
      </c>
      <c r="AL620" s="22">
        <f>IF(OR($AK620="",$AG620=""),"",MAX(0,$AK620*$AG620))</f>
        <v/>
      </c>
      <c r="AM620" s="22">
        <f>IF($AE620="","",MAX(0,SUM($AE620,$AL620,$V620,$W620)))</f>
        <v/>
      </c>
      <c r="AN620" s="22">
        <f>IF($AM620="","",IF(AND($Q620="COMMITMENT",$R620&gt;=$AH620),$AI620,0))</f>
        <v/>
      </c>
      <c r="AO620" s="23">
        <f>IF($AM620="","",MAX(0,$AM620-$AN620))</f>
        <v/>
      </c>
      <c r="AP620" s="22">
        <f>IF($S620="","",IF(OR($S620="ITEM_PRICE_PLUS_DECLARED_DELIVERY",$S620="DELIVERY_CHARGE_ONLY"),$K620,IF($S620="TOTAL_AMOUNT_INCLUDING_DELIVERY",IF(OR($T620="",$J620=""),"",MAX(0,$T620-$J620-$U620)),IF($S620="ITEM_PRICE_ONLY_DELIVERY_PAID_BY_MERCHANT",0,""))))</f>
        <v/>
      </c>
      <c r="AQ620" s="23">
        <f>IF(OR($AP620="",$AO620=""),"",$AP620-$AO620)</f>
        <v/>
      </c>
      <c r="AR620" s="24">
        <f>IF($S620="EXACT_COLLECTION_AMOUNT","BREAKDOWN_REQUIRED",IF($AQ620="","",IF($AQ620&gt;0,"CREDIT_TO_MERCHANT",IF($AQ620&lt;0,"DEDUCT_FROM_MERCHANT","NO_ADJUSTMENT"))))</f>
        <v/>
      </c>
      <c r="AS620" s="23">
        <f>IF(OR($AQ620="",$AR620="BREAKDOWN_REQUIRED"),"",$AQ620)</f>
        <v/>
      </c>
      <c r="AT620" s="23">
        <f>IF(OR($AR620="",$AR620="BREAKDOWN_REQUIRED"),"",SUM($J620,$AQ620,$Y620)-$X620)</f>
        <v/>
      </c>
      <c r="AU620" s="25">
        <f>IF(AND($A620="",$B620="",$F620="",$H620="",$J620="",$K620="",$M620="",$S620=""),"",IF(OR($H620="",$Q620="",$M620="",$S620=""),"ERROR",IF(OR($J620&lt;0,$K620&lt;0,$M620&lt;0,$T620&lt;0,$U620&lt;0,$V620&lt;0,$W620&lt;0,$X620&lt;0,$Y620&lt;0),"ERROR",IF($AE620="","ERROR",IF(AND(OR($S620="ITEM_PRICE_PLUS_DECLARED_DELIVERY",$S620="TOTAL_AMOUNT_INCLUDING_DELIVERY",$S620="ITEM_PRICE_ONLY_DELIVERY_PAID_BY_MERCHANT"),$J620=""),"ERROR",IF(AND(OR($S620="ITEM_PRICE_PLUS_DECLARED_DELIVERY",$S620="DELIVERY_CHARGE_ONLY"),$K620=""),"ERROR",IF(AND(OR($S620="TOTAL_AMOUNT_INCLUDING_DELIVERY",$S620="EXACT_COLLECTION_AMOUNT"),$T620=""),"ERROR",IF(AND($S620="TOTAL_AMOUNT_INCLUDING_DELIVERY",$T620&lt;SUM($J620,$U620)),"ERROR",IF($S620="EXACT_COLLECTION_AMOUNT","REVIEW","OK")))))))))</f>
        <v/>
      </c>
      <c r="AV620" s="25">
        <f>IF($AU620="","",IF($H620="","Township required",IF($Q620="","Customer tier required",IF($M620="","Weight required",IF($S620="","Amount entry type required",IF(OR($J620&lt;0,$K620&lt;0,$M620&lt;0,$T620&lt;0,$U620&lt;0,$V620&lt;0,$W620&lt;0,$X620&lt;0,$Y620&lt;0),"Negative amounts are not allowed",IF($AE620="","Tariff not found for township and tier",IF(AND(OR($S620="ITEM_PRICE_PLUS_DECLARED_DELIVERY",$S620="TOTAL_AMOUNT_INCLUDING_DELIVERY",$S620="ITEM_PRICE_ONLY_DELIVERY_PAID_BY_MERCHANT"),$J620=""),"Item price required for this amount type",IF(AND(OR($S620="ITEM_PRICE_PLUS_DECLARED_DELIVERY",$S620="DELIVERY_CHARGE_ONLY"),$K620=""),"Declared delivery charge required",IF(AND(OR($S620="TOTAL_AMOUNT_INCLUDING_DELIVERY",$S620="EXACT_COLLECTION_AMOUNT"),$T620=""),"Stated total amount required",IF(AND($S620="TOTAL_AMOUNT_INCLUDING_DELIVERY",$T620&lt;SUM($J620,$U620)),"Stated total is below item price plus additional charge",IF($S620="EXACT_COLLECTION_AMOUNT","Authorized amount breakdown required before settlement","Ready for collection and settlement"))))))))))))</f>
        <v/>
      </c>
      <c r="AW620" s="23">
        <f>IF($AU620="","","PARCEL_FINANCIAL_V2")</f>
        <v/>
      </c>
      <c r="AX620" s="17" t="n"/>
    </row>
    <row r="621">
      <c r="A621" s="8" t="n"/>
      <c r="B621" s="8" t="n"/>
      <c r="C621" s="8" t="n"/>
      <c r="D621" s="8" t="n"/>
      <c r="E621" s="9" t="n"/>
      <c r="F621" s="9" t="n"/>
      <c r="G621" s="8" t="n"/>
      <c r="H621" s="9" t="n"/>
      <c r="I621" s="9" t="n"/>
      <c r="J621" s="10" t="n"/>
      <c r="K621" s="10" t="n"/>
      <c r="L621" s="11">
        <f>IF($S621="","",IF($S621="ITEM_PRICE_PLUS_DECLARED_DELIVERY",IF(OR($J621="",$K621=""),"",SUM($J621,$K621,$U621)),IF($S621="TOTAL_AMOUNT_INCLUDING_DELIVERY",IF($T621="","",$T621),IF($S621="DELIVERY_CHARGE_ONLY",IF($K621="","",SUM($K621,$U621)),IF($S621="EXACT_COLLECTION_AMOUNT",IF($T621="","",$T621),IF($S621="ITEM_PRICE_ONLY_DELIVERY_PAID_BY_MERCHANT",IF($J621="","",SUM($J621,$U621)),""))))))</f>
        <v/>
      </c>
      <c r="M621" s="12" t="n"/>
      <c r="N621" s="13" t="n"/>
      <c r="O621" s="13" t="n"/>
      <c r="P621" s="9" t="n"/>
      <c r="Q621" s="14" t="n"/>
      <c r="R621" s="15" t="n"/>
      <c r="S621" s="14" t="n"/>
      <c r="T621" s="16" t="n"/>
      <c r="U621" s="16" t="n"/>
      <c r="V621" s="16" t="n"/>
      <c r="W621" s="16" t="n"/>
      <c r="X621" s="16" t="n"/>
      <c r="Y621" s="16" t="n"/>
      <c r="Z621" s="14" t="n"/>
      <c r="AA621" s="14" t="n"/>
      <c r="AB621" s="14" t="n"/>
      <c r="AC621" s="17">
        <f>IFERROR(VLOOKUP($H621&amp;"|"&amp;$Q621,Tariff_Master!$A$2:$L$169,3,FALSE),"")</f>
        <v/>
      </c>
      <c r="AD621" s="17">
        <f>IFERROR(VLOOKUP($H621&amp;"|"&amp;$Q621,Tariff_Master!$A$2:$L$169,4,FALSE),"")</f>
        <v/>
      </c>
      <c r="AE621" s="18">
        <f>IFERROR(VLOOKUP($H621&amp;"|"&amp;$Q621,Tariff_Master!$A$2:$L$169,6,FALSE),"")</f>
        <v/>
      </c>
      <c r="AF621" s="19">
        <f>IFERROR(VLOOKUP($H621&amp;"|"&amp;$Q621,Tariff_Master!$A$2:$L$169,7,FALSE),"")</f>
        <v/>
      </c>
      <c r="AG621" s="18">
        <f>IFERROR(VLOOKUP($H621&amp;"|"&amp;$Q621,Tariff_Master!$A$2:$L$169,8,FALSE),"")</f>
        <v/>
      </c>
      <c r="AH621" s="20">
        <f>IFERROR(VLOOKUP($H621&amp;"|"&amp;$Q621,Tariff_Master!$A$2:$L$169,9,FALSE),"")</f>
        <v/>
      </c>
      <c r="AI621" s="18">
        <f>IFERROR(VLOOKUP($H621&amp;"|"&amp;$Q621,Tariff_Master!$A$2:$L$169,10,FALSE),"")</f>
        <v/>
      </c>
      <c r="AJ621" s="21">
        <f>IF($M621="","",ROUNDUP(MAX(0,$M621),0))</f>
        <v/>
      </c>
      <c r="AK621" s="21">
        <f>IF(OR($AJ621="",$AF621=""),"",MAX(0,$AJ621-$AF621))</f>
        <v/>
      </c>
      <c r="AL621" s="22">
        <f>IF(OR($AK621="",$AG621=""),"",MAX(0,$AK621*$AG621))</f>
        <v/>
      </c>
      <c r="AM621" s="22">
        <f>IF($AE621="","",MAX(0,SUM($AE621,$AL621,$V621,$W621)))</f>
        <v/>
      </c>
      <c r="AN621" s="22">
        <f>IF($AM621="","",IF(AND($Q621="COMMITMENT",$R621&gt;=$AH621),$AI621,0))</f>
        <v/>
      </c>
      <c r="AO621" s="23">
        <f>IF($AM621="","",MAX(0,$AM621-$AN621))</f>
        <v/>
      </c>
      <c r="AP621" s="22">
        <f>IF($S621="","",IF(OR($S621="ITEM_PRICE_PLUS_DECLARED_DELIVERY",$S621="DELIVERY_CHARGE_ONLY"),$K621,IF($S621="TOTAL_AMOUNT_INCLUDING_DELIVERY",IF(OR($T621="",$J621=""),"",MAX(0,$T621-$J621-$U621)),IF($S621="ITEM_PRICE_ONLY_DELIVERY_PAID_BY_MERCHANT",0,""))))</f>
        <v/>
      </c>
      <c r="AQ621" s="23">
        <f>IF(OR($AP621="",$AO621=""),"",$AP621-$AO621)</f>
        <v/>
      </c>
      <c r="AR621" s="24">
        <f>IF($S621="EXACT_COLLECTION_AMOUNT","BREAKDOWN_REQUIRED",IF($AQ621="","",IF($AQ621&gt;0,"CREDIT_TO_MERCHANT",IF($AQ621&lt;0,"DEDUCT_FROM_MERCHANT","NO_ADJUSTMENT"))))</f>
        <v/>
      </c>
      <c r="AS621" s="23">
        <f>IF(OR($AQ621="",$AR621="BREAKDOWN_REQUIRED"),"",$AQ621)</f>
        <v/>
      </c>
      <c r="AT621" s="23">
        <f>IF(OR($AR621="",$AR621="BREAKDOWN_REQUIRED"),"",SUM($J621,$AQ621,$Y621)-$X621)</f>
        <v/>
      </c>
      <c r="AU621" s="25">
        <f>IF(AND($A621="",$B621="",$F621="",$H621="",$J621="",$K621="",$M621="",$S621=""),"",IF(OR($H621="",$Q621="",$M621="",$S621=""),"ERROR",IF(OR($J621&lt;0,$K621&lt;0,$M621&lt;0,$T621&lt;0,$U621&lt;0,$V621&lt;0,$W621&lt;0,$X621&lt;0,$Y621&lt;0),"ERROR",IF($AE621="","ERROR",IF(AND(OR($S621="ITEM_PRICE_PLUS_DECLARED_DELIVERY",$S621="TOTAL_AMOUNT_INCLUDING_DELIVERY",$S621="ITEM_PRICE_ONLY_DELIVERY_PAID_BY_MERCHANT"),$J621=""),"ERROR",IF(AND(OR($S621="ITEM_PRICE_PLUS_DECLARED_DELIVERY",$S621="DELIVERY_CHARGE_ONLY"),$K621=""),"ERROR",IF(AND(OR($S621="TOTAL_AMOUNT_INCLUDING_DELIVERY",$S621="EXACT_COLLECTION_AMOUNT"),$T621=""),"ERROR",IF(AND($S621="TOTAL_AMOUNT_INCLUDING_DELIVERY",$T621&lt;SUM($J621,$U621)),"ERROR",IF($S621="EXACT_COLLECTION_AMOUNT","REVIEW","OK")))))))))</f>
        <v/>
      </c>
      <c r="AV621" s="25">
        <f>IF($AU621="","",IF($H621="","Township required",IF($Q621="","Customer tier required",IF($M621="","Weight required",IF($S621="","Amount entry type required",IF(OR($J621&lt;0,$K621&lt;0,$M621&lt;0,$T621&lt;0,$U621&lt;0,$V621&lt;0,$W621&lt;0,$X621&lt;0,$Y621&lt;0),"Negative amounts are not allowed",IF($AE621="","Tariff not found for township and tier",IF(AND(OR($S621="ITEM_PRICE_PLUS_DECLARED_DELIVERY",$S621="TOTAL_AMOUNT_INCLUDING_DELIVERY",$S621="ITEM_PRICE_ONLY_DELIVERY_PAID_BY_MERCHANT"),$J621=""),"Item price required for this amount type",IF(AND(OR($S621="ITEM_PRICE_PLUS_DECLARED_DELIVERY",$S621="DELIVERY_CHARGE_ONLY"),$K621=""),"Declared delivery charge required",IF(AND(OR($S621="TOTAL_AMOUNT_INCLUDING_DELIVERY",$S621="EXACT_COLLECTION_AMOUNT"),$T621=""),"Stated total amount required",IF(AND($S621="TOTAL_AMOUNT_INCLUDING_DELIVERY",$T621&lt;SUM($J621,$U621)),"Stated total is below item price plus additional charge",IF($S621="EXACT_COLLECTION_AMOUNT","Authorized amount breakdown required before settlement","Ready for collection and settlement"))))))))))))</f>
        <v/>
      </c>
      <c r="AW621" s="23">
        <f>IF($AU621="","","PARCEL_FINANCIAL_V2")</f>
        <v/>
      </c>
      <c r="AX621" s="17" t="n"/>
    </row>
    <row r="622">
      <c r="A622" s="8" t="n"/>
      <c r="B622" s="8" t="n"/>
      <c r="C622" s="8" t="n"/>
      <c r="D622" s="8" t="n"/>
      <c r="E622" s="9" t="n"/>
      <c r="F622" s="9" t="n"/>
      <c r="G622" s="8" t="n"/>
      <c r="H622" s="9" t="n"/>
      <c r="I622" s="9" t="n"/>
      <c r="J622" s="10" t="n"/>
      <c r="K622" s="10" t="n"/>
      <c r="L622" s="11">
        <f>IF($S622="","",IF($S622="ITEM_PRICE_PLUS_DECLARED_DELIVERY",IF(OR($J622="",$K622=""),"",SUM($J622,$K622,$U622)),IF($S622="TOTAL_AMOUNT_INCLUDING_DELIVERY",IF($T622="","",$T622),IF($S622="DELIVERY_CHARGE_ONLY",IF($K622="","",SUM($K622,$U622)),IF($S622="EXACT_COLLECTION_AMOUNT",IF($T622="","",$T622),IF($S622="ITEM_PRICE_ONLY_DELIVERY_PAID_BY_MERCHANT",IF($J622="","",SUM($J622,$U622)),""))))))</f>
        <v/>
      </c>
      <c r="M622" s="12" t="n"/>
      <c r="N622" s="13" t="n"/>
      <c r="O622" s="13" t="n"/>
      <c r="P622" s="9" t="n"/>
      <c r="Q622" s="14" t="n"/>
      <c r="R622" s="15" t="n"/>
      <c r="S622" s="14" t="n"/>
      <c r="T622" s="16" t="n"/>
      <c r="U622" s="16" t="n"/>
      <c r="V622" s="16" t="n"/>
      <c r="W622" s="16" t="n"/>
      <c r="X622" s="16" t="n"/>
      <c r="Y622" s="16" t="n"/>
      <c r="Z622" s="14" t="n"/>
      <c r="AA622" s="14" t="n"/>
      <c r="AB622" s="14" t="n"/>
      <c r="AC622" s="17">
        <f>IFERROR(VLOOKUP($H622&amp;"|"&amp;$Q622,Tariff_Master!$A$2:$L$169,3,FALSE),"")</f>
        <v/>
      </c>
      <c r="AD622" s="17">
        <f>IFERROR(VLOOKUP($H622&amp;"|"&amp;$Q622,Tariff_Master!$A$2:$L$169,4,FALSE),"")</f>
        <v/>
      </c>
      <c r="AE622" s="18">
        <f>IFERROR(VLOOKUP($H622&amp;"|"&amp;$Q622,Tariff_Master!$A$2:$L$169,6,FALSE),"")</f>
        <v/>
      </c>
      <c r="AF622" s="19">
        <f>IFERROR(VLOOKUP($H622&amp;"|"&amp;$Q622,Tariff_Master!$A$2:$L$169,7,FALSE),"")</f>
        <v/>
      </c>
      <c r="AG622" s="18">
        <f>IFERROR(VLOOKUP($H622&amp;"|"&amp;$Q622,Tariff_Master!$A$2:$L$169,8,FALSE),"")</f>
        <v/>
      </c>
      <c r="AH622" s="20">
        <f>IFERROR(VLOOKUP($H622&amp;"|"&amp;$Q622,Tariff_Master!$A$2:$L$169,9,FALSE),"")</f>
        <v/>
      </c>
      <c r="AI622" s="18">
        <f>IFERROR(VLOOKUP($H622&amp;"|"&amp;$Q622,Tariff_Master!$A$2:$L$169,10,FALSE),"")</f>
        <v/>
      </c>
      <c r="AJ622" s="21">
        <f>IF($M622="","",ROUNDUP(MAX(0,$M622),0))</f>
        <v/>
      </c>
      <c r="AK622" s="21">
        <f>IF(OR($AJ622="",$AF622=""),"",MAX(0,$AJ622-$AF622))</f>
        <v/>
      </c>
      <c r="AL622" s="22">
        <f>IF(OR($AK622="",$AG622=""),"",MAX(0,$AK622*$AG622))</f>
        <v/>
      </c>
      <c r="AM622" s="22">
        <f>IF($AE622="","",MAX(0,SUM($AE622,$AL622,$V622,$W622)))</f>
        <v/>
      </c>
      <c r="AN622" s="22">
        <f>IF($AM622="","",IF(AND($Q622="COMMITMENT",$R622&gt;=$AH622),$AI622,0))</f>
        <v/>
      </c>
      <c r="AO622" s="23">
        <f>IF($AM622="","",MAX(0,$AM622-$AN622))</f>
        <v/>
      </c>
      <c r="AP622" s="22">
        <f>IF($S622="","",IF(OR($S622="ITEM_PRICE_PLUS_DECLARED_DELIVERY",$S622="DELIVERY_CHARGE_ONLY"),$K622,IF($S622="TOTAL_AMOUNT_INCLUDING_DELIVERY",IF(OR($T622="",$J622=""),"",MAX(0,$T622-$J622-$U622)),IF($S622="ITEM_PRICE_ONLY_DELIVERY_PAID_BY_MERCHANT",0,""))))</f>
        <v/>
      </c>
      <c r="AQ622" s="23">
        <f>IF(OR($AP622="",$AO622=""),"",$AP622-$AO622)</f>
        <v/>
      </c>
      <c r="AR622" s="24">
        <f>IF($S622="EXACT_COLLECTION_AMOUNT","BREAKDOWN_REQUIRED",IF($AQ622="","",IF($AQ622&gt;0,"CREDIT_TO_MERCHANT",IF($AQ622&lt;0,"DEDUCT_FROM_MERCHANT","NO_ADJUSTMENT"))))</f>
        <v/>
      </c>
      <c r="AS622" s="23">
        <f>IF(OR($AQ622="",$AR622="BREAKDOWN_REQUIRED"),"",$AQ622)</f>
        <v/>
      </c>
      <c r="AT622" s="23">
        <f>IF(OR($AR622="",$AR622="BREAKDOWN_REQUIRED"),"",SUM($J622,$AQ622,$Y622)-$X622)</f>
        <v/>
      </c>
      <c r="AU622" s="25">
        <f>IF(AND($A622="",$B622="",$F622="",$H622="",$J622="",$K622="",$M622="",$S622=""),"",IF(OR($H622="",$Q622="",$M622="",$S622=""),"ERROR",IF(OR($J622&lt;0,$K622&lt;0,$M622&lt;0,$T622&lt;0,$U622&lt;0,$V622&lt;0,$W622&lt;0,$X622&lt;0,$Y622&lt;0),"ERROR",IF($AE622="","ERROR",IF(AND(OR($S622="ITEM_PRICE_PLUS_DECLARED_DELIVERY",$S622="TOTAL_AMOUNT_INCLUDING_DELIVERY",$S622="ITEM_PRICE_ONLY_DELIVERY_PAID_BY_MERCHANT"),$J622=""),"ERROR",IF(AND(OR($S622="ITEM_PRICE_PLUS_DECLARED_DELIVERY",$S622="DELIVERY_CHARGE_ONLY"),$K622=""),"ERROR",IF(AND(OR($S622="TOTAL_AMOUNT_INCLUDING_DELIVERY",$S622="EXACT_COLLECTION_AMOUNT"),$T622=""),"ERROR",IF(AND($S622="TOTAL_AMOUNT_INCLUDING_DELIVERY",$T622&lt;SUM($J622,$U622)),"ERROR",IF($S622="EXACT_COLLECTION_AMOUNT","REVIEW","OK")))))))))</f>
        <v/>
      </c>
      <c r="AV622" s="25">
        <f>IF($AU622="","",IF($H622="","Township required",IF($Q622="","Customer tier required",IF($M622="","Weight required",IF($S622="","Amount entry type required",IF(OR($J622&lt;0,$K622&lt;0,$M622&lt;0,$T622&lt;0,$U622&lt;0,$V622&lt;0,$W622&lt;0,$X622&lt;0,$Y622&lt;0),"Negative amounts are not allowed",IF($AE622="","Tariff not found for township and tier",IF(AND(OR($S622="ITEM_PRICE_PLUS_DECLARED_DELIVERY",$S622="TOTAL_AMOUNT_INCLUDING_DELIVERY",$S622="ITEM_PRICE_ONLY_DELIVERY_PAID_BY_MERCHANT"),$J622=""),"Item price required for this amount type",IF(AND(OR($S622="ITEM_PRICE_PLUS_DECLARED_DELIVERY",$S622="DELIVERY_CHARGE_ONLY"),$K622=""),"Declared delivery charge required",IF(AND(OR($S622="TOTAL_AMOUNT_INCLUDING_DELIVERY",$S622="EXACT_COLLECTION_AMOUNT"),$T622=""),"Stated total amount required",IF(AND($S622="TOTAL_AMOUNT_INCLUDING_DELIVERY",$T622&lt;SUM($J622,$U622)),"Stated total is below item price plus additional charge",IF($S622="EXACT_COLLECTION_AMOUNT","Authorized amount breakdown required before settlement","Ready for collection and settlement"))))))))))))</f>
        <v/>
      </c>
      <c r="AW622" s="23">
        <f>IF($AU622="","","PARCEL_FINANCIAL_V2")</f>
        <v/>
      </c>
      <c r="AX622" s="17" t="n"/>
    </row>
    <row r="623">
      <c r="A623" s="8" t="n"/>
      <c r="B623" s="8" t="n"/>
      <c r="C623" s="8" t="n"/>
      <c r="D623" s="8" t="n"/>
      <c r="E623" s="9" t="n"/>
      <c r="F623" s="9" t="n"/>
      <c r="G623" s="8" t="n"/>
      <c r="H623" s="9" t="n"/>
      <c r="I623" s="9" t="n"/>
      <c r="J623" s="10" t="n"/>
      <c r="K623" s="10" t="n"/>
      <c r="L623" s="11">
        <f>IF($S623="","",IF($S623="ITEM_PRICE_PLUS_DECLARED_DELIVERY",IF(OR($J623="",$K623=""),"",SUM($J623,$K623,$U623)),IF($S623="TOTAL_AMOUNT_INCLUDING_DELIVERY",IF($T623="","",$T623),IF($S623="DELIVERY_CHARGE_ONLY",IF($K623="","",SUM($K623,$U623)),IF($S623="EXACT_COLLECTION_AMOUNT",IF($T623="","",$T623),IF($S623="ITEM_PRICE_ONLY_DELIVERY_PAID_BY_MERCHANT",IF($J623="","",SUM($J623,$U623)),""))))))</f>
        <v/>
      </c>
      <c r="M623" s="12" t="n"/>
      <c r="N623" s="13" t="n"/>
      <c r="O623" s="13" t="n"/>
      <c r="P623" s="9" t="n"/>
      <c r="Q623" s="14" t="n"/>
      <c r="R623" s="15" t="n"/>
      <c r="S623" s="14" t="n"/>
      <c r="T623" s="16" t="n"/>
      <c r="U623" s="16" t="n"/>
      <c r="V623" s="16" t="n"/>
      <c r="W623" s="16" t="n"/>
      <c r="X623" s="16" t="n"/>
      <c r="Y623" s="16" t="n"/>
      <c r="Z623" s="14" t="n"/>
      <c r="AA623" s="14" t="n"/>
      <c r="AB623" s="14" t="n"/>
      <c r="AC623" s="17">
        <f>IFERROR(VLOOKUP($H623&amp;"|"&amp;$Q623,Tariff_Master!$A$2:$L$169,3,FALSE),"")</f>
        <v/>
      </c>
      <c r="AD623" s="17">
        <f>IFERROR(VLOOKUP($H623&amp;"|"&amp;$Q623,Tariff_Master!$A$2:$L$169,4,FALSE),"")</f>
        <v/>
      </c>
      <c r="AE623" s="18">
        <f>IFERROR(VLOOKUP($H623&amp;"|"&amp;$Q623,Tariff_Master!$A$2:$L$169,6,FALSE),"")</f>
        <v/>
      </c>
      <c r="AF623" s="19">
        <f>IFERROR(VLOOKUP($H623&amp;"|"&amp;$Q623,Tariff_Master!$A$2:$L$169,7,FALSE),"")</f>
        <v/>
      </c>
      <c r="AG623" s="18">
        <f>IFERROR(VLOOKUP($H623&amp;"|"&amp;$Q623,Tariff_Master!$A$2:$L$169,8,FALSE),"")</f>
        <v/>
      </c>
      <c r="AH623" s="20">
        <f>IFERROR(VLOOKUP($H623&amp;"|"&amp;$Q623,Tariff_Master!$A$2:$L$169,9,FALSE),"")</f>
        <v/>
      </c>
      <c r="AI623" s="18">
        <f>IFERROR(VLOOKUP($H623&amp;"|"&amp;$Q623,Tariff_Master!$A$2:$L$169,10,FALSE),"")</f>
        <v/>
      </c>
      <c r="AJ623" s="21">
        <f>IF($M623="","",ROUNDUP(MAX(0,$M623),0))</f>
        <v/>
      </c>
      <c r="AK623" s="21">
        <f>IF(OR($AJ623="",$AF623=""),"",MAX(0,$AJ623-$AF623))</f>
        <v/>
      </c>
      <c r="AL623" s="22">
        <f>IF(OR($AK623="",$AG623=""),"",MAX(0,$AK623*$AG623))</f>
        <v/>
      </c>
      <c r="AM623" s="22">
        <f>IF($AE623="","",MAX(0,SUM($AE623,$AL623,$V623,$W623)))</f>
        <v/>
      </c>
      <c r="AN623" s="22">
        <f>IF($AM623="","",IF(AND($Q623="COMMITMENT",$R623&gt;=$AH623),$AI623,0))</f>
        <v/>
      </c>
      <c r="AO623" s="23">
        <f>IF($AM623="","",MAX(0,$AM623-$AN623))</f>
        <v/>
      </c>
      <c r="AP623" s="22">
        <f>IF($S623="","",IF(OR($S623="ITEM_PRICE_PLUS_DECLARED_DELIVERY",$S623="DELIVERY_CHARGE_ONLY"),$K623,IF($S623="TOTAL_AMOUNT_INCLUDING_DELIVERY",IF(OR($T623="",$J623=""),"",MAX(0,$T623-$J623-$U623)),IF($S623="ITEM_PRICE_ONLY_DELIVERY_PAID_BY_MERCHANT",0,""))))</f>
        <v/>
      </c>
      <c r="AQ623" s="23">
        <f>IF(OR($AP623="",$AO623=""),"",$AP623-$AO623)</f>
        <v/>
      </c>
      <c r="AR623" s="24">
        <f>IF($S623="EXACT_COLLECTION_AMOUNT","BREAKDOWN_REQUIRED",IF($AQ623="","",IF($AQ623&gt;0,"CREDIT_TO_MERCHANT",IF($AQ623&lt;0,"DEDUCT_FROM_MERCHANT","NO_ADJUSTMENT"))))</f>
        <v/>
      </c>
      <c r="AS623" s="23">
        <f>IF(OR($AQ623="",$AR623="BREAKDOWN_REQUIRED"),"",$AQ623)</f>
        <v/>
      </c>
      <c r="AT623" s="23">
        <f>IF(OR($AR623="",$AR623="BREAKDOWN_REQUIRED"),"",SUM($J623,$AQ623,$Y623)-$X623)</f>
        <v/>
      </c>
      <c r="AU623" s="25">
        <f>IF(AND($A623="",$B623="",$F623="",$H623="",$J623="",$K623="",$M623="",$S623=""),"",IF(OR($H623="",$Q623="",$M623="",$S623=""),"ERROR",IF(OR($J623&lt;0,$K623&lt;0,$M623&lt;0,$T623&lt;0,$U623&lt;0,$V623&lt;0,$W623&lt;0,$X623&lt;0,$Y623&lt;0),"ERROR",IF($AE623="","ERROR",IF(AND(OR($S623="ITEM_PRICE_PLUS_DECLARED_DELIVERY",$S623="TOTAL_AMOUNT_INCLUDING_DELIVERY",$S623="ITEM_PRICE_ONLY_DELIVERY_PAID_BY_MERCHANT"),$J623=""),"ERROR",IF(AND(OR($S623="ITEM_PRICE_PLUS_DECLARED_DELIVERY",$S623="DELIVERY_CHARGE_ONLY"),$K623=""),"ERROR",IF(AND(OR($S623="TOTAL_AMOUNT_INCLUDING_DELIVERY",$S623="EXACT_COLLECTION_AMOUNT"),$T623=""),"ERROR",IF(AND($S623="TOTAL_AMOUNT_INCLUDING_DELIVERY",$T623&lt;SUM($J623,$U623)),"ERROR",IF($S623="EXACT_COLLECTION_AMOUNT","REVIEW","OK")))))))))</f>
        <v/>
      </c>
      <c r="AV623" s="25">
        <f>IF($AU623="","",IF($H623="","Township required",IF($Q623="","Customer tier required",IF($M623="","Weight required",IF($S623="","Amount entry type required",IF(OR($J623&lt;0,$K623&lt;0,$M623&lt;0,$T623&lt;0,$U623&lt;0,$V623&lt;0,$W623&lt;0,$X623&lt;0,$Y623&lt;0),"Negative amounts are not allowed",IF($AE623="","Tariff not found for township and tier",IF(AND(OR($S623="ITEM_PRICE_PLUS_DECLARED_DELIVERY",$S623="TOTAL_AMOUNT_INCLUDING_DELIVERY",$S623="ITEM_PRICE_ONLY_DELIVERY_PAID_BY_MERCHANT"),$J623=""),"Item price required for this amount type",IF(AND(OR($S623="ITEM_PRICE_PLUS_DECLARED_DELIVERY",$S623="DELIVERY_CHARGE_ONLY"),$K623=""),"Declared delivery charge required",IF(AND(OR($S623="TOTAL_AMOUNT_INCLUDING_DELIVERY",$S623="EXACT_COLLECTION_AMOUNT"),$T623=""),"Stated total amount required",IF(AND($S623="TOTAL_AMOUNT_INCLUDING_DELIVERY",$T623&lt;SUM($J623,$U623)),"Stated total is below item price plus additional charge",IF($S623="EXACT_COLLECTION_AMOUNT","Authorized amount breakdown required before settlement","Ready for collection and settlement"))))))))))))</f>
        <v/>
      </c>
      <c r="AW623" s="23">
        <f>IF($AU623="","","PARCEL_FINANCIAL_V2")</f>
        <v/>
      </c>
      <c r="AX623" s="17" t="n"/>
    </row>
    <row r="624">
      <c r="A624" s="8" t="n"/>
      <c r="B624" s="8" t="n"/>
      <c r="C624" s="8" t="n"/>
      <c r="D624" s="8" t="n"/>
      <c r="E624" s="9" t="n"/>
      <c r="F624" s="9" t="n"/>
      <c r="G624" s="8" t="n"/>
      <c r="H624" s="9" t="n"/>
      <c r="I624" s="9" t="n"/>
      <c r="J624" s="10" t="n"/>
      <c r="K624" s="10" t="n"/>
      <c r="L624" s="11">
        <f>IF($S624="","",IF($S624="ITEM_PRICE_PLUS_DECLARED_DELIVERY",IF(OR($J624="",$K624=""),"",SUM($J624,$K624,$U624)),IF($S624="TOTAL_AMOUNT_INCLUDING_DELIVERY",IF($T624="","",$T624),IF($S624="DELIVERY_CHARGE_ONLY",IF($K624="","",SUM($K624,$U624)),IF($S624="EXACT_COLLECTION_AMOUNT",IF($T624="","",$T624),IF($S624="ITEM_PRICE_ONLY_DELIVERY_PAID_BY_MERCHANT",IF($J624="","",SUM($J624,$U624)),""))))))</f>
        <v/>
      </c>
      <c r="M624" s="12" t="n"/>
      <c r="N624" s="13" t="n"/>
      <c r="O624" s="13" t="n"/>
      <c r="P624" s="9" t="n"/>
      <c r="Q624" s="14" t="n"/>
      <c r="R624" s="15" t="n"/>
      <c r="S624" s="14" t="n"/>
      <c r="T624" s="16" t="n"/>
      <c r="U624" s="16" t="n"/>
      <c r="V624" s="16" t="n"/>
      <c r="W624" s="16" t="n"/>
      <c r="X624" s="16" t="n"/>
      <c r="Y624" s="16" t="n"/>
      <c r="Z624" s="14" t="n"/>
      <c r="AA624" s="14" t="n"/>
      <c r="AB624" s="14" t="n"/>
      <c r="AC624" s="17">
        <f>IFERROR(VLOOKUP($H624&amp;"|"&amp;$Q624,Tariff_Master!$A$2:$L$169,3,FALSE),"")</f>
        <v/>
      </c>
      <c r="AD624" s="17">
        <f>IFERROR(VLOOKUP($H624&amp;"|"&amp;$Q624,Tariff_Master!$A$2:$L$169,4,FALSE),"")</f>
        <v/>
      </c>
      <c r="AE624" s="18">
        <f>IFERROR(VLOOKUP($H624&amp;"|"&amp;$Q624,Tariff_Master!$A$2:$L$169,6,FALSE),"")</f>
        <v/>
      </c>
      <c r="AF624" s="19">
        <f>IFERROR(VLOOKUP($H624&amp;"|"&amp;$Q624,Tariff_Master!$A$2:$L$169,7,FALSE),"")</f>
        <v/>
      </c>
      <c r="AG624" s="18">
        <f>IFERROR(VLOOKUP($H624&amp;"|"&amp;$Q624,Tariff_Master!$A$2:$L$169,8,FALSE),"")</f>
        <v/>
      </c>
      <c r="AH624" s="20">
        <f>IFERROR(VLOOKUP($H624&amp;"|"&amp;$Q624,Tariff_Master!$A$2:$L$169,9,FALSE),"")</f>
        <v/>
      </c>
      <c r="AI624" s="18">
        <f>IFERROR(VLOOKUP($H624&amp;"|"&amp;$Q624,Tariff_Master!$A$2:$L$169,10,FALSE),"")</f>
        <v/>
      </c>
      <c r="AJ624" s="21">
        <f>IF($M624="","",ROUNDUP(MAX(0,$M624),0))</f>
        <v/>
      </c>
      <c r="AK624" s="21">
        <f>IF(OR($AJ624="",$AF624=""),"",MAX(0,$AJ624-$AF624))</f>
        <v/>
      </c>
      <c r="AL624" s="22">
        <f>IF(OR($AK624="",$AG624=""),"",MAX(0,$AK624*$AG624))</f>
        <v/>
      </c>
      <c r="AM624" s="22">
        <f>IF($AE624="","",MAX(0,SUM($AE624,$AL624,$V624,$W624)))</f>
        <v/>
      </c>
      <c r="AN624" s="22">
        <f>IF($AM624="","",IF(AND($Q624="COMMITMENT",$R624&gt;=$AH624),$AI624,0))</f>
        <v/>
      </c>
      <c r="AO624" s="23">
        <f>IF($AM624="","",MAX(0,$AM624-$AN624))</f>
        <v/>
      </c>
      <c r="AP624" s="22">
        <f>IF($S624="","",IF(OR($S624="ITEM_PRICE_PLUS_DECLARED_DELIVERY",$S624="DELIVERY_CHARGE_ONLY"),$K624,IF($S624="TOTAL_AMOUNT_INCLUDING_DELIVERY",IF(OR($T624="",$J624=""),"",MAX(0,$T624-$J624-$U624)),IF($S624="ITEM_PRICE_ONLY_DELIVERY_PAID_BY_MERCHANT",0,""))))</f>
        <v/>
      </c>
      <c r="AQ624" s="23">
        <f>IF(OR($AP624="",$AO624=""),"",$AP624-$AO624)</f>
        <v/>
      </c>
      <c r="AR624" s="24">
        <f>IF($S624="EXACT_COLLECTION_AMOUNT","BREAKDOWN_REQUIRED",IF($AQ624="","",IF($AQ624&gt;0,"CREDIT_TO_MERCHANT",IF($AQ624&lt;0,"DEDUCT_FROM_MERCHANT","NO_ADJUSTMENT"))))</f>
        <v/>
      </c>
      <c r="AS624" s="23">
        <f>IF(OR($AQ624="",$AR624="BREAKDOWN_REQUIRED"),"",$AQ624)</f>
        <v/>
      </c>
      <c r="AT624" s="23">
        <f>IF(OR($AR624="",$AR624="BREAKDOWN_REQUIRED"),"",SUM($J624,$AQ624,$Y624)-$X624)</f>
        <v/>
      </c>
      <c r="AU624" s="25">
        <f>IF(AND($A624="",$B624="",$F624="",$H624="",$J624="",$K624="",$M624="",$S624=""),"",IF(OR($H624="",$Q624="",$M624="",$S624=""),"ERROR",IF(OR($J624&lt;0,$K624&lt;0,$M624&lt;0,$T624&lt;0,$U624&lt;0,$V624&lt;0,$W624&lt;0,$X624&lt;0,$Y624&lt;0),"ERROR",IF($AE624="","ERROR",IF(AND(OR($S624="ITEM_PRICE_PLUS_DECLARED_DELIVERY",$S624="TOTAL_AMOUNT_INCLUDING_DELIVERY",$S624="ITEM_PRICE_ONLY_DELIVERY_PAID_BY_MERCHANT"),$J624=""),"ERROR",IF(AND(OR($S624="ITEM_PRICE_PLUS_DECLARED_DELIVERY",$S624="DELIVERY_CHARGE_ONLY"),$K624=""),"ERROR",IF(AND(OR($S624="TOTAL_AMOUNT_INCLUDING_DELIVERY",$S624="EXACT_COLLECTION_AMOUNT"),$T624=""),"ERROR",IF(AND($S624="TOTAL_AMOUNT_INCLUDING_DELIVERY",$T624&lt;SUM($J624,$U624)),"ERROR",IF($S624="EXACT_COLLECTION_AMOUNT","REVIEW","OK")))))))))</f>
        <v/>
      </c>
      <c r="AV624" s="25">
        <f>IF($AU624="","",IF($H624="","Township required",IF($Q624="","Customer tier required",IF($M624="","Weight required",IF($S624="","Amount entry type required",IF(OR($J624&lt;0,$K624&lt;0,$M624&lt;0,$T624&lt;0,$U624&lt;0,$V624&lt;0,$W624&lt;0,$X624&lt;0,$Y624&lt;0),"Negative amounts are not allowed",IF($AE624="","Tariff not found for township and tier",IF(AND(OR($S624="ITEM_PRICE_PLUS_DECLARED_DELIVERY",$S624="TOTAL_AMOUNT_INCLUDING_DELIVERY",$S624="ITEM_PRICE_ONLY_DELIVERY_PAID_BY_MERCHANT"),$J624=""),"Item price required for this amount type",IF(AND(OR($S624="ITEM_PRICE_PLUS_DECLARED_DELIVERY",$S624="DELIVERY_CHARGE_ONLY"),$K624=""),"Declared delivery charge required",IF(AND(OR($S624="TOTAL_AMOUNT_INCLUDING_DELIVERY",$S624="EXACT_COLLECTION_AMOUNT"),$T624=""),"Stated total amount required",IF(AND($S624="TOTAL_AMOUNT_INCLUDING_DELIVERY",$T624&lt;SUM($J624,$U624)),"Stated total is below item price plus additional charge",IF($S624="EXACT_COLLECTION_AMOUNT","Authorized amount breakdown required before settlement","Ready for collection and settlement"))))))))))))</f>
        <v/>
      </c>
      <c r="AW624" s="23">
        <f>IF($AU624="","","PARCEL_FINANCIAL_V2")</f>
        <v/>
      </c>
      <c r="AX624" s="17" t="n"/>
    </row>
    <row r="625">
      <c r="A625" s="8" t="n"/>
      <c r="B625" s="8" t="n"/>
      <c r="C625" s="8" t="n"/>
      <c r="D625" s="8" t="n"/>
      <c r="E625" s="9" t="n"/>
      <c r="F625" s="9" t="n"/>
      <c r="G625" s="8" t="n"/>
      <c r="H625" s="9" t="n"/>
      <c r="I625" s="9" t="n"/>
      <c r="J625" s="10" t="n"/>
      <c r="K625" s="10" t="n"/>
      <c r="L625" s="11">
        <f>IF($S625="","",IF($S625="ITEM_PRICE_PLUS_DECLARED_DELIVERY",IF(OR($J625="",$K625=""),"",SUM($J625,$K625,$U625)),IF($S625="TOTAL_AMOUNT_INCLUDING_DELIVERY",IF($T625="","",$T625),IF($S625="DELIVERY_CHARGE_ONLY",IF($K625="","",SUM($K625,$U625)),IF($S625="EXACT_COLLECTION_AMOUNT",IF($T625="","",$T625),IF($S625="ITEM_PRICE_ONLY_DELIVERY_PAID_BY_MERCHANT",IF($J625="","",SUM($J625,$U625)),""))))))</f>
        <v/>
      </c>
      <c r="M625" s="12" t="n"/>
      <c r="N625" s="13" t="n"/>
      <c r="O625" s="13" t="n"/>
      <c r="P625" s="9" t="n"/>
      <c r="Q625" s="14" t="n"/>
      <c r="R625" s="15" t="n"/>
      <c r="S625" s="14" t="n"/>
      <c r="T625" s="16" t="n"/>
      <c r="U625" s="16" t="n"/>
      <c r="V625" s="16" t="n"/>
      <c r="W625" s="16" t="n"/>
      <c r="X625" s="16" t="n"/>
      <c r="Y625" s="16" t="n"/>
      <c r="Z625" s="14" t="n"/>
      <c r="AA625" s="14" t="n"/>
      <c r="AB625" s="14" t="n"/>
      <c r="AC625" s="17">
        <f>IFERROR(VLOOKUP($H625&amp;"|"&amp;$Q625,Tariff_Master!$A$2:$L$169,3,FALSE),"")</f>
        <v/>
      </c>
      <c r="AD625" s="17">
        <f>IFERROR(VLOOKUP($H625&amp;"|"&amp;$Q625,Tariff_Master!$A$2:$L$169,4,FALSE),"")</f>
        <v/>
      </c>
      <c r="AE625" s="18">
        <f>IFERROR(VLOOKUP($H625&amp;"|"&amp;$Q625,Tariff_Master!$A$2:$L$169,6,FALSE),"")</f>
        <v/>
      </c>
      <c r="AF625" s="19">
        <f>IFERROR(VLOOKUP($H625&amp;"|"&amp;$Q625,Tariff_Master!$A$2:$L$169,7,FALSE),"")</f>
        <v/>
      </c>
      <c r="AG625" s="18">
        <f>IFERROR(VLOOKUP($H625&amp;"|"&amp;$Q625,Tariff_Master!$A$2:$L$169,8,FALSE),"")</f>
        <v/>
      </c>
      <c r="AH625" s="20">
        <f>IFERROR(VLOOKUP($H625&amp;"|"&amp;$Q625,Tariff_Master!$A$2:$L$169,9,FALSE),"")</f>
        <v/>
      </c>
      <c r="AI625" s="18">
        <f>IFERROR(VLOOKUP($H625&amp;"|"&amp;$Q625,Tariff_Master!$A$2:$L$169,10,FALSE),"")</f>
        <v/>
      </c>
      <c r="AJ625" s="21">
        <f>IF($M625="","",ROUNDUP(MAX(0,$M625),0))</f>
        <v/>
      </c>
      <c r="AK625" s="21">
        <f>IF(OR($AJ625="",$AF625=""),"",MAX(0,$AJ625-$AF625))</f>
        <v/>
      </c>
      <c r="AL625" s="22">
        <f>IF(OR($AK625="",$AG625=""),"",MAX(0,$AK625*$AG625))</f>
        <v/>
      </c>
      <c r="AM625" s="22">
        <f>IF($AE625="","",MAX(0,SUM($AE625,$AL625,$V625,$W625)))</f>
        <v/>
      </c>
      <c r="AN625" s="22">
        <f>IF($AM625="","",IF(AND($Q625="COMMITMENT",$R625&gt;=$AH625),$AI625,0))</f>
        <v/>
      </c>
      <c r="AO625" s="23">
        <f>IF($AM625="","",MAX(0,$AM625-$AN625))</f>
        <v/>
      </c>
      <c r="AP625" s="22">
        <f>IF($S625="","",IF(OR($S625="ITEM_PRICE_PLUS_DECLARED_DELIVERY",$S625="DELIVERY_CHARGE_ONLY"),$K625,IF($S625="TOTAL_AMOUNT_INCLUDING_DELIVERY",IF(OR($T625="",$J625=""),"",MAX(0,$T625-$J625-$U625)),IF($S625="ITEM_PRICE_ONLY_DELIVERY_PAID_BY_MERCHANT",0,""))))</f>
        <v/>
      </c>
      <c r="AQ625" s="23">
        <f>IF(OR($AP625="",$AO625=""),"",$AP625-$AO625)</f>
        <v/>
      </c>
      <c r="AR625" s="24">
        <f>IF($S625="EXACT_COLLECTION_AMOUNT","BREAKDOWN_REQUIRED",IF($AQ625="","",IF($AQ625&gt;0,"CREDIT_TO_MERCHANT",IF($AQ625&lt;0,"DEDUCT_FROM_MERCHANT","NO_ADJUSTMENT"))))</f>
        <v/>
      </c>
      <c r="AS625" s="23">
        <f>IF(OR($AQ625="",$AR625="BREAKDOWN_REQUIRED"),"",$AQ625)</f>
        <v/>
      </c>
      <c r="AT625" s="23">
        <f>IF(OR($AR625="",$AR625="BREAKDOWN_REQUIRED"),"",SUM($J625,$AQ625,$Y625)-$X625)</f>
        <v/>
      </c>
      <c r="AU625" s="25">
        <f>IF(AND($A625="",$B625="",$F625="",$H625="",$J625="",$K625="",$M625="",$S625=""),"",IF(OR($H625="",$Q625="",$M625="",$S625=""),"ERROR",IF(OR($J625&lt;0,$K625&lt;0,$M625&lt;0,$T625&lt;0,$U625&lt;0,$V625&lt;0,$W625&lt;0,$X625&lt;0,$Y625&lt;0),"ERROR",IF($AE625="","ERROR",IF(AND(OR($S625="ITEM_PRICE_PLUS_DECLARED_DELIVERY",$S625="TOTAL_AMOUNT_INCLUDING_DELIVERY",$S625="ITEM_PRICE_ONLY_DELIVERY_PAID_BY_MERCHANT"),$J625=""),"ERROR",IF(AND(OR($S625="ITEM_PRICE_PLUS_DECLARED_DELIVERY",$S625="DELIVERY_CHARGE_ONLY"),$K625=""),"ERROR",IF(AND(OR($S625="TOTAL_AMOUNT_INCLUDING_DELIVERY",$S625="EXACT_COLLECTION_AMOUNT"),$T625=""),"ERROR",IF(AND($S625="TOTAL_AMOUNT_INCLUDING_DELIVERY",$T625&lt;SUM($J625,$U625)),"ERROR",IF($S625="EXACT_COLLECTION_AMOUNT","REVIEW","OK")))))))))</f>
        <v/>
      </c>
      <c r="AV625" s="25">
        <f>IF($AU625="","",IF($H625="","Township required",IF($Q625="","Customer tier required",IF($M625="","Weight required",IF($S625="","Amount entry type required",IF(OR($J625&lt;0,$K625&lt;0,$M625&lt;0,$T625&lt;0,$U625&lt;0,$V625&lt;0,$W625&lt;0,$X625&lt;0,$Y625&lt;0),"Negative amounts are not allowed",IF($AE625="","Tariff not found for township and tier",IF(AND(OR($S625="ITEM_PRICE_PLUS_DECLARED_DELIVERY",$S625="TOTAL_AMOUNT_INCLUDING_DELIVERY",$S625="ITEM_PRICE_ONLY_DELIVERY_PAID_BY_MERCHANT"),$J625=""),"Item price required for this amount type",IF(AND(OR($S625="ITEM_PRICE_PLUS_DECLARED_DELIVERY",$S625="DELIVERY_CHARGE_ONLY"),$K625=""),"Declared delivery charge required",IF(AND(OR($S625="TOTAL_AMOUNT_INCLUDING_DELIVERY",$S625="EXACT_COLLECTION_AMOUNT"),$T625=""),"Stated total amount required",IF(AND($S625="TOTAL_AMOUNT_INCLUDING_DELIVERY",$T625&lt;SUM($J625,$U625)),"Stated total is below item price plus additional charge",IF($S625="EXACT_COLLECTION_AMOUNT","Authorized amount breakdown required before settlement","Ready for collection and settlement"))))))))))))</f>
        <v/>
      </c>
      <c r="AW625" s="23">
        <f>IF($AU625="","","PARCEL_FINANCIAL_V2")</f>
        <v/>
      </c>
      <c r="AX625" s="17" t="n"/>
    </row>
    <row r="626">
      <c r="A626" s="8" t="n"/>
      <c r="B626" s="8" t="n"/>
      <c r="C626" s="8" t="n"/>
      <c r="D626" s="8" t="n"/>
      <c r="E626" s="9" t="n"/>
      <c r="F626" s="9" t="n"/>
      <c r="G626" s="8" t="n"/>
      <c r="H626" s="9" t="n"/>
      <c r="I626" s="9" t="n"/>
      <c r="J626" s="10" t="n"/>
      <c r="K626" s="10" t="n"/>
      <c r="L626" s="11">
        <f>IF($S626="","",IF($S626="ITEM_PRICE_PLUS_DECLARED_DELIVERY",IF(OR($J626="",$K626=""),"",SUM($J626,$K626,$U626)),IF($S626="TOTAL_AMOUNT_INCLUDING_DELIVERY",IF($T626="","",$T626),IF($S626="DELIVERY_CHARGE_ONLY",IF($K626="","",SUM($K626,$U626)),IF($S626="EXACT_COLLECTION_AMOUNT",IF($T626="","",$T626),IF($S626="ITEM_PRICE_ONLY_DELIVERY_PAID_BY_MERCHANT",IF($J626="","",SUM($J626,$U626)),""))))))</f>
        <v/>
      </c>
      <c r="M626" s="12" t="n"/>
      <c r="N626" s="13" t="n"/>
      <c r="O626" s="13" t="n"/>
      <c r="P626" s="9" t="n"/>
      <c r="Q626" s="14" t="n"/>
      <c r="R626" s="15" t="n"/>
      <c r="S626" s="14" t="n"/>
      <c r="T626" s="16" t="n"/>
      <c r="U626" s="16" t="n"/>
      <c r="V626" s="16" t="n"/>
      <c r="W626" s="16" t="n"/>
      <c r="X626" s="16" t="n"/>
      <c r="Y626" s="16" t="n"/>
      <c r="Z626" s="14" t="n"/>
      <c r="AA626" s="14" t="n"/>
      <c r="AB626" s="14" t="n"/>
      <c r="AC626" s="17">
        <f>IFERROR(VLOOKUP($H626&amp;"|"&amp;$Q626,Tariff_Master!$A$2:$L$169,3,FALSE),"")</f>
        <v/>
      </c>
      <c r="AD626" s="17">
        <f>IFERROR(VLOOKUP($H626&amp;"|"&amp;$Q626,Tariff_Master!$A$2:$L$169,4,FALSE),"")</f>
        <v/>
      </c>
      <c r="AE626" s="18">
        <f>IFERROR(VLOOKUP($H626&amp;"|"&amp;$Q626,Tariff_Master!$A$2:$L$169,6,FALSE),"")</f>
        <v/>
      </c>
      <c r="AF626" s="19">
        <f>IFERROR(VLOOKUP($H626&amp;"|"&amp;$Q626,Tariff_Master!$A$2:$L$169,7,FALSE),"")</f>
        <v/>
      </c>
      <c r="AG626" s="18">
        <f>IFERROR(VLOOKUP($H626&amp;"|"&amp;$Q626,Tariff_Master!$A$2:$L$169,8,FALSE),"")</f>
        <v/>
      </c>
      <c r="AH626" s="20">
        <f>IFERROR(VLOOKUP($H626&amp;"|"&amp;$Q626,Tariff_Master!$A$2:$L$169,9,FALSE),"")</f>
        <v/>
      </c>
      <c r="AI626" s="18">
        <f>IFERROR(VLOOKUP($H626&amp;"|"&amp;$Q626,Tariff_Master!$A$2:$L$169,10,FALSE),"")</f>
        <v/>
      </c>
      <c r="AJ626" s="21">
        <f>IF($M626="","",ROUNDUP(MAX(0,$M626),0))</f>
        <v/>
      </c>
      <c r="AK626" s="21">
        <f>IF(OR($AJ626="",$AF626=""),"",MAX(0,$AJ626-$AF626))</f>
        <v/>
      </c>
      <c r="AL626" s="22">
        <f>IF(OR($AK626="",$AG626=""),"",MAX(0,$AK626*$AG626))</f>
        <v/>
      </c>
      <c r="AM626" s="22">
        <f>IF($AE626="","",MAX(0,SUM($AE626,$AL626,$V626,$W626)))</f>
        <v/>
      </c>
      <c r="AN626" s="22">
        <f>IF($AM626="","",IF(AND($Q626="COMMITMENT",$R626&gt;=$AH626),$AI626,0))</f>
        <v/>
      </c>
      <c r="AO626" s="23">
        <f>IF($AM626="","",MAX(0,$AM626-$AN626))</f>
        <v/>
      </c>
      <c r="AP626" s="22">
        <f>IF($S626="","",IF(OR($S626="ITEM_PRICE_PLUS_DECLARED_DELIVERY",$S626="DELIVERY_CHARGE_ONLY"),$K626,IF($S626="TOTAL_AMOUNT_INCLUDING_DELIVERY",IF(OR($T626="",$J626=""),"",MAX(0,$T626-$J626-$U626)),IF($S626="ITEM_PRICE_ONLY_DELIVERY_PAID_BY_MERCHANT",0,""))))</f>
        <v/>
      </c>
      <c r="AQ626" s="23">
        <f>IF(OR($AP626="",$AO626=""),"",$AP626-$AO626)</f>
        <v/>
      </c>
      <c r="AR626" s="24">
        <f>IF($S626="EXACT_COLLECTION_AMOUNT","BREAKDOWN_REQUIRED",IF($AQ626="","",IF($AQ626&gt;0,"CREDIT_TO_MERCHANT",IF($AQ626&lt;0,"DEDUCT_FROM_MERCHANT","NO_ADJUSTMENT"))))</f>
        <v/>
      </c>
      <c r="AS626" s="23">
        <f>IF(OR($AQ626="",$AR626="BREAKDOWN_REQUIRED"),"",$AQ626)</f>
        <v/>
      </c>
      <c r="AT626" s="23">
        <f>IF(OR($AR626="",$AR626="BREAKDOWN_REQUIRED"),"",SUM($J626,$AQ626,$Y626)-$X626)</f>
        <v/>
      </c>
      <c r="AU626" s="25">
        <f>IF(AND($A626="",$B626="",$F626="",$H626="",$J626="",$K626="",$M626="",$S626=""),"",IF(OR($H626="",$Q626="",$M626="",$S626=""),"ERROR",IF(OR($J626&lt;0,$K626&lt;0,$M626&lt;0,$T626&lt;0,$U626&lt;0,$V626&lt;0,$W626&lt;0,$X626&lt;0,$Y626&lt;0),"ERROR",IF($AE626="","ERROR",IF(AND(OR($S626="ITEM_PRICE_PLUS_DECLARED_DELIVERY",$S626="TOTAL_AMOUNT_INCLUDING_DELIVERY",$S626="ITEM_PRICE_ONLY_DELIVERY_PAID_BY_MERCHANT"),$J626=""),"ERROR",IF(AND(OR($S626="ITEM_PRICE_PLUS_DECLARED_DELIVERY",$S626="DELIVERY_CHARGE_ONLY"),$K626=""),"ERROR",IF(AND(OR($S626="TOTAL_AMOUNT_INCLUDING_DELIVERY",$S626="EXACT_COLLECTION_AMOUNT"),$T626=""),"ERROR",IF(AND($S626="TOTAL_AMOUNT_INCLUDING_DELIVERY",$T626&lt;SUM($J626,$U626)),"ERROR",IF($S626="EXACT_COLLECTION_AMOUNT","REVIEW","OK")))))))))</f>
        <v/>
      </c>
      <c r="AV626" s="25">
        <f>IF($AU626="","",IF($H626="","Township required",IF($Q626="","Customer tier required",IF($M626="","Weight required",IF($S626="","Amount entry type required",IF(OR($J626&lt;0,$K626&lt;0,$M626&lt;0,$T626&lt;0,$U626&lt;0,$V626&lt;0,$W626&lt;0,$X626&lt;0,$Y626&lt;0),"Negative amounts are not allowed",IF($AE626="","Tariff not found for township and tier",IF(AND(OR($S626="ITEM_PRICE_PLUS_DECLARED_DELIVERY",$S626="TOTAL_AMOUNT_INCLUDING_DELIVERY",$S626="ITEM_PRICE_ONLY_DELIVERY_PAID_BY_MERCHANT"),$J626=""),"Item price required for this amount type",IF(AND(OR($S626="ITEM_PRICE_PLUS_DECLARED_DELIVERY",$S626="DELIVERY_CHARGE_ONLY"),$K626=""),"Declared delivery charge required",IF(AND(OR($S626="TOTAL_AMOUNT_INCLUDING_DELIVERY",$S626="EXACT_COLLECTION_AMOUNT"),$T626=""),"Stated total amount required",IF(AND($S626="TOTAL_AMOUNT_INCLUDING_DELIVERY",$T626&lt;SUM($J626,$U626)),"Stated total is below item price plus additional charge",IF($S626="EXACT_COLLECTION_AMOUNT","Authorized amount breakdown required before settlement","Ready for collection and settlement"))))))))))))</f>
        <v/>
      </c>
      <c r="AW626" s="23">
        <f>IF($AU626="","","PARCEL_FINANCIAL_V2")</f>
        <v/>
      </c>
      <c r="AX626" s="17" t="n"/>
    </row>
    <row r="627">
      <c r="A627" s="8" t="n"/>
      <c r="B627" s="8" t="n"/>
      <c r="C627" s="8" t="n"/>
      <c r="D627" s="8" t="n"/>
      <c r="E627" s="9" t="n"/>
      <c r="F627" s="9" t="n"/>
      <c r="G627" s="8" t="n"/>
      <c r="H627" s="9" t="n"/>
      <c r="I627" s="9" t="n"/>
      <c r="J627" s="10" t="n"/>
      <c r="K627" s="10" t="n"/>
      <c r="L627" s="11">
        <f>IF($S627="","",IF($S627="ITEM_PRICE_PLUS_DECLARED_DELIVERY",IF(OR($J627="",$K627=""),"",SUM($J627,$K627,$U627)),IF($S627="TOTAL_AMOUNT_INCLUDING_DELIVERY",IF($T627="","",$T627),IF($S627="DELIVERY_CHARGE_ONLY",IF($K627="","",SUM($K627,$U627)),IF($S627="EXACT_COLLECTION_AMOUNT",IF($T627="","",$T627),IF($S627="ITEM_PRICE_ONLY_DELIVERY_PAID_BY_MERCHANT",IF($J627="","",SUM($J627,$U627)),""))))))</f>
        <v/>
      </c>
      <c r="M627" s="12" t="n"/>
      <c r="N627" s="13" t="n"/>
      <c r="O627" s="13" t="n"/>
      <c r="P627" s="9" t="n"/>
      <c r="Q627" s="14" t="n"/>
      <c r="R627" s="15" t="n"/>
      <c r="S627" s="14" t="n"/>
      <c r="T627" s="16" t="n"/>
      <c r="U627" s="16" t="n"/>
      <c r="V627" s="16" t="n"/>
      <c r="W627" s="16" t="n"/>
      <c r="X627" s="16" t="n"/>
      <c r="Y627" s="16" t="n"/>
      <c r="Z627" s="14" t="n"/>
      <c r="AA627" s="14" t="n"/>
      <c r="AB627" s="14" t="n"/>
      <c r="AC627" s="17">
        <f>IFERROR(VLOOKUP($H627&amp;"|"&amp;$Q627,Tariff_Master!$A$2:$L$169,3,FALSE),"")</f>
        <v/>
      </c>
      <c r="AD627" s="17">
        <f>IFERROR(VLOOKUP($H627&amp;"|"&amp;$Q627,Tariff_Master!$A$2:$L$169,4,FALSE),"")</f>
        <v/>
      </c>
      <c r="AE627" s="18">
        <f>IFERROR(VLOOKUP($H627&amp;"|"&amp;$Q627,Tariff_Master!$A$2:$L$169,6,FALSE),"")</f>
        <v/>
      </c>
      <c r="AF627" s="19">
        <f>IFERROR(VLOOKUP($H627&amp;"|"&amp;$Q627,Tariff_Master!$A$2:$L$169,7,FALSE),"")</f>
        <v/>
      </c>
      <c r="AG627" s="18">
        <f>IFERROR(VLOOKUP($H627&amp;"|"&amp;$Q627,Tariff_Master!$A$2:$L$169,8,FALSE),"")</f>
        <v/>
      </c>
      <c r="AH627" s="20">
        <f>IFERROR(VLOOKUP($H627&amp;"|"&amp;$Q627,Tariff_Master!$A$2:$L$169,9,FALSE),"")</f>
        <v/>
      </c>
      <c r="AI627" s="18">
        <f>IFERROR(VLOOKUP($H627&amp;"|"&amp;$Q627,Tariff_Master!$A$2:$L$169,10,FALSE),"")</f>
        <v/>
      </c>
      <c r="AJ627" s="21">
        <f>IF($M627="","",ROUNDUP(MAX(0,$M627),0))</f>
        <v/>
      </c>
      <c r="AK627" s="21">
        <f>IF(OR($AJ627="",$AF627=""),"",MAX(0,$AJ627-$AF627))</f>
        <v/>
      </c>
      <c r="AL627" s="22">
        <f>IF(OR($AK627="",$AG627=""),"",MAX(0,$AK627*$AG627))</f>
        <v/>
      </c>
      <c r="AM627" s="22">
        <f>IF($AE627="","",MAX(0,SUM($AE627,$AL627,$V627,$W627)))</f>
        <v/>
      </c>
      <c r="AN627" s="22">
        <f>IF($AM627="","",IF(AND($Q627="COMMITMENT",$R627&gt;=$AH627),$AI627,0))</f>
        <v/>
      </c>
      <c r="AO627" s="23">
        <f>IF($AM627="","",MAX(0,$AM627-$AN627))</f>
        <v/>
      </c>
      <c r="AP627" s="22">
        <f>IF($S627="","",IF(OR($S627="ITEM_PRICE_PLUS_DECLARED_DELIVERY",$S627="DELIVERY_CHARGE_ONLY"),$K627,IF($S627="TOTAL_AMOUNT_INCLUDING_DELIVERY",IF(OR($T627="",$J627=""),"",MAX(0,$T627-$J627-$U627)),IF($S627="ITEM_PRICE_ONLY_DELIVERY_PAID_BY_MERCHANT",0,""))))</f>
        <v/>
      </c>
      <c r="AQ627" s="23">
        <f>IF(OR($AP627="",$AO627=""),"",$AP627-$AO627)</f>
        <v/>
      </c>
      <c r="AR627" s="24">
        <f>IF($S627="EXACT_COLLECTION_AMOUNT","BREAKDOWN_REQUIRED",IF($AQ627="","",IF($AQ627&gt;0,"CREDIT_TO_MERCHANT",IF($AQ627&lt;0,"DEDUCT_FROM_MERCHANT","NO_ADJUSTMENT"))))</f>
        <v/>
      </c>
      <c r="AS627" s="23">
        <f>IF(OR($AQ627="",$AR627="BREAKDOWN_REQUIRED"),"",$AQ627)</f>
        <v/>
      </c>
      <c r="AT627" s="23">
        <f>IF(OR($AR627="",$AR627="BREAKDOWN_REQUIRED"),"",SUM($J627,$AQ627,$Y627)-$X627)</f>
        <v/>
      </c>
      <c r="AU627" s="25">
        <f>IF(AND($A627="",$B627="",$F627="",$H627="",$J627="",$K627="",$M627="",$S627=""),"",IF(OR($H627="",$Q627="",$M627="",$S627=""),"ERROR",IF(OR($J627&lt;0,$K627&lt;0,$M627&lt;0,$T627&lt;0,$U627&lt;0,$V627&lt;0,$W627&lt;0,$X627&lt;0,$Y627&lt;0),"ERROR",IF($AE627="","ERROR",IF(AND(OR($S627="ITEM_PRICE_PLUS_DECLARED_DELIVERY",$S627="TOTAL_AMOUNT_INCLUDING_DELIVERY",$S627="ITEM_PRICE_ONLY_DELIVERY_PAID_BY_MERCHANT"),$J627=""),"ERROR",IF(AND(OR($S627="ITEM_PRICE_PLUS_DECLARED_DELIVERY",$S627="DELIVERY_CHARGE_ONLY"),$K627=""),"ERROR",IF(AND(OR($S627="TOTAL_AMOUNT_INCLUDING_DELIVERY",$S627="EXACT_COLLECTION_AMOUNT"),$T627=""),"ERROR",IF(AND($S627="TOTAL_AMOUNT_INCLUDING_DELIVERY",$T627&lt;SUM($J627,$U627)),"ERROR",IF($S627="EXACT_COLLECTION_AMOUNT","REVIEW","OK")))))))))</f>
        <v/>
      </c>
      <c r="AV627" s="25">
        <f>IF($AU627="","",IF($H627="","Township required",IF($Q627="","Customer tier required",IF($M627="","Weight required",IF($S627="","Amount entry type required",IF(OR($J627&lt;0,$K627&lt;0,$M627&lt;0,$T627&lt;0,$U627&lt;0,$V627&lt;0,$W627&lt;0,$X627&lt;0,$Y627&lt;0),"Negative amounts are not allowed",IF($AE627="","Tariff not found for township and tier",IF(AND(OR($S627="ITEM_PRICE_PLUS_DECLARED_DELIVERY",$S627="TOTAL_AMOUNT_INCLUDING_DELIVERY",$S627="ITEM_PRICE_ONLY_DELIVERY_PAID_BY_MERCHANT"),$J627=""),"Item price required for this amount type",IF(AND(OR($S627="ITEM_PRICE_PLUS_DECLARED_DELIVERY",$S627="DELIVERY_CHARGE_ONLY"),$K627=""),"Declared delivery charge required",IF(AND(OR($S627="TOTAL_AMOUNT_INCLUDING_DELIVERY",$S627="EXACT_COLLECTION_AMOUNT"),$T627=""),"Stated total amount required",IF(AND($S627="TOTAL_AMOUNT_INCLUDING_DELIVERY",$T627&lt;SUM($J627,$U627)),"Stated total is below item price plus additional charge",IF($S627="EXACT_COLLECTION_AMOUNT","Authorized amount breakdown required before settlement","Ready for collection and settlement"))))))))))))</f>
        <v/>
      </c>
      <c r="AW627" s="23">
        <f>IF($AU627="","","PARCEL_FINANCIAL_V2")</f>
        <v/>
      </c>
      <c r="AX627" s="17" t="n"/>
    </row>
    <row r="628">
      <c r="A628" s="8" t="n"/>
      <c r="B628" s="8" t="n"/>
      <c r="C628" s="8" t="n"/>
      <c r="D628" s="8" t="n"/>
      <c r="E628" s="9" t="n"/>
      <c r="F628" s="9" t="n"/>
      <c r="G628" s="8" t="n"/>
      <c r="H628" s="9" t="n"/>
      <c r="I628" s="9" t="n"/>
      <c r="J628" s="10" t="n"/>
      <c r="K628" s="10" t="n"/>
      <c r="L628" s="11">
        <f>IF($S628="","",IF($S628="ITEM_PRICE_PLUS_DECLARED_DELIVERY",IF(OR($J628="",$K628=""),"",SUM($J628,$K628,$U628)),IF($S628="TOTAL_AMOUNT_INCLUDING_DELIVERY",IF($T628="","",$T628),IF($S628="DELIVERY_CHARGE_ONLY",IF($K628="","",SUM($K628,$U628)),IF($S628="EXACT_COLLECTION_AMOUNT",IF($T628="","",$T628),IF($S628="ITEM_PRICE_ONLY_DELIVERY_PAID_BY_MERCHANT",IF($J628="","",SUM($J628,$U628)),""))))))</f>
        <v/>
      </c>
      <c r="M628" s="12" t="n"/>
      <c r="N628" s="13" t="n"/>
      <c r="O628" s="13" t="n"/>
      <c r="P628" s="9" t="n"/>
      <c r="Q628" s="14" t="n"/>
      <c r="R628" s="15" t="n"/>
      <c r="S628" s="14" t="n"/>
      <c r="T628" s="16" t="n"/>
      <c r="U628" s="16" t="n"/>
      <c r="V628" s="16" t="n"/>
      <c r="W628" s="16" t="n"/>
      <c r="X628" s="16" t="n"/>
      <c r="Y628" s="16" t="n"/>
      <c r="Z628" s="14" t="n"/>
      <c r="AA628" s="14" t="n"/>
      <c r="AB628" s="14" t="n"/>
      <c r="AC628" s="17">
        <f>IFERROR(VLOOKUP($H628&amp;"|"&amp;$Q628,Tariff_Master!$A$2:$L$169,3,FALSE),"")</f>
        <v/>
      </c>
      <c r="AD628" s="17">
        <f>IFERROR(VLOOKUP($H628&amp;"|"&amp;$Q628,Tariff_Master!$A$2:$L$169,4,FALSE),"")</f>
        <v/>
      </c>
      <c r="AE628" s="18">
        <f>IFERROR(VLOOKUP($H628&amp;"|"&amp;$Q628,Tariff_Master!$A$2:$L$169,6,FALSE),"")</f>
        <v/>
      </c>
      <c r="AF628" s="19">
        <f>IFERROR(VLOOKUP($H628&amp;"|"&amp;$Q628,Tariff_Master!$A$2:$L$169,7,FALSE),"")</f>
        <v/>
      </c>
      <c r="AG628" s="18">
        <f>IFERROR(VLOOKUP($H628&amp;"|"&amp;$Q628,Tariff_Master!$A$2:$L$169,8,FALSE),"")</f>
        <v/>
      </c>
      <c r="AH628" s="20">
        <f>IFERROR(VLOOKUP($H628&amp;"|"&amp;$Q628,Tariff_Master!$A$2:$L$169,9,FALSE),"")</f>
        <v/>
      </c>
      <c r="AI628" s="18">
        <f>IFERROR(VLOOKUP($H628&amp;"|"&amp;$Q628,Tariff_Master!$A$2:$L$169,10,FALSE),"")</f>
        <v/>
      </c>
      <c r="AJ628" s="21">
        <f>IF($M628="","",ROUNDUP(MAX(0,$M628),0))</f>
        <v/>
      </c>
      <c r="AK628" s="21">
        <f>IF(OR($AJ628="",$AF628=""),"",MAX(0,$AJ628-$AF628))</f>
        <v/>
      </c>
      <c r="AL628" s="22">
        <f>IF(OR($AK628="",$AG628=""),"",MAX(0,$AK628*$AG628))</f>
        <v/>
      </c>
      <c r="AM628" s="22">
        <f>IF($AE628="","",MAX(0,SUM($AE628,$AL628,$V628,$W628)))</f>
        <v/>
      </c>
      <c r="AN628" s="22">
        <f>IF($AM628="","",IF(AND($Q628="COMMITMENT",$R628&gt;=$AH628),$AI628,0))</f>
        <v/>
      </c>
      <c r="AO628" s="23">
        <f>IF($AM628="","",MAX(0,$AM628-$AN628))</f>
        <v/>
      </c>
      <c r="AP628" s="22">
        <f>IF($S628="","",IF(OR($S628="ITEM_PRICE_PLUS_DECLARED_DELIVERY",$S628="DELIVERY_CHARGE_ONLY"),$K628,IF($S628="TOTAL_AMOUNT_INCLUDING_DELIVERY",IF(OR($T628="",$J628=""),"",MAX(0,$T628-$J628-$U628)),IF($S628="ITEM_PRICE_ONLY_DELIVERY_PAID_BY_MERCHANT",0,""))))</f>
        <v/>
      </c>
      <c r="AQ628" s="23">
        <f>IF(OR($AP628="",$AO628=""),"",$AP628-$AO628)</f>
        <v/>
      </c>
      <c r="AR628" s="24">
        <f>IF($S628="EXACT_COLLECTION_AMOUNT","BREAKDOWN_REQUIRED",IF($AQ628="","",IF($AQ628&gt;0,"CREDIT_TO_MERCHANT",IF($AQ628&lt;0,"DEDUCT_FROM_MERCHANT","NO_ADJUSTMENT"))))</f>
        <v/>
      </c>
      <c r="AS628" s="23">
        <f>IF(OR($AQ628="",$AR628="BREAKDOWN_REQUIRED"),"",$AQ628)</f>
        <v/>
      </c>
      <c r="AT628" s="23">
        <f>IF(OR($AR628="",$AR628="BREAKDOWN_REQUIRED"),"",SUM($J628,$AQ628,$Y628)-$X628)</f>
        <v/>
      </c>
      <c r="AU628" s="25">
        <f>IF(AND($A628="",$B628="",$F628="",$H628="",$J628="",$K628="",$M628="",$S628=""),"",IF(OR($H628="",$Q628="",$M628="",$S628=""),"ERROR",IF(OR($J628&lt;0,$K628&lt;0,$M628&lt;0,$T628&lt;0,$U628&lt;0,$V628&lt;0,$W628&lt;0,$X628&lt;0,$Y628&lt;0),"ERROR",IF($AE628="","ERROR",IF(AND(OR($S628="ITEM_PRICE_PLUS_DECLARED_DELIVERY",$S628="TOTAL_AMOUNT_INCLUDING_DELIVERY",$S628="ITEM_PRICE_ONLY_DELIVERY_PAID_BY_MERCHANT"),$J628=""),"ERROR",IF(AND(OR($S628="ITEM_PRICE_PLUS_DECLARED_DELIVERY",$S628="DELIVERY_CHARGE_ONLY"),$K628=""),"ERROR",IF(AND(OR($S628="TOTAL_AMOUNT_INCLUDING_DELIVERY",$S628="EXACT_COLLECTION_AMOUNT"),$T628=""),"ERROR",IF(AND($S628="TOTAL_AMOUNT_INCLUDING_DELIVERY",$T628&lt;SUM($J628,$U628)),"ERROR",IF($S628="EXACT_COLLECTION_AMOUNT","REVIEW","OK")))))))))</f>
        <v/>
      </c>
      <c r="AV628" s="25">
        <f>IF($AU628="","",IF($H628="","Township required",IF($Q628="","Customer tier required",IF($M628="","Weight required",IF($S628="","Amount entry type required",IF(OR($J628&lt;0,$K628&lt;0,$M628&lt;0,$T628&lt;0,$U628&lt;0,$V628&lt;0,$W628&lt;0,$X628&lt;0,$Y628&lt;0),"Negative amounts are not allowed",IF($AE628="","Tariff not found for township and tier",IF(AND(OR($S628="ITEM_PRICE_PLUS_DECLARED_DELIVERY",$S628="TOTAL_AMOUNT_INCLUDING_DELIVERY",$S628="ITEM_PRICE_ONLY_DELIVERY_PAID_BY_MERCHANT"),$J628=""),"Item price required for this amount type",IF(AND(OR($S628="ITEM_PRICE_PLUS_DECLARED_DELIVERY",$S628="DELIVERY_CHARGE_ONLY"),$K628=""),"Declared delivery charge required",IF(AND(OR($S628="TOTAL_AMOUNT_INCLUDING_DELIVERY",$S628="EXACT_COLLECTION_AMOUNT"),$T628=""),"Stated total amount required",IF(AND($S628="TOTAL_AMOUNT_INCLUDING_DELIVERY",$T628&lt;SUM($J628,$U628)),"Stated total is below item price plus additional charge",IF($S628="EXACT_COLLECTION_AMOUNT","Authorized amount breakdown required before settlement","Ready for collection and settlement"))))))))))))</f>
        <v/>
      </c>
      <c r="AW628" s="23">
        <f>IF($AU628="","","PARCEL_FINANCIAL_V2")</f>
        <v/>
      </c>
      <c r="AX628" s="17" t="n"/>
    </row>
    <row r="629">
      <c r="A629" s="8" t="n"/>
      <c r="B629" s="8" t="n"/>
      <c r="C629" s="8" t="n"/>
      <c r="D629" s="8" t="n"/>
      <c r="E629" s="9" t="n"/>
      <c r="F629" s="9" t="n"/>
      <c r="G629" s="8" t="n"/>
      <c r="H629" s="9" t="n"/>
      <c r="I629" s="9" t="n"/>
      <c r="J629" s="10" t="n"/>
      <c r="K629" s="10" t="n"/>
      <c r="L629" s="11">
        <f>IF($S629="","",IF($S629="ITEM_PRICE_PLUS_DECLARED_DELIVERY",IF(OR($J629="",$K629=""),"",SUM($J629,$K629,$U629)),IF($S629="TOTAL_AMOUNT_INCLUDING_DELIVERY",IF($T629="","",$T629),IF($S629="DELIVERY_CHARGE_ONLY",IF($K629="","",SUM($K629,$U629)),IF($S629="EXACT_COLLECTION_AMOUNT",IF($T629="","",$T629),IF($S629="ITEM_PRICE_ONLY_DELIVERY_PAID_BY_MERCHANT",IF($J629="","",SUM($J629,$U629)),""))))))</f>
        <v/>
      </c>
      <c r="M629" s="12" t="n"/>
      <c r="N629" s="13" t="n"/>
      <c r="O629" s="13" t="n"/>
      <c r="P629" s="9" t="n"/>
      <c r="Q629" s="14" t="n"/>
      <c r="R629" s="15" t="n"/>
      <c r="S629" s="14" t="n"/>
      <c r="T629" s="16" t="n"/>
      <c r="U629" s="16" t="n"/>
      <c r="V629" s="16" t="n"/>
      <c r="W629" s="16" t="n"/>
      <c r="X629" s="16" t="n"/>
      <c r="Y629" s="16" t="n"/>
      <c r="Z629" s="14" t="n"/>
      <c r="AA629" s="14" t="n"/>
      <c r="AB629" s="14" t="n"/>
      <c r="AC629" s="17">
        <f>IFERROR(VLOOKUP($H629&amp;"|"&amp;$Q629,Tariff_Master!$A$2:$L$169,3,FALSE),"")</f>
        <v/>
      </c>
      <c r="AD629" s="17">
        <f>IFERROR(VLOOKUP($H629&amp;"|"&amp;$Q629,Tariff_Master!$A$2:$L$169,4,FALSE),"")</f>
        <v/>
      </c>
      <c r="AE629" s="18">
        <f>IFERROR(VLOOKUP($H629&amp;"|"&amp;$Q629,Tariff_Master!$A$2:$L$169,6,FALSE),"")</f>
        <v/>
      </c>
      <c r="AF629" s="19">
        <f>IFERROR(VLOOKUP($H629&amp;"|"&amp;$Q629,Tariff_Master!$A$2:$L$169,7,FALSE),"")</f>
        <v/>
      </c>
      <c r="AG629" s="18">
        <f>IFERROR(VLOOKUP($H629&amp;"|"&amp;$Q629,Tariff_Master!$A$2:$L$169,8,FALSE),"")</f>
        <v/>
      </c>
      <c r="AH629" s="20">
        <f>IFERROR(VLOOKUP($H629&amp;"|"&amp;$Q629,Tariff_Master!$A$2:$L$169,9,FALSE),"")</f>
        <v/>
      </c>
      <c r="AI629" s="18">
        <f>IFERROR(VLOOKUP($H629&amp;"|"&amp;$Q629,Tariff_Master!$A$2:$L$169,10,FALSE),"")</f>
        <v/>
      </c>
      <c r="AJ629" s="21">
        <f>IF($M629="","",ROUNDUP(MAX(0,$M629),0))</f>
        <v/>
      </c>
      <c r="AK629" s="21">
        <f>IF(OR($AJ629="",$AF629=""),"",MAX(0,$AJ629-$AF629))</f>
        <v/>
      </c>
      <c r="AL629" s="22">
        <f>IF(OR($AK629="",$AG629=""),"",MAX(0,$AK629*$AG629))</f>
        <v/>
      </c>
      <c r="AM629" s="22">
        <f>IF($AE629="","",MAX(0,SUM($AE629,$AL629,$V629,$W629)))</f>
        <v/>
      </c>
      <c r="AN629" s="22">
        <f>IF($AM629="","",IF(AND($Q629="COMMITMENT",$R629&gt;=$AH629),$AI629,0))</f>
        <v/>
      </c>
      <c r="AO629" s="23">
        <f>IF($AM629="","",MAX(0,$AM629-$AN629))</f>
        <v/>
      </c>
      <c r="AP629" s="22">
        <f>IF($S629="","",IF(OR($S629="ITEM_PRICE_PLUS_DECLARED_DELIVERY",$S629="DELIVERY_CHARGE_ONLY"),$K629,IF($S629="TOTAL_AMOUNT_INCLUDING_DELIVERY",IF(OR($T629="",$J629=""),"",MAX(0,$T629-$J629-$U629)),IF($S629="ITEM_PRICE_ONLY_DELIVERY_PAID_BY_MERCHANT",0,""))))</f>
        <v/>
      </c>
      <c r="AQ629" s="23">
        <f>IF(OR($AP629="",$AO629=""),"",$AP629-$AO629)</f>
        <v/>
      </c>
      <c r="AR629" s="24">
        <f>IF($S629="EXACT_COLLECTION_AMOUNT","BREAKDOWN_REQUIRED",IF($AQ629="","",IF($AQ629&gt;0,"CREDIT_TO_MERCHANT",IF($AQ629&lt;0,"DEDUCT_FROM_MERCHANT","NO_ADJUSTMENT"))))</f>
        <v/>
      </c>
      <c r="AS629" s="23">
        <f>IF(OR($AQ629="",$AR629="BREAKDOWN_REQUIRED"),"",$AQ629)</f>
        <v/>
      </c>
      <c r="AT629" s="23">
        <f>IF(OR($AR629="",$AR629="BREAKDOWN_REQUIRED"),"",SUM($J629,$AQ629,$Y629)-$X629)</f>
        <v/>
      </c>
      <c r="AU629" s="25">
        <f>IF(AND($A629="",$B629="",$F629="",$H629="",$J629="",$K629="",$M629="",$S629=""),"",IF(OR($H629="",$Q629="",$M629="",$S629=""),"ERROR",IF(OR($J629&lt;0,$K629&lt;0,$M629&lt;0,$T629&lt;0,$U629&lt;0,$V629&lt;0,$W629&lt;0,$X629&lt;0,$Y629&lt;0),"ERROR",IF($AE629="","ERROR",IF(AND(OR($S629="ITEM_PRICE_PLUS_DECLARED_DELIVERY",$S629="TOTAL_AMOUNT_INCLUDING_DELIVERY",$S629="ITEM_PRICE_ONLY_DELIVERY_PAID_BY_MERCHANT"),$J629=""),"ERROR",IF(AND(OR($S629="ITEM_PRICE_PLUS_DECLARED_DELIVERY",$S629="DELIVERY_CHARGE_ONLY"),$K629=""),"ERROR",IF(AND(OR($S629="TOTAL_AMOUNT_INCLUDING_DELIVERY",$S629="EXACT_COLLECTION_AMOUNT"),$T629=""),"ERROR",IF(AND($S629="TOTAL_AMOUNT_INCLUDING_DELIVERY",$T629&lt;SUM($J629,$U629)),"ERROR",IF($S629="EXACT_COLLECTION_AMOUNT","REVIEW","OK")))))))))</f>
        <v/>
      </c>
      <c r="AV629" s="25">
        <f>IF($AU629="","",IF($H629="","Township required",IF($Q629="","Customer tier required",IF($M629="","Weight required",IF($S629="","Amount entry type required",IF(OR($J629&lt;0,$K629&lt;0,$M629&lt;0,$T629&lt;0,$U629&lt;0,$V629&lt;0,$W629&lt;0,$X629&lt;0,$Y629&lt;0),"Negative amounts are not allowed",IF($AE629="","Tariff not found for township and tier",IF(AND(OR($S629="ITEM_PRICE_PLUS_DECLARED_DELIVERY",$S629="TOTAL_AMOUNT_INCLUDING_DELIVERY",$S629="ITEM_PRICE_ONLY_DELIVERY_PAID_BY_MERCHANT"),$J629=""),"Item price required for this amount type",IF(AND(OR($S629="ITEM_PRICE_PLUS_DECLARED_DELIVERY",$S629="DELIVERY_CHARGE_ONLY"),$K629=""),"Declared delivery charge required",IF(AND(OR($S629="TOTAL_AMOUNT_INCLUDING_DELIVERY",$S629="EXACT_COLLECTION_AMOUNT"),$T629=""),"Stated total amount required",IF(AND($S629="TOTAL_AMOUNT_INCLUDING_DELIVERY",$T629&lt;SUM($J629,$U629)),"Stated total is below item price plus additional charge",IF($S629="EXACT_COLLECTION_AMOUNT","Authorized amount breakdown required before settlement","Ready for collection and settlement"))))))))))))</f>
        <v/>
      </c>
      <c r="AW629" s="23">
        <f>IF($AU629="","","PARCEL_FINANCIAL_V2")</f>
        <v/>
      </c>
      <c r="AX629" s="17" t="n"/>
    </row>
    <row r="630">
      <c r="A630" s="8" t="n"/>
      <c r="B630" s="8" t="n"/>
      <c r="C630" s="8" t="n"/>
      <c r="D630" s="8" t="n"/>
      <c r="E630" s="9" t="n"/>
      <c r="F630" s="9" t="n"/>
      <c r="G630" s="8" t="n"/>
      <c r="H630" s="9" t="n"/>
      <c r="I630" s="9" t="n"/>
      <c r="J630" s="10" t="n"/>
      <c r="K630" s="10" t="n"/>
      <c r="L630" s="11">
        <f>IF($S630="","",IF($S630="ITEM_PRICE_PLUS_DECLARED_DELIVERY",IF(OR($J630="",$K630=""),"",SUM($J630,$K630,$U630)),IF($S630="TOTAL_AMOUNT_INCLUDING_DELIVERY",IF($T630="","",$T630),IF($S630="DELIVERY_CHARGE_ONLY",IF($K630="","",SUM($K630,$U630)),IF($S630="EXACT_COLLECTION_AMOUNT",IF($T630="","",$T630),IF($S630="ITEM_PRICE_ONLY_DELIVERY_PAID_BY_MERCHANT",IF($J630="","",SUM($J630,$U630)),""))))))</f>
        <v/>
      </c>
      <c r="M630" s="12" t="n"/>
      <c r="N630" s="13" t="n"/>
      <c r="O630" s="13" t="n"/>
      <c r="P630" s="9" t="n"/>
      <c r="Q630" s="14" t="n"/>
      <c r="R630" s="15" t="n"/>
      <c r="S630" s="14" t="n"/>
      <c r="T630" s="16" t="n"/>
      <c r="U630" s="16" t="n"/>
      <c r="V630" s="16" t="n"/>
      <c r="W630" s="16" t="n"/>
      <c r="X630" s="16" t="n"/>
      <c r="Y630" s="16" t="n"/>
      <c r="Z630" s="14" t="n"/>
      <c r="AA630" s="14" t="n"/>
      <c r="AB630" s="14" t="n"/>
      <c r="AC630" s="17">
        <f>IFERROR(VLOOKUP($H630&amp;"|"&amp;$Q630,Tariff_Master!$A$2:$L$169,3,FALSE),"")</f>
        <v/>
      </c>
      <c r="AD630" s="17">
        <f>IFERROR(VLOOKUP($H630&amp;"|"&amp;$Q630,Tariff_Master!$A$2:$L$169,4,FALSE),"")</f>
        <v/>
      </c>
      <c r="AE630" s="18">
        <f>IFERROR(VLOOKUP($H630&amp;"|"&amp;$Q630,Tariff_Master!$A$2:$L$169,6,FALSE),"")</f>
        <v/>
      </c>
      <c r="AF630" s="19">
        <f>IFERROR(VLOOKUP($H630&amp;"|"&amp;$Q630,Tariff_Master!$A$2:$L$169,7,FALSE),"")</f>
        <v/>
      </c>
      <c r="AG630" s="18">
        <f>IFERROR(VLOOKUP($H630&amp;"|"&amp;$Q630,Tariff_Master!$A$2:$L$169,8,FALSE),"")</f>
        <v/>
      </c>
      <c r="AH630" s="20">
        <f>IFERROR(VLOOKUP($H630&amp;"|"&amp;$Q630,Tariff_Master!$A$2:$L$169,9,FALSE),"")</f>
        <v/>
      </c>
      <c r="AI630" s="18">
        <f>IFERROR(VLOOKUP($H630&amp;"|"&amp;$Q630,Tariff_Master!$A$2:$L$169,10,FALSE),"")</f>
        <v/>
      </c>
      <c r="AJ630" s="21">
        <f>IF($M630="","",ROUNDUP(MAX(0,$M630),0))</f>
        <v/>
      </c>
      <c r="AK630" s="21">
        <f>IF(OR($AJ630="",$AF630=""),"",MAX(0,$AJ630-$AF630))</f>
        <v/>
      </c>
      <c r="AL630" s="22">
        <f>IF(OR($AK630="",$AG630=""),"",MAX(0,$AK630*$AG630))</f>
        <v/>
      </c>
      <c r="AM630" s="22">
        <f>IF($AE630="","",MAX(0,SUM($AE630,$AL630,$V630,$W630)))</f>
        <v/>
      </c>
      <c r="AN630" s="22">
        <f>IF($AM630="","",IF(AND($Q630="COMMITMENT",$R630&gt;=$AH630),$AI630,0))</f>
        <v/>
      </c>
      <c r="AO630" s="23">
        <f>IF($AM630="","",MAX(0,$AM630-$AN630))</f>
        <v/>
      </c>
      <c r="AP630" s="22">
        <f>IF($S630="","",IF(OR($S630="ITEM_PRICE_PLUS_DECLARED_DELIVERY",$S630="DELIVERY_CHARGE_ONLY"),$K630,IF($S630="TOTAL_AMOUNT_INCLUDING_DELIVERY",IF(OR($T630="",$J630=""),"",MAX(0,$T630-$J630-$U630)),IF($S630="ITEM_PRICE_ONLY_DELIVERY_PAID_BY_MERCHANT",0,""))))</f>
        <v/>
      </c>
      <c r="AQ630" s="23">
        <f>IF(OR($AP630="",$AO630=""),"",$AP630-$AO630)</f>
        <v/>
      </c>
      <c r="AR630" s="24">
        <f>IF($S630="EXACT_COLLECTION_AMOUNT","BREAKDOWN_REQUIRED",IF($AQ630="","",IF($AQ630&gt;0,"CREDIT_TO_MERCHANT",IF($AQ630&lt;0,"DEDUCT_FROM_MERCHANT","NO_ADJUSTMENT"))))</f>
        <v/>
      </c>
      <c r="AS630" s="23">
        <f>IF(OR($AQ630="",$AR630="BREAKDOWN_REQUIRED"),"",$AQ630)</f>
        <v/>
      </c>
      <c r="AT630" s="23">
        <f>IF(OR($AR630="",$AR630="BREAKDOWN_REQUIRED"),"",SUM($J630,$AQ630,$Y630)-$X630)</f>
        <v/>
      </c>
      <c r="AU630" s="25">
        <f>IF(AND($A630="",$B630="",$F630="",$H630="",$J630="",$K630="",$M630="",$S630=""),"",IF(OR($H630="",$Q630="",$M630="",$S630=""),"ERROR",IF(OR($J630&lt;0,$K630&lt;0,$M630&lt;0,$T630&lt;0,$U630&lt;0,$V630&lt;0,$W630&lt;0,$X630&lt;0,$Y630&lt;0),"ERROR",IF($AE630="","ERROR",IF(AND(OR($S630="ITEM_PRICE_PLUS_DECLARED_DELIVERY",$S630="TOTAL_AMOUNT_INCLUDING_DELIVERY",$S630="ITEM_PRICE_ONLY_DELIVERY_PAID_BY_MERCHANT"),$J630=""),"ERROR",IF(AND(OR($S630="ITEM_PRICE_PLUS_DECLARED_DELIVERY",$S630="DELIVERY_CHARGE_ONLY"),$K630=""),"ERROR",IF(AND(OR($S630="TOTAL_AMOUNT_INCLUDING_DELIVERY",$S630="EXACT_COLLECTION_AMOUNT"),$T630=""),"ERROR",IF(AND($S630="TOTAL_AMOUNT_INCLUDING_DELIVERY",$T630&lt;SUM($J630,$U630)),"ERROR",IF($S630="EXACT_COLLECTION_AMOUNT","REVIEW","OK")))))))))</f>
        <v/>
      </c>
      <c r="AV630" s="25">
        <f>IF($AU630="","",IF($H630="","Township required",IF($Q630="","Customer tier required",IF($M630="","Weight required",IF($S630="","Amount entry type required",IF(OR($J630&lt;0,$K630&lt;0,$M630&lt;0,$T630&lt;0,$U630&lt;0,$V630&lt;0,$W630&lt;0,$X630&lt;0,$Y630&lt;0),"Negative amounts are not allowed",IF($AE630="","Tariff not found for township and tier",IF(AND(OR($S630="ITEM_PRICE_PLUS_DECLARED_DELIVERY",$S630="TOTAL_AMOUNT_INCLUDING_DELIVERY",$S630="ITEM_PRICE_ONLY_DELIVERY_PAID_BY_MERCHANT"),$J630=""),"Item price required for this amount type",IF(AND(OR($S630="ITEM_PRICE_PLUS_DECLARED_DELIVERY",$S630="DELIVERY_CHARGE_ONLY"),$K630=""),"Declared delivery charge required",IF(AND(OR($S630="TOTAL_AMOUNT_INCLUDING_DELIVERY",$S630="EXACT_COLLECTION_AMOUNT"),$T630=""),"Stated total amount required",IF(AND($S630="TOTAL_AMOUNT_INCLUDING_DELIVERY",$T630&lt;SUM($J630,$U630)),"Stated total is below item price plus additional charge",IF($S630="EXACT_COLLECTION_AMOUNT","Authorized amount breakdown required before settlement","Ready for collection and settlement"))))))))))))</f>
        <v/>
      </c>
      <c r="AW630" s="23">
        <f>IF($AU630="","","PARCEL_FINANCIAL_V2")</f>
        <v/>
      </c>
      <c r="AX630" s="17" t="n"/>
    </row>
    <row r="631">
      <c r="A631" s="8" t="n"/>
      <c r="B631" s="8" t="n"/>
      <c r="C631" s="8" t="n"/>
      <c r="D631" s="8" t="n"/>
      <c r="E631" s="9" t="n"/>
      <c r="F631" s="9" t="n"/>
      <c r="G631" s="8" t="n"/>
      <c r="H631" s="9" t="n"/>
      <c r="I631" s="9" t="n"/>
      <c r="J631" s="10" t="n"/>
      <c r="K631" s="10" t="n"/>
      <c r="L631" s="11">
        <f>IF($S631="","",IF($S631="ITEM_PRICE_PLUS_DECLARED_DELIVERY",IF(OR($J631="",$K631=""),"",SUM($J631,$K631,$U631)),IF($S631="TOTAL_AMOUNT_INCLUDING_DELIVERY",IF($T631="","",$T631),IF($S631="DELIVERY_CHARGE_ONLY",IF($K631="","",SUM($K631,$U631)),IF($S631="EXACT_COLLECTION_AMOUNT",IF($T631="","",$T631),IF($S631="ITEM_PRICE_ONLY_DELIVERY_PAID_BY_MERCHANT",IF($J631="","",SUM($J631,$U631)),""))))))</f>
        <v/>
      </c>
      <c r="M631" s="12" t="n"/>
      <c r="N631" s="13" t="n"/>
      <c r="O631" s="13" t="n"/>
      <c r="P631" s="9" t="n"/>
      <c r="Q631" s="14" t="n"/>
      <c r="R631" s="15" t="n"/>
      <c r="S631" s="14" t="n"/>
      <c r="T631" s="16" t="n"/>
      <c r="U631" s="16" t="n"/>
      <c r="V631" s="16" t="n"/>
      <c r="W631" s="16" t="n"/>
      <c r="X631" s="16" t="n"/>
      <c r="Y631" s="16" t="n"/>
      <c r="Z631" s="14" t="n"/>
      <c r="AA631" s="14" t="n"/>
      <c r="AB631" s="14" t="n"/>
      <c r="AC631" s="17">
        <f>IFERROR(VLOOKUP($H631&amp;"|"&amp;$Q631,Tariff_Master!$A$2:$L$169,3,FALSE),"")</f>
        <v/>
      </c>
      <c r="AD631" s="17">
        <f>IFERROR(VLOOKUP($H631&amp;"|"&amp;$Q631,Tariff_Master!$A$2:$L$169,4,FALSE),"")</f>
        <v/>
      </c>
      <c r="AE631" s="18">
        <f>IFERROR(VLOOKUP($H631&amp;"|"&amp;$Q631,Tariff_Master!$A$2:$L$169,6,FALSE),"")</f>
        <v/>
      </c>
      <c r="AF631" s="19">
        <f>IFERROR(VLOOKUP($H631&amp;"|"&amp;$Q631,Tariff_Master!$A$2:$L$169,7,FALSE),"")</f>
        <v/>
      </c>
      <c r="AG631" s="18">
        <f>IFERROR(VLOOKUP($H631&amp;"|"&amp;$Q631,Tariff_Master!$A$2:$L$169,8,FALSE),"")</f>
        <v/>
      </c>
      <c r="AH631" s="20">
        <f>IFERROR(VLOOKUP($H631&amp;"|"&amp;$Q631,Tariff_Master!$A$2:$L$169,9,FALSE),"")</f>
        <v/>
      </c>
      <c r="AI631" s="18">
        <f>IFERROR(VLOOKUP($H631&amp;"|"&amp;$Q631,Tariff_Master!$A$2:$L$169,10,FALSE),"")</f>
        <v/>
      </c>
      <c r="AJ631" s="21">
        <f>IF($M631="","",ROUNDUP(MAX(0,$M631),0))</f>
        <v/>
      </c>
      <c r="AK631" s="21">
        <f>IF(OR($AJ631="",$AF631=""),"",MAX(0,$AJ631-$AF631))</f>
        <v/>
      </c>
      <c r="AL631" s="22">
        <f>IF(OR($AK631="",$AG631=""),"",MAX(0,$AK631*$AG631))</f>
        <v/>
      </c>
      <c r="AM631" s="22">
        <f>IF($AE631="","",MAX(0,SUM($AE631,$AL631,$V631,$W631)))</f>
        <v/>
      </c>
      <c r="AN631" s="22">
        <f>IF($AM631="","",IF(AND($Q631="COMMITMENT",$R631&gt;=$AH631),$AI631,0))</f>
        <v/>
      </c>
      <c r="AO631" s="23">
        <f>IF($AM631="","",MAX(0,$AM631-$AN631))</f>
        <v/>
      </c>
      <c r="AP631" s="22">
        <f>IF($S631="","",IF(OR($S631="ITEM_PRICE_PLUS_DECLARED_DELIVERY",$S631="DELIVERY_CHARGE_ONLY"),$K631,IF($S631="TOTAL_AMOUNT_INCLUDING_DELIVERY",IF(OR($T631="",$J631=""),"",MAX(0,$T631-$J631-$U631)),IF($S631="ITEM_PRICE_ONLY_DELIVERY_PAID_BY_MERCHANT",0,""))))</f>
        <v/>
      </c>
      <c r="AQ631" s="23">
        <f>IF(OR($AP631="",$AO631=""),"",$AP631-$AO631)</f>
        <v/>
      </c>
      <c r="AR631" s="24">
        <f>IF($S631="EXACT_COLLECTION_AMOUNT","BREAKDOWN_REQUIRED",IF($AQ631="","",IF($AQ631&gt;0,"CREDIT_TO_MERCHANT",IF($AQ631&lt;0,"DEDUCT_FROM_MERCHANT","NO_ADJUSTMENT"))))</f>
        <v/>
      </c>
      <c r="AS631" s="23">
        <f>IF(OR($AQ631="",$AR631="BREAKDOWN_REQUIRED"),"",$AQ631)</f>
        <v/>
      </c>
      <c r="AT631" s="23">
        <f>IF(OR($AR631="",$AR631="BREAKDOWN_REQUIRED"),"",SUM($J631,$AQ631,$Y631)-$X631)</f>
        <v/>
      </c>
      <c r="AU631" s="25">
        <f>IF(AND($A631="",$B631="",$F631="",$H631="",$J631="",$K631="",$M631="",$S631=""),"",IF(OR($H631="",$Q631="",$M631="",$S631=""),"ERROR",IF(OR($J631&lt;0,$K631&lt;0,$M631&lt;0,$T631&lt;0,$U631&lt;0,$V631&lt;0,$W631&lt;0,$X631&lt;0,$Y631&lt;0),"ERROR",IF($AE631="","ERROR",IF(AND(OR($S631="ITEM_PRICE_PLUS_DECLARED_DELIVERY",$S631="TOTAL_AMOUNT_INCLUDING_DELIVERY",$S631="ITEM_PRICE_ONLY_DELIVERY_PAID_BY_MERCHANT"),$J631=""),"ERROR",IF(AND(OR($S631="ITEM_PRICE_PLUS_DECLARED_DELIVERY",$S631="DELIVERY_CHARGE_ONLY"),$K631=""),"ERROR",IF(AND(OR($S631="TOTAL_AMOUNT_INCLUDING_DELIVERY",$S631="EXACT_COLLECTION_AMOUNT"),$T631=""),"ERROR",IF(AND($S631="TOTAL_AMOUNT_INCLUDING_DELIVERY",$T631&lt;SUM($J631,$U631)),"ERROR",IF($S631="EXACT_COLLECTION_AMOUNT","REVIEW","OK")))))))))</f>
        <v/>
      </c>
      <c r="AV631" s="25">
        <f>IF($AU631="","",IF($H631="","Township required",IF($Q631="","Customer tier required",IF($M631="","Weight required",IF($S631="","Amount entry type required",IF(OR($J631&lt;0,$K631&lt;0,$M631&lt;0,$T631&lt;0,$U631&lt;0,$V631&lt;0,$W631&lt;0,$X631&lt;0,$Y631&lt;0),"Negative amounts are not allowed",IF($AE631="","Tariff not found for township and tier",IF(AND(OR($S631="ITEM_PRICE_PLUS_DECLARED_DELIVERY",$S631="TOTAL_AMOUNT_INCLUDING_DELIVERY",$S631="ITEM_PRICE_ONLY_DELIVERY_PAID_BY_MERCHANT"),$J631=""),"Item price required for this amount type",IF(AND(OR($S631="ITEM_PRICE_PLUS_DECLARED_DELIVERY",$S631="DELIVERY_CHARGE_ONLY"),$K631=""),"Declared delivery charge required",IF(AND(OR($S631="TOTAL_AMOUNT_INCLUDING_DELIVERY",$S631="EXACT_COLLECTION_AMOUNT"),$T631=""),"Stated total amount required",IF(AND($S631="TOTAL_AMOUNT_INCLUDING_DELIVERY",$T631&lt;SUM($J631,$U631)),"Stated total is below item price plus additional charge",IF($S631="EXACT_COLLECTION_AMOUNT","Authorized amount breakdown required before settlement","Ready for collection and settlement"))))))))))))</f>
        <v/>
      </c>
      <c r="AW631" s="23">
        <f>IF($AU631="","","PARCEL_FINANCIAL_V2")</f>
        <v/>
      </c>
      <c r="AX631" s="17" t="n"/>
    </row>
    <row r="632">
      <c r="A632" s="8" t="n"/>
      <c r="B632" s="8" t="n"/>
      <c r="C632" s="8" t="n"/>
      <c r="D632" s="8" t="n"/>
      <c r="E632" s="9" t="n"/>
      <c r="F632" s="9" t="n"/>
      <c r="G632" s="8" t="n"/>
      <c r="H632" s="9" t="n"/>
      <c r="I632" s="9" t="n"/>
      <c r="J632" s="10" t="n"/>
      <c r="K632" s="10" t="n"/>
      <c r="L632" s="11">
        <f>IF($S632="","",IF($S632="ITEM_PRICE_PLUS_DECLARED_DELIVERY",IF(OR($J632="",$K632=""),"",SUM($J632,$K632,$U632)),IF($S632="TOTAL_AMOUNT_INCLUDING_DELIVERY",IF($T632="","",$T632),IF($S632="DELIVERY_CHARGE_ONLY",IF($K632="","",SUM($K632,$U632)),IF($S632="EXACT_COLLECTION_AMOUNT",IF($T632="","",$T632),IF($S632="ITEM_PRICE_ONLY_DELIVERY_PAID_BY_MERCHANT",IF($J632="","",SUM($J632,$U632)),""))))))</f>
        <v/>
      </c>
      <c r="M632" s="12" t="n"/>
      <c r="N632" s="13" t="n"/>
      <c r="O632" s="13" t="n"/>
      <c r="P632" s="9" t="n"/>
      <c r="Q632" s="14" t="n"/>
      <c r="R632" s="15" t="n"/>
      <c r="S632" s="14" t="n"/>
      <c r="T632" s="16" t="n"/>
      <c r="U632" s="16" t="n"/>
      <c r="V632" s="16" t="n"/>
      <c r="W632" s="16" t="n"/>
      <c r="X632" s="16" t="n"/>
      <c r="Y632" s="16" t="n"/>
      <c r="Z632" s="14" t="n"/>
      <c r="AA632" s="14" t="n"/>
      <c r="AB632" s="14" t="n"/>
      <c r="AC632" s="17">
        <f>IFERROR(VLOOKUP($H632&amp;"|"&amp;$Q632,Tariff_Master!$A$2:$L$169,3,FALSE),"")</f>
        <v/>
      </c>
      <c r="AD632" s="17">
        <f>IFERROR(VLOOKUP($H632&amp;"|"&amp;$Q632,Tariff_Master!$A$2:$L$169,4,FALSE),"")</f>
        <v/>
      </c>
      <c r="AE632" s="18">
        <f>IFERROR(VLOOKUP($H632&amp;"|"&amp;$Q632,Tariff_Master!$A$2:$L$169,6,FALSE),"")</f>
        <v/>
      </c>
      <c r="AF632" s="19">
        <f>IFERROR(VLOOKUP($H632&amp;"|"&amp;$Q632,Tariff_Master!$A$2:$L$169,7,FALSE),"")</f>
        <v/>
      </c>
      <c r="AG632" s="18">
        <f>IFERROR(VLOOKUP($H632&amp;"|"&amp;$Q632,Tariff_Master!$A$2:$L$169,8,FALSE),"")</f>
        <v/>
      </c>
      <c r="AH632" s="20">
        <f>IFERROR(VLOOKUP($H632&amp;"|"&amp;$Q632,Tariff_Master!$A$2:$L$169,9,FALSE),"")</f>
        <v/>
      </c>
      <c r="AI632" s="18">
        <f>IFERROR(VLOOKUP($H632&amp;"|"&amp;$Q632,Tariff_Master!$A$2:$L$169,10,FALSE),"")</f>
        <v/>
      </c>
      <c r="AJ632" s="21">
        <f>IF($M632="","",ROUNDUP(MAX(0,$M632),0))</f>
        <v/>
      </c>
      <c r="AK632" s="21">
        <f>IF(OR($AJ632="",$AF632=""),"",MAX(0,$AJ632-$AF632))</f>
        <v/>
      </c>
      <c r="AL632" s="22">
        <f>IF(OR($AK632="",$AG632=""),"",MAX(0,$AK632*$AG632))</f>
        <v/>
      </c>
      <c r="AM632" s="22">
        <f>IF($AE632="","",MAX(0,SUM($AE632,$AL632,$V632,$W632)))</f>
        <v/>
      </c>
      <c r="AN632" s="22">
        <f>IF($AM632="","",IF(AND($Q632="COMMITMENT",$R632&gt;=$AH632),$AI632,0))</f>
        <v/>
      </c>
      <c r="AO632" s="23">
        <f>IF($AM632="","",MAX(0,$AM632-$AN632))</f>
        <v/>
      </c>
      <c r="AP632" s="22">
        <f>IF($S632="","",IF(OR($S632="ITEM_PRICE_PLUS_DECLARED_DELIVERY",$S632="DELIVERY_CHARGE_ONLY"),$K632,IF($S632="TOTAL_AMOUNT_INCLUDING_DELIVERY",IF(OR($T632="",$J632=""),"",MAX(0,$T632-$J632-$U632)),IF($S632="ITEM_PRICE_ONLY_DELIVERY_PAID_BY_MERCHANT",0,""))))</f>
        <v/>
      </c>
      <c r="AQ632" s="23">
        <f>IF(OR($AP632="",$AO632=""),"",$AP632-$AO632)</f>
        <v/>
      </c>
      <c r="AR632" s="24">
        <f>IF($S632="EXACT_COLLECTION_AMOUNT","BREAKDOWN_REQUIRED",IF($AQ632="","",IF($AQ632&gt;0,"CREDIT_TO_MERCHANT",IF($AQ632&lt;0,"DEDUCT_FROM_MERCHANT","NO_ADJUSTMENT"))))</f>
        <v/>
      </c>
      <c r="AS632" s="23">
        <f>IF(OR($AQ632="",$AR632="BREAKDOWN_REQUIRED"),"",$AQ632)</f>
        <v/>
      </c>
      <c r="AT632" s="23">
        <f>IF(OR($AR632="",$AR632="BREAKDOWN_REQUIRED"),"",SUM($J632,$AQ632,$Y632)-$X632)</f>
        <v/>
      </c>
      <c r="AU632" s="25">
        <f>IF(AND($A632="",$B632="",$F632="",$H632="",$J632="",$K632="",$M632="",$S632=""),"",IF(OR($H632="",$Q632="",$M632="",$S632=""),"ERROR",IF(OR($J632&lt;0,$K632&lt;0,$M632&lt;0,$T632&lt;0,$U632&lt;0,$V632&lt;0,$W632&lt;0,$X632&lt;0,$Y632&lt;0),"ERROR",IF($AE632="","ERROR",IF(AND(OR($S632="ITEM_PRICE_PLUS_DECLARED_DELIVERY",$S632="TOTAL_AMOUNT_INCLUDING_DELIVERY",$S632="ITEM_PRICE_ONLY_DELIVERY_PAID_BY_MERCHANT"),$J632=""),"ERROR",IF(AND(OR($S632="ITEM_PRICE_PLUS_DECLARED_DELIVERY",$S632="DELIVERY_CHARGE_ONLY"),$K632=""),"ERROR",IF(AND(OR($S632="TOTAL_AMOUNT_INCLUDING_DELIVERY",$S632="EXACT_COLLECTION_AMOUNT"),$T632=""),"ERROR",IF(AND($S632="TOTAL_AMOUNT_INCLUDING_DELIVERY",$T632&lt;SUM($J632,$U632)),"ERROR",IF($S632="EXACT_COLLECTION_AMOUNT","REVIEW","OK")))))))))</f>
        <v/>
      </c>
      <c r="AV632" s="25">
        <f>IF($AU632="","",IF($H632="","Township required",IF($Q632="","Customer tier required",IF($M632="","Weight required",IF($S632="","Amount entry type required",IF(OR($J632&lt;0,$K632&lt;0,$M632&lt;0,$T632&lt;0,$U632&lt;0,$V632&lt;0,$W632&lt;0,$X632&lt;0,$Y632&lt;0),"Negative amounts are not allowed",IF($AE632="","Tariff not found for township and tier",IF(AND(OR($S632="ITEM_PRICE_PLUS_DECLARED_DELIVERY",$S632="TOTAL_AMOUNT_INCLUDING_DELIVERY",$S632="ITEM_PRICE_ONLY_DELIVERY_PAID_BY_MERCHANT"),$J632=""),"Item price required for this amount type",IF(AND(OR($S632="ITEM_PRICE_PLUS_DECLARED_DELIVERY",$S632="DELIVERY_CHARGE_ONLY"),$K632=""),"Declared delivery charge required",IF(AND(OR($S632="TOTAL_AMOUNT_INCLUDING_DELIVERY",$S632="EXACT_COLLECTION_AMOUNT"),$T632=""),"Stated total amount required",IF(AND($S632="TOTAL_AMOUNT_INCLUDING_DELIVERY",$T632&lt;SUM($J632,$U632)),"Stated total is below item price plus additional charge",IF($S632="EXACT_COLLECTION_AMOUNT","Authorized amount breakdown required before settlement","Ready for collection and settlement"))))))))))))</f>
        <v/>
      </c>
      <c r="AW632" s="23">
        <f>IF($AU632="","","PARCEL_FINANCIAL_V2")</f>
        <v/>
      </c>
      <c r="AX632" s="17" t="n"/>
    </row>
    <row r="633">
      <c r="A633" s="8" t="n"/>
      <c r="B633" s="8" t="n"/>
      <c r="C633" s="8" t="n"/>
      <c r="D633" s="8" t="n"/>
      <c r="E633" s="9" t="n"/>
      <c r="F633" s="9" t="n"/>
      <c r="G633" s="8" t="n"/>
      <c r="H633" s="9" t="n"/>
      <c r="I633" s="9" t="n"/>
      <c r="J633" s="10" t="n"/>
      <c r="K633" s="10" t="n"/>
      <c r="L633" s="11">
        <f>IF($S633="","",IF($S633="ITEM_PRICE_PLUS_DECLARED_DELIVERY",IF(OR($J633="",$K633=""),"",SUM($J633,$K633,$U633)),IF($S633="TOTAL_AMOUNT_INCLUDING_DELIVERY",IF($T633="","",$T633),IF($S633="DELIVERY_CHARGE_ONLY",IF($K633="","",SUM($K633,$U633)),IF($S633="EXACT_COLLECTION_AMOUNT",IF($T633="","",$T633),IF($S633="ITEM_PRICE_ONLY_DELIVERY_PAID_BY_MERCHANT",IF($J633="","",SUM($J633,$U633)),""))))))</f>
        <v/>
      </c>
      <c r="M633" s="12" t="n"/>
      <c r="N633" s="13" t="n"/>
      <c r="O633" s="13" t="n"/>
      <c r="P633" s="9" t="n"/>
      <c r="Q633" s="14" t="n"/>
      <c r="R633" s="15" t="n"/>
      <c r="S633" s="14" t="n"/>
      <c r="T633" s="16" t="n"/>
      <c r="U633" s="16" t="n"/>
      <c r="V633" s="16" t="n"/>
      <c r="W633" s="16" t="n"/>
      <c r="X633" s="16" t="n"/>
      <c r="Y633" s="16" t="n"/>
      <c r="Z633" s="14" t="n"/>
      <c r="AA633" s="14" t="n"/>
      <c r="AB633" s="14" t="n"/>
      <c r="AC633" s="17">
        <f>IFERROR(VLOOKUP($H633&amp;"|"&amp;$Q633,Tariff_Master!$A$2:$L$169,3,FALSE),"")</f>
        <v/>
      </c>
      <c r="AD633" s="17">
        <f>IFERROR(VLOOKUP($H633&amp;"|"&amp;$Q633,Tariff_Master!$A$2:$L$169,4,FALSE),"")</f>
        <v/>
      </c>
      <c r="AE633" s="18">
        <f>IFERROR(VLOOKUP($H633&amp;"|"&amp;$Q633,Tariff_Master!$A$2:$L$169,6,FALSE),"")</f>
        <v/>
      </c>
      <c r="AF633" s="19">
        <f>IFERROR(VLOOKUP($H633&amp;"|"&amp;$Q633,Tariff_Master!$A$2:$L$169,7,FALSE),"")</f>
        <v/>
      </c>
      <c r="AG633" s="18">
        <f>IFERROR(VLOOKUP($H633&amp;"|"&amp;$Q633,Tariff_Master!$A$2:$L$169,8,FALSE),"")</f>
        <v/>
      </c>
      <c r="AH633" s="20">
        <f>IFERROR(VLOOKUP($H633&amp;"|"&amp;$Q633,Tariff_Master!$A$2:$L$169,9,FALSE),"")</f>
        <v/>
      </c>
      <c r="AI633" s="18">
        <f>IFERROR(VLOOKUP($H633&amp;"|"&amp;$Q633,Tariff_Master!$A$2:$L$169,10,FALSE),"")</f>
        <v/>
      </c>
      <c r="AJ633" s="21">
        <f>IF($M633="","",ROUNDUP(MAX(0,$M633),0))</f>
        <v/>
      </c>
      <c r="AK633" s="21">
        <f>IF(OR($AJ633="",$AF633=""),"",MAX(0,$AJ633-$AF633))</f>
        <v/>
      </c>
      <c r="AL633" s="22">
        <f>IF(OR($AK633="",$AG633=""),"",MAX(0,$AK633*$AG633))</f>
        <v/>
      </c>
      <c r="AM633" s="22">
        <f>IF($AE633="","",MAX(0,SUM($AE633,$AL633,$V633,$W633)))</f>
        <v/>
      </c>
      <c r="AN633" s="22">
        <f>IF($AM633="","",IF(AND($Q633="COMMITMENT",$R633&gt;=$AH633),$AI633,0))</f>
        <v/>
      </c>
      <c r="AO633" s="23">
        <f>IF($AM633="","",MAX(0,$AM633-$AN633))</f>
        <v/>
      </c>
      <c r="AP633" s="22">
        <f>IF($S633="","",IF(OR($S633="ITEM_PRICE_PLUS_DECLARED_DELIVERY",$S633="DELIVERY_CHARGE_ONLY"),$K633,IF($S633="TOTAL_AMOUNT_INCLUDING_DELIVERY",IF(OR($T633="",$J633=""),"",MAX(0,$T633-$J633-$U633)),IF($S633="ITEM_PRICE_ONLY_DELIVERY_PAID_BY_MERCHANT",0,""))))</f>
        <v/>
      </c>
      <c r="AQ633" s="23">
        <f>IF(OR($AP633="",$AO633=""),"",$AP633-$AO633)</f>
        <v/>
      </c>
      <c r="AR633" s="24">
        <f>IF($S633="EXACT_COLLECTION_AMOUNT","BREAKDOWN_REQUIRED",IF($AQ633="","",IF($AQ633&gt;0,"CREDIT_TO_MERCHANT",IF($AQ633&lt;0,"DEDUCT_FROM_MERCHANT","NO_ADJUSTMENT"))))</f>
        <v/>
      </c>
      <c r="AS633" s="23">
        <f>IF(OR($AQ633="",$AR633="BREAKDOWN_REQUIRED"),"",$AQ633)</f>
        <v/>
      </c>
      <c r="AT633" s="23">
        <f>IF(OR($AR633="",$AR633="BREAKDOWN_REQUIRED"),"",SUM($J633,$AQ633,$Y633)-$X633)</f>
        <v/>
      </c>
      <c r="AU633" s="25">
        <f>IF(AND($A633="",$B633="",$F633="",$H633="",$J633="",$K633="",$M633="",$S633=""),"",IF(OR($H633="",$Q633="",$M633="",$S633=""),"ERROR",IF(OR($J633&lt;0,$K633&lt;0,$M633&lt;0,$T633&lt;0,$U633&lt;0,$V633&lt;0,$W633&lt;0,$X633&lt;0,$Y633&lt;0),"ERROR",IF($AE633="","ERROR",IF(AND(OR($S633="ITEM_PRICE_PLUS_DECLARED_DELIVERY",$S633="TOTAL_AMOUNT_INCLUDING_DELIVERY",$S633="ITEM_PRICE_ONLY_DELIVERY_PAID_BY_MERCHANT"),$J633=""),"ERROR",IF(AND(OR($S633="ITEM_PRICE_PLUS_DECLARED_DELIVERY",$S633="DELIVERY_CHARGE_ONLY"),$K633=""),"ERROR",IF(AND(OR($S633="TOTAL_AMOUNT_INCLUDING_DELIVERY",$S633="EXACT_COLLECTION_AMOUNT"),$T633=""),"ERROR",IF(AND($S633="TOTAL_AMOUNT_INCLUDING_DELIVERY",$T633&lt;SUM($J633,$U633)),"ERROR",IF($S633="EXACT_COLLECTION_AMOUNT","REVIEW","OK")))))))))</f>
        <v/>
      </c>
      <c r="AV633" s="25">
        <f>IF($AU633="","",IF($H633="","Township required",IF($Q633="","Customer tier required",IF($M633="","Weight required",IF($S633="","Amount entry type required",IF(OR($J633&lt;0,$K633&lt;0,$M633&lt;0,$T633&lt;0,$U633&lt;0,$V633&lt;0,$W633&lt;0,$X633&lt;0,$Y633&lt;0),"Negative amounts are not allowed",IF($AE633="","Tariff not found for township and tier",IF(AND(OR($S633="ITEM_PRICE_PLUS_DECLARED_DELIVERY",$S633="TOTAL_AMOUNT_INCLUDING_DELIVERY",$S633="ITEM_PRICE_ONLY_DELIVERY_PAID_BY_MERCHANT"),$J633=""),"Item price required for this amount type",IF(AND(OR($S633="ITEM_PRICE_PLUS_DECLARED_DELIVERY",$S633="DELIVERY_CHARGE_ONLY"),$K633=""),"Declared delivery charge required",IF(AND(OR($S633="TOTAL_AMOUNT_INCLUDING_DELIVERY",$S633="EXACT_COLLECTION_AMOUNT"),$T633=""),"Stated total amount required",IF(AND($S633="TOTAL_AMOUNT_INCLUDING_DELIVERY",$T633&lt;SUM($J633,$U633)),"Stated total is below item price plus additional charge",IF($S633="EXACT_COLLECTION_AMOUNT","Authorized amount breakdown required before settlement","Ready for collection and settlement"))))))))))))</f>
        <v/>
      </c>
      <c r="AW633" s="23">
        <f>IF($AU633="","","PARCEL_FINANCIAL_V2")</f>
        <v/>
      </c>
      <c r="AX633" s="17" t="n"/>
    </row>
    <row r="634">
      <c r="A634" s="8" t="n"/>
      <c r="B634" s="8" t="n"/>
      <c r="C634" s="8" t="n"/>
      <c r="D634" s="8" t="n"/>
      <c r="E634" s="9" t="n"/>
      <c r="F634" s="9" t="n"/>
      <c r="G634" s="8" t="n"/>
      <c r="H634" s="9" t="n"/>
      <c r="I634" s="9" t="n"/>
      <c r="J634" s="10" t="n"/>
      <c r="K634" s="10" t="n"/>
      <c r="L634" s="11">
        <f>IF($S634="","",IF($S634="ITEM_PRICE_PLUS_DECLARED_DELIVERY",IF(OR($J634="",$K634=""),"",SUM($J634,$K634,$U634)),IF($S634="TOTAL_AMOUNT_INCLUDING_DELIVERY",IF($T634="","",$T634),IF($S634="DELIVERY_CHARGE_ONLY",IF($K634="","",SUM($K634,$U634)),IF($S634="EXACT_COLLECTION_AMOUNT",IF($T634="","",$T634),IF($S634="ITEM_PRICE_ONLY_DELIVERY_PAID_BY_MERCHANT",IF($J634="","",SUM($J634,$U634)),""))))))</f>
        <v/>
      </c>
      <c r="M634" s="12" t="n"/>
      <c r="N634" s="13" t="n"/>
      <c r="O634" s="13" t="n"/>
      <c r="P634" s="9" t="n"/>
      <c r="Q634" s="14" t="n"/>
      <c r="R634" s="15" t="n"/>
      <c r="S634" s="14" t="n"/>
      <c r="T634" s="16" t="n"/>
      <c r="U634" s="16" t="n"/>
      <c r="V634" s="16" t="n"/>
      <c r="W634" s="16" t="n"/>
      <c r="X634" s="16" t="n"/>
      <c r="Y634" s="16" t="n"/>
      <c r="Z634" s="14" t="n"/>
      <c r="AA634" s="14" t="n"/>
      <c r="AB634" s="14" t="n"/>
      <c r="AC634" s="17">
        <f>IFERROR(VLOOKUP($H634&amp;"|"&amp;$Q634,Tariff_Master!$A$2:$L$169,3,FALSE),"")</f>
        <v/>
      </c>
      <c r="AD634" s="17">
        <f>IFERROR(VLOOKUP($H634&amp;"|"&amp;$Q634,Tariff_Master!$A$2:$L$169,4,FALSE),"")</f>
        <v/>
      </c>
      <c r="AE634" s="18">
        <f>IFERROR(VLOOKUP($H634&amp;"|"&amp;$Q634,Tariff_Master!$A$2:$L$169,6,FALSE),"")</f>
        <v/>
      </c>
      <c r="AF634" s="19">
        <f>IFERROR(VLOOKUP($H634&amp;"|"&amp;$Q634,Tariff_Master!$A$2:$L$169,7,FALSE),"")</f>
        <v/>
      </c>
      <c r="AG634" s="18">
        <f>IFERROR(VLOOKUP($H634&amp;"|"&amp;$Q634,Tariff_Master!$A$2:$L$169,8,FALSE),"")</f>
        <v/>
      </c>
      <c r="AH634" s="20">
        <f>IFERROR(VLOOKUP($H634&amp;"|"&amp;$Q634,Tariff_Master!$A$2:$L$169,9,FALSE),"")</f>
        <v/>
      </c>
      <c r="AI634" s="18">
        <f>IFERROR(VLOOKUP($H634&amp;"|"&amp;$Q634,Tariff_Master!$A$2:$L$169,10,FALSE),"")</f>
        <v/>
      </c>
      <c r="AJ634" s="21">
        <f>IF($M634="","",ROUNDUP(MAX(0,$M634),0))</f>
        <v/>
      </c>
      <c r="AK634" s="21">
        <f>IF(OR($AJ634="",$AF634=""),"",MAX(0,$AJ634-$AF634))</f>
        <v/>
      </c>
      <c r="AL634" s="22">
        <f>IF(OR($AK634="",$AG634=""),"",MAX(0,$AK634*$AG634))</f>
        <v/>
      </c>
      <c r="AM634" s="22">
        <f>IF($AE634="","",MAX(0,SUM($AE634,$AL634,$V634,$W634)))</f>
        <v/>
      </c>
      <c r="AN634" s="22">
        <f>IF($AM634="","",IF(AND($Q634="COMMITMENT",$R634&gt;=$AH634),$AI634,0))</f>
        <v/>
      </c>
      <c r="AO634" s="23">
        <f>IF($AM634="","",MAX(0,$AM634-$AN634))</f>
        <v/>
      </c>
      <c r="AP634" s="22">
        <f>IF($S634="","",IF(OR($S634="ITEM_PRICE_PLUS_DECLARED_DELIVERY",$S634="DELIVERY_CHARGE_ONLY"),$K634,IF($S634="TOTAL_AMOUNT_INCLUDING_DELIVERY",IF(OR($T634="",$J634=""),"",MAX(0,$T634-$J634-$U634)),IF($S634="ITEM_PRICE_ONLY_DELIVERY_PAID_BY_MERCHANT",0,""))))</f>
        <v/>
      </c>
      <c r="AQ634" s="23">
        <f>IF(OR($AP634="",$AO634=""),"",$AP634-$AO634)</f>
        <v/>
      </c>
      <c r="AR634" s="24">
        <f>IF($S634="EXACT_COLLECTION_AMOUNT","BREAKDOWN_REQUIRED",IF($AQ634="","",IF($AQ634&gt;0,"CREDIT_TO_MERCHANT",IF($AQ634&lt;0,"DEDUCT_FROM_MERCHANT","NO_ADJUSTMENT"))))</f>
        <v/>
      </c>
      <c r="AS634" s="23">
        <f>IF(OR($AQ634="",$AR634="BREAKDOWN_REQUIRED"),"",$AQ634)</f>
        <v/>
      </c>
      <c r="AT634" s="23">
        <f>IF(OR($AR634="",$AR634="BREAKDOWN_REQUIRED"),"",SUM($J634,$AQ634,$Y634)-$X634)</f>
        <v/>
      </c>
      <c r="AU634" s="25">
        <f>IF(AND($A634="",$B634="",$F634="",$H634="",$J634="",$K634="",$M634="",$S634=""),"",IF(OR($H634="",$Q634="",$M634="",$S634=""),"ERROR",IF(OR($J634&lt;0,$K634&lt;0,$M634&lt;0,$T634&lt;0,$U634&lt;0,$V634&lt;0,$W634&lt;0,$X634&lt;0,$Y634&lt;0),"ERROR",IF($AE634="","ERROR",IF(AND(OR($S634="ITEM_PRICE_PLUS_DECLARED_DELIVERY",$S634="TOTAL_AMOUNT_INCLUDING_DELIVERY",$S634="ITEM_PRICE_ONLY_DELIVERY_PAID_BY_MERCHANT"),$J634=""),"ERROR",IF(AND(OR($S634="ITEM_PRICE_PLUS_DECLARED_DELIVERY",$S634="DELIVERY_CHARGE_ONLY"),$K634=""),"ERROR",IF(AND(OR($S634="TOTAL_AMOUNT_INCLUDING_DELIVERY",$S634="EXACT_COLLECTION_AMOUNT"),$T634=""),"ERROR",IF(AND($S634="TOTAL_AMOUNT_INCLUDING_DELIVERY",$T634&lt;SUM($J634,$U634)),"ERROR",IF($S634="EXACT_COLLECTION_AMOUNT","REVIEW","OK")))))))))</f>
        <v/>
      </c>
      <c r="AV634" s="25">
        <f>IF($AU634="","",IF($H634="","Township required",IF($Q634="","Customer tier required",IF($M634="","Weight required",IF($S634="","Amount entry type required",IF(OR($J634&lt;0,$K634&lt;0,$M634&lt;0,$T634&lt;0,$U634&lt;0,$V634&lt;0,$W634&lt;0,$X634&lt;0,$Y634&lt;0),"Negative amounts are not allowed",IF($AE634="","Tariff not found for township and tier",IF(AND(OR($S634="ITEM_PRICE_PLUS_DECLARED_DELIVERY",$S634="TOTAL_AMOUNT_INCLUDING_DELIVERY",$S634="ITEM_PRICE_ONLY_DELIVERY_PAID_BY_MERCHANT"),$J634=""),"Item price required for this amount type",IF(AND(OR($S634="ITEM_PRICE_PLUS_DECLARED_DELIVERY",$S634="DELIVERY_CHARGE_ONLY"),$K634=""),"Declared delivery charge required",IF(AND(OR($S634="TOTAL_AMOUNT_INCLUDING_DELIVERY",$S634="EXACT_COLLECTION_AMOUNT"),$T634=""),"Stated total amount required",IF(AND($S634="TOTAL_AMOUNT_INCLUDING_DELIVERY",$T634&lt;SUM($J634,$U634)),"Stated total is below item price plus additional charge",IF($S634="EXACT_COLLECTION_AMOUNT","Authorized amount breakdown required before settlement","Ready for collection and settlement"))))))))))))</f>
        <v/>
      </c>
      <c r="AW634" s="23">
        <f>IF($AU634="","","PARCEL_FINANCIAL_V2")</f>
        <v/>
      </c>
      <c r="AX634" s="17" t="n"/>
    </row>
    <row r="635">
      <c r="A635" s="8" t="n"/>
      <c r="B635" s="8" t="n"/>
      <c r="C635" s="8" t="n"/>
      <c r="D635" s="8" t="n"/>
      <c r="E635" s="9" t="n"/>
      <c r="F635" s="9" t="n"/>
      <c r="G635" s="8" t="n"/>
      <c r="H635" s="9" t="n"/>
      <c r="I635" s="9" t="n"/>
      <c r="J635" s="10" t="n"/>
      <c r="K635" s="10" t="n"/>
      <c r="L635" s="11">
        <f>IF($S635="","",IF($S635="ITEM_PRICE_PLUS_DECLARED_DELIVERY",IF(OR($J635="",$K635=""),"",SUM($J635,$K635,$U635)),IF($S635="TOTAL_AMOUNT_INCLUDING_DELIVERY",IF($T635="","",$T635),IF($S635="DELIVERY_CHARGE_ONLY",IF($K635="","",SUM($K635,$U635)),IF($S635="EXACT_COLLECTION_AMOUNT",IF($T635="","",$T635),IF($S635="ITEM_PRICE_ONLY_DELIVERY_PAID_BY_MERCHANT",IF($J635="","",SUM($J635,$U635)),""))))))</f>
        <v/>
      </c>
      <c r="M635" s="12" t="n"/>
      <c r="N635" s="13" t="n"/>
      <c r="O635" s="13" t="n"/>
      <c r="P635" s="9" t="n"/>
      <c r="Q635" s="14" t="n"/>
      <c r="R635" s="15" t="n"/>
      <c r="S635" s="14" t="n"/>
      <c r="T635" s="16" t="n"/>
      <c r="U635" s="16" t="n"/>
      <c r="V635" s="16" t="n"/>
      <c r="W635" s="16" t="n"/>
      <c r="X635" s="16" t="n"/>
      <c r="Y635" s="16" t="n"/>
      <c r="Z635" s="14" t="n"/>
      <c r="AA635" s="14" t="n"/>
      <c r="AB635" s="14" t="n"/>
      <c r="AC635" s="17">
        <f>IFERROR(VLOOKUP($H635&amp;"|"&amp;$Q635,Tariff_Master!$A$2:$L$169,3,FALSE),"")</f>
        <v/>
      </c>
      <c r="AD635" s="17">
        <f>IFERROR(VLOOKUP($H635&amp;"|"&amp;$Q635,Tariff_Master!$A$2:$L$169,4,FALSE),"")</f>
        <v/>
      </c>
      <c r="AE635" s="18">
        <f>IFERROR(VLOOKUP($H635&amp;"|"&amp;$Q635,Tariff_Master!$A$2:$L$169,6,FALSE),"")</f>
        <v/>
      </c>
      <c r="AF635" s="19">
        <f>IFERROR(VLOOKUP($H635&amp;"|"&amp;$Q635,Tariff_Master!$A$2:$L$169,7,FALSE),"")</f>
        <v/>
      </c>
      <c r="AG635" s="18">
        <f>IFERROR(VLOOKUP($H635&amp;"|"&amp;$Q635,Tariff_Master!$A$2:$L$169,8,FALSE),"")</f>
        <v/>
      </c>
      <c r="AH635" s="20">
        <f>IFERROR(VLOOKUP($H635&amp;"|"&amp;$Q635,Tariff_Master!$A$2:$L$169,9,FALSE),"")</f>
        <v/>
      </c>
      <c r="AI635" s="18">
        <f>IFERROR(VLOOKUP($H635&amp;"|"&amp;$Q635,Tariff_Master!$A$2:$L$169,10,FALSE),"")</f>
        <v/>
      </c>
      <c r="AJ635" s="21">
        <f>IF($M635="","",ROUNDUP(MAX(0,$M635),0))</f>
        <v/>
      </c>
      <c r="AK635" s="21">
        <f>IF(OR($AJ635="",$AF635=""),"",MAX(0,$AJ635-$AF635))</f>
        <v/>
      </c>
      <c r="AL635" s="22">
        <f>IF(OR($AK635="",$AG635=""),"",MAX(0,$AK635*$AG635))</f>
        <v/>
      </c>
      <c r="AM635" s="22">
        <f>IF($AE635="","",MAX(0,SUM($AE635,$AL635,$V635,$W635)))</f>
        <v/>
      </c>
      <c r="AN635" s="22">
        <f>IF($AM635="","",IF(AND($Q635="COMMITMENT",$R635&gt;=$AH635),$AI635,0))</f>
        <v/>
      </c>
      <c r="AO635" s="23">
        <f>IF($AM635="","",MAX(0,$AM635-$AN635))</f>
        <v/>
      </c>
      <c r="AP635" s="22">
        <f>IF($S635="","",IF(OR($S635="ITEM_PRICE_PLUS_DECLARED_DELIVERY",$S635="DELIVERY_CHARGE_ONLY"),$K635,IF($S635="TOTAL_AMOUNT_INCLUDING_DELIVERY",IF(OR($T635="",$J635=""),"",MAX(0,$T635-$J635-$U635)),IF($S635="ITEM_PRICE_ONLY_DELIVERY_PAID_BY_MERCHANT",0,""))))</f>
        <v/>
      </c>
      <c r="AQ635" s="23">
        <f>IF(OR($AP635="",$AO635=""),"",$AP635-$AO635)</f>
        <v/>
      </c>
      <c r="AR635" s="24">
        <f>IF($S635="EXACT_COLLECTION_AMOUNT","BREAKDOWN_REQUIRED",IF($AQ635="","",IF($AQ635&gt;0,"CREDIT_TO_MERCHANT",IF($AQ635&lt;0,"DEDUCT_FROM_MERCHANT","NO_ADJUSTMENT"))))</f>
        <v/>
      </c>
      <c r="AS635" s="23">
        <f>IF(OR($AQ635="",$AR635="BREAKDOWN_REQUIRED"),"",$AQ635)</f>
        <v/>
      </c>
      <c r="AT635" s="23">
        <f>IF(OR($AR635="",$AR635="BREAKDOWN_REQUIRED"),"",SUM($J635,$AQ635,$Y635)-$X635)</f>
        <v/>
      </c>
      <c r="AU635" s="25">
        <f>IF(AND($A635="",$B635="",$F635="",$H635="",$J635="",$K635="",$M635="",$S635=""),"",IF(OR($H635="",$Q635="",$M635="",$S635=""),"ERROR",IF(OR($J635&lt;0,$K635&lt;0,$M635&lt;0,$T635&lt;0,$U635&lt;0,$V635&lt;0,$W635&lt;0,$X635&lt;0,$Y635&lt;0),"ERROR",IF($AE635="","ERROR",IF(AND(OR($S635="ITEM_PRICE_PLUS_DECLARED_DELIVERY",$S635="TOTAL_AMOUNT_INCLUDING_DELIVERY",$S635="ITEM_PRICE_ONLY_DELIVERY_PAID_BY_MERCHANT"),$J635=""),"ERROR",IF(AND(OR($S635="ITEM_PRICE_PLUS_DECLARED_DELIVERY",$S635="DELIVERY_CHARGE_ONLY"),$K635=""),"ERROR",IF(AND(OR($S635="TOTAL_AMOUNT_INCLUDING_DELIVERY",$S635="EXACT_COLLECTION_AMOUNT"),$T635=""),"ERROR",IF(AND($S635="TOTAL_AMOUNT_INCLUDING_DELIVERY",$T635&lt;SUM($J635,$U635)),"ERROR",IF($S635="EXACT_COLLECTION_AMOUNT","REVIEW","OK")))))))))</f>
        <v/>
      </c>
      <c r="AV635" s="25">
        <f>IF($AU635="","",IF($H635="","Township required",IF($Q635="","Customer tier required",IF($M635="","Weight required",IF($S635="","Amount entry type required",IF(OR($J635&lt;0,$K635&lt;0,$M635&lt;0,$T635&lt;0,$U635&lt;0,$V635&lt;0,$W635&lt;0,$X635&lt;0,$Y635&lt;0),"Negative amounts are not allowed",IF($AE635="","Tariff not found for township and tier",IF(AND(OR($S635="ITEM_PRICE_PLUS_DECLARED_DELIVERY",$S635="TOTAL_AMOUNT_INCLUDING_DELIVERY",$S635="ITEM_PRICE_ONLY_DELIVERY_PAID_BY_MERCHANT"),$J635=""),"Item price required for this amount type",IF(AND(OR($S635="ITEM_PRICE_PLUS_DECLARED_DELIVERY",$S635="DELIVERY_CHARGE_ONLY"),$K635=""),"Declared delivery charge required",IF(AND(OR($S635="TOTAL_AMOUNT_INCLUDING_DELIVERY",$S635="EXACT_COLLECTION_AMOUNT"),$T635=""),"Stated total amount required",IF(AND($S635="TOTAL_AMOUNT_INCLUDING_DELIVERY",$T635&lt;SUM($J635,$U635)),"Stated total is below item price plus additional charge",IF($S635="EXACT_COLLECTION_AMOUNT","Authorized amount breakdown required before settlement","Ready for collection and settlement"))))))))))))</f>
        <v/>
      </c>
      <c r="AW635" s="23">
        <f>IF($AU635="","","PARCEL_FINANCIAL_V2")</f>
        <v/>
      </c>
      <c r="AX635" s="17" t="n"/>
    </row>
    <row r="636">
      <c r="A636" s="8" t="n"/>
      <c r="B636" s="8" t="n"/>
      <c r="C636" s="8" t="n"/>
      <c r="D636" s="8" t="n"/>
      <c r="E636" s="9" t="n"/>
      <c r="F636" s="9" t="n"/>
      <c r="G636" s="8" t="n"/>
      <c r="H636" s="9" t="n"/>
      <c r="I636" s="9" t="n"/>
      <c r="J636" s="10" t="n"/>
      <c r="K636" s="10" t="n"/>
      <c r="L636" s="11">
        <f>IF($S636="","",IF($S636="ITEM_PRICE_PLUS_DECLARED_DELIVERY",IF(OR($J636="",$K636=""),"",SUM($J636,$K636,$U636)),IF($S636="TOTAL_AMOUNT_INCLUDING_DELIVERY",IF($T636="","",$T636),IF($S636="DELIVERY_CHARGE_ONLY",IF($K636="","",SUM($K636,$U636)),IF($S636="EXACT_COLLECTION_AMOUNT",IF($T636="","",$T636),IF($S636="ITEM_PRICE_ONLY_DELIVERY_PAID_BY_MERCHANT",IF($J636="","",SUM($J636,$U636)),""))))))</f>
        <v/>
      </c>
      <c r="M636" s="12" t="n"/>
      <c r="N636" s="13" t="n"/>
      <c r="O636" s="13" t="n"/>
      <c r="P636" s="9" t="n"/>
      <c r="Q636" s="14" t="n"/>
      <c r="R636" s="15" t="n"/>
      <c r="S636" s="14" t="n"/>
      <c r="T636" s="16" t="n"/>
      <c r="U636" s="16" t="n"/>
      <c r="V636" s="16" t="n"/>
      <c r="W636" s="16" t="n"/>
      <c r="X636" s="16" t="n"/>
      <c r="Y636" s="16" t="n"/>
      <c r="Z636" s="14" t="n"/>
      <c r="AA636" s="14" t="n"/>
      <c r="AB636" s="14" t="n"/>
      <c r="AC636" s="17">
        <f>IFERROR(VLOOKUP($H636&amp;"|"&amp;$Q636,Tariff_Master!$A$2:$L$169,3,FALSE),"")</f>
        <v/>
      </c>
      <c r="AD636" s="17">
        <f>IFERROR(VLOOKUP($H636&amp;"|"&amp;$Q636,Tariff_Master!$A$2:$L$169,4,FALSE),"")</f>
        <v/>
      </c>
      <c r="AE636" s="18">
        <f>IFERROR(VLOOKUP($H636&amp;"|"&amp;$Q636,Tariff_Master!$A$2:$L$169,6,FALSE),"")</f>
        <v/>
      </c>
      <c r="AF636" s="19">
        <f>IFERROR(VLOOKUP($H636&amp;"|"&amp;$Q636,Tariff_Master!$A$2:$L$169,7,FALSE),"")</f>
        <v/>
      </c>
      <c r="AG636" s="18">
        <f>IFERROR(VLOOKUP($H636&amp;"|"&amp;$Q636,Tariff_Master!$A$2:$L$169,8,FALSE),"")</f>
        <v/>
      </c>
      <c r="AH636" s="20">
        <f>IFERROR(VLOOKUP($H636&amp;"|"&amp;$Q636,Tariff_Master!$A$2:$L$169,9,FALSE),"")</f>
        <v/>
      </c>
      <c r="AI636" s="18">
        <f>IFERROR(VLOOKUP($H636&amp;"|"&amp;$Q636,Tariff_Master!$A$2:$L$169,10,FALSE),"")</f>
        <v/>
      </c>
      <c r="AJ636" s="21">
        <f>IF($M636="","",ROUNDUP(MAX(0,$M636),0))</f>
        <v/>
      </c>
      <c r="AK636" s="21">
        <f>IF(OR($AJ636="",$AF636=""),"",MAX(0,$AJ636-$AF636))</f>
        <v/>
      </c>
      <c r="AL636" s="22">
        <f>IF(OR($AK636="",$AG636=""),"",MAX(0,$AK636*$AG636))</f>
        <v/>
      </c>
      <c r="AM636" s="22">
        <f>IF($AE636="","",MAX(0,SUM($AE636,$AL636,$V636,$W636)))</f>
        <v/>
      </c>
      <c r="AN636" s="22">
        <f>IF($AM636="","",IF(AND($Q636="COMMITMENT",$R636&gt;=$AH636),$AI636,0))</f>
        <v/>
      </c>
      <c r="AO636" s="23">
        <f>IF($AM636="","",MAX(0,$AM636-$AN636))</f>
        <v/>
      </c>
      <c r="AP636" s="22">
        <f>IF($S636="","",IF(OR($S636="ITEM_PRICE_PLUS_DECLARED_DELIVERY",$S636="DELIVERY_CHARGE_ONLY"),$K636,IF($S636="TOTAL_AMOUNT_INCLUDING_DELIVERY",IF(OR($T636="",$J636=""),"",MAX(0,$T636-$J636-$U636)),IF($S636="ITEM_PRICE_ONLY_DELIVERY_PAID_BY_MERCHANT",0,""))))</f>
        <v/>
      </c>
      <c r="AQ636" s="23">
        <f>IF(OR($AP636="",$AO636=""),"",$AP636-$AO636)</f>
        <v/>
      </c>
      <c r="AR636" s="24">
        <f>IF($S636="EXACT_COLLECTION_AMOUNT","BREAKDOWN_REQUIRED",IF($AQ636="","",IF($AQ636&gt;0,"CREDIT_TO_MERCHANT",IF($AQ636&lt;0,"DEDUCT_FROM_MERCHANT","NO_ADJUSTMENT"))))</f>
        <v/>
      </c>
      <c r="AS636" s="23">
        <f>IF(OR($AQ636="",$AR636="BREAKDOWN_REQUIRED"),"",$AQ636)</f>
        <v/>
      </c>
      <c r="AT636" s="23">
        <f>IF(OR($AR636="",$AR636="BREAKDOWN_REQUIRED"),"",SUM($J636,$AQ636,$Y636)-$X636)</f>
        <v/>
      </c>
      <c r="AU636" s="25">
        <f>IF(AND($A636="",$B636="",$F636="",$H636="",$J636="",$K636="",$M636="",$S636=""),"",IF(OR($H636="",$Q636="",$M636="",$S636=""),"ERROR",IF(OR($J636&lt;0,$K636&lt;0,$M636&lt;0,$T636&lt;0,$U636&lt;0,$V636&lt;0,$W636&lt;0,$X636&lt;0,$Y636&lt;0),"ERROR",IF($AE636="","ERROR",IF(AND(OR($S636="ITEM_PRICE_PLUS_DECLARED_DELIVERY",$S636="TOTAL_AMOUNT_INCLUDING_DELIVERY",$S636="ITEM_PRICE_ONLY_DELIVERY_PAID_BY_MERCHANT"),$J636=""),"ERROR",IF(AND(OR($S636="ITEM_PRICE_PLUS_DECLARED_DELIVERY",$S636="DELIVERY_CHARGE_ONLY"),$K636=""),"ERROR",IF(AND(OR($S636="TOTAL_AMOUNT_INCLUDING_DELIVERY",$S636="EXACT_COLLECTION_AMOUNT"),$T636=""),"ERROR",IF(AND($S636="TOTAL_AMOUNT_INCLUDING_DELIVERY",$T636&lt;SUM($J636,$U636)),"ERROR",IF($S636="EXACT_COLLECTION_AMOUNT","REVIEW","OK")))))))))</f>
        <v/>
      </c>
      <c r="AV636" s="25">
        <f>IF($AU636="","",IF($H636="","Township required",IF($Q636="","Customer tier required",IF($M636="","Weight required",IF($S636="","Amount entry type required",IF(OR($J636&lt;0,$K636&lt;0,$M636&lt;0,$T636&lt;0,$U636&lt;0,$V636&lt;0,$W636&lt;0,$X636&lt;0,$Y636&lt;0),"Negative amounts are not allowed",IF($AE636="","Tariff not found for township and tier",IF(AND(OR($S636="ITEM_PRICE_PLUS_DECLARED_DELIVERY",$S636="TOTAL_AMOUNT_INCLUDING_DELIVERY",$S636="ITEM_PRICE_ONLY_DELIVERY_PAID_BY_MERCHANT"),$J636=""),"Item price required for this amount type",IF(AND(OR($S636="ITEM_PRICE_PLUS_DECLARED_DELIVERY",$S636="DELIVERY_CHARGE_ONLY"),$K636=""),"Declared delivery charge required",IF(AND(OR($S636="TOTAL_AMOUNT_INCLUDING_DELIVERY",$S636="EXACT_COLLECTION_AMOUNT"),$T636=""),"Stated total amount required",IF(AND($S636="TOTAL_AMOUNT_INCLUDING_DELIVERY",$T636&lt;SUM($J636,$U636)),"Stated total is below item price plus additional charge",IF($S636="EXACT_COLLECTION_AMOUNT","Authorized amount breakdown required before settlement","Ready for collection and settlement"))))))))))))</f>
        <v/>
      </c>
      <c r="AW636" s="23">
        <f>IF($AU636="","","PARCEL_FINANCIAL_V2")</f>
        <v/>
      </c>
      <c r="AX636" s="17" t="n"/>
    </row>
    <row r="637">
      <c r="A637" s="8" t="n"/>
      <c r="B637" s="8" t="n"/>
      <c r="C637" s="8" t="n"/>
      <c r="D637" s="8" t="n"/>
      <c r="E637" s="9" t="n"/>
      <c r="F637" s="9" t="n"/>
      <c r="G637" s="8" t="n"/>
      <c r="H637" s="9" t="n"/>
      <c r="I637" s="9" t="n"/>
      <c r="J637" s="10" t="n"/>
      <c r="K637" s="10" t="n"/>
      <c r="L637" s="11">
        <f>IF($S637="","",IF($S637="ITEM_PRICE_PLUS_DECLARED_DELIVERY",IF(OR($J637="",$K637=""),"",SUM($J637,$K637,$U637)),IF($S637="TOTAL_AMOUNT_INCLUDING_DELIVERY",IF($T637="","",$T637),IF($S637="DELIVERY_CHARGE_ONLY",IF($K637="","",SUM($K637,$U637)),IF($S637="EXACT_COLLECTION_AMOUNT",IF($T637="","",$T637),IF($S637="ITEM_PRICE_ONLY_DELIVERY_PAID_BY_MERCHANT",IF($J637="","",SUM($J637,$U637)),""))))))</f>
        <v/>
      </c>
      <c r="M637" s="12" t="n"/>
      <c r="N637" s="13" t="n"/>
      <c r="O637" s="13" t="n"/>
      <c r="P637" s="9" t="n"/>
      <c r="Q637" s="14" t="n"/>
      <c r="R637" s="15" t="n"/>
      <c r="S637" s="14" t="n"/>
      <c r="T637" s="16" t="n"/>
      <c r="U637" s="16" t="n"/>
      <c r="V637" s="16" t="n"/>
      <c r="W637" s="16" t="n"/>
      <c r="X637" s="16" t="n"/>
      <c r="Y637" s="16" t="n"/>
      <c r="Z637" s="14" t="n"/>
      <c r="AA637" s="14" t="n"/>
      <c r="AB637" s="14" t="n"/>
      <c r="AC637" s="17">
        <f>IFERROR(VLOOKUP($H637&amp;"|"&amp;$Q637,Tariff_Master!$A$2:$L$169,3,FALSE),"")</f>
        <v/>
      </c>
      <c r="AD637" s="17">
        <f>IFERROR(VLOOKUP($H637&amp;"|"&amp;$Q637,Tariff_Master!$A$2:$L$169,4,FALSE),"")</f>
        <v/>
      </c>
      <c r="AE637" s="18">
        <f>IFERROR(VLOOKUP($H637&amp;"|"&amp;$Q637,Tariff_Master!$A$2:$L$169,6,FALSE),"")</f>
        <v/>
      </c>
      <c r="AF637" s="19">
        <f>IFERROR(VLOOKUP($H637&amp;"|"&amp;$Q637,Tariff_Master!$A$2:$L$169,7,FALSE),"")</f>
        <v/>
      </c>
      <c r="AG637" s="18">
        <f>IFERROR(VLOOKUP($H637&amp;"|"&amp;$Q637,Tariff_Master!$A$2:$L$169,8,FALSE),"")</f>
        <v/>
      </c>
      <c r="AH637" s="20">
        <f>IFERROR(VLOOKUP($H637&amp;"|"&amp;$Q637,Tariff_Master!$A$2:$L$169,9,FALSE),"")</f>
        <v/>
      </c>
      <c r="AI637" s="18">
        <f>IFERROR(VLOOKUP($H637&amp;"|"&amp;$Q637,Tariff_Master!$A$2:$L$169,10,FALSE),"")</f>
        <v/>
      </c>
      <c r="AJ637" s="21">
        <f>IF($M637="","",ROUNDUP(MAX(0,$M637),0))</f>
        <v/>
      </c>
      <c r="AK637" s="21">
        <f>IF(OR($AJ637="",$AF637=""),"",MAX(0,$AJ637-$AF637))</f>
        <v/>
      </c>
      <c r="AL637" s="22">
        <f>IF(OR($AK637="",$AG637=""),"",MAX(0,$AK637*$AG637))</f>
        <v/>
      </c>
      <c r="AM637" s="22">
        <f>IF($AE637="","",MAX(0,SUM($AE637,$AL637,$V637,$W637)))</f>
        <v/>
      </c>
      <c r="AN637" s="22">
        <f>IF($AM637="","",IF(AND($Q637="COMMITMENT",$R637&gt;=$AH637),$AI637,0))</f>
        <v/>
      </c>
      <c r="AO637" s="23">
        <f>IF($AM637="","",MAX(0,$AM637-$AN637))</f>
        <v/>
      </c>
      <c r="AP637" s="22">
        <f>IF($S637="","",IF(OR($S637="ITEM_PRICE_PLUS_DECLARED_DELIVERY",$S637="DELIVERY_CHARGE_ONLY"),$K637,IF($S637="TOTAL_AMOUNT_INCLUDING_DELIVERY",IF(OR($T637="",$J637=""),"",MAX(0,$T637-$J637-$U637)),IF($S637="ITEM_PRICE_ONLY_DELIVERY_PAID_BY_MERCHANT",0,""))))</f>
        <v/>
      </c>
      <c r="AQ637" s="23">
        <f>IF(OR($AP637="",$AO637=""),"",$AP637-$AO637)</f>
        <v/>
      </c>
      <c r="AR637" s="24">
        <f>IF($S637="EXACT_COLLECTION_AMOUNT","BREAKDOWN_REQUIRED",IF($AQ637="","",IF($AQ637&gt;0,"CREDIT_TO_MERCHANT",IF($AQ637&lt;0,"DEDUCT_FROM_MERCHANT","NO_ADJUSTMENT"))))</f>
        <v/>
      </c>
      <c r="AS637" s="23">
        <f>IF(OR($AQ637="",$AR637="BREAKDOWN_REQUIRED"),"",$AQ637)</f>
        <v/>
      </c>
      <c r="AT637" s="23">
        <f>IF(OR($AR637="",$AR637="BREAKDOWN_REQUIRED"),"",SUM($J637,$AQ637,$Y637)-$X637)</f>
        <v/>
      </c>
      <c r="AU637" s="25">
        <f>IF(AND($A637="",$B637="",$F637="",$H637="",$J637="",$K637="",$M637="",$S637=""),"",IF(OR($H637="",$Q637="",$M637="",$S637=""),"ERROR",IF(OR($J637&lt;0,$K637&lt;0,$M637&lt;0,$T637&lt;0,$U637&lt;0,$V637&lt;0,$W637&lt;0,$X637&lt;0,$Y637&lt;0),"ERROR",IF($AE637="","ERROR",IF(AND(OR($S637="ITEM_PRICE_PLUS_DECLARED_DELIVERY",$S637="TOTAL_AMOUNT_INCLUDING_DELIVERY",$S637="ITEM_PRICE_ONLY_DELIVERY_PAID_BY_MERCHANT"),$J637=""),"ERROR",IF(AND(OR($S637="ITEM_PRICE_PLUS_DECLARED_DELIVERY",$S637="DELIVERY_CHARGE_ONLY"),$K637=""),"ERROR",IF(AND(OR($S637="TOTAL_AMOUNT_INCLUDING_DELIVERY",$S637="EXACT_COLLECTION_AMOUNT"),$T637=""),"ERROR",IF(AND($S637="TOTAL_AMOUNT_INCLUDING_DELIVERY",$T637&lt;SUM($J637,$U637)),"ERROR",IF($S637="EXACT_COLLECTION_AMOUNT","REVIEW","OK")))))))))</f>
        <v/>
      </c>
      <c r="AV637" s="25">
        <f>IF($AU637="","",IF($H637="","Township required",IF($Q637="","Customer tier required",IF($M637="","Weight required",IF($S637="","Amount entry type required",IF(OR($J637&lt;0,$K637&lt;0,$M637&lt;0,$T637&lt;0,$U637&lt;0,$V637&lt;0,$W637&lt;0,$X637&lt;0,$Y637&lt;0),"Negative amounts are not allowed",IF($AE637="","Tariff not found for township and tier",IF(AND(OR($S637="ITEM_PRICE_PLUS_DECLARED_DELIVERY",$S637="TOTAL_AMOUNT_INCLUDING_DELIVERY",$S637="ITEM_PRICE_ONLY_DELIVERY_PAID_BY_MERCHANT"),$J637=""),"Item price required for this amount type",IF(AND(OR($S637="ITEM_PRICE_PLUS_DECLARED_DELIVERY",$S637="DELIVERY_CHARGE_ONLY"),$K637=""),"Declared delivery charge required",IF(AND(OR($S637="TOTAL_AMOUNT_INCLUDING_DELIVERY",$S637="EXACT_COLLECTION_AMOUNT"),$T637=""),"Stated total amount required",IF(AND($S637="TOTAL_AMOUNT_INCLUDING_DELIVERY",$T637&lt;SUM($J637,$U637)),"Stated total is below item price plus additional charge",IF($S637="EXACT_COLLECTION_AMOUNT","Authorized amount breakdown required before settlement","Ready for collection and settlement"))))))))))))</f>
        <v/>
      </c>
      <c r="AW637" s="23">
        <f>IF($AU637="","","PARCEL_FINANCIAL_V2")</f>
        <v/>
      </c>
      <c r="AX637" s="17" t="n"/>
    </row>
    <row r="638">
      <c r="A638" s="8" t="n"/>
      <c r="B638" s="8" t="n"/>
      <c r="C638" s="8" t="n"/>
      <c r="D638" s="8" t="n"/>
      <c r="E638" s="9" t="n"/>
      <c r="F638" s="9" t="n"/>
      <c r="G638" s="8" t="n"/>
      <c r="H638" s="9" t="n"/>
      <c r="I638" s="9" t="n"/>
      <c r="J638" s="10" t="n"/>
      <c r="K638" s="10" t="n"/>
      <c r="L638" s="11">
        <f>IF($S638="","",IF($S638="ITEM_PRICE_PLUS_DECLARED_DELIVERY",IF(OR($J638="",$K638=""),"",SUM($J638,$K638,$U638)),IF($S638="TOTAL_AMOUNT_INCLUDING_DELIVERY",IF($T638="","",$T638),IF($S638="DELIVERY_CHARGE_ONLY",IF($K638="","",SUM($K638,$U638)),IF($S638="EXACT_COLLECTION_AMOUNT",IF($T638="","",$T638),IF($S638="ITEM_PRICE_ONLY_DELIVERY_PAID_BY_MERCHANT",IF($J638="","",SUM($J638,$U638)),""))))))</f>
        <v/>
      </c>
      <c r="M638" s="12" t="n"/>
      <c r="N638" s="13" t="n"/>
      <c r="O638" s="13" t="n"/>
      <c r="P638" s="9" t="n"/>
      <c r="Q638" s="14" t="n"/>
      <c r="R638" s="15" t="n"/>
      <c r="S638" s="14" t="n"/>
      <c r="T638" s="16" t="n"/>
      <c r="U638" s="16" t="n"/>
      <c r="V638" s="16" t="n"/>
      <c r="W638" s="16" t="n"/>
      <c r="X638" s="16" t="n"/>
      <c r="Y638" s="16" t="n"/>
      <c r="Z638" s="14" t="n"/>
      <c r="AA638" s="14" t="n"/>
      <c r="AB638" s="14" t="n"/>
      <c r="AC638" s="17">
        <f>IFERROR(VLOOKUP($H638&amp;"|"&amp;$Q638,Tariff_Master!$A$2:$L$169,3,FALSE),"")</f>
        <v/>
      </c>
      <c r="AD638" s="17">
        <f>IFERROR(VLOOKUP($H638&amp;"|"&amp;$Q638,Tariff_Master!$A$2:$L$169,4,FALSE),"")</f>
        <v/>
      </c>
      <c r="AE638" s="18">
        <f>IFERROR(VLOOKUP($H638&amp;"|"&amp;$Q638,Tariff_Master!$A$2:$L$169,6,FALSE),"")</f>
        <v/>
      </c>
      <c r="AF638" s="19">
        <f>IFERROR(VLOOKUP($H638&amp;"|"&amp;$Q638,Tariff_Master!$A$2:$L$169,7,FALSE),"")</f>
        <v/>
      </c>
      <c r="AG638" s="18">
        <f>IFERROR(VLOOKUP($H638&amp;"|"&amp;$Q638,Tariff_Master!$A$2:$L$169,8,FALSE),"")</f>
        <v/>
      </c>
      <c r="AH638" s="20">
        <f>IFERROR(VLOOKUP($H638&amp;"|"&amp;$Q638,Tariff_Master!$A$2:$L$169,9,FALSE),"")</f>
        <v/>
      </c>
      <c r="AI638" s="18">
        <f>IFERROR(VLOOKUP($H638&amp;"|"&amp;$Q638,Tariff_Master!$A$2:$L$169,10,FALSE),"")</f>
        <v/>
      </c>
      <c r="AJ638" s="21">
        <f>IF($M638="","",ROUNDUP(MAX(0,$M638),0))</f>
        <v/>
      </c>
      <c r="AK638" s="21">
        <f>IF(OR($AJ638="",$AF638=""),"",MAX(0,$AJ638-$AF638))</f>
        <v/>
      </c>
      <c r="AL638" s="22">
        <f>IF(OR($AK638="",$AG638=""),"",MAX(0,$AK638*$AG638))</f>
        <v/>
      </c>
      <c r="AM638" s="22">
        <f>IF($AE638="","",MAX(0,SUM($AE638,$AL638,$V638,$W638)))</f>
        <v/>
      </c>
      <c r="AN638" s="22">
        <f>IF($AM638="","",IF(AND($Q638="COMMITMENT",$R638&gt;=$AH638),$AI638,0))</f>
        <v/>
      </c>
      <c r="AO638" s="23">
        <f>IF($AM638="","",MAX(0,$AM638-$AN638))</f>
        <v/>
      </c>
      <c r="AP638" s="22">
        <f>IF($S638="","",IF(OR($S638="ITEM_PRICE_PLUS_DECLARED_DELIVERY",$S638="DELIVERY_CHARGE_ONLY"),$K638,IF($S638="TOTAL_AMOUNT_INCLUDING_DELIVERY",IF(OR($T638="",$J638=""),"",MAX(0,$T638-$J638-$U638)),IF($S638="ITEM_PRICE_ONLY_DELIVERY_PAID_BY_MERCHANT",0,""))))</f>
        <v/>
      </c>
      <c r="AQ638" s="23">
        <f>IF(OR($AP638="",$AO638=""),"",$AP638-$AO638)</f>
        <v/>
      </c>
      <c r="AR638" s="24">
        <f>IF($S638="EXACT_COLLECTION_AMOUNT","BREAKDOWN_REQUIRED",IF($AQ638="","",IF($AQ638&gt;0,"CREDIT_TO_MERCHANT",IF($AQ638&lt;0,"DEDUCT_FROM_MERCHANT","NO_ADJUSTMENT"))))</f>
        <v/>
      </c>
      <c r="AS638" s="23">
        <f>IF(OR($AQ638="",$AR638="BREAKDOWN_REQUIRED"),"",$AQ638)</f>
        <v/>
      </c>
      <c r="AT638" s="23">
        <f>IF(OR($AR638="",$AR638="BREAKDOWN_REQUIRED"),"",SUM($J638,$AQ638,$Y638)-$X638)</f>
        <v/>
      </c>
      <c r="AU638" s="25">
        <f>IF(AND($A638="",$B638="",$F638="",$H638="",$J638="",$K638="",$M638="",$S638=""),"",IF(OR($H638="",$Q638="",$M638="",$S638=""),"ERROR",IF(OR($J638&lt;0,$K638&lt;0,$M638&lt;0,$T638&lt;0,$U638&lt;0,$V638&lt;0,$W638&lt;0,$X638&lt;0,$Y638&lt;0),"ERROR",IF($AE638="","ERROR",IF(AND(OR($S638="ITEM_PRICE_PLUS_DECLARED_DELIVERY",$S638="TOTAL_AMOUNT_INCLUDING_DELIVERY",$S638="ITEM_PRICE_ONLY_DELIVERY_PAID_BY_MERCHANT"),$J638=""),"ERROR",IF(AND(OR($S638="ITEM_PRICE_PLUS_DECLARED_DELIVERY",$S638="DELIVERY_CHARGE_ONLY"),$K638=""),"ERROR",IF(AND(OR($S638="TOTAL_AMOUNT_INCLUDING_DELIVERY",$S638="EXACT_COLLECTION_AMOUNT"),$T638=""),"ERROR",IF(AND($S638="TOTAL_AMOUNT_INCLUDING_DELIVERY",$T638&lt;SUM($J638,$U638)),"ERROR",IF($S638="EXACT_COLLECTION_AMOUNT","REVIEW","OK")))))))))</f>
        <v/>
      </c>
      <c r="AV638" s="25">
        <f>IF($AU638="","",IF($H638="","Township required",IF($Q638="","Customer tier required",IF($M638="","Weight required",IF($S638="","Amount entry type required",IF(OR($J638&lt;0,$K638&lt;0,$M638&lt;0,$T638&lt;0,$U638&lt;0,$V638&lt;0,$W638&lt;0,$X638&lt;0,$Y638&lt;0),"Negative amounts are not allowed",IF($AE638="","Tariff not found for township and tier",IF(AND(OR($S638="ITEM_PRICE_PLUS_DECLARED_DELIVERY",$S638="TOTAL_AMOUNT_INCLUDING_DELIVERY",$S638="ITEM_PRICE_ONLY_DELIVERY_PAID_BY_MERCHANT"),$J638=""),"Item price required for this amount type",IF(AND(OR($S638="ITEM_PRICE_PLUS_DECLARED_DELIVERY",$S638="DELIVERY_CHARGE_ONLY"),$K638=""),"Declared delivery charge required",IF(AND(OR($S638="TOTAL_AMOUNT_INCLUDING_DELIVERY",$S638="EXACT_COLLECTION_AMOUNT"),$T638=""),"Stated total amount required",IF(AND($S638="TOTAL_AMOUNT_INCLUDING_DELIVERY",$T638&lt;SUM($J638,$U638)),"Stated total is below item price plus additional charge",IF($S638="EXACT_COLLECTION_AMOUNT","Authorized amount breakdown required before settlement","Ready for collection and settlement"))))))))))))</f>
        <v/>
      </c>
      <c r="AW638" s="23">
        <f>IF($AU638="","","PARCEL_FINANCIAL_V2")</f>
        <v/>
      </c>
      <c r="AX638" s="17" t="n"/>
    </row>
    <row r="639">
      <c r="A639" s="8" t="n"/>
      <c r="B639" s="8" t="n"/>
      <c r="C639" s="8" t="n"/>
      <c r="D639" s="8" t="n"/>
      <c r="E639" s="9" t="n"/>
      <c r="F639" s="9" t="n"/>
      <c r="G639" s="8" t="n"/>
      <c r="H639" s="9" t="n"/>
      <c r="I639" s="9" t="n"/>
      <c r="J639" s="10" t="n"/>
      <c r="K639" s="10" t="n"/>
      <c r="L639" s="11">
        <f>IF($S639="","",IF($S639="ITEM_PRICE_PLUS_DECLARED_DELIVERY",IF(OR($J639="",$K639=""),"",SUM($J639,$K639,$U639)),IF($S639="TOTAL_AMOUNT_INCLUDING_DELIVERY",IF($T639="","",$T639),IF($S639="DELIVERY_CHARGE_ONLY",IF($K639="","",SUM($K639,$U639)),IF($S639="EXACT_COLLECTION_AMOUNT",IF($T639="","",$T639),IF($S639="ITEM_PRICE_ONLY_DELIVERY_PAID_BY_MERCHANT",IF($J639="","",SUM($J639,$U639)),""))))))</f>
        <v/>
      </c>
      <c r="M639" s="12" t="n"/>
      <c r="N639" s="13" t="n"/>
      <c r="O639" s="13" t="n"/>
      <c r="P639" s="9" t="n"/>
      <c r="Q639" s="14" t="n"/>
      <c r="R639" s="15" t="n"/>
      <c r="S639" s="14" t="n"/>
      <c r="T639" s="16" t="n"/>
      <c r="U639" s="16" t="n"/>
      <c r="V639" s="16" t="n"/>
      <c r="W639" s="16" t="n"/>
      <c r="X639" s="16" t="n"/>
      <c r="Y639" s="16" t="n"/>
      <c r="Z639" s="14" t="n"/>
      <c r="AA639" s="14" t="n"/>
      <c r="AB639" s="14" t="n"/>
      <c r="AC639" s="17">
        <f>IFERROR(VLOOKUP($H639&amp;"|"&amp;$Q639,Tariff_Master!$A$2:$L$169,3,FALSE),"")</f>
        <v/>
      </c>
      <c r="AD639" s="17">
        <f>IFERROR(VLOOKUP($H639&amp;"|"&amp;$Q639,Tariff_Master!$A$2:$L$169,4,FALSE),"")</f>
        <v/>
      </c>
      <c r="AE639" s="18">
        <f>IFERROR(VLOOKUP($H639&amp;"|"&amp;$Q639,Tariff_Master!$A$2:$L$169,6,FALSE),"")</f>
        <v/>
      </c>
      <c r="AF639" s="19">
        <f>IFERROR(VLOOKUP($H639&amp;"|"&amp;$Q639,Tariff_Master!$A$2:$L$169,7,FALSE),"")</f>
        <v/>
      </c>
      <c r="AG639" s="18">
        <f>IFERROR(VLOOKUP($H639&amp;"|"&amp;$Q639,Tariff_Master!$A$2:$L$169,8,FALSE),"")</f>
        <v/>
      </c>
      <c r="AH639" s="20">
        <f>IFERROR(VLOOKUP($H639&amp;"|"&amp;$Q639,Tariff_Master!$A$2:$L$169,9,FALSE),"")</f>
        <v/>
      </c>
      <c r="AI639" s="18">
        <f>IFERROR(VLOOKUP($H639&amp;"|"&amp;$Q639,Tariff_Master!$A$2:$L$169,10,FALSE),"")</f>
        <v/>
      </c>
      <c r="AJ639" s="21">
        <f>IF($M639="","",ROUNDUP(MAX(0,$M639),0))</f>
        <v/>
      </c>
      <c r="AK639" s="21">
        <f>IF(OR($AJ639="",$AF639=""),"",MAX(0,$AJ639-$AF639))</f>
        <v/>
      </c>
      <c r="AL639" s="22">
        <f>IF(OR($AK639="",$AG639=""),"",MAX(0,$AK639*$AG639))</f>
        <v/>
      </c>
      <c r="AM639" s="22">
        <f>IF($AE639="","",MAX(0,SUM($AE639,$AL639,$V639,$W639)))</f>
        <v/>
      </c>
      <c r="AN639" s="22">
        <f>IF($AM639="","",IF(AND($Q639="COMMITMENT",$R639&gt;=$AH639),$AI639,0))</f>
        <v/>
      </c>
      <c r="AO639" s="23">
        <f>IF($AM639="","",MAX(0,$AM639-$AN639))</f>
        <v/>
      </c>
      <c r="AP639" s="22">
        <f>IF($S639="","",IF(OR($S639="ITEM_PRICE_PLUS_DECLARED_DELIVERY",$S639="DELIVERY_CHARGE_ONLY"),$K639,IF($S639="TOTAL_AMOUNT_INCLUDING_DELIVERY",IF(OR($T639="",$J639=""),"",MAX(0,$T639-$J639-$U639)),IF($S639="ITEM_PRICE_ONLY_DELIVERY_PAID_BY_MERCHANT",0,""))))</f>
        <v/>
      </c>
      <c r="AQ639" s="23">
        <f>IF(OR($AP639="",$AO639=""),"",$AP639-$AO639)</f>
        <v/>
      </c>
      <c r="AR639" s="24">
        <f>IF($S639="EXACT_COLLECTION_AMOUNT","BREAKDOWN_REQUIRED",IF($AQ639="","",IF($AQ639&gt;0,"CREDIT_TO_MERCHANT",IF($AQ639&lt;0,"DEDUCT_FROM_MERCHANT","NO_ADJUSTMENT"))))</f>
        <v/>
      </c>
      <c r="AS639" s="23">
        <f>IF(OR($AQ639="",$AR639="BREAKDOWN_REQUIRED"),"",$AQ639)</f>
        <v/>
      </c>
      <c r="AT639" s="23">
        <f>IF(OR($AR639="",$AR639="BREAKDOWN_REQUIRED"),"",SUM($J639,$AQ639,$Y639)-$X639)</f>
        <v/>
      </c>
      <c r="AU639" s="25">
        <f>IF(AND($A639="",$B639="",$F639="",$H639="",$J639="",$K639="",$M639="",$S639=""),"",IF(OR($H639="",$Q639="",$M639="",$S639=""),"ERROR",IF(OR($J639&lt;0,$K639&lt;0,$M639&lt;0,$T639&lt;0,$U639&lt;0,$V639&lt;0,$W639&lt;0,$X639&lt;0,$Y639&lt;0),"ERROR",IF($AE639="","ERROR",IF(AND(OR($S639="ITEM_PRICE_PLUS_DECLARED_DELIVERY",$S639="TOTAL_AMOUNT_INCLUDING_DELIVERY",$S639="ITEM_PRICE_ONLY_DELIVERY_PAID_BY_MERCHANT"),$J639=""),"ERROR",IF(AND(OR($S639="ITEM_PRICE_PLUS_DECLARED_DELIVERY",$S639="DELIVERY_CHARGE_ONLY"),$K639=""),"ERROR",IF(AND(OR($S639="TOTAL_AMOUNT_INCLUDING_DELIVERY",$S639="EXACT_COLLECTION_AMOUNT"),$T639=""),"ERROR",IF(AND($S639="TOTAL_AMOUNT_INCLUDING_DELIVERY",$T639&lt;SUM($J639,$U639)),"ERROR",IF($S639="EXACT_COLLECTION_AMOUNT","REVIEW","OK")))))))))</f>
        <v/>
      </c>
      <c r="AV639" s="25">
        <f>IF($AU639="","",IF($H639="","Township required",IF($Q639="","Customer tier required",IF($M639="","Weight required",IF($S639="","Amount entry type required",IF(OR($J639&lt;0,$K639&lt;0,$M639&lt;0,$T639&lt;0,$U639&lt;0,$V639&lt;0,$W639&lt;0,$X639&lt;0,$Y639&lt;0),"Negative amounts are not allowed",IF($AE639="","Tariff not found for township and tier",IF(AND(OR($S639="ITEM_PRICE_PLUS_DECLARED_DELIVERY",$S639="TOTAL_AMOUNT_INCLUDING_DELIVERY",$S639="ITEM_PRICE_ONLY_DELIVERY_PAID_BY_MERCHANT"),$J639=""),"Item price required for this amount type",IF(AND(OR($S639="ITEM_PRICE_PLUS_DECLARED_DELIVERY",$S639="DELIVERY_CHARGE_ONLY"),$K639=""),"Declared delivery charge required",IF(AND(OR($S639="TOTAL_AMOUNT_INCLUDING_DELIVERY",$S639="EXACT_COLLECTION_AMOUNT"),$T639=""),"Stated total amount required",IF(AND($S639="TOTAL_AMOUNT_INCLUDING_DELIVERY",$T639&lt;SUM($J639,$U639)),"Stated total is below item price plus additional charge",IF($S639="EXACT_COLLECTION_AMOUNT","Authorized amount breakdown required before settlement","Ready for collection and settlement"))))))))))))</f>
        <v/>
      </c>
      <c r="AW639" s="23">
        <f>IF($AU639="","","PARCEL_FINANCIAL_V2")</f>
        <v/>
      </c>
      <c r="AX639" s="17" t="n"/>
    </row>
    <row r="640">
      <c r="A640" s="8" t="n"/>
      <c r="B640" s="8" t="n"/>
      <c r="C640" s="8" t="n"/>
      <c r="D640" s="8" t="n"/>
      <c r="E640" s="9" t="n"/>
      <c r="F640" s="9" t="n"/>
      <c r="G640" s="8" t="n"/>
      <c r="H640" s="9" t="n"/>
      <c r="I640" s="9" t="n"/>
      <c r="J640" s="10" t="n"/>
      <c r="K640" s="10" t="n"/>
      <c r="L640" s="11">
        <f>IF($S640="","",IF($S640="ITEM_PRICE_PLUS_DECLARED_DELIVERY",IF(OR($J640="",$K640=""),"",SUM($J640,$K640,$U640)),IF($S640="TOTAL_AMOUNT_INCLUDING_DELIVERY",IF($T640="","",$T640),IF($S640="DELIVERY_CHARGE_ONLY",IF($K640="","",SUM($K640,$U640)),IF($S640="EXACT_COLLECTION_AMOUNT",IF($T640="","",$T640),IF($S640="ITEM_PRICE_ONLY_DELIVERY_PAID_BY_MERCHANT",IF($J640="","",SUM($J640,$U640)),""))))))</f>
        <v/>
      </c>
      <c r="M640" s="12" t="n"/>
      <c r="N640" s="13" t="n"/>
      <c r="O640" s="13" t="n"/>
      <c r="P640" s="9" t="n"/>
      <c r="Q640" s="14" t="n"/>
      <c r="R640" s="15" t="n"/>
      <c r="S640" s="14" t="n"/>
      <c r="T640" s="16" t="n"/>
      <c r="U640" s="16" t="n"/>
      <c r="V640" s="16" t="n"/>
      <c r="W640" s="16" t="n"/>
      <c r="X640" s="16" t="n"/>
      <c r="Y640" s="16" t="n"/>
      <c r="Z640" s="14" t="n"/>
      <c r="AA640" s="14" t="n"/>
      <c r="AB640" s="14" t="n"/>
      <c r="AC640" s="17">
        <f>IFERROR(VLOOKUP($H640&amp;"|"&amp;$Q640,Tariff_Master!$A$2:$L$169,3,FALSE),"")</f>
        <v/>
      </c>
      <c r="AD640" s="17">
        <f>IFERROR(VLOOKUP($H640&amp;"|"&amp;$Q640,Tariff_Master!$A$2:$L$169,4,FALSE),"")</f>
        <v/>
      </c>
      <c r="AE640" s="18">
        <f>IFERROR(VLOOKUP($H640&amp;"|"&amp;$Q640,Tariff_Master!$A$2:$L$169,6,FALSE),"")</f>
        <v/>
      </c>
      <c r="AF640" s="19">
        <f>IFERROR(VLOOKUP($H640&amp;"|"&amp;$Q640,Tariff_Master!$A$2:$L$169,7,FALSE),"")</f>
        <v/>
      </c>
      <c r="AG640" s="18">
        <f>IFERROR(VLOOKUP($H640&amp;"|"&amp;$Q640,Tariff_Master!$A$2:$L$169,8,FALSE),"")</f>
        <v/>
      </c>
      <c r="AH640" s="20">
        <f>IFERROR(VLOOKUP($H640&amp;"|"&amp;$Q640,Tariff_Master!$A$2:$L$169,9,FALSE),"")</f>
        <v/>
      </c>
      <c r="AI640" s="18">
        <f>IFERROR(VLOOKUP($H640&amp;"|"&amp;$Q640,Tariff_Master!$A$2:$L$169,10,FALSE),"")</f>
        <v/>
      </c>
      <c r="AJ640" s="21">
        <f>IF($M640="","",ROUNDUP(MAX(0,$M640),0))</f>
        <v/>
      </c>
      <c r="AK640" s="21">
        <f>IF(OR($AJ640="",$AF640=""),"",MAX(0,$AJ640-$AF640))</f>
        <v/>
      </c>
      <c r="AL640" s="22">
        <f>IF(OR($AK640="",$AG640=""),"",MAX(0,$AK640*$AG640))</f>
        <v/>
      </c>
      <c r="AM640" s="22">
        <f>IF($AE640="","",MAX(0,SUM($AE640,$AL640,$V640,$W640)))</f>
        <v/>
      </c>
      <c r="AN640" s="22">
        <f>IF($AM640="","",IF(AND($Q640="COMMITMENT",$R640&gt;=$AH640),$AI640,0))</f>
        <v/>
      </c>
      <c r="AO640" s="23">
        <f>IF($AM640="","",MAX(0,$AM640-$AN640))</f>
        <v/>
      </c>
      <c r="AP640" s="22">
        <f>IF($S640="","",IF(OR($S640="ITEM_PRICE_PLUS_DECLARED_DELIVERY",$S640="DELIVERY_CHARGE_ONLY"),$K640,IF($S640="TOTAL_AMOUNT_INCLUDING_DELIVERY",IF(OR($T640="",$J640=""),"",MAX(0,$T640-$J640-$U640)),IF($S640="ITEM_PRICE_ONLY_DELIVERY_PAID_BY_MERCHANT",0,""))))</f>
        <v/>
      </c>
      <c r="AQ640" s="23">
        <f>IF(OR($AP640="",$AO640=""),"",$AP640-$AO640)</f>
        <v/>
      </c>
      <c r="AR640" s="24">
        <f>IF($S640="EXACT_COLLECTION_AMOUNT","BREAKDOWN_REQUIRED",IF($AQ640="","",IF($AQ640&gt;0,"CREDIT_TO_MERCHANT",IF($AQ640&lt;0,"DEDUCT_FROM_MERCHANT","NO_ADJUSTMENT"))))</f>
        <v/>
      </c>
      <c r="AS640" s="23">
        <f>IF(OR($AQ640="",$AR640="BREAKDOWN_REQUIRED"),"",$AQ640)</f>
        <v/>
      </c>
      <c r="AT640" s="23">
        <f>IF(OR($AR640="",$AR640="BREAKDOWN_REQUIRED"),"",SUM($J640,$AQ640,$Y640)-$X640)</f>
        <v/>
      </c>
      <c r="AU640" s="25">
        <f>IF(AND($A640="",$B640="",$F640="",$H640="",$J640="",$K640="",$M640="",$S640=""),"",IF(OR($H640="",$Q640="",$M640="",$S640=""),"ERROR",IF(OR($J640&lt;0,$K640&lt;0,$M640&lt;0,$T640&lt;0,$U640&lt;0,$V640&lt;0,$W640&lt;0,$X640&lt;0,$Y640&lt;0),"ERROR",IF($AE640="","ERROR",IF(AND(OR($S640="ITEM_PRICE_PLUS_DECLARED_DELIVERY",$S640="TOTAL_AMOUNT_INCLUDING_DELIVERY",$S640="ITEM_PRICE_ONLY_DELIVERY_PAID_BY_MERCHANT"),$J640=""),"ERROR",IF(AND(OR($S640="ITEM_PRICE_PLUS_DECLARED_DELIVERY",$S640="DELIVERY_CHARGE_ONLY"),$K640=""),"ERROR",IF(AND(OR($S640="TOTAL_AMOUNT_INCLUDING_DELIVERY",$S640="EXACT_COLLECTION_AMOUNT"),$T640=""),"ERROR",IF(AND($S640="TOTAL_AMOUNT_INCLUDING_DELIVERY",$T640&lt;SUM($J640,$U640)),"ERROR",IF($S640="EXACT_COLLECTION_AMOUNT","REVIEW","OK")))))))))</f>
        <v/>
      </c>
      <c r="AV640" s="25">
        <f>IF($AU640="","",IF($H640="","Township required",IF($Q640="","Customer tier required",IF($M640="","Weight required",IF($S640="","Amount entry type required",IF(OR($J640&lt;0,$K640&lt;0,$M640&lt;0,$T640&lt;0,$U640&lt;0,$V640&lt;0,$W640&lt;0,$X640&lt;0,$Y640&lt;0),"Negative amounts are not allowed",IF($AE640="","Tariff not found for township and tier",IF(AND(OR($S640="ITEM_PRICE_PLUS_DECLARED_DELIVERY",$S640="TOTAL_AMOUNT_INCLUDING_DELIVERY",$S640="ITEM_PRICE_ONLY_DELIVERY_PAID_BY_MERCHANT"),$J640=""),"Item price required for this amount type",IF(AND(OR($S640="ITEM_PRICE_PLUS_DECLARED_DELIVERY",$S640="DELIVERY_CHARGE_ONLY"),$K640=""),"Declared delivery charge required",IF(AND(OR($S640="TOTAL_AMOUNT_INCLUDING_DELIVERY",$S640="EXACT_COLLECTION_AMOUNT"),$T640=""),"Stated total amount required",IF(AND($S640="TOTAL_AMOUNT_INCLUDING_DELIVERY",$T640&lt;SUM($J640,$U640)),"Stated total is below item price plus additional charge",IF($S640="EXACT_COLLECTION_AMOUNT","Authorized amount breakdown required before settlement","Ready for collection and settlement"))))))))))))</f>
        <v/>
      </c>
      <c r="AW640" s="23">
        <f>IF($AU640="","","PARCEL_FINANCIAL_V2")</f>
        <v/>
      </c>
      <c r="AX640" s="17" t="n"/>
    </row>
    <row r="641">
      <c r="A641" s="8" t="n"/>
      <c r="B641" s="8" t="n"/>
      <c r="C641" s="8" t="n"/>
      <c r="D641" s="8" t="n"/>
      <c r="E641" s="9" t="n"/>
      <c r="F641" s="9" t="n"/>
      <c r="G641" s="8" t="n"/>
      <c r="H641" s="9" t="n"/>
      <c r="I641" s="9" t="n"/>
      <c r="J641" s="10" t="n"/>
      <c r="K641" s="10" t="n"/>
      <c r="L641" s="11">
        <f>IF($S641="","",IF($S641="ITEM_PRICE_PLUS_DECLARED_DELIVERY",IF(OR($J641="",$K641=""),"",SUM($J641,$K641,$U641)),IF($S641="TOTAL_AMOUNT_INCLUDING_DELIVERY",IF($T641="","",$T641),IF($S641="DELIVERY_CHARGE_ONLY",IF($K641="","",SUM($K641,$U641)),IF($S641="EXACT_COLLECTION_AMOUNT",IF($T641="","",$T641),IF($S641="ITEM_PRICE_ONLY_DELIVERY_PAID_BY_MERCHANT",IF($J641="","",SUM($J641,$U641)),""))))))</f>
        <v/>
      </c>
      <c r="M641" s="12" t="n"/>
      <c r="N641" s="13" t="n"/>
      <c r="O641" s="13" t="n"/>
      <c r="P641" s="9" t="n"/>
      <c r="Q641" s="14" t="n"/>
      <c r="R641" s="15" t="n"/>
      <c r="S641" s="14" t="n"/>
      <c r="T641" s="16" t="n"/>
      <c r="U641" s="16" t="n"/>
      <c r="V641" s="16" t="n"/>
      <c r="W641" s="16" t="n"/>
      <c r="X641" s="16" t="n"/>
      <c r="Y641" s="16" t="n"/>
      <c r="Z641" s="14" t="n"/>
      <c r="AA641" s="14" t="n"/>
      <c r="AB641" s="14" t="n"/>
      <c r="AC641" s="17">
        <f>IFERROR(VLOOKUP($H641&amp;"|"&amp;$Q641,Tariff_Master!$A$2:$L$169,3,FALSE),"")</f>
        <v/>
      </c>
      <c r="AD641" s="17">
        <f>IFERROR(VLOOKUP($H641&amp;"|"&amp;$Q641,Tariff_Master!$A$2:$L$169,4,FALSE),"")</f>
        <v/>
      </c>
      <c r="AE641" s="18">
        <f>IFERROR(VLOOKUP($H641&amp;"|"&amp;$Q641,Tariff_Master!$A$2:$L$169,6,FALSE),"")</f>
        <v/>
      </c>
      <c r="AF641" s="19">
        <f>IFERROR(VLOOKUP($H641&amp;"|"&amp;$Q641,Tariff_Master!$A$2:$L$169,7,FALSE),"")</f>
        <v/>
      </c>
      <c r="AG641" s="18">
        <f>IFERROR(VLOOKUP($H641&amp;"|"&amp;$Q641,Tariff_Master!$A$2:$L$169,8,FALSE),"")</f>
        <v/>
      </c>
      <c r="AH641" s="20">
        <f>IFERROR(VLOOKUP($H641&amp;"|"&amp;$Q641,Tariff_Master!$A$2:$L$169,9,FALSE),"")</f>
        <v/>
      </c>
      <c r="AI641" s="18">
        <f>IFERROR(VLOOKUP($H641&amp;"|"&amp;$Q641,Tariff_Master!$A$2:$L$169,10,FALSE),"")</f>
        <v/>
      </c>
      <c r="AJ641" s="21">
        <f>IF($M641="","",ROUNDUP(MAX(0,$M641),0))</f>
        <v/>
      </c>
      <c r="AK641" s="21">
        <f>IF(OR($AJ641="",$AF641=""),"",MAX(0,$AJ641-$AF641))</f>
        <v/>
      </c>
      <c r="AL641" s="22">
        <f>IF(OR($AK641="",$AG641=""),"",MAX(0,$AK641*$AG641))</f>
        <v/>
      </c>
      <c r="AM641" s="22">
        <f>IF($AE641="","",MAX(0,SUM($AE641,$AL641,$V641,$W641)))</f>
        <v/>
      </c>
      <c r="AN641" s="22">
        <f>IF($AM641="","",IF(AND($Q641="COMMITMENT",$R641&gt;=$AH641),$AI641,0))</f>
        <v/>
      </c>
      <c r="AO641" s="23">
        <f>IF($AM641="","",MAX(0,$AM641-$AN641))</f>
        <v/>
      </c>
      <c r="AP641" s="22">
        <f>IF($S641="","",IF(OR($S641="ITEM_PRICE_PLUS_DECLARED_DELIVERY",$S641="DELIVERY_CHARGE_ONLY"),$K641,IF($S641="TOTAL_AMOUNT_INCLUDING_DELIVERY",IF(OR($T641="",$J641=""),"",MAX(0,$T641-$J641-$U641)),IF($S641="ITEM_PRICE_ONLY_DELIVERY_PAID_BY_MERCHANT",0,""))))</f>
        <v/>
      </c>
      <c r="AQ641" s="23">
        <f>IF(OR($AP641="",$AO641=""),"",$AP641-$AO641)</f>
        <v/>
      </c>
      <c r="AR641" s="24">
        <f>IF($S641="EXACT_COLLECTION_AMOUNT","BREAKDOWN_REQUIRED",IF($AQ641="","",IF($AQ641&gt;0,"CREDIT_TO_MERCHANT",IF($AQ641&lt;0,"DEDUCT_FROM_MERCHANT","NO_ADJUSTMENT"))))</f>
        <v/>
      </c>
      <c r="AS641" s="23">
        <f>IF(OR($AQ641="",$AR641="BREAKDOWN_REQUIRED"),"",$AQ641)</f>
        <v/>
      </c>
      <c r="AT641" s="23">
        <f>IF(OR($AR641="",$AR641="BREAKDOWN_REQUIRED"),"",SUM($J641,$AQ641,$Y641)-$X641)</f>
        <v/>
      </c>
      <c r="AU641" s="25">
        <f>IF(AND($A641="",$B641="",$F641="",$H641="",$J641="",$K641="",$M641="",$S641=""),"",IF(OR($H641="",$Q641="",$M641="",$S641=""),"ERROR",IF(OR($J641&lt;0,$K641&lt;0,$M641&lt;0,$T641&lt;0,$U641&lt;0,$V641&lt;0,$W641&lt;0,$X641&lt;0,$Y641&lt;0),"ERROR",IF($AE641="","ERROR",IF(AND(OR($S641="ITEM_PRICE_PLUS_DECLARED_DELIVERY",$S641="TOTAL_AMOUNT_INCLUDING_DELIVERY",$S641="ITEM_PRICE_ONLY_DELIVERY_PAID_BY_MERCHANT"),$J641=""),"ERROR",IF(AND(OR($S641="ITEM_PRICE_PLUS_DECLARED_DELIVERY",$S641="DELIVERY_CHARGE_ONLY"),$K641=""),"ERROR",IF(AND(OR($S641="TOTAL_AMOUNT_INCLUDING_DELIVERY",$S641="EXACT_COLLECTION_AMOUNT"),$T641=""),"ERROR",IF(AND($S641="TOTAL_AMOUNT_INCLUDING_DELIVERY",$T641&lt;SUM($J641,$U641)),"ERROR",IF($S641="EXACT_COLLECTION_AMOUNT","REVIEW","OK")))))))))</f>
        <v/>
      </c>
      <c r="AV641" s="25">
        <f>IF($AU641="","",IF($H641="","Township required",IF($Q641="","Customer tier required",IF($M641="","Weight required",IF($S641="","Amount entry type required",IF(OR($J641&lt;0,$K641&lt;0,$M641&lt;0,$T641&lt;0,$U641&lt;0,$V641&lt;0,$W641&lt;0,$X641&lt;0,$Y641&lt;0),"Negative amounts are not allowed",IF($AE641="","Tariff not found for township and tier",IF(AND(OR($S641="ITEM_PRICE_PLUS_DECLARED_DELIVERY",$S641="TOTAL_AMOUNT_INCLUDING_DELIVERY",$S641="ITEM_PRICE_ONLY_DELIVERY_PAID_BY_MERCHANT"),$J641=""),"Item price required for this amount type",IF(AND(OR($S641="ITEM_PRICE_PLUS_DECLARED_DELIVERY",$S641="DELIVERY_CHARGE_ONLY"),$K641=""),"Declared delivery charge required",IF(AND(OR($S641="TOTAL_AMOUNT_INCLUDING_DELIVERY",$S641="EXACT_COLLECTION_AMOUNT"),$T641=""),"Stated total amount required",IF(AND($S641="TOTAL_AMOUNT_INCLUDING_DELIVERY",$T641&lt;SUM($J641,$U641)),"Stated total is below item price plus additional charge",IF($S641="EXACT_COLLECTION_AMOUNT","Authorized amount breakdown required before settlement","Ready for collection and settlement"))))))))))))</f>
        <v/>
      </c>
      <c r="AW641" s="23">
        <f>IF($AU641="","","PARCEL_FINANCIAL_V2")</f>
        <v/>
      </c>
      <c r="AX641" s="17" t="n"/>
    </row>
    <row r="642">
      <c r="A642" s="8" t="n"/>
      <c r="B642" s="8" t="n"/>
      <c r="C642" s="8" t="n"/>
      <c r="D642" s="8" t="n"/>
      <c r="E642" s="9" t="n"/>
      <c r="F642" s="9" t="n"/>
      <c r="G642" s="8" t="n"/>
      <c r="H642" s="9" t="n"/>
      <c r="I642" s="9" t="n"/>
      <c r="J642" s="10" t="n"/>
      <c r="K642" s="10" t="n"/>
      <c r="L642" s="11">
        <f>IF($S642="","",IF($S642="ITEM_PRICE_PLUS_DECLARED_DELIVERY",IF(OR($J642="",$K642=""),"",SUM($J642,$K642,$U642)),IF($S642="TOTAL_AMOUNT_INCLUDING_DELIVERY",IF($T642="","",$T642),IF($S642="DELIVERY_CHARGE_ONLY",IF($K642="","",SUM($K642,$U642)),IF($S642="EXACT_COLLECTION_AMOUNT",IF($T642="","",$T642),IF($S642="ITEM_PRICE_ONLY_DELIVERY_PAID_BY_MERCHANT",IF($J642="","",SUM($J642,$U642)),""))))))</f>
        <v/>
      </c>
      <c r="M642" s="12" t="n"/>
      <c r="N642" s="13" t="n"/>
      <c r="O642" s="13" t="n"/>
      <c r="P642" s="9" t="n"/>
      <c r="Q642" s="14" t="n"/>
      <c r="R642" s="15" t="n"/>
      <c r="S642" s="14" t="n"/>
      <c r="T642" s="16" t="n"/>
      <c r="U642" s="16" t="n"/>
      <c r="V642" s="16" t="n"/>
      <c r="W642" s="16" t="n"/>
      <c r="X642" s="16" t="n"/>
      <c r="Y642" s="16" t="n"/>
      <c r="Z642" s="14" t="n"/>
      <c r="AA642" s="14" t="n"/>
      <c r="AB642" s="14" t="n"/>
      <c r="AC642" s="17">
        <f>IFERROR(VLOOKUP($H642&amp;"|"&amp;$Q642,Tariff_Master!$A$2:$L$169,3,FALSE),"")</f>
        <v/>
      </c>
      <c r="AD642" s="17">
        <f>IFERROR(VLOOKUP($H642&amp;"|"&amp;$Q642,Tariff_Master!$A$2:$L$169,4,FALSE),"")</f>
        <v/>
      </c>
      <c r="AE642" s="18">
        <f>IFERROR(VLOOKUP($H642&amp;"|"&amp;$Q642,Tariff_Master!$A$2:$L$169,6,FALSE),"")</f>
        <v/>
      </c>
      <c r="AF642" s="19">
        <f>IFERROR(VLOOKUP($H642&amp;"|"&amp;$Q642,Tariff_Master!$A$2:$L$169,7,FALSE),"")</f>
        <v/>
      </c>
      <c r="AG642" s="18">
        <f>IFERROR(VLOOKUP($H642&amp;"|"&amp;$Q642,Tariff_Master!$A$2:$L$169,8,FALSE),"")</f>
        <v/>
      </c>
      <c r="AH642" s="20">
        <f>IFERROR(VLOOKUP($H642&amp;"|"&amp;$Q642,Tariff_Master!$A$2:$L$169,9,FALSE),"")</f>
        <v/>
      </c>
      <c r="AI642" s="18">
        <f>IFERROR(VLOOKUP($H642&amp;"|"&amp;$Q642,Tariff_Master!$A$2:$L$169,10,FALSE),"")</f>
        <v/>
      </c>
      <c r="AJ642" s="21">
        <f>IF($M642="","",ROUNDUP(MAX(0,$M642),0))</f>
        <v/>
      </c>
      <c r="AK642" s="21">
        <f>IF(OR($AJ642="",$AF642=""),"",MAX(0,$AJ642-$AF642))</f>
        <v/>
      </c>
      <c r="AL642" s="22">
        <f>IF(OR($AK642="",$AG642=""),"",MAX(0,$AK642*$AG642))</f>
        <v/>
      </c>
      <c r="AM642" s="22">
        <f>IF($AE642="","",MAX(0,SUM($AE642,$AL642,$V642,$W642)))</f>
        <v/>
      </c>
      <c r="AN642" s="22">
        <f>IF($AM642="","",IF(AND($Q642="COMMITMENT",$R642&gt;=$AH642),$AI642,0))</f>
        <v/>
      </c>
      <c r="AO642" s="23">
        <f>IF($AM642="","",MAX(0,$AM642-$AN642))</f>
        <v/>
      </c>
      <c r="AP642" s="22">
        <f>IF($S642="","",IF(OR($S642="ITEM_PRICE_PLUS_DECLARED_DELIVERY",$S642="DELIVERY_CHARGE_ONLY"),$K642,IF($S642="TOTAL_AMOUNT_INCLUDING_DELIVERY",IF(OR($T642="",$J642=""),"",MAX(0,$T642-$J642-$U642)),IF($S642="ITEM_PRICE_ONLY_DELIVERY_PAID_BY_MERCHANT",0,""))))</f>
        <v/>
      </c>
      <c r="AQ642" s="23">
        <f>IF(OR($AP642="",$AO642=""),"",$AP642-$AO642)</f>
        <v/>
      </c>
      <c r="AR642" s="24">
        <f>IF($S642="EXACT_COLLECTION_AMOUNT","BREAKDOWN_REQUIRED",IF($AQ642="","",IF($AQ642&gt;0,"CREDIT_TO_MERCHANT",IF($AQ642&lt;0,"DEDUCT_FROM_MERCHANT","NO_ADJUSTMENT"))))</f>
        <v/>
      </c>
      <c r="AS642" s="23">
        <f>IF(OR($AQ642="",$AR642="BREAKDOWN_REQUIRED"),"",$AQ642)</f>
        <v/>
      </c>
      <c r="AT642" s="23">
        <f>IF(OR($AR642="",$AR642="BREAKDOWN_REQUIRED"),"",SUM($J642,$AQ642,$Y642)-$X642)</f>
        <v/>
      </c>
      <c r="AU642" s="25">
        <f>IF(AND($A642="",$B642="",$F642="",$H642="",$J642="",$K642="",$M642="",$S642=""),"",IF(OR($H642="",$Q642="",$M642="",$S642=""),"ERROR",IF(OR($J642&lt;0,$K642&lt;0,$M642&lt;0,$T642&lt;0,$U642&lt;0,$V642&lt;0,$W642&lt;0,$X642&lt;0,$Y642&lt;0),"ERROR",IF($AE642="","ERROR",IF(AND(OR($S642="ITEM_PRICE_PLUS_DECLARED_DELIVERY",$S642="TOTAL_AMOUNT_INCLUDING_DELIVERY",$S642="ITEM_PRICE_ONLY_DELIVERY_PAID_BY_MERCHANT"),$J642=""),"ERROR",IF(AND(OR($S642="ITEM_PRICE_PLUS_DECLARED_DELIVERY",$S642="DELIVERY_CHARGE_ONLY"),$K642=""),"ERROR",IF(AND(OR($S642="TOTAL_AMOUNT_INCLUDING_DELIVERY",$S642="EXACT_COLLECTION_AMOUNT"),$T642=""),"ERROR",IF(AND($S642="TOTAL_AMOUNT_INCLUDING_DELIVERY",$T642&lt;SUM($J642,$U642)),"ERROR",IF($S642="EXACT_COLLECTION_AMOUNT","REVIEW","OK")))))))))</f>
        <v/>
      </c>
      <c r="AV642" s="25">
        <f>IF($AU642="","",IF($H642="","Township required",IF($Q642="","Customer tier required",IF($M642="","Weight required",IF($S642="","Amount entry type required",IF(OR($J642&lt;0,$K642&lt;0,$M642&lt;0,$T642&lt;0,$U642&lt;0,$V642&lt;0,$W642&lt;0,$X642&lt;0,$Y642&lt;0),"Negative amounts are not allowed",IF($AE642="","Tariff not found for township and tier",IF(AND(OR($S642="ITEM_PRICE_PLUS_DECLARED_DELIVERY",$S642="TOTAL_AMOUNT_INCLUDING_DELIVERY",$S642="ITEM_PRICE_ONLY_DELIVERY_PAID_BY_MERCHANT"),$J642=""),"Item price required for this amount type",IF(AND(OR($S642="ITEM_PRICE_PLUS_DECLARED_DELIVERY",$S642="DELIVERY_CHARGE_ONLY"),$K642=""),"Declared delivery charge required",IF(AND(OR($S642="TOTAL_AMOUNT_INCLUDING_DELIVERY",$S642="EXACT_COLLECTION_AMOUNT"),$T642=""),"Stated total amount required",IF(AND($S642="TOTAL_AMOUNT_INCLUDING_DELIVERY",$T642&lt;SUM($J642,$U642)),"Stated total is below item price plus additional charge",IF($S642="EXACT_COLLECTION_AMOUNT","Authorized amount breakdown required before settlement","Ready for collection and settlement"))))))))))))</f>
        <v/>
      </c>
      <c r="AW642" s="23">
        <f>IF($AU642="","","PARCEL_FINANCIAL_V2")</f>
        <v/>
      </c>
      <c r="AX642" s="17" t="n"/>
    </row>
    <row r="643">
      <c r="A643" s="8" t="n"/>
      <c r="B643" s="8" t="n"/>
      <c r="C643" s="8" t="n"/>
      <c r="D643" s="8" t="n"/>
      <c r="E643" s="9" t="n"/>
      <c r="F643" s="9" t="n"/>
      <c r="G643" s="8" t="n"/>
      <c r="H643" s="9" t="n"/>
      <c r="I643" s="9" t="n"/>
      <c r="J643" s="10" t="n"/>
      <c r="K643" s="10" t="n"/>
      <c r="L643" s="11">
        <f>IF($S643="","",IF($S643="ITEM_PRICE_PLUS_DECLARED_DELIVERY",IF(OR($J643="",$K643=""),"",SUM($J643,$K643,$U643)),IF($S643="TOTAL_AMOUNT_INCLUDING_DELIVERY",IF($T643="","",$T643),IF($S643="DELIVERY_CHARGE_ONLY",IF($K643="","",SUM($K643,$U643)),IF($S643="EXACT_COLLECTION_AMOUNT",IF($T643="","",$T643),IF($S643="ITEM_PRICE_ONLY_DELIVERY_PAID_BY_MERCHANT",IF($J643="","",SUM($J643,$U643)),""))))))</f>
        <v/>
      </c>
      <c r="M643" s="12" t="n"/>
      <c r="N643" s="13" t="n"/>
      <c r="O643" s="13" t="n"/>
      <c r="P643" s="9" t="n"/>
      <c r="Q643" s="14" t="n"/>
      <c r="R643" s="15" t="n"/>
      <c r="S643" s="14" t="n"/>
      <c r="T643" s="16" t="n"/>
      <c r="U643" s="16" t="n"/>
      <c r="V643" s="16" t="n"/>
      <c r="W643" s="16" t="n"/>
      <c r="X643" s="16" t="n"/>
      <c r="Y643" s="16" t="n"/>
      <c r="Z643" s="14" t="n"/>
      <c r="AA643" s="14" t="n"/>
      <c r="AB643" s="14" t="n"/>
      <c r="AC643" s="17">
        <f>IFERROR(VLOOKUP($H643&amp;"|"&amp;$Q643,Tariff_Master!$A$2:$L$169,3,FALSE),"")</f>
        <v/>
      </c>
      <c r="AD643" s="17">
        <f>IFERROR(VLOOKUP($H643&amp;"|"&amp;$Q643,Tariff_Master!$A$2:$L$169,4,FALSE),"")</f>
        <v/>
      </c>
      <c r="AE643" s="18">
        <f>IFERROR(VLOOKUP($H643&amp;"|"&amp;$Q643,Tariff_Master!$A$2:$L$169,6,FALSE),"")</f>
        <v/>
      </c>
      <c r="AF643" s="19">
        <f>IFERROR(VLOOKUP($H643&amp;"|"&amp;$Q643,Tariff_Master!$A$2:$L$169,7,FALSE),"")</f>
        <v/>
      </c>
      <c r="AG643" s="18">
        <f>IFERROR(VLOOKUP($H643&amp;"|"&amp;$Q643,Tariff_Master!$A$2:$L$169,8,FALSE),"")</f>
        <v/>
      </c>
      <c r="AH643" s="20">
        <f>IFERROR(VLOOKUP($H643&amp;"|"&amp;$Q643,Tariff_Master!$A$2:$L$169,9,FALSE),"")</f>
        <v/>
      </c>
      <c r="AI643" s="18">
        <f>IFERROR(VLOOKUP($H643&amp;"|"&amp;$Q643,Tariff_Master!$A$2:$L$169,10,FALSE),"")</f>
        <v/>
      </c>
      <c r="AJ643" s="21">
        <f>IF($M643="","",ROUNDUP(MAX(0,$M643),0))</f>
        <v/>
      </c>
      <c r="AK643" s="21">
        <f>IF(OR($AJ643="",$AF643=""),"",MAX(0,$AJ643-$AF643))</f>
        <v/>
      </c>
      <c r="AL643" s="22">
        <f>IF(OR($AK643="",$AG643=""),"",MAX(0,$AK643*$AG643))</f>
        <v/>
      </c>
      <c r="AM643" s="22">
        <f>IF($AE643="","",MAX(0,SUM($AE643,$AL643,$V643,$W643)))</f>
        <v/>
      </c>
      <c r="AN643" s="22">
        <f>IF($AM643="","",IF(AND($Q643="COMMITMENT",$R643&gt;=$AH643),$AI643,0))</f>
        <v/>
      </c>
      <c r="AO643" s="23">
        <f>IF($AM643="","",MAX(0,$AM643-$AN643))</f>
        <v/>
      </c>
      <c r="AP643" s="22">
        <f>IF($S643="","",IF(OR($S643="ITEM_PRICE_PLUS_DECLARED_DELIVERY",$S643="DELIVERY_CHARGE_ONLY"),$K643,IF($S643="TOTAL_AMOUNT_INCLUDING_DELIVERY",IF(OR($T643="",$J643=""),"",MAX(0,$T643-$J643-$U643)),IF($S643="ITEM_PRICE_ONLY_DELIVERY_PAID_BY_MERCHANT",0,""))))</f>
        <v/>
      </c>
      <c r="AQ643" s="23">
        <f>IF(OR($AP643="",$AO643=""),"",$AP643-$AO643)</f>
        <v/>
      </c>
      <c r="AR643" s="24">
        <f>IF($S643="EXACT_COLLECTION_AMOUNT","BREAKDOWN_REQUIRED",IF($AQ643="","",IF($AQ643&gt;0,"CREDIT_TO_MERCHANT",IF($AQ643&lt;0,"DEDUCT_FROM_MERCHANT","NO_ADJUSTMENT"))))</f>
        <v/>
      </c>
      <c r="AS643" s="23">
        <f>IF(OR($AQ643="",$AR643="BREAKDOWN_REQUIRED"),"",$AQ643)</f>
        <v/>
      </c>
      <c r="AT643" s="23">
        <f>IF(OR($AR643="",$AR643="BREAKDOWN_REQUIRED"),"",SUM($J643,$AQ643,$Y643)-$X643)</f>
        <v/>
      </c>
      <c r="AU643" s="25">
        <f>IF(AND($A643="",$B643="",$F643="",$H643="",$J643="",$K643="",$M643="",$S643=""),"",IF(OR($H643="",$Q643="",$M643="",$S643=""),"ERROR",IF(OR($J643&lt;0,$K643&lt;0,$M643&lt;0,$T643&lt;0,$U643&lt;0,$V643&lt;0,$W643&lt;0,$X643&lt;0,$Y643&lt;0),"ERROR",IF($AE643="","ERROR",IF(AND(OR($S643="ITEM_PRICE_PLUS_DECLARED_DELIVERY",$S643="TOTAL_AMOUNT_INCLUDING_DELIVERY",$S643="ITEM_PRICE_ONLY_DELIVERY_PAID_BY_MERCHANT"),$J643=""),"ERROR",IF(AND(OR($S643="ITEM_PRICE_PLUS_DECLARED_DELIVERY",$S643="DELIVERY_CHARGE_ONLY"),$K643=""),"ERROR",IF(AND(OR($S643="TOTAL_AMOUNT_INCLUDING_DELIVERY",$S643="EXACT_COLLECTION_AMOUNT"),$T643=""),"ERROR",IF(AND($S643="TOTAL_AMOUNT_INCLUDING_DELIVERY",$T643&lt;SUM($J643,$U643)),"ERROR",IF($S643="EXACT_COLLECTION_AMOUNT","REVIEW","OK")))))))))</f>
        <v/>
      </c>
      <c r="AV643" s="25">
        <f>IF($AU643="","",IF($H643="","Township required",IF($Q643="","Customer tier required",IF($M643="","Weight required",IF($S643="","Amount entry type required",IF(OR($J643&lt;0,$K643&lt;0,$M643&lt;0,$T643&lt;0,$U643&lt;0,$V643&lt;0,$W643&lt;0,$X643&lt;0,$Y643&lt;0),"Negative amounts are not allowed",IF($AE643="","Tariff not found for township and tier",IF(AND(OR($S643="ITEM_PRICE_PLUS_DECLARED_DELIVERY",$S643="TOTAL_AMOUNT_INCLUDING_DELIVERY",$S643="ITEM_PRICE_ONLY_DELIVERY_PAID_BY_MERCHANT"),$J643=""),"Item price required for this amount type",IF(AND(OR($S643="ITEM_PRICE_PLUS_DECLARED_DELIVERY",$S643="DELIVERY_CHARGE_ONLY"),$K643=""),"Declared delivery charge required",IF(AND(OR($S643="TOTAL_AMOUNT_INCLUDING_DELIVERY",$S643="EXACT_COLLECTION_AMOUNT"),$T643=""),"Stated total amount required",IF(AND($S643="TOTAL_AMOUNT_INCLUDING_DELIVERY",$T643&lt;SUM($J643,$U643)),"Stated total is below item price plus additional charge",IF($S643="EXACT_COLLECTION_AMOUNT","Authorized amount breakdown required before settlement","Ready for collection and settlement"))))))))))))</f>
        <v/>
      </c>
      <c r="AW643" s="23">
        <f>IF($AU643="","","PARCEL_FINANCIAL_V2")</f>
        <v/>
      </c>
      <c r="AX643" s="17" t="n"/>
    </row>
    <row r="644">
      <c r="A644" s="8" t="n"/>
      <c r="B644" s="8" t="n"/>
      <c r="C644" s="8" t="n"/>
      <c r="D644" s="8" t="n"/>
      <c r="E644" s="9" t="n"/>
      <c r="F644" s="9" t="n"/>
      <c r="G644" s="8" t="n"/>
      <c r="H644" s="9" t="n"/>
      <c r="I644" s="9" t="n"/>
      <c r="J644" s="10" t="n"/>
      <c r="K644" s="10" t="n"/>
      <c r="L644" s="11">
        <f>IF($S644="","",IF($S644="ITEM_PRICE_PLUS_DECLARED_DELIVERY",IF(OR($J644="",$K644=""),"",SUM($J644,$K644,$U644)),IF($S644="TOTAL_AMOUNT_INCLUDING_DELIVERY",IF($T644="","",$T644),IF($S644="DELIVERY_CHARGE_ONLY",IF($K644="","",SUM($K644,$U644)),IF($S644="EXACT_COLLECTION_AMOUNT",IF($T644="","",$T644),IF($S644="ITEM_PRICE_ONLY_DELIVERY_PAID_BY_MERCHANT",IF($J644="","",SUM($J644,$U644)),""))))))</f>
        <v/>
      </c>
      <c r="M644" s="12" t="n"/>
      <c r="N644" s="13" t="n"/>
      <c r="O644" s="13" t="n"/>
      <c r="P644" s="9" t="n"/>
      <c r="Q644" s="14" t="n"/>
      <c r="R644" s="15" t="n"/>
      <c r="S644" s="14" t="n"/>
      <c r="T644" s="16" t="n"/>
      <c r="U644" s="16" t="n"/>
      <c r="V644" s="16" t="n"/>
      <c r="W644" s="16" t="n"/>
      <c r="X644" s="16" t="n"/>
      <c r="Y644" s="16" t="n"/>
      <c r="Z644" s="14" t="n"/>
      <c r="AA644" s="14" t="n"/>
      <c r="AB644" s="14" t="n"/>
      <c r="AC644" s="17">
        <f>IFERROR(VLOOKUP($H644&amp;"|"&amp;$Q644,Tariff_Master!$A$2:$L$169,3,FALSE),"")</f>
        <v/>
      </c>
      <c r="AD644" s="17">
        <f>IFERROR(VLOOKUP($H644&amp;"|"&amp;$Q644,Tariff_Master!$A$2:$L$169,4,FALSE),"")</f>
        <v/>
      </c>
      <c r="AE644" s="18">
        <f>IFERROR(VLOOKUP($H644&amp;"|"&amp;$Q644,Tariff_Master!$A$2:$L$169,6,FALSE),"")</f>
        <v/>
      </c>
      <c r="AF644" s="19">
        <f>IFERROR(VLOOKUP($H644&amp;"|"&amp;$Q644,Tariff_Master!$A$2:$L$169,7,FALSE),"")</f>
        <v/>
      </c>
      <c r="AG644" s="18">
        <f>IFERROR(VLOOKUP($H644&amp;"|"&amp;$Q644,Tariff_Master!$A$2:$L$169,8,FALSE),"")</f>
        <v/>
      </c>
      <c r="AH644" s="20">
        <f>IFERROR(VLOOKUP($H644&amp;"|"&amp;$Q644,Tariff_Master!$A$2:$L$169,9,FALSE),"")</f>
        <v/>
      </c>
      <c r="AI644" s="18">
        <f>IFERROR(VLOOKUP($H644&amp;"|"&amp;$Q644,Tariff_Master!$A$2:$L$169,10,FALSE),"")</f>
        <v/>
      </c>
      <c r="AJ644" s="21">
        <f>IF($M644="","",ROUNDUP(MAX(0,$M644),0))</f>
        <v/>
      </c>
      <c r="AK644" s="21">
        <f>IF(OR($AJ644="",$AF644=""),"",MAX(0,$AJ644-$AF644))</f>
        <v/>
      </c>
      <c r="AL644" s="22">
        <f>IF(OR($AK644="",$AG644=""),"",MAX(0,$AK644*$AG644))</f>
        <v/>
      </c>
      <c r="AM644" s="22">
        <f>IF($AE644="","",MAX(0,SUM($AE644,$AL644,$V644,$W644)))</f>
        <v/>
      </c>
      <c r="AN644" s="22">
        <f>IF($AM644="","",IF(AND($Q644="COMMITMENT",$R644&gt;=$AH644),$AI644,0))</f>
        <v/>
      </c>
      <c r="AO644" s="23">
        <f>IF($AM644="","",MAX(0,$AM644-$AN644))</f>
        <v/>
      </c>
      <c r="AP644" s="22">
        <f>IF($S644="","",IF(OR($S644="ITEM_PRICE_PLUS_DECLARED_DELIVERY",$S644="DELIVERY_CHARGE_ONLY"),$K644,IF($S644="TOTAL_AMOUNT_INCLUDING_DELIVERY",IF(OR($T644="",$J644=""),"",MAX(0,$T644-$J644-$U644)),IF($S644="ITEM_PRICE_ONLY_DELIVERY_PAID_BY_MERCHANT",0,""))))</f>
        <v/>
      </c>
      <c r="AQ644" s="23">
        <f>IF(OR($AP644="",$AO644=""),"",$AP644-$AO644)</f>
        <v/>
      </c>
      <c r="AR644" s="24">
        <f>IF($S644="EXACT_COLLECTION_AMOUNT","BREAKDOWN_REQUIRED",IF($AQ644="","",IF($AQ644&gt;0,"CREDIT_TO_MERCHANT",IF($AQ644&lt;0,"DEDUCT_FROM_MERCHANT","NO_ADJUSTMENT"))))</f>
        <v/>
      </c>
      <c r="AS644" s="23">
        <f>IF(OR($AQ644="",$AR644="BREAKDOWN_REQUIRED"),"",$AQ644)</f>
        <v/>
      </c>
      <c r="AT644" s="23">
        <f>IF(OR($AR644="",$AR644="BREAKDOWN_REQUIRED"),"",SUM($J644,$AQ644,$Y644)-$X644)</f>
        <v/>
      </c>
      <c r="AU644" s="25">
        <f>IF(AND($A644="",$B644="",$F644="",$H644="",$J644="",$K644="",$M644="",$S644=""),"",IF(OR($H644="",$Q644="",$M644="",$S644=""),"ERROR",IF(OR($J644&lt;0,$K644&lt;0,$M644&lt;0,$T644&lt;0,$U644&lt;0,$V644&lt;0,$W644&lt;0,$X644&lt;0,$Y644&lt;0),"ERROR",IF($AE644="","ERROR",IF(AND(OR($S644="ITEM_PRICE_PLUS_DECLARED_DELIVERY",$S644="TOTAL_AMOUNT_INCLUDING_DELIVERY",$S644="ITEM_PRICE_ONLY_DELIVERY_PAID_BY_MERCHANT"),$J644=""),"ERROR",IF(AND(OR($S644="ITEM_PRICE_PLUS_DECLARED_DELIVERY",$S644="DELIVERY_CHARGE_ONLY"),$K644=""),"ERROR",IF(AND(OR($S644="TOTAL_AMOUNT_INCLUDING_DELIVERY",$S644="EXACT_COLLECTION_AMOUNT"),$T644=""),"ERROR",IF(AND($S644="TOTAL_AMOUNT_INCLUDING_DELIVERY",$T644&lt;SUM($J644,$U644)),"ERROR",IF($S644="EXACT_COLLECTION_AMOUNT","REVIEW","OK")))))))))</f>
        <v/>
      </c>
      <c r="AV644" s="25">
        <f>IF($AU644="","",IF($H644="","Township required",IF($Q644="","Customer tier required",IF($M644="","Weight required",IF($S644="","Amount entry type required",IF(OR($J644&lt;0,$K644&lt;0,$M644&lt;0,$T644&lt;0,$U644&lt;0,$V644&lt;0,$W644&lt;0,$X644&lt;0,$Y644&lt;0),"Negative amounts are not allowed",IF($AE644="","Tariff not found for township and tier",IF(AND(OR($S644="ITEM_PRICE_PLUS_DECLARED_DELIVERY",$S644="TOTAL_AMOUNT_INCLUDING_DELIVERY",$S644="ITEM_PRICE_ONLY_DELIVERY_PAID_BY_MERCHANT"),$J644=""),"Item price required for this amount type",IF(AND(OR($S644="ITEM_PRICE_PLUS_DECLARED_DELIVERY",$S644="DELIVERY_CHARGE_ONLY"),$K644=""),"Declared delivery charge required",IF(AND(OR($S644="TOTAL_AMOUNT_INCLUDING_DELIVERY",$S644="EXACT_COLLECTION_AMOUNT"),$T644=""),"Stated total amount required",IF(AND($S644="TOTAL_AMOUNT_INCLUDING_DELIVERY",$T644&lt;SUM($J644,$U644)),"Stated total is below item price plus additional charge",IF($S644="EXACT_COLLECTION_AMOUNT","Authorized amount breakdown required before settlement","Ready for collection and settlement"))))))))))))</f>
        <v/>
      </c>
      <c r="AW644" s="23">
        <f>IF($AU644="","","PARCEL_FINANCIAL_V2")</f>
        <v/>
      </c>
      <c r="AX644" s="17" t="n"/>
    </row>
    <row r="645">
      <c r="A645" s="8" t="n"/>
      <c r="B645" s="8" t="n"/>
      <c r="C645" s="8" t="n"/>
      <c r="D645" s="8" t="n"/>
      <c r="E645" s="9" t="n"/>
      <c r="F645" s="9" t="n"/>
      <c r="G645" s="8" t="n"/>
      <c r="H645" s="9" t="n"/>
      <c r="I645" s="9" t="n"/>
      <c r="J645" s="10" t="n"/>
      <c r="K645" s="10" t="n"/>
      <c r="L645" s="11">
        <f>IF($S645="","",IF($S645="ITEM_PRICE_PLUS_DECLARED_DELIVERY",IF(OR($J645="",$K645=""),"",SUM($J645,$K645,$U645)),IF($S645="TOTAL_AMOUNT_INCLUDING_DELIVERY",IF($T645="","",$T645),IF($S645="DELIVERY_CHARGE_ONLY",IF($K645="","",SUM($K645,$U645)),IF($S645="EXACT_COLLECTION_AMOUNT",IF($T645="","",$T645),IF($S645="ITEM_PRICE_ONLY_DELIVERY_PAID_BY_MERCHANT",IF($J645="","",SUM($J645,$U645)),""))))))</f>
        <v/>
      </c>
      <c r="M645" s="12" t="n"/>
      <c r="N645" s="13" t="n"/>
      <c r="O645" s="13" t="n"/>
      <c r="P645" s="9" t="n"/>
      <c r="Q645" s="14" t="n"/>
      <c r="R645" s="15" t="n"/>
      <c r="S645" s="14" t="n"/>
      <c r="T645" s="16" t="n"/>
      <c r="U645" s="16" t="n"/>
      <c r="V645" s="16" t="n"/>
      <c r="W645" s="16" t="n"/>
      <c r="X645" s="16" t="n"/>
      <c r="Y645" s="16" t="n"/>
      <c r="Z645" s="14" t="n"/>
      <c r="AA645" s="14" t="n"/>
      <c r="AB645" s="14" t="n"/>
      <c r="AC645" s="17">
        <f>IFERROR(VLOOKUP($H645&amp;"|"&amp;$Q645,Tariff_Master!$A$2:$L$169,3,FALSE),"")</f>
        <v/>
      </c>
      <c r="AD645" s="17">
        <f>IFERROR(VLOOKUP($H645&amp;"|"&amp;$Q645,Tariff_Master!$A$2:$L$169,4,FALSE),"")</f>
        <v/>
      </c>
      <c r="AE645" s="18">
        <f>IFERROR(VLOOKUP($H645&amp;"|"&amp;$Q645,Tariff_Master!$A$2:$L$169,6,FALSE),"")</f>
        <v/>
      </c>
      <c r="AF645" s="19">
        <f>IFERROR(VLOOKUP($H645&amp;"|"&amp;$Q645,Tariff_Master!$A$2:$L$169,7,FALSE),"")</f>
        <v/>
      </c>
      <c r="AG645" s="18">
        <f>IFERROR(VLOOKUP($H645&amp;"|"&amp;$Q645,Tariff_Master!$A$2:$L$169,8,FALSE),"")</f>
        <v/>
      </c>
      <c r="AH645" s="20">
        <f>IFERROR(VLOOKUP($H645&amp;"|"&amp;$Q645,Tariff_Master!$A$2:$L$169,9,FALSE),"")</f>
        <v/>
      </c>
      <c r="AI645" s="18">
        <f>IFERROR(VLOOKUP($H645&amp;"|"&amp;$Q645,Tariff_Master!$A$2:$L$169,10,FALSE),"")</f>
        <v/>
      </c>
      <c r="AJ645" s="21">
        <f>IF($M645="","",ROUNDUP(MAX(0,$M645),0))</f>
        <v/>
      </c>
      <c r="AK645" s="21">
        <f>IF(OR($AJ645="",$AF645=""),"",MAX(0,$AJ645-$AF645))</f>
        <v/>
      </c>
      <c r="AL645" s="22">
        <f>IF(OR($AK645="",$AG645=""),"",MAX(0,$AK645*$AG645))</f>
        <v/>
      </c>
      <c r="AM645" s="22">
        <f>IF($AE645="","",MAX(0,SUM($AE645,$AL645,$V645,$W645)))</f>
        <v/>
      </c>
      <c r="AN645" s="22">
        <f>IF($AM645="","",IF(AND($Q645="COMMITMENT",$R645&gt;=$AH645),$AI645,0))</f>
        <v/>
      </c>
      <c r="AO645" s="23">
        <f>IF($AM645="","",MAX(0,$AM645-$AN645))</f>
        <v/>
      </c>
      <c r="AP645" s="22">
        <f>IF($S645="","",IF(OR($S645="ITEM_PRICE_PLUS_DECLARED_DELIVERY",$S645="DELIVERY_CHARGE_ONLY"),$K645,IF($S645="TOTAL_AMOUNT_INCLUDING_DELIVERY",IF(OR($T645="",$J645=""),"",MAX(0,$T645-$J645-$U645)),IF($S645="ITEM_PRICE_ONLY_DELIVERY_PAID_BY_MERCHANT",0,""))))</f>
        <v/>
      </c>
      <c r="AQ645" s="23">
        <f>IF(OR($AP645="",$AO645=""),"",$AP645-$AO645)</f>
        <v/>
      </c>
      <c r="AR645" s="24">
        <f>IF($S645="EXACT_COLLECTION_AMOUNT","BREAKDOWN_REQUIRED",IF($AQ645="","",IF($AQ645&gt;0,"CREDIT_TO_MERCHANT",IF($AQ645&lt;0,"DEDUCT_FROM_MERCHANT","NO_ADJUSTMENT"))))</f>
        <v/>
      </c>
      <c r="AS645" s="23">
        <f>IF(OR($AQ645="",$AR645="BREAKDOWN_REQUIRED"),"",$AQ645)</f>
        <v/>
      </c>
      <c r="AT645" s="23">
        <f>IF(OR($AR645="",$AR645="BREAKDOWN_REQUIRED"),"",SUM($J645,$AQ645,$Y645)-$X645)</f>
        <v/>
      </c>
      <c r="AU645" s="25">
        <f>IF(AND($A645="",$B645="",$F645="",$H645="",$J645="",$K645="",$M645="",$S645=""),"",IF(OR($H645="",$Q645="",$M645="",$S645=""),"ERROR",IF(OR($J645&lt;0,$K645&lt;0,$M645&lt;0,$T645&lt;0,$U645&lt;0,$V645&lt;0,$W645&lt;0,$X645&lt;0,$Y645&lt;0),"ERROR",IF($AE645="","ERROR",IF(AND(OR($S645="ITEM_PRICE_PLUS_DECLARED_DELIVERY",$S645="TOTAL_AMOUNT_INCLUDING_DELIVERY",$S645="ITEM_PRICE_ONLY_DELIVERY_PAID_BY_MERCHANT"),$J645=""),"ERROR",IF(AND(OR($S645="ITEM_PRICE_PLUS_DECLARED_DELIVERY",$S645="DELIVERY_CHARGE_ONLY"),$K645=""),"ERROR",IF(AND(OR($S645="TOTAL_AMOUNT_INCLUDING_DELIVERY",$S645="EXACT_COLLECTION_AMOUNT"),$T645=""),"ERROR",IF(AND($S645="TOTAL_AMOUNT_INCLUDING_DELIVERY",$T645&lt;SUM($J645,$U645)),"ERROR",IF($S645="EXACT_COLLECTION_AMOUNT","REVIEW","OK")))))))))</f>
        <v/>
      </c>
      <c r="AV645" s="25">
        <f>IF($AU645="","",IF($H645="","Township required",IF($Q645="","Customer tier required",IF($M645="","Weight required",IF($S645="","Amount entry type required",IF(OR($J645&lt;0,$K645&lt;0,$M645&lt;0,$T645&lt;0,$U645&lt;0,$V645&lt;0,$W645&lt;0,$X645&lt;0,$Y645&lt;0),"Negative amounts are not allowed",IF($AE645="","Tariff not found for township and tier",IF(AND(OR($S645="ITEM_PRICE_PLUS_DECLARED_DELIVERY",$S645="TOTAL_AMOUNT_INCLUDING_DELIVERY",$S645="ITEM_PRICE_ONLY_DELIVERY_PAID_BY_MERCHANT"),$J645=""),"Item price required for this amount type",IF(AND(OR($S645="ITEM_PRICE_PLUS_DECLARED_DELIVERY",$S645="DELIVERY_CHARGE_ONLY"),$K645=""),"Declared delivery charge required",IF(AND(OR($S645="TOTAL_AMOUNT_INCLUDING_DELIVERY",$S645="EXACT_COLLECTION_AMOUNT"),$T645=""),"Stated total amount required",IF(AND($S645="TOTAL_AMOUNT_INCLUDING_DELIVERY",$T645&lt;SUM($J645,$U645)),"Stated total is below item price plus additional charge",IF($S645="EXACT_COLLECTION_AMOUNT","Authorized amount breakdown required before settlement","Ready for collection and settlement"))))))))))))</f>
        <v/>
      </c>
      <c r="AW645" s="23">
        <f>IF($AU645="","","PARCEL_FINANCIAL_V2")</f>
        <v/>
      </c>
      <c r="AX645" s="17" t="n"/>
    </row>
    <row r="646">
      <c r="A646" s="8" t="n"/>
      <c r="B646" s="8" t="n"/>
      <c r="C646" s="8" t="n"/>
      <c r="D646" s="8" t="n"/>
      <c r="E646" s="9" t="n"/>
      <c r="F646" s="9" t="n"/>
      <c r="G646" s="8" t="n"/>
      <c r="H646" s="9" t="n"/>
      <c r="I646" s="9" t="n"/>
      <c r="J646" s="10" t="n"/>
      <c r="K646" s="10" t="n"/>
      <c r="L646" s="11">
        <f>IF($S646="","",IF($S646="ITEM_PRICE_PLUS_DECLARED_DELIVERY",IF(OR($J646="",$K646=""),"",SUM($J646,$K646,$U646)),IF($S646="TOTAL_AMOUNT_INCLUDING_DELIVERY",IF($T646="","",$T646),IF($S646="DELIVERY_CHARGE_ONLY",IF($K646="","",SUM($K646,$U646)),IF($S646="EXACT_COLLECTION_AMOUNT",IF($T646="","",$T646),IF($S646="ITEM_PRICE_ONLY_DELIVERY_PAID_BY_MERCHANT",IF($J646="","",SUM($J646,$U646)),""))))))</f>
        <v/>
      </c>
      <c r="M646" s="12" t="n"/>
      <c r="N646" s="13" t="n"/>
      <c r="O646" s="13" t="n"/>
      <c r="P646" s="9" t="n"/>
      <c r="Q646" s="14" t="n"/>
      <c r="R646" s="15" t="n"/>
      <c r="S646" s="14" t="n"/>
      <c r="T646" s="16" t="n"/>
      <c r="U646" s="16" t="n"/>
      <c r="V646" s="16" t="n"/>
      <c r="W646" s="16" t="n"/>
      <c r="X646" s="16" t="n"/>
      <c r="Y646" s="16" t="n"/>
      <c r="Z646" s="14" t="n"/>
      <c r="AA646" s="14" t="n"/>
      <c r="AB646" s="14" t="n"/>
      <c r="AC646" s="17">
        <f>IFERROR(VLOOKUP($H646&amp;"|"&amp;$Q646,Tariff_Master!$A$2:$L$169,3,FALSE),"")</f>
        <v/>
      </c>
      <c r="AD646" s="17">
        <f>IFERROR(VLOOKUP($H646&amp;"|"&amp;$Q646,Tariff_Master!$A$2:$L$169,4,FALSE),"")</f>
        <v/>
      </c>
      <c r="AE646" s="18">
        <f>IFERROR(VLOOKUP($H646&amp;"|"&amp;$Q646,Tariff_Master!$A$2:$L$169,6,FALSE),"")</f>
        <v/>
      </c>
      <c r="AF646" s="19">
        <f>IFERROR(VLOOKUP($H646&amp;"|"&amp;$Q646,Tariff_Master!$A$2:$L$169,7,FALSE),"")</f>
        <v/>
      </c>
      <c r="AG646" s="18">
        <f>IFERROR(VLOOKUP($H646&amp;"|"&amp;$Q646,Tariff_Master!$A$2:$L$169,8,FALSE),"")</f>
        <v/>
      </c>
      <c r="AH646" s="20">
        <f>IFERROR(VLOOKUP($H646&amp;"|"&amp;$Q646,Tariff_Master!$A$2:$L$169,9,FALSE),"")</f>
        <v/>
      </c>
      <c r="AI646" s="18">
        <f>IFERROR(VLOOKUP($H646&amp;"|"&amp;$Q646,Tariff_Master!$A$2:$L$169,10,FALSE),"")</f>
        <v/>
      </c>
      <c r="AJ646" s="21">
        <f>IF($M646="","",ROUNDUP(MAX(0,$M646),0))</f>
        <v/>
      </c>
      <c r="AK646" s="21">
        <f>IF(OR($AJ646="",$AF646=""),"",MAX(0,$AJ646-$AF646))</f>
        <v/>
      </c>
      <c r="AL646" s="22">
        <f>IF(OR($AK646="",$AG646=""),"",MAX(0,$AK646*$AG646))</f>
        <v/>
      </c>
      <c r="AM646" s="22">
        <f>IF($AE646="","",MAX(0,SUM($AE646,$AL646,$V646,$W646)))</f>
        <v/>
      </c>
      <c r="AN646" s="22">
        <f>IF($AM646="","",IF(AND($Q646="COMMITMENT",$R646&gt;=$AH646),$AI646,0))</f>
        <v/>
      </c>
      <c r="AO646" s="23">
        <f>IF($AM646="","",MAX(0,$AM646-$AN646))</f>
        <v/>
      </c>
      <c r="AP646" s="22">
        <f>IF($S646="","",IF(OR($S646="ITEM_PRICE_PLUS_DECLARED_DELIVERY",$S646="DELIVERY_CHARGE_ONLY"),$K646,IF($S646="TOTAL_AMOUNT_INCLUDING_DELIVERY",IF(OR($T646="",$J646=""),"",MAX(0,$T646-$J646-$U646)),IF($S646="ITEM_PRICE_ONLY_DELIVERY_PAID_BY_MERCHANT",0,""))))</f>
        <v/>
      </c>
      <c r="AQ646" s="23">
        <f>IF(OR($AP646="",$AO646=""),"",$AP646-$AO646)</f>
        <v/>
      </c>
      <c r="AR646" s="24">
        <f>IF($S646="EXACT_COLLECTION_AMOUNT","BREAKDOWN_REQUIRED",IF($AQ646="","",IF($AQ646&gt;0,"CREDIT_TO_MERCHANT",IF($AQ646&lt;0,"DEDUCT_FROM_MERCHANT","NO_ADJUSTMENT"))))</f>
        <v/>
      </c>
      <c r="AS646" s="23">
        <f>IF(OR($AQ646="",$AR646="BREAKDOWN_REQUIRED"),"",$AQ646)</f>
        <v/>
      </c>
      <c r="AT646" s="23">
        <f>IF(OR($AR646="",$AR646="BREAKDOWN_REQUIRED"),"",SUM($J646,$AQ646,$Y646)-$X646)</f>
        <v/>
      </c>
      <c r="AU646" s="25">
        <f>IF(AND($A646="",$B646="",$F646="",$H646="",$J646="",$K646="",$M646="",$S646=""),"",IF(OR($H646="",$Q646="",$M646="",$S646=""),"ERROR",IF(OR($J646&lt;0,$K646&lt;0,$M646&lt;0,$T646&lt;0,$U646&lt;0,$V646&lt;0,$W646&lt;0,$X646&lt;0,$Y646&lt;0),"ERROR",IF($AE646="","ERROR",IF(AND(OR($S646="ITEM_PRICE_PLUS_DECLARED_DELIVERY",$S646="TOTAL_AMOUNT_INCLUDING_DELIVERY",$S646="ITEM_PRICE_ONLY_DELIVERY_PAID_BY_MERCHANT"),$J646=""),"ERROR",IF(AND(OR($S646="ITEM_PRICE_PLUS_DECLARED_DELIVERY",$S646="DELIVERY_CHARGE_ONLY"),$K646=""),"ERROR",IF(AND(OR($S646="TOTAL_AMOUNT_INCLUDING_DELIVERY",$S646="EXACT_COLLECTION_AMOUNT"),$T646=""),"ERROR",IF(AND($S646="TOTAL_AMOUNT_INCLUDING_DELIVERY",$T646&lt;SUM($J646,$U646)),"ERROR",IF($S646="EXACT_COLLECTION_AMOUNT","REVIEW","OK")))))))))</f>
        <v/>
      </c>
      <c r="AV646" s="25">
        <f>IF($AU646="","",IF($H646="","Township required",IF($Q646="","Customer tier required",IF($M646="","Weight required",IF($S646="","Amount entry type required",IF(OR($J646&lt;0,$K646&lt;0,$M646&lt;0,$T646&lt;0,$U646&lt;0,$V646&lt;0,$W646&lt;0,$X646&lt;0,$Y646&lt;0),"Negative amounts are not allowed",IF($AE646="","Tariff not found for township and tier",IF(AND(OR($S646="ITEM_PRICE_PLUS_DECLARED_DELIVERY",$S646="TOTAL_AMOUNT_INCLUDING_DELIVERY",$S646="ITEM_PRICE_ONLY_DELIVERY_PAID_BY_MERCHANT"),$J646=""),"Item price required for this amount type",IF(AND(OR($S646="ITEM_PRICE_PLUS_DECLARED_DELIVERY",$S646="DELIVERY_CHARGE_ONLY"),$K646=""),"Declared delivery charge required",IF(AND(OR($S646="TOTAL_AMOUNT_INCLUDING_DELIVERY",$S646="EXACT_COLLECTION_AMOUNT"),$T646=""),"Stated total amount required",IF(AND($S646="TOTAL_AMOUNT_INCLUDING_DELIVERY",$T646&lt;SUM($J646,$U646)),"Stated total is below item price plus additional charge",IF($S646="EXACT_COLLECTION_AMOUNT","Authorized amount breakdown required before settlement","Ready for collection and settlement"))))))))))))</f>
        <v/>
      </c>
      <c r="AW646" s="23">
        <f>IF($AU646="","","PARCEL_FINANCIAL_V2")</f>
        <v/>
      </c>
      <c r="AX646" s="17" t="n"/>
    </row>
    <row r="647">
      <c r="A647" s="8" t="n"/>
      <c r="B647" s="8" t="n"/>
      <c r="C647" s="8" t="n"/>
      <c r="D647" s="8" t="n"/>
      <c r="E647" s="9" t="n"/>
      <c r="F647" s="9" t="n"/>
      <c r="G647" s="8" t="n"/>
      <c r="H647" s="9" t="n"/>
      <c r="I647" s="9" t="n"/>
      <c r="J647" s="10" t="n"/>
      <c r="K647" s="10" t="n"/>
      <c r="L647" s="11">
        <f>IF($S647="","",IF($S647="ITEM_PRICE_PLUS_DECLARED_DELIVERY",IF(OR($J647="",$K647=""),"",SUM($J647,$K647,$U647)),IF($S647="TOTAL_AMOUNT_INCLUDING_DELIVERY",IF($T647="","",$T647),IF($S647="DELIVERY_CHARGE_ONLY",IF($K647="","",SUM($K647,$U647)),IF($S647="EXACT_COLLECTION_AMOUNT",IF($T647="","",$T647),IF($S647="ITEM_PRICE_ONLY_DELIVERY_PAID_BY_MERCHANT",IF($J647="","",SUM($J647,$U647)),""))))))</f>
        <v/>
      </c>
      <c r="M647" s="12" t="n"/>
      <c r="N647" s="13" t="n"/>
      <c r="O647" s="13" t="n"/>
      <c r="P647" s="9" t="n"/>
      <c r="Q647" s="14" t="n"/>
      <c r="R647" s="15" t="n"/>
      <c r="S647" s="14" t="n"/>
      <c r="T647" s="16" t="n"/>
      <c r="U647" s="16" t="n"/>
      <c r="V647" s="16" t="n"/>
      <c r="W647" s="16" t="n"/>
      <c r="X647" s="16" t="n"/>
      <c r="Y647" s="16" t="n"/>
      <c r="Z647" s="14" t="n"/>
      <c r="AA647" s="14" t="n"/>
      <c r="AB647" s="14" t="n"/>
      <c r="AC647" s="17">
        <f>IFERROR(VLOOKUP($H647&amp;"|"&amp;$Q647,Tariff_Master!$A$2:$L$169,3,FALSE),"")</f>
        <v/>
      </c>
      <c r="AD647" s="17">
        <f>IFERROR(VLOOKUP($H647&amp;"|"&amp;$Q647,Tariff_Master!$A$2:$L$169,4,FALSE),"")</f>
        <v/>
      </c>
      <c r="AE647" s="18">
        <f>IFERROR(VLOOKUP($H647&amp;"|"&amp;$Q647,Tariff_Master!$A$2:$L$169,6,FALSE),"")</f>
        <v/>
      </c>
      <c r="AF647" s="19">
        <f>IFERROR(VLOOKUP($H647&amp;"|"&amp;$Q647,Tariff_Master!$A$2:$L$169,7,FALSE),"")</f>
        <v/>
      </c>
      <c r="AG647" s="18">
        <f>IFERROR(VLOOKUP($H647&amp;"|"&amp;$Q647,Tariff_Master!$A$2:$L$169,8,FALSE),"")</f>
        <v/>
      </c>
      <c r="AH647" s="20">
        <f>IFERROR(VLOOKUP($H647&amp;"|"&amp;$Q647,Tariff_Master!$A$2:$L$169,9,FALSE),"")</f>
        <v/>
      </c>
      <c r="AI647" s="18">
        <f>IFERROR(VLOOKUP($H647&amp;"|"&amp;$Q647,Tariff_Master!$A$2:$L$169,10,FALSE),"")</f>
        <v/>
      </c>
      <c r="AJ647" s="21">
        <f>IF($M647="","",ROUNDUP(MAX(0,$M647),0))</f>
        <v/>
      </c>
      <c r="AK647" s="21">
        <f>IF(OR($AJ647="",$AF647=""),"",MAX(0,$AJ647-$AF647))</f>
        <v/>
      </c>
      <c r="AL647" s="22">
        <f>IF(OR($AK647="",$AG647=""),"",MAX(0,$AK647*$AG647))</f>
        <v/>
      </c>
      <c r="AM647" s="22">
        <f>IF($AE647="","",MAX(0,SUM($AE647,$AL647,$V647,$W647)))</f>
        <v/>
      </c>
      <c r="AN647" s="22">
        <f>IF($AM647="","",IF(AND($Q647="COMMITMENT",$R647&gt;=$AH647),$AI647,0))</f>
        <v/>
      </c>
      <c r="AO647" s="23">
        <f>IF($AM647="","",MAX(0,$AM647-$AN647))</f>
        <v/>
      </c>
      <c r="AP647" s="22">
        <f>IF($S647="","",IF(OR($S647="ITEM_PRICE_PLUS_DECLARED_DELIVERY",$S647="DELIVERY_CHARGE_ONLY"),$K647,IF($S647="TOTAL_AMOUNT_INCLUDING_DELIVERY",IF(OR($T647="",$J647=""),"",MAX(0,$T647-$J647-$U647)),IF($S647="ITEM_PRICE_ONLY_DELIVERY_PAID_BY_MERCHANT",0,""))))</f>
        <v/>
      </c>
      <c r="AQ647" s="23">
        <f>IF(OR($AP647="",$AO647=""),"",$AP647-$AO647)</f>
        <v/>
      </c>
      <c r="AR647" s="24">
        <f>IF($S647="EXACT_COLLECTION_AMOUNT","BREAKDOWN_REQUIRED",IF($AQ647="","",IF($AQ647&gt;0,"CREDIT_TO_MERCHANT",IF($AQ647&lt;0,"DEDUCT_FROM_MERCHANT","NO_ADJUSTMENT"))))</f>
        <v/>
      </c>
      <c r="AS647" s="23">
        <f>IF(OR($AQ647="",$AR647="BREAKDOWN_REQUIRED"),"",$AQ647)</f>
        <v/>
      </c>
      <c r="AT647" s="23">
        <f>IF(OR($AR647="",$AR647="BREAKDOWN_REQUIRED"),"",SUM($J647,$AQ647,$Y647)-$X647)</f>
        <v/>
      </c>
      <c r="AU647" s="25">
        <f>IF(AND($A647="",$B647="",$F647="",$H647="",$J647="",$K647="",$M647="",$S647=""),"",IF(OR($H647="",$Q647="",$M647="",$S647=""),"ERROR",IF(OR($J647&lt;0,$K647&lt;0,$M647&lt;0,$T647&lt;0,$U647&lt;0,$V647&lt;0,$W647&lt;0,$X647&lt;0,$Y647&lt;0),"ERROR",IF($AE647="","ERROR",IF(AND(OR($S647="ITEM_PRICE_PLUS_DECLARED_DELIVERY",$S647="TOTAL_AMOUNT_INCLUDING_DELIVERY",$S647="ITEM_PRICE_ONLY_DELIVERY_PAID_BY_MERCHANT"),$J647=""),"ERROR",IF(AND(OR($S647="ITEM_PRICE_PLUS_DECLARED_DELIVERY",$S647="DELIVERY_CHARGE_ONLY"),$K647=""),"ERROR",IF(AND(OR($S647="TOTAL_AMOUNT_INCLUDING_DELIVERY",$S647="EXACT_COLLECTION_AMOUNT"),$T647=""),"ERROR",IF(AND($S647="TOTAL_AMOUNT_INCLUDING_DELIVERY",$T647&lt;SUM($J647,$U647)),"ERROR",IF($S647="EXACT_COLLECTION_AMOUNT","REVIEW","OK")))))))))</f>
        <v/>
      </c>
      <c r="AV647" s="25">
        <f>IF($AU647="","",IF($H647="","Township required",IF($Q647="","Customer tier required",IF($M647="","Weight required",IF($S647="","Amount entry type required",IF(OR($J647&lt;0,$K647&lt;0,$M647&lt;0,$T647&lt;0,$U647&lt;0,$V647&lt;0,$W647&lt;0,$X647&lt;0,$Y647&lt;0),"Negative amounts are not allowed",IF($AE647="","Tariff not found for township and tier",IF(AND(OR($S647="ITEM_PRICE_PLUS_DECLARED_DELIVERY",$S647="TOTAL_AMOUNT_INCLUDING_DELIVERY",$S647="ITEM_PRICE_ONLY_DELIVERY_PAID_BY_MERCHANT"),$J647=""),"Item price required for this amount type",IF(AND(OR($S647="ITEM_PRICE_PLUS_DECLARED_DELIVERY",$S647="DELIVERY_CHARGE_ONLY"),$K647=""),"Declared delivery charge required",IF(AND(OR($S647="TOTAL_AMOUNT_INCLUDING_DELIVERY",$S647="EXACT_COLLECTION_AMOUNT"),$T647=""),"Stated total amount required",IF(AND($S647="TOTAL_AMOUNT_INCLUDING_DELIVERY",$T647&lt;SUM($J647,$U647)),"Stated total is below item price plus additional charge",IF($S647="EXACT_COLLECTION_AMOUNT","Authorized amount breakdown required before settlement","Ready for collection and settlement"))))))))))))</f>
        <v/>
      </c>
      <c r="AW647" s="23">
        <f>IF($AU647="","","PARCEL_FINANCIAL_V2")</f>
        <v/>
      </c>
      <c r="AX647" s="17" t="n"/>
    </row>
    <row r="648">
      <c r="A648" s="8" t="n"/>
      <c r="B648" s="8" t="n"/>
      <c r="C648" s="8" t="n"/>
      <c r="D648" s="8" t="n"/>
      <c r="E648" s="9" t="n"/>
      <c r="F648" s="9" t="n"/>
      <c r="G648" s="8" t="n"/>
      <c r="H648" s="9" t="n"/>
      <c r="I648" s="9" t="n"/>
      <c r="J648" s="10" t="n"/>
      <c r="K648" s="10" t="n"/>
      <c r="L648" s="11">
        <f>IF($S648="","",IF($S648="ITEM_PRICE_PLUS_DECLARED_DELIVERY",IF(OR($J648="",$K648=""),"",SUM($J648,$K648,$U648)),IF($S648="TOTAL_AMOUNT_INCLUDING_DELIVERY",IF($T648="","",$T648),IF($S648="DELIVERY_CHARGE_ONLY",IF($K648="","",SUM($K648,$U648)),IF($S648="EXACT_COLLECTION_AMOUNT",IF($T648="","",$T648),IF($S648="ITEM_PRICE_ONLY_DELIVERY_PAID_BY_MERCHANT",IF($J648="","",SUM($J648,$U648)),""))))))</f>
        <v/>
      </c>
      <c r="M648" s="12" t="n"/>
      <c r="N648" s="13" t="n"/>
      <c r="O648" s="13" t="n"/>
      <c r="P648" s="9" t="n"/>
      <c r="Q648" s="14" t="n"/>
      <c r="R648" s="15" t="n"/>
      <c r="S648" s="14" t="n"/>
      <c r="T648" s="16" t="n"/>
      <c r="U648" s="16" t="n"/>
      <c r="V648" s="16" t="n"/>
      <c r="W648" s="16" t="n"/>
      <c r="X648" s="16" t="n"/>
      <c r="Y648" s="16" t="n"/>
      <c r="Z648" s="14" t="n"/>
      <c r="AA648" s="14" t="n"/>
      <c r="AB648" s="14" t="n"/>
      <c r="AC648" s="17">
        <f>IFERROR(VLOOKUP($H648&amp;"|"&amp;$Q648,Tariff_Master!$A$2:$L$169,3,FALSE),"")</f>
        <v/>
      </c>
      <c r="AD648" s="17">
        <f>IFERROR(VLOOKUP($H648&amp;"|"&amp;$Q648,Tariff_Master!$A$2:$L$169,4,FALSE),"")</f>
        <v/>
      </c>
      <c r="AE648" s="18">
        <f>IFERROR(VLOOKUP($H648&amp;"|"&amp;$Q648,Tariff_Master!$A$2:$L$169,6,FALSE),"")</f>
        <v/>
      </c>
      <c r="AF648" s="19">
        <f>IFERROR(VLOOKUP($H648&amp;"|"&amp;$Q648,Tariff_Master!$A$2:$L$169,7,FALSE),"")</f>
        <v/>
      </c>
      <c r="AG648" s="18">
        <f>IFERROR(VLOOKUP($H648&amp;"|"&amp;$Q648,Tariff_Master!$A$2:$L$169,8,FALSE),"")</f>
        <v/>
      </c>
      <c r="AH648" s="20">
        <f>IFERROR(VLOOKUP($H648&amp;"|"&amp;$Q648,Tariff_Master!$A$2:$L$169,9,FALSE),"")</f>
        <v/>
      </c>
      <c r="AI648" s="18">
        <f>IFERROR(VLOOKUP($H648&amp;"|"&amp;$Q648,Tariff_Master!$A$2:$L$169,10,FALSE),"")</f>
        <v/>
      </c>
      <c r="AJ648" s="21">
        <f>IF($M648="","",ROUNDUP(MAX(0,$M648),0))</f>
        <v/>
      </c>
      <c r="AK648" s="21">
        <f>IF(OR($AJ648="",$AF648=""),"",MAX(0,$AJ648-$AF648))</f>
        <v/>
      </c>
      <c r="AL648" s="22">
        <f>IF(OR($AK648="",$AG648=""),"",MAX(0,$AK648*$AG648))</f>
        <v/>
      </c>
      <c r="AM648" s="22">
        <f>IF($AE648="","",MAX(0,SUM($AE648,$AL648,$V648,$W648)))</f>
        <v/>
      </c>
      <c r="AN648" s="22">
        <f>IF($AM648="","",IF(AND($Q648="COMMITMENT",$R648&gt;=$AH648),$AI648,0))</f>
        <v/>
      </c>
      <c r="AO648" s="23">
        <f>IF($AM648="","",MAX(0,$AM648-$AN648))</f>
        <v/>
      </c>
      <c r="AP648" s="22">
        <f>IF($S648="","",IF(OR($S648="ITEM_PRICE_PLUS_DECLARED_DELIVERY",$S648="DELIVERY_CHARGE_ONLY"),$K648,IF($S648="TOTAL_AMOUNT_INCLUDING_DELIVERY",IF(OR($T648="",$J648=""),"",MAX(0,$T648-$J648-$U648)),IF($S648="ITEM_PRICE_ONLY_DELIVERY_PAID_BY_MERCHANT",0,""))))</f>
        <v/>
      </c>
      <c r="AQ648" s="23">
        <f>IF(OR($AP648="",$AO648=""),"",$AP648-$AO648)</f>
        <v/>
      </c>
      <c r="AR648" s="24">
        <f>IF($S648="EXACT_COLLECTION_AMOUNT","BREAKDOWN_REQUIRED",IF($AQ648="","",IF($AQ648&gt;0,"CREDIT_TO_MERCHANT",IF($AQ648&lt;0,"DEDUCT_FROM_MERCHANT","NO_ADJUSTMENT"))))</f>
        <v/>
      </c>
      <c r="AS648" s="23">
        <f>IF(OR($AQ648="",$AR648="BREAKDOWN_REQUIRED"),"",$AQ648)</f>
        <v/>
      </c>
      <c r="AT648" s="23">
        <f>IF(OR($AR648="",$AR648="BREAKDOWN_REQUIRED"),"",SUM($J648,$AQ648,$Y648)-$X648)</f>
        <v/>
      </c>
      <c r="AU648" s="25">
        <f>IF(AND($A648="",$B648="",$F648="",$H648="",$J648="",$K648="",$M648="",$S648=""),"",IF(OR($H648="",$Q648="",$M648="",$S648=""),"ERROR",IF(OR($J648&lt;0,$K648&lt;0,$M648&lt;0,$T648&lt;0,$U648&lt;0,$V648&lt;0,$W648&lt;0,$X648&lt;0,$Y648&lt;0),"ERROR",IF($AE648="","ERROR",IF(AND(OR($S648="ITEM_PRICE_PLUS_DECLARED_DELIVERY",$S648="TOTAL_AMOUNT_INCLUDING_DELIVERY",$S648="ITEM_PRICE_ONLY_DELIVERY_PAID_BY_MERCHANT"),$J648=""),"ERROR",IF(AND(OR($S648="ITEM_PRICE_PLUS_DECLARED_DELIVERY",$S648="DELIVERY_CHARGE_ONLY"),$K648=""),"ERROR",IF(AND(OR($S648="TOTAL_AMOUNT_INCLUDING_DELIVERY",$S648="EXACT_COLLECTION_AMOUNT"),$T648=""),"ERROR",IF(AND($S648="TOTAL_AMOUNT_INCLUDING_DELIVERY",$T648&lt;SUM($J648,$U648)),"ERROR",IF($S648="EXACT_COLLECTION_AMOUNT","REVIEW","OK")))))))))</f>
        <v/>
      </c>
      <c r="AV648" s="25">
        <f>IF($AU648="","",IF($H648="","Township required",IF($Q648="","Customer tier required",IF($M648="","Weight required",IF($S648="","Amount entry type required",IF(OR($J648&lt;0,$K648&lt;0,$M648&lt;0,$T648&lt;0,$U648&lt;0,$V648&lt;0,$W648&lt;0,$X648&lt;0,$Y648&lt;0),"Negative amounts are not allowed",IF($AE648="","Tariff not found for township and tier",IF(AND(OR($S648="ITEM_PRICE_PLUS_DECLARED_DELIVERY",$S648="TOTAL_AMOUNT_INCLUDING_DELIVERY",$S648="ITEM_PRICE_ONLY_DELIVERY_PAID_BY_MERCHANT"),$J648=""),"Item price required for this amount type",IF(AND(OR($S648="ITEM_PRICE_PLUS_DECLARED_DELIVERY",$S648="DELIVERY_CHARGE_ONLY"),$K648=""),"Declared delivery charge required",IF(AND(OR($S648="TOTAL_AMOUNT_INCLUDING_DELIVERY",$S648="EXACT_COLLECTION_AMOUNT"),$T648=""),"Stated total amount required",IF(AND($S648="TOTAL_AMOUNT_INCLUDING_DELIVERY",$T648&lt;SUM($J648,$U648)),"Stated total is below item price plus additional charge",IF($S648="EXACT_COLLECTION_AMOUNT","Authorized amount breakdown required before settlement","Ready for collection and settlement"))))))))))))</f>
        <v/>
      </c>
      <c r="AW648" s="23">
        <f>IF($AU648="","","PARCEL_FINANCIAL_V2")</f>
        <v/>
      </c>
      <c r="AX648" s="17" t="n"/>
    </row>
    <row r="649">
      <c r="A649" s="8" t="n"/>
      <c r="B649" s="8" t="n"/>
      <c r="C649" s="8" t="n"/>
      <c r="D649" s="8" t="n"/>
      <c r="E649" s="9" t="n"/>
      <c r="F649" s="9" t="n"/>
      <c r="G649" s="8" t="n"/>
      <c r="H649" s="9" t="n"/>
      <c r="I649" s="9" t="n"/>
      <c r="J649" s="10" t="n"/>
      <c r="K649" s="10" t="n"/>
      <c r="L649" s="11">
        <f>IF($S649="","",IF($S649="ITEM_PRICE_PLUS_DECLARED_DELIVERY",IF(OR($J649="",$K649=""),"",SUM($J649,$K649,$U649)),IF($S649="TOTAL_AMOUNT_INCLUDING_DELIVERY",IF($T649="","",$T649),IF($S649="DELIVERY_CHARGE_ONLY",IF($K649="","",SUM($K649,$U649)),IF($S649="EXACT_COLLECTION_AMOUNT",IF($T649="","",$T649),IF($S649="ITEM_PRICE_ONLY_DELIVERY_PAID_BY_MERCHANT",IF($J649="","",SUM($J649,$U649)),""))))))</f>
        <v/>
      </c>
      <c r="M649" s="12" t="n"/>
      <c r="N649" s="13" t="n"/>
      <c r="O649" s="13" t="n"/>
      <c r="P649" s="9" t="n"/>
      <c r="Q649" s="14" t="n"/>
      <c r="R649" s="15" t="n"/>
      <c r="S649" s="14" t="n"/>
      <c r="T649" s="16" t="n"/>
      <c r="U649" s="16" t="n"/>
      <c r="V649" s="16" t="n"/>
      <c r="W649" s="16" t="n"/>
      <c r="X649" s="16" t="n"/>
      <c r="Y649" s="16" t="n"/>
      <c r="Z649" s="14" t="n"/>
      <c r="AA649" s="14" t="n"/>
      <c r="AB649" s="14" t="n"/>
      <c r="AC649" s="17">
        <f>IFERROR(VLOOKUP($H649&amp;"|"&amp;$Q649,Tariff_Master!$A$2:$L$169,3,FALSE),"")</f>
        <v/>
      </c>
      <c r="AD649" s="17">
        <f>IFERROR(VLOOKUP($H649&amp;"|"&amp;$Q649,Tariff_Master!$A$2:$L$169,4,FALSE),"")</f>
        <v/>
      </c>
      <c r="AE649" s="18">
        <f>IFERROR(VLOOKUP($H649&amp;"|"&amp;$Q649,Tariff_Master!$A$2:$L$169,6,FALSE),"")</f>
        <v/>
      </c>
      <c r="AF649" s="19">
        <f>IFERROR(VLOOKUP($H649&amp;"|"&amp;$Q649,Tariff_Master!$A$2:$L$169,7,FALSE),"")</f>
        <v/>
      </c>
      <c r="AG649" s="18">
        <f>IFERROR(VLOOKUP($H649&amp;"|"&amp;$Q649,Tariff_Master!$A$2:$L$169,8,FALSE),"")</f>
        <v/>
      </c>
      <c r="AH649" s="20">
        <f>IFERROR(VLOOKUP($H649&amp;"|"&amp;$Q649,Tariff_Master!$A$2:$L$169,9,FALSE),"")</f>
        <v/>
      </c>
      <c r="AI649" s="18">
        <f>IFERROR(VLOOKUP($H649&amp;"|"&amp;$Q649,Tariff_Master!$A$2:$L$169,10,FALSE),"")</f>
        <v/>
      </c>
      <c r="AJ649" s="21">
        <f>IF($M649="","",ROUNDUP(MAX(0,$M649),0))</f>
        <v/>
      </c>
      <c r="AK649" s="21">
        <f>IF(OR($AJ649="",$AF649=""),"",MAX(0,$AJ649-$AF649))</f>
        <v/>
      </c>
      <c r="AL649" s="22">
        <f>IF(OR($AK649="",$AG649=""),"",MAX(0,$AK649*$AG649))</f>
        <v/>
      </c>
      <c r="AM649" s="22">
        <f>IF($AE649="","",MAX(0,SUM($AE649,$AL649,$V649,$W649)))</f>
        <v/>
      </c>
      <c r="AN649" s="22">
        <f>IF($AM649="","",IF(AND($Q649="COMMITMENT",$R649&gt;=$AH649),$AI649,0))</f>
        <v/>
      </c>
      <c r="AO649" s="23">
        <f>IF($AM649="","",MAX(0,$AM649-$AN649))</f>
        <v/>
      </c>
      <c r="AP649" s="22">
        <f>IF($S649="","",IF(OR($S649="ITEM_PRICE_PLUS_DECLARED_DELIVERY",$S649="DELIVERY_CHARGE_ONLY"),$K649,IF($S649="TOTAL_AMOUNT_INCLUDING_DELIVERY",IF(OR($T649="",$J649=""),"",MAX(0,$T649-$J649-$U649)),IF($S649="ITEM_PRICE_ONLY_DELIVERY_PAID_BY_MERCHANT",0,""))))</f>
        <v/>
      </c>
      <c r="AQ649" s="23">
        <f>IF(OR($AP649="",$AO649=""),"",$AP649-$AO649)</f>
        <v/>
      </c>
      <c r="AR649" s="24">
        <f>IF($S649="EXACT_COLLECTION_AMOUNT","BREAKDOWN_REQUIRED",IF($AQ649="","",IF($AQ649&gt;0,"CREDIT_TO_MERCHANT",IF($AQ649&lt;0,"DEDUCT_FROM_MERCHANT","NO_ADJUSTMENT"))))</f>
        <v/>
      </c>
      <c r="AS649" s="23">
        <f>IF(OR($AQ649="",$AR649="BREAKDOWN_REQUIRED"),"",$AQ649)</f>
        <v/>
      </c>
      <c r="AT649" s="23">
        <f>IF(OR($AR649="",$AR649="BREAKDOWN_REQUIRED"),"",SUM($J649,$AQ649,$Y649)-$X649)</f>
        <v/>
      </c>
      <c r="AU649" s="25">
        <f>IF(AND($A649="",$B649="",$F649="",$H649="",$J649="",$K649="",$M649="",$S649=""),"",IF(OR($H649="",$Q649="",$M649="",$S649=""),"ERROR",IF(OR($J649&lt;0,$K649&lt;0,$M649&lt;0,$T649&lt;0,$U649&lt;0,$V649&lt;0,$W649&lt;0,$X649&lt;0,$Y649&lt;0),"ERROR",IF($AE649="","ERROR",IF(AND(OR($S649="ITEM_PRICE_PLUS_DECLARED_DELIVERY",$S649="TOTAL_AMOUNT_INCLUDING_DELIVERY",$S649="ITEM_PRICE_ONLY_DELIVERY_PAID_BY_MERCHANT"),$J649=""),"ERROR",IF(AND(OR($S649="ITEM_PRICE_PLUS_DECLARED_DELIVERY",$S649="DELIVERY_CHARGE_ONLY"),$K649=""),"ERROR",IF(AND(OR($S649="TOTAL_AMOUNT_INCLUDING_DELIVERY",$S649="EXACT_COLLECTION_AMOUNT"),$T649=""),"ERROR",IF(AND($S649="TOTAL_AMOUNT_INCLUDING_DELIVERY",$T649&lt;SUM($J649,$U649)),"ERROR",IF($S649="EXACT_COLLECTION_AMOUNT","REVIEW","OK")))))))))</f>
        <v/>
      </c>
      <c r="AV649" s="25">
        <f>IF($AU649="","",IF($H649="","Township required",IF($Q649="","Customer tier required",IF($M649="","Weight required",IF($S649="","Amount entry type required",IF(OR($J649&lt;0,$K649&lt;0,$M649&lt;0,$T649&lt;0,$U649&lt;0,$V649&lt;0,$W649&lt;0,$X649&lt;0,$Y649&lt;0),"Negative amounts are not allowed",IF($AE649="","Tariff not found for township and tier",IF(AND(OR($S649="ITEM_PRICE_PLUS_DECLARED_DELIVERY",$S649="TOTAL_AMOUNT_INCLUDING_DELIVERY",$S649="ITEM_PRICE_ONLY_DELIVERY_PAID_BY_MERCHANT"),$J649=""),"Item price required for this amount type",IF(AND(OR($S649="ITEM_PRICE_PLUS_DECLARED_DELIVERY",$S649="DELIVERY_CHARGE_ONLY"),$K649=""),"Declared delivery charge required",IF(AND(OR($S649="TOTAL_AMOUNT_INCLUDING_DELIVERY",$S649="EXACT_COLLECTION_AMOUNT"),$T649=""),"Stated total amount required",IF(AND($S649="TOTAL_AMOUNT_INCLUDING_DELIVERY",$T649&lt;SUM($J649,$U649)),"Stated total is below item price plus additional charge",IF($S649="EXACT_COLLECTION_AMOUNT","Authorized amount breakdown required before settlement","Ready for collection and settlement"))))))))))))</f>
        <v/>
      </c>
      <c r="AW649" s="23">
        <f>IF($AU649="","","PARCEL_FINANCIAL_V2")</f>
        <v/>
      </c>
      <c r="AX649" s="17" t="n"/>
    </row>
    <row r="650">
      <c r="A650" s="8" t="n"/>
      <c r="B650" s="8" t="n"/>
      <c r="C650" s="8" t="n"/>
      <c r="D650" s="8" t="n"/>
      <c r="E650" s="9" t="n"/>
      <c r="F650" s="9" t="n"/>
      <c r="G650" s="8" t="n"/>
      <c r="H650" s="9" t="n"/>
      <c r="I650" s="9" t="n"/>
      <c r="J650" s="10" t="n"/>
      <c r="K650" s="10" t="n"/>
      <c r="L650" s="11">
        <f>IF($S650="","",IF($S650="ITEM_PRICE_PLUS_DECLARED_DELIVERY",IF(OR($J650="",$K650=""),"",SUM($J650,$K650,$U650)),IF($S650="TOTAL_AMOUNT_INCLUDING_DELIVERY",IF($T650="","",$T650),IF($S650="DELIVERY_CHARGE_ONLY",IF($K650="","",SUM($K650,$U650)),IF($S650="EXACT_COLLECTION_AMOUNT",IF($T650="","",$T650),IF($S650="ITEM_PRICE_ONLY_DELIVERY_PAID_BY_MERCHANT",IF($J650="","",SUM($J650,$U650)),""))))))</f>
        <v/>
      </c>
      <c r="M650" s="12" t="n"/>
      <c r="N650" s="13" t="n"/>
      <c r="O650" s="13" t="n"/>
      <c r="P650" s="9" t="n"/>
      <c r="Q650" s="14" t="n"/>
      <c r="R650" s="15" t="n"/>
      <c r="S650" s="14" t="n"/>
      <c r="T650" s="16" t="n"/>
      <c r="U650" s="16" t="n"/>
      <c r="V650" s="16" t="n"/>
      <c r="W650" s="16" t="n"/>
      <c r="X650" s="16" t="n"/>
      <c r="Y650" s="16" t="n"/>
      <c r="Z650" s="14" t="n"/>
      <c r="AA650" s="14" t="n"/>
      <c r="AB650" s="14" t="n"/>
      <c r="AC650" s="17">
        <f>IFERROR(VLOOKUP($H650&amp;"|"&amp;$Q650,Tariff_Master!$A$2:$L$169,3,FALSE),"")</f>
        <v/>
      </c>
      <c r="AD650" s="17">
        <f>IFERROR(VLOOKUP($H650&amp;"|"&amp;$Q650,Tariff_Master!$A$2:$L$169,4,FALSE),"")</f>
        <v/>
      </c>
      <c r="AE650" s="18">
        <f>IFERROR(VLOOKUP($H650&amp;"|"&amp;$Q650,Tariff_Master!$A$2:$L$169,6,FALSE),"")</f>
        <v/>
      </c>
      <c r="AF650" s="19">
        <f>IFERROR(VLOOKUP($H650&amp;"|"&amp;$Q650,Tariff_Master!$A$2:$L$169,7,FALSE),"")</f>
        <v/>
      </c>
      <c r="AG650" s="18">
        <f>IFERROR(VLOOKUP($H650&amp;"|"&amp;$Q650,Tariff_Master!$A$2:$L$169,8,FALSE),"")</f>
        <v/>
      </c>
      <c r="AH650" s="20">
        <f>IFERROR(VLOOKUP($H650&amp;"|"&amp;$Q650,Tariff_Master!$A$2:$L$169,9,FALSE),"")</f>
        <v/>
      </c>
      <c r="AI650" s="18">
        <f>IFERROR(VLOOKUP($H650&amp;"|"&amp;$Q650,Tariff_Master!$A$2:$L$169,10,FALSE),"")</f>
        <v/>
      </c>
      <c r="AJ650" s="21">
        <f>IF($M650="","",ROUNDUP(MAX(0,$M650),0))</f>
        <v/>
      </c>
      <c r="AK650" s="21">
        <f>IF(OR($AJ650="",$AF650=""),"",MAX(0,$AJ650-$AF650))</f>
        <v/>
      </c>
      <c r="AL650" s="22">
        <f>IF(OR($AK650="",$AG650=""),"",MAX(0,$AK650*$AG650))</f>
        <v/>
      </c>
      <c r="AM650" s="22">
        <f>IF($AE650="","",MAX(0,SUM($AE650,$AL650,$V650,$W650)))</f>
        <v/>
      </c>
      <c r="AN650" s="22">
        <f>IF($AM650="","",IF(AND($Q650="COMMITMENT",$R650&gt;=$AH650),$AI650,0))</f>
        <v/>
      </c>
      <c r="AO650" s="23">
        <f>IF($AM650="","",MAX(0,$AM650-$AN650))</f>
        <v/>
      </c>
      <c r="AP650" s="22">
        <f>IF($S650="","",IF(OR($S650="ITEM_PRICE_PLUS_DECLARED_DELIVERY",$S650="DELIVERY_CHARGE_ONLY"),$K650,IF($S650="TOTAL_AMOUNT_INCLUDING_DELIVERY",IF(OR($T650="",$J650=""),"",MAX(0,$T650-$J650-$U650)),IF($S650="ITEM_PRICE_ONLY_DELIVERY_PAID_BY_MERCHANT",0,""))))</f>
        <v/>
      </c>
      <c r="AQ650" s="23">
        <f>IF(OR($AP650="",$AO650=""),"",$AP650-$AO650)</f>
        <v/>
      </c>
      <c r="AR650" s="24">
        <f>IF($S650="EXACT_COLLECTION_AMOUNT","BREAKDOWN_REQUIRED",IF($AQ650="","",IF($AQ650&gt;0,"CREDIT_TO_MERCHANT",IF($AQ650&lt;0,"DEDUCT_FROM_MERCHANT","NO_ADJUSTMENT"))))</f>
        <v/>
      </c>
      <c r="AS650" s="23">
        <f>IF(OR($AQ650="",$AR650="BREAKDOWN_REQUIRED"),"",$AQ650)</f>
        <v/>
      </c>
      <c r="AT650" s="23">
        <f>IF(OR($AR650="",$AR650="BREAKDOWN_REQUIRED"),"",SUM($J650,$AQ650,$Y650)-$X650)</f>
        <v/>
      </c>
      <c r="AU650" s="25">
        <f>IF(AND($A650="",$B650="",$F650="",$H650="",$J650="",$K650="",$M650="",$S650=""),"",IF(OR($H650="",$Q650="",$M650="",$S650=""),"ERROR",IF(OR($J650&lt;0,$K650&lt;0,$M650&lt;0,$T650&lt;0,$U650&lt;0,$V650&lt;0,$W650&lt;0,$X650&lt;0,$Y650&lt;0),"ERROR",IF($AE650="","ERROR",IF(AND(OR($S650="ITEM_PRICE_PLUS_DECLARED_DELIVERY",$S650="TOTAL_AMOUNT_INCLUDING_DELIVERY",$S650="ITEM_PRICE_ONLY_DELIVERY_PAID_BY_MERCHANT"),$J650=""),"ERROR",IF(AND(OR($S650="ITEM_PRICE_PLUS_DECLARED_DELIVERY",$S650="DELIVERY_CHARGE_ONLY"),$K650=""),"ERROR",IF(AND(OR($S650="TOTAL_AMOUNT_INCLUDING_DELIVERY",$S650="EXACT_COLLECTION_AMOUNT"),$T650=""),"ERROR",IF(AND($S650="TOTAL_AMOUNT_INCLUDING_DELIVERY",$T650&lt;SUM($J650,$U650)),"ERROR",IF($S650="EXACT_COLLECTION_AMOUNT","REVIEW","OK")))))))))</f>
        <v/>
      </c>
      <c r="AV650" s="25">
        <f>IF($AU650="","",IF($H650="","Township required",IF($Q650="","Customer tier required",IF($M650="","Weight required",IF($S650="","Amount entry type required",IF(OR($J650&lt;0,$K650&lt;0,$M650&lt;0,$T650&lt;0,$U650&lt;0,$V650&lt;0,$W650&lt;0,$X650&lt;0,$Y650&lt;0),"Negative amounts are not allowed",IF($AE650="","Tariff not found for township and tier",IF(AND(OR($S650="ITEM_PRICE_PLUS_DECLARED_DELIVERY",$S650="TOTAL_AMOUNT_INCLUDING_DELIVERY",$S650="ITEM_PRICE_ONLY_DELIVERY_PAID_BY_MERCHANT"),$J650=""),"Item price required for this amount type",IF(AND(OR($S650="ITEM_PRICE_PLUS_DECLARED_DELIVERY",$S650="DELIVERY_CHARGE_ONLY"),$K650=""),"Declared delivery charge required",IF(AND(OR($S650="TOTAL_AMOUNT_INCLUDING_DELIVERY",$S650="EXACT_COLLECTION_AMOUNT"),$T650=""),"Stated total amount required",IF(AND($S650="TOTAL_AMOUNT_INCLUDING_DELIVERY",$T650&lt;SUM($J650,$U650)),"Stated total is below item price plus additional charge",IF($S650="EXACT_COLLECTION_AMOUNT","Authorized amount breakdown required before settlement","Ready for collection and settlement"))))))))))))</f>
        <v/>
      </c>
      <c r="AW650" s="23">
        <f>IF($AU650="","","PARCEL_FINANCIAL_V2")</f>
        <v/>
      </c>
      <c r="AX650" s="17" t="n"/>
    </row>
    <row r="651">
      <c r="A651" s="8" t="n"/>
      <c r="B651" s="8" t="n"/>
      <c r="C651" s="8" t="n"/>
      <c r="D651" s="8" t="n"/>
      <c r="E651" s="9" t="n"/>
      <c r="F651" s="9" t="n"/>
      <c r="G651" s="8" t="n"/>
      <c r="H651" s="9" t="n"/>
      <c r="I651" s="9" t="n"/>
      <c r="J651" s="10" t="n"/>
      <c r="K651" s="10" t="n"/>
      <c r="L651" s="11">
        <f>IF($S651="","",IF($S651="ITEM_PRICE_PLUS_DECLARED_DELIVERY",IF(OR($J651="",$K651=""),"",SUM($J651,$K651,$U651)),IF($S651="TOTAL_AMOUNT_INCLUDING_DELIVERY",IF($T651="","",$T651),IF($S651="DELIVERY_CHARGE_ONLY",IF($K651="","",SUM($K651,$U651)),IF($S651="EXACT_COLLECTION_AMOUNT",IF($T651="","",$T651),IF($S651="ITEM_PRICE_ONLY_DELIVERY_PAID_BY_MERCHANT",IF($J651="","",SUM($J651,$U651)),""))))))</f>
        <v/>
      </c>
      <c r="M651" s="12" t="n"/>
      <c r="N651" s="13" t="n"/>
      <c r="O651" s="13" t="n"/>
      <c r="P651" s="9" t="n"/>
      <c r="Q651" s="14" t="n"/>
      <c r="R651" s="15" t="n"/>
      <c r="S651" s="14" t="n"/>
      <c r="T651" s="16" t="n"/>
      <c r="U651" s="16" t="n"/>
      <c r="V651" s="16" t="n"/>
      <c r="W651" s="16" t="n"/>
      <c r="X651" s="16" t="n"/>
      <c r="Y651" s="16" t="n"/>
      <c r="Z651" s="14" t="n"/>
      <c r="AA651" s="14" t="n"/>
      <c r="AB651" s="14" t="n"/>
      <c r="AC651" s="17">
        <f>IFERROR(VLOOKUP($H651&amp;"|"&amp;$Q651,Tariff_Master!$A$2:$L$169,3,FALSE),"")</f>
        <v/>
      </c>
      <c r="AD651" s="17">
        <f>IFERROR(VLOOKUP($H651&amp;"|"&amp;$Q651,Tariff_Master!$A$2:$L$169,4,FALSE),"")</f>
        <v/>
      </c>
      <c r="AE651" s="18">
        <f>IFERROR(VLOOKUP($H651&amp;"|"&amp;$Q651,Tariff_Master!$A$2:$L$169,6,FALSE),"")</f>
        <v/>
      </c>
      <c r="AF651" s="19">
        <f>IFERROR(VLOOKUP($H651&amp;"|"&amp;$Q651,Tariff_Master!$A$2:$L$169,7,FALSE),"")</f>
        <v/>
      </c>
      <c r="AG651" s="18">
        <f>IFERROR(VLOOKUP($H651&amp;"|"&amp;$Q651,Tariff_Master!$A$2:$L$169,8,FALSE),"")</f>
        <v/>
      </c>
      <c r="AH651" s="20">
        <f>IFERROR(VLOOKUP($H651&amp;"|"&amp;$Q651,Tariff_Master!$A$2:$L$169,9,FALSE),"")</f>
        <v/>
      </c>
      <c r="AI651" s="18">
        <f>IFERROR(VLOOKUP($H651&amp;"|"&amp;$Q651,Tariff_Master!$A$2:$L$169,10,FALSE),"")</f>
        <v/>
      </c>
      <c r="AJ651" s="21">
        <f>IF($M651="","",ROUNDUP(MAX(0,$M651),0))</f>
        <v/>
      </c>
      <c r="AK651" s="21">
        <f>IF(OR($AJ651="",$AF651=""),"",MAX(0,$AJ651-$AF651))</f>
        <v/>
      </c>
      <c r="AL651" s="22">
        <f>IF(OR($AK651="",$AG651=""),"",MAX(0,$AK651*$AG651))</f>
        <v/>
      </c>
      <c r="AM651" s="22">
        <f>IF($AE651="","",MAX(0,SUM($AE651,$AL651,$V651,$W651)))</f>
        <v/>
      </c>
      <c r="AN651" s="22">
        <f>IF($AM651="","",IF(AND($Q651="COMMITMENT",$R651&gt;=$AH651),$AI651,0))</f>
        <v/>
      </c>
      <c r="AO651" s="23">
        <f>IF($AM651="","",MAX(0,$AM651-$AN651))</f>
        <v/>
      </c>
      <c r="AP651" s="22">
        <f>IF($S651="","",IF(OR($S651="ITEM_PRICE_PLUS_DECLARED_DELIVERY",$S651="DELIVERY_CHARGE_ONLY"),$K651,IF($S651="TOTAL_AMOUNT_INCLUDING_DELIVERY",IF(OR($T651="",$J651=""),"",MAX(0,$T651-$J651-$U651)),IF($S651="ITEM_PRICE_ONLY_DELIVERY_PAID_BY_MERCHANT",0,""))))</f>
        <v/>
      </c>
      <c r="AQ651" s="23">
        <f>IF(OR($AP651="",$AO651=""),"",$AP651-$AO651)</f>
        <v/>
      </c>
      <c r="AR651" s="24">
        <f>IF($S651="EXACT_COLLECTION_AMOUNT","BREAKDOWN_REQUIRED",IF($AQ651="","",IF($AQ651&gt;0,"CREDIT_TO_MERCHANT",IF($AQ651&lt;0,"DEDUCT_FROM_MERCHANT","NO_ADJUSTMENT"))))</f>
        <v/>
      </c>
      <c r="AS651" s="23">
        <f>IF(OR($AQ651="",$AR651="BREAKDOWN_REQUIRED"),"",$AQ651)</f>
        <v/>
      </c>
      <c r="AT651" s="23">
        <f>IF(OR($AR651="",$AR651="BREAKDOWN_REQUIRED"),"",SUM($J651,$AQ651,$Y651)-$X651)</f>
        <v/>
      </c>
      <c r="AU651" s="25">
        <f>IF(AND($A651="",$B651="",$F651="",$H651="",$J651="",$K651="",$M651="",$S651=""),"",IF(OR($H651="",$Q651="",$M651="",$S651=""),"ERROR",IF(OR($J651&lt;0,$K651&lt;0,$M651&lt;0,$T651&lt;0,$U651&lt;0,$V651&lt;0,$W651&lt;0,$X651&lt;0,$Y651&lt;0),"ERROR",IF($AE651="","ERROR",IF(AND(OR($S651="ITEM_PRICE_PLUS_DECLARED_DELIVERY",$S651="TOTAL_AMOUNT_INCLUDING_DELIVERY",$S651="ITEM_PRICE_ONLY_DELIVERY_PAID_BY_MERCHANT"),$J651=""),"ERROR",IF(AND(OR($S651="ITEM_PRICE_PLUS_DECLARED_DELIVERY",$S651="DELIVERY_CHARGE_ONLY"),$K651=""),"ERROR",IF(AND(OR($S651="TOTAL_AMOUNT_INCLUDING_DELIVERY",$S651="EXACT_COLLECTION_AMOUNT"),$T651=""),"ERROR",IF(AND($S651="TOTAL_AMOUNT_INCLUDING_DELIVERY",$T651&lt;SUM($J651,$U651)),"ERROR",IF($S651="EXACT_COLLECTION_AMOUNT","REVIEW","OK")))))))))</f>
        <v/>
      </c>
      <c r="AV651" s="25">
        <f>IF($AU651="","",IF($H651="","Township required",IF($Q651="","Customer tier required",IF($M651="","Weight required",IF($S651="","Amount entry type required",IF(OR($J651&lt;0,$K651&lt;0,$M651&lt;0,$T651&lt;0,$U651&lt;0,$V651&lt;0,$W651&lt;0,$X651&lt;0,$Y651&lt;0),"Negative amounts are not allowed",IF($AE651="","Tariff not found for township and tier",IF(AND(OR($S651="ITEM_PRICE_PLUS_DECLARED_DELIVERY",$S651="TOTAL_AMOUNT_INCLUDING_DELIVERY",$S651="ITEM_PRICE_ONLY_DELIVERY_PAID_BY_MERCHANT"),$J651=""),"Item price required for this amount type",IF(AND(OR($S651="ITEM_PRICE_PLUS_DECLARED_DELIVERY",$S651="DELIVERY_CHARGE_ONLY"),$K651=""),"Declared delivery charge required",IF(AND(OR($S651="TOTAL_AMOUNT_INCLUDING_DELIVERY",$S651="EXACT_COLLECTION_AMOUNT"),$T651=""),"Stated total amount required",IF(AND($S651="TOTAL_AMOUNT_INCLUDING_DELIVERY",$T651&lt;SUM($J651,$U651)),"Stated total is below item price plus additional charge",IF($S651="EXACT_COLLECTION_AMOUNT","Authorized amount breakdown required before settlement","Ready for collection and settlement"))))))))))))</f>
        <v/>
      </c>
      <c r="AW651" s="23">
        <f>IF($AU651="","","PARCEL_FINANCIAL_V2")</f>
        <v/>
      </c>
      <c r="AX651" s="17" t="n"/>
    </row>
    <row r="652">
      <c r="A652" s="8" t="n"/>
      <c r="B652" s="8" t="n"/>
      <c r="C652" s="8" t="n"/>
      <c r="D652" s="8" t="n"/>
      <c r="E652" s="9" t="n"/>
      <c r="F652" s="9" t="n"/>
      <c r="G652" s="8" t="n"/>
      <c r="H652" s="9" t="n"/>
      <c r="I652" s="9" t="n"/>
      <c r="J652" s="10" t="n"/>
      <c r="K652" s="10" t="n"/>
      <c r="L652" s="11">
        <f>IF($S652="","",IF($S652="ITEM_PRICE_PLUS_DECLARED_DELIVERY",IF(OR($J652="",$K652=""),"",SUM($J652,$K652,$U652)),IF($S652="TOTAL_AMOUNT_INCLUDING_DELIVERY",IF($T652="","",$T652),IF($S652="DELIVERY_CHARGE_ONLY",IF($K652="","",SUM($K652,$U652)),IF($S652="EXACT_COLLECTION_AMOUNT",IF($T652="","",$T652),IF($S652="ITEM_PRICE_ONLY_DELIVERY_PAID_BY_MERCHANT",IF($J652="","",SUM($J652,$U652)),""))))))</f>
        <v/>
      </c>
      <c r="M652" s="12" t="n"/>
      <c r="N652" s="13" t="n"/>
      <c r="O652" s="13" t="n"/>
      <c r="P652" s="9" t="n"/>
      <c r="Q652" s="14" t="n"/>
      <c r="R652" s="15" t="n"/>
      <c r="S652" s="14" t="n"/>
      <c r="T652" s="16" t="n"/>
      <c r="U652" s="16" t="n"/>
      <c r="V652" s="16" t="n"/>
      <c r="W652" s="16" t="n"/>
      <c r="X652" s="16" t="n"/>
      <c r="Y652" s="16" t="n"/>
      <c r="Z652" s="14" t="n"/>
      <c r="AA652" s="14" t="n"/>
      <c r="AB652" s="14" t="n"/>
      <c r="AC652" s="17">
        <f>IFERROR(VLOOKUP($H652&amp;"|"&amp;$Q652,Tariff_Master!$A$2:$L$169,3,FALSE),"")</f>
        <v/>
      </c>
      <c r="AD652" s="17">
        <f>IFERROR(VLOOKUP($H652&amp;"|"&amp;$Q652,Tariff_Master!$A$2:$L$169,4,FALSE),"")</f>
        <v/>
      </c>
      <c r="AE652" s="18">
        <f>IFERROR(VLOOKUP($H652&amp;"|"&amp;$Q652,Tariff_Master!$A$2:$L$169,6,FALSE),"")</f>
        <v/>
      </c>
      <c r="AF652" s="19">
        <f>IFERROR(VLOOKUP($H652&amp;"|"&amp;$Q652,Tariff_Master!$A$2:$L$169,7,FALSE),"")</f>
        <v/>
      </c>
      <c r="AG652" s="18">
        <f>IFERROR(VLOOKUP($H652&amp;"|"&amp;$Q652,Tariff_Master!$A$2:$L$169,8,FALSE),"")</f>
        <v/>
      </c>
      <c r="AH652" s="20">
        <f>IFERROR(VLOOKUP($H652&amp;"|"&amp;$Q652,Tariff_Master!$A$2:$L$169,9,FALSE),"")</f>
        <v/>
      </c>
      <c r="AI652" s="18">
        <f>IFERROR(VLOOKUP($H652&amp;"|"&amp;$Q652,Tariff_Master!$A$2:$L$169,10,FALSE),"")</f>
        <v/>
      </c>
      <c r="AJ652" s="21">
        <f>IF($M652="","",ROUNDUP(MAX(0,$M652),0))</f>
        <v/>
      </c>
      <c r="AK652" s="21">
        <f>IF(OR($AJ652="",$AF652=""),"",MAX(0,$AJ652-$AF652))</f>
        <v/>
      </c>
      <c r="AL652" s="22">
        <f>IF(OR($AK652="",$AG652=""),"",MAX(0,$AK652*$AG652))</f>
        <v/>
      </c>
      <c r="AM652" s="22">
        <f>IF($AE652="","",MAX(0,SUM($AE652,$AL652,$V652,$W652)))</f>
        <v/>
      </c>
      <c r="AN652" s="22">
        <f>IF($AM652="","",IF(AND($Q652="COMMITMENT",$R652&gt;=$AH652),$AI652,0))</f>
        <v/>
      </c>
      <c r="AO652" s="23">
        <f>IF($AM652="","",MAX(0,$AM652-$AN652))</f>
        <v/>
      </c>
      <c r="AP652" s="22">
        <f>IF($S652="","",IF(OR($S652="ITEM_PRICE_PLUS_DECLARED_DELIVERY",$S652="DELIVERY_CHARGE_ONLY"),$K652,IF($S652="TOTAL_AMOUNT_INCLUDING_DELIVERY",IF(OR($T652="",$J652=""),"",MAX(0,$T652-$J652-$U652)),IF($S652="ITEM_PRICE_ONLY_DELIVERY_PAID_BY_MERCHANT",0,""))))</f>
        <v/>
      </c>
      <c r="AQ652" s="23">
        <f>IF(OR($AP652="",$AO652=""),"",$AP652-$AO652)</f>
        <v/>
      </c>
      <c r="AR652" s="24">
        <f>IF($S652="EXACT_COLLECTION_AMOUNT","BREAKDOWN_REQUIRED",IF($AQ652="","",IF($AQ652&gt;0,"CREDIT_TO_MERCHANT",IF($AQ652&lt;0,"DEDUCT_FROM_MERCHANT","NO_ADJUSTMENT"))))</f>
        <v/>
      </c>
      <c r="AS652" s="23">
        <f>IF(OR($AQ652="",$AR652="BREAKDOWN_REQUIRED"),"",$AQ652)</f>
        <v/>
      </c>
      <c r="AT652" s="23">
        <f>IF(OR($AR652="",$AR652="BREAKDOWN_REQUIRED"),"",SUM($J652,$AQ652,$Y652)-$X652)</f>
        <v/>
      </c>
      <c r="AU652" s="25">
        <f>IF(AND($A652="",$B652="",$F652="",$H652="",$J652="",$K652="",$M652="",$S652=""),"",IF(OR($H652="",$Q652="",$M652="",$S652=""),"ERROR",IF(OR($J652&lt;0,$K652&lt;0,$M652&lt;0,$T652&lt;0,$U652&lt;0,$V652&lt;0,$W652&lt;0,$X652&lt;0,$Y652&lt;0),"ERROR",IF($AE652="","ERROR",IF(AND(OR($S652="ITEM_PRICE_PLUS_DECLARED_DELIVERY",$S652="TOTAL_AMOUNT_INCLUDING_DELIVERY",$S652="ITEM_PRICE_ONLY_DELIVERY_PAID_BY_MERCHANT"),$J652=""),"ERROR",IF(AND(OR($S652="ITEM_PRICE_PLUS_DECLARED_DELIVERY",$S652="DELIVERY_CHARGE_ONLY"),$K652=""),"ERROR",IF(AND(OR($S652="TOTAL_AMOUNT_INCLUDING_DELIVERY",$S652="EXACT_COLLECTION_AMOUNT"),$T652=""),"ERROR",IF(AND($S652="TOTAL_AMOUNT_INCLUDING_DELIVERY",$T652&lt;SUM($J652,$U652)),"ERROR",IF($S652="EXACT_COLLECTION_AMOUNT","REVIEW","OK")))))))))</f>
        <v/>
      </c>
      <c r="AV652" s="25">
        <f>IF($AU652="","",IF($H652="","Township required",IF($Q652="","Customer tier required",IF($M652="","Weight required",IF($S652="","Amount entry type required",IF(OR($J652&lt;0,$K652&lt;0,$M652&lt;0,$T652&lt;0,$U652&lt;0,$V652&lt;0,$W652&lt;0,$X652&lt;0,$Y652&lt;0),"Negative amounts are not allowed",IF($AE652="","Tariff not found for township and tier",IF(AND(OR($S652="ITEM_PRICE_PLUS_DECLARED_DELIVERY",$S652="TOTAL_AMOUNT_INCLUDING_DELIVERY",$S652="ITEM_PRICE_ONLY_DELIVERY_PAID_BY_MERCHANT"),$J652=""),"Item price required for this amount type",IF(AND(OR($S652="ITEM_PRICE_PLUS_DECLARED_DELIVERY",$S652="DELIVERY_CHARGE_ONLY"),$K652=""),"Declared delivery charge required",IF(AND(OR($S652="TOTAL_AMOUNT_INCLUDING_DELIVERY",$S652="EXACT_COLLECTION_AMOUNT"),$T652=""),"Stated total amount required",IF(AND($S652="TOTAL_AMOUNT_INCLUDING_DELIVERY",$T652&lt;SUM($J652,$U652)),"Stated total is below item price plus additional charge",IF($S652="EXACT_COLLECTION_AMOUNT","Authorized amount breakdown required before settlement","Ready for collection and settlement"))))))))))))</f>
        <v/>
      </c>
      <c r="AW652" s="23">
        <f>IF($AU652="","","PARCEL_FINANCIAL_V2")</f>
        <v/>
      </c>
      <c r="AX652" s="17" t="n"/>
    </row>
    <row r="653">
      <c r="A653" s="8" t="n"/>
      <c r="B653" s="8" t="n"/>
      <c r="C653" s="8" t="n"/>
      <c r="D653" s="8" t="n"/>
      <c r="E653" s="9" t="n"/>
      <c r="F653" s="9" t="n"/>
      <c r="G653" s="8" t="n"/>
      <c r="H653" s="9" t="n"/>
      <c r="I653" s="9" t="n"/>
      <c r="J653" s="10" t="n"/>
      <c r="K653" s="10" t="n"/>
      <c r="L653" s="11">
        <f>IF($S653="","",IF($S653="ITEM_PRICE_PLUS_DECLARED_DELIVERY",IF(OR($J653="",$K653=""),"",SUM($J653,$K653,$U653)),IF($S653="TOTAL_AMOUNT_INCLUDING_DELIVERY",IF($T653="","",$T653),IF($S653="DELIVERY_CHARGE_ONLY",IF($K653="","",SUM($K653,$U653)),IF($S653="EXACT_COLLECTION_AMOUNT",IF($T653="","",$T653),IF($S653="ITEM_PRICE_ONLY_DELIVERY_PAID_BY_MERCHANT",IF($J653="","",SUM($J653,$U653)),""))))))</f>
        <v/>
      </c>
      <c r="M653" s="12" t="n"/>
      <c r="N653" s="13" t="n"/>
      <c r="O653" s="13" t="n"/>
      <c r="P653" s="9" t="n"/>
      <c r="Q653" s="14" t="n"/>
      <c r="R653" s="15" t="n"/>
      <c r="S653" s="14" t="n"/>
      <c r="T653" s="16" t="n"/>
      <c r="U653" s="16" t="n"/>
      <c r="V653" s="16" t="n"/>
      <c r="W653" s="16" t="n"/>
      <c r="X653" s="16" t="n"/>
      <c r="Y653" s="16" t="n"/>
      <c r="Z653" s="14" t="n"/>
      <c r="AA653" s="14" t="n"/>
      <c r="AB653" s="14" t="n"/>
      <c r="AC653" s="17">
        <f>IFERROR(VLOOKUP($H653&amp;"|"&amp;$Q653,Tariff_Master!$A$2:$L$169,3,FALSE),"")</f>
        <v/>
      </c>
      <c r="AD653" s="17">
        <f>IFERROR(VLOOKUP($H653&amp;"|"&amp;$Q653,Tariff_Master!$A$2:$L$169,4,FALSE),"")</f>
        <v/>
      </c>
      <c r="AE653" s="18">
        <f>IFERROR(VLOOKUP($H653&amp;"|"&amp;$Q653,Tariff_Master!$A$2:$L$169,6,FALSE),"")</f>
        <v/>
      </c>
      <c r="AF653" s="19">
        <f>IFERROR(VLOOKUP($H653&amp;"|"&amp;$Q653,Tariff_Master!$A$2:$L$169,7,FALSE),"")</f>
        <v/>
      </c>
      <c r="AG653" s="18">
        <f>IFERROR(VLOOKUP($H653&amp;"|"&amp;$Q653,Tariff_Master!$A$2:$L$169,8,FALSE),"")</f>
        <v/>
      </c>
      <c r="AH653" s="20">
        <f>IFERROR(VLOOKUP($H653&amp;"|"&amp;$Q653,Tariff_Master!$A$2:$L$169,9,FALSE),"")</f>
        <v/>
      </c>
      <c r="AI653" s="18">
        <f>IFERROR(VLOOKUP($H653&amp;"|"&amp;$Q653,Tariff_Master!$A$2:$L$169,10,FALSE),"")</f>
        <v/>
      </c>
      <c r="AJ653" s="21">
        <f>IF($M653="","",ROUNDUP(MAX(0,$M653),0))</f>
        <v/>
      </c>
      <c r="AK653" s="21">
        <f>IF(OR($AJ653="",$AF653=""),"",MAX(0,$AJ653-$AF653))</f>
        <v/>
      </c>
      <c r="AL653" s="22">
        <f>IF(OR($AK653="",$AG653=""),"",MAX(0,$AK653*$AG653))</f>
        <v/>
      </c>
      <c r="AM653" s="22">
        <f>IF($AE653="","",MAX(0,SUM($AE653,$AL653,$V653,$W653)))</f>
        <v/>
      </c>
      <c r="AN653" s="22">
        <f>IF($AM653="","",IF(AND($Q653="COMMITMENT",$R653&gt;=$AH653),$AI653,0))</f>
        <v/>
      </c>
      <c r="AO653" s="23">
        <f>IF($AM653="","",MAX(0,$AM653-$AN653))</f>
        <v/>
      </c>
      <c r="AP653" s="22">
        <f>IF($S653="","",IF(OR($S653="ITEM_PRICE_PLUS_DECLARED_DELIVERY",$S653="DELIVERY_CHARGE_ONLY"),$K653,IF($S653="TOTAL_AMOUNT_INCLUDING_DELIVERY",IF(OR($T653="",$J653=""),"",MAX(0,$T653-$J653-$U653)),IF($S653="ITEM_PRICE_ONLY_DELIVERY_PAID_BY_MERCHANT",0,""))))</f>
        <v/>
      </c>
      <c r="AQ653" s="23">
        <f>IF(OR($AP653="",$AO653=""),"",$AP653-$AO653)</f>
        <v/>
      </c>
      <c r="AR653" s="24">
        <f>IF($S653="EXACT_COLLECTION_AMOUNT","BREAKDOWN_REQUIRED",IF($AQ653="","",IF($AQ653&gt;0,"CREDIT_TO_MERCHANT",IF($AQ653&lt;0,"DEDUCT_FROM_MERCHANT","NO_ADJUSTMENT"))))</f>
        <v/>
      </c>
      <c r="AS653" s="23">
        <f>IF(OR($AQ653="",$AR653="BREAKDOWN_REQUIRED"),"",$AQ653)</f>
        <v/>
      </c>
      <c r="AT653" s="23">
        <f>IF(OR($AR653="",$AR653="BREAKDOWN_REQUIRED"),"",SUM($J653,$AQ653,$Y653)-$X653)</f>
        <v/>
      </c>
      <c r="AU653" s="25">
        <f>IF(AND($A653="",$B653="",$F653="",$H653="",$J653="",$K653="",$M653="",$S653=""),"",IF(OR($H653="",$Q653="",$M653="",$S653=""),"ERROR",IF(OR($J653&lt;0,$K653&lt;0,$M653&lt;0,$T653&lt;0,$U653&lt;0,$V653&lt;0,$W653&lt;0,$X653&lt;0,$Y653&lt;0),"ERROR",IF($AE653="","ERROR",IF(AND(OR($S653="ITEM_PRICE_PLUS_DECLARED_DELIVERY",$S653="TOTAL_AMOUNT_INCLUDING_DELIVERY",$S653="ITEM_PRICE_ONLY_DELIVERY_PAID_BY_MERCHANT"),$J653=""),"ERROR",IF(AND(OR($S653="ITEM_PRICE_PLUS_DECLARED_DELIVERY",$S653="DELIVERY_CHARGE_ONLY"),$K653=""),"ERROR",IF(AND(OR($S653="TOTAL_AMOUNT_INCLUDING_DELIVERY",$S653="EXACT_COLLECTION_AMOUNT"),$T653=""),"ERROR",IF(AND($S653="TOTAL_AMOUNT_INCLUDING_DELIVERY",$T653&lt;SUM($J653,$U653)),"ERROR",IF($S653="EXACT_COLLECTION_AMOUNT","REVIEW","OK")))))))))</f>
        <v/>
      </c>
      <c r="AV653" s="25">
        <f>IF($AU653="","",IF($H653="","Township required",IF($Q653="","Customer tier required",IF($M653="","Weight required",IF($S653="","Amount entry type required",IF(OR($J653&lt;0,$K653&lt;0,$M653&lt;0,$T653&lt;0,$U653&lt;0,$V653&lt;0,$W653&lt;0,$X653&lt;0,$Y653&lt;0),"Negative amounts are not allowed",IF($AE653="","Tariff not found for township and tier",IF(AND(OR($S653="ITEM_PRICE_PLUS_DECLARED_DELIVERY",$S653="TOTAL_AMOUNT_INCLUDING_DELIVERY",$S653="ITEM_PRICE_ONLY_DELIVERY_PAID_BY_MERCHANT"),$J653=""),"Item price required for this amount type",IF(AND(OR($S653="ITEM_PRICE_PLUS_DECLARED_DELIVERY",$S653="DELIVERY_CHARGE_ONLY"),$K653=""),"Declared delivery charge required",IF(AND(OR($S653="TOTAL_AMOUNT_INCLUDING_DELIVERY",$S653="EXACT_COLLECTION_AMOUNT"),$T653=""),"Stated total amount required",IF(AND($S653="TOTAL_AMOUNT_INCLUDING_DELIVERY",$T653&lt;SUM($J653,$U653)),"Stated total is below item price plus additional charge",IF($S653="EXACT_COLLECTION_AMOUNT","Authorized amount breakdown required before settlement","Ready for collection and settlement"))))))))))))</f>
        <v/>
      </c>
      <c r="AW653" s="23">
        <f>IF($AU653="","","PARCEL_FINANCIAL_V2")</f>
        <v/>
      </c>
      <c r="AX653" s="17" t="n"/>
    </row>
    <row r="654">
      <c r="A654" s="8" t="n"/>
      <c r="B654" s="8" t="n"/>
      <c r="C654" s="8" t="n"/>
      <c r="D654" s="8" t="n"/>
      <c r="E654" s="9" t="n"/>
      <c r="F654" s="9" t="n"/>
      <c r="G654" s="8" t="n"/>
      <c r="H654" s="9" t="n"/>
      <c r="I654" s="9" t="n"/>
      <c r="J654" s="10" t="n"/>
      <c r="K654" s="10" t="n"/>
      <c r="L654" s="11">
        <f>IF($S654="","",IF($S654="ITEM_PRICE_PLUS_DECLARED_DELIVERY",IF(OR($J654="",$K654=""),"",SUM($J654,$K654,$U654)),IF($S654="TOTAL_AMOUNT_INCLUDING_DELIVERY",IF($T654="","",$T654),IF($S654="DELIVERY_CHARGE_ONLY",IF($K654="","",SUM($K654,$U654)),IF($S654="EXACT_COLLECTION_AMOUNT",IF($T654="","",$T654),IF($S654="ITEM_PRICE_ONLY_DELIVERY_PAID_BY_MERCHANT",IF($J654="","",SUM($J654,$U654)),""))))))</f>
        <v/>
      </c>
      <c r="M654" s="12" t="n"/>
      <c r="N654" s="13" t="n"/>
      <c r="O654" s="13" t="n"/>
      <c r="P654" s="9" t="n"/>
      <c r="Q654" s="14" t="n"/>
      <c r="R654" s="15" t="n"/>
      <c r="S654" s="14" t="n"/>
      <c r="T654" s="16" t="n"/>
      <c r="U654" s="16" t="n"/>
      <c r="V654" s="16" t="n"/>
      <c r="W654" s="16" t="n"/>
      <c r="X654" s="16" t="n"/>
      <c r="Y654" s="16" t="n"/>
      <c r="Z654" s="14" t="n"/>
      <c r="AA654" s="14" t="n"/>
      <c r="AB654" s="14" t="n"/>
      <c r="AC654" s="17">
        <f>IFERROR(VLOOKUP($H654&amp;"|"&amp;$Q654,Tariff_Master!$A$2:$L$169,3,FALSE),"")</f>
        <v/>
      </c>
      <c r="AD654" s="17">
        <f>IFERROR(VLOOKUP($H654&amp;"|"&amp;$Q654,Tariff_Master!$A$2:$L$169,4,FALSE),"")</f>
        <v/>
      </c>
      <c r="AE654" s="18">
        <f>IFERROR(VLOOKUP($H654&amp;"|"&amp;$Q654,Tariff_Master!$A$2:$L$169,6,FALSE),"")</f>
        <v/>
      </c>
      <c r="AF654" s="19">
        <f>IFERROR(VLOOKUP($H654&amp;"|"&amp;$Q654,Tariff_Master!$A$2:$L$169,7,FALSE),"")</f>
        <v/>
      </c>
      <c r="AG654" s="18">
        <f>IFERROR(VLOOKUP($H654&amp;"|"&amp;$Q654,Tariff_Master!$A$2:$L$169,8,FALSE),"")</f>
        <v/>
      </c>
      <c r="AH654" s="20">
        <f>IFERROR(VLOOKUP($H654&amp;"|"&amp;$Q654,Tariff_Master!$A$2:$L$169,9,FALSE),"")</f>
        <v/>
      </c>
      <c r="AI654" s="18">
        <f>IFERROR(VLOOKUP($H654&amp;"|"&amp;$Q654,Tariff_Master!$A$2:$L$169,10,FALSE),"")</f>
        <v/>
      </c>
      <c r="AJ654" s="21">
        <f>IF($M654="","",ROUNDUP(MAX(0,$M654),0))</f>
        <v/>
      </c>
      <c r="AK654" s="21">
        <f>IF(OR($AJ654="",$AF654=""),"",MAX(0,$AJ654-$AF654))</f>
        <v/>
      </c>
      <c r="AL654" s="22">
        <f>IF(OR($AK654="",$AG654=""),"",MAX(0,$AK654*$AG654))</f>
        <v/>
      </c>
      <c r="AM654" s="22">
        <f>IF($AE654="","",MAX(0,SUM($AE654,$AL654,$V654,$W654)))</f>
        <v/>
      </c>
      <c r="AN654" s="22">
        <f>IF($AM654="","",IF(AND($Q654="COMMITMENT",$R654&gt;=$AH654),$AI654,0))</f>
        <v/>
      </c>
      <c r="AO654" s="23">
        <f>IF($AM654="","",MAX(0,$AM654-$AN654))</f>
        <v/>
      </c>
      <c r="AP654" s="22">
        <f>IF($S654="","",IF(OR($S654="ITEM_PRICE_PLUS_DECLARED_DELIVERY",$S654="DELIVERY_CHARGE_ONLY"),$K654,IF($S654="TOTAL_AMOUNT_INCLUDING_DELIVERY",IF(OR($T654="",$J654=""),"",MAX(0,$T654-$J654-$U654)),IF($S654="ITEM_PRICE_ONLY_DELIVERY_PAID_BY_MERCHANT",0,""))))</f>
        <v/>
      </c>
      <c r="AQ654" s="23">
        <f>IF(OR($AP654="",$AO654=""),"",$AP654-$AO654)</f>
        <v/>
      </c>
      <c r="AR654" s="24">
        <f>IF($S654="EXACT_COLLECTION_AMOUNT","BREAKDOWN_REQUIRED",IF($AQ654="","",IF($AQ654&gt;0,"CREDIT_TO_MERCHANT",IF($AQ654&lt;0,"DEDUCT_FROM_MERCHANT","NO_ADJUSTMENT"))))</f>
        <v/>
      </c>
      <c r="AS654" s="23">
        <f>IF(OR($AQ654="",$AR654="BREAKDOWN_REQUIRED"),"",$AQ654)</f>
        <v/>
      </c>
      <c r="AT654" s="23">
        <f>IF(OR($AR654="",$AR654="BREAKDOWN_REQUIRED"),"",SUM($J654,$AQ654,$Y654)-$X654)</f>
        <v/>
      </c>
      <c r="AU654" s="25">
        <f>IF(AND($A654="",$B654="",$F654="",$H654="",$J654="",$K654="",$M654="",$S654=""),"",IF(OR($H654="",$Q654="",$M654="",$S654=""),"ERROR",IF(OR($J654&lt;0,$K654&lt;0,$M654&lt;0,$T654&lt;0,$U654&lt;0,$V654&lt;0,$W654&lt;0,$X654&lt;0,$Y654&lt;0),"ERROR",IF($AE654="","ERROR",IF(AND(OR($S654="ITEM_PRICE_PLUS_DECLARED_DELIVERY",$S654="TOTAL_AMOUNT_INCLUDING_DELIVERY",$S654="ITEM_PRICE_ONLY_DELIVERY_PAID_BY_MERCHANT"),$J654=""),"ERROR",IF(AND(OR($S654="ITEM_PRICE_PLUS_DECLARED_DELIVERY",$S654="DELIVERY_CHARGE_ONLY"),$K654=""),"ERROR",IF(AND(OR($S654="TOTAL_AMOUNT_INCLUDING_DELIVERY",$S654="EXACT_COLLECTION_AMOUNT"),$T654=""),"ERROR",IF(AND($S654="TOTAL_AMOUNT_INCLUDING_DELIVERY",$T654&lt;SUM($J654,$U654)),"ERROR",IF($S654="EXACT_COLLECTION_AMOUNT","REVIEW","OK")))))))))</f>
        <v/>
      </c>
      <c r="AV654" s="25">
        <f>IF($AU654="","",IF($H654="","Township required",IF($Q654="","Customer tier required",IF($M654="","Weight required",IF($S654="","Amount entry type required",IF(OR($J654&lt;0,$K654&lt;0,$M654&lt;0,$T654&lt;0,$U654&lt;0,$V654&lt;0,$W654&lt;0,$X654&lt;0,$Y654&lt;0),"Negative amounts are not allowed",IF($AE654="","Tariff not found for township and tier",IF(AND(OR($S654="ITEM_PRICE_PLUS_DECLARED_DELIVERY",$S654="TOTAL_AMOUNT_INCLUDING_DELIVERY",$S654="ITEM_PRICE_ONLY_DELIVERY_PAID_BY_MERCHANT"),$J654=""),"Item price required for this amount type",IF(AND(OR($S654="ITEM_PRICE_PLUS_DECLARED_DELIVERY",$S654="DELIVERY_CHARGE_ONLY"),$K654=""),"Declared delivery charge required",IF(AND(OR($S654="TOTAL_AMOUNT_INCLUDING_DELIVERY",$S654="EXACT_COLLECTION_AMOUNT"),$T654=""),"Stated total amount required",IF(AND($S654="TOTAL_AMOUNT_INCLUDING_DELIVERY",$T654&lt;SUM($J654,$U654)),"Stated total is below item price plus additional charge",IF($S654="EXACT_COLLECTION_AMOUNT","Authorized amount breakdown required before settlement","Ready for collection and settlement"))))))))))))</f>
        <v/>
      </c>
      <c r="AW654" s="23">
        <f>IF($AU654="","","PARCEL_FINANCIAL_V2")</f>
        <v/>
      </c>
      <c r="AX654" s="17" t="n"/>
    </row>
    <row r="655">
      <c r="A655" s="8" t="n"/>
      <c r="B655" s="8" t="n"/>
      <c r="C655" s="8" t="n"/>
      <c r="D655" s="8" t="n"/>
      <c r="E655" s="9" t="n"/>
      <c r="F655" s="9" t="n"/>
      <c r="G655" s="8" t="n"/>
      <c r="H655" s="9" t="n"/>
      <c r="I655" s="9" t="n"/>
      <c r="J655" s="10" t="n"/>
      <c r="K655" s="10" t="n"/>
      <c r="L655" s="11">
        <f>IF($S655="","",IF($S655="ITEM_PRICE_PLUS_DECLARED_DELIVERY",IF(OR($J655="",$K655=""),"",SUM($J655,$K655,$U655)),IF($S655="TOTAL_AMOUNT_INCLUDING_DELIVERY",IF($T655="","",$T655),IF($S655="DELIVERY_CHARGE_ONLY",IF($K655="","",SUM($K655,$U655)),IF($S655="EXACT_COLLECTION_AMOUNT",IF($T655="","",$T655),IF($S655="ITEM_PRICE_ONLY_DELIVERY_PAID_BY_MERCHANT",IF($J655="","",SUM($J655,$U655)),""))))))</f>
        <v/>
      </c>
      <c r="M655" s="12" t="n"/>
      <c r="N655" s="13" t="n"/>
      <c r="O655" s="13" t="n"/>
      <c r="P655" s="9" t="n"/>
      <c r="Q655" s="14" t="n"/>
      <c r="R655" s="15" t="n"/>
      <c r="S655" s="14" t="n"/>
      <c r="T655" s="16" t="n"/>
      <c r="U655" s="16" t="n"/>
      <c r="V655" s="16" t="n"/>
      <c r="W655" s="16" t="n"/>
      <c r="X655" s="16" t="n"/>
      <c r="Y655" s="16" t="n"/>
      <c r="Z655" s="14" t="n"/>
      <c r="AA655" s="14" t="n"/>
      <c r="AB655" s="14" t="n"/>
      <c r="AC655" s="17">
        <f>IFERROR(VLOOKUP($H655&amp;"|"&amp;$Q655,Tariff_Master!$A$2:$L$169,3,FALSE),"")</f>
        <v/>
      </c>
      <c r="AD655" s="17">
        <f>IFERROR(VLOOKUP($H655&amp;"|"&amp;$Q655,Tariff_Master!$A$2:$L$169,4,FALSE),"")</f>
        <v/>
      </c>
      <c r="AE655" s="18">
        <f>IFERROR(VLOOKUP($H655&amp;"|"&amp;$Q655,Tariff_Master!$A$2:$L$169,6,FALSE),"")</f>
        <v/>
      </c>
      <c r="AF655" s="19">
        <f>IFERROR(VLOOKUP($H655&amp;"|"&amp;$Q655,Tariff_Master!$A$2:$L$169,7,FALSE),"")</f>
        <v/>
      </c>
      <c r="AG655" s="18">
        <f>IFERROR(VLOOKUP($H655&amp;"|"&amp;$Q655,Tariff_Master!$A$2:$L$169,8,FALSE),"")</f>
        <v/>
      </c>
      <c r="AH655" s="20">
        <f>IFERROR(VLOOKUP($H655&amp;"|"&amp;$Q655,Tariff_Master!$A$2:$L$169,9,FALSE),"")</f>
        <v/>
      </c>
      <c r="AI655" s="18">
        <f>IFERROR(VLOOKUP($H655&amp;"|"&amp;$Q655,Tariff_Master!$A$2:$L$169,10,FALSE),"")</f>
        <v/>
      </c>
      <c r="AJ655" s="21">
        <f>IF($M655="","",ROUNDUP(MAX(0,$M655),0))</f>
        <v/>
      </c>
      <c r="AK655" s="21">
        <f>IF(OR($AJ655="",$AF655=""),"",MAX(0,$AJ655-$AF655))</f>
        <v/>
      </c>
      <c r="AL655" s="22">
        <f>IF(OR($AK655="",$AG655=""),"",MAX(0,$AK655*$AG655))</f>
        <v/>
      </c>
      <c r="AM655" s="22">
        <f>IF($AE655="","",MAX(0,SUM($AE655,$AL655,$V655,$W655)))</f>
        <v/>
      </c>
      <c r="AN655" s="22">
        <f>IF($AM655="","",IF(AND($Q655="COMMITMENT",$R655&gt;=$AH655),$AI655,0))</f>
        <v/>
      </c>
      <c r="AO655" s="23">
        <f>IF($AM655="","",MAX(0,$AM655-$AN655))</f>
        <v/>
      </c>
      <c r="AP655" s="22">
        <f>IF($S655="","",IF(OR($S655="ITEM_PRICE_PLUS_DECLARED_DELIVERY",$S655="DELIVERY_CHARGE_ONLY"),$K655,IF($S655="TOTAL_AMOUNT_INCLUDING_DELIVERY",IF(OR($T655="",$J655=""),"",MAX(0,$T655-$J655-$U655)),IF($S655="ITEM_PRICE_ONLY_DELIVERY_PAID_BY_MERCHANT",0,""))))</f>
        <v/>
      </c>
      <c r="AQ655" s="23">
        <f>IF(OR($AP655="",$AO655=""),"",$AP655-$AO655)</f>
        <v/>
      </c>
      <c r="AR655" s="24">
        <f>IF($S655="EXACT_COLLECTION_AMOUNT","BREAKDOWN_REQUIRED",IF($AQ655="","",IF($AQ655&gt;0,"CREDIT_TO_MERCHANT",IF($AQ655&lt;0,"DEDUCT_FROM_MERCHANT","NO_ADJUSTMENT"))))</f>
        <v/>
      </c>
      <c r="AS655" s="23">
        <f>IF(OR($AQ655="",$AR655="BREAKDOWN_REQUIRED"),"",$AQ655)</f>
        <v/>
      </c>
      <c r="AT655" s="23">
        <f>IF(OR($AR655="",$AR655="BREAKDOWN_REQUIRED"),"",SUM($J655,$AQ655,$Y655)-$X655)</f>
        <v/>
      </c>
      <c r="AU655" s="25">
        <f>IF(AND($A655="",$B655="",$F655="",$H655="",$J655="",$K655="",$M655="",$S655=""),"",IF(OR($H655="",$Q655="",$M655="",$S655=""),"ERROR",IF(OR($J655&lt;0,$K655&lt;0,$M655&lt;0,$T655&lt;0,$U655&lt;0,$V655&lt;0,$W655&lt;0,$X655&lt;0,$Y655&lt;0),"ERROR",IF($AE655="","ERROR",IF(AND(OR($S655="ITEM_PRICE_PLUS_DECLARED_DELIVERY",$S655="TOTAL_AMOUNT_INCLUDING_DELIVERY",$S655="ITEM_PRICE_ONLY_DELIVERY_PAID_BY_MERCHANT"),$J655=""),"ERROR",IF(AND(OR($S655="ITEM_PRICE_PLUS_DECLARED_DELIVERY",$S655="DELIVERY_CHARGE_ONLY"),$K655=""),"ERROR",IF(AND(OR($S655="TOTAL_AMOUNT_INCLUDING_DELIVERY",$S655="EXACT_COLLECTION_AMOUNT"),$T655=""),"ERROR",IF(AND($S655="TOTAL_AMOUNT_INCLUDING_DELIVERY",$T655&lt;SUM($J655,$U655)),"ERROR",IF($S655="EXACT_COLLECTION_AMOUNT","REVIEW","OK")))))))))</f>
        <v/>
      </c>
      <c r="AV655" s="25">
        <f>IF($AU655="","",IF($H655="","Township required",IF($Q655="","Customer tier required",IF($M655="","Weight required",IF($S655="","Amount entry type required",IF(OR($J655&lt;0,$K655&lt;0,$M655&lt;0,$T655&lt;0,$U655&lt;0,$V655&lt;0,$W655&lt;0,$X655&lt;0,$Y655&lt;0),"Negative amounts are not allowed",IF($AE655="","Tariff not found for township and tier",IF(AND(OR($S655="ITEM_PRICE_PLUS_DECLARED_DELIVERY",$S655="TOTAL_AMOUNT_INCLUDING_DELIVERY",$S655="ITEM_PRICE_ONLY_DELIVERY_PAID_BY_MERCHANT"),$J655=""),"Item price required for this amount type",IF(AND(OR($S655="ITEM_PRICE_PLUS_DECLARED_DELIVERY",$S655="DELIVERY_CHARGE_ONLY"),$K655=""),"Declared delivery charge required",IF(AND(OR($S655="TOTAL_AMOUNT_INCLUDING_DELIVERY",$S655="EXACT_COLLECTION_AMOUNT"),$T655=""),"Stated total amount required",IF(AND($S655="TOTAL_AMOUNT_INCLUDING_DELIVERY",$T655&lt;SUM($J655,$U655)),"Stated total is below item price plus additional charge",IF($S655="EXACT_COLLECTION_AMOUNT","Authorized amount breakdown required before settlement","Ready for collection and settlement"))))))))))))</f>
        <v/>
      </c>
      <c r="AW655" s="23">
        <f>IF($AU655="","","PARCEL_FINANCIAL_V2")</f>
        <v/>
      </c>
      <c r="AX655" s="17" t="n"/>
    </row>
    <row r="656">
      <c r="A656" s="8" t="n"/>
      <c r="B656" s="8" t="n"/>
      <c r="C656" s="8" t="n"/>
      <c r="D656" s="8" t="n"/>
      <c r="E656" s="9" t="n"/>
      <c r="F656" s="9" t="n"/>
      <c r="G656" s="8" t="n"/>
      <c r="H656" s="9" t="n"/>
      <c r="I656" s="9" t="n"/>
      <c r="J656" s="10" t="n"/>
      <c r="K656" s="10" t="n"/>
      <c r="L656" s="11">
        <f>IF($S656="","",IF($S656="ITEM_PRICE_PLUS_DECLARED_DELIVERY",IF(OR($J656="",$K656=""),"",SUM($J656,$K656,$U656)),IF($S656="TOTAL_AMOUNT_INCLUDING_DELIVERY",IF($T656="","",$T656),IF($S656="DELIVERY_CHARGE_ONLY",IF($K656="","",SUM($K656,$U656)),IF($S656="EXACT_COLLECTION_AMOUNT",IF($T656="","",$T656),IF($S656="ITEM_PRICE_ONLY_DELIVERY_PAID_BY_MERCHANT",IF($J656="","",SUM($J656,$U656)),""))))))</f>
        <v/>
      </c>
      <c r="M656" s="12" t="n"/>
      <c r="N656" s="13" t="n"/>
      <c r="O656" s="13" t="n"/>
      <c r="P656" s="9" t="n"/>
      <c r="Q656" s="14" t="n"/>
      <c r="R656" s="15" t="n"/>
      <c r="S656" s="14" t="n"/>
      <c r="T656" s="16" t="n"/>
      <c r="U656" s="16" t="n"/>
      <c r="V656" s="16" t="n"/>
      <c r="W656" s="16" t="n"/>
      <c r="X656" s="16" t="n"/>
      <c r="Y656" s="16" t="n"/>
      <c r="Z656" s="14" t="n"/>
      <c r="AA656" s="14" t="n"/>
      <c r="AB656" s="14" t="n"/>
      <c r="AC656" s="17">
        <f>IFERROR(VLOOKUP($H656&amp;"|"&amp;$Q656,Tariff_Master!$A$2:$L$169,3,FALSE),"")</f>
        <v/>
      </c>
      <c r="AD656" s="17">
        <f>IFERROR(VLOOKUP($H656&amp;"|"&amp;$Q656,Tariff_Master!$A$2:$L$169,4,FALSE),"")</f>
        <v/>
      </c>
      <c r="AE656" s="18">
        <f>IFERROR(VLOOKUP($H656&amp;"|"&amp;$Q656,Tariff_Master!$A$2:$L$169,6,FALSE),"")</f>
        <v/>
      </c>
      <c r="AF656" s="19">
        <f>IFERROR(VLOOKUP($H656&amp;"|"&amp;$Q656,Tariff_Master!$A$2:$L$169,7,FALSE),"")</f>
        <v/>
      </c>
      <c r="AG656" s="18">
        <f>IFERROR(VLOOKUP($H656&amp;"|"&amp;$Q656,Tariff_Master!$A$2:$L$169,8,FALSE),"")</f>
        <v/>
      </c>
      <c r="AH656" s="20">
        <f>IFERROR(VLOOKUP($H656&amp;"|"&amp;$Q656,Tariff_Master!$A$2:$L$169,9,FALSE),"")</f>
        <v/>
      </c>
      <c r="AI656" s="18">
        <f>IFERROR(VLOOKUP($H656&amp;"|"&amp;$Q656,Tariff_Master!$A$2:$L$169,10,FALSE),"")</f>
        <v/>
      </c>
      <c r="AJ656" s="21">
        <f>IF($M656="","",ROUNDUP(MAX(0,$M656),0))</f>
        <v/>
      </c>
      <c r="AK656" s="21">
        <f>IF(OR($AJ656="",$AF656=""),"",MAX(0,$AJ656-$AF656))</f>
        <v/>
      </c>
      <c r="AL656" s="22">
        <f>IF(OR($AK656="",$AG656=""),"",MAX(0,$AK656*$AG656))</f>
        <v/>
      </c>
      <c r="AM656" s="22">
        <f>IF($AE656="","",MAX(0,SUM($AE656,$AL656,$V656,$W656)))</f>
        <v/>
      </c>
      <c r="AN656" s="22">
        <f>IF($AM656="","",IF(AND($Q656="COMMITMENT",$R656&gt;=$AH656),$AI656,0))</f>
        <v/>
      </c>
      <c r="AO656" s="23">
        <f>IF($AM656="","",MAX(0,$AM656-$AN656))</f>
        <v/>
      </c>
      <c r="AP656" s="22">
        <f>IF($S656="","",IF(OR($S656="ITEM_PRICE_PLUS_DECLARED_DELIVERY",$S656="DELIVERY_CHARGE_ONLY"),$K656,IF($S656="TOTAL_AMOUNT_INCLUDING_DELIVERY",IF(OR($T656="",$J656=""),"",MAX(0,$T656-$J656-$U656)),IF($S656="ITEM_PRICE_ONLY_DELIVERY_PAID_BY_MERCHANT",0,""))))</f>
        <v/>
      </c>
      <c r="AQ656" s="23">
        <f>IF(OR($AP656="",$AO656=""),"",$AP656-$AO656)</f>
        <v/>
      </c>
      <c r="AR656" s="24">
        <f>IF($S656="EXACT_COLLECTION_AMOUNT","BREAKDOWN_REQUIRED",IF($AQ656="","",IF($AQ656&gt;0,"CREDIT_TO_MERCHANT",IF($AQ656&lt;0,"DEDUCT_FROM_MERCHANT","NO_ADJUSTMENT"))))</f>
        <v/>
      </c>
      <c r="AS656" s="23">
        <f>IF(OR($AQ656="",$AR656="BREAKDOWN_REQUIRED"),"",$AQ656)</f>
        <v/>
      </c>
      <c r="AT656" s="23">
        <f>IF(OR($AR656="",$AR656="BREAKDOWN_REQUIRED"),"",SUM($J656,$AQ656,$Y656)-$X656)</f>
        <v/>
      </c>
      <c r="AU656" s="25">
        <f>IF(AND($A656="",$B656="",$F656="",$H656="",$J656="",$K656="",$M656="",$S656=""),"",IF(OR($H656="",$Q656="",$M656="",$S656=""),"ERROR",IF(OR($J656&lt;0,$K656&lt;0,$M656&lt;0,$T656&lt;0,$U656&lt;0,$V656&lt;0,$W656&lt;0,$X656&lt;0,$Y656&lt;0),"ERROR",IF($AE656="","ERROR",IF(AND(OR($S656="ITEM_PRICE_PLUS_DECLARED_DELIVERY",$S656="TOTAL_AMOUNT_INCLUDING_DELIVERY",$S656="ITEM_PRICE_ONLY_DELIVERY_PAID_BY_MERCHANT"),$J656=""),"ERROR",IF(AND(OR($S656="ITEM_PRICE_PLUS_DECLARED_DELIVERY",$S656="DELIVERY_CHARGE_ONLY"),$K656=""),"ERROR",IF(AND(OR($S656="TOTAL_AMOUNT_INCLUDING_DELIVERY",$S656="EXACT_COLLECTION_AMOUNT"),$T656=""),"ERROR",IF(AND($S656="TOTAL_AMOUNT_INCLUDING_DELIVERY",$T656&lt;SUM($J656,$U656)),"ERROR",IF($S656="EXACT_COLLECTION_AMOUNT","REVIEW","OK")))))))))</f>
        <v/>
      </c>
      <c r="AV656" s="25">
        <f>IF($AU656="","",IF($H656="","Township required",IF($Q656="","Customer tier required",IF($M656="","Weight required",IF($S656="","Amount entry type required",IF(OR($J656&lt;0,$K656&lt;0,$M656&lt;0,$T656&lt;0,$U656&lt;0,$V656&lt;0,$W656&lt;0,$X656&lt;0,$Y656&lt;0),"Negative amounts are not allowed",IF($AE656="","Tariff not found for township and tier",IF(AND(OR($S656="ITEM_PRICE_PLUS_DECLARED_DELIVERY",$S656="TOTAL_AMOUNT_INCLUDING_DELIVERY",$S656="ITEM_PRICE_ONLY_DELIVERY_PAID_BY_MERCHANT"),$J656=""),"Item price required for this amount type",IF(AND(OR($S656="ITEM_PRICE_PLUS_DECLARED_DELIVERY",$S656="DELIVERY_CHARGE_ONLY"),$K656=""),"Declared delivery charge required",IF(AND(OR($S656="TOTAL_AMOUNT_INCLUDING_DELIVERY",$S656="EXACT_COLLECTION_AMOUNT"),$T656=""),"Stated total amount required",IF(AND($S656="TOTAL_AMOUNT_INCLUDING_DELIVERY",$T656&lt;SUM($J656,$U656)),"Stated total is below item price plus additional charge",IF($S656="EXACT_COLLECTION_AMOUNT","Authorized amount breakdown required before settlement","Ready for collection and settlement"))))))))))))</f>
        <v/>
      </c>
      <c r="AW656" s="23">
        <f>IF($AU656="","","PARCEL_FINANCIAL_V2")</f>
        <v/>
      </c>
      <c r="AX656" s="17" t="n"/>
    </row>
    <row r="657">
      <c r="A657" s="8" t="n"/>
      <c r="B657" s="8" t="n"/>
      <c r="C657" s="8" t="n"/>
      <c r="D657" s="8" t="n"/>
      <c r="E657" s="9" t="n"/>
      <c r="F657" s="9" t="n"/>
      <c r="G657" s="8" t="n"/>
      <c r="H657" s="9" t="n"/>
      <c r="I657" s="9" t="n"/>
      <c r="J657" s="10" t="n"/>
      <c r="K657" s="10" t="n"/>
      <c r="L657" s="11">
        <f>IF($S657="","",IF($S657="ITEM_PRICE_PLUS_DECLARED_DELIVERY",IF(OR($J657="",$K657=""),"",SUM($J657,$K657,$U657)),IF($S657="TOTAL_AMOUNT_INCLUDING_DELIVERY",IF($T657="","",$T657),IF($S657="DELIVERY_CHARGE_ONLY",IF($K657="","",SUM($K657,$U657)),IF($S657="EXACT_COLLECTION_AMOUNT",IF($T657="","",$T657),IF($S657="ITEM_PRICE_ONLY_DELIVERY_PAID_BY_MERCHANT",IF($J657="","",SUM($J657,$U657)),""))))))</f>
        <v/>
      </c>
      <c r="M657" s="12" t="n"/>
      <c r="N657" s="13" t="n"/>
      <c r="O657" s="13" t="n"/>
      <c r="P657" s="9" t="n"/>
      <c r="Q657" s="14" t="n"/>
      <c r="R657" s="15" t="n"/>
      <c r="S657" s="14" t="n"/>
      <c r="T657" s="16" t="n"/>
      <c r="U657" s="16" t="n"/>
      <c r="V657" s="16" t="n"/>
      <c r="W657" s="16" t="n"/>
      <c r="X657" s="16" t="n"/>
      <c r="Y657" s="16" t="n"/>
      <c r="Z657" s="14" t="n"/>
      <c r="AA657" s="14" t="n"/>
      <c r="AB657" s="14" t="n"/>
      <c r="AC657" s="17">
        <f>IFERROR(VLOOKUP($H657&amp;"|"&amp;$Q657,Tariff_Master!$A$2:$L$169,3,FALSE),"")</f>
        <v/>
      </c>
      <c r="AD657" s="17">
        <f>IFERROR(VLOOKUP($H657&amp;"|"&amp;$Q657,Tariff_Master!$A$2:$L$169,4,FALSE),"")</f>
        <v/>
      </c>
      <c r="AE657" s="18">
        <f>IFERROR(VLOOKUP($H657&amp;"|"&amp;$Q657,Tariff_Master!$A$2:$L$169,6,FALSE),"")</f>
        <v/>
      </c>
      <c r="AF657" s="19">
        <f>IFERROR(VLOOKUP($H657&amp;"|"&amp;$Q657,Tariff_Master!$A$2:$L$169,7,FALSE),"")</f>
        <v/>
      </c>
      <c r="AG657" s="18">
        <f>IFERROR(VLOOKUP($H657&amp;"|"&amp;$Q657,Tariff_Master!$A$2:$L$169,8,FALSE),"")</f>
        <v/>
      </c>
      <c r="AH657" s="20">
        <f>IFERROR(VLOOKUP($H657&amp;"|"&amp;$Q657,Tariff_Master!$A$2:$L$169,9,FALSE),"")</f>
        <v/>
      </c>
      <c r="AI657" s="18">
        <f>IFERROR(VLOOKUP($H657&amp;"|"&amp;$Q657,Tariff_Master!$A$2:$L$169,10,FALSE),"")</f>
        <v/>
      </c>
      <c r="AJ657" s="21">
        <f>IF($M657="","",ROUNDUP(MAX(0,$M657),0))</f>
        <v/>
      </c>
      <c r="AK657" s="21">
        <f>IF(OR($AJ657="",$AF657=""),"",MAX(0,$AJ657-$AF657))</f>
        <v/>
      </c>
      <c r="AL657" s="22">
        <f>IF(OR($AK657="",$AG657=""),"",MAX(0,$AK657*$AG657))</f>
        <v/>
      </c>
      <c r="AM657" s="22">
        <f>IF($AE657="","",MAX(0,SUM($AE657,$AL657,$V657,$W657)))</f>
        <v/>
      </c>
      <c r="AN657" s="22">
        <f>IF($AM657="","",IF(AND($Q657="COMMITMENT",$R657&gt;=$AH657),$AI657,0))</f>
        <v/>
      </c>
      <c r="AO657" s="23">
        <f>IF($AM657="","",MAX(0,$AM657-$AN657))</f>
        <v/>
      </c>
      <c r="AP657" s="22">
        <f>IF($S657="","",IF(OR($S657="ITEM_PRICE_PLUS_DECLARED_DELIVERY",$S657="DELIVERY_CHARGE_ONLY"),$K657,IF($S657="TOTAL_AMOUNT_INCLUDING_DELIVERY",IF(OR($T657="",$J657=""),"",MAX(0,$T657-$J657-$U657)),IF($S657="ITEM_PRICE_ONLY_DELIVERY_PAID_BY_MERCHANT",0,""))))</f>
        <v/>
      </c>
      <c r="AQ657" s="23">
        <f>IF(OR($AP657="",$AO657=""),"",$AP657-$AO657)</f>
        <v/>
      </c>
      <c r="AR657" s="24">
        <f>IF($S657="EXACT_COLLECTION_AMOUNT","BREAKDOWN_REQUIRED",IF($AQ657="","",IF($AQ657&gt;0,"CREDIT_TO_MERCHANT",IF($AQ657&lt;0,"DEDUCT_FROM_MERCHANT","NO_ADJUSTMENT"))))</f>
        <v/>
      </c>
      <c r="AS657" s="23">
        <f>IF(OR($AQ657="",$AR657="BREAKDOWN_REQUIRED"),"",$AQ657)</f>
        <v/>
      </c>
      <c r="AT657" s="23">
        <f>IF(OR($AR657="",$AR657="BREAKDOWN_REQUIRED"),"",SUM($J657,$AQ657,$Y657)-$X657)</f>
        <v/>
      </c>
      <c r="AU657" s="25">
        <f>IF(AND($A657="",$B657="",$F657="",$H657="",$J657="",$K657="",$M657="",$S657=""),"",IF(OR($H657="",$Q657="",$M657="",$S657=""),"ERROR",IF(OR($J657&lt;0,$K657&lt;0,$M657&lt;0,$T657&lt;0,$U657&lt;0,$V657&lt;0,$W657&lt;0,$X657&lt;0,$Y657&lt;0),"ERROR",IF($AE657="","ERROR",IF(AND(OR($S657="ITEM_PRICE_PLUS_DECLARED_DELIVERY",$S657="TOTAL_AMOUNT_INCLUDING_DELIVERY",$S657="ITEM_PRICE_ONLY_DELIVERY_PAID_BY_MERCHANT"),$J657=""),"ERROR",IF(AND(OR($S657="ITEM_PRICE_PLUS_DECLARED_DELIVERY",$S657="DELIVERY_CHARGE_ONLY"),$K657=""),"ERROR",IF(AND(OR($S657="TOTAL_AMOUNT_INCLUDING_DELIVERY",$S657="EXACT_COLLECTION_AMOUNT"),$T657=""),"ERROR",IF(AND($S657="TOTAL_AMOUNT_INCLUDING_DELIVERY",$T657&lt;SUM($J657,$U657)),"ERROR",IF($S657="EXACT_COLLECTION_AMOUNT","REVIEW","OK")))))))))</f>
        <v/>
      </c>
      <c r="AV657" s="25">
        <f>IF($AU657="","",IF($H657="","Township required",IF($Q657="","Customer tier required",IF($M657="","Weight required",IF($S657="","Amount entry type required",IF(OR($J657&lt;0,$K657&lt;0,$M657&lt;0,$T657&lt;0,$U657&lt;0,$V657&lt;0,$W657&lt;0,$X657&lt;0,$Y657&lt;0),"Negative amounts are not allowed",IF($AE657="","Tariff not found for township and tier",IF(AND(OR($S657="ITEM_PRICE_PLUS_DECLARED_DELIVERY",$S657="TOTAL_AMOUNT_INCLUDING_DELIVERY",$S657="ITEM_PRICE_ONLY_DELIVERY_PAID_BY_MERCHANT"),$J657=""),"Item price required for this amount type",IF(AND(OR($S657="ITEM_PRICE_PLUS_DECLARED_DELIVERY",$S657="DELIVERY_CHARGE_ONLY"),$K657=""),"Declared delivery charge required",IF(AND(OR($S657="TOTAL_AMOUNT_INCLUDING_DELIVERY",$S657="EXACT_COLLECTION_AMOUNT"),$T657=""),"Stated total amount required",IF(AND($S657="TOTAL_AMOUNT_INCLUDING_DELIVERY",$T657&lt;SUM($J657,$U657)),"Stated total is below item price plus additional charge",IF($S657="EXACT_COLLECTION_AMOUNT","Authorized amount breakdown required before settlement","Ready for collection and settlement"))))))))))))</f>
        <v/>
      </c>
      <c r="AW657" s="23">
        <f>IF($AU657="","","PARCEL_FINANCIAL_V2")</f>
        <v/>
      </c>
      <c r="AX657" s="17" t="n"/>
    </row>
    <row r="658">
      <c r="A658" s="8" t="n"/>
      <c r="B658" s="8" t="n"/>
      <c r="C658" s="8" t="n"/>
      <c r="D658" s="8" t="n"/>
      <c r="E658" s="9" t="n"/>
      <c r="F658" s="9" t="n"/>
      <c r="G658" s="8" t="n"/>
      <c r="H658" s="9" t="n"/>
      <c r="I658" s="9" t="n"/>
      <c r="J658" s="10" t="n"/>
      <c r="K658" s="10" t="n"/>
      <c r="L658" s="11">
        <f>IF($S658="","",IF($S658="ITEM_PRICE_PLUS_DECLARED_DELIVERY",IF(OR($J658="",$K658=""),"",SUM($J658,$K658,$U658)),IF($S658="TOTAL_AMOUNT_INCLUDING_DELIVERY",IF($T658="","",$T658),IF($S658="DELIVERY_CHARGE_ONLY",IF($K658="","",SUM($K658,$U658)),IF($S658="EXACT_COLLECTION_AMOUNT",IF($T658="","",$T658),IF($S658="ITEM_PRICE_ONLY_DELIVERY_PAID_BY_MERCHANT",IF($J658="","",SUM($J658,$U658)),""))))))</f>
        <v/>
      </c>
      <c r="M658" s="12" t="n"/>
      <c r="N658" s="13" t="n"/>
      <c r="O658" s="13" t="n"/>
      <c r="P658" s="9" t="n"/>
      <c r="Q658" s="14" t="n"/>
      <c r="R658" s="15" t="n"/>
      <c r="S658" s="14" t="n"/>
      <c r="T658" s="16" t="n"/>
      <c r="U658" s="16" t="n"/>
      <c r="V658" s="16" t="n"/>
      <c r="W658" s="16" t="n"/>
      <c r="X658" s="16" t="n"/>
      <c r="Y658" s="16" t="n"/>
      <c r="Z658" s="14" t="n"/>
      <c r="AA658" s="14" t="n"/>
      <c r="AB658" s="14" t="n"/>
      <c r="AC658" s="17">
        <f>IFERROR(VLOOKUP($H658&amp;"|"&amp;$Q658,Tariff_Master!$A$2:$L$169,3,FALSE),"")</f>
        <v/>
      </c>
      <c r="AD658" s="17">
        <f>IFERROR(VLOOKUP($H658&amp;"|"&amp;$Q658,Tariff_Master!$A$2:$L$169,4,FALSE),"")</f>
        <v/>
      </c>
      <c r="AE658" s="18">
        <f>IFERROR(VLOOKUP($H658&amp;"|"&amp;$Q658,Tariff_Master!$A$2:$L$169,6,FALSE),"")</f>
        <v/>
      </c>
      <c r="AF658" s="19">
        <f>IFERROR(VLOOKUP($H658&amp;"|"&amp;$Q658,Tariff_Master!$A$2:$L$169,7,FALSE),"")</f>
        <v/>
      </c>
      <c r="AG658" s="18">
        <f>IFERROR(VLOOKUP($H658&amp;"|"&amp;$Q658,Tariff_Master!$A$2:$L$169,8,FALSE),"")</f>
        <v/>
      </c>
      <c r="AH658" s="20">
        <f>IFERROR(VLOOKUP($H658&amp;"|"&amp;$Q658,Tariff_Master!$A$2:$L$169,9,FALSE),"")</f>
        <v/>
      </c>
      <c r="AI658" s="18">
        <f>IFERROR(VLOOKUP($H658&amp;"|"&amp;$Q658,Tariff_Master!$A$2:$L$169,10,FALSE),"")</f>
        <v/>
      </c>
      <c r="AJ658" s="21">
        <f>IF($M658="","",ROUNDUP(MAX(0,$M658),0))</f>
        <v/>
      </c>
      <c r="AK658" s="21">
        <f>IF(OR($AJ658="",$AF658=""),"",MAX(0,$AJ658-$AF658))</f>
        <v/>
      </c>
      <c r="AL658" s="22">
        <f>IF(OR($AK658="",$AG658=""),"",MAX(0,$AK658*$AG658))</f>
        <v/>
      </c>
      <c r="AM658" s="22">
        <f>IF($AE658="","",MAX(0,SUM($AE658,$AL658,$V658,$W658)))</f>
        <v/>
      </c>
      <c r="AN658" s="22">
        <f>IF($AM658="","",IF(AND($Q658="COMMITMENT",$R658&gt;=$AH658),$AI658,0))</f>
        <v/>
      </c>
      <c r="AO658" s="23">
        <f>IF($AM658="","",MAX(0,$AM658-$AN658))</f>
        <v/>
      </c>
      <c r="AP658" s="22">
        <f>IF($S658="","",IF(OR($S658="ITEM_PRICE_PLUS_DECLARED_DELIVERY",$S658="DELIVERY_CHARGE_ONLY"),$K658,IF($S658="TOTAL_AMOUNT_INCLUDING_DELIVERY",IF(OR($T658="",$J658=""),"",MAX(0,$T658-$J658-$U658)),IF($S658="ITEM_PRICE_ONLY_DELIVERY_PAID_BY_MERCHANT",0,""))))</f>
        <v/>
      </c>
      <c r="AQ658" s="23">
        <f>IF(OR($AP658="",$AO658=""),"",$AP658-$AO658)</f>
        <v/>
      </c>
      <c r="AR658" s="24">
        <f>IF($S658="EXACT_COLLECTION_AMOUNT","BREAKDOWN_REQUIRED",IF($AQ658="","",IF($AQ658&gt;0,"CREDIT_TO_MERCHANT",IF($AQ658&lt;0,"DEDUCT_FROM_MERCHANT","NO_ADJUSTMENT"))))</f>
        <v/>
      </c>
      <c r="AS658" s="23">
        <f>IF(OR($AQ658="",$AR658="BREAKDOWN_REQUIRED"),"",$AQ658)</f>
        <v/>
      </c>
      <c r="AT658" s="23">
        <f>IF(OR($AR658="",$AR658="BREAKDOWN_REQUIRED"),"",SUM($J658,$AQ658,$Y658)-$X658)</f>
        <v/>
      </c>
      <c r="AU658" s="25">
        <f>IF(AND($A658="",$B658="",$F658="",$H658="",$J658="",$K658="",$M658="",$S658=""),"",IF(OR($H658="",$Q658="",$M658="",$S658=""),"ERROR",IF(OR($J658&lt;0,$K658&lt;0,$M658&lt;0,$T658&lt;0,$U658&lt;0,$V658&lt;0,$W658&lt;0,$X658&lt;0,$Y658&lt;0),"ERROR",IF($AE658="","ERROR",IF(AND(OR($S658="ITEM_PRICE_PLUS_DECLARED_DELIVERY",$S658="TOTAL_AMOUNT_INCLUDING_DELIVERY",$S658="ITEM_PRICE_ONLY_DELIVERY_PAID_BY_MERCHANT"),$J658=""),"ERROR",IF(AND(OR($S658="ITEM_PRICE_PLUS_DECLARED_DELIVERY",$S658="DELIVERY_CHARGE_ONLY"),$K658=""),"ERROR",IF(AND(OR($S658="TOTAL_AMOUNT_INCLUDING_DELIVERY",$S658="EXACT_COLLECTION_AMOUNT"),$T658=""),"ERROR",IF(AND($S658="TOTAL_AMOUNT_INCLUDING_DELIVERY",$T658&lt;SUM($J658,$U658)),"ERROR",IF($S658="EXACT_COLLECTION_AMOUNT","REVIEW","OK")))))))))</f>
        <v/>
      </c>
      <c r="AV658" s="25">
        <f>IF($AU658="","",IF($H658="","Township required",IF($Q658="","Customer tier required",IF($M658="","Weight required",IF($S658="","Amount entry type required",IF(OR($J658&lt;0,$K658&lt;0,$M658&lt;0,$T658&lt;0,$U658&lt;0,$V658&lt;0,$W658&lt;0,$X658&lt;0,$Y658&lt;0),"Negative amounts are not allowed",IF($AE658="","Tariff not found for township and tier",IF(AND(OR($S658="ITEM_PRICE_PLUS_DECLARED_DELIVERY",$S658="TOTAL_AMOUNT_INCLUDING_DELIVERY",$S658="ITEM_PRICE_ONLY_DELIVERY_PAID_BY_MERCHANT"),$J658=""),"Item price required for this amount type",IF(AND(OR($S658="ITEM_PRICE_PLUS_DECLARED_DELIVERY",$S658="DELIVERY_CHARGE_ONLY"),$K658=""),"Declared delivery charge required",IF(AND(OR($S658="TOTAL_AMOUNT_INCLUDING_DELIVERY",$S658="EXACT_COLLECTION_AMOUNT"),$T658=""),"Stated total amount required",IF(AND($S658="TOTAL_AMOUNT_INCLUDING_DELIVERY",$T658&lt;SUM($J658,$U658)),"Stated total is below item price plus additional charge",IF($S658="EXACT_COLLECTION_AMOUNT","Authorized amount breakdown required before settlement","Ready for collection and settlement"))))))))))))</f>
        <v/>
      </c>
      <c r="AW658" s="23">
        <f>IF($AU658="","","PARCEL_FINANCIAL_V2")</f>
        <v/>
      </c>
      <c r="AX658" s="17" t="n"/>
    </row>
    <row r="659">
      <c r="A659" s="8" t="n"/>
      <c r="B659" s="8" t="n"/>
      <c r="C659" s="8" t="n"/>
      <c r="D659" s="8" t="n"/>
      <c r="E659" s="9" t="n"/>
      <c r="F659" s="9" t="n"/>
      <c r="G659" s="8" t="n"/>
      <c r="H659" s="9" t="n"/>
      <c r="I659" s="9" t="n"/>
      <c r="J659" s="10" t="n"/>
      <c r="K659" s="10" t="n"/>
      <c r="L659" s="11">
        <f>IF($S659="","",IF($S659="ITEM_PRICE_PLUS_DECLARED_DELIVERY",IF(OR($J659="",$K659=""),"",SUM($J659,$K659,$U659)),IF($S659="TOTAL_AMOUNT_INCLUDING_DELIVERY",IF($T659="","",$T659),IF($S659="DELIVERY_CHARGE_ONLY",IF($K659="","",SUM($K659,$U659)),IF($S659="EXACT_COLLECTION_AMOUNT",IF($T659="","",$T659),IF($S659="ITEM_PRICE_ONLY_DELIVERY_PAID_BY_MERCHANT",IF($J659="","",SUM($J659,$U659)),""))))))</f>
        <v/>
      </c>
      <c r="M659" s="12" t="n"/>
      <c r="N659" s="13" t="n"/>
      <c r="O659" s="13" t="n"/>
      <c r="P659" s="9" t="n"/>
      <c r="Q659" s="14" t="n"/>
      <c r="R659" s="15" t="n"/>
      <c r="S659" s="14" t="n"/>
      <c r="T659" s="16" t="n"/>
      <c r="U659" s="16" t="n"/>
      <c r="V659" s="16" t="n"/>
      <c r="W659" s="16" t="n"/>
      <c r="X659" s="16" t="n"/>
      <c r="Y659" s="16" t="n"/>
      <c r="Z659" s="14" t="n"/>
      <c r="AA659" s="14" t="n"/>
      <c r="AB659" s="14" t="n"/>
      <c r="AC659" s="17">
        <f>IFERROR(VLOOKUP($H659&amp;"|"&amp;$Q659,Tariff_Master!$A$2:$L$169,3,FALSE),"")</f>
        <v/>
      </c>
      <c r="AD659" s="17">
        <f>IFERROR(VLOOKUP($H659&amp;"|"&amp;$Q659,Tariff_Master!$A$2:$L$169,4,FALSE),"")</f>
        <v/>
      </c>
      <c r="AE659" s="18">
        <f>IFERROR(VLOOKUP($H659&amp;"|"&amp;$Q659,Tariff_Master!$A$2:$L$169,6,FALSE),"")</f>
        <v/>
      </c>
      <c r="AF659" s="19">
        <f>IFERROR(VLOOKUP($H659&amp;"|"&amp;$Q659,Tariff_Master!$A$2:$L$169,7,FALSE),"")</f>
        <v/>
      </c>
      <c r="AG659" s="18">
        <f>IFERROR(VLOOKUP($H659&amp;"|"&amp;$Q659,Tariff_Master!$A$2:$L$169,8,FALSE),"")</f>
        <v/>
      </c>
      <c r="AH659" s="20">
        <f>IFERROR(VLOOKUP($H659&amp;"|"&amp;$Q659,Tariff_Master!$A$2:$L$169,9,FALSE),"")</f>
        <v/>
      </c>
      <c r="AI659" s="18">
        <f>IFERROR(VLOOKUP($H659&amp;"|"&amp;$Q659,Tariff_Master!$A$2:$L$169,10,FALSE),"")</f>
        <v/>
      </c>
      <c r="AJ659" s="21">
        <f>IF($M659="","",ROUNDUP(MAX(0,$M659),0))</f>
        <v/>
      </c>
      <c r="AK659" s="21">
        <f>IF(OR($AJ659="",$AF659=""),"",MAX(0,$AJ659-$AF659))</f>
        <v/>
      </c>
      <c r="AL659" s="22">
        <f>IF(OR($AK659="",$AG659=""),"",MAX(0,$AK659*$AG659))</f>
        <v/>
      </c>
      <c r="AM659" s="22">
        <f>IF($AE659="","",MAX(0,SUM($AE659,$AL659,$V659,$W659)))</f>
        <v/>
      </c>
      <c r="AN659" s="22">
        <f>IF($AM659="","",IF(AND($Q659="COMMITMENT",$R659&gt;=$AH659),$AI659,0))</f>
        <v/>
      </c>
      <c r="AO659" s="23">
        <f>IF($AM659="","",MAX(0,$AM659-$AN659))</f>
        <v/>
      </c>
      <c r="AP659" s="22">
        <f>IF($S659="","",IF(OR($S659="ITEM_PRICE_PLUS_DECLARED_DELIVERY",$S659="DELIVERY_CHARGE_ONLY"),$K659,IF($S659="TOTAL_AMOUNT_INCLUDING_DELIVERY",IF(OR($T659="",$J659=""),"",MAX(0,$T659-$J659-$U659)),IF($S659="ITEM_PRICE_ONLY_DELIVERY_PAID_BY_MERCHANT",0,""))))</f>
        <v/>
      </c>
      <c r="AQ659" s="23">
        <f>IF(OR($AP659="",$AO659=""),"",$AP659-$AO659)</f>
        <v/>
      </c>
      <c r="AR659" s="24">
        <f>IF($S659="EXACT_COLLECTION_AMOUNT","BREAKDOWN_REQUIRED",IF($AQ659="","",IF($AQ659&gt;0,"CREDIT_TO_MERCHANT",IF($AQ659&lt;0,"DEDUCT_FROM_MERCHANT","NO_ADJUSTMENT"))))</f>
        <v/>
      </c>
      <c r="AS659" s="23">
        <f>IF(OR($AQ659="",$AR659="BREAKDOWN_REQUIRED"),"",$AQ659)</f>
        <v/>
      </c>
      <c r="AT659" s="23">
        <f>IF(OR($AR659="",$AR659="BREAKDOWN_REQUIRED"),"",SUM($J659,$AQ659,$Y659)-$X659)</f>
        <v/>
      </c>
      <c r="AU659" s="25">
        <f>IF(AND($A659="",$B659="",$F659="",$H659="",$J659="",$K659="",$M659="",$S659=""),"",IF(OR($H659="",$Q659="",$M659="",$S659=""),"ERROR",IF(OR($J659&lt;0,$K659&lt;0,$M659&lt;0,$T659&lt;0,$U659&lt;0,$V659&lt;0,$W659&lt;0,$X659&lt;0,$Y659&lt;0),"ERROR",IF($AE659="","ERROR",IF(AND(OR($S659="ITEM_PRICE_PLUS_DECLARED_DELIVERY",$S659="TOTAL_AMOUNT_INCLUDING_DELIVERY",$S659="ITEM_PRICE_ONLY_DELIVERY_PAID_BY_MERCHANT"),$J659=""),"ERROR",IF(AND(OR($S659="ITEM_PRICE_PLUS_DECLARED_DELIVERY",$S659="DELIVERY_CHARGE_ONLY"),$K659=""),"ERROR",IF(AND(OR($S659="TOTAL_AMOUNT_INCLUDING_DELIVERY",$S659="EXACT_COLLECTION_AMOUNT"),$T659=""),"ERROR",IF(AND($S659="TOTAL_AMOUNT_INCLUDING_DELIVERY",$T659&lt;SUM($J659,$U659)),"ERROR",IF($S659="EXACT_COLLECTION_AMOUNT","REVIEW","OK")))))))))</f>
        <v/>
      </c>
      <c r="AV659" s="25">
        <f>IF($AU659="","",IF($H659="","Township required",IF($Q659="","Customer tier required",IF($M659="","Weight required",IF($S659="","Amount entry type required",IF(OR($J659&lt;0,$K659&lt;0,$M659&lt;0,$T659&lt;0,$U659&lt;0,$V659&lt;0,$W659&lt;0,$X659&lt;0,$Y659&lt;0),"Negative amounts are not allowed",IF($AE659="","Tariff not found for township and tier",IF(AND(OR($S659="ITEM_PRICE_PLUS_DECLARED_DELIVERY",$S659="TOTAL_AMOUNT_INCLUDING_DELIVERY",$S659="ITEM_PRICE_ONLY_DELIVERY_PAID_BY_MERCHANT"),$J659=""),"Item price required for this amount type",IF(AND(OR($S659="ITEM_PRICE_PLUS_DECLARED_DELIVERY",$S659="DELIVERY_CHARGE_ONLY"),$K659=""),"Declared delivery charge required",IF(AND(OR($S659="TOTAL_AMOUNT_INCLUDING_DELIVERY",$S659="EXACT_COLLECTION_AMOUNT"),$T659=""),"Stated total amount required",IF(AND($S659="TOTAL_AMOUNT_INCLUDING_DELIVERY",$T659&lt;SUM($J659,$U659)),"Stated total is below item price plus additional charge",IF($S659="EXACT_COLLECTION_AMOUNT","Authorized amount breakdown required before settlement","Ready for collection and settlement"))))))))))))</f>
        <v/>
      </c>
      <c r="AW659" s="23">
        <f>IF($AU659="","","PARCEL_FINANCIAL_V2")</f>
        <v/>
      </c>
      <c r="AX659" s="17" t="n"/>
    </row>
    <row r="660">
      <c r="A660" s="8" t="n"/>
      <c r="B660" s="8" t="n"/>
      <c r="C660" s="8" t="n"/>
      <c r="D660" s="8" t="n"/>
      <c r="E660" s="9" t="n"/>
      <c r="F660" s="9" t="n"/>
      <c r="G660" s="8" t="n"/>
      <c r="H660" s="9" t="n"/>
      <c r="I660" s="9" t="n"/>
      <c r="J660" s="10" t="n"/>
      <c r="K660" s="10" t="n"/>
      <c r="L660" s="11">
        <f>IF($S660="","",IF($S660="ITEM_PRICE_PLUS_DECLARED_DELIVERY",IF(OR($J660="",$K660=""),"",SUM($J660,$K660,$U660)),IF($S660="TOTAL_AMOUNT_INCLUDING_DELIVERY",IF($T660="","",$T660),IF($S660="DELIVERY_CHARGE_ONLY",IF($K660="","",SUM($K660,$U660)),IF($S660="EXACT_COLLECTION_AMOUNT",IF($T660="","",$T660),IF($S660="ITEM_PRICE_ONLY_DELIVERY_PAID_BY_MERCHANT",IF($J660="","",SUM($J660,$U660)),""))))))</f>
        <v/>
      </c>
      <c r="M660" s="12" t="n"/>
      <c r="N660" s="13" t="n"/>
      <c r="O660" s="13" t="n"/>
      <c r="P660" s="9" t="n"/>
      <c r="Q660" s="14" t="n"/>
      <c r="R660" s="15" t="n"/>
      <c r="S660" s="14" t="n"/>
      <c r="T660" s="16" t="n"/>
      <c r="U660" s="16" t="n"/>
      <c r="V660" s="16" t="n"/>
      <c r="W660" s="16" t="n"/>
      <c r="X660" s="16" t="n"/>
      <c r="Y660" s="16" t="n"/>
      <c r="Z660" s="14" t="n"/>
      <c r="AA660" s="14" t="n"/>
      <c r="AB660" s="14" t="n"/>
      <c r="AC660" s="17">
        <f>IFERROR(VLOOKUP($H660&amp;"|"&amp;$Q660,Tariff_Master!$A$2:$L$169,3,FALSE),"")</f>
        <v/>
      </c>
      <c r="AD660" s="17">
        <f>IFERROR(VLOOKUP($H660&amp;"|"&amp;$Q660,Tariff_Master!$A$2:$L$169,4,FALSE),"")</f>
        <v/>
      </c>
      <c r="AE660" s="18">
        <f>IFERROR(VLOOKUP($H660&amp;"|"&amp;$Q660,Tariff_Master!$A$2:$L$169,6,FALSE),"")</f>
        <v/>
      </c>
      <c r="AF660" s="19">
        <f>IFERROR(VLOOKUP($H660&amp;"|"&amp;$Q660,Tariff_Master!$A$2:$L$169,7,FALSE),"")</f>
        <v/>
      </c>
      <c r="AG660" s="18">
        <f>IFERROR(VLOOKUP($H660&amp;"|"&amp;$Q660,Tariff_Master!$A$2:$L$169,8,FALSE),"")</f>
        <v/>
      </c>
      <c r="AH660" s="20">
        <f>IFERROR(VLOOKUP($H660&amp;"|"&amp;$Q660,Tariff_Master!$A$2:$L$169,9,FALSE),"")</f>
        <v/>
      </c>
      <c r="AI660" s="18">
        <f>IFERROR(VLOOKUP($H660&amp;"|"&amp;$Q660,Tariff_Master!$A$2:$L$169,10,FALSE),"")</f>
        <v/>
      </c>
      <c r="AJ660" s="21">
        <f>IF($M660="","",ROUNDUP(MAX(0,$M660),0))</f>
        <v/>
      </c>
      <c r="AK660" s="21">
        <f>IF(OR($AJ660="",$AF660=""),"",MAX(0,$AJ660-$AF660))</f>
        <v/>
      </c>
      <c r="AL660" s="22">
        <f>IF(OR($AK660="",$AG660=""),"",MAX(0,$AK660*$AG660))</f>
        <v/>
      </c>
      <c r="AM660" s="22">
        <f>IF($AE660="","",MAX(0,SUM($AE660,$AL660,$V660,$W660)))</f>
        <v/>
      </c>
      <c r="AN660" s="22">
        <f>IF($AM660="","",IF(AND($Q660="COMMITMENT",$R660&gt;=$AH660),$AI660,0))</f>
        <v/>
      </c>
      <c r="AO660" s="23">
        <f>IF($AM660="","",MAX(0,$AM660-$AN660))</f>
        <v/>
      </c>
      <c r="AP660" s="22">
        <f>IF($S660="","",IF(OR($S660="ITEM_PRICE_PLUS_DECLARED_DELIVERY",$S660="DELIVERY_CHARGE_ONLY"),$K660,IF($S660="TOTAL_AMOUNT_INCLUDING_DELIVERY",IF(OR($T660="",$J660=""),"",MAX(0,$T660-$J660-$U660)),IF($S660="ITEM_PRICE_ONLY_DELIVERY_PAID_BY_MERCHANT",0,""))))</f>
        <v/>
      </c>
      <c r="AQ660" s="23">
        <f>IF(OR($AP660="",$AO660=""),"",$AP660-$AO660)</f>
        <v/>
      </c>
      <c r="AR660" s="24">
        <f>IF($S660="EXACT_COLLECTION_AMOUNT","BREAKDOWN_REQUIRED",IF($AQ660="","",IF($AQ660&gt;0,"CREDIT_TO_MERCHANT",IF($AQ660&lt;0,"DEDUCT_FROM_MERCHANT","NO_ADJUSTMENT"))))</f>
        <v/>
      </c>
      <c r="AS660" s="23">
        <f>IF(OR($AQ660="",$AR660="BREAKDOWN_REQUIRED"),"",$AQ660)</f>
        <v/>
      </c>
      <c r="AT660" s="23">
        <f>IF(OR($AR660="",$AR660="BREAKDOWN_REQUIRED"),"",SUM($J660,$AQ660,$Y660)-$X660)</f>
        <v/>
      </c>
      <c r="AU660" s="25">
        <f>IF(AND($A660="",$B660="",$F660="",$H660="",$J660="",$K660="",$M660="",$S660=""),"",IF(OR($H660="",$Q660="",$M660="",$S660=""),"ERROR",IF(OR($J660&lt;0,$K660&lt;0,$M660&lt;0,$T660&lt;0,$U660&lt;0,$V660&lt;0,$W660&lt;0,$X660&lt;0,$Y660&lt;0),"ERROR",IF($AE660="","ERROR",IF(AND(OR($S660="ITEM_PRICE_PLUS_DECLARED_DELIVERY",$S660="TOTAL_AMOUNT_INCLUDING_DELIVERY",$S660="ITEM_PRICE_ONLY_DELIVERY_PAID_BY_MERCHANT"),$J660=""),"ERROR",IF(AND(OR($S660="ITEM_PRICE_PLUS_DECLARED_DELIVERY",$S660="DELIVERY_CHARGE_ONLY"),$K660=""),"ERROR",IF(AND(OR($S660="TOTAL_AMOUNT_INCLUDING_DELIVERY",$S660="EXACT_COLLECTION_AMOUNT"),$T660=""),"ERROR",IF(AND($S660="TOTAL_AMOUNT_INCLUDING_DELIVERY",$T660&lt;SUM($J660,$U660)),"ERROR",IF($S660="EXACT_COLLECTION_AMOUNT","REVIEW","OK")))))))))</f>
        <v/>
      </c>
      <c r="AV660" s="25">
        <f>IF($AU660="","",IF($H660="","Township required",IF($Q660="","Customer tier required",IF($M660="","Weight required",IF($S660="","Amount entry type required",IF(OR($J660&lt;0,$K660&lt;0,$M660&lt;0,$T660&lt;0,$U660&lt;0,$V660&lt;0,$W660&lt;0,$X660&lt;0,$Y660&lt;0),"Negative amounts are not allowed",IF($AE660="","Tariff not found for township and tier",IF(AND(OR($S660="ITEM_PRICE_PLUS_DECLARED_DELIVERY",$S660="TOTAL_AMOUNT_INCLUDING_DELIVERY",$S660="ITEM_PRICE_ONLY_DELIVERY_PAID_BY_MERCHANT"),$J660=""),"Item price required for this amount type",IF(AND(OR($S660="ITEM_PRICE_PLUS_DECLARED_DELIVERY",$S660="DELIVERY_CHARGE_ONLY"),$K660=""),"Declared delivery charge required",IF(AND(OR($S660="TOTAL_AMOUNT_INCLUDING_DELIVERY",$S660="EXACT_COLLECTION_AMOUNT"),$T660=""),"Stated total amount required",IF(AND($S660="TOTAL_AMOUNT_INCLUDING_DELIVERY",$T660&lt;SUM($J660,$U660)),"Stated total is below item price plus additional charge",IF($S660="EXACT_COLLECTION_AMOUNT","Authorized amount breakdown required before settlement","Ready for collection and settlement"))))))))))))</f>
        <v/>
      </c>
      <c r="AW660" s="23">
        <f>IF($AU660="","","PARCEL_FINANCIAL_V2")</f>
        <v/>
      </c>
      <c r="AX660" s="17" t="n"/>
    </row>
    <row r="661">
      <c r="A661" s="8" t="n"/>
      <c r="B661" s="8" t="n"/>
      <c r="C661" s="8" t="n"/>
      <c r="D661" s="8" t="n"/>
      <c r="E661" s="9" t="n"/>
      <c r="F661" s="9" t="n"/>
      <c r="G661" s="8" t="n"/>
      <c r="H661" s="9" t="n"/>
      <c r="I661" s="9" t="n"/>
      <c r="J661" s="10" t="n"/>
      <c r="K661" s="10" t="n"/>
      <c r="L661" s="11">
        <f>IF($S661="","",IF($S661="ITEM_PRICE_PLUS_DECLARED_DELIVERY",IF(OR($J661="",$K661=""),"",SUM($J661,$K661,$U661)),IF($S661="TOTAL_AMOUNT_INCLUDING_DELIVERY",IF($T661="","",$T661),IF($S661="DELIVERY_CHARGE_ONLY",IF($K661="","",SUM($K661,$U661)),IF($S661="EXACT_COLLECTION_AMOUNT",IF($T661="","",$T661),IF($S661="ITEM_PRICE_ONLY_DELIVERY_PAID_BY_MERCHANT",IF($J661="","",SUM($J661,$U661)),""))))))</f>
        <v/>
      </c>
      <c r="M661" s="12" t="n"/>
      <c r="N661" s="13" t="n"/>
      <c r="O661" s="13" t="n"/>
      <c r="P661" s="9" t="n"/>
      <c r="Q661" s="14" t="n"/>
      <c r="R661" s="15" t="n"/>
      <c r="S661" s="14" t="n"/>
      <c r="T661" s="16" t="n"/>
      <c r="U661" s="16" t="n"/>
      <c r="V661" s="16" t="n"/>
      <c r="W661" s="16" t="n"/>
      <c r="X661" s="16" t="n"/>
      <c r="Y661" s="16" t="n"/>
      <c r="Z661" s="14" t="n"/>
      <c r="AA661" s="14" t="n"/>
      <c r="AB661" s="14" t="n"/>
      <c r="AC661" s="17">
        <f>IFERROR(VLOOKUP($H661&amp;"|"&amp;$Q661,Tariff_Master!$A$2:$L$169,3,FALSE),"")</f>
        <v/>
      </c>
      <c r="AD661" s="17">
        <f>IFERROR(VLOOKUP($H661&amp;"|"&amp;$Q661,Tariff_Master!$A$2:$L$169,4,FALSE),"")</f>
        <v/>
      </c>
      <c r="AE661" s="18">
        <f>IFERROR(VLOOKUP($H661&amp;"|"&amp;$Q661,Tariff_Master!$A$2:$L$169,6,FALSE),"")</f>
        <v/>
      </c>
      <c r="AF661" s="19">
        <f>IFERROR(VLOOKUP($H661&amp;"|"&amp;$Q661,Tariff_Master!$A$2:$L$169,7,FALSE),"")</f>
        <v/>
      </c>
      <c r="AG661" s="18">
        <f>IFERROR(VLOOKUP($H661&amp;"|"&amp;$Q661,Tariff_Master!$A$2:$L$169,8,FALSE),"")</f>
        <v/>
      </c>
      <c r="AH661" s="20">
        <f>IFERROR(VLOOKUP($H661&amp;"|"&amp;$Q661,Tariff_Master!$A$2:$L$169,9,FALSE),"")</f>
        <v/>
      </c>
      <c r="AI661" s="18">
        <f>IFERROR(VLOOKUP($H661&amp;"|"&amp;$Q661,Tariff_Master!$A$2:$L$169,10,FALSE),"")</f>
        <v/>
      </c>
      <c r="AJ661" s="21">
        <f>IF($M661="","",ROUNDUP(MAX(0,$M661),0))</f>
        <v/>
      </c>
      <c r="AK661" s="21">
        <f>IF(OR($AJ661="",$AF661=""),"",MAX(0,$AJ661-$AF661))</f>
        <v/>
      </c>
      <c r="AL661" s="22">
        <f>IF(OR($AK661="",$AG661=""),"",MAX(0,$AK661*$AG661))</f>
        <v/>
      </c>
      <c r="AM661" s="22">
        <f>IF($AE661="","",MAX(0,SUM($AE661,$AL661,$V661,$W661)))</f>
        <v/>
      </c>
      <c r="AN661" s="22">
        <f>IF($AM661="","",IF(AND($Q661="COMMITMENT",$R661&gt;=$AH661),$AI661,0))</f>
        <v/>
      </c>
      <c r="AO661" s="23">
        <f>IF($AM661="","",MAX(0,$AM661-$AN661))</f>
        <v/>
      </c>
      <c r="AP661" s="22">
        <f>IF($S661="","",IF(OR($S661="ITEM_PRICE_PLUS_DECLARED_DELIVERY",$S661="DELIVERY_CHARGE_ONLY"),$K661,IF($S661="TOTAL_AMOUNT_INCLUDING_DELIVERY",IF(OR($T661="",$J661=""),"",MAX(0,$T661-$J661-$U661)),IF($S661="ITEM_PRICE_ONLY_DELIVERY_PAID_BY_MERCHANT",0,""))))</f>
        <v/>
      </c>
      <c r="AQ661" s="23">
        <f>IF(OR($AP661="",$AO661=""),"",$AP661-$AO661)</f>
        <v/>
      </c>
      <c r="AR661" s="24">
        <f>IF($S661="EXACT_COLLECTION_AMOUNT","BREAKDOWN_REQUIRED",IF($AQ661="","",IF($AQ661&gt;0,"CREDIT_TO_MERCHANT",IF($AQ661&lt;0,"DEDUCT_FROM_MERCHANT","NO_ADJUSTMENT"))))</f>
        <v/>
      </c>
      <c r="AS661" s="23">
        <f>IF(OR($AQ661="",$AR661="BREAKDOWN_REQUIRED"),"",$AQ661)</f>
        <v/>
      </c>
      <c r="AT661" s="23">
        <f>IF(OR($AR661="",$AR661="BREAKDOWN_REQUIRED"),"",SUM($J661,$AQ661,$Y661)-$X661)</f>
        <v/>
      </c>
      <c r="AU661" s="25">
        <f>IF(AND($A661="",$B661="",$F661="",$H661="",$J661="",$K661="",$M661="",$S661=""),"",IF(OR($H661="",$Q661="",$M661="",$S661=""),"ERROR",IF(OR($J661&lt;0,$K661&lt;0,$M661&lt;0,$T661&lt;0,$U661&lt;0,$V661&lt;0,$W661&lt;0,$X661&lt;0,$Y661&lt;0),"ERROR",IF($AE661="","ERROR",IF(AND(OR($S661="ITEM_PRICE_PLUS_DECLARED_DELIVERY",$S661="TOTAL_AMOUNT_INCLUDING_DELIVERY",$S661="ITEM_PRICE_ONLY_DELIVERY_PAID_BY_MERCHANT"),$J661=""),"ERROR",IF(AND(OR($S661="ITEM_PRICE_PLUS_DECLARED_DELIVERY",$S661="DELIVERY_CHARGE_ONLY"),$K661=""),"ERROR",IF(AND(OR($S661="TOTAL_AMOUNT_INCLUDING_DELIVERY",$S661="EXACT_COLLECTION_AMOUNT"),$T661=""),"ERROR",IF(AND($S661="TOTAL_AMOUNT_INCLUDING_DELIVERY",$T661&lt;SUM($J661,$U661)),"ERROR",IF($S661="EXACT_COLLECTION_AMOUNT","REVIEW","OK")))))))))</f>
        <v/>
      </c>
      <c r="AV661" s="25">
        <f>IF($AU661="","",IF($H661="","Township required",IF($Q661="","Customer tier required",IF($M661="","Weight required",IF($S661="","Amount entry type required",IF(OR($J661&lt;0,$K661&lt;0,$M661&lt;0,$T661&lt;0,$U661&lt;0,$V661&lt;0,$W661&lt;0,$X661&lt;0,$Y661&lt;0),"Negative amounts are not allowed",IF($AE661="","Tariff not found for township and tier",IF(AND(OR($S661="ITEM_PRICE_PLUS_DECLARED_DELIVERY",$S661="TOTAL_AMOUNT_INCLUDING_DELIVERY",$S661="ITEM_PRICE_ONLY_DELIVERY_PAID_BY_MERCHANT"),$J661=""),"Item price required for this amount type",IF(AND(OR($S661="ITEM_PRICE_PLUS_DECLARED_DELIVERY",$S661="DELIVERY_CHARGE_ONLY"),$K661=""),"Declared delivery charge required",IF(AND(OR($S661="TOTAL_AMOUNT_INCLUDING_DELIVERY",$S661="EXACT_COLLECTION_AMOUNT"),$T661=""),"Stated total amount required",IF(AND($S661="TOTAL_AMOUNT_INCLUDING_DELIVERY",$T661&lt;SUM($J661,$U661)),"Stated total is below item price plus additional charge",IF($S661="EXACT_COLLECTION_AMOUNT","Authorized amount breakdown required before settlement","Ready for collection and settlement"))))))))))))</f>
        <v/>
      </c>
      <c r="AW661" s="23">
        <f>IF($AU661="","","PARCEL_FINANCIAL_V2")</f>
        <v/>
      </c>
      <c r="AX661" s="17" t="n"/>
    </row>
    <row r="662">
      <c r="A662" s="8" t="n"/>
      <c r="B662" s="8" t="n"/>
      <c r="C662" s="8" t="n"/>
      <c r="D662" s="8" t="n"/>
      <c r="E662" s="9" t="n"/>
      <c r="F662" s="9" t="n"/>
      <c r="G662" s="8" t="n"/>
      <c r="H662" s="9" t="n"/>
      <c r="I662" s="9" t="n"/>
      <c r="J662" s="10" t="n"/>
      <c r="K662" s="10" t="n"/>
      <c r="L662" s="11">
        <f>IF($S662="","",IF($S662="ITEM_PRICE_PLUS_DECLARED_DELIVERY",IF(OR($J662="",$K662=""),"",SUM($J662,$K662,$U662)),IF($S662="TOTAL_AMOUNT_INCLUDING_DELIVERY",IF($T662="","",$T662),IF($S662="DELIVERY_CHARGE_ONLY",IF($K662="","",SUM($K662,$U662)),IF($S662="EXACT_COLLECTION_AMOUNT",IF($T662="","",$T662),IF($S662="ITEM_PRICE_ONLY_DELIVERY_PAID_BY_MERCHANT",IF($J662="","",SUM($J662,$U662)),""))))))</f>
        <v/>
      </c>
      <c r="M662" s="12" t="n"/>
      <c r="N662" s="13" t="n"/>
      <c r="O662" s="13" t="n"/>
      <c r="P662" s="9" t="n"/>
      <c r="Q662" s="14" t="n"/>
      <c r="R662" s="15" t="n"/>
      <c r="S662" s="14" t="n"/>
      <c r="T662" s="16" t="n"/>
      <c r="U662" s="16" t="n"/>
      <c r="V662" s="16" t="n"/>
      <c r="W662" s="16" t="n"/>
      <c r="X662" s="16" t="n"/>
      <c r="Y662" s="16" t="n"/>
      <c r="Z662" s="14" t="n"/>
      <c r="AA662" s="14" t="n"/>
      <c r="AB662" s="14" t="n"/>
      <c r="AC662" s="17">
        <f>IFERROR(VLOOKUP($H662&amp;"|"&amp;$Q662,Tariff_Master!$A$2:$L$169,3,FALSE),"")</f>
        <v/>
      </c>
      <c r="AD662" s="17">
        <f>IFERROR(VLOOKUP($H662&amp;"|"&amp;$Q662,Tariff_Master!$A$2:$L$169,4,FALSE),"")</f>
        <v/>
      </c>
      <c r="AE662" s="18">
        <f>IFERROR(VLOOKUP($H662&amp;"|"&amp;$Q662,Tariff_Master!$A$2:$L$169,6,FALSE),"")</f>
        <v/>
      </c>
      <c r="AF662" s="19">
        <f>IFERROR(VLOOKUP($H662&amp;"|"&amp;$Q662,Tariff_Master!$A$2:$L$169,7,FALSE),"")</f>
        <v/>
      </c>
      <c r="AG662" s="18">
        <f>IFERROR(VLOOKUP($H662&amp;"|"&amp;$Q662,Tariff_Master!$A$2:$L$169,8,FALSE),"")</f>
        <v/>
      </c>
      <c r="AH662" s="20">
        <f>IFERROR(VLOOKUP($H662&amp;"|"&amp;$Q662,Tariff_Master!$A$2:$L$169,9,FALSE),"")</f>
        <v/>
      </c>
      <c r="AI662" s="18">
        <f>IFERROR(VLOOKUP($H662&amp;"|"&amp;$Q662,Tariff_Master!$A$2:$L$169,10,FALSE),"")</f>
        <v/>
      </c>
      <c r="AJ662" s="21">
        <f>IF($M662="","",ROUNDUP(MAX(0,$M662),0))</f>
        <v/>
      </c>
      <c r="AK662" s="21">
        <f>IF(OR($AJ662="",$AF662=""),"",MAX(0,$AJ662-$AF662))</f>
        <v/>
      </c>
      <c r="AL662" s="22">
        <f>IF(OR($AK662="",$AG662=""),"",MAX(0,$AK662*$AG662))</f>
        <v/>
      </c>
      <c r="AM662" s="22">
        <f>IF($AE662="","",MAX(0,SUM($AE662,$AL662,$V662,$W662)))</f>
        <v/>
      </c>
      <c r="AN662" s="22">
        <f>IF($AM662="","",IF(AND($Q662="COMMITMENT",$R662&gt;=$AH662),$AI662,0))</f>
        <v/>
      </c>
      <c r="AO662" s="23">
        <f>IF($AM662="","",MAX(0,$AM662-$AN662))</f>
        <v/>
      </c>
      <c r="AP662" s="22">
        <f>IF($S662="","",IF(OR($S662="ITEM_PRICE_PLUS_DECLARED_DELIVERY",$S662="DELIVERY_CHARGE_ONLY"),$K662,IF($S662="TOTAL_AMOUNT_INCLUDING_DELIVERY",IF(OR($T662="",$J662=""),"",MAX(0,$T662-$J662-$U662)),IF($S662="ITEM_PRICE_ONLY_DELIVERY_PAID_BY_MERCHANT",0,""))))</f>
        <v/>
      </c>
      <c r="AQ662" s="23">
        <f>IF(OR($AP662="",$AO662=""),"",$AP662-$AO662)</f>
        <v/>
      </c>
      <c r="AR662" s="24">
        <f>IF($S662="EXACT_COLLECTION_AMOUNT","BREAKDOWN_REQUIRED",IF($AQ662="","",IF($AQ662&gt;0,"CREDIT_TO_MERCHANT",IF($AQ662&lt;0,"DEDUCT_FROM_MERCHANT","NO_ADJUSTMENT"))))</f>
        <v/>
      </c>
      <c r="AS662" s="23">
        <f>IF(OR($AQ662="",$AR662="BREAKDOWN_REQUIRED"),"",$AQ662)</f>
        <v/>
      </c>
      <c r="AT662" s="23">
        <f>IF(OR($AR662="",$AR662="BREAKDOWN_REQUIRED"),"",SUM($J662,$AQ662,$Y662)-$X662)</f>
        <v/>
      </c>
      <c r="AU662" s="25">
        <f>IF(AND($A662="",$B662="",$F662="",$H662="",$J662="",$K662="",$M662="",$S662=""),"",IF(OR($H662="",$Q662="",$M662="",$S662=""),"ERROR",IF(OR($J662&lt;0,$K662&lt;0,$M662&lt;0,$T662&lt;0,$U662&lt;0,$V662&lt;0,$W662&lt;0,$X662&lt;0,$Y662&lt;0),"ERROR",IF($AE662="","ERROR",IF(AND(OR($S662="ITEM_PRICE_PLUS_DECLARED_DELIVERY",$S662="TOTAL_AMOUNT_INCLUDING_DELIVERY",$S662="ITEM_PRICE_ONLY_DELIVERY_PAID_BY_MERCHANT"),$J662=""),"ERROR",IF(AND(OR($S662="ITEM_PRICE_PLUS_DECLARED_DELIVERY",$S662="DELIVERY_CHARGE_ONLY"),$K662=""),"ERROR",IF(AND(OR($S662="TOTAL_AMOUNT_INCLUDING_DELIVERY",$S662="EXACT_COLLECTION_AMOUNT"),$T662=""),"ERROR",IF(AND($S662="TOTAL_AMOUNT_INCLUDING_DELIVERY",$T662&lt;SUM($J662,$U662)),"ERROR",IF($S662="EXACT_COLLECTION_AMOUNT","REVIEW","OK")))))))))</f>
        <v/>
      </c>
      <c r="AV662" s="25">
        <f>IF($AU662="","",IF($H662="","Township required",IF($Q662="","Customer tier required",IF($M662="","Weight required",IF($S662="","Amount entry type required",IF(OR($J662&lt;0,$K662&lt;0,$M662&lt;0,$T662&lt;0,$U662&lt;0,$V662&lt;0,$W662&lt;0,$X662&lt;0,$Y662&lt;0),"Negative amounts are not allowed",IF($AE662="","Tariff not found for township and tier",IF(AND(OR($S662="ITEM_PRICE_PLUS_DECLARED_DELIVERY",$S662="TOTAL_AMOUNT_INCLUDING_DELIVERY",$S662="ITEM_PRICE_ONLY_DELIVERY_PAID_BY_MERCHANT"),$J662=""),"Item price required for this amount type",IF(AND(OR($S662="ITEM_PRICE_PLUS_DECLARED_DELIVERY",$S662="DELIVERY_CHARGE_ONLY"),$K662=""),"Declared delivery charge required",IF(AND(OR($S662="TOTAL_AMOUNT_INCLUDING_DELIVERY",$S662="EXACT_COLLECTION_AMOUNT"),$T662=""),"Stated total amount required",IF(AND($S662="TOTAL_AMOUNT_INCLUDING_DELIVERY",$T662&lt;SUM($J662,$U662)),"Stated total is below item price plus additional charge",IF($S662="EXACT_COLLECTION_AMOUNT","Authorized amount breakdown required before settlement","Ready for collection and settlement"))))))))))))</f>
        <v/>
      </c>
      <c r="AW662" s="23">
        <f>IF($AU662="","","PARCEL_FINANCIAL_V2")</f>
        <v/>
      </c>
      <c r="AX662" s="17" t="n"/>
    </row>
    <row r="663">
      <c r="A663" s="8" t="n"/>
      <c r="B663" s="8" t="n"/>
      <c r="C663" s="8" t="n"/>
      <c r="D663" s="8" t="n"/>
      <c r="E663" s="9" t="n"/>
      <c r="F663" s="9" t="n"/>
      <c r="G663" s="8" t="n"/>
      <c r="H663" s="9" t="n"/>
      <c r="I663" s="9" t="n"/>
      <c r="J663" s="10" t="n"/>
      <c r="K663" s="10" t="n"/>
      <c r="L663" s="11">
        <f>IF($S663="","",IF($S663="ITEM_PRICE_PLUS_DECLARED_DELIVERY",IF(OR($J663="",$K663=""),"",SUM($J663,$K663,$U663)),IF($S663="TOTAL_AMOUNT_INCLUDING_DELIVERY",IF($T663="","",$T663),IF($S663="DELIVERY_CHARGE_ONLY",IF($K663="","",SUM($K663,$U663)),IF($S663="EXACT_COLLECTION_AMOUNT",IF($T663="","",$T663),IF($S663="ITEM_PRICE_ONLY_DELIVERY_PAID_BY_MERCHANT",IF($J663="","",SUM($J663,$U663)),""))))))</f>
        <v/>
      </c>
      <c r="M663" s="12" t="n"/>
      <c r="N663" s="13" t="n"/>
      <c r="O663" s="13" t="n"/>
      <c r="P663" s="9" t="n"/>
      <c r="Q663" s="14" t="n"/>
      <c r="R663" s="15" t="n"/>
      <c r="S663" s="14" t="n"/>
      <c r="T663" s="16" t="n"/>
      <c r="U663" s="16" t="n"/>
      <c r="V663" s="16" t="n"/>
      <c r="W663" s="16" t="n"/>
      <c r="X663" s="16" t="n"/>
      <c r="Y663" s="16" t="n"/>
      <c r="Z663" s="14" t="n"/>
      <c r="AA663" s="14" t="n"/>
      <c r="AB663" s="14" t="n"/>
      <c r="AC663" s="17">
        <f>IFERROR(VLOOKUP($H663&amp;"|"&amp;$Q663,Tariff_Master!$A$2:$L$169,3,FALSE),"")</f>
        <v/>
      </c>
      <c r="AD663" s="17">
        <f>IFERROR(VLOOKUP($H663&amp;"|"&amp;$Q663,Tariff_Master!$A$2:$L$169,4,FALSE),"")</f>
        <v/>
      </c>
      <c r="AE663" s="18">
        <f>IFERROR(VLOOKUP($H663&amp;"|"&amp;$Q663,Tariff_Master!$A$2:$L$169,6,FALSE),"")</f>
        <v/>
      </c>
      <c r="AF663" s="19">
        <f>IFERROR(VLOOKUP($H663&amp;"|"&amp;$Q663,Tariff_Master!$A$2:$L$169,7,FALSE),"")</f>
        <v/>
      </c>
      <c r="AG663" s="18">
        <f>IFERROR(VLOOKUP($H663&amp;"|"&amp;$Q663,Tariff_Master!$A$2:$L$169,8,FALSE),"")</f>
        <v/>
      </c>
      <c r="AH663" s="20">
        <f>IFERROR(VLOOKUP($H663&amp;"|"&amp;$Q663,Tariff_Master!$A$2:$L$169,9,FALSE),"")</f>
        <v/>
      </c>
      <c r="AI663" s="18">
        <f>IFERROR(VLOOKUP($H663&amp;"|"&amp;$Q663,Tariff_Master!$A$2:$L$169,10,FALSE),"")</f>
        <v/>
      </c>
      <c r="AJ663" s="21">
        <f>IF($M663="","",ROUNDUP(MAX(0,$M663),0))</f>
        <v/>
      </c>
      <c r="AK663" s="21">
        <f>IF(OR($AJ663="",$AF663=""),"",MAX(0,$AJ663-$AF663))</f>
        <v/>
      </c>
      <c r="AL663" s="22">
        <f>IF(OR($AK663="",$AG663=""),"",MAX(0,$AK663*$AG663))</f>
        <v/>
      </c>
      <c r="AM663" s="22">
        <f>IF($AE663="","",MAX(0,SUM($AE663,$AL663,$V663,$W663)))</f>
        <v/>
      </c>
      <c r="AN663" s="22">
        <f>IF($AM663="","",IF(AND($Q663="COMMITMENT",$R663&gt;=$AH663),$AI663,0))</f>
        <v/>
      </c>
      <c r="AO663" s="23">
        <f>IF($AM663="","",MAX(0,$AM663-$AN663))</f>
        <v/>
      </c>
      <c r="AP663" s="22">
        <f>IF($S663="","",IF(OR($S663="ITEM_PRICE_PLUS_DECLARED_DELIVERY",$S663="DELIVERY_CHARGE_ONLY"),$K663,IF($S663="TOTAL_AMOUNT_INCLUDING_DELIVERY",IF(OR($T663="",$J663=""),"",MAX(0,$T663-$J663-$U663)),IF($S663="ITEM_PRICE_ONLY_DELIVERY_PAID_BY_MERCHANT",0,""))))</f>
        <v/>
      </c>
      <c r="AQ663" s="23">
        <f>IF(OR($AP663="",$AO663=""),"",$AP663-$AO663)</f>
        <v/>
      </c>
      <c r="AR663" s="24">
        <f>IF($S663="EXACT_COLLECTION_AMOUNT","BREAKDOWN_REQUIRED",IF($AQ663="","",IF($AQ663&gt;0,"CREDIT_TO_MERCHANT",IF($AQ663&lt;0,"DEDUCT_FROM_MERCHANT","NO_ADJUSTMENT"))))</f>
        <v/>
      </c>
      <c r="AS663" s="23">
        <f>IF(OR($AQ663="",$AR663="BREAKDOWN_REQUIRED"),"",$AQ663)</f>
        <v/>
      </c>
      <c r="AT663" s="23">
        <f>IF(OR($AR663="",$AR663="BREAKDOWN_REQUIRED"),"",SUM($J663,$AQ663,$Y663)-$X663)</f>
        <v/>
      </c>
      <c r="AU663" s="25">
        <f>IF(AND($A663="",$B663="",$F663="",$H663="",$J663="",$K663="",$M663="",$S663=""),"",IF(OR($H663="",$Q663="",$M663="",$S663=""),"ERROR",IF(OR($J663&lt;0,$K663&lt;0,$M663&lt;0,$T663&lt;0,$U663&lt;0,$V663&lt;0,$W663&lt;0,$X663&lt;0,$Y663&lt;0),"ERROR",IF($AE663="","ERROR",IF(AND(OR($S663="ITEM_PRICE_PLUS_DECLARED_DELIVERY",$S663="TOTAL_AMOUNT_INCLUDING_DELIVERY",$S663="ITEM_PRICE_ONLY_DELIVERY_PAID_BY_MERCHANT"),$J663=""),"ERROR",IF(AND(OR($S663="ITEM_PRICE_PLUS_DECLARED_DELIVERY",$S663="DELIVERY_CHARGE_ONLY"),$K663=""),"ERROR",IF(AND(OR($S663="TOTAL_AMOUNT_INCLUDING_DELIVERY",$S663="EXACT_COLLECTION_AMOUNT"),$T663=""),"ERROR",IF(AND($S663="TOTAL_AMOUNT_INCLUDING_DELIVERY",$T663&lt;SUM($J663,$U663)),"ERROR",IF($S663="EXACT_COLLECTION_AMOUNT","REVIEW","OK")))))))))</f>
        <v/>
      </c>
      <c r="AV663" s="25">
        <f>IF($AU663="","",IF($H663="","Township required",IF($Q663="","Customer tier required",IF($M663="","Weight required",IF($S663="","Amount entry type required",IF(OR($J663&lt;0,$K663&lt;0,$M663&lt;0,$T663&lt;0,$U663&lt;0,$V663&lt;0,$W663&lt;0,$X663&lt;0,$Y663&lt;0),"Negative amounts are not allowed",IF($AE663="","Tariff not found for township and tier",IF(AND(OR($S663="ITEM_PRICE_PLUS_DECLARED_DELIVERY",$S663="TOTAL_AMOUNT_INCLUDING_DELIVERY",$S663="ITEM_PRICE_ONLY_DELIVERY_PAID_BY_MERCHANT"),$J663=""),"Item price required for this amount type",IF(AND(OR($S663="ITEM_PRICE_PLUS_DECLARED_DELIVERY",$S663="DELIVERY_CHARGE_ONLY"),$K663=""),"Declared delivery charge required",IF(AND(OR($S663="TOTAL_AMOUNT_INCLUDING_DELIVERY",$S663="EXACT_COLLECTION_AMOUNT"),$T663=""),"Stated total amount required",IF(AND($S663="TOTAL_AMOUNT_INCLUDING_DELIVERY",$T663&lt;SUM($J663,$U663)),"Stated total is below item price plus additional charge",IF($S663="EXACT_COLLECTION_AMOUNT","Authorized amount breakdown required before settlement","Ready for collection and settlement"))))))))))))</f>
        <v/>
      </c>
      <c r="AW663" s="23">
        <f>IF($AU663="","","PARCEL_FINANCIAL_V2")</f>
        <v/>
      </c>
      <c r="AX663" s="17" t="n"/>
    </row>
    <row r="664">
      <c r="A664" s="8" t="n"/>
      <c r="B664" s="8" t="n"/>
      <c r="C664" s="8" t="n"/>
      <c r="D664" s="8" t="n"/>
      <c r="E664" s="9" t="n"/>
      <c r="F664" s="9" t="n"/>
      <c r="G664" s="8" t="n"/>
      <c r="H664" s="9" t="n"/>
      <c r="I664" s="9" t="n"/>
      <c r="J664" s="10" t="n"/>
      <c r="K664" s="10" t="n"/>
      <c r="L664" s="11">
        <f>IF($S664="","",IF($S664="ITEM_PRICE_PLUS_DECLARED_DELIVERY",IF(OR($J664="",$K664=""),"",SUM($J664,$K664,$U664)),IF($S664="TOTAL_AMOUNT_INCLUDING_DELIVERY",IF($T664="","",$T664),IF($S664="DELIVERY_CHARGE_ONLY",IF($K664="","",SUM($K664,$U664)),IF($S664="EXACT_COLLECTION_AMOUNT",IF($T664="","",$T664),IF($S664="ITEM_PRICE_ONLY_DELIVERY_PAID_BY_MERCHANT",IF($J664="","",SUM($J664,$U664)),""))))))</f>
        <v/>
      </c>
      <c r="M664" s="12" t="n"/>
      <c r="N664" s="13" t="n"/>
      <c r="O664" s="13" t="n"/>
      <c r="P664" s="9" t="n"/>
      <c r="Q664" s="14" t="n"/>
      <c r="R664" s="15" t="n"/>
      <c r="S664" s="14" t="n"/>
      <c r="T664" s="16" t="n"/>
      <c r="U664" s="16" t="n"/>
      <c r="V664" s="16" t="n"/>
      <c r="W664" s="16" t="n"/>
      <c r="X664" s="16" t="n"/>
      <c r="Y664" s="16" t="n"/>
      <c r="Z664" s="14" t="n"/>
      <c r="AA664" s="14" t="n"/>
      <c r="AB664" s="14" t="n"/>
      <c r="AC664" s="17">
        <f>IFERROR(VLOOKUP($H664&amp;"|"&amp;$Q664,Tariff_Master!$A$2:$L$169,3,FALSE),"")</f>
        <v/>
      </c>
      <c r="AD664" s="17">
        <f>IFERROR(VLOOKUP($H664&amp;"|"&amp;$Q664,Tariff_Master!$A$2:$L$169,4,FALSE),"")</f>
        <v/>
      </c>
      <c r="AE664" s="18">
        <f>IFERROR(VLOOKUP($H664&amp;"|"&amp;$Q664,Tariff_Master!$A$2:$L$169,6,FALSE),"")</f>
        <v/>
      </c>
      <c r="AF664" s="19">
        <f>IFERROR(VLOOKUP($H664&amp;"|"&amp;$Q664,Tariff_Master!$A$2:$L$169,7,FALSE),"")</f>
        <v/>
      </c>
      <c r="AG664" s="18">
        <f>IFERROR(VLOOKUP($H664&amp;"|"&amp;$Q664,Tariff_Master!$A$2:$L$169,8,FALSE),"")</f>
        <v/>
      </c>
      <c r="AH664" s="20">
        <f>IFERROR(VLOOKUP($H664&amp;"|"&amp;$Q664,Tariff_Master!$A$2:$L$169,9,FALSE),"")</f>
        <v/>
      </c>
      <c r="AI664" s="18">
        <f>IFERROR(VLOOKUP($H664&amp;"|"&amp;$Q664,Tariff_Master!$A$2:$L$169,10,FALSE),"")</f>
        <v/>
      </c>
      <c r="AJ664" s="21">
        <f>IF($M664="","",ROUNDUP(MAX(0,$M664),0))</f>
        <v/>
      </c>
      <c r="AK664" s="21">
        <f>IF(OR($AJ664="",$AF664=""),"",MAX(0,$AJ664-$AF664))</f>
        <v/>
      </c>
      <c r="AL664" s="22">
        <f>IF(OR($AK664="",$AG664=""),"",MAX(0,$AK664*$AG664))</f>
        <v/>
      </c>
      <c r="AM664" s="22">
        <f>IF($AE664="","",MAX(0,SUM($AE664,$AL664,$V664,$W664)))</f>
        <v/>
      </c>
      <c r="AN664" s="22">
        <f>IF($AM664="","",IF(AND($Q664="COMMITMENT",$R664&gt;=$AH664),$AI664,0))</f>
        <v/>
      </c>
      <c r="AO664" s="23">
        <f>IF($AM664="","",MAX(0,$AM664-$AN664))</f>
        <v/>
      </c>
      <c r="AP664" s="22">
        <f>IF($S664="","",IF(OR($S664="ITEM_PRICE_PLUS_DECLARED_DELIVERY",$S664="DELIVERY_CHARGE_ONLY"),$K664,IF($S664="TOTAL_AMOUNT_INCLUDING_DELIVERY",IF(OR($T664="",$J664=""),"",MAX(0,$T664-$J664-$U664)),IF($S664="ITEM_PRICE_ONLY_DELIVERY_PAID_BY_MERCHANT",0,""))))</f>
        <v/>
      </c>
      <c r="AQ664" s="23">
        <f>IF(OR($AP664="",$AO664=""),"",$AP664-$AO664)</f>
        <v/>
      </c>
      <c r="AR664" s="24">
        <f>IF($S664="EXACT_COLLECTION_AMOUNT","BREAKDOWN_REQUIRED",IF($AQ664="","",IF($AQ664&gt;0,"CREDIT_TO_MERCHANT",IF($AQ664&lt;0,"DEDUCT_FROM_MERCHANT","NO_ADJUSTMENT"))))</f>
        <v/>
      </c>
      <c r="AS664" s="23">
        <f>IF(OR($AQ664="",$AR664="BREAKDOWN_REQUIRED"),"",$AQ664)</f>
        <v/>
      </c>
      <c r="AT664" s="23">
        <f>IF(OR($AR664="",$AR664="BREAKDOWN_REQUIRED"),"",SUM($J664,$AQ664,$Y664)-$X664)</f>
        <v/>
      </c>
      <c r="AU664" s="25">
        <f>IF(AND($A664="",$B664="",$F664="",$H664="",$J664="",$K664="",$M664="",$S664=""),"",IF(OR($H664="",$Q664="",$M664="",$S664=""),"ERROR",IF(OR($J664&lt;0,$K664&lt;0,$M664&lt;0,$T664&lt;0,$U664&lt;0,$V664&lt;0,$W664&lt;0,$X664&lt;0,$Y664&lt;0),"ERROR",IF($AE664="","ERROR",IF(AND(OR($S664="ITEM_PRICE_PLUS_DECLARED_DELIVERY",$S664="TOTAL_AMOUNT_INCLUDING_DELIVERY",$S664="ITEM_PRICE_ONLY_DELIVERY_PAID_BY_MERCHANT"),$J664=""),"ERROR",IF(AND(OR($S664="ITEM_PRICE_PLUS_DECLARED_DELIVERY",$S664="DELIVERY_CHARGE_ONLY"),$K664=""),"ERROR",IF(AND(OR($S664="TOTAL_AMOUNT_INCLUDING_DELIVERY",$S664="EXACT_COLLECTION_AMOUNT"),$T664=""),"ERROR",IF(AND($S664="TOTAL_AMOUNT_INCLUDING_DELIVERY",$T664&lt;SUM($J664,$U664)),"ERROR",IF($S664="EXACT_COLLECTION_AMOUNT","REVIEW","OK")))))))))</f>
        <v/>
      </c>
      <c r="AV664" s="25">
        <f>IF($AU664="","",IF($H664="","Township required",IF($Q664="","Customer tier required",IF($M664="","Weight required",IF($S664="","Amount entry type required",IF(OR($J664&lt;0,$K664&lt;0,$M664&lt;0,$T664&lt;0,$U664&lt;0,$V664&lt;0,$W664&lt;0,$X664&lt;0,$Y664&lt;0),"Negative amounts are not allowed",IF($AE664="","Tariff not found for township and tier",IF(AND(OR($S664="ITEM_PRICE_PLUS_DECLARED_DELIVERY",$S664="TOTAL_AMOUNT_INCLUDING_DELIVERY",$S664="ITEM_PRICE_ONLY_DELIVERY_PAID_BY_MERCHANT"),$J664=""),"Item price required for this amount type",IF(AND(OR($S664="ITEM_PRICE_PLUS_DECLARED_DELIVERY",$S664="DELIVERY_CHARGE_ONLY"),$K664=""),"Declared delivery charge required",IF(AND(OR($S664="TOTAL_AMOUNT_INCLUDING_DELIVERY",$S664="EXACT_COLLECTION_AMOUNT"),$T664=""),"Stated total amount required",IF(AND($S664="TOTAL_AMOUNT_INCLUDING_DELIVERY",$T664&lt;SUM($J664,$U664)),"Stated total is below item price plus additional charge",IF($S664="EXACT_COLLECTION_AMOUNT","Authorized amount breakdown required before settlement","Ready for collection and settlement"))))))))))))</f>
        <v/>
      </c>
      <c r="AW664" s="23">
        <f>IF($AU664="","","PARCEL_FINANCIAL_V2")</f>
        <v/>
      </c>
      <c r="AX664" s="17" t="n"/>
    </row>
    <row r="665">
      <c r="A665" s="8" t="n"/>
      <c r="B665" s="8" t="n"/>
      <c r="C665" s="8" t="n"/>
      <c r="D665" s="8" t="n"/>
      <c r="E665" s="9" t="n"/>
      <c r="F665" s="9" t="n"/>
      <c r="G665" s="8" t="n"/>
      <c r="H665" s="9" t="n"/>
      <c r="I665" s="9" t="n"/>
      <c r="J665" s="10" t="n"/>
      <c r="K665" s="10" t="n"/>
      <c r="L665" s="11">
        <f>IF($S665="","",IF($S665="ITEM_PRICE_PLUS_DECLARED_DELIVERY",IF(OR($J665="",$K665=""),"",SUM($J665,$K665,$U665)),IF($S665="TOTAL_AMOUNT_INCLUDING_DELIVERY",IF($T665="","",$T665),IF($S665="DELIVERY_CHARGE_ONLY",IF($K665="","",SUM($K665,$U665)),IF($S665="EXACT_COLLECTION_AMOUNT",IF($T665="","",$T665),IF($S665="ITEM_PRICE_ONLY_DELIVERY_PAID_BY_MERCHANT",IF($J665="","",SUM($J665,$U665)),""))))))</f>
        <v/>
      </c>
      <c r="M665" s="12" t="n"/>
      <c r="N665" s="13" t="n"/>
      <c r="O665" s="13" t="n"/>
      <c r="P665" s="9" t="n"/>
      <c r="Q665" s="14" t="n"/>
      <c r="R665" s="15" t="n"/>
      <c r="S665" s="14" t="n"/>
      <c r="T665" s="16" t="n"/>
      <c r="U665" s="16" t="n"/>
      <c r="V665" s="16" t="n"/>
      <c r="W665" s="16" t="n"/>
      <c r="X665" s="16" t="n"/>
      <c r="Y665" s="16" t="n"/>
      <c r="Z665" s="14" t="n"/>
      <c r="AA665" s="14" t="n"/>
      <c r="AB665" s="14" t="n"/>
      <c r="AC665" s="17">
        <f>IFERROR(VLOOKUP($H665&amp;"|"&amp;$Q665,Tariff_Master!$A$2:$L$169,3,FALSE),"")</f>
        <v/>
      </c>
      <c r="AD665" s="17">
        <f>IFERROR(VLOOKUP($H665&amp;"|"&amp;$Q665,Tariff_Master!$A$2:$L$169,4,FALSE),"")</f>
        <v/>
      </c>
      <c r="AE665" s="18">
        <f>IFERROR(VLOOKUP($H665&amp;"|"&amp;$Q665,Tariff_Master!$A$2:$L$169,6,FALSE),"")</f>
        <v/>
      </c>
      <c r="AF665" s="19">
        <f>IFERROR(VLOOKUP($H665&amp;"|"&amp;$Q665,Tariff_Master!$A$2:$L$169,7,FALSE),"")</f>
        <v/>
      </c>
      <c r="AG665" s="18">
        <f>IFERROR(VLOOKUP($H665&amp;"|"&amp;$Q665,Tariff_Master!$A$2:$L$169,8,FALSE),"")</f>
        <v/>
      </c>
      <c r="AH665" s="20">
        <f>IFERROR(VLOOKUP($H665&amp;"|"&amp;$Q665,Tariff_Master!$A$2:$L$169,9,FALSE),"")</f>
        <v/>
      </c>
      <c r="AI665" s="18">
        <f>IFERROR(VLOOKUP($H665&amp;"|"&amp;$Q665,Tariff_Master!$A$2:$L$169,10,FALSE),"")</f>
        <v/>
      </c>
      <c r="AJ665" s="21">
        <f>IF($M665="","",ROUNDUP(MAX(0,$M665),0))</f>
        <v/>
      </c>
      <c r="AK665" s="21">
        <f>IF(OR($AJ665="",$AF665=""),"",MAX(0,$AJ665-$AF665))</f>
        <v/>
      </c>
      <c r="AL665" s="22">
        <f>IF(OR($AK665="",$AG665=""),"",MAX(0,$AK665*$AG665))</f>
        <v/>
      </c>
      <c r="AM665" s="22">
        <f>IF($AE665="","",MAX(0,SUM($AE665,$AL665,$V665,$W665)))</f>
        <v/>
      </c>
      <c r="AN665" s="22">
        <f>IF($AM665="","",IF(AND($Q665="COMMITMENT",$R665&gt;=$AH665),$AI665,0))</f>
        <v/>
      </c>
      <c r="AO665" s="23">
        <f>IF($AM665="","",MAX(0,$AM665-$AN665))</f>
        <v/>
      </c>
      <c r="AP665" s="22">
        <f>IF($S665="","",IF(OR($S665="ITEM_PRICE_PLUS_DECLARED_DELIVERY",$S665="DELIVERY_CHARGE_ONLY"),$K665,IF($S665="TOTAL_AMOUNT_INCLUDING_DELIVERY",IF(OR($T665="",$J665=""),"",MAX(0,$T665-$J665-$U665)),IF($S665="ITEM_PRICE_ONLY_DELIVERY_PAID_BY_MERCHANT",0,""))))</f>
        <v/>
      </c>
      <c r="AQ665" s="23">
        <f>IF(OR($AP665="",$AO665=""),"",$AP665-$AO665)</f>
        <v/>
      </c>
      <c r="AR665" s="24">
        <f>IF($S665="EXACT_COLLECTION_AMOUNT","BREAKDOWN_REQUIRED",IF($AQ665="","",IF($AQ665&gt;0,"CREDIT_TO_MERCHANT",IF($AQ665&lt;0,"DEDUCT_FROM_MERCHANT","NO_ADJUSTMENT"))))</f>
        <v/>
      </c>
      <c r="AS665" s="23">
        <f>IF(OR($AQ665="",$AR665="BREAKDOWN_REQUIRED"),"",$AQ665)</f>
        <v/>
      </c>
      <c r="AT665" s="23">
        <f>IF(OR($AR665="",$AR665="BREAKDOWN_REQUIRED"),"",SUM($J665,$AQ665,$Y665)-$X665)</f>
        <v/>
      </c>
      <c r="AU665" s="25">
        <f>IF(AND($A665="",$B665="",$F665="",$H665="",$J665="",$K665="",$M665="",$S665=""),"",IF(OR($H665="",$Q665="",$M665="",$S665=""),"ERROR",IF(OR($J665&lt;0,$K665&lt;0,$M665&lt;0,$T665&lt;0,$U665&lt;0,$V665&lt;0,$W665&lt;0,$X665&lt;0,$Y665&lt;0),"ERROR",IF($AE665="","ERROR",IF(AND(OR($S665="ITEM_PRICE_PLUS_DECLARED_DELIVERY",$S665="TOTAL_AMOUNT_INCLUDING_DELIVERY",$S665="ITEM_PRICE_ONLY_DELIVERY_PAID_BY_MERCHANT"),$J665=""),"ERROR",IF(AND(OR($S665="ITEM_PRICE_PLUS_DECLARED_DELIVERY",$S665="DELIVERY_CHARGE_ONLY"),$K665=""),"ERROR",IF(AND(OR($S665="TOTAL_AMOUNT_INCLUDING_DELIVERY",$S665="EXACT_COLLECTION_AMOUNT"),$T665=""),"ERROR",IF(AND($S665="TOTAL_AMOUNT_INCLUDING_DELIVERY",$T665&lt;SUM($J665,$U665)),"ERROR",IF($S665="EXACT_COLLECTION_AMOUNT","REVIEW","OK")))))))))</f>
        <v/>
      </c>
      <c r="AV665" s="25">
        <f>IF($AU665="","",IF($H665="","Township required",IF($Q665="","Customer tier required",IF($M665="","Weight required",IF($S665="","Amount entry type required",IF(OR($J665&lt;0,$K665&lt;0,$M665&lt;0,$T665&lt;0,$U665&lt;0,$V665&lt;0,$W665&lt;0,$X665&lt;0,$Y665&lt;0),"Negative amounts are not allowed",IF($AE665="","Tariff not found for township and tier",IF(AND(OR($S665="ITEM_PRICE_PLUS_DECLARED_DELIVERY",$S665="TOTAL_AMOUNT_INCLUDING_DELIVERY",$S665="ITEM_PRICE_ONLY_DELIVERY_PAID_BY_MERCHANT"),$J665=""),"Item price required for this amount type",IF(AND(OR($S665="ITEM_PRICE_PLUS_DECLARED_DELIVERY",$S665="DELIVERY_CHARGE_ONLY"),$K665=""),"Declared delivery charge required",IF(AND(OR($S665="TOTAL_AMOUNT_INCLUDING_DELIVERY",$S665="EXACT_COLLECTION_AMOUNT"),$T665=""),"Stated total amount required",IF(AND($S665="TOTAL_AMOUNT_INCLUDING_DELIVERY",$T665&lt;SUM($J665,$U665)),"Stated total is below item price plus additional charge",IF($S665="EXACT_COLLECTION_AMOUNT","Authorized amount breakdown required before settlement","Ready for collection and settlement"))))))))))))</f>
        <v/>
      </c>
      <c r="AW665" s="23">
        <f>IF($AU665="","","PARCEL_FINANCIAL_V2")</f>
        <v/>
      </c>
      <c r="AX665" s="17" t="n"/>
    </row>
    <row r="666">
      <c r="A666" s="8" t="n"/>
      <c r="B666" s="8" t="n"/>
      <c r="C666" s="8" t="n"/>
      <c r="D666" s="8" t="n"/>
      <c r="E666" s="9" t="n"/>
      <c r="F666" s="9" t="n"/>
      <c r="G666" s="8" t="n"/>
      <c r="H666" s="9" t="n"/>
      <c r="I666" s="9" t="n"/>
      <c r="J666" s="10" t="n"/>
      <c r="K666" s="10" t="n"/>
      <c r="L666" s="11">
        <f>IF($S666="","",IF($S666="ITEM_PRICE_PLUS_DECLARED_DELIVERY",IF(OR($J666="",$K666=""),"",SUM($J666,$K666,$U666)),IF($S666="TOTAL_AMOUNT_INCLUDING_DELIVERY",IF($T666="","",$T666),IF($S666="DELIVERY_CHARGE_ONLY",IF($K666="","",SUM($K666,$U666)),IF($S666="EXACT_COLLECTION_AMOUNT",IF($T666="","",$T666),IF($S666="ITEM_PRICE_ONLY_DELIVERY_PAID_BY_MERCHANT",IF($J666="","",SUM($J666,$U666)),""))))))</f>
        <v/>
      </c>
      <c r="M666" s="12" t="n"/>
      <c r="N666" s="13" t="n"/>
      <c r="O666" s="13" t="n"/>
      <c r="P666" s="9" t="n"/>
      <c r="Q666" s="14" t="n"/>
      <c r="R666" s="15" t="n"/>
      <c r="S666" s="14" t="n"/>
      <c r="T666" s="16" t="n"/>
      <c r="U666" s="16" t="n"/>
      <c r="V666" s="16" t="n"/>
      <c r="W666" s="16" t="n"/>
      <c r="X666" s="16" t="n"/>
      <c r="Y666" s="16" t="n"/>
      <c r="Z666" s="14" t="n"/>
      <c r="AA666" s="14" t="n"/>
      <c r="AB666" s="14" t="n"/>
      <c r="AC666" s="17">
        <f>IFERROR(VLOOKUP($H666&amp;"|"&amp;$Q666,Tariff_Master!$A$2:$L$169,3,FALSE),"")</f>
        <v/>
      </c>
      <c r="AD666" s="17">
        <f>IFERROR(VLOOKUP($H666&amp;"|"&amp;$Q666,Tariff_Master!$A$2:$L$169,4,FALSE),"")</f>
        <v/>
      </c>
      <c r="AE666" s="18">
        <f>IFERROR(VLOOKUP($H666&amp;"|"&amp;$Q666,Tariff_Master!$A$2:$L$169,6,FALSE),"")</f>
        <v/>
      </c>
      <c r="AF666" s="19">
        <f>IFERROR(VLOOKUP($H666&amp;"|"&amp;$Q666,Tariff_Master!$A$2:$L$169,7,FALSE),"")</f>
        <v/>
      </c>
      <c r="AG666" s="18">
        <f>IFERROR(VLOOKUP($H666&amp;"|"&amp;$Q666,Tariff_Master!$A$2:$L$169,8,FALSE),"")</f>
        <v/>
      </c>
      <c r="AH666" s="20">
        <f>IFERROR(VLOOKUP($H666&amp;"|"&amp;$Q666,Tariff_Master!$A$2:$L$169,9,FALSE),"")</f>
        <v/>
      </c>
      <c r="AI666" s="18">
        <f>IFERROR(VLOOKUP($H666&amp;"|"&amp;$Q666,Tariff_Master!$A$2:$L$169,10,FALSE),"")</f>
        <v/>
      </c>
      <c r="AJ666" s="21">
        <f>IF($M666="","",ROUNDUP(MAX(0,$M666),0))</f>
        <v/>
      </c>
      <c r="AK666" s="21">
        <f>IF(OR($AJ666="",$AF666=""),"",MAX(0,$AJ666-$AF666))</f>
        <v/>
      </c>
      <c r="AL666" s="22">
        <f>IF(OR($AK666="",$AG666=""),"",MAX(0,$AK666*$AG666))</f>
        <v/>
      </c>
      <c r="AM666" s="22">
        <f>IF($AE666="","",MAX(0,SUM($AE666,$AL666,$V666,$W666)))</f>
        <v/>
      </c>
      <c r="AN666" s="22">
        <f>IF($AM666="","",IF(AND($Q666="COMMITMENT",$R666&gt;=$AH666),$AI666,0))</f>
        <v/>
      </c>
      <c r="AO666" s="23">
        <f>IF($AM666="","",MAX(0,$AM666-$AN666))</f>
        <v/>
      </c>
      <c r="AP666" s="22">
        <f>IF($S666="","",IF(OR($S666="ITEM_PRICE_PLUS_DECLARED_DELIVERY",$S666="DELIVERY_CHARGE_ONLY"),$K666,IF($S666="TOTAL_AMOUNT_INCLUDING_DELIVERY",IF(OR($T666="",$J666=""),"",MAX(0,$T666-$J666-$U666)),IF($S666="ITEM_PRICE_ONLY_DELIVERY_PAID_BY_MERCHANT",0,""))))</f>
        <v/>
      </c>
      <c r="AQ666" s="23">
        <f>IF(OR($AP666="",$AO666=""),"",$AP666-$AO666)</f>
        <v/>
      </c>
      <c r="AR666" s="24">
        <f>IF($S666="EXACT_COLLECTION_AMOUNT","BREAKDOWN_REQUIRED",IF($AQ666="","",IF($AQ666&gt;0,"CREDIT_TO_MERCHANT",IF($AQ666&lt;0,"DEDUCT_FROM_MERCHANT","NO_ADJUSTMENT"))))</f>
        <v/>
      </c>
      <c r="AS666" s="23">
        <f>IF(OR($AQ666="",$AR666="BREAKDOWN_REQUIRED"),"",$AQ666)</f>
        <v/>
      </c>
      <c r="AT666" s="23">
        <f>IF(OR($AR666="",$AR666="BREAKDOWN_REQUIRED"),"",SUM($J666,$AQ666,$Y666)-$X666)</f>
        <v/>
      </c>
      <c r="AU666" s="25">
        <f>IF(AND($A666="",$B666="",$F666="",$H666="",$J666="",$K666="",$M666="",$S666=""),"",IF(OR($H666="",$Q666="",$M666="",$S666=""),"ERROR",IF(OR($J666&lt;0,$K666&lt;0,$M666&lt;0,$T666&lt;0,$U666&lt;0,$V666&lt;0,$W666&lt;0,$X666&lt;0,$Y666&lt;0),"ERROR",IF($AE666="","ERROR",IF(AND(OR($S666="ITEM_PRICE_PLUS_DECLARED_DELIVERY",$S666="TOTAL_AMOUNT_INCLUDING_DELIVERY",$S666="ITEM_PRICE_ONLY_DELIVERY_PAID_BY_MERCHANT"),$J666=""),"ERROR",IF(AND(OR($S666="ITEM_PRICE_PLUS_DECLARED_DELIVERY",$S666="DELIVERY_CHARGE_ONLY"),$K666=""),"ERROR",IF(AND(OR($S666="TOTAL_AMOUNT_INCLUDING_DELIVERY",$S666="EXACT_COLLECTION_AMOUNT"),$T666=""),"ERROR",IF(AND($S666="TOTAL_AMOUNT_INCLUDING_DELIVERY",$T666&lt;SUM($J666,$U666)),"ERROR",IF($S666="EXACT_COLLECTION_AMOUNT","REVIEW","OK")))))))))</f>
        <v/>
      </c>
      <c r="AV666" s="25">
        <f>IF($AU666="","",IF($H666="","Township required",IF($Q666="","Customer tier required",IF($M666="","Weight required",IF($S666="","Amount entry type required",IF(OR($J666&lt;0,$K666&lt;0,$M666&lt;0,$T666&lt;0,$U666&lt;0,$V666&lt;0,$W666&lt;0,$X666&lt;0,$Y666&lt;0),"Negative amounts are not allowed",IF($AE666="","Tariff not found for township and tier",IF(AND(OR($S666="ITEM_PRICE_PLUS_DECLARED_DELIVERY",$S666="TOTAL_AMOUNT_INCLUDING_DELIVERY",$S666="ITEM_PRICE_ONLY_DELIVERY_PAID_BY_MERCHANT"),$J666=""),"Item price required for this amount type",IF(AND(OR($S666="ITEM_PRICE_PLUS_DECLARED_DELIVERY",$S666="DELIVERY_CHARGE_ONLY"),$K666=""),"Declared delivery charge required",IF(AND(OR($S666="TOTAL_AMOUNT_INCLUDING_DELIVERY",$S666="EXACT_COLLECTION_AMOUNT"),$T666=""),"Stated total amount required",IF(AND($S666="TOTAL_AMOUNT_INCLUDING_DELIVERY",$T666&lt;SUM($J666,$U666)),"Stated total is below item price plus additional charge",IF($S666="EXACT_COLLECTION_AMOUNT","Authorized amount breakdown required before settlement","Ready for collection and settlement"))))))))))))</f>
        <v/>
      </c>
      <c r="AW666" s="23">
        <f>IF($AU666="","","PARCEL_FINANCIAL_V2")</f>
        <v/>
      </c>
      <c r="AX666" s="17" t="n"/>
    </row>
    <row r="667">
      <c r="A667" s="8" t="n"/>
      <c r="B667" s="8" t="n"/>
      <c r="C667" s="8" t="n"/>
      <c r="D667" s="8" t="n"/>
      <c r="E667" s="9" t="n"/>
      <c r="F667" s="9" t="n"/>
      <c r="G667" s="8" t="n"/>
      <c r="H667" s="9" t="n"/>
      <c r="I667" s="9" t="n"/>
      <c r="J667" s="10" t="n"/>
      <c r="K667" s="10" t="n"/>
      <c r="L667" s="11">
        <f>IF($S667="","",IF($S667="ITEM_PRICE_PLUS_DECLARED_DELIVERY",IF(OR($J667="",$K667=""),"",SUM($J667,$K667,$U667)),IF($S667="TOTAL_AMOUNT_INCLUDING_DELIVERY",IF($T667="","",$T667),IF($S667="DELIVERY_CHARGE_ONLY",IF($K667="","",SUM($K667,$U667)),IF($S667="EXACT_COLLECTION_AMOUNT",IF($T667="","",$T667),IF($S667="ITEM_PRICE_ONLY_DELIVERY_PAID_BY_MERCHANT",IF($J667="","",SUM($J667,$U667)),""))))))</f>
        <v/>
      </c>
      <c r="M667" s="12" t="n"/>
      <c r="N667" s="13" t="n"/>
      <c r="O667" s="13" t="n"/>
      <c r="P667" s="9" t="n"/>
      <c r="Q667" s="14" t="n"/>
      <c r="R667" s="15" t="n"/>
      <c r="S667" s="14" t="n"/>
      <c r="T667" s="16" t="n"/>
      <c r="U667" s="16" t="n"/>
      <c r="V667" s="16" t="n"/>
      <c r="W667" s="16" t="n"/>
      <c r="X667" s="16" t="n"/>
      <c r="Y667" s="16" t="n"/>
      <c r="Z667" s="14" t="n"/>
      <c r="AA667" s="14" t="n"/>
      <c r="AB667" s="14" t="n"/>
      <c r="AC667" s="17">
        <f>IFERROR(VLOOKUP($H667&amp;"|"&amp;$Q667,Tariff_Master!$A$2:$L$169,3,FALSE),"")</f>
        <v/>
      </c>
      <c r="AD667" s="17">
        <f>IFERROR(VLOOKUP($H667&amp;"|"&amp;$Q667,Tariff_Master!$A$2:$L$169,4,FALSE),"")</f>
        <v/>
      </c>
      <c r="AE667" s="18">
        <f>IFERROR(VLOOKUP($H667&amp;"|"&amp;$Q667,Tariff_Master!$A$2:$L$169,6,FALSE),"")</f>
        <v/>
      </c>
      <c r="AF667" s="19">
        <f>IFERROR(VLOOKUP($H667&amp;"|"&amp;$Q667,Tariff_Master!$A$2:$L$169,7,FALSE),"")</f>
        <v/>
      </c>
      <c r="AG667" s="18">
        <f>IFERROR(VLOOKUP($H667&amp;"|"&amp;$Q667,Tariff_Master!$A$2:$L$169,8,FALSE),"")</f>
        <v/>
      </c>
      <c r="AH667" s="20">
        <f>IFERROR(VLOOKUP($H667&amp;"|"&amp;$Q667,Tariff_Master!$A$2:$L$169,9,FALSE),"")</f>
        <v/>
      </c>
      <c r="AI667" s="18">
        <f>IFERROR(VLOOKUP($H667&amp;"|"&amp;$Q667,Tariff_Master!$A$2:$L$169,10,FALSE),"")</f>
        <v/>
      </c>
      <c r="AJ667" s="21">
        <f>IF($M667="","",ROUNDUP(MAX(0,$M667),0))</f>
        <v/>
      </c>
      <c r="AK667" s="21">
        <f>IF(OR($AJ667="",$AF667=""),"",MAX(0,$AJ667-$AF667))</f>
        <v/>
      </c>
      <c r="AL667" s="22">
        <f>IF(OR($AK667="",$AG667=""),"",MAX(0,$AK667*$AG667))</f>
        <v/>
      </c>
      <c r="AM667" s="22">
        <f>IF($AE667="","",MAX(0,SUM($AE667,$AL667,$V667,$W667)))</f>
        <v/>
      </c>
      <c r="AN667" s="22">
        <f>IF($AM667="","",IF(AND($Q667="COMMITMENT",$R667&gt;=$AH667),$AI667,0))</f>
        <v/>
      </c>
      <c r="AO667" s="23">
        <f>IF($AM667="","",MAX(0,$AM667-$AN667))</f>
        <v/>
      </c>
      <c r="AP667" s="22">
        <f>IF($S667="","",IF(OR($S667="ITEM_PRICE_PLUS_DECLARED_DELIVERY",$S667="DELIVERY_CHARGE_ONLY"),$K667,IF($S667="TOTAL_AMOUNT_INCLUDING_DELIVERY",IF(OR($T667="",$J667=""),"",MAX(0,$T667-$J667-$U667)),IF($S667="ITEM_PRICE_ONLY_DELIVERY_PAID_BY_MERCHANT",0,""))))</f>
        <v/>
      </c>
      <c r="AQ667" s="23">
        <f>IF(OR($AP667="",$AO667=""),"",$AP667-$AO667)</f>
        <v/>
      </c>
      <c r="AR667" s="24">
        <f>IF($S667="EXACT_COLLECTION_AMOUNT","BREAKDOWN_REQUIRED",IF($AQ667="","",IF($AQ667&gt;0,"CREDIT_TO_MERCHANT",IF($AQ667&lt;0,"DEDUCT_FROM_MERCHANT","NO_ADJUSTMENT"))))</f>
        <v/>
      </c>
      <c r="AS667" s="23">
        <f>IF(OR($AQ667="",$AR667="BREAKDOWN_REQUIRED"),"",$AQ667)</f>
        <v/>
      </c>
      <c r="AT667" s="23">
        <f>IF(OR($AR667="",$AR667="BREAKDOWN_REQUIRED"),"",SUM($J667,$AQ667,$Y667)-$X667)</f>
        <v/>
      </c>
      <c r="AU667" s="25">
        <f>IF(AND($A667="",$B667="",$F667="",$H667="",$J667="",$K667="",$M667="",$S667=""),"",IF(OR($H667="",$Q667="",$M667="",$S667=""),"ERROR",IF(OR($J667&lt;0,$K667&lt;0,$M667&lt;0,$T667&lt;0,$U667&lt;0,$V667&lt;0,$W667&lt;0,$X667&lt;0,$Y667&lt;0),"ERROR",IF($AE667="","ERROR",IF(AND(OR($S667="ITEM_PRICE_PLUS_DECLARED_DELIVERY",$S667="TOTAL_AMOUNT_INCLUDING_DELIVERY",$S667="ITEM_PRICE_ONLY_DELIVERY_PAID_BY_MERCHANT"),$J667=""),"ERROR",IF(AND(OR($S667="ITEM_PRICE_PLUS_DECLARED_DELIVERY",$S667="DELIVERY_CHARGE_ONLY"),$K667=""),"ERROR",IF(AND(OR($S667="TOTAL_AMOUNT_INCLUDING_DELIVERY",$S667="EXACT_COLLECTION_AMOUNT"),$T667=""),"ERROR",IF(AND($S667="TOTAL_AMOUNT_INCLUDING_DELIVERY",$T667&lt;SUM($J667,$U667)),"ERROR",IF($S667="EXACT_COLLECTION_AMOUNT","REVIEW","OK")))))))))</f>
        <v/>
      </c>
      <c r="AV667" s="25">
        <f>IF($AU667="","",IF($H667="","Township required",IF($Q667="","Customer tier required",IF($M667="","Weight required",IF($S667="","Amount entry type required",IF(OR($J667&lt;0,$K667&lt;0,$M667&lt;0,$T667&lt;0,$U667&lt;0,$V667&lt;0,$W667&lt;0,$X667&lt;0,$Y667&lt;0),"Negative amounts are not allowed",IF($AE667="","Tariff not found for township and tier",IF(AND(OR($S667="ITEM_PRICE_PLUS_DECLARED_DELIVERY",$S667="TOTAL_AMOUNT_INCLUDING_DELIVERY",$S667="ITEM_PRICE_ONLY_DELIVERY_PAID_BY_MERCHANT"),$J667=""),"Item price required for this amount type",IF(AND(OR($S667="ITEM_PRICE_PLUS_DECLARED_DELIVERY",$S667="DELIVERY_CHARGE_ONLY"),$K667=""),"Declared delivery charge required",IF(AND(OR($S667="TOTAL_AMOUNT_INCLUDING_DELIVERY",$S667="EXACT_COLLECTION_AMOUNT"),$T667=""),"Stated total amount required",IF(AND($S667="TOTAL_AMOUNT_INCLUDING_DELIVERY",$T667&lt;SUM($J667,$U667)),"Stated total is below item price plus additional charge",IF($S667="EXACT_COLLECTION_AMOUNT","Authorized amount breakdown required before settlement","Ready for collection and settlement"))))))))))))</f>
        <v/>
      </c>
      <c r="AW667" s="23">
        <f>IF($AU667="","","PARCEL_FINANCIAL_V2")</f>
        <v/>
      </c>
      <c r="AX667" s="17" t="n"/>
    </row>
    <row r="668">
      <c r="A668" s="8" t="n"/>
      <c r="B668" s="8" t="n"/>
      <c r="C668" s="8" t="n"/>
      <c r="D668" s="8" t="n"/>
      <c r="E668" s="9" t="n"/>
      <c r="F668" s="9" t="n"/>
      <c r="G668" s="8" t="n"/>
      <c r="H668" s="9" t="n"/>
      <c r="I668" s="9" t="n"/>
      <c r="J668" s="10" t="n"/>
      <c r="K668" s="10" t="n"/>
      <c r="L668" s="11">
        <f>IF($S668="","",IF($S668="ITEM_PRICE_PLUS_DECLARED_DELIVERY",IF(OR($J668="",$K668=""),"",SUM($J668,$K668,$U668)),IF($S668="TOTAL_AMOUNT_INCLUDING_DELIVERY",IF($T668="","",$T668),IF($S668="DELIVERY_CHARGE_ONLY",IF($K668="","",SUM($K668,$U668)),IF($S668="EXACT_COLLECTION_AMOUNT",IF($T668="","",$T668),IF($S668="ITEM_PRICE_ONLY_DELIVERY_PAID_BY_MERCHANT",IF($J668="","",SUM($J668,$U668)),""))))))</f>
        <v/>
      </c>
      <c r="M668" s="12" t="n"/>
      <c r="N668" s="13" t="n"/>
      <c r="O668" s="13" t="n"/>
      <c r="P668" s="9" t="n"/>
      <c r="Q668" s="14" t="n"/>
      <c r="R668" s="15" t="n"/>
      <c r="S668" s="14" t="n"/>
      <c r="T668" s="16" t="n"/>
      <c r="U668" s="16" t="n"/>
      <c r="V668" s="16" t="n"/>
      <c r="W668" s="16" t="n"/>
      <c r="X668" s="16" t="n"/>
      <c r="Y668" s="16" t="n"/>
      <c r="Z668" s="14" t="n"/>
      <c r="AA668" s="14" t="n"/>
      <c r="AB668" s="14" t="n"/>
      <c r="AC668" s="17">
        <f>IFERROR(VLOOKUP($H668&amp;"|"&amp;$Q668,Tariff_Master!$A$2:$L$169,3,FALSE),"")</f>
        <v/>
      </c>
      <c r="AD668" s="17">
        <f>IFERROR(VLOOKUP($H668&amp;"|"&amp;$Q668,Tariff_Master!$A$2:$L$169,4,FALSE),"")</f>
        <v/>
      </c>
      <c r="AE668" s="18">
        <f>IFERROR(VLOOKUP($H668&amp;"|"&amp;$Q668,Tariff_Master!$A$2:$L$169,6,FALSE),"")</f>
        <v/>
      </c>
      <c r="AF668" s="19">
        <f>IFERROR(VLOOKUP($H668&amp;"|"&amp;$Q668,Tariff_Master!$A$2:$L$169,7,FALSE),"")</f>
        <v/>
      </c>
      <c r="AG668" s="18">
        <f>IFERROR(VLOOKUP($H668&amp;"|"&amp;$Q668,Tariff_Master!$A$2:$L$169,8,FALSE),"")</f>
        <v/>
      </c>
      <c r="AH668" s="20">
        <f>IFERROR(VLOOKUP($H668&amp;"|"&amp;$Q668,Tariff_Master!$A$2:$L$169,9,FALSE),"")</f>
        <v/>
      </c>
      <c r="AI668" s="18">
        <f>IFERROR(VLOOKUP($H668&amp;"|"&amp;$Q668,Tariff_Master!$A$2:$L$169,10,FALSE),"")</f>
        <v/>
      </c>
      <c r="AJ668" s="21">
        <f>IF($M668="","",ROUNDUP(MAX(0,$M668),0))</f>
        <v/>
      </c>
      <c r="AK668" s="21">
        <f>IF(OR($AJ668="",$AF668=""),"",MAX(0,$AJ668-$AF668))</f>
        <v/>
      </c>
      <c r="AL668" s="22">
        <f>IF(OR($AK668="",$AG668=""),"",MAX(0,$AK668*$AG668))</f>
        <v/>
      </c>
      <c r="AM668" s="22">
        <f>IF($AE668="","",MAX(0,SUM($AE668,$AL668,$V668,$W668)))</f>
        <v/>
      </c>
      <c r="AN668" s="22">
        <f>IF($AM668="","",IF(AND($Q668="COMMITMENT",$R668&gt;=$AH668),$AI668,0))</f>
        <v/>
      </c>
      <c r="AO668" s="23">
        <f>IF($AM668="","",MAX(0,$AM668-$AN668))</f>
        <v/>
      </c>
      <c r="AP668" s="22">
        <f>IF($S668="","",IF(OR($S668="ITEM_PRICE_PLUS_DECLARED_DELIVERY",$S668="DELIVERY_CHARGE_ONLY"),$K668,IF($S668="TOTAL_AMOUNT_INCLUDING_DELIVERY",IF(OR($T668="",$J668=""),"",MAX(0,$T668-$J668-$U668)),IF($S668="ITEM_PRICE_ONLY_DELIVERY_PAID_BY_MERCHANT",0,""))))</f>
        <v/>
      </c>
      <c r="AQ668" s="23">
        <f>IF(OR($AP668="",$AO668=""),"",$AP668-$AO668)</f>
        <v/>
      </c>
      <c r="AR668" s="24">
        <f>IF($S668="EXACT_COLLECTION_AMOUNT","BREAKDOWN_REQUIRED",IF($AQ668="","",IF($AQ668&gt;0,"CREDIT_TO_MERCHANT",IF($AQ668&lt;0,"DEDUCT_FROM_MERCHANT","NO_ADJUSTMENT"))))</f>
        <v/>
      </c>
      <c r="AS668" s="23">
        <f>IF(OR($AQ668="",$AR668="BREAKDOWN_REQUIRED"),"",$AQ668)</f>
        <v/>
      </c>
      <c r="AT668" s="23">
        <f>IF(OR($AR668="",$AR668="BREAKDOWN_REQUIRED"),"",SUM($J668,$AQ668,$Y668)-$X668)</f>
        <v/>
      </c>
      <c r="AU668" s="25">
        <f>IF(AND($A668="",$B668="",$F668="",$H668="",$J668="",$K668="",$M668="",$S668=""),"",IF(OR($H668="",$Q668="",$M668="",$S668=""),"ERROR",IF(OR($J668&lt;0,$K668&lt;0,$M668&lt;0,$T668&lt;0,$U668&lt;0,$V668&lt;0,$W668&lt;0,$X668&lt;0,$Y668&lt;0),"ERROR",IF($AE668="","ERROR",IF(AND(OR($S668="ITEM_PRICE_PLUS_DECLARED_DELIVERY",$S668="TOTAL_AMOUNT_INCLUDING_DELIVERY",$S668="ITEM_PRICE_ONLY_DELIVERY_PAID_BY_MERCHANT"),$J668=""),"ERROR",IF(AND(OR($S668="ITEM_PRICE_PLUS_DECLARED_DELIVERY",$S668="DELIVERY_CHARGE_ONLY"),$K668=""),"ERROR",IF(AND(OR($S668="TOTAL_AMOUNT_INCLUDING_DELIVERY",$S668="EXACT_COLLECTION_AMOUNT"),$T668=""),"ERROR",IF(AND($S668="TOTAL_AMOUNT_INCLUDING_DELIVERY",$T668&lt;SUM($J668,$U668)),"ERROR",IF($S668="EXACT_COLLECTION_AMOUNT","REVIEW","OK")))))))))</f>
        <v/>
      </c>
      <c r="AV668" s="25">
        <f>IF($AU668="","",IF($H668="","Township required",IF($Q668="","Customer tier required",IF($M668="","Weight required",IF($S668="","Amount entry type required",IF(OR($J668&lt;0,$K668&lt;0,$M668&lt;0,$T668&lt;0,$U668&lt;0,$V668&lt;0,$W668&lt;0,$X668&lt;0,$Y668&lt;0),"Negative amounts are not allowed",IF($AE668="","Tariff not found for township and tier",IF(AND(OR($S668="ITEM_PRICE_PLUS_DECLARED_DELIVERY",$S668="TOTAL_AMOUNT_INCLUDING_DELIVERY",$S668="ITEM_PRICE_ONLY_DELIVERY_PAID_BY_MERCHANT"),$J668=""),"Item price required for this amount type",IF(AND(OR($S668="ITEM_PRICE_PLUS_DECLARED_DELIVERY",$S668="DELIVERY_CHARGE_ONLY"),$K668=""),"Declared delivery charge required",IF(AND(OR($S668="TOTAL_AMOUNT_INCLUDING_DELIVERY",$S668="EXACT_COLLECTION_AMOUNT"),$T668=""),"Stated total amount required",IF(AND($S668="TOTAL_AMOUNT_INCLUDING_DELIVERY",$T668&lt;SUM($J668,$U668)),"Stated total is below item price plus additional charge",IF($S668="EXACT_COLLECTION_AMOUNT","Authorized amount breakdown required before settlement","Ready for collection and settlement"))))))))))))</f>
        <v/>
      </c>
      <c r="AW668" s="23">
        <f>IF($AU668="","","PARCEL_FINANCIAL_V2")</f>
        <v/>
      </c>
      <c r="AX668" s="17" t="n"/>
    </row>
    <row r="669">
      <c r="A669" s="8" t="n"/>
      <c r="B669" s="8" t="n"/>
      <c r="C669" s="8" t="n"/>
      <c r="D669" s="8" t="n"/>
      <c r="E669" s="9" t="n"/>
      <c r="F669" s="9" t="n"/>
      <c r="G669" s="8" t="n"/>
      <c r="H669" s="9" t="n"/>
      <c r="I669" s="9" t="n"/>
      <c r="J669" s="10" t="n"/>
      <c r="K669" s="10" t="n"/>
      <c r="L669" s="11">
        <f>IF($S669="","",IF($S669="ITEM_PRICE_PLUS_DECLARED_DELIVERY",IF(OR($J669="",$K669=""),"",SUM($J669,$K669,$U669)),IF($S669="TOTAL_AMOUNT_INCLUDING_DELIVERY",IF($T669="","",$T669),IF($S669="DELIVERY_CHARGE_ONLY",IF($K669="","",SUM($K669,$U669)),IF($S669="EXACT_COLLECTION_AMOUNT",IF($T669="","",$T669),IF($S669="ITEM_PRICE_ONLY_DELIVERY_PAID_BY_MERCHANT",IF($J669="","",SUM($J669,$U669)),""))))))</f>
        <v/>
      </c>
      <c r="M669" s="12" t="n"/>
      <c r="N669" s="13" t="n"/>
      <c r="O669" s="13" t="n"/>
      <c r="P669" s="9" t="n"/>
      <c r="Q669" s="14" t="n"/>
      <c r="R669" s="15" t="n"/>
      <c r="S669" s="14" t="n"/>
      <c r="T669" s="16" t="n"/>
      <c r="U669" s="16" t="n"/>
      <c r="V669" s="16" t="n"/>
      <c r="W669" s="16" t="n"/>
      <c r="X669" s="16" t="n"/>
      <c r="Y669" s="16" t="n"/>
      <c r="Z669" s="14" t="n"/>
      <c r="AA669" s="14" t="n"/>
      <c r="AB669" s="14" t="n"/>
      <c r="AC669" s="17">
        <f>IFERROR(VLOOKUP($H669&amp;"|"&amp;$Q669,Tariff_Master!$A$2:$L$169,3,FALSE),"")</f>
        <v/>
      </c>
      <c r="AD669" s="17">
        <f>IFERROR(VLOOKUP($H669&amp;"|"&amp;$Q669,Tariff_Master!$A$2:$L$169,4,FALSE),"")</f>
        <v/>
      </c>
      <c r="AE669" s="18">
        <f>IFERROR(VLOOKUP($H669&amp;"|"&amp;$Q669,Tariff_Master!$A$2:$L$169,6,FALSE),"")</f>
        <v/>
      </c>
      <c r="AF669" s="19">
        <f>IFERROR(VLOOKUP($H669&amp;"|"&amp;$Q669,Tariff_Master!$A$2:$L$169,7,FALSE),"")</f>
        <v/>
      </c>
      <c r="AG669" s="18">
        <f>IFERROR(VLOOKUP($H669&amp;"|"&amp;$Q669,Tariff_Master!$A$2:$L$169,8,FALSE),"")</f>
        <v/>
      </c>
      <c r="AH669" s="20">
        <f>IFERROR(VLOOKUP($H669&amp;"|"&amp;$Q669,Tariff_Master!$A$2:$L$169,9,FALSE),"")</f>
        <v/>
      </c>
      <c r="AI669" s="18">
        <f>IFERROR(VLOOKUP($H669&amp;"|"&amp;$Q669,Tariff_Master!$A$2:$L$169,10,FALSE),"")</f>
        <v/>
      </c>
      <c r="AJ669" s="21">
        <f>IF($M669="","",ROUNDUP(MAX(0,$M669),0))</f>
        <v/>
      </c>
      <c r="AK669" s="21">
        <f>IF(OR($AJ669="",$AF669=""),"",MAX(0,$AJ669-$AF669))</f>
        <v/>
      </c>
      <c r="AL669" s="22">
        <f>IF(OR($AK669="",$AG669=""),"",MAX(0,$AK669*$AG669))</f>
        <v/>
      </c>
      <c r="AM669" s="22">
        <f>IF($AE669="","",MAX(0,SUM($AE669,$AL669,$V669,$W669)))</f>
        <v/>
      </c>
      <c r="AN669" s="22">
        <f>IF($AM669="","",IF(AND($Q669="COMMITMENT",$R669&gt;=$AH669),$AI669,0))</f>
        <v/>
      </c>
      <c r="AO669" s="23">
        <f>IF($AM669="","",MAX(0,$AM669-$AN669))</f>
        <v/>
      </c>
      <c r="AP669" s="22">
        <f>IF($S669="","",IF(OR($S669="ITEM_PRICE_PLUS_DECLARED_DELIVERY",$S669="DELIVERY_CHARGE_ONLY"),$K669,IF($S669="TOTAL_AMOUNT_INCLUDING_DELIVERY",IF(OR($T669="",$J669=""),"",MAX(0,$T669-$J669-$U669)),IF($S669="ITEM_PRICE_ONLY_DELIVERY_PAID_BY_MERCHANT",0,""))))</f>
        <v/>
      </c>
      <c r="AQ669" s="23">
        <f>IF(OR($AP669="",$AO669=""),"",$AP669-$AO669)</f>
        <v/>
      </c>
      <c r="AR669" s="24">
        <f>IF($S669="EXACT_COLLECTION_AMOUNT","BREAKDOWN_REQUIRED",IF($AQ669="","",IF($AQ669&gt;0,"CREDIT_TO_MERCHANT",IF($AQ669&lt;0,"DEDUCT_FROM_MERCHANT","NO_ADJUSTMENT"))))</f>
        <v/>
      </c>
      <c r="AS669" s="23">
        <f>IF(OR($AQ669="",$AR669="BREAKDOWN_REQUIRED"),"",$AQ669)</f>
        <v/>
      </c>
      <c r="AT669" s="23">
        <f>IF(OR($AR669="",$AR669="BREAKDOWN_REQUIRED"),"",SUM($J669,$AQ669,$Y669)-$X669)</f>
        <v/>
      </c>
      <c r="AU669" s="25">
        <f>IF(AND($A669="",$B669="",$F669="",$H669="",$J669="",$K669="",$M669="",$S669=""),"",IF(OR($H669="",$Q669="",$M669="",$S669=""),"ERROR",IF(OR($J669&lt;0,$K669&lt;0,$M669&lt;0,$T669&lt;0,$U669&lt;0,$V669&lt;0,$W669&lt;0,$X669&lt;0,$Y669&lt;0),"ERROR",IF($AE669="","ERROR",IF(AND(OR($S669="ITEM_PRICE_PLUS_DECLARED_DELIVERY",$S669="TOTAL_AMOUNT_INCLUDING_DELIVERY",$S669="ITEM_PRICE_ONLY_DELIVERY_PAID_BY_MERCHANT"),$J669=""),"ERROR",IF(AND(OR($S669="ITEM_PRICE_PLUS_DECLARED_DELIVERY",$S669="DELIVERY_CHARGE_ONLY"),$K669=""),"ERROR",IF(AND(OR($S669="TOTAL_AMOUNT_INCLUDING_DELIVERY",$S669="EXACT_COLLECTION_AMOUNT"),$T669=""),"ERROR",IF(AND($S669="TOTAL_AMOUNT_INCLUDING_DELIVERY",$T669&lt;SUM($J669,$U669)),"ERROR",IF($S669="EXACT_COLLECTION_AMOUNT","REVIEW","OK")))))))))</f>
        <v/>
      </c>
      <c r="AV669" s="25">
        <f>IF($AU669="","",IF($H669="","Township required",IF($Q669="","Customer tier required",IF($M669="","Weight required",IF($S669="","Amount entry type required",IF(OR($J669&lt;0,$K669&lt;0,$M669&lt;0,$T669&lt;0,$U669&lt;0,$V669&lt;0,$W669&lt;0,$X669&lt;0,$Y669&lt;0),"Negative amounts are not allowed",IF($AE669="","Tariff not found for township and tier",IF(AND(OR($S669="ITEM_PRICE_PLUS_DECLARED_DELIVERY",$S669="TOTAL_AMOUNT_INCLUDING_DELIVERY",$S669="ITEM_PRICE_ONLY_DELIVERY_PAID_BY_MERCHANT"),$J669=""),"Item price required for this amount type",IF(AND(OR($S669="ITEM_PRICE_PLUS_DECLARED_DELIVERY",$S669="DELIVERY_CHARGE_ONLY"),$K669=""),"Declared delivery charge required",IF(AND(OR($S669="TOTAL_AMOUNT_INCLUDING_DELIVERY",$S669="EXACT_COLLECTION_AMOUNT"),$T669=""),"Stated total amount required",IF(AND($S669="TOTAL_AMOUNT_INCLUDING_DELIVERY",$T669&lt;SUM($J669,$U669)),"Stated total is below item price plus additional charge",IF($S669="EXACT_COLLECTION_AMOUNT","Authorized amount breakdown required before settlement","Ready for collection and settlement"))))))))))))</f>
        <v/>
      </c>
      <c r="AW669" s="23">
        <f>IF($AU669="","","PARCEL_FINANCIAL_V2")</f>
        <v/>
      </c>
      <c r="AX669" s="17" t="n"/>
    </row>
    <row r="670">
      <c r="A670" s="8" t="n"/>
      <c r="B670" s="8" t="n"/>
      <c r="C670" s="8" t="n"/>
      <c r="D670" s="8" t="n"/>
      <c r="E670" s="9" t="n"/>
      <c r="F670" s="9" t="n"/>
      <c r="G670" s="8" t="n"/>
      <c r="H670" s="9" t="n"/>
      <c r="I670" s="9" t="n"/>
      <c r="J670" s="10" t="n"/>
      <c r="K670" s="10" t="n"/>
      <c r="L670" s="11">
        <f>IF($S670="","",IF($S670="ITEM_PRICE_PLUS_DECLARED_DELIVERY",IF(OR($J670="",$K670=""),"",SUM($J670,$K670,$U670)),IF($S670="TOTAL_AMOUNT_INCLUDING_DELIVERY",IF($T670="","",$T670),IF($S670="DELIVERY_CHARGE_ONLY",IF($K670="","",SUM($K670,$U670)),IF($S670="EXACT_COLLECTION_AMOUNT",IF($T670="","",$T670),IF($S670="ITEM_PRICE_ONLY_DELIVERY_PAID_BY_MERCHANT",IF($J670="","",SUM($J670,$U670)),""))))))</f>
        <v/>
      </c>
      <c r="M670" s="12" t="n"/>
      <c r="N670" s="13" t="n"/>
      <c r="O670" s="13" t="n"/>
      <c r="P670" s="9" t="n"/>
      <c r="Q670" s="14" t="n"/>
      <c r="R670" s="15" t="n"/>
      <c r="S670" s="14" t="n"/>
      <c r="T670" s="16" t="n"/>
      <c r="U670" s="16" t="n"/>
      <c r="V670" s="16" t="n"/>
      <c r="W670" s="16" t="n"/>
      <c r="X670" s="16" t="n"/>
      <c r="Y670" s="16" t="n"/>
      <c r="Z670" s="14" t="n"/>
      <c r="AA670" s="14" t="n"/>
      <c r="AB670" s="14" t="n"/>
      <c r="AC670" s="17">
        <f>IFERROR(VLOOKUP($H670&amp;"|"&amp;$Q670,Tariff_Master!$A$2:$L$169,3,FALSE),"")</f>
        <v/>
      </c>
      <c r="AD670" s="17">
        <f>IFERROR(VLOOKUP($H670&amp;"|"&amp;$Q670,Tariff_Master!$A$2:$L$169,4,FALSE),"")</f>
        <v/>
      </c>
      <c r="AE670" s="18">
        <f>IFERROR(VLOOKUP($H670&amp;"|"&amp;$Q670,Tariff_Master!$A$2:$L$169,6,FALSE),"")</f>
        <v/>
      </c>
      <c r="AF670" s="19">
        <f>IFERROR(VLOOKUP($H670&amp;"|"&amp;$Q670,Tariff_Master!$A$2:$L$169,7,FALSE),"")</f>
        <v/>
      </c>
      <c r="AG670" s="18">
        <f>IFERROR(VLOOKUP($H670&amp;"|"&amp;$Q670,Tariff_Master!$A$2:$L$169,8,FALSE),"")</f>
        <v/>
      </c>
      <c r="AH670" s="20">
        <f>IFERROR(VLOOKUP($H670&amp;"|"&amp;$Q670,Tariff_Master!$A$2:$L$169,9,FALSE),"")</f>
        <v/>
      </c>
      <c r="AI670" s="18">
        <f>IFERROR(VLOOKUP($H670&amp;"|"&amp;$Q670,Tariff_Master!$A$2:$L$169,10,FALSE),"")</f>
        <v/>
      </c>
      <c r="AJ670" s="21">
        <f>IF($M670="","",ROUNDUP(MAX(0,$M670),0))</f>
        <v/>
      </c>
      <c r="AK670" s="21">
        <f>IF(OR($AJ670="",$AF670=""),"",MAX(0,$AJ670-$AF670))</f>
        <v/>
      </c>
      <c r="AL670" s="22">
        <f>IF(OR($AK670="",$AG670=""),"",MAX(0,$AK670*$AG670))</f>
        <v/>
      </c>
      <c r="AM670" s="22">
        <f>IF($AE670="","",MAX(0,SUM($AE670,$AL670,$V670,$W670)))</f>
        <v/>
      </c>
      <c r="AN670" s="22">
        <f>IF($AM670="","",IF(AND($Q670="COMMITMENT",$R670&gt;=$AH670),$AI670,0))</f>
        <v/>
      </c>
      <c r="AO670" s="23">
        <f>IF($AM670="","",MAX(0,$AM670-$AN670))</f>
        <v/>
      </c>
      <c r="AP670" s="22">
        <f>IF($S670="","",IF(OR($S670="ITEM_PRICE_PLUS_DECLARED_DELIVERY",$S670="DELIVERY_CHARGE_ONLY"),$K670,IF($S670="TOTAL_AMOUNT_INCLUDING_DELIVERY",IF(OR($T670="",$J670=""),"",MAX(0,$T670-$J670-$U670)),IF($S670="ITEM_PRICE_ONLY_DELIVERY_PAID_BY_MERCHANT",0,""))))</f>
        <v/>
      </c>
      <c r="AQ670" s="23">
        <f>IF(OR($AP670="",$AO670=""),"",$AP670-$AO670)</f>
        <v/>
      </c>
      <c r="AR670" s="24">
        <f>IF($S670="EXACT_COLLECTION_AMOUNT","BREAKDOWN_REQUIRED",IF($AQ670="","",IF($AQ670&gt;0,"CREDIT_TO_MERCHANT",IF($AQ670&lt;0,"DEDUCT_FROM_MERCHANT","NO_ADJUSTMENT"))))</f>
        <v/>
      </c>
      <c r="AS670" s="23">
        <f>IF(OR($AQ670="",$AR670="BREAKDOWN_REQUIRED"),"",$AQ670)</f>
        <v/>
      </c>
      <c r="AT670" s="23">
        <f>IF(OR($AR670="",$AR670="BREAKDOWN_REQUIRED"),"",SUM($J670,$AQ670,$Y670)-$X670)</f>
        <v/>
      </c>
      <c r="AU670" s="25">
        <f>IF(AND($A670="",$B670="",$F670="",$H670="",$J670="",$K670="",$M670="",$S670=""),"",IF(OR($H670="",$Q670="",$M670="",$S670=""),"ERROR",IF(OR($J670&lt;0,$K670&lt;0,$M670&lt;0,$T670&lt;0,$U670&lt;0,$V670&lt;0,$W670&lt;0,$X670&lt;0,$Y670&lt;0),"ERROR",IF($AE670="","ERROR",IF(AND(OR($S670="ITEM_PRICE_PLUS_DECLARED_DELIVERY",$S670="TOTAL_AMOUNT_INCLUDING_DELIVERY",$S670="ITEM_PRICE_ONLY_DELIVERY_PAID_BY_MERCHANT"),$J670=""),"ERROR",IF(AND(OR($S670="ITEM_PRICE_PLUS_DECLARED_DELIVERY",$S670="DELIVERY_CHARGE_ONLY"),$K670=""),"ERROR",IF(AND(OR($S670="TOTAL_AMOUNT_INCLUDING_DELIVERY",$S670="EXACT_COLLECTION_AMOUNT"),$T670=""),"ERROR",IF(AND($S670="TOTAL_AMOUNT_INCLUDING_DELIVERY",$T670&lt;SUM($J670,$U670)),"ERROR",IF($S670="EXACT_COLLECTION_AMOUNT","REVIEW","OK")))))))))</f>
        <v/>
      </c>
      <c r="AV670" s="25">
        <f>IF($AU670="","",IF($H670="","Township required",IF($Q670="","Customer tier required",IF($M670="","Weight required",IF($S670="","Amount entry type required",IF(OR($J670&lt;0,$K670&lt;0,$M670&lt;0,$T670&lt;0,$U670&lt;0,$V670&lt;0,$W670&lt;0,$X670&lt;0,$Y670&lt;0),"Negative amounts are not allowed",IF($AE670="","Tariff not found for township and tier",IF(AND(OR($S670="ITEM_PRICE_PLUS_DECLARED_DELIVERY",$S670="TOTAL_AMOUNT_INCLUDING_DELIVERY",$S670="ITEM_PRICE_ONLY_DELIVERY_PAID_BY_MERCHANT"),$J670=""),"Item price required for this amount type",IF(AND(OR($S670="ITEM_PRICE_PLUS_DECLARED_DELIVERY",$S670="DELIVERY_CHARGE_ONLY"),$K670=""),"Declared delivery charge required",IF(AND(OR($S670="TOTAL_AMOUNT_INCLUDING_DELIVERY",$S670="EXACT_COLLECTION_AMOUNT"),$T670=""),"Stated total amount required",IF(AND($S670="TOTAL_AMOUNT_INCLUDING_DELIVERY",$T670&lt;SUM($J670,$U670)),"Stated total is below item price plus additional charge",IF($S670="EXACT_COLLECTION_AMOUNT","Authorized amount breakdown required before settlement","Ready for collection and settlement"))))))))))))</f>
        <v/>
      </c>
      <c r="AW670" s="23">
        <f>IF($AU670="","","PARCEL_FINANCIAL_V2")</f>
        <v/>
      </c>
      <c r="AX670" s="17" t="n"/>
    </row>
    <row r="671">
      <c r="A671" s="8" t="n"/>
      <c r="B671" s="8" t="n"/>
      <c r="C671" s="8" t="n"/>
      <c r="D671" s="8" t="n"/>
      <c r="E671" s="9" t="n"/>
      <c r="F671" s="9" t="n"/>
      <c r="G671" s="8" t="n"/>
      <c r="H671" s="9" t="n"/>
      <c r="I671" s="9" t="n"/>
      <c r="J671" s="10" t="n"/>
      <c r="K671" s="10" t="n"/>
      <c r="L671" s="11">
        <f>IF($S671="","",IF($S671="ITEM_PRICE_PLUS_DECLARED_DELIVERY",IF(OR($J671="",$K671=""),"",SUM($J671,$K671,$U671)),IF($S671="TOTAL_AMOUNT_INCLUDING_DELIVERY",IF($T671="","",$T671),IF($S671="DELIVERY_CHARGE_ONLY",IF($K671="","",SUM($K671,$U671)),IF($S671="EXACT_COLLECTION_AMOUNT",IF($T671="","",$T671),IF($S671="ITEM_PRICE_ONLY_DELIVERY_PAID_BY_MERCHANT",IF($J671="","",SUM($J671,$U671)),""))))))</f>
        <v/>
      </c>
      <c r="M671" s="12" t="n"/>
      <c r="N671" s="13" t="n"/>
      <c r="O671" s="13" t="n"/>
      <c r="P671" s="9" t="n"/>
      <c r="Q671" s="14" t="n"/>
      <c r="R671" s="15" t="n"/>
      <c r="S671" s="14" t="n"/>
      <c r="T671" s="16" t="n"/>
      <c r="U671" s="16" t="n"/>
      <c r="V671" s="16" t="n"/>
      <c r="W671" s="16" t="n"/>
      <c r="X671" s="16" t="n"/>
      <c r="Y671" s="16" t="n"/>
      <c r="Z671" s="14" t="n"/>
      <c r="AA671" s="14" t="n"/>
      <c r="AB671" s="14" t="n"/>
      <c r="AC671" s="17">
        <f>IFERROR(VLOOKUP($H671&amp;"|"&amp;$Q671,Tariff_Master!$A$2:$L$169,3,FALSE),"")</f>
        <v/>
      </c>
      <c r="AD671" s="17">
        <f>IFERROR(VLOOKUP($H671&amp;"|"&amp;$Q671,Tariff_Master!$A$2:$L$169,4,FALSE),"")</f>
        <v/>
      </c>
      <c r="AE671" s="18">
        <f>IFERROR(VLOOKUP($H671&amp;"|"&amp;$Q671,Tariff_Master!$A$2:$L$169,6,FALSE),"")</f>
        <v/>
      </c>
      <c r="AF671" s="19">
        <f>IFERROR(VLOOKUP($H671&amp;"|"&amp;$Q671,Tariff_Master!$A$2:$L$169,7,FALSE),"")</f>
        <v/>
      </c>
      <c r="AG671" s="18">
        <f>IFERROR(VLOOKUP($H671&amp;"|"&amp;$Q671,Tariff_Master!$A$2:$L$169,8,FALSE),"")</f>
        <v/>
      </c>
      <c r="AH671" s="20">
        <f>IFERROR(VLOOKUP($H671&amp;"|"&amp;$Q671,Tariff_Master!$A$2:$L$169,9,FALSE),"")</f>
        <v/>
      </c>
      <c r="AI671" s="18">
        <f>IFERROR(VLOOKUP($H671&amp;"|"&amp;$Q671,Tariff_Master!$A$2:$L$169,10,FALSE),"")</f>
        <v/>
      </c>
      <c r="AJ671" s="21">
        <f>IF($M671="","",ROUNDUP(MAX(0,$M671),0))</f>
        <v/>
      </c>
      <c r="AK671" s="21">
        <f>IF(OR($AJ671="",$AF671=""),"",MAX(0,$AJ671-$AF671))</f>
        <v/>
      </c>
      <c r="AL671" s="22">
        <f>IF(OR($AK671="",$AG671=""),"",MAX(0,$AK671*$AG671))</f>
        <v/>
      </c>
      <c r="AM671" s="22">
        <f>IF($AE671="","",MAX(0,SUM($AE671,$AL671,$V671,$W671)))</f>
        <v/>
      </c>
      <c r="AN671" s="22">
        <f>IF($AM671="","",IF(AND($Q671="COMMITMENT",$R671&gt;=$AH671),$AI671,0))</f>
        <v/>
      </c>
      <c r="AO671" s="23">
        <f>IF($AM671="","",MAX(0,$AM671-$AN671))</f>
        <v/>
      </c>
      <c r="AP671" s="22">
        <f>IF($S671="","",IF(OR($S671="ITEM_PRICE_PLUS_DECLARED_DELIVERY",$S671="DELIVERY_CHARGE_ONLY"),$K671,IF($S671="TOTAL_AMOUNT_INCLUDING_DELIVERY",IF(OR($T671="",$J671=""),"",MAX(0,$T671-$J671-$U671)),IF($S671="ITEM_PRICE_ONLY_DELIVERY_PAID_BY_MERCHANT",0,""))))</f>
        <v/>
      </c>
      <c r="AQ671" s="23">
        <f>IF(OR($AP671="",$AO671=""),"",$AP671-$AO671)</f>
        <v/>
      </c>
      <c r="AR671" s="24">
        <f>IF($S671="EXACT_COLLECTION_AMOUNT","BREAKDOWN_REQUIRED",IF($AQ671="","",IF($AQ671&gt;0,"CREDIT_TO_MERCHANT",IF($AQ671&lt;0,"DEDUCT_FROM_MERCHANT","NO_ADJUSTMENT"))))</f>
        <v/>
      </c>
      <c r="AS671" s="23">
        <f>IF(OR($AQ671="",$AR671="BREAKDOWN_REQUIRED"),"",$AQ671)</f>
        <v/>
      </c>
      <c r="AT671" s="23">
        <f>IF(OR($AR671="",$AR671="BREAKDOWN_REQUIRED"),"",SUM($J671,$AQ671,$Y671)-$X671)</f>
        <v/>
      </c>
      <c r="AU671" s="25">
        <f>IF(AND($A671="",$B671="",$F671="",$H671="",$J671="",$K671="",$M671="",$S671=""),"",IF(OR($H671="",$Q671="",$M671="",$S671=""),"ERROR",IF(OR($J671&lt;0,$K671&lt;0,$M671&lt;0,$T671&lt;0,$U671&lt;0,$V671&lt;0,$W671&lt;0,$X671&lt;0,$Y671&lt;0),"ERROR",IF($AE671="","ERROR",IF(AND(OR($S671="ITEM_PRICE_PLUS_DECLARED_DELIVERY",$S671="TOTAL_AMOUNT_INCLUDING_DELIVERY",$S671="ITEM_PRICE_ONLY_DELIVERY_PAID_BY_MERCHANT"),$J671=""),"ERROR",IF(AND(OR($S671="ITEM_PRICE_PLUS_DECLARED_DELIVERY",$S671="DELIVERY_CHARGE_ONLY"),$K671=""),"ERROR",IF(AND(OR($S671="TOTAL_AMOUNT_INCLUDING_DELIVERY",$S671="EXACT_COLLECTION_AMOUNT"),$T671=""),"ERROR",IF(AND($S671="TOTAL_AMOUNT_INCLUDING_DELIVERY",$T671&lt;SUM($J671,$U671)),"ERROR",IF($S671="EXACT_COLLECTION_AMOUNT","REVIEW","OK")))))))))</f>
        <v/>
      </c>
      <c r="AV671" s="25">
        <f>IF($AU671="","",IF($H671="","Township required",IF($Q671="","Customer tier required",IF($M671="","Weight required",IF($S671="","Amount entry type required",IF(OR($J671&lt;0,$K671&lt;0,$M671&lt;0,$T671&lt;0,$U671&lt;0,$V671&lt;0,$W671&lt;0,$X671&lt;0,$Y671&lt;0),"Negative amounts are not allowed",IF($AE671="","Tariff not found for township and tier",IF(AND(OR($S671="ITEM_PRICE_PLUS_DECLARED_DELIVERY",$S671="TOTAL_AMOUNT_INCLUDING_DELIVERY",$S671="ITEM_PRICE_ONLY_DELIVERY_PAID_BY_MERCHANT"),$J671=""),"Item price required for this amount type",IF(AND(OR($S671="ITEM_PRICE_PLUS_DECLARED_DELIVERY",$S671="DELIVERY_CHARGE_ONLY"),$K671=""),"Declared delivery charge required",IF(AND(OR($S671="TOTAL_AMOUNT_INCLUDING_DELIVERY",$S671="EXACT_COLLECTION_AMOUNT"),$T671=""),"Stated total amount required",IF(AND($S671="TOTAL_AMOUNT_INCLUDING_DELIVERY",$T671&lt;SUM($J671,$U671)),"Stated total is below item price plus additional charge",IF($S671="EXACT_COLLECTION_AMOUNT","Authorized amount breakdown required before settlement","Ready for collection and settlement"))))))))))))</f>
        <v/>
      </c>
      <c r="AW671" s="23">
        <f>IF($AU671="","","PARCEL_FINANCIAL_V2")</f>
        <v/>
      </c>
      <c r="AX671" s="17" t="n"/>
    </row>
    <row r="672">
      <c r="A672" s="8" t="n"/>
      <c r="B672" s="8" t="n"/>
      <c r="C672" s="8" t="n"/>
      <c r="D672" s="8" t="n"/>
      <c r="E672" s="9" t="n"/>
      <c r="F672" s="9" t="n"/>
      <c r="G672" s="8" t="n"/>
      <c r="H672" s="9" t="n"/>
      <c r="I672" s="9" t="n"/>
      <c r="J672" s="10" t="n"/>
      <c r="K672" s="10" t="n"/>
      <c r="L672" s="11">
        <f>IF($S672="","",IF($S672="ITEM_PRICE_PLUS_DECLARED_DELIVERY",IF(OR($J672="",$K672=""),"",SUM($J672,$K672,$U672)),IF($S672="TOTAL_AMOUNT_INCLUDING_DELIVERY",IF($T672="","",$T672),IF($S672="DELIVERY_CHARGE_ONLY",IF($K672="","",SUM($K672,$U672)),IF($S672="EXACT_COLLECTION_AMOUNT",IF($T672="","",$T672),IF($S672="ITEM_PRICE_ONLY_DELIVERY_PAID_BY_MERCHANT",IF($J672="","",SUM($J672,$U672)),""))))))</f>
        <v/>
      </c>
      <c r="M672" s="12" t="n"/>
      <c r="N672" s="13" t="n"/>
      <c r="O672" s="13" t="n"/>
      <c r="P672" s="9" t="n"/>
      <c r="Q672" s="14" t="n"/>
      <c r="R672" s="15" t="n"/>
      <c r="S672" s="14" t="n"/>
      <c r="T672" s="16" t="n"/>
      <c r="U672" s="16" t="n"/>
      <c r="V672" s="16" t="n"/>
      <c r="W672" s="16" t="n"/>
      <c r="X672" s="16" t="n"/>
      <c r="Y672" s="16" t="n"/>
      <c r="Z672" s="14" t="n"/>
      <c r="AA672" s="14" t="n"/>
      <c r="AB672" s="14" t="n"/>
      <c r="AC672" s="17">
        <f>IFERROR(VLOOKUP($H672&amp;"|"&amp;$Q672,Tariff_Master!$A$2:$L$169,3,FALSE),"")</f>
        <v/>
      </c>
      <c r="AD672" s="17">
        <f>IFERROR(VLOOKUP($H672&amp;"|"&amp;$Q672,Tariff_Master!$A$2:$L$169,4,FALSE),"")</f>
        <v/>
      </c>
      <c r="AE672" s="18">
        <f>IFERROR(VLOOKUP($H672&amp;"|"&amp;$Q672,Tariff_Master!$A$2:$L$169,6,FALSE),"")</f>
        <v/>
      </c>
      <c r="AF672" s="19">
        <f>IFERROR(VLOOKUP($H672&amp;"|"&amp;$Q672,Tariff_Master!$A$2:$L$169,7,FALSE),"")</f>
        <v/>
      </c>
      <c r="AG672" s="18">
        <f>IFERROR(VLOOKUP($H672&amp;"|"&amp;$Q672,Tariff_Master!$A$2:$L$169,8,FALSE),"")</f>
        <v/>
      </c>
      <c r="AH672" s="20">
        <f>IFERROR(VLOOKUP($H672&amp;"|"&amp;$Q672,Tariff_Master!$A$2:$L$169,9,FALSE),"")</f>
        <v/>
      </c>
      <c r="AI672" s="18">
        <f>IFERROR(VLOOKUP($H672&amp;"|"&amp;$Q672,Tariff_Master!$A$2:$L$169,10,FALSE),"")</f>
        <v/>
      </c>
      <c r="AJ672" s="21">
        <f>IF($M672="","",ROUNDUP(MAX(0,$M672),0))</f>
        <v/>
      </c>
      <c r="AK672" s="21">
        <f>IF(OR($AJ672="",$AF672=""),"",MAX(0,$AJ672-$AF672))</f>
        <v/>
      </c>
      <c r="AL672" s="22">
        <f>IF(OR($AK672="",$AG672=""),"",MAX(0,$AK672*$AG672))</f>
        <v/>
      </c>
      <c r="AM672" s="22">
        <f>IF($AE672="","",MAX(0,SUM($AE672,$AL672,$V672,$W672)))</f>
        <v/>
      </c>
      <c r="AN672" s="22">
        <f>IF($AM672="","",IF(AND($Q672="COMMITMENT",$R672&gt;=$AH672),$AI672,0))</f>
        <v/>
      </c>
      <c r="AO672" s="23">
        <f>IF($AM672="","",MAX(0,$AM672-$AN672))</f>
        <v/>
      </c>
      <c r="AP672" s="22">
        <f>IF($S672="","",IF(OR($S672="ITEM_PRICE_PLUS_DECLARED_DELIVERY",$S672="DELIVERY_CHARGE_ONLY"),$K672,IF($S672="TOTAL_AMOUNT_INCLUDING_DELIVERY",IF(OR($T672="",$J672=""),"",MAX(0,$T672-$J672-$U672)),IF($S672="ITEM_PRICE_ONLY_DELIVERY_PAID_BY_MERCHANT",0,""))))</f>
        <v/>
      </c>
      <c r="AQ672" s="23">
        <f>IF(OR($AP672="",$AO672=""),"",$AP672-$AO672)</f>
        <v/>
      </c>
      <c r="AR672" s="24">
        <f>IF($S672="EXACT_COLLECTION_AMOUNT","BREAKDOWN_REQUIRED",IF($AQ672="","",IF($AQ672&gt;0,"CREDIT_TO_MERCHANT",IF($AQ672&lt;0,"DEDUCT_FROM_MERCHANT","NO_ADJUSTMENT"))))</f>
        <v/>
      </c>
      <c r="AS672" s="23">
        <f>IF(OR($AQ672="",$AR672="BREAKDOWN_REQUIRED"),"",$AQ672)</f>
        <v/>
      </c>
      <c r="AT672" s="23">
        <f>IF(OR($AR672="",$AR672="BREAKDOWN_REQUIRED"),"",SUM($J672,$AQ672,$Y672)-$X672)</f>
        <v/>
      </c>
      <c r="AU672" s="25">
        <f>IF(AND($A672="",$B672="",$F672="",$H672="",$J672="",$K672="",$M672="",$S672=""),"",IF(OR($H672="",$Q672="",$M672="",$S672=""),"ERROR",IF(OR($J672&lt;0,$K672&lt;0,$M672&lt;0,$T672&lt;0,$U672&lt;0,$V672&lt;0,$W672&lt;0,$X672&lt;0,$Y672&lt;0),"ERROR",IF($AE672="","ERROR",IF(AND(OR($S672="ITEM_PRICE_PLUS_DECLARED_DELIVERY",$S672="TOTAL_AMOUNT_INCLUDING_DELIVERY",$S672="ITEM_PRICE_ONLY_DELIVERY_PAID_BY_MERCHANT"),$J672=""),"ERROR",IF(AND(OR($S672="ITEM_PRICE_PLUS_DECLARED_DELIVERY",$S672="DELIVERY_CHARGE_ONLY"),$K672=""),"ERROR",IF(AND(OR($S672="TOTAL_AMOUNT_INCLUDING_DELIVERY",$S672="EXACT_COLLECTION_AMOUNT"),$T672=""),"ERROR",IF(AND($S672="TOTAL_AMOUNT_INCLUDING_DELIVERY",$T672&lt;SUM($J672,$U672)),"ERROR",IF($S672="EXACT_COLLECTION_AMOUNT","REVIEW","OK")))))))))</f>
        <v/>
      </c>
      <c r="AV672" s="25">
        <f>IF($AU672="","",IF($H672="","Township required",IF($Q672="","Customer tier required",IF($M672="","Weight required",IF($S672="","Amount entry type required",IF(OR($J672&lt;0,$K672&lt;0,$M672&lt;0,$T672&lt;0,$U672&lt;0,$V672&lt;0,$W672&lt;0,$X672&lt;0,$Y672&lt;0),"Negative amounts are not allowed",IF($AE672="","Tariff not found for township and tier",IF(AND(OR($S672="ITEM_PRICE_PLUS_DECLARED_DELIVERY",$S672="TOTAL_AMOUNT_INCLUDING_DELIVERY",$S672="ITEM_PRICE_ONLY_DELIVERY_PAID_BY_MERCHANT"),$J672=""),"Item price required for this amount type",IF(AND(OR($S672="ITEM_PRICE_PLUS_DECLARED_DELIVERY",$S672="DELIVERY_CHARGE_ONLY"),$K672=""),"Declared delivery charge required",IF(AND(OR($S672="TOTAL_AMOUNT_INCLUDING_DELIVERY",$S672="EXACT_COLLECTION_AMOUNT"),$T672=""),"Stated total amount required",IF(AND($S672="TOTAL_AMOUNT_INCLUDING_DELIVERY",$T672&lt;SUM($J672,$U672)),"Stated total is below item price plus additional charge",IF($S672="EXACT_COLLECTION_AMOUNT","Authorized amount breakdown required before settlement","Ready for collection and settlement"))))))))))))</f>
        <v/>
      </c>
      <c r="AW672" s="23">
        <f>IF($AU672="","","PARCEL_FINANCIAL_V2")</f>
        <v/>
      </c>
      <c r="AX672" s="17" t="n"/>
    </row>
    <row r="673">
      <c r="A673" s="8" t="n"/>
      <c r="B673" s="8" t="n"/>
      <c r="C673" s="8" t="n"/>
      <c r="D673" s="8" t="n"/>
      <c r="E673" s="9" t="n"/>
      <c r="F673" s="9" t="n"/>
      <c r="G673" s="8" t="n"/>
      <c r="H673" s="9" t="n"/>
      <c r="I673" s="9" t="n"/>
      <c r="J673" s="10" t="n"/>
      <c r="K673" s="10" t="n"/>
      <c r="L673" s="11">
        <f>IF($S673="","",IF($S673="ITEM_PRICE_PLUS_DECLARED_DELIVERY",IF(OR($J673="",$K673=""),"",SUM($J673,$K673,$U673)),IF($S673="TOTAL_AMOUNT_INCLUDING_DELIVERY",IF($T673="","",$T673),IF($S673="DELIVERY_CHARGE_ONLY",IF($K673="","",SUM($K673,$U673)),IF($S673="EXACT_COLLECTION_AMOUNT",IF($T673="","",$T673),IF($S673="ITEM_PRICE_ONLY_DELIVERY_PAID_BY_MERCHANT",IF($J673="","",SUM($J673,$U673)),""))))))</f>
        <v/>
      </c>
      <c r="M673" s="12" t="n"/>
      <c r="N673" s="13" t="n"/>
      <c r="O673" s="13" t="n"/>
      <c r="P673" s="9" t="n"/>
      <c r="Q673" s="14" t="n"/>
      <c r="R673" s="15" t="n"/>
      <c r="S673" s="14" t="n"/>
      <c r="T673" s="16" t="n"/>
      <c r="U673" s="16" t="n"/>
      <c r="V673" s="16" t="n"/>
      <c r="W673" s="16" t="n"/>
      <c r="X673" s="16" t="n"/>
      <c r="Y673" s="16" t="n"/>
      <c r="Z673" s="14" t="n"/>
      <c r="AA673" s="14" t="n"/>
      <c r="AB673" s="14" t="n"/>
      <c r="AC673" s="17">
        <f>IFERROR(VLOOKUP($H673&amp;"|"&amp;$Q673,Tariff_Master!$A$2:$L$169,3,FALSE),"")</f>
        <v/>
      </c>
      <c r="AD673" s="17">
        <f>IFERROR(VLOOKUP($H673&amp;"|"&amp;$Q673,Tariff_Master!$A$2:$L$169,4,FALSE),"")</f>
        <v/>
      </c>
      <c r="AE673" s="18">
        <f>IFERROR(VLOOKUP($H673&amp;"|"&amp;$Q673,Tariff_Master!$A$2:$L$169,6,FALSE),"")</f>
        <v/>
      </c>
      <c r="AF673" s="19">
        <f>IFERROR(VLOOKUP($H673&amp;"|"&amp;$Q673,Tariff_Master!$A$2:$L$169,7,FALSE),"")</f>
        <v/>
      </c>
      <c r="AG673" s="18">
        <f>IFERROR(VLOOKUP($H673&amp;"|"&amp;$Q673,Tariff_Master!$A$2:$L$169,8,FALSE),"")</f>
        <v/>
      </c>
      <c r="AH673" s="20">
        <f>IFERROR(VLOOKUP($H673&amp;"|"&amp;$Q673,Tariff_Master!$A$2:$L$169,9,FALSE),"")</f>
        <v/>
      </c>
      <c r="AI673" s="18">
        <f>IFERROR(VLOOKUP($H673&amp;"|"&amp;$Q673,Tariff_Master!$A$2:$L$169,10,FALSE),"")</f>
        <v/>
      </c>
      <c r="AJ673" s="21">
        <f>IF($M673="","",ROUNDUP(MAX(0,$M673),0))</f>
        <v/>
      </c>
      <c r="AK673" s="21">
        <f>IF(OR($AJ673="",$AF673=""),"",MAX(0,$AJ673-$AF673))</f>
        <v/>
      </c>
      <c r="AL673" s="22">
        <f>IF(OR($AK673="",$AG673=""),"",MAX(0,$AK673*$AG673))</f>
        <v/>
      </c>
      <c r="AM673" s="22">
        <f>IF($AE673="","",MAX(0,SUM($AE673,$AL673,$V673,$W673)))</f>
        <v/>
      </c>
      <c r="AN673" s="22">
        <f>IF($AM673="","",IF(AND($Q673="COMMITMENT",$R673&gt;=$AH673),$AI673,0))</f>
        <v/>
      </c>
      <c r="AO673" s="23">
        <f>IF($AM673="","",MAX(0,$AM673-$AN673))</f>
        <v/>
      </c>
      <c r="AP673" s="22">
        <f>IF($S673="","",IF(OR($S673="ITEM_PRICE_PLUS_DECLARED_DELIVERY",$S673="DELIVERY_CHARGE_ONLY"),$K673,IF($S673="TOTAL_AMOUNT_INCLUDING_DELIVERY",IF(OR($T673="",$J673=""),"",MAX(0,$T673-$J673-$U673)),IF($S673="ITEM_PRICE_ONLY_DELIVERY_PAID_BY_MERCHANT",0,""))))</f>
        <v/>
      </c>
      <c r="AQ673" s="23">
        <f>IF(OR($AP673="",$AO673=""),"",$AP673-$AO673)</f>
        <v/>
      </c>
      <c r="AR673" s="24">
        <f>IF($S673="EXACT_COLLECTION_AMOUNT","BREAKDOWN_REQUIRED",IF($AQ673="","",IF($AQ673&gt;0,"CREDIT_TO_MERCHANT",IF($AQ673&lt;0,"DEDUCT_FROM_MERCHANT","NO_ADJUSTMENT"))))</f>
        <v/>
      </c>
      <c r="AS673" s="23">
        <f>IF(OR($AQ673="",$AR673="BREAKDOWN_REQUIRED"),"",$AQ673)</f>
        <v/>
      </c>
      <c r="AT673" s="23">
        <f>IF(OR($AR673="",$AR673="BREAKDOWN_REQUIRED"),"",SUM($J673,$AQ673,$Y673)-$X673)</f>
        <v/>
      </c>
      <c r="AU673" s="25">
        <f>IF(AND($A673="",$B673="",$F673="",$H673="",$J673="",$K673="",$M673="",$S673=""),"",IF(OR($H673="",$Q673="",$M673="",$S673=""),"ERROR",IF(OR($J673&lt;0,$K673&lt;0,$M673&lt;0,$T673&lt;0,$U673&lt;0,$V673&lt;0,$W673&lt;0,$X673&lt;0,$Y673&lt;0),"ERROR",IF($AE673="","ERROR",IF(AND(OR($S673="ITEM_PRICE_PLUS_DECLARED_DELIVERY",$S673="TOTAL_AMOUNT_INCLUDING_DELIVERY",$S673="ITEM_PRICE_ONLY_DELIVERY_PAID_BY_MERCHANT"),$J673=""),"ERROR",IF(AND(OR($S673="ITEM_PRICE_PLUS_DECLARED_DELIVERY",$S673="DELIVERY_CHARGE_ONLY"),$K673=""),"ERROR",IF(AND(OR($S673="TOTAL_AMOUNT_INCLUDING_DELIVERY",$S673="EXACT_COLLECTION_AMOUNT"),$T673=""),"ERROR",IF(AND($S673="TOTAL_AMOUNT_INCLUDING_DELIVERY",$T673&lt;SUM($J673,$U673)),"ERROR",IF($S673="EXACT_COLLECTION_AMOUNT","REVIEW","OK")))))))))</f>
        <v/>
      </c>
      <c r="AV673" s="25">
        <f>IF($AU673="","",IF($H673="","Township required",IF($Q673="","Customer tier required",IF($M673="","Weight required",IF($S673="","Amount entry type required",IF(OR($J673&lt;0,$K673&lt;0,$M673&lt;0,$T673&lt;0,$U673&lt;0,$V673&lt;0,$W673&lt;0,$X673&lt;0,$Y673&lt;0),"Negative amounts are not allowed",IF($AE673="","Tariff not found for township and tier",IF(AND(OR($S673="ITEM_PRICE_PLUS_DECLARED_DELIVERY",$S673="TOTAL_AMOUNT_INCLUDING_DELIVERY",$S673="ITEM_PRICE_ONLY_DELIVERY_PAID_BY_MERCHANT"),$J673=""),"Item price required for this amount type",IF(AND(OR($S673="ITEM_PRICE_PLUS_DECLARED_DELIVERY",$S673="DELIVERY_CHARGE_ONLY"),$K673=""),"Declared delivery charge required",IF(AND(OR($S673="TOTAL_AMOUNT_INCLUDING_DELIVERY",$S673="EXACT_COLLECTION_AMOUNT"),$T673=""),"Stated total amount required",IF(AND($S673="TOTAL_AMOUNT_INCLUDING_DELIVERY",$T673&lt;SUM($J673,$U673)),"Stated total is below item price plus additional charge",IF($S673="EXACT_COLLECTION_AMOUNT","Authorized amount breakdown required before settlement","Ready for collection and settlement"))))))))))))</f>
        <v/>
      </c>
      <c r="AW673" s="23">
        <f>IF($AU673="","","PARCEL_FINANCIAL_V2")</f>
        <v/>
      </c>
      <c r="AX673" s="17" t="n"/>
    </row>
    <row r="674">
      <c r="A674" s="8" t="n"/>
      <c r="B674" s="8" t="n"/>
      <c r="C674" s="8" t="n"/>
      <c r="D674" s="8" t="n"/>
      <c r="E674" s="9" t="n"/>
      <c r="F674" s="9" t="n"/>
      <c r="G674" s="8" t="n"/>
      <c r="H674" s="9" t="n"/>
      <c r="I674" s="9" t="n"/>
      <c r="J674" s="10" t="n"/>
      <c r="K674" s="10" t="n"/>
      <c r="L674" s="11">
        <f>IF($S674="","",IF($S674="ITEM_PRICE_PLUS_DECLARED_DELIVERY",IF(OR($J674="",$K674=""),"",SUM($J674,$K674,$U674)),IF($S674="TOTAL_AMOUNT_INCLUDING_DELIVERY",IF($T674="","",$T674),IF($S674="DELIVERY_CHARGE_ONLY",IF($K674="","",SUM($K674,$U674)),IF($S674="EXACT_COLLECTION_AMOUNT",IF($T674="","",$T674),IF($S674="ITEM_PRICE_ONLY_DELIVERY_PAID_BY_MERCHANT",IF($J674="","",SUM($J674,$U674)),""))))))</f>
        <v/>
      </c>
      <c r="M674" s="12" t="n"/>
      <c r="N674" s="13" t="n"/>
      <c r="O674" s="13" t="n"/>
      <c r="P674" s="9" t="n"/>
      <c r="Q674" s="14" t="n"/>
      <c r="R674" s="15" t="n"/>
      <c r="S674" s="14" t="n"/>
      <c r="T674" s="16" t="n"/>
      <c r="U674" s="16" t="n"/>
      <c r="V674" s="16" t="n"/>
      <c r="W674" s="16" t="n"/>
      <c r="X674" s="16" t="n"/>
      <c r="Y674" s="16" t="n"/>
      <c r="Z674" s="14" t="n"/>
      <c r="AA674" s="14" t="n"/>
      <c r="AB674" s="14" t="n"/>
      <c r="AC674" s="17">
        <f>IFERROR(VLOOKUP($H674&amp;"|"&amp;$Q674,Tariff_Master!$A$2:$L$169,3,FALSE),"")</f>
        <v/>
      </c>
      <c r="AD674" s="17">
        <f>IFERROR(VLOOKUP($H674&amp;"|"&amp;$Q674,Tariff_Master!$A$2:$L$169,4,FALSE),"")</f>
        <v/>
      </c>
      <c r="AE674" s="18">
        <f>IFERROR(VLOOKUP($H674&amp;"|"&amp;$Q674,Tariff_Master!$A$2:$L$169,6,FALSE),"")</f>
        <v/>
      </c>
      <c r="AF674" s="19">
        <f>IFERROR(VLOOKUP($H674&amp;"|"&amp;$Q674,Tariff_Master!$A$2:$L$169,7,FALSE),"")</f>
        <v/>
      </c>
      <c r="AG674" s="18">
        <f>IFERROR(VLOOKUP($H674&amp;"|"&amp;$Q674,Tariff_Master!$A$2:$L$169,8,FALSE),"")</f>
        <v/>
      </c>
      <c r="AH674" s="20">
        <f>IFERROR(VLOOKUP($H674&amp;"|"&amp;$Q674,Tariff_Master!$A$2:$L$169,9,FALSE),"")</f>
        <v/>
      </c>
      <c r="AI674" s="18">
        <f>IFERROR(VLOOKUP($H674&amp;"|"&amp;$Q674,Tariff_Master!$A$2:$L$169,10,FALSE),"")</f>
        <v/>
      </c>
      <c r="AJ674" s="21">
        <f>IF($M674="","",ROUNDUP(MAX(0,$M674),0))</f>
        <v/>
      </c>
      <c r="AK674" s="21">
        <f>IF(OR($AJ674="",$AF674=""),"",MAX(0,$AJ674-$AF674))</f>
        <v/>
      </c>
      <c r="AL674" s="22">
        <f>IF(OR($AK674="",$AG674=""),"",MAX(0,$AK674*$AG674))</f>
        <v/>
      </c>
      <c r="AM674" s="22">
        <f>IF($AE674="","",MAX(0,SUM($AE674,$AL674,$V674,$W674)))</f>
        <v/>
      </c>
      <c r="AN674" s="22">
        <f>IF($AM674="","",IF(AND($Q674="COMMITMENT",$R674&gt;=$AH674),$AI674,0))</f>
        <v/>
      </c>
      <c r="AO674" s="23">
        <f>IF($AM674="","",MAX(0,$AM674-$AN674))</f>
        <v/>
      </c>
      <c r="AP674" s="22">
        <f>IF($S674="","",IF(OR($S674="ITEM_PRICE_PLUS_DECLARED_DELIVERY",$S674="DELIVERY_CHARGE_ONLY"),$K674,IF($S674="TOTAL_AMOUNT_INCLUDING_DELIVERY",IF(OR($T674="",$J674=""),"",MAX(0,$T674-$J674-$U674)),IF($S674="ITEM_PRICE_ONLY_DELIVERY_PAID_BY_MERCHANT",0,""))))</f>
        <v/>
      </c>
      <c r="AQ674" s="23">
        <f>IF(OR($AP674="",$AO674=""),"",$AP674-$AO674)</f>
        <v/>
      </c>
      <c r="AR674" s="24">
        <f>IF($S674="EXACT_COLLECTION_AMOUNT","BREAKDOWN_REQUIRED",IF($AQ674="","",IF($AQ674&gt;0,"CREDIT_TO_MERCHANT",IF($AQ674&lt;0,"DEDUCT_FROM_MERCHANT","NO_ADJUSTMENT"))))</f>
        <v/>
      </c>
      <c r="AS674" s="23">
        <f>IF(OR($AQ674="",$AR674="BREAKDOWN_REQUIRED"),"",$AQ674)</f>
        <v/>
      </c>
      <c r="AT674" s="23">
        <f>IF(OR($AR674="",$AR674="BREAKDOWN_REQUIRED"),"",SUM($J674,$AQ674,$Y674)-$X674)</f>
        <v/>
      </c>
      <c r="AU674" s="25">
        <f>IF(AND($A674="",$B674="",$F674="",$H674="",$J674="",$K674="",$M674="",$S674=""),"",IF(OR($H674="",$Q674="",$M674="",$S674=""),"ERROR",IF(OR($J674&lt;0,$K674&lt;0,$M674&lt;0,$T674&lt;0,$U674&lt;0,$V674&lt;0,$W674&lt;0,$X674&lt;0,$Y674&lt;0),"ERROR",IF($AE674="","ERROR",IF(AND(OR($S674="ITEM_PRICE_PLUS_DECLARED_DELIVERY",$S674="TOTAL_AMOUNT_INCLUDING_DELIVERY",$S674="ITEM_PRICE_ONLY_DELIVERY_PAID_BY_MERCHANT"),$J674=""),"ERROR",IF(AND(OR($S674="ITEM_PRICE_PLUS_DECLARED_DELIVERY",$S674="DELIVERY_CHARGE_ONLY"),$K674=""),"ERROR",IF(AND(OR($S674="TOTAL_AMOUNT_INCLUDING_DELIVERY",$S674="EXACT_COLLECTION_AMOUNT"),$T674=""),"ERROR",IF(AND($S674="TOTAL_AMOUNT_INCLUDING_DELIVERY",$T674&lt;SUM($J674,$U674)),"ERROR",IF($S674="EXACT_COLLECTION_AMOUNT","REVIEW","OK")))))))))</f>
        <v/>
      </c>
      <c r="AV674" s="25">
        <f>IF($AU674="","",IF($H674="","Township required",IF($Q674="","Customer tier required",IF($M674="","Weight required",IF($S674="","Amount entry type required",IF(OR($J674&lt;0,$K674&lt;0,$M674&lt;0,$T674&lt;0,$U674&lt;0,$V674&lt;0,$W674&lt;0,$X674&lt;0,$Y674&lt;0),"Negative amounts are not allowed",IF($AE674="","Tariff not found for township and tier",IF(AND(OR($S674="ITEM_PRICE_PLUS_DECLARED_DELIVERY",$S674="TOTAL_AMOUNT_INCLUDING_DELIVERY",$S674="ITEM_PRICE_ONLY_DELIVERY_PAID_BY_MERCHANT"),$J674=""),"Item price required for this amount type",IF(AND(OR($S674="ITEM_PRICE_PLUS_DECLARED_DELIVERY",$S674="DELIVERY_CHARGE_ONLY"),$K674=""),"Declared delivery charge required",IF(AND(OR($S674="TOTAL_AMOUNT_INCLUDING_DELIVERY",$S674="EXACT_COLLECTION_AMOUNT"),$T674=""),"Stated total amount required",IF(AND($S674="TOTAL_AMOUNT_INCLUDING_DELIVERY",$T674&lt;SUM($J674,$U674)),"Stated total is below item price plus additional charge",IF($S674="EXACT_COLLECTION_AMOUNT","Authorized amount breakdown required before settlement","Ready for collection and settlement"))))))))))))</f>
        <v/>
      </c>
      <c r="AW674" s="23">
        <f>IF($AU674="","","PARCEL_FINANCIAL_V2")</f>
        <v/>
      </c>
      <c r="AX674" s="17" t="n"/>
    </row>
    <row r="675">
      <c r="A675" s="8" t="n"/>
      <c r="B675" s="8" t="n"/>
      <c r="C675" s="8" t="n"/>
      <c r="D675" s="8" t="n"/>
      <c r="E675" s="9" t="n"/>
      <c r="F675" s="9" t="n"/>
      <c r="G675" s="8" t="n"/>
      <c r="H675" s="9" t="n"/>
      <c r="I675" s="9" t="n"/>
      <c r="J675" s="10" t="n"/>
      <c r="K675" s="10" t="n"/>
      <c r="L675" s="11">
        <f>IF($S675="","",IF($S675="ITEM_PRICE_PLUS_DECLARED_DELIVERY",IF(OR($J675="",$K675=""),"",SUM($J675,$K675,$U675)),IF($S675="TOTAL_AMOUNT_INCLUDING_DELIVERY",IF($T675="","",$T675),IF($S675="DELIVERY_CHARGE_ONLY",IF($K675="","",SUM($K675,$U675)),IF($S675="EXACT_COLLECTION_AMOUNT",IF($T675="","",$T675),IF($S675="ITEM_PRICE_ONLY_DELIVERY_PAID_BY_MERCHANT",IF($J675="","",SUM($J675,$U675)),""))))))</f>
        <v/>
      </c>
      <c r="M675" s="12" t="n"/>
      <c r="N675" s="13" t="n"/>
      <c r="O675" s="13" t="n"/>
      <c r="P675" s="9" t="n"/>
      <c r="Q675" s="14" t="n"/>
      <c r="R675" s="15" t="n"/>
      <c r="S675" s="14" t="n"/>
      <c r="T675" s="16" t="n"/>
      <c r="U675" s="16" t="n"/>
      <c r="V675" s="16" t="n"/>
      <c r="W675" s="16" t="n"/>
      <c r="X675" s="16" t="n"/>
      <c r="Y675" s="16" t="n"/>
      <c r="Z675" s="14" t="n"/>
      <c r="AA675" s="14" t="n"/>
      <c r="AB675" s="14" t="n"/>
      <c r="AC675" s="17">
        <f>IFERROR(VLOOKUP($H675&amp;"|"&amp;$Q675,Tariff_Master!$A$2:$L$169,3,FALSE),"")</f>
        <v/>
      </c>
      <c r="AD675" s="17">
        <f>IFERROR(VLOOKUP($H675&amp;"|"&amp;$Q675,Tariff_Master!$A$2:$L$169,4,FALSE),"")</f>
        <v/>
      </c>
      <c r="AE675" s="18">
        <f>IFERROR(VLOOKUP($H675&amp;"|"&amp;$Q675,Tariff_Master!$A$2:$L$169,6,FALSE),"")</f>
        <v/>
      </c>
      <c r="AF675" s="19">
        <f>IFERROR(VLOOKUP($H675&amp;"|"&amp;$Q675,Tariff_Master!$A$2:$L$169,7,FALSE),"")</f>
        <v/>
      </c>
      <c r="AG675" s="18">
        <f>IFERROR(VLOOKUP($H675&amp;"|"&amp;$Q675,Tariff_Master!$A$2:$L$169,8,FALSE),"")</f>
        <v/>
      </c>
      <c r="AH675" s="20">
        <f>IFERROR(VLOOKUP($H675&amp;"|"&amp;$Q675,Tariff_Master!$A$2:$L$169,9,FALSE),"")</f>
        <v/>
      </c>
      <c r="AI675" s="18">
        <f>IFERROR(VLOOKUP($H675&amp;"|"&amp;$Q675,Tariff_Master!$A$2:$L$169,10,FALSE),"")</f>
        <v/>
      </c>
      <c r="AJ675" s="21">
        <f>IF($M675="","",ROUNDUP(MAX(0,$M675),0))</f>
        <v/>
      </c>
      <c r="AK675" s="21">
        <f>IF(OR($AJ675="",$AF675=""),"",MAX(0,$AJ675-$AF675))</f>
        <v/>
      </c>
      <c r="AL675" s="22">
        <f>IF(OR($AK675="",$AG675=""),"",MAX(0,$AK675*$AG675))</f>
        <v/>
      </c>
      <c r="AM675" s="22">
        <f>IF($AE675="","",MAX(0,SUM($AE675,$AL675,$V675,$W675)))</f>
        <v/>
      </c>
      <c r="AN675" s="22">
        <f>IF($AM675="","",IF(AND($Q675="COMMITMENT",$R675&gt;=$AH675),$AI675,0))</f>
        <v/>
      </c>
      <c r="AO675" s="23">
        <f>IF($AM675="","",MAX(0,$AM675-$AN675))</f>
        <v/>
      </c>
      <c r="AP675" s="22">
        <f>IF($S675="","",IF(OR($S675="ITEM_PRICE_PLUS_DECLARED_DELIVERY",$S675="DELIVERY_CHARGE_ONLY"),$K675,IF($S675="TOTAL_AMOUNT_INCLUDING_DELIVERY",IF(OR($T675="",$J675=""),"",MAX(0,$T675-$J675-$U675)),IF($S675="ITEM_PRICE_ONLY_DELIVERY_PAID_BY_MERCHANT",0,""))))</f>
        <v/>
      </c>
      <c r="AQ675" s="23">
        <f>IF(OR($AP675="",$AO675=""),"",$AP675-$AO675)</f>
        <v/>
      </c>
      <c r="AR675" s="24">
        <f>IF($S675="EXACT_COLLECTION_AMOUNT","BREAKDOWN_REQUIRED",IF($AQ675="","",IF($AQ675&gt;0,"CREDIT_TO_MERCHANT",IF($AQ675&lt;0,"DEDUCT_FROM_MERCHANT","NO_ADJUSTMENT"))))</f>
        <v/>
      </c>
      <c r="AS675" s="23">
        <f>IF(OR($AQ675="",$AR675="BREAKDOWN_REQUIRED"),"",$AQ675)</f>
        <v/>
      </c>
      <c r="AT675" s="23">
        <f>IF(OR($AR675="",$AR675="BREAKDOWN_REQUIRED"),"",SUM($J675,$AQ675,$Y675)-$X675)</f>
        <v/>
      </c>
      <c r="AU675" s="25">
        <f>IF(AND($A675="",$B675="",$F675="",$H675="",$J675="",$K675="",$M675="",$S675=""),"",IF(OR($H675="",$Q675="",$M675="",$S675=""),"ERROR",IF(OR($J675&lt;0,$K675&lt;0,$M675&lt;0,$T675&lt;0,$U675&lt;0,$V675&lt;0,$W675&lt;0,$X675&lt;0,$Y675&lt;0),"ERROR",IF($AE675="","ERROR",IF(AND(OR($S675="ITEM_PRICE_PLUS_DECLARED_DELIVERY",$S675="TOTAL_AMOUNT_INCLUDING_DELIVERY",$S675="ITEM_PRICE_ONLY_DELIVERY_PAID_BY_MERCHANT"),$J675=""),"ERROR",IF(AND(OR($S675="ITEM_PRICE_PLUS_DECLARED_DELIVERY",$S675="DELIVERY_CHARGE_ONLY"),$K675=""),"ERROR",IF(AND(OR($S675="TOTAL_AMOUNT_INCLUDING_DELIVERY",$S675="EXACT_COLLECTION_AMOUNT"),$T675=""),"ERROR",IF(AND($S675="TOTAL_AMOUNT_INCLUDING_DELIVERY",$T675&lt;SUM($J675,$U675)),"ERROR",IF($S675="EXACT_COLLECTION_AMOUNT","REVIEW","OK")))))))))</f>
        <v/>
      </c>
      <c r="AV675" s="25">
        <f>IF($AU675="","",IF($H675="","Township required",IF($Q675="","Customer tier required",IF($M675="","Weight required",IF($S675="","Amount entry type required",IF(OR($J675&lt;0,$K675&lt;0,$M675&lt;0,$T675&lt;0,$U675&lt;0,$V675&lt;0,$W675&lt;0,$X675&lt;0,$Y675&lt;0),"Negative amounts are not allowed",IF($AE675="","Tariff not found for township and tier",IF(AND(OR($S675="ITEM_PRICE_PLUS_DECLARED_DELIVERY",$S675="TOTAL_AMOUNT_INCLUDING_DELIVERY",$S675="ITEM_PRICE_ONLY_DELIVERY_PAID_BY_MERCHANT"),$J675=""),"Item price required for this amount type",IF(AND(OR($S675="ITEM_PRICE_PLUS_DECLARED_DELIVERY",$S675="DELIVERY_CHARGE_ONLY"),$K675=""),"Declared delivery charge required",IF(AND(OR($S675="TOTAL_AMOUNT_INCLUDING_DELIVERY",$S675="EXACT_COLLECTION_AMOUNT"),$T675=""),"Stated total amount required",IF(AND($S675="TOTAL_AMOUNT_INCLUDING_DELIVERY",$T675&lt;SUM($J675,$U675)),"Stated total is below item price plus additional charge",IF($S675="EXACT_COLLECTION_AMOUNT","Authorized amount breakdown required before settlement","Ready for collection and settlement"))))))))))))</f>
        <v/>
      </c>
      <c r="AW675" s="23">
        <f>IF($AU675="","","PARCEL_FINANCIAL_V2")</f>
        <v/>
      </c>
      <c r="AX675" s="17" t="n"/>
    </row>
    <row r="676">
      <c r="A676" s="8" t="n"/>
      <c r="B676" s="8" t="n"/>
      <c r="C676" s="8" t="n"/>
      <c r="D676" s="8" t="n"/>
      <c r="E676" s="9" t="n"/>
      <c r="F676" s="9" t="n"/>
      <c r="G676" s="8" t="n"/>
      <c r="H676" s="9" t="n"/>
      <c r="I676" s="9" t="n"/>
      <c r="J676" s="10" t="n"/>
      <c r="K676" s="10" t="n"/>
      <c r="L676" s="11">
        <f>IF($S676="","",IF($S676="ITEM_PRICE_PLUS_DECLARED_DELIVERY",IF(OR($J676="",$K676=""),"",SUM($J676,$K676,$U676)),IF($S676="TOTAL_AMOUNT_INCLUDING_DELIVERY",IF($T676="","",$T676),IF($S676="DELIVERY_CHARGE_ONLY",IF($K676="","",SUM($K676,$U676)),IF($S676="EXACT_COLLECTION_AMOUNT",IF($T676="","",$T676),IF($S676="ITEM_PRICE_ONLY_DELIVERY_PAID_BY_MERCHANT",IF($J676="","",SUM($J676,$U676)),""))))))</f>
        <v/>
      </c>
      <c r="M676" s="12" t="n"/>
      <c r="N676" s="13" t="n"/>
      <c r="O676" s="13" t="n"/>
      <c r="P676" s="9" t="n"/>
      <c r="Q676" s="14" t="n"/>
      <c r="R676" s="15" t="n"/>
      <c r="S676" s="14" t="n"/>
      <c r="T676" s="16" t="n"/>
      <c r="U676" s="16" t="n"/>
      <c r="V676" s="16" t="n"/>
      <c r="W676" s="16" t="n"/>
      <c r="X676" s="16" t="n"/>
      <c r="Y676" s="16" t="n"/>
      <c r="Z676" s="14" t="n"/>
      <c r="AA676" s="14" t="n"/>
      <c r="AB676" s="14" t="n"/>
      <c r="AC676" s="17">
        <f>IFERROR(VLOOKUP($H676&amp;"|"&amp;$Q676,Tariff_Master!$A$2:$L$169,3,FALSE),"")</f>
        <v/>
      </c>
      <c r="AD676" s="17">
        <f>IFERROR(VLOOKUP($H676&amp;"|"&amp;$Q676,Tariff_Master!$A$2:$L$169,4,FALSE),"")</f>
        <v/>
      </c>
      <c r="AE676" s="18">
        <f>IFERROR(VLOOKUP($H676&amp;"|"&amp;$Q676,Tariff_Master!$A$2:$L$169,6,FALSE),"")</f>
        <v/>
      </c>
      <c r="AF676" s="19">
        <f>IFERROR(VLOOKUP($H676&amp;"|"&amp;$Q676,Tariff_Master!$A$2:$L$169,7,FALSE),"")</f>
        <v/>
      </c>
      <c r="AG676" s="18">
        <f>IFERROR(VLOOKUP($H676&amp;"|"&amp;$Q676,Tariff_Master!$A$2:$L$169,8,FALSE),"")</f>
        <v/>
      </c>
      <c r="AH676" s="20">
        <f>IFERROR(VLOOKUP($H676&amp;"|"&amp;$Q676,Tariff_Master!$A$2:$L$169,9,FALSE),"")</f>
        <v/>
      </c>
      <c r="AI676" s="18">
        <f>IFERROR(VLOOKUP($H676&amp;"|"&amp;$Q676,Tariff_Master!$A$2:$L$169,10,FALSE),"")</f>
        <v/>
      </c>
      <c r="AJ676" s="21">
        <f>IF($M676="","",ROUNDUP(MAX(0,$M676),0))</f>
        <v/>
      </c>
      <c r="AK676" s="21">
        <f>IF(OR($AJ676="",$AF676=""),"",MAX(0,$AJ676-$AF676))</f>
        <v/>
      </c>
      <c r="AL676" s="22">
        <f>IF(OR($AK676="",$AG676=""),"",MAX(0,$AK676*$AG676))</f>
        <v/>
      </c>
      <c r="AM676" s="22">
        <f>IF($AE676="","",MAX(0,SUM($AE676,$AL676,$V676,$W676)))</f>
        <v/>
      </c>
      <c r="AN676" s="22">
        <f>IF($AM676="","",IF(AND($Q676="COMMITMENT",$R676&gt;=$AH676),$AI676,0))</f>
        <v/>
      </c>
      <c r="AO676" s="23">
        <f>IF($AM676="","",MAX(0,$AM676-$AN676))</f>
        <v/>
      </c>
      <c r="AP676" s="22">
        <f>IF($S676="","",IF(OR($S676="ITEM_PRICE_PLUS_DECLARED_DELIVERY",$S676="DELIVERY_CHARGE_ONLY"),$K676,IF($S676="TOTAL_AMOUNT_INCLUDING_DELIVERY",IF(OR($T676="",$J676=""),"",MAX(0,$T676-$J676-$U676)),IF($S676="ITEM_PRICE_ONLY_DELIVERY_PAID_BY_MERCHANT",0,""))))</f>
        <v/>
      </c>
      <c r="AQ676" s="23">
        <f>IF(OR($AP676="",$AO676=""),"",$AP676-$AO676)</f>
        <v/>
      </c>
      <c r="AR676" s="24">
        <f>IF($S676="EXACT_COLLECTION_AMOUNT","BREAKDOWN_REQUIRED",IF($AQ676="","",IF($AQ676&gt;0,"CREDIT_TO_MERCHANT",IF($AQ676&lt;0,"DEDUCT_FROM_MERCHANT","NO_ADJUSTMENT"))))</f>
        <v/>
      </c>
      <c r="AS676" s="23">
        <f>IF(OR($AQ676="",$AR676="BREAKDOWN_REQUIRED"),"",$AQ676)</f>
        <v/>
      </c>
      <c r="AT676" s="23">
        <f>IF(OR($AR676="",$AR676="BREAKDOWN_REQUIRED"),"",SUM($J676,$AQ676,$Y676)-$X676)</f>
        <v/>
      </c>
      <c r="AU676" s="25">
        <f>IF(AND($A676="",$B676="",$F676="",$H676="",$J676="",$K676="",$M676="",$S676=""),"",IF(OR($H676="",$Q676="",$M676="",$S676=""),"ERROR",IF(OR($J676&lt;0,$K676&lt;0,$M676&lt;0,$T676&lt;0,$U676&lt;0,$V676&lt;0,$W676&lt;0,$X676&lt;0,$Y676&lt;0),"ERROR",IF($AE676="","ERROR",IF(AND(OR($S676="ITEM_PRICE_PLUS_DECLARED_DELIVERY",$S676="TOTAL_AMOUNT_INCLUDING_DELIVERY",$S676="ITEM_PRICE_ONLY_DELIVERY_PAID_BY_MERCHANT"),$J676=""),"ERROR",IF(AND(OR($S676="ITEM_PRICE_PLUS_DECLARED_DELIVERY",$S676="DELIVERY_CHARGE_ONLY"),$K676=""),"ERROR",IF(AND(OR($S676="TOTAL_AMOUNT_INCLUDING_DELIVERY",$S676="EXACT_COLLECTION_AMOUNT"),$T676=""),"ERROR",IF(AND($S676="TOTAL_AMOUNT_INCLUDING_DELIVERY",$T676&lt;SUM($J676,$U676)),"ERROR",IF($S676="EXACT_COLLECTION_AMOUNT","REVIEW","OK")))))))))</f>
        <v/>
      </c>
      <c r="AV676" s="25">
        <f>IF($AU676="","",IF($H676="","Township required",IF($Q676="","Customer tier required",IF($M676="","Weight required",IF($S676="","Amount entry type required",IF(OR($J676&lt;0,$K676&lt;0,$M676&lt;0,$T676&lt;0,$U676&lt;0,$V676&lt;0,$W676&lt;0,$X676&lt;0,$Y676&lt;0),"Negative amounts are not allowed",IF($AE676="","Tariff not found for township and tier",IF(AND(OR($S676="ITEM_PRICE_PLUS_DECLARED_DELIVERY",$S676="TOTAL_AMOUNT_INCLUDING_DELIVERY",$S676="ITEM_PRICE_ONLY_DELIVERY_PAID_BY_MERCHANT"),$J676=""),"Item price required for this amount type",IF(AND(OR($S676="ITEM_PRICE_PLUS_DECLARED_DELIVERY",$S676="DELIVERY_CHARGE_ONLY"),$K676=""),"Declared delivery charge required",IF(AND(OR($S676="TOTAL_AMOUNT_INCLUDING_DELIVERY",$S676="EXACT_COLLECTION_AMOUNT"),$T676=""),"Stated total amount required",IF(AND($S676="TOTAL_AMOUNT_INCLUDING_DELIVERY",$T676&lt;SUM($J676,$U676)),"Stated total is below item price plus additional charge",IF($S676="EXACT_COLLECTION_AMOUNT","Authorized amount breakdown required before settlement","Ready for collection and settlement"))))))))))))</f>
        <v/>
      </c>
      <c r="AW676" s="23">
        <f>IF($AU676="","","PARCEL_FINANCIAL_V2")</f>
        <v/>
      </c>
      <c r="AX676" s="17" t="n"/>
    </row>
    <row r="677">
      <c r="A677" s="8" t="n"/>
      <c r="B677" s="8" t="n"/>
      <c r="C677" s="8" t="n"/>
      <c r="D677" s="8" t="n"/>
      <c r="E677" s="9" t="n"/>
      <c r="F677" s="9" t="n"/>
      <c r="G677" s="8" t="n"/>
      <c r="H677" s="9" t="n"/>
      <c r="I677" s="9" t="n"/>
      <c r="J677" s="10" t="n"/>
      <c r="K677" s="10" t="n"/>
      <c r="L677" s="11">
        <f>IF($S677="","",IF($S677="ITEM_PRICE_PLUS_DECLARED_DELIVERY",IF(OR($J677="",$K677=""),"",SUM($J677,$K677,$U677)),IF($S677="TOTAL_AMOUNT_INCLUDING_DELIVERY",IF($T677="","",$T677),IF($S677="DELIVERY_CHARGE_ONLY",IF($K677="","",SUM($K677,$U677)),IF($S677="EXACT_COLLECTION_AMOUNT",IF($T677="","",$T677),IF($S677="ITEM_PRICE_ONLY_DELIVERY_PAID_BY_MERCHANT",IF($J677="","",SUM($J677,$U677)),""))))))</f>
        <v/>
      </c>
      <c r="M677" s="12" t="n"/>
      <c r="N677" s="13" t="n"/>
      <c r="O677" s="13" t="n"/>
      <c r="P677" s="9" t="n"/>
      <c r="Q677" s="14" t="n"/>
      <c r="R677" s="15" t="n"/>
      <c r="S677" s="14" t="n"/>
      <c r="T677" s="16" t="n"/>
      <c r="U677" s="16" t="n"/>
      <c r="V677" s="16" t="n"/>
      <c r="W677" s="16" t="n"/>
      <c r="X677" s="16" t="n"/>
      <c r="Y677" s="16" t="n"/>
      <c r="Z677" s="14" t="n"/>
      <c r="AA677" s="14" t="n"/>
      <c r="AB677" s="14" t="n"/>
      <c r="AC677" s="17">
        <f>IFERROR(VLOOKUP($H677&amp;"|"&amp;$Q677,Tariff_Master!$A$2:$L$169,3,FALSE),"")</f>
        <v/>
      </c>
      <c r="AD677" s="17">
        <f>IFERROR(VLOOKUP($H677&amp;"|"&amp;$Q677,Tariff_Master!$A$2:$L$169,4,FALSE),"")</f>
        <v/>
      </c>
      <c r="AE677" s="18">
        <f>IFERROR(VLOOKUP($H677&amp;"|"&amp;$Q677,Tariff_Master!$A$2:$L$169,6,FALSE),"")</f>
        <v/>
      </c>
      <c r="AF677" s="19">
        <f>IFERROR(VLOOKUP($H677&amp;"|"&amp;$Q677,Tariff_Master!$A$2:$L$169,7,FALSE),"")</f>
        <v/>
      </c>
      <c r="AG677" s="18">
        <f>IFERROR(VLOOKUP($H677&amp;"|"&amp;$Q677,Tariff_Master!$A$2:$L$169,8,FALSE),"")</f>
        <v/>
      </c>
      <c r="AH677" s="20">
        <f>IFERROR(VLOOKUP($H677&amp;"|"&amp;$Q677,Tariff_Master!$A$2:$L$169,9,FALSE),"")</f>
        <v/>
      </c>
      <c r="AI677" s="18">
        <f>IFERROR(VLOOKUP($H677&amp;"|"&amp;$Q677,Tariff_Master!$A$2:$L$169,10,FALSE),"")</f>
        <v/>
      </c>
      <c r="AJ677" s="21">
        <f>IF($M677="","",ROUNDUP(MAX(0,$M677),0))</f>
        <v/>
      </c>
      <c r="AK677" s="21">
        <f>IF(OR($AJ677="",$AF677=""),"",MAX(0,$AJ677-$AF677))</f>
        <v/>
      </c>
      <c r="AL677" s="22">
        <f>IF(OR($AK677="",$AG677=""),"",MAX(0,$AK677*$AG677))</f>
        <v/>
      </c>
      <c r="AM677" s="22">
        <f>IF($AE677="","",MAX(0,SUM($AE677,$AL677,$V677,$W677)))</f>
        <v/>
      </c>
      <c r="AN677" s="22">
        <f>IF($AM677="","",IF(AND($Q677="COMMITMENT",$R677&gt;=$AH677),$AI677,0))</f>
        <v/>
      </c>
      <c r="AO677" s="23">
        <f>IF($AM677="","",MAX(0,$AM677-$AN677))</f>
        <v/>
      </c>
      <c r="AP677" s="22">
        <f>IF($S677="","",IF(OR($S677="ITEM_PRICE_PLUS_DECLARED_DELIVERY",$S677="DELIVERY_CHARGE_ONLY"),$K677,IF($S677="TOTAL_AMOUNT_INCLUDING_DELIVERY",IF(OR($T677="",$J677=""),"",MAX(0,$T677-$J677-$U677)),IF($S677="ITEM_PRICE_ONLY_DELIVERY_PAID_BY_MERCHANT",0,""))))</f>
        <v/>
      </c>
      <c r="AQ677" s="23">
        <f>IF(OR($AP677="",$AO677=""),"",$AP677-$AO677)</f>
        <v/>
      </c>
      <c r="AR677" s="24">
        <f>IF($S677="EXACT_COLLECTION_AMOUNT","BREAKDOWN_REQUIRED",IF($AQ677="","",IF($AQ677&gt;0,"CREDIT_TO_MERCHANT",IF($AQ677&lt;0,"DEDUCT_FROM_MERCHANT","NO_ADJUSTMENT"))))</f>
        <v/>
      </c>
      <c r="AS677" s="23">
        <f>IF(OR($AQ677="",$AR677="BREAKDOWN_REQUIRED"),"",$AQ677)</f>
        <v/>
      </c>
      <c r="AT677" s="23">
        <f>IF(OR($AR677="",$AR677="BREAKDOWN_REQUIRED"),"",SUM($J677,$AQ677,$Y677)-$X677)</f>
        <v/>
      </c>
      <c r="AU677" s="25">
        <f>IF(AND($A677="",$B677="",$F677="",$H677="",$J677="",$K677="",$M677="",$S677=""),"",IF(OR($H677="",$Q677="",$M677="",$S677=""),"ERROR",IF(OR($J677&lt;0,$K677&lt;0,$M677&lt;0,$T677&lt;0,$U677&lt;0,$V677&lt;0,$W677&lt;0,$X677&lt;0,$Y677&lt;0),"ERROR",IF($AE677="","ERROR",IF(AND(OR($S677="ITEM_PRICE_PLUS_DECLARED_DELIVERY",$S677="TOTAL_AMOUNT_INCLUDING_DELIVERY",$S677="ITEM_PRICE_ONLY_DELIVERY_PAID_BY_MERCHANT"),$J677=""),"ERROR",IF(AND(OR($S677="ITEM_PRICE_PLUS_DECLARED_DELIVERY",$S677="DELIVERY_CHARGE_ONLY"),$K677=""),"ERROR",IF(AND(OR($S677="TOTAL_AMOUNT_INCLUDING_DELIVERY",$S677="EXACT_COLLECTION_AMOUNT"),$T677=""),"ERROR",IF(AND($S677="TOTAL_AMOUNT_INCLUDING_DELIVERY",$T677&lt;SUM($J677,$U677)),"ERROR",IF($S677="EXACT_COLLECTION_AMOUNT","REVIEW","OK")))))))))</f>
        <v/>
      </c>
      <c r="AV677" s="25">
        <f>IF($AU677="","",IF($H677="","Township required",IF($Q677="","Customer tier required",IF($M677="","Weight required",IF($S677="","Amount entry type required",IF(OR($J677&lt;0,$K677&lt;0,$M677&lt;0,$T677&lt;0,$U677&lt;0,$V677&lt;0,$W677&lt;0,$X677&lt;0,$Y677&lt;0),"Negative amounts are not allowed",IF($AE677="","Tariff not found for township and tier",IF(AND(OR($S677="ITEM_PRICE_PLUS_DECLARED_DELIVERY",$S677="TOTAL_AMOUNT_INCLUDING_DELIVERY",$S677="ITEM_PRICE_ONLY_DELIVERY_PAID_BY_MERCHANT"),$J677=""),"Item price required for this amount type",IF(AND(OR($S677="ITEM_PRICE_PLUS_DECLARED_DELIVERY",$S677="DELIVERY_CHARGE_ONLY"),$K677=""),"Declared delivery charge required",IF(AND(OR($S677="TOTAL_AMOUNT_INCLUDING_DELIVERY",$S677="EXACT_COLLECTION_AMOUNT"),$T677=""),"Stated total amount required",IF(AND($S677="TOTAL_AMOUNT_INCLUDING_DELIVERY",$T677&lt;SUM($J677,$U677)),"Stated total is below item price plus additional charge",IF($S677="EXACT_COLLECTION_AMOUNT","Authorized amount breakdown required before settlement","Ready for collection and settlement"))))))))))))</f>
        <v/>
      </c>
      <c r="AW677" s="23">
        <f>IF($AU677="","","PARCEL_FINANCIAL_V2")</f>
        <v/>
      </c>
      <c r="AX677" s="17" t="n"/>
    </row>
    <row r="678">
      <c r="A678" s="8" t="n"/>
      <c r="B678" s="8" t="n"/>
      <c r="C678" s="8" t="n"/>
      <c r="D678" s="8" t="n"/>
      <c r="E678" s="9" t="n"/>
      <c r="F678" s="9" t="n"/>
      <c r="G678" s="8" t="n"/>
      <c r="H678" s="9" t="n"/>
      <c r="I678" s="9" t="n"/>
      <c r="J678" s="10" t="n"/>
      <c r="K678" s="10" t="n"/>
      <c r="L678" s="11">
        <f>IF($S678="","",IF($S678="ITEM_PRICE_PLUS_DECLARED_DELIVERY",IF(OR($J678="",$K678=""),"",SUM($J678,$K678,$U678)),IF($S678="TOTAL_AMOUNT_INCLUDING_DELIVERY",IF($T678="","",$T678),IF($S678="DELIVERY_CHARGE_ONLY",IF($K678="","",SUM($K678,$U678)),IF($S678="EXACT_COLLECTION_AMOUNT",IF($T678="","",$T678),IF($S678="ITEM_PRICE_ONLY_DELIVERY_PAID_BY_MERCHANT",IF($J678="","",SUM($J678,$U678)),""))))))</f>
        <v/>
      </c>
      <c r="M678" s="12" t="n"/>
      <c r="N678" s="13" t="n"/>
      <c r="O678" s="13" t="n"/>
      <c r="P678" s="9" t="n"/>
      <c r="Q678" s="14" t="n"/>
      <c r="R678" s="15" t="n"/>
      <c r="S678" s="14" t="n"/>
      <c r="T678" s="16" t="n"/>
      <c r="U678" s="16" t="n"/>
      <c r="V678" s="16" t="n"/>
      <c r="W678" s="16" t="n"/>
      <c r="X678" s="16" t="n"/>
      <c r="Y678" s="16" t="n"/>
      <c r="Z678" s="14" t="n"/>
      <c r="AA678" s="14" t="n"/>
      <c r="AB678" s="14" t="n"/>
      <c r="AC678" s="17">
        <f>IFERROR(VLOOKUP($H678&amp;"|"&amp;$Q678,Tariff_Master!$A$2:$L$169,3,FALSE),"")</f>
        <v/>
      </c>
      <c r="AD678" s="17">
        <f>IFERROR(VLOOKUP($H678&amp;"|"&amp;$Q678,Tariff_Master!$A$2:$L$169,4,FALSE),"")</f>
        <v/>
      </c>
      <c r="AE678" s="18">
        <f>IFERROR(VLOOKUP($H678&amp;"|"&amp;$Q678,Tariff_Master!$A$2:$L$169,6,FALSE),"")</f>
        <v/>
      </c>
      <c r="AF678" s="19">
        <f>IFERROR(VLOOKUP($H678&amp;"|"&amp;$Q678,Tariff_Master!$A$2:$L$169,7,FALSE),"")</f>
        <v/>
      </c>
      <c r="AG678" s="18">
        <f>IFERROR(VLOOKUP($H678&amp;"|"&amp;$Q678,Tariff_Master!$A$2:$L$169,8,FALSE),"")</f>
        <v/>
      </c>
      <c r="AH678" s="20">
        <f>IFERROR(VLOOKUP($H678&amp;"|"&amp;$Q678,Tariff_Master!$A$2:$L$169,9,FALSE),"")</f>
        <v/>
      </c>
      <c r="AI678" s="18">
        <f>IFERROR(VLOOKUP($H678&amp;"|"&amp;$Q678,Tariff_Master!$A$2:$L$169,10,FALSE),"")</f>
        <v/>
      </c>
      <c r="AJ678" s="21">
        <f>IF($M678="","",ROUNDUP(MAX(0,$M678),0))</f>
        <v/>
      </c>
      <c r="AK678" s="21">
        <f>IF(OR($AJ678="",$AF678=""),"",MAX(0,$AJ678-$AF678))</f>
        <v/>
      </c>
      <c r="AL678" s="22">
        <f>IF(OR($AK678="",$AG678=""),"",MAX(0,$AK678*$AG678))</f>
        <v/>
      </c>
      <c r="AM678" s="22">
        <f>IF($AE678="","",MAX(0,SUM($AE678,$AL678,$V678,$W678)))</f>
        <v/>
      </c>
      <c r="AN678" s="22">
        <f>IF($AM678="","",IF(AND($Q678="COMMITMENT",$R678&gt;=$AH678),$AI678,0))</f>
        <v/>
      </c>
      <c r="AO678" s="23">
        <f>IF($AM678="","",MAX(0,$AM678-$AN678))</f>
        <v/>
      </c>
      <c r="AP678" s="22">
        <f>IF($S678="","",IF(OR($S678="ITEM_PRICE_PLUS_DECLARED_DELIVERY",$S678="DELIVERY_CHARGE_ONLY"),$K678,IF($S678="TOTAL_AMOUNT_INCLUDING_DELIVERY",IF(OR($T678="",$J678=""),"",MAX(0,$T678-$J678-$U678)),IF($S678="ITEM_PRICE_ONLY_DELIVERY_PAID_BY_MERCHANT",0,""))))</f>
        <v/>
      </c>
      <c r="AQ678" s="23">
        <f>IF(OR($AP678="",$AO678=""),"",$AP678-$AO678)</f>
        <v/>
      </c>
      <c r="AR678" s="24">
        <f>IF($S678="EXACT_COLLECTION_AMOUNT","BREAKDOWN_REQUIRED",IF($AQ678="","",IF($AQ678&gt;0,"CREDIT_TO_MERCHANT",IF($AQ678&lt;0,"DEDUCT_FROM_MERCHANT","NO_ADJUSTMENT"))))</f>
        <v/>
      </c>
      <c r="AS678" s="23">
        <f>IF(OR($AQ678="",$AR678="BREAKDOWN_REQUIRED"),"",$AQ678)</f>
        <v/>
      </c>
      <c r="AT678" s="23">
        <f>IF(OR($AR678="",$AR678="BREAKDOWN_REQUIRED"),"",SUM($J678,$AQ678,$Y678)-$X678)</f>
        <v/>
      </c>
      <c r="AU678" s="25">
        <f>IF(AND($A678="",$B678="",$F678="",$H678="",$J678="",$K678="",$M678="",$S678=""),"",IF(OR($H678="",$Q678="",$M678="",$S678=""),"ERROR",IF(OR($J678&lt;0,$K678&lt;0,$M678&lt;0,$T678&lt;0,$U678&lt;0,$V678&lt;0,$W678&lt;0,$X678&lt;0,$Y678&lt;0),"ERROR",IF($AE678="","ERROR",IF(AND(OR($S678="ITEM_PRICE_PLUS_DECLARED_DELIVERY",$S678="TOTAL_AMOUNT_INCLUDING_DELIVERY",$S678="ITEM_PRICE_ONLY_DELIVERY_PAID_BY_MERCHANT"),$J678=""),"ERROR",IF(AND(OR($S678="ITEM_PRICE_PLUS_DECLARED_DELIVERY",$S678="DELIVERY_CHARGE_ONLY"),$K678=""),"ERROR",IF(AND(OR($S678="TOTAL_AMOUNT_INCLUDING_DELIVERY",$S678="EXACT_COLLECTION_AMOUNT"),$T678=""),"ERROR",IF(AND($S678="TOTAL_AMOUNT_INCLUDING_DELIVERY",$T678&lt;SUM($J678,$U678)),"ERROR",IF($S678="EXACT_COLLECTION_AMOUNT","REVIEW","OK")))))))))</f>
        <v/>
      </c>
      <c r="AV678" s="25">
        <f>IF($AU678="","",IF($H678="","Township required",IF($Q678="","Customer tier required",IF($M678="","Weight required",IF($S678="","Amount entry type required",IF(OR($J678&lt;0,$K678&lt;0,$M678&lt;0,$T678&lt;0,$U678&lt;0,$V678&lt;0,$W678&lt;0,$X678&lt;0,$Y678&lt;0),"Negative amounts are not allowed",IF($AE678="","Tariff not found for township and tier",IF(AND(OR($S678="ITEM_PRICE_PLUS_DECLARED_DELIVERY",$S678="TOTAL_AMOUNT_INCLUDING_DELIVERY",$S678="ITEM_PRICE_ONLY_DELIVERY_PAID_BY_MERCHANT"),$J678=""),"Item price required for this amount type",IF(AND(OR($S678="ITEM_PRICE_PLUS_DECLARED_DELIVERY",$S678="DELIVERY_CHARGE_ONLY"),$K678=""),"Declared delivery charge required",IF(AND(OR($S678="TOTAL_AMOUNT_INCLUDING_DELIVERY",$S678="EXACT_COLLECTION_AMOUNT"),$T678=""),"Stated total amount required",IF(AND($S678="TOTAL_AMOUNT_INCLUDING_DELIVERY",$T678&lt;SUM($J678,$U678)),"Stated total is below item price plus additional charge",IF($S678="EXACT_COLLECTION_AMOUNT","Authorized amount breakdown required before settlement","Ready for collection and settlement"))))))))))))</f>
        <v/>
      </c>
      <c r="AW678" s="23">
        <f>IF($AU678="","","PARCEL_FINANCIAL_V2")</f>
        <v/>
      </c>
      <c r="AX678" s="17" t="n"/>
    </row>
    <row r="679">
      <c r="A679" s="8" t="n"/>
      <c r="B679" s="8" t="n"/>
      <c r="C679" s="8" t="n"/>
      <c r="D679" s="8" t="n"/>
      <c r="E679" s="9" t="n"/>
      <c r="F679" s="9" t="n"/>
      <c r="G679" s="8" t="n"/>
      <c r="H679" s="9" t="n"/>
      <c r="I679" s="9" t="n"/>
      <c r="J679" s="10" t="n"/>
      <c r="K679" s="10" t="n"/>
      <c r="L679" s="11">
        <f>IF($S679="","",IF($S679="ITEM_PRICE_PLUS_DECLARED_DELIVERY",IF(OR($J679="",$K679=""),"",SUM($J679,$K679,$U679)),IF($S679="TOTAL_AMOUNT_INCLUDING_DELIVERY",IF($T679="","",$T679),IF($S679="DELIVERY_CHARGE_ONLY",IF($K679="","",SUM($K679,$U679)),IF($S679="EXACT_COLLECTION_AMOUNT",IF($T679="","",$T679),IF($S679="ITEM_PRICE_ONLY_DELIVERY_PAID_BY_MERCHANT",IF($J679="","",SUM($J679,$U679)),""))))))</f>
        <v/>
      </c>
      <c r="M679" s="12" t="n"/>
      <c r="N679" s="13" t="n"/>
      <c r="O679" s="13" t="n"/>
      <c r="P679" s="9" t="n"/>
      <c r="Q679" s="14" t="n"/>
      <c r="R679" s="15" t="n"/>
      <c r="S679" s="14" t="n"/>
      <c r="T679" s="16" t="n"/>
      <c r="U679" s="16" t="n"/>
      <c r="V679" s="16" t="n"/>
      <c r="W679" s="16" t="n"/>
      <c r="X679" s="16" t="n"/>
      <c r="Y679" s="16" t="n"/>
      <c r="Z679" s="14" t="n"/>
      <c r="AA679" s="14" t="n"/>
      <c r="AB679" s="14" t="n"/>
      <c r="AC679" s="17">
        <f>IFERROR(VLOOKUP($H679&amp;"|"&amp;$Q679,Tariff_Master!$A$2:$L$169,3,FALSE),"")</f>
        <v/>
      </c>
      <c r="AD679" s="17">
        <f>IFERROR(VLOOKUP($H679&amp;"|"&amp;$Q679,Tariff_Master!$A$2:$L$169,4,FALSE),"")</f>
        <v/>
      </c>
      <c r="AE679" s="18">
        <f>IFERROR(VLOOKUP($H679&amp;"|"&amp;$Q679,Tariff_Master!$A$2:$L$169,6,FALSE),"")</f>
        <v/>
      </c>
      <c r="AF679" s="19">
        <f>IFERROR(VLOOKUP($H679&amp;"|"&amp;$Q679,Tariff_Master!$A$2:$L$169,7,FALSE),"")</f>
        <v/>
      </c>
      <c r="AG679" s="18">
        <f>IFERROR(VLOOKUP($H679&amp;"|"&amp;$Q679,Tariff_Master!$A$2:$L$169,8,FALSE),"")</f>
        <v/>
      </c>
      <c r="AH679" s="20">
        <f>IFERROR(VLOOKUP($H679&amp;"|"&amp;$Q679,Tariff_Master!$A$2:$L$169,9,FALSE),"")</f>
        <v/>
      </c>
      <c r="AI679" s="18">
        <f>IFERROR(VLOOKUP($H679&amp;"|"&amp;$Q679,Tariff_Master!$A$2:$L$169,10,FALSE),"")</f>
        <v/>
      </c>
      <c r="AJ679" s="21">
        <f>IF($M679="","",ROUNDUP(MAX(0,$M679),0))</f>
        <v/>
      </c>
      <c r="AK679" s="21">
        <f>IF(OR($AJ679="",$AF679=""),"",MAX(0,$AJ679-$AF679))</f>
        <v/>
      </c>
      <c r="AL679" s="22">
        <f>IF(OR($AK679="",$AG679=""),"",MAX(0,$AK679*$AG679))</f>
        <v/>
      </c>
      <c r="AM679" s="22">
        <f>IF($AE679="","",MAX(0,SUM($AE679,$AL679,$V679,$W679)))</f>
        <v/>
      </c>
      <c r="AN679" s="22">
        <f>IF($AM679="","",IF(AND($Q679="COMMITMENT",$R679&gt;=$AH679),$AI679,0))</f>
        <v/>
      </c>
      <c r="AO679" s="23">
        <f>IF($AM679="","",MAX(0,$AM679-$AN679))</f>
        <v/>
      </c>
      <c r="AP679" s="22">
        <f>IF($S679="","",IF(OR($S679="ITEM_PRICE_PLUS_DECLARED_DELIVERY",$S679="DELIVERY_CHARGE_ONLY"),$K679,IF($S679="TOTAL_AMOUNT_INCLUDING_DELIVERY",IF(OR($T679="",$J679=""),"",MAX(0,$T679-$J679-$U679)),IF($S679="ITEM_PRICE_ONLY_DELIVERY_PAID_BY_MERCHANT",0,""))))</f>
        <v/>
      </c>
      <c r="AQ679" s="23">
        <f>IF(OR($AP679="",$AO679=""),"",$AP679-$AO679)</f>
        <v/>
      </c>
      <c r="AR679" s="24">
        <f>IF($S679="EXACT_COLLECTION_AMOUNT","BREAKDOWN_REQUIRED",IF($AQ679="","",IF($AQ679&gt;0,"CREDIT_TO_MERCHANT",IF($AQ679&lt;0,"DEDUCT_FROM_MERCHANT","NO_ADJUSTMENT"))))</f>
        <v/>
      </c>
      <c r="AS679" s="23">
        <f>IF(OR($AQ679="",$AR679="BREAKDOWN_REQUIRED"),"",$AQ679)</f>
        <v/>
      </c>
      <c r="AT679" s="23">
        <f>IF(OR($AR679="",$AR679="BREAKDOWN_REQUIRED"),"",SUM($J679,$AQ679,$Y679)-$X679)</f>
        <v/>
      </c>
      <c r="AU679" s="25">
        <f>IF(AND($A679="",$B679="",$F679="",$H679="",$J679="",$K679="",$M679="",$S679=""),"",IF(OR($H679="",$Q679="",$M679="",$S679=""),"ERROR",IF(OR($J679&lt;0,$K679&lt;0,$M679&lt;0,$T679&lt;0,$U679&lt;0,$V679&lt;0,$W679&lt;0,$X679&lt;0,$Y679&lt;0),"ERROR",IF($AE679="","ERROR",IF(AND(OR($S679="ITEM_PRICE_PLUS_DECLARED_DELIVERY",$S679="TOTAL_AMOUNT_INCLUDING_DELIVERY",$S679="ITEM_PRICE_ONLY_DELIVERY_PAID_BY_MERCHANT"),$J679=""),"ERROR",IF(AND(OR($S679="ITEM_PRICE_PLUS_DECLARED_DELIVERY",$S679="DELIVERY_CHARGE_ONLY"),$K679=""),"ERROR",IF(AND(OR($S679="TOTAL_AMOUNT_INCLUDING_DELIVERY",$S679="EXACT_COLLECTION_AMOUNT"),$T679=""),"ERROR",IF(AND($S679="TOTAL_AMOUNT_INCLUDING_DELIVERY",$T679&lt;SUM($J679,$U679)),"ERROR",IF($S679="EXACT_COLLECTION_AMOUNT","REVIEW","OK")))))))))</f>
        <v/>
      </c>
      <c r="AV679" s="25">
        <f>IF($AU679="","",IF($H679="","Township required",IF($Q679="","Customer tier required",IF($M679="","Weight required",IF($S679="","Amount entry type required",IF(OR($J679&lt;0,$K679&lt;0,$M679&lt;0,$T679&lt;0,$U679&lt;0,$V679&lt;0,$W679&lt;0,$X679&lt;0,$Y679&lt;0),"Negative amounts are not allowed",IF($AE679="","Tariff not found for township and tier",IF(AND(OR($S679="ITEM_PRICE_PLUS_DECLARED_DELIVERY",$S679="TOTAL_AMOUNT_INCLUDING_DELIVERY",$S679="ITEM_PRICE_ONLY_DELIVERY_PAID_BY_MERCHANT"),$J679=""),"Item price required for this amount type",IF(AND(OR($S679="ITEM_PRICE_PLUS_DECLARED_DELIVERY",$S679="DELIVERY_CHARGE_ONLY"),$K679=""),"Declared delivery charge required",IF(AND(OR($S679="TOTAL_AMOUNT_INCLUDING_DELIVERY",$S679="EXACT_COLLECTION_AMOUNT"),$T679=""),"Stated total amount required",IF(AND($S679="TOTAL_AMOUNT_INCLUDING_DELIVERY",$T679&lt;SUM($J679,$U679)),"Stated total is below item price plus additional charge",IF($S679="EXACT_COLLECTION_AMOUNT","Authorized amount breakdown required before settlement","Ready for collection and settlement"))))))))))))</f>
        <v/>
      </c>
      <c r="AW679" s="23">
        <f>IF($AU679="","","PARCEL_FINANCIAL_V2")</f>
        <v/>
      </c>
      <c r="AX679" s="17" t="n"/>
    </row>
    <row r="680">
      <c r="A680" s="8" t="n"/>
      <c r="B680" s="8" t="n"/>
      <c r="C680" s="8" t="n"/>
      <c r="D680" s="8" t="n"/>
      <c r="E680" s="9" t="n"/>
      <c r="F680" s="9" t="n"/>
      <c r="G680" s="8" t="n"/>
      <c r="H680" s="9" t="n"/>
      <c r="I680" s="9" t="n"/>
      <c r="J680" s="10" t="n"/>
      <c r="K680" s="10" t="n"/>
      <c r="L680" s="11">
        <f>IF($S680="","",IF($S680="ITEM_PRICE_PLUS_DECLARED_DELIVERY",IF(OR($J680="",$K680=""),"",SUM($J680,$K680,$U680)),IF($S680="TOTAL_AMOUNT_INCLUDING_DELIVERY",IF($T680="","",$T680),IF($S680="DELIVERY_CHARGE_ONLY",IF($K680="","",SUM($K680,$U680)),IF($S680="EXACT_COLLECTION_AMOUNT",IF($T680="","",$T680),IF($S680="ITEM_PRICE_ONLY_DELIVERY_PAID_BY_MERCHANT",IF($J680="","",SUM($J680,$U680)),""))))))</f>
        <v/>
      </c>
      <c r="M680" s="12" t="n"/>
      <c r="N680" s="13" t="n"/>
      <c r="O680" s="13" t="n"/>
      <c r="P680" s="9" t="n"/>
      <c r="Q680" s="14" t="n"/>
      <c r="R680" s="15" t="n"/>
      <c r="S680" s="14" t="n"/>
      <c r="T680" s="16" t="n"/>
      <c r="U680" s="16" t="n"/>
      <c r="V680" s="16" t="n"/>
      <c r="W680" s="16" t="n"/>
      <c r="X680" s="16" t="n"/>
      <c r="Y680" s="16" t="n"/>
      <c r="Z680" s="14" t="n"/>
      <c r="AA680" s="14" t="n"/>
      <c r="AB680" s="14" t="n"/>
      <c r="AC680" s="17">
        <f>IFERROR(VLOOKUP($H680&amp;"|"&amp;$Q680,Tariff_Master!$A$2:$L$169,3,FALSE),"")</f>
        <v/>
      </c>
      <c r="AD680" s="17">
        <f>IFERROR(VLOOKUP($H680&amp;"|"&amp;$Q680,Tariff_Master!$A$2:$L$169,4,FALSE),"")</f>
        <v/>
      </c>
      <c r="AE680" s="18">
        <f>IFERROR(VLOOKUP($H680&amp;"|"&amp;$Q680,Tariff_Master!$A$2:$L$169,6,FALSE),"")</f>
        <v/>
      </c>
      <c r="AF680" s="19">
        <f>IFERROR(VLOOKUP($H680&amp;"|"&amp;$Q680,Tariff_Master!$A$2:$L$169,7,FALSE),"")</f>
        <v/>
      </c>
      <c r="AG680" s="18">
        <f>IFERROR(VLOOKUP($H680&amp;"|"&amp;$Q680,Tariff_Master!$A$2:$L$169,8,FALSE),"")</f>
        <v/>
      </c>
      <c r="AH680" s="20">
        <f>IFERROR(VLOOKUP($H680&amp;"|"&amp;$Q680,Tariff_Master!$A$2:$L$169,9,FALSE),"")</f>
        <v/>
      </c>
      <c r="AI680" s="18">
        <f>IFERROR(VLOOKUP($H680&amp;"|"&amp;$Q680,Tariff_Master!$A$2:$L$169,10,FALSE),"")</f>
        <v/>
      </c>
      <c r="AJ680" s="21">
        <f>IF($M680="","",ROUNDUP(MAX(0,$M680),0))</f>
        <v/>
      </c>
      <c r="AK680" s="21">
        <f>IF(OR($AJ680="",$AF680=""),"",MAX(0,$AJ680-$AF680))</f>
        <v/>
      </c>
      <c r="AL680" s="22">
        <f>IF(OR($AK680="",$AG680=""),"",MAX(0,$AK680*$AG680))</f>
        <v/>
      </c>
      <c r="AM680" s="22">
        <f>IF($AE680="","",MAX(0,SUM($AE680,$AL680,$V680,$W680)))</f>
        <v/>
      </c>
      <c r="AN680" s="22">
        <f>IF($AM680="","",IF(AND($Q680="COMMITMENT",$R680&gt;=$AH680),$AI680,0))</f>
        <v/>
      </c>
      <c r="AO680" s="23">
        <f>IF($AM680="","",MAX(0,$AM680-$AN680))</f>
        <v/>
      </c>
      <c r="AP680" s="22">
        <f>IF($S680="","",IF(OR($S680="ITEM_PRICE_PLUS_DECLARED_DELIVERY",$S680="DELIVERY_CHARGE_ONLY"),$K680,IF($S680="TOTAL_AMOUNT_INCLUDING_DELIVERY",IF(OR($T680="",$J680=""),"",MAX(0,$T680-$J680-$U680)),IF($S680="ITEM_PRICE_ONLY_DELIVERY_PAID_BY_MERCHANT",0,""))))</f>
        <v/>
      </c>
      <c r="AQ680" s="23">
        <f>IF(OR($AP680="",$AO680=""),"",$AP680-$AO680)</f>
        <v/>
      </c>
      <c r="AR680" s="24">
        <f>IF($S680="EXACT_COLLECTION_AMOUNT","BREAKDOWN_REQUIRED",IF($AQ680="","",IF($AQ680&gt;0,"CREDIT_TO_MERCHANT",IF($AQ680&lt;0,"DEDUCT_FROM_MERCHANT","NO_ADJUSTMENT"))))</f>
        <v/>
      </c>
      <c r="AS680" s="23">
        <f>IF(OR($AQ680="",$AR680="BREAKDOWN_REQUIRED"),"",$AQ680)</f>
        <v/>
      </c>
      <c r="AT680" s="23">
        <f>IF(OR($AR680="",$AR680="BREAKDOWN_REQUIRED"),"",SUM($J680,$AQ680,$Y680)-$X680)</f>
        <v/>
      </c>
      <c r="AU680" s="25">
        <f>IF(AND($A680="",$B680="",$F680="",$H680="",$J680="",$K680="",$M680="",$S680=""),"",IF(OR($H680="",$Q680="",$M680="",$S680=""),"ERROR",IF(OR($J680&lt;0,$K680&lt;0,$M680&lt;0,$T680&lt;0,$U680&lt;0,$V680&lt;0,$W680&lt;0,$X680&lt;0,$Y680&lt;0),"ERROR",IF($AE680="","ERROR",IF(AND(OR($S680="ITEM_PRICE_PLUS_DECLARED_DELIVERY",$S680="TOTAL_AMOUNT_INCLUDING_DELIVERY",$S680="ITEM_PRICE_ONLY_DELIVERY_PAID_BY_MERCHANT"),$J680=""),"ERROR",IF(AND(OR($S680="ITEM_PRICE_PLUS_DECLARED_DELIVERY",$S680="DELIVERY_CHARGE_ONLY"),$K680=""),"ERROR",IF(AND(OR($S680="TOTAL_AMOUNT_INCLUDING_DELIVERY",$S680="EXACT_COLLECTION_AMOUNT"),$T680=""),"ERROR",IF(AND($S680="TOTAL_AMOUNT_INCLUDING_DELIVERY",$T680&lt;SUM($J680,$U680)),"ERROR",IF($S680="EXACT_COLLECTION_AMOUNT","REVIEW","OK")))))))))</f>
        <v/>
      </c>
      <c r="AV680" s="25">
        <f>IF($AU680="","",IF($H680="","Township required",IF($Q680="","Customer tier required",IF($M680="","Weight required",IF($S680="","Amount entry type required",IF(OR($J680&lt;0,$K680&lt;0,$M680&lt;0,$T680&lt;0,$U680&lt;0,$V680&lt;0,$W680&lt;0,$X680&lt;0,$Y680&lt;0),"Negative amounts are not allowed",IF($AE680="","Tariff not found for township and tier",IF(AND(OR($S680="ITEM_PRICE_PLUS_DECLARED_DELIVERY",$S680="TOTAL_AMOUNT_INCLUDING_DELIVERY",$S680="ITEM_PRICE_ONLY_DELIVERY_PAID_BY_MERCHANT"),$J680=""),"Item price required for this amount type",IF(AND(OR($S680="ITEM_PRICE_PLUS_DECLARED_DELIVERY",$S680="DELIVERY_CHARGE_ONLY"),$K680=""),"Declared delivery charge required",IF(AND(OR($S680="TOTAL_AMOUNT_INCLUDING_DELIVERY",$S680="EXACT_COLLECTION_AMOUNT"),$T680=""),"Stated total amount required",IF(AND($S680="TOTAL_AMOUNT_INCLUDING_DELIVERY",$T680&lt;SUM($J680,$U680)),"Stated total is below item price plus additional charge",IF($S680="EXACT_COLLECTION_AMOUNT","Authorized amount breakdown required before settlement","Ready for collection and settlement"))))))))))))</f>
        <v/>
      </c>
      <c r="AW680" s="23">
        <f>IF($AU680="","","PARCEL_FINANCIAL_V2")</f>
        <v/>
      </c>
      <c r="AX680" s="17" t="n"/>
    </row>
    <row r="681">
      <c r="A681" s="8" t="n"/>
      <c r="B681" s="8" t="n"/>
      <c r="C681" s="8" t="n"/>
      <c r="D681" s="8" t="n"/>
      <c r="E681" s="9" t="n"/>
      <c r="F681" s="9" t="n"/>
      <c r="G681" s="8" t="n"/>
      <c r="H681" s="9" t="n"/>
      <c r="I681" s="9" t="n"/>
      <c r="J681" s="10" t="n"/>
      <c r="K681" s="10" t="n"/>
      <c r="L681" s="11">
        <f>IF($S681="","",IF($S681="ITEM_PRICE_PLUS_DECLARED_DELIVERY",IF(OR($J681="",$K681=""),"",SUM($J681,$K681,$U681)),IF($S681="TOTAL_AMOUNT_INCLUDING_DELIVERY",IF($T681="","",$T681),IF($S681="DELIVERY_CHARGE_ONLY",IF($K681="","",SUM($K681,$U681)),IF($S681="EXACT_COLLECTION_AMOUNT",IF($T681="","",$T681),IF($S681="ITEM_PRICE_ONLY_DELIVERY_PAID_BY_MERCHANT",IF($J681="","",SUM($J681,$U681)),""))))))</f>
        <v/>
      </c>
      <c r="M681" s="12" t="n"/>
      <c r="N681" s="13" t="n"/>
      <c r="O681" s="13" t="n"/>
      <c r="P681" s="9" t="n"/>
      <c r="Q681" s="14" t="n"/>
      <c r="R681" s="15" t="n"/>
      <c r="S681" s="14" t="n"/>
      <c r="T681" s="16" t="n"/>
      <c r="U681" s="16" t="n"/>
      <c r="V681" s="16" t="n"/>
      <c r="W681" s="16" t="n"/>
      <c r="X681" s="16" t="n"/>
      <c r="Y681" s="16" t="n"/>
      <c r="Z681" s="14" t="n"/>
      <c r="AA681" s="14" t="n"/>
      <c r="AB681" s="14" t="n"/>
      <c r="AC681" s="17">
        <f>IFERROR(VLOOKUP($H681&amp;"|"&amp;$Q681,Tariff_Master!$A$2:$L$169,3,FALSE),"")</f>
        <v/>
      </c>
      <c r="AD681" s="17">
        <f>IFERROR(VLOOKUP($H681&amp;"|"&amp;$Q681,Tariff_Master!$A$2:$L$169,4,FALSE),"")</f>
        <v/>
      </c>
      <c r="AE681" s="18">
        <f>IFERROR(VLOOKUP($H681&amp;"|"&amp;$Q681,Tariff_Master!$A$2:$L$169,6,FALSE),"")</f>
        <v/>
      </c>
      <c r="AF681" s="19">
        <f>IFERROR(VLOOKUP($H681&amp;"|"&amp;$Q681,Tariff_Master!$A$2:$L$169,7,FALSE),"")</f>
        <v/>
      </c>
      <c r="AG681" s="18">
        <f>IFERROR(VLOOKUP($H681&amp;"|"&amp;$Q681,Tariff_Master!$A$2:$L$169,8,FALSE),"")</f>
        <v/>
      </c>
      <c r="AH681" s="20">
        <f>IFERROR(VLOOKUP($H681&amp;"|"&amp;$Q681,Tariff_Master!$A$2:$L$169,9,FALSE),"")</f>
        <v/>
      </c>
      <c r="AI681" s="18">
        <f>IFERROR(VLOOKUP($H681&amp;"|"&amp;$Q681,Tariff_Master!$A$2:$L$169,10,FALSE),"")</f>
        <v/>
      </c>
      <c r="AJ681" s="21">
        <f>IF($M681="","",ROUNDUP(MAX(0,$M681),0))</f>
        <v/>
      </c>
      <c r="AK681" s="21">
        <f>IF(OR($AJ681="",$AF681=""),"",MAX(0,$AJ681-$AF681))</f>
        <v/>
      </c>
      <c r="AL681" s="22">
        <f>IF(OR($AK681="",$AG681=""),"",MAX(0,$AK681*$AG681))</f>
        <v/>
      </c>
      <c r="AM681" s="22">
        <f>IF($AE681="","",MAX(0,SUM($AE681,$AL681,$V681,$W681)))</f>
        <v/>
      </c>
      <c r="AN681" s="22">
        <f>IF($AM681="","",IF(AND($Q681="COMMITMENT",$R681&gt;=$AH681),$AI681,0))</f>
        <v/>
      </c>
      <c r="AO681" s="23">
        <f>IF($AM681="","",MAX(0,$AM681-$AN681))</f>
        <v/>
      </c>
      <c r="AP681" s="22">
        <f>IF($S681="","",IF(OR($S681="ITEM_PRICE_PLUS_DECLARED_DELIVERY",$S681="DELIVERY_CHARGE_ONLY"),$K681,IF($S681="TOTAL_AMOUNT_INCLUDING_DELIVERY",IF(OR($T681="",$J681=""),"",MAX(0,$T681-$J681-$U681)),IF($S681="ITEM_PRICE_ONLY_DELIVERY_PAID_BY_MERCHANT",0,""))))</f>
        <v/>
      </c>
      <c r="AQ681" s="23">
        <f>IF(OR($AP681="",$AO681=""),"",$AP681-$AO681)</f>
        <v/>
      </c>
      <c r="AR681" s="24">
        <f>IF($S681="EXACT_COLLECTION_AMOUNT","BREAKDOWN_REQUIRED",IF($AQ681="","",IF($AQ681&gt;0,"CREDIT_TO_MERCHANT",IF($AQ681&lt;0,"DEDUCT_FROM_MERCHANT","NO_ADJUSTMENT"))))</f>
        <v/>
      </c>
      <c r="AS681" s="23">
        <f>IF(OR($AQ681="",$AR681="BREAKDOWN_REQUIRED"),"",$AQ681)</f>
        <v/>
      </c>
      <c r="AT681" s="23">
        <f>IF(OR($AR681="",$AR681="BREAKDOWN_REQUIRED"),"",SUM($J681,$AQ681,$Y681)-$X681)</f>
        <v/>
      </c>
      <c r="AU681" s="25">
        <f>IF(AND($A681="",$B681="",$F681="",$H681="",$J681="",$K681="",$M681="",$S681=""),"",IF(OR($H681="",$Q681="",$M681="",$S681=""),"ERROR",IF(OR($J681&lt;0,$K681&lt;0,$M681&lt;0,$T681&lt;0,$U681&lt;0,$V681&lt;0,$W681&lt;0,$X681&lt;0,$Y681&lt;0),"ERROR",IF($AE681="","ERROR",IF(AND(OR($S681="ITEM_PRICE_PLUS_DECLARED_DELIVERY",$S681="TOTAL_AMOUNT_INCLUDING_DELIVERY",$S681="ITEM_PRICE_ONLY_DELIVERY_PAID_BY_MERCHANT"),$J681=""),"ERROR",IF(AND(OR($S681="ITEM_PRICE_PLUS_DECLARED_DELIVERY",$S681="DELIVERY_CHARGE_ONLY"),$K681=""),"ERROR",IF(AND(OR($S681="TOTAL_AMOUNT_INCLUDING_DELIVERY",$S681="EXACT_COLLECTION_AMOUNT"),$T681=""),"ERROR",IF(AND($S681="TOTAL_AMOUNT_INCLUDING_DELIVERY",$T681&lt;SUM($J681,$U681)),"ERROR",IF($S681="EXACT_COLLECTION_AMOUNT","REVIEW","OK")))))))))</f>
        <v/>
      </c>
      <c r="AV681" s="25">
        <f>IF($AU681="","",IF($H681="","Township required",IF($Q681="","Customer tier required",IF($M681="","Weight required",IF($S681="","Amount entry type required",IF(OR($J681&lt;0,$K681&lt;0,$M681&lt;0,$T681&lt;0,$U681&lt;0,$V681&lt;0,$W681&lt;0,$X681&lt;0,$Y681&lt;0),"Negative amounts are not allowed",IF($AE681="","Tariff not found for township and tier",IF(AND(OR($S681="ITEM_PRICE_PLUS_DECLARED_DELIVERY",$S681="TOTAL_AMOUNT_INCLUDING_DELIVERY",$S681="ITEM_PRICE_ONLY_DELIVERY_PAID_BY_MERCHANT"),$J681=""),"Item price required for this amount type",IF(AND(OR($S681="ITEM_PRICE_PLUS_DECLARED_DELIVERY",$S681="DELIVERY_CHARGE_ONLY"),$K681=""),"Declared delivery charge required",IF(AND(OR($S681="TOTAL_AMOUNT_INCLUDING_DELIVERY",$S681="EXACT_COLLECTION_AMOUNT"),$T681=""),"Stated total amount required",IF(AND($S681="TOTAL_AMOUNT_INCLUDING_DELIVERY",$T681&lt;SUM($J681,$U681)),"Stated total is below item price plus additional charge",IF($S681="EXACT_COLLECTION_AMOUNT","Authorized amount breakdown required before settlement","Ready for collection and settlement"))))))))))))</f>
        <v/>
      </c>
      <c r="AW681" s="23">
        <f>IF($AU681="","","PARCEL_FINANCIAL_V2")</f>
        <v/>
      </c>
      <c r="AX681" s="17" t="n"/>
    </row>
    <row r="682">
      <c r="A682" s="8" t="n"/>
      <c r="B682" s="8" t="n"/>
      <c r="C682" s="8" t="n"/>
      <c r="D682" s="8" t="n"/>
      <c r="E682" s="9" t="n"/>
      <c r="F682" s="9" t="n"/>
      <c r="G682" s="8" t="n"/>
      <c r="H682" s="9" t="n"/>
      <c r="I682" s="9" t="n"/>
      <c r="J682" s="10" t="n"/>
      <c r="K682" s="10" t="n"/>
      <c r="L682" s="11">
        <f>IF($S682="","",IF($S682="ITEM_PRICE_PLUS_DECLARED_DELIVERY",IF(OR($J682="",$K682=""),"",SUM($J682,$K682,$U682)),IF($S682="TOTAL_AMOUNT_INCLUDING_DELIVERY",IF($T682="","",$T682),IF($S682="DELIVERY_CHARGE_ONLY",IF($K682="","",SUM($K682,$U682)),IF($S682="EXACT_COLLECTION_AMOUNT",IF($T682="","",$T682),IF($S682="ITEM_PRICE_ONLY_DELIVERY_PAID_BY_MERCHANT",IF($J682="","",SUM($J682,$U682)),""))))))</f>
        <v/>
      </c>
      <c r="M682" s="12" t="n"/>
      <c r="N682" s="13" t="n"/>
      <c r="O682" s="13" t="n"/>
      <c r="P682" s="9" t="n"/>
      <c r="Q682" s="14" t="n"/>
      <c r="R682" s="15" t="n"/>
      <c r="S682" s="14" t="n"/>
      <c r="T682" s="16" t="n"/>
      <c r="U682" s="16" t="n"/>
      <c r="V682" s="16" t="n"/>
      <c r="W682" s="16" t="n"/>
      <c r="X682" s="16" t="n"/>
      <c r="Y682" s="16" t="n"/>
      <c r="Z682" s="14" t="n"/>
      <c r="AA682" s="14" t="n"/>
      <c r="AB682" s="14" t="n"/>
      <c r="AC682" s="17">
        <f>IFERROR(VLOOKUP($H682&amp;"|"&amp;$Q682,Tariff_Master!$A$2:$L$169,3,FALSE),"")</f>
        <v/>
      </c>
      <c r="AD682" s="17">
        <f>IFERROR(VLOOKUP($H682&amp;"|"&amp;$Q682,Tariff_Master!$A$2:$L$169,4,FALSE),"")</f>
        <v/>
      </c>
      <c r="AE682" s="18">
        <f>IFERROR(VLOOKUP($H682&amp;"|"&amp;$Q682,Tariff_Master!$A$2:$L$169,6,FALSE),"")</f>
        <v/>
      </c>
      <c r="AF682" s="19">
        <f>IFERROR(VLOOKUP($H682&amp;"|"&amp;$Q682,Tariff_Master!$A$2:$L$169,7,FALSE),"")</f>
        <v/>
      </c>
      <c r="AG682" s="18">
        <f>IFERROR(VLOOKUP($H682&amp;"|"&amp;$Q682,Tariff_Master!$A$2:$L$169,8,FALSE),"")</f>
        <v/>
      </c>
      <c r="AH682" s="20">
        <f>IFERROR(VLOOKUP($H682&amp;"|"&amp;$Q682,Tariff_Master!$A$2:$L$169,9,FALSE),"")</f>
        <v/>
      </c>
      <c r="AI682" s="18">
        <f>IFERROR(VLOOKUP($H682&amp;"|"&amp;$Q682,Tariff_Master!$A$2:$L$169,10,FALSE),"")</f>
        <v/>
      </c>
      <c r="AJ682" s="21">
        <f>IF($M682="","",ROUNDUP(MAX(0,$M682),0))</f>
        <v/>
      </c>
      <c r="AK682" s="21">
        <f>IF(OR($AJ682="",$AF682=""),"",MAX(0,$AJ682-$AF682))</f>
        <v/>
      </c>
      <c r="AL682" s="22">
        <f>IF(OR($AK682="",$AG682=""),"",MAX(0,$AK682*$AG682))</f>
        <v/>
      </c>
      <c r="AM682" s="22">
        <f>IF($AE682="","",MAX(0,SUM($AE682,$AL682,$V682,$W682)))</f>
        <v/>
      </c>
      <c r="AN682" s="22">
        <f>IF($AM682="","",IF(AND($Q682="COMMITMENT",$R682&gt;=$AH682),$AI682,0))</f>
        <v/>
      </c>
      <c r="AO682" s="23">
        <f>IF($AM682="","",MAX(0,$AM682-$AN682))</f>
        <v/>
      </c>
      <c r="AP682" s="22">
        <f>IF($S682="","",IF(OR($S682="ITEM_PRICE_PLUS_DECLARED_DELIVERY",$S682="DELIVERY_CHARGE_ONLY"),$K682,IF($S682="TOTAL_AMOUNT_INCLUDING_DELIVERY",IF(OR($T682="",$J682=""),"",MAX(0,$T682-$J682-$U682)),IF($S682="ITEM_PRICE_ONLY_DELIVERY_PAID_BY_MERCHANT",0,""))))</f>
        <v/>
      </c>
      <c r="AQ682" s="23">
        <f>IF(OR($AP682="",$AO682=""),"",$AP682-$AO682)</f>
        <v/>
      </c>
      <c r="AR682" s="24">
        <f>IF($S682="EXACT_COLLECTION_AMOUNT","BREAKDOWN_REQUIRED",IF($AQ682="","",IF($AQ682&gt;0,"CREDIT_TO_MERCHANT",IF($AQ682&lt;0,"DEDUCT_FROM_MERCHANT","NO_ADJUSTMENT"))))</f>
        <v/>
      </c>
      <c r="AS682" s="23">
        <f>IF(OR($AQ682="",$AR682="BREAKDOWN_REQUIRED"),"",$AQ682)</f>
        <v/>
      </c>
      <c r="AT682" s="23">
        <f>IF(OR($AR682="",$AR682="BREAKDOWN_REQUIRED"),"",SUM($J682,$AQ682,$Y682)-$X682)</f>
        <v/>
      </c>
      <c r="AU682" s="25">
        <f>IF(AND($A682="",$B682="",$F682="",$H682="",$J682="",$K682="",$M682="",$S682=""),"",IF(OR($H682="",$Q682="",$M682="",$S682=""),"ERROR",IF(OR($J682&lt;0,$K682&lt;0,$M682&lt;0,$T682&lt;0,$U682&lt;0,$V682&lt;0,$W682&lt;0,$X682&lt;0,$Y682&lt;0),"ERROR",IF($AE682="","ERROR",IF(AND(OR($S682="ITEM_PRICE_PLUS_DECLARED_DELIVERY",$S682="TOTAL_AMOUNT_INCLUDING_DELIVERY",$S682="ITEM_PRICE_ONLY_DELIVERY_PAID_BY_MERCHANT"),$J682=""),"ERROR",IF(AND(OR($S682="ITEM_PRICE_PLUS_DECLARED_DELIVERY",$S682="DELIVERY_CHARGE_ONLY"),$K682=""),"ERROR",IF(AND(OR($S682="TOTAL_AMOUNT_INCLUDING_DELIVERY",$S682="EXACT_COLLECTION_AMOUNT"),$T682=""),"ERROR",IF(AND($S682="TOTAL_AMOUNT_INCLUDING_DELIVERY",$T682&lt;SUM($J682,$U682)),"ERROR",IF($S682="EXACT_COLLECTION_AMOUNT","REVIEW","OK")))))))))</f>
        <v/>
      </c>
      <c r="AV682" s="25">
        <f>IF($AU682="","",IF($H682="","Township required",IF($Q682="","Customer tier required",IF($M682="","Weight required",IF($S682="","Amount entry type required",IF(OR($J682&lt;0,$K682&lt;0,$M682&lt;0,$T682&lt;0,$U682&lt;0,$V682&lt;0,$W682&lt;0,$X682&lt;0,$Y682&lt;0),"Negative amounts are not allowed",IF($AE682="","Tariff not found for township and tier",IF(AND(OR($S682="ITEM_PRICE_PLUS_DECLARED_DELIVERY",$S682="TOTAL_AMOUNT_INCLUDING_DELIVERY",$S682="ITEM_PRICE_ONLY_DELIVERY_PAID_BY_MERCHANT"),$J682=""),"Item price required for this amount type",IF(AND(OR($S682="ITEM_PRICE_PLUS_DECLARED_DELIVERY",$S682="DELIVERY_CHARGE_ONLY"),$K682=""),"Declared delivery charge required",IF(AND(OR($S682="TOTAL_AMOUNT_INCLUDING_DELIVERY",$S682="EXACT_COLLECTION_AMOUNT"),$T682=""),"Stated total amount required",IF(AND($S682="TOTAL_AMOUNT_INCLUDING_DELIVERY",$T682&lt;SUM($J682,$U682)),"Stated total is below item price plus additional charge",IF($S682="EXACT_COLLECTION_AMOUNT","Authorized amount breakdown required before settlement","Ready for collection and settlement"))))))))))))</f>
        <v/>
      </c>
      <c r="AW682" s="23">
        <f>IF($AU682="","","PARCEL_FINANCIAL_V2")</f>
        <v/>
      </c>
      <c r="AX682" s="17" t="n"/>
    </row>
    <row r="683">
      <c r="A683" s="8" t="n"/>
      <c r="B683" s="8" t="n"/>
      <c r="C683" s="8" t="n"/>
      <c r="D683" s="8" t="n"/>
      <c r="E683" s="9" t="n"/>
      <c r="F683" s="9" t="n"/>
      <c r="G683" s="8" t="n"/>
      <c r="H683" s="9" t="n"/>
      <c r="I683" s="9" t="n"/>
      <c r="J683" s="10" t="n"/>
      <c r="K683" s="10" t="n"/>
      <c r="L683" s="11">
        <f>IF($S683="","",IF($S683="ITEM_PRICE_PLUS_DECLARED_DELIVERY",IF(OR($J683="",$K683=""),"",SUM($J683,$K683,$U683)),IF($S683="TOTAL_AMOUNT_INCLUDING_DELIVERY",IF($T683="","",$T683),IF($S683="DELIVERY_CHARGE_ONLY",IF($K683="","",SUM($K683,$U683)),IF($S683="EXACT_COLLECTION_AMOUNT",IF($T683="","",$T683),IF($S683="ITEM_PRICE_ONLY_DELIVERY_PAID_BY_MERCHANT",IF($J683="","",SUM($J683,$U683)),""))))))</f>
        <v/>
      </c>
      <c r="M683" s="12" t="n"/>
      <c r="N683" s="13" t="n"/>
      <c r="O683" s="13" t="n"/>
      <c r="P683" s="9" t="n"/>
      <c r="Q683" s="14" t="n"/>
      <c r="R683" s="15" t="n"/>
      <c r="S683" s="14" t="n"/>
      <c r="T683" s="16" t="n"/>
      <c r="U683" s="16" t="n"/>
      <c r="V683" s="16" t="n"/>
      <c r="W683" s="16" t="n"/>
      <c r="X683" s="16" t="n"/>
      <c r="Y683" s="16" t="n"/>
      <c r="Z683" s="14" t="n"/>
      <c r="AA683" s="14" t="n"/>
      <c r="AB683" s="14" t="n"/>
      <c r="AC683" s="17">
        <f>IFERROR(VLOOKUP($H683&amp;"|"&amp;$Q683,Tariff_Master!$A$2:$L$169,3,FALSE),"")</f>
        <v/>
      </c>
      <c r="AD683" s="17">
        <f>IFERROR(VLOOKUP($H683&amp;"|"&amp;$Q683,Tariff_Master!$A$2:$L$169,4,FALSE),"")</f>
        <v/>
      </c>
      <c r="AE683" s="18">
        <f>IFERROR(VLOOKUP($H683&amp;"|"&amp;$Q683,Tariff_Master!$A$2:$L$169,6,FALSE),"")</f>
        <v/>
      </c>
      <c r="AF683" s="19">
        <f>IFERROR(VLOOKUP($H683&amp;"|"&amp;$Q683,Tariff_Master!$A$2:$L$169,7,FALSE),"")</f>
        <v/>
      </c>
      <c r="AG683" s="18">
        <f>IFERROR(VLOOKUP($H683&amp;"|"&amp;$Q683,Tariff_Master!$A$2:$L$169,8,FALSE),"")</f>
        <v/>
      </c>
      <c r="AH683" s="20">
        <f>IFERROR(VLOOKUP($H683&amp;"|"&amp;$Q683,Tariff_Master!$A$2:$L$169,9,FALSE),"")</f>
        <v/>
      </c>
      <c r="AI683" s="18">
        <f>IFERROR(VLOOKUP($H683&amp;"|"&amp;$Q683,Tariff_Master!$A$2:$L$169,10,FALSE),"")</f>
        <v/>
      </c>
      <c r="AJ683" s="21">
        <f>IF($M683="","",ROUNDUP(MAX(0,$M683),0))</f>
        <v/>
      </c>
      <c r="AK683" s="21">
        <f>IF(OR($AJ683="",$AF683=""),"",MAX(0,$AJ683-$AF683))</f>
        <v/>
      </c>
      <c r="AL683" s="22">
        <f>IF(OR($AK683="",$AG683=""),"",MAX(0,$AK683*$AG683))</f>
        <v/>
      </c>
      <c r="AM683" s="22">
        <f>IF($AE683="","",MAX(0,SUM($AE683,$AL683,$V683,$W683)))</f>
        <v/>
      </c>
      <c r="AN683" s="22">
        <f>IF($AM683="","",IF(AND($Q683="COMMITMENT",$R683&gt;=$AH683),$AI683,0))</f>
        <v/>
      </c>
      <c r="AO683" s="23">
        <f>IF($AM683="","",MAX(0,$AM683-$AN683))</f>
        <v/>
      </c>
      <c r="AP683" s="22">
        <f>IF($S683="","",IF(OR($S683="ITEM_PRICE_PLUS_DECLARED_DELIVERY",$S683="DELIVERY_CHARGE_ONLY"),$K683,IF($S683="TOTAL_AMOUNT_INCLUDING_DELIVERY",IF(OR($T683="",$J683=""),"",MAX(0,$T683-$J683-$U683)),IF($S683="ITEM_PRICE_ONLY_DELIVERY_PAID_BY_MERCHANT",0,""))))</f>
        <v/>
      </c>
      <c r="AQ683" s="23">
        <f>IF(OR($AP683="",$AO683=""),"",$AP683-$AO683)</f>
        <v/>
      </c>
      <c r="AR683" s="24">
        <f>IF($S683="EXACT_COLLECTION_AMOUNT","BREAKDOWN_REQUIRED",IF($AQ683="","",IF($AQ683&gt;0,"CREDIT_TO_MERCHANT",IF($AQ683&lt;0,"DEDUCT_FROM_MERCHANT","NO_ADJUSTMENT"))))</f>
        <v/>
      </c>
      <c r="AS683" s="23">
        <f>IF(OR($AQ683="",$AR683="BREAKDOWN_REQUIRED"),"",$AQ683)</f>
        <v/>
      </c>
      <c r="AT683" s="23">
        <f>IF(OR($AR683="",$AR683="BREAKDOWN_REQUIRED"),"",SUM($J683,$AQ683,$Y683)-$X683)</f>
        <v/>
      </c>
      <c r="AU683" s="25">
        <f>IF(AND($A683="",$B683="",$F683="",$H683="",$J683="",$K683="",$M683="",$S683=""),"",IF(OR($H683="",$Q683="",$M683="",$S683=""),"ERROR",IF(OR($J683&lt;0,$K683&lt;0,$M683&lt;0,$T683&lt;0,$U683&lt;0,$V683&lt;0,$W683&lt;0,$X683&lt;0,$Y683&lt;0),"ERROR",IF($AE683="","ERROR",IF(AND(OR($S683="ITEM_PRICE_PLUS_DECLARED_DELIVERY",$S683="TOTAL_AMOUNT_INCLUDING_DELIVERY",$S683="ITEM_PRICE_ONLY_DELIVERY_PAID_BY_MERCHANT"),$J683=""),"ERROR",IF(AND(OR($S683="ITEM_PRICE_PLUS_DECLARED_DELIVERY",$S683="DELIVERY_CHARGE_ONLY"),$K683=""),"ERROR",IF(AND(OR($S683="TOTAL_AMOUNT_INCLUDING_DELIVERY",$S683="EXACT_COLLECTION_AMOUNT"),$T683=""),"ERROR",IF(AND($S683="TOTAL_AMOUNT_INCLUDING_DELIVERY",$T683&lt;SUM($J683,$U683)),"ERROR",IF($S683="EXACT_COLLECTION_AMOUNT","REVIEW","OK")))))))))</f>
        <v/>
      </c>
      <c r="AV683" s="25">
        <f>IF($AU683="","",IF($H683="","Township required",IF($Q683="","Customer tier required",IF($M683="","Weight required",IF($S683="","Amount entry type required",IF(OR($J683&lt;0,$K683&lt;0,$M683&lt;0,$T683&lt;0,$U683&lt;0,$V683&lt;0,$W683&lt;0,$X683&lt;0,$Y683&lt;0),"Negative amounts are not allowed",IF($AE683="","Tariff not found for township and tier",IF(AND(OR($S683="ITEM_PRICE_PLUS_DECLARED_DELIVERY",$S683="TOTAL_AMOUNT_INCLUDING_DELIVERY",$S683="ITEM_PRICE_ONLY_DELIVERY_PAID_BY_MERCHANT"),$J683=""),"Item price required for this amount type",IF(AND(OR($S683="ITEM_PRICE_PLUS_DECLARED_DELIVERY",$S683="DELIVERY_CHARGE_ONLY"),$K683=""),"Declared delivery charge required",IF(AND(OR($S683="TOTAL_AMOUNT_INCLUDING_DELIVERY",$S683="EXACT_COLLECTION_AMOUNT"),$T683=""),"Stated total amount required",IF(AND($S683="TOTAL_AMOUNT_INCLUDING_DELIVERY",$T683&lt;SUM($J683,$U683)),"Stated total is below item price plus additional charge",IF($S683="EXACT_COLLECTION_AMOUNT","Authorized amount breakdown required before settlement","Ready for collection and settlement"))))))))))))</f>
        <v/>
      </c>
      <c r="AW683" s="23">
        <f>IF($AU683="","","PARCEL_FINANCIAL_V2")</f>
        <v/>
      </c>
      <c r="AX683" s="17" t="n"/>
    </row>
    <row r="684">
      <c r="A684" s="8" t="n"/>
      <c r="B684" s="8" t="n"/>
      <c r="C684" s="8" t="n"/>
      <c r="D684" s="8" t="n"/>
      <c r="E684" s="9" t="n"/>
      <c r="F684" s="9" t="n"/>
      <c r="G684" s="8" t="n"/>
      <c r="H684" s="9" t="n"/>
      <c r="I684" s="9" t="n"/>
      <c r="J684" s="10" t="n"/>
      <c r="K684" s="10" t="n"/>
      <c r="L684" s="11">
        <f>IF($S684="","",IF($S684="ITEM_PRICE_PLUS_DECLARED_DELIVERY",IF(OR($J684="",$K684=""),"",SUM($J684,$K684,$U684)),IF($S684="TOTAL_AMOUNT_INCLUDING_DELIVERY",IF($T684="","",$T684),IF($S684="DELIVERY_CHARGE_ONLY",IF($K684="","",SUM($K684,$U684)),IF($S684="EXACT_COLLECTION_AMOUNT",IF($T684="","",$T684),IF($S684="ITEM_PRICE_ONLY_DELIVERY_PAID_BY_MERCHANT",IF($J684="","",SUM($J684,$U684)),""))))))</f>
        <v/>
      </c>
      <c r="M684" s="12" t="n"/>
      <c r="N684" s="13" t="n"/>
      <c r="O684" s="13" t="n"/>
      <c r="P684" s="9" t="n"/>
      <c r="Q684" s="14" t="n"/>
      <c r="R684" s="15" t="n"/>
      <c r="S684" s="14" t="n"/>
      <c r="T684" s="16" t="n"/>
      <c r="U684" s="16" t="n"/>
      <c r="V684" s="16" t="n"/>
      <c r="W684" s="16" t="n"/>
      <c r="X684" s="16" t="n"/>
      <c r="Y684" s="16" t="n"/>
      <c r="Z684" s="14" t="n"/>
      <c r="AA684" s="14" t="n"/>
      <c r="AB684" s="14" t="n"/>
      <c r="AC684" s="17">
        <f>IFERROR(VLOOKUP($H684&amp;"|"&amp;$Q684,Tariff_Master!$A$2:$L$169,3,FALSE),"")</f>
        <v/>
      </c>
      <c r="AD684" s="17">
        <f>IFERROR(VLOOKUP($H684&amp;"|"&amp;$Q684,Tariff_Master!$A$2:$L$169,4,FALSE),"")</f>
        <v/>
      </c>
      <c r="AE684" s="18">
        <f>IFERROR(VLOOKUP($H684&amp;"|"&amp;$Q684,Tariff_Master!$A$2:$L$169,6,FALSE),"")</f>
        <v/>
      </c>
      <c r="AF684" s="19">
        <f>IFERROR(VLOOKUP($H684&amp;"|"&amp;$Q684,Tariff_Master!$A$2:$L$169,7,FALSE),"")</f>
        <v/>
      </c>
      <c r="AG684" s="18">
        <f>IFERROR(VLOOKUP($H684&amp;"|"&amp;$Q684,Tariff_Master!$A$2:$L$169,8,FALSE),"")</f>
        <v/>
      </c>
      <c r="AH684" s="20">
        <f>IFERROR(VLOOKUP($H684&amp;"|"&amp;$Q684,Tariff_Master!$A$2:$L$169,9,FALSE),"")</f>
        <v/>
      </c>
      <c r="AI684" s="18">
        <f>IFERROR(VLOOKUP($H684&amp;"|"&amp;$Q684,Tariff_Master!$A$2:$L$169,10,FALSE),"")</f>
        <v/>
      </c>
      <c r="AJ684" s="21">
        <f>IF($M684="","",ROUNDUP(MAX(0,$M684),0))</f>
        <v/>
      </c>
      <c r="AK684" s="21">
        <f>IF(OR($AJ684="",$AF684=""),"",MAX(0,$AJ684-$AF684))</f>
        <v/>
      </c>
      <c r="AL684" s="22">
        <f>IF(OR($AK684="",$AG684=""),"",MAX(0,$AK684*$AG684))</f>
        <v/>
      </c>
      <c r="AM684" s="22">
        <f>IF($AE684="","",MAX(0,SUM($AE684,$AL684,$V684,$W684)))</f>
        <v/>
      </c>
      <c r="AN684" s="22">
        <f>IF($AM684="","",IF(AND($Q684="COMMITMENT",$R684&gt;=$AH684),$AI684,0))</f>
        <v/>
      </c>
      <c r="AO684" s="23">
        <f>IF($AM684="","",MAX(0,$AM684-$AN684))</f>
        <v/>
      </c>
      <c r="AP684" s="22">
        <f>IF($S684="","",IF(OR($S684="ITEM_PRICE_PLUS_DECLARED_DELIVERY",$S684="DELIVERY_CHARGE_ONLY"),$K684,IF($S684="TOTAL_AMOUNT_INCLUDING_DELIVERY",IF(OR($T684="",$J684=""),"",MAX(0,$T684-$J684-$U684)),IF($S684="ITEM_PRICE_ONLY_DELIVERY_PAID_BY_MERCHANT",0,""))))</f>
        <v/>
      </c>
      <c r="AQ684" s="23">
        <f>IF(OR($AP684="",$AO684=""),"",$AP684-$AO684)</f>
        <v/>
      </c>
      <c r="AR684" s="24">
        <f>IF($S684="EXACT_COLLECTION_AMOUNT","BREAKDOWN_REQUIRED",IF($AQ684="","",IF($AQ684&gt;0,"CREDIT_TO_MERCHANT",IF($AQ684&lt;0,"DEDUCT_FROM_MERCHANT","NO_ADJUSTMENT"))))</f>
        <v/>
      </c>
      <c r="AS684" s="23">
        <f>IF(OR($AQ684="",$AR684="BREAKDOWN_REQUIRED"),"",$AQ684)</f>
        <v/>
      </c>
      <c r="AT684" s="23">
        <f>IF(OR($AR684="",$AR684="BREAKDOWN_REQUIRED"),"",SUM($J684,$AQ684,$Y684)-$X684)</f>
        <v/>
      </c>
      <c r="AU684" s="25">
        <f>IF(AND($A684="",$B684="",$F684="",$H684="",$J684="",$K684="",$M684="",$S684=""),"",IF(OR($H684="",$Q684="",$M684="",$S684=""),"ERROR",IF(OR($J684&lt;0,$K684&lt;0,$M684&lt;0,$T684&lt;0,$U684&lt;0,$V684&lt;0,$W684&lt;0,$X684&lt;0,$Y684&lt;0),"ERROR",IF($AE684="","ERROR",IF(AND(OR($S684="ITEM_PRICE_PLUS_DECLARED_DELIVERY",$S684="TOTAL_AMOUNT_INCLUDING_DELIVERY",$S684="ITEM_PRICE_ONLY_DELIVERY_PAID_BY_MERCHANT"),$J684=""),"ERROR",IF(AND(OR($S684="ITEM_PRICE_PLUS_DECLARED_DELIVERY",$S684="DELIVERY_CHARGE_ONLY"),$K684=""),"ERROR",IF(AND(OR($S684="TOTAL_AMOUNT_INCLUDING_DELIVERY",$S684="EXACT_COLLECTION_AMOUNT"),$T684=""),"ERROR",IF(AND($S684="TOTAL_AMOUNT_INCLUDING_DELIVERY",$T684&lt;SUM($J684,$U684)),"ERROR",IF($S684="EXACT_COLLECTION_AMOUNT","REVIEW","OK")))))))))</f>
        <v/>
      </c>
      <c r="AV684" s="25">
        <f>IF($AU684="","",IF($H684="","Township required",IF($Q684="","Customer tier required",IF($M684="","Weight required",IF($S684="","Amount entry type required",IF(OR($J684&lt;0,$K684&lt;0,$M684&lt;0,$T684&lt;0,$U684&lt;0,$V684&lt;0,$W684&lt;0,$X684&lt;0,$Y684&lt;0),"Negative amounts are not allowed",IF($AE684="","Tariff not found for township and tier",IF(AND(OR($S684="ITEM_PRICE_PLUS_DECLARED_DELIVERY",$S684="TOTAL_AMOUNT_INCLUDING_DELIVERY",$S684="ITEM_PRICE_ONLY_DELIVERY_PAID_BY_MERCHANT"),$J684=""),"Item price required for this amount type",IF(AND(OR($S684="ITEM_PRICE_PLUS_DECLARED_DELIVERY",$S684="DELIVERY_CHARGE_ONLY"),$K684=""),"Declared delivery charge required",IF(AND(OR($S684="TOTAL_AMOUNT_INCLUDING_DELIVERY",$S684="EXACT_COLLECTION_AMOUNT"),$T684=""),"Stated total amount required",IF(AND($S684="TOTAL_AMOUNT_INCLUDING_DELIVERY",$T684&lt;SUM($J684,$U684)),"Stated total is below item price plus additional charge",IF($S684="EXACT_COLLECTION_AMOUNT","Authorized amount breakdown required before settlement","Ready for collection and settlement"))))))))))))</f>
        <v/>
      </c>
      <c r="AW684" s="23">
        <f>IF($AU684="","","PARCEL_FINANCIAL_V2")</f>
        <v/>
      </c>
      <c r="AX684" s="17" t="n"/>
    </row>
    <row r="685">
      <c r="A685" s="8" t="n"/>
      <c r="B685" s="8" t="n"/>
      <c r="C685" s="8" t="n"/>
      <c r="D685" s="8" t="n"/>
      <c r="E685" s="9" t="n"/>
      <c r="F685" s="9" t="n"/>
      <c r="G685" s="8" t="n"/>
      <c r="H685" s="9" t="n"/>
      <c r="I685" s="9" t="n"/>
      <c r="J685" s="10" t="n"/>
      <c r="K685" s="10" t="n"/>
      <c r="L685" s="11">
        <f>IF($S685="","",IF($S685="ITEM_PRICE_PLUS_DECLARED_DELIVERY",IF(OR($J685="",$K685=""),"",SUM($J685,$K685,$U685)),IF($S685="TOTAL_AMOUNT_INCLUDING_DELIVERY",IF($T685="","",$T685),IF($S685="DELIVERY_CHARGE_ONLY",IF($K685="","",SUM($K685,$U685)),IF($S685="EXACT_COLLECTION_AMOUNT",IF($T685="","",$T685),IF($S685="ITEM_PRICE_ONLY_DELIVERY_PAID_BY_MERCHANT",IF($J685="","",SUM($J685,$U685)),""))))))</f>
        <v/>
      </c>
      <c r="M685" s="12" t="n"/>
      <c r="N685" s="13" t="n"/>
      <c r="O685" s="13" t="n"/>
      <c r="P685" s="9" t="n"/>
      <c r="Q685" s="14" t="n"/>
      <c r="R685" s="15" t="n"/>
      <c r="S685" s="14" t="n"/>
      <c r="T685" s="16" t="n"/>
      <c r="U685" s="16" t="n"/>
      <c r="V685" s="16" t="n"/>
      <c r="W685" s="16" t="n"/>
      <c r="X685" s="16" t="n"/>
      <c r="Y685" s="16" t="n"/>
      <c r="Z685" s="14" t="n"/>
      <c r="AA685" s="14" t="n"/>
      <c r="AB685" s="14" t="n"/>
      <c r="AC685" s="17">
        <f>IFERROR(VLOOKUP($H685&amp;"|"&amp;$Q685,Tariff_Master!$A$2:$L$169,3,FALSE),"")</f>
        <v/>
      </c>
      <c r="AD685" s="17">
        <f>IFERROR(VLOOKUP($H685&amp;"|"&amp;$Q685,Tariff_Master!$A$2:$L$169,4,FALSE),"")</f>
        <v/>
      </c>
      <c r="AE685" s="18">
        <f>IFERROR(VLOOKUP($H685&amp;"|"&amp;$Q685,Tariff_Master!$A$2:$L$169,6,FALSE),"")</f>
        <v/>
      </c>
      <c r="AF685" s="19">
        <f>IFERROR(VLOOKUP($H685&amp;"|"&amp;$Q685,Tariff_Master!$A$2:$L$169,7,FALSE),"")</f>
        <v/>
      </c>
      <c r="AG685" s="18">
        <f>IFERROR(VLOOKUP($H685&amp;"|"&amp;$Q685,Tariff_Master!$A$2:$L$169,8,FALSE),"")</f>
        <v/>
      </c>
      <c r="AH685" s="20">
        <f>IFERROR(VLOOKUP($H685&amp;"|"&amp;$Q685,Tariff_Master!$A$2:$L$169,9,FALSE),"")</f>
        <v/>
      </c>
      <c r="AI685" s="18">
        <f>IFERROR(VLOOKUP($H685&amp;"|"&amp;$Q685,Tariff_Master!$A$2:$L$169,10,FALSE),"")</f>
        <v/>
      </c>
      <c r="AJ685" s="21">
        <f>IF($M685="","",ROUNDUP(MAX(0,$M685),0))</f>
        <v/>
      </c>
      <c r="AK685" s="21">
        <f>IF(OR($AJ685="",$AF685=""),"",MAX(0,$AJ685-$AF685))</f>
        <v/>
      </c>
      <c r="AL685" s="22">
        <f>IF(OR($AK685="",$AG685=""),"",MAX(0,$AK685*$AG685))</f>
        <v/>
      </c>
      <c r="AM685" s="22">
        <f>IF($AE685="","",MAX(0,SUM($AE685,$AL685,$V685,$W685)))</f>
        <v/>
      </c>
      <c r="AN685" s="22">
        <f>IF($AM685="","",IF(AND($Q685="COMMITMENT",$R685&gt;=$AH685),$AI685,0))</f>
        <v/>
      </c>
      <c r="AO685" s="23">
        <f>IF($AM685="","",MAX(0,$AM685-$AN685))</f>
        <v/>
      </c>
      <c r="AP685" s="22">
        <f>IF($S685="","",IF(OR($S685="ITEM_PRICE_PLUS_DECLARED_DELIVERY",$S685="DELIVERY_CHARGE_ONLY"),$K685,IF($S685="TOTAL_AMOUNT_INCLUDING_DELIVERY",IF(OR($T685="",$J685=""),"",MAX(0,$T685-$J685-$U685)),IF($S685="ITEM_PRICE_ONLY_DELIVERY_PAID_BY_MERCHANT",0,""))))</f>
        <v/>
      </c>
      <c r="AQ685" s="23">
        <f>IF(OR($AP685="",$AO685=""),"",$AP685-$AO685)</f>
        <v/>
      </c>
      <c r="AR685" s="24">
        <f>IF($S685="EXACT_COLLECTION_AMOUNT","BREAKDOWN_REQUIRED",IF($AQ685="","",IF($AQ685&gt;0,"CREDIT_TO_MERCHANT",IF($AQ685&lt;0,"DEDUCT_FROM_MERCHANT","NO_ADJUSTMENT"))))</f>
        <v/>
      </c>
      <c r="AS685" s="23">
        <f>IF(OR($AQ685="",$AR685="BREAKDOWN_REQUIRED"),"",$AQ685)</f>
        <v/>
      </c>
      <c r="AT685" s="23">
        <f>IF(OR($AR685="",$AR685="BREAKDOWN_REQUIRED"),"",SUM($J685,$AQ685,$Y685)-$X685)</f>
        <v/>
      </c>
      <c r="AU685" s="25">
        <f>IF(AND($A685="",$B685="",$F685="",$H685="",$J685="",$K685="",$M685="",$S685=""),"",IF(OR($H685="",$Q685="",$M685="",$S685=""),"ERROR",IF(OR($J685&lt;0,$K685&lt;0,$M685&lt;0,$T685&lt;0,$U685&lt;0,$V685&lt;0,$W685&lt;0,$X685&lt;0,$Y685&lt;0),"ERROR",IF($AE685="","ERROR",IF(AND(OR($S685="ITEM_PRICE_PLUS_DECLARED_DELIVERY",$S685="TOTAL_AMOUNT_INCLUDING_DELIVERY",$S685="ITEM_PRICE_ONLY_DELIVERY_PAID_BY_MERCHANT"),$J685=""),"ERROR",IF(AND(OR($S685="ITEM_PRICE_PLUS_DECLARED_DELIVERY",$S685="DELIVERY_CHARGE_ONLY"),$K685=""),"ERROR",IF(AND(OR($S685="TOTAL_AMOUNT_INCLUDING_DELIVERY",$S685="EXACT_COLLECTION_AMOUNT"),$T685=""),"ERROR",IF(AND($S685="TOTAL_AMOUNT_INCLUDING_DELIVERY",$T685&lt;SUM($J685,$U685)),"ERROR",IF($S685="EXACT_COLLECTION_AMOUNT","REVIEW","OK")))))))))</f>
        <v/>
      </c>
      <c r="AV685" s="25">
        <f>IF($AU685="","",IF($H685="","Township required",IF($Q685="","Customer tier required",IF($M685="","Weight required",IF($S685="","Amount entry type required",IF(OR($J685&lt;0,$K685&lt;0,$M685&lt;0,$T685&lt;0,$U685&lt;0,$V685&lt;0,$W685&lt;0,$X685&lt;0,$Y685&lt;0),"Negative amounts are not allowed",IF($AE685="","Tariff not found for township and tier",IF(AND(OR($S685="ITEM_PRICE_PLUS_DECLARED_DELIVERY",$S685="TOTAL_AMOUNT_INCLUDING_DELIVERY",$S685="ITEM_PRICE_ONLY_DELIVERY_PAID_BY_MERCHANT"),$J685=""),"Item price required for this amount type",IF(AND(OR($S685="ITEM_PRICE_PLUS_DECLARED_DELIVERY",$S685="DELIVERY_CHARGE_ONLY"),$K685=""),"Declared delivery charge required",IF(AND(OR($S685="TOTAL_AMOUNT_INCLUDING_DELIVERY",$S685="EXACT_COLLECTION_AMOUNT"),$T685=""),"Stated total amount required",IF(AND($S685="TOTAL_AMOUNT_INCLUDING_DELIVERY",$T685&lt;SUM($J685,$U685)),"Stated total is below item price plus additional charge",IF($S685="EXACT_COLLECTION_AMOUNT","Authorized amount breakdown required before settlement","Ready for collection and settlement"))))))))))))</f>
        <v/>
      </c>
      <c r="AW685" s="23">
        <f>IF($AU685="","","PARCEL_FINANCIAL_V2")</f>
        <v/>
      </c>
      <c r="AX685" s="17" t="n"/>
    </row>
    <row r="686">
      <c r="A686" s="8" t="n"/>
      <c r="B686" s="8" t="n"/>
      <c r="C686" s="8" t="n"/>
      <c r="D686" s="8" t="n"/>
      <c r="E686" s="9" t="n"/>
      <c r="F686" s="9" t="n"/>
      <c r="G686" s="8" t="n"/>
      <c r="H686" s="9" t="n"/>
      <c r="I686" s="9" t="n"/>
      <c r="J686" s="10" t="n"/>
      <c r="K686" s="10" t="n"/>
      <c r="L686" s="11">
        <f>IF($S686="","",IF($S686="ITEM_PRICE_PLUS_DECLARED_DELIVERY",IF(OR($J686="",$K686=""),"",SUM($J686,$K686,$U686)),IF($S686="TOTAL_AMOUNT_INCLUDING_DELIVERY",IF($T686="","",$T686),IF($S686="DELIVERY_CHARGE_ONLY",IF($K686="","",SUM($K686,$U686)),IF($S686="EXACT_COLLECTION_AMOUNT",IF($T686="","",$T686),IF($S686="ITEM_PRICE_ONLY_DELIVERY_PAID_BY_MERCHANT",IF($J686="","",SUM($J686,$U686)),""))))))</f>
        <v/>
      </c>
      <c r="M686" s="12" t="n"/>
      <c r="N686" s="13" t="n"/>
      <c r="O686" s="13" t="n"/>
      <c r="P686" s="9" t="n"/>
      <c r="Q686" s="14" t="n"/>
      <c r="R686" s="15" t="n"/>
      <c r="S686" s="14" t="n"/>
      <c r="T686" s="16" t="n"/>
      <c r="U686" s="16" t="n"/>
      <c r="V686" s="16" t="n"/>
      <c r="W686" s="16" t="n"/>
      <c r="X686" s="16" t="n"/>
      <c r="Y686" s="16" t="n"/>
      <c r="Z686" s="14" t="n"/>
      <c r="AA686" s="14" t="n"/>
      <c r="AB686" s="14" t="n"/>
      <c r="AC686" s="17">
        <f>IFERROR(VLOOKUP($H686&amp;"|"&amp;$Q686,Tariff_Master!$A$2:$L$169,3,FALSE),"")</f>
        <v/>
      </c>
      <c r="AD686" s="17">
        <f>IFERROR(VLOOKUP($H686&amp;"|"&amp;$Q686,Tariff_Master!$A$2:$L$169,4,FALSE),"")</f>
        <v/>
      </c>
      <c r="AE686" s="18">
        <f>IFERROR(VLOOKUP($H686&amp;"|"&amp;$Q686,Tariff_Master!$A$2:$L$169,6,FALSE),"")</f>
        <v/>
      </c>
      <c r="AF686" s="19">
        <f>IFERROR(VLOOKUP($H686&amp;"|"&amp;$Q686,Tariff_Master!$A$2:$L$169,7,FALSE),"")</f>
        <v/>
      </c>
      <c r="AG686" s="18">
        <f>IFERROR(VLOOKUP($H686&amp;"|"&amp;$Q686,Tariff_Master!$A$2:$L$169,8,FALSE),"")</f>
        <v/>
      </c>
      <c r="AH686" s="20">
        <f>IFERROR(VLOOKUP($H686&amp;"|"&amp;$Q686,Tariff_Master!$A$2:$L$169,9,FALSE),"")</f>
        <v/>
      </c>
      <c r="AI686" s="18">
        <f>IFERROR(VLOOKUP($H686&amp;"|"&amp;$Q686,Tariff_Master!$A$2:$L$169,10,FALSE),"")</f>
        <v/>
      </c>
      <c r="AJ686" s="21">
        <f>IF($M686="","",ROUNDUP(MAX(0,$M686),0))</f>
        <v/>
      </c>
      <c r="AK686" s="21">
        <f>IF(OR($AJ686="",$AF686=""),"",MAX(0,$AJ686-$AF686))</f>
        <v/>
      </c>
      <c r="AL686" s="22">
        <f>IF(OR($AK686="",$AG686=""),"",MAX(0,$AK686*$AG686))</f>
        <v/>
      </c>
      <c r="AM686" s="22">
        <f>IF($AE686="","",MAX(0,SUM($AE686,$AL686,$V686,$W686)))</f>
        <v/>
      </c>
      <c r="AN686" s="22">
        <f>IF($AM686="","",IF(AND($Q686="COMMITMENT",$R686&gt;=$AH686),$AI686,0))</f>
        <v/>
      </c>
      <c r="AO686" s="23">
        <f>IF($AM686="","",MAX(0,$AM686-$AN686))</f>
        <v/>
      </c>
      <c r="AP686" s="22">
        <f>IF($S686="","",IF(OR($S686="ITEM_PRICE_PLUS_DECLARED_DELIVERY",$S686="DELIVERY_CHARGE_ONLY"),$K686,IF($S686="TOTAL_AMOUNT_INCLUDING_DELIVERY",IF(OR($T686="",$J686=""),"",MAX(0,$T686-$J686-$U686)),IF($S686="ITEM_PRICE_ONLY_DELIVERY_PAID_BY_MERCHANT",0,""))))</f>
        <v/>
      </c>
      <c r="AQ686" s="23">
        <f>IF(OR($AP686="",$AO686=""),"",$AP686-$AO686)</f>
        <v/>
      </c>
      <c r="AR686" s="24">
        <f>IF($S686="EXACT_COLLECTION_AMOUNT","BREAKDOWN_REQUIRED",IF($AQ686="","",IF($AQ686&gt;0,"CREDIT_TO_MERCHANT",IF($AQ686&lt;0,"DEDUCT_FROM_MERCHANT","NO_ADJUSTMENT"))))</f>
        <v/>
      </c>
      <c r="AS686" s="23">
        <f>IF(OR($AQ686="",$AR686="BREAKDOWN_REQUIRED"),"",$AQ686)</f>
        <v/>
      </c>
      <c r="AT686" s="23">
        <f>IF(OR($AR686="",$AR686="BREAKDOWN_REQUIRED"),"",SUM($J686,$AQ686,$Y686)-$X686)</f>
        <v/>
      </c>
      <c r="AU686" s="25">
        <f>IF(AND($A686="",$B686="",$F686="",$H686="",$J686="",$K686="",$M686="",$S686=""),"",IF(OR($H686="",$Q686="",$M686="",$S686=""),"ERROR",IF(OR($J686&lt;0,$K686&lt;0,$M686&lt;0,$T686&lt;0,$U686&lt;0,$V686&lt;0,$W686&lt;0,$X686&lt;0,$Y686&lt;0),"ERROR",IF($AE686="","ERROR",IF(AND(OR($S686="ITEM_PRICE_PLUS_DECLARED_DELIVERY",$S686="TOTAL_AMOUNT_INCLUDING_DELIVERY",$S686="ITEM_PRICE_ONLY_DELIVERY_PAID_BY_MERCHANT"),$J686=""),"ERROR",IF(AND(OR($S686="ITEM_PRICE_PLUS_DECLARED_DELIVERY",$S686="DELIVERY_CHARGE_ONLY"),$K686=""),"ERROR",IF(AND(OR($S686="TOTAL_AMOUNT_INCLUDING_DELIVERY",$S686="EXACT_COLLECTION_AMOUNT"),$T686=""),"ERROR",IF(AND($S686="TOTAL_AMOUNT_INCLUDING_DELIVERY",$T686&lt;SUM($J686,$U686)),"ERROR",IF($S686="EXACT_COLLECTION_AMOUNT","REVIEW","OK")))))))))</f>
        <v/>
      </c>
      <c r="AV686" s="25">
        <f>IF($AU686="","",IF($H686="","Township required",IF($Q686="","Customer tier required",IF($M686="","Weight required",IF($S686="","Amount entry type required",IF(OR($J686&lt;0,$K686&lt;0,$M686&lt;0,$T686&lt;0,$U686&lt;0,$V686&lt;0,$W686&lt;0,$X686&lt;0,$Y686&lt;0),"Negative amounts are not allowed",IF($AE686="","Tariff not found for township and tier",IF(AND(OR($S686="ITEM_PRICE_PLUS_DECLARED_DELIVERY",$S686="TOTAL_AMOUNT_INCLUDING_DELIVERY",$S686="ITEM_PRICE_ONLY_DELIVERY_PAID_BY_MERCHANT"),$J686=""),"Item price required for this amount type",IF(AND(OR($S686="ITEM_PRICE_PLUS_DECLARED_DELIVERY",$S686="DELIVERY_CHARGE_ONLY"),$K686=""),"Declared delivery charge required",IF(AND(OR($S686="TOTAL_AMOUNT_INCLUDING_DELIVERY",$S686="EXACT_COLLECTION_AMOUNT"),$T686=""),"Stated total amount required",IF(AND($S686="TOTAL_AMOUNT_INCLUDING_DELIVERY",$T686&lt;SUM($J686,$U686)),"Stated total is below item price plus additional charge",IF($S686="EXACT_COLLECTION_AMOUNT","Authorized amount breakdown required before settlement","Ready for collection and settlement"))))))))))))</f>
        <v/>
      </c>
      <c r="AW686" s="23">
        <f>IF($AU686="","","PARCEL_FINANCIAL_V2")</f>
        <v/>
      </c>
      <c r="AX686" s="17" t="n"/>
    </row>
    <row r="687">
      <c r="A687" s="8" t="n"/>
      <c r="B687" s="8" t="n"/>
      <c r="C687" s="8" t="n"/>
      <c r="D687" s="8" t="n"/>
      <c r="E687" s="9" t="n"/>
      <c r="F687" s="9" t="n"/>
      <c r="G687" s="8" t="n"/>
      <c r="H687" s="9" t="n"/>
      <c r="I687" s="9" t="n"/>
      <c r="J687" s="10" t="n"/>
      <c r="K687" s="10" t="n"/>
      <c r="L687" s="11">
        <f>IF($S687="","",IF($S687="ITEM_PRICE_PLUS_DECLARED_DELIVERY",IF(OR($J687="",$K687=""),"",SUM($J687,$K687,$U687)),IF($S687="TOTAL_AMOUNT_INCLUDING_DELIVERY",IF($T687="","",$T687),IF($S687="DELIVERY_CHARGE_ONLY",IF($K687="","",SUM($K687,$U687)),IF($S687="EXACT_COLLECTION_AMOUNT",IF($T687="","",$T687),IF($S687="ITEM_PRICE_ONLY_DELIVERY_PAID_BY_MERCHANT",IF($J687="","",SUM($J687,$U687)),""))))))</f>
        <v/>
      </c>
      <c r="M687" s="12" t="n"/>
      <c r="N687" s="13" t="n"/>
      <c r="O687" s="13" t="n"/>
      <c r="P687" s="9" t="n"/>
      <c r="Q687" s="14" t="n"/>
      <c r="R687" s="15" t="n"/>
      <c r="S687" s="14" t="n"/>
      <c r="T687" s="16" t="n"/>
      <c r="U687" s="16" t="n"/>
      <c r="V687" s="16" t="n"/>
      <c r="W687" s="16" t="n"/>
      <c r="X687" s="16" t="n"/>
      <c r="Y687" s="16" t="n"/>
      <c r="Z687" s="14" t="n"/>
      <c r="AA687" s="14" t="n"/>
      <c r="AB687" s="14" t="n"/>
      <c r="AC687" s="17">
        <f>IFERROR(VLOOKUP($H687&amp;"|"&amp;$Q687,Tariff_Master!$A$2:$L$169,3,FALSE),"")</f>
        <v/>
      </c>
      <c r="AD687" s="17">
        <f>IFERROR(VLOOKUP($H687&amp;"|"&amp;$Q687,Tariff_Master!$A$2:$L$169,4,FALSE),"")</f>
        <v/>
      </c>
      <c r="AE687" s="18">
        <f>IFERROR(VLOOKUP($H687&amp;"|"&amp;$Q687,Tariff_Master!$A$2:$L$169,6,FALSE),"")</f>
        <v/>
      </c>
      <c r="AF687" s="19">
        <f>IFERROR(VLOOKUP($H687&amp;"|"&amp;$Q687,Tariff_Master!$A$2:$L$169,7,FALSE),"")</f>
        <v/>
      </c>
      <c r="AG687" s="18">
        <f>IFERROR(VLOOKUP($H687&amp;"|"&amp;$Q687,Tariff_Master!$A$2:$L$169,8,FALSE),"")</f>
        <v/>
      </c>
      <c r="AH687" s="20">
        <f>IFERROR(VLOOKUP($H687&amp;"|"&amp;$Q687,Tariff_Master!$A$2:$L$169,9,FALSE),"")</f>
        <v/>
      </c>
      <c r="AI687" s="18">
        <f>IFERROR(VLOOKUP($H687&amp;"|"&amp;$Q687,Tariff_Master!$A$2:$L$169,10,FALSE),"")</f>
        <v/>
      </c>
      <c r="AJ687" s="21">
        <f>IF($M687="","",ROUNDUP(MAX(0,$M687),0))</f>
        <v/>
      </c>
      <c r="AK687" s="21">
        <f>IF(OR($AJ687="",$AF687=""),"",MAX(0,$AJ687-$AF687))</f>
        <v/>
      </c>
      <c r="AL687" s="22">
        <f>IF(OR($AK687="",$AG687=""),"",MAX(0,$AK687*$AG687))</f>
        <v/>
      </c>
      <c r="AM687" s="22">
        <f>IF($AE687="","",MAX(0,SUM($AE687,$AL687,$V687,$W687)))</f>
        <v/>
      </c>
      <c r="AN687" s="22">
        <f>IF($AM687="","",IF(AND($Q687="COMMITMENT",$R687&gt;=$AH687),$AI687,0))</f>
        <v/>
      </c>
      <c r="AO687" s="23">
        <f>IF($AM687="","",MAX(0,$AM687-$AN687))</f>
        <v/>
      </c>
      <c r="AP687" s="22">
        <f>IF($S687="","",IF(OR($S687="ITEM_PRICE_PLUS_DECLARED_DELIVERY",$S687="DELIVERY_CHARGE_ONLY"),$K687,IF($S687="TOTAL_AMOUNT_INCLUDING_DELIVERY",IF(OR($T687="",$J687=""),"",MAX(0,$T687-$J687-$U687)),IF($S687="ITEM_PRICE_ONLY_DELIVERY_PAID_BY_MERCHANT",0,""))))</f>
        <v/>
      </c>
      <c r="AQ687" s="23">
        <f>IF(OR($AP687="",$AO687=""),"",$AP687-$AO687)</f>
        <v/>
      </c>
      <c r="AR687" s="24">
        <f>IF($S687="EXACT_COLLECTION_AMOUNT","BREAKDOWN_REQUIRED",IF($AQ687="","",IF($AQ687&gt;0,"CREDIT_TO_MERCHANT",IF($AQ687&lt;0,"DEDUCT_FROM_MERCHANT","NO_ADJUSTMENT"))))</f>
        <v/>
      </c>
      <c r="AS687" s="23">
        <f>IF(OR($AQ687="",$AR687="BREAKDOWN_REQUIRED"),"",$AQ687)</f>
        <v/>
      </c>
      <c r="AT687" s="23">
        <f>IF(OR($AR687="",$AR687="BREAKDOWN_REQUIRED"),"",SUM($J687,$AQ687,$Y687)-$X687)</f>
        <v/>
      </c>
      <c r="AU687" s="25">
        <f>IF(AND($A687="",$B687="",$F687="",$H687="",$J687="",$K687="",$M687="",$S687=""),"",IF(OR($H687="",$Q687="",$M687="",$S687=""),"ERROR",IF(OR($J687&lt;0,$K687&lt;0,$M687&lt;0,$T687&lt;0,$U687&lt;0,$V687&lt;0,$W687&lt;0,$X687&lt;0,$Y687&lt;0),"ERROR",IF($AE687="","ERROR",IF(AND(OR($S687="ITEM_PRICE_PLUS_DECLARED_DELIVERY",$S687="TOTAL_AMOUNT_INCLUDING_DELIVERY",$S687="ITEM_PRICE_ONLY_DELIVERY_PAID_BY_MERCHANT"),$J687=""),"ERROR",IF(AND(OR($S687="ITEM_PRICE_PLUS_DECLARED_DELIVERY",$S687="DELIVERY_CHARGE_ONLY"),$K687=""),"ERROR",IF(AND(OR($S687="TOTAL_AMOUNT_INCLUDING_DELIVERY",$S687="EXACT_COLLECTION_AMOUNT"),$T687=""),"ERROR",IF(AND($S687="TOTAL_AMOUNT_INCLUDING_DELIVERY",$T687&lt;SUM($J687,$U687)),"ERROR",IF($S687="EXACT_COLLECTION_AMOUNT","REVIEW","OK")))))))))</f>
        <v/>
      </c>
      <c r="AV687" s="25">
        <f>IF($AU687="","",IF($H687="","Township required",IF($Q687="","Customer tier required",IF($M687="","Weight required",IF($S687="","Amount entry type required",IF(OR($J687&lt;0,$K687&lt;0,$M687&lt;0,$T687&lt;0,$U687&lt;0,$V687&lt;0,$W687&lt;0,$X687&lt;0,$Y687&lt;0),"Negative amounts are not allowed",IF($AE687="","Tariff not found for township and tier",IF(AND(OR($S687="ITEM_PRICE_PLUS_DECLARED_DELIVERY",$S687="TOTAL_AMOUNT_INCLUDING_DELIVERY",$S687="ITEM_PRICE_ONLY_DELIVERY_PAID_BY_MERCHANT"),$J687=""),"Item price required for this amount type",IF(AND(OR($S687="ITEM_PRICE_PLUS_DECLARED_DELIVERY",$S687="DELIVERY_CHARGE_ONLY"),$K687=""),"Declared delivery charge required",IF(AND(OR($S687="TOTAL_AMOUNT_INCLUDING_DELIVERY",$S687="EXACT_COLLECTION_AMOUNT"),$T687=""),"Stated total amount required",IF(AND($S687="TOTAL_AMOUNT_INCLUDING_DELIVERY",$T687&lt;SUM($J687,$U687)),"Stated total is below item price plus additional charge",IF($S687="EXACT_COLLECTION_AMOUNT","Authorized amount breakdown required before settlement","Ready for collection and settlement"))))))))))))</f>
        <v/>
      </c>
      <c r="AW687" s="23">
        <f>IF($AU687="","","PARCEL_FINANCIAL_V2")</f>
        <v/>
      </c>
      <c r="AX687" s="17" t="n"/>
    </row>
    <row r="688">
      <c r="A688" s="8" t="n"/>
      <c r="B688" s="8" t="n"/>
      <c r="C688" s="8" t="n"/>
      <c r="D688" s="8" t="n"/>
      <c r="E688" s="9" t="n"/>
      <c r="F688" s="9" t="n"/>
      <c r="G688" s="8" t="n"/>
      <c r="H688" s="9" t="n"/>
      <c r="I688" s="9" t="n"/>
      <c r="J688" s="10" t="n"/>
      <c r="K688" s="10" t="n"/>
      <c r="L688" s="11">
        <f>IF($S688="","",IF($S688="ITEM_PRICE_PLUS_DECLARED_DELIVERY",IF(OR($J688="",$K688=""),"",SUM($J688,$K688,$U688)),IF($S688="TOTAL_AMOUNT_INCLUDING_DELIVERY",IF($T688="","",$T688),IF($S688="DELIVERY_CHARGE_ONLY",IF($K688="","",SUM($K688,$U688)),IF($S688="EXACT_COLLECTION_AMOUNT",IF($T688="","",$T688),IF($S688="ITEM_PRICE_ONLY_DELIVERY_PAID_BY_MERCHANT",IF($J688="","",SUM($J688,$U688)),""))))))</f>
        <v/>
      </c>
      <c r="M688" s="12" t="n"/>
      <c r="N688" s="13" t="n"/>
      <c r="O688" s="13" t="n"/>
      <c r="P688" s="9" t="n"/>
      <c r="Q688" s="14" t="n"/>
      <c r="R688" s="15" t="n"/>
      <c r="S688" s="14" t="n"/>
      <c r="T688" s="16" t="n"/>
      <c r="U688" s="16" t="n"/>
      <c r="V688" s="16" t="n"/>
      <c r="W688" s="16" t="n"/>
      <c r="X688" s="16" t="n"/>
      <c r="Y688" s="16" t="n"/>
      <c r="Z688" s="14" t="n"/>
      <c r="AA688" s="14" t="n"/>
      <c r="AB688" s="14" t="n"/>
      <c r="AC688" s="17">
        <f>IFERROR(VLOOKUP($H688&amp;"|"&amp;$Q688,Tariff_Master!$A$2:$L$169,3,FALSE),"")</f>
        <v/>
      </c>
      <c r="AD688" s="17">
        <f>IFERROR(VLOOKUP($H688&amp;"|"&amp;$Q688,Tariff_Master!$A$2:$L$169,4,FALSE),"")</f>
        <v/>
      </c>
      <c r="AE688" s="18">
        <f>IFERROR(VLOOKUP($H688&amp;"|"&amp;$Q688,Tariff_Master!$A$2:$L$169,6,FALSE),"")</f>
        <v/>
      </c>
      <c r="AF688" s="19">
        <f>IFERROR(VLOOKUP($H688&amp;"|"&amp;$Q688,Tariff_Master!$A$2:$L$169,7,FALSE),"")</f>
        <v/>
      </c>
      <c r="AG688" s="18">
        <f>IFERROR(VLOOKUP($H688&amp;"|"&amp;$Q688,Tariff_Master!$A$2:$L$169,8,FALSE),"")</f>
        <v/>
      </c>
      <c r="AH688" s="20">
        <f>IFERROR(VLOOKUP($H688&amp;"|"&amp;$Q688,Tariff_Master!$A$2:$L$169,9,FALSE),"")</f>
        <v/>
      </c>
      <c r="AI688" s="18">
        <f>IFERROR(VLOOKUP($H688&amp;"|"&amp;$Q688,Tariff_Master!$A$2:$L$169,10,FALSE),"")</f>
        <v/>
      </c>
      <c r="AJ688" s="21">
        <f>IF($M688="","",ROUNDUP(MAX(0,$M688),0))</f>
        <v/>
      </c>
      <c r="AK688" s="21">
        <f>IF(OR($AJ688="",$AF688=""),"",MAX(0,$AJ688-$AF688))</f>
        <v/>
      </c>
      <c r="AL688" s="22">
        <f>IF(OR($AK688="",$AG688=""),"",MAX(0,$AK688*$AG688))</f>
        <v/>
      </c>
      <c r="AM688" s="22">
        <f>IF($AE688="","",MAX(0,SUM($AE688,$AL688,$V688,$W688)))</f>
        <v/>
      </c>
      <c r="AN688" s="22">
        <f>IF($AM688="","",IF(AND($Q688="COMMITMENT",$R688&gt;=$AH688),$AI688,0))</f>
        <v/>
      </c>
      <c r="AO688" s="23">
        <f>IF($AM688="","",MAX(0,$AM688-$AN688))</f>
        <v/>
      </c>
      <c r="AP688" s="22">
        <f>IF($S688="","",IF(OR($S688="ITEM_PRICE_PLUS_DECLARED_DELIVERY",$S688="DELIVERY_CHARGE_ONLY"),$K688,IF($S688="TOTAL_AMOUNT_INCLUDING_DELIVERY",IF(OR($T688="",$J688=""),"",MAX(0,$T688-$J688-$U688)),IF($S688="ITEM_PRICE_ONLY_DELIVERY_PAID_BY_MERCHANT",0,""))))</f>
        <v/>
      </c>
      <c r="AQ688" s="23">
        <f>IF(OR($AP688="",$AO688=""),"",$AP688-$AO688)</f>
        <v/>
      </c>
      <c r="AR688" s="24">
        <f>IF($S688="EXACT_COLLECTION_AMOUNT","BREAKDOWN_REQUIRED",IF($AQ688="","",IF($AQ688&gt;0,"CREDIT_TO_MERCHANT",IF($AQ688&lt;0,"DEDUCT_FROM_MERCHANT","NO_ADJUSTMENT"))))</f>
        <v/>
      </c>
      <c r="AS688" s="23">
        <f>IF(OR($AQ688="",$AR688="BREAKDOWN_REQUIRED"),"",$AQ688)</f>
        <v/>
      </c>
      <c r="AT688" s="23">
        <f>IF(OR($AR688="",$AR688="BREAKDOWN_REQUIRED"),"",SUM($J688,$AQ688,$Y688)-$X688)</f>
        <v/>
      </c>
      <c r="AU688" s="25">
        <f>IF(AND($A688="",$B688="",$F688="",$H688="",$J688="",$K688="",$M688="",$S688=""),"",IF(OR($H688="",$Q688="",$M688="",$S688=""),"ERROR",IF(OR($J688&lt;0,$K688&lt;0,$M688&lt;0,$T688&lt;0,$U688&lt;0,$V688&lt;0,$W688&lt;0,$X688&lt;0,$Y688&lt;0),"ERROR",IF($AE688="","ERROR",IF(AND(OR($S688="ITEM_PRICE_PLUS_DECLARED_DELIVERY",$S688="TOTAL_AMOUNT_INCLUDING_DELIVERY",$S688="ITEM_PRICE_ONLY_DELIVERY_PAID_BY_MERCHANT"),$J688=""),"ERROR",IF(AND(OR($S688="ITEM_PRICE_PLUS_DECLARED_DELIVERY",$S688="DELIVERY_CHARGE_ONLY"),$K688=""),"ERROR",IF(AND(OR($S688="TOTAL_AMOUNT_INCLUDING_DELIVERY",$S688="EXACT_COLLECTION_AMOUNT"),$T688=""),"ERROR",IF(AND($S688="TOTAL_AMOUNT_INCLUDING_DELIVERY",$T688&lt;SUM($J688,$U688)),"ERROR",IF($S688="EXACT_COLLECTION_AMOUNT","REVIEW","OK")))))))))</f>
        <v/>
      </c>
      <c r="AV688" s="25">
        <f>IF($AU688="","",IF($H688="","Township required",IF($Q688="","Customer tier required",IF($M688="","Weight required",IF($S688="","Amount entry type required",IF(OR($J688&lt;0,$K688&lt;0,$M688&lt;0,$T688&lt;0,$U688&lt;0,$V688&lt;0,$W688&lt;0,$X688&lt;0,$Y688&lt;0),"Negative amounts are not allowed",IF($AE688="","Tariff not found for township and tier",IF(AND(OR($S688="ITEM_PRICE_PLUS_DECLARED_DELIVERY",$S688="TOTAL_AMOUNT_INCLUDING_DELIVERY",$S688="ITEM_PRICE_ONLY_DELIVERY_PAID_BY_MERCHANT"),$J688=""),"Item price required for this amount type",IF(AND(OR($S688="ITEM_PRICE_PLUS_DECLARED_DELIVERY",$S688="DELIVERY_CHARGE_ONLY"),$K688=""),"Declared delivery charge required",IF(AND(OR($S688="TOTAL_AMOUNT_INCLUDING_DELIVERY",$S688="EXACT_COLLECTION_AMOUNT"),$T688=""),"Stated total amount required",IF(AND($S688="TOTAL_AMOUNT_INCLUDING_DELIVERY",$T688&lt;SUM($J688,$U688)),"Stated total is below item price plus additional charge",IF($S688="EXACT_COLLECTION_AMOUNT","Authorized amount breakdown required before settlement","Ready for collection and settlement"))))))))))))</f>
        <v/>
      </c>
      <c r="AW688" s="23">
        <f>IF($AU688="","","PARCEL_FINANCIAL_V2")</f>
        <v/>
      </c>
      <c r="AX688" s="17" t="n"/>
    </row>
    <row r="689">
      <c r="A689" s="8" t="n"/>
      <c r="B689" s="8" t="n"/>
      <c r="C689" s="8" t="n"/>
      <c r="D689" s="8" t="n"/>
      <c r="E689" s="9" t="n"/>
      <c r="F689" s="9" t="n"/>
      <c r="G689" s="8" t="n"/>
      <c r="H689" s="9" t="n"/>
      <c r="I689" s="9" t="n"/>
      <c r="J689" s="10" t="n"/>
      <c r="K689" s="10" t="n"/>
      <c r="L689" s="11">
        <f>IF($S689="","",IF($S689="ITEM_PRICE_PLUS_DECLARED_DELIVERY",IF(OR($J689="",$K689=""),"",SUM($J689,$K689,$U689)),IF($S689="TOTAL_AMOUNT_INCLUDING_DELIVERY",IF($T689="","",$T689),IF($S689="DELIVERY_CHARGE_ONLY",IF($K689="","",SUM($K689,$U689)),IF($S689="EXACT_COLLECTION_AMOUNT",IF($T689="","",$T689),IF($S689="ITEM_PRICE_ONLY_DELIVERY_PAID_BY_MERCHANT",IF($J689="","",SUM($J689,$U689)),""))))))</f>
        <v/>
      </c>
      <c r="M689" s="12" t="n"/>
      <c r="N689" s="13" t="n"/>
      <c r="O689" s="13" t="n"/>
      <c r="P689" s="9" t="n"/>
      <c r="Q689" s="14" t="n"/>
      <c r="R689" s="15" t="n"/>
      <c r="S689" s="14" t="n"/>
      <c r="T689" s="16" t="n"/>
      <c r="U689" s="16" t="n"/>
      <c r="V689" s="16" t="n"/>
      <c r="W689" s="16" t="n"/>
      <c r="X689" s="16" t="n"/>
      <c r="Y689" s="16" t="n"/>
      <c r="Z689" s="14" t="n"/>
      <c r="AA689" s="14" t="n"/>
      <c r="AB689" s="14" t="n"/>
      <c r="AC689" s="17">
        <f>IFERROR(VLOOKUP($H689&amp;"|"&amp;$Q689,Tariff_Master!$A$2:$L$169,3,FALSE),"")</f>
        <v/>
      </c>
      <c r="AD689" s="17">
        <f>IFERROR(VLOOKUP($H689&amp;"|"&amp;$Q689,Tariff_Master!$A$2:$L$169,4,FALSE),"")</f>
        <v/>
      </c>
      <c r="AE689" s="18">
        <f>IFERROR(VLOOKUP($H689&amp;"|"&amp;$Q689,Tariff_Master!$A$2:$L$169,6,FALSE),"")</f>
        <v/>
      </c>
      <c r="AF689" s="19">
        <f>IFERROR(VLOOKUP($H689&amp;"|"&amp;$Q689,Tariff_Master!$A$2:$L$169,7,FALSE),"")</f>
        <v/>
      </c>
      <c r="AG689" s="18">
        <f>IFERROR(VLOOKUP($H689&amp;"|"&amp;$Q689,Tariff_Master!$A$2:$L$169,8,FALSE),"")</f>
        <v/>
      </c>
      <c r="AH689" s="20">
        <f>IFERROR(VLOOKUP($H689&amp;"|"&amp;$Q689,Tariff_Master!$A$2:$L$169,9,FALSE),"")</f>
        <v/>
      </c>
      <c r="AI689" s="18">
        <f>IFERROR(VLOOKUP($H689&amp;"|"&amp;$Q689,Tariff_Master!$A$2:$L$169,10,FALSE),"")</f>
        <v/>
      </c>
      <c r="AJ689" s="21">
        <f>IF($M689="","",ROUNDUP(MAX(0,$M689),0))</f>
        <v/>
      </c>
      <c r="AK689" s="21">
        <f>IF(OR($AJ689="",$AF689=""),"",MAX(0,$AJ689-$AF689))</f>
        <v/>
      </c>
      <c r="AL689" s="22">
        <f>IF(OR($AK689="",$AG689=""),"",MAX(0,$AK689*$AG689))</f>
        <v/>
      </c>
      <c r="AM689" s="22">
        <f>IF($AE689="","",MAX(0,SUM($AE689,$AL689,$V689,$W689)))</f>
        <v/>
      </c>
      <c r="AN689" s="22">
        <f>IF($AM689="","",IF(AND($Q689="COMMITMENT",$R689&gt;=$AH689),$AI689,0))</f>
        <v/>
      </c>
      <c r="AO689" s="23">
        <f>IF($AM689="","",MAX(0,$AM689-$AN689))</f>
        <v/>
      </c>
      <c r="AP689" s="22">
        <f>IF($S689="","",IF(OR($S689="ITEM_PRICE_PLUS_DECLARED_DELIVERY",$S689="DELIVERY_CHARGE_ONLY"),$K689,IF($S689="TOTAL_AMOUNT_INCLUDING_DELIVERY",IF(OR($T689="",$J689=""),"",MAX(0,$T689-$J689-$U689)),IF($S689="ITEM_PRICE_ONLY_DELIVERY_PAID_BY_MERCHANT",0,""))))</f>
        <v/>
      </c>
      <c r="AQ689" s="23">
        <f>IF(OR($AP689="",$AO689=""),"",$AP689-$AO689)</f>
        <v/>
      </c>
      <c r="AR689" s="24">
        <f>IF($S689="EXACT_COLLECTION_AMOUNT","BREAKDOWN_REQUIRED",IF($AQ689="","",IF($AQ689&gt;0,"CREDIT_TO_MERCHANT",IF($AQ689&lt;0,"DEDUCT_FROM_MERCHANT","NO_ADJUSTMENT"))))</f>
        <v/>
      </c>
      <c r="AS689" s="23">
        <f>IF(OR($AQ689="",$AR689="BREAKDOWN_REQUIRED"),"",$AQ689)</f>
        <v/>
      </c>
      <c r="AT689" s="23">
        <f>IF(OR($AR689="",$AR689="BREAKDOWN_REQUIRED"),"",SUM($J689,$AQ689,$Y689)-$X689)</f>
        <v/>
      </c>
      <c r="AU689" s="25">
        <f>IF(AND($A689="",$B689="",$F689="",$H689="",$J689="",$K689="",$M689="",$S689=""),"",IF(OR($H689="",$Q689="",$M689="",$S689=""),"ERROR",IF(OR($J689&lt;0,$K689&lt;0,$M689&lt;0,$T689&lt;0,$U689&lt;0,$V689&lt;0,$W689&lt;0,$X689&lt;0,$Y689&lt;0),"ERROR",IF($AE689="","ERROR",IF(AND(OR($S689="ITEM_PRICE_PLUS_DECLARED_DELIVERY",$S689="TOTAL_AMOUNT_INCLUDING_DELIVERY",$S689="ITEM_PRICE_ONLY_DELIVERY_PAID_BY_MERCHANT"),$J689=""),"ERROR",IF(AND(OR($S689="ITEM_PRICE_PLUS_DECLARED_DELIVERY",$S689="DELIVERY_CHARGE_ONLY"),$K689=""),"ERROR",IF(AND(OR($S689="TOTAL_AMOUNT_INCLUDING_DELIVERY",$S689="EXACT_COLLECTION_AMOUNT"),$T689=""),"ERROR",IF(AND($S689="TOTAL_AMOUNT_INCLUDING_DELIVERY",$T689&lt;SUM($J689,$U689)),"ERROR",IF($S689="EXACT_COLLECTION_AMOUNT","REVIEW","OK")))))))))</f>
        <v/>
      </c>
      <c r="AV689" s="25">
        <f>IF($AU689="","",IF($H689="","Township required",IF($Q689="","Customer tier required",IF($M689="","Weight required",IF($S689="","Amount entry type required",IF(OR($J689&lt;0,$K689&lt;0,$M689&lt;0,$T689&lt;0,$U689&lt;0,$V689&lt;0,$W689&lt;0,$X689&lt;0,$Y689&lt;0),"Negative amounts are not allowed",IF($AE689="","Tariff not found for township and tier",IF(AND(OR($S689="ITEM_PRICE_PLUS_DECLARED_DELIVERY",$S689="TOTAL_AMOUNT_INCLUDING_DELIVERY",$S689="ITEM_PRICE_ONLY_DELIVERY_PAID_BY_MERCHANT"),$J689=""),"Item price required for this amount type",IF(AND(OR($S689="ITEM_PRICE_PLUS_DECLARED_DELIVERY",$S689="DELIVERY_CHARGE_ONLY"),$K689=""),"Declared delivery charge required",IF(AND(OR($S689="TOTAL_AMOUNT_INCLUDING_DELIVERY",$S689="EXACT_COLLECTION_AMOUNT"),$T689=""),"Stated total amount required",IF(AND($S689="TOTAL_AMOUNT_INCLUDING_DELIVERY",$T689&lt;SUM($J689,$U689)),"Stated total is below item price plus additional charge",IF($S689="EXACT_COLLECTION_AMOUNT","Authorized amount breakdown required before settlement","Ready for collection and settlement"))))))))))))</f>
        <v/>
      </c>
      <c r="AW689" s="23">
        <f>IF($AU689="","","PARCEL_FINANCIAL_V2")</f>
        <v/>
      </c>
      <c r="AX689" s="17" t="n"/>
    </row>
    <row r="690">
      <c r="A690" s="8" t="n"/>
      <c r="B690" s="8" t="n"/>
      <c r="C690" s="8" t="n"/>
      <c r="D690" s="8" t="n"/>
      <c r="E690" s="9" t="n"/>
      <c r="F690" s="9" t="n"/>
      <c r="G690" s="8" t="n"/>
      <c r="H690" s="9" t="n"/>
      <c r="I690" s="9" t="n"/>
      <c r="J690" s="10" t="n"/>
      <c r="K690" s="10" t="n"/>
      <c r="L690" s="11">
        <f>IF($S690="","",IF($S690="ITEM_PRICE_PLUS_DECLARED_DELIVERY",IF(OR($J690="",$K690=""),"",SUM($J690,$K690,$U690)),IF($S690="TOTAL_AMOUNT_INCLUDING_DELIVERY",IF($T690="","",$T690),IF($S690="DELIVERY_CHARGE_ONLY",IF($K690="","",SUM($K690,$U690)),IF($S690="EXACT_COLLECTION_AMOUNT",IF($T690="","",$T690),IF($S690="ITEM_PRICE_ONLY_DELIVERY_PAID_BY_MERCHANT",IF($J690="","",SUM($J690,$U690)),""))))))</f>
        <v/>
      </c>
      <c r="M690" s="12" t="n"/>
      <c r="N690" s="13" t="n"/>
      <c r="O690" s="13" t="n"/>
      <c r="P690" s="9" t="n"/>
      <c r="Q690" s="14" t="n"/>
      <c r="R690" s="15" t="n"/>
      <c r="S690" s="14" t="n"/>
      <c r="T690" s="16" t="n"/>
      <c r="U690" s="16" t="n"/>
      <c r="V690" s="16" t="n"/>
      <c r="W690" s="16" t="n"/>
      <c r="X690" s="16" t="n"/>
      <c r="Y690" s="16" t="n"/>
      <c r="Z690" s="14" t="n"/>
      <c r="AA690" s="14" t="n"/>
      <c r="AB690" s="14" t="n"/>
      <c r="AC690" s="17">
        <f>IFERROR(VLOOKUP($H690&amp;"|"&amp;$Q690,Tariff_Master!$A$2:$L$169,3,FALSE),"")</f>
        <v/>
      </c>
      <c r="AD690" s="17">
        <f>IFERROR(VLOOKUP($H690&amp;"|"&amp;$Q690,Tariff_Master!$A$2:$L$169,4,FALSE),"")</f>
        <v/>
      </c>
      <c r="AE690" s="18">
        <f>IFERROR(VLOOKUP($H690&amp;"|"&amp;$Q690,Tariff_Master!$A$2:$L$169,6,FALSE),"")</f>
        <v/>
      </c>
      <c r="AF690" s="19">
        <f>IFERROR(VLOOKUP($H690&amp;"|"&amp;$Q690,Tariff_Master!$A$2:$L$169,7,FALSE),"")</f>
        <v/>
      </c>
      <c r="AG690" s="18">
        <f>IFERROR(VLOOKUP($H690&amp;"|"&amp;$Q690,Tariff_Master!$A$2:$L$169,8,FALSE),"")</f>
        <v/>
      </c>
      <c r="AH690" s="20">
        <f>IFERROR(VLOOKUP($H690&amp;"|"&amp;$Q690,Tariff_Master!$A$2:$L$169,9,FALSE),"")</f>
        <v/>
      </c>
      <c r="AI690" s="18">
        <f>IFERROR(VLOOKUP($H690&amp;"|"&amp;$Q690,Tariff_Master!$A$2:$L$169,10,FALSE),"")</f>
        <v/>
      </c>
      <c r="AJ690" s="21">
        <f>IF($M690="","",ROUNDUP(MAX(0,$M690),0))</f>
        <v/>
      </c>
      <c r="AK690" s="21">
        <f>IF(OR($AJ690="",$AF690=""),"",MAX(0,$AJ690-$AF690))</f>
        <v/>
      </c>
      <c r="AL690" s="22">
        <f>IF(OR($AK690="",$AG690=""),"",MAX(0,$AK690*$AG690))</f>
        <v/>
      </c>
      <c r="AM690" s="22">
        <f>IF($AE690="","",MAX(0,SUM($AE690,$AL690,$V690,$W690)))</f>
        <v/>
      </c>
      <c r="AN690" s="22">
        <f>IF($AM690="","",IF(AND($Q690="COMMITMENT",$R690&gt;=$AH690),$AI690,0))</f>
        <v/>
      </c>
      <c r="AO690" s="23">
        <f>IF($AM690="","",MAX(0,$AM690-$AN690))</f>
        <v/>
      </c>
      <c r="AP690" s="22">
        <f>IF($S690="","",IF(OR($S690="ITEM_PRICE_PLUS_DECLARED_DELIVERY",$S690="DELIVERY_CHARGE_ONLY"),$K690,IF($S690="TOTAL_AMOUNT_INCLUDING_DELIVERY",IF(OR($T690="",$J690=""),"",MAX(0,$T690-$J690-$U690)),IF($S690="ITEM_PRICE_ONLY_DELIVERY_PAID_BY_MERCHANT",0,""))))</f>
        <v/>
      </c>
      <c r="AQ690" s="23">
        <f>IF(OR($AP690="",$AO690=""),"",$AP690-$AO690)</f>
        <v/>
      </c>
      <c r="AR690" s="24">
        <f>IF($S690="EXACT_COLLECTION_AMOUNT","BREAKDOWN_REQUIRED",IF($AQ690="","",IF($AQ690&gt;0,"CREDIT_TO_MERCHANT",IF($AQ690&lt;0,"DEDUCT_FROM_MERCHANT","NO_ADJUSTMENT"))))</f>
        <v/>
      </c>
      <c r="AS690" s="23">
        <f>IF(OR($AQ690="",$AR690="BREAKDOWN_REQUIRED"),"",$AQ690)</f>
        <v/>
      </c>
      <c r="AT690" s="23">
        <f>IF(OR($AR690="",$AR690="BREAKDOWN_REQUIRED"),"",SUM($J690,$AQ690,$Y690)-$X690)</f>
        <v/>
      </c>
      <c r="AU690" s="25">
        <f>IF(AND($A690="",$B690="",$F690="",$H690="",$J690="",$K690="",$M690="",$S690=""),"",IF(OR($H690="",$Q690="",$M690="",$S690=""),"ERROR",IF(OR($J690&lt;0,$K690&lt;0,$M690&lt;0,$T690&lt;0,$U690&lt;0,$V690&lt;0,$W690&lt;0,$X690&lt;0,$Y690&lt;0),"ERROR",IF($AE690="","ERROR",IF(AND(OR($S690="ITEM_PRICE_PLUS_DECLARED_DELIVERY",$S690="TOTAL_AMOUNT_INCLUDING_DELIVERY",$S690="ITEM_PRICE_ONLY_DELIVERY_PAID_BY_MERCHANT"),$J690=""),"ERROR",IF(AND(OR($S690="ITEM_PRICE_PLUS_DECLARED_DELIVERY",$S690="DELIVERY_CHARGE_ONLY"),$K690=""),"ERROR",IF(AND(OR($S690="TOTAL_AMOUNT_INCLUDING_DELIVERY",$S690="EXACT_COLLECTION_AMOUNT"),$T690=""),"ERROR",IF(AND($S690="TOTAL_AMOUNT_INCLUDING_DELIVERY",$T690&lt;SUM($J690,$U690)),"ERROR",IF($S690="EXACT_COLLECTION_AMOUNT","REVIEW","OK")))))))))</f>
        <v/>
      </c>
      <c r="AV690" s="25">
        <f>IF($AU690="","",IF($H690="","Township required",IF($Q690="","Customer tier required",IF($M690="","Weight required",IF($S690="","Amount entry type required",IF(OR($J690&lt;0,$K690&lt;0,$M690&lt;0,$T690&lt;0,$U690&lt;0,$V690&lt;0,$W690&lt;0,$X690&lt;0,$Y690&lt;0),"Negative amounts are not allowed",IF($AE690="","Tariff not found for township and tier",IF(AND(OR($S690="ITEM_PRICE_PLUS_DECLARED_DELIVERY",$S690="TOTAL_AMOUNT_INCLUDING_DELIVERY",$S690="ITEM_PRICE_ONLY_DELIVERY_PAID_BY_MERCHANT"),$J690=""),"Item price required for this amount type",IF(AND(OR($S690="ITEM_PRICE_PLUS_DECLARED_DELIVERY",$S690="DELIVERY_CHARGE_ONLY"),$K690=""),"Declared delivery charge required",IF(AND(OR($S690="TOTAL_AMOUNT_INCLUDING_DELIVERY",$S690="EXACT_COLLECTION_AMOUNT"),$T690=""),"Stated total amount required",IF(AND($S690="TOTAL_AMOUNT_INCLUDING_DELIVERY",$T690&lt;SUM($J690,$U690)),"Stated total is below item price plus additional charge",IF($S690="EXACT_COLLECTION_AMOUNT","Authorized amount breakdown required before settlement","Ready for collection and settlement"))))))))))))</f>
        <v/>
      </c>
      <c r="AW690" s="23">
        <f>IF($AU690="","","PARCEL_FINANCIAL_V2")</f>
        <v/>
      </c>
      <c r="AX690" s="17" t="n"/>
    </row>
    <row r="691">
      <c r="A691" s="8" t="n"/>
      <c r="B691" s="8" t="n"/>
      <c r="C691" s="8" t="n"/>
      <c r="D691" s="8" t="n"/>
      <c r="E691" s="9" t="n"/>
      <c r="F691" s="9" t="n"/>
      <c r="G691" s="8" t="n"/>
      <c r="H691" s="9" t="n"/>
      <c r="I691" s="9" t="n"/>
      <c r="J691" s="10" t="n"/>
      <c r="K691" s="10" t="n"/>
      <c r="L691" s="11">
        <f>IF($S691="","",IF($S691="ITEM_PRICE_PLUS_DECLARED_DELIVERY",IF(OR($J691="",$K691=""),"",SUM($J691,$K691,$U691)),IF($S691="TOTAL_AMOUNT_INCLUDING_DELIVERY",IF($T691="","",$T691),IF($S691="DELIVERY_CHARGE_ONLY",IF($K691="","",SUM($K691,$U691)),IF($S691="EXACT_COLLECTION_AMOUNT",IF($T691="","",$T691),IF($S691="ITEM_PRICE_ONLY_DELIVERY_PAID_BY_MERCHANT",IF($J691="","",SUM($J691,$U691)),""))))))</f>
        <v/>
      </c>
      <c r="M691" s="12" t="n"/>
      <c r="N691" s="13" t="n"/>
      <c r="O691" s="13" t="n"/>
      <c r="P691" s="9" t="n"/>
      <c r="Q691" s="14" t="n"/>
      <c r="R691" s="15" t="n"/>
      <c r="S691" s="14" t="n"/>
      <c r="T691" s="16" t="n"/>
      <c r="U691" s="16" t="n"/>
      <c r="V691" s="16" t="n"/>
      <c r="W691" s="16" t="n"/>
      <c r="X691" s="16" t="n"/>
      <c r="Y691" s="16" t="n"/>
      <c r="Z691" s="14" t="n"/>
      <c r="AA691" s="14" t="n"/>
      <c r="AB691" s="14" t="n"/>
      <c r="AC691" s="17">
        <f>IFERROR(VLOOKUP($H691&amp;"|"&amp;$Q691,Tariff_Master!$A$2:$L$169,3,FALSE),"")</f>
        <v/>
      </c>
      <c r="AD691" s="17">
        <f>IFERROR(VLOOKUP($H691&amp;"|"&amp;$Q691,Tariff_Master!$A$2:$L$169,4,FALSE),"")</f>
        <v/>
      </c>
      <c r="AE691" s="18">
        <f>IFERROR(VLOOKUP($H691&amp;"|"&amp;$Q691,Tariff_Master!$A$2:$L$169,6,FALSE),"")</f>
        <v/>
      </c>
      <c r="AF691" s="19">
        <f>IFERROR(VLOOKUP($H691&amp;"|"&amp;$Q691,Tariff_Master!$A$2:$L$169,7,FALSE),"")</f>
        <v/>
      </c>
      <c r="AG691" s="18">
        <f>IFERROR(VLOOKUP($H691&amp;"|"&amp;$Q691,Tariff_Master!$A$2:$L$169,8,FALSE),"")</f>
        <v/>
      </c>
      <c r="AH691" s="20">
        <f>IFERROR(VLOOKUP($H691&amp;"|"&amp;$Q691,Tariff_Master!$A$2:$L$169,9,FALSE),"")</f>
        <v/>
      </c>
      <c r="AI691" s="18">
        <f>IFERROR(VLOOKUP($H691&amp;"|"&amp;$Q691,Tariff_Master!$A$2:$L$169,10,FALSE),"")</f>
        <v/>
      </c>
      <c r="AJ691" s="21">
        <f>IF($M691="","",ROUNDUP(MAX(0,$M691),0))</f>
        <v/>
      </c>
      <c r="AK691" s="21">
        <f>IF(OR($AJ691="",$AF691=""),"",MAX(0,$AJ691-$AF691))</f>
        <v/>
      </c>
      <c r="AL691" s="22">
        <f>IF(OR($AK691="",$AG691=""),"",MAX(0,$AK691*$AG691))</f>
        <v/>
      </c>
      <c r="AM691" s="22">
        <f>IF($AE691="","",MAX(0,SUM($AE691,$AL691,$V691,$W691)))</f>
        <v/>
      </c>
      <c r="AN691" s="22">
        <f>IF($AM691="","",IF(AND($Q691="COMMITMENT",$R691&gt;=$AH691),$AI691,0))</f>
        <v/>
      </c>
      <c r="AO691" s="23">
        <f>IF($AM691="","",MAX(0,$AM691-$AN691))</f>
        <v/>
      </c>
      <c r="AP691" s="22">
        <f>IF($S691="","",IF(OR($S691="ITEM_PRICE_PLUS_DECLARED_DELIVERY",$S691="DELIVERY_CHARGE_ONLY"),$K691,IF($S691="TOTAL_AMOUNT_INCLUDING_DELIVERY",IF(OR($T691="",$J691=""),"",MAX(0,$T691-$J691-$U691)),IF($S691="ITEM_PRICE_ONLY_DELIVERY_PAID_BY_MERCHANT",0,""))))</f>
        <v/>
      </c>
      <c r="AQ691" s="23">
        <f>IF(OR($AP691="",$AO691=""),"",$AP691-$AO691)</f>
        <v/>
      </c>
      <c r="AR691" s="24">
        <f>IF($S691="EXACT_COLLECTION_AMOUNT","BREAKDOWN_REQUIRED",IF($AQ691="","",IF($AQ691&gt;0,"CREDIT_TO_MERCHANT",IF($AQ691&lt;0,"DEDUCT_FROM_MERCHANT","NO_ADJUSTMENT"))))</f>
        <v/>
      </c>
      <c r="AS691" s="23">
        <f>IF(OR($AQ691="",$AR691="BREAKDOWN_REQUIRED"),"",$AQ691)</f>
        <v/>
      </c>
      <c r="AT691" s="23">
        <f>IF(OR($AR691="",$AR691="BREAKDOWN_REQUIRED"),"",SUM($J691,$AQ691,$Y691)-$X691)</f>
        <v/>
      </c>
      <c r="AU691" s="25">
        <f>IF(AND($A691="",$B691="",$F691="",$H691="",$J691="",$K691="",$M691="",$S691=""),"",IF(OR($H691="",$Q691="",$M691="",$S691=""),"ERROR",IF(OR($J691&lt;0,$K691&lt;0,$M691&lt;0,$T691&lt;0,$U691&lt;0,$V691&lt;0,$W691&lt;0,$X691&lt;0,$Y691&lt;0),"ERROR",IF($AE691="","ERROR",IF(AND(OR($S691="ITEM_PRICE_PLUS_DECLARED_DELIVERY",$S691="TOTAL_AMOUNT_INCLUDING_DELIVERY",$S691="ITEM_PRICE_ONLY_DELIVERY_PAID_BY_MERCHANT"),$J691=""),"ERROR",IF(AND(OR($S691="ITEM_PRICE_PLUS_DECLARED_DELIVERY",$S691="DELIVERY_CHARGE_ONLY"),$K691=""),"ERROR",IF(AND(OR($S691="TOTAL_AMOUNT_INCLUDING_DELIVERY",$S691="EXACT_COLLECTION_AMOUNT"),$T691=""),"ERROR",IF(AND($S691="TOTAL_AMOUNT_INCLUDING_DELIVERY",$T691&lt;SUM($J691,$U691)),"ERROR",IF($S691="EXACT_COLLECTION_AMOUNT","REVIEW","OK")))))))))</f>
        <v/>
      </c>
      <c r="AV691" s="25">
        <f>IF($AU691="","",IF($H691="","Township required",IF($Q691="","Customer tier required",IF($M691="","Weight required",IF($S691="","Amount entry type required",IF(OR($J691&lt;0,$K691&lt;0,$M691&lt;0,$T691&lt;0,$U691&lt;0,$V691&lt;0,$W691&lt;0,$X691&lt;0,$Y691&lt;0),"Negative amounts are not allowed",IF($AE691="","Tariff not found for township and tier",IF(AND(OR($S691="ITEM_PRICE_PLUS_DECLARED_DELIVERY",$S691="TOTAL_AMOUNT_INCLUDING_DELIVERY",$S691="ITEM_PRICE_ONLY_DELIVERY_PAID_BY_MERCHANT"),$J691=""),"Item price required for this amount type",IF(AND(OR($S691="ITEM_PRICE_PLUS_DECLARED_DELIVERY",$S691="DELIVERY_CHARGE_ONLY"),$K691=""),"Declared delivery charge required",IF(AND(OR($S691="TOTAL_AMOUNT_INCLUDING_DELIVERY",$S691="EXACT_COLLECTION_AMOUNT"),$T691=""),"Stated total amount required",IF(AND($S691="TOTAL_AMOUNT_INCLUDING_DELIVERY",$T691&lt;SUM($J691,$U691)),"Stated total is below item price plus additional charge",IF($S691="EXACT_COLLECTION_AMOUNT","Authorized amount breakdown required before settlement","Ready for collection and settlement"))))))))))))</f>
        <v/>
      </c>
      <c r="AW691" s="23">
        <f>IF($AU691="","","PARCEL_FINANCIAL_V2")</f>
        <v/>
      </c>
      <c r="AX691" s="17" t="n"/>
    </row>
    <row r="692">
      <c r="A692" s="8" t="n"/>
      <c r="B692" s="8" t="n"/>
      <c r="C692" s="8" t="n"/>
      <c r="D692" s="8" t="n"/>
      <c r="E692" s="9" t="n"/>
      <c r="F692" s="9" t="n"/>
      <c r="G692" s="8" t="n"/>
      <c r="H692" s="9" t="n"/>
      <c r="I692" s="9" t="n"/>
      <c r="J692" s="10" t="n"/>
      <c r="K692" s="10" t="n"/>
      <c r="L692" s="11">
        <f>IF($S692="","",IF($S692="ITEM_PRICE_PLUS_DECLARED_DELIVERY",IF(OR($J692="",$K692=""),"",SUM($J692,$K692,$U692)),IF($S692="TOTAL_AMOUNT_INCLUDING_DELIVERY",IF($T692="","",$T692),IF($S692="DELIVERY_CHARGE_ONLY",IF($K692="","",SUM($K692,$U692)),IF($S692="EXACT_COLLECTION_AMOUNT",IF($T692="","",$T692),IF($S692="ITEM_PRICE_ONLY_DELIVERY_PAID_BY_MERCHANT",IF($J692="","",SUM($J692,$U692)),""))))))</f>
        <v/>
      </c>
      <c r="M692" s="12" t="n"/>
      <c r="N692" s="13" t="n"/>
      <c r="O692" s="13" t="n"/>
      <c r="P692" s="9" t="n"/>
      <c r="Q692" s="14" t="n"/>
      <c r="R692" s="15" t="n"/>
      <c r="S692" s="14" t="n"/>
      <c r="T692" s="16" t="n"/>
      <c r="U692" s="16" t="n"/>
      <c r="V692" s="16" t="n"/>
      <c r="W692" s="16" t="n"/>
      <c r="X692" s="16" t="n"/>
      <c r="Y692" s="16" t="n"/>
      <c r="Z692" s="14" t="n"/>
      <c r="AA692" s="14" t="n"/>
      <c r="AB692" s="14" t="n"/>
      <c r="AC692" s="17">
        <f>IFERROR(VLOOKUP($H692&amp;"|"&amp;$Q692,Tariff_Master!$A$2:$L$169,3,FALSE),"")</f>
        <v/>
      </c>
      <c r="AD692" s="17">
        <f>IFERROR(VLOOKUP($H692&amp;"|"&amp;$Q692,Tariff_Master!$A$2:$L$169,4,FALSE),"")</f>
        <v/>
      </c>
      <c r="AE692" s="18">
        <f>IFERROR(VLOOKUP($H692&amp;"|"&amp;$Q692,Tariff_Master!$A$2:$L$169,6,FALSE),"")</f>
        <v/>
      </c>
      <c r="AF692" s="19">
        <f>IFERROR(VLOOKUP($H692&amp;"|"&amp;$Q692,Tariff_Master!$A$2:$L$169,7,FALSE),"")</f>
        <v/>
      </c>
      <c r="AG692" s="18">
        <f>IFERROR(VLOOKUP($H692&amp;"|"&amp;$Q692,Tariff_Master!$A$2:$L$169,8,FALSE),"")</f>
        <v/>
      </c>
      <c r="AH692" s="20">
        <f>IFERROR(VLOOKUP($H692&amp;"|"&amp;$Q692,Tariff_Master!$A$2:$L$169,9,FALSE),"")</f>
        <v/>
      </c>
      <c r="AI692" s="18">
        <f>IFERROR(VLOOKUP($H692&amp;"|"&amp;$Q692,Tariff_Master!$A$2:$L$169,10,FALSE),"")</f>
        <v/>
      </c>
      <c r="AJ692" s="21">
        <f>IF($M692="","",ROUNDUP(MAX(0,$M692),0))</f>
        <v/>
      </c>
      <c r="AK692" s="21">
        <f>IF(OR($AJ692="",$AF692=""),"",MAX(0,$AJ692-$AF692))</f>
        <v/>
      </c>
      <c r="AL692" s="22">
        <f>IF(OR($AK692="",$AG692=""),"",MAX(0,$AK692*$AG692))</f>
        <v/>
      </c>
      <c r="AM692" s="22">
        <f>IF($AE692="","",MAX(0,SUM($AE692,$AL692,$V692,$W692)))</f>
        <v/>
      </c>
      <c r="AN692" s="22">
        <f>IF($AM692="","",IF(AND($Q692="COMMITMENT",$R692&gt;=$AH692),$AI692,0))</f>
        <v/>
      </c>
      <c r="AO692" s="23">
        <f>IF($AM692="","",MAX(0,$AM692-$AN692))</f>
        <v/>
      </c>
      <c r="AP692" s="22">
        <f>IF($S692="","",IF(OR($S692="ITEM_PRICE_PLUS_DECLARED_DELIVERY",$S692="DELIVERY_CHARGE_ONLY"),$K692,IF($S692="TOTAL_AMOUNT_INCLUDING_DELIVERY",IF(OR($T692="",$J692=""),"",MAX(0,$T692-$J692-$U692)),IF($S692="ITEM_PRICE_ONLY_DELIVERY_PAID_BY_MERCHANT",0,""))))</f>
        <v/>
      </c>
      <c r="AQ692" s="23">
        <f>IF(OR($AP692="",$AO692=""),"",$AP692-$AO692)</f>
        <v/>
      </c>
      <c r="AR692" s="24">
        <f>IF($S692="EXACT_COLLECTION_AMOUNT","BREAKDOWN_REQUIRED",IF($AQ692="","",IF($AQ692&gt;0,"CREDIT_TO_MERCHANT",IF($AQ692&lt;0,"DEDUCT_FROM_MERCHANT","NO_ADJUSTMENT"))))</f>
        <v/>
      </c>
      <c r="AS692" s="23">
        <f>IF(OR($AQ692="",$AR692="BREAKDOWN_REQUIRED"),"",$AQ692)</f>
        <v/>
      </c>
      <c r="AT692" s="23">
        <f>IF(OR($AR692="",$AR692="BREAKDOWN_REQUIRED"),"",SUM($J692,$AQ692,$Y692)-$X692)</f>
        <v/>
      </c>
      <c r="AU692" s="25">
        <f>IF(AND($A692="",$B692="",$F692="",$H692="",$J692="",$K692="",$M692="",$S692=""),"",IF(OR($H692="",$Q692="",$M692="",$S692=""),"ERROR",IF(OR($J692&lt;0,$K692&lt;0,$M692&lt;0,$T692&lt;0,$U692&lt;0,$V692&lt;0,$W692&lt;0,$X692&lt;0,$Y692&lt;0),"ERROR",IF($AE692="","ERROR",IF(AND(OR($S692="ITEM_PRICE_PLUS_DECLARED_DELIVERY",$S692="TOTAL_AMOUNT_INCLUDING_DELIVERY",$S692="ITEM_PRICE_ONLY_DELIVERY_PAID_BY_MERCHANT"),$J692=""),"ERROR",IF(AND(OR($S692="ITEM_PRICE_PLUS_DECLARED_DELIVERY",$S692="DELIVERY_CHARGE_ONLY"),$K692=""),"ERROR",IF(AND(OR($S692="TOTAL_AMOUNT_INCLUDING_DELIVERY",$S692="EXACT_COLLECTION_AMOUNT"),$T692=""),"ERROR",IF(AND($S692="TOTAL_AMOUNT_INCLUDING_DELIVERY",$T692&lt;SUM($J692,$U692)),"ERROR",IF($S692="EXACT_COLLECTION_AMOUNT","REVIEW","OK")))))))))</f>
        <v/>
      </c>
      <c r="AV692" s="25">
        <f>IF($AU692="","",IF($H692="","Township required",IF($Q692="","Customer tier required",IF($M692="","Weight required",IF($S692="","Amount entry type required",IF(OR($J692&lt;0,$K692&lt;0,$M692&lt;0,$T692&lt;0,$U692&lt;0,$V692&lt;0,$W692&lt;0,$X692&lt;0,$Y692&lt;0),"Negative amounts are not allowed",IF($AE692="","Tariff not found for township and tier",IF(AND(OR($S692="ITEM_PRICE_PLUS_DECLARED_DELIVERY",$S692="TOTAL_AMOUNT_INCLUDING_DELIVERY",$S692="ITEM_PRICE_ONLY_DELIVERY_PAID_BY_MERCHANT"),$J692=""),"Item price required for this amount type",IF(AND(OR($S692="ITEM_PRICE_PLUS_DECLARED_DELIVERY",$S692="DELIVERY_CHARGE_ONLY"),$K692=""),"Declared delivery charge required",IF(AND(OR($S692="TOTAL_AMOUNT_INCLUDING_DELIVERY",$S692="EXACT_COLLECTION_AMOUNT"),$T692=""),"Stated total amount required",IF(AND($S692="TOTAL_AMOUNT_INCLUDING_DELIVERY",$T692&lt;SUM($J692,$U692)),"Stated total is below item price plus additional charge",IF($S692="EXACT_COLLECTION_AMOUNT","Authorized amount breakdown required before settlement","Ready for collection and settlement"))))))))))))</f>
        <v/>
      </c>
      <c r="AW692" s="23">
        <f>IF($AU692="","","PARCEL_FINANCIAL_V2")</f>
        <v/>
      </c>
      <c r="AX692" s="17" t="n"/>
    </row>
    <row r="693">
      <c r="A693" s="8" t="n"/>
      <c r="B693" s="8" t="n"/>
      <c r="C693" s="8" t="n"/>
      <c r="D693" s="8" t="n"/>
      <c r="E693" s="9" t="n"/>
      <c r="F693" s="9" t="n"/>
      <c r="G693" s="8" t="n"/>
      <c r="H693" s="9" t="n"/>
      <c r="I693" s="9" t="n"/>
      <c r="J693" s="10" t="n"/>
      <c r="K693" s="10" t="n"/>
      <c r="L693" s="11">
        <f>IF($S693="","",IF($S693="ITEM_PRICE_PLUS_DECLARED_DELIVERY",IF(OR($J693="",$K693=""),"",SUM($J693,$K693,$U693)),IF($S693="TOTAL_AMOUNT_INCLUDING_DELIVERY",IF($T693="","",$T693),IF($S693="DELIVERY_CHARGE_ONLY",IF($K693="","",SUM($K693,$U693)),IF($S693="EXACT_COLLECTION_AMOUNT",IF($T693="","",$T693),IF($S693="ITEM_PRICE_ONLY_DELIVERY_PAID_BY_MERCHANT",IF($J693="","",SUM($J693,$U693)),""))))))</f>
        <v/>
      </c>
      <c r="M693" s="12" t="n"/>
      <c r="N693" s="13" t="n"/>
      <c r="O693" s="13" t="n"/>
      <c r="P693" s="9" t="n"/>
      <c r="Q693" s="14" t="n"/>
      <c r="R693" s="15" t="n"/>
      <c r="S693" s="14" t="n"/>
      <c r="T693" s="16" t="n"/>
      <c r="U693" s="16" t="n"/>
      <c r="V693" s="16" t="n"/>
      <c r="W693" s="16" t="n"/>
      <c r="X693" s="16" t="n"/>
      <c r="Y693" s="16" t="n"/>
      <c r="Z693" s="14" t="n"/>
      <c r="AA693" s="14" t="n"/>
      <c r="AB693" s="14" t="n"/>
      <c r="AC693" s="17">
        <f>IFERROR(VLOOKUP($H693&amp;"|"&amp;$Q693,Tariff_Master!$A$2:$L$169,3,FALSE),"")</f>
        <v/>
      </c>
      <c r="AD693" s="17">
        <f>IFERROR(VLOOKUP($H693&amp;"|"&amp;$Q693,Tariff_Master!$A$2:$L$169,4,FALSE),"")</f>
        <v/>
      </c>
      <c r="AE693" s="18">
        <f>IFERROR(VLOOKUP($H693&amp;"|"&amp;$Q693,Tariff_Master!$A$2:$L$169,6,FALSE),"")</f>
        <v/>
      </c>
      <c r="AF693" s="19">
        <f>IFERROR(VLOOKUP($H693&amp;"|"&amp;$Q693,Tariff_Master!$A$2:$L$169,7,FALSE),"")</f>
        <v/>
      </c>
      <c r="AG693" s="18">
        <f>IFERROR(VLOOKUP($H693&amp;"|"&amp;$Q693,Tariff_Master!$A$2:$L$169,8,FALSE),"")</f>
        <v/>
      </c>
      <c r="AH693" s="20">
        <f>IFERROR(VLOOKUP($H693&amp;"|"&amp;$Q693,Tariff_Master!$A$2:$L$169,9,FALSE),"")</f>
        <v/>
      </c>
      <c r="AI693" s="18">
        <f>IFERROR(VLOOKUP($H693&amp;"|"&amp;$Q693,Tariff_Master!$A$2:$L$169,10,FALSE),"")</f>
        <v/>
      </c>
      <c r="AJ693" s="21">
        <f>IF($M693="","",ROUNDUP(MAX(0,$M693),0))</f>
        <v/>
      </c>
      <c r="AK693" s="21">
        <f>IF(OR($AJ693="",$AF693=""),"",MAX(0,$AJ693-$AF693))</f>
        <v/>
      </c>
      <c r="AL693" s="22">
        <f>IF(OR($AK693="",$AG693=""),"",MAX(0,$AK693*$AG693))</f>
        <v/>
      </c>
      <c r="AM693" s="22">
        <f>IF($AE693="","",MAX(0,SUM($AE693,$AL693,$V693,$W693)))</f>
        <v/>
      </c>
      <c r="AN693" s="22">
        <f>IF($AM693="","",IF(AND($Q693="COMMITMENT",$R693&gt;=$AH693),$AI693,0))</f>
        <v/>
      </c>
      <c r="AO693" s="23">
        <f>IF($AM693="","",MAX(0,$AM693-$AN693))</f>
        <v/>
      </c>
      <c r="AP693" s="22">
        <f>IF($S693="","",IF(OR($S693="ITEM_PRICE_PLUS_DECLARED_DELIVERY",$S693="DELIVERY_CHARGE_ONLY"),$K693,IF($S693="TOTAL_AMOUNT_INCLUDING_DELIVERY",IF(OR($T693="",$J693=""),"",MAX(0,$T693-$J693-$U693)),IF($S693="ITEM_PRICE_ONLY_DELIVERY_PAID_BY_MERCHANT",0,""))))</f>
        <v/>
      </c>
      <c r="AQ693" s="23">
        <f>IF(OR($AP693="",$AO693=""),"",$AP693-$AO693)</f>
        <v/>
      </c>
      <c r="AR693" s="24">
        <f>IF($S693="EXACT_COLLECTION_AMOUNT","BREAKDOWN_REQUIRED",IF($AQ693="","",IF($AQ693&gt;0,"CREDIT_TO_MERCHANT",IF($AQ693&lt;0,"DEDUCT_FROM_MERCHANT","NO_ADJUSTMENT"))))</f>
        <v/>
      </c>
      <c r="AS693" s="23">
        <f>IF(OR($AQ693="",$AR693="BREAKDOWN_REQUIRED"),"",$AQ693)</f>
        <v/>
      </c>
      <c r="AT693" s="23">
        <f>IF(OR($AR693="",$AR693="BREAKDOWN_REQUIRED"),"",SUM($J693,$AQ693,$Y693)-$X693)</f>
        <v/>
      </c>
      <c r="AU693" s="25">
        <f>IF(AND($A693="",$B693="",$F693="",$H693="",$J693="",$K693="",$M693="",$S693=""),"",IF(OR($H693="",$Q693="",$M693="",$S693=""),"ERROR",IF(OR($J693&lt;0,$K693&lt;0,$M693&lt;0,$T693&lt;0,$U693&lt;0,$V693&lt;0,$W693&lt;0,$X693&lt;0,$Y693&lt;0),"ERROR",IF($AE693="","ERROR",IF(AND(OR($S693="ITEM_PRICE_PLUS_DECLARED_DELIVERY",$S693="TOTAL_AMOUNT_INCLUDING_DELIVERY",$S693="ITEM_PRICE_ONLY_DELIVERY_PAID_BY_MERCHANT"),$J693=""),"ERROR",IF(AND(OR($S693="ITEM_PRICE_PLUS_DECLARED_DELIVERY",$S693="DELIVERY_CHARGE_ONLY"),$K693=""),"ERROR",IF(AND(OR($S693="TOTAL_AMOUNT_INCLUDING_DELIVERY",$S693="EXACT_COLLECTION_AMOUNT"),$T693=""),"ERROR",IF(AND($S693="TOTAL_AMOUNT_INCLUDING_DELIVERY",$T693&lt;SUM($J693,$U693)),"ERROR",IF($S693="EXACT_COLLECTION_AMOUNT","REVIEW","OK")))))))))</f>
        <v/>
      </c>
      <c r="AV693" s="25">
        <f>IF($AU693="","",IF($H693="","Township required",IF($Q693="","Customer tier required",IF($M693="","Weight required",IF($S693="","Amount entry type required",IF(OR($J693&lt;0,$K693&lt;0,$M693&lt;0,$T693&lt;0,$U693&lt;0,$V693&lt;0,$W693&lt;0,$X693&lt;0,$Y693&lt;0),"Negative amounts are not allowed",IF($AE693="","Tariff not found for township and tier",IF(AND(OR($S693="ITEM_PRICE_PLUS_DECLARED_DELIVERY",$S693="TOTAL_AMOUNT_INCLUDING_DELIVERY",$S693="ITEM_PRICE_ONLY_DELIVERY_PAID_BY_MERCHANT"),$J693=""),"Item price required for this amount type",IF(AND(OR($S693="ITEM_PRICE_PLUS_DECLARED_DELIVERY",$S693="DELIVERY_CHARGE_ONLY"),$K693=""),"Declared delivery charge required",IF(AND(OR($S693="TOTAL_AMOUNT_INCLUDING_DELIVERY",$S693="EXACT_COLLECTION_AMOUNT"),$T693=""),"Stated total amount required",IF(AND($S693="TOTAL_AMOUNT_INCLUDING_DELIVERY",$T693&lt;SUM($J693,$U693)),"Stated total is below item price plus additional charge",IF($S693="EXACT_COLLECTION_AMOUNT","Authorized amount breakdown required before settlement","Ready for collection and settlement"))))))))))))</f>
        <v/>
      </c>
      <c r="AW693" s="23">
        <f>IF($AU693="","","PARCEL_FINANCIAL_V2")</f>
        <v/>
      </c>
      <c r="AX693" s="17" t="n"/>
    </row>
    <row r="694">
      <c r="A694" s="8" t="n"/>
      <c r="B694" s="8" t="n"/>
      <c r="C694" s="8" t="n"/>
      <c r="D694" s="8" t="n"/>
      <c r="E694" s="9" t="n"/>
      <c r="F694" s="9" t="n"/>
      <c r="G694" s="8" t="n"/>
      <c r="H694" s="9" t="n"/>
      <c r="I694" s="9" t="n"/>
      <c r="J694" s="10" t="n"/>
      <c r="K694" s="10" t="n"/>
      <c r="L694" s="11">
        <f>IF($S694="","",IF($S694="ITEM_PRICE_PLUS_DECLARED_DELIVERY",IF(OR($J694="",$K694=""),"",SUM($J694,$K694,$U694)),IF($S694="TOTAL_AMOUNT_INCLUDING_DELIVERY",IF($T694="","",$T694),IF($S694="DELIVERY_CHARGE_ONLY",IF($K694="","",SUM($K694,$U694)),IF($S694="EXACT_COLLECTION_AMOUNT",IF($T694="","",$T694),IF($S694="ITEM_PRICE_ONLY_DELIVERY_PAID_BY_MERCHANT",IF($J694="","",SUM($J694,$U694)),""))))))</f>
        <v/>
      </c>
      <c r="M694" s="12" t="n"/>
      <c r="N694" s="13" t="n"/>
      <c r="O694" s="13" t="n"/>
      <c r="P694" s="9" t="n"/>
      <c r="Q694" s="14" t="n"/>
      <c r="R694" s="15" t="n"/>
      <c r="S694" s="14" t="n"/>
      <c r="T694" s="16" t="n"/>
      <c r="U694" s="16" t="n"/>
      <c r="V694" s="16" t="n"/>
      <c r="W694" s="16" t="n"/>
      <c r="X694" s="16" t="n"/>
      <c r="Y694" s="16" t="n"/>
      <c r="Z694" s="14" t="n"/>
      <c r="AA694" s="14" t="n"/>
      <c r="AB694" s="14" t="n"/>
      <c r="AC694" s="17">
        <f>IFERROR(VLOOKUP($H694&amp;"|"&amp;$Q694,Tariff_Master!$A$2:$L$169,3,FALSE),"")</f>
        <v/>
      </c>
      <c r="AD694" s="17">
        <f>IFERROR(VLOOKUP($H694&amp;"|"&amp;$Q694,Tariff_Master!$A$2:$L$169,4,FALSE),"")</f>
        <v/>
      </c>
      <c r="AE694" s="18">
        <f>IFERROR(VLOOKUP($H694&amp;"|"&amp;$Q694,Tariff_Master!$A$2:$L$169,6,FALSE),"")</f>
        <v/>
      </c>
      <c r="AF694" s="19">
        <f>IFERROR(VLOOKUP($H694&amp;"|"&amp;$Q694,Tariff_Master!$A$2:$L$169,7,FALSE),"")</f>
        <v/>
      </c>
      <c r="AG694" s="18">
        <f>IFERROR(VLOOKUP($H694&amp;"|"&amp;$Q694,Tariff_Master!$A$2:$L$169,8,FALSE),"")</f>
        <v/>
      </c>
      <c r="AH694" s="20">
        <f>IFERROR(VLOOKUP($H694&amp;"|"&amp;$Q694,Tariff_Master!$A$2:$L$169,9,FALSE),"")</f>
        <v/>
      </c>
      <c r="AI694" s="18">
        <f>IFERROR(VLOOKUP($H694&amp;"|"&amp;$Q694,Tariff_Master!$A$2:$L$169,10,FALSE),"")</f>
        <v/>
      </c>
      <c r="AJ694" s="21">
        <f>IF($M694="","",ROUNDUP(MAX(0,$M694),0))</f>
        <v/>
      </c>
      <c r="AK694" s="21">
        <f>IF(OR($AJ694="",$AF694=""),"",MAX(0,$AJ694-$AF694))</f>
        <v/>
      </c>
      <c r="AL694" s="22">
        <f>IF(OR($AK694="",$AG694=""),"",MAX(0,$AK694*$AG694))</f>
        <v/>
      </c>
      <c r="AM694" s="22">
        <f>IF($AE694="","",MAX(0,SUM($AE694,$AL694,$V694,$W694)))</f>
        <v/>
      </c>
      <c r="AN694" s="22">
        <f>IF($AM694="","",IF(AND($Q694="COMMITMENT",$R694&gt;=$AH694),$AI694,0))</f>
        <v/>
      </c>
      <c r="AO694" s="23">
        <f>IF($AM694="","",MAX(0,$AM694-$AN694))</f>
        <v/>
      </c>
      <c r="AP694" s="22">
        <f>IF($S694="","",IF(OR($S694="ITEM_PRICE_PLUS_DECLARED_DELIVERY",$S694="DELIVERY_CHARGE_ONLY"),$K694,IF($S694="TOTAL_AMOUNT_INCLUDING_DELIVERY",IF(OR($T694="",$J694=""),"",MAX(0,$T694-$J694-$U694)),IF($S694="ITEM_PRICE_ONLY_DELIVERY_PAID_BY_MERCHANT",0,""))))</f>
        <v/>
      </c>
      <c r="AQ694" s="23">
        <f>IF(OR($AP694="",$AO694=""),"",$AP694-$AO694)</f>
        <v/>
      </c>
      <c r="AR694" s="24">
        <f>IF($S694="EXACT_COLLECTION_AMOUNT","BREAKDOWN_REQUIRED",IF($AQ694="","",IF($AQ694&gt;0,"CREDIT_TO_MERCHANT",IF($AQ694&lt;0,"DEDUCT_FROM_MERCHANT","NO_ADJUSTMENT"))))</f>
        <v/>
      </c>
      <c r="AS694" s="23">
        <f>IF(OR($AQ694="",$AR694="BREAKDOWN_REQUIRED"),"",$AQ694)</f>
        <v/>
      </c>
      <c r="AT694" s="23">
        <f>IF(OR($AR694="",$AR694="BREAKDOWN_REQUIRED"),"",SUM($J694,$AQ694,$Y694)-$X694)</f>
        <v/>
      </c>
      <c r="AU694" s="25">
        <f>IF(AND($A694="",$B694="",$F694="",$H694="",$J694="",$K694="",$M694="",$S694=""),"",IF(OR($H694="",$Q694="",$M694="",$S694=""),"ERROR",IF(OR($J694&lt;0,$K694&lt;0,$M694&lt;0,$T694&lt;0,$U694&lt;0,$V694&lt;0,$W694&lt;0,$X694&lt;0,$Y694&lt;0),"ERROR",IF($AE694="","ERROR",IF(AND(OR($S694="ITEM_PRICE_PLUS_DECLARED_DELIVERY",$S694="TOTAL_AMOUNT_INCLUDING_DELIVERY",$S694="ITEM_PRICE_ONLY_DELIVERY_PAID_BY_MERCHANT"),$J694=""),"ERROR",IF(AND(OR($S694="ITEM_PRICE_PLUS_DECLARED_DELIVERY",$S694="DELIVERY_CHARGE_ONLY"),$K694=""),"ERROR",IF(AND(OR($S694="TOTAL_AMOUNT_INCLUDING_DELIVERY",$S694="EXACT_COLLECTION_AMOUNT"),$T694=""),"ERROR",IF(AND($S694="TOTAL_AMOUNT_INCLUDING_DELIVERY",$T694&lt;SUM($J694,$U694)),"ERROR",IF($S694="EXACT_COLLECTION_AMOUNT","REVIEW","OK")))))))))</f>
        <v/>
      </c>
      <c r="AV694" s="25">
        <f>IF($AU694="","",IF($H694="","Township required",IF($Q694="","Customer tier required",IF($M694="","Weight required",IF($S694="","Amount entry type required",IF(OR($J694&lt;0,$K694&lt;0,$M694&lt;0,$T694&lt;0,$U694&lt;0,$V694&lt;0,$W694&lt;0,$X694&lt;0,$Y694&lt;0),"Negative amounts are not allowed",IF($AE694="","Tariff not found for township and tier",IF(AND(OR($S694="ITEM_PRICE_PLUS_DECLARED_DELIVERY",$S694="TOTAL_AMOUNT_INCLUDING_DELIVERY",$S694="ITEM_PRICE_ONLY_DELIVERY_PAID_BY_MERCHANT"),$J694=""),"Item price required for this amount type",IF(AND(OR($S694="ITEM_PRICE_PLUS_DECLARED_DELIVERY",$S694="DELIVERY_CHARGE_ONLY"),$K694=""),"Declared delivery charge required",IF(AND(OR($S694="TOTAL_AMOUNT_INCLUDING_DELIVERY",$S694="EXACT_COLLECTION_AMOUNT"),$T694=""),"Stated total amount required",IF(AND($S694="TOTAL_AMOUNT_INCLUDING_DELIVERY",$T694&lt;SUM($J694,$U694)),"Stated total is below item price plus additional charge",IF($S694="EXACT_COLLECTION_AMOUNT","Authorized amount breakdown required before settlement","Ready for collection and settlement"))))))))))))</f>
        <v/>
      </c>
      <c r="AW694" s="23">
        <f>IF($AU694="","","PARCEL_FINANCIAL_V2")</f>
        <v/>
      </c>
      <c r="AX694" s="17" t="n"/>
    </row>
    <row r="695">
      <c r="A695" s="8" t="n"/>
      <c r="B695" s="8" t="n"/>
      <c r="C695" s="8" t="n"/>
      <c r="D695" s="8" t="n"/>
      <c r="E695" s="9" t="n"/>
      <c r="F695" s="9" t="n"/>
      <c r="G695" s="8" t="n"/>
      <c r="H695" s="9" t="n"/>
      <c r="I695" s="9" t="n"/>
      <c r="J695" s="10" t="n"/>
      <c r="K695" s="10" t="n"/>
      <c r="L695" s="11">
        <f>IF($S695="","",IF($S695="ITEM_PRICE_PLUS_DECLARED_DELIVERY",IF(OR($J695="",$K695=""),"",SUM($J695,$K695,$U695)),IF($S695="TOTAL_AMOUNT_INCLUDING_DELIVERY",IF($T695="","",$T695),IF($S695="DELIVERY_CHARGE_ONLY",IF($K695="","",SUM($K695,$U695)),IF($S695="EXACT_COLLECTION_AMOUNT",IF($T695="","",$T695),IF($S695="ITEM_PRICE_ONLY_DELIVERY_PAID_BY_MERCHANT",IF($J695="","",SUM($J695,$U695)),""))))))</f>
        <v/>
      </c>
      <c r="M695" s="12" t="n"/>
      <c r="N695" s="13" t="n"/>
      <c r="O695" s="13" t="n"/>
      <c r="P695" s="9" t="n"/>
      <c r="Q695" s="14" t="n"/>
      <c r="R695" s="15" t="n"/>
      <c r="S695" s="14" t="n"/>
      <c r="T695" s="16" t="n"/>
      <c r="U695" s="16" t="n"/>
      <c r="V695" s="16" t="n"/>
      <c r="W695" s="16" t="n"/>
      <c r="X695" s="16" t="n"/>
      <c r="Y695" s="16" t="n"/>
      <c r="Z695" s="14" t="n"/>
      <c r="AA695" s="14" t="n"/>
      <c r="AB695" s="14" t="n"/>
      <c r="AC695" s="17">
        <f>IFERROR(VLOOKUP($H695&amp;"|"&amp;$Q695,Tariff_Master!$A$2:$L$169,3,FALSE),"")</f>
        <v/>
      </c>
      <c r="AD695" s="17">
        <f>IFERROR(VLOOKUP($H695&amp;"|"&amp;$Q695,Tariff_Master!$A$2:$L$169,4,FALSE),"")</f>
        <v/>
      </c>
      <c r="AE695" s="18">
        <f>IFERROR(VLOOKUP($H695&amp;"|"&amp;$Q695,Tariff_Master!$A$2:$L$169,6,FALSE),"")</f>
        <v/>
      </c>
      <c r="AF695" s="19">
        <f>IFERROR(VLOOKUP($H695&amp;"|"&amp;$Q695,Tariff_Master!$A$2:$L$169,7,FALSE),"")</f>
        <v/>
      </c>
      <c r="AG695" s="18">
        <f>IFERROR(VLOOKUP($H695&amp;"|"&amp;$Q695,Tariff_Master!$A$2:$L$169,8,FALSE),"")</f>
        <v/>
      </c>
      <c r="AH695" s="20">
        <f>IFERROR(VLOOKUP($H695&amp;"|"&amp;$Q695,Tariff_Master!$A$2:$L$169,9,FALSE),"")</f>
        <v/>
      </c>
      <c r="AI695" s="18">
        <f>IFERROR(VLOOKUP($H695&amp;"|"&amp;$Q695,Tariff_Master!$A$2:$L$169,10,FALSE),"")</f>
        <v/>
      </c>
      <c r="AJ695" s="21">
        <f>IF($M695="","",ROUNDUP(MAX(0,$M695),0))</f>
        <v/>
      </c>
      <c r="AK695" s="21">
        <f>IF(OR($AJ695="",$AF695=""),"",MAX(0,$AJ695-$AF695))</f>
        <v/>
      </c>
      <c r="AL695" s="22">
        <f>IF(OR($AK695="",$AG695=""),"",MAX(0,$AK695*$AG695))</f>
        <v/>
      </c>
      <c r="AM695" s="22">
        <f>IF($AE695="","",MAX(0,SUM($AE695,$AL695,$V695,$W695)))</f>
        <v/>
      </c>
      <c r="AN695" s="22">
        <f>IF($AM695="","",IF(AND($Q695="COMMITMENT",$R695&gt;=$AH695),$AI695,0))</f>
        <v/>
      </c>
      <c r="AO695" s="23">
        <f>IF($AM695="","",MAX(0,$AM695-$AN695))</f>
        <v/>
      </c>
      <c r="AP695" s="22">
        <f>IF($S695="","",IF(OR($S695="ITEM_PRICE_PLUS_DECLARED_DELIVERY",$S695="DELIVERY_CHARGE_ONLY"),$K695,IF($S695="TOTAL_AMOUNT_INCLUDING_DELIVERY",IF(OR($T695="",$J695=""),"",MAX(0,$T695-$J695-$U695)),IF($S695="ITEM_PRICE_ONLY_DELIVERY_PAID_BY_MERCHANT",0,""))))</f>
        <v/>
      </c>
      <c r="AQ695" s="23">
        <f>IF(OR($AP695="",$AO695=""),"",$AP695-$AO695)</f>
        <v/>
      </c>
      <c r="AR695" s="24">
        <f>IF($S695="EXACT_COLLECTION_AMOUNT","BREAKDOWN_REQUIRED",IF($AQ695="","",IF($AQ695&gt;0,"CREDIT_TO_MERCHANT",IF($AQ695&lt;0,"DEDUCT_FROM_MERCHANT","NO_ADJUSTMENT"))))</f>
        <v/>
      </c>
      <c r="AS695" s="23">
        <f>IF(OR($AQ695="",$AR695="BREAKDOWN_REQUIRED"),"",$AQ695)</f>
        <v/>
      </c>
      <c r="AT695" s="23">
        <f>IF(OR($AR695="",$AR695="BREAKDOWN_REQUIRED"),"",SUM($J695,$AQ695,$Y695)-$X695)</f>
        <v/>
      </c>
      <c r="AU695" s="25">
        <f>IF(AND($A695="",$B695="",$F695="",$H695="",$J695="",$K695="",$M695="",$S695=""),"",IF(OR($H695="",$Q695="",$M695="",$S695=""),"ERROR",IF(OR($J695&lt;0,$K695&lt;0,$M695&lt;0,$T695&lt;0,$U695&lt;0,$V695&lt;0,$W695&lt;0,$X695&lt;0,$Y695&lt;0),"ERROR",IF($AE695="","ERROR",IF(AND(OR($S695="ITEM_PRICE_PLUS_DECLARED_DELIVERY",$S695="TOTAL_AMOUNT_INCLUDING_DELIVERY",$S695="ITEM_PRICE_ONLY_DELIVERY_PAID_BY_MERCHANT"),$J695=""),"ERROR",IF(AND(OR($S695="ITEM_PRICE_PLUS_DECLARED_DELIVERY",$S695="DELIVERY_CHARGE_ONLY"),$K695=""),"ERROR",IF(AND(OR($S695="TOTAL_AMOUNT_INCLUDING_DELIVERY",$S695="EXACT_COLLECTION_AMOUNT"),$T695=""),"ERROR",IF(AND($S695="TOTAL_AMOUNT_INCLUDING_DELIVERY",$T695&lt;SUM($J695,$U695)),"ERROR",IF($S695="EXACT_COLLECTION_AMOUNT","REVIEW","OK")))))))))</f>
        <v/>
      </c>
      <c r="AV695" s="25">
        <f>IF($AU695="","",IF($H695="","Township required",IF($Q695="","Customer tier required",IF($M695="","Weight required",IF($S695="","Amount entry type required",IF(OR($J695&lt;0,$K695&lt;0,$M695&lt;0,$T695&lt;0,$U695&lt;0,$V695&lt;0,$W695&lt;0,$X695&lt;0,$Y695&lt;0),"Negative amounts are not allowed",IF($AE695="","Tariff not found for township and tier",IF(AND(OR($S695="ITEM_PRICE_PLUS_DECLARED_DELIVERY",$S695="TOTAL_AMOUNT_INCLUDING_DELIVERY",$S695="ITEM_PRICE_ONLY_DELIVERY_PAID_BY_MERCHANT"),$J695=""),"Item price required for this amount type",IF(AND(OR($S695="ITEM_PRICE_PLUS_DECLARED_DELIVERY",$S695="DELIVERY_CHARGE_ONLY"),$K695=""),"Declared delivery charge required",IF(AND(OR($S695="TOTAL_AMOUNT_INCLUDING_DELIVERY",$S695="EXACT_COLLECTION_AMOUNT"),$T695=""),"Stated total amount required",IF(AND($S695="TOTAL_AMOUNT_INCLUDING_DELIVERY",$T695&lt;SUM($J695,$U695)),"Stated total is below item price plus additional charge",IF($S695="EXACT_COLLECTION_AMOUNT","Authorized amount breakdown required before settlement","Ready for collection and settlement"))))))))))))</f>
        <v/>
      </c>
      <c r="AW695" s="23">
        <f>IF($AU695="","","PARCEL_FINANCIAL_V2")</f>
        <v/>
      </c>
      <c r="AX695" s="17" t="n"/>
    </row>
    <row r="696">
      <c r="A696" s="8" t="n"/>
      <c r="B696" s="8" t="n"/>
      <c r="C696" s="8" t="n"/>
      <c r="D696" s="8" t="n"/>
      <c r="E696" s="9" t="n"/>
      <c r="F696" s="9" t="n"/>
      <c r="G696" s="8" t="n"/>
      <c r="H696" s="9" t="n"/>
      <c r="I696" s="9" t="n"/>
      <c r="J696" s="10" t="n"/>
      <c r="K696" s="10" t="n"/>
      <c r="L696" s="11">
        <f>IF($S696="","",IF($S696="ITEM_PRICE_PLUS_DECLARED_DELIVERY",IF(OR($J696="",$K696=""),"",SUM($J696,$K696,$U696)),IF($S696="TOTAL_AMOUNT_INCLUDING_DELIVERY",IF($T696="","",$T696),IF($S696="DELIVERY_CHARGE_ONLY",IF($K696="","",SUM($K696,$U696)),IF($S696="EXACT_COLLECTION_AMOUNT",IF($T696="","",$T696),IF($S696="ITEM_PRICE_ONLY_DELIVERY_PAID_BY_MERCHANT",IF($J696="","",SUM($J696,$U696)),""))))))</f>
        <v/>
      </c>
      <c r="M696" s="12" t="n"/>
      <c r="N696" s="13" t="n"/>
      <c r="O696" s="13" t="n"/>
      <c r="P696" s="9" t="n"/>
      <c r="Q696" s="14" t="n"/>
      <c r="R696" s="15" t="n"/>
      <c r="S696" s="14" t="n"/>
      <c r="T696" s="16" t="n"/>
      <c r="U696" s="16" t="n"/>
      <c r="V696" s="16" t="n"/>
      <c r="W696" s="16" t="n"/>
      <c r="X696" s="16" t="n"/>
      <c r="Y696" s="16" t="n"/>
      <c r="Z696" s="14" t="n"/>
      <c r="AA696" s="14" t="n"/>
      <c r="AB696" s="14" t="n"/>
      <c r="AC696" s="17">
        <f>IFERROR(VLOOKUP($H696&amp;"|"&amp;$Q696,Tariff_Master!$A$2:$L$169,3,FALSE),"")</f>
        <v/>
      </c>
      <c r="AD696" s="17">
        <f>IFERROR(VLOOKUP($H696&amp;"|"&amp;$Q696,Tariff_Master!$A$2:$L$169,4,FALSE),"")</f>
        <v/>
      </c>
      <c r="AE696" s="18">
        <f>IFERROR(VLOOKUP($H696&amp;"|"&amp;$Q696,Tariff_Master!$A$2:$L$169,6,FALSE),"")</f>
        <v/>
      </c>
      <c r="AF696" s="19">
        <f>IFERROR(VLOOKUP($H696&amp;"|"&amp;$Q696,Tariff_Master!$A$2:$L$169,7,FALSE),"")</f>
        <v/>
      </c>
      <c r="AG696" s="18">
        <f>IFERROR(VLOOKUP($H696&amp;"|"&amp;$Q696,Tariff_Master!$A$2:$L$169,8,FALSE),"")</f>
        <v/>
      </c>
      <c r="AH696" s="20">
        <f>IFERROR(VLOOKUP($H696&amp;"|"&amp;$Q696,Tariff_Master!$A$2:$L$169,9,FALSE),"")</f>
        <v/>
      </c>
      <c r="AI696" s="18">
        <f>IFERROR(VLOOKUP($H696&amp;"|"&amp;$Q696,Tariff_Master!$A$2:$L$169,10,FALSE),"")</f>
        <v/>
      </c>
      <c r="AJ696" s="21">
        <f>IF($M696="","",ROUNDUP(MAX(0,$M696),0))</f>
        <v/>
      </c>
      <c r="AK696" s="21">
        <f>IF(OR($AJ696="",$AF696=""),"",MAX(0,$AJ696-$AF696))</f>
        <v/>
      </c>
      <c r="AL696" s="22">
        <f>IF(OR($AK696="",$AG696=""),"",MAX(0,$AK696*$AG696))</f>
        <v/>
      </c>
      <c r="AM696" s="22">
        <f>IF($AE696="","",MAX(0,SUM($AE696,$AL696,$V696,$W696)))</f>
        <v/>
      </c>
      <c r="AN696" s="22">
        <f>IF($AM696="","",IF(AND($Q696="COMMITMENT",$R696&gt;=$AH696),$AI696,0))</f>
        <v/>
      </c>
      <c r="AO696" s="23">
        <f>IF($AM696="","",MAX(0,$AM696-$AN696))</f>
        <v/>
      </c>
      <c r="AP696" s="22">
        <f>IF($S696="","",IF(OR($S696="ITEM_PRICE_PLUS_DECLARED_DELIVERY",$S696="DELIVERY_CHARGE_ONLY"),$K696,IF($S696="TOTAL_AMOUNT_INCLUDING_DELIVERY",IF(OR($T696="",$J696=""),"",MAX(0,$T696-$J696-$U696)),IF($S696="ITEM_PRICE_ONLY_DELIVERY_PAID_BY_MERCHANT",0,""))))</f>
        <v/>
      </c>
      <c r="AQ696" s="23">
        <f>IF(OR($AP696="",$AO696=""),"",$AP696-$AO696)</f>
        <v/>
      </c>
      <c r="AR696" s="24">
        <f>IF($S696="EXACT_COLLECTION_AMOUNT","BREAKDOWN_REQUIRED",IF($AQ696="","",IF($AQ696&gt;0,"CREDIT_TO_MERCHANT",IF($AQ696&lt;0,"DEDUCT_FROM_MERCHANT","NO_ADJUSTMENT"))))</f>
        <v/>
      </c>
      <c r="AS696" s="23">
        <f>IF(OR($AQ696="",$AR696="BREAKDOWN_REQUIRED"),"",$AQ696)</f>
        <v/>
      </c>
      <c r="AT696" s="23">
        <f>IF(OR($AR696="",$AR696="BREAKDOWN_REQUIRED"),"",SUM($J696,$AQ696,$Y696)-$X696)</f>
        <v/>
      </c>
      <c r="AU696" s="25">
        <f>IF(AND($A696="",$B696="",$F696="",$H696="",$J696="",$K696="",$M696="",$S696=""),"",IF(OR($H696="",$Q696="",$M696="",$S696=""),"ERROR",IF(OR($J696&lt;0,$K696&lt;0,$M696&lt;0,$T696&lt;0,$U696&lt;0,$V696&lt;0,$W696&lt;0,$X696&lt;0,$Y696&lt;0),"ERROR",IF($AE696="","ERROR",IF(AND(OR($S696="ITEM_PRICE_PLUS_DECLARED_DELIVERY",$S696="TOTAL_AMOUNT_INCLUDING_DELIVERY",$S696="ITEM_PRICE_ONLY_DELIVERY_PAID_BY_MERCHANT"),$J696=""),"ERROR",IF(AND(OR($S696="ITEM_PRICE_PLUS_DECLARED_DELIVERY",$S696="DELIVERY_CHARGE_ONLY"),$K696=""),"ERROR",IF(AND(OR($S696="TOTAL_AMOUNT_INCLUDING_DELIVERY",$S696="EXACT_COLLECTION_AMOUNT"),$T696=""),"ERROR",IF(AND($S696="TOTAL_AMOUNT_INCLUDING_DELIVERY",$T696&lt;SUM($J696,$U696)),"ERROR",IF($S696="EXACT_COLLECTION_AMOUNT","REVIEW","OK")))))))))</f>
        <v/>
      </c>
      <c r="AV696" s="25">
        <f>IF($AU696="","",IF($H696="","Township required",IF($Q696="","Customer tier required",IF($M696="","Weight required",IF($S696="","Amount entry type required",IF(OR($J696&lt;0,$K696&lt;0,$M696&lt;0,$T696&lt;0,$U696&lt;0,$V696&lt;0,$W696&lt;0,$X696&lt;0,$Y696&lt;0),"Negative amounts are not allowed",IF($AE696="","Tariff not found for township and tier",IF(AND(OR($S696="ITEM_PRICE_PLUS_DECLARED_DELIVERY",$S696="TOTAL_AMOUNT_INCLUDING_DELIVERY",$S696="ITEM_PRICE_ONLY_DELIVERY_PAID_BY_MERCHANT"),$J696=""),"Item price required for this amount type",IF(AND(OR($S696="ITEM_PRICE_PLUS_DECLARED_DELIVERY",$S696="DELIVERY_CHARGE_ONLY"),$K696=""),"Declared delivery charge required",IF(AND(OR($S696="TOTAL_AMOUNT_INCLUDING_DELIVERY",$S696="EXACT_COLLECTION_AMOUNT"),$T696=""),"Stated total amount required",IF(AND($S696="TOTAL_AMOUNT_INCLUDING_DELIVERY",$T696&lt;SUM($J696,$U696)),"Stated total is below item price plus additional charge",IF($S696="EXACT_COLLECTION_AMOUNT","Authorized amount breakdown required before settlement","Ready for collection and settlement"))))))))))))</f>
        <v/>
      </c>
      <c r="AW696" s="23">
        <f>IF($AU696="","","PARCEL_FINANCIAL_V2")</f>
        <v/>
      </c>
      <c r="AX696" s="17" t="n"/>
    </row>
    <row r="697">
      <c r="A697" s="8" t="n"/>
      <c r="B697" s="8" t="n"/>
      <c r="C697" s="8" t="n"/>
      <c r="D697" s="8" t="n"/>
      <c r="E697" s="9" t="n"/>
      <c r="F697" s="9" t="n"/>
      <c r="G697" s="8" t="n"/>
      <c r="H697" s="9" t="n"/>
      <c r="I697" s="9" t="n"/>
      <c r="J697" s="10" t="n"/>
      <c r="K697" s="10" t="n"/>
      <c r="L697" s="11">
        <f>IF($S697="","",IF($S697="ITEM_PRICE_PLUS_DECLARED_DELIVERY",IF(OR($J697="",$K697=""),"",SUM($J697,$K697,$U697)),IF($S697="TOTAL_AMOUNT_INCLUDING_DELIVERY",IF($T697="","",$T697),IF($S697="DELIVERY_CHARGE_ONLY",IF($K697="","",SUM($K697,$U697)),IF($S697="EXACT_COLLECTION_AMOUNT",IF($T697="","",$T697),IF($S697="ITEM_PRICE_ONLY_DELIVERY_PAID_BY_MERCHANT",IF($J697="","",SUM($J697,$U697)),""))))))</f>
        <v/>
      </c>
      <c r="M697" s="12" t="n"/>
      <c r="N697" s="13" t="n"/>
      <c r="O697" s="13" t="n"/>
      <c r="P697" s="9" t="n"/>
      <c r="Q697" s="14" t="n"/>
      <c r="R697" s="15" t="n"/>
      <c r="S697" s="14" t="n"/>
      <c r="T697" s="16" t="n"/>
      <c r="U697" s="16" t="n"/>
      <c r="V697" s="16" t="n"/>
      <c r="W697" s="16" t="n"/>
      <c r="X697" s="16" t="n"/>
      <c r="Y697" s="16" t="n"/>
      <c r="Z697" s="14" t="n"/>
      <c r="AA697" s="14" t="n"/>
      <c r="AB697" s="14" t="n"/>
      <c r="AC697" s="17">
        <f>IFERROR(VLOOKUP($H697&amp;"|"&amp;$Q697,Tariff_Master!$A$2:$L$169,3,FALSE),"")</f>
        <v/>
      </c>
      <c r="AD697" s="17">
        <f>IFERROR(VLOOKUP($H697&amp;"|"&amp;$Q697,Tariff_Master!$A$2:$L$169,4,FALSE),"")</f>
        <v/>
      </c>
      <c r="AE697" s="18">
        <f>IFERROR(VLOOKUP($H697&amp;"|"&amp;$Q697,Tariff_Master!$A$2:$L$169,6,FALSE),"")</f>
        <v/>
      </c>
      <c r="AF697" s="19">
        <f>IFERROR(VLOOKUP($H697&amp;"|"&amp;$Q697,Tariff_Master!$A$2:$L$169,7,FALSE),"")</f>
        <v/>
      </c>
      <c r="AG697" s="18">
        <f>IFERROR(VLOOKUP($H697&amp;"|"&amp;$Q697,Tariff_Master!$A$2:$L$169,8,FALSE),"")</f>
        <v/>
      </c>
      <c r="AH697" s="20">
        <f>IFERROR(VLOOKUP($H697&amp;"|"&amp;$Q697,Tariff_Master!$A$2:$L$169,9,FALSE),"")</f>
        <v/>
      </c>
      <c r="AI697" s="18">
        <f>IFERROR(VLOOKUP($H697&amp;"|"&amp;$Q697,Tariff_Master!$A$2:$L$169,10,FALSE),"")</f>
        <v/>
      </c>
      <c r="AJ697" s="21">
        <f>IF($M697="","",ROUNDUP(MAX(0,$M697),0))</f>
        <v/>
      </c>
      <c r="AK697" s="21">
        <f>IF(OR($AJ697="",$AF697=""),"",MAX(0,$AJ697-$AF697))</f>
        <v/>
      </c>
      <c r="AL697" s="22">
        <f>IF(OR($AK697="",$AG697=""),"",MAX(0,$AK697*$AG697))</f>
        <v/>
      </c>
      <c r="AM697" s="22">
        <f>IF($AE697="","",MAX(0,SUM($AE697,$AL697,$V697,$W697)))</f>
        <v/>
      </c>
      <c r="AN697" s="22">
        <f>IF($AM697="","",IF(AND($Q697="COMMITMENT",$R697&gt;=$AH697),$AI697,0))</f>
        <v/>
      </c>
      <c r="AO697" s="23">
        <f>IF($AM697="","",MAX(0,$AM697-$AN697))</f>
        <v/>
      </c>
      <c r="AP697" s="22">
        <f>IF($S697="","",IF(OR($S697="ITEM_PRICE_PLUS_DECLARED_DELIVERY",$S697="DELIVERY_CHARGE_ONLY"),$K697,IF($S697="TOTAL_AMOUNT_INCLUDING_DELIVERY",IF(OR($T697="",$J697=""),"",MAX(0,$T697-$J697-$U697)),IF($S697="ITEM_PRICE_ONLY_DELIVERY_PAID_BY_MERCHANT",0,""))))</f>
        <v/>
      </c>
      <c r="AQ697" s="23">
        <f>IF(OR($AP697="",$AO697=""),"",$AP697-$AO697)</f>
        <v/>
      </c>
      <c r="AR697" s="24">
        <f>IF($S697="EXACT_COLLECTION_AMOUNT","BREAKDOWN_REQUIRED",IF($AQ697="","",IF($AQ697&gt;0,"CREDIT_TO_MERCHANT",IF($AQ697&lt;0,"DEDUCT_FROM_MERCHANT","NO_ADJUSTMENT"))))</f>
        <v/>
      </c>
      <c r="AS697" s="23">
        <f>IF(OR($AQ697="",$AR697="BREAKDOWN_REQUIRED"),"",$AQ697)</f>
        <v/>
      </c>
      <c r="AT697" s="23">
        <f>IF(OR($AR697="",$AR697="BREAKDOWN_REQUIRED"),"",SUM($J697,$AQ697,$Y697)-$X697)</f>
        <v/>
      </c>
      <c r="AU697" s="25">
        <f>IF(AND($A697="",$B697="",$F697="",$H697="",$J697="",$K697="",$M697="",$S697=""),"",IF(OR($H697="",$Q697="",$M697="",$S697=""),"ERROR",IF(OR($J697&lt;0,$K697&lt;0,$M697&lt;0,$T697&lt;0,$U697&lt;0,$V697&lt;0,$W697&lt;0,$X697&lt;0,$Y697&lt;0),"ERROR",IF($AE697="","ERROR",IF(AND(OR($S697="ITEM_PRICE_PLUS_DECLARED_DELIVERY",$S697="TOTAL_AMOUNT_INCLUDING_DELIVERY",$S697="ITEM_PRICE_ONLY_DELIVERY_PAID_BY_MERCHANT"),$J697=""),"ERROR",IF(AND(OR($S697="ITEM_PRICE_PLUS_DECLARED_DELIVERY",$S697="DELIVERY_CHARGE_ONLY"),$K697=""),"ERROR",IF(AND(OR($S697="TOTAL_AMOUNT_INCLUDING_DELIVERY",$S697="EXACT_COLLECTION_AMOUNT"),$T697=""),"ERROR",IF(AND($S697="TOTAL_AMOUNT_INCLUDING_DELIVERY",$T697&lt;SUM($J697,$U697)),"ERROR",IF($S697="EXACT_COLLECTION_AMOUNT","REVIEW","OK")))))))))</f>
        <v/>
      </c>
      <c r="AV697" s="25">
        <f>IF($AU697="","",IF($H697="","Township required",IF($Q697="","Customer tier required",IF($M697="","Weight required",IF($S697="","Amount entry type required",IF(OR($J697&lt;0,$K697&lt;0,$M697&lt;0,$T697&lt;0,$U697&lt;0,$V697&lt;0,$W697&lt;0,$X697&lt;0,$Y697&lt;0),"Negative amounts are not allowed",IF($AE697="","Tariff not found for township and tier",IF(AND(OR($S697="ITEM_PRICE_PLUS_DECLARED_DELIVERY",$S697="TOTAL_AMOUNT_INCLUDING_DELIVERY",$S697="ITEM_PRICE_ONLY_DELIVERY_PAID_BY_MERCHANT"),$J697=""),"Item price required for this amount type",IF(AND(OR($S697="ITEM_PRICE_PLUS_DECLARED_DELIVERY",$S697="DELIVERY_CHARGE_ONLY"),$K697=""),"Declared delivery charge required",IF(AND(OR($S697="TOTAL_AMOUNT_INCLUDING_DELIVERY",$S697="EXACT_COLLECTION_AMOUNT"),$T697=""),"Stated total amount required",IF(AND($S697="TOTAL_AMOUNT_INCLUDING_DELIVERY",$T697&lt;SUM($J697,$U697)),"Stated total is below item price plus additional charge",IF($S697="EXACT_COLLECTION_AMOUNT","Authorized amount breakdown required before settlement","Ready for collection and settlement"))))))))))))</f>
        <v/>
      </c>
      <c r="AW697" s="23">
        <f>IF($AU697="","","PARCEL_FINANCIAL_V2")</f>
        <v/>
      </c>
      <c r="AX697" s="17" t="n"/>
    </row>
    <row r="698">
      <c r="A698" s="8" t="n"/>
      <c r="B698" s="8" t="n"/>
      <c r="C698" s="8" t="n"/>
      <c r="D698" s="8" t="n"/>
      <c r="E698" s="9" t="n"/>
      <c r="F698" s="9" t="n"/>
      <c r="G698" s="8" t="n"/>
      <c r="H698" s="9" t="n"/>
      <c r="I698" s="9" t="n"/>
      <c r="J698" s="10" t="n"/>
      <c r="K698" s="10" t="n"/>
      <c r="L698" s="11">
        <f>IF($S698="","",IF($S698="ITEM_PRICE_PLUS_DECLARED_DELIVERY",IF(OR($J698="",$K698=""),"",SUM($J698,$K698,$U698)),IF($S698="TOTAL_AMOUNT_INCLUDING_DELIVERY",IF($T698="","",$T698),IF($S698="DELIVERY_CHARGE_ONLY",IF($K698="","",SUM($K698,$U698)),IF($S698="EXACT_COLLECTION_AMOUNT",IF($T698="","",$T698),IF($S698="ITEM_PRICE_ONLY_DELIVERY_PAID_BY_MERCHANT",IF($J698="","",SUM($J698,$U698)),""))))))</f>
        <v/>
      </c>
      <c r="M698" s="12" t="n"/>
      <c r="N698" s="13" t="n"/>
      <c r="O698" s="13" t="n"/>
      <c r="P698" s="9" t="n"/>
      <c r="Q698" s="14" t="n"/>
      <c r="R698" s="15" t="n"/>
      <c r="S698" s="14" t="n"/>
      <c r="T698" s="16" t="n"/>
      <c r="U698" s="16" t="n"/>
      <c r="V698" s="16" t="n"/>
      <c r="W698" s="16" t="n"/>
      <c r="X698" s="16" t="n"/>
      <c r="Y698" s="16" t="n"/>
      <c r="Z698" s="14" t="n"/>
      <c r="AA698" s="14" t="n"/>
      <c r="AB698" s="14" t="n"/>
      <c r="AC698" s="17">
        <f>IFERROR(VLOOKUP($H698&amp;"|"&amp;$Q698,Tariff_Master!$A$2:$L$169,3,FALSE),"")</f>
        <v/>
      </c>
      <c r="AD698" s="17">
        <f>IFERROR(VLOOKUP($H698&amp;"|"&amp;$Q698,Tariff_Master!$A$2:$L$169,4,FALSE),"")</f>
        <v/>
      </c>
      <c r="AE698" s="18">
        <f>IFERROR(VLOOKUP($H698&amp;"|"&amp;$Q698,Tariff_Master!$A$2:$L$169,6,FALSE),"")</f>
        <v/>
      </c>
      <c r="AF698" s="19">
        <f>IFERROR(VLOOKUP($H698&amp;"|"&amp;$Q698,Tariff_Master!$A$2:$L$169,7,FALSE),"")</f>
        <v/>
      </c>
      <c r="AG698" s="18">
        <f>IFERROR(VLOOKUP($H698&amp;"|"&amp;$Q698,Tariff_Master!$A$2:$L$169,8,FALSE),"")</f>
        <v/>
      </c>
      <c r="AH698" s="20">
        <f>IFERROR(VLOOKUP($H698&amp;"|"&amp;$Q698,Tariff_Master!$A$2:$L$169,9,FALSE),"")</f>
        <v/>
      </c>
      <c r="AI698" s="18">
        <f>IFERROR(VLOOKUP($H698&amp;"|"&amp;$Q698,Tariff_Master!$A$2:$L$169,10,FALSE),"")</f>
        <v/>
      </c>
      <c r="AJ698" s="21">
        <f>IF($M698="","",ROUNDUP(MAX(0,$M698),0))</f>
        <v/>
      </c>
      <c r="AK698" s="21">
        <f>IF(OR($AJ698="",$AF698=""),"",MAX(0,$AJ698-$AF698))</f>
        <v/>
      </c>
      <c r="AL698" s="22">
        <f>IF(OR($AK698="",$AG698=""),"",MAX(0,$AK698*$AG698))</f>
        <v/>
      </c>
      <c r="AM698" s="22">
        <f>IF($AE698="","",MAX(0,SUM($AE698,$AL698,$V698,$W698)))</f>
        <v/>
      </c>
      <c r="AN698" s="22">
        <f>IF($AM698="","",IF(AND($Q698="COMMITMENT",$R698&gt;=$AH698),$AI698,0))</f>
        <v/>
      </c>
      <c r="AO698" s="23">
        <f>IF($AM698="","",MAX(0,$AM698-$AN698))</f>
        <v/>
      </c>
      <c r="AP698" s="22">
        <f>IF($S698="","",IF(OR($S698="ITEM_PRICE_PLUS_DECLARED_DELIVERY",$S698="DELIVERY_CHARGE_ONLY"),$K698,IF($S698="TOTAL_AMOUNT_INCLUDING_DELIVERY",IF(OR($T698="",$J698=""),"",MAX(0,$T698-$J698-$U698)),IF($S698="ITEM_PRICE_ONLY_DELIVERY_PAID_BY_MERCHANT",0,""))))</f>
        <v/>
      </c>
      <c r="AQ698" s="23">
        <f>IF(OR($AP698="",$AO698=""),"",$AP698-$AO698)</f>
        <v/>
      </c>
      <c r="AR698" s="24">
        <f>IF($S698="EXACT_COLLECTION_AMOUNT","BREAKDOWN_REQUIRED",IF($AQ698="","",IF($AQ698&gt;0,"CREDIT_TO_MERCHANT",IF($AQ698&lt;0,"DEDUCT_FROM_MERCHANT","NO_ADJUSTMENT"))))</f>
        <v/>
      </c>
      <c r="AS698" s="23">
        <f>IF(OR($AQ698="",$AR698="BREAKDOWN_REQUIRED"),"",$AQ698)</f>
        <v/>
      </c>
      <c r="AT698" s="23">
        <f>IF(OR($AR698="",$AR698="BREAKDOWN_REQUIRED"),"",SUM($J698,$AQ698,$Y698)-$X698)</f>
        <v/>
      </c>
      <c r="AU698" s="25">
        <f>IF(AND($A698="",$B698="",$F698="",$H698="",$J698="",$K698="",$M698="",$S698=""),"",IF(OR($H698="",$Q698="",$M698="",$S698=""),"ERROR",IF(OR($J698&lt;0,$K698&lt;0,$M698&lt;0,$T698&lt;0,$U698&lt;0,$V698&lt;0,$W698&lt;0,$X698&lt;0,$Y698&lt;0),"ERROR",IF($AE698="","ERROR",IF(AND(OR($S698="ITEM_PRICE_PLUS_DECLARED_DELIVERY",$S698="TOTAL_AMOUNT_INCLUDING_DELIVERY",$S698="ITEM_PRICE_ONLY_DELIVERY_PAID_BY_MERCHANT"),$J698=""),"ERROR",IF(AND(OR($S698="ITEM_PRICE_PLUS_DECLARED_DELIVERY",$S698="DELIVERY_CHARGE_ONLY"),$K698=""),"ERROR",IF(AND(OR($S698="TOTAL_AMOUNT_INCLUDING_DELIVERY",$S698="EXACT_COLLECTION_AMOUNT"),$T698=""),"ERROR",IF(AND($S698="TOTAL_AMOUNT_INCLUDING_DELIVERY",$T698&lt;SUM($J698,$U698)),"ERROR",IF($S698="EXACT_COLLECTION_AMOUNT","REVIEW","OK")))))))))</f>
        <v/>
      </c>
      <c r="AV698" s="25">
        <f>IF($AU698="","",IF($H698="","Township required",IF($Q698="","Customer tier required",IF($M698="","Weight required",IF($S698="","Amount entry type required",IF(OR($J698&lt;0,$K698&lt;0,$M698&lt;0,$T698&lt;0,$U698&lt;0,$V698&lt;0,$W698&lt;0,$X698&lt;0,$Y698&lt;0),"Negative amounts are not allowed",IF($AE698="","Tariff not found for township and tier",IF(AND(OR($S698="ITEM_PRICE_PLUS_DECLARED_DELIVERY",$S698="TOTAL_AMOUNT_INCLUDING_DELIVERY",$S698="ITEM_PRICE_ONLY_DELIVERY_PAID_BY_MERCHANT"),$J698=""),"Item price required for this amount type",IF(AND(OR($S698="ITEM_PRICE_PLUS_DECLARED_DELIVERY",$S698="DELIVERY_CHARGE_ONLY"),$K698=""),"Declared delivery charge required",IF(AND(OR($S698="TOTAL_AMOUNT_INCLUDING_DELIVERY",$S698="EXACT_COLLECTION_AMOUNT"),$T698=""),"Stated total amount required",IF(AND($S698="TOTAL_AMOUNT_INCLUDING_DELIVERY",$T698&lt;SUM($J698,$U698)),"Stated total is below item price plus additional charge",IF($S698="EXACT_COLLECTION_AMOUNT","Authorized amount breakdown required before settlement","Ready for collection and settlement"))))))))))))</f>
        <v/>
      </c>
      <c r="AW698" s="23">
        <f>IF($AU698="","","PARCEL_FINANCIAL_V2")</f>
        <v/>
      </c>
      <c r="AX698" s="17" t="n"/>
    </row>
    <row r="699">
      <c r="A699" s="8" t="n"/>
      <c r="B699" s="8" t="n"/>
      <c r="C699" s="8" t="n"/>
      <c r="D699" s="8" t="n"/>
      <c r="E699" s="9" t="n"/>
      <c r="F699" s="9" t="n"/>
      <c r="G699" s="8" t="n"/>
      <c r="H699" s="9" t="n"/>
      <c r="I699" s="9" t="n"/>
      <c r="J699" s="10" t="n"/>
      <c r="K699" s="10" t="n"/>
      <c r="L699" s="11">
        <f>IF($S699="","",IF($S699="ITEM_PRICE_PLUS_DECLARED_DELIVERY",IF(OR($J699="",$K699=""),"",SUM($J699,$K699,$U699)),IF($S699="TOTAL_AMOUNT_INCLUDING_DELIVERY",IF($T699="","",$T699),IF($S699="DELIVERY_CHARGE_ONLY",IF($K699="","",SUM($K699,$U699)),IF($S699="EXACT_COLLECTION_AMOUNT",IF($T699="","",$T699),IF($S699="ITEM_PRICE_ONLY_DELIVERY_PAID_BY_MERCHANT",IF($J699="","",SUM($J699,$U699)),""))))))</f>
        <v/>
      </c>
      <c r="M699" s="12" t="n"/>
      <c r="N699" s="13" t="n"/>
      <c r="O699" s="13" t="n"/>
      <c r="P699" s="9" t="n"/>
      <c r="Q699" s="14" t="n"/>
      <c r="R699" s="15" t="n"/>
      <c r="S699" s="14" t="n"/>
      <c r="T699" s="16" t="n"/>
      <c r="U699" s="16" t="n"/>
      <c r="V699" s="16" t="n"/>
      <c r="W699" s="16" t="n"/>
      <c r="X699" s="16" t="n"/>
      <c r="Y699" s="16" t="n"/>
      <c r="Z699" s="14" t="n"/>
      <c r="AA699" s="14" t="n"/>
      <c r="AB699" s="14" t="n"/>
      <c r="AC699" s="17">
        <f>IFERROR(VLOOKUP($H699&amp;"|"&amp;$Q699,Tariff_Master!$A$2:$L$169,3,FALSE),"")</f>
        <v/>
      </c>
      <c r="AD699" s="17">
        <f>IFERROR(VLOOKUP($H699&amp;"|"&amp;$Q699,Tariff_Master!$A$2:$L$169,4,FALSE),"")</f>
        <v/>
      </c>
      <c r="AE699" s="18">
        <f>IFERROR(VLOOKUP($H699&amp;"|"&amp;$Q699,Tariff_Master!$A$2:$L$169,6,FALSE),"")</f>
        <v/>
      </c>
      <c r="AF699" s="19">
        <f>IFERROR(VLOOKUP($H699&amp;"|"&amp;$Q699,Tariff_Master!$A$2:$L$169,7,FALSE),"")</f>
        <v/>
      </c>
      <c r="AG699" s="18">
        <f>IFERROR(VLOOKUP($H699&amp;"|"&amp;$Q699,Tariff_Master!$A$2:$L$169,8,FALSE),"")</f>
        <v/>
      </c>
      <c r="AH699" s="20">
        <f>IFERROR(VLOOKUP($H699&amp;"|"&amp;$Q699,Tariff_Master!$A$2:$L$169,9,FALSE),"")</f>
        <v/>
      </c>
      <c r="AI699" s="18">
        <f>IFERROR(VLOOKUP($H699&amp;"|"&amp;$Q699,Tariff_Master!$A$2:$L$169,10,FALSE),"")</f>
        <v/>
      </c>
      <c r="AJ699" s="21">
        <f>IF($M699="","",ROUNDUP(MAX(0,$M699),0))</f>
        <v/>
      </c>
      <c r="AK699" s="21">
        <f>IF(OR($AJ699="",$AF699=""),"",MAX(0,$AJ699-$AF699))</f>
        <v/>
      </c>
      <c r="AL699" s="22">
        <f>IF(OR($AK699="",$AG699=""),"",MAX(0,$AK699*$AG699))</f>
        <v/>
      </c>
      <c r="AM699" s="22">
        <f>IF($AE699="","",MAX(0,SUM($AE699,$AL699,$V699,$W699)))</f>
        <v/>
      </c>
      <c r="AN699" s="22">
        <f>IF($AM699="","",IF(AND($Q699="COMMITMENT",$R699&gt;=$AH699),$AI699,0))</f>
        <v/>
      </c>
      <c r="AO699" s="23">
        <f>IF($AM699="","",MAX(0,$AM699-$AN699))</f>
        <v/>
      </c>
      <c r="AP699" s="22">
        <f>IF($S699="","",IF(OR($S699="ITEM_PRICE_PLUS_DECLARED_DELIVERY",$S699="DELIVERY_CHARGE_ONLY"),$K699,IF($S699="TOTAL_AMOUNT_INCLUDING_DELIVERY",IF(OR($T699="",$J699=""),"",MAX(0,$T699-$J699-$U699)),IF($S699="ITEM_PRICE_ONLY_DELIVERY_PAID_BY_MERCHANT",0,""))))</f>
        <v/>
      </c>
      <c r="AQ699" s="23">
        <f>IF(OR($AP699="",$AO699=""),"",$AP699-$AO699)</f>
        <v/>
      </c>
      <c r="AR699" s="24">
        <f>IF($S699="EXACT_COLLECTION_AMOUNT","BREAKDOWN_REQUIRED",IF($AQ699="","",IF($AQ699&gt;0,"CREDIT_TO_MERCHANT",IF($AQ699&lt;0,"DEDUCT_FROM_MERCHANT","NO_ADJUSTMENT"))))</f>
        <v/>
      </c>
      <c r="AS699" s="23">
        <f>IF(OR($AQ699="",$AR699="BREAKDOWN_REQUIRED"),"",$AQ699)</f>
        <v/>
      </c>
      <c r="AT699" s="23">
        <f>IF(OR($AR699="",$AR699="BREAKDOWN_REQUIRED"),"",SUM($J699,$AQ699,$Y699)-$X699)</f>
        <v/>
      </c>
      <c r="AU699" s="25">
        <f>IF(AND($A699="",$B699="",$F699="",$H699="",$J699="",$K699="",$M699="",$S699=""),"",IF(OR($H699="",$Q699="",$M699="",$S699=""),"ERROR",IF(OR($J699&lt;0,$K699&lt;0,$M699&lt;0,$T699&lt;0,$U699&lt;0,$V699&lt;0,$W699&lt;0,$X699&lt;0,$Y699&lt;0),"ERROR",IF($AE699="","ERROR",IF(AND(OR($S699="ITEM_PRICE_PLUS_DECLARED_DELIVERY",$S699="TOTAL_AMOUNT_INCLUDING_DELIVERY",$S699="ITEM_PRICE_ONLY_DELIVERY_PAID_BY_MERCHANT"),$J699=""),"ERROR",IF(AND(OR($S699="ITEM_PRICE_PLUS_DECLARED_DELIVERY",$S699="DELIVERY_CHARGE_ONLY"),$K699=""),"ERROR",IF(AND(OR($S699="TOTAL_AMOUNT_INCLUDING_DELIVERY",$S699="EXACT_COLLECTION_AMOUNT"),$T699=""),"ERROR",IF(AND($S699="TOTAL_AMOUNT_INCLUDING_DELIVERY",$T699&lt;SUM($J699,$U699)),"ERROR",IF($S699="EXACT_COLLECTION_AMOUNT","REVIEW","OK")))))))))</f>
        <v/>
      </c>
      <c r="AV699" s="25">
        <f>IF($AU699="","",IF($H699="","Township required",IF($Q699="","Customer tier required",IF($M699="","Weight required",IF($S699="","Amount entry type required",IF(OR($J699&lt;0,$K699&lt;0,$M699&lt;0,$T699&lt;0,$U699&lt;0,$V699&lt;0,$W699&lt;0,$X699&lt;0,$Y699&lt;0),"Negative amounts are not allowed",IF($AE699="","Tariff not found for township and tier",IF(AND(OR($S699="ITEM_PRICE_PLUS_DECLARED_DELIVERY",$S699="TOTAL_AMOUNT_INCLUDING_DELIVERY",$S699="ITEM_PRICE_ONLY_DELIVERY_PAID_BY_MERCHANT"),$J699=""),"Item price required for this amount type",IF(AND(OR($S699="ITEM_PRICE_PLUS_DECLARED_DELIVERY",$S699="DELIVERY_CHARGE_ONLY"),$K699=""),"Declared delivery charge required",IF(AND(OR($S699="TOTAL_AMOUNT_INCLUDING_DELIVERY",$S699="EXACT_COLLECTION_AMOUNT"),$T699=""),"Stated total amount required",IF(AND($S699="TOTAL_AMOUNT_INCLUDING_DELIVERY",$T699&lt;SUM($J699,$U699)),"Stated total is below item price plus additional charge",IF($S699="EXACT_COLLECTION_AMOUNT","Authorized amount breakdown required before settlement","Ready for collection and settlement"))))))))))))</f>
        <v/>
      </c>
      <c r="AW699" s="23">
        <f>IF($AU699="","","PARCEL_FINANCIAL_V2")</f>
        <v/>
      </c>
      <c r="AX699" s="17" t="n"/>
    </row>
    <row r="700">
      <c r="A700" s="8" t="n"/>
      <c r="B700" s="8" t="n"/>
      <c r="C700" s="8" t="n"/>
      <c r="D700" s="8" t="n"/>
      <c r="E700" s="9" t="n"/>
      <c r="F700" s="9" t="n"/>
      <c r="G700" s="8" t="n"/>
      <c r="H700" s="9" t="n"/>
      <c r="I700" s="9" t="n"/>
      <c r="J700" s="10" t="n"/>
      <c r="K700" s="10" t="n"/>
      <c r="L700" s="11">
        <f>IF($S700="","",IF($S700="ITEM_PRICE_PLUS_DECLARED_DELIVERY",IF(OR($J700="",$K700=""),"",SUM($J700,$K700,$U700)),IF($S700="TOTAL_AMOUNT_INCLUDING_DELIVERY",IF($T700="","",$T700),IF($S700="DELIVERY_CHARGE_ONLY",IF($K700="","",SUM($K700,$U700)),IF($S700="EXACT_COLLECTION_AMOUNT",IF($T700="","",$T700),IF($S700="ITEM_PRICE_ONLY_DELIVERY_PAID_BY_MERCHANT",IF($J700="","",SUM($J700,$U700)),""))))))</f>
        <v/>
      </c>
      <c r="M700" s="12" t="n"/>
      <c r="N700" s="13" t="n"/>
      <c r="O700" s="13" t="n"/>
      <c r="P700" s="9" t="n"/>
      <c r="Q700" s="14" t="n"/>
      <c r="R700" s="15" t="n"/>
      <c r="S700" s="14" t="n"/>
      <c r="T700" s="16" t="n"/>
      <c r="U700" s="16" t="n"/>
      <c r="V700" s="16" t="n"/>
      <c r="W700" s="16" t="n"/>
      <c r="X700" s="16" t="n"/>
      <c r="Y700" s="16" t="n"/>
      <c r="Z700" s="14" t="n"/>
      <c r="AA700" s="14" t="n"/>
      <c r="AB700" s="14" t="n"/>
      <c r="AC700" s="17">
        <f>IFERROR(VLOOKUP($H700&amp;"|"&amp;$Q700,Tariff_Master!$A$2:$L$169,3,FALSE),"")</f>
        <v/>
      </c>
      <c r="AD700" s="17">
        <f>IFERROR(VLOOKUP($H700&amp;"|"&amp;$Q700,Tariff_Master!$A$2:$L$169,4,FALSE),"")</f>
        <v/>
      </c>
      <c r="AE700" s="18">
        <f>IFERROR(VLOOKUP($H700&amp;"|"&amp;$Q700,Tariff_Master!$A$2:$L$169,6,FALSE),"")</f>
        <v/>
      </c>
      <c r="AF700" s="19">
        <f>IFERROR(VLOOKUP($H700&amp;"|"&amp;$Q700,Tariff_Master!$A$2:$L$169,7,FALSE),"")</f>
        <v/>
      </c>
      <c r="AG700" s="18">
        <f>IFERROR(VLOOKUP($H700&amp;"|"&amp;$Q700,Tariff_Master!$A$2:$L$169,8,FALSE),"")</f>
        <v/>
      </c>
      <c r="AH700" s="20">
        <f>IFERROR(VLOOKUP($H700&amp;"|"&amp;$Q700,Tariff_Master!$A$2:$L$169,9,FALSE),"")</f>
        <v/>
      </c>
      <c r="AI700" s="18">
        <f>IFERROR(VLOOKUP($H700&amp;"|"&amp;$Q700,Tariff_Master!$A$2:$L$169,10,FALSE),"")</f>
        <v/>
      </c>
      <c r="AJ700" s="21">
        <f>IF($M700="","",ROUNDUP(MAX(0,$M700),0))</f>
        <v/>
      </c>
      <c r="AK700" s="21">
        <f>IF(OR($AJ700="",$AF700=""),"",MAX(0,$AJ700-$AF700))</f>
        <v/>
      </c>
      <c r="AL700" s="22">
        <f>IF(OR($AK700="",$AG700=""),"",MAX(0,$AK700*$AG700))</f>
        <v/>
      </c>
      <c r="AM700" s="22">
        <f>IF($AE700="","",MAX(0,SUM($AE700,$AL700,$V700,$W700)))</f>
        <v/>
      </c>
      <c r="AN700" s="22">
        <f>IF($AM700="","",IF(AND($Q700="COMMITMENT",$R700&gt;=$AH700),$AI700,0))</f>
        <v/>
      </c>
      <c r="AO700" s="23">
        <f>IF($AM700="","",MAX(0,$AM700-$AN700))</f>
        <v/>
      </c>
      <c r="AP700" s="22">
        <f>IF($S700="","",IF(OR($S700="ITEM_PRICE_PLUS_DECLARED_DELIVERY",$S700="DELIVERY_CHARGE_ONLY"),$K700,IF($S700="TOTAL_AMOUNT_INCLUDING_DELIVERY",IF(OR($T700="",$J700=""),"",MAX(0,$T700-$J700-$U700)),IF($S700="ITEM_PRICE_ONLY_DELIVERY_PAID_BY_MERCHANT",0,""))))</f>
        <v/>
      </c>
      <c r="AQ700" s="23">
        <f>IF(OR($AP700="",$AO700=""),"",$AP700-$AO700)</f>
        <v/>
      </c>
      <c r="AR700" s="24">
        <f>IF($S700="EXACT_COLLECTION_AMOUNT","BREAKDOWN_REQUIRED",IF($AQ700="","",IF($AQ700&gt;0,"CREDIT_TO_MERCHANT",IF($AQ700&lt;0,"DEDUCT_FROM_MERCHANT","NO_ADJUSTMENT"))))</f>
        <v/>
      </c>
      <c r="AS700" s="23">
        <f>IF(OR($AQ700="",$AR700="BREAKDOWN_REQUIRED"),"",$AQ700)</f>
        <v/>
      </c>
      <c r="AT700" s="23">
        <f>IF(OR($AR700="",$AR700="BREAKDOWN_REQUIRED"),"",SUM($J700,$AQ700,$Y700)-$X700)</f>
        <v/>
      </c>
      <c r="AU700" s="25">
        <f>IF(AND($A700="",$B700="",$F700="",$H700="",$J700="",$K700="",$M700="",$S700=""),"",IF(OR($H700="",$Q700="",$M700="",$S700=""),"ERROR",IF(OR($J700&lt;0,$K700&lt;0,$M700&lt;0,$T700&lt;0,$U700&lt;0,$V700&lt;0,$W700&lt;0,$X700&lt;0,$Y700&lt;0),"ERROR",IF($AE700="","ERROR",IF(AND(OR($S700="ITEM_PRICE_PLUS_DECLARED_DELIVERY",$S700="TOTAL_AMOUNT_INCLUDING_DELIVERY",$S700="ITEM_PRICE_ONLY_DELIVERY_PAID_BY_MERCHANT"),$J700=""),"ERROR",IF(AND(OR($S700="ITEM_PRICE_PLUS_DECLARED_DELIVERY",$S700="DELIVERY_CHARGE_ONLY"),$K700=""),"ERROR",IF(AND(OR($S700="TOTAL_AMOUNT_INCLUDING_DELIVERY",$S700="EXACT_COLLECTION_AMOUNT"),$T700=""),"ERROR",IF(AND($S700="TOTAL_AMOUNT_INCLUDING_DELIVERY",$T700&lt;SUM($J700,$U700)),"ERROR",IF($S700="EXACT_COLLECTION_AMOUNT","REVIEW","OK")))))))))</f>
        <v/>
      </c>
      <c r="AV700" s="25">
        <f>IF($AU700="","",IF($H700="","Township required",IF($Q700="","Customer tier required",IF($M700="","Weight required",IF($S700="","Amount entry type required",IF(OR($J700&lt;0,$K700&lt;0,$M700&lt;0,$T700&lt;0,$U700&lt;0,$V700&lt;0,$W700&lt;0,$X700&lt;0,$Y700&lt;0),"Negative amounts are not allowed",IF($AE700="","Tariff not found for township and tier",IF(AND(OR($S700="ITEM_PRICE_PLUS_DECLARED_DELIVERY",$S700="TOTAL_AMOUNT_INCLUDING_DELIVERY",$S700="ITEM_PRICE_ONLY_DELIVERY_PAID_BY_MERCHANT"),$J700=""),"Item price required for this amount type",IF(AND(OR($S700="ITEM_PRICE_PLUS_DECLARED_DELIVERY",$S700="DELIVERY_CHARGE_ONLY"),$K700=""),"Declared delivery charge required",IF(AND(OR($S700="TOTAL_AMOUNT_INCLUDING_DELIVERY",$S700="EXACT_COLLECTION_AMOUNT"),$T700=""),"Stated total amount required",IF(AND($S700="TOTAL_AMOUNT_INCLUDING_DELIVERY",$T700&lt;SUM($J700,$U700)),"Stated total is below item price plus additional charge",IF($S700="EXACT_COLLECTION_AMOUNT","Authorized amount breakdown required before settlement","Ready for collection and settlement"))))))))))))</f>
        <v/>
      </c>
      <c r="AW700" s="23">
        <f>IF($AU700="","","PARCEL_FINANCIAL_V2")</f>
        <v/>
      </c>
      <c r="AX700" s="17" t="n"/>
    </row>
    <row r="701">
      <c r="A701" s="8" t="n"/>
      <c r="B701" s="8" t="n"/>
      <c r="C701" s="8" t="n"/>
      <c r="D701" s="8" t="n"/>
      <c r="E701" s="9" t="n"/>
      <c r="F701" s="9" t="n"/>
      <c r="G701" s="8" t="n"/>
      <c r="H701" s="9" t="n"/>
      <c r="I701" s="9" t="n"/>
      <c r="J701" s="10" t="n"/>
      <c r="K701" s="10" t="n"/>
      <c r="L701" s="11">
        <f>IF($S701="","",IF($S701="ITEM_PRICE_PLUS_DECLARED_DELIVERY",IF(OR($J701="",$K701=""),"",SUM($J701,$K701,$U701)),IF($S701="TOTAL_AMOUNT_INCLUDING_DELIVERY",IF($T701="","",$T701),IF($S701="DELIVERY_CHARGE_ONLY",IF($K701="","",SUM($K701,$U701)),IF($S701="EXACT_COLLECTION_AMOUNT",IF($T701="","",$T701),IF($S701="ITEM_PRICE_ONLY_DELIVERY_PAID_BY_MERCHANT",IF($J701="","",SUM($J701,$U701)),""))))))</f>
        <v/>
      </c>
      <c r="M701" s="12" t="n"/>
      <c r="N701" s="13" t="n"/>
      <c r="O701" s="13" t="n"/>
      <c r="P701" s="9" t="n"/>
      <c r="Q701" s="14" t="n"/>
      <c r="R701" s="15" t="n"/>
      <c r="S701" s="14" t="n"/>
      <c r="T701" s="16" t="n"/>
      <c r="U701" s="16" t="n"/>
      <c r="V701" s="16" t="n"/>
      <c r="W701" s="16" t="n"/>
      <c r="X701" s="16" t="n"/>
      <c r="Y701" s="16" t="n"/>
      <c r="Z701" s="14" t="n"/>
      <c r="AA701" s="14" t="n"/>
      <c r="AB701" s="14" t="n"/>
      <c r="AC701" s="17">
        <f>IFERROR(VLOOKUP($H701&amp;"|"&amp;$Q701,Tariff_Master!$A$2:$L$169,3,FALSE),"")</f>
        <v/>
      </c>
      <c r="AD701" s="17">
        <f>IFERROR(VLOOKUP($H701&amp;"|"&amp;$Q701,Tariff_Master!$A$2:$L$169,4,FALSE),"")</f>
        <v/>
      </c>
      <c r="AE701" s="18">
        <f>IFERROR(VLOOKUP($H701&amp;"|"&amp;$Q701,Tariff_Master!$A$2:$L$169,6,FALSE),"")</f>
        <v/>
      </c>
      <c r="AF701" s="19">
        <f>IFERROR(VLOOKUP($H701&amp;"|"&amp;$Q701,Tariff_Master!$A$2:$L$169,7,FALSE),"")</f>
        <v/>
      </c>
      <c r="AG701" s="18">
        <f>IFERROR(VLOOKUP($H701&amp;"|"&amp;$Q701,Tariff_Master!$A$2:$L$169,8,FALSE),"")</f>
        <v/>
      </c>
      <c r="AH701" s="20">
        <f>IFERROR(VLOOKUP($H701&amp;"|"&amp;$Q701,Tariff_Master!$A$2:$L$169,9,FALSE),"")</f>
        <v/>
      </c>
      <c r="AI701" s="18">
        <f>IFERROR(VLOOKUP($H701&amp;"|"&amp;$Q701,Tariff_Master!$A$2:$L$169,10,FALSE),"")</f>
        <v/>
      </c>
      <c r="AJ701" s="21">
        <f>IF($M701="","",ROUNDUP(MAX(0,$M701),0))</f>
        <v/>
      </c>
      <c r="AK701" s="21">
        <f>IF(OR($AJ701="",$AF701=""),"",MAX(0,$AJ701-$AF701))</f>
        <v/>
      </c>
      <c r="AL701" s="22">
        <f>IF(OR($AK701="",$AG701=""),"",MAX(0,$AK701*$AG701))</f>
        <v/>
      </c>
      <c r="AM701" s="22">
        <f>IF($AE701="","",MAX(0,SUM($AE701,$AL701,$V701,$W701)))</f>
        <v/>
      </c>
      <c r="AN701" s="22">
        <f>IF($AM701="","",IF(AND($Q701="COMMITMENT",$R701&gt;=$AH701),$AI701,0))</f>
        <v/>
      </c>
      <c r="AO701" s="23">
        <f>IF($AM701="","",MAX(0,$AM701-$AN701))</f>
        <v/>
      </c>
      <c r="AP701" s="22">
        <f>IF($S701="","",IF(OR($S701="ITEM_PRICE_PLUS_DECLARED_DELIVERY",$S701="DELIVERY_CHARGE_ONLY"),$K701,IF($S701="TOTAL_AMOUNT_INCLUDING_DELIVERY",IF(OR($T701="",$J701=""),"",MAX(0,$T701-$J701-$U701)),IF($S701="ITEM_PRICE_ONLY_DELIVERY_PAID_BY_MERCHANT",0,""))))</f>
        <v/>
      </c>
      <c r="AQ701" s="23">
        <f>IF(OR($AP701="",$AO701=""),"",$AP701-$AO701)</f>
        <v/>
      </c>
      <c r="AR701" s="24">
        <f>IF($S701="EXACT_COLLECTION_AMOUNT","BREAKDOWN_REQUIRED",IF($AQ701="","",IF($AQ701&gt;0,"CREDIT_TO_MERCHANT",IF($AQ701&lt;0,"DEDUCT_FROM_MERCHANT","NO_ADJUSTMENT"))))</f>
        <v/>
      </c>
      <c r="AS701" s="23">
        <f>IF(OR($AQ701="",$AR701="BREAKDOWN_REQUIRED"),"",$AQ701)</f>
        <v/>
      </c>
      <c r="AT701" s="23">
        <f>IF(OR($AR701="",$AR701="BREAKDOWN_REQUIRED"),"",SUM($J701,$AQ701,$Y701)-$X701)</f>
        <v/>
      </c>
      <c r="AU701" s="25">
        <f>IF(AND($A701="",$B701="",$F701="",$H701="",$J701="",$K701="",$M701="",$S701=""),"",IF(OR($H701="",$Q701="",$M701="",$S701=""),"ERROR",IF(OR($J701&lt;0,$K701&lt;0,$M701&lt;0,$T701&lt;0,$U701&lt;0,$V701&lt;0,$W701&lt;0,$X701&lt;0,$Y701&lt;0),"ERROR",IF($AE701="","ERROR",IF(AND(OR($S701="ITEM_PRICE_PLUS_DECLARED_DELIVERY",$S701="TOTAL_AMOUNT_INCLUDING_DELIVERY",$S701="ITEM_PRICE_ONLY_DELIVERY_PAID_BY_MERCHANT"),$J701=""),"ERROR",IF(AND(OR($S701="ITEM_PRICE_PLUS_DECLARED_DELIVERY",$S701="DELIVERY_CHARGE_ONLY"),$K701=""),"ERROR",IF(AND(OR($S701="TOTAL_AMOUNT_INCLUDING_DELIVERY",$S701="EXACT_COLLECTION_AMOUNT"),$T701=""),"ERROR",IF(AND($S701="TOTAL_AMOUNT_INCLUDING_DELIVERY",$T701&lt;SUM($J701,$U701)),"ERROR",IF($S701="EXACT_COLLECTION_AMOUNT","REVIEW","OK")))))))))</f>
        <v/>
      </c>
      <c r="AV701" s="25">
        <f>IF($AU701="","",IF($H701="","Township required",IF($Q701="","Customer tier required",IF($M701="","Weight required",IF($S701="","Amount entry type required",IF(OR($J701&lt;0,$K701&lt;0,$M701&lt;0,$T701&lt;0,$U701&lt;0,$V701&lt;0,$W701&lt;0,$X701&lt;0,$Y701&lt;0),"Negative amounts are not allowed",IF($AE701="","Tariff not found for township and tier",IF(AND(OR($S701="ITEM_PRICE_PLUS_DECLARED_DELIVERY",$S701="TOTAL_AMOUNT_INCLUDING_DELIVERY",$S701="ITEM_PRICE_ONLY_DELIVERY_PAID_BY_MERCHANT"),$J701=""),"Item price required for this amount type",IF(AND(OR($S701="ITEM_PRICE_PLUS_DECLARED_DELIVERY",$S701="DELIVERY_CHARGE_ONLY"),$K701=""),"Declared delivery charge required",IF(AND(OR($S701="TOTAL_AMOUNT_INCLUDING_DELIVERY",$S701="EXACT_COLLECTION_AMOUNT"),$T701=""),"Stated total amount required",IF(AND($S701="TOTAL_AMOUNT_INCLUDING_DELIVERY",$T701&lt;SUM($J701,$U701)),"Stated total is below item price plus additional charge",IF($S701="EXACT_COLLECTION_AMOUNT","Authorized amount breakdown required before settlement","Ready for collection and settlement"))))))))))))</f>
        <v/>
      </c>
      <c r="AW701" s="23">
        <f>IF($AU701="","","PARCEL_FINANCIAL_V2")</f>
        <v/>
      </c>
      <c r="AX701" s="17" t="n"/>
    </row>
    <row r="702">
      <c r="A702" s="8" t="n"/>
      <c r="B702" s="8" t="n"/>
      <c r="C702" s="8" t="n"/>
      <c r="D702" s="8" t="n"/>
      <c r="E702" s="9" t="n"/>
      <c r="F702" s="9" t="n"/>
      <c r="G702" s="8" t="n"/>
      <c r="H702" s="9" t="n"/>
      <c r="I702" s="9" t="n"/>
      <c r="J702" s="10" t="n"/>
      <c r="K702" s="10" t="n"/>
      <c r="L702" s="11">
        <f>IF($S702="","",IF($S702="ITEM_PRICE_PLUS_DECLARED_DELIVERY",IF(OR($J702="",$K702=""),"",SUM($J702,$K702,$U702)),IF($S702="TOTAL_AMOUNT_INCLUDING_DELIVERY",IF($T702="","",$T702),IF($S702="DELIVERY_CHARGE_ONLY",IF($K702="","",SUM($K702,$U702)),IF($S702="EXACT_COLLECTION_AMOUNT",IF($T702="","",$T702),IF($S702="ITEM_PRICE_ONLY_DELIVERY_PAID_BY_MERCHANT",IF($J702="","",SUM($J702,$U702)),""))))))</f>
        <v/>
      </c>
      <c r="M702" s="12" t="n"/>
      <c r="N702" s="13" t="n"/>
      <c r="O702" s="13" t="n"/>
      <c r="P702" s="9" t="n"/>
      <c r="Q702" s="14" t="n"/>
      <c r="R702" s="15" t="n"/>
      <c r="S702" s="14" t="n"/>
      <c r="T702" s="16" t="n"/>
      <c r="U702" s="16" t="n"/>
      <c r="V702" s="16" t="n"/>
      <c r="W702" s="16" t="n"/>
      <c r="X702" s="16" t="n"/>
      <c r="Y702" s="16" t="n"/>
      <c r="Z702" s="14" t="n"/>
      <c r="AA702" s="14" t="n"/>
      <c r="AB702" s="14" t="n"/>
      <c r="AC702" s="17">
        <f>IFERROR(VLOOKUP($H702&amp;"|"&amp;$Q702,Tariff_Master!$A$2:$L$169,3,FALSE),"")</f>
        <v/>
      </c>
      <c r="AD702" s="17">
        <f>IFERROR(VLOOKUP($H702&amp;"|"&amp;$Q702,Tariff_Master!$A$2:$L$169,4,FALSE),"")</f>
        <v/>
      </c>
      <c r="AE702" s="18">
        <f>IFERROR(VLOOKUP($H702&amp;"|"&amp;$Q702,Tariff_Master!$A$2:$L$169,6,FALSE),"")</f>
        <v/>
      </c>
      <c r="AF702" s="19">
        <f>IFERROR(VLOOKUP($H702&amp;"|"&amp;$Q702,Tariff_Master!$A$2:$L$169,7,FALSE),"")</f>
        <v/>
      </c>
      <c r="AG702" s="18">
        <f>IFERROR(VLOOKUP($H702&amp;"|"&amp;$Q702,Tariff_Master!$A$2:$L$169,8,FALSE),"")</f>
        <v/>
      </c>
      <c r="AH702" s="20">
        <f>IFERROR(VLOOKUP($H702&amp;"|"&amp;$Q702,Tariff_Master!$A$2:$L$169,9,FALSE),"")</f>
        <v/>
      </c>
      <c r="AI702" s="18">
        <f>IFERROR(VLOOKUP($H702&amp;"|"&amp;$Q702,Tariff_Master!$A$2:$L$169,10,FALSE),"")</f>
        <v/>
      </c>
      <c r="AJ702" s="21">
        <f>IF($M702="","",ROUNDUP(MAX(0,$M702),0))</f>
        <v/>
      </c>
      <c r="AK702" s="21">
        <f>IF(OR($AJ702="",$AF702=""),"",MAX(0,$AJ702-$AF702))</f>
        <v/>
      </c>
      <c r="AL702" s="22">
        <f>IF(OR($AK702="",$AG702=""),"",MAX(0,$AK702*$AG702))</f>
        <v/>
      </c>
      <c r="AM702" s="22">
        <f>IF($AE702="","",MAX(0,SUM($AE702,$AL702,$V702,$W702)))</f>
        <v/>
      </c>
      <c r="AN702" s="22">
        <f>IF($AM702="","",IF(AND($Q702="COMMITMENT",$R702&gt;=$AH702),$AI702,0))</f>
        <v/>
      </c>
      <c r="AO702" s="23">
        <f>IF($AM702="","",MAX(0,$AM702-$AN702))</f>
        <v/>
      </c>
      <c r="AP702" s="22">
        <f>IF($S702="","",IF(OR($S702="ITEM_PRICE_PLUS_DECLARED_DELIVERY",$S702="DELIVERY_CHARGE_ONLY"),$K702,IF($S702="TOTAL_AMOUNT_INCLUDING_DELIVERY",IF(OR($T702="",$J702=""),"",MAX(0,$T702-$J702-$U702)),IF($S702="ITEM_PRICE_ONLY_DELIVERY_PAID_BY_MERCHANT",0,""))))</f>
        <v/>
      </c>
      <c r="AQ702" s="23">
        <f>IF(OR($AP702="",$AO702=""),"",$AP702-$AO702)</f>
        <v/>
      </c>
      <c r="AR702" s="24">
        <f>IF($S702="EXACT_COLLECTION_AMOUNT","BREAKDOWN_REQUIRED",IF($AQ702="","",IF($AQ702&gt;0,"CREDIT_TO_MERCHANT",IF($AQ702&lt;0,"DEDUCT_FROM_MERCHANT","NO_ADJUSTMENT"))))</f>
        <v/>
      </c>
      <c r="AS702" s="23">
        <f>IF(OR($AQ702="",$AR702="BREAKDOWN_REQUIRED"),"",$AQ702)</f>
        <v/>
      </c>
      <c r="AT702" s="23">
        <f>IF(OR($AR702="",$AR702="BREAKDOWN_REQUIRED"),"",SUM($J702,$AQ702,$Y702)-$X702)</f>
        <v/>
      </c>
      <c r="AU702" s="25">
        <f>IF(AND($A702="",$B702="",$F702="",$H702="",$J702="",$K702="",$M702="",$S702=""),"",IF(OR($H702="",$Q702="",$M702="",$S702=""),"ERROR",IF(OR($J702&lt;0,$K702&lt;0,$M702&lt;0,$T702&lt;0,$U702&lt;0,$V702&lt;0,$W702&lt;0,$X702&lt;0,$Y702&lt;0),"ERROR",IF($AE702="","ERROR",IF(AND(OR($S702="ITEM_PRICE_PLUS_DECLARED_DELIVERY",$S702="TOTAL_AMOUNT_INCLUDING_DELIVERY",$S702="ITEM_PRICE_ONLY_DELIVERY_PAID_BY_MERCHANT"),$J702=""),"ERROR",IF(AND(OR($S702="ITEM_PRICE_PLUS_DECLARED_DELIVERY",$S702="DELIVERY_CHARGE_ONLY"),$K702=""),"ERROR",IF(AND(OR($S702="TOTAL_AMOUNT_INCLUDING_DELIVERY",$S702="EXACT_COLLECTION_AMOUNT"),$T702=""),"ERROR",IF(AND($S702="TOTAL_AMOUNT_INCLUDING_DELIVERY",$T702&lt;SUM($J702,$U702)),"ERROR",IF($S702="EXACT_COLLECTION_AMOUNT","REVIEW","OK")))))))))</f>
        <v/>
      </c>
      <c r="AV702" s="25">
        <f>IF($AU702="","",IF($H702="","Township required",IF($Q702="","Customer tier required",IF($M702="","Weight required",IF($S702="","Amount entry type required",IF(OR($J702&lt;0,$K702&lt;0,$M702&lt;0,$T702&lt;0,$U702&lt;0,$V702&lt;0,$W702&lt;0,$X702&lt;0,$Y702&lt;0),"Negative amounts are not allowed",IF($AE702="","Tariff not found for township and tier",IF(AND(OR($S702="ITEM_PRICE_PLUS_DECLARED_DELIVERY",$S702="TOTAL_AMOUNT_INCLUDING_DELIVERY",$S702="ITEM_PRICE_ONLY_DELIVERY_PAID_BY_MERCHANT"),$J702=""),"Item price required for this amount type",IF(AND(OR($S702="ITEM_PRICE_PLUS_DECLARED_DELIVERY",$S702="DELIVERY_CHARGE_ONLY"),$K702=""),"Declared delivery charge required",IF(AND(OR($S702="TOTAL_AMOUNT_INCLUDING_DELIVERY",$S702="EXACT_COLLECTION_AMOUNT"),$T702=""),"Stated total amount required",IF(AND($S702="TOTAL_AMOUNT_INCLUDING_DELIVERY",$T702&lt;SUM($J702,$U702)),"Stated total is below item price plus additional charge",IF($S702="EXACT_COLLECTION_AMOUNT","Authorized amount breakdown required before settlement","Ready for collection and settlement"))))))))))))</f>
        <v/>
      </c>
      <c r="AW702" s="23">
        <f>IF($AU702="","","PARCEL_FINANCIAL_V2")</f>
        <v/>
      </c>
      <c r="AX702" s="17" t="n"/>
    </row>
    <row r="703">
      <c r="A703" s="8" t="n"/>
      <c r="B703" s="8" t="n"/>
      <c r="C703" s="8" t="n"/>
      <c r="D703" s="8" t="n"/>
      <c r="E703" s="9" t="n"/>
      <c r="F703" s="9" t="n"/>
      <c r="G703" s="8" t="n"/>
      <c r="H703" s="9" t="n"/>
      <c r="I703" s="9" t="n"/>
      <c r="J703" s="10" t="n"/>
      <c r="K703" s="10" t="n"/>
      <c r="L703" s="11">
        <f>IF($S703="","",IF($S703="ITEM_PRICE_PLUS_DECLARED_DELIVERY",IF(OR($J703="",$K703=""),"",SUM($J703,$K703,$U703)),IF($S703="TOTAL_AMOUNT_INCLUDING_DELIVERY",IF($T703="","",$T703),IF($S703="DELIVERY_CHARGE_ONLY",IF($K703="","",SUM($K703,$U703)),IF($S703="EXACT_COLLECTION_AMOUNT",IF($T703="","",$T703),IF($S703="ITEM_PRICE_ONLY_DELIVERY_PAID_BY_MERCHANT",IF($J703="","",SUM($J703,$U703)),""))))))</f>
        <v/>
      </c>
      <c r="M703" s="12" t="n"/>
      <c r="N703" s="13" t="n"/>
      <c r="O703" s="13" t="n"/>
      <c r="P703" s="9" t="n"/>
      <c r="Q703" s="14" t="n"/>
      <c r="R703" s="15" t="n"/>
      <c r="S703" s="14" t="n"/>
      <c r="T703" s="16" t="n"/>
      <c r="U703" s="16" t="n"/>
      <c r="V703" s="16" t="n"/>
      <c r="W703" s="16" t="n"/>
      <c r="X703" s="16" t="n"/>
      <c r="Y703" s="16" t="n"/>
      <c r="Z703" s="14" t="n"/>
      <c r="AA703" s="14" t="n"/>
      <c r="AB703" s="14" t="n"/>
      <c r="AC703" s="17">
        <f>IFERROR(VLOOKUP($H703&amp;"|"&amp;$Q703,Tariff_Master!$A$2:$L$169,3,FALSE),"")</f>
        <v/>
      </c>
      <c r="AD703" s="17">
        <f>IFERROR(VLOOKUP($H703&amp;"|"&amp;$Q703,Tariff_Master!$A$2:$L$169,4,FALSE),"")</f>
        <v/>
      </c>
      <c r="AE703" s="18">
        <f>IFERROR(VLOOKUP($H703&amp;"|"&amp;$Q703,Tariff_Master!$A$2:$L$169,6,FALSE),"")</f>
        <v/>
      </c>
      <c r="AF703" s="19">
        <f>IFERROR(VLOOKUP($H703&amp;"|"&amp;$Q703,Tariff_Master!$A$2:$L$169,7,FALSE),"")</f>
        <v/>
      </c>
      <c r="AG703" s="18">
        <f>IFERROR(VLOOKUP($H703&amp;"|"&amp;$Q703,Tariff_Master!$A$2:$L$169,8,FALSE),"")</f>
        <v/>
      </c>
      <c r="AH703" s="20">
        <f>IFERROR(VLOOKUP($H703&amp;"|"&amp;$Q703,Tariff_Master!$A$2:$L$169,9,FALSE),"")</f>
        <v/>
      </c>
      <c r="AI703" s="18">
        <f>IFERROR(VLOOKUP($H703&amp;"|"&amp;$Q703,Tariff_Master!$A$2:$L$169,10,FALSE),"")</f>
        <v/>
      </c>
      <c r="AJ703" s="21">
        <f>IF($M703="","",ROUNDUP(MAX(0,$M703),0))</f>
        <v/>
      </c>
      <c r="AK703" s="21">
        <f>IF(OR($AJ703="",$AF703=""),"",MAX(0,$AJ703-$AF703))</f>
        <v/>
      </c>
      <c r="AL703" s="22">
        <f>IF(OR($AK703="",$AG703=""),"",MAX(0,$AK703*$AG703))</f>
        <v/>
      </c>
      <c r="AM703" s="22">
        <f>IF($AE703="","",MAX(0,SUM($AE703,$AL703,$V703,$W703)))</f>
        <v/>
      </c>
      <c r="AN703" s="22">
        <f>IF($AM703="","",IF(AND($Q703="COMMITMENT",$R703&gt;=$AH703),$AI703,0))</f>
        <v/>
      </c>
      <c r="AO703" s="23">
        <f>IF($AM703="","",MAX(0,$AM703-$AN703))</f>
        <v/>
      </c>
      <c r="AP703" s="22">
        <f>IF($S703="","",IF(OR($S703="ITEM_PRICE_PLUS_DECLARED_DELIVERY",$S703="DELIVERY_CHARGE_ONLY"),$K703,IF($S703="TOTAL_AMOUNT_INCLUDING_DELIVERY",IF(OR($T703="",$J703=""),"",MAX(0,$T703-$J703-$U703)),IF($S703="ITEM_PRICE_ONLY_DELIVERY_PAID_BY_MERCHANT",0,""))))</f>
        <v/>
      </c>
      <c r="AQ703" s="23">
        <f>IF(OR($AP703="",$AO703=""),"",$AP703-$AO703)</f>
        <v/>
      </c>
      <c r="AR703" s="24">
        <f>IF($S703="EXACT_COLLECTION_AMOUNT","BREAKDOWN_REQUIRED",IF($AQ703="","",IF($AQ703&gt;0,"CREDIT_TO_MERCHANT",IF($AQ703&lt;0,"DEDUCT_FROM_MERCHANT","NO_ADJUSTMENT"))))</f>
        <v/>
      </c>
      <c r="AS703" s="23">
        <f>IF(OR($AQ703="",$AR703="BREAKDOWN_REQUIRED"),"",$AQ703)</f>
        <v/>
      </c>
      <c r="AT703" s="23">
        <f>IF(OR($AR703="",$AR703="BREAKDOWN_REQUIRED"),"",SUM($J703,$AQ703,$Y703)-$X703)</f>
        <v/>
      </c>
      <c r="AU703" s="25">
        <f>IF(AND($A703="",$B703="",$F703="",$H703="",$J703="",$K703="",$M703="",$S703=""),"",IF(OR($H703="",$Q703="",$M703="",$S703=""),"ERROR",IF(OR($J703&lt;0,$K703&lt;0,$M703&lt;0,$T703&lt;0,$U703&lt;0,$V703&lt;0,$W703&lt;0,$X703&lt;0,$Y703&lt;0),"ERROR",IF($AE703="","ERROR",IF(AND(OR($S703="ITEM_PRICE_PLUS_DECLARED_DELIVERY",$S703="TOTAL_AMOUNT_INCLUDING_DELIVERY",$S703="ITEM_PRICE_ONLY_DELIVERY_PAID_BY_MERCHANT"),$J703=""),"ERROR",IF(AND(OR($S703="ITEM_PRICE_PLUS_DECLARED_DELIVERY",$S703="DELIVERY_CHARGE_ONLY"),$K703=""),"ERROR",IF(AND(OR($S703="TOTAL_AMOUNT_INCLUDING_DELIVERY",$S703="EXACT_COLLECTION_AMOUNT"),$T703=""),"ERROR",IF(AND($S703="TOTAL_AMOUNT_INCLUDING_DELIVERY",$T703&lt;SUM($J703,$U703)),"ERROR",IF($S703="EXACT_COLLECTION_AMOUNT","REVIEW","OK")))))))))</f>
        <v/>
      </c>
      <c r="AV703" s="25">
        <f>IF($AU703="","",IF($H703="","Township required",IF($Q703="","Customer tier required",IF($M703="","Weight required",IF($S703="","Amount entry type required",IF(OR($J703&lt;0,$K703&lt;0,$M703&lt;0,$T703&lt;0,$U703&lt;0,$V703&lt;0,$W703&lt;0,$X703&lt;0,$Y703&lt;0),"Negative amounts are not allowed",IF($AE703="","Tariff not found for township and tier",IF(AND(OR($S703="ITEM_PRICE_PLUS_DECLARED_DELIVERY",$S703="TOTAL_AMOUNT_INCLUDING_DELIVERY",$S703="ITEM_PRICE_ONLY_DELIVERY_PAID_BY_MERCHANT"),$J703=""),"Item price required for this amount type",IF(AND(OR($S703="ITEM_PRICE_PLUS_DECLARED_DELIVERY",$S703="DELIVERY_CHARGE_ONLY"),$K703=""),"Declared delivery charge required",IF(AND(OR($S703="TOTAL_AMOUNT_INCLUDING_DELIVERY",$S703="EXACT_COLLECTION_AMOUNT"),$T703=""),"Stated total amount required",IF(AND($S703="TOTAL_AMOUNT_INCLUDING_DELIVERY",$T703&lt;SUM($J703,$U703)),"Stated total is below item price plus additional charge",IF($S703="EXACT_COLLECTION_AMOUNT","Authorized amount breakdown required before settlement","Ready for collection and settlement"))))))))))))</f>
        <v/>
      </c>
      <c r="AW703" s="23">
        <f>IF($AU703="","","PARCEL_FINANCIAL_V2")</f>
        <v/>
      </c>
      <c r="AX703" s="17" t="n"/>
    </row>
    <row r="704">
      <c r="A704" s="8" t="n"/>
      <c r="B704" s="8" t="n"/>
      <c r="C704" s="8" t="n"/>
      <c r="D704" s="8" t="n"/>
      <c r="E704" s="9" t="n"/>
      <c r="F704" s="9" t="n"/>
      <c r="G704" s="8" t="n"/>
      <c r="H704" s="9" t="n"/>
      <c r="I704" s="9" t="n"/>
      <c r="J704" s="10" t="n"/>
      <c r="K704" s="10" t="n"/>
      <c r="L704" s="11">
        <f>IF($S704="","",IF($S704="ITEM_PRICE_PLUS_DECLARED_DELIVERY",IF(OR($J704="",$K704=""),"",SUM($J704,$K704,$U704)),IF($S704="TOTAL_AMOUNT_INCLUDING_DELIVERY",IF($T704="","",$T704),IF($S704="DELIVERY_CHARGE_ONLY",IF($K704="","",SUM($K704,$U704)),IF($S704="EXACT_COLLECTION_AMOUNT",IF($T704="","",$T704),IF($S704="ITEM_PRICE_ONLY_DELIVERY_PAID_BY_MERCHANT",IF($J704="","",SUM($J704,$U704)),""))))))</f>
        <v/>
      </c>
      <c r="M704" s="12" t="n"/>
      <c r="N704" s="13" t="n"/>
      <c r="O704" s="13" t="n"/>
      <c r="P704" s="9" t="n"/>
      <c r="Q704" s="14" t="n"/>
      <c r="R704" s="15" t="n"/>
      <c r="S704" s="14" t="n"/>
      <c r="T704" s="16" t="n"/>
      <c r="U704" s="16" t="n"/>
      <c r="V704" s="16" t="n"/>
      <c r="W704" s="16" t="n"/>
      <c r="X704" s="16" t="n"/>
      <c r="Y704" s="16" t="n"/>
      <c r="Z704" s="14" t="n"/>
      <c r="AA704" s="14" t="n"/>
      <c r="AB704" s="14" t="n"/>
      <c r="AC704" s="17">
        <f>IFERROR(VLOOKUP($H704&amp;"|"&amp;$Q704,Tariff_Master!$A$2:$L$169,3,FALSE),"")</f>
        <v/>
      </c>
      <c r="AD704" s="17">
        <f>IFERROR(VLOOKUP($H704&amp;"|"&amp;$Q704,Tariff_Master!$A$2:$L$169,4,FALSE),"")</f>
        <v/>
      </c>
      <c r="AE704" s="18">
        <f>IFERROR(VLOOKUP($H704&amp;"|"&amp;$Q704,Tariff_Master!$A$2:$L$169,6,FALSE),"")</f>
        <v/>
      </c>
      <c r="AF704" s="19">
        <f>IFERROR(VLOOKUP($H704&amp;"|"&amp;$Q704,Tariff_Master!$A$2:$L$169,7,FALSE),"")</f>
        <v/>
      </c>
      <c r="AG704" s="18">
        <f>IFERROR(VLOOKUP($H704&amp;"|"&amp;$Q704,Tariff_Master!$A$2:$L$169,8,FALSE),"")</f>
        <v/>
      </c>
      <c r="AH704" s="20">
        <f>IFERROR(VLOOKUP($H704&amp;"|"&amp;$Q704,Tariff_Master!$A$2:$L$169,9,FALSE),"")</f>
        <v/>
      </c>
      <c r="AI704" s="18">
        <f>IFERROR(VLOOKUP($H704&amp;"|"&amp;$Q704,Tariff_Master!$A$2:$L$169,10,FALSE),"")</f>
        <v/>
      </c>
      <c r="AJ704" s="21">
        <f>IF($M704="","",ROUNDUP(MAX(0,$M704),0))</f>
        <v/>
      </c>
      <c r="AK704" s="21">
        <f>IF(OR($AJ704="",$AF704=""),"",MAX(0,$AJ704-$AF704))</f>
        <v/>
      </c>
      <c r="AL704" s="22">
        <f>IF(OR($AK704="",$AG704=""),"",MAX(0,$AK704*$AG704))</f>
        <v/>
      </c>
      <c r="AM704" s="22">
        <f>IF($AE704="","",MAX(0,SUM($AE704,$AL704,$V704,$W704)))</f>
        <v/>
      </c>
      <c r="AN704" s="22">
        <f>IF($AM704="","",IF(AND($Q704="COMMITMENT",$R704&gt;=$AH704),$AI704,0))</f>
        <v/>
      </c>
      <c r="AO704" s="23">
        <f>IF($AM704="","",MAX(0,$AM704-$AN704))</f>
        <v/>
      </c>
      <c r="AP704" s="22">
        <f>IF($S704="","",IF(OR($S704="ITEM_PRICE_PLUS_DECLARED_DELIVERY",$S704="DELIVERY_CHARGE_ONLY"),$K704,IF($S704="TOTAL_AMOUNT_INCLUDING_DELIVERY",IF(OR($T704="",$J704=""),"",MAX(0,$T704-$J704-$U704)),IF($S704="ITEM_PRICE_ONLY_DELIVERY_PAID_BY_MERCHANT",0,""))))</f>
        <v/>
      </c>
      <c r="AQ704" s="23">
        <f>IF(OR($AP704="",$AO704=""),"",$AP704-$AO704)</f>
        <v/>
      </c>
      <c r="AR704" s="24">
        <f>IF($S704="EXACT_COLLECTION_AMOUNT","BREAKDOWN_REQUIRED",IF($AQ704="","",IF($AQ704&gt;0,"CREDIT_TO_MERCHANT",IF($AQ704&lt;0,"DEDUCT_FROM_MERCHANT","NO_ADJUSTMENT"))))</f>
        <v/>
      </c>
      <c r="AS704" s="23">
        <f>IF(OR($AQ704="",$AR704="BREAKDOWN_REQUIRED"),"",$AQ704)</f>
        <v/>
      </c>
      <c r="AT704" s="23">
        <f>IF(OR($AR704="",$AR704="BREAKDOWN_REQUIRED"),"",SUM($J704,$AQ704,$Y704)-$X704)</f>
        <v/>
      </c>
      <c r="AU704" s="25">
        <f>IF(AND($A704="",$B704="",$F704="",$H704="",$J704="",$K704="",$M704="",$S704=""),"",IF(OR($H704="",$Q704="",$M704="",$S704=""),"ERROR",IF(OR($J704&lt;0,$K704&lt;0,$M704&lt;0,$T704&lt;0,$U704&lt;0,$V704&lt;0,$W704&lt;0,$X704&lt;0,$Y704&lt;0),"ERROR",IF($AE704="","ERROR",IF(AND(OR($S704="ITEM_PRICE_PLUS_DECLARED_DELIVERY",$S704="TOTAL_AMOUNT_INCLUDING_DELIVERY",$S704="ITEM_PRICE_ONLY_DELIVERY_PAID_BY_MERCHANT"),$J704=""),"ERROR",IF(AND(OR($S704="ITEM_PRICE_PLUS_DECLARED_DELIVERY",$S704="DELIVERY_CHARGE_ONLY"),$K704=""),"ERROR",IF(AND(OR($S704="TOTAL_AMOUNT_INCLUDING_DELIVERY",$S704="EXACT_COLLECTION_AMOUNT"),$T704=""),"ERROR",IF(AND($S704="TOTAL_AMOUNT_INCLUDING_DELIVERY",$T704&lt;SUM($J704,$U704)),"ERROR",IF($S704="EXACT_COLLECTION_AMOUNT","REVIEW","OK")))))))))</f>
        <v/>
      </c>
      <c r="AV704" s="25">
        <f>IF($AU704="","",IF($H704="","Township required",IF($Q704="","Customer tier required",IF($M704="","Weight required",IF($S704="","Amount entry type required",IF(OR($J704&lt;0,$K704&lt;0,$M704&lt;0,$T704&lt;0,$U704&lt;0,$V704&lt;0,$W704&lt;0,$X704&lt;0,$Y704&lt;0),"Negative amounts are not allowed",IF($AE704="","Tariff not found for township and tier",IF(AND(OR($S704="ITEM_PRICE_PLUS_DECLARED_DELIVERY",$S704="TOTAL_AMOUNT_INCLUDING_DELIVERY",$S704="ITEM_PRICE_ONLY_DELIVERY_PAID_BY_MERCHANT"),$J704=""),"Item price required for this amount type",IF(AND(OR($S704="ITEM_PRICE_PLUS_DECLARED_DELIVERY",$S704="DELIVERY_CHARGE_ONLY"),$K704=""),"Declared delivery charge required",IF(AND(OR($S704="TOTAL_AMOUNT_INCLUDING_DELIVERY",$S704="EXACT_COLLECTION_AMOUNT"),$T704=""),"Stated total amount required",IF(AND($S704="TOTAL_AMOUNT_INCLUDING_DELIVERY",$T704&lt;SUM($J704,$U704)),"Stated total is below item price plus additional charge",IF($S704="EXACT_COLLECTION_AMOUNT","Authorized amount breakdown required before settlement","Ready for collection and settlement"))))))))))))</f>
        <v/>
      </c>
      <c r="AW704" s="23">
        <f>IF($AU704="","","PARCEL_FINANCIAL_V2")</f>
        <v/>
      </c>
      <c r="AX704" s="17" t="n"/>
    </row>
    <row r="705">
      <c r="A705" s="8" t="n"/>
      <c r="B705" s="8" t="n"/>
      <c r="C705" s="8" t="n"/>
      <c r="D705" s="8" t="n"/>
      <c r="E705" s="9" t="n"/>
      <c r="F705" s="9" t="n"/>
      <c r="G705" s="8" t="n"/>
      <c r="H705" s="9" t="n"/>
      <c r="I705" s="9" t="n"/>
      <c r="J705" s="10" t="n"/>
      <c r="K705" s="10" t="n"/>
      <c r="L705" s="11">
        <f>IF($S705="","",IF($S705="ITEM_PRICE_PLUS_DECLARED_DELIVERY",IF(OR($J705="",$K705=""),"",SUM($J705,$K705,$U705)),IF($S705="TOTAL_AMOUNT_INCLUDING_DELIVERY",IF($T705="","",$T705),IF($S705="DELIVERY_CHARGE_ONLY",IF($K705="","",SUM($K705,$U705)),IF($S705="EXACT_COLLECTION_AMOUNT",IF($T705="","",$T705),IF($S705="ITEM_PRICE_ONLY_DELIVERY_PAID_BY_MERCHANT",IF($J705="","",SUM($J705,$U705)),""))))))</f>
        <v/>
      </c>
      <c r="M705" s="12" t="n"/>
      <c r="N705" s="13" t="n"/>
      <c r="O705" s="13" t="n"/>
      <c r="P705" s="9" t="n"/>
      <c r="Q705" s="14" t="n"/>
      <c r="R705" s="15" t="n"/>
      <c r="S705" s="14" t="n"/>
      <c r="T705" s="16" t="n"/>
      <c r="U705" s="16" t="n"/>
      <c r="V705" s="16" t="n"/>
      <c r="W705" s="16" t="n"/>
      <c r="X705" s="16" t="n"/>
      <c r="Y705" s="16" t="n"/>
      <c r="Z705" s="14" t="n"/>
      <c r="AA705" s="14" t="n"/>
      <c r="AB705" s="14" t="n"/>
      <c r="AC705" s="17">
        <f>IFERROR(VLOOKUP($H705&amp;"|"&amp;$Q705,Tariff_Master!$A$2:$L$169,3,FALSE),"")</f>
        <v/>
      </c>
      <c r="AD705" s="17">
        <f>IFERROR(VLOOKUP($H705&amp;"|"&amp;$Q705,Tariff_Master!$A$2:$L$169,4,FALSE),"")</f>
        <v/>
      </c>
      <c r="AE705" s="18">
        <f>IFERROR(VLOOKUP($H705&amp;"|"&amp;$Q705,Tariff_Master!$A$2:$L$169,6,FALSE),"")</f>
        <v/>
      </c>
      <c r="AF705" s="19">
        <f>IFERROR(VLOOKUP($H705&amp;"|"&amp;$Q705,Tariff_Master!$A$2:$L$169,7,FALSE),"")</f>
        <v/>
      </c>
      <c r="AG705" s="18">
        <f>IFERROR(VLOOKUP($H705&amp;"|"&amp;$Q705,Tariff_Master!$A$2:$L$169,8,FALSE),"")</f>
        <v/>
      </c>
      <c r="AH705" s="20">
        <f>IFERROR(VLOOKUP($H705&amp;"|"&amp;$Q705,Tariff_Master!$A$2:$L$169,9,FALSE),"")</f>
        <v/>
      </c>
      <c r="AI705" s="18">
        <f>IFERROR(VLOOKUP($H705&amp;"|"&amp;$Q705,Tariff_Master!$A$2:$L$169,10,FALSE),"")</f>
        <v/>
      </c>
      <c r="AJ705" s="21">
        <f>IF($M705="","",ROUNDUP(MAX(0,$M705),0))</f>
        <v/>
      </c>
      <c r="AK705" s="21">
        <f>IF(OR($AJ705="",$AF705=""),"",MAX(0,$AJ705-$AF705))</f>
        <v/>
      </c>
      <c r="AL705" s="22">
        <f>IF(OR($AK705="",$AG705=""),"",MAX(0,$AK705*$AG705))</f>
        <v/>
      </c>
      <c r="AM705" s="22">
        <f>IF($AE705="","",MAX(0,SUM($AE705,$AL705,$V705,$W705)))</f>
        <v/>
      </c>
      <c r="AN705" s="22">
        <f>IF($AM705="","",IF(AND($Q705="COMMITMENT",$R705&gt;=$AH705),$AI705,0))</f>
        <v/>
      </c>
      <c r="AO705" s="23">
        <f>IF($AM705="","",MAX(0,$AM705-$AN705))</f>
        <v/>
      </c>
      <c r="AP705" s="22">
        <f>IF($S705="","",IF(OR($S705="ITEM_PRICE_PLUS_DECLARED_DELIVERY",$S705="DELIVERY_CHARGE_ONLY"),$K705,IF($S705="TOTAL_AMOUNT_INCLUDING_DELIVERY",IF(OR($T705="",$J705=""),"",MAX(0,$T705-$J705-$U705)),IF($S705="ITEM_PRICE_ONLY_DELIVERY_PAID_BY_MERCHANT",0,""))))</f>
        <v/>
      </c>
      <c r="AQ705" s="23">
        <f>IF(OR($AP705="",$AO705=""),"",$AP705-$AO705)</f>
        <v/>
      </c>
      <c r="AR705" s="24">
        <f>IF($S705="EXACT_COLLECTION_AMOUNT","BREAKDOWN_REQUIRED",IF($AQ705="","",IF($AQ705&gt;0,"CREDIT_TO_MERCHANT",IF($AQ705&lt;0,"DEDUCT_FROM_MERCHANT","NO_ADJUSTMENT"))))</f>
        <v/>
      </c>
      <c r="AS705" s="23">
        <f>IF(OR($AQ705="",$AR705="BREAKDOWN_REQUIRED"),"",$AQ705)</f>
        <v/>
      </c>
      <c r="AT705" s="23">
        <f>IF(OR($AR705="",$AR705="BREAKDOWN_REQUIRED"),"",SUM($J705,$AQ705,$Y705)-$X705)</f>
        <v/>
      </c>
      <c r="AU705" s="25">
        <f>IF(AND($A705="",$B705="",$F705="",$H705="",$J705="",$K705="",$M705="",$S705=""),"",IF(OR($H705="",$Q705="",$M705="",$S705=""),"ERROR",IF(OR($J705&lt;0,$K705&lt;0,$M705&lt;0,$T705&lt;0,$U705&lt;0,$V705&lt;0,$W705&lt;0,$X705&lt;0,$Y705&lt;0),"ERROR",IF($AE705="","ERROR",IF(AND(OR($S705="ITEM_PRICE_PLUS_DECLARED_DELIVERY",$S705="TOTAL_AMOUNT_INCLUDING_DELIVERY",$S705="ITEM_PRICE_ONLY_DELIVERY_PAID_BY_MERCHANT"),$J705=""),"ERROR",IF(AND(OR($S705="ITEM_PRICE_PLUS_DECLARED_DELIVERY",$S705="DELIVERY_CHARGE_ONLY"),$K705=""),"ERROR",IF(AND(OR($S705="TOTAL_AMOUNT_INCLUDING_DELIVERY",$S705="EXACT_COLLECTION_AMOUNT"),$T705=""),"ERROR",IF(AND($S705="TOTAL_AMOUNT_INCLUDING_DELIVERY",$T705&lt;SUM($J705,$U705)),"ERROR",IF($S705="EXACT_COLLECTION_AMOUNT","REVIEW","OK")))))))))</f>
        <v/>
      </c>
      <c r="AV705" s="25">
        <f>IF($AU705="","",IF($H705="","Township required",IF($Q705="","Customer tier required",IF($M705="","Weight required",IF($S705="","Amount entry type required",IF(OR($J705&lt;0,$K705&lt;0,$M705&lt;0,$T705&lt;0,$U705&lt;0,$V705&lt;0,$W705&lt;0,$X705&lt;0,$Y705&lt;0),"Negative amounts are not allowed",IF($AE705="","Tariff not found for township and tier",IF(AND(OR($S705="ITEM_PRICE_PLUS_DECLARED_DELIVERY",$S705="TOTAL_AMOUNT_INCLUDING_DELIVERY",$S705="ITEM_PRICE_ONLY_DELIVERY_PAID_BY_MERCHANT"),$J705=""),"Item price required for this amount type",IF(AND(OR($S705="ITEM_PRICE_PLUS_DECLARED_DELIVERY",$S705="DELIVERY_CHARGE_ONLY"),$K705=""),"Declared delivery charge required",IF(AND(OR($S705="TOTAL_AMOUNT_INCLUDING_DELIVERY",$S705="EXACT_COLLECTION_AMOUNT"),$T705=""),"Stated total amount required",IF(AND($S705="TOTAL_AMOUNT_INCLUDING_DELIVERY",$T705&lt;SUM($J705,$U705)),"Stated total is below item price plus additional charge",IF($S705="EXACT_COLLECTION_AMOUNT","Authorized amount breakdown required before settlement","Ready for collection and settlement"))))))))))))</f>
        <v/>
      </c>
      <c r="AW705" s="23">
        <f>IF($AU705="","","PARCEL_FINANCIAL_V2")</f>
        <v/>
      </c>
      <c r="AX705" s="17" t="n"/>
    </row>
    <row r="706">
      <c r="A706" s="8" t="n"/>
      <c r="B706" s="8" t="n"/>
      <c r="C706" s="8" t="n"/>
      <c r="D706" s="8" t="n"/>
      <c r="E706" s="9" t="n"/>
      <c r="F706" s="9" t="n"/>
      <c r="G706" s="8" t="n"/>
      <c r="H706" s="9" t="n"/>
      <c r="I706" s="9" t="n"/>
      <c r="J706" s="10" t="n"/>
      <c r="K706" s="10" t="n"/>
      <c r="L706" s="11">
        <f>IF($S706="","",IF($S706="ITEM_PRICE_PLUS_DECLARED_DELIVERY",IF(OR($J706="",$K706=""),"",SUM($J706,$K706,$U706)),IF($S706="TOTAL_AMOUNT_INCLUDING_DELIVERY",IF($T706="","",$T706),IF($S706="DELIVERY_CHARGE_ONLY",IF($K706="","",SUM($K706,$U706)),IF($S706="EXACT_COLLECTION_AMOUNT",IF($T706="","",$T706),IF($S706="ITEM_PRICE_ONLY_DELIVERY_PAID_BY_MERCHANT",IF($J706="","",SUM($J706,$U706)),""))))))</f>
        <v/>
      </c>
      <c r="M706" s="12" t="n"/>
      <c r="N706" s="13" t="n"/>
      <c r="O706" s="13" t="n"/>
      <c r="P706" s="9" t="n"/>
      <c r="Q706" s="14" t="n"/>
      <c r="R706" s="15" t="n"/>
      <c r="S706" s="14" t="n"/>
      <c r="T706" s="16" t="n"/>
      <c r="U706" s="16" t="n"/>
      <c r="V706" s="16" t="n"/>
      <c r="W706" s="16" t="n"/>
      <c r="X706" s="16" t="n"/>
      <c r="Y706" s="16" t="n"/>
      <c r="Z706" s="14" t="n"/>
      <c r="AA706" s="14" t="n"/>
      <c r="AB706" s="14" t="n"/>
      <c r="AC706" s="17">
        <f>IFERROR(VLOOKUP($H706&amp;"|"&amp;$Q706,Tariff_Master!$A$2:$L$169,3,FALSE),"")</f>
        <v/>
      </c>
      <c r="AD706" s="17">
        <f>IFERROR(VLOOKUP($H706&amp;"|"&amp;$Q706,Tariff_Master!$A$2:$L$169,4,FALSE),"")</f>
        <v/>
      </c>
      <c r="AE706" s="18">
        <f>IFERROR(VLOOKUP($H706&amp;"|"&amp;$Q706,Tariff_Master!$A$2:$L$169,6,FALSE),"")</f>
        <v/>
      </c>
      <c r="AF706" s="19">
        <f>IFERROR(VLOOKUP($H706&amp;"|"&amp;$Q706,Tariff_Master!$A$2:$L$169,7,FALSE),"")</f>
        <v/>
      </c>
      <c r="AG706" s="18">
        <f>IFERROR(VLOOKUP($H706&amp;"|"&amp;$Q706,Tariff_Master!$A$2:$L$169,8,FALSE),"")</f>
        <v/>
      </c>
      <c r="AH706" s="20">
        <f>IFERROR(VLOOKUP($H706&amp;"|"&amp;$Q706,Tariff_Master!$A$2:$L$169,9,FALSE),"")</f>
        <v/>
      </c>
      <c r="AI706" s="18">
        <f>IFERROR(VLOOKUP($H706&amp;"|"&amp;$Q706,Tariff_Master!$A$2:$L$169,10,FALSE),"")</f>
        <v/>
      </c>
      <c r="AJ706" s="21">
        <f>IF($M706="","",ROUNDUP(MAX(0,$M706),0))</f>
        <v/>
      </c>
      <c r="AK706" s="21">
        <f>IF(OR($AJ706="",$AF706=""),"",MAX(0,$AJ706-$AF706))</f>
        <v/>
      </c>
      <c r="AL706" s="22">
        <f>IF(OR($AK706="",$AG706=""),"",MAX(0,$AK706*$AG706))</f>
        <v/>
      </c>
      <c r="AM706" s="22">
        <f>IF($AE706="","",MAX(0,SUM($AE706,$AL706,$V706,$W706)))</f>
        <v/>
      </c>
      <c r="AN706" s="22">
        <f>IF($AM706="","",IF(AND($Q706="COMMITMENT",$R706&gt;=$AH706),$AI706,0))</f>
        <v/>
      </c>
      <c r="AO706" s="23">
        <f>IF($AM706="","",MAX(0,$AM706-$AN706))</f>
        <v/>
      </c>
      <c r="AP706" s="22">
        <f>IF($S706="","",IF(OR($S706="ITEM_PRICE_PLUS_DECLARED_DELIVERY",$S706="DELIVERY_CHARGE_ONLY"),$K706,IF($S706="TOTAL_AMOUNT_INCLUDING_DELIVERY",IF(OR($T706="",$J706=""),"",MAX(0,$T706-$J706-$U706)),IF($S706="ITEM_PRICE_ONLY_DELIVERY_PAID_BY_MERCHANT",0,""))))</f>
        <v/>
      </c>
      <c r="AQ706" s="23">
        <f>IF(OR($AP706="",$AO706=""),"",$AP706-$AO706)</f>
        <v/>
      </c>
      <c r="AR706" s="24">
        <f>IF($S706="EXACT_COLLECTION_AMOUNT","BREAKDOWN_REQUIRED",IF($AQ706="","",IF($AQ706&gt;0,"CREDIT_TO_MERCHANT",IF($AQ706&lt;0,"DEDUCT_FROM_MERCHANT","NO_ADJUSTMENT"))))</f>
        <v/>
      </c>
      <c r="AS706" s="23">
        <f>IF(OR($AQ706="",$AR706="BREAKDOWN_REQUIRED"),"",$AQ706)</f>
        <v/>
      </c>
      <c r="AT706" s="23">
        <f>IF(OR($AR706="",$AR706="BREAKDOWN_REQUIRED"),"",SUM($J706,$AQ706,$Y706)-$X706)</f>
        <v/>
      </c>
      <c r="AU706" s="25">
        <f>IF(AND($A706="",$B706="",$F706="",$H706="",$J706="",$K706="",$M706="",$S706=""),"",IF(OR($H706="",$Q706="",$M706="",$S706=""),"ERROR",IF(OR($J706&lt;0,$K706&lt;0,$M706&lt;0,$T706&lt;0,$U706&lt;0,$V706&lt;0,$W706&lt;0,$X706&lt;0,$Y706&lt;0),"ERROR",IF($AE706="","ERROR",IF(AND(OR($S706="ITEM_PRICE_PLUS_DECLARED_DELIVERY",$S706="TOTAL_AMOUNT_INCLUDING_DELIVERY",$S706="ITEM_PRICE_ONLY_DELIVERY_PAID_BY_MERCHANT"),$J706=""),"ERROR",IF(AND(OR($S706="ITEM_PRICE_PLUS_DECLARED_DELIVERY",$S706="DELIVERY_CHARGE_ONLY"),$K706=""),"ERROR",IF(AND(OR($S706="TOTAL_AMOUNT_INCLUDING_DELIVERY",$S706="EXACT_COLLECTION_AMOUNT"),$T706=""),"ERROR",IF(AND($S706="TOTAL_AMOUNT_INCLUDING_DELIVERY",$T706&lt;SUM($J706,$U706)),"ERROR",IF($S706="EXACT_COLLECTION_AMOUNT","REVIEW","OK")))))))))</f>
        <v/>
      </c>
      <c r="AV706" s="25">
        <f>IF($AU706="","",IF($H706="","Township required",IF($Q706="","Customer tier required",IF($M706="","Weight required",IF($S706="","Amount entry type required",IF(OR($J706&lt;0,$K706&lt;0,$M706&lt;0,$T706&lt;0,$U706&lt;0,$V706&lt;0,$W706&lt;0,$X706&lt;0,$Y706&lt;0),"Negative amounts are not allowed",IF($AE706="","Tariff not found for township and tier",IF(AND(OR($S706="ITEM_PRICE_PLUS_DECLARED_DELIVERY",$S706="TOTAL_AMOUNT_INCLUDING_DELIVERY",$S706="ITEM_PRICE_ONLY_DELIVERY_PAID_BY_MERCHANT"),$J706=""),"Item price required for this amount type",IF(AND(OR($S706="ITEM_PRICE_PLUS_DECLARED_DELIVERY",$S706="DELIVERY_CHARGE_ONLY"),$K706=""),"Declared delivery charge required",IF(AND(OR($S706="TOTAL_AMOUNT_INCLUDING_DELIVERY",$S706="EXACT_COLLECTION_AMOUNT"),$T706=""),"Stated total amount required",IF(AND($S706="TOTAL_AMOUNT_INCLUDING_DELIVERY",$T706&lt;SUM($J706,$U706)),"Stated total is below item price plus additional charge",IF($S706="EXACT_COLLECTION_AMOUNT","Authorized amount breakdown required before settlement","Ready for collection and settlement"))))))))))))</f>
        <v/>
      </c>
      <c r="AW706" s="23">
        <f>IF($AU706="","","PARCEL_FINANCIAL_V2")</f>
        <v/>
      </c>
      <c r="AX706" s="17" t="n"/>
    </row>
    <row r="707">
      <c r="A707" s="8" t="n"/>
      <c r="B707" s="8" t="n"/>
      <c r="C707" s="8" t="n"/>
      <c r="D707" s="8" t="n"/>
      <c r="E707" s="9" t="n"/>
      <c r="F707" s="9" t="n"/>
      <c r="G707" s="8" t="n"/>
      <c r="H707" s="9" t="n"/>
      <c r="I707" s="9" t="n"/>
      <c r="J707" s="10" t="n"/>
      <c r="K707" s="10" t="n"/>
      <c r="L707" s="11">
        <f>IF($S707="","",IF($S707="ITEM_PRICE_PLUS_DECLARED_DELIVERY",IF(OR($J707="",$K707=""),"",SUM($J707,$K707,$U707)),IF($S707="TOTAL_AMOUNT_INCLUDING_DELIVERY",IF($T707="","",$T707),IF($S707="DELIVERY_CHARGE_ONLY",IF($K707="","",SUM($K707,$U707)),IF($S707="EXACT_COLLECTION_AMOUNT",IF($T707="","",$T707),IF($S707="ITEM_PRICE_ONLY_DELIVERY_PAID_BY_MERCHANT",IF($J707="","",SUM($J707,$U707)),""))))))</f>
        <v/>
      </c>
      <c r="M707" s="12" t="n"/>
      <c r="N707" s="13" t="n"/>
      <c r="O707" s="13" t="n"/>
      <c r="P707" s="9" t="n"/>
      <c r="Q707" s="14" t="n"/>
      <c r="R707" s="15" t="n"/>
      <c r="S707" s="14" t="n"/>
      <c r="T707" s="16" t="n"/>
      <c r="U707" s="16" t="n"/>
      <c r="V707" s="16" t="n"/>
      <c r="W707" s="16" t="n"/>
      <c r="X707" s="16" t="n"/>
      <c r="Y707" s="16" t="n"/>
      <c r="Z707" s="14" t="n"/>
      <c r="AA707" s="14" t="n"/>
      <c r="AB707" s="14" t="n"/>
      <c r="AC707" s="17">
        <f>IFERROR(VLOOKUP($H707&amp;"|"&amp;$Q707,Tariff_Master!$A$2:$L$169,3,FALSE),"")</f>
        <v/>
      </c>
      <c r="AD707" s="17">
        <f>IFERROR(VLOOKUP($H707&amp;"|"&amp;$Q707,Tariff_Master!$A$2:$L$169,4,FALSE),"")</f>
        <v/>
      </c>
      <c r="AE707" s="18">
        <f>IFERROR(VLOOKUP($H707&amp;"|"&amp;$Q707,Tariff_Master!$A$2:$L$169,6,FALSE),"")</f>
        <v/>
      </c>
      <c r="AF707" s="19">
        <f>IFERROR(VLOOKUP($H707&amp;"|"&amp;$Q707,Tariff_Master!$A$2:$L$169,7,FALSE),"")</f>
        <v/>
      </c>
      <c r="AG707" s="18">
        <f>IFERROR(VLOOKUP($H707&amp;"|"&amp;$Q707,Tariff_Master!$A$2:$L$169,8,FALSE),"")</f>
        <v/>
      </c>
      <c r="AH707" s="20">
        <f>IFERROR(VLOOKUP($H707&amp;"|"&amp;$Q707,Tariff_Master!$A$2:$L$169,9,FALSE),"")</f>
        <v/>
      </c>
      <c r="AI707" s="18">
        <f>IFERROR(VLOOKUP($H707&amp;"|"&amp;$Q707,Tariff_Master!$A$2:$L$169,10,FALSE),"")</f>
        <v/>
      </c>
      <c r="AJ707" s="21">
        <f>IF($M707="","",ROUNDUP(MAX(0,$M707),0))</f>
        <v/>
      </c>
      <c r="AK707" s="21">
        <f>IF(OR($AJ707="",$AF707=""),"",MAX(0,$AJ707-$AF707))</f>
        <v/>
      </c>
      <c r="AL707" s="22">
        <f>IF(OR($AK707="",$AG707=""),"",MAX(0,$AK707*$AG707))</f>
        <v/>
      </c>
      <c r="AM707" s="22">
        <f>IF($AE707="","",MAX(0,SUM($AE707,$AL707,$V707,$W707)))</f>
        <v/>
      </c>
      <c r="AN707" s="22">
        <f>IF($AM707="","",IF(AND($Q707="COMMITMENT",$R707&gt;=$AH707),$AI707,0))</f>
        <v/>
      </c>
      <c r="AO707" s="23">
        <f>IF($AM707="","",MAX(0,$AM707-$AN707))</f>
        <v/>
      </c>
      <c r="AP707" s="22">
        <f>IF($S707="","",IF(OR($S707="ITEM_PRICE_PLUS_DECLARED_DELIVERY",$S707="DELIVERY_CHARGE_ONLY"),$K707,IF($S707="TOTAL_AMOUNT_INCLUDING_DELIVERY",IF(OR($T707="",$J707=""),"",MAX(0,$T707-$J707-$U707)),IF($S707="ITEM_PRICE_ONLY_DELIVERY_PAID_BY_MERCHANT",0,""))))</f>
        <v/>
      </c>
      <c r="AQ707" s="23">
        <f>IF(OR($AP707="",$AO707=""),"",$AP707-$AO707)</f>
        <v/>
      </c>
      <c r="AR707" s="24">
        <f>IF($S707="EXACT_COLLECTION_AMOUNT","BREAKDOWN_REQUIRED",IF($AQ707="","",IF($AQ707&gt;0,"CREDIT_TO_MERCHANT",IF($AQ707&lt;0,"DEDUCT_FROM_MERCHANT","NO_ADJUSTMENT"))))</f>
        <v/>
      </c>
      <c r="AS707" s="23">
        <f>IF(OR($AQ707="",$AR707="BREAKDOWN_REQUIRED"),"",$AQ707)</f>
        <v/>
      </c>
      <c r="AT707" s="23">
        <f>IF(OR($AR707="",$AR707="BREAKDOWN_REQUIRED"),"",SUM($J707,$AQ707,$Y707)-$X707)</f>
        <v/>
      </c>
      <c r="AU707" s="25">
        <f>IF(AND($A707="",$B707="",$F707="",$H707="",$J707="",$K707="",$M707="",$S707=""),"",IF(OR($H707="",$Q707="",$M707="",$S707=""),"ERROR",IF(OR($J707&lt;0,$K707&lt;0,$M707&lt;0,$T707&lt;0,$U707&lt;0,$V707&lt;0,$W707&lt;0,$X707&lt;0,$Y707&lt;0),"ERROR",IF($AE707="","ERROR",IF(AND(OR($S707="ITEM_PRICE_PLUS_DECLARED_DELIVERY",$S707="TOTAL_AMOUNT_INCLUDING_DELIVERY",$S707="ITEM_PRICE_ONLY_DELIVERY_PAID_BY_MERCHANT"),$J707=""),"ERROR",IF(AND(OR($S707="ITEM_PRICE_PLUS_DECLARED_DELIVERY",$S707="DELIVERY_CHARGE_ONLY"),$K707=""),"ERROR",IF(AND(OR($S707="TOTAL_AMOUNT_INCLUDING_DELIVERY",$S707="EXACT_COLLECTION_AMOUNT"),$T707=""),"ERROR",IF(AND($S707="TOTAL_AMOUNT_INCLUDING_DELIVERY",$T707&lt;SUM($J707,$U707)),"ERROR",IF($S707="EXACT_COLLECTION_AMOUNT","REVIEW","OK")))))))))</f>
        <v/>
      </c>
      <c r="AV707" s="25">
        <f>IF($AU707="","",IF($H707="","Township required",IF($Q707="","Customer tier required",IF($M707="","Weight required",IF($S707="","Amount entry type required",IF(OR($J707&lt;0,$K707&lt;0,$M707&lt;0,$T707&lt;0,$U707&lt;0,$V707&lt;0,$W707&lt;0,$X707&lt;0,$Y707&lt;0),"Negative amounts are not allowed",IF($AE707="","Tariff not found for township and tier",IF(AND(OR($S707="ITEM_PRICE_PLUS_DECLARED_DELIVERY",$S707="TOTAL_AMOUNT_INCLUDING_DELIVERY",$S707="ITEM_PRICE_ONLY_DELIVERY_PAID_BY_MERCHANT"),$J707=""),"Item price required for this amount type",IF(AND(OR($S707="ITEM_PRICE_PLUS_DECLARED_DELIVERY",$S707="DELIVERY_CHARGE_ONLY"),$K707=""),"Declared delivery charge required",IF(AND(OR($S707="TOTAL_AMOUNT_INCLUDING_DELIVERY",$S707="EXACT_COLLECTION_AMOUNT"),$T707=""),"Stated total amount required",IF(AND($S707="TOTAL_AMOUNT_INCLUDING_DELIVERY",$T707&lt;SUM($J707,$U707)),"Stated total is below item price plus additional charge",IF($S707="EXACT_COLLECTION_AMOUNT","Authorized amount breakdown required before settlement","Ready for collection and settlement"))))))))))))</f>
        <v/>
      </c>
      <c r="AW707" s="23">
        <f>IF($AU707="","","PARCEL_FINANCIAL_V2")</f>
        <v/>
      </c>
      <c r="AX707" s="17" t="n"/>
    </row>
    <row r="708">
      <c r="A708" s="8" t="n"/>
      <c r="B708" s="8" t="n"/>
      <c r="C708" s="8" t="n"/>
      <c r="D708" s="8" t="n"/>
      <c r="E708" s="9" t="n"/>
      <c r="F708" s="9" t="n"/>
      <c r="G708" s="8" t="n"/>
      <c r="H708" s="9" t="n"/>
      <c r="I708" s="9" t="n"/>
      <c r="J708" s="10" t="n"/>
      <c r="K708" s="10" t="n"/>
      <c r="L708" s="11">
        <f>IF($S708="","",IF($S708="ITEM_PRICE_PLUS_DECLARED_DELIVERY",IF(OR($J708="",$K708=""),"",SUM($J708,$K708,$U708)),IF($S708="TOTAL_AMOUNT_INCLUDING_DELIVERY",IF($T708="","",$T708),IF($S708="DELIVERY_CHARGE_ONLY",IF($K708="","",SUM($K708,$U708)),IF($S708="EXACT_COLLECTION_AMOUNT",IF($T708="","",$T708),IF($S708="ITEM_PRICE_ONLY_DELIVERY_PAID_BY_MERCHANT",IF($J708="","",SUM($J708,$U708)),""))))))</f>
        <v/>
      </c>
      <c r="M708" s="12" t="n"/>
      <c r="N708" s="13" t="n"/>
      <c r="O708" s="13" t="n"/>
      <c r="P708" s="9" t="n"/>
      <c r="Q708" s="14" t="n"/>
      <c r="R708" s="15" t="n"/>
      <c r="S708" s="14" t="n"/>
      <c r="T708" s="16" t="n"/>
      <c r="U708" s="16" t="n"/>
      <c r="V708" s="16" t="n"/>
      <c r="W708" s="16" t="n"/>
      <c r="X708" s="16" t="n"/>
      <c r="Y708" s="16" t="n"/>
      <c r="Z708" s="14" t="n"/>
      <c r="AA708" s="14" t="n"/>
      <c r="AB708" s="14" t="n"/>
      <c r="AC708" s="17">
        <f>IFERROR(VLOOKUP($H708&amp;"|"&amp;$Q708,Tariff_Master!$A$2:$L$169,3,FALSE),"")</f>
        <v/>
      </c>
      <c r="AD708" s="17">
        <f>IFERROR(VLOOKUP($H708&amp;"|"&amp;$Q708,Tariff_Master!$A$2:$L$169,4,FALSE),"")</f>
        <v/>
      </c>
      <c r="AE708" s="18">
        <f>IFERROR(VLOOKUP($H708&amp;"|"&amp;$Q708,Tariff_Master!$A$2:$L$169,6,FALSE),"")</f>
        <v/>
      </c>
      <c r="AF708" s="19">
        <f>IFERROR(VLOOKUP($H708&amp;"|"&amp;$Q708,Tariff_Master!$A$2:$L$169,7,FALSE),"")</f>
        <v/>
      </c>
      <c r="AG708" s="18">
        <f>IFERROR(VLOOKUP($H708&amp;"|"&amp;$Q708,Tariff_Master!$A$2:$L$169,8,FALSE),"")</f>
        <v/>
      </c>
      <c r="AH708" s="20">
        <f>IFERROR(VLOOKUP($H708&amp;"|"&amp;$Q708,Tariff_Master!$A$2:$L$169,9,FALSE),"")</f>
        <v/>
      </c>
      <c r="AI708" s="18">
        <f>IFERROR(VLOOKUP($H708&amp;"|"&amp;$Q708,Tariff_Master!$A$2:$L$169,10,FALSE),"")</f>
        <v/>
      </c>
      <c r="AJ708" s="21">
        <f>IF($M708="","",ROUNDUP(MAX(0,$M708),0))</f>
        <v/>
      </c>
      <c r="AK708" s="21">
        <f>IF(OR($AJ708="",$AF708=""),"",MAX(0,$AJ708-$AF708))</f>
        <v/>
      </c>
      <c r="AL708" s="22">
        <f>IF(OR($AK708="",$AG708=""),"",MAX(0,$AK708*$AG708))</f>
        <v/>
      </c>
      <c r="AM708" s="22">
        <f>IF($AE708="","",MAX(0,SUM($AE708,$AL708,$V708,$W708)))</f>
        <v/>
      </c>
      <c r="AN708" s="22">
        <f>IF($AM708="","",IF(AND($Q708="COMMITMENT",$R708&gt;=$AH708),$AI708,0))</f>
        <v/>
      </c>
      <c r="AO708" s="23">
        <f>IF($AM708="","",MAX(0,$AM708-$AN708))</f>
        <v/>
      </c>
      <c r="AP708" s="22">
        <f>IF($S708="","",IF(OR($S708="ITEM_PRICE_PLUS_DECLARED_DELIVERY",$S708="DELIVERY_CHARGE_ONLY"),$K708,IF($S708="TOTAL_AMOUNT_INCLUDING_DELIVERY",IF(OR($T708="",$J708=""),"",MAX(0,$T708-$J708-$U708)),IF($S708="ITEM_PRICE_ONLY_DELIVERY_PAID_BY_MERCHANT",0,""))))</f>
        <v/>
      </c>
      <c r="AQ708" s="23">
        <f>IF(OR($AP708="",$AO708=""),"",$AP708-$AO708)</f>
        <v/>
      </c>
      <c r="AR708" s="24">
        <f>IF($S708="EXACT_COLLECTION_AMOUNT","BREAKDOWN_REQUIRED",IF($AQ708="","",IF($AQ708&gt;0,"CREDIT_TO_MERCHANT",IF($AQ708&lt;0,"DEDUCT_FROM_MERCHANT","NO_ADJUSTMENT"))))</f>
        <v/>
      </c>
      <c r="AS708" s="23">
        <f>IF(OR($AQ708="",$AR708="BREAKDOWN_REQUIRED"),"",$AQ708)</f>
        <v/>
      </c>
      <c r="AT708" s="23">
        <f>IF(OR($AR708="",$AR708="BREAKDOWN_REQUIRED"),"",SUM($J708,$AQ708,$Y708)-$X708)</f>
        <v/>
      </c>
      <c r="AU708" s="25">
        <f>IF(AND($A708="",$B708="",$F708="",$H708="",$J708="",$K708="",$M708="",$S708=""),"",IF(OR($H708="",$Q708="",$M708="",$S708=""),"ERROR",IF(OR($J708&lt;0,$K708&lt;0,$M708&lt;0,$T708&lt;0,$U708&lt;0,$V708&lt;0,$W708&lt;0,$X708&lt;0,$Y708&lt;0),"ERROR",IF($AE708="","ERROR",IF(AND(OR($S708="ITEM_PRICE_PLUS_DECLARED_DELIVERY",$S708="TOTAL_AMOUNT_INCLUDING_DELIVERY",$S708="ITEM_PRICE_ONLY_DELIVERY_PAID_BY_MERCHANT"),$J708=""),"ERROR",IF(AND(OR($S708="ITEM_PRICE_PLUS_DECLARED_DELIVERY",$S708="DELIVERY_CHARGE_ONLY"),$K708=""),"ERROR",IF(AND(OR($S708="TOTAL_AMOUNT_INCLUDING_DELIVERY",$S708="EXACT_COLLECTION_AMOUNT"),$T708=""),"ERROR",IF(AND($S708="TOTAL_AMOUNT_INCLUDING_DELIVERY",$T708&lt;SUM($J708,$U708)),"ERROR",IF($S708="EXACT_COLLECTION_AMOUNT","REVIEW","OK")))))))))</f>
        <v/>
      </c>
      <c r="AV708" s="25">
        <f>IF($AU708="","",IF($H708="","Township required",IF($Q708="","Customer tier required",IF($M708="","Weight required",IF($S708="","Amount entry type required",IF(OR($J708&lt;0,$K708&lt;0,$M708&lt;0,$T708&lt;0,$U708&lt;0,$V708&lt;0,$W708&lt;0,$X708&lt;0,$Y708&lt;0),"Negative amounts are not allowed",IF($AE708="","Tariff not found for township and tier",IF(AND(OR($S708="ITEM_PRICE_PLUS_DECLARED_DELIVERY",$S708="TOTAL_AMOUNT_INCLUDING_DELIVERY",$S708="ITEM_PRICE_ONLY_DELIVERY_PAID_BY_MERCHANT"),$J708=""),"Item price required for this amount type",IF(AND(OR($S708="ITEM_PRICE_PLUS_DECLARED_DELIVERY",$S708="DELIVERY_CHARGE_ONLY"),$K708=""),"Declared delivery charge required",IF(AND(OR($S708="TOTAL_AMOUNT_INCLUDING_DELIVERY",$S708="EXACT_COLLECTION_AMOUNT"),$T708=""),"Stated total amount required",IF(AND($S708="TOTAL_AMOUNT_INCLUDING_DELIVERY",$T708&lt;SUM($J708,$U708)),"Stated total is below item price plus additional charge",IF($S708="EXACT_COLLECTION_AMOUNT","Authorized amount breakdown required before settlement","Ready for collection and settlement"))))))))))))</f>
        <v/>
      </c>
      <c r="AW708" s="23">
        <f>IF($AU708="","","PARCEL_FINANCIAL_V2")</f>
        <v/>
      </c>
      <c r="AX708" s="17" t="n"/>
    </row>
    <row r="709">
      <c r="A709" s="8" t="n"/>
      <c r="B709" s="8" t="n"/>
      <c r="C709" s="8" t="n"/>
      <c r="D709" s="8" t="n"/>
      <c r="E709" s="9" t="n"/>
      <c r="F709" s="9" t="n"/>
      <c r="G709" s="8" t="n"/>
      <c r="H709" s="9" t="n"/>
      <c r="I709" s="9" t="n"/>
      <c r="J709" s="10" t="n"/>
      <c r="K709" s="10" t="n"/>
      <c r="L709" s="11">
        <f>IF($S709="","",IF($S709="ITEM_PRICE_PLUS_DECLARED_DELIVERY",IF(OR($J709="",$K709=""),"",SUM($J709,$K709,$U709)),IF($S709="TOTAL_AMOUNT_INCLUDING_DELIVERY",IF($T709="","",$T709),IF($S709="DELIVERY_CHARGE_ONLY",IF($K709="","",SUM($K709,$U709)),IF($S709="EXACT_COLLECTION_AMOUNT",IF($T709="","",$T709),IF($S709="ITEM_PRICE_ONLY_DELIVERY_PAID_BY_MERCHANT",IF($J709="","",SUM($J709,$U709)),""))))))</f>
        <v/>
      </c>
      <c r="M709" s="12" t="n"/>
      <c r="N709" s="13" t="n"/>
      <c r="O709" s="13" t="n"/>
      <c r="P709" s="9" t="n"/>
      <c r="Q709" s="14" t="n"/>
      <c r="R709" s="15" t="n"/>
      <c r="S709" s="14" t="n"/>
      <c r="T709" s="16" t="n"/>
      <c r="U709" s="16" t="n"/>
      <c r="V709" s="16" t="n"/>
      <c r="W709" s="16" t="n"/>
      <c r="X709" s="16" t="n"/>
      <c r="Y709" s="16" t="n"/>
      <c r="Z709" s="14" t="n"/>
      <c r="AA709" s="14" t="n"/>
      <c r="AB709" s="14" t="n"/>
      <c r="AC709" s="17">
        <f>IFERROR(VLOOKUP($H709&amp;"|"&amp;$Q709,Tariff_Master!$A$2:$L$169,3,FALSE),"")</f>
        <v/>
      </c>
      <c r="AD709" s="17">
        <f>IFERROR(VLOOKUP($H709&amp;"|"&amp;$Q709,Tariff_Master!$A$2:$L$169,4,FALSE),"")</f>
        <v/>
      </c>
      <c r="AE709" s="18">
        <f>IFERROR(VLOOKUP($H709&amp;"|"&amp;$Q709,Tariff_Master!$A$2:$L$169,6,FALSE),"")</f>
        <v/>
      </c>
      <c r="AF709" s="19">
        <f>IFERROR(VLOOKUP($H709&amp;"|"&amp;$Q709,Tariff_Master!$A$2:$L$169,7,FALSE),"")</f>
        <v/>
      </c>
      <c r="AG709" s="18">
        <f>IFERROR(VLOOKUP($H709&amp;"|"&amp;$Q709,Tariff_Master!$A$2:$L$169,8,FALSE),"")</f>
        <v/>
      </c>
      <c r="AH709" s="20">
        <f>IFERROR(VLOOKUP($H709&amp;"|"&amp;$Q709,Tariff_Master!$A$2:$L$169,9,FALSE),"")</f>
        <v/>
      </c>
      <c r="AI709" s="18">
        <f>IFERROR(VLOOKUP($H709&amp;"|"&amp;$Q709,Tariff_Master!$A$2:$L$169,10,FALSE),"")</f>
        <v/>
      </c>
      <c r="AJ709" s="21">
        <f>IF($M709="","",ROUNDUP(MAX(0,$M709),0))</f>
        <v/>
      </c>
      <c r="AK709" s="21">
        <f>IF(OR($AJ709="",$AF709=""),"",MAX(0,$AJ709-$AF709))</f>
        <v/>
      </c>
      <c r="AL709" s="22">
        <f>IF(OR($AK709="",$AG709=""),"",MAX(0,$AK709*$AG709))</f>
        <v/>
      </c>
      <c r="AM709" s="22">
        <f>IF($AE709="","",MAX(0,SUM($AE709,$AL709,$V709,$W709)))</f>
        <v/>
      </c>
      <c r="AN709" s="22">
        <f>IF($AM709="","",IF(AND($Q709="COMMITMENT",$R709&gt;=$AH709),$AI709,0))</f>
        <v/>
      </c>
      <c r="AO709" s="23">
        <f>IF($AM709="","",MAX(0,$AM709-$AN709))</f>
        <v/>
      </c>
      <c r="AP709" s="22">
        <f>IF($S709="","",IF(OR($S709="ITEM_PRICE_PLUS_DECLARED_DELIVERY",$S709="DELIVERY_CHARGE_ONLY"),$K709,IF($S709="TOTAL_AMOUNT_INCLUDING_DELIVERY",IF(OR($T709="",$J709=""),"",MAX(0,$T709-$J709-$U709)),IF($S709="ITEM_PRICE_ONLY_DELIVERY_PAID_BY_MERCHANT",0,""))))</f>
        <v/>
      </c>
      <c r="AQ709" s="23">
        <f>IF(OR($AP709="",$AO709=""),"",$AP709-$AO709)</f>
        <v/>
      </c>
      <c r="AR709" s="24">
        <f>IF($S709="EXACT_COLLECTION_AMOUNT","BREAKDOWN_REQUIRED",IF($AQ709="","",IF($AQ709&gt;0,"CREDIT_TO_MERCHANT",IF($AQ709&lt;0,"DEDUCT_FROM_MERCHANT","NO_ADJUSTMENT"))))</f>
        <v/>
      </c>
      <c r="AS709" s="23">
        <f>IF(OR($AQ709="",$AR709="BREAKDOWN_REQUIRED"),"",$AQ709)</f>
        <v/>
      </c>
      <c r="AT709" s="23">
        <f>IF(OR($AR709="",$AR709="BREAKDOWN_REQUIRED"),"",SUM($J709,$AQ709,$Y709)-$X709)</f>
        <v/>
      </c>
      <c r="AU709" s="25">
        <f>IF(AND($A709="",$B709="",$F709="",$H709="",$J709="",$K709="",$M709="",$S709=""),"",IF(OR($H709="",$Q709="",$M709="",$S709=""),"ERROR",IF(OR($J709&lt;0,$K709&lt;0,$M709&lt;0,$T709&lt;0,$U709&lt;0,$V709&lt;0,$W709&lt;0,$X709&lt;0,$Y709&lt;0),"ERROR",IF($AE709="","ERROR",IF(AND(OR($S709="ITEM_PRICE_PLUS_DECLARED_DELIVERY",$S709="TOTAL_AMOUNT_INCLUDING_DELIVERY",$S709="ITEM_PRICE_ONLY_DELIVERY_PAID_BY_MERCHANT"),$J709=""),"ERROR",IF(AND(OR($S709="ITEM_PRICE_PLUS_DECLARED_DELIVERY",$S709="DELIVERY_CHARGE_ONLY"),$K709=""),"ERROR",IF(AND(OR($S709="TOTAL_AMOUNT_INCLUDING_DELIVERY",$S709="EXACT_COLLECTION_AMOUNT"),$T709=""),"ERROR",IF(AND($S709="TOTAL_AMOUNT_INCLUDING_DELIVERY",$T709&lt;SUM($J709,$U709)),"ERROR",IF($S709="EXACT_COLLECTION_AMOUNT","REVIEW","OK")))))))))</f>
        <v/>
      </c>
      <c r="AV709" s="25">
        <f>IF($AU709="","",IF($H709="","Township required",IF($Q709="","Customer tier required",IF($M709="","Weight required",IF($S709="","Amount entry type required",IF(OR($J709&lt;0,$K709&lt;0,$M709&lt;0,$T709&lt;0,$U709&lt;0,$V709&lt;0,$W709&lt;0,$X709&lt;0,$Y709&lt;0),"Negative amounts are not allowed",IF($AE709="","Tariff not found for township and tier",IF(AND(OR($S709="ITEM_PRICE_PLUS_DECLARED_DELIVERY",$S709="TOTAL_AMOUNT_INCLUDING_DELIVERY",$S709="ITEM_PRICE_ONLY_DELIVERY_PAID_BY_MERCHANT"),$J709=""),"Item price required for this amount type",IF(AND(OR($S709="ITEM_PRICE_PLUS_DECLARED_DELIVERY",$S709="DELIVERY_CHARGE_ONLY"),$K709=""),"Declared delivery charge required",IF(AND(OR($S709="TOTAL_AMOUNT_INCLUDING_DELIVERY",$S709="EXACT_COLLECTION_AMOUNT"),$T709=""),"Stated total amount required",IF(AND($S709="TOTAL_AMOUNT_INCLUDING_DELIVERY",$T709&lt;SUM($J709,$U709)),"Stated total is below item price plus additional charge",IF($S709="EXACT_COLLECTION_AMOUNT","Authorized amount breakdown required before settlement","Ready for collection and settlement"))))))))))))</f>
        <v/>
      </c>
      <c r="AW709" s="23">
        <f>IF($AU709="","","PARCEL_FINANCIAL_V2")</f>
        <v/>
      </c>
      <c r="AX709" s="17" t="n"/>
    </row>
    <row r="710">
      <c r="A710" s="8" t="n"/>
      <c r="B710" s="8" t="n"/>
      <c r="C710" s="8" t="n"/>
      <c r="D710" s="8" t="n"/>
      <c r="E710" s="9" t="n"/>
      <c r="F710" s="9" t="n"/>
      <c r="G710" s="8" t="n"/>
      <c r="H710" s="9" t="n"/>
      <c r="I710" s="9" t="n"/>
      <c r="J710" s="10" t="n"/>
      <c r="K710" s="10" t="n"/>
      <c r="L710" s="11">
        <f>IF($S710="","",IF($S710="ITEM_PRICE_PLUS_DECLARED_DELIVERY",IF(OR($J710="",$K710=""),"",SUM($J710,$K710,$U710)),IF($S710="TOTAL_AMOUNT_INCLUDING_DELIVERY",IF($T710="","",$T710),IF($S710="DELIVERY_CHARGE_ONLY",IF($K710="","",SUM($K710,$U710)),IF($S710="EXACT_COLLECTION_AMOUNT",IF($T710="","",$T710),IF($S710="ITEM_PRICE_ONLY_DELIVERY_PAID_BY_MERCHANT",IF($J710="","",SUM($J710,$U710)),""))))))</f>
        <v/>
      </c>
      <c r="M710" s="12" t="n"/>
      <c r="N710" s="13" t="n"/>
      <c r="O710" s="13" t="n"/>
      <c r="P710" s="9" t="n"/>
      <c r="Q710" s="14" t="n"/>
      <c r="R710" s="15" t="n"/>
      <c r="S710" s="14" t="n"/>
      <c r="T710" s="16" t="n"/>
      <c r="U710" s="16" t="n"/>
      <c r="V710" s="16" t="n"/>
      <c r="W710" s="16" t="n"/>
      <c r="X710" s="16" t="n"/>
      <c r="Y710" s="16" t="n"/>
      <c r="Z710" s="14" t="n"/>
      <c r="AA710" s="14" t="n"/>
      <c r="AB710" s="14" t="n"/>
      <c r="AC710" s="17">
        <f>IFERROR(VLOOKUP($H710&amp;"|"&amp;$Q710,Tariff_Master!$A$2:$L$169,3,FALSE),"")</f>
        <v/>
      </c>
      <c r="AD710" s="17">
        <f>IFERROR(VLOOKUP($H710&amp;"|"&amp;$Q710,Tariff_Master!$A$2:$L$169,4,FALSE),"")</f>
        <v/>
      </c>
      <c r="AE710" s="18">
        <f>IFERROR(VLOOKUP($H710&amp;"|"&amp;$Q710,Tariff_Master!$A$2:$L$169,6,FALSE),"")</f>
        <v/>
      </c>
      <c r="AF710" s="19">
        <f>IFERROR(VLOOKUP($H710&amp;"|"&amp;$Q710,Tariff_Master!$A$2:$L$169,7,FALSE),"")</f>
        <v/>
      </c>
      <c r="AG710" s="18">
        <f>IFERROR(VLOOKUP($H710&amp;"|"&amp;$Q710,Tariff_Master!$A$2:$L$169,8,FALSE),"")</f>
        <v/>
      </c>
      <c r="AH710" s="20">
        <f>IFERROR(VLOOKUP($H710&amp;"|"&amp;$Q710,Tariff_Master!$A$2:$L$169,9,FALSE),"")</f>
        <v/>
      </c>
      <c r="AI710" s="18">
        <f>IFERROR(VLOOKUP($H710&amp;"|"&amp;$Q710,Tariff_Master!$A$2:$L$169,10,FALSE),"")</f>
        <v/>
      </c>
      <c r="AJ710" s="21">
        <f>IF($M710="","",ROUNDUP(MAX(0,$M710),0))</f>
        <v/>
      </c>
      <c r="AK710" s="21">
        <f>IF(OR($AJ710="",$AF710=""),"",MAX(0,$AJ710-$AF710))</f>
        <v/>
      </c>
      <c r="AL710" s="22">
        <f>IF(OR($AK710="",$AG710=""),"",MAX(0,$AK710*$AG710))</f>
        <v/>
      </c>
      <c r="AM710" s="22">
        <f>IF($AE710="","",MAX(0,SUM($AE710,$AL710,$V710,$W710)))</f>
        <v/>
      </c>
      <c r="AN710" s="22">
        <f>IF($AM710="","",IF(AND($Q710="COMMITMENT",$R710&gt;=$AH710),$AI710,0))</f>
        <v/>
      </c>
      <c r="AO710" s="23">
        <f>IF($AM710="","",MAX(0,$AM710-$AN710))</f>
        <v/>
      </c>
      <c r="AP710" s="22">
        <f>IF($S710="","",IF(OR($S710="ITEM_PRICE_PLUS_DECLARED_DELIVERY",$S710="DELIVERY_CHARGE_ONLY"),$K710,IF($S710="TOTAL_AMOUNT_INCLUDING_DELIVERY",IF(OR($T710="",$J710=""),"",MAX(0,$T710-$J710-$U710)),IF($S710="ITEM_PRICE_ONLY_DELIVERY_PAID_BY_MERCHANT",0,""))))</f>
        <v/>
      </c>
      <c r="AQ710" s="23">
        <f>IF(OR($AP710="",$AO710=""),"",$AP710-$AO710)</f>
        <v/>
      </c>
      <c r="AR710" s="24">
        <f>IF($S710="EXACT_COLLECTION_AMOUNT","BREAKDOWN_REQUIRED",IF($AQ710="","",IF($AQ710&gt;0,"CREDIT_TO_MERCHANT",IF($AQ710&lt;0,"DEDUCT_FROM_MERCHANT","NO_ADJUSTMENT"))))</f>
        <v/>
      </c>
      <c r="AS710" s="23">
        <f>IF(OR($AQ710="",$AR710="BREAKDOWN_REQUIRED"),"",$AQ710)</f>
        <v/>
      </c>
      <c r="AT710" s="23">
        <f>IF(OR($AR710="",$AR710="BREAKDOWN_REQUIRED"),"",SUM($J710,$AQ710,$Y710)-$X710)</f>
        <v/>
      </c>
      <c r="AU710" s="25">
        <f>IF(AND($A710="",$B710="",$F710="",$H710="",$J710="",$K710="",$M710="",$S710=""),"",IF(OR($H710="",$Q710="",$M710="",$S710=""),"ERROR",IF(OR($J710&lt;0,$K710&lt;0,$M710&lt;0,$T710&lt;0,$U710&lt;0,$V710&lt;0,$W710&lt;0,$X710&lt;0,$Y710&lt;0),"ERROR",IF($AE710="","ERROR",IF(AND(OR($S710="ITEM_PRICE_PLUS_DECLARED_DELIVERY",$S710="TOTAL_AMOUNT_INCLUDING_DELIVERY",$S710="ITEM_PRICE_ONLY_DELIVERY_PAID_BY_MERCHANT"),$J710=""),"ERROR",IF(AND(OR($S710="ITEM_PRICE_PLUS_DECLARED_DELIVERY",$S710="DELIVERY_CHARGE_ONLY"),$K710=""),"ERROR",IF(AND(OR($S710="TOTAL_AMOUNT_INCLUDING_DELIVERY",$S710="EXACT_COLLECTION_AMOUNT"),$T710=""),"ERROR",IF(AND($S710="TOTAL_AMOUNT_INCLUDING_DELIVERY",$T710&lt;SUM($J710,$U710)),"ERROR",IF($S710="EXACT_COLLECTION_AMOUNT","REVIEW","OK")))))))))</f>
        <v/>
      </c>
      <c r="AV710" s="25">
        <f>IF($AU710="","",IF($H710="","Township required",IF($Q710="","Customer tier required",IF($M710="","Weight required",IF($S710="","Amount entry type required",IF(OR($J710&lt;0,$K710&lt;0,$M710&lt;0,$T710&lt;0,$U710&lt;0,$V710&lt;0,$W710&lt;0,$X710&lt;0,$Y710&lt;0),"Negative amounts are not allowed",IF($AE710="","Tariff not found for township and tier",IF(AND(OR($S710="ITEM_PRICE_PLUS_DECLARED_DELIVERY",$S710="TOTAL_AMOUNT_INCLUDING_DELIVERY",$S710="ITEM_PRICE_ONLY_DELIVERY_PAID_BY_MERCHANT"),$J710=""),"Item price required for this amount type",IF(AND(OR($S710="ITEM_PRICE_PLUS_DECLARED_DELIVERY",$S710="DELIVERY_CHARGE_ONLY"),$K710=""),"Declared delivery charge required",IF(AND(OR($S710="TOTAL_AMOUNT_INCLUDING_DELIVERY",$S710="EXACT_COLLECTION_AMOUNT"),$T710=""),"Stated total amount required",IF(AND($S710="TOTAL_AMOUNT_INCLUDING_DELIVERY",$T710&lt;SUM($J710,$U710)),"Stated total is below item price plus additional charge",IF($S710="EXACT_COLLECTION_AMOUNT","Authorized amount breakdown required before settlement","Ready for collection and settlement"))))))))))))</f>
        <v/>
      </c>
      <c r="AW710" s="23">
        <f>IF($AU710="","","PARCEL_FINANCIAL_V2")</f>
        <v/>
      </c>
      <c r="AX710" s="17" t="n"/>
    </row>
    <row r="711">
      <c r="A711" s="8" t="n"/>
      <c r="B711" s="8" t="n"/>
      <c r="C711" s="8" t="n"/>
      <c r="D711" s="8" t="n"/>
      <c r="E711" s="9" t="n"/>
      <c r="F711" s="9" t="n"/>
      <c r="G711" s="8" t="n"/>
      <c r="H711" s="9" t="n"/>
      <c r="I711" s="9" t="n"/>
      <c r="J711" s="10" t="n"/>
      <c r="K711" s="10" t="n"/>
      <c r="L711" s="11">
        <f>IF($S711="","",IF($S711="ITEM_PRICE_PLUS_DECLARED_DELIVERY",IF(OR($J711="",$K711=""),"",SUM($J711,$K711,$U711)),IF($S711="TOTAL_AMOUNT_INCLUDING_DELIVERY",IF($T711="","",$T711),IF($S711="DELIVERY_CHARGE_ONLY",IF($K711="","",SUM($K711,$U711)),IF($S711="EXACT_COLLECTION_AMOUNT",IF($T711="","",$T711),IF($S711="ITEM_PRICE_ONLY_DELIVERY_PAID_BY_MERCHANT",IF($J711="","",SUM($J711,$U711)),""))))))</f>
        <v/>
      </c>
      <c r="M711" s="12" t="n"/>
      <c r="N711" s="13" t="n"/>
      <c r="O711" s="13" t="n"/>
      <c r="P711" s="9" t="n"/>
      <c r="Q711" s="14" t="n"/>
      <c r="R711" s="15" t="n"/>
      <c r="S711" s="14" t="n"/>
      <c r="T711" s="16" t="n"/>
      <c r="U711" s="16" t="n"/>
      <c r="V711" s="16" t="n"/>
      <c r="W711" s="16" t="n"/>
      <c r="X711" s="16" t="n"/>
      <c r="Y711" s="16" t="n"/>
      <c r="Z711" s="14" t="n"/>
      <c r="AA711" s="14" t="n"/>
      <c r="AB711" s="14" t="n"/>
      <c r="AC711" s="17">
        <f>IFERROR(VLOOKUP($H711&amp;"|"&amp;$Q711,Tariff_Master!$A$2:$L$169,3,FALSE),"")</f>
        <v/>
      </c>
      <c r="AD711" s="17">
        <f>IFERROR(VLOOKUP($H711&amp;"|"&amp;$Q711,Tariff_Master!$A$2:$L$169,4,FALSE),"")</f>
        <v/>
      </c>
      <c r="AE711" s="18">
        <f>IFERROR(VLOOKUP($H711&amp;"|"&amp;$Q711,Tariff_Master!$A$2:$L$169,6,FALSE),"")</f>
        <v/>
      </c>
      <c r="AF711" s="19">
        <f>IFERROR(VLOOKUP($H711&amp;"|"&amp;$Q711,Tariff_Master!$A$2:$L$169,7,FALSE),"")</f>
        <v/>
      </c>
      <c r="AG711" s="18">
        <f>IFERROR(VLOOKUP($H711&amp;"|"&amp;$Q711,Tariff_Master!$A$2:$L$169,8,FALSE),"")</f>
        <v/>
      </c>
      <c r="AH711" s="20">
        <f>IFERROR(VLOOKUP($H711&amp;"|"&amp;$Q711,Tariff_Master!$A$2:$L$169,9,FALSE),"")</f>
        <v/>
      </c>
      <c r="AI711" s="18">
        <f>IFERROR(VLOOKUP($H711&amp;"|"&amp;$Q711,Tariff_Master!$A$2:$L$169,10,FALSE),"")</f>
        <v/>
      </c>
      <c r="AJ711" s="21">
        <f>IF($M711="","",ROUNDUP(MAX(0,$M711),0))</f>
        <v/>
      </c>
      <c r="AK711" s="21">
        <f>IF(OR($AJ711="",$AF711=""),"",MAX(0,$AJ711-$AF711))</f>
        <v/>
      </c>
      <c r="AL711" s="22">
        <f>IF(OR($AK711="",$AG711=""),"",MAX(0,$AK711*$AG711))</f>
        <v/>
      </c>
      <c r="AM711" s="22">
        <f>IF($AE711="","",MAX(0,SUM($AE711,$AL711,$V711,$W711)))</f>
        <v/>
      </c>
      <c r="AN711" s="22">
        <f>IF($AM711="","",IF(AND($Q711="COMMITMENT",$R711&gt;=$AH711),$AI711,0))</f>
        <v/>
      </c>
      <c r="AO711" s="23">
        <f>IF($AM711="","",MAX(0,$AM711-$AN711))</f>
        <v/>
      </c>
      <c r="AP711" s="22">
        <f>IF($S711="","",IF(OR($S711="ITEM_PRICE_PLUS_DECLARED_DELIVERY",$S711="DELIVERY_CHARGE_ONLY"),$K711,IF($S711="TOTAL_AMOUNT_INCLUDING_DELIVERY",IF(OR($T711="",$J711=""),"",MAX(0,$T711-$J711-$U711)),IF($S711="ITEM_PRICE_ONLY_DELIVERY_PAID_BY_MERCHANT",0,""))))</f>
        <v/>
      </c>
      <c r="AQ711" s="23">
        <f>IF(OR($AP711="",$AO711=""),"",$AP711-$AO711)</f>
        <v/>
      </c>
      <c r="AR711" s="24">
        <f>IF($S711="EXACT_COLLECTION_AMOUNT","BREAKDOWN_REQUIRED",IF($AQ711="","",IF($AQ711&gt;0,"CREDIT_TO_MERCHANT",IF($AQ711&lt;0,"DEDUCT_FROM_MERCHANT","NO_ADJUSTMENT"))))</f>
        <v/>
      </c>
      <c r="AS711" s="23">
        <f>IF(OR($AQ711="",$AR711="BREAKDOWN_REQUIRED"),"",$AQ711)</f>
        <v/>
      </c>
      <c r="AT711" s="23">
        <f>IF(OR($AR711="",$AR711="BREAKDOWN_REQUIRED"),"",SUM($J711,$AQ711,$Y711)-$X711)</f>
        <v/>
      </c>
      <c r="AU711" s="25">
        <f>IF(AND($A711="",$B711="",$F711="",$H711="",$J711="",$K711="",$M711="",$S711=""),"",IF(OR($H711="",$Q711="",$M711="",$S711=""),"ERROR",IF(OR($J711&lt;0,$K711&lt;0,$M711&lt;0,$T711&lt;0,$U711&lt;0,$V711&lt;0,$W711&lt;0,$X711&lt;0,$Y711&lt;0),"ERROR",IF($AE711="","ERROR",IF(AND(OR($S711="ITEM_PRICE_PLUS_DECLARED_DELIVERY",$S711="TOTAL_AMOUNT_INCLUDING_DELIVERY",$S711="ITEM_PRICE_ONLY_DELIVERY_PAID_BY_MERCHANT"),$J711=""),"ERROR",IF(AND(OR($S711="ITEM_PRICE_PLUS_DECLARED_DELIVERY",$S711="DELIVERY_CHARGE_ONLY"),$K711=""),"ERROR",IF(AND(OR($S711="TOTAL_AMOUNT_INCLUDING_DELIVERY",$S711="EXACT_COLLECTION_AMOUNT"),$T711=""),"ERROR",IF(AND($S711="TOTAL_AMOUNT_INCLUDING_DELIVERY",$T711&lt;SUM($J711,$U711)),"ERROR",IF($S711="EXACT_COLLECTION_AMOUNT","REVIEW","OK")))))))))</f>
        <v/>
      </c>
      <c r="AV711" s="25">
        <f>IF($AU711="","",IF($H711="","Township required",IF($Q711="","Customer tier required",IF($M711="","Weight required",IF($S711="","Amount entry type required",IF(OR($J711&lt;0,$K711&lt;0,$M711&lt;0,$T711&lt;0,$U711&lt;0,$V711&lt;0,$W711&lt;0,$X711&lt;0,$Y711&lt;0),"Negative amounts are not allowed",IF($AE711="","Tariff not found for township and tier",IF(AND(OR($S711="ITEM_PRICE_PLUS_DECLARED_DELIVERY",$S711="TOTAL_AMOUNT_INCLUDING_DELIVERY",$S711="ITEM_PRICE_ONLY_DELIVERY_PAID_BY_MERCHANT"),$J711=""),"Item price required for this amount type",IF(AND(OR($S711="ITEM_PRICE_PLUS_DECLARED_DELIVERY",$S711="DELIVERY_CHARGE_ONLY"),$K711=""),"Declared delivery charge required",IF(AND(OR($S711="TOTAL_AMOUNT_INCLUDING_DELIVERY",$S711="EXACT_COLLECTION_AMOUNT"),$T711=""),"Stated total amount required",IF(AND($S711="TOTAL_AMOUNT_INCLUDING_DELIVERY",$T711&lt;SUM($J711,$U711)),"Stated total is below item price plus additional charge",IF($S711="EXACT_COLLECTION_AMOUNT","Authorized amount breakdown required before settlement","Ready for collection and settlement"))))))))))))</f>
        <v/>
      </c>
      <c r="AW711" s="23">
        <f>IF($AU711="","","PARCEL_FINANCIAL_V2")</f>
        <v/>
      </c>
      <c r="AX711" s="17" t="n"/>
    </row>
    <row r="712">
      <c r="A712" s="8" t="n"/>
      <c r="B712" s="8" t="n"/>
      <c r="C712" s="8" t="n"/>
      <c r="D712" s="8" t="n"/>
      <c r="E712" s="9" t="n"/>
      <c r="F712" s="9" t="n"/>
      <c r="G712" s="8" t="n"/>
      <c r="H712" s="9" t="n"/>
      <c r="I712" s="9" t="n"/>
      <c r="J712" s="10" t="n"/>
      <c r="K712" s="10" t="n"/>
      <c r="L712" s="11">
        <f>IF($S712="","",IF($S712="ITEM_PRICE_PLUS_DECLARED_DELIVERY",IF(OR($J712="",$K712=""),"",SUM($J712,$K712,$U712)),IF($S712="TOTAL_AMOUNT_INCLUDING_DELIVERY",IF($T712="","",$T712),IF($S712="DELIVERY_CHARGE_ONLY",IF($K712="","",SUM($K712,$U712)),IF($S712="EXACT_COLLECTION_AMOUNT",IF($T712="","",$T712),IF($S712="ITEM_PRICE_ONLY_DELIVERY_PAID_BY_MERCHANT",IF($J712="","",SUM($J712,$U712)),""))))))</f>
        <v/>
      </c>
      <c r="M712" s="12" t="n"/>
      <c r="N712" s="13" t="n"/>
      <c r="O712" s="13" t="n"/>
      <c r="P712" s="9" t="n"/>
      <c r="Q712" s="14" t="n"/>
      <c r="R712" s="15" t="n"/>
      <c r="S712" s="14" t="n"/>
      <c r="T712" s="16" t="n"/>
      <c r="U712" s="16" t="n"/>
      <c r="V712" s="16" t="n"/>
      <c r="W712" s="16" t="n"/>
      <c r="X712" s="16" t="n"/>
      <c r="Y712" s="16" t="n"/>
      <c r="Z712" s="14" t="n"/>
      <c r="AA712" s="14" t="n"/>
      <c r="AB712" s="14" t="n"/>
      <c r="AC712" s="17">
        <f>IFERROR(VLOOKUP($H712&amp;"|"&amp;$Q712,Tariff_Master!$A$2:$L$169,3,FALSE),"")</f>
        <v/>
      </c>
      <c r="AD712" s="17">
        <f>IFERROR(VLOOKUP($H712&amp;"|"&amp;$Q712,Tariff_Master!$A$2:$L$169,4,FALSE),"")</f>
        <v/>
      </c>
      <c r="AE712" s="18">
        <f>IFERROR(VLOOKUP($H712&amp;"|"&amp;$Q712,Tariff_Master!$A$2:$L$169,6,FALSE),"")</f>
        <v/>
      </c>
      <c r="AF712" s="19">
        <f>IFERROR(VLOOKUP($H712&amp;"|"&amp;$Q712,Tariff_Master!$A$2:$L$169,7,FALSE),"")</f>
        <v/>
      </c>
      <c r="AG712" s="18">
        <f>IFERROR(VLOOKUP($H712&amp;"|"&amp;$Q712,Tariff_Master!$A$2:$L$169,8,FALSE),"")</f>
        <v/>
      </c>
      <c r="AH712" s="20">
        <f>IFERROR(VLOOKUP($H712&amp;"|"&amp;$Q712,Tariff_Master!$A$2:$L$169,9,FALSE),"")</f>
        <v/>
      </c>
      <c r="AI712" s="18">
        <f>IFERROR(VLOOKUP($H712&amp;"|"&amp;$Q712,Tariff_Master!$A$2:$L$169,10,FALSE),"")</f>
        <v/>
      </c>
      <c r="AJ712" s="21">
        <f>IF($M712="","",ROUNDUP(MAX(0,$M712),0))</f>
        <v/>
      </c>
      <c r="AK712" s="21">
        <f>IF(OR($AJ712="",$AF712=""),"",MAX(0,$AJ712-$AF712))</f>
        <v/>
      </c>
      <c r="AL712" s="22">
        <f>IF(OR($AK712="",$AG712=""),"",MAX(0,$AK712*$AG712))</f>
        <v/>
      </c>
      <c r="AM712" s="22">
        <f>IF($AE712="","",MAX(0,SUM($AE712,$AL712,$V712,$W712)))</f>
        <v/>
      </c>
      <c r="AN712" s="22">
        <f>IF($AM712="","",IF(AND($Q712="COMMITMENT",$R712&gt;=$AH712),$AI712,0))</f>
        <v/>
      </c>
      <c r="AO712" s="23">
        <f>IF($AM712="","",MAX(0,$AM712-$AN712))</f>
        <v/>
      </c>
      <c r="AP712" s="22">
        <f>IF($S712="","",IF(OR($S712="ITEM_PRICE_PLUS_DECLARED_DELIVERY",$S712="DELIVERY_CHARGE_ONLY"),$K712,IF($S712="TOTAL_AMOUNT_INCLUDING_DELIVERY",IF(OR($T712="",$J712=""),"",MAX(0,$T712-$J712-$U712)),IF($S712="ITEM_PRICE_ONLY_DELIVERY_PAID_BY_MERCHANT",0,""))))</f>
        <v/>
      </c>
      <c r="AQ712" s="23">
        <f>IF(OR($AP712="",$AO712=""),"",$AP712-$AO712)</f>
        <v/>
      </c>
      <c r="AR712" s="24">
        <f>IF($S712="EXACT_COLLECTION_AMOUNT","BREAKDOWN_REQUIRED",IF($AQ712="","",IF($AQ712&gt;0,"CREDIT_TO_MERCHANT",IF($AQ712&lt;0,"DEDUCT_FROM_MERCHANT","NO_ADJUSTMENT"))))</f>
        <v/>
      </c>
      <c r="AS712" s="23">
        <f>IF(OR($AQ712="",$AR712="BREAKDOWN_REQUIRED"),"",$AQ712)</f>
        <v/>
      </c>
      <c r="AT712" s="23">
        <f>IF(OR($AR712="",$AR712="BREAKDOWN_REQUIRED"),"",SUM($J712,$AQ712,$Y712)-$X712)</f>
        <v/>
      </c>
      <c r="AU712" s="25">
        <f>IF(AND($A712="",$B712="",$F712="",$H712="",$J712="",$K712="",$M712="",$S712=""),"",IF(OR($H712="",$Q712="",$M712="",$S712=""),"ERROR",IF(OR($J712&lt;0,$K712&lt;0,$M712&lt;0,$T712&lt;0,$U712&lt;0,$V712&lt;0,$W712&lt;0,$X712&lt;0,$Y712&lt;0),"ERROR",IF($AE712="","ERROR",IF(AND(OR($S712="ITEM_PRICE_PLUS_DECLARED_DELIVERY",$S712="TOTAL_AMOUNT_INCLUDING_DELIVERY",$S712="ITEM_PRICE_ONLY_DELIVERY_PAID_BY_MERCHANT"),$J712=""),"ERROR",IF(AND(OR($S712="ITEM_PRICE_PLUS_DECLARED_DELIVERY",$S712="DELIVERY_CHARGE_ONLY"),$K712=""),"ERROR",IF(AND(OR($S712="TOTAL_AMOUNT_INCLUDING_DELIVERY",$S712="EXACT_COLLECTION_AMOUNT"),$T712=""),"ERROR",IF(AND($S712="TOTAL_AMOUNT_INCLUDING_DELIVERY",$T712&lt;SUM($J712,$U712)),"ERROR",IF($S712="EXACT_COLLECTION_AMOUNT","REVIEW","OK")))))))))</f>
        <v/>
      </c>
      <c r="AV712" s="25">
        <f>IF($AU712="","",IF($H712="","Township required",IF($Q712="","Customer tier required",IF($M712="","Weight required",IF($S712="","Amount entry type required",IF(OR($J712&lt;0,$K712&lt;0,$M712&lt;0,$T712&lt;0,$U712&lt;0,$V712&lt;0,$W712&lt;0,$X712&lt;0,$Y712&lt;0),"Negative amounts are not allowed",IF($AE712="","Tariff not found for township and tier",IF(AND(OR($S712="ITEM_PRICE_PLUS_DECLARED_DELIVERY",$S712="TOTAL_AMOUNT_INCLUDING_DELIVERY",$S712="ITEM_PRICE_ONLY_DELIVERY_PAID_BY_MERCHANT"),$J712=""),"Item price required for this amount type",IF(AND(OR($S712="ITEM_PRICE_PLUS_DECLARED_DELIVERY",$S712="DELIVERY_CHARGE_ONLY"),$K712=""),"Declared delivery charge required",IF(AND(OR($S712="TOTAL_AMOUNT_INCLUDING_DELIVERY",$S712="EXACT_COLLECTION_AMOUNT"),$T712=""),"Stated total amount required",IF(AND($S712="TOTAL_AMOUNT_INCLUDING_DELIVERY",$T712&lt;SUM($J712,$U712)),"Stated total is below item price plus additional charge",IF($S712="EXACT_COLLECTION_AMOUNT","Authorized amount breakdown required before settlement","Ready for collection and settlement"))))))))))))</f>
        <v/>
      </c>
      <c r="AW712" s="23">
        <f>IF($AU712="","","PARCEL_FINANCIAL_V2")</f>
        <v/>
      </c>
      <c r="AX712" s="17" t="n"/>
    </row>
    <row r="713">
      <c r="A713" s="8" t="n"/>
      <c r="B713" s="8" t="n"/>
      <c r="C713" s="8" t="n"/>
      <c r="D713" s="8" t="n"/>
      <c r="E713" s="9" t="n"/>
      <c r="F713" s="9" t="n"/>
      <c r="G713" s="8" t="n"/>
      <c r="H713" s="9" t="n"/>
      <c r="I713" s="9" t="n"/>
      <c r="J713" s="10" t="n"/>
      <c r="K713" s="10" t="n"/>
      <c r="L713" s="11">
        <f>IF($S713="","",IF($S713="ITEM_PRICE_PLUS_DECLARED_DELIVERY",IF(OR($J713="",$K713=""),"",SUM($J713,$K713,$U713)),IF($S713="TOTAL_AMOUNT_INCLUDING_DELIVERY",IF($T713="","",$T713),IF($S713="DELIVERY_CHARGE_ONLY",IF($K713="","",SUM($K713,$U713)),IF($S713="EXACT_COLLECTION_AMOUNT",IF($T713="","",$T713),IF($S713="ITEM_PRICE_ONLY_DELIVERY_PAID_BY_MERCHANT",IF($J713="","",SUM($J713,$U713)),""))))))</f>
        <v/>
      </c>
      <c r="M713" s="12" t="n"/>
      <c r="N713" s="13" t="n"/>
      <c r="O713" s="13" t="n"/>
      <c r="P713" s="9" t="n"/>
      <c r="Q713" s="14" t="n"/>
      <c r="R713" s="15" t="n"/>
      <c r="S713" s="14" t="n"/>
      <c r="T713" s="16" t="n"/>
      <c r="U713" s="16" t="n"/>
      <c r="V713" s="16" t="n"/>
      <c r="W713" s="16" t="n"/>
      <c r="X713" s="16" t="n"/>
      <c r="Y713" s="16" t="n"/>
      <c r="Z713" s="14" t="n"/>
      <c r="AA713" s="14" t="n"/>
      <c r="AB713" s="14" t="n"/>
      <c r="AC713" s="17">
        <f>IFERROR(VLOOKUP($H713&amp;"|"&amp;$Q713,Tariff_Master!$A$2:$L$169,3,FALSE),"")</f>
        <v/>
      </c>
      <c r="AD713" s="17">
        <f>IFERROR(VLOOKUP($H713&amp;"|"&amp;$Q713,Tariff_Master!$A$2:$L$169,4,FALSE),"")</f>
        <v/>
      </c>
      <c r="AE713" s="18">
        <f>IFERROR(VLOOKUP($H713&amp;"|"&amp;$Q713,Tariff_Master!$A$2:$L$169,6,FALSE),"")</f>
        <v/>
      </c>
      <c r="AF713" s="19">
        <f>IFERROR(VLOOKUP($H713&amp;"|"&amp;$Q713,Tariff_Master!$A$2:$L$169,7,FALSE),"")</f>
        <v/>
      </c>
      <c r="AG713" s="18">
        <f>IFERROR(VLOOKUP($H713&amp;"|"&amp;$Q713,Tariff_Master!$A$2:$L$169,8,FALSE),"")</f>
        <v/>
      </c>
      <c r="AH713" s="20">
        <f>IFERROR(VLOOKUP($H713&amp;"|"&amp;$Q713,Tariff_Master!$A$2:$L$169,9,FALSE),"")</f>
        <v/>
      </c>
      <c r="AI713" s="18">
        <f>IFERROR(VLOOKUP($H713&amp;"|"&amp;$Q713,Tariff_Master!$A$2:$L$169,10,FALSE),"")</f>
        <v/>
      </c>
      <c r="AJ713" s="21">
        <f>IF($M713="","",ROUNDUP(MAX(0,$M713),0))</f>
        <v/>
      </c>
      <c r="AK713" s="21">
        <f>IF(OR($AJ713="",$AF713=""),"",MAX(0,$AJ713-$AF713))</f>
        <v/>
      </c>
      <c r="AL713" s="22">
        <f>IF(OR($AK713="",$AG713=""),"",MAX(0,$AK713*$AG713))</f>
        <v/>
      </c>
      <c r="AM713" s="22">
        <f>IF($AE713="","",MAX(0,SUM($AE713,$AL713,$V713,$W713)))</f>
        <v/>
      </c>
      <c r="AN713" s="22">
        <f>IF($AM713="","",IF(AND($Q713="COMMITMENT",$R713&gt;=$AH713),$AI713,0))</f>
        <v/>
      </c>
      <c r="AO713" s="23">
        <f>IF($AM713="","",MAX(0,$AM713-$AN713))</f>
        <v/>
      </c>
      <c r="AP713" s="22">
        <f>IF($S713="","",IF(OR($S713="ITEM_PRICE_PLUS_DECLARED_DELIVERY",$S713="DELIVERY_CHARGE_ONLY"),$K713,IF($S713="TOTAL_AMOUNT_INCLUDING_DELIVERY",IF(OR($T713="",$J713=""),"",MAX(0,$T713-$J713-$U713)),IF($S713="ITEM_PRICE_ONLY_DELIVERY_PAID_BY_MERCHANT",0,""))))</f>
        <v/>
      </c>
      <c r="AQ713" s="23">
        <f>IF(OR($AP713="",$AO713=""),"",$AP713-$AO713)</f>
        <v/>
      </c>
      <c r="AR713" s="24">
        <f>IF($S713="EXACT_COLLECTION_AMOUNT","BREAKDOWN_REQUIRED",IF($AQ713="","",IF($AQ713&gt;0,"CREDIT_TO_MERCHANT",IF($AQ713&lt;0,"DEDUCT_FROM_MERCHANT","NO_ADJUSTMENT"))))</f>
        <v/>
      </c>
      <c r="AS713" s="23">
        <f>IF(OR($AQ713="",$AR713="BREAKDOWN_REQUIRED"),"",$AQ713)</f>
        <v/>
      </c>
      <c r="AT713" s="23">
        <f>IF(OR($AR713="",$AR713="BREAKDOWN_REQUIRED"),"",SUM($J713,$AQ713,$Y713)-$X713)</f>
        <v/>
      </c>
      <c r="AU713" s="25">
        <f>IF(AND($A713="",$B713="",$F713="",$H713="",$J713="",$K713="",$M713="",$S713=""),"",IF(OR($H713="",$Q713="",$M713="",$S713=""),"ERROR",IF(OR($J713&lt;0,$K713&lt;0,$M713&lt;0,$T713&lt;0,$U713&lt;0,$V713&lt;0,$W713&lt;0,$X713&lt;0,$Y713&lt;0),"ERROR",IF($AE713="","ERROR",IF(AND(OR($S713="ITEM_PRICE_PLUS_DECLARED_DELIVERY",$S713="TOTAL_AMOUNT_INCLUDING_DELIVERY",$S713="ITEM_PRICE_ONLY_DELIVERY_PAID_BY_MERCHANT"),$J713=""),"ERROR",IF(AND(OR($S713="ITEM_PRICE_PLUS_DECLARED_DELIVERY",$S713="DELIVERY_CHARGE_ONLY"),$K713=""),"ERROR",IF(AND(OR($S713="TOTAL_AMOUNT_INCLUDING_DELIVERY",$S713="EXACT_COLLECTION_AMOUNT"),$T713=""),"ERROR",IF(AND($S713="TOTAL_AMOUNT_INCLUDING_DELIVERY",$T713&lt;SUM($J713,$U713)),"ERROR",IF($S713="EXACT_COLLECTION_AMOUNT","REVIEW","OK")))))))))</f>
        <v/>
      </c>
      <c r="AV713" s="25">
        <f>IF($AU713="","",IF($H713="","Township required",IF($Q713="","Customer tier required",IF($M713="","Weight required",IF($S713="","Amount entry type required",IF(OR($J713&lt;0,$K713&lt;0,$M713&lt;0,$T713&lt;0,$U713&lt;0,$V713&lt;0,$W713&lt;0,$X713&lt;0,$Y713&lt;0),"Negative amounts are not allowed",IF($AE713="","Tariff not found for township and tier",IF(AND(OR($S713="ITEM_PRICE_PLUS_DECLARED_DELIVERY",$S713="TOTAL_AMOUNT_INCLUDING_DELIVERY",$S713="ITEM_PRICE_ONLY_DELIVERY_PAID_BY_MERCHANT"),$J713=""),"Item price required for this amount type",IF(AND(OR($S713="ITEM_PRICE_PLUS_DECLARED_DELIVERY",$S713="DELIVERY_CHARGE_ONLY"),$K713=""),"Declared delivery charge required",IF(AND(OR($S713="TOTAL_AMOUNT_INCLUDING_DELIVERY",$S713="EXACT_COLLECTION_AMOUNT"),$T713=""),"Stated total amount required",IF(AND($S713="TOTAL_AMOUNT_INCLUDING_DELIVERY",$T713&lt;SUM($J713,$U713)),"Stated total is below item price plus additional charge",IF($S713="EXACT_COLLECTION_AMOUNT","Authorized amount breakdown required before settlement","Ready for collection and settlement"))))))))))))</f>
        <v/>
      </c>
      <c r="AW713" s="23">
        <f>IF($AU713="","","PARCEL_FINANCIAL_V2")</f>
        <v/>
      </c>
      <c r="AX713" s="17" t="n"/>
    </row>
    <row r="714">
      <c r="A714" s="8" t="n"/>
      <c r="B714" s="8" t="n"/>
      <c r="C714" s="8" t="n"/>
      <c r="D714" s="8" t="n"/>
      <c r="E714" s="9" t="n"/>
      <c r="F714" s="9" t="n"/>
      <c r="G714" s="8" t="n"/>
      <c r="H714" s="9" t="n"/>
      <c r="I714" s="9" t="n"/>
      <c r="J714" s="10" t="n"/>
      <c r="K714" s="10" t="n"/>
      <c r="L714" s="11">
        <f>IF($S714="","",IF($S714="ITEM_PRICE_PLUS_DECLARED_DELIVERY",IF(OR($J714="",$K714=""),"",SUM($J714,$K714,$U714)),IF($S714="TOTAL_AMOUNT_INCLUDING_DELIVERY",IF($T714="","",$T714),IF($S714="DELIVERY_CHARGE_ONLY",IF($K714="","",SUM($K714,$U714)),IF($S714="EXACT_COLLECTION_AMOUNT",IF($T714="","",$T714),IF($S714="ITEM_PRICE_ONLY_DELIVERY_PAID_BY_MERCHANT",IF($J714="","",SUM($J714,$U714)),""))))))</f>
        <v/>
      </c>
      <c r="M714" s="12" t="n"/>
      <c r="N714" s="13" t="n"/>
      <c r="O714" s="13" t="n"/>
      <c r="P714" s="9" t="n"/>
      <c r="Q714" s="14" t="n"/>
      <c r="R714" s="15" t="n"/>
      <c r="S714" s="14" t="n"/>
      <c r="T714" s="16" t="n"/>
      <c r="U714" s="16" t="n"/>
      <c r="V714" s="16" t="n"/>
      <c r="W714" s="16" t="n"/>
      <c r="X714" s="16" t="n"/>
      <c r="Y714" s="16" t="n"/>
      <c r="Z714" s="14" t="n"/>
      <c r="AA714" s="14" t="n"/>
      <c r="AB714" s="14" t="n"/>
      <c r="AC714" s="17">
        <f>IFERROR(VLOOKUP($H714&amp;"|"&amp;$Q714,Tariff_Master!$A$2:$L$169,3,FALSE),"")</f>
        <v/>
      </c>
      <c r="AD714" s="17">
        <f>IFERROR(VLOOKUP($H714&amp;"|"&amp;$Q714,Tariff_Master!$A$2:$L$169,4,FALSE),"")</f>
        <v/>
      </c>
      <c r="AE714" s="18">
        <f>IFERROR(VLOOKUP($H714&amp;"|"&amp;$Q714,Tariff_Master!$A$2:$L$169,6,FALSE),"")</f>
        <v/>
      </c>
      <c r="AF714" s="19">
        <f>IFERROR(VLOOKUP($H714&amp;"|"&amp;$Q714,Tariff_Master!$A$2:$L$169,7,FALSE),"")</f>
        <v/>
      </c>
      <c r="AG714" s="18">
        <f>IFERROR(VLOOKUP($H714&amp;"|"&amp;$Q714,Tariff_Master!$A$2:$L$169,8,FALSE),"")</f>
        <v/>
      </c>
      <c r="AH714" s="20">
        <f>IFERROR(VLOOKUP($H714&amp;"|"&amp;$Q714,Tariff_Master!$A$2:$L$169,9,FALSE),"")</f>
        <v/>
      </c>
      <c r="AI714" s="18">
        <f>IFERROR(VLOOKUP($H714&amp;"|"&amp;$Q714,Tariff_Master!$A$2:$L$169,10,FALSE),"")</f>
        <v/>
      </c>
      <c r="AJ714" s="21">
        <f>IF($M714="","",ROUNDUP(MAX(0,$M714),0))</f>
        <v/>
      </c>
      <c r="AK714" s="21">
        <f>IF(OR($AJ714="",$AF714=""),"",MAX(0,$AJ714-$AF714))</f>
        <v/>
      </c>
      <c r="AL714" s="22">
        <f>IF(OR($AK714="",$AG714=""),"",MAX(0,$AK714*$AG714))</f>
        <v/>
      </c>
      <c r="AM714" s="22">
        <f>IF($AE714="","",MAX(0,SUM($AE714,$AL714,$V714,$W714)))</f>
        <v/>
      </c>
      <c r="AN714" s="22">
        <f>IF($AM714="","",IF(AND($Q714="COMMITMENT",$R714&gt;=$AH714),$AI714,0))</f>
        <v/>
      </c>
      <c r="AO714" s="23">
        <f>IF($AM714="","",MAX(0,$AM714-$AN714))</f>
        <v/>
      </c>
      <c r="AP714" s="22">
        <f>IF($S714="","",IF(OR($S714="ITEM_PRICE_PLUS_DECLARED_DELIVERY",$S714="DELIVERY_CHARGE_ONLY"),$K714,IF($S714="TOTAL_AMOUNT_INCLUDING_DELIVERY",IF(OR($T714="",$J714=""),"",MAX(0,$T714-$J714-$U714)),IF($S714="ITEM_PRICE_ONLY_DELIVERY_PAID_BY_MERCHANT",0,""))))</f>
        <v/>
      </c>
      <c r="AQ714" s="23">
        <f>IF(OR($AP714="",$AO714=""),"",$AP714-$AO714)</f>
        <v/>
      </c>
      <c r="AR714" s="24">
        <f>IF($S714="EXACT_COLLECTION_AMOUNT","BREAKDOWN_REQUIRED",IF($AQ714="","",IF($AQ714&gt;0,"CREDIT_TO_MERCHANT",IF($AQ714&lt;0,"DEDUCT_FROM_MERCHANT","NO_ADJUSTMENT"))))</f>
        <v/>
      </c>
      <c r="AS714" s="23">
        <f>IF(OR($AQ714="",$AR714="BREAKDOWN_REQUIRED"),"",$AQ714)</f>
        <v/>
      </c>
      <c r="AT714" s="23">
        <f>IF(OR($AR714="",$AR714="BREAKDOWN_REQUIRED"),"",SUM($J714,$AQ714,$Y714)-$X714)</f>
        <v/>
      </c>
      <c r="AU714" s="25">
        <f>IF(AND($A714="",$B714="",$F714="",$H714="",$J714="",$K714="",$M714="",$S714=""),"",IF(OR($H714="",$Q714="",$M714="",$S714=""),"ERROR",IF(OR($J714&lt;0,$K714&lt;0,$M714&lt;0,$T714&lt;0,$U714&lt;0,$V714&lt;0,$W714&lt;0,$X714&lt;0,$Y714&lt;0),"ERROR",IF($AE714="","ERROR",IF(AND(OR($S714="ITEM_PRICE_PLUS_DECLARED_DELIVERY",$S714="TOTAL_AMOUNT_INCLUDING_DELIVERY",$S714="ITEM_PRICE_ONLY_DELIVERY_PAID_BY_MERCHANT"),$J714=""),"ERROR",IF(AND(OR($S714="ITEM_PRICE_PLUS_DECLARED_DELIVERY",$S714="DELIVERY_CHARGE_ONLY"),$K714=""),"ERROR",IF(AND(OR($S714="TOTAL_AMOUNT_INCLUDING_DELIVERY",$S714="EXACT_COLLECTION_AMOUNT"),$T714=""),"ERROR",IF(AND($S714="TOTAL_AMOUNT_INCLUDING_DELIVERY",$T714&lt;SUM($J714,$U714)),"ERROR",IF($S714="EXACT_COLLECTION_AMOUNT","REVIEW","OK")))))))))</f>
        <v/>
      </c>
      <c r="AV714" s="25">
        <f>IF($AU714="","",IF($H714="","Township required",IF($Q714="","Customer tier required",IF($M714="","Weight required",IF($S714="","Amount entry type required",IF(OR($J714&lt;0,$K714&lt;0,$M714&lt;0,$T714&lt;0,$U714&lt;0,$V714&lt;0,$W714&lt;0,$X714&lt;0,$Y714&lt;0),"Negative amounts are not allowed",IF($AE714="","Tariff not found for township and tier",IF(AND(OR($S714="ITEM_PRICE_PLUS_DECLARED_DELIVERY",$S714="TOTAL_AMOUNT_INCLUDING_DELIVERY",$S714="ITEM_PRICE_ONLY_DELIVERY_PAID_BY_MERCHANT"),$J714=""),"Item price required for this amount type",IF(AND(OR($S714="ITEM_PRICE_PLUS_DECLARED_DELIVERY",$S714="DELIVERY_CHARGE_ONLY"),$K714=""),"Declared delivery charge required",IF(AND(OR($S714="TOTAL_AMOUNT_INCLUDING_DELIVERY",$S714="EXACT_COLLECTION_AMOUNT"),$T714=""),"Stated total amount required",IF(AND($S714="TOTAL_AMOUNT_INCLUDING_DELIVERY",$T714&lt;SUM($J714,$U714)),"Stated total is below item price plus additional charge",IF($S714="EXACT_COLLECTION_AMOUNT","Authorized amount breakdown required before settlement","Ready for collection and settlement"))))))))))))</f>
        <v/>
      </c>
      <c r="AW714" s="23">
        <f>IF($AU714="","","PARCEL_FINANCIAL_V2")</f>
        <v/>
      </c>
      <c r="AX714" s="17" t="n"/>
    </row>
    <row r="715">
      <c r="A715" s="8" t="n"/>
      <c r="B715" s="8" t="n"/>
      <c r="C715" s="8" t="n"/>
      <c r="D715" s="8" t="n"/>
      <c r="E715" s="9" t="n"/>
      <c r="F715" s="9" t="n"/>
      <c r="G715" s="8" t="n"/>
      <c r="H715" s="9" t="n"/>
      <c r="I715" s="9" t="n"/>
      <c r="J715" s="10" t="n"/>
      <c r="K715" s="10" t="n"/>
      <c r="L715" s="11">
        <f>IF($S715="","",IF($S715="ITEM_PRICE_PLUS_DECLARED_DELIVERY",IF(OR($J715="",$K715=""),"",SUM($J715,$K715,$U715)),IF($S715="TOTAL_AMOUNT_INCLUDING_DELIVERY",IF($T715="","",$T715),IF($S715="DELIVERY_CHARGE_ONLY",IF($K715="","",SUM($K715,$U715)),IF($S715="EXACT_COLLECTION_AMOUNT",IF($T715="","",$T715),IF($S715="ITEM_PRICE_ONLY_DELIVERY_PAID_BY_MERCHANT",IF($J715="","",SUM($J715,$U715)),""))))))</f>
        <v/>
      </c>
      <c r="M715" s="12" t="n"/>
      <c r="N715" s="13" t="n"/>
      <c r="O715" s="13" t="n"/>
      <c r="P715" s="9" t="n"/>
      <c r="Q715" s="14" t="n"/>
      <c r="R715" s="15" t="n"/>
      <c r="S715" s="14" t="n"/>
      <c r="T715" s="16" t="n"/>
      <c r="U715" s="16" t="n"/>
      <c r="V715" s="16" t="n"/>
      <c r="W715" s="16" t="n"/>
      <c r="X715" s="16" t="n"/>
      <c r="Y715" s="16" t="n"/>
      <c r="Z715" s="14" t="n"/>
      <c r="AA715" s="14" t="n"/>
      <c r="AB715" s="14" t="n"/>
      <c r="AC715" s="17">
        <f>IFERROR(VLOOKUP($H715&amp;"|"&amp;$Q715,Tariff_Master!$A$2:$L$169,3,FALSE),"")</f>
        <v/>
      </c>
      <c r="AD715" s="17">
        <f>IFERROR(VLOOKUP($H715&amp;"|"&amp;$Q715,Tariff_Master!$A$2:$L$169,4,FALSE),"")</f>
        <v/>
      </c>
      <c r="AE715" s="18">
        <f>IFERROR(VLOOKUP($H715&amp;"|"&amp;$Q715,Tariff_Master!$A$2:$L$169,6,FALSE),"")</f>
        <v/>
      </c>
      <c r="AF715" s="19">
        <f>IFERROR(VLOOKUP($H715&amp;"|"&amp;$Q715,Tariff_Master!$A$2:$L$169,7,FALSE),"")</f>
        <v/>
      </c>
      <c r="AG715" s="18">
        <f>IFERROR(VLOOKUP($H715&amp;"|"&amp;$Q715,Tariff_Master!$A$2:$L$169,8,FALSE),"")</f>
        <v/>
      </c>
      <c r="AH715" s="20">
        <f>IFERROR(VLOOKUP($H715&amp;"|"&amp;$Q715,Tariff_Master!$A$2:$L$169,9,FALSE),"")</f>
        <v/>
      </c>
      <c r="AI715" s="18">
        <f>IFERROR(VLOOKUP($H715&amp;"|"&amp;$Q715,Tariff_Master!$A$2:$L$169,10,FALSE),"")</f>
        <v/>
      </c>
      <c r="AJ715" s="21">
        <f>IF($M715="","",ROUNDUP(MAX(0,$M715),0))</f>
        <v/>
      </c>
      <c r="AK715" s="21">
        <f>IF(OR($AJ715="",$AF715=""),"",MAX(0,$AJ715-$AF715))</f>
        <v/>
      </c>
      <c r="AL715" s="22">
        <f>IF(OR($AK715="",$AG715=""),"",MAX(0,$AK715*$AG715))</f>
        <v/>
      </c>
      <c r="AM715" s="22">
        <f>IF($AE715="","",MAX(0,SUM($AE715,$AL715,$V715,$W715)))</f>
        <v/>
      </c>
      <c r="AN715" s="22">
        <f>IF($AM715="","",IF(AND($Q715="COMMITMENT",$R715&gt;=$AH715),$AI715,0))</f>
        <v/>
      </c>
      <c r="AO715" s="23">
        <f>IF($AM715="","",MAX(0,$AM715-$AN715))</f>
        <v/>
      </c>
      <c r="AP715" s="22">
        <f>IF($S715="","",IF(OR($S715="ITEM_PRICE_PLUS_DECLARED_DELIVERY",$S715="DELIVERY_CHARGE_ONLY"),$K715,IF($S715="TOTAL_AMOUNT_INCLUDING_DELIVERY",IF(OR($T715="",$J715=""),"",MAX(0,$T715-$J715-$U715)),IF($S715="ITEM_PRICE_ONLY_DELIVERY_PAID_BY_MERCHANT",0,""))))</f>
        <v/>
      </c>
      <c r="AQ715" s="23">
        <f>IF(OR($AP715="",$AO715=""),"",$AP715-$AO715)</f>
        <v/>
      </c>
      <c r="AR715" s="24">
        <f>IF($S715="EXACT_COLLECTION_AMOUNT","BREAKDOWN_REQUIRED",IF($AQ715="","",IF($AQ715&gt;0,"CREDIT_TO_MERCHANT",IF($AQ715&lt;0,"DEDUCT_FROM_MERCHANT","NO_ADJUSTMENT"))))</f>
        <v/>
      </c>
      <c r="AS715" s="23">
        <f>IF(OR($AQ715="",$AR715="BREAKDOWN_REQUIRED"),"",$AQ715)</f>
        <v/>
      </c>
      <c r="AT715" s="23">
        <f>IF(OR($AR715="",$AR715="BREAKDOWN_REQUIRED"),"",SUM($J715,$AQ715,$Y715)-$X715)</f>
        <v/>
      </c>
      <c r="AU715" s="25">
        <f>IF(AND($A715="",$B715="",$F715="",$H715="",$J715="",$K715="",$M715="",$S715=""),"",IF(OR($H715="",$Q715="",$M715="",$S715=""),"ERROR",IF(OR($J715&lt;0,$K715&lt;0,$M715&lt;0,$T715&lt;0,$U715&lt;0,$V715&lt;0,$W715&lt;0,$X715&lt;0,$Y715&lt;0),"ERROR",IF($AE715="","ERROR",IF(AND(OR($S715="ITEM_PRICE_PLUS_DECLARED_DELIVERY",$S715="TOTAL_AMOUNT_INCLUDING_DELIVERY",$S715="ITEM_PRICE_ONLY_DELIVERY_PAID_BY_MERCHANT"),$J715=""),"ERROR",IF(AND(OR($S715="ITEM_PRICE_PLUS_DECLARED_DELIVERY",$S715="DELIVERY_CHARGE_ONLY"),$K715=""),"ERROR",IF(AND(OR($S715="TOTAL_AMOUNT_INCLUDING_DELIVERY",$S715="EXACT_COLLECTION_AMOUNT"),$T715=""),"ERROR",IF(AND($S715="TOTAL_AMOUNT_INCLUDING_DELIVERY",$T715&lt;SUM($J715,$U715)),"ERROR",IF($S715="EXACT_COLLECTION_AMOUNT","REVIEW","OK")))))))))</f>
        <v/>
      </c>
      <c r="AV715" s="25">
        <f>IF($AU715="","",IF($H715="","Township required",IF($Q715="","Customer tier required",IF($M715="","Weight required",IF($S715="","Amount entry type required",IF(OR($J715&lt;0,$K715&lt;0,$M715&lt;0,$T715&lt;0,$U715&lt;0,$V715&lt;0,$W715&lt;0,$X715&lt;0,$Y715&lt;0),"Negative amounts are not allowed",IF($AE715="","Tariff not found for township and tier",IF(AND(OR($S715="ITEM_PRICE_PLUS_DECLARED_DELIVERY",$S715="TOTAL_AMOUNT_INCLUDING_DELIVERY",$S715="ITEM_PRICE_ONLY_DELIVERY_PAID_BY_MERCHANT"),$J715=""),"Item price required for this amount type",IF(AND(OR($S715="ITEM_PRICE_PLUS_DECLARED_DELIVERY",$S715="DELIVERY_CHARGE_ONLY"),$K715=""),"Declared delivery charge required",IF(AND(OR($S715="TOTAL_AMOUNT_INCLUDING_DELIVERY",$S715="EXACT_COLLECTION_AMOUNT"),$T715=""),"Stated total amount required",IF(AND($S715="TOTAL_AMOUNT_INCLUDING_DELIVERY",$T715&lt;SUM($J715,$U715)),"Stated total is below item price plus additional charge",IF($S715="EXACT_COLLECTION_AMOUNT","Authorized amount breakdown required before settlement","Ready for collection and settlement"))))))))))))</f>
        <v/>
      </c>
      <c r="AW715" s="23">
        <f>IF($AU715="","","PARCEL_FINANCIAL_V2")</f>
        <v/>
      </c>
      <c r="AX715" s="17" t="n"/>
    </row>
    <row r="716">
      <c r="A716" s="8" t="n"/>
      <c r="B716" s="8" t="n"/>
      <c r="C716" s="8" t="n"/>
      <c r="D716" s="8" t="n"/>
      <c r="E716" s="9" t="n"/>
      <c r="F716" s="9" t="n"/>
      <c r="G716" s="8" t="n"/>
      <c r="H716" s="9" t="n"/>
      <c r="I716" s="9" t="n"/>
      <c r="J716" s="10" t="n"/>
      <c r="K716" s="10" t="n"/>
      <c r="L716" s="11">
        <f>IF($S716="","",IF($S716="ITEM_PRICE_PLUS_DECLARED_DELIVERY",IF(OR($J716="",$K716=""),"",SUM($J716,$K716,$U716)),IF($S716="TOTAL_AMOUNT_INCLUDING_DELIVERY",IF($T716="","",$T716),IF($S716="DELIVERY_CHARGE_ONLY",IF($K716="","",SUM($K716,$U716)),IF($S716="EXACT_COLLECTION_AMOUNT",IF($T716="","",$T716),IF($S716="ITEM_PRICE_ONLY_DELIVERY_PAID_BY_MERCHANT",IF($J716="","",SUM($J716,$U716)),""))))))</f>
        <v/>
      </c>
      <c r="M716" s="12" t="n"/>
      <c r="N716" s="13" t="n"/>
      <c r="O716" s="13" t="n"/>
      <c r="P716" s="9" t="n"/>
      <c r="Q716" s="14" t="n"/>
      <c r="R716" s="15" t="n"/>
      <c r="S716" s="14" t="n"/>
      <c r="T716" s="16" t="n"/>
      <c r="U716" s="16" t="n"/>
      <c r="V716" s="16" t="n"/>
      <c r="W716" s="16" t="n"/>
      <c r="X716" s="16" t="n"/>
      <c r="Y716" s="16" t="n"/>
      <c r="Z716" s="14" t="n"/>
      <c r="AA716" s="14" t="n"/>
      <c r="AB716" s="14" t="n"/>
      <c r="AC716" s="17">
        <f>IFERROR(VLOOKUP($H716&amp;"|"&amp;$Q716,Tariff_Master!$A$2:$L$169,3,FALSE),"")</f>
        <v/>
      </c>
      <c r="AD716" s="17">
        <f>IFERROR(VLOOKUP($H716&amp;"|"&amp;$Q716,Tariff_Master!$A$2:$L$169,4,FALSE),"")</f>
        <v/>
      </c>
      <c r="AE716" s="18">
        <f>IFERROR(VLOOKUP($H716&amp;"|"&amp;$Q716,Tariff_Master!$A$2:$L$169,6,FALSE),"")</f>
        <v/>
      </c>
      <c r="AF716" s="19">
        <f>IFERROR(VLOOKUP($H716&amp;"|"&amp;$Q716,Tariff_Master!$A$2:$L$169,7,FALSE),"")</f>
        <v/>
      </c>
      <c r="AG716" s="18">
        <f>IFERROR(VLOOKUP($H716&amp;"|"&amp;$Q716,Tariff_Master!$A$2:$L$169,8,FALSE),"")</f>
        <v/>
      </c>
      <c r="AH716" s="20">
        <f>IFERROR(VLOOKUP($H716&amp;"|"&amp;$Q716,Tariff_Master!$A$2:$L$169,9,FALSE),"")</f>
        <v/>
      </c>
      <c r="AI716" s="18">
        <f>IFERROR(VLOOKUP($H716&amp;"|"&amp;$Q716,Tariff_Master!$A$2:$L$169,10,FALSE),"")</f>
        <v/>
      </c>
      <c r="AJ716" s="21">
        <f>IF($M716="","",ROUNDUP(MAX(0,$M716),0))</f>
        <v/>
      </c>
      <c r="AK716" s="21">
        <f>IF(OR($AJ716="",$AF716=""),"",MAX(0,$AJ716-$AF716))</f>
        <v/>
      </c>
      <c r="AL716" s="22">
        <f>IF(OR($AK716="",$AG716=""),"",MAX(0,$AK716*$AG716))</f>
        <v/>
      </c>
      <c r="AM716" s="22">
        <f>IF($AE716="","",MAX(0,SUM($AE716,$AL716,$V716,$W716)))</f>
        <v/>
      </c>
      <c r="AN716" s="22">
        <f>IF($AM716="","",IF(AND($Q716="COMMITMENT",$R716&gt;=$AH716),$AI716,0))</f>
        <v/>
      </c>
      <c r="AO716" s="23">
        <f>IF($AM716="","",MAX(0,$AM716-$AN716))</f>
        <v/>
      </c>
      <c r="AP716" s="22">
        <f>IF($S716="","",IF(OR($S716="ITEM_PRICE_PLUS_DECLARED_DELIVERY",$S716="DELIVERY_CHARGE_ONLY"),$K716,IF($S716="TOTAL_AMOUNT_INCLUDING_DELIVERY",IF(OR($T716="",$J716=""),"",MAX(0,$T716-$J716-$U716)),IF($S716="ITEM_PRICE_ONLY_DELIVERY_PAID_BY_MERCHANT",0,""))))</f>
        <v/>
      </c>
      <c r="AQ716" s="23">
        <f>IF(OR($AP716="",$AO716=""),"",$AP716-$AO716)</f>
        <v/>
      </c>
      <c r="AR716" s="24">
        <f>IF($S716="EXACT_COLLECTION_AMOUNT","BREAKDOWN_REQUIRED",IF($AQ716="","",IF($AQ716&gt;0,"CREDIT_TO_MERCHANT",IF($AQ716&lt;0,"DEDUCT_FROM_MERCHANT","NO_ADJUSTMENT"))))</f>
        <v/>
      </c>
      <c r="AS716" s="23">
        <f>IF(OR($AQ716="",$AR716="BREAKDOWN_REQUIRED"),"",$AQ716)</f>
        <v/>
      </c>
      <c r="AT716" s="23">
        <f>IF(OR($AR716="",$AR716="BREAKDOWN_REQUIRED"),"",SUM($J716,$AQ716,$Y716)-$X716)</f>
        <v/>
      </c>
      <c r="AU716" s="25">
        <f>IF(AND($A716="",$B716="",$F716="",$H716="",$J716="",$K716="",$M716="",$S716=""),"",IF(OR($H716="",$Q716="",$M716="",$S716=""),"ERROR",IF(OR($J716&lt;0,$K716&lt;0,$M716&lt;0,$T716&lt;0,$U716&lt;0,$V716&lt;0,$W716&lt;0,$X716&lt;0,$Y716&lt;0),"ERROR",IF($AE716="","ERROR",IF(AND(OR($S716="ITEM_PRICE_PLUS_DECLARED_DELIVERY",$S716="TOTAL_AMOUNT_INCLUDING_DELIVERY",$S716="ITEM_PRICE_ONLY_DELIVERY_PAID_BY_MERCHANT"),$J716=""),"ERROR",IF(AND(OR($S716="ITEM_PRICE_PLUS_DECLARED_DELIVERY",$S716="DELIVERY_CHARGE_ONLY"),$K716=""),"ERROR",IF(AND(OR($S716="TOTAL_AMOUNT_INCLUDING_DELIVERY",$S716="EXACT_COLLECTION_AMOUNT"),$T716=""),"ERROR",IF(AND($S716="TOTAL_AMOUNT_INCLUDING_DELIVERY",$T716&lt;SUM($J716,$U716)),"ERROR",IF($S716="EXACT_COLLECTION_AMOUNT","REVIEW","OK")))))))))</f>
        <v/>
      </c>
      <c r="AV716" s="25">
        <f>IF($AU716="","",IF($H716="","Township required",IF($Q716="","Customer tier required",IF($M716="","Weight required",IF($S716="","Amount entry type required",IF(OR($J716&lt;0,$K716&lt;0,$M716&lt;0,$T716&lt;0,$U716&lt;0,$V716&lt;0,$W716&lt;0,$X716&lt;0,$Y716&lt;0),"Negative amounts are not allowed",IF($AE716="","Tariff not found for township and tier",IF(AND(OR($S716="ITEM_PRICE_PLUS_DECLARED_DELIVERY",$S716="TOTAL_AMOUNT_INCLUDING_DELIVERY",$S716="ITEM_PRICE_ONLY_DELIVERY_PAID_BY_MERCHANT"),$J716=""),"Item price required for this amount type",IF(AND(OR($S716="ITEM_PRICE_PLUS_DECLARED_DELIVERY",$S716="DELIVERY_CHARGE_ONLY"),$K716=""),"Declared delivery charge required",IF(AND(OR($S716="TOTAL_AMOUNT_INCLUDING_DELIVERY",$S716="EXACT_COLLECTION_AMOUNT"),$T716=""),"Stated total amount required",IF(AND($S716="TOTAL_AMOUNT_INCLUDING_DELIVERY",$T716&lt;SUM($J716,$U716)),"Stated total is below item price plus additional charge",IF($S716="EXACT_COLLECTION_AMOUNT","Authorized amount breakdown required before settlement","Ready for collection and settlement"))))))))))))</f>
        <v/>
      </c>
      <c r="AW716" s="23">
        <f>IF($AU716="","","PARCEL_FINANCIAL_V2")</f>
        <v/>
      </c>
      <c r="AX716" s="17" t="n"/>
    </row>
    <row r="717">
      <c r="A717" s="8" t="n"/>
      <c r="B717" s="8" t="n"/>
      <c r="C717" s="8" t="n"/>
      <c r="D717" s="8" t="n"/>
      <c r="E717" s="9" t="n"/>
      <c r="F717" s="9" t="n"/>
      <c r="G717" s="8" t="n"/>
      <c r="H717" s="9" t="n"/>
      <c r="I717" s="9" t="n"/>
      <c r="J717" s="10" t="n"/>
      <c r="K717" s="10" t="n"/>
      <c r="L717" s="11">
        <f>IF($S717="","",IF($S717="ITEM_PRICE_PLUS_DECLARED_DELIVERY",IF(OR($J717="",$K717=""),"",SUM($J717,$K717,$U717)),IF($S717="TOTAL_AMOUNT_INCLUDING_DELIVERY",IF($T717="","",$T717),IF($S717="DELIVERY_CHARGE_ONLY",IF($K717="","",SUM($K717,$U717)),IF($S717="EXACT_COLLECTION_AMOUNT",IF($T717="","",$T717),IF($S717="ITEM_PRICE_ONLY_DELIVERY_PAID_BY_MERCHANT",IF($J717="","",SUM($J717,$U717)),""))))))</f>
        <v/>
      </c>
      <c r="M717" s="12" t="n"/>
      <c r="N717" s="13" t="n"/>
      <c r="O717" s="13" t="n"/>
      <c r="P717" s="9" t="n"/>
      <c r="Q717" s="14" t="n"/>
      <c r="R717" s="15" t="n"/>
      <c r="S717" s="14" t="n"/>
      <c r="T717" s="16" t="n"/>
      <c r="U717" s="16" t="n"/>
      <c r="V717" s="16" t="n"/>
      <c r="W717" s="16" t="n"/>
      <c r="X717" s="16" t="n"/>
      <c r="Y717" s="16" t="n"/>
      <c r="Z717" s="14" t="n"/>
      <c r="AA717" s="14" t="n"/>
      <c r="AB717" s="14" t="n"/>
      <c r="AC717" s="17">
        <f>IFERROR(VLOOKUP($H717&amp;"|"&amp;$Q717,Tariff_Master!$A$2:$L$169,3,FALSE),"")</f>
        <v/>
      </c>
      <c r="AD717" s="17">
        <f>IFERROR(VLOOKUP($H717&amp;"|"&amp;$Q717,Tariff_Master!$A$2:$L$169,4,FALSE),"")</f>
        <v/>
      </c>
      <c r="AE717" s="18">
        <f>IFERROR(VLOOKUP($H717&amp;"|"&amp;$Q717,Tariff_Master!$A$2:$L$169,6,FALSE),"")</f>
        <v/>
      </c>
      <c r="AF717" s="19">
        <f>IFERROR(VLOOKUP($H717&amp;"|"&amp;$Q717,Tariff_Master!$A$2:$L$169,7,FALSE),"")</f>
        <v/>
      </c>
      <c r="AG717" s="18">
        <f>IFERROR(VLOOKUP($H717&amp;"|"&amp;$Q717,Tariff_Master!$A$2:$L$169,8,FALSE),"")</f>
        <v/>
      </c>
      <c r="AH717" s="20">
        <f>IFERROR(VLOOKUP($H717&amp;"|"&amp;$Q717,Tariff_Master!$A$2:$L$169,9,FALSE),"")</f>
        <v/>
      </c>
      <c r="AI717" s="18">
        <f>IFERROR(VLOOKUP($H717&amp;"|"&amp;$Q717,Tariff_Master!$A$2:$L$169,10,FALSE),"")</f>
        <v/>
      </c>
      <c r="AJ717" s="21">
        <f>IF($M717="","",ROUNDUP(MAX(0,$M717),0))</f>
        <v/>
      </c>
      <c r="AK717" s="21">
        <f>IF(OR($AJ717="",$AF717=""),"",MAX(0,$AJ717-$AF717))</f>
        <v/>
      </c>
      <c r="AL717" s="22">
        <f>IF(OR($AK717="",$AG717=""),"",MAX(0,$AK717*$AG717))</f>
        <v/>
      </c>
      <c r="AM717" s="22">
        <f>IF($AE717="","",MAX(0,SUM($AE717,$AL717,$V717,$W717)))</f>
        <v/>
      </c>
      <c r="AN717" s="22">
        <f>IF($AM717="","",IF(AND($Q717="COMMITMENT",$R717&gt;=$AH717),$AI717,0))</f>
        <v/>
      </c>
      <c r="AO717" s="23">
        <f>IF($AM717="","",MAX(0,$AM717-$AN717))</f>
        <v/>
      </c>
      <c r="AP717" s="22">
        <f>IF($S717="","",IF(OR($S717="ITEM_PRICE_PLUS_DECLARED_DELIVERY",$S717="DELIVERY_CHARGE_ONLY"),$K717,IF($S717="TOTAL_AMOUNT_INCLUDING_DELIVERY",IF(OR($T717="",$J717=""),"",MAX(0,$T717-$J717-$U717)),IF($S717="ITEM_PRICE_ONLY_DELIVERY_PAID_BY_MERCHANT",0,""))))</f>
        <v/>
      </c>
      <c r="AQ717" s="23">
        <f>IF(OR($AP717="",$AO717=""),"",$AP717-$AO717)</f>
        <v/>
      </c>
      <c r="AR717" s="24">
        <f>IF($S717="EXACT_COLLECTION_AMOUNT","BREAKDOWN_REQUIRED",IF($AQ717="","",IF($AQ717&gt;0,"CREDIT_TO_MERCHANT",IF($AQ717&lt;0,"DEDUCT_FROM_MERCHANT","NO_ADJUSTMENT"))))</f>
        <v/>
      </c>
      <c r="AS717" s="23">
        <f>IF(OR($AQ717="",$AR717="BREAKDOWN_REQUIRED"),"",$AQ717)</f>
        <v/>
      </c>
      <c r="AT717" s="23">
        <f>IF(OR($AR717="",$AR717="BREAKDOWN_REQUIRED"),"",SUM($J717,$AQ717,$Y717)-$X717)</f>
        <v/>
      </c>
      <c r="AU717" s="25">
        <f>IF(AND($A717="",$B717="",$F717="",$H717="",$J717="",$K717="",$M717="",$S717=""),"",IF(OR($H717="",$Q717="",$M717="",$S717=""),"ERROR",IF(OR($J717&lt;0,$K717&lt;0,$M717&lt;0,$T717&lt;0,$U717&lt;0,$V717&lt;0,$W717&lt;0,$X717&lt;0,$Y717&lt;0),"ERROR",IF($AE717="","ERROR",IF(AND(OR($S717="ITEM_PRICE_PLUS_DECLARED_DELIVERY",$S717="TOTAL_AMOUNT_INCLUDING_DELIVERY",$S717="ITEM_PRICE_ONLY_DELIVERY_PAID_BY_MERCHANT"),$J717=""),"ERROR",IF(AND(OR($S717="ITEM_PRICE_PLUS_DECLARED_DELIVERY",$S717="DELIVERY_CHARGE_ONLY"),$K717=""),"ERROR",IF(AND(OR($S717="TOTAL_AMOUNT_INCLUDING_DELIVERY",$S717="EXACT_COLLECTION_AMOUNT"),$T717=""),"ERROR",IF(AND($S717="TOTAL_AMOUNT_INCLUDING_DELIVERY",$T717&lt;SUM($J717,$U717)),"ERROR",IF($S717="EXACT_COLLECTION_AMOUNT","REVIEW","OK")))))))))</f>
        <v/>
      </c>
      <c r="AV717" s="25">
        <f>IF($AU717="","",IF($H717="","Township required",IF($Q717="","Customer tier required",IF($M717="","Weight required",IF($S717="","Amount entry type required",IF(OR($J717&lt;0,$K717&lt;0,$M717&lt;0,$T717&lt;0,$U717&lt;0,$V717&lt;0,$W717&lt;0,$X717&lt;0,$Y717&lt;0),"Negative amounts are not allowed",IF($AE717="","Tariff not found for township and tier",IF(AND(OR($S717="ITEM_PRICE_PLUS_DECLARED_DELIVERY",$S717="TOTAL_AMOUNT_INCLUDING_DELIVERY",$S717="ITEM_PRICE_ONLY_DELIVERY_PAID_BY_MERCHANT"),$J717=""),"Item price required for this amount type",IF(AND(OR($S717="ITEM_PRICE_PLUS_DECLARED_DELIVERY",$S717="DELIVERY_CHARGE_ONLY"),$K717=""),"Declared delivery charge required",IF(AND(OR($S717="TOTAL_AMOUNT_INCLUDING_DELIVERY",$S717="EXACT_COLLECTION_AMOUNT"),$T717=""),"Stated total amount required",IF(AND($S717="TOTAL_AMOUNT_INCLUDING_DELIVERY",$T717&lt;SUM($J717,$U717)),"Stated total is below item price plus additional charge",IF($S717="EXACT_COLLECTION_AMOUNT","Authorized amount breakdown required before settlement","Ready for collection and settlement"))))))))))))</f>
        <v/>
      </c>
      <c r="AW717" s="23">
        <f>IF($AU717="","","PARCEL_FINANCIAL_V2")</f>
        <v/>
      </c>
      <c r="AX717" s="17" t="n"/>
    </row>
    <row r="718">
      <c r="A718" s="8" t="n"/>
      <c r="B718" s="8" t="n"/>
      <c r="C718" s="8" t="n"/>
      <c r="D718" s="8" t="n"/>
      <c r="E718" s="9" t="n"/>
      <c r="F718" s="9" t="n"/>
      <c r="G718" s="8" t="n"/>
      <c r="H718" s="9" t="n"/>
      <c r="I718" s="9" t="n"/>
      <c r="J718" s="10" t="n"/>
      <c r="K718" s="10" t="n"/>
      <c r="L718" s="11">
        <f>IF($S718="","",IF($S718="ITEM_PRICE_PLUS_DECLARED_DELIVERY",IF(OR($J718="",$K718=""),"",SUM($J718,$K718,$U718)),IF($S718="TOTAL_AMOUNT_INCLUDING_DELIVERY",IF($T718="","",$T718),IF($S718="DELIVERY_CHARGE_ONLY",IF($K718="","",SUM($K718,$U718)),IF($S718="EXACT_COLLECTION_AMOUNT",IF($T718="","",$T718),IF($S718="ITEM_PRICE_ONLY_DELIVERY_PAID_BY_MERCHANT",IF($J718="","",SUM($J718,$U718)),""))))))</f>
        <v/>
      </c>
      <c r="M718" s="12" t="n"/>
      <c r="N718" s="13" t="n"/>
      <c r="O718" s="13" t="n"/>
      <c r="P718" s="9" t="n"/>
      <c r="Q718" s="14" t="n"/>
      <c r="R718" s="15" t="n"/>
      <c r="S718" s="14" t="n"/>
      <c r="T718" s="16" t="n"/>
      <c r="U718" s="16" t="n"/>
      <c r="V718" s="16" t="n"/>
      <c r="W718" s="16" t="n"/>
      <c r="X718" s="16" t="n"/>
      <c r="Y718" s="16" t="n"/>
      <c r="Z718" s="14" t="n"/>
      <c r="AA718" s="14" t="n"/>
      <c r="AB718" s="14" t="n"/>
      <c r="AC718" s="17">
        <f>IFERROR(VLOOKUP($H718&amp;"|"&amp;$Q718,Tariff_Master!$A$2:$L$169,3,FALSE),"")</f>
        <v/>
      </c>
      <c r="AD718" s="17">
        <f>IFERROR(VLOOKUP($H718&amp;"|"&amp;$Q718,Tariff_Master!$A$2:$L$169,4,FALSE),"")</f>
        <v/>
      </c>
      <c r="AE718" s="18">
        <f>IFERROR(VLOOKUP($H718&amp;"|"&amp;$Q718,Tariff_Master!$A$2:$L$169,6,FALSE),"")</f>
        <v/>
      </c>
      <c r="AF718" s="19">
        <f>IFERROR(VLOOKUP($H718&amp;"|"&amp;$Q718,Tariff_Master!$A$2:$L$169,7,FALSE),"")</f>
        <v/>
      </c>
      <c r="AG718" s="18">
        <f>IFERROR(VLOOKUP($H718&amp;"|"&amp;$Q718,Tariff_Master!$A$2:$L$169,8,FALSE),"")</f>
        <v/>
      </c>
      <c r="AH718" s="20">
        <f>IFERROR(VLOOKUP($H718&amp;"|"&amp;$Q718,Tariff_Master!$A$2:$L$169,9,FALSE),"")</f>
        <v/>
      </c>
      <c r="AI718" s="18">
        <f>IFERROR(VLOOKUP($H718&amp;"|"&amp;$Q718,Tariff_Master!$A$2:$L$169,10,FALSE),"")</f>
        <v/>
      </c>
      <c r="AJ718" s="21">
        <f>IF($M718="","",ROUNDUP(MAX(0,$M718),0))</f>
        <v/>
      </c>
      <c r="AK718" s="21">
        <f>IF(OR($AJ718="",$AF718=""),"",MAX(0,$AJ718-$AF718))</f>
        <v/>
      </c>
      <c r="AL718" s="22">
        <f>IF(OR($AK718="",$AG718=""),"",MAX(0,$AK718*$AG718))</f>
        <v/>
      </c>
      <c r="AM718" s="22">
        <f>IF($AE718="","",MAX(0,SUM($AE718,$AL718,$V718,$W718)))</f>
        <v/>
      </c>
      <c r="AN718" s="22">
        <f>IF($AM718="","",IF(AND($Q718="COMMITMENT",$R718&gt;=$AH718),$AI718,0))</f>
        <v/>
      </c>
      <c r="AO718" s="23">
        <f>IF($AM718="","",MAX(0,$AM718-$AN718))</f>
        <v/>
      </c>
      <c r="AP718" s="22">
        <f>IF($S718="","",IF(OR($S718="ITEM_PRICE_PLUS_DECLARED_DELIVERY",$S718="DELIVERY_CHARGE_ONLY"),$K718,IF($S718="TOTAL_AMOUNT_INCLUDING_DELIVERY",IF(OR($T718="",$J718=""),"",MAX(0,$T718-$J718-$U718)),IF($S718="ITEM_PRICE_ONLY_DELIVERY_PAID_BY_MERCHANT",0,""))))</f>
        <v/>
      </c>
      <c r="AQ718" s="23">
        <f>IF(OR($AP718="",$AO718=""),"",$AP718-$AO718)</f>
        <v/>
      </c>
      <c r="AR718" s="24">
        <f>IF($S718="EXACT_COLLECTION_AMOUNT","BREAKDOWN_REQUIRED",IF($AQ718="","",IF($AQ718&gt;0,"CREDIT_TO_MERCHANT",IF($AQ718&lt;0,"DEDUCT_FROM_MERCHANT","NO_ADJUSTMENT"))))</f>
        <v/>
      </c>
      <c r="AS718" s="23">
        <f>IF(OR($AQ718="",$AR718="BREAKDOWN_REQUIRED"),"",$AQ718)</f>
        <v/>
      </c>
      <c r="AT718" s="23">
        <f>IF(OR($AR718="",$AR718="BREAKDOWN_REQUIRED"),"",SUM($J718,$AQ718,$Y718)-$X718)</f>
        <v/>
      </c>
      <c r="AU718" s="25">
        <f>IF(AND($A718="",$B718="",$F718="",$H718="",$J718="",$K718="",$M718="",$S718=""),"",IF(OR($H718="",$Q718="",$M718="",$S718=""),"ERROR",IF(OR($J718&lt;0,$K718&lt;0,$M718&lt;0,$T718&lt;0,$U718&lt;0,$V718&lt;0,$W718&lt;0,$X718&lt;0,$Y718&lt;0),"ERROR",IF($AE718="","ERROR",IF(AND(OR($S718="ITEM_PRICE_PLUS_DECLARED_DELIVERY",$S718="TOTAL_AMOUNT_INCLUDING_DELIVERY",$S718="ITEM_PRICE_ONLY_DELIVERY_PAID_BY_MERCHANT"),$J718=""),"ERROR",IF(AND(OR($S718="ITEM_PRICE_PLUS_DECLARED_DELIVERY",$S718="DELIVERY_CHARGE_ONLY"),$K718=""),"ERROR",IF(AND(OR($S718="TOTAL_AMOUNT_INCLUDING_DELIVERY",$S718="EXACT_COLLECTION_AMOUNT"),$T718=""),"ERROR",IF(AND($S718="TOTAL_AMOUNT_INCLUDING_DELIVERY",$T718&lt;SUM($J718,$U718)),"ERROR",IF($S718="EXACT_COLLECTION_AMOUNT","REVIEW","OK")))))))))</f>
        <v/>
      </c>
      <c r="AV718" s="25">
        <f>IF($AU718="","",IF($H718="","Township required",IF($Q718="","Customer tier required",IF($M718="","Weight required",IF($S718="","Amount entry type required",IF(OR($J718&lt;0,$K718&lt;0,$M718&lt;0,$T718&lt;0,$U718&lt;0,$V718&lt;0,$W718&lt;0,$X718&lt;0,$Y718&lt;0),"Negative amounts are not allowed",IF($AE718="","Tariff not found for township and tier",IF(AND(OR($S718="ITEM_PRICE_PLUS_DECLARED_DELIVERY",$S718="TOTAL_AMOUNT_INCLUDING_DELIVERY",$S718="ITEM_PRICE_ONLY_DELIVERY_PAID_BY_MERCHANT"),$J718=""),"Item price required for this amount type",IF(AND(OR($S718="ITEM_PRICE_PLUS_DECLARED_DELIVERY",$S718="DELIVERY_CHARGE_ONLY"),$K718=""),"Declared delivery charge required",IF(AND(OR($S718="TOTAL_AMOUNT_INCLUDING_DELIVERY",$S718="EXACT_COLLECTION_AMOUNT"),$T718=""),"Stated total amount required",IF(AND($S718="TOTAL_AMOUNT_INCLUDING_DELIVERY",$T718&lt;SUM($J718,$U718)),"Stated total is below item price plus additional charge",IF($S718="EXACT_COLLECTION_AMOUNT","Authorized amount breakdown required before settlement","Ready for collection and settlement"))))))))))))</f>
        <v/>
      </c>
      <c r="AW718" s="23">
        <f>IF($AU718="","","PARCEL_FINANCIAL_V2")</f>
        <v/>
      </c>
      <c r="AX718" s="17" t="n"/>
    </row>
    <row r="719">
      <c r="A719" s="8" t="n"/>
      <c r="B719" s="8" t="n"/>
      <c r="C719" s="8" t="n"/>
      <c r="D719" s="8" t="n"/>
      <c r="E719" s="9" t="n"/>
      <c r="F719" s="9" t="n"/>
      <c r="G719" s="8" t="n"/>
      <c r="H719" s="9" t="n"/>
      <c r="I719" s="9" t="n"/>
      <c r="J719" s="10" t="n"/>
      <c r="K719" s="10" t="n"/>
      <c r="L719" s="11">
        <f>IF($S719="","",IF($S719="ITEM_PRICE_PLUS_DECLARED_DELIVERY",IF(OR($J719="",$K719=""),"",SUM($J719,$K719,$U719)),IF($S719="TOTAL_AMOUNT_INCLUDING_DELIVERY",IF($T719="","",$T719),IF($S719="DELIVERY_CHARGE_ONLY",IF($K719="","",SUM($K719,$U719)),IF($S719="EXACT_COLLECTION_AMOUNT",IF($T719="","",$T719),IF($S719="ITEM_PRICE_ONLY_DELIVERY_PAID_BY_MERCHANT",IF($J719="","",SUM($J719,$U719)),""))))))</f>
        <v/>
      </c>
      <c r="M719" s="12" t="n"/>
      <c r="N719" s="13" t="n"/>
      <c r="O719" s="13" t="n"/>
      <c r="P719" s="9" t="n"/>
      <c r="Q719" s="14" t="n"/>
      <c r="R719" s="15" t="n"/>
      <c r="S719" s="14" t="n"/>
      <c r="T719" s="16" t="n"/>
      <c r="U719" s="16" t="n"/>
      <c r="V719" s="16" t="n"/>
      <c r="W719" s="16" t="n"/>
      <c r="X719" s="16" t="n"/>
      <c r="Y719" s="16" t="n"/>
      <c r="Z719" s="14" t="n"/>
      <c r="AA719" s="14" t="n"/>
      <c r="AB719" s="14" t="n"/>
      <c r="AC719" s="17">
        <f>IFERROR(VLOOKUP($H719&amp;"|"&amp;$Q719,Tariff_Master!$A$2:$L$169,3,FALSE),"")</f>
        <v/>
      </c>
      <c r="AD719" s="17">
        <f>IFERROR(VLOOKUP($H719&amp;"|"&amp;$Q719,Tariff_Master!$A$2:$L$169,4,FALSE),"")</f>
        <v/>
      </c>
      <c r="AE719" s="18">
        <f>IFERROR(VLOOKUP($H719&amp;"|"&amp;$Q719,Tariff_Master!$A$2:$L$169,6,FALSE),"")</f>
        <v/>
      </c>
      <c r="AF719" s="19">
        <f>IFERROR(VLOOKUP($H719&amp;"|"&amp;$Q719,Tariff_Master!$A$2:$L$169,7,FALSE),"")</f>
        <v/>
      </c>
      <c r="AG719" s="18">
        <f>IFERROR(VLOOKUP($H719&amp;"|"&amp;$Q719,Tariff_Master!$A$2:$L$169,8,FALSE),"")</f>
        <v/>
      </c>
      <c r="AH719" s="20">
        <f>IFERROR(VLOOKUP($H719&amp;"|"&amp;$Q719,Tariff_Master!$A$2:$L$169,9,FALSE),"")</f>
        <v/>
      </c>
      <c r="AI719" s="18">
        <f>IFERROR(VLOOKUP($H719&amp;"|"&amp;$Q719,Tariff_Master!$A$2:$L$169,10,FALSE),"")</f>
        <v/>
      </c>
      <c r="AJ719" s="21">
        <f>IF($M719="","",ROUNDUP(MAX(0,$M719),0))</f>
        <v/>
      </c>
      <c r="AK719" s="21">
        <f>IF(OR($AJ719="",$AF719=""),"",MAX(0,$AJ719-$AF719))</f>
        <v/>
      </c>
      <c r="AL719" s="22">
        <f>IF(OR($AK719="",$AG719=""),"",MAX(0,$AK719*$AG719))</f>
        <v/>
      </c>
      <c r="AM719" s="22">
        <f>IF($AE719="","",MAX(0,SUM($AE719,$AL719,$V719,$W719)))</f>
        <v/>
      </c>
      <c r="AN719" s="22">
        <f>IF($AM719="","",IF(AND($Q719="COMMITMENT",$R719&gt;=$AH719),$AI719,0))</f>
        <v/>
      </c>
      <c r="AO719" s="23">
        <f>IF($AM719="","",MAX(0,$AM719-$AN719))</f>
        <v/>
      </c>
      <c r="AP719" s="22">
        <f>IF($S719="","",IF(OR($S719="ITEM_PRICE_PLUS_DECLARED_DELIVERY",$S719="DELIVERY_CHARGE_ONLY"),$K719,IF($S719="TOTAL_AMOUNT_INCLUDING_DELIVERY",IF(OR($T719="",$J719=""),"",MAX(0,$T719-$J719-$U719)),IF($S719="ITEM_PRICE_ONLY_DELIVERY_PAID_BY_MERCHANT",0,""))))</f>
        <v/>
      </c>
      <c r="AQ719" s="23">
        <f>IF(OR($AP719="",$AO719=""),"",$AP719-$AO719)</f>
        <v/>
      </c>
      <c r="AR719" s="24">
        <f>IF($S719="EXACT_COLLECTION_AMOUNT","BREAKDOWN_REQUIRED",IF($AQ719="","",IF($AQ719&gt;0,"CREDIT_TO_MERCHANT",IF($AQ719&lt;0,"DEDUCT_FROM_MERCHANT","NO_ADJUSTMENT"))))</f>
        <v/>
      </c>
      <c r="AS719" s="23">
        <f>IF(OR($AQ719="",$AR719="BREAKDOWN_REQUIRED"),"",$AQ719)</f>
        <v/>
      </c>
      <c r="AT719" s="23">
        <f>IF(OR($AR719="",$AR719="BREAKDOWN_REQUIRED"),"",SUM($J719,$AQ719,$Y719)-$X719)</f>
        <v/>
      </c>
      <c r="AU719" s="25">
        <f>IF(AND($A719="",$B719="",$F719="",$H719="",$J719="",$K719="",$M719="",$S719=""),"",IF(OR($H719="",$Q719="",$M719="",$S719=""),"ERROR",IF(OR($J719&lt;0,$K719&lt;0,$M719&lt;0,$T719&lt;0,$U719&lt;0,$V719&lt;0,$W719&lt;0,$X719&lt;0,$Y719&lt;0),"ERROR",IF($AE719="","ERROR",IF(AND(OR($S719="ITEM_PRICE_PLUS_DECLARED_DELIVERY",$S719="TOTAL_AMOUNT_INCLUDING_DELIVERY",$S719="ITEM_PRICE_ONLY_DELIVERY_PAID_BY_MERCHANT"),$J719=""),"ERROR",IF(AND(OR($S719="ITEM_PRICE_PLUS_DECLARED_DELIVERY",$S719="DELIVERY_CHARGE_ONLY"),$K719=""),"ERROR",IF(AND(OR($S719="TOTAL_AMOUNT_INCLUDING_DELIVERY",$S719="EXACT_COLLECTION_AMOUNT"),$T719=""),"ERROR",IF(AND($S719="TOTAL_AMOUNT_INCLUDING_DELIVERY",$T719&lt;SUM($J719,$U719)),"ERROR",IF($S719="EXACT_COLLECTION_AMOUNT","REVIEW","OK")))))))))</f>
        <v/>
      </c>
      <c r="AV719" s="25">
        <f>IF($AU719="","",IF($H719="","Township required",IF($Q719="","Customer tier required",IF($M719="","Weight required",IF($S719="","Amount entry type required",IF(OR($J719&lt;0,$K719&lt;0,$M719&lt;0,$T719&lt;0,$U719&lt;0,$V719&lt;0,$W719&lt;0,$X719&lt;0,$Y719&lt;0),"Negative amounts are not allowed",IF($AE719="","Tariff not found for township and tier",IF(AND(OR($S719="ITEM_PRICE_PLUS_DECLARED_DELIVERY",$S719="TOTAL_AMOUNT_INCLUDING_DELIVERY",$S719="ITEM_PRICE_ONLY_DELIVERY_PAID_BY_MERCHANT"),$J719=""),"Item price required for this amount type",IF(AND(OR($S719="ITEM_PRICE_PLUS_DECLARED_DELIVERY",$S719="DELIVERY_CHARGE_ONLY"),$K719=""),"Declared delivery charge required",IF(AND(OR($S719="TOTAL_AMOUNT_INCLUDING_DELIVERY",$S719="EXACT_COLLECTION_AMOUNT"),$T719=""),"Stated total amount required",IF(AND($S719="TOTAL_AMOUNT_INCLUDING_DELIVERY",$T719&lt;SUM($J719,$U719)),"Stated total is below item price plus additional charge",IF($S719="EXACT_COLLECTION_AMOUNT","Authorized amount breakdown required before settlement","Ready for collection and settlement"))))))))))))</f>
        <v/>
      </c>
      <c r="AW719" s="23">
        <f>IF($AU719="","","PARCEL_FINANCIAL_V2")</f>
        <v/>
      </c>
      <c r="AX719" s="17" t="n"/>
    </row>
    <row r="720">
      <c r="A720" s="8" t="n"/>
      <c r="B720" s="8" t="n"/>
      <c r="C720" s="8" t="n"/>
      <c r="D720" s="8" t="n"/>
      <c r="E720" s="9" t="n"/>
      <c r="F720" s="9" t="n"/>
      <c r="G720" s="8" t="n"/>
      <c r="H720" s="9" t="n"/>
      <c r="I720" s="9" t="n"/>
      <c r="J720" s="10" t="n"/>
      <c r="K720" s="10" t="n"/>
      <c r="L720" s="11">
        <f>IF($S720="","",IF($S720="ITEM_PRICE_PLUS_DECLARED_DELIVERY",IF(OR($J720="",$K720=""),"",SUM($J720,$K720,$U720)),IF($S720="TOTAL_AMOUNT_INCLUDING_DELIVERY",IF($T720="","",$T720),IF($S720="DELIVERY_CHARGE_ONLY",IF($K720="","",SUM($K720,$U720)),IF($S720="EXACT_COLLECTION_AMOUNT",IF($T720="","",$T720),IF($S720="ITEM_PRICE_ONLY_DELIVERY_PAID_BY_MERCHANT",IF($J720="","",SUM($J720,$U720)),""))))))</f>
        <v/>
      </c>
      <c r="M720" s="12" t="n"/>
      <c r="N720" s="13" t="n"/>
      <c r="O720" s="13" t="n"/>
      <c r="P720" s="9" t="n"/>
      <c r="Q720" s="14" t="n"/>
      <c r="R720" s="15" t="n"/>
      <c r="S720" s="14" t="n"/>
      <c r="T720" s="16" t="n"/>
      <c r="U720" s="16" t="n"/>
      <c r="V720" s="16" t="n"/>
      <c r="W720" s="16" t="n"/>
      <c r="X720" s="16" t="n"/>
      <c r="Y720" s="16" t="n"/>
      <c r="Z720" s="14" t="n"/>
      <c r="AA720" s="14" t="n"/>
      <c r="AB720" s="14" t="n"/>
      <c r="AC720" s="17">
        <f>IFERROR(VLOOKUP($H720&amp;"|"&amp;$Q720,Tariff_Master!$A$2:$L$169,3,FALSE),"")</f>
        <v/>
      </c>
      <c r="AD720" s="17">
        <f>IFERROR(VLOOKUP($H720&amp;"|"&amp;$Q720,Tariff_Master!$A$2:$L$169,4,FALSE),"")</f>
        <v/>
      </c>
      <c r="AE720" s="18">
        <f>IFERROR(VLOOKUP($H720&amp;"|"&amp;$Q720,Tariff_Master!$A$2:$L$169,6,FALSE),"")</f>
        <v/>
      </c>
      <c r="AF720" s="19">
        <f>IFERROR(VLOOKUP($H720&amp;"|"&amp;$Q720,Tariff_Master!$A$2:$L$169,7,FALSE),"")</f>
        <v/>
      </c>
      <c r="AG720" s="18">
        <f>IFERROR(VLOOKUP($H720&amp;"|"&amp;$Q720,Tariff_Master!$A$2:$L$169,8,FALSE),"")</f>
        <v/>
      </c>
      <c r="AH720" s="20">
        <f>IFERROR(VLOOKUP($H720&amp;"|"&amp;$Q720,Tariff_Master!$A$2:$L$169,9,FALSE),"")</f>
        <v/>
      </c>
      <c r="AI720" s="18">
        <f>IFERROR(VLOOKUP($H720&amp;"|"&amp;$Q720,Tariff_Master!$A$2:$L$169,10,FALSE),"")</f>
        <v/>
      </c>
      <c r="AJ720" s="21">
        <f>IF($M720="","",ROUNDUP(MAX(0,$M720),0))</f>
        <v/>
      </c>
      <c r="AK720" s="21">
        <f>IF(OR($AJ720="",$AF720=""),"",MAX(0,$AJ720-$AF720))</f>
        <v/>
      </c>
      <c r="AL720" s="22">
        <f>IF(OR($AK720="",$AG720=""),"",MAX(0,$AK720*$AG720))</f>
        <v/>
      </c>
      <c r="AM720" s="22">
        <f>IF($AE720="","",MAX(0,SUM($AE720,$AL720,$V720,$W720)))</f>
        <v/>
      </c>
      <c r="AN720" s="22">
        <f>IF($AM720="","",IF(AND($Q720="COMMITMENT",$R720&gt;=$AH720),$AI720,0))</f>
        <v/>
      </c>
      <c r="AO720" s="23">
        <f>IF($AM720="","",MAX(0,$AM720-$AN720))</f>
        <v/>
      </c>
      <c r="AP720" s="22">
        <f>IF($S720="","",IF(OR($S720="ITEM_PRICE_PLUS_DECLARED_DELIVERY",$S720="DELIVERY_CHARGE_ONLY"),$K720,IF($S720="TOTAL_AMOUNT_INCLUDING_DELIVERY",IF(OR($T720="",$J720=""),"",MAX(0,$T720-$J720-$U720)),IF($S720="ITEM_PRICE_ONLY_DELIVERY_PAID_BY_MERCHANT",0,""))))</f>
        <v/>
      </c>
      <c r="AQ720" s="23">
        <f>IF(OR($AP720="",$AO720=""),"",$AP720-$AO720)</f>
        <v/>
      </c>
      <c r="AR720" s="24">
        <f>IF($S720="EXACT_COLLECTION_AMOUNT","BREAKDOWN_REQUIRED",IF($AQ720="","",IF($AQ720&gt;0,"CREDIT_TO_MERCHANT",IF($AQ720&lt;0,"DEDUCT_FROM_MERCHANT","NO_ADJUSTMENT"))))</f>
        <v/>
      </c>
      <c r="AS720" s="23">
        <f>IF(OR($AQ720="",$AR720="BREAKDOWN_REQUIRED"),"",$AQ720)</f>
        <v/>
      </c>
      <c r="AT720" s="23">
        <f>IF(OR($AR720="",$AR720="BREAKDOWN_REQUIRED"),"",SUM($J720,$AQ720,$Y720)-$X720)</f>
        <v/>
      </c>
      <c r="AU720" s="25">
        <f>IF(AND($A720="",$B720="",$F720="",$H720="",$J720="",$K720="",$M720="",$S720=""),"",IF(OR($H720="",$Q720="",$M720="",$S720=""),"ERROR",IF(OR($J720&lt;0,$K720&lt;0,$M720&lt;0,$T720&lt;0,$U720&lt;0,$V720&lt;0,$W720&lt;0,$X720&lt;0,$Y720&lt;0),"ERROR",IF($AE720="","ERROR",IF(AND(OR($S720="ITEM_PRICE_PLUS_DECLARED_DELIVERY",$S720="TOTAL_AMOUNT_INCLUDING_DELIVERY",$S720="ITEM_PRICE_ONLY_DELIVERY_PAID_BY_MERCHANT"),$J720=""),"ERROR",IF(AND(OR($S720="ITEM_PRICE_PLUS_DECLARED_DELIVERY",$S720="DELIVERY_CHARGE_ONLY"),$K720=""),"ERROR",IF(AND(OR($S720="TOTAL_AMOUNT_INCLUDING_DELIVERY",$S720="EXACT_COLLECTION_AMOUNT"),$T720=""),"ERROR",IF(AND($S720="TOTAL_AMOUNT_INCLUDING_DELIVERY",$T720&lt;SUM($J720,$U720)),"ERROR",IF($S720="EXACT_COLLECTION_AMOUNT","REVIEW","OK")))))))))</f>
        <v/>
      </c>
      <c r="AV720" s="25">
        <f>IF($AU720="","",IF($H720="","Township required",IF($Q720="","Customer tier required",IF($M720="","Weight required",IF($S720="","Amount entry type required",IF(OR($J720&lt;0,$K720&lt;0,$M720&lt;0,$T720&lt;0,$U720&lt;0,$V720&lt;0,$W720&lt;0,$X720&lt;0,$Y720&lt;0),"Negative amounts are not allowed",IF($AE720="","Tariff not found for township and tier",IF(AND(OR($S720="ITEM_PRICE_PLUS_DECLARED_DELIVERY",$S720="TOTAL_AMOUNT_INCLUDING_DELIVERY",$S720="ITEM_PRICE_ONLY_DELIVERY_PAID_BY_MERCHANT"),$J720=""),"Item price required for this amount type",IF(AND(OR($S720="ITEM_PRICE_PLUS_DECLARED_DELIVERY",$S720="DELIVERY_CHARGE_ONLY"),$K720=""),"Declared delivery charge required",IF(AND(OR($S720="TOTAL_AMOUNT_INCLUDING_DELIVERY",$S720="EXACT_COLLECTION_AMOUNT"),$T720=""),"Stated total amount required",IF(AND($S720="TOTAL_AMOUNT_INCLUDING_DELIVERY",$T720&lt;SUM($J720,$U720)),"Stated total is below item price plus additional charge",IF($S720="EXACT_COLLECTION_AMOUNT","Authorized amount breakdown required before settlement","Ready for collection and settlement"))))))))))))</f>
        <v/>
      </c>
      <c r="AW720" s="23">
        <f>IF($AU720="","","PARCEL_FINANCIAL_V2")</f>
        <v/>
      </c>
      <c r="AX720" s="17" t="n"/>
    </row>
    <row r="721">
      <c r="A721" s="8" t="n"/>
      <c r="B721" s="8" t="n"/>
      <c r="C721" s="8" t="n"/>
      <c r="D721" s="8" t="n"/>
      <c r="E721" s="9" t="n"/>
      <c r="F721" s="9" t="n"/>
      <c r="G721" s="8" t="n"/>
      <c r="H721" s="9" t="n"/>
      <c r="I721" s="9" t="n"/>
      <c r="J721" s="10" t="n"/>
      <c r="K721" s="10" t="n"/>
      <c r="L721" s="11">
        <f>IF($S721="","",IF($S721="ITEM_PRICE_PLUS_DECLARED_DELIVERY",IF(OR($J721="",$K721=""),"",SUM($J721,$K721,$U721)),IF($S721="TOTAL_AMOUNT_INCLUDING_DELIVERY",IF($T721="","",$T721),IF($S721="DELIVERY_CHARGE_ONLY",IF($K721="","",SUM($K721,$U721)),IF($S721="EXACT_COLLECTION_AMOUNT",IF($T721="","",$T721),IF($S721="ITEM_PRICE_ONLY_DELIVERY_PAID_BY_MERCHANT",IF($J721="","",SUM($J721,$U721)),""))))))</f>
        <v/>
      </c>
      <c r="M721" s="12" t="n"/>
      <c r="N721" s="13" t="n"/>
      <c r="O721" s="13" t="n"/>
      <c r="P721" s="9" t="n"/>
      <c r="Q721" s="14" t="n"/>
      <c r="R721" s="15" t="n"/>
      <c r="S721" s="14" t="n"/>
      <c r="T721" s="16" t="n"/>
      <c r="U721" s="16" t="n"/>
      <c r="V721" s="16" t="n"/>
      <c r="W721" s="16" t="n"/>
      <c r="X721" s="16" t="n"/>
      <c r="Y721" s="16" t="n"/>
      <c r="Z721" s="14" t="n"/>
      <c r="AA721" s="14" t="n"/>
      <c r="AB721" s="14" t="n"/>
      <c r="AC721" s="17">
        <f>IFERROR(VLOOKUP($H721&amp;"|"&amp;$Q721,Tariff_Master!$A$2:$L$169,3,FALSE),"")</f>
        <v/>
      </c>
      <c r="AD721" s="17">
        <f>IFERROR(VLOOKUP($H721&amp;"|"&amp;$Q721,Tariff_Master!$A$2:$L$169,4,FALSE),"")</f>
        <v/>
      </c>
      <c r="AE721" s="18">
        <f>IFERROR(VLOOKUP($H721&amp;"|"&amp;$Q721,Tariff_Master!$A$2:$L$169,6,FALSE),"")</f>
        <v/>
      </c>
      <c r="AF721" s="19">
        <f>IFERROR(VLOOKUP($H721&amp;"|"&amp;$Q721,Tariff_Master!$A$2:$L$169,7,FALSE),"")</f>
        <v/>
      </c>
      <c r="AG721" s="18">
        <f>IFERROR(VLOOKUP($H721&amp;"|"&amp;$Q721,Tariff_Master!$A$2:$L$169,8,FALSE),"")</f>
        <v/>
      </c>
      <c r="AH721" s="20">
        <f>IFERROR(VLOOKUP($H721&amp;"|"&amp;$Q721,Tariff_Master!$A$2:$L$169,9,FALSE),"")</f>
        <v/>
      </c>
      <c r="AI721" s="18">
        <f>IFERROR(VLOOKUP($H721&amp;"|"&amp;$Q721,Tariff_Master!$A$2:$L$169,10,FALSE),"")</f>
        <v/>
      </c>
      <c r="AJ721" s="21">
        <f>IF($M721="","",ROUNDUP(MAX(0,$M721),0))</f>
        <v/>
      </c>
      <c r="AK721" s="21">
        <f>IF(OR($AJ721="",$AF721=""),"",MAX(0,$AJ721-$AF721))</f>
        <v/>
      </c>
      <c r="AL721" s="22">
        <f>IF(OR($AK721="",$AG721=""),"",MAX(0,$AK721*$AG721))</f>
        <v/>
      </c>
      <c r="AM721" s="22">
        <f>IF($AE721="","",MAX(0,SUM($AE721,$AL721,$V721,$W721)))</f>
        <v/>
      </c>
      <c r="AN721" s="22">
        <f>IF($AM721="","",IF(AND($Q721="COMMITMENT",$R721&gt;=$AH721),$AI721,0))</f>
        <v/>
      </c>
      <c r="AO721" s="23">
        <f>IF($AM721="","",MAX(0,$AM721-$AN721))</f>
        <v/>
      </c>
      <c r="AP721" s="22">
        <f>IF($S721="","",IF(OR($S721="ITEM_PRICE_PLUS_DECLARED_DELIVERY",$S721="DELIVERY_CHARGE_ONLY"),$K721,IF($S721="TOTAL_AMOUNT_INCLUDING_DELIVERY",IF(OR($T721="",$J721=""),"",MAX(0,$T721-$J721-$U721)),IF($S721="ITEM_PRICE_ONLY_DELIVERY_PAID_BY_MERCHANT",0,""))))</f>
        <v/>
      </c>
      <c r="AQ721" s="23">
        <f>IF(OR($AP721="",$AO721=""),"",$AP721-$AO721)</f>
        <v/>
      </c>
      <c r="AR721" s="24">
        <f>IF($S721="EXACT_COLLECTION_AMOUNT","BREAKDOWN_REQUIRED",IF($AQ721="","",IF($AQ721&gt;0,"CREDIT_TO_MERCHANT",IF($AQ721&lt;0,"DEDUCT_FROM_MERCHANT","NO_ADJUSTMENT"))))</f>
        <v/>
      </c>
      <c r="AS721" s="23">
        <f>IF(OR($AQ721="",$AR721="BREAKDOWN_REQUIRED"),"",$AQ721)</f>
        <v/>
      </c>
      <c r="AT721" s="23">
        <f>IF(OR($AR721="",$AR721="BREAKDOWN_REQUIRED"),"",SUM($J721,$AQ721,$Y721)-$X721)</f>
        <v/>
      </c>
      <c r="AU721" s="25">
        <f>IF(AND($A721="",$B721="",$F721="",$H721="",$J721="",$K721="",$M721="",$S721=""),"",IF(OR($H721="",$Q721="",$M721="",$S721=""),"ERROR",IF(OR($J721&lt;0,$K721&lt;0,$M721&lt;0,$T721&lt;0,$U721&lt;0,$V721&lt;0,$W721&lt;0,$X721&lt;0,$Y721&lt;0),"ERROR",IF($AE721="","ERROR",IF(AND(OR($S721="ITEM_PRICE_PLUS_DECLARED_DELIVERY",$S721="TOTAL_AMOUNT_INCLUDING_DELIVERY",$S721="ITEM_PRICE_ONLY_DELIVERY_PAID_BY_MERCHANT"),$J721=""),"ERROR",IF(AND(OR($S721="ITEM_PRICE_PLUS_DECLARED_DELIVERY",$S721="DELIVERY_CHARGE_ONLY"),$K721=""),"ERROR",IF(AND(OR($S721="TOTAL_AMOUNT_INCLUDING_DELIVERY",$S721="EXACT_COLLECTION_AMOUNT"),$T721=""),"ERROR",IF(AND($S721="TOTAL_AMOUNT_INCLUDING_DELIVERY",$T721&lt;SUM($J721,$U721)),"ERROR",IF($S721="EXACT_COLLECTION_AMOUNT","REVIEW","OK")))))))))</f>
        <v/>
      </c>
      <c r="AV721" s="25">
        <f>IF($AU721="","",IF($H721="","Township required",IF($Q721="","Customer tier required",IF($M721="","Weight required",IF($S721="","Amount entry type required",IF(OR($J721&lt;0,$K721&lt;0,$M721&lt;0,$T721&lt;0,$U721&lt;0,$V721&lt;0,$W721&lt;0,$X721&lt;0,$Y721&lt;0),"Negative amounts are not allowed",IF($AE721="","Tariff not found for township and tier",IF(AND(OR($S721="ITEM_PRICE_PLUS_DECLARED_DELIVERY",$S721="TOTAL_AMOUNT_INCLUDING_DELIVERY",$S721="ITEM_PRICE_ONLY_DELIVERY_PAID_BY_MERCHANT"),$J721=""),"Item price required for this amount type",IF(AND(OR($S721="ITEM_PRICE_PLUS_DECLARED_DELIVERY",$S721="DELIVERY_CHARGE_ONLY"),$K721=""),"Declared delivery charge required",IF(AND(OR($S721="TOTAL_AMOUNT_INCLUDING_DELIVERY",$S721="EXACT_COLLECTION_AMOUNT"),$T721=""),"Stated total amount required",IF(AND($S721="TOTAL_AMOUNT_INCLUDING_DELIVERY",$T721&lt;SUM($J721,$U721)),"Stated total is below item price plus additional charge",IF($S721="EXACT_COLLECTION_AMOUNT","Authorized amount breakdown required before settlement","Ready for collection and settlement"))))))))))))</f>
        <v/>
      </c>
      <c r="AW721" s="23">
        <f>IF($AU721="","","PARCEL_FINANCIAL_V2")</f>
        <v/>
      </c>
      <c r="AX721" s="17" t="n"/>
    </row>
    <row r="722">
      <c r="A722" s="8" t="n"/>
      <c r="B722" s="8" t="n"/>
      <c r="C722" s="8" t="n"/>
      <c r="D722" s="8" t="n"/>
      <c r="E722" s="9" t="n"/>
      <c r="F722" s="9" t="n"/>
      <c r="G722" s="8" t="n"/>
      <c r="H722" s="9" t="n"/>
      <c r="I722" s="9" t="n"/>
      <c r="J722" s="10" t="n"/>
      <c r="K722" s="10" t="n"/>
      <c r="L722" s="11">
        <f>IF($S722="","",IF($S722="ITEM_PRICE_PLUS_DECLARED_DELIVERY",IF(OR($J722="",$K722=""),"",SUM($J722,$K722,$U722)),IF($S722="TOTAL_AMOUNT_INCLUDING_DELIVERY",IF($T722="","",$T722),IF($S722="DELIVERY_CHARGE_ONLY",IF($K722="","",SUM($K722,$U722)),IF($S722="EXACT_COLLECTION_AMOUNT",IF($T722="","",$T722),IF($S722="ITEM_PRICE_ONLY_DELIVERY_PAID_BY_MERCHANT",IF($J722="","",SUM($J722,$U722)),""))))))</f>
        <v/>
      </c>
      <c r="M722" s="12" t="n"/>
      <c r="N722" s="13" t="n"/>
      <c r="O722" s="13" t="n"/>
      <c r="P722" s="9" t="n"/>
      <c r="Q722" s="14" t="n"/>
      <c r="R722" s="15" t="n"/>
      <c r="S722" s="14" t="n"/>
      <c r="T722" s="16" t="n"/>
      <c r="U722" s="16" t="n"/>
      <c r="V722" s="16" t="n"/>
      <c r="W722" s="16" t="n"/>
      <c r="X722" s="16" t="n"/>
      <c r="Y722" s="16" t="n"/>
      <c r="Z722" s="14" t="n"/>
      <c r="AA722" s="14" t="n"/>
      <c r="AB722" s="14" t="n"/>
      <c r="AC722" s="17">
        <f>IFERROR(VLOOKUP($H722&amp;"|"&amp;$Q722,Tariff_Master!$A$2:$L$169,3,FALSE),"")</f>
        <v/>
      </c>
      <c r="AD722" s="17">
        <f>IFERROR(VLOOKUP($H722&amp;"|"&amp;$Q722,Tariff_Master!$A$2:$L$169,4,FALSE),"")</f>
        <v/>
      </c>
      <c r="AE722" s="18">
        <f>IFERROR(VLOOKUP($H722&amp;"|"&amp;$Q722,Tariff_Master!$A$2:$L$169,6,FALSE),"")</f>
        <v/>
      </c>
      <c r="AF722" s="19">
        <f>IFERROR(VLOOKUP($H722&amp;"|"&amp;$Q722,Tariff_Master!$A$2:$L$169,7,FALSE),"")</f>
        <v/>
      </c>
      <c r="AG722" s="18">
        <f>IFERROR(VLOOKUP($H722&amp;"|"&amp;$Q722,Tariff_Master!$A$2:$L$169,8,FALSE),"")</f>
        <v/>
      </c>
      <c r="AH722" s="20">
        <f>IFERROR(VLOOKUP($H722&amp;"|"&amp;$Q722,Tariff_Master!$A$2:$L$169,9,FALSE),"")</f>
        <v/>
      </c>
      <c r="AI722" s="18">
        <f>IFERROR(VLOOKUP($H722&amp;"|"&amp;$Q722,Tariff_Master!$A$2:$L$169,10,FALSE),"")</f>
        <v/>
      </c>
      <c r="AJ722" s="21">
        <f>IF($M722="","",ROUNDUP(MAX(0,$M722),0))</f>
        <v/>
      </c>
      <c r="AK722" s="21">
        <f>IF(OR($AJ722="",$AF722=""),"",MAX(0,$AJ722-$AF722))</f>
        <v/>
      </c>
      <c r="AL722" s="22">
        <f>IF(OR($AK722="",$AG722=""),"",MAX(0,$AK722*$AG722))</f>
        <v/>
      </c>
      <c r="AM722" s="22">
        <f>IF($AE722="","",MAX(0,SUM($AE722,$AL722,$V722,$W722)))</f>
        <v/>
      </c>
      <c r="AN722" s="22">
        <f>IF($AM722="","",IF(AND($Q722="COMMITMENT",$R722&gt;=$AH722),$AI722,0))</f>
        <v/>
      </c>
      <c r="AO722" s="23">
        <f>IF($AM722="","",MAX(0,$AM722-$AN722))</f>
        <v/>
      </c>
      <c r="AP722" s="22">
        <f>IF($S722="","",IF(OR($S722="ITEM_PRICE_PLUS_DECLARED_DELIVERY",$S722="DELIVERY_CHARGE_ONLY"),$K722,IF($S722="TOTAL_AMOUNT_INCLUDING_DELIVERY",IF(OR($T722="",$J722=""),"",MAX(0,$T722-$J722-$U722)),IF($S722="ITEM_PRICE_ONLY_DELIVERY_PAID_BY_MERCHANT",0,""))))</f>
        <v/>
      </c>
      <c r="AQ722" s="23">
        <f>IF(OR($AP722="",$AO722=""),"",$AP722-$AO722)</f>
        <v/>
      </c>
      <c r="AR722" s="24">
        <f>IF($S722="EXACT_COLLECTION_AMOUNT","BREAKDOWN_REQUIRED",IF($AQ722="","",IF($AQ722&gt;0,"CREDIT_TO_MERCHANT",IF($AQ722&lt;0,"DEDUCT_FROM_MERCHANT","NO_ADJUSTMENT"))))</f>
        <v/>
      </c>
      <c r="AS722" s="23">
        <f>IF(OR($AQ722="",$AR722="BREAKDOWN_REQUIRED"),"",$AQ722)</f>
        <v/>
      </c>
      <c r="AT722" s="23">
        <f>IF(OR($AR722="",$AR722="BREAKDOWN_REQUIRED"),"",SUM($J722,$AQ722,$Y722)-$X722)</f>
        <v/>
      </c>
      <c r="AU722" s="25">
        <f>IF(AND($A722="",$B722="",$F722="",$H722="",$J722="",$K722="",$M722="",$S722=""),"",IF(OR($H722="",$Q722="",$M722="",$S722=""),"ERROR",IF(OR($J722&lt;0,$K722&lt;0,$M722&lt;0,$T722&lt;0,$U722&lt;0,$V722&lt;0,$W722&lt;0,$X722&lt;0,$Y722&lt;0),"ERROR",IF($AE722="","ERROR",IF(AND(OR($S722="ITEM_PRICE_PLUS_DECLARED_DELIVERY",$S722="TOTAL_AMOUNT_INCLUDING_DELIVERY",$S722="ITEM_PRICE_ONLY_DELIVERY_PAID_BY_MERCHANT"),$J722=""),"ERROR",IF(AND(OR($S722="ITEM_PRICE_PLUS_DECLARED_DELIVERY",$S722="DELIVERY_CHARGE_ONLY"),$K722=""),"ERROR",IF(AND(OR($S722="TOTAL_AMOUNT_INCLUDING_DELIVERY",$S722="EXACT_COLLECTION_AMOUNT"),$T722=""),"ERROR",IF(AND($S722="TOTAL_AMOUNT_INCLUDING_DELIVERY",$T722&lt;SUM($J722,$U722)),"ERROR",IF($S722="EXACT_COLLECTION_AMOUNT","REVIEW","OK")))))))))</f>
        <v/>
      </c>
      <c r="AV722" s="25">
        <f>IF($AU722="","",IF($H722="","Township required",IF($Q722="","Customer tier required",IF($M722="","Weight required",IF($S722="","Amount entry type required",IF(OR($J722&lt;0,$K722&lt;0,$M722&lt;0,$T722&lt;0,$U722&lt;0,$V722&lt;0,$W722&lt;0,$X722&lt;0,$Y722&lt;0),"Negative amounts are not allowed",IF($AE722="","Tariff not found for township and tier",IF(AND(OR($S722="ITEM_PRICE_PLUS_DECLARED_DELIVERY",$S722="TOTAL_AMOUNT_INCLUDING_DELIVERY",$S722="ITEM_PRICE_ONLY_DELIVERY_PAID_BY_MERCHANT"),$J722=""),"Item price required for this amount type",IF(AND(OR($S722="ITEM_PRICE_PLUS_DECLARED_DELIVERY",$S722="DELIVERY_CHARGE_ONLY"),$K722=""),"Declared delivery charge required",IF(AND(OR($S722="TOTAL_AMOUNT_INCLUDING_DELIVERY",$S722="EXACT_COLLECTION_AMOUNT"),$T722=""),"Stated total amount required",IF(AND($S722="TOTAL_AMOUNT_INCLUDING_DELIVERY",$T722&lt;SUM($J722,$U722)),"Stated total is below item price plus additional charge",IF($S722="EXACT_COLLECTION_AMOUNT","Authorized amount breakdown required before settlement","Ready for collection and settlement"))))))))))))</f>
        <v/>
      </c>
      <c r="AW722" s="23">
        <f>IF($AU722="","","PARCEL_FINANCIAL_V2")</f>
        <v/>
      </c>
      <c r="AX722" s="17" t="n"/>
    </row>
    <row r="723">
      <c r="A723" s="8" t="n"/>
      <c r="B723" s="8" t="n"/>
      <c r="C723" s="8" t="n"/>
      <c r="D723" s="8" t="n"/>
      <c r="E723" s="9" t="n"/>
      <c r="F723" s="9" t="n"/>
      <c r="G723" s="8" t="n"/>
      <c r="H723" s="9" t="n"/>
      <c r="I723" s="9" t="n"/>
      <c r="J723" s="10" t="n"/>
      <c r="K723" s="10" t="n"/>
      <c r="L723" s="11">
        <f>IF($S723="","",IF($S723="ITEM_PRICE_PLUS_DECLARED_DELIVERY",IF(OR($J723="",$K723=""),"",SUM($J723,$K723,$U723)),IF($S723="TOTAL_AMOUNT_INCLUDING_DELIVERY",IF($T723="","",$T723),IF($S723="DELIVERY_CHARGE_ONLY",IF($K723="","",SUM($K723,$U723)),IF($S723="EXACT_COLLECTION_AMOUNT",IF($T723="","",$T723),IF($S723="ITEM_PRICE_ONLY_DELIVERY_PAID_BY_MERCHANT",IF($J723="","",SUM($J723,$U723)),""))))))</f>
        <v/>
      </c>
      <c r="M723" s="12" t="n"/>
      <c r="N723" s="13" t="n"/>
      <c r="O723" s="13" t="n"/>
      <c r="P723" s="9" t="n"/>
      <c r="Q723" s="14" t="n"/>
      <c r="R723" s="15" t="n"/>
      <c r="S723" s="14" t="n"/>
      <c r="T723" s="16" t="n"/>
      <c r="U723" s="16" t="n"/>
      <c r="V723" s="16" t="n"/>
      <c r="W723" s="16" t="n"/>
      <c r="X723" s="16" t="n"/>
      <c r="Y723" s="16" t="n"/>
      <c r="Z723" s="14" t="n"/>
      <c r="AA723" s="14" t="n"/>
      <c r="AB723" s="14" t="n"/>
      <c r="AC723" s="17">
        <f>IFERROR(VLOOKUP($H723&amp;"|"&amp;$Q723,Tariff_Master!$A$2:$L$169,3,FALSE),"")</f>
        <v/>
      </c>
      <c r="AD723" s="17">
        <f>IFERROR(VLOOKUP($H723&amp;"|"&amp;$Q723,Tariff_Master!$A$2:$L$169,4,FALSE),"")</f>
        <v/>
      </c>
      <c r="AE723" s="18">
        <f>IFERROR(VLOOKUP($H723&amp;"|"&amp;$Q723,Tariff_Master!$A$2:$L$169,6,FALSE),"")</f>
        <v/>
      </c>
      <c r="AF723" s="19">
        <f>IFERROR(VLOOKUP($H723&amp;"|"&amp;$Q723,Tariff_Master!$A$2:$L$169,7,FALSE),"")</f>
        <v/>
      </c>
      <c r="AG723" s="18">
        <f>IFERROR(VLOOKUP($H723&amp;"|"&amp;$Q723,Tariff_Master!$A$2:$L$169,8,FALSE),"")</f>
        <v/>
      </c>
      <c r="AH723" s="20">
        <f>IFERROR(VLOOKUP($H723&amp;"|"&amp;$Q723,Tariff_Master!$A$2:$L$169,9,FALSE),"")</f>
        <v/>
      </c>
      <c r="AI723" s="18">
        <f>IFERROR(VLOOKUP($H723&amp;"|"&amp;$Q723,Tariff_Master!$A$2:$L$169,10,FALSE),"")</f>
        <v/>
      </c>
      <c r="AJ723" s="21">
        <f>IF($M723="","",ROUNDUP(MAX(0,$M723),0))</f>
        <v/>
      </c>
      <c r="AK723" s="21">
        <f>IF(OR($AJ723="",$AF723=""),"",MAX(0,$AJ723-$AF723))</f>
        <v/>
      </c>
      <c r="AL723" s="22">
        <f>IF(OR($AK723="",$AG723=""),"",MAX(0,$AK723*$AG723))</f>
        <v/>
      </c>
      <c r="AM723" s="22">
        <f>IF($AE723="","",MAX(0,SUM($AE723,$AL723,$V723,$W723)))</f>
        <v/>
      </c>
      <c r="AN723" s="22">
        <f>IF($AM723="","",IF(AND($Q723="COMMITMENT",$R723&gt;=$AH723),$AI723,0))</f>
        <v/>
      </c>
      <c r="AO723" s="23">
        <f>IF($AM723="","",MAX(0,$AM723-$AN723))</f>
        <v/>
      </c>
      <c r="AP723" s="22">
        <f>IF($S723="","",IF(OR($S723="ITEM_PRICE_PLUS_DECLARED_DELIVERY",$S723="DELIVERY_CHARGE_ONLY"),$K723,IF($S723="TOTAL_AMOUNT_INCLUDING_DELIVERY",IF(OR($T723="",$J723=""),"",MAX(0,$T723-$J723-$U723)),IF($S723="ITEM_PRICE_ONLY_DELIVERY_PAID_BY_MERCHANT",0,""))))</f>
        <v/>
      </c>
      <c r="AQ723" s="23">
        <f>IF(OR($AP723="",$AO723=""),"",$AP723-$AO723)</f>
        <v/>
      </c>
      <c r="AR723" s="24">
        <f>IF($S723="EXACT_COLLECTION_AMOUNT","BREAKDOWN_REQUIRED",IF($AQ723="","",IF($AQ723&gt;0,"CREDIT_TO_MERCHANT",IF($AQ723&lt;0,"DEDUCT_FROM_MERCHANT","NO_ADJUSTMENT"))))</f>
        <v/>
      </c>
      <c r="AS723" s="23">
        <f>IF(OR($AQ723="",$AR723="BREAKDOWN_REQUIRED"),"",$AQ723)</f>
        <v/>
      </c>
      <c r="AT723" s="23">
        <f>IF(OR($AR723="",$AR723="BREAKDOWN_REQUIRED"),"",SUM($J723,$AQ723,$Y723)-$X723)</f>
        <v/>
      </c>
      <c r="AU723" s="25">
        <f>IF(AND($A723="",$B723="",$F723="",$H723="",$J723="",$K723="",$M723="",$S723=""),"",IF(OR($H723="",$Q723="",$M723="",$S723=""),"ERROR",IF(OR($J723&lt;0,$K723&lt;0,$M723&lt;0,$T723&lt;0,$U723&lt;0,$V723&lt;0,$W723&lt;0,$X723&lt;0,$Y723&lt;0),"ERROR",IF($AE723="","ERROR",IF(AND(OR($S723="ITEM_PRICE_PLUS_DECLARED_DELIVERY",$S723="TOTAL_AMOUNT_INCLUDING_DELIVERY",$S723="ITEM_PRICE_ONLY_DELIVERY_PAID_BY_MERCHANT"),$J723=""),"ERROR",IF(AND(OR($S723="ITEM_PRICE_PLUS_DECLARED_DELIVERY",$S723="DELIVERY_CHARGE_ONLY"),$K723=""),"ERROR",IF(AND(OR($S723="TOTAL_AMOUNT_INCLUDING_DELIVERY",$S723="EXACT_COLLECTION_AMOUNT"),$T723=""),"ERROR",IF(AND($S723="TOTAL_AMOUNT_INCLUDING_DELIVERY",$T723&lt;SUM($J723,$U723)),"ERROR",IF($S723="EXACT_COLLECTION_AMOUNT","REVIEW","OK")))))))))</f>
        <v/>
      </c>
      <c r="AV723" s="25">
        <f>IF($AU723="","",IF($H723="","Township required",IF($Q723="","Customer tier required",IF($M723="","Weight required",IF($S723="","Amount entry type required",IF(OR($J723&lt;0,$K723&lt;0,$M723&lt;0,$T723&lt;0,$U723&lt;0,$V723&lt;0,$W723&lt;0,$X723&lt;0,$Y723&lt;0),"Negative amounts are not allowed",IF($AE723="","Tariff not found for township and tier",IF(AND(OR($S723="ITEM_PRICE_PLUS_DECLARED_DELIVERY",$S723="TOTAL_AMOUNT_INCLUDING_DELIVERY",$S723="ITEM_PRICE_ONLY_DELIVERY_PAID_BY_MERCHANT"),$J723=""),"Item price required for this amount type",IF(AND(OR($S723="ITEM_PRICE_PLUS_DECLARED_DELIVERY",$S723="DELIVERY_CHARGE_ONLY"),$K723=""),"Declared delivery charge required",IF(AND(OR($S723="TOTAL_AMOUNT_INCLUDING_DELIVERY",$S723="EXACT_COLLECTION_AMOUNT"),$T723=""),"Stated total amount required",IF(AND($S723="TOTAL_AMOUNT_INCLUDING_DELIVERY",$T723&lt;SUM($J723,$U723)),"Stated total is below item price plus additional charge",IF($S723="EXACT_COLLECTION_AMOUNT","Authorized amount breakdown required before settlement","Ready for collection and settlement"))))))))))))</f>
        <v/>
      </c>
      <c r="AW723" s="23">
        <f>IF($AU723="","","PARCEL_FINANCIAL_V2")</f>
        <v/>
      </c>
      <c r="AX723" s="17" t="n"/>
    </row>
    <row r="724">
      <c r="A724" s="8" t="n"/>
      <c r="B724" s="8" t="n"/>
      <c r="C724" s="8" t="n"/>
      <c r="D724" s="8" t="n"/>
      <c r="E724" s="9" t="n"/>
      <c r="F724" s="9" t="n"/>
      <c r="G724" s="8" t="n"/>
      <c r="H724" s="9" t="n"/>
      <c r="I724" s="9" t="n"/>
      <c r="J724" s="10" t="n"/>
      <c r="K724" s="10" t="n"/>
      <c r="L724" s="11">
        <f>IF($S724="","",IF($S724="ITEM_PRICE_PLUS_DECLARED_DELIVERY",IF(OR($J724="",$K724=""),"",SUM($J724,$K724,$U724)),IF($S724="TOTAL_AMOUNT_INCLUDING_DELIVERY",IF($T724="","",$T724),IF($S724="DELIVERY_CHARGE_ONLY",IF($K724="","",SUM($K724,$U724)),IF($S724="EXACT_COLLECTION_AMOUNT",IF($T724="","",$T724),IF($S724="ITEM_PRICE_ONLY_DELIVERY_PAID_BY_MERCHANT",IF($J724="","",SUM($J724,$U724)),""))))))</f>
        <v/>
      </c>
      <c r="M724" s="12" t="n"/>
      <c r="N724" s="13" t="n"/>
      <c r="O724" s="13" t="n"/>
      <c r="P724" s="9" t="n"/>
      <c r="Q724" s="14" t="n"/>
      <c r="R724" s="15" t="n"/>
      <c r="S724" s="14" t="n"/>
      <c r="T724" s="16" t="n"/>
      <c r="U724" s="16" t="n"/>
      <c r="V724" s="16" t="n"/>
      <c r="W724" s="16" t="n"/>
      <c r="X724" s="16" t="n"/>
      <c r="Y724" s="16" t="n"/>
      <c r="Z724" s="14" t="n"/>
      <c r="AA724" s="14" t="n"/>
      <c r="AB724" s="14" t="n"/>
      <c r="AC724" s="17">
        <f>IFERROR(VLOOKUP($H724&amp;"|"&amp;$Q724,Tariff_Master!$A$2:$L$169,3,FALSE),"")</f>
        <v/>
      </c>
      <c r="AD724" s="17">
        <f>IFERROR(VLOOKUP($H724&amp;"|"&amp;$Q724,Tariff_Master!$A$2:$L$169,4,FALSE),"")</f>
        <v/>
      </c>
      <c r="AE724" s="18">
        <f>IFERROR(VLOOKUP($H724&amp;"|"&amp;$Q724,Tariff_Master!$A$2:$L$169,6,FALSE),"")</f>
        <v/>
      </c>
      <c r="AF724" s="19">
        <f>IFERROR(VLOOKUP($H724&amp;"|"&amp;$Q724,Tariff_Master!$A$2:$L$169,7,FALSE),"")</f>
        <v/>
      </c>
      <c r="AG724" s="18">
        <f>IFERROR(VLOOKUP($H724&amp;"|"&amp;$Q724,Tariff_Master!$A$2:$L$169,8,FALSE),"")</f>
        <v/>
      </c>
      <c r="AH724" s="20">
        <f>IFERROR(VLOOKUP($H724&amp;"|"&amp;$Q724,Tariff_Master!$A$2:$L$169,9,FALSE),"")</f>
        <v/>
      </c>
      <c r="AI724" s="18">
        <f>IFERROR(VLOOKUP($H724&amp;"|"&amp;$Q724,Tariff_Master!$A$2:$L$169,10,FALSE),"")</f>
        <v/>
      </c>
      <c r="AJ724" s="21">
        <f>IF($M724="","",ROUNDUP(MAX(0,$M724),0))</f>
        <v/>
      </c>
      <c r="AK724" s="21">
        <f>IF(OR($AJ724="",$AF724=""),"",MAX(0,$AJ724-$AF724))</f>
        <v/>
      </c>
      <c r="AL724" s="22">
        <f>IF(OR($AK724="",$AG724=""),"",MAX(0,$AK724*$AG724))</f>
        <v/>
      </c>
      <c r="AM724" s="22">
        <f>IF($AE724="","",MAX(0,SUM($AE724,$AL724,$V724,$W724)))</f>
        <v/>
      </c>
      <c r="AN724" s="22">
        <f>IF($AM724="","",IF(AND($Q724="COMMITMENT",$R724&gt;=$AH724),$AI724,0))</f>
        <v/>
      </c>
      <c r="AO724" s="23">
        <f>IF($AM724="","",MAX(0,$AM724-$AN724))</f>
        <v/>
      </c>
      <c r="AP724" s="22">
        <f>IF($S724="","",IF(OR($S724="ITEM_PRICE_PLUS_DECLARED_DELIVERY",$S724="DELIVERY_CHARGE_ONLY"),$K724,IF($S724="TOTAL_AMOUNT_INCLUDING_DELIVERY",IF(OR($T724="",$J724=""),"",MAX(0,$T724-$J724-$U724)),IF($S724="ITEM_PRICE_ONLY_DELIVERY_PAID_BY_MERCHANT",0,""))))</f>
        <v/>
      </c>
      <c r="AQ724" s="23">
        <f>IF(OR($AP724="",$AO724=""),"",$AP724-$AO724)</f>
        <v/>
      </c>
      <c r="AR724" s="24">
        <f>IF($S724="EXACT_COLLECTION_AMOUNT","BREAKDOWN_REQUIRED",IF($AQ724="","",IF($AQ724&gt;0,"CREDIT_TO_MERCHANT",IF($AQ724&lt;0,"DEDUCT_FROM_MERCHANT","NO_ADJUSTMENT"))))</f>
        <v/>
      </c>
      <c r="AS724" s="23">
        <f>IF(OR($AQ724="",$AR724="BREAKDOWN_REQUIRED"),"",$AQ724)</f>
        <v/>
      </c>
      <c r="AT724" s="23">
        <f>IF(OR($AR724="",$AR724="BREAKDOWN_REQUIRED"),"",SUM($J724,$AQ724,$Y724)-$X724)</f>
        <v/>
      </c>
      <c r="AU724" s="25">
        <f>IF(AND($A724="",$B724="",$F724="",$H724="",$J724="",$K724="",$M724="",$S724=""),"",IF(OR($H724="",$Q724="",$M724="",$S724=""),"ERROR",IF(OR($J724&lt;0,$K724&lt;0,$M724&lt;0,$T724&lt;0,$U724&lt;0,$V724&lt;0,$W724&lt;0,$X724&lt;0,$Y724&lt;0),"ERROR",IF($AE724="","ERROR",IF(AND(OR($S724="ITEM_PRICE_PLUS_DECLARED_DELIVERY",$S724="TOTAL_AMOUNT_INCLUDING_DELIVERY",$S724="ITEM_PRICE_ONLY_DELIVERY_PAID_BY_MERCHANT"),$J724=""),"ERROR",IF(AND(OR($S724="ITEM_PRICE_PLUS_DECLARED_DELIVERY",$S724="DELIVERY_CHARGE_ONLY"),$K724=""),"ERROR",IF(AND(OR($S724="TOTAL_AMOUNT_INCLUDING_DELIVERY",$S724="EXACT_COLLECTION_AMOUNT"),$T724=""),"ERROR",IF(AND($S724="TOTAL_AMOUNT_INCLUDING_DELIVERY",$T724&lt;SUM($J724,$U724)),"ERROR",IF($S724="EXACT_COLLECTION_AMOUNT","REVIEW","OK")))))))))</f>
        <v/>
      </c>
      <c r="AV724" s="25">
        <f>IF($AU724="","",IF($H724="","Township required",IF($Q724="","Customer tier required",IF($M724="","Weight required",IF($S724="","Amount entry type required",IF(OR($J724&lt;0,$K724&lt;0,$M724&lt;0,$T724&lt;0,$U724&lt;0,$V724&lt;0,$W724&lt;0,$X724&lt;0,$Y724&lt;0),"Negative amounts are not allowed",IF($AE724="","Tariff not found for township and tier",IF(AND(OR($S724="ITEM_PRICE_PLUS_DECLARED_DELIVERY",$S724="TOTAL_AMOUNT_INCLUDING_DELIVERY",$S724="ITEM_PRICE_ONLY_DELIVERY_PAID_BY_MERCHANT"),$J724=""),"Item price required for this amount type",IF(AND(OR($S724="ITEM_PRICE_PLUS_DECLARED_DELIVERY",$S724="DELIVERY_CHARGE_ONLY"),$K724=""),"Declared delivery charge required",IF(AND(OR($S724="TOTAL_AMOUNT_INCLUDING_DELIVERY",$S724="EXACT_COLLECTION_AMOUNT"),$T724=""),"Stated total amount required",IF(AND($S724="TOTAL_AMOUNT_INCLUDING_DELIVERY",$T724&lt;SUM($J724,$U724)),"Stated total is below item price plus additional charge",IF($S724="EXACT_COLLECTION_AMOUNT","Authorized amount breakdown required before settlement","Ready for collection and settlement"))))))))))))</f>
        <v/>
      </c>
      <c r="AW724" s="23">
        <f>IF($AU724="","","PARCEL_FINANCIAL_V2")</f>
        <v/>
      </c>
      <c r="AX724" s="17" t="n"/>
    </row>
    <row r="725">
      <c r="A725" s="8" t="n"/>
      <c r="B725" s="8" t="n"/>
      <c r="C725" s="8" t="n"/>
      <c r="D725" s="8" t="n"/>
      <c r="E725" s="9" t="n"/>
      <c r="F725" s="9" t="n"/>
      <c r="G725" s="8" t="n"/>
      <c r="H725" s="9" t="n"/>
      <c r="I725" s="9" t="n"/>
      <c r="J725" s="10" t="n"/>
      <c r="K725" s="10" t="n"/>
      <c r="L725" s="11">
        <f>IF($S725="","",IF($S725="ITEM_PRICE_PLUS_DECLARED_DELIVERY",IF(OR($J725="",$K725=""),"",SUM($J725,$K725,$U725)),IF($S725="TOTAL_AMOUNT_INCLUDING_DELIVERY",IF($T725="","",$T725),IF($S725="DELIVERY_CHARGE_ONLY",IF($K725="","",SUM($K725,$U725)),IF($S725="EXACT_COLLECTION_AMOUNT",IF($T725="","",$T725),IF($S725="ITEM_PRICE_ONLY_DELIVERY_PAID_BY_MERCHANT",IF($J725="","",SUM($J725,$U725)),""))))))</f>
        <v/>
      </c>
      <c r="M725" s="12" t="n"/>
      <c r="N725" s="13" t="n"/>
      <c r="O725" s="13" t="n"/>
      <c r="P725" s="9" t="n"/>
      <c r="Q725" s="14" t="n"/>
      <c r="R725" s="15" t="n"/>
      <c r="S725" s="14" t="n"/>
      <c r="T725" s="16" t="n"/>
      <c r="U725" s="16" t="n"/>
      <c r="V725" s="16" t="n"/>
      <c r="W725" s="16" t="n"/>
      <c r="X725" s="16" t="n"/>
      <c r="Y725" s="16" t="n"/>
      <c r="Z725" s="14" t="n"/>
      <c r="AA725" s="14" t="n"/>
      <c r="AB725" s="14" t="n"/>
      <c r="AC725" s="17">
        <f>IFERROR(VLOOKUP($H725&amp;"|"&amp;$Q725,Tariff_Master!$A$2:$L$169,3,FALSE),"")</f>
        <v/>
      </c>
      <c r="AD725" s="17">
        <f>IFERROR(VLOOKUP($H725&amp;"|"&amp;$Q725,Tariff_Master!$A$2:$L$169,4,FALSE),"")</f>
        <v/>
      </c>
      <c r="AE725" s="18">
        <f>IFERROR(VLOOKUP($H725&amp;"|"&amp;$Q725,Tariff_Master!$A$2:$L$169,6,FALSE),"")</f>
        <v/>
      </c>
      <c r="AF725" s="19">
        <f>IFERROR(VLOOKUP($H725&amp;"|"&amp;$Q725,Tariff_Master!$A$2:$L$169,7,FALSE),"")</f>
        <v/>
      </c>
      <c r="AG725" s="18">
        <f>IFERROR(VLOOKUP($H725&amp;"|"&amp;$Q725,Tariff_Master!$A$2:$L$169,8,FALSE),"")</f>
        <v/>
      </c>
      <c r="AH725" s="20">
        <f>IFERROR(VLOOKUP($H725&amp;"|"&amp;$Q725,Tariff_Master!$A$2:$L$169,9,FALSE),"")</f>
        <v/>
      </c>
      <c r="AI725" s="18">
        <f>IFERROR(VLOOKUP($H725&amp;"|"&amp;$Q725,Tariff_Master!$A$2:$L$169,10,FALSE),"")</f>
        <v/>
      </c>
      <c r="AJ725" s="21">
        <f>IF($M725="","",ROUNDUP(MAX(0,$M725),0))</f>
        <v/>
      </c>
      <c r="AK725" s="21">
        <f>IF(OR($AJ725="",$AF725=""),"",MAX(0,$AJ725-$AF725))</f>
        <v/>
      </c>
      <c r="AL725" s="22">
        <f>IF(OR($AK725="",$AG725=""),"",MAX(0,$AK725*$AG725))</f>
        <v/>
      </c>
      <c r="AM725" s="22">
        <f>IF($AE725="","",MAX(0,SUM($AE725,$AL725,$V725,$W725)))</f>
        <v/>
      </c>
      <c r="AN725" s="22">
        <f>IF($AM725="","",IF(AND($Q725="COMMITMENT",$R725&gt;=$AH725),$AI725,0))</f>
        <v/>
      </c>
      <c r="AO725" s="23">
        <f>IF($AM725="","",MAX(0,$AM725-$AN725))</f>
        <v/>
      </c>
      <c r="AP725" s="22">
        <f>IF($S725="","",IF(OR($S725="ITEM_PRICE_PLUS_DECLARED_DELIVERY",$S725="DELIVERY_CHARGE_ONLY"),$K725,IF($S725="TOTAL_AMOUNT_INCLUDING_DELIVERY",IF(OR($T725="",$J725=""),"",MAX(0,$T725-$J725-$U725)),IF($S725="ITEM_PRICE_ONLY_DELIVERY_PAID_BY_MERCHANT",0,""))))</f>
        <v/>
      </c>
      <c r="AQ725" s="23">
        <f>IF(OR($AP725="",$AO725=""),"",$AP725-$AO725)</f>
        <v/>
      </c>
      <c r="AR725" s="24">
        <f>IF($S725="EXACT_COLLECTION_AMOUNT","BREAKDOWN_REQUIRED",IF($AQ725="","",IF($AQ725&gt;0,"CREDIT_TO_MERCHANT",IF($AQ725&lt;0,"DEDUCT_FROM_MERCHANT","NO_ADJUSTMENT"))))</f>
        <v/>
      </c>
      <c r="AS725" s="23">
        <f>IF(OR($AQ725="",$AR725="BREAKDOWN_REQUIRED"),"",$AQ725)</f>
        <v/>
      </c>
      <c r="AT725" s="23">
        <f>IF(OR($AR725="",$AR725="BREAKDOWN_REQUIRED"),"",SUM($J725,$AQ725,$Y725)-$X725)</f>
        <v/>
      </c>
      <c r="AU725" s="25">
        <f>IF(AND($A725="",$B725="",$F725="",$H725="",$J725="",$K725="",$M725="",$S725=""),"",IF(OR($H725="",$Q725="",$M725="",$S725=""),"ERROR",IF(OR($J725&lt;0,$K725&lt;0,$M725&lt;0,$T725&lt;0,$U725&lt;0,$V725&lt;0,$W725&lt;0,$X725&lt;0,$Y725&lt;0),"ERROR",IF($AE725="","ERROR",IF(AND(OR($S725="ITEM_PRICE_PLUS_DECLARED_DELIVERY",$S725="TOTAL_AMOUNT_INCLUDING_DELIVERY",$S725="ITEM_PRICE_ONLY_DELIVERY_PAID_BY_MERCHANT"),$J725=""),"ERROR",IF(AND(OR($S725="ITEM_PRICE_PLUS_DECLARED_DELIVERY",$S725="DELIVERY_CHARGE_ONLY"),$K725=""),"ERROR",IF(AND(OR($S725="TOTAL_AMOUNT_INCLUDING_DELIVERY",$S725="EXACT_COLLECTION_AMOUNT"),$T725=""),"ERROR",IF(AND($S725="TOTAL_AMOUNT_INCLUDING_DELIVERY",$T725&lt;SUM($J725,$U725)),"ERROR",IF($S725="EXACT_COLLECTION_AMOUNT","REVIEW","OK")))))))))</f>
        <v/>
      </c>
      <c r="AV725" s="25">
        <f>IF($AU725="","",IF($H725="","Township required",IF($Q725="","Customer tier required",IF($M725="","Weight required",IF($S725="","Amount entry type required",IF(OR($J725&lt;0,$K725&lt;0,$M725&lt;0,$T725&lt;0,$U725&lt;0,$V725&lt;0,$W725&lt;0,$X725&lt;0,$Y725&lt;0),"Negative amounts are not allowed",IF($AE725="","Tariff not found for township and tier",IF(AND(OR($S725="ITEM_PRICE_PLUS_DECLARED_DELIVERY",$S725="TOTAL_AMOUNT_INCLUDING_DELIVERY",$S725="ITEM_PRICE_ONLY_DELIVERY_PAID_BY_MERCHANT"),$J725=""),"Item price required for this amount type",IF(AND(OR($S725="ITEM_PRICE_PLUS_DECLARED_DELIVERY",$S725="DELIVERY_CHARGE_ONLY"),$K725=""),"Declared delivery charge required",IF(AND(OR($S725="TOTAL_AMOUNT_INCLUDING_DELIVERY",$S725="EXACT_COLLECTION_AMOUNT"),$T725=""),"Stated total amount required",IF(AND($S725="TOTAL_AMOUNT_INCLUDING_DELIVERY",$T725&lt;SUM($J725,$U725)),"Stated total is below item price plus additional charge",IF($S725="EXACT_COLLECTION_AMOUNT","Authorized amount breakdown required before settlement","Ready for collection and settlement"))))))))))))</f>
        <v/>
      </c>
      <c r="AW725" s="23">
        <f>IF($AU725="","","PARCEL_FINANCIAL_V2")</f>
        <v/>
      </c>
      <c r="AX725" s="17" t="n"/>
    </row>
    <row r="726">
      <c r="A726" s="8" t="n"/>
      <c r="B726" s="8" t="n"/>
      <c r="C726" s="8" t="n"/>
      <c r="D726" s="8" t="n"/>
      <c r="E726" s="9" t="n"/>
      <c r="F726" s="9" t="n"/>
      <c r="G726" s="8" t="n"/>
      <c r="H726" s="9" t="n"/>
      <c r="I726" s="9" t="n"/>
      <c r="J726" s="10" t="n"/>
      <c r="K726" s="10" t="n"/>
      <c r="L726" s="11">
        <f>IF($S726="","",IF($S726="ITEM_PRICE_PLUS_DECLARED_DELIVERY",IF(OR($J726="",$K726=""),"",SUM($J726,$K726,$U726)),IF($S726="TOTAL_AMOUNT_INCLUDING_DELIVERY",IF($T726="","",$T726),IF($S726="DELIVERY_CHARGE_ONLY",IF($K726="","",SUM($K726,$U726)),IF($S726="EXACT_COLLECTION_AMOUNT",IF($T726="","",$T726),IF($S726="ITEM_PRICE_ONLY_DELIVERY_PAID_BY_MERCHANT",IF($J726="","",SUM($J726,$U726)),""))))))</f>
        <v/>
      </c>
      <c r="M726" s="12" t="n"/>
      <c r="N726" s="13" t="n"/>
      <c r="O726" s="13" t="n"/>
      <c r="P726" s="9" t="n"/>
      <c r="Q726" s="14" t="n"/>
      <c r="R726" s="15" t="n"/>
      <c r="S726" s="14" t="n"/>
      <c r="T726" s="16" t="n"/>
      <c r="U726" s="16" t="n"/>
      <c r="V726" s="16" t="n"/>
      <c r="W726" s="16" t="n"/>
      <c r="X726" s="16" t="n"/>
      <c r="Y726" s="16" t="n"/>
      <c r="Z726" s="14" t="n"/>
      <c r="AA726" s="14" t="n"/>
      <c r="AB726" s="14" t="n"/>
      <c r="AC726" s="17">
        <f>IFERROR(VLOOKUP($H726&amp;"|"&amp;$Q726,Tariff_Master!$A$2:$L$169,3,FALSE),"")</f>
        <v/>
      </c>
      <c r="AD726" s="17">
        <f>IFERROR(VLOOKUP($H726&amp;"|"&amp;$Q726,Tariff_Master!$A$2:$L$169,4,FALSE),"")</f>
        <v/>
      </c>
      <c r="AE726" s="18">
        <f>IFERROR(VLOOKUP($H726&amp;"|"&amp;$Q726,Tariff_Master!$A$2:$L$169,6,FALSE),"")</f>
        <v/>
      </c>
      <c r="AF726" s="19">
        <f>IFERROR(VLOOKUP($H726&amp;"|"&amp;$Q726,Tariff_Master!$A$2:$L$169,7,FALSE),"")</f>
        <v/>
      </c>
      <c r="AG726" s="18">
        <f>IFERROR(VLOOKUP($H726&amp;"|"&amp;$Q726,Tariff_Master!$A$2:$L$169,8,FALSE),"")</f>
        <v/>
      </c>
      <c r="AH726" s="20">
        <f>IFERROR(VLOOKUP($H726&amp;"|"&amp;$Q726,Tariff_Master!$A$2:$L$169,9,FALSE),"")</f>
        <v/>
      </c>
      <c r="AI726" s="18">
        <f>IFERROR(VLOOKUP($H726&amp;"|"&amp;$Q726,Tariff_Master!$A$2:$L$169,10,FALSE),"")</f>
        <v/>
      </c>
      <c r="AJ726" s="21">
        <f>IF($M726="","",ROUNDUP(MAX(0,$M726),0))</f>
        <v/>
      </c>
      <c r="AK726" s="21">
        <f>IF(OR($AJ726="",$AF726=""),"",MAX(0,$AJ726-$AF726))</f>
        <v/>
      </c>
      <c r="AL726" s="22">
        <f>IF(OR($AK726="",$AG726=""),"",MAX(0,$AK726*$AG726))</f>
        <v/>
      </c>
      <c r="AM726" s="22">
        <f>IF($AE726="","",MAX(0,SUM($AE726,$AL726,$V726,$W726)))</f>
        <v/>
      </c>
      <c r="AN726" s="22">
        <f>IF($AM726="","",IF(AND($Q726="COMMITMENT",$R726&gt;=$AH726),$AI726,0))</f>
        <v/>
      </c>
      <c r="AO726" s="23">
        <f>IF($AM726="","",MAX(0,$AM726-$AN726))</f>
        <v/>
      </c>
      <c r="AP726" s="22">
        <f>IF($S726="","",IF(OR($S726="ITEM_PRICE_PLUS_DECLARED_DELIVERY",$S726="DELIVERY_CHARGE_ONLY"),$K726,IF($S726="TOTAL_AMOUNT_INCLUDING_DELIVERY",IF(OR($T726="",$J726=""),"",MAX(0,$T726-$J726-$U726)),IF($S726="ITEM_PRICE_ONLY_DELIVERY_PAID_BY_MERCHANT",0,""))))</f>
        <v/>
      </c>
      <c r="AQ726" s="23">
        <f>IF(OR($AP726="",$AO726=""),"",$AP726-$AO726)</f>
        <v/>
      </c>
      <c r="AR726" s="24">
        <f>IF($S726="EXACT_COLLECTION_AMOUNT","BREAKDOWN_REQUIRED",IF($AQ726="","",IF($AQ726&gt;0,"CREDIT_TO_MERCHANT",IF($AQ726&lt;0,"DEDUCT_FROM_MERCHANT","NO_ADJUSTMENT"))))</f>
        <v/>
      </c>
      <c r="AS726" s="23">
        <f>IF(OR($AQ726="",$AR726="BREAKDOWN_REQUIRED"),"",$AQ726)</f>
        <v/>
      </c>
      <c r="AT726" s="23">
        <f>IF(OR($AR726="",$AR726="BREAKDOWN_REQUIRED"),"",SUM($J726,$AQ726,$Y726)-$X726)</f>
        <v/>
      </c>
      <c r="AU726" s="25">
        <f>IF(AND($A726="",$B726="",$F726="",$H726="",$J726="",$K726="",$M726="",$S726=""),"",IF(OR($H726="",$Q726="",$M726="",$S726=""),"ERROR",IF(OR($J726&lt;0,$K726&lt;0,$M726&lt;0,$T726&lt;0,$U726&lt;0,$V726&lt;0,$W726&lt;0,$X726&lt;0,$Y726&lt;0),"ERROR",IF($AE726="","ERROR",IF(AND(OR($S726="ITEM_PRICE_PLUS_DECLARED_DELIVERY",$S726="TOTAL_AMOUNT_INCLUDING_DELIVERY",$S726="ITEM_PRICE_ONLY_DELIVERY_PAID_BY_MERCHANT"),$J726=""),"ERROR",IF(AND(OR($S726="ITEM_PRICE_PLUS_DECLARED_DELIVERY",$S726="DELIVERY_CHARGE_ONLY"),$K726=""),"ERROR",IF(AND(OR($S726="TOTAL_AMOUNT_INCLUDING_DELIVERY",$S726="EXACT_COLLECTION_AMOUNT"),$T726=""),"ERROR",IF(AND($S726="TOTAL_AMOUNT_INCLUDING_DELIVERY",$T726&lt;SUM($J726,$U726)),"ERROR",IF($S726="EXACT_COLLECTION_AMOUNT","REVIEW","OK")))))))))</f>
        <v/>
      </c>
      <c r="AV726" s="25">
        <f>IF($AU726="","",IF($H726="","Township required",IF($Q726="","Customer tier required",IF($M726="","Weight required",IF($S726="","Amount entry type required",IF(OR($J726&lt;0,$K726&lt;0,$M726&lt;0,$T726&lt;0,$U726&lt;0,$V726&lt;0,$W726&lt;0,$X726&lt;0,$Y726&lt;0),"Negative amounts are not allowed",IF($AE726="","Tariff not found for township and tier",IF(AND(OR($S726="ITEM_PRICE_PLUS_DECLARED_DELIVERY",$S726="TOTAL_AMOUNT_INCLUDING_DELIVERY",$S726="ITEM_PRICE_ONLY_DELIVERY_PAID_BY_MERCHANT"),$J726=""),"Item price required for this amount type",IF(AND(OR($S726="ITEM_PRICE_PLUS_DECLARED_DELIVERY",$S726="DELIVERY_CHARGE_ONLY"),$K726=""),"Declared delivery charge required",IF(AND(OR($S726="TOTAL_AMOUNT_INCLUDING_DELIVERY",$S726="EXACT_COLLECTION_AMOUNT"),$T726=""),"Stated total amount required",IF(AND($S726="TOTAL_AMOUNT_INCLUDING_DELIVERY",$T726&lt;SUM($J726,$U726)),"Stated total is below item price plus additional charge",IF($S726="EXACT_COLLECTION_AMOUNT","Authorized amount breakdown required before settlement","Ready for collection and settlement"))))))))))))</f>
        <v/>
      </c>
      <c r="AW726" s="23">
        <f>IF($AU726="","","PARCEL_FINANCIAL_V2")</f>
        <v/>
      </c>
      <c r="AX726" s="17" t="n"/>
    </row>
    <row r="727">
      <c r="A727" s="8" t="n"/>
      <c r="B727" s="8" t="n"/>
      <c r="C727" s="8" t="n"/>
      <c r="D727" s="8" t="n"/>
      <c r="E727" s="9" t="n"/>
      <c r="F727" s="9" t="n"/>
      <c r="G727" s="8" t="n"/>
      <c r="H727" s="9" t="n"/>
      <c r="I727" s="9" t="n"/>
      <c r="J727" s="10" t="n"/>
      <c r="K727" s="10" t="n"/>
      <c r="L727" s="11">
        <f>IF($S727="","",IF($S727="ITEM_PRICE_PLUS_DECLARED_DELIVERY",IF(OR($J727="",$K727=""),"",SUM($J727,$K727,$U727)),IF($S727="TOTAL_AMOUNT_INCLUDING_DELIVERY",IF($T727="","",$T727),IF($S727="DELIVERY_CHARGE_ONLY",IF($K727="","",SUM($K727,$U727)),IF($S727="EXACT_COLLECTION_AMOUNT",IF($T727="","",$T727),IF($S727="ITEM_PRICE_ONLY_DELIVERY_PAID_BY_MERCHANT",IF($J727="","",SUM($J727,$U727)),""))))))</f>
        <v/>
      </c>
      <c r="M727" s="12" t="n"/>
      <c r="N727" s="13" t="n"/>
      <c r="O727" s="13" t="n"/>
      <c r="P727" s="9" t="n"/>
      <c r="Q727" s="14" t="n"/>
      <c r="R727" s="15" t="n"/>
      <c r="S727" s="14" t="n"/>
      <c r="T727" s="16" t="n"/>
      <c r="U727" s="16" t="n"/>
      <c r="V727" s="16" t="n"/>
      <c r="W727" s="16" t="n"/>
      <c r="X727" s="16" t="n"/>
      <c r="Y727" s="16" t="n"/>
      <c r="Z727" s="14" t="n"/>
      <c r="AA727" s="14" t="n"/>
      <c r="AB727" s="14" t="n"/>
      <c r="AC727" s="17">
        <f>IFERROR(VLOOKUP($H727&amp;"|"&amp;$Q727,Tariff_Master!$A$2:$L$169,3,FALSE),"")</f>
        <v/>
      </c>
      <c r="AD727" s="17">
        <f>IFERROR(VLOOKUP($H727&amp;"|"&amp;$Q727,Tariff_Master!$A$2:$L$169,4,FALSE),"")</f>
        <v/>
      </c>
      <c r="AE727" s="18">
        <f>IFERROR(VLOOKUP($H727&amp;"|"&amp;$Q727,Tariff_Master!$A$2:$L$169,6,FALSE),"")</f>
        <v/>
      </c>
      <c r="AF727" s="19">
        <f>IFERROR(VLOOKUP($H727&amp;"|"&amp;$Q727,Tariff_Master!$A$2:$L$169,7,FALSE),"")</f>
        <v/>
      </c>
      <c r="AG727" s="18">
        <f>IFERROR(VLOOKUP($H727&amp;"|"&amp;$Q727,Tariff_Master!$A$2:$L$169,8,FALSE),"")</f>
        <v/>
      </c>
      <c r="AH727" s="20">
        <f>IFERROR(VLOOKUP($H727&amp;"|"&amp;$Q727,Tariff_Master!$A$2:$L$169,9,FALSE),"")</f>
        <v/>
      </c>
      <c r="AI727" s="18">
        <f>IFERROR(VLOOKUP($H727&amp;"|"&amp;$Q727,Tariff_Master!$A$2:$L$169,10,FALSE),"")</f>
        <v/>
      </c>
      <c r="AJ727" s="21">
        <f>IF($M727="","",ROUNDUP(MAX(0,$M727),0))</f>
        <v/>
      </c>
      <c r="AK727" s="21">
        <f>IF(OR($AJ727="",$AF727=""),"",MAX(0,$AJ727-$AF727))</f>
        <v/>
      </c>
      <c r="AL727" s="22">
        <f>IF(OR($AK727="",$AG727=""),"",MAX(0,$AK727*$AG727))</f>
        <v/>
      </c>
      <c r="AM727" s="22">
        <f>IF($AE727="","",MAX(0,SUM($AE727,$AL727,$V727,$W727)))</f>
        <v/>
      </c>
      <c r="AN727" s="22">
        <f>IF($AM727="","",IF(AND($Q727="COMMITMENT",$R727&gt;=$AH727),$AI727,0))</f>
        <v/>
      </c>
      <c r="AO727" s="23">
        <f>IF($AM727="","",MAX(0,$AM727-$AN727))</f>
        <v/>
      </c>
      <c r="AP727" s="22">
        <f>IF($S727="","",IF(OR($S727="ITEM_PRICE_PLUS_DECLARED_DELIVERY",$S727="DELIVERY_CHARGE_ONLY"),$K727,IF($S727="TOTAL_AMOUNT_INCLUDING_DELIVERY",IF(OR($T727="",$J727=""),"",MAX(0,$T727-$J727-$U727)),IF($S727="ITEM_PRICE_ONLY_DELIVERY_PAID_BY_MERCHANT",0,""))))</f>
        <v/>
      </c>
      <c r="AQ727" s="23">
        <f>IF(OR($AP727="",$AO727=""),"",$AP727-$AO727)</f>
        <v/>
      </c>
      <c r="AR727" s="24">
        <f>IF($S727="EXACT_COLLECTION_AMOUNT","BREAKDOWN_REQUIRED",IF($AQ727="","",IF($AQ727&gt;0,"CREDIT_TO_MERCHANT",IF($AQ727&lt;0,"DEDUCT_FROM_MERCHANT","NO_ADJUSTMENT"))))</f>
        <v/>
      </c>
      <c r="AS727" s="23">
        <f>IF(OR($AQ727="",$AR727="BREAKDOWN_REQUIRED"),"",$AQ727)</f>
        <v/>
      </c>
      <c r="AT727" s="23">
        <f>IF(OR($AR727="",$AR727="BREAKDOWN_REQUIRED"),"",SUM($J727,$AQ727,$Y727)-$X727)</f>
        <v/>
      </c>
      <c r="AU727" s="25">
        <f>IF(AND($A727="",$B727="",$F727="",$H727="",$J727="",$K727="",$M727="",$S727=""),"",IF(OR($H727="",$Q727="",$M727="",$S727=""),"ERROR",IF(OR($J727&lt;0,$K727&lt;0,$M727&lt;0,$T727&lt;0,$U727&lt;0,$V727&lt;0,$W727&lt;0,$X727&lt;0,$Y727&lt;0),"ERROR",IF($AE727="","ERROR",IF(AND(OR($S727="ITEM_PRICE_PLUS_DECLARED_DELIVERY",$S727="TOTAL_AMOUNT_INCLUDING_DELIVERY",$S727="ITEM_PRICE_ONLY_DELIVERY_PAID_BY_MERCHANT"),$J727=""),"ERROR",IF(AND(OR($S727="ITEM_PRICE_PLUS_DECLARED_DELIVERY",$S727="DELIVERY_CHARGE_ONLY"),$K727=""),"ERROR",IF(AND(OR($S727="TOTAL_AMOUNT_INCLUDING_DELIVERY",$S727="EXACT_COLLECTION_AMOUNT"),$T727=""),"ERROR",IF(AND($S727="TOTAL_AMOUNT_INCLUDING_DELIVERY",$T727&lt;SUM($J727,$U727)),"ERROR",IF($S727="EXACT_COLLECTION_AMOUNT","REVIEW","OK")))))))))</f>
        <v/>
      </c>
      <c r="AV727" s="25">
        <f>IF($AU727="","",IF($H727="","Township required",IF($Q727="","Customer tier required",IF($M727="","Weight required",IF($S727="","Amount entry type required",IF(OR($J727&lt;0,$K727&lt;0,$M727&lt;0,$T727&lt;0,$U727&lt;0,$V727&lt;0,$W727&lt;0,$X727&lt;0,$Y727&lt;0),"Negative amounts are not allowed",IF($AE727="","Tariff not found for township and tier",IF(AND(OR($S727="ITEM_PRICE_PLUS_DECLARED_DELIVERY",$S727="TOTAL_AMOUNT_INCLUDING_DELIVERY",$S727="ITEM_PRICE_ONLY_DELIVERY_PAID_BY_MERCHANT"),$J727=""),"Item price required for this amount type",IF(AND(OR($S727="ITEM_PRICE_PLUS_DECLARED_DELIVERY",$S727="DELIVERY_CHARGE_ONLY"),$K727=""),"Declared delivery charge required",IF(AND(OR($S727="TOTAL_AMOUNT_INCLUDING_DELIVERY",$S727="EXACT_COLLECTION_AMOUNT"),$T727=""),"Stated total amount required",IF(AND($S727="TOTAL_AMOUNT_INCLUDING_DELIVERY",$T727&lt;SUM($J727,$U727)),"Stated total is below item price plus additional charge",IF($S727="EXACT_COLLECTION_AMOUNT","Authorized amount breakdown required before settlement","Ready for collection and settlement"))))))))))))</f>
        <v/>
      </c>
      <c r="AW727" s="23">
        <f>IF($AU727="","","PARCEL_FINANCIAL_V2")</f>
        <v/>
      </c>
      <c r="AX727" s="17" t="n"/>
    </row>
    <row r="728">
      <c r="A728" s="8" t="n"/>
      <c r="B728" s="8" t="n"/>
      <c r="C728" s="8" t="n"/>
      <c r="D728" s="8" t="n"/>
      <c r="E728" s="9" t="n"/>
      <c r="F728" s="9" t="n"/>
      <c r="G728" s="8" t="n"/>
      <c r="H728" s="9" t="n"/>
      <c r="I728" s="9" t="n"/>
      <c r="J728" s="10" t="n"/>
      <c r="K728" s="10" t="n"/>
      <c r="L728" s="11">
        <f>IF($S728="","",IF($S728="ITEM_PRICE_PLUS_DECLARED_DELIVERY",IF(OR($J728="",$K728=""),"",SUM($J728,$K728,$U728)),IF($S728="TOTAL_AMOUNT_INCLUDING_DELIVERY",IF($T728="","",$T728),IF($S728="DELIVERY_CHARGE_ONLY",IF($K728="","",SUM($K728,$U728)),IF($S728="EXACT_COLLECTION_AMOUNT",IF($T728="","",$T728),IF($S728="ITEM_PRICE_ONLY_DELIVERY_PAID_BY_MERCHANT",IF($J728="","",SUM($J728,$U728)),""))))))</f>
        <v/>
      </c>
      <c r="M728" s="12" t="n"/>
      <c r="N728" s="13" t="n"/>
      <c r="O728" s="13" t="n"/>
      <c r="P728" s="9" t="n"/>
      <c r="Q728" s="14" t="n"/>
      <c r="R728" s="15" t="n"/>
      <c r="S728" s="14" t="n"/>
      <c r="T728" s="16" t="n"/>
      <c r="U728" s="16" t="n"/>
      <c r="V728" s="16" t="n"/>
      <c r="W728" s="16" t="n"/>
      <c r="X728" s="16" t="n"/>
      <c r="Y728" s="16" t="n"/>
      <c r="Z728" s="14" t="n"/>
      <c r="AA728" s="14" t="n"/>
      <c r="AB728" s="14" t="n"/>
      <c r="AC728" s="17">
        <f>IFERROR(VLOOKUP($H728&amp;"|"&amp;$Q728,Tariff_Master!$A$2:$L$169,3,FALSE),"")</f>
        <v/>
      </c>
      <c r="AD728" s="17">
        <f>IFERROR(VLOOKUP($H728&amp;"|"&amp;$Q728,Tariff_Master!$A$2:$L$169,4,FALSE),"")</f>
        <v/>
      </c>
      <c r="AE728" s="18">
        <f>IFERROR(VLOOKUP($H728&amp;"|"&amp;$Q728,Tariff_Master!$A$2:$L$169,6,FALSE),"")</f>
        <v/>
      </c>
      <c r="AF728" s="19">
        <f>IFERROR(VLOOKUP($H728&amp;"|"&amp;$Q728,Tariff_Master!$A$2:$L$169,7,FALSE),"")</f>
        <v/>
      </c>
      <c r="AG728" s="18">
        <f>IFERROR(VLOOKUP($H728&amp;"|"&amp;$Q728,Tariff_Master!$A$2:$L$169,8,FALSE),"")</f>
        <v/>
      </c>
      <c r="AH728" s="20">
        <f>IFERROR(VLOOKUP($H728&amp;"|"&amp;$Q728,Tariff_Master!$A$2:$L$169,9,FALSE),"")</f>
        <v/>
      </c>
      <c r="AI728" s="18">
        <f>IFERROR(VLOOKUP($H728&amp;"|"&amp;$Q728,Tariff_Master!$A$2:$L$169,10,FALSE),"")</f>
        <v/>
      </c>
      <c r="AJ728" s="21">
        <f>IF($M728="","",ROUNDUP(MAX(0,$M728),0))</f>
        <v/>
      </c>
      <c r="AK728" s="21">
        <f>IF(OR($AJ728="",$AF728=""),"",MAX(0,$AJ728-$AF728))</f>
        <v/>
      </c>
      <c r="AL728" s="22">
        <f>IF(OR($AK728="",$AG728=""),"",MAX(0,$AK728*$AG728))</f>
        <v/>
      </c>
      <c r="AM728" s="22">
        <f>IF($AE728="","",MAX(0,SUM($AE728,$AL728,$V728,$W728)))</f>
        <v/>
      </c>
      <c r="AN728" s="22">
        <f>IF($AM728="","",IF(AND($Q728="COMMITMENT",$R728&gt;=$AH728),$AI728,0))</f>
        <v/>
      </c>
      <c r="AO728" s="23">
        <f>IF($AM728="","",MAX(0,$AM728-$AN728))</f>
        <v/>
      </c>
      <c r="AP728" s="22">
        <f>IF($S728="","",IF(OR($S728="ITEM_PRICE_PLUS_DECLARED_DELIVERY",$S728="DELIVERY_CHARGE_ONLY"),$K728,IF($S728="TOTAL_AMOUNT_INCLUDING_DELIVERY",IF(OR($T728="",$J728=""),"",MAX(0,$T728-$J728-$U728)),IF($S728="ITEM_PRICE_ONLY_DELIVERY_PAID_BY_MERCHANT",0,""))))</f>
        <v/>
      </c>
      <c r="AQ728" s="23">
        <f>IF(OR($AP728="",$AO728=""),"",$AP728-$AO728)</f>
        <v/>
      </c>
      <c r="AR728" s="24">
        <f>IF($S728="EXACT_COLLECTION_AMOUNT","BREAKDOWN_REQUIRED",IF($AQ728="","",IF($AQ728&gt;0,"CREDIT_TO_MERCHANT",IF($AQ728&lt;0,"DEDUCT_FROM_MERCHANT","NO_ADJUSTMENT"))))</f>
        <v/>
      </c>
      <c r="AS728" s="23">
        <f>IF(OR($AQ728="",$AR728="BREAKDOWN_REQUIRED"),"",$AQ728)</f>
        <v/>
      </c>
      <c r="AT728" s="23">
        <f>IF(OR($AR728="",$AR728="BREAKDOWN_REQUIRED"),"",SUM($J728,$AQ728,$Y728)-$X728)</f>
        <v/>
      </c>
      <c r="AU728" s="25">
        <f>IF(AND($A728="",$B728="",$F728="",$H728="",$J728="",$K728="",$M728="",$S728=""),"",IF(OR($H728="",$Q728="",$M728="",$S728=""),"ERROR",IF(OR($J728&lt;0,$K728&lt;0,$M728&lt;0,$T728&lt;0,$U728&lt;0,$V728&lt;0,$W728&lt;0,$X728&lt;0,$Y728&lt;0),"ERROR",IF($AE728="","ERROR",IF(AND(OR($S728="ITEM_PRICE_PLUS_DECLARED_DELIVERY",$S728="TOTAL_AMOUNT_INCLUDING_DELIVERY",$S728="ITEM_PRICE_ONLY_DELIVERY_PAID_BY_MERCHANT"),$J728=""),"ERROR",IF(AND(OR($S728="ITEM_PRICE_PLUS_DECLARED_DELIVERY",$S728="DELIVERY_CHARGE_ONLY"),$K728=""),"ERROR",IF(AND(OR($S728="TOTAL_AMOUNT_INCLUDING_DELIVERY",$S728="EXACT_COLLECTION_AMOUNT"),$T728=""),"ERROR",IF(AND($S728="TOTAL_AMOUNT_INCLUDING_DELIVERY",$T728&lt;SUM($J728,$U728)),"ERROR",IF($S728="EXACT_COLLECTION_AMOUNT","REVIEW","OK")))))))))</f>
        <v/>
      </c>
      <c r="AV728" s="25">
        <f>IF($AU728="","",IF($H728="","Township required",IF($Q728="","Customer tier required",IF($M728="","Weight required",IF($S728="","Amount entry type required",IF(OR($J728&lt;0,$K728&lt;0,$M728&lt;0,$T728&lt;0,$U728&lt;0,$V728&lt;0,$W728&lt;0,$X728&lt;0,$Y728&lt;0),"Negative amounts are not allowed",IF($AE728="","Tariff not found for township and tier",IF(AND(OR($S728="ITEM_PRICE_PLUS_DECLARED_DELIVERY",$S728="TOTAL_AMOUNT_INCLUDING_DELIVERY",$S728="ITEM_PRICE_ONLY_DELIVERY_PAID_BY_MERCHANT"),$J728=""),"Item price required for this amount type",IF(AND(OR($S728="ITEM_PRICE_PLUS_DECLARED_DELIVERY",$S728="DELIVERY_CHARGE_ONLY"),$K728=""),"Declared delivery charge required",IF(AND(OR($S728="TOTAL_AMOUNT_INCLUDING_DELIVERY",$S728="EXACT_COLLECTION_AMOUNT"),$T728=""),"Stated total amount required",IF(AND($S728="TOTAL_AMOUNT_INCLUDING_DELIVERY",$T728&lt;SUM($J728,$U728)),"Stated total is below item price plus additional charge",IF($S728="EXACT_COLLECTION_AMOUNT","Authorized amount breakdown required before settlement","Ready for collection and settlement"))))))))))))</f>
        <v/>
      </c>
      <c r="AW728" s="23">
        <f>IF($AU728="","","PARCEL_FINANCIAL_V2")</f>
        <v/>
      </c>
      <c r="AX728" s="17" t="n"/>
    </row>
    <row r="729">
      <c r="A729" s="8" t="n"/>
      <c r="B729" s="8" t="n"/>
      <c r="C729" s="8" t="n"/>
      <c r="D729" s="8" t="n"/>
      <c r="E729" s="9" t="n"/>
      <c r="F729" s="9" t="n"/>
      <c r="G729" s="8" t="n"/>
      <c r="H729" s="9" t="n"/>
      <c r="I729" s="9" t="n"/>
      <c r="J729" s="10" t="n"/>
      <c r="K729" s="10" t="n"/>
      <c r="L729" s="11">
        <f>IF($S729="","",IF($S729="ITEM_PRICE_PLUS_DECLARED_DELIVERY",IF(OR($J729="",$K729=""),"",SUM($J729,$K729,$U729)),IF($S729="TOTAL_AMOUNT_INCLUDING_DELIVERY",IF($T729="","",$T729),IF($S729="DELIVERY_CHARGE_ONLY",IF($K729="","",SUM($K729,$U729)),IF($S729="EXACT_COLLECTION_AMOUNT",IF($T729="","",$T729),IF($S729="ITEM_PRICE_ONLY_DELIVERY_PAID_BY_MERCHANT",IF($J729="","",SUM($J729,$U729)),""))))))</f>
        <v/>
      </c>
      <c r="M729" s="12" t="n"/>
      <c r="N729" s="13" t="n"/>
      <c r="O729" s="13" t="n"/>
      <c r="P729" s="9" t="n"/>
      <c r="Q729" s="14" t="n"/>
      <c r="R729" s="15" t="n"/>
      <c r="S729" s="14" t="n"/>
      <c r="T729" s="16" t="n"/>
      <c r="U729" s="16" t="n"/>
      <c r="V729" s="16" t="n"/>
      <c r="W729" s="16" t="n"/>
      <c r="X729" s="16" t="n"/>
      <c r="Y729" s="16" t="n"/>
      <c r="Z729" s="14" t="n"/>
      <c r="AA729" s="14" t="n"/>
      <c r="AB729" s="14" t="n"/>
      <c r="AC729" s="17">
        <f>IFERROR(VLOOKUP($H729&amp;"|"&amp;$Q729,Tariff_Master!$A$2:$L$169,3,FALSE),"")</f>
        <v/>
      </c>
      <c r="AD729" s="17">
        <f>IFERROR(VLOOKUP($H729&amp;"|"&amp;$Q729,Tariff_Master!$A$2:$L$169,4,FALSE),"")</f>
        <v/>
      </c>
      <c r="AE729" s="18">
        <f>IFERROR(VLOOKUP($H729&amp;"|"&amp;$Q729,Tariff_Master!$A$2:$L$169,6,FALSE),"")</f>
        <v/>
      </c>
      <c r="AF729" s="19">
        <f>IFERROR(VLOOKUP($H729&amp;"|"&amp;$Q729,Tariff_Master!$A$2:$L$169,7,FALSE),"")</f>
        <v/>
      </c>
      <c r="AG729" s="18">
        <f>IFERROR(VLOOKUP($H729&amp;"|"&amp;$Q729,Tariff_Master!$A$2:$L$169,8,FALSE),"")</f>
        <v/>
      </c>
      <c r="AH729" s="20">
        <f>IFERROR(VLOOKUP($H729&amp;"|"&amp;$Q729,Tariff_Master!$A$2:$L$169,9,FALSE),"")</f>
        <v/>
      </c>
      <c r="AI729" s="18">
        <f>IFERROR(VLOOKUP($H729&amp;"|"&amp;$Q729,Tariff_Master!$A$2:$L$169,10,FALSE),"")</f>
        <v/>
      </c>
      <c r="AJ729" s="21">
        <f>IF($M729="","",ROUNDUP(MAX(0,$M729),0))</f>
        <v/>
      </c>
      <c r="AK729" s="21">
        <f>IF(OR($AJ729="",$AF729=""),"",MAX(0,$AJ729-$AF729))</f>
        <v/>
      </c>
      <c r="AL729" s="22">
        <f>IF(OR($AK729="",$AG729=""),"",MAX(0,$AK729*$AG729))</f>
        <v/>
      </c>
      <c r="AM729" s="22">
        <f>IF($AE729="","",MAX(0,SUM($AE729,$AL729,$V729,$W729)))</f>
        <v/>
      </c>
      <c r="AN729" s="22">
        <f>IF($AM729="","",IF(AND($Q729="COMMITMENT",$R729&gt;=$AH729),$AI729,0))</f>
        <v/>
      </c>
      <c r="AO729" s="23">
        <f>IF($AM729="","",MAX(0,$AM729-$AN729))</f>
        <v/>
      </c>
      <c r="AP729" s="22">
        <f>IF($S729="","",IF(OR($S729="ITEM_PRICE_PLUS_DECLARED_DELIVERY",$S729="DELIVERY_CHARGE_ONLY"),$K729,IF($S729="TOTAL_AMOUNT_INCLUDING_DELIVERY",IF(OR($T729="",$J729=""),"",MAX(0,$T729-$J729-$U729)),IF($S729="ITEM_PRICE_ONLY_DELIVERY_PAID_BY_MERCHANT",0,""))))</f>
        <v/>
      </c>
      <c r="AQ729" s="23">
        <f>IF(OR($AP729="",$AO729=""),"",$AP729-$AO729)</f>
        <v/>
      </c>
      <c r="AR729" s="24">
        <f>IF($S729="EXACT_COLLECTION_AMOUNT","BREAKDOWN_REQUIRED",IF($AQ729="","",IF($AQ729&gt;0,"CREDIT_TO_MERCHANT",IF($AQ729&lt;0,"DEDUCT_FROM_MERCHANT","NO_ADJUSTMENT"))))</f>
        <v/>
      </c>
      <c r="AS729" s="23">
        <f>IF(OR($AQ729="",$AR729="BREAKDOWN_REQUIRED"),"",$AQ729)</f>
        <v/>
      </c>
      <c r="AT729" s="23">
        <f>IF(OR($AR729="",$AR729="BREAKDOWN_REQUIRED"),"",SUM($J729,$AQ729,$Y729)-$X729)</f>
        <v/>
      </c>
      <c r="AU729" s="25">
        <f>IF(AND($A729="",$B729="",$F729="",$H729="",$J729="",$K729="",$M729="",$S729=""),"",IF(OR($H729="",$Q729="",$M729="",$S729=""),"ERROR",IF(OR($J729&lt;0,$K729&lt;0,$M729&lt;0,$T729&lt;0,$U729&lt;0,$V729&lt;0,$W729&lt;0,$X729&lt;0,$Y729&lt;0),"ERROR",IF($AE729="","ERROR",IF(AND(OR($S729="ITEM_PRICE_PLUS_DECLARED_DELIVERY",$S729="TOTAL_AMOUNT_INCLUDING_DELIVERY",$S729="ITEM_PRICE_ONLY_DELIVERY_PAID_BY_MERCHANT"),$J729=""),"ERROR",IF(AND(OR($S729="ITEM_PRICE_PLUS_DECLARED_DELIVERY",$S729="DELIVERY_CHARGE_ONLY"),$K729=""),"ERROR",IF(AND(OR($S729="TOTAL_AMOUNT_INCLUDING_DELIVERY",$S729="EXACT_COLLECTION_AMOUNT"),$T729=""),"ERROR",IF(AND($S729="TOTAL_AMOUNT_INCLUDING_DELIVERY",$T729&lt;SUM($J729,$U729)),"ERROR",IF($S729="EXACT_COLLECTION_AMOUNT","REVIEW","OK")))))))))</f>
        <v/>
      </c>
      <c r="AV729" s="25">
        <f>IF($AU729="","",IF($H729="","Township required",IF($Q729="","Customer tier required",IF($M729="","Weight required",IF($S729="","Amount entry type required",IF(OR($J729&lt;0,$K729&lt;0,$M729&lt;0,$T729&lt;0,$U729&lt;0,$V729&lt;0,$W729&lt;0,$X729&lt;0,$Y729&lt;0),"Negative amounts are not allowed",IF($AE729="","Tariff not found for township and tier",IF(AND(OR($S729="ITEM_PRICE_PLUS_DECLARED_DELIVERY",$S729="TOTAL_AMOUNT_INCLUDING_DELIVERY",$S729="ITEM_PRICE_ONLY_DELIVERY_PAID_BY_MERCHANT"),$J729=""),"Item price required for this amount type",IF(AND(OR($S729="ITEM_PRICE_PLUS_DECLARED_DELIVERY",$S729="DELIVERY_CHARGE_ONLY"),$K729=""),"Declared delivery charge required",IF(AND(OR($S729="TOTAL_AMOUNT_INCLUDING_DELIVERY",$S729="EXACT_COLLECTION_AMOUNT"),$T729=""),"Stated total amount required",IF(AND($S729="TOTAL_AMOUNT_INCLUDING_DELIVERY",$T729&lt;SUM($J729,$U729)),"Stated total is below item price plus additional charge",IF($S729="EXACT_COLLECTION_AMOUNT","Authorized amount breakdown required before settlement","Ready for collection and settlement"))))))))))))</f>
        <v/>
      </c>
      <c r="AW729" s="23">
        <f>IF($AU729="","","PARCEL_FINANCIAL_V2")</f>
        <v/>
      </c>
      <c r="AX729" s="17" t="n"/>
    </row>
    <row r="730">
      <c r="A730" s="8" t="n"/>
      <c r="B730" s="8" t="n"/>
      <c r="C730" s="8" t="n"/>
      <c r="D730" s="8" t="n"/>
      <c r="E730" s="9" t="n"/>
      <c r="F730" s="9" t="n"/>
      <c r="G730" s="8" t="n"/>
      <c r="H730" s="9" t="n"/>
      <c r="I730" s="9" t="n"/>
      <c r="J730" s="10" t="n"/>
      <c r="K730" s="10" t="n"/>
      <c r="L730" s="11">
        <f>IF($S730="","",IF($S730="ITEM_PRICE_PLUS_DECLARED_DELIVERY",IF(OR($J730="",$K730=""),"",SUM($J730,$K730,$U730)),IF($S730="TOTAL_AMOUNT_INCLUDING_DELIVERY",IF($T730="","",$T730),IF($S730="DELIVERY_CHARGE_ONLY",IF($K730="","",SUM($K730,$U730)),IF($S730="EXACT_COLLECTION_AMOUNT",IF($T730="","",$T730),IF($S730="ITEM_PRICE_ONLY_DELIVERY_PAID_BY_MERCHANT",IF($J730="","",SUM($J730,$U730)),""))))))</f>
        <v/>
      </c>
      <c r="M730" s="12" t="n"/>
      <c r="N730" s="13" t="n"/>
      <c r="O730" s="13" t="n"/>
      <c r="P730" s="9" t="n"/>
      <c r="Q730" s="14" t="n"/>
      <c r="R730" s="15" t="n"/>
      <c r="S730" s="14" t="n"/>
      <c r="T730" s="16" t="n"/>
      <c r="U730" s="16" t="n"/>
      <c r="V730" s="16" t="n"/>
      <c r="W730" s="16" t="n"/>
      <c r="X730" s="16" t="n"/>
      <c r="Y730" s="16" t="n"/>
      <c r="Z730" s="14" t="n"/>
      <c r="AA730" s="14" t="n"/>
      <c r="AB730" s="14" t="n"/>
      <c r="AC730" s="17">
        <f>IFERROR(VLOOKUP($H730&amp;"|"&amp;$Q730,Tariff_Master!$A$2:$L$169,3,FALSE),"")</f>
        <v/>
      </c>
      <c r="AD730" s="17">
        <f>IFERROR(VLOOKUP($H730&amp;"|"&amp;$Q730,Tariff_Master!$A$2:$L$169,4,FALSE),"")</f>
        <v/>
      </c>
      <c r="AE730" s="18">
        <f>IFERROR(VLOOKUP($H730&amp;"|"&amp;$Q730,Tariff_Master!$A$2:$L$169,6,FALSE),"")</f>
        <v/>
      </c>
      <c r="AF730" s="19">
        <f>IFERROR(VLOOKUP($H730&amp;"|"&amp;$Q730,Tariff_Master!$A$2:$L$169,7,FALSE),"")</f>
        <v/>
      </c>
      <c r="AG730" s="18">
        <f>IFERROR(VLOOKUP($H730&amp;"|"&amp;$Q730,Tariff_Master!$A$2:$L$169,8,FALSE),"")</f>
        <v/>
      </c>
      <c r="AH730" s="20">
        <f>IFERROR(VLOOKUP($H730&amp;"|"&amp;$Q730,Tariff_Master!$A$2:$L$169,9,FALSE),"")</f>
        <v/>
      </c>
      <c r="AI730" s="18">
        <f>IFERROR(VLOOKUP($H730&amp;"|"&amp;$Q730,Tariff_Master!$A$2:$L$169,10,FALSE),"")</f>
        <v/>
      </c>
      <c r="AJ730" s="21">
        <f>IF($M730="","",ROUNDUP(MAX(0,$M730),0))</f>
        <v/>
      </c>
      <c r="AK730" s="21">
        <f>IF(OR($AJ730="",$AF730=""),"",MAX(0,$AJ730-$AF730))</f>
        <v/>
      </c>
      <c r="AL730" s="22">
        <f>IF(OR($AK730="",$AG730=""),"",MAX(0,$AK730*$AG730))</f>
        <v/>
      </c>
      <c r="AM730" s="22">
        <f>IF($AE730="","",MAX(0,SUM($AE730,$AL730,$V730,$W730)))</f>
        <v/>
      </c>
      <c r="AN730" s="22">
        <f>IF($AM730="","",IF(AND($Q730="COMMITMENT",$R730&gt;=$AH730),$AI730,0))</f>
        <v/>
      </c>
      <c r="AO730" s="23">
        <f>IF($AM730="","",MAX(0,$AM730-$AN730))</f>
        <v/>
      </c>
      <c r="AP730" s="22">
        <f>IF($S730="","",IF(OR($S730="ITEM_PRICE_PLUS_DECLARED_DELIVERY",$S730="DELIVERY_CHARGE_ONLY"),$K730,IF($S730="TOTAL_AMOUNT_INCLUDING_DELIVERY",IF(OR($T730="",$J730=""),"",MAX(0,$T730-$J730-$U730)),IF($S730="ITEM_PRICE_ONLY_DELIVERY_PAID_BY_MERCHANT",0,""))))</f>
        <v/>
      </c>
      <c r="AQ730" s="23">
        <f>IF(OR($AP730="",$AO730=""),"",$AP730-$AO730)</f>
        <v/>
      </c>
      <c r="AR730" s="24">
        <f>IF($S730="EXACT_COLLECTION_AMOUNT","BREAKDOWN_REQUIRED",IF($AQ730="","",IF($AQ730&gt;0,"CREDIT_TO_MERCHANT",IF($AQ730&lt;0,"DEDUCT_FROM_MERCHANT","NO_ADJUSTMENT"))))</f>
        <v/>
      </c>
      <c r="AS730" s="23">
        <f>IF(OR($AQ730="",$AR730="BREAKDOWN_REQUIRED"),"",$AQ730)</f>
        <v/>
      </c>
      <c r="AT730" s="23">
        <f>IF(OR($AR730="",$AR730="BREAKDOWN_REQUIRED"),"",SUM($J730,$AQ730,$Y730)-$X730)</f>
        <v/>
      </c>
      <c r="AU730" s="25">
        <f>IF(AND($A730="",$B730="",$F730="",$H730="",$J730="",$K730="",$M730="",$S730=""),"",IF(OR($H730="",$Q730="",$M730="",$S730=""),"ERROR",IF(OR($J730&lt;0,$K730&lt;0,$M730&lt;0,$T730&lt;0,$U730&lt;0,$V730&lt;0,$W730&lt;0,$X730&lt;0,$Y730&lt;0),"ERROR",IF($AE730="","ERROR",IF(AND(OR($S730="ITEM_PRICE_PLUS_DECLARED_DELIVERY",$S730="TOTAL_AMOUNT_INCLUDING_DELIVERY",$S730="ITEM_PRICE_ONLY_DELIVERY_PAID_BY_MERCHANT"),$J730=""),"ERROR",IF(AND(OR($S730="ITEM_PRICE_PLUS_DECLARED_DELIVERY",$S730="DELIVERY_CHARGE_ONLY"),$K730=""),"ERROR",IF(AND(OR($S730="TOTAL_AMOUNT_INCLUDING_DELIVERY",$S730="EXACT_COLLECTION_AMOUNT"),$T730=""),"ERROR",IF(AND($S730="TOTAL_AMOUNT_INCLUDING_DELIVERY",$T730&lt;SUM($J730,$U730)),"ERROR",IF($S730="EXACT_COLLECTION_AMOUNT","REVIEW","OK")))))))))</f>
        <v/>
      </c>
      <c r="AV730" s="25">
        <f>IF($AU730="","",IF($H730="","Township required",IF($Q730="","Customer tier required",IF($M730="","Weight required",IF($S730="","Amount entry type required",IF(OR($J730&lt;0,$K730&lt;0,$M730&lt;0,$T730&lt;0,$U730&lt;0,$V730&lt;0,$W730&lt;0,$X730&lt;0,$Y730&lt;0),"Negative amounts are not allowed",IF($AE730="","Tariff not found for township and tier",IF(AND(OR($S730="ITEM_PRICE_PLUS_DECLARED_DELIVERY",$S730="TOTAL_AMOUNT_INCLUDING_DELIVERY",$S730="ITEM_PRICE_ONLY_DELIVERY_PAID_BY_MERCHANT"),$J730=""),"Item price required for this amount type",IF(AND(OR($S730="ITEM_PRICE_PLUS_DECLARED_DELIVERY",$S730="DELIVERY_CHARGE_ONLY"),$K730=""),"Declared delivery charge required",IF(AND(OR($S730="TOTAL_AMOUNT_INCLUDING_DELIVERY",$S730="EXACT_COLLECTION_AMOUNT"),$T730=""),"Stated total amount required",IF(AND($S730="TOTAL_AMOUNT_INCLUDING_DELIVERY",$T730&lt;SUM($J730,$U730)),"Stated total is below item price plus additional charge",IF($S730="EXACT_COLLECTION_AMOUNT","Authorized amount breakdown required before settlement","Ready for collection and settlement"))))))))))))</f>
        <v/>
      </c>
      <c r="AW730" s="23">
        <f>IF($AU730="","","PARCEL_FINANCIAL_V2")</f>
        <v/>
      </c>
      <c r="AX730" s="17" t="n"/>
    </row>
    <row r="731">
      <c r="A731" s="8" t="n"/>
      <c r="B731" s="8" t="n"/>
      <c r="C731" s="8" t="n"/>
      <c r="D731" s="8" t="n"/>
      <c r="E731" s="9" t="n"/>
      <c r="F731" s="9" t="n"/>
      <c r="G731" s="8" t="n"/>
      <c r="H731" s="9" t="n"/>
      <c r="I731" s="9" t="n"/>
      <c r="J731" s="10" t="n"/>
      <c r="K731" s="10" t="n"/>
      <c r="L731" s="11">
        <f>IF($S731="","",IF($S731="ITEM_PRICE_PLUS_DECLARED_DELIVERY",IF(OR($J731="",$K731=""),"",SUM($J731,$K731,$U731)),IF($S731="TOTAL_AMOUNT_INCLUDING_DELIVERY",IF($T731="","",$T731),IF($S731="DELIVERY_CHARGE_ONLY",IF($K731="","",SUM($K731,$U731)),IF($S731="EXACT_COLLECTION_AMOUNT",IF($T731="","",$T731),IF($S731="ITEM_PRICE_ONLY_DELIVERY_PAID_BY_MERCHANT",IF($J731="","",SUM($J731,$U731)),""))))))</f>
        <v/>
      </c>
      <c r="M731" s="12" t="n"/>
      <c r="N731" s="13" t="n"/>
      <c r="O731" s="13" t="n"/>
      <c r="P731" s="9" t="n"/>
      <c r="Q731" s="14" t="n"/>
      <c r="R731" s="15" t="n"/>
      <c r="S731" s="14" t="n"/>
      <c r="T731" s="16" t="n"/>
      <c r="U731" s="16" t="n"/>
      <c r="V731" s="16" t="n"/>
      <c r="W731" s="16" t="n"/>
      <c r="X731" s="16" t="n"/>
      <c r="Y731" s="16" t="n"/>
      <c r="Z731" s="14" t="n"/>
      <c r="AA731" s="14" t="n"/>
      <c r="AB731" s="14" t="n"/>
      <c r="AC731" s="17">
        <f>IFERROR(VLOOKUP($H731&amp;"|"&amp;$Q731,Tariff_Master!$A$2:$L$169,3,FALSE),"")</f>
        <v/>
      </c>
      <c r="AD731" s="17">
        <f>IFERROR(VLOOKUP($H731&amp;"|"&amp;$Q731,Tariff_Master!$A$2:$L$169,4,FALSE),"")</f>
        <v/>
      </c>
      <c r="AE731" s="18">
        <f>IFERROR(VLOOKUP($H731&amp;"|"&amp;$Q731,Tariff_Master!$A$2:$L$169,6,FALSE),"")</f>
        <v/>
      </c>
      <c r="AF731" s="19">
        <f>IFERROR(VLOOKUP($H731&amp;"|"&amp;$Q731,Tariff_Master!$A$2:$L$169,7,FALSE),"")</f>
        <v/>
      </c>
      <c r="AG731" s="18">
        <f>IFERROR(VLOOKUP($H731&amp;"|"&amp;$Q731,Tariff_Master!$A$2:$L$169,8,FALSE),"")</f>
        <v/>
      </c>
      <c r="AH731" s="20">
        <f>IFERROR(VLOOKUP($H731&amp;"|"&amp;$Q731,Tariff_Master!$A$2:$L$169,9,FALSE),"")</f>
        <v/>
      </c>
      <c r="AI731" s="18">
        <f>IFERROR(VLOOKUP($H731&amp;"|"&amp;$Q731,Tariff_Master!$A$2:$L$169,10,FALSE),"")</f>
        <v/>
      </c>
      <c r="AJ731" s="21">
        <f>IF($M731="","",ROUNDUP(MAX(0,$M731),0))</f>
        <v/>
      </c>
      <c r="AK731" s="21">
        <f>IF(OR($AJ731="",$AF731=""),"",MAX(0,$AJ731-$AF731))</f>
        <v/>
      </c>
      <c r="AL731" s="22">
        <f>IF(OR($AK731="",$AG731=""),"",MAX(0,$AK731*$AG731))</f>
        <v/>
      </c>
      <c r="AM731" s="22">
        <f>IF($AE731="","",MAX(0,SUM($AE731,$AL731,$V731,$W731)))</f>
        <v/>
      </c>
      <c r="AN731" s="22">
        <f>IF($AM731="","",IF(AND($Q731="COMMITMENT",$R731&gt;=$AH731),$AI731,0))</f>
        <v/>
      </c>
      <c r="AO731" s="23">
        <f>IF($AM731="","",MAX(0,$AM731-$AN731))</f>
        <v/>
      </c>
      <c r="AP731" s="22">
        <f>IF($S731="","",IF(OR($S731="ITEM_PRICE_PLUS_DECLARED_DELIVERY",$S731="DELIVERY_CHARGE_ONLY"),$K731,IF($S731="TOTAL_AMOUNT_INCLUDING_DELIVERY",IF(OR($T731="",$J731=""),"",MAX(0,$T731-$J731-$U731)),IF($S731="ITEM_PRICE_ONLY_DELIVERY_PAID_BY_MERCHANT",0,""))))</f>
        <v/>
      </c>
      <c r="AQ731" s="23">
        <f>IF(OR($AP731="",$AO731=""),"",$AP731-$AO731)</f>
        <v/>
      </c>
      <c r="AR731" s="24">
        <f>IF($S731="EXACT_COLLECTION_AMOUNT","BREAKDOWN_REQUIRED",IF($AQ731="","",IF($AQ731&gt;0,"CREDIT_TO_MERCHANT",IF($AQ731&lt;0,"DEDUCT_FROM_MERCHANT","NO_ADJUSTMENT"))))</f>
        <v/>
      </c>
      <c r="AS731" s="23">
        <f>IF(OR($AQ731="",$AR731="BREAKDOWN_REQUIRED"),"",$AQ731)</f>
        <v/>
      </c>
      <c r="AT731" s="23">
        <f>IF(OR($AR731="",$AR731="BREAKDOWN_REQUIRED"),"",SUM($J731,$AQ731,$Y731)-$X731)</f>
        <v/>
      </c>
      <c r="AU731" s="25">
        <f>IF(AND($A731="",$B731="",$F731="",$H731="",$J731="",$K731="",$M731="",$S731=""),"",IF(OR($H731="",$Q731="",$M731="",$S731=""),"ERROR",IF(OR($J731&lt;0,$K731&lt;0,$M731&lt;0,$T731&lt;0,$U731&lt;0,$V731&lt;0,$W731&lt;0,$X731&lt;0,$Y731&lt;0),"ERROR",IF($AE731="","ERROR",IF(AND(OR($S731="ITEM_PRICE_PLUS_DECLARED_DELIVERY",$S731="TOTAL_AMOUNT_INCLUDING_DELIVERY",$S731="ITEM_PRICE_ONLY_DELIVERY_PAID_BY_MERCHANT"),$J731=""),"ERROR",IF(AND(OR($S731="ITEM_PRICE_PLUS_DECLARED_DELIVERY",$S731="DELIVERY_CHARGE_ONLY"),$K731=""),"ERROR",IF(AND(OR($S731="TOTAL_AMOUNT_INCLUDING_DELIVERY",$S731="EXACT_COLLECTION_AMOUNT"),$T731=""),"ERROR",IF(AND($S731="TOTAL_AMOUNT_INCLUDING_DELIVERY",$T731&lt;SUM($J731,$U731)),"ERROR",IF($S731="EXACT_COLLECTION_AMOUNT","REVIEW","OK")))))))))</f>
        <v/>
      </c>
      <c r="AV731" s="25">
        <f>IF($AU731="","",IF($H731="","Township required",IF($Q731="","Customer tier required",IF($M731="","Weight required",IF($S731="","Amount entry type required",IF(OR($J731&lt;0,$K731&lt;0,$M731&lt;0,$T731&lt;0,$U731&lt;0,$V731&lt;0,$W731&lt;0,$X731&lt;0,$Y731&lt;0),"Negative amounts are not allowed",IF($AE731="","Tariff not found for township and tier",IF(AND(OR($S731="ITEM_PRICE_PLUS_DECLARED_DELIVERY",$S731="TOTAL_AMOUNT_INCLUDING_DELIVERY",$S731="ITEM_PRICE_ONLY_DELIVERY_PAID_BY_MERCHANT"),$J731=""),"Item price required for this amount type",IF(AND(OR($S731="ITEM_PRICE_PLUS_DECLARED_DELIVERY",$S731="DELIVERY_CHARGE_ONLY"),$K731=""),"Declared delivery charge required",IF(AND(OR($S731="TOTAL_AMOUNT_INCLUDING_DELIVERY",$S731="EXACT_COLLECTION_AMOUNT"),$T731=""),"Stated total amount required",IF(AND($S731="TOTAL_AMOUNT_INCLUDING_DELIVERY",$T731&lt;SUM($J731,$U731)),"Stated total is below item price plus additional charge",IF($S731="EXACT_COLLECTION_AMOUNT","Authorized amount breakdown required before settlement","Ready for collection and settlement"))))))))))))</f>
        <v/>
      </c>
      <c r="AW731" s="23">
        <f>IF($AU731="","","PARCEL_FINANCIAL_V2")</f>
        <v/>
      </c>
      <c r="AX731" s="17" t="n"/>
    </row>
    <row r="732">
      <c r="A732" s="8" t="n"/>
      <c r="B732" s="8" t="n"/>
      <c r="C732" s="8" t="n"/>
      <c r="D732" s="8" t="n"/>
      <c r="E732" s="9" t="n"/>
      <c r="F732" s="9" t="n"/>
      <c r="G732" s="8" t="n"/>
      <c r="H732" s="9" t="n"/>
      <c r="I732" s="9" t="n"/>
      <c r="J732" s="10" t="n"/>
      <c r="K732" s="10" t="n"/>
      <c r="L732" s="11">
        <f>IF($S732="","",IF($S732="ITEM_PRICE_PLUS_DECLARED_DELIVERY",IF(OR($J732="",$K732=""),"",SUM($J732,$K732,$U732)),IF($S732="TOTAL_AMOUNT_INCLUDING_DELIVERY",IF($T732="","",$T732),IF($S732="DELIVERY_CHARGE_ONLY",IF($K732="","",SUM($K732,$U732)),IF($S732="EXACT_COLLECTION_AMOUNT",IF($T732="","",$T732),IF($S732="ITEM_PRICE_ONLY_DELIVERY_PAID_BY_MERCHANT",IF($J732="","",SUM($J732,$U732)),""))))))</f>
        <v/>
      </c>
      <c r="M732" s="12" t="n"/>
      <c r="N732" s="13" t="n"/>
      <c r="O732" s="13" t="n"/>
      <c r="P732" s="9" t="n"/>
      <c r="Q732" s="14" t="n"/>
      <c r="R732" s="15" t="n"/>
      <c r="S732" s="14" t="n"/>
      <c r="T732" s="16" t="n"/>
      <c r="U732" s="16" t="n"/>
      <c r="V732" s="16" t="n"/>
      <c r="W732" s="16" t="n"/>
      <c r="X732" s="16" t="n"/>
      <c r="Y732" s="16" t="n"/>
      <c r="Z732" s="14" t="n"/>
      <c r="AA732" s="14" t="n"/>
      <c r="AB732" s="14" t="n"/>
      <c r="AC732" s="17">
        <f>IFERROR(VLOOKUP($H732&amp;"|"&amp;$Q732,Tariff_Master!$A$2:$L$169,3,FALSE),"")</f>
        <v/>
      </c>
      <c r="AD732" s="17">
        <f>IFERROR(VLOOKUP($H732&amp;"|"&amp;$Q732,Tariff_Master!$A$2:$L$169,4,FALSE),"")</f>
        <v/>
      </c>
      <c r="AE732" s="18">
        <f>IFERROR(VLOOKUP($H732&amp;"|"&amp;$Q732,Tariff_Master!$A$2:$L$169,6,FALSE),"")</f>
        <v/>
      </c>
      <c r="AF732" s="19">
        <f>IFERROR(VLOOKUP($H732&amp;"|"&amp;$Q732,Tariff_Master!$A$2:$L$169,7,FALSE),"")</f>
        <v/>
      </c>
      <c r="AG732" s="18">
        <f>IFERROR(VLOOKUP($H732&amp;"|"&amp;$Q732,Tariff_Master!$A$2:$L$169,8,FALSE),"")</f>
        <v/>
      </c>
      <c r="AH732" s="20">
        <f>IFERROR(VLOOKUP($H732&amp;"|"&amp;$Q732,Tariff_Master!$A$2:$L$169,9,FALSE),"")</f>
        <v/>
      </c>
      <c r="AI732" s="18">
        <f>IFERROR(VLOOKUP($H732&amp;"|"&amp;$Q732,Tariff_Master!$A$2:$L$169,10,FALSE),"")</f>
        <v/>
      </c>
      <c r="AJ732" s="21">
        <f>IF($M732="","",ROUNDUP(MAX(0,$M732),0))</f>
        <v/>
      </c>
      <c r="AK732" s="21">
        <f>IF(OR($AJ732="",$AF732=""),"",MAX(0,$AJ732-$AF732))</f>
        <v/>
      </c>
      <c r="AL732" s="22">
        <f>IF(OR($AK732="",$AG732=""),"",MAX(0,$AK732*$AG732))</f>
        <v/>
      </c>
      <c r="AM732" s="22">
        <f>IF($AE732="","",MAX(0,SUM($AE732,$AL732,$V732,$W732)))</f>
        <v/>
      </c>
      <c r="AN732" s="22">
        <f>IF($AM732="","",IF(AND($Q732="COMMITMENT",$R732&gt;=$AH732),$AI732,0))</f>
        <v/>
      </c>
      <c r="AO732" s="23">
        <f>IF($AM732="","",MAX(0,$AM732-$AN732))</f>
        <v/>
      </c>
      <c r="AP732" s="22">
        <f>IF($S732="","",IF(OR($S732="ITEM_PRICE_PLUS_DECLARED_DELIVERY",$S732="DELIVERY_CHARGE_ONLY"),$K732,IF($S732="TOTAL_AMOUNT_INCLUDING_DELIVERY",IF(OR($T732="",$J732=""),"",MAX(0,$T732-$J732-$U732)),IF($S732="ITEM_PRICE_ONLY_DELIVERY_PAID_BY_MERCHANT",0,""))))</f>
        <v/>
      </c>
      <c r="AQ732" s="23">
        <f>IF(OR($AP732="",$AO732=""),"",$AP732-$AO732)</f>
        <v/>
      </c>
      <c r="AR732" s="24">
        <f>IF($S732="EXACT_COLLECTION_AMOUNT","BREAKDOWN_REQUIRED",IF($AQ732="","",IF($AQ732&gt;0,"CREDIT_TO_MERCHANT",IF($AQ732&lt;0,"DEDUCT_FROM_MERCHANT","NO_ADJUSTMENT"))))</f>
        <v/>
      </c>
      <c r="AS732" s="23">
        <f>IF(OR($AQ732="",$AR732="BREAKDOWN_REQUIRED"),"",$AQ732)</f>
        <v/>
      </c>
      <c r="AT732" s="23">
        <f>IF(OR($AR732="",$AR732="BREAKDOWN_REQUIRED"),"",SUM($J732,$AQ732,$Y732)-$X732)</f>
        <v/>
      </c>
      <c r="AU732" s="25">
        <f>IF(AND($A732="",$B732="",$F732="",$H732="",$J732="",$K732="",$M732="",$S732=""),"",IF(OR($H732="",$Q732="",$M732="",$S732=""),"ERROR",IF(OR($J732&lt;0,$K732&lt;0,$M732&lt;0,$T732&lt;0,$U732&lt;0,$V732&lt;0,$W732&lt;0,$X732&lt;0,$Y732&lt;0),"ERROR",IF($AE732="","ERROR",IF(AND(OR($S732="ITEM_PRICE_PLUS_DECLARED_DELIVERY",$S732="TOTAL_AMOUNT_INCLUDING_DELIVERY",$S732="ITEM_PRICE_ONLY_DELIVERY_PAID_BY_MERCHANT"),$J732=""),"ERROR",IF(AND(OR($S732="ITEM_PRICE_PLUS_DECLARED_DELIVERY",$S732="DELIVERY_CHARGE_ONLY"),$K732=""),"ERROR",IF(AND(OR($S732="TOTAL_AMOUNT_INCLUDING_DELIVERY",$S732="EXACT_COLLECTION_AMOUNT"),$T732=""),"ERROR",IF(AND($S732="TOTAL_AMOUNT_INCLUDING_DELIVERY",$T732&lt;SUM($J732,$U732)),"ERROR",IF($S732="EXACT_COLLECTION_AMOUNT","REVIEW","OK")))))))))</f>
        <v/>
      </c>
      <c r="AV732" s="25">
        <f>IF($AU732="","",IF($H732="","Township required",IF($Q732="","Customer tier required",IF($M732="","Weight required",IF($S732="","Amount entry type required",IF(OR($J732&lt;0,$K732&lt;0,$M732&lt;0,$T732&lt;0,$U732&lt;0,$V732&lt;0,$W732&lt;0,$X732&lt;0,$Y732&lt;0),"Negative amounts are not allowed",IF($AE732="","Tariff not found for township and tier",IF(AND(OR($S732="ITEM_PRICE_PLUS_DECLARED_DELIVERY",$S732="TOTAL_AMOUNT_INCLUDING_DELIVERY",$S732="ITEM_PRICE_ONLY_DELIVERY_PAID_BY_MERCHANT"),$J732=""),"Item price required for this amount type",IF(AND(OR($S732="ITEM_PRICE_PLUS_DECLARED_DELIVERY",$S732="DELIVERY_CHARGE_ONLY"),$K732=""),"Declared delivery charge required",IF(AND(OR($S732="TOTAL_AMOUNT_INCLUDING_DELIVERY",$S732="EXACT_COLLECTION_AMOUNT"),$T732=""),"Stated total amount required",IF(AND($S732="TOTAL_AMOUNT_INCLUDING_DELIVERY",$T732&lt;SUM($J732,$U732)),"Stated total is below item price plus additional charge",IF($S732="EXACT_COLLECTION_AMOUNT","Authorized amount breakdown required before settlement","Ready for collection and settlement"))))))))))))</f>
        <v/>
      </c>
      <c r="AW732" s="23">
        <f>IF($AU732="","","PARCEL_FINANCIAL_V2")</f>
        <v/>
      </c>
      <c r="AX732" s="17" t="n"/>
    </row>
    <row r="733">
      <c r="A733" s="8" t="n"/>
      <c r="B733" s="8" t="n"/>
      <c r="C733" s="8" t="n"/>
      <c r="D733" s="8" t="n"/>
      <c r="E733" s="9" t="n"/>
      <c r="F733" s="9" t="n"/>
      <c r="G733" s="8" t="n"/>
      <c r="H733" s="9" t="n"/>
      <c r="I733" s="9" t="n"/>
      <c r="J733" s="10" t="n"/>
      <c r="K733" s="10" t="n"/>
      <c r="L733" s="11">
        <f>IF($S733="","",IF($S733="ITEM_PRICE_PLUS_DECLARED_DELIVERY",IF(OR($J733="",$K733=""),"",SUM($J733,$K733,$U733)),IF($S733="TOTAL_AMOUNT_INCLUDING_DELIVERY",IF($T733="","",$T733),IF($S733="DELIVERY_CHARGE_ONLY",IF($K733="","",SUM($K733,$U733)),IF($S733="EXACT_COLLECTION_AMOUNT",IF($T733="","",$T733),IF($S733="ITEM_PRICE_ONLY_DELIVERY_PAID_BY_MERCHANT",IF($J733="","",SUM($J733,$U733)),""))))))</f>
        <v/>
      </c>
      <c r="M733" s="12" t="n"/>
      <c r="N733" s="13" t="n"/>
      <c r="O733" s="13" t="n"/>
      <c r="P733" s="9" t="n"/>
      <c r="Q733" s="14" t="n"/>
      <c r="R733" s="15" t="n"/>
      <c r="S733" s="14" t="n"/>
      <c r="T733" s="16" t="n"/>
      <c r="U733" s="16" t="n"/>
      <c r="V733" s="16" t="n"/>
      <c r="W733" s="16" t="n"/>
      <c r="X733" s="16" t="n"/>
      <c r="Y733" s="16" t="n"/>
      <c r="Z733" s="14" t="n"/>
      <c r="AA733" s="14" t="n"/>
      <c r="AB733" s="14" t="n"/>
      <c r="AC733" s="17">
        <f>IFERROR(VLOOKUP($H733&amp;"|"&amp;$Q733,Tariff_Master!$A$2:$L$169,3,FALSE),"")</f>
        <v/>
      </c>
      <c r="AD733" s="17">
        <f>IFERROR(VLOOKUP($H733&amp;"|"&amp;$Q733,Tariff_Master!$A$2:$L$169,4,FALSE),"")</f>
        <v/>
      </c>
      <c r="AE733" s="18">
        <f>IFERROR(VLOOKUP($H733&amp;"|"&amp;$Q733,Tariff_Master!$A$2:$L$169,6,FALSE),"")</f>
        <v/>
      </c>
      <c r="AF733" s="19">
        <f>IFERROR(VLOOKUP($H733&amp;"|"&amp;$Q733,Tariff_Master!$A$2:$L$169,7,FALSE),"")</f>
        <v/>
      </c>
      <c r="AG733" s="18">
        <f>IFERROR(VLOOKUP($H733&amp;"|"&amp;$Q733,Tariff_Master!$A$2:$L$169,8,FALSE),"")</f>
        <v/>
      </c>
      <c r="AH733" s="20">
        <f>IFERROR(VLOOKUP($H733&amp;"|"&amp;$Q733,Tariff_Master!$A$2:$L$169,9,FALSE),"")</f>
        <v/>
      </c>
      <c r="AI733" s="18">
        <f>IFERROR(VLOOKUP($H733&amp;"|"&amp;$Q733,Tariff_Master!$A$2:$L$169,10,FALSE),"")</f>
        <v/>
      </c>
      <c r="AJ733" s="21">
        <f>IF($M733="","",ROUNDUP(MAX(0,$M733),0))</f>
        <v/>
      </c>
      <c r="AK733" s="21">
        <f>IF(OR($AJ733="",$AF733=""),"",MAX(0,$AJ733-$AF733))</f>
        <v/>
      </c>
      <c r="AL733" s="22">
        <f>IF(OR($AK733="",$AG733=""),"",MAX(0,$AK733*$AG733))</f>
        <v/>
      </c>
      <c r="AM733" s="22">
        <f>IF($AE733="","",MAX(0,SUM($AE733,$AL733,$V733,$W733)))</f>
        <v/>
      </c>
      <c r="AN733" s="22">
        <f>IF($AM733="","",IF(AND($Q733="COMMITMENT",$R733&gt;=$AH733),$AI733,0))</f>
        <v/>
      </c>
      <c r="AO733" s="23">
        <f>IF($AM733="","",MAX(0,$AM733-$AN733))</f>
        <v/>
      </c>
      <c r="AP733" s="22">
        <f>IF($S733="","",IF(OR($S733="ITEM_PRICE_PLUS_DECLARED_DELIVERY",$S733="DELIVERY_CHARGE_ONLY"),$K733,IF($S733="TOTAL_AMOUNT_INCLUDING_DELIVERY",IF(OR($T733="",$J733=""),"",MAX(0,$T733-$J733-$U733)),IF($S733="ITEM_PRICE_ONLY_DELIVERY_PAID_BY_MERCHANT",0,""))))</f>
        <v/>
      </c>
      <c r="AQ733" s="23">
        <f>IF(OR($AP733="",$AO733=""),"",$AP733-$AO733)</f>
        <v/>
      </c>
      <c r="AR733" s="24">
        <f>IF($S733="EXACT_COLLECTION_AMOUNT","BREAKDOWN_REQUIRED",IF($AQ733="","",IF($AQ733&gt;0,"CREDIT_TO_MERCHANT",IF($AQ733&lt;0,"DEDUCT_FROM_MERCHANT","NO_ADJUSTMENT"))))</f>
        <v/>
      </c>
      <c r="AS733" s="23">
        <f>IF(OR($AQ733="",$AR733="BREAKDOWN_REQUIRED"),"",$AQ733)</f>
        <v/>
      </c>
      <c r="AT733" s="23">
        <f>IF(OR($AR733="",$AR733="BREAKDOWN_REQUIRED"),"",SUM($J733,$AQ733,$Y733)-$X733)</f>
        <v/>
      </c>
      <c r="AU733" s="25">
        <f>IF(AND($A733="",$B733="",$F733="",$H733="",$J733="",$K733="",$M733="",$S733=""),"",IF(OR($H733="",$Q733="",$M733="",$S733=""),"ERROR",IF(OR($J733&lt;0,$K733&lt;0,$M733&lt;0,$T733&lt;0,$U733&lt;0,$V733&lt;0,$W733&lt;0,$X733&lt;0,$Y733&lt;0),"ERROR",IF($AE733="","ERROR",IF(AND(OR($S733="ITEM_PRICE_PLUS_DECLARED_DELIVERY",$S733="TOTAL_AMOUNT_INCLUDING_DELIVERY",$S733="ITEM_PRICE_ONLY_DELIVERY_PAID_BY_MERCHANT"),$J733=""),"ERROR",IF(AND(OR($S733="ITEM_PRICE_PLUS_DECLARED_DELIVERY",$S733="DELIVERY_CHARGE_ONLY"),$K733=""),"ERROR",IF(AND(OR($S733="TOTAL_AMOUNT_INCLUDING_DELIVERY",$S733="EXACT_COLLECTION_AMOUNT"),$T733=""),"ERROR",IF(AND($S733="TOTAL_AMOUNT_INCLUDING_DELIVERY",$T733&lt;SUM($J733,$U733)),"ERROR",IF($S733="EXACT_COLLECTION_AMOUNT","REVIEW","OK")))))))))</f>
        <v/>
      </c>
      <c r="AV733" s="25">
        <f>IF($AU733="","",IF($H733="","Township required",IF($Q733="","Customer tier required",IF($M733="","Weight required",IF($S733="","Amount entry type required",IF(OR($J733&lt;0,$K733&lt;0,$M733&lt;0,$T733&lt;0,$U733&lt;0,$V733&lt;0,$W733&lt;0,$X733&lt;0,$Y733&lt;0),"Negative amounts are not allowed",IF($AE733="","Tariff not found for township and tier",IF(AND(OR($S733="ITEM_PRICE_PLUS_DECLARED_DELIVERY",$S733="TOTAL_AMOUNT_INCLUDING_DELIVERY",$S733="ITEM_PRICE_ONLY_DELIVERY_PAID_BY_MERCHANT"),$J733=""),"Item price required for this amount type",IF(AND(OR($S733="ITEM_PRICE_PLUS_DECLARED_DELIVERY",$S733="DELIVERY_CHARGE_ONLY"),$K733=""),"Declared delivery charge required",IF(AND(OR($S733="TOTAL_AMOUNT_INCLUDING_DELIVERY",$S733="EXACT_COLLECTION_AMOUNT"),$T733=""),"Stated total amount required",IF(AND($S733="TOTAL_AMOUNT_INCLUDING_DELIVERY",$T733&lt;SUM($J733,$U733)),"Stated total is below item price plus additional charge",IF($S733="EXACT_COLLECTION_AMOUNT","Authorized amount breakdown required before settlement","Ready for collection and settlement"))))))))))))</f>
        <v/>
      </c>
      <c r="AW733" s="23">
        <f>IF($AU733="","","PARCEL_FINANCIAL_V2")</f>
        <v/>
      </c>
      <c r="AX733" s="17" t="n"/>
    </row>
    <row r="734">
      <c r="A734" s="8" t="n"/>
      <c r="B734" s="8" t="n"/>
      <c r="C734" s="8" t="n"/>
      <c r="D734" s="8" t="n"/>
      <c r="E734" s="9" t="n"/>
      <c r="F734" s="9" t="n"/>
      <c r="G734" s="8" t="n"/>
      <c r="H734" s="9" t="n"/>
      <c r="I734" s="9" t="n"/>
      <c r="J734" s="10" t="n"/>
      <c r="K734" s="10" t="n"/>
      <c r="L734" s="11">
        <f>IF($S734="","",IF($S734="ITEM_PRICE_PLUS_DECLARED_DELIVERY",IF(OR($J734="",$K734=""),"",SUM($J734,$K734,$U734)),IF($S734="TOTAL_AMOUNT_INCLUDING_DELIVERY",IF($T734="","",$T734),IF($S734="DELIVERY_CHARGE_ONLY",IF($K734="","",SUM($K734,$U734)),IF($S734="EXACT_COLLECTION_AMOUNT",IF($T734="","",$T734),IF($S734="ITEM_PRICE_ONLY_DELIVERY_PAID_BY_MERCHANT",IF($J734="","",SUM($J734,$U734)),""))))))</f>
        <v/>
      </c>
      <c r="M734" s="12" t="n"/>
      <c r="N734" s="13" t="n"/>
      <c r="O734" s="13" t="n"/>
      <c r="P734" s="9" t="n"/>
      <c r="Q734" s="14" t="n"/>
      <c r="R734" s="15" t="n"/>
      <c r="S734" s="14" t="n"/>
      <c r="T734" s="16" t="n"/>
      <c r="U734" s="16" t="n"/>
      <c r="V734" s="16" t="n"/>
      <c r="W734" s="16" t="n"/>
      <c r="X734" s="16" t="n"/>
      <c r="Y734" s="16" t="n"/>
      <c r="Z734" s="14" t="n"/>
      <c r="AA734" s="14" t="n"/>
      <c r="AB734" s="14" t="n"/>
      <c r="AC734" s="17">
        <f>IFERROR(VLOOKUP($H734&amp;"|"&amp;$Q734,Tariff_Master!$A$2:$L$169,3,FALSE),"")</f>
        <v/>
      </c>
      <c r="AD734" s="17">
        <f>IFERROR(VLOOKUP($H734&amp;"|"&amp;$Q734,Tariff_Master!$A$2:$L$169,4,FALSE),"")</f>
        <v/>
      </c>
      <c r="AE734" s="18">
        <f>IFERROR(VLOOKUP($H734&amp;"|"&amp;$Q734,Tariff_Master!$A$2:$L$169,6,FALSE),"")</f>
        <v/>
      </c>
      <c r="AF734" s="19">
        <f>IFERROR(VLOOKUP($H734&amp;"|"&amp;$Q734,Tariff_Master!$A$2:$L$169,7,FALSE),"")</f>
        <v/>
      </c>
      <c r="AG734" s="18">
        <f>IFERROR(VLOOKUP($H734&amp;"|"&amp;$Q734,Tariff_Master!$A$2:$L$169,8,FALSE),"")</f>
        <v/>
      </c>
      <c r="AH734" s="20">
        <f>IFERROR(VLOOKUP($H734&amp;"|"&amp;$Q734,Tariff_Master!$A$2:$L$169,9,FALSE),"")</f>
        <v/>
      </c>
      <c r="AI734" s="18">
        <f>IFERROR(VLOOKUP($H734&amp;"|"&amp;$Q734,Tariff_Master!$A$2:$L$169,10,FALSE),"")</f>
        <v/>
      </c>
      <c r="AJ734" s="21">
        <f>IF($M734="","",ROUNDUP(MAX(0,$M734),0))</f>
        <v/>
      </c>
      <c r="AK734" s="21">
        <f>IF(OR($AJ734="",$AF734=""),"",MAX(0,$AJ734-$AF734))</f>
        <v/>
      </c>
      <c r="AL734" s="22">
        <f>IF(OR($AK734="",$AG734=""),"",MAX(0,$AK734*$AG734))</f>
        <v/>
      </c>
      <c r="AM734" s="22">
        <f>IF($AE734="","",MAX(0,SUM($AE734,$AL734,$V734,$W734)))</f>
        <v/>
      </c>
      <c r="AN734" s="22">
        <f>IF($AM734="","",IF(AND($Q734="COMMITMENT",$R734&gt;=$AH734),$AI734,0))</f>
        <v/>
      </c>
      <c r="AO734" s="23">
        <f>IF($AM734="","",MAX(0,$AM734-$AN734))</f>
        <v/>
      </c>
      <c r="AP734" s="22">
        <f>IF($S734="","",IF(OR($S734="ITEM_PRICE_PLUS_DECLARED_DELIVERY",$S734="DELIVERY_CHARGE_ONLY"),$K734,IF($S734="TOTAL_AMOUNT_INCLUDING_DELIVERY",IF(OR($T734="",$J734=""),"",MAX(0,$T734-$J734-$U734)),IF($S734="ITEM_PRICE_ONLY_DELIVERY_PAID_BY_MERCHANT",0,""))))</f>
        <v/>
      </c>
      <c r="AQ734" s="23">
        <f>IF(OR($AP734="",$AO734=""),"",$AP734-$AO734)</f>
        <v/>
      </c>
      <c r="AR734" s="24">
        <f>IF($S734="EXACT_COLLECTION_AMOUNT","BREAKDOWN_REQUIRED",IF($AQ734="","",IF($AQ734&gt;0,"CREDIT_TO_MERCHANT",IF($AQ734&lt;0,"DEDUCT_FROM_MERCHANT","NO_ADJUSTMENT"))))</f>
        <v/>
      </c>
      <c r="AS734" s="23">
        <f>IF(OR($AQ734="",$AR734="BREAKDOWN_REQUIRED"),"",$AQ734)</f>
        <v/>
      </c>
      <c r="AT734" s="23">
        <f>IF(OR($AR734="",$AR734="BREAKDOWN_REQUIRED"),"",SUM($J734,$AQ734,$Y734)-$X734)</f>
        <v/>
      </c>
      <c r="AU734" s="25">
        <f>IF(AND($A734="",$B734="",$F734="",$H734="",$J734="",$K734="",$M734="",$S734=""),"",IF(OR($H734="",$Q734="",$M734="",$S734=""),"ERROR",IF(OR($J734&lt;0,$K734&lt;0,$M734&lt;0,$T734&lt;0,$U734&lt;0,$V734&lt;0,$W734&lt;0,$X734&lt;0,$Y734&lt;0),"ERROR",IF($AE734="","ERROR",IF(AND(OR($S734="ITEM_PRICE_PLUS_DECLARED_DELIVERY",$S734="TOTAL_AMOUNT_INCLUDING_DELIVERY",$S734="ITEM_PRICE_ONLY_DELIVERY_PAID_BY_MERCHANT"),$J734=""),"ERROR",IF(AND(OR($S734="ITEM_PRICE_PLUS_DECLARED_DELIVERY",$S734="DELIVERY_CHARGE_ONLY"),$K734=""),"ERROR",IF(AND(OR($S734="TOTAL_AMOUNT_INCLUDING_DELIVERY",$S734="EXACT_COLLECTION_AMOUNT"),$T734=""),"ERROR",IF(AND($S734="TOTAL_AMOUNT_INCLUDING_DELIVERY",$T734&lt;SUM($J734,$U734)),"ERROR",IF($S734="EXACT_COLLECTION_AMOUNT","REVIEW","OK")))))))))</f>
        <v/>
      </c>
      <c r="AV734" s="25">
        <f>IF($AU734="","",IF($H734="","Township required",IF($Q734="","Customer tier required",IF($M734="","Weight required",IF($S734="","Amount entry type required",IF(OR($J734&lt;0,$K734&lt;0,$M734&lt;0,$T734&lt;0,$U734&lt;0,$V734&lt;0,$W734&lt;0,$X734&lt;0,$Y734&lt;0),"Negative amounts are not allowed",IF($AE734="","Tariff not found for township and tier",IF(AND(OR($S734="ITEM_PRICE_PLUS_DECLARED_DELIVERY",$S734="TOTAL_AMOUNT_INCLUDING_DELIVERY",$S734="ITEM_PRICE_ONLY_DELIVERY_PAID_BY_MERCHANT"),$J734=""),"Item price required for this amount type",IF(AND(OR($S734="ITEM_PRICE_PLUS_DECLARED_DELIVERY",$S734="DELIVERY_CHARGE_ONLY"),$K734=""),"Declared delivery charge required",IF(AND(OR($S734="TOTAL_AMOUNT_INCLUDING_DELIVERY",$S734="EXACT_COLLECTION_AMOUNT"),$T734=""),"Stated total amount required",IF(AND($S734="TOTAL_AMOUNT_INCLUDING_DELIVERY",$T734&lt;SUM($J734,$U734)),"Stated total is below item price plus additional charge",IF($S734="EXACT_COLLECTION_AMOUNT","Authorized amount breakdown required before settlement","Ready for collection and settlement"))))))))))))</f>
        <v/>
      </c>
      <c r="AW734" s="23">
        <f>IF($AU734="","","PARCEL_FINANCIAL_V2")</f>
        <v/>
      </c>
      <c r="AX734" s="17" t="n"/>
    </row>
    <row r="735">
      <c r="A735" s="8" t="n"/>
      <c r="B735" s="8" t="n"/>
      <c r="C735" s="8" t="n"/>
      <c r="D735" s="8" t="n"/>
      <c r="E735" s="9" t="n"/>
      <c r="F735" s="9" t="n"/>
      <c r="G735" s="8" t="n"/>
      <c r="H735" s="9" t="n"/>
      <c r="I735" s="9" t="n"/>
      <c r="J735" s="10" t="n"/>
      <c r="K735" s="10" t="n"/>
      <c r="L735" s="11">
        <f>IF($S735="","",IF($S735="ITEM_PRICE_PLUS_DECLARED_DELIVERY",IF(OR($J735="",$K735=""),"",SUM($J735,$K735,$U735)),IF($S735="TOTAL_AMOUNT_INCLUDING_DELIVERY",IF($T735="","",$T735),IF($S735="DELIVERY_CHARGE_ONLY",IF($K735="","",SUM($K735,$U735)),IF($S735="EXACT_COLLECTION_AMOUNT",IF($T735="","",$T735),IF($S735="ITEM_PRICE_ONLY_DELIVERY_PAID_BY_MERCHANT",IF($J735="","",SUM($J735,$U735)),""))))))</f>
        <v/>
      </c>
      <c r="M735" s="12" t="n"/>
      <c r="N735" s="13" t="n"/>
      <c r="O735" s="13" t="n"/>
      <c r="P735" s="9" t="n"/>
      <c r="Q735" s="14" t="n"/>
      <c r="R735" s="15" t="n"/>
      <c r="S735" s="14" t="n"/>
      <c r="T735" s="16" t="n"/>
      <c r="U735" s="16" t="n"/>
      <c r="V735" s="16" t="n"/>
      <c r="W735" s="16" t="n"/>
      <c r="X735" s="16" t="n"/>
      <c r="Y735" s="16" t="n"/>
      <c r="Z735" s="14" t="n"/>
      <c r="AA735" s="14" t="n"/>
      <c r="AB735" s="14" t="n"/>
      <c r="AC735" s="17">
        <f>IFERROR(VLOOKUP($H735&amp;"|"&amp;$Q735,Tariff_Master!$A$2:$L$169,3,FALSE),"")</f>
        <v/>
      </c>
      <c r="AD735" s="17">
        <f>IFERROR(VLOOKUP($H735&amp;"|"&amp;$Q735,Tariff_Master!$A$2:$L$169,4,FALSE),"")</f>
        <v/>
      </c>
      <c r="AE735" s="18">
        <f>IFERROR(VLOOKUP($H735&amp;"|"&amp;$Q735,Tariff_Master!$A$2:$L$169,6,FALSE),"")</f>
        <v/>
      </c>
      <c r="AF735" s="19">
        <f>IFERROR(VLOOKUP($H735&amp;"|"&amp;$Q735,Tariff_Master!$A$2:$L$169,7,FALSE),"")</f>
        <v/>
      </c>
      <c r="AG735" s="18">
        <f>IFERROR(VLOOKUP($H735&amp;"|"&amp;$Q735,Tariff_Master!$A$2:$L$169,8,FALSE),"")</f>
        <v/>
      </c>
      <c r="AH735" s="20">
        <f>IFERROR(VLOOKUP($H735&amp;"|"&amp;$Q735,Tariff_Master!$A$2:$L$169,9,FALSE),"")</f>
        <v/>
      </c>
      <c r="AI735" s="18">
        <f>IFERROR(VLOOKUP($H735&amp;"|"&amp;$Q735,Tariff_Master!$A$2:$L$169,10,FALSE),"")</f>
        <v/>
      </c>
      <c r="AJ735" s="21">
        <f>IF($M735="","",ROUNDUP(MAX(0,$M735),0))</f>
        <v/>
      </c>
      <c r="AK735" s="21">
        <f>IF(OR($AJ735="",$AF735=""),"",MAX(0,$AJ735-$AF735))</f>
        <v/>
      </c>
      <c r="AL735" s="22">
        <f>IF(OR($AK735="",$AG735=""),"",MAX(0,$AK735*$AG735))</f>
        <v/>
      </c>
      <c r="AM735" s="22">
        <f>IF($AE735="","",MAX(0,SUM($AE735,$AL735,$V735,$W735)))</f>
        <v/>
      </c>
      <c r="AN735" s="22">
        <f>IF($AM735="","",IF(AND($Q735="COMMITMENT",$R735&gt;=$AH735),$AI735,0))</f>
        <v/>
      </c>
      <c r="AO735" s="23">
        <f>IF($AM735="","",MAX(0,$AM735-$AN735))</f>
        <v/>
      </c>
      <c r="AP735" s="22">
        <f>IF($S735="","",IF(OR($S735="ITEM_PRICE_PLUS_DECLARED_DELIVERY",$S735="DELIVERY_CHARGE_ONLY"),$K735,IF($S735="TOTAL_AMOUNT_INCLUDING_DELIVERY",IF(OR($T735="",$J735=""),"",MAX(0,$T735-$J735-$U735)),IF($S735="ITEM_PRICE_ONLY_DELIVERY_PAID_BY_MERCHANT",0,""))))</f>
        <v/>
      </c>
      <c r="AQ735" s="23">
        <f>IF(OR($AP735="",$AO735=""),"",$AP735-$AO735)</f>
        <v/>
      </c>
      <c r="AR735" s="24">
        <f>IF($S735="EXACT_COLLECTION_AMOUNT","BREAKDOWN_REQUIRED",IF($AQ735="","",IF($AQ735&gt;0,"CREDIT_TO_MERCHANT",IF($AQ735&lt;0,"DEDUCT_FROM_MERCHANT","NO_ADJUSTMENT"))))</f>
        <v/>
      </c>
      <c r="AS735" s="23">
        <f>IF(OR($AQ735="",$AR735="BREAKDOWN_REQUIRED"),"",$AQ735)</f>
        <v/>
      </c>
      <c r="AT735" s="23">
        <f>IF(OR($AR735="",$AR735="BREAKDOWN_REQUIRED"),"",SUM($J735,$AQ735,$Y735)-$X735)</f>
        <v/>
      </c>
      <c r="AU735" s="25">
        <f>IF(AND($A735="",$B735="",$F735="",$H735="",$J735="",$K735="",$M735="",$S735=""),"",IF(OR($H735="",$Q735="",$M735="",$S735=""),"ERROR",IF(OR($J735&lt;0,$K735&lt;0,$M735&lt;0,$T735&lt;0,$U735&lt;0,$V735&lt;0,$W735&lt;0,$X735&lt;0,$Y735&lt;0),"ERROR",IF($AE735="","ERROR",IF(AND(OR($S735="ITEM_PRICE_PLUS_DECLARED_DELIVERY",$S735="TOTAL_AMOUNT_INCLUDING_DELIVERY",$S735="ITEM_PRICE_ONLY_DELIVERY_PAID_BY_MERCHANT"),$J735=""),"ERROR",IF(AND(OR($S735="ITEM_PRICE_PLUS_DECLARED_DELIVERY",$S735="DELIVERY_CHARGE_ONLY"),$K735=""),"ERROR",IF(AND(OR($S735="TOTAL_AMOUNT_INCLUDING_DELIVERY",$S735="EXACT_COLLECTION_AMOUNT"),$T735=""),"ERROR",IF(AND($S735="TOTAL_AMOUNT_INCLUDING_DELIVERY",$T735&lt;SUM($J735,$U735)),"ERROR",IF($S735="EXACT_COLLECTION_AMOUNT","REVIEW","OK")))))))))</f>
        <v/>
      </c>
      <c r="AV735" s="25">
        <f>IF($AU735="","",IF($H735="","Township required",IF($Q735="","Customer tier required",IF($M735="","Weight required",IF($S735="","Amount entry type required",IF(OR($J735&lt;0,$K735&lt;0,$M735&lt;0,$T735&lt;0,$U735&lt;0,$V735&lt;0,$W735&lt;0,$X735&lt;0,$Y735&lt;0),"Negative amounts are not allowed",IF($AE735="","Tariff not found for township and tier",IF(AND(OR($S735="ITEM_PRICE_PLUS_DECLARED_DELIVERY",$S735="TOTAL_AMOUNT_INCLUDING_DELIVERY",$S735="ITEM_PRICE_ONLY_DELIVERY_PAID_BY_MERCHANT"),$J735=""),"Item price required for this amount type",IF(AND(OR($S735="ITEM_PRICE_PLUS_DECLARED_DELIVERY",$S735="DELIVERY_CHARGE_ONLY"),$K735=""),"Declared delivery charge required",IF(AND(OR($S735="TOTAL_AMOUNT_INCLUDING_DELIVERY",$S735="EXACT_COLLECTION_AMOUNT"),$T735=""),"Stated total amount required",IF(AND($S735="TOTAL_AMOUNT_INCLUDING_DELIVERY",$T735&lt;SUM($J735,$U735)),"Stated total is below item price plus additional charge",IF($S735="EXACT_COLLECTION_AMOUNT","Authorized amount breakdown required before settlement","Ready for collection and settlement"))))))))))))</f>
        <v/>
      </c>
      <c r="AW735" s="23">
        <f>IF($AU735="","","PARCEL_FINANCIAL_V2")</f>
        <v/>
      </c>
      <c r="AX735" s="17" t="n"/>
    </row>
    <row r="736">
      <c r="A736" s="8" t="n"/>
      <c r="B736" s="8" t="n"/>
      <c r="C736" s="8" t="n"/>
      <c r="D736" s="8" t="n"/>
      <c r="E736" s="9" t="n"/>
      <c r="F736" s="9" t="n"/>
      <c r="G736" s="8" t="n"/>
      <c r="H736" s="9" t="n"/>
      <c r="I736" s="9" t="n"/>
      <c r="J736" s="10" t="n"/>
      <c r="K736" s="10" t="n"/>
      <c r="L736" s="11">
        <f>IF($S736="","",IF($S736="ITEM_PRICE_PLUS_DECLARED_DELIVERY",IF(OR($J736="",$K736=""),"",SUM($J736,$K736,$U736)),IF($S736="TOTAL_AMOUNT_INCLUDING_DELIVERY",IF($T736="","",$T736),IF($S736="DELIVERY_CHARGE_ONLY",IF($K736="","",SUM($K736,$U736)),IF($S736="EXACT_COLLECTION_AMOUNT",IF($T736="","",$T736),IF($S736="ITEM_PRICE_ONLY_DELIVERY_PAID_BY_MERCHANT",IF($J736="","",SUM($J736,$U736)),""))))))</f>
        <v/>
      </c>
      <c r="M736" s="12" t="n"/>
      <c r="N736" s="13" t="n"/>
      <c r="O736" s="13" t="n"/>
      <c r="P736" s="9" t="n"/>
      <c r="Q736" s="14" t="n"/>
      <c r="R736" s="15" t="n"/>
      <c r="S736" s="14" t="n"/>
      <c r="T736" s="16" t="n"/>
      <c r="U736" s="16" t="n"/>
      <c r="V736" s="16" t="n"/>
      <c r="W736" s="16" t="n"/>
      <c r="X736" s="16" t="n"/>
      <c r="Y736" s="16" t="n"/>
      <c r="Z736" s="14" t="n"/>
      <c r="AA736" s="14" t="n"/>
      <c r="AB736" s="14" t="n"/>
      <c r="AC736" s="17">
        <f>IFERROR(VLOOKUP($H736&amp;"|"&amp;$Q736,Tariff_Master!$A$2:$L$169,3,FALSE),"")</f>
        <v/>
      </c>
      <c r="AD736" s="17">
        <f>IFERROR(VLOOKUP($H736&amp;"|"&amp;$Q736,Tariff_Master!$A$2:$L$169,4,FALSE),"")</f>
        <v/>
      </c>
      <c r="AE736" s="18">
        <f>IFERROR(VLOOKUP($H736&amp;"|"&amp;$Q736,Tariff_Master!$A$2:$L$169,6,FALSE),"")</f>
        <v/>
      </c>
      <c r="AF736" s="19">
        <f>IFERROR(VLOOKUP($H736&amp;"|"&amp;$Q736,Tariff_Master!$A$2:$L$169,7,FALSE),"")</f>
        <v/>
      </c>
      <c r="AG736" s="18">
        <f>IFERROR(VLOOKUP($H736&amp;"|"&amp;$Q736,Tariff_Master!$A$2:$L$169,8,FALSE),"")</f>
        <v/>
      </c>
      <c r="AH736" s="20">
        <f>IFERROR(VLOOKUP($H736&amp;"|"&amp;$Q736,Tariff_Master!$A$2:$L$169,9,FALSE),"")</f>
        <v/>
      </c>
      <c r="AI736" s="18">
        <f>IFERROR(VLOOKUP($H736&amp;"|"&amp;$Q736,Tariff_Master!$A$2:$L$169,10,FALSE),"")</f>
        <v/>
      </c>
      <c r="AJ736" s="21">
        <f>IF($M736="","",ROUNDUP(MAX(0,$M736),0))</f>
        <v/>
      </c>
      <c r="AK736" s="21">
        <f>IF(OR($AJ736="",$AF736=""),"",MAX(0,$AJ736-$AF736))</f>
        <v/>
      </c>
      <c r="AL736" s="22">
        <f>IF(OR($AK736="",$AG736=""),"",MAX(0,$AK736*$AG736))</f>
        <v/>
      </c>
      <c r="AM736" s="22">
        <f>IF($AE736="","",MAX(0,SUM($AE736,$AL736,$V736,$W736)))</f>
        <v/>
      </c>
      <c r="AN736" s="22">
        <f>IF($AM736="","",IF(AND($Q736="COMMITMENT",$R736&gt;=$AH736),$AI736,0))</f>
        <v/>
      </c>
      <c r="AO736" s="23">
        <f>IF($AM736="","",MAX(0,$AM736-$AN736))</f>
        <v/>
      </c>
      <c r="AP736" s="22">
        <f>IF($S736="","",IF(OR($S736="ITEM_PRICE_PLUS_DECLARED_DELIVERY",$S736="DELIVERY_CHARGE_ONLY"),$K736,IF($S736="TOTAL_AMOUNT_INCLUDING_DELIVERY",IF(OR($T736="",$J736=""),"",MAX(0,$T736-$J736-$U736)),IF($S736="ITEM_PRICE_ONLY_DELIVERY_PAID_BY_MERCHANT",0,""))))</f>
        <v/>
      </c>
      <c r="AQ736" s="23">
        <f>IF(OR($AP736="",$AO736=""),"",$AP736-$AO736)</f>
        <v/>
      </c>
      <c r="AR736" s="24">
        <f>IF($S736="EXACT_COLLECTION_AMOUNT","BREAKDOWN_REQUIRED",IF($AQ736="","",IF($AQ736&gt;0,"CREDIT_TO_MERCHANT",IF($AQ736&lt;0,"DEDUCT_FROM_MERCHANT","NO_ADJUSTMENT"))))</f>
        <v/>
      </c>
      <c r="AS736" s="23">
        <f>IF(OR($AQ736="",$AR736="BREAKDOWN_REQUIRED"),"",$AQ736)</f>
        <v/>
      </c>
      <c r="AT736" s="23">
        <f>IF(OR($AR736="",$AR736="BREAKDOWN_REQUIRED"),"",SUM($J736,$AQ736,$Y736)-$X736)</f>
        <v/>
      </c>
      <c r="AU736" s="25">
        <f>IF(AND($A736="",$B736="",$F736="",$H736="",$J736="",$K736="",$M736="",$S736=""),"",IF(OR($H736="",$Q736="",$M736="",$S736=""),"ERROR",IF(OR($J736&lt;0,$K736&lt;0,$M736&lt;0,$T736&lt;0,$U736&lt;0,$V736&lt;0,$W736&lt;0,$X736&lt;0,$Y736&lt;0),"ERROR",IF($AE736="","ERROR",IF(AND(OR($S736="ITEM_PRICE_PLUS_DECLARED_DELIVERY",$S736="TOTAL_AMOUNT_INCLUDING_DELIVERY",$S736="ITEM_PRICE_ONLY_DELIVERY_PAID_BY_MERCHANT"),$J736=""),"ERROR",IF(AND(OR($S736="ITEM_PRICE_PLUS_DECLARED_DELIVERY",$S736="DELIVERY_CHARGE_ONLY"),$K736=""),"ERROR",IF(AND(OR($S736="TOTAL_AMOUNT_INCLUDING_DELIVERY",$S736="EXACT_COLLECTION_AMOUNT"),$T736=""),"ERROR",IF(AND($S736="TOTAL_AMOUNT_INCLUDING_DELIVERY",$T736&lt;SUM($J736,$U736)),"ERROR",IF($S736="EXACT_COLLECTION_AMOUNT","REVIEW","OK")))))))))</f>
        <v/>
      </c>
      <c r="AV736" s="25">
        <f>IF($AU736="","",IF($H736="","Township required",IF($Q736="","Customer tier required",IF($M736="","Weight required",IF($S736="","Amount entry type required",IF(OR($J736&lt;0,$K736&lt;0,$M736&lt;0,$T736&lt;0,$U736&lt;0,$V736&lt;0,$W736&lt;0,$X736&lt;0,$Y736&lt;0),"Negative amounts are not allowed",IF($AE736="","Tariff not found for township and tier",IF(AND(OR($S736="ITEM_PRICE_PLUS_DECLARED_DELIVERY",$S736="TOTAL_AMOUNT_INCLUDING_DELIVERY",$S736="ITEM_PRICE_ONLY_DELIVERY_PAID_BY_MERCHANT"),$J736=""),"Item price required for this amount type",IF(AND(OR($S736="ITEM_PRICE_PLUS_DECLARED_DELIVERY",$S736="DELIVERY_CHARGE_ONLY"),$K736=""),"Declared delivery charge required",IF(AND(OR($S736="TOTAL_AMOUNT_INCLUDING_DELIVERY",$S736="EXACT_COLLECTION_AMOUNT"),$T736=""),"Stated total amount required",IF(AND($S736="TOTAL_AMOUNT_INCLUDING_DELIVERY",$T736&lt;SUM($J736,$U736)),"Stated total is below item price plus additional charge",IF($S736="EXACT_COLLECTION_AMOUNT","Authorized amount breakdown required before settlement","Ready for collection and settlement"))))))))))))</f>
        <v/>
      </c>
      <c r="AW736" s="23">
        <f>IF($AU736="","","PARCEL_FINANCIAL_V2")</f>
        <v/>
      </c>
      <c r="AX736" s="17" t="n"/>
    </row>
    <row r="737">
      <c r="A737" s="8" t="n"/>
      <c r="B737" s="8" t="n"/>
      <c r="C737" s="8" t="n"/>
      <c r="D737" s="8" t="n"/>
      <c r="E737" s="9" t="n"/>
      <c r="F737" s="9" t="n"/>
      <c r="G737" s="8" t="n"/>
      <c r="H737" s="9" t="n"/>
      <c r="I737" s="9" t="n"/>
      <c r="J737" s="10" t="n"/>
      <c r="K737" s="10" t="n"/>
      <c r="L737" s="11">
        <f>IF($S737="","",IF($S737="ITEM_PRICE_PLUS_DECLARED_DELIVERY",IF(OR($J737="",$K737=""),"",SUM($J737,$K737,$U737)),IF($S737="TOTAL_AMOUNT_INCLUDING_DELIVERY",IF($T737="","",$T737),IF($S737="DELIVERY_CHARGE_ONLY",IF($K737="","",SUM($K737,$U737)),IF($S737="EXACT_COLLECTION_AMOUNT",IF($T737="","",$T737),IF($S737="ITEM_PRICE_ONLY_DELIVERY_PAID_BY_MERCHANT",IF($J737="","",SUM($J737,$U737)),""))))))</f>
        <v/>
      </c>
      <c r="M737" s="12" t="n"/>
      <c r="N737" s="13" t="n"/>
      <c r="O737" s="13" t="n"/>
      <c r="P737" s="9" t="n"/>
      <c r="Q737" s="14" t="n"/>
      <c r="R737" s="15" t="n"/>
      <c r="S737" s="14" t="n"/>
      <c r="T737" s="16" t="n"/>
      <c r="U737" s="16" t="n"/>
      <c r="V737" s="16" t="n"/>
      <c r="W737" s="16" t="n"/>
      <c r="X737" s="16" t="n"/>
      <c r="Y737" s="16" t="n"/>
      <c r="Z737" s="14" t="n"/>
      <c r="AA737" s="14" t="n"/>
      <c r="AB737" s="14" t="n"/>
      <c r="AC737" s="17">
        <f>IFERROR(VLOOKUP($H737&amp;"|"&amp;$Q737,Tariff_Master!$A$2:$L$169,3,FALSE),"")</f>
        <v/>
      </c>
      <c r="AD737" s="17">
        <f>IFERROR(VLOOKUP($H737&amp;"|"&amp;$Q737,Tariff_Master!$A$2:$L$169,4,FALSE),"")</f>
        <v/>
      </c>
      <c r="AE737" s="18">
        <f>IFERROR(VLOOKUP($H737&amp;"|"&amp;$Q737,Tariff_Master!$A$2:$L$169,6,FALSE),"")</f>
        <v/>
      </c>
      <c r="AF737" s="19">
        <f>IFERROR(VLOOKUP($H737&amp;"|"&amp;$Q737,Tariff_Master!$A$2:$L$169,7,FALSE),"")</f>
        <v/>
      </c>
      <c r="AG737" s="18">
        <f>IFERROR(VLOOKUP($H737&amp;"|"&amp;$Q737,Tariff_Master!$A$2:$L$169,8,FALSE),"")</f>
        <v/>
      </c>
      <c r="AH737" s="20">
        <f>IFERROR(VLOOKUP($H737&amp;"|"&amp;$Q737,Tariff_Master!$A$2:$L$169,9,FALSE),"")</f>
        <v/>
      </c>
      <c r="AI737" s="18">
        <f>IFERROR(VLOOKUP($H737&amp;"|"&amp;$Q737,Tariff_Master!$A$2:$L$169,10,FALSE),"")</f>
        <v/>
      </c>
      <c r="AJ737" s="21">
        <f>IF($M737="","",ROUNDUP(MAX(0,$M737),0))</f>
        <v/>
      </c>
      <c r="AK737" s="21">
        <f>IF(OR($AJ737="",$AF737=""),"",MAX(0,$AJ737-$AF737))</f>
        <v/>
      </c>
      <c r="AL737" s="22">
        <f>IF(OR($AK737="",$AG737=""),"",MAX(0,$AK737*$AG737))</f>
        <v/>
      </c>
      <c r="AM737" s="22">
        <f>IF($AE737="","",MAX(0,SUM($AE737,$AL737,$V737,$W737)))</f>
        <v/>
      </c>
      <c r="AN737" s="22">
        <f>IF($AM737="","",IF(AND($Q737="COMMITMENT",$R737&gt;=$AH737),$AI737,0))</f>
        <v/>
      </c>
      <c r="AO737" s="23">
        <f>IF($AM737="","",MAX(0,$AM737-$AN737))</f>
        <v/>
      </c>
      <c r="AP737" s="22">
        <f>IF($S737="","",IF(OR($S737="ITEM_PRICE_PLUS_DECLARED_DELIVERY",$S737="DELIVERY_CHARGE_ONLY"),$K737,IF($S737="TOTAL_AMOUNT_INCLUDING_DELIVERY",IF(OR($T737="",$J737=""),"",MAX(0,$T737-$J737-$U737)),IF($S737="ITEM_PRICE_ONLY_DELIVERY_PAID_BY_MERCHANT",0,""))))</f>
        <v/>
      </c>
      <c r="AQ737" s="23">
        <f>IF(OR($AP737="",$AO737=""),"",$AP737-$AO737)</f>
        <v/>
      </c>
      <c r="AR737" s="24">
        <f>IF($S737="EXACT_COLLECTION_AMOUNT","BREAKDOWN_REQUIRED",IF($AQ737="","",IF($AQ737&gt;0,"CREDIT_TO_MERCHANT",IF($AQ737&lt;0,"DEDUCT_FROM_MERCHANT","NO_ADJUSTMENT"))))</f>
        <v/>
      </c>
      <c r="AS737" s="23">
        <f>IF(OR($AQ737="",$AR737="BREAKDOWN_REQUIRED"),"",$AQ737)</f>
        <v/>
      </c>
      <c r="AT737" s="23">
        <f>IF(OR($AR737="",$AR737="BREAKDOWN_REQUIRED"),"",SUM($J737,$AQ737,$Y737)-$X737)</f>
        <v/>
      </c>
      <c r="AU737" s="25">
        <f>IF(AND($A737="",$B737="",$F737="",$H737="",$J737="",$K737="",$M737="",$S737=""),"",IF(OR($H737="",$Q737="",$M737="",$S737=""),"ERROR",IF(OR($J737&lt;0,$K737&lt;0,$M737&lt;0,$T737&lt;0,$U737&lt;0,$V737&lt;0,$W737&lt;0,$X737&lt;0,$Y737&lt;0),"ERROR",IF($AE737="","ERROR",IF(AND(OR($S737="ITEM_PRICE_PLUS_DECLARED_DELIVERY",$S737="TOTAL_AMOUNT_INCLUDING_DELIVERY",$S737="ITEM_PRICE_ONLY_DELIVERY_PAID_BY_MERCHANT"),$J737=""),"ERROR",IF(AND(OR($S737="ITEM_PRICE_PLUS_DECLARED_DELIVERY",$S737="DELIVERY_CHARGE_ONLY"),$K737=""),"ERROR",IF(AND(OR($S737="TOTAL_AMOUNT_INCLUDING_DELIVERY",$S737="EXACT_COLLECTION_AMOUNT"),$T737=""),"ERROR",IF(AND($S737="TOTAL_AMOUNT_INCLUDING_DELIVERY",$T737&lt;SUM($J737,$U737)),"ERROR",IF($S737="EXACT_COLLECTION_AMOUNT","REVIEW","OK")))))))))</f>
        <v/>
      </c>
      <c r="AV737" s="25">
        <f>IF($AU737="","",IF($H737="","Township required",IF($Q737="","Customer tier required",IF($M737="","Weight required",IF($S737="","Amount entry type required",IF(OR($J737&lt;0,$K737&lt;0,$M737&lt;0,$T737&lt;0,$U737&lt;0,$V737&lt;0,$W737&lt;0,$X737&lt;0,$Y737&lt;0),"Negative amounts are not allowed",IF($AE737="","Tariff not found for township and tier",IF(AND(OR($S737="ITEM_PRICE_PLUS_DECLARED_DELIVERY",$S737="TOTAL_AMOUNT_INCLUDING_DELIVERY",$S737="ITEM_PRICE_ONLY_DELIVERY_PAID_BY_MERCHANT"),$J737=""),"Item price required for this amount type",IF(AND(OR($S737="ITEM_PRICE_PLUS_DECLARED_DELIVERY",$S737="DELIVERY_CHARGE_ONLY"),$K737=""),"Declared delivery charge required",IF(AND(OR($S737="TOTAL_AMOUNT_INCLUDING_DELIVERY",$S737="EXACT_COLLECTION_AMOUNT"),$T737=""),"Stated total amount required",IF(AND($S737="TOTAL_AMOUNT_INCLUDING_DELIVERY",$T737&lt;SUM($J737,$U737)),"Stated total is below item price plus additional charge",IF($S737="EXACT_COLLECTION_AMOUNT","Authorized amount breakdown required before settlement","Ready for collection and settlement"))))))))))))</f>
        <v/>
      </c>
      <c r="AW737" s="23">
        <f>IF($AU737="","","PARCEL_FINANCIAL_V2")</f>
        <v/>
      </c>
      <c r="AX737" s="17" t="n"/>
    </row>
    <row r="738">
      <c r="A738" s="8" t="n"/>
      <c r="B738" s="8" t="n"/>
      <c r="C738" s="8" t="n"/>
      <c r="D738" s="8" t="n"/>
      <c r="E738" s="9" t="n"/>
      <c r="F738" s="9" t="n"/>
      <c r="G738" s="8" t="n"/>
      <c r="H738" s="9" t="n"/>
      <c r="I738" s="9" t="n"/>
      <c r="J738" s="10" t="n"/>
      <c r="K738" s="10" t="n"/>
      <c r="L738" s="11">
        <f>IF($S738="","",IF($S738="ITEM_PRICE_PLUS_DECLARED_DELIVERY",IF(OR($J738="",$K738=""),"",SUM($J738,$K738,$U738)),IF($S738="TOTAL_AMOUNT_INCLUDING_DELIVERY",IF($T738="","",$T738),IF($S738="DELIVERY_CHARGE_ONLY",IF($K738="","",SUM($K738,$U738)),IF($S738="EXACT_COLLECTION_AMOUNT",IF($T738="","",$T738),IF($S738="ITEM_PRICE_ONLY_DELIVERY_PAID_BY_MERCHANT",IF($J738="","",SUM($J738,$U738)),""))))))</f>
        <v/>
      </c>
      <c r="M738" s="12" t="n"/>
      <c r="N738" s="13" t="n"/>
      <c r="O738" s="13" t="n"/>
      <c r="P738" s="9" t="n"/>
      <c r="Q738" s="14" t="n"/>
      <c r="R738" s="15" t="n"/>
      <c r="S738" s="14" t="n"/>
      <c r="T738" s="16" t="n"/>
      <c r="U738" s="16" t="n"/>
      <c r="V738" s="16" t="n"/>
      <c r="W738" s="16" t="n"/>
      <c r="X738" s="16" t="n"/>
      <c r="Y738" s="16" t="n"/>
      <c r="Z738" s="14" t="n"/>
      <c r="AA738" s="14" t="n"/>
      <c r="AB738" s="14" t="n"/>
      <c r="AC738" s="17">
        <f>IFERROR(VLOOKUP($H738&amp;"|"&amp;$Q738,Tariff_Master!$A$2:$L$169,3,FALSE),"")</f>
        <v/>
      </c>
      <c r="AD738" s="17">
        <f>IFERROR(VLOOKUP($H738&amp;"|"&amp;$Q738,Tariff_Master!$A$2:$L$169,4,FALSE),"")</f>
        <v/>
      </c>
      <c r="AE738" s="18">
        <f>IFERROR(VLOOKUP($H738&amp;"|"&amp;$Q738,Tariff_Master!$A$2:$L$169,6,FALSE),"")</f>
        <v/>
      </c>
      <c r="AF738" s="19">
        <f>IFERROR(VLOOKUP($H738&amp;"|"&amp;$Q738,Tariff_Master!$A$2:$L$169,7,FALSE),"")</f>
        <v/>
      </c>
      <c r="AG738" s="18">
        <f>IFERROR(VLOOKUP($H738&amp;"|"&amp;$Q738,Tariff_Master!$A$2:$L$169,8,FALSE),"")</f>
        <v/>
      </c>
      <c r="AH738" s="20">
        <f>IFERROR(VLOOKUP($H738&amp;"|"&amp;$Q738,Tariff_Master!$A$2:$L$169,9,FALSE),"")</f>
        <v/>
      </c>
      <c r="AI738" s="18">
        <f>IFERROR(VLOOKUP($H738&amp;"|"&amp;$Q738,Tariff_Master!$A$2:$L$169,10,FALSE),"")</f>
        <v/>
      </c>
      <c r="AJ738" s="21">
        <f>IF($M738="","",ROUNDUP(MAX(0,$M738),0))</f>
        <v/>
      </c>
      <c r="AK738" s="21">
        <f>IF(OR($AJ738="",$AF738=""),"",MAX(0,$AJ738-$AF738))</f>
        <v/>
      </c>
      <c r="AL738" s="22">
        <f>IF(OR($AK738="",$AG738=""),"",MAX(0,$AK738*$AG738))</f>
        <v/>
      </c>
      <c r="AM738" s="22">
        <f>IF($AE738="","",MAX(0,SUM($AE738,$AL738,$V738,$W738)))</f>
        <v/>
      </c>
      <c r="AN738" s="22">
        <f>IF($AM738="","",IF(AND($Q738="COMMITMENT",$R738&gt;=$AH738),$AI738,0))</f>
        <v/>
      </c>
      <c r="AO738" s="23">
        <f>IF($AM738="","",MAX(0,$AM738-$AN738))</f>
        <v/>
      </c>
      <c r="AP738" s="22">
        <f>IF($S738="","",IF(OR($S738="ITEM_PRICE_PLUS_DECLARED_DELIVERY",$S738="DELIVERY_CHARGE_ONLY"),$K738,IF($S738="TOTAL_AMOUNT_INCLUDING_DELIVERY",IF(OR($T738="",$J738=""),"",MAX(0,$T738-$J738-$U738)),IF($S738="ITEM_PRICE_ONLY_DELIVERY_PAID_BY_MERCHANT",0,""))))</f>
        <v/>
      </c>
      <c r="AQ738" s="23">
        <f>IF(OR($AP738="",$AO738=""),"",$AP738-$AO738)</f>
        <v/>
      </c>
      <c r="AR738" s="24">
        <f>IF($S738="EXACT_COLLECTION_AMOUNT","BREAKDOWN_REQUIRED",IF($AQ738="","",IF($AQ738&gt;0,"CREDIT_TO_MERCHANT",IF($AQ738&lt;0,"DEDUCT_FROM_MERCHANT","NO_ADJUSTMENT"))))</f>
        <v/>
      </c>
      <c r="AS738" s="23">
        <f>IF(OR($AQ738="",$AR738="BREAKDOWN_REQUIRED"),"",$AQ738)</f>
        <v/>
      </c>
      <c r="AT738" s="23">
        <f>IF(OR($AR738="",$AR738="BREAKDOWN_REQUIRED"),"",SUM($J738,$AQ738,$Y738)-$X738)</f>
        <v/>
      </c>
      <c r="AU738" s="25">
        <f>IF(AND($A738="",$B738="",$F738="",$H738="",$J738="",$K738="",$M738="",$S738=""),"",IF(OR($H738="",$Q738="",$M738="",$S738=""),"ERROR",IF(OR($J738&lt;0,$K738&lt;0,$M738&lt;0,$T738&lt;0,$U738&lt;0,$V738&lt;0,$W738&lt;0,$X738&lt;0,$Y738&lt;0),"ERROR",IF($AE738="","ERROR",IF(AND(OR($S738="ITEM_PRICE_PLUS_DECLARED_DELIVERY",$S738="TOTAL_AMOUNT_INCLUDING_DELIVERY",$S738="ITEM_PRICE_ONLY_DELIVERY_PAID_BY_MERCHANT"),$J738=""),"ERROR",IF(AND(OR($S738="ITEM_PRICE_PLUS_DECLARED_DELIVERY",$S738="DELIVERY_CHARGE_ONLY"),$K738=""),"ERROR",IF(AND(OR($S738="TOTAL_AMOUNT_INCLUDING_DELIVERY",$S738="EXACT_COLLECTION_AMOUNT"),$T738=""),"ERROR",IF(AND($S738="TOTAL_AMOUNT_INCLUDING_DELIVERY",$T738&lt;SUM($J738,$U738)),"ERROR",IF($S738="EXACT_COLLECTION_AMOUNT","REVIEW","OK")))))))))</f>
        <v/>
      </c>
      <c r="AV738" s="25">
        <f>IF($AU738="","",IF($H738="","Township required",IF($Q738="","Customer tier required",IF($M738="","Weight required",IF($S738="","Amount entry type required",IF(OR($J738&lt;0,$K738&lt;0,$M738&lt;0,$T738&lt;0,$U738&lt;0,$V738&lt;0,$W738&lt;0,$X738&lt;0,$Y738&lt;0),"Negative amounts are not allowed",IF($AE738="","Tariff not found for township and tier",IF(AND(OR($S738="ITEM_PRICE_PLUS_DECLARED_DELIVERY",$S738="TOTAL_AMOUNT_INCLUDING_DELIVERY",$S738="ITEM_PRICE_ONLY_DELIVERY_PAID_BY_MERCHANT"),$J738=""),"Item price required for this amount type",IF(AND(OR($S738="ITEM_PRICE_PLUS_DECLARED_DELIVERY",$S738="DELIVERY_CHARGE_ONLY"),$K738=""),"Declared delivery charge required",IF(AND(OR($S738="TOTAL_AMOUNT_INCLUDING_DELIVERY",$S738="EXACT_COLLECTION_AMOUNT"),$T738=""),"Stated total amount required",IF(AND($S738="TOTAL_AMOUNT_INCLUDING_DELIVERY",$T738&lt;SUM($J738,$U738)),"Stated total is below item price plus additional charge",IF($S738="EXACT_COLLECTION_AMOUNT","Authorized amount breakdown required before settlement","Ready for collection and settlement"))))))))))))</f>
        <v/>
      </c>
      <c r="AW738" s="23">
        <f>IF($AU738="","","PARCEL_FINANCIAL_V2")</f>
        <v/>
      </c>
      <c r="AX738" s="17" t="n"/>
    </row>
    <row r="739">
      <c r="A739" s="8" t="n"/>
      <c r="B739" s="8" t="n"/>
      <c r="C739" s="8" t="n"/>
      <c r="D739" s="8" t="n"/>
      <c r="E739" s="9" t="n"/>
      <c r="F739" s="9" t="n"/>
      <c r="G739" s="8" t="n"/>
      <c r="H739" s="9" t="n"/>
      <c r="I739" s="9" t="n"/>
      <c r="J739" s="10" t="n"/>
      <c r="K739" s="10" t="n"/>
      <c r="L739" s="11">
        <f>IF($S739="","",IF($S739="ITEM_PRICE_PLUS_DECLARED_DELIVERY",IF(OR($J739="",$K739=""),"",SUM($J739,$K739,$U739)),IF($S739="TOTAL_AMOUNT_INCLUDING_DELIVERY",IF($T739="","",$T739),IF($S739="DELIVERY_CHARGE_ONLY",IF($K739="","",SUM($K739,$U739)),IF($S739="EXACT_COLLECTION_AMOUNT",IF($T739="","",$T739),IF($S739="ITEM_PRICE_ONLY_DELIVERY_PAID_BY_MERCHANT",IF($J739="","",SUM($J739,$U739)),""))))))</f>
        <v/>
      </c>
      <c r="M739" s="12" t="n"/>
      <c r="N739" s="13" t="n"/>
      <c r="O739" s="13" t="n"/>
      <c r="P739" s="9" t="n"/>
      <c r="Q739" s="14" t="n"/>
      <c r="R739" s="15" t="n"/>
      <c r="S739" s="14" t="n"/>
      <c r="T739" s="16" t="n"/>
      <c r="U739" s="16" t="n"/>
      <c r="V739" s="16" t="n"/>
      <c r="W739" s="16" t="n"/>
      <c r="X739" s="16" t="n"/>
      <c r="Y739" s="16" t="n"/>
      <c r="Z739" s="14" t="n"/>
      <c r="AA739" s="14" t="n"/>
      <c r="AB739" s="14" t="n"/>
      <c r="AC739" s="17">
        <f>IFERROR(VLOOKUP($H739&amp;"|"&amp;$Q739,Tariff_Master!$A$2:$L$169,3,FALSE),"")</f>
        <v/>
      </c>
      <c r="AD739" s="17">
        <f>IFERROR(VLOOKUP($H739&amp;"|"&amp;$Q739,Tariff_Master!$A$2:$L$169,4,FALSE),"")</f>
        <v/>
      </c>
      <c r="AE739" s="18">
        <f>IFERROR(VLOOKUP($H739&amp;"|"&amp;$Q739,Tariff_Master!$A$2:$L$169,6,FALSE),"")</f>
        <v/>
      </c>
      <c r="AF739" s="19">
        <f>IFERROR(VLOOKUP($H739&amp;"|"&amp;$Q739,Tariff_Master!$A$2:$L$169,7,FALSE),"")</f>
        <v/>
      </c>
      <c r="AG739" s="18">
        <f>IFERROR(VLOOKUP($H739&amp;"|"&amp;$Q739,Tariff_Master!$A$2:$L$169,8,FALSE),"")</f>
        <v/>
      </c>
      <c r="AH739" s="20">
        <f>IFERROR(VLOOKUP($H739&amp;"|"&amp;$Q739,Tariff_Master!$A$2:$L$169,9,FALSE),"")</f>
        <v/>
      </c>
      <c r="AI739" s="18">
        <f>IFERROR(VLOOKUP($H739&amp;"|"&amp;$Q739,Tariff_Master!$A$2:$L$169,10,FALSE),"")</f>
        <v/>
      </c>
      <c r="AJ739" s="21">
        <f>IF($M739="","",ROUNDUP(MAX(0,$M739),0))</f>
        <v/>
      </c>
      <c r="AK739" s="21">
        <f>IF(OR($AJ739="",$AF739=""),"",MAX(0,$AJ739-$AF739))</f>
        <v/>
      </c>
      <c r="AL739" s="22">
        <f>IF(OR($AK739="",$AG739=""),"",MAX(0,$AK739*$AG739))</f>
        <v/>
      </c>
      <c r="AM739" s="22">
        <f>IF($AE739="","",MAX(0,SUM($AE739,$AL739,$V739,$W739)))</f>
        <v/>
      </c>
      <c r="AN739" s="22">
        <f>IF($AM739="","",IF(AND($Q739="COMMITMENT",$R739&gt;=$AH739),$AI739,0))</f>
        <v/>
      </c>
      <c r="AO739" s="23">
        <f>IF($AM739="","",MAX(0,$AM739-$AN739))</f>
        <v/>
      </c>
      <c r="AP739" s="22">
        <f>IF($S739="","",IF(OR($S739="ITEM_PRICE_PLUS_DECLARED_DELIVERY",$S739="DELIVERY_CHARGE_ONLY"),$K739,IF($S739="TOTAL_AMOUNT_INCLUDING_DELIVERY",IF(OR($T739="",$J739=""),"",MAX(0,$T739-$J739-$U739)),IF($S739="ITEM_PRICE_ONLY_DELIVERY_PAID_BY_MERCHANT",0,""))))</f>
        <v/>
      </c>
      <c r="AQ739" s="23">
        <f>IF(OR($AP739="",$AO739=""),"",$AP739-$AO739)</f>
        <v/>
      </c>
      <c r="AR739" s="24">
        <f>IF($S739="EXACT_COLLECTION_AMOUNT","BREAKDOWN_REQUIRED",IF($AQ739="","",IF($AQ739&gt;0,"CREDIT_TO_MERCHANT",IF($AQ739&lt;0,"DEDUCT_FROM_MERCHANT","NO_ADJUSTMENT"))))</f>
        <v/>
      </c>
      <c r="AS739" s="23">
        <f>IF(OR($AQ739="",$AR739="BREAKDOWN_REQUIRED"),"",$AQ739)</f>
        <v/>
      </c>
      <c r="AT739" s="23">
        <f>IF(OR($AR739="",$AR739="BREAKDOWN_REQUIRED"),"",SUM($J739,$AQ739,$Y739)-$X739)</f>
        <v/>
      </c>
      <c r="AU739" s="25">
        <f>IF(AND($A739="",$B739="",$F739="",$H739="",$J739="",$K739="",$M739="",$S739=""),"",IF(OR($H739="",$Q739="",$M739="",$S739=""),"ERROR",IF(OR($J739&lt;0,$K739&lt;0,$M739&lt;0,$T739&lt;0,$U739&lt;0,$V739&lt;0,$W739&lt;0,$X739&lt;0,$Y739&lt;0),"ERROR",IF($AE739="","ERROR",IF(AND(OR($S739="ITEM_PRICE_PLUS_DECLARED_DELIVERY",$S739="TOTAL_AMOUNT_INCLUDING_DELIVERY",$S739="ITEM_PRICE_ONLY_DELIVERY_PAID_BY_MERCHANT"),$J739=""),"ERROR",IF(AND(OR($S739="ITEM_PRICE_PLUS_DECLARED_DELIVERY",$S739="DELIVERY_CHARGE_ONLY"),$K739=""),"ERROR",IF(AND(OR($S739="TOTAL_AMOUNT_INCLUDING_DELIVERY",$S739="EXACT_COLLECTION_AMOUNT"),$T739=""),"ERROR",IF(AND($S739="TOTAL_AMOUNT_INCLUDING_DELIVERY",$T739&lt;SUM($J739,$U739)),"ERROR",IF($S739="EXACT_COLLECTION_AMOUNT","REVIEW","OK")))))))))</f>
        <v/>
      </c>
      <c r="AV739" s="25">
        <f>IF($AU739="","",IF($H739="","Township required",IF($Q739="","Customer tier required",IF($M739="","Weight required",IF($S739="","Amount entry type required",IF(OR($J739&lt;0,$K739&lt;0,$M739&lt;0,$T739&lt;0,$U739&lt;0,$V739&lt;0,$W739&lt;0,$X739&lt;0,$Y739&lt;0),"Negative amounts are not allowed",IF($AE739="","Tariff not found for township and tier",IF(AND(OR($S739="ITEM_PRICE_PLUS_DECLARED_DELIVERY",$S739="TOTAL_AMOUNT_INCLUDING_DELIVERY",$S739="ITEM_PRICE_ONLY_DELIVERY_PAID_BY_MERCHANT"),$J739=""),"Item price required for this amount type",IF(AND(OR($S739="ITEM_PRICE_PLUS_DECLARED_DELIVERY",$S739="DELIVERY_CHARGE_ONLY"),$K739=""),"Declared delivery charge required",IF(AND(OR($S739="TOTAL_AMOUNT_INCLUDING_DELIVERY",$S739="EXACT_COLLECTION_AMOUNT"),$T739=""),"Stated total amount required",IF(AND($S739="TOTAL_AMOUNT_INCLUDING_DELIVERY",$T739&lt;SUM($J739,$U739)),"Stated total is below item price plus additional charge",IF($S739="EXACT_COLLECTION_AMOUNT","Authorized amount breakdown required before settlement","Ready for collection and settlement"))))))))))))</f>
        <v/>
      </c>
      <c r="AW739" s="23">
        <f>IF($AU739="","","PARCEL_FINANCIAL_V2")</f>
        <v/>
      </c>
      <c r="AX739" s="17" t="n"/>
    </row>
    <row r="740">
      <c r="A740" s="8" t="n"/>
      <c r="B740" s="8" t="n"/>
      <c r="C740" s="8" t="n"/>
      <c r="D740" s="8" t="n"/>
      <c r="E740" s="9" t="n"/>
      <c r="F740" s="9" t="n"/>
      <c r="G740" s="8" t="n"/>
      <c r="H740" s="9" t="n"/>
      <c r="I740" s="9" t="n"/>
      <c r="J740" s="10" t="n"/>
      <c r="K740" s="10" t="n"/>
      <c r="L740" s="11">
        <f>IF($S740="","",IF($S740="ITEM_PRICE_PLUS_DECLARED_DELIVERY",IF(OR($J740="",$K740=""),"",SUM($J740,$K740,$U740)),IF($S740="TOTAL_AMOUNT_INCLUDING_DELIVERY",IF($T740="","",$T740),IF($S740="DELIVERY_CHARGE_ONLY",IF($K740="","",SUM($K740,$U740)),IF($S740="EXACT_COLLECTION_AMOUNT",IF($T740="","",$T740),IF($S740="ITEM_PRICE_ONLY_DELIVERY_PAID_BY_MERCHANT",IF($J740="","",SUM($J740,$U740)),""))))))</f>
        <v/>
      </c>
      <c r="M740" s="12" t="n"/>
      <c r="N740" s="13" t="n"/>
      <c r="O740" s="13" t="n"/>
      <c r="P740" s="9" t="n"/>
      <c r="Q740" s="14" t="n"/>
      <c r="R740" s="15" t="n"/>
      <c r="S740" s="14" t="n"/>
      <c r="T740" s="16" t="n"/>
      <c r="U740" s="16" t="n"/>
      <c r="V740" s="16" t="n"/>
      <c r="W740" s="16" t="n"/>
      <c r="X740" s="16" t="n"/>
      <c r="Y740" s="16" t="n"/>
      <c r="Z740" s="14" t="n"/>
      <c r="AA740" s="14" t="n"/>
      <c r="AB740" s="14" t="n"/>
      <c r="AC740" s="17">
        <f>IFERROR(VLOOKUP($H740&amp;"|"&amp;$Q740,Tariff_Master!$A$2:$L$169,3,FALSE),"")</f>
        <v/>
      </c>
      <c r="AD740" s="17">
        <f>IFERROR(VLOOKUP($H740&amp;"|"&amp;$Q740,Tariff_Master!$A$2:$L$169,4,FALSE),"")</f>
        <v/>
      </c>
      <c r="AE740" s="18">
        <f>IFERROR(VLOOKUP($H740&amp;"|"&amp;$Q740,Tariff_Master!$A$2:$L$169,6,FALSE),"")</f>
        <v/>
      </c>
      <c r="AF740" s="19">
        <f>IFERROR(VLOOKUP($H740&amp;"|"&amp;$Q740,Tariff_Master!$A$2:$L$169,7,FALSE),"")</f>
        <v/>
      </c>
      <c r="AG740" s="18">
        <f>IFERROR(VLOOKUP($H740&amp;"|"&amp;$Q740,Tariff_Master!$A$2:$L$169,8,FALSE),"")</f>
        <v/>
      </c>
      <c r="AH740" s="20">
        <f>IFERROR(VLOOKUP($H740&amp;"|"&amp;$Q740,Tariff_Master!$A$2:$L$169,9,FALSE),"")</f>
        <v/>
      </c>
      <c r="AI740" s="18">
        <f>IFERROR(VLOOKUP($H740&amp;"|"&amp;$Q740,Tariff_Master!$A$2:$L$169,10,FALSE),"")</f>
        <v/>
      </c>
      <c r="AJ740" s="21">
        <f>IF($M740="","",ROUNDUP(MAX(0,$M740),0))</f>
        <v/>
      </c>
      <c r="AK740" s="21">
        <f>IF(OR($AJ740="",$AF740=""),"",MAX(0,$AJ740-$AF740))</f>
        <v/>
      </c>
      <c r="AL740" s="22">
        <f>IF(OR($AK740="",$AG740=""),"",MAX(0,$AK740*$AG740))</f>
        <v/>
      </c>
      <c r="AM740" s="22">
        <f>IF($AE740="","",MAX(0,SUM($AE740,$AL740,$V740,$W740)))</f>
        <v/>
      </c>
      <c r="AN740" s="22">
        <f>IF($AM740="","",IF(AND($Q740="COMMITMENT",$R740&gt;=$AH740),$AI740,0))</f>
        <v/>
      </c>
      <c r="AO740" s="23">
        <f>IF($AM740="","",MAX(0,$AM740-$AN740))</f>
        <v/>
      </c>
      <c r="AP740" s="22">
        <f>IF($S740="","",IF(OR($S740="ITEM_PRICE_PLUS_DECLARED_DELIVERY",$S740="DELIVERY_CHARGE_ONLY"),$K740,IF($S740="TOTAL_AMOUNT_INCLUDING_DELIVERY",IF(OR($T740="",$J740=""),"",MAX(0,$T740-$J740-$U740)),IF($S740="ITEM_PRICE_ONLY_DELIVERY_PAID_BY_MERCHANT",0,""))))</f>
        <v/>
      </c>
      <c r="AQ740" s="23">
        <f>IF(OR($AP740="",$AO740=""),"",$AP740-$AO740)</f>
        <v/>
      </c>
      <c r="AR740" s="24">
        <f>IF($S740="EXACT_COLLECTION_AMOUNT","BREAKDOWN_REQUIRED",IF($AQ740="","",IF($AQ740&gt;0,"CREDIT_TO_MERCHANT",IF($AQ740&lt;0,"DEDUCT_FROM_MERCHANT","NO_ADJUSTMENT"))))</f>
        <v/>
      </c>
      <c r="AS740" s="23">
        <f>IF(OR($AQ740="",$AR740="BREAKDOWN_REQUIRED"),"",$AQ740)</f>
        <v/>
      </c>
      <c r="AT740" s="23">
        <f>IF(OR($AR740="",$AR740="BREAKDOWN_REQUIRED"),"",SUM($J740,$AQ740,$Y740)-$X740)</f>
        <v/>
      </c>
      <c r="AU740" s="25">
        <f>IF(AND($A740="",$B740="",$F740="",$H740="",$J740="",$K740="",$M740="",$S740=""),"",IF(OR($H740="",$Q740="",$M740="",$S740=""),"ERROR",IF(OR($J740&lt;0,$K740&lt;0,$M740&lt;0,$T740&lt;0,$U740&lt;0,$V740&lt;0,$W740&lt;0,$X740&lt;0,$Y740&lt;0),"ERROR",IF($AE740="","ERROR",IF(AND(OR($S740="ITEM_PRICE_PLUS_DECLARED_DELIVERY",$S740="TOTAL_AMOUNT_INCLUDING_DELIVERY",$S740="ITEM_PRICE_ONLY_DELIVERY_PAID_BY_MERCHANT"),$J740=""),"ERROR",IF(AND(OR($S740="ITEM_PRICE_PLUS_DECLARED_DELIVERY",$S740="DELIVERY_CHARGE_ONLY"),$K740=""),"ERROR",IF(AND(OR($S740="TOTAL_AMOUNT_INCLUDING_DELIVERY",$S740="EXACT_COLLECTION_AMOUNT"),$T740=""),"ERROR",IF(AND($S740="TOTAL_AMOUNT_INCLUDING_DELIVERY",$T740&lt;SUM($J740,$U740)),"ERROR",IF($S740="EXACT_COLLECTION_AMOUNT","REVIEW","OK")))))))))</f>
        <v/>
      </c>
      <c r="AV740" s="25">
        <f>IF($AU740="","",IF($H740="","Township required",IF($Q740="","Customer tier required",IF($M740="","Weight required",IF($S740="","Amount entry type required",IF(OR($J740&lt;0,$K740&lt;0,$M740&lt;0,$T740&lt;0,$U740&lt;0,$V740&lt;0,$W740&lt;0,$X740&lt;0,$Y740&lt;0),"Negative amounts are not allowed",IF($AE740="","Tariff not found for township and tier",IF(AND(OR($S740="ITEM_PRICE_PLUS_DECLARED_DELIVERY",$S740="TOTAL_AMOUNT_INCLUDING_DELIVERY",$S740="ITEM_PRICE_ONLY_DELIVERY_PAID_BY_MERCHANT"),$J740=""),"Item price required for this amount type",IF(AND(OR($S740="ITEM_PRICE_PLUS_DECLARED_DELIVERY",$S740="DELIVERY_CHARGE_ONLY"),$K740=""),"Declared delivery charge required",IF(AND(OR($S740="TOTAL_AMOUNT_INCLUDING_DELIVERY",$S740="EXACT_COLLECTION_AMOUNT"),$T740=""),"Stated total amount required",IF(AND($S740="TOTAL_AMOUNT_INCLUDING_DELIVERY",$T740&lt;SUM($J740,$U740)),"Stated total is below item price plus additional charge",IF($S740="EXACT_COLLECTION_AMOUNT","Authorized amount breakdown required before settlement","Ready for collection and settlement"))))))))))))</f>
        <v/>
      </c>
      <c r="AW740" s="23">
        <f>IF($AU740="","","PARCEL_FINANCIAL_V2")</f>
        <v/>
      </c>
      <c r="AX740" s="17" t="n"/>
    </row>
    <row r="741">
      <c r="A741" s="8" t="n"/>
      <c r="B741" s="8" t="n"/>
      <c r="C741" s="8" t="n"/>
      <c r="D741" s="8" t="n"/>
      <c r="E741" s="9" t="n"/>
      <c r="F741" s="9" t="n"/>
      <c r="G741" s="8" t="n"/>
      <c r="H741" s="9" t="n"/>
      <c r="I741" s="9" t="n"/>
      <c r="J741" s="10" t="n"/>
      <c r="K741" s="10" t="n"/>
      <c r="L741" s="11">
        <f>IF($S741="","",IF($S741="ITEM_PRICE_PLUS_DECLARED_DELIVERY",IF(OR($J741="",$K741=""),"",SUM($J741,$K741,$U741)),IF($S741="TOTAL_AMOUNT_INCLUDING_DELIVERY",IF($T741="","",$T741),IF($S741="DELIVERY_CHARGE_ONLY",IF($K741="","",SUM($K741,$U741)),IF($S741="EXACT_COLLECTION_AMOUNT",IF($T741="","",$T741),IF($S741="ITEM_PRICE_ONLY_DELIVERY_PAID_BY_MERCHANT",IF($J741="","",SUM($J741,$U741)),""))))))</f>
        <v/>
      </c>
      <c r="M741" s="12" t="n"/>
      <c r="N741" s="13" t="n"/>
      <c r="O741" s="13" t="n"/>
      <c r="P741" s="9" t="n"/>
      <c r="Q741" s="14" t="n"/>
      <c r="R741" s="15" t="n"/>
      <c r="S741" s="14" t="n"/>
      <c r="T741" s="16" t="n"/>
      <c r="U741" s="16" t="n"/>
      <c r="V741" s="16" t="n"/>
      <c r="W741" s="16" t="n"/>
      <c r="X741" s="16" t="n"/>
      <c r="Y741" s="16" t="n"/>
      <c r="Z741" s="14" t="n"/>
      <c r="AA741" s="14" t="n"/>
      <c r="AB741" s="14" t="n"/>
      <c r="AC741" s="17">
        <f>IFERROR(VLOOKUP($H741&amp;"|"&amp;$Q741,Tariff_Master!$A$2:$L$169,3,FALSE),"")</f>
        <v/>
      </c>
      <c r="AD741" s="17">
        <f>IFERROR(VLOOKUP($H741&amp;"|"&amp;$Q741,Tariff_Master!$A$2:$L$169,4,FALSE),"")</f>
        <v/>
      </c>
      <c r="AE741" s="18">
        <f>IFERROR(VLOOKUP($H741&amp;"|"&amp;$Q741,Tariff_Master!$A$2:$L$169,6,FALSE),"")</f>
        <v/>
      </c>
      <c r="AF741" s="19">
        <f>IFERROR(VLOOKUP($H741&amp;"|"&amp;$Q741,Tariff_Master!$A$2:$L$169,7,FALSE),"")</f>
        <v/>
      </c>
      <c r="AG741" s="18">
        <f>IFERROR(VLOOKUP($H741&amp;"|"&amp;$Q741,Tariff_Master!$A$2:$L$169,8,FALSE),"")</f>
        <v/>
      </c>
      <c r="AH741" s="20">
        <f>IFERROR(VLOOKUP($H741&amp;"|"&amp;$Q741,Tariff_Master!$A$2:$L$169,9,FALSE),"")</f>
        <v/>
      </c>
      <c r="AI741" s="18">
        <f>IFERROR(VLOOKUP($H741&amp;"|"&amp;$Q741,Tariff_Master!$A$2:$L$169,10,FALSE),"")</f>
        <v/>
      </c>
      <c r="AJ741" s="21">
        <f>IF($M741="","",ROUNDUP(MAX(0,$M741),0))</f>
        <v/>
      </c>
      <c r="AK741" s="21">
        <f>IF(OR($AJ741="",$AF741=""),"",MAX(0,$AJ741-$AF741))</f>
        <v/>
      </c>
      <c r="AL741" s="22">
        <f>IF(OR($AK741="",$AG741=""),"",MAX(0,$AK741*$AG741))</f>
        <v/>
      </c>
      <c r="AM741" s="22">
        <f>IF($AE741="","",MAX(0,SUM($AE741,$AL741,$V741,$W741)))</f>
        <v/>
      </c>
      <c r="AN741" s="22">
        <f>IF($AM741="","",IF(AND($Q741="COMMITMENT",$R741&gt;=$AH741),$AI741,0))</f>
        <v/>
      </c>
      <c r="AO741" s="23">
        <f>IF($AM741="","",MAX(0,$AM741-$AN741))</f>
        <v/>
      </c>
      <c r="AP741" s="22">
        <f>IF($S741="","",IF(OR($S741="ITEM_PRICE_PLUS_DECLARED_DELIVERY",$S741="DELIVERY_CHARGE_ONLY"),$K741,IF($S741="TOTAL_AMOUNT_INCLUDING_DELIVERY",IF(OR($T741="",$J741=""),"",MAX(0,$T741-$J741-$U741)),IF($S741="ITEM_PRICE_ONLY_DELIVERY_PAID_BY_MERCHANT",0,""))))</f>
        <v/>
      </c>
      <c r="AQ741" s="23">
        <f>IF(OR($AP741="",$AO741=""),"",$AP741-$AO741)</f>
        <v/>
      </c>
      <c r="AR741" s="24">
        <f>IF($S741="EXACT_COLLECTION_AMOUNT","BREAKDOWN_REQUIRED",IF($AQ741="","",IF($AQ741&gt;0,"CREDIT_TO_MERCHANT",IF($AQ741&lt;0,"DEDUCT_FROM_MERCHANT","NO_ADJUSTMENT"))))</f>
        <v/>
      </c>
      <c r="AS741" s="23">
        <f>IF(OR($AQ741="",$AR741="BREAKDOWN_REQUIRED"),"",$AQ741)</f>
        <v/>
      </c>
      <c r="AT741" s="23">
        <f>IF(OR($AR741="",$AR741="BREAKDOWN_REQUIRED"),"",SUM($J741,$AQ741,$Y741)-$X741)</f>
        <v/>
      </c>
      <c r="AU741" s="25">
        <f>IF(AND($A741="",$B741="",$F741="",$H741="",$J741="",$K741="",$M741="",$S741=""),"",IF(OR($H741="",$Q741="",$M741="",$S741=""),"ERROR",IF(OR($J741&lt;0,$K741&lt;0,$M741&lt;0,$T741&lt;0,$U741&lt;0,$V741&lt;0,$W741&lt;0,$X741&lt;0,$Y741&lt;0),"ERROR",IF($AE741="","ERROR",IF(AND(OR($S741="ITEM_PRICE_PLUS_DECLARED_DELIVERY",$S741="TOTAL_AMOUNT_INCLUDING_DELIVERY",$S741="ITEM_PRICE_ONLY_DELIVERY_PAID_BY_MERCHANT"),$J741=""),"ERROR",IF(AND(OR($S741="ITEM_PRICE_PLUS_DECLARED_DELIVERY",$S741="DELIVERY_CHARGE_ONLY"),$K741=""),"ERROR",IF(AND(OR($S741="TOTAL_AMOUNT_INCLUDING_DELIVERY",$S741="EXACT_COLLECTION_AMOUNT"),$T741=""),"ERROR",IF(AND($S741="TOTAL_AMOUNT_INCLUDING_DELIVERY",$T741&lt;SUM($J741,$U741)),"ERROR",IF($S741="EXACT_COLLECTION_AMOUNT","REVIEW","OK")))))))))</f>
        <v/>
      </c>
      <c r="AV741" s="25">
        <f>IF($AU741="","",IF($H741="","Township required",IF($Q741="","Customer tier required",IF($M741="","Weight required",IF($S741="","Amount entry type required",IF(OR($J741&lt;0,$K741&lt;0,$M741&lt;0,$T741&lt;0,$U741&lt;0,$V741&lt;0,$W741&lt;0,$X741&lt;0,$Y741&lt;0),"Negative amounts are not allowed",IF($AE741="","Tariff not found for township and tier",IF(AND(OR($S741="ITEM_PRICE_PLUS_DECLARED_DELIVERY",$S741="TOTAL_AMOUNT_INCLUDING_DELIVERY",$S741="ITEM_PRICE_ONLY_DELIVERY_PAID_BY_MERCHANT"),$J741=""),"Item price required for this amount type",IF(AND(OR($S741="ITEM_PRICE_PLUS_DECLARED_DELIVERY",$S741="DELIVERY_CHARGE_ONLY"),$K741=""),"Declared delivery charge required",IF(AND(OR($S741="TOTAL_AMOUNT_INCLUDING_DELIVERY",$S741="EXACT_COLLECTION_AMOUNT"),$T741=""),"Stated total amount required",IF(AND($S741="TOTAL_AMOUNT_INCLUDING_DELIVERY",$T741&lt;SUM($J741,$U741)),"Stated total is below item price plus additional charge",IF($S741="EXACT_COLLECTION_AMOUNT","Authorized amount breakdown required before settlement","Ready for collection and settlement"))))))))))))</f>
        <v/>
      </c>
      <c r="AW741" s="23">
        <f>IF($AU741="","","PARCEL_FINANCIAL_V2")</f>
        <v/>
      </c>
      <c r="AX741" s="17" t="n"/>
    </row>
    <row r="742">
      <c r="A742" s="8" t="n"/>
      <c r="B742" s="8" t="n"/>
      <c r="C742" s="8" t="n"/>
      <c r="D742" s="8" t="n"/>
      <c r="E742" s="9" t="n"/>
      <c r="F742" s="9" t="n"/>
      <c r="G742" s="8" t="n"/>
      <c r="H742" s="9" t="n"/>
      <c r="I742" s="9" t="n"/>
      <c r="J742" s="10" t="n"/>
      <c r="K742" s="10" t="n"/>
      <c r="L742" s="11">
        <f>IF($S742="","",IF($S742="ITEM_PRICE_PLUS_DECLARED_DELIVERY",IF(OR($J742="",$K742=""),"",SUM($J742,$K742,$U742)),IF($S742="TOTAL_AMOUNT_INCLUDING_DELIVERY",IF($T742="","",$T742),IF($S742="DELIVERY_CHARGE_ONLY",IF($K742="","",SUM($K742,$U742)),IF($S742="EXACT_COLLECTION_AMOUNT",IF($T742="","",$T742),IF($S742="ITEM_PRICE_ONLY_DELIVERY_PAID_BY_MERCHANT",IF($J742="","",SUM($J742,$U742)),""))))))</f>
        <v/>
      </c>
      <c r="M742" s="12" t="n"/>
      <c r="N742" s="13" t="n"/>
      <c r="O742" s="13" t="n"/>
      <c r="P742" s="9" t="n"/>
      <c r="Q742" s="14" t="n"/>
      <c r="R742" s="15" t="n"/>
      <c r="S742" s="14" t="n"/>
      <c r="T742" s="16" t="n"/>
      <c r="U742" s="16" t="n"/>
      <c r="V742" s="16" t="n"/>
      <c r="W742" s="16" t="n"/>
      <c r="X742" s="16" t="n"/>
      <c r="Y742" s="16" t="n"/>
      <c r="Z742" s="14" t="n"/>
      <c r="AA742" s="14" t="n"/>
      <c r="AB742" s="14" t="n"/>
      <c r="AC742" s="17">
        <f>IFERROR(VLOOKUP($H742&amp;"|"&amp;$Q742,Tariff_Master!$A$2:$L$169,3,FALSE),"")</f>
        <v/>
      </c>
      <c r="AD742" s="17">
        <f>IFERROR(VLOOKUP($H742&amp;"|"&amp;$Q742,Tariff_Master!$A$2:$L$169,4,FALSE),"")</f>
        <v/>
      </c>
      <c r="AE742" s="18">
        <f>IFERROR(VLOOKUP($H742&amp;"|"&amp;$Q742,Tariff_Master!$A$2:$L$169,6,FALSE),"")</f>
        <v/>
      </c>
      <c r="AF742" s="19">
        <f>IFERROR(VLOOKUP($H742&amp;"|"&amp;$Q742,Tariff_Master!$A$2:$L$169,7,FALSE),"")</f>
        <v/>
      </c>
      <c r="AG742" s="18">
        <f>IFERROR(VLOOKUP($H742&amp;"|"&amp;$Q742,Tariff_Master!$A$2:$L$169,8,FALSE),"")</f>
        <v/>
      </c>
      <c r="AH742" s="20">
        <f>IFERROR(VLOOKUP($H742&amp;"|"&amp;$Q742,Tariff_Master!$A$2:$L$169,9,FALSE),"")</f>
        <v/>
      </c>
      <c r="AI742" s="18">
        <f>IFERROR(VLOOKUP($H742&amp;"|"&amp;$Q742,Tariff_Master!$A$2:$L$169,10,FALSE),"")</f>
        <v/>
      </c>
      <c r="AJ742" s="21">
        <f>IF($M742="","",ROUNDUP(MAX(0,$M742),0))</f>
        <v/>
      </c>
      <c r="AK742" s="21">
        <f>IF(OR($AJ742="",$AF742=""),"",MAX(0,$AJ742-$AF742))</f>
        <v/>
      </c>
      <c r="AL742" s="22">
        <f>IF(OR($AK742="",$AG742=""),"",MAX(0,$AK742*$AG742))</f>
        <v/>
      </c>
      <c r="AM742" s="22">
        <f>IF($AE742="","",MAX(0,SUM($AE742,$AL742,$V742,$W742)))</f>
        <v/>
      </c>
      <c r="AN742" s="22">
        <f>IF($AM742="","",IF(AND($Q742="COMMITMENT",$R742&gt;=$AH742),$AI742,0))</f>
        <v/>
      </c>
      <c r="AO742" s="23">
        <f>IF($AM742="","",MAX(0,$AM742-$AN742))</f>
        <v/>
      </c>
      <c r="AP742" s="22">
        <f>IF($S742="","",IF(OR($S742="ITEM_PRICE_PLUS_DECLARED_DELIVERY",$S742="DELIVERY_CHARGE_ONLY"),$K742,IF($S742="TOTAL_AMOUNT_INCLUDING_DELIVERY",IF(OR($T742="",$J742=""),"",MAX(0,$T742-$J742-$U742)),IF($S742="ITEM_PRICE_ONLY_DELIVERY_PAID_BY_MERCHANT",0,""))))</f>
        <v/>
      </c>
      <c r="AQ742" s="23">
        <f>IF(OR($AP742="",$AO742=""),"",$AP742-$AO742)</f>
        <v/>
      </c>
      <c r="AR742" s="24">
        <f>IF($S742="EXACT_COLLECTION_AMOUNT","BREAKDOWN_REQUIRED",IF($AQ742="","",IF($AQ742&gt;0,"CREDIT_TO_MERCHANT",IF($AQ742&lt;0,"DEDUCT_FROM_MERCHANT","NO_ADJUSTMENT"))))</f>
        <v/>
      </c>
      <c r="AS742" s="23">
        <f>IF(OR($AQ742="",$AR742="BREAKDOWN_REQUIRED"),"",$AQ742)</f>
        <v/>
      </c>
      <c r="AT742" s="23">
        <f>IF(OR($AR742="",$AR742="BREAKDOWN_REQUIRED"),"",SUM($J742,$AQ742,$Y742)-$X742)</f>
        <v/>
      </c>
      <c r="AU742" s="25">
        <f>IF(AND($A742="",$B742="",$F742="",$H742="",$J742="",$K742="",$M742="",$S742=""),"",IF(OR($H742="",$Q742="",$M742="",$S742=""),"ERROR",IF(OR($J742&lt;0,$K742&lt;0,$M742&lt;0,$T742&lt;0,$U742&lt;0,$V742&lt;0,$W742&lt;0,$X742&lt;0,$Y742&lt;0),"ERROR",IF($AE742="","ERROR",IF(AND(OR($S742="ITEM_PRICE_PLUS_DECLARED_DELIVERY",$S742="TOTAL_AMOUNT_INCLUDING_DELIVERY",$S742="ITEM_PRICE_ONLY_DELIVERY_PAID_BY_MERCHANT"),$J742=""),"ERROR",IF(AND(OR($S742="ITEM_PRICE_PLUS_DECLARED_DELIVERY",$S742="DELIVERY_CHARGE_ONLY"),$K742=""),"ERROR",IF(AND(OR($S742="TOTAL_AMOUNT_INCLUDING_DELIVERY",$S742="EXACT_COLLECTION_AMOUNT"),$T742=""),"ERROR",IF(AND($S742="TOTAL_AMOUNT_INCLUDING_DELIVERY",$T742&lt;SUM($J742,$U742)),"ERROR",IF($S742="EXACT_COLLECTION_AMOUNT","REVIEW","OK")))))))))</f>
        <v/>
      </c>
      <c r="AV742" s="25">
        <f>IF($AU742="","",IF($H742="","Township required",IF($Q742="","Customer tier required",IF($M742="","Weight required",IF($S742="","Amount entry type required",IF(OR($J742&lt;0,$K742&lt;0,$M742&lt;0,$T742&lt;0,$U742&lt;0,$V742&lt;0,$W742&lt;0,$X742&lt;0,$Y742&lt;0),"Negative amounts are not allowed",IF($AE742="","Tariff not found for township and tier",IF(AND(OR($S742="ITEM_PRICE_PLUS_DECLARED_DELIVERY",$S742="TOTAL_AMOUNT_INCLUDING_DELIVERY",$S742="ITEM_PRICE_ONLY_DELIVERY_PAID_BY_MERCHANT"),$J742=""),"Item price required for this amount type",IF(AND(OR($S742="ITEM_PRICE_PLUS_DECLARED_DELIVERY",$S742="DELIVERY_CHARGE_ONLY"),$K742=""),"Declared delivery charge required",IF(AND(OR($S742="TOTAL_AMOUNT_INCLUDING_DELIVERY",$S742="EXACT_COLLECTION_AMOUNT"),$T742=""),"Stated total amount required",IF(AND($S742="TOTAL_AMOUNT_INCLUDING_DELIVERY",$T742&lt;SUM($J742,$U742)),"Stated total is below item price plus additional charge",IF($S742="EXACT_COLLECTION_AMOUNT","Authorized amount breakdown required before settlement","Ready for collection and settlement"))))))))))))</f>
        <v/>
      </c>
      <c r="AW742" s="23">
        <f>IF($AU742="","","PARCEL_FINANCIAL_V2")</f>
        <v/>
      </c>
      <c r="AX742" s="17" t="n"/>
    </row>
    <row r="743">
      <c r="A743" s="8" t="n"/>
      <c r="B743" s="8" t="n"/>
      <c r="C743" s="8" t="n"/>
      <c r="D743" s="8" t="n"/>
      <c r="E743" s="9" t="n"/>
      <c r="F743" s="9" t="n"/>
      <c r="G743" s="8" t="n"/>
      <c r="H743" s="9" t="n"/>
      <c r="I743" s="9" t="n"/>
      <c r="J743" s="10" t="n"/>
      <c r="K743" s="10" t="n"/>
      <c r="L743" s="11">
        <f>IF($S743="","",IF($S743="ITEM_PRICE_PLUS_DECLARED_DELIVERY",IF(OR($J743="",$K743=""),"",SUM($J743,$K743,$U743)),IF($S743="TOTAL_AMOUNT_INCLUDING_DELIVERY",IF($T743="","",$T743),IF($S743="DELIVERY_CHARGE_ONLY",IF($K743="","",SUM($K743,$U743)),IF($S743="EXACT_COLLECTION_AMOUNT",IF($T743="","",$T743),IF($S743="ITEM_PRICE_ONLY_DELIVERY_PAID_BY_MERCHANT",IF($J743="","",SUM($J743,$U743)),""))))))</f>
        <v/>
      </c>
      <c r="M743" s="12" t="n"/>
      <c r="N743" s="13" t="n"/>
      <c r="O743" s="13" t="n"/>
      <c r="P743" s="9" t="n"/>
      <c r="Q743" s="14" t="n"/>
      <c r="R743" s="15" t="n"/>
      <c r="S743" s="14" t="n"/>
      <c r="T743" s="16" t="n"/>
      <c r="U743" s="16" t="n"/>
      <c r="V743" s="16" t="n"/>
      <c r="W743" s="16" t="n"/>
      <c r="X743" s="16" t="n"/>
      <c r="Y743" s="16" t="n"/>
      <c r="Z743" s="14" t="n"/>
      <c r="AA743" s="14" t="n"/>
      <c r="AB743" s="14" t="n"/>
      <c r="AC743" s="17">
        <f>IFERROR(VLOOKUP($H743&amp;"|"&amp;$Q743,Tariff_Master!$A$2:$L$169,3,FALSE),"")</f>
        <v/>
      </c>
      <c r="AD743" s="17">
        <f>IFERROR(VLOOKUP($H743&amp;"|"&amp;$Q743,Tariff_Master!$A$2:$L$169,4,FALSE),"")</f>
        <v/>
      </c>
      <c r="AE743" s="18">
        <f>IFERROR(VLOOKUP($H743&amp;"|"&amp;$Q743,Tariff_Master!$A$2:$L$169,6,FALSE),"")</f>
        <v/>
      </c>
      <c r="AF743" s="19">
        <f>IFERROR(VLOOKUP($H743&amp;"|"&amp;$Q743,Tariff_Master!$A$2:$L$169,7,FALSE),"")</f>
        <v/>
      </c>
      <c r="AG743" s="18">
        <f>IFERROR(VLOOKUP($H743&amp;"|"&amp;$Q743,Tariff_Master!$A$2:$L$169,8,FALSE),"")</f>
        <v/>
      </c>
      <c r="AH743" s="20">
        <f>IFERROR(VLOOKUP($H743&amp;"|"&amp;$Q743,Tariff_Master!$A$2:$L$169,9,FALSE),"")</f>
        <v/>
      </c>
      <c r="AI743" s="18">
        <f>IFERROR(VLOOKUP($H743&amp;"|"&amp;$Q743,Tariff_Master!$A$2:$L$169,10,FALSE),"")</f>
        <v/>
      </c>
      <c r="AJ743" s="21">
        <f>IF($M743="","",ROUNDUP(MAX(0,$M743),0))</f>
        <v/>
      </c>
      <c r="AK743" s="21">
        <f>IF(OR($AJ743="",$AF743=""),"",MAX(0,$AJ743-$AF743))</f>
        <v/>
      </c>
      <c r="AL743" s="22">
        <f>IF(OR($AK743="",$AG743=""),"",MAX(0,$AK743*$AG743))</f>
        <v/>
      </c>
      <c r="AM743" s="22">
        <f>IF($AE743="","",MAX(0,SUM($AE743,$AL743,$V743,$W743)))</f>
        <v/>
      </c>
      <c r="AN743" s="22">
        <f>IF($AM743="","",IF(AND($Q743="COMMITMENT",$R743&gt;=$AH743),$AI743,0))</f>
        <v/>
      </c>
      <c r="AO743" s="23">
        <f>IF($AM743="","",MAX(0,$AM743-$AN743))</f>
        <v/>
      </c>
      <c r="AP743" s="22">
        <f>IF($S743="","",IF(OR($S743="ITEM_PRICE_PLUS_DECLARED_DELIVERY",$S743="DELIVERY_CHARGE_ONLY"),$K743,IF($S743="TOTAL_AMOUNT_INCLUDING_DELIVERY",IF(OR($T743="",$J743=""),"",MAX(0,$T743-$J743-$U743)),IF($S743="ITEM_PRICE_ONLY_DELIVERY_PAID_BY_MERCHANT",0,""))))</f>
        <v/>
      </c>
      <c r="AQ743" s="23">
        <f>IF(OR($AP743="",$AO743=""),"",$AP743-$AO743)</f>
        <v/>
      </c>
      <c r="AR743" s="24">
        <f>IF($S743="EXACT_COLLECTION_AMOUNT","BREAKDOWN_REQUIRED",IF($AQ743="","",IF($AQ743&gt;0,"CREDIT_TO_MERCHANT",IF($AQ743&lt;0,"DEDUCT_FROM_MERCHANT","NO_ADJUSTMENT"))))</f>
        <v/>
      </c>
      <c r="AS743" s="23">
        <f>IF(OR($AQ743="",$AR743="BREAKDOWN_REQUIRED"),"",$AQ743)</f>
        <v/>
      </c>
      <c r="AT743" s="23">
        <f>IF(OR($AR743="",$AR743="BREAKDOWN_REQUIRED"),"",SUM($J743,$AQ743,$Y743)-$X743)</f>
        <v/>
      </c>
      <c r="AU743" s="25">
        <f>IF(AND($A743="",$B743="",$F743="",$H743="",$J743="",$K743="",$M743="",$S743=""),"",IF(OR($H743="",$Q743="",$M743="",$S743=""),"ERROR",IF(OR($J743&lt;0,$K743&lt;0,$M743&lt;0,$T743&lt;0,$U743&lt;0,$V743&lt;0,$W743&lt;0,$X743&lt;0,$Y743&lt;0),"ERROR",IF($AE743="","ERROR",IF(AND(OR($S743="ITEM_PRICE_PLUS_DECLARED_DELIVERY",$S743="TOTAL_AMOUNT_INCLUDING_DELIVERY",$S743="ITEM_PRICE_ONLY_DELIVERY_PAID_BY_MERCHANT"),$J743=""),"ERROR",IF(AND(OR($S743="ITEM_PRICE_PLUS_DECLARED_DELIVERY",$S743="DELIVERY_CHARGE_ONLY"),$K743=""),"ERROR",IF(AND(OR($S743="TOTAL_AMOUNT_INCLUDING_DELIVERY",$S743="EXACT_COLLECTION_AMOUNT"),$T743=""),"ERROR",IF(AND($S743="TOTAL_AMOUNT_INCLUDING_DELIVERY",$T743&lt;SUM($J743,$U743)),"ERROR",IF($S743="EXACT_COLLECTION_AMOUNT","REVIEW","OK")))))))))</f>
        <v/>
      </c>
      <c r="AV743" s="25">
        <f>IF($AU743="","",IF($H743="","Township required",IF($Q743="","Customer tier required",IF($M743="","Weight required",IF($S743="","Amount entry type required",IF(OR($J743&lt;0,$K743&lt;0,$M743&lt;0,$T743&lt;0,$U743&lt;0,$V743&lt;0,$W743&lt;0,$X743&lt;0,$Y743&lt;0),"Negative amounts are not allowed",IF($AE743="","Tariff not found for township and tier",IF(AND(OR($S743="ITEM_PRICE_PLUS_DECLARED_DELIVERY",$S743="TOTAL_AMOUNT_INCLUDING_DELIVERY",$S743="ITEM_PRICE_ONLY_DELIVERY_PAID_BY_MERCHANT"),$J743=""),"Item price required for this amount type",IF(AND(OR($S743="ITEM_PRICE_PLUS_DECLARED_DELIVERY",$S743="DELIVERY_CHARGE_ONLY"),$K743=""),"Declared delivery charge required",IF(AND(OR($S743="TOTAL_AMOUNT_INCLUDING_DELIVERY",$S743="EXACT_COLLECTION_AMOUNT"),$T743=""),"Stated total amount required",IF(AND($S743="TOTAL_AMOUNT_INCLUDING_DELIVERY",$T743&lt;SUM($J743,$U743)),"Stated total is below item price plus additional charge",IF($S743="EXACT_COLLECTION_AMOUNT","Authorized amount breakdown required before settlement","Ready for collection and settlement"))))))))))))</f>
        <v/>
      </c>
      <c r="AW743" s="23">
        <f>IF($AU743="","","PARCEL_FINANCIAL_V2")</f>
        <v/>
      </c>
      <c r="AX743" s="17" t="n"/>
    </row>
    <row r="744">
      <c r="A744" s="8" t="n"/>
      <c r="B744" s="8" t="n"/>
      <c r="C744" s="8" t="n"/>
      <c r="D744" s="8" t="n"/>
      <c r="E744" s="9" t="n"/>
      <c r="F744" s="9" t="n"/>
      <c r="G744" s="8" t="n"/>
      <c r="H744" s="9" t="n"/>
      <c r="I744" s="9" t="n"/>
      <c r="J744" s="10" t="n"/>
      <c r="K744" s="10" t="n"/>
      <c r="L744" s="11">
        <f>IF($S744="","",IF($S744="ITEM_PRICE_PLUS_DECLARED_DELIVERY",IF(OR($J744="",$K744=""),"",SUM($J744,$K744,$U744)),IF($S744="TOTAL_AMOUNT_INCLUDING_DELIVERY",IF($T744="","",$T744),IF($S744="DELIVERY_CHARGE_ONLY",IF($K744="","",SUM($K744,$U744)),IF($S744="EXACT_COLLECTION_AMOUNT",IF($T744="","",$T744),IF($S744="ITEM_PRICE_ONLY_DELIVERY_PAID_BY_MERCHANT",IF($J744="","",SUM($J744,$U744)),""))))))</f>
        <v/>
      </c>
      <c r="M744" s="12" t="n"/>
      <c r="N744" s="13" t="n"/>
      <c r="O744" s="13" t="n"/>
      <c r="P744" s="9" t="n"/>
      <c r="Q744" s="14" t="n"/>
      <c r="R744" s="15" t="n"/>
      <c r="S744" s="14" t="n"/>
      <c r="T744" s="16" t="n"/>
      <c r="U744" s="16" t="n"/>
      <c r="V744" s="16" t="n"/>
      <c r="W744" s="16" t="n"/>
      <c r="X744" s="16" t="n"/>
      <c r="Y744" s="16" t="n"/>
      <c r="Z744" s="14" t="n"/>
      <c r="AA744" s="14" t="n"/>
      <c r="AB744" s="14" t="n"/>
      <c r="AC744" s="17">
        <f>IFERROR(VLOOKUP($H744&amp;"|"&amp;$Q744,Tariff_Master!$A$2:$L$169,3,FALSE),"")</f>
        <v/>
      </c>
      <c r="AD744" s="17">
        <f>IFERROR(VLOOKUP($H744&amp;"|"&amp;$Q744,Tariff_Master!$A$2:$L$169,4,FALSE),"")</f>
        <v/>
      </c>
      <c r="AE744" s="18">
        <f>IFERROR(VLOOKUP($H744&amp;"|"&amp;$Q744,Tariff_Master!$A$2:$L$169,6,FALSE),"")</f>
        <v/>
      </c>
      <c r="AF744" s="19">
        <f>IFERROR(VLOOKUP($H744&amp;"|"&amp;$Q744,Tariff_Master!$A$2:$L$169,7,FALSE),"")</f>
        <v/>
      </c>
      <c r="AG744" s="18">
        <f>IFERROR(VLOOKUP($H744&amp;"|"&amp;$Q744,Tariff_Master!$A$2:$L$169,8,FALSE),"")</f>
        <v/>
      </c>
      <c r="AH744" s="20">
        <f>IFERROR(VLOOKUP($H744&amp;"|"&amp;$Q744,Tariff_Master!$A$2:$L$169,9,FALSE),"")</f>
        <v/>
      </c>
      <c r="AI744" s="18">
        <f>IFERROR(VLOOKUP($H744&amp;"|"&amp;$Q744,Tariff_Master!$A$2:$L$169,10,FALSE),"")</f>
        <v/>
      </c>
      <c r="AJ744" s="21">
        <f>IF($M744="","",ROUNDUP(MAX(0,$M744),0))</f>
        <v/>
      </c>
      <c r="AK744" s="21">
        <f>IF(OR($AJ744="",$AF744=""),"",MAX(0,$AJ744-$AF744))</f>
        <v/>
      </c>
      <c r="AL744" s="22">
        <f>IF(OR($AK744="",$AG744=""),"",MAX(0,$AK744*$AG744))</f>
        <v/>
      </c>
      <c r="AM744" s="22">
        <f>IF($AE744="","",MAX(0,SUM($AE744,$AL744,$V744,$W744)))</f>
        <v/>
      </c>
      <c r="AN744" s="22">
        <f>IF($AM744="","",IF(AND($Q744="COMMITMENT",$R744&gt;=$AH744),$AI744,0))</f>
        <v/>
      </c>
      <c r="AO744" s="23">
        <f>IF($AM744="","",MAX(0,$AM744-$AN744))</f>
        <v/>
      </c>
      <c r="AP744" s="22">
        <f>IF($S744="","",IF(OR($S744="ITEM_PRICE_PLUS_DECLARED_DELIVERY",$S744="DELIVERY_CHARGE_ONLY"),$K744,IF($S744="TOTAL_AMOUNT_INCLUDING_DELIVERY",IF(OR($T744="",$J744=""),"",MAX(0,$T744-$J744-$U744)),IF($S744="ITEM_PRICE_ONLY_DELIVERY_PAID_BY_MERCHANT",0,""))))</f>
        <v/>
      </c>
      <c r="AQ744" s="23">
        <f>IF(OR($AP744="",$AO744=""),"",$AP744-$AO744)</f>
        <v/>
      </c>
      <c r="AR744" s="24">
        <f>IF($S744="EXACT_COLLECTION_AMOUNT","BREAKDOWN_REQUIRED",IF($AQ744="","",IF($AQ744&gt;0,"CREDIT_TO_MERCHANT",IF($AQ744&lt;0,"DEDUCT_FROM_MERCHANT","NO_ADJUSTMENT"))))</f>
        <v/>
      </c>
      <c r="AS744" s="23">
        <f>IF(OR($AQ744="",$AR744="BREAKDOWN_REQUIRED"),"",$AQ744)</f>
        <v/>
      </c>
      <c r="AT744" s="23">
        <f>IF(OR($AR744="",$AR744="BREAKDOWN_REQUIRED"),"",SUM($J744,$AQ744,$Y744)-$X744)</f>
        <v/>
      </c>
      <c r="AU744" s="25">
        <f>IF(AND($A744="",$B744="",$F744="",$H744="",$J744="",$K744="",$M744="",$S744=""),"",IF(OR($H744="",$Q744="",$M744="",$S744=""),"ERROR",IF(OR($J744&lt;0,$K744&lt;0,$M744&lt;0,$T744&lt;0,$U744&lt;0,$V744&lt;0,$W744&lt;0,$X744&lt;0,$Y744&lt;0),"ERROR",IF($AE744="","ERROR",IF(AND(OR($S744="ITEM_PRICE_PLUS_DECLARED_DELIVERY",$S744="TOTAL_AMOUNT_INCLUDING_DELIVERY",$S744="ITEM_PRICE_ONLY_DELIVERY_PAID_BY_MERCHANT"),$J744=""),"ERROR",IF(AND(OR($S744="ITEM_PRICE_PLUS_DECLARED_DELIVERY",$S744="DELIVERY_CHARGE_ONLY"),$K744=""),"ERROR",IF(AND(OR($S744="TOTAL_AMOUNT_INCLUDING_DELIVERY",$S744="EXACT_COLLECTION_AMOUNT"),$T744=""),"ERROR",IF(AND($S744="TOTAL_AMOUNT_INCLUDING_DELIVERY",$T744&lt;SUM($J744,$U744)),"ERROR",IF($S744="EXACT_COLLECTION_AMOUNT","REVIEW","OK")))))))))</f>
        <v/>
      </c>
      <c r="AV744" s="25">
        <f>IF($AU744="","",IF($H744="","Township required",IF($Q744="","Customer tier required",IF($M744="","Weight required",IF($S744="","Amount entry type required",IF(OR($J744&lt;0,$K744&lt;0,$M744&lt;0,$T744&lt;0,$U744&lt;0,$V744&lt;0,$W744&lt;0,$X744&lt;0,$Y744&lt;0),"Negative amounts are not allowed",IF($AE744="","Tariff not found for township and tier",IF(AND(OR($S744="ITEM_PRICE_PLUS_DECLARED_DELIVERY",$S744="TOTAL_AMOUNT_INCLUDING_DELIVERY",$S744="ITEM_PRICE_ONLY_DELIVERY_PAID_BY_MERCHANT"),$J744=""),"Item price required for this amount type",IF(AND(OR($S744="ITEM_PRICE_PLUS_DECLARED_DELIVERY",$S744="DELIVERY_CHARGE_ONLY"),$K744=""),"Declared delivery charge required",IF(AND(OR($S744="TOTAL_AMOUNT_INCLUDING_DELIVERY",$S744="EXACT_COLLECTION_AMOUNT"),$T744=""),"Stated total amount required",IF(AND($S744="TOTAL_AMOUNT_INCLUDING_DELIVERY",$T744&lt;SUM($J744,$U744)),"Stated total is below item price plus additional charge",IF($S744="EXACT_COLLECTION_AMOUNT","Authorized amount breakdown required before settlement","Ready for collection and settlement"))))))))))))</f>
        <v/>
      </c>
      <c r="AW744" s="23">
        <f>IF($AU744="","","PARCEL_FINANCIAL_V2")</f>
        <v/>
      </c>
      <c r="AX744" s="17" t="n"/>
    </row>
    <row r="745">
      <c r="A745" s="8" t="n"/>
      <c r="B745" s="8" t="n"/>
      <c r="C745" s="8" t="n"/>
      <c r="D745" s="8" t="n"/>
      <c r="E745" s="9" t="n"/>
      <c r="F745" s="9" t="n"/>
      <c r="G745" s="8" t="n"/>
      <c r="H745" s="9" t="n"/>
      <c r="I745" s="9" t="n"/>
      <c r="J745" s="10" t="n"/>
      <c r="K745" s="10" t="n"/>
      <c r="L745" s="11">
        <f>IF($S745="","",IF($S745="ITEM_PRICE_PLUS_DECLARED_DELIVERY",IF(OR($J745="",$K745=""),"",SUM($J745,$K745,$U745)),IF($S745="TOTAL_AMOUNT_INCLUDING_DELIVERY",IF($T745="","",$T745),IF($S745="DELIVERY_CHARGE_ONLY",IF($K745="","",SUM($K745,$U745)),IF($S745="EXACT_COLLECTION_AMOUNT",IF($T745="","",$T745),IF($S745="ITEM_PRICE_ONLY_DELIVERY_PAID_BY_MERCHANT",IF($J745="","",SUM($J745,$U745)),""))))))</f>
        <v/>
      </c>
      <c r="M745" s="12" t="n"/>
      <c r="N745" s="13" t="n"/>
      <c r="O745" s="13" t="n"/>
      <c r="P745" s="9" t="n"/>
      <c r="Q745" s="14" t="n"/>
      <c r="R745" s="15" t="n"/>
      <c r="S745" s="14" t="n"/>
      <c r="T745" s="16" t="n"/>
      <c r="U745" s="16" t="n"/>
      <c r="V745" s="16" t="n"/>
      <c r="W745" s="16" t="n"/>
      <c r="X745" s="16" t="n"/>
      <c r="Y745" s="16" t="n"/>
      <c r="Z745" s="14" t="n"/>
      <c r="AA745" s="14" t="n"/>
      <c r="AB745" s="14" t="n"/>
      <c r="AC745" s="17">
        <f>IFERROR(VLOOKUP($H745&amp;"|"&amp;$Q745,Tariff_Master!$A$2:$L$169,3,FALSE),"")</f>
        <v/>
      </c>
      <c r="AD745" s="17">
        <f>IFERROR(VLOOKUP($H745&amp;"|"&amp;$Q745,Tariff_Master!$A$2:$L$169,4,FALSE),"")</f>
        <v/>
      </c>
      <c r="AE745" s="18">
        <f>IFERROR(VLOOKUP($H745&amp;"|"&amp;$Q745,Tariff_Master!$A$2:$L$169,6,FALSE),"")</f>
        <v/>
      </c>
      <c r="AF745" s="19">
        <f>IFERROR(VLOOKUP($H745&amp;"|"&amp;$Q745,Tariff_Master!$A$2:$L$169,7,FALSE),"")</f>
        <v/>
      </c>
      <c r="AG745" s="18">
        <f>IFERROR(VLOOKUP($H745&amp;"|"&amp;$Q745,Tariff_Master!$A$2:$L$169,8,FALSE),"")</f>
        <v/>
      </c>
      <c r="AH745" s="20">
        <f>IFERROR(VLOOKUP($H745&amp;"|"&amp;$Q745,Tariff_Master!$A$2:$L$169,9,FALSE),"")</f>
        <v/>
      </c>
      <c r="AI745" s="18">
        <f>IFERROR(VLOOKUP($H745&amp;"|"&amp;$Q745,Tariff_Master!$A$2:$L$169,10,FALSE),"")</f>
        <v/>
      </c>
      <c r="AJ745" s="21">
        <f>IF($M745="","",ROUNDUP(MAX(0,$M745),0))</f>
        <v/>
      </c>
      <c r="AK745" s="21">
        <f>IF(OR($AJ745="",$AF745=""),"",MAX(0,$AJ745-$AF745))</f>
        <v/>
      </c>
      <c r="AL745" s="22">
        <f>IF(OR($AK745="",$AG745=""),"",MAX(0,$AK745*$AG745))</f>
        <v/>
      </c>
      <c r="AM745" s="22">
        <f>IF($AE745="","",MAX(0,SUM($AE745,$AL745,$V745,$W745)))</f>
        <v/>
      </c>
      <c r="AN745" s="22">
        <f>IF($AM745="","",IF(AND($Q745="COMMITMENT",$R745&gt;=$AH745),$AI745,0))</f>
        <v/>
      </c>
      <c r="AO745" s="23">
        <f>IF($AM745="","",MAX(0,$AM745-$AN745))</f>
        <v/>
      </c>
      <c r="AP745" s="22">
        <f>IF($S745="","",IF(OR($S745="ITEM_PRICE_PLUS_DECLARED_DELIVERY",$S745="DELIVERY_CHARGE_ONLY"),$K745,IF($S745="TOTAL_AMOUNT_INCLUDING_DELIVERY",IF(OR($T745="",$J745=""),"",MAX(0,$T745-$J745-$U745)),IF($S745="ITEM_PRICE_ONLY_DELIVERY_PAID_BY_MERCHANT",0,""))))</f>
        <v/>
      </c>
      <c r="AQ745" s="23">
        <f>IF(OR($AP745="",$AO745=""),"",$AP745-$AO745)</f>
        <v/>
      </c>
      <c r="AR745" s="24">
        <f>IF($S745="EXACT_COLLECTION_AMOUNT","BREAKDOWN_REQUIRED",IF($AQ745="","",IF($AQ745&gt;0,"CREDIT_TO_MERCHANT",IF($AQ745&lt;0,"DEDUCT_FROM_MERCHANT","NO_ADJUSTMENT"))))</f>
        <v/>
      </c>
      <c r="AS745" s="23">
        <f>IF(OR($AQ745="",$AR745="BREAKDOWN_REQUIRED"),"",$AQ745)</f>
        <v/>
      </c>
      <c r="AT745" s="23">
        <f>IF(OR($AR745="",$AR745="BREAKDOWN_REQUIRED"),"",SUM($J745,$AQ745,$Y745)-$X745)</f>
        <v/>
      </c>
      <c r="AU745" s="25">
        <f>IF(AND($A745="",$B745="",$F745="",$H745="",$J745="",$K745="",$M745="",$S745=""),"",IF(OR($H745="",$Q745="",$M745="",$S745=""),"ERROR",IF(OR($J745&lt;0,$K745&lt;0,$M745&lt;0,$T745&lt;0,$U745&lt;0,$V745&lt;0,$W745&lt;0,$X745&lt;0,$Y745&lt;0),"ERROR",IF($AE745="","ERROR",IF(AND(OR($S745="ITEM_PRICE_PLUS_DECLARED_DELIVERY",$S745="TOTAL_AMOUNT_INCLUDING_DELIVERY",$S745="ITEM_PRICE_ONLY_DELIVERY_PAID_BY_MERCHANT"),$J745=""),"ERROR",IF(AND(OR($S745="ITEM_PRICE_PLUS_DECLARED_DELIVERY",$S745="DELIVERY_CHARGE_ONLY"),$K745=""),"ERROR",IF(AND(OR($S745="TOTAL_AMOUNT_INCLUDING_DELIVERY",$S745="EXACT_COLLECTION_AMOUNT"),$T745=""),"ERROR",IF(AND($S745="TOTAL_AMOUNT_INCLUDING_DELIVERY",$T745&lt;SUM($J745,$U745)),"ERROR",IF($S745="EXACT_COLLECTION_AMOUNT","REVIEW","OK")))))))))</f>
        <v/>
      </c>
      <c r="AV745" s="25">
        <f>IF($AU745="","",IF($H745="","Township required",IF($Q745="","Customer tier required",IF($M745="","Weight required",IF($S745="","Amount entry type required",IF(OR($J745&lt;0,$K745&lt;0,$M745&lt;0,$T745&lt;0,$U745&lt;0,$V745&lt;0,$W745&lt;0,$X745&lt;0,$Y745&lt;0),"Negative amounts are not allowed",IF($AE745="","Tariff not found for township and tier",IF(AND(OR($S745="ITEM_PRICE_PLUS_DECLARED_DELIVERY",$S745="TOTAL_AMOUNT_INCLUDING_DELIVERY",$S745="ITEM_PRICE_ONLY_DELIVERY_PAID_BY_MERCHANT"),$J745=""),"Item price required for this amount type",IF(AND(OR($S745="ITEM_PRICE_PLUS_DECLARED_DELIVERY",$S745="DELIVERY_CHARGE_ONLY"),$K745=""),"Declared delivery charge required",IF(AND(OR($S745="TOTAL_AMOUNT_INCLUDING_DELIVERY",$S745="EXACT_COLLECTION_AMOUNT"),$T745=""),"Stated total amount required",IF(AND($S745="TOTAL_AMOUNT_INCLUDING_DELIVERY",$T745&lt;SUM($J745,$U745)),"Stated total is below item price plus additional charge",IF($S745="EXACT_COLLECTION_AMOUNT","Authorized amount breakdown required before settlement","Ready for collection and settlement"))))))))))))</f>
        <v/>
      </c>
      <c r="AW745" s="23">
        <f>IF($AU745="","","PARCEL_FINANCIAL_V2")</f>
        <v/>
      </c>
      <c r="AX745" s="17" t="n"/>
    </row>
    <row r="746">
      <c r="A746" s="8" t="n"/>
      <c r="B746" s="8" t="n"/>
      <c r="C746" s="8" t="n"/>
      <c r="D746" s="8" t="n"/>
      <c r="E746" s="9" t="n"/>
      <c r="F746" s="9" t="n"/>
      <c r="G746" s="8" t="n"/>
      <c r="H746" s="9" t="n"/>
      <c r="I746" s="9" t="n"/>
      <c r="J746" s="10" t="n"/>
      <c r="K746" s="10" t="n"/>
      <c r="L746" s="11">
        <f>IF($S746="","",IF($S746="ITEM_PRICE_PLUS_DECLARED_DELIVERY",IF(OR($J746="",$K746=""),"",SUM($J746,$K746,$U746)),IF($S746="TOTAL_AMOUNT_INCLUDING_DELIVERY",IF($T746="","",$T746),IF($S746="DELIVERY_CHARGE_ONLY",IF($K746="","",SUM($K746,$U746)),IF($S746="EXACT_COLLECTION_AMOUNT",IF($T746="","",$T746),IF($S746="ITEM_PRICE_ONLY_DELIVERY_PAID_BY_MERCHANT",IF($J746="","",SUM($J746,$U746)),""))))))</f>
        <v/>
      </c>
      <c r="M746" s="12" t="n"/>
      <c r="N746" s="13" t="n"/>
      <c r="O746" s="13" t="n"/>
      <c r="P746" s="9" t="n"/>
      <c r="Q746" s="14" t="n"/>
      <c r="R746" s="15" t="n"/>
      <c r="S746" s="14" t="n"/>
      <c r="T746" s="16" t="n"/>
      <c r="U746" s="16" t="n"/>
      <c r="V746" s="16" t="n"/>
      <c r="W746" s="16" t="n"/>
      <c r="X746" s="16" t="n"/>
      <c r="Y746" s="16" t="n"/>
      <c r="Z746" s="14" t="n"/>
      <c r="AA746" s="14" t="n"/>
      <c r="AB746" s="14" t="n"/>
      <c r="AC746" s="17">
        <f>IFERROR(VLOOKUP($H746&amp;"|"&amp;$Q746,Tariff_Master!$A$2:$L$169,3,FALSE),"")</f>
        <v/>
      </c>
      <c r="AD746" s="17">
        <f>IFERROR(VLOOKUP($H746&amp;"|"&amp;$Q746,Tariff_Master!$A$2:$L$169,4,FALSE),"")</f>
        <v/>
      </c>
      <c r="AE746" s="18">
        <f>IFERROR(VLOOKUP($H746&amp;"|"&amp;$Q746,Tariff_Master!$A$2:$L$169,6,FALSE),"")</f>
        <v/>
      </c>
      <c r="AF746" s="19">
        <f>IFERROR(VLOOKUP($H746&amp;"|"&amp;$Q746,Tariff_Master!$A$2:$L$169,7,FALSE),"")</f>
        <v/>
      </c>
      <c r="AG746" s="18">
        <f>IFERROR(VLOOKUP($H746&amp;"|"&amp;$Q746,Tariff_Master!$A$2:$L$169,8,FALSE),"")</f>
        <v/>
      </c>
      <c r="AH746" s="20">
        <f>IFERROR(VLOOKUP($H746&amp;"|"&amp;$Q746,Tariff_Master!$A$2:$L$169,9,FALSE),"")</f>
        <v/>
      </c>
      <c r="AI746" s="18">
        <f>IFERROR(VLOOKUP($H746&amp;"|"&amp;$Q746,Tariff_Master!$A$2:$L$169,10,FALSE),"")</f>
        <v/>
      </c>
      <c r="AJ746" s="21">
        <f>IF($M746="","",ROUNDUP(MAX(0,$M746),0))</f>
        <v/>
      </c>
      <c r="AK746" s="21">
        <f>IF(OR($AJ746="",$AF746=""),"",MAX(0,$AJ746-$AF746))</f>
        <v/>
      </c>
      <c r="AL746" s="22">
        <f>IF(OR($AK746="",$AG746=""),"",MAX(0,$AK746*$AG746))</f>
        <v/>
      </c>
      <c r="AM746" s="22">
        <f>IF($AE746="","",MAX(0,SUM($AE746,$AL746,$V746,$W746)))</f>
        <v/>
      </c>
      <c r="AN746" s="22">
        <f>IF($AM746="","",IF(AND($Q746="COMMITMENT",$R746&gt;=$AH746),$AI746,0))</f>
        <v/>
      </c>
      <c r="AO746" s="23">
        <f>IF($AM746="","",MAX(0,$AM746-$AN746))</f>
        <v/>
      </c>
      <c r="AP746" s="22">
        <f>IF($S746="","",IF(OR($S746="ITEM_PRICE_PLUS_DECLARED_DELIVERY",$S746="DELIVERY_CHARGE_ONLY"),$K746,IF($S746="TOTAL_AMOUNT_INCLUDING_DELIVERY",IF(OR($T746="",$J746=""),"",MAX(0,$T746-$J746-$U746)),IF($S746="ITEM_PRICE_ONLY_DELIVERY_PAID_BY_MERCHANT",0,""))))</f>
        <v/>
      </c>
      <c r="AQ746" s="23">
        <f>IF(OR($AP746="",$AO746=""),"",$AP746-$AO746)</f>
        <v/>
      </c>
      <c r="AR746" s="24">
        <f>IF($S746="EXACT_COLLECTION_AMOUNT","BREAKDOWN_REQUIRED",IF($AQ746="","",IF($AQ746&gt;0,"CREDIT_TO_MERCHANT",IF($AQ746&lt;0,"DEDUCT_FROM_MERCHANT","NO_ADJUSTMENT"))))</f>
        <v/>
      </c>
      <c r="AS746" s="23">
        <f>IF(OR($AQ746="",$AR746="BREAKDOWN_REQUIRED"),"",$AQ746)</f>
        <v/>
      </c>
      <c r="AT746" s="23">
        <f>IF(OR($AR746="",$AR746="BREAKDOWN_REQUIRED"),"",SUM($J746,$AQ746,$Y746)-$X746)</f>
        <v/>
      </c>
      <c r="AU746" s="25">
        <f>IF(AND($A746="",$B746="",$F746="",$H746="",$J746="",$K746="",$M746="",$S746=""),"",IF(OR($H746="",$Q746="",$M746="",$S746=""),"ERROR",IF(OR($J746&lt;0,$K746&lt;0,$M746&lt;0,$T746&lt;0,$U746&lt;0,$V746&lt;0,$W746&lt;0,$X746&lt;0,$Y746&lt;0),"ERROR",IF($AE746="","ERROR",IF(AND(OR($S746="ITEM_PRICE_PLUS_DECLARED_DELIVERY",$S746="TOTAL_AMOUNT_INCLUDING_DELIVERY",$S746="ITEM_PRICE_ONLY_DELIVERY_PAID_BY_MERCHANT"),$J746=""),"ERROR",IF(AND(OR($S746="ITEM_PRICE_PLUS_DECLARED_DELIVERY",$S746="DELIVERY_CHARGE_ONLY"),$K746=""),"ERROR",IF(AND(OR($S746="TOTAL_AMOUNT_INCLUDING_DELIVERY",$S746="EXACT_COLLECTION_AMOUNT"),$T746=""),"ERROR",IF(AND($S746="TOTAL_AMOUNT_INCLUDING_DELIVERY",$T746&lt;SUM($J746,$U746)),"ERROR",IF($S746="EXACT_COLLECTION_AMOUNT","REVIEW","OK")))))))))</f>
        <v/>
      </c>
      <c r="AV746" s="25">
        <f>IF($AU746="","",IF($H746="","Township required",IF($Q746="","Customer tier required",IF($M746="","Weight required",IF($S746="","Amount entry type required",IF(OR($J746&lt;0,$K746&lt;0,$M746&lt;0,$T746&lt;0,$U746&lt;0,$V746&lt;0,$W746&lt;0,$X746&lt;0,$Y746&lt;0),"Negative amounts are not allowed",IF($AE746="","Tariff not found for township and tier",IF(AND(OR($S746="ITEM_PRICE_PLUS_DECLARED_DELIVERY",$S746="TOTAL_AMOUNT_INCLUDING_DELIVERY",$S746="ITEM_PRICE_ONLY_DELIVERY_PAID_BY_MERCHANT"),$J746=""),"Item price required for this amount type",IF(AND(OR($S746="ITEM_PRICE_PLUS_DECLARED_DELIVERY",$S746="DELIVERY_CHARGE_ONLY"),$K746=""),"Declared delivery charge required",IF(AND(OR($S746="TOTAL_AMOUNT_INCLUDING_DELIVERY",$S746="EXACT_COLLECTION_AMOUNT"),$T746=""),"Stated total amount required",IF(AND($S746="TOTAL_AMOUNT_INCLUDING_DELIVERY",$T746&lt;SUM($J746,$U746)),"Stated total is below item price plus additional charge",IF($S746="EXACT_COLLECTION_AMOUNT","Authorized amount breakdown required before settlement","Ready for collection and settlement"))))))))))))</f>
        <v/>
      </c>
      <c r="AW746" s="23">
        <f>IF($AU746="","","PARCEL_FINANCIAL_V2")</f>
        <v/>
      </c>
      <c r="AX746" s="17" t="n"/>
    </row>
    <row r="747">
      <c r="A747" s="8" t="n"/>
      <c r="B747" s="8" t="n"/>
      <c r="C747" s="8" t="n"/>
      <c r="D747" s="8" t="n"/>
      <c r="E747" s="9" t="n"/>
      <c r="F747" s="9" t="n"/>
      <c r="G747" s="8" t="n"/>
      <c r="H747" s="9" t="n"/>
      <c r="I747" s="9" t="n"/>
      <c r="J747" s="10" t="n"/>
      <c r="K747" s="10" t="n"/>
      <c r="L747" s="11">
        <f>IF($S747="","",IF($S747="ITEM_PRICE_PLUS_DECLARED_DELIVERY",IF(OR($J747="",$K747=""),"",SUM($J747,$K747,$U747)),IF($S747="TOTAL_AMOUNT_INCLUDING_DELIVERY",IF($T747="","",$T747),IF($S747="DELIVERY_CHARGE_ONLY",IF($K747="","",SUM($K747,$U747)),IF($S747="EXACT_COLLECTION_AMOUNT",IF($T747="","",$T747),IF($S747="ITEM_PRICE_ONLY_DELIVERY_PAID_BY_MERCHANT",IF($J747="","",SUM($J747,$U747)),""))))))</f>
        <v/>
      </c>
      <c r="M747" s="12" t="n"/>
      <c r="N747" s="13" t="n"/>
      <c r="O747" s="13" t="n"/>
      <c r="P747" s="9" t="n"/>
      <c r="Q747" s="14" t="n"/>
      <c r="R747" s="15" t="n"/>
      <c r="S747" s="14" t="n"/>
      <c r="T747" s="16" t="n"/>
      <c r="U747" s="16" t="n"/>
      <c r="V747" s="16" t="n"/>
      <c r="W747" s="16" t="n"/>
      <c r="X747" s="16" t="n"/>
      <c r="Y747" s="16" t="n"/>
      <c r="Z747" s="14" t="n"/>
      <c r="AA747" s="14" t="n"/>
      <c r="AB747" s="14" t="n"/>
      <c r="AC747" s="17">
        <f>IFERROR(VLOOKUP($H747&amp;"|"&amp;$Q747,Tariff_Master!$A$2:$L$169,3,FALSE),"")</f>
        <v/>
      </c>
      <c r="AD747" s="17">
        <f>IFERROR(VLOOKUP($H747&amp;"|"&amp;$Q747,Tariff_Master!$A$2:$L$169,4,FALSE),"")</f>
        <v/>
      </c>
      <c r="AE747" s="18">
        <f>IFERROR(VLOOKUP($H747&amp;"|"&amp;$Q747,Tariff_Master!$A$2:$L$169,6,FALSE),"")</f>
        <v/>
      </c>
      <c r="AF747" s="19">
        <f>IFERROR(VLOOKUP($H747&amp;"|"&amp;$Q747,Tariff_Master!$A$2:$L$169,7,FALSE),"")</f>
        <v/>
      </c>
      <c r="AG747" s="18">
        <f>IFERROR(VLOOKUP($H747&amp;"|"&amp;$Q747,Tariff_Master!$A$2:$L$169,8,FALSE),"")</f>
        <v/>
      </c>
      <c r="AH747" s="20">
        <f>IFERROR(VLOOKUP($H747&amp;"|"&amp;$Q747,Tariff_Master!$A$2:$L$169,9,FALSE),"")</f>
        <v/>
      </c>
      <c r="AI747" s="18">
        <f>IFERROR(VLOOKUP($H747&amp;"|"&amp;$Q747,Tariff_Master!$A$2:$L$169,10,FALSE),"")</f>
        <v/>
      </c>
      <c r="AJ747" s="21">
        <f>IF($M747="","",ROUNDUP(MAX(0,$M747),0))</f>
        <v/>
      </c>
      <c r="AK747" s="21">
        <f>IF(OR($AJ747="",$AF747=""),"",MAX(0,$AJ747-$AF747))</f>
        <v/>
      </c>
      <c r="AL747" s="22">
        <f>IF(OR($AK747="",$AG747=""),"",MAX(0,$AK747*$AG747))</f>
        <v/>
      </c>
      <c r="AM747" s="22">
        <f>IF($AE747="","",MAX(0,SUM($AE747,$AL747,$V747,$W747)))</f>
        <v/>
      </c>
      <c r="AN747" s="22">
        <f>IF($AM747="","",IF(AND($Q747="COMMITMENT",$R747&gt;=$AH747),$AI747,0))</f>
        <v/>
      </c>
      <c r="AO747" s="23">
        <f>IF($AM747="","",MAX(0,$AM747-$AN747))</f>
        <v/>
      </c>
      <c r="AP747" s="22">
        <f>IF($S747="","",IF(OR($S747="ITEM_PRICE_PLUS_DECLARED_DELIVERY",$S747="DELIVERY_CHARGE_ONLY"),$K747,IF($S747="TOTAL_AMOUNT_INCLUDING_DELIVERY",IF(OR($T747="",$J747=""),"",MAX(0,$T747-$J747-$U747)),IF($S747="ITEM_PRICE_ONLY_DELIVERY_PAID_BY_MERCHANT",0,""))))</f>
        <v/>
      </c>
      <c r="AQ747" s="23">
        <f>IF(OR($AP747="",$AO747=""),"",$AP747-$AO747)</f>
        <v/>
      </c>
      <c r="AR747" s="24">
        <f>IF($S747="EXACT_COLLECTION_AMOUNT","BREAKDOWN_REQUIRED",IF($AQ747="","",IF($AQ747&gt;0,"CREDIT_TO_MERCHANT",IF($AQ747&lt;0,"DEDUCT_FROM_MERCHANT","NO_ADJUSTMENT"))))</f>
        <v/>
      </c>
      <c r="AS747" s="23">
        <f>IF(OR($AQ747="",$AR747="BREAKDOWN_REQUIRED"),"",$AQ747)</f>
        <v/>
      </c>
      <c r="AT747" s="23">
        <f>IF(OR($AR747="",$AR747="BREAKDOWN_REQUIRED"),"",SUM($J747,$AQ747,$Y747)-$X747)</f>
        <v/>
      </c>
      <c r="AU747" s="25">
        <f>IF(AND($A747="",$B747="",$F747="",$H747="",$J747="",$K747="",$M747="",$S747=""),"",IF(OR($H747="",$Q747="",$M747="",$S747=""),"ERROR",IF(OR($J747&lt;0,$K747&lt;0,$M747&lt;0,$T747&lt;0,$U747&lt;0,$V747&lt;0,$W747&lt;0,$X747&lt;0,$Y747&lt;0),"ERROR",IF($AE747="","ERROR",IF(AND(OR($S747="ITEM_PRICE_PLUS_DECLARED_DELIVERY",$S747="TOTAL_AMOUNT_INCLUDING_DELIVERY",$S747="ITEM_PRICE_ONLY_DELIVERY_PAID_BY_MERCHANT"),$J747=""),"ERROR",IF(AND(OR($S747="ITEM_PRICE_PLUS_DECLARED_DELIVERY",$S747="DELIVERY_CHARGE_ONLY"),$K747=""),"ERROR",IF(AND(OR($S747="TOTAL_AMOUNT_INCLUDING_DELIVERY",$S747="EXACT_COLLECTION_AMOUNT"),$T747=""),"ERROR",IF(AND($S747="TOTAL_AMOUNT_INCLUDING_DELIVERY",$T747&lt;SUM($J747,$U747)),"ERROR",IF($S747="EXACT_COLLECTION_AMOUNT","REVIEW","OK")))))))))</f>
        <v/>
      </c>
      <c r="AV747" s="25">
        <f>IF($AU747="","",IF($H747="","Township required",IF($Q747="","Customer tier required",IF($M747="","Weight required",IF($S747="","Amount entry type required",IF(OR($J747&lt;0,$K747&lt;0,$M747&lt;0,$T747&lt;0,$U747&lt;0,$V747&lt;0,$W747&lt;0,$X747&lt;0,$Y747&lt;0),"Negative amounts are not allowed",IF($AE747="","Tariff not found for township and tier",IF(AND(OR($S747="ITEM_PRICE_PLUS_DECLARED_DELIVERY",$S747="TOTAL_AMOUNT_INCLUDING_DELIVERY",$S747="ITEM_PRICE_ONLY_DELIVERY_PAID_BY_MERCHANT"),$J747=""),"Item price required for this amount type",IF(AND(OR($S747="ITEM_PRICE_PLUS_DECLARED_DELIVERY",$S747="DELIVERY_CHARGE_ONLY"),$K747=""),"Declared delivery charge required",IF(AND(OR($S747="TOTAL_AMOUNT_INCLUDING_DELIVERY",$S747="EXACT_COLLECTION_AMOUNT"),$T747=""),"Stated total amount required",IF(AND($S747="TOTAL_AMOUNT_INCLUDING_DELIVERY",$T747&lt;SUM($J747,$U747)),"Stated total is below item price plus additional charge",IF($S747="EXACT_COLLECTION_AMOUNT","Authorized amount breakdown required before settlement","Ready for collection and settlement"))))))))))))</f>
        <v/>
      </c>
      <c r="AW747" s="23">
        <f>IF($AU747="","","PARCEL_FINANCIAL_V2")</f>
        <v/>
      </c>
      <c r="AX747" s="17" t="n"/>
    </row>
    <row r="748">
      <c r="A748" s="8" t="n"/>
      <c r="B748" s="8" t="n"/>
      <c r="C748" s="8" t="n"/>
      <c r="D748" s="8" t="n"/>
      <c r="E748" s="9" t="n"/>
      <c r="F748" s="9" t="n"/>
      <c r="G748" s="8" t="n"/>
      <c r="H748" s="9" t="n"/>
      <c r="I748" s="9" t="n"/>
      <c r="J748" s="10" t="n"/>
      <c r="K748" s="10" t="n"/>
      <c r="L748" s="11">
        <f>IF($S748="","",IF($S748="ITEM_PRICE_PLUS_DECLARED_DELIVERY",IF(OR($J748="",$K748=""),"",SUM($J748,$K748,$U748)),IF($S748="TOTAL_AMOUNT_INCLUDING_DELIVERY",IF($T748="","",$T748),IF($S748="DELIVERY_CHARGE_ONLY",IF($K748="","",SUM($K748,$U748)),IF($S748="EXACT_COLLECTION_AMOUNT",IF($T748="","",$T748),IF($S748="ITEM_PRICE_ONLY_DELIVERY_PAID_BY_MERCHANT",IF($J748="","",SUM($J748,$U748)),""))))))</f>
        <v/>
      </c>
      <c r="M748" s="12" t="n"/>
      <c r="N748" s="13" t="n"/>
      <c r="O748" s="13" t="n"/>
      <c r="P748" s="9" t="n"/>
      <c r="Q748" s="14" t="n"/>
      <c r="R748" s="15" t="n"/>
      <c r="S748" s="14" t="n"/>
      <c r="T748" s="16" t="n"/>
      <c r="U748" s="16" t="n"/>
      <c r="V748" s="16" t="n"/>
      <c r="W748" s="16" t="n"/>
      <c r="X748" s="16" t="n"/>
      <c r="Y748" s="16" t="n"/>
      <c r="Z748" s="14" t="n"/>
      <c r="AA748" s="14" t="n"/>
      <c r="AB748" s="14" t="n"/>
      <c r="AC748" s="17">
        <f>IFERROR(VLOOKUP($H748&amp;"|"&amp;$Q748,Tariff_Master!$A$2:$L$169,3,FALSE),"")</f>
        <v/>
      </c>
      <c r="AD748" s="17">
        <f>IFERROR(VLOOKUP($H748&amp;"|"&amp;$Q748,Tariff_Master!$A$2:$L$169,4,FALSE),"")</f>
        <v/>
      </c>
      <c r="AE748" s="18">
        <f>IFERROR(VLOOKUP($H748&amp;"|"&amp;$Q748,Tariff_Master!$A$2:$L$169,6,FALSE),"")</f>
        <v/>
      </c>
      <c r="AF748" s="19">
        <f>IFERROR(VLOOKUP($H748&amp;"|"&amp;$Q748,Tariff_Master!$A$2:$L$169,7,FALSE),"")</f>
        <v/>
      </c>
      <c r="AG748" s="18">
        <f>IFERROR(VLOOKUP($H748&amp;"|"&amp;$Q748,Tariff_Master!$A$2:$L$169,8,FALSE),"")</f>
        <v/>
      </c>
      <c r="AH748" s="20">
        <f>IFERROR(VLOOKUP($H748&amp;"|"&amp;$Q748,Tariff_Master!$A$2:$L$169,9,FALSE),"")</f>
        <v/>
      </c>
      <c r="AI748" s="18">
        <f>IFERROR(VLOOKUP($H748&amp;"|"&amp;$Q748,Tariff_Master!$A$2:$L$169,10,FALSE),"")</f>
        <v/>
      </c>
      <c r="AJ748" s="21">
        <f>IF($M748="","",ROUNDUP(MAX(0,$M748),0))</f>
        <v/>
      </c>
      <c r="AK748" s="21">
        <f>IF(OR($AJ748="",$AF748=""),"",MAX(0,$AJ748-$AF748))</f>
        <v/>
      </c>
      <c r="AL748" s="22">
        <f>IF(OR($AK748="",$AG748=""),"",MAX(0,$AK748*$AG748))</f>
        <v/>
      </c>
      <c r="AM748" s="22">
        <f>IF($AE748="","",MAX(0,SUM($AE748,$AL748,$V748,$W748)))</f>
        <v/>
      </c>
      <c r="AN748" s="22">
        <f>IF($AM748="","",IF(AND($Q748="COMMITMENT",$R748&gt;=$AH748),$AI748,0))</f>
        <v/>
      </c>
      <c r="AO748" s="23">
        <f>IF($AM748="","",MAX(0,$AM748-$AN748))</f>
        <v/>
      </c>
      <c r="AP748" s="22">
        <f>IF($S748="","",IF(OR($S748="ITEM_PRICE_PLUS_DECLARED_DELIVERY",$S748="DELIVERY_CHARGE_ONLY"),$K748,IF($S748="TOTAL_AMOUNT_INCLUDING_DELIVERY",IF(OR($T748="",$J748=""),"",MAX(0,$T748-$J748-$U748)),IF($S748="ITEM_PRICE_ONLY_DELIVERY_PAID_BY_MERCHANT",0,""))))</f>
        <v/>
      </c>
      <c r="AQ748" s="23">
        <f>IF(OR($AP748="",$AO748=""),"",$AP748-$AO748)</f>
        <v/>
      </c>
      <c r="AR748" s="24">
        <f>IF($S748="EXACT_COLLECTION_AMOUNT","BREAKDOWN_REQUIRED",IF($AQ748="","",IF($AQ748&gt;0,"CREDIT_TO_MERCHANT",IF($AQ748&lt;0,"DEDUCT_FROM_MERCHANT","NO_ADJUSTMENT"))))</f>
        <v/>
      </c>
      <c r="AS748" s="23">
        <f>IF(OR($AQ748="",$AR748="BREAKDOWN_REQUIRED"),"",$AQ748)</f>
        <v/>
      </c>
      <c r="AT748" s="23">
        <f>IF(OR($AR748="",$AR748="BREAKDOWN_REQUIRED"),"",SUM($J748,$AQ748,$Y748)-$X748)</f>
        <v/>
      </c>
      <c r="AU748" s="25">
        <f>IF(AND($A748="",$B748="",$F748="",$H748="",$J748="",$K748="",$M748="",$S748=""),"",IF(OR($H748="",$Q748="",$M748="",$S748=""),"ERROR",IF(OR($J748&lt;0,$K748&lt;0,$M748&lt;0,$T748&lt;0,$U748&lt;0,$V748&lt;0,$W748&lt;0,$X748&lt;0,$Y748&lt;0),"ERROR",IF($AE748="","ERROR",IF(AND(OR($S748="ITEM_PRICE_PLUS_DECLARED_DELIVERY",$S748="TOTAL_AMOUNT_INCLUDING_DELIVERY",$S748="ITEM_PRICE_ONLY_DELIVERY_PAID_BY_MERCHANT"),$J748=""),"ERROR",IF(AND(OR($S748="ITEM_PRICE_PLUS_DECLARED_DELIVERY",$S748="DELIVERY_CHARGE_ONLY"),$K748=""),"ERROR",IF(AND(OR($S748="TOTAL_AMOUNT_INCLUDING_DELIVERY",$S748="EXACT_COLLECTION_AMOUNT"),$T748=""),"ERROR",IF(AND($S748="TOTAL_AMOUNT_INCLUDING_DELIVERY",$T748&lt;SUM($J748,$U748)),"ERROR",IF($S748="EXACT_COLLECTION_AMOUNT","REVIEW","OK")))))))))</f>
        <v/>
      </c>
      <c r="AV748" s="25">
        <f>IF($AU748="","",IF($H748="","Township required",IF($Q748="","Customer tier required",IF($M748="","Weight required",IF($S748="","Amount entry type required",IF(OR($J748&lt;0,$K748&lt;0,$M748&lt;0,$T748&lt;0,$U748&lt;0,$V748&lt;0,$W748&lt;0,$X748&lt;0,$Y748&lt;0),"Negative amounts are not allowed",IF($AE748="","Tariff not found for township and tier",IF(AND(OR($S748="ITEM_PRICE_PLUS_DECLARED_DELIVERY",$S748="TOTAL_AMOUNT_INCLUDING_DELIVERY",$S748="ITEM_PRICE_ONLY_DELIVERY_PAID_BY_MERCHANT"),$J748=""),"Item price required for this amount type",IF(AND(OR($S748="ITEM_PRICE_PLUS_DECLARED_DELIVERY",$S748="DELIVERY_CHARGE_ONLY"),$K748=""),"Declared delivery charge required",IF(AND(OR($S748="TOTAL_AMOUNT_INCLUDING_DELIVERY",$S748="EXACT_COLLECTION_AMOUNT"),$T748=""),"Stated total amount required",IF(AND($S748="TOTAL_AMOUNT_INCLUDING_DELIVERY",$T748&lt;SUM($J748,$U748)),"Stated total is below item price plus additional charge",IF($S748="EXACT_COLLECTION_AMOUNT","Authorized amount breakdown required before settlement","Ready for collection and settlement"))))))))))))</f>
        <v/>
      </c>
      <c r="AW748" s="23">
        <f>IF($AU748="","","PARCEL_FINANCIAL_V2")</f>
        <v/>
      </c>
      <c r="AX748" s="17" t="n"/>
    </row>
    <row r="749">
      <c r="A749" s="8" t="n"/>
      <c r="B749" s="8" t="n"/>
      <c r="C749" s="8" t="n"/>
      <c r="D749" s="8" t="n"/>
      <c r="E749" s="9" t="n"/>
      <c r="F749" s="9" t="n"/>
      <c r="G749" s="8" t="n"/>
      <c r="H749" s="9" t="n"/>
      <c r="I749" s="9" t="n"/>
      <c r="J749" s="10" t="n"/>
      <c r="K749" s="10" t="n"/>
      <c r="L749" s="11">
        <f>IF($S749="","",IF($S749="ITEM_PRICE_PLUS_DECLARED_DELIVERY",IF(OR($J749="",$K749=""),"",SUM($J749,$K749,$U749)),IF($S749="TOTAL_AMOUNT_INCLUDING_DELIVERY",IF($T749="","",$T749),IF($S749="DELIVERY_CHARGE_ONLY",IF($K749="","",SUM($K749,$U749)),IF($S749="EXACT_COLLECTION_AMOUNT",IF($T749="","",$T749),IF($S749="ITEM_PRICE_ONLY_DELIVERY_PAID_BY_MERCHANT",IF($J749="","",SUM($J749,$U749)),""))))))</f>
        <v/>
      </c>
      <c r="M749" s="12" t="n"/>
      <c r="N749" s="13" t="n"/>
      <c r="O749" s="13" t="n"/>
      <c r="P749" s="9" t="n"/>
      <c r="Q749" s="14" t="n"/>
      <c r="R749" s="15" t="n"/>
      <c r="S749" s="14" t="n"/>
      <c r="T749" s="16" t="n"/>
      <c r="U749" s="16" t="n"/>
      <c r="V749" s="16" t="n"/>
      <c r="W749" s="16" t="n"/>
      <c r="X749" s="16" t="n"/>
      <c r="Y749" s="16" t="n"/>
      <c r="Z749" s="14" t="n"/>
      <c r="AA749" s="14" t="n"/>
      <c r="AB749" s="14" t="n"/>
      <c r="AC749" s="17">
        <f>IFERROR(VLOOKUP($H749&amp;"|"&amp;$Q749,Tariff_Master!$A$2:$L$169,3,FALSE),"")</f>
        <v/>
      </c>
      <c r="AD749" s="17">
        <f>IFERROR(VLOOKUP($H749&amp;"|"&amp;$Q749,Tariff_Master!$A$2:$L$169,4,FALSE),"")</f>
        <v/>
      </c>
      <c r="AE749" s="18">
        <f>IFERROR(VLOOKUP($H749&amp;"|"&amp;$Q749,Tariff_Master!$A$2:$L$169,6,FALSE),"")</f>
        <v/>
      </c>
      <c r="AF749" s="19">
        <f>IFERROR(VLOOKUP($H749&amp;"|"&amp;$Q749,Tariff_Master!$A$2:$L$169,7,FALSE),"")</f>
        <v/>
      </c>
      <c r="AG749" s="18">
        <f>IFERROR(VLOOKUP($H749&amp;"|"&amp;$Q749,Tariff_Master!$A$2:$L$169,8,FALSE),"")</f>
        <v/>
      </c>
      <c r="AH749" s="20">
        <f>IFERROR(VLOOKUP($H749&amp;"|"&amp;$Q749,Tariff_Master!$A$2:$L$169,9,FALSE),"")</f>
        <v/>
      </c>
      <c r="AI749" s="18">
        <f>IFERROR(VLOOKUP($H749&amp;"|"&amp;$Q749,Tariff_Master!$A$2:$L$169,10,FALSE),"")</f>
        <v/>
      </c>
      <c r="AJ749" s="21">
        <f>IF($M749="","",ROUNDUP(MAX(0,$M749),0))</f>
        <v/>
      </c>
      <c r="AK749" s="21">
        <f>IF(OR($AJ749="",$AF749=""),"",MAX(0,$AJ749-$AF749))</f>
        <v/>
      </c>
      <c r="AL749" s="22">
        <f>IF(OR($AK749="",$AG749=""),"",MAX(0,$AK749*$AG749))</f>
        <v/>
      </c>
      <c r="AM749" s="22">
        <f>IF($AE749="","",MAX(0,SUM($AE749,$AL749,$V749,$W749)))</f>
        <v/>
      </c>
      <c r="AN749" s="22">
        <f>IF($AM749="","",IF(AND($Q749="COMMITMENT",$R749&gt;=$AH749),$AI749,0))</f>
        <v/>
      </c>
      <c r="AO749" s="23">
        <f>IF($AM749="","",MAX(0,$AM749-$AN749))</f>
        <v/>
      </c>
      <c r="AP749" s="22">
        <f>IF($S749="","",IF(OR($S749="ITEM_PRICE_PLUS_DECLARED_DELIVERY",$S749="DELIVERY_CHARGE_ONLY"),$K749,IF($S749="TOTAL_AMOUNT_INCLUDING_DELIVERY",IF(OR($T749="",$J749=""),"",MAX(0,$T749-$J749-$U749)),IF($S749="ITEM_PRICE_ONLY_DELIVERY_PAID_BY_MERCHANT",0,""))))</f>
        <v/>
      </c>
      <c r="AQ749" s="23">
        <f>IF(OR($AP749="",$AO749=""),"",$AP749-$AO749)</f>
        <v/>
      </c>
      <c r="AR749" s="24">
        <f>IF($S749="EXACT_COLLECTION_AMOUNT","BREAKDOWN_REQUIRED",IF($AQ749="","",IF($AQ749&gt;0,"CREDIT_TO_MERCHANT",IF($AQ749&lt;0,"DEDUCT_FROM_MERCHANT","NO_ADJUSTMENT"))))</f>
        <v/>
      </c>
      <c r="AS749" s="23">
        <f>IF(OR($AQ749="",$AR749="BREAKDOWN_REQUIRED"),"",$AQ749)</f>
        <v/>
      </c>
      <c r="AT749" s="23">
        <f>IF(OR($AR749="",$AR749="BREAKDOWN_REQUIRED"),"",SUM($J749,$AQ749,$Y749)-$X749)</f>
        <v/>
      </c>
      <c r="AU749" s="25">
        <f>IF(AND($A749="",$B749="",$F749="",$H749="",$J749="",$K749="",$M749="",$S749=""),"",IF(OR($H749="",$Q749="",$M749="",$S749=""),"ERROR",IF(OR($J749&lt;0,$K749&lt;0,$M749&lt;0,$T749&lt;0,$U749&lt;0,$V749&lt;0,$W749&lt;0,$X749&lt;0,$Y749&lt;0),"ERROR",IF($AE749="","ERROR",IF(AND(OR($S749="ITEM_PRICE_PLUS_DECLARED_DELIVERY",$S749="TOTAL_AMOUNT_INCLUDING_DELIVERY",$S749="ITEM_PRICE_ONLY_DELIVERY_PAID_BY_MERCHANT"),$J749=""),"ERROR",IF(AND(OR($S749="ITEM_PRICE_PLUS_DECLARED_DELIVERY",$S749="DELIVERY_CHARGE_ONLY"),$K749=""),"ERROR",IF(AND(OR($S749="TOTAL_AMOUNT_INCLUDING_DELIVERY",$S749="EXACT_COLLECTION_AMOUNT"),$T749=""),"ERROR",IF(AND($S749="TOTAL_AMOUNT_INCLUDING_DELIVERY",$T749&lt;SUM($J749,$U749)),"ERROR",IF($S749="EXACT_COLLECTION_AMOUNT","REVIEW","OK")))))))))</f>
        <v/>
      </c>
      <c r="AV749" s="25">
        <f>IF($AU749="","",IF($H749="","Township required",IF($Q749="","Customer tier required",IF($M749="","Weight required",IF($S749="","Amount entry type required",IF(OR($J749&lt;0,$K749&lt;0,$M749&lt;0,$T749&lt;0,$U749&lt;0,$V749&lt;0,$W749&lt;0,$X749&lt;0,$Y749&lt;0),"Negative amounts are not allowed",IF($AE749="","Tariff not found for township and tier",IF(AND(OR($S749="ITEM_PRICE_PLUS_DECLARED_DELIVERY",$S749="TOTAL_AMOUNT_INCLUDING_DELIVERY",$S749="ITEM_PRICE_ONLY_DELIVERY_PAID_BY_MERCHANT"),$J749=""),"Item price required for this amount type",IF(AND(OR($S749="ITEM_PRICE_PLUS_DECLARED_DELIVERY",$S749="DELIVERY_CHARGE_ONLY"),$K749=""),"Declared delivery charge required",IF(AND(OR($S749="TOTAL_AMOUNT_INCLUDING_DELIVERY",$S749="EXACT_COLLECTION_AMOUNT"),$T749=""),"Stated total amount required",IF(AND($S749="TOTAL_AMOUNT_INCLUDING_DELIVERY",$T749&lt;SUM($J749,$U749)),"Stated total is below item price plus additional charge",IF($S749="EXACT_COLLECTION_AMOUNT","Authorized amount breakdown required before settlement","Ready for collection and settlement"))))))))))))</f>
        <v/>
      </c>
      <c r="AW749" s="23">
        <f>IF($AU749="","","PARCEL_FINANCIAL_V2")</f>
        <v/>
      </c>
      <c r="AX749" s="17" t="n"/>
    </row>
    <row r="750">
      <c r="A750" s="8" t="n"/>
      <c r="B750" s="8" t="n"/>
      <c r="C750" s="8" t="n"/>
      <c r="D750" s="8" t="n"/>
      <c r="E750" s="9" t="n"/>
      <c r="F750" s="9" t="n"/>
      <c r="G750" s="8" t="n"/>
      <c r="H750" s="9" t="n"/>
      <c r="I750" s="9" t="n"/>
      <c r="J750" s="10" t="n"/>
      <c r="K750" s="10" t="n"/>
      <c r="L750" s="11">
        <f>IF($S750="","",IF($S750="ITEM_PRICE_PLUS_DECLARED_DELIVERY",IF(OR($J750="",$K750=""),"",SUM($J750,$K750,$U750)),IF($S750="TOTAL_AMOUNT_INCLUDING_DELIVERY",IF($T750="","",$T750),IF($S750="DELIVERY_CHARGE_ONLY",IF($K750="","",SUM($K750,$U750)),IF($S750="EXACT_COLLECTION_AMOUNT",IF($T750="","",$T750),IF($S750="ITEM_PRICE_ONLY_DELIVERY_PAID_BY_MERCHANT",IF($J750="","",SUM($J750,$U750)),""))))))</f>
        <v/>
      </c>
      <c r="M750" s="12" t="n"/>
      <c r="N750" s="13" t="n"/>
      <c r="O750" s="13" t="n"/>
      <c r="P750" s="9" t="n"/>
      <c r="Q750" s="14" t="n"/>
      <c r="R750" s="15" t="n"/>
      <c r="S750" s="14" t="n"/>
      <c r="T750" s="16" t="n"/>
      <c r="U750" s="16" t="n"/>
      <c r="V750" s="16" t="n"/>
      <c r="W750" s="16" t="n"/>
      <c r="X750" s="16" t="n"/>
      <c r="Y750" s="16" t="n"/>
      <c r="Z750" s="14" t="n"/>
      <c r="AA750" s="14" t="n"/>
      <c r="AB750" s="14" t="n"/>
      <c r="AC750" s="17">
        <f>IFERROR(VLOOKUP($H750&amp;"|"&amp;$Q750,Tariff_Master!$A$2:$L$169,3,FALSE),"")</f>
        <v/>
      </c>
      <c r="AD750" s="17">
        <f>IFERROR(VLOOKUP($H750&amp;"|"&amp;$Q750,Tariff_Master!$A$2:$L$169,4,FALSE),"")</f>
        <v/>
      </c>
      <c r="AE750" s="18">
        <f>IFERROR(VLOOKUP($H750&amp;"|"&amp;$Q750,Tariff_Master!$A$2:$L$169,6,FALSE),"")</f>
        <v/>
      </c>
      <c r="AF750" s="19">
        <f>IFERROR(VLOOKUP($H750&amp;"|"&amp;$Q750,Tariff_Master!$A$2:$L$169,7,FALSE),"")</f>
        <v/>
      </c>
      <c r="AG750" s="18">
        <f>IFERROR(VLOOKUP($H750&amp;"|"&amp;$Q750,Tariff_Master!$A$2:$L$169,8,FALSE),"")</f>
        <v/>
      </c>
      <c r="AH750" s="20">
        <f>IFERROR(VLOOKUP($H750&amp;"|"&amp;$Q750,Tariff_Master!$A$2:$L$169,9,FALSE),"")</f>
        <v/>
      </c>
      <c r="AI750" s="18">
        <f>IFERROR(VLOOKUP($H750&amp;"|"&amp;$Q750,Tariff_Master!$A$2:$L$169,10,FALSE),"")</f>
        <v/>
      </c>
      <c r="AJ750" s="21">
        <f>IF($M750="","",ROUNDUP(MAX(0,$M750),0))</f>
        <v/>
      </c>
      <c r="AK750" s="21">
        <f>IF(OR($AJ750="",$AF750=""),"",MAX(0,$AJ750-$AF750))</f>
        <v/>
      </c>
      <c r="AL750" s="22">
        <f>IF(OR($AK750="",$AG750=""),"",MAX(0,$AK750*$AG750))</f>
        <v/>
      </c>
      <c r="AM750" s="22">
        <f>IF($AE750="","",MAX(0,SUM($AE750,$AL750,$V750,$W750)))</f>
        <v/>
      </c>
      <c r="AN750" s="22">
        <f>IF($AM750="","",IF(AND($Q750="COMMITMENT",$R750&gt;=$AH750),$AI750,0))</f>
        <v/>
      </c>
      <c r="AO750" s="23">
        <f>IF($AM750="","",MAX(0,$AM750-$AN750))</f>
        <v/>
      </c>
      <c r="AP750" s="22">
        <f>IF($S750="","",IF(OR($S750="ITEM_PRICE_PLUS_DECLARED_DELIVERY",$S750="DELIVERY_CHARGE_ONLY"),$K750,IF($S750="TOTAL_AMOUNT_INCLUDING_DELIVERY",IF(OR($T750="",$J750=""),"",MAX(0,$T750-$J750-$U750)),IF($S750="ITEM_PRICE_ONLY_DELIVERY_PAID_BY_MERCHANT",0,""))))</f>
        <v/>
      </c>
      <c r="AQ750" s="23">
        <f>IF(OR($AP750="",$AO750=""),"",$AP750-$AO750)</f>
        <v/>
      </c>
      <c r="AR750" s="24">
        <f>IF($S750="EXACT_COLLECTION_AMOUNT","BREAKDOWN_REQUIRED",IF($AQ750="","",IF($AQ750&gt;0,"CREDIT_TO_MERCHANT",IF($AQ750&lt;0,"DEDUCT_FROM_MERCHANT","NO_ADJUSTMENT"))))</f>
        <v/>
      </c>
      <c r="AS750" s="23">
        <f>IF(OR($AQ750="",$AR750="BREAKDOWN_REQUIRED"),"",$AQ750)</f>
        <v/>
      </c>
      <c r="AT750" s="23">
        <f>IF(OR($AR750="",$AR750="BREAKDOWN_REQUIRED"),"",SUM($J750,$AQ750,$Y750)-$X750)</f>
        <v/>
      </c>
      <c r="AU750" s="25">
        <f>IF(AND($A750="",$B750="",$F750="",$H750="",$J750="",$K750="",$M750="",$S750=""),"",IF(OR($H750="",$Q750="",$M750="",$S750=""),"ERROR",IF(OR($J750&lt;0,$K750&lt;0,$M750&lt;0,$T750&lt;0,$U750&lt;0,$V750&lt;0,$W750&lt;0,$X750&lt;0,$Y750&lt;0),"ERROR",IF($AE750="","ERROR",IF(AND(OR($S750="ITEM_PRICE_PLUS_DECLARED_DELIVERY",$S750="TOTAL_AMOUNT_INCLUDING_DELIVERY",$S750="ITEM_PRICE_ONLY_DELIVERY_PAID_BY_MERCHANT"),$J750=""),"ERROR",IF(AND(OR($S750="ITEM_PRICE_PLUS_DECLARED_DELIVERY",$S750="DELIVERY_CHARGE_ONLY"),$K750=""),"ERROR",IF(AND(OR($S750="TOTAL_AMOUNT_INCLUDING_DELIVERY",$S750="EXACT_COLLECTION_AMOUNT"),$T750=""),"ERROR",IF(AND($S750="TOTAL_AMOUNT_INCLUDING_DELIVERY",$T750&lt;SUM($J750,$U750)),"ERROR",IF($S750="EXACT_COLLECTION_AMOUNT","REVIEW","OK")))))))))</f>
        <v/>
      </c>
      <c r="AV750" s="25">
        <f>IF($AU750="","",IF($H750="","Township required",IF($Q750="","Customer tier required",IF($M750="","Weight required",IF($S750="","Amount entry type required",IF(OR($J750&lt;0,$K750&lt;0,$M750&lt;0,$T750&lt;0,$U750&lt;0,$V750&lt;0,$W750&lt;0,$X750&lt;0,$Y750&lt;0),"Negative amounts are not allowed",IF($AE750="","Tariff not found for township and tier",IF(AND(OR($S750="ITEM_PRICE_PLUS_DECLARED_DELIVERY",$S750="TOTAL_AMOUNT_INCLUDING_DELIVERY",$S750="ITEM_PRICE_ONLY_DELIVERY_PAID_BY_MERCHANT"),$J750=""),"Item price required for this amount type",IF(AND(OR($S750="ITEM_PRICE_PLUS_DECLARED_DELIVERY",$S750="DELIVERY_CHARGE_ONLY"),$K750=""),"Declared delivery charge required",IF(AND(OR($S750="TOTAL_AMOUNT_INCLUDING_DELIVERY",$S750="EXACT_COLLECTION_AMOUNT"),$T750=""),"Stated total amount required",IF(AND($S750="TOTAL_AMOUNT_INCLUDING_DELIVERY",$T750&lt;SUM($J750,$U750)),"Stated total is below item price plus additional charge",IF($S750="EXACT_COLLECTION_AMOUNT","Authorized amount breakdown required before settlement","Ready for collection and settlement"))))))))))))</f>
        <v/>
      </c>
      <c r="AW750" s="23">
        <f>IF($AU750="","","PARCEL_FINANCIAL_V2")</f>
        <v/>
      </c>
      <c r="AX750" s="17" t="n"/>
    </row>
    <row r="751">
      <c r="A751" s="8" t="n"/>
      <c r="B751" s="8" t="n"/>
      <c r="C751" s="8" t="n"/>
      <c r="D751" s="8" t="n"/>
      <c r="E751" s="9" t="n"/>
      <c r="F751" s="9" t="n"/>
      <c r="G751" s="8" t="n"/>
      <c r="H751" s="9" t="n"/>
      <c r="I751" s="9" t="n"/>
      <c r="J751" s="10" t="n"/>
      <c r="K751" s="10" t="n"/>
      <c r="L751" s="11">
        <f>IF($S751="","",IF($S751="ITEM_PRICE_PLUS_DECLARED_DELIVERY",IF(OR($J751="",$K751=""),"",SUM($J751,$K751,$U751)),IF($S751="TOTAL_AMOUNT_INCLUDING_DELIVERY",IF($T751="","",$T751),IF($S751="DELIVERY_CHARGE_ONLY",IF($K751="","",SUM($K751,$U751)),IF($S751="EXACT_COLLECTION_AMOUNT",IF($T751="","",$T751),IF($S751="ITEM_PRICE_ONLY_DELIVERY_PAID_BY_MERCHANT",IF($J751="","",SUM($J751,$U751)),""))))))</f>
        <v/>
      </c>
      <c r="M751" s="12" t="n"/>
      <c r="N751" s="13" t="n"/>
      <c r="O751" s="13" t="n"/>
      <c r="P751" s="9" t="n"/>
      <c r="Q751" s="14" t="n"/>
      <c r="R751" s="15" t="n"/>
      <c r="S751" s="14" t="n"/>
      <c r="T751" s="16" t="n"/>
      <c r="U751" s="16" t="n"/>
      <c r="V751" s="16" t="n"/>
      <c r="W751" s="16" t="n"/>
      <c r="X751" s="16" t="n"/>
      <c r="Y751" s="16" t="n"/>
      <c r="Z751" s="14" t="n"/>
      <c r="AA751" s="14" t="n"/>
      <c r="AB751" s="14" t="n"/>
      <c r="AC751" s="17">
        <f>IFERROR(VLOOKUP($H751&amp;"|"&amp;$Q751,Tariff_Master!$A$2:$L$169,3,FALSE),"")</f>
        <v/>
      </c>
      <c r="AD751" s="17">
        <f>IFERROR(VLOOKUP($H751&amp;"|"&amp;$Q751,Tariff_Master!$A$2:$L$169,4,FALSE),"")</f>
        <v/>
      </c>
      <c r="AE751" s="18">
        <f>IFERROR(VLOOKUP($H751&amp;"|"&amp;$Q751,Tariff_Master!$A$2:$L$169,6,FALSE),"")</f>
        <v/>
      </c>
      <c r="AF751" s="19">
        <f>IFERROR(VLOOKUP($H751&amp;"|"&amp;$Q751,Tariff_Master!$A$2:$L$169,7,FALSE),"")</f>
        <v/>
      </c>
      <c r="AG751" s="18">
        <f>IFERROR(VLOOKUP($H751&amp;"|"&amp;$Q751,Tariff_Master!$A$2:$L$169,8,FALSE),"")</f>
        <v/>
      </c>
      <c r="AH751" s="20">
        <f>IFERROR(VLOOKUP($H751&amp;"|"&amp;$Q751,Tariff_Master!$A$2:$L$169,9,FALSE),"")</f>
        <v/>
      </c>
      <c r="AI751" s="18">
        <f>IFERROR(VLOOKUP($H751&amp;"|"&amp;$Q751,Tariff_Master!$A$2:$L$169,10,FALSE),"")</f>
        <v/>
      </c>
      <c r="AJ751" s="21">
        <f>IF($M751="","",ROUNDUP(MAX(0,$M751),0))</f>
        <v/>
      </c>
      <c r="AK751" s="21">
        <f>IF(OR($AJ751="",$AF751=""),"",MAX(0,$AJ751-$AF751))</f>
        <v/>
      </c>
      <c r="AL751" s="22">
        <f>IF(OR($AK751="",$AG751=""),"",MAX(0,$AK751*$AG751))</f>
        <v/>
      </c>
      <c r="AM751" s="22">
        <f>IF($AE751="","",MAX(0,SUM($AE751,$AL751,$V751,$W751)))</f>
        <v/>
      </c>
      <c r="AN751" s="22">
        <f>IF($AM751="","",IF(AND($Q751="COMMITMENT",$R751&gt;=$AH751),$AI751,0))</f>
        <v/>
      </c>
      <c r="AO751" s="23">
        <f>IF($AM751="","",MAX(0,$AM751-$AN751))</f>
        <v/>
      </c>
      <c r="AP751" s="22">
        <f>IF($S751="","",IF(OR($S751="ITEM_PRICE_PLUS_DECLARED_DELIVERY",$S751="DELIVERY_CHARGE_ONLY"),$K751,IF($S751="TOTAL_AMOUNT_INCLUDING_DELIVERY",IF(OR($T751="",$J751=""),"",MAX(0,$T751-$J751-$U751)),IF($S751="ITEM_PRICE_ONLY_DELIVERY_PAID_BY_MERCHANT",0,""))))</f>
        <v/>
      </c>
      <c r="AQ751" s="23">
        <f>IF(OR($AP751="",$AO751=""),"",$AP751-$AO751)</f>
        <v/>
      </c>
      <c r="AR751" s="24">
        <f>IF($S751="EXACT_COLLECTION_AMOUNT","BREAKDOWN_REQUIRED",IF($AQ751="","",IF($AQ751&gt;0,"CREDIT_TO_MERCHANT",IF($AQ751&lt;0,"DEDUCT_FROM_MERCHANT","NO_ADJUSTMENT"))))</f>
        <v/>
      </c>
      <c r="AS751" s="23">
        <f>IF(OR($AQ751="",$AR751="BREAKDOWN_REQUIRED"),"",$AQ751)</f>
        <v/>
      </c>
      <c r="AT751" s="23">
        <f>IF(OR($AR751="",$AR751="BREAKDOWN_REQUIRED"),"",SUM($J751,$AQ751,$Y751)-$X751)</f>
        <v/>
      </c>
      <c r="AU751" s="25">
        <f>IF(AND($A751="",$B751="",$F751="",$H751="",$J751="",$K751="",$M751="",$S751=""),"",IF(OR($H751="",$Q751="",$M751="",$S751=""),"ERROR",IF(OR($J751&lt;0,$K751&lt;0,$M751&lt;0,$T751&lt;0,$U751&lt;0,$V751&lt;0,$W751&lt;0,$X751&lt;0,$Y751&lt;0),"ERROR",IF($AE751="","ERROR",IF(AND(OR($S751="ITEM_PRICE_PLUS_DECLARED_DELIVERY",$S751="TOTAL_AMOUNT_INCLUDING_DELIVERY",$S751="ITEM_PRICE_ONLY_DELIVERY_PAID_BY_MERCHANT"),$J751=""),"ERROR",IF(AND(OR($S751="ITEM_PRICE_PLUS_DECLARED_DELIVERY",$S751="DELIVERY_CHARGE_ONLY"),$K751=""),"ERROR",IF(AND(OR($S751="TOTAL_AMOUNT_INCLUDING_DELIVERY",$S751="EXACT_COLLECTION_AMOUNT"),$T751=""),"ERROR",IF(AND($S751="TOTAL_AMOUNT_INCLUDING_DELIVERY",$T751&lt;SUM($J751,$U751)),"ERROR",IF($S751="EXACT_COLLECTION_AMOUNT","REVIEW","OK")))))))))</f>
        <v/>
      </c>
      <c r="AV751" s="25">
        <f>IF($AU751="","",IF($H751="","Township required",IF($Q751="","Customer tier required",IF($M751="","Weight required",IF($S751="","Amount entry type required",IF(OR($J751&lt;0,$K751&lt;0,$M751&lt;0,$T751&lt;0,$U751&lt;0,$V751&lt;0,$W751&lt;0,$X751&lt;0,$Y751&lt;0),"Negative amounts are not allowed",IF($AE751="","Tariff not found for township and tier",IF(AND(OR($S751="ITEM_PRICE_PLUS_DECLARED_DELIVERY",$S751="TOTAL_AMOUNT_INCLUDING_DELIVERY",$S751="ITEM_PRICE_ONLY_DELIVERY_PAID_BY_MERCHANT"),$J751=""),"Item price required for this amount type",IF(AND(OR($S751="ITEM_PRICE_PLUS_DECLARED_DELIVERY",$S751="DELIVERY_CHARGE_ONLY"),$K751=""),"Declared delivery charge required",IF(AND(OR($S751="TOTAL_AMOUNT_INCLUDING_DELIVERY",$S751="EXACT_COLLECTION_AMOUNT"),$T751=""),"Stated total amount required",IF(AND($S751="TOTAL_AMOUNT_INCLUDING_DELIVERY",$T751&lt;SUM($J751,$U751)),"Stated total is below item price plus additional charge",IF($S751="EXACT_COLLECTION_AMOUNT","Authorized amount breakdown required before settlement","Ready for collection and settlement"))))))))))))</f>
        <v/>
      </c>
      <c r="AW751" s="23">
        <f>IF($AU751="","","PARCEL_FINANCIAL_V2")</f>
        <v/>
      </c>
      <c r="AX751" s="17" t="n"/>
    </row>
    <row r="752">
      <c r="A752" s="8" t="n"/>
      <c r="B752" s="8" t="n"/>
      <c r="C752" s="8" t="n"/>
      <c r="D752" s="8" t="n"/>
      <c r="E752" s="9" t="n"/>
      <c r="F752" s="9" t="n"/>
      <c r="G752" s="8" t="n"/>
      <c r="H752" s="9" t="n"/>
      <c r="I752" s="9" t="n"/>
      <c r="J752" s="10" t="n"/>
      <c r="K752" s="10" t="n"/>
      <c r="L752" s="11">
        <f>IF($S752="","",IF($S752="ITEM_PRICE_PLUS_DECLARED_DELIVERY",IF(OR($J752="",$K752=""),"",SUM($J752,$K752,$U752)),IF($S752="TOTAL_AMOUNT_INCLUDING_DELIVERY",IF($T752="","",$T752),IF($S752="DELIVERY_CHARGE_ONLY",IF($K752="","",SUM($K752,$U752)),IF($S752="EXACT_COLLECTION_AMOUNT",IF($T752="","",$T752),IF($S752="ITEM_PRICE_ONLY_DELIVERY_PAID_BY_MERCHANT",IF($J752="","",SUM($J752,$U752)),""))))))</f>
        <v/>
      </c>
      <c r="M752" s="12" t="n"/>
      <c r="N752" s="13" t="n"/>
      <c r="O752" s="13" t="n"/>
      <c r="P752" s="9" t="n"/>
      <c r="Q752" s="14" t="n"/>
      <c r="R752" s="15" t="n"/>
      <c r="S752" s="14" t="n"/>
      <c r="T752" s="16" t="n"/>
      <c r="U752" s="16" t="n"/>
      <c r="V752" s="16" t="n"/>
      <c r="W752" s="16" t="n"/>
      <c r="X752" s="16" t="n"/>
      <c r="Y752" s="16" t="n"/>
      <c r="Z752" s="14" t="n"/>
      <c r="AA752" s="14" t="n"/>
      <c r="AB752" s="14" t="n"/>
      <c r="AC752" s="17">
        <f>IFERROR(VLOOKUP($H752&amp;"|"&amp;$Q752,Tariff_Master!$A$2:$L$169,3,FALSE),"")</f>
        <v/>
      </c>
      <c r="AD752" s="17">
        <f>IFERROR(VLOOKUP($H752&amp;"|"&amp;$Q752,Tariff_Master!$A$2:$L$169,4,FALSE),"")</f>
        <v/>
      </c>
      <c r="AE752" s="18">
        <f>IFERROR(VLOOKUP($H752&amp;"|"&amp;$Q752,Tariff_Master!$A$2:$L$169,6,FALSE),"")</f>
        <v/>
      </c>
      <c r="AF752" s="19">
        <f>IFERROR(VLOOKUP($H752&amp;"|"&amp;$Q752,Tariff_Master!$A$2:$L$169,7,FALSE),"")</f>
        <v/>
      </c>
      <c r="AG752" s="18">
        <f>IFERROR(VLOOKUP($H752&amp;"|"&amp;$Q752,Tariff_Master!$A$2:$L$169,8,FALSE),"")</f>
        <v/>
      </c>
      <c r="AH752" s="20">
        <f>IFERROR(VLOOKUP($H752&amp;"|"&amp;$Q752,Tariff_Master!$A$2:$L$169,9,FALSE),"")</f>
        <v/>
      </c>
      <c r="AI752" s="18">
        <f>IFERROR(VLOOKUP($H752&amp;"|"&amp;$Q752,Tariff_Master!$A$2:$L$169,10,FALSE),"")</f>
        <v/>
      </c>
      <c r="AJ752" s="21">
        <f>IF($M752="","",ROUNDUP(MAX(0,$M752),0))</f>
        <v/>
      </c>
      <c r="AK752" s="21">
        <f>IF(OR($AJ752="",$AF752=""),"",MAX(0,$AJ752-$AF752))</f>
        <v/>
      </c>
      <c r="AL752" s="22">
        <f>IF(OR($AK752="",$AG752=""),"",MAX(0,$AK752*$AG752))</f>
        <v/>
      </c>
      <c r="AM752" s="22">
        <f>IF($AE752="","",MAX(0,SUM($AE752,$AL752,$V752,$W752)))</f>
        <v/>
      </c>
      <c r="AN752" s="22">
        <f>IF($AM752="","",IF(AND($Q752="COMMITMENT",$R752&gt;=$AH752),$AI752,0))</f>
        <v/>
      </c>
      <c r="AO752" s="23">
        <f>IF($AM752="","",MAX(0,$AM752-$AN752))</f>
        <v/>
      </c>
      <c r="AP752" s="22">
        <f>IF($S752="","",IF(OR($S752="ITEM_PRICE_PLUS_DECLARED_DELIVERY",$S752="DELIVERY_CHARGE_ONLY"),$K752,IF($S752="TOTAL_AMOUNT_INCLUDING_DELIVERY",IF(OR($T752="",$J752=""),"",MAX(0,$T752-$J752-$U752)),IF($S752="ITEM_PRICE_ONLY_DELIVERY_PAID_BY_MERCHANT",0,""))))</f>
        <v/>
      </c>
      <c r="AQ752" s="23">
        <f>IF(OR($AP752="",$AO752=""),"",$AP752-$AO752)</f>
        <v/>
      </c>
      <c r="AR752" s="24">
        <f>IF($S752="EXACT_COLLECTION_AMOUNT","BREAKDOWN_REQUIRED",IF($AQ752="","",IF($AQ752&gt;0,"CREDIT_TO_MERCHANT",IF($AQ752&lt;0,"DEDUCT_FROM_MERCHANT","NO_ADJUSTMENT"))))</f>
        <v/>
      </c>
      <c r="AS752" s="23">
        <f>IF(OR($AQ752="",$AR752="BREAKDOWN_REQUIRED"),"",$AQ752)</f>
        <v/>
      </c>
      <c r="AT752" s="23">
        <f>IF(OR($AR752="",$AR752="BREAKDOWN_REQUIRED"),"",SUM($J752,$AQ752,$Y752)-$X752)</f>
        <v/>
      </c>
      <c r="AU752" s="25">
        <f>IF(AND($A752="",$B752="",$F752="",$H752="",$J752="",$K752="",$M752="",$S752=""),"",IF(OR($H752="",$Q752="",$M752="",$S752=""),"ERROR",IF(OR($J752&lt;0,$K752&lt;0,$M752&lt;0,$T752&lt;0,$U752&lt;0,$V752&lt;0,$W752&lt;0,$X752&lt;0,$Y752&lt;0),"ERROR",IF($AE752="","ERROR",IF(AND(OR($S752="ITEM_PRICE_PLUS_DECLARED_DELIVERY",$S752="TOTAL_AMOUNT_INCLUDING_DELIVERY",$S752="ITEM_PRICE_ONLY_DELIVERY_PAID_BY_MERCHANT"),$J752=""),"ERROR",IF(AND(OR($S752="ITEM_PRICE_PLUS_DECLARED_DELIVERY",$S752="DELIVERY_CHARGE_ONLY"),$K752=""),"ERROR",IF(AND(OR($S752="TOTAL_AMOUNT_INCLUDING_DELIVERY",$S752="EXACT_COLLECTION_AMOUNT"),$T752=""),"ERROR",IF(AND($S752="TOTAL_AMOUNT_INCLUDING_DELIVERY",$T752&lt;SUM($J752,$U752)),"ERROR",IF($S752="EXACT_COLLECTION_AMOUNT","REVIEW","OK")))))))))</f>
        <v/>
      </c>
      <c r="AV752" s="25">
        <f>IF($AU752="","",IF($H752="","Township required",IF($Q752="","Customer tier required",IF($M752="","Weight required",IF($S752="","Amount entry type required",IF(OR($J752&lt;0,$K752&lt;0,$M752&lt;0,$T752&lt;0,$U752&lt;0,$V752&lt;0,$W752&lt;0,$X752&lt;0,$Y752&lt;0),"Negative amounts are not allowed",IF($AE752="","Tariff not found for township and tier",IF(AND(OR($S752="ITEM_PRICE_PLUS_DECLARED_DELIVERY",$S752="TOTAL_AMOUNT_INCLUDING_DELIVERY",$S752="ITEM_PRICE_ONLY_DELIVERY_PAID_BY_MERCHANT"),$J752=""),"Item price required for this amount type",IF(AND(OR($S752="ITEM_PRICE_PLUS_DECLARED_DELIVERY",$S752="DELIVERY_CHARGE_ONLY"),$K752=""),"Declared delivery charge required",IF(AND(OR($S752="TOTAL_AMOUNT_INCLUDING_DELIVERY",$S752="EXACT_COLLECTION_AMOUNT"),$T752=""),"Stated total amount required",IF(AND($S752="TOTAL_AMOUNT_INCLUDING_DELIVERY",$T752&lt;SUM($J752,$U752)),"Stated total is below item price plus additional charge",IF($S752="EXACT_COLLECTION_AMOUNT","Authorized amount breakdown required before settlement","Ready for collection and settlement"))))))))))))</f>
        <v/>
      </c>
      <c r="AW752" s="23">
        <f>IF($AU752="","","PARCEL_FINANCIAL_V2")</f>
        <v/>
      </c>
      <c r="AX752" s="17" t="n"/>
    </row>
    <row r="753">
      <c r="A753" s="8" t="n"/>
      <c r="B753" s="8" t="n"/>
      <c r="C753" s="8" t="n"/>
      <c r="D753" s="8" t="n"/>
      <c r="E753" s="9" t="n"/>
      <c r="F753" s="9" t="n"/>
      <c r="G753" s="8" t="n"/>
      <c r="H753" s="9" t="n"/>
      <c r="I753" s="9" t="n"/>
      <c r="J753" s="10" t="n"/>
      <c r="K753" s="10" t="n"/>
      <c r="L753" s="11">
        <f>IF($S753="","",IF($S753="ITEM_PRICE_PLUS_DECLARED_DELIVERY",IF(OR($J753="",$K753=""),"",SUM($J753,$K753,$U753)),IF($S753="TOTAL_AMOUNT_INCLUDING_DELIVERY",IF($T753="","",$T753),IF($S753="DELIVERY_CHARGE_ONLY",IF($K753="","",SUM($K753,$U753)),IF($S753="EXACT_COLLECTION_AMOUNT",IF($T753="","",$T753),IF($S753="ITEM_PRICE_ONLY_DELIVERY_PAID_BY_MERCHANT",IF($J753="","",SUM($J753,$U753)),""))))))</f>
        <v/>
      </c>
      <c r="M753" s="12" t="n"/>
      <c r="N753" s="13" t="n"/>
      <c r="O753" s="13" t="n"/>
      <c r="P753" s="9" t="n"/>
      <c r="Q753" s="14" t="n"/>
      <c r="R753" s="15" t="n"/>
      <c r="S753" s="14" t="n"/>
      <c r="T753" s="16" t="n"/>
      <c r="U753" s="16" t="n"/>
      <c r="V753" s="16" t="n"/>
      <c r="W753" s="16" t="n"/>
      <c r="X753" s="16" t="n"/>
      <c r="Y753" s="16" t="n"/>
      <c r="Z753" s="14" t="n"/>
      <c r="AA753" s="14" t="n"/>
      <c r="AB753" s="14" t="n"/>
      <c r="AC753" s="17">
        <f>IFERROR(VLOOKUP($H753&amp;"|"&amp;$Q753,Tariff_Master!$A$2:$L$169,3,FALSE),"")</f>
        <v/>
      </c>
      <c r="AD753" s="17">
        <f>IFERROR(VLOOKUP($H753&amp;"|"&amp;$Q753,Tariff_Master!$A$2:$L$169,4,FALSE),"")</f>
        <v/>
      </c>
      <c r="AE753" s="18">
        <f>IFERROR(VLOOKUP($H753&amp;"|"&amp;$Q753,Tariff_Master!$A$2:$L$169,6,FALSE),"")</f>
        <v/>
      </c>
      <c r="AF753" s="19">
        <f>IFERROR(VLOOKUP($H753&amp;"|"&amp;$Q753,Tariff_Master!$A$2:$L$169,7,FALSE),"")</f>
        <v/>
      </c>
      <c r="AG753" s="18">
        <f>IFERROR(VLOOKUP($H753&amp;"|"&amp;$Q753,Tariff_Master!$A$2:$L$169,8,FALSE),"")</f>
        <v/>
      </c>
      <c r="AH753" s="20">
        <f>IFERROR(VLOOKUP($H753&amp;"|"&amp;$Q753,Tariff_Master!$A$2:$L$169,9,FALSE),"")</f>
        <v/>
      </c>
      <c r="AI753" s="18">
        <f>IFERROR(VLOOKUP($H753&amp;"|"&amp;$Q753,Tariff_Master!$A$2:$L$169,10,FALSE),"")</f>
        <v/>
      </c>
      <c r="AJ753" s="21">
        <f>IF($M753="","",ROUNDUP(MAX(0,$M753),0))</f>
        <v/>
      </c>
      <c r="AK753" s="21">
        <f>IF(OR($AJ753="",$AF753=""),"",MAX(0,$AJ753-$AF753))</f>
        <v/>
      </c>
      <c r="AL753" s="22">
        <f>IF(OR($AK753="",$AG753=""),"",MAX(0,$AK753*$AG753))</f>
        <v/>
      </c>
      <c r="AM753" s="22">
        <f>IF($AE753="","",MAX(0,SUM($AE753,$AL753,$V753,$W753)))</f>
        <v/>
      </c>
      <c r="AN753" s="22">
        <f>IF($AM753="","",IF(AND($Q753="COMMITMENT",$R753&gt;=$AH753),$AI753,0))</f>
        <v/>
      </c>
      <c r="AO753" s="23">
        <f>IF($AM753="","",MAX(0,$AM753-$AN753))</f>
        <v/>
      </c>
      <c r="AP753" s="22">
        <f>IF($S753="","",IF(OR($S753="ITEM_PRICE_PLUS_DECLARED_DELIVERY",$S753="DELIVERY_CHARGE_ONLY"),$K753,IF($S753="TOTAL_AMOUNT_INCLUDING_DELIVERY",IF(OR($T753="",$J753=""),"",MAX(0,$T753-$J753-$U753)),IF($S753="ITEM_PRICE_ONLY_DELIVERY_PAID_BY_MERCHANT",0,""))))</f>
        <v/>
      </c>
      <c r="AQ753" s="23">
        <f>IF(OR($AP753="",$AO753=""),"",$AP753-$AO753)</f>
        <v/>
      </c>
      <c r="AR753" s="24">
        <f>IF($S753="EXACT_COLLECTION_AMOUNT","BREAKDOWN_REQUIRED",IF($AQ753="","",IF($AQ753&gt;0,"CREDIT_TO_MERCHANT",IF($AQ753&lt;0,"DEDUCT_FROM_MERCHANT","NO_ADJUSTMENT"))))</f>
        <v/>
      </c>
      <c r="AS753" s="23">
        <f>IF(OR($AQ753="",$AR753="BREAKDOWN_REQUIRED"),"",$AQ753)</f>
        <v/>
      </c>
      <c r="AT753" s="23">
        <f>IF(OR($AR753="",$AR753="BREAKDOWN_REQUIRED"),"",SUM($J753,$AQ753,$Y753)-$X753)</f>
        <v/>
      </c>
      <c r="AU753" s="25">
        <f>IF(AND($A753="",$B753="",$F753="",$H753="",$J753="",$K753="",$M753="",$S753=""),"",IF(OR($H753="",$Q753="",$M753="",$S753=""),"ERROR",IF(OR($J753&lt;0,$K753&lt;0,$M753&lt;0,$T753&lt;0,$U753&lt;0,$V753&lt;0,$W753&lt;0,$X753&lt;0,$Y753&lt;0),"ERROR",IF($AE753="","ERROR",IF(AND(OR($S753="ITEM_PRICE_PLUS_DECLARED_DELIVERY",$S753="TOTAL_AMOUNT_INCLUDING_DELIVERY",$S753="ITEM_PRICE_ONLY_DELIVERY_PAID_BY_MERCHANT"),$J753=""),"ERROR",IF(AND(OR($S753="ITEM_PRICE_PLUS_DECLARED_DELIVERY",$S753="DELIVERY_CHARGE_ONLY"),$K753=""),"ERROR",IF(AND(OR($S753="TOTAL_AMOUNT_INCLUDING_DELIVERY",$S753="EXACT_COLLECTION_AMOUNT"),$T753=""),"ERROR",IF(AND($S753="TOTAL_AMOUNT_INCLUDING_DELIVERY",$T753&lt;SUM($J753,$U753)),"ERROR",IF($S753="EXACT_COLLECTION_AMOUNT","REVIEW","OK")))))))))</f>
        <v/>
      </c>
      <c r="AV753" s="25">
        <f>IF($AU753="","",IF($H753="","Township required",IF($Q753="","Customer tier required",IF($M753="","Weight required",IF($S753="","Amount entry type required",IF(OR($J753&lt;0,$K753&lt;0,$M753&lt;0,$T753&lt;0,$U753&lt;0,$V753&lt;0,$W753&lt;0,$X753&lt;0,$Y753&lt;0),"Negative amounts are not allowed",IF($AE753="","Tariff not found for township and tier",IF(AND(OR($S753="ITEM_PRICE_PLUS_DECLARED_DELIVERY",$S753="TOTAL_AMOUNT_INCLUDING_DELIVERY",$S753="ITEM_PRICE_ONLY_DELIVERY_PAID_BY_MERCHANT"),$J753=""),"Item price required for this amount type",IF(AND(OR($S753="ITEM_PRICE_PLUS_DECLARED_DELIVERY",$S753="DELIVERY_CHARGE_ONLY"),$K753=""),"Declared delivery charge required",IF(AND(OR($S753="TOTAL_AMOUNT_INCLUDING_DELIVERY",$S753="EXACT_COLLECTION_AMOUNT"),$T753=""),"Stated total amount required",IF(AND($S753="TOTAL_AMOUNT_INCLUDING_DELIVERY",$T753&lt;SUM($J753,$U753)),"Stated total is below item price plus additional charge",IF($S753="EXACT_COLLECTION_AMOUNT","Authorized amount breakdown required before settlement","Ready for collection and settlement"))))))))))))</f>
        <v/>
      </c>
      <c r="AW753" s="23">
        <f>IF($AU753="","","PARCEL_FINANCIAL_V2")</f>
        <v/>
      </c>
      <c r="AX753" s="17" t="n"/>
    </row>
    <row r="754">
      <c r="A754" s="8" t="n"/>
      <c r="B754" s="8" t="n"/>
      <c r="C754" s="8" t="n"/>
      <c r="D754" s="8" t="n"/>
      <c r="E754" s="9" t="n"/>
      <c r="F754" s="9" t="n"/>
      <c r="G754" s="8" t="n"/>
      <c r="H754" s="9" t="n"/>
      <c r="I754" s="9" t="n"/>
      <c r="J754" s="10" t="n"/>
      <c r="K754" s="10" t="n"/>
      <c r="L754" s="11">
        <f>IF($S754="","",IF($S754="ITEM_PRICE_PLUS_DECLARED_DELIVERY",IF(OR($J754="",$K754=""),"",SUM($J754,$K754,$U754)),IF($S754="TOTAL_AMOUNT_INCLUDING_DELIVERY",IF($T754="","",$T754),IF($S754="DELIVERY_CHARGE_ONLY",IF($K754="","",SUM($K754,$U754)),IF($S754="EXACT_COLLECTION_AMOUNT",IF($T754="","",$T754),IF($S754="ITEM_PRICE_ONLY_DELIVERY_PAID_BY_MERCHANT",IF($J754="","",SUM($J754,$U754)),""))))))</f>
        <v/>
      </c>
      <c r="M754" s="12" t="n"/>
      <c r="N754" s="13" t="n"/>
      <c r="O754" s="13" t="n"/>
      <c r="P754" s="9" t="n"/>
      <c r="Q754" s="14" t="n"/>
      <c r="R754" s="15" t="n"/>
      <c r="S754" s="14" t="n"/>
      <c r="T754" s="16" t="n"/>
      <c r="U754" s="16" t="n"/>
      <c r="V754" s="16" t="n"/>
      <c r="W754" s="16" t="n"/>
      <c r="X754" s="16" t="n"/>
      <c r="Y754" s="16" t="n"/>
      <c r="Z754" s="14" t="n"/>
      <c r="AA754" s="14" t="n"/>
      <c r="AB754" s="14" t="n"/>
      <c r="AC754" s="17">
        <f>IFERROR(VLOOKUP($H754&amp;"|"&amp;$Q754,Tariff_Master!$A$2:$L$169,3,FALSE),"")</f>
        <v/>
      </c>
      <c r="AD754" s="17">
        <f>IFERROR(VLOOKUP($H754&amp;"|"&amp;$Q754,Tariff_Master!$A$2:$L$169,4,FALSE),"")</f>
        <v/>
      </c>
      <c r="AE754" s="18">
        <f>IFERROR(VLOOKUP($H754&amp;"|"&amp;$Q754,Tariff_Master!$A$2:$L$169,6,FALSE),"")</f>
        <v/>
      </c>
      <c r="AF754" s="19">
        <f>IFERROR(VLOOKUP($H754&amp;"|"&amp;$Q754,Tariff_Master!$A$2:$L$169,7,FALSE),"")</f>
        <v/>
      </c>
      <c r="AG754" s="18">
        <f>IFERROR(VLOOKUP($H754&amp;"|"&amp;$Q754,Tariff_Master!$A$2:$L$169,8,FALSE),"")</f>
        <v/>
      </c>
      <c r="AH754" s="20">
        <f>IFERROR(VLOOKUP($H754&amp;"|"&amp;$Q754,Tariff_Master!$A$2:$L$169,9,FALSE),"")</f>
        <v/>
      </c>
      <c r="AI754" s="18">
        <f>IFERROR(VLOOKUP($H754&amp;"|"&amp;$Q754,Tariff_Master!$A$2:$L$169,10,FALSE),"")</f>
        <v/>
      </c>
      <c r="AJ754" s="21">
        <f>IF($M754="","",ROUNDUP(MAX(0,$M754),0))</f>
        <v/>
      </c>
      <c r="AK754" s="21">
        <f>IF(OR($AJ754="",$AF754=""),"",MAX(0,$AJ754-$AF754))</f>
        <v/>
      </c>
      <c r="AL754" s="22">
        <f>IF(OR($AK754="",$AG754=""),"",MAX(0,$AK754*$AG754))</f>
        <v/>
      </c>
      <c r="AM754" s="22">
        <f>IF($AE754="","",MAX(0,SUM($AE754,$AL754,$V754,$W754)))</f>
        <v/>
      </c>
      <c r="AN754" s="22">
        <f>IF($AM754="","",IF(AND($Q754="COMMITMENT",$R754&gt;=$AH754),$AI754,0))</f>
        <v/>
      </c>
      <c r="AO754" s="23">
        <f>IF($AM754="","",MAX(0,$AM754-$AN754))</f>
        <v/>
      </c>
      <c r="AP754" s="22">
        <f>IF($S754="","",IF(OR($S754="ITEM_PRICE_PLUS_DECLARED_DELIVERY",$S754="DELIVERY_CHARGE_ONLY"),$K754,IF($S754="TOTAL_AMOUNT_INCLUDING_DELIVERY",IF(OR($T754="",$J754=""),"",MAX(0,$T754-$J754-$U754)),IF($S754="ITEM_PRICE_ONLY_DELIVERY_PAID_BY_MERCHANT",0,""))))</f>
        <v/>
      </c>
      <c r="AQ754" s="23">
        <f>IF(OR($AP754="",$AO754=""),"",$AP754-$AO754)</f>
        <v/>
      </c>
      <c r="AR754" s="24">
        <f>IF($S754="EXACT_COLLECTION_AMOUNT","BREAKDOWN_REQUIRED",IF($AQ754="","",IF($AQ754&gt;0,"CREDIT_TO_MERCHANT",IF($AQ754&lt;0,"DEDUCT_FROM_MERCHANT","NO_ADJUSTMENT"))))</f>
        <v/>
      </c>
      <c r="AS754" s="23">
        <f>IF(OR($AQ754="",$AR754="BREAKDOWN_REQUIRED"),"",$AQ754)</f>
        <v/>
      </c>
      <c r="AT754" s="23">
        <f>IF(OR($AR754="",$AR754="BREAKDOWN_REQUIRED"),"",SUM($J754,$AQ754,$Y754)-$X754)</f>
        <v/>
      </c>
      <c r="AU754" s="25">
        <f>IF(AND($A754="",$B754="",$F754="",$H754="",$J754="",$K754="",$M754="",$S754=""),"",IF(OR($H754="",$Q754="",$M754="",$S754=""),"ERROR",IF(OR($J754&lt;0,$K754&lt;0,$M754&lt;0,$T754&lt;0,$U754&lt;0,$V754&lt;0,$W754&lt;0,$X754&lt;0,$Y754&lt;0),"ERROR",IF($AE754="","ERROR",IF(AND(OR($S754="ITEM_PRICE_PLUS_DECLARED_DELIVERY",$S754="TOTAL_AMOUNT_INCLUDING_DELIVERY",$S754="ITEM_PRICE_ONLY_DELIVERY_PAID_BY_MERCHANT"),$J754=""),"ERROR",IF(AND(OR($S754="ITEM_PRICE_PLUS_DECLARED_DELIVERY",$S754="DELIVERY_CHARGE_ONLY"),$K754=""),"ERROR",IF(AND(OR($S754="TOTAL_AMOUNT_INCLUDING_DELIVERY",$S754="EXACT_COLLECTION_AMOUNT"),$T754=""),"ERROR",IF(AND($S754="TOTAL_AMOUNT_INCLUDING_DELIVERY",$T754&lt;SUM($J754,$U754)),"ERROR",IF($S754="EXACT_COLLECTION_AMOUNT","REVIEW","OK")))))))))</f>
        <v/>
      </c>
      <c r="AV754" s="25">
        <f>IF($AU754="","",IF($H754="","Township required",IF($Q754="","Customer tier required",IF($M754="","Weight required",IF($S754="","Amount entry type required",IF(OR($J754&lt;0,$K754&lt;0,$M754&lt;0,$T754&lt;0,$U754&lt;0,$V754&lt;0,$W754&lt;0,$X754&lt;0,$Y754&lt;0),"Negative amounts are not allowed",IF($AE754="","Tariff not found for township and tier",IF(AND(OR($S754="ITEM_PRICE_PLUS_DECLARED_DELIVERY",$S754="TOTAL_AMOUNT_INCLUDING_DELIVERY",$S754="ITEM_PRICE_ONLY_DELIVERY_PAID_BY_MERCHANT"),$J754=""),"Item price required for this amount type",IF(AND(OR($S754="ITEM_PRICE_PLUS_DECLARED_DELIVERY",$S754="DELIVERY_CHARGE_ONLY"),$K754=""),"Declared delivery charge required",IF(AND(OR($S754="TOTAL_AMOUNT_INCLUDING_DELIVERY",$S754="EXACT_COLLECTION_AMOUNT"),$T754=""),"Stated total amount required",IF(AND($S754="TOTAL_AMOUNT_INCLUDING_DELIVERY",$T754&lt;SUM($J754,$U754)),"Stated total is below item price plus additional charge",IF($S754="EXACT_COLLECTION_AMOUNT","Authorized amount breakdown required before settlement","Ready for collection and settlement"))))))))))))</f>
        <v/>
      </c>
      <c r="AW754" s="23">
        <f>IF($AU754="","","PARCEL_FINANCIAL_V2")</f>
        <v/>
      </c>
      <c r="AX754" s="17" t="n"/>
    </row>
    <row r="755">
      <c r="A755" s="8" t="n"/>
      <c r="B755" s="8" t="n"/>
      <c r="C755" s="8" t="n"/>
      <c r="D755" s="8" t="n"/>
      <c r="E755" s="9" t="n"/>
      <c r="F755" s="9" t="n"/>
      <c r="G755" s="8" t="n"/>
      <c r="H755" s="9" t="n"/>
      <c r="I755" s="9" t="n"/>
      <c r="J755" s="10" t="n"/>
      <c r="K755" s="10" t="n"/>
      <c r="L755" s="11">
        <f>IF($S755="","",IF($S755="ITEM_PRICE_PLUS_DECLARED_DELIVERY",IF(OR($J755="",$K755=""),"",SUM($J755,$K755,$U755)),IF($S755="TOTAL_AMOUNT_INCLUDING_DELIVERY",IF($T755="","",$T755),IF($S755="DELIVERY_CHARGE_ONLY",IF($K755="","",SUM($K755,$U755)),IF($S755="EXACT_COLLECTION_AMOUNT",IF($T755="","",$T755),IF($S755="ITEM_PRICE_ONLY_DELIVERY_PAID_BY_MERCHANT",IF($J755="","",SUM($J755,$U755)),""))))))</f>
        <v/>
      </c>
      <c r="M755" s="12" t="n"/>
      <c r="N755" s="13" t="n"/>
      <c r="O755" s="13" t="n"/>
      <c r="P755" s="9" t="n"/>
      <c r="Q755" s="14" t="n"/>
      <c r="R755" s="15" t="n"/>
      <c r="S755" s="14" t="n"/>
      <c r="T755" s="16" t="n"/>
      <c r="U755" s="16" t="n"/>
      <c r="V755" s="16" t="n"/>
      <c r="W755" s="16" t="n"/>
      <c r="X755" s="16" t="n"/>
      <c r="Y755" s="16" t="n"/>
      <c r="Z755" s="14" t="n"/>
      <c r="AA755" s="14" t="n"/>
      <c r="AB755" s="14" t="n"/>
      <c r="AC755" s="17">
        <f>IFERROR(VLOOKUP($H755&amp;"|"&amp;$Q755,Tariff_Master!$A$2:$L$169,3,FALSE),"")</f>
        <v/>
      </c>
      <c r="AD755" s="17">
        <f>IFERROR(VLOOKUP($H755&amp;"|"&amp;$Q755,Tariff_Master!$A$2:$L$169,4,FALSE),"")</f>
        <v/>
      </c>
      <c r="AE755" s="18">
        <f>IFERROR(VLOOKUP($H755&amp;"|"&amp;$Q755,Tariff_Master!$A$2:$L$169,6,FALSE),"")</f>
        <v/>
      </c>
      <c r="AF755" s="19">
        <f>IFERROR(VLOOKUP($H755&amp;"|"&amp;$Q755,Tariff_Master!$A$2:$L$169,7,FALSE),"")</f>
        <v/>
      </c>
      <c r="AG755" s="18">
        <f>IFERROR(VLOOKUP($H755&amp;"|"&amp;$Q755,Tariff_Master!$A$2:$L$169,8,FALSE),"")</f>
        <v/>
      </c>
      <c r="AH755" s="20">
        <f>IFERROR(VLOOKUP($H755&amp;"|"&amp;$Q755,Tariff_Master!$A$2:$L$169,9,FALSE),"")</f>
        <v/>
      </c>
      <c r="AI755" s="18">
        <f>IFERROR(VLOOKUP($H755&amp;"|"&amp;$Q755,Tariff_Master!$A$2:$L$169,10,FALSE),"")</f>
        <v/>
      </c>
      <c r="AJ755" s="21">
        <f>IF($M755="","",ROUNDUP(MAX(0,$M755),0))</f>
        <v/>
      </c>
      <c r="AK755" s="21">
        <f>IF(OR($AJ755="",$AF755=""),"",MAX(0,$AJ755-$AF755))</f>
        <v/>
      </c>
      <c r="AL755" s="22">
        <f>IF(OR($AK755="",$AG755=""),"",MAX(0,$AK755*$AG755))</f>
        <v/>
      </c>
      <c r="AM755" s="22">
        <f>IF($AE755="","",MAX(0,SUM($AE755,$AL755,$V755,$W755)))</f>
        <v/>
      </c>
      <c r="AN755" s="22">
        <f>IF($AM755="","",IF(AND($Q755="COMMITMENT",$R755&gt;=$AH755),$AI755,0))</f>
        <v/>
      </c>
      <c r="AO755" s="23">
        <f>IF($AM755="","",MAX(0,$AM755-$AN755))</f>
        <v/>
      </c>
      <c r="AP755" s="22">
        <f>IF($S755="","",IF(OR($S755="ITEM_PRICE_PLUS_DECLARED_DELIVERY",$S755="DELIVERY_CHARGE_ONLY"),$K755,IF($S755="TOTAL_AMOUNT_INCLUDING_DELIVERY",IF(OR($T755="",$J755=""),"",MAX(0,$T755-$J755-$U755)),IF($S755="ITEM_PRICE_ONLY_DELIVERY_PAID_BY_MERCHANT",0,""))))</f>
        <v/>
      </c>
      <c r="AQ755" s="23">
        <f>IF(OR($AP755="",$AO755=""),"",$AP755-$AO755)</f>
        <v/>
      </c>
      <c r="AR755" s="24">
        <f>IF($S755="EXACT_COLLECTION_AMOUNT","BREAKDOWN_REQUIRED",IF($AQ755="","",IF($AQ755&gt;0,"CREDIT_TO_MERCHANT",IF($AQ755&lt;0,"DEDUCT_FROM_MERCHANT","NO_ADJUSTMENT"))))</f>
        <v/>
      </c>
      <c r="AS755" s="23">
        <f>IF(OR($AQ755="",$AR755="BREAKDOWN_REQUIRED"),"",$AQ755)</f>
        <v/>
      </c>
      <c r="AT755" s="23">
        <f>IF(OR($AR755="",$AR755="BREAKDOWN_REQUIRED"),"",SUM($J755,$AQ755,$Y755)-$X755)</f>
        <v/>
      </c>
      <c r="AU755" s="25">
        <f>IF(AND($A755="",$B755="",$F755="",$H755="",$J755="",$K755="",$M755="",$S755=""),"",IF(OR($H755="",$Q755="",$M755="",$S755=""),"ERROR",IF(OR($J755&lt;0,$K755&lt;0,$M755&lt;0,$T755&lt;0,$U755&lt;0,$V755&lt;0,$W755&lt;0,$X755&lt;0,$Y755&lt;0),"ERROR",IF($AE755="","ERROR",IF(AND(OR($S755="ITEM_PRICE_PLUS_DECLARED_DELIVERY",$S755="TOTAL_AMOUNT_INCLUDING_DELIVERY",$S755="ITEM_PRICE_ONLY_DELIVERY_PAID_BY_MERCHANT"),$J755=""),"ERROR",IF(AND(OR($S755="ITEM_PRICE_PLUS_DECLARED_DELIVERY",$S755="DELIVERY_CHARGE_ONLY"),$K755=""),"ERROR",IF(AND(OR($S755="TOTAL_AMOUNT_INCLUDING_DELIVERY",$S755="EXACT_COLLECTION_AMOUNT"),$T755=""),"ERROR",IF(AND($S755="TOTAL_AMOUNT_INCLUDING_DELIVERY",$T755&lt;SUM($J755,$U755)),"ERROR",IF($S755="EXACT_COLLECTION_AMOUNT","REVIEW","OK")))))))))</f>
        <v/>
      </c>
      <c r="AV755" s="25">
        <f>IF($AU755="","",IF($H755="","Township required",IF($Q755="","Customer tier required",IF($M755="","Weight required",IF($S755="","Amount entry type required",IF(OR($J755&lt;0,$K755&lt;0,$M755&lt;0,$T755&lt;0,$U755&lt;0,$V755&lt;0,$W755&lt;0,$X755&lt;0,$Y755&lt;0),"Negative amounts are not allowed",IF($AE755="","Tariff not found for township and tier",IF(AND(OR($S755="ITEM_PRICE_PLUS_DECLARED_DELIVERY",$S755="TOTAL_AMOUNT_INCLUDING_DELIVERY",$S755="ITEM_PRICE_ONLY_DELIVERY_PAID_BY_MERCHANT"),$J755=""),"Item price required for this amount type",IF(AND(OR($S755="ITEM_PRICE_PLUS_DECLARED_DELIVERY",$S755="DELIVERY_CHARGE_ONLY"),$K755=""),"Declared delivery charge required",IF(AND(OR($S755="TOTAL_AMOUNT_INCLUDING_DELIVERY",$S755="EXACT_COLLECTION_AMOUNT"),$T755=""),"Stated total amount required",IF(AND($S755="TOTAL_AMOUNT_INCLUDING_DELIVERY",$T755&lt;SUM($J755,$U755)),"Stated total is below item price plus additional charge",IF($S755="EXACT_COLLECTION_AMOUNT","Authorized amount breakdown required before settlement","Ready for collection and settlement"))))))))))))</f>
        <v/>
      </c>
      <c r="AW755" s="23">
        <f>IF($AU755="","","PARCEL_FINANCIAL_V2")</f>
        <v/>
      </c>
      <c r="AX755" s="17" t="n"/>
    </row>
    <row r="756">
      <c r="A756" s="8" t="n"/>
      <c r="B756" s="8" t="n"/>
      <c r="C756" s="8" t="n"/>
      <c r="D756" s="8" t="n"/>
      <c r="E756" s="9" t="n"/>
      <c r="F756" s="9" t="n"/>
      <c r="G756" s="8" t="n"/>
      <c r="H756" s="9" t="n"/>
      <c r="I756" s="9" t="n"/>
      <c r="J756" s="10" t="n"/>
      <c r="K756" s="10" t="n"/>
      <c r="L756" s="11">
        <f>IF($S756="","",IF($S756="ITEM_PRICE_PLUS_DECLARED_DELIVERY",IF(OR($J756="",$K756=""),"",SUM($J756,$K756,$U756)),IF($S756="TOTAL_AMOUNT_INCLUDING_DELIVERY",IF($T756="","",$T756),IF($S756="DELIVERY_CHARGE_ONLY",IF($K756="","",SUM($K756,$U756)),IF($S756="EXACT_COLLECTION_AMOUNT",IF($T756="","",$T756),IF($S756="ITEM_PRICE_ONLY_DELIVERY_PAID_BY_MERCHANT",IF($J756="","",SUM($J756,$U756)),""))))))</f>
        <v/>
      </c>
      <c r="M756" s="12" t="n"/>
      <c r="N756" s="13" t="n"/>
      <c r="O756" s="13" t="n"/>
      <c r="P756" s="9" t="n"/>
      <c r="Q756" s="14" t="n"/>
      <c r="R756" s="15" t="n"/>
      <c r="S756" s="14" t="n"/>
      <c r="T756" s="16" t="n"/>
      <c r="U756" s="16" t="n"/>
      <c r="V756" s="16" t="n"/>
      <c r="W756" s="16" t="n"/>
      <c r="X756" s="16" t="n"/>
      <c r="Y756" s="16" t="n"/>
      <c r="Z756" s="14" t="n"/>
      <c r="AA756" s="14" t="n"/>
      <c r="AB756" s="14" t="n"/>
      <c r="AC756" s="17">
        <f>IFERROR(VLOOKUP($H756&amp;"|"&amp;$Q756,Tariff_Master!$A$2:$L$169,3,FALSE),"")</f>
        <v/>
      </c>
      <c r="AD756" s="17">
        <f>IFERROR(VLOOKUP($H756&amp;"|"&amp;$Q756,Tariff_Master!$A$2:$L$169,4,FALSE),"")</f>
        <v/>
      </c>
      <c r="AE756" s="18">
        <f>IFERROR(VLOOKUP($H756&amp;"|"&amp;$Q756,Tariff_Master!$A$2:$L$169,6,FALSE),"")</f>
        <v/>
      </c>
      <c r="AF756" s="19">
        <f>IFERROR(VLOOKUP($H756&amp;"|"&amp;$Q756,Tariff_Master!$A$2:$L$169,7,FALSE),"")</f>
        <v/>
      </c>
      <c r="AG756" s="18">
        <f>IFERROR(VLOOKUP($H756&amp;"|"&amp;$Q756,Tariff_Master!$A$2:$L$169,8,FALSE),"")</f>
        <v/>
      </c>
      <c r="AH756" s="20">
        <f>IFERROR(VLOOKUP($H756&amp;"|"&amp;$Q756,Tariff_Master!$A$2:$L$169,9,FALSE),"")</f>
        <v/>
      </c>
      <c r="AI756" s="18">
        <f>IFERROR(VLOOKUP($H756&amp;"|"&amp;$Q756,Tariff_Master!$A$2:$L$169,10,FALSE),"")</f>
        <v/>
      </c>
      <c r="AJ756" s="21">
        <f>IF($M756="","",ROUNDUP(MAX(0,$M756),0))</f>
        <v/>
      </c>
      <c r="AK756" s="21">
        <f>IF(OR($AJ756="",$AF756=""),"",MAX(0,$AJ756-$AF756))</f>
        <v/>
      </c>
      <c r="AL756" s="22">
        <f>IF(OR($AK756="",$AG756=""),"",MAX(0,$AK756*$AG756))</f>
        <v/>
      </c>
      <c r="AM756" s="22">
        <f>IF($AE756="","",MAX(0,SUM($AE756,$AL756,$V756,$W756)))</f>
        <v/>
      </c>
      <c r="AN756" s="22">
        <f>IF($AM756="","",IF(AND($Q756="COMMITMENT",$R756&gt;=$AH756),$AI756,0))</f>
        <v/>
      </c>
      <c r="AO756" s="23">
        <f>IF($AM756="","",MAX(0,$AM756-$AN756))</f>
        <v/>
      </c>
      <c r="AP756" s="22">
        <f>IF($S756="","",IF(OR($S756="ITEM_PRICE_PLUS_DECLARED_DELIVERY",$S756="DELIVERY_CHARGE_ONLY"),$K756,IF($S756="TOTAL_AMOUNT_INCLUDING_DELIVERY",IF(OR($T756="",$J756=""),"",MAX(0,$T756-$J756-$U756)),IF($S756="ITEM_PRICE_ONLY_DELIVERY_PAID_BY_MERCHANT",0,""))))</f>
        <v/>
      </c>
      <c r="AQ756" s="23">
        <f>IF(OR($AP756="",$AO756=""),"",$AP756-$AO756)</f>
        <v/>
      </c>
      <c r="AR756" s="24">
        <f>IF($S756="EXACT_COLLECTION_AMOUNT","BREAKDOWN_REQUIRED",IF($AQ756="","",IF($AQ756&gt;0,"CREDIT_TO_MERCHANT",IF($AQ756&lt;0,"DEDUCT_FROM_MERCHANT","NO_ADJUSTMENT"))))</f>
        <v/>
      </c>
      <c r="AS756" s="23">
        <f>IF(OR($AQ756="",$AR756="BREAKDOWN_REQUIRED"),"",$AQ756)</f>
        <v/>
      </c>
      <c r="AT756" s="23">
        <f>IF(OR($AR756="",$AR756="BREAKDOWN_REQUIRED"),"",SUM($J756,$AQ756,$Y756)-$X756)</f>
        <v/>
      </c>
      <c r="AU756" s="25">
        <f>IF(AND($A756="",$B756="",$F756="",$H756="",$J756="",$K756="",$M756="",$S756=""),"",IF(OR($H756="",$Q756="",$M756="",$S756=""),"ERROR",IF(OR($J756&lt;0,$K756&lt;0,$M756&lt;0,$T756&lt;0,$U756&lt;0,$V756&lt;0,$W756&lt;0,$X756&lt;0,$Y756&lt;0),"ERROR",IF($AE756="","ERROR",IF(AND(OR($S756="ITEM_PRICE_PLUS_DECLARED_DELIVERY",$S756="TOTAL_AMOUNT_INCLUDING_DELIVERY",$S756="ITEM_PRICE_ONLY_DELIVERY_PAID_BY_MERCHANT"),$J756=""),"ERROR",IF(AND(OR($S756="ITEM_PRICE_PLUS_DECLARED_DELIVERY",$S756="DELIVERY_CHARGE_ONLY"),$K756=""),"ERROR",IF(AND(OR($S756="TOTAL_AMOUNT_INCLUDING_DELIVERY",$S756="EXACT_COLLECTION_AMOUNT"),$T756=""),"ERROR",IF(AND($S756="TOTAL_AMOUNT_INCLUDING_DELIVERY",$T756&lt;SUM($J756,$U756)),"ERROR",IF($S756="EXACT_COLLECTION_AMOUNT","REVIEW","OK")))))))))</f>
        <v/>
      </c>
      <c r="AV756" s="25">
        <f>IF($AU756="","",IF($H756="","Township required",IF($Q756="","Customer tier required",IF($M756="","Weight required",IF($S756="","Amount entry type required",IF(OR($J756&lt;0,$K756&lt;0,$M756&lt;0,$T756&lt;0,$U756&lt;0,$V756&lt;0,$W756&lt;0,$X756&lt;0,$Y756&lt;0),"Negative amounts are not allowed",IF($AE756="","Tariff not found for township and tier",IF(AND(OR($S756="ITEM_PRICE_PLUS_DECLARED_DELIVERY",$S756="TOTAL_AMOUNT_INCLUDING_DELIVERY",$S756="ITEM_PRICE_ONLY_DELIVERY_PAID_BY_MERCHANT"),$J756=""),"Item price required for this amount type",IF(AND(OR($S756="ITEM_PRICE_PLUS_DECLARED_DELIVERY",$S756="DELIVERY_CHARGE_ONLY"),$K756=""),"Declared delivery charge required",IF(AND(OR($S756="TOTAL_AMOUNT_INCLUDING_DELIVERY",$S756="EXACT_COLLECTION_AMOUNT"),$T756=""),"Stated total amount required",IF(AND($S756="TOTAL_AMOUNT_INCLUDING_DELIVERY",$T756&lt;SUM($J756,$U756)),"Stated total is below item price plus additional charge",IF($S756="EXACT_COLLECTION_AMOUNT","Authorized amount breakdown required before settlement","Ready for collection and settlement"))))))))))))</f>
        <v/>
      </c>
      <c r="AW756" s="23">
        <f>IF($AU756="","","PARCEL_FINANCIAL_V2")</f>
        <v/>
      </c>
      <c r="AX756" s="17" t="n"/>
    </row>
    <row r="757">
      <c r="A757" s="8" t="n"/>
      <c r="B757" s="8" t="n"/>
      <c r="C757" s="8" t="n"/>
      <c r="D757" s="8" t="n"/>
      <c r="E757" s="9" t="n"/>
      <c r="F757" s="9" t="n"/>
      <c r="G757" s="8" t="n"/>
      <c r="H757" s="9" t="n"/>
      <c r="I757" s="9" t="n"/>
      <c r="J757" s="10" t="n"/>
      <c r="K757" s="10" t="n"/>
      <c r="L757" s="11">
        <f>IF($S757="","",IF($S757="ITEM_PRICE_PLUS_DECLARED_DELIVERY",IF(OR($J757="",$K757=""),"",SUM($J757,$K757,$U757)),IF($S757="TOTAL_AMOUNT_INCLUDING_DELIVERY",IF($T757="","",$T757),IF($S757="DELIVERY_CHARGE_ONLY",IF($K757="","",SUM($K757,$U757)),IF($S757="EXACT_COLLECTION_AMOUNT",IF($T757="","",$T757),IF($S757="ITEM_PRICE_ONLY_DELIVERY_PAID_BY_MERCHANT",IF($J757="","",SUM($J757,$U757)),""))))))</f>
        <v/>
      </c>
      <c r="M757" s="12" t="n"/>
      <c r="N757" s="13" t="n"/>
      <c r="O757" s="13" t="n"/>
      <c r="P757" s="9" t="n"/>
      <c r="Q757" s="14" t="n"/>
      <c r="R757" s="15" t="n"/>
      <c r="S757" s="14" t="n"/>
      <c r="T757" s="16" t="n"/>
      <c r="U757" s="16" t="n"/>
      <c r="V757" s="16" t="n"/>
      <c r="W757" s="16" t="n"/>
      <c r="X757" s="16" t="n"/>
      <c r="Y757" s="16" t="n"/>
      <c r="Z757" s="14" t="n"/>
      <c r="AA757" s="14" t="n"/>
      <c r="AB757" s="14" t="n"/>
      <c r="AC757" s="17">
        <f>IFERROR(VLOOKUP($H757&amp;"|"&amp;$Q757,Tariff_Master!$A$2:$L$169,3,FALSE),"")</f>
        <v/>
      </c>
      <c r="AD757" s="17">
        <f>IFERROR(VLOOKUP($H757&amp;"|"&amp;$Q757,Tariff_Master!$A$2:$L$169,4,FALSE),"")</f>
        <v/>
      </c>
      <c r="AE757" s="18">
        <f>IFERROR(VLOOKUP($H757&amp;"|"&amp;$Q757,Tariff_Master!$A$2:$L$169,6,FALSE),"")</f>
        <v/>
      </c>
      <c r="AF757" s="19">
        <f>IFERROR(VLOOKUP($H757&amp;"|"&amp;$Q757,Tariff_Master!$A$2:$L$169,7,FALSE),"")</f>
        <v/>
      </c>
      <c r="AG757" s="18">
        <f>IFERROR(VLOOKUP($H757&amp;"|"&amp;$Q757,Tariff_Master!$A$2:$L$169,8,FALSE),"")</f>
        <v/>
      </c>
      <c r="AH757" s="20">
        <f>IFERROR(VLOOKUP($H757&amp;"|"&amp;$Q757,Tariff_Master!$A$2:$L$169,9,FALSE),"")</f>
        <v/>
      </c>
      <c r="AI757" s="18">
        <f>IFERROR(VLOOKUP($H757&amp;"|"&amp;$Q757,Tariff_Master!$A$2:$L$169,10,FALSE),"")</f>
        <v/>
      </c>
      <c r="AJ757" s="21">
        <f>IF($M757="","",ROUNDUP(MAX(0,$M757),0))</f>
        <v/>
      </c>
      <c r="AK757" s="21">
        <f>IF(OR($AJ757="",$AF757=""),"",MAX(0,$AJ757-$AF757))</f>
        <v/>
      </c>
      <c r="AL757" s="22">
        <f>IF(OR($AK757="",$AG757=""),"",MAX(0,$AK757*$AG757))</f>
        <v/>
      </c>
      <c r="AM757" s="22">
        <f>IF($AE757="","",MAX(0,SUM($AE757,$AL757,$V757,$W757)))</f>
        <v/>
      </c>
      <c r="AN757" s="22">
        <f>IF($AM757="","",IF(AND($Q757="COMMITMENT",$R757&gt;=$AH757),$AI757,0))</f>
        <v/>
      </c>
      <c r="AO757" s="23">
        <f>IF($AM757="","",MAX(0,$AM757-$AN757))</f>
        <v/>
      </c>
      <c r="AP757" s="22">
        <f>IF($S757="","",IF(OR($S757="ITEM_PRICE_PLUS_DECLARED_DELIVERY",$S757="DELIVERY_CHARGE_ONLY"),$K757,IF($S757="TOTAL_AMOUNT_INCLUDING_DELIVERY",IF(OR($T757="",$J757=""),"",MAX(0,$T757-$J757-$U757)),IF($S757="ITEM_PRICE_ONLY_DELIVERY_PAID_BY_MERCHANT",0,""))))</f>
        <v/>
      </c>
      <c r="AQ757" s="23">
        <f>IF(OR($AP757="",$AO757=""),"",$AP757-$AO757)</f>
        <v/>
      </c>
      <c r="AR757" s="24">
        <f>IF($S757="EXACT_COLLECTION_AMOUNT","BREAKDOWN_REQUIRED",IF($AQ757="","",IF($AQ757&gt;0,"CREDIT_TO_MERCHANT",IF($AQ757&lt;0,"DEDUCT_FROM_MERCHANT","NO_ADJUSTMENT"))))</f>
        <v/>
      </c>
      <c r="AS757" s="23">
        <f>IF(OR($AQ757="",$AR757="BREAKDOWN_REQUIRED"),"",$AQ757)</f>
        <v/>
      </c>
      <c r="AT757" s="23">
        <f>IF(OR($AR757="",$AR757="BREAKDOWN_REQUIRED"),"",SUM($J757,$AQ757,$Y757)-$X757)</f>
        <v/>
      </c>
      <c r="AU757" s="25">
        <f>IF(AND($A757="",$B757="",$F757="",$H757="",$J757="",$K757="",$M757="",$S757=""),"",IF(OR($H757="",$Q757="",$M757="",$S757=""),"ERROR",IF(OR($J757&lt;0,$K757&lt;0,$M757&lt;0,$T757&lt;0,$U757&lt;0,$V757&lt;0,$W757&lt;0,$X757&lt;0,$Y757&lt;0),"ERROR",IF($AE757="","ERROR",IF(AND(OR($S757="ITEM_PRICE_PLUS_DECLARED_DELIVERY",$S757="TOTAL_AMOUNT_INCLUDING_DELIVERY",$S757="ITEM_PRICE_ONLY_DELIVERY_PAID_BY_MERCHANT"),$J757=""),"ERROR",IF(AND(OR($S757="ITEM_PRICE_PLUS_DECLARED_DELIVERY",$S757="DELIVERY_CHARGE_ONLY"),$K757=""),"ERROR",IF(AND(OR($S757="TOTAL_AMOUNT_INCLUDING_DELIVERY",$S757="EXACT_COLLECTION_AMOUNT"),$T757=""),"ERROR",IF(AND($S757="TOTAL_AMOUNT_INCLUDING_DELIVERY",$T757&lt;SUM($J757,$U757)),"ERROR",IF($S757="EXACT_COLLECTION_AMOUNT","REVIEW","OK")))))))))</f>
        <v/>
      </c>
      <c r="AV757" s="25">
        <f>IF($AU757="","",IF($H757="","Township required",IF($Q757="","Customer tier required",IF($M757="","Weight required",IF($S757="","Amount entry type required",IF(OR($J757&lt;0,$K757&lt;0,$M757&lt;0,$T757&lt;0,$U757&lt;0,$V757&lt;0,$W757&lt;0,$X757&lt;0,$Y757&lt;0),"Negative amounts are not allowed",IF($AE757="","Tariff not found for township and tier",IF(AND(OR($S757="ITEM_PRICE_PLUS_DECLARED_DELIVERY",$S757="TOTAL_AMOUNT_INCLUDING_DELIVERY",$S757="ITEM_PRICE_ONLY_DELIVERY_PAID_BY_MERCHANT"),$J757=""),"Item price required for this amount type",IF(AND(OR($S757="ITEM_PRICE_PLUS_DECLARED_DELIVERY",$S757="DELIVERY_CHARGE_ONLY"),$K757=""),"Declared delivery charge required",IF(AND(OR($S757="TOTAL_AMOUNT_INCLUDING_DELIVERY",$S757="EXACT_COLLECTION_AMOUNT"),$T757=""),"Stated total amount required",IF(AND($S757="TOTAL_AMOUNT_INCLUDING_DELIVERY",$T757&lt;SUM($J757,$U757)),"Stated total is below item price plus additional charge",IF($S757="EXACT_COLLECTION_AMOUNT","Authorized amount breakdown required before settlement","Ready for collection and settlement"))))))))))))</f>
        <v/>
      </c>
      <c r="AW757" s="23">
        <f>IF($AU757="","","PARCEL_FINANCIAL_V2")</f>
        <v/>
      </c>
      <c r="AX757" s="17" t="n"/>
    </row>
    <row r="758">
      <c r="A758" s="8" t="n"/>
      <c r="B758" s="8" t="n"/>
      <c r="C758" s="8" t="n"/>
      <c r="D758" s="8" t="n"/>
      <c r="E758" s="9" t="n"/>
      <c r="F758" s="9" t="n"/>
      <c r="G758" s="8" t="n"/>
      <c r="H758" s="9" t="n"/>
      <c r="I758" s="9" t="n"/>
      <c r="J758" s="10" t="n"/>
      <c r="K758" s="10" t="n"/>
      <c r="L758" s="11">
        <f>IF($S758="","",IF($S758="ITEM_PRICE_PLUS_DECLARED_DELIVERY",IF(OR($J758="",$K758=""),"",SUM($J758,$K758,$U758)),IF($S758="TOTAL_AMOUNT_INCLUDING_DELIVERY",IF($T758="","",$T758),IF($S758="DELIVERY_CHARGE_ONLY",IF($K758="","",SUM($K758,$U758)),IF($S758="EXACT_COLLECTION_AMOUNT",IF($T758="","",$T758),IF($S758="ITEM_PRICE_ONLY_DELIVERY_PAID_BY_MERCHANT",IF($J758="","",SUM($J758,$U758)),""))))))</f>
        <v/>
      </c>
      <c r="M758" s="12" t="n"/>
      <c r="N758" s="13" t="n"/>
      <c r="O758" s="13" t="n"/>
      <c r="P758" s="9" t="n"/>
      <c r="Q758" s="14" t="n"/>
      <c r="R758" s="15" t="n"/>
      <c r="S758" s="14" t="n"/>
      <c r="T758" s="16" t="n"/>
      <c r="U758" s="16" t="n"/>
      <c r="V758" s="16" t="n"/>
      <c r="W758" s="16" t="n"/>
      <c r="X758" s="16" t="n"/>
      <c r="Y758" s="16" t="n"/>
      <c r="Z758" s="14" t="n"/>
      <c r="AA758" s="14" t="n"/>
      <c r="AB758" s="14" t="n"/>
      <c r="AC758" s="17">
        <f>IFERROR(VLOOKUP($H758&amp;"|"&amp;$Q758,Tariff_Master!$A$2:$L$169,3,FALSE),"")</f>
        <v/>
      </c>
      <c r="AD758" s="17">
        <f>IFERROR(VLOOKUP($H758&amp;"|"&amp;$Q758,Tariff_Master!$A$2:$L$169,4,FALSE),"")</f>
        <v/>
      </c>
      <c r="AE758" s="18">
        <f>IFERROR(VLOOKUP($H758&amp;"|"&amp;$Q758,Tariff_Master!$A$2:$L$169,6,FALSE),"")</f>
        <v/>
      </c>
      <c r="AF758" s="19">
        <f>IFERROR(VLOOKUP($H758&amp;"|"&amp;$Q758,Tariff_Master!$A$2:$L$169,7,FALSE),"")</f>
        <v/>
      </c>
      <c r="AG758" s="18">
        <f>IFERROR(VLOOKUP($H758&amp;"|"&amp;$Q758,Tariff_Master!$A$2:$L$169,8,FALSE),"")</f>
        <v/>
      </c>
      <c r="AH758" s="20">
        <f>IFERROR(VLOOKUP($H758&amp;"|"&amp;$Q758,Tariff_Master!$A$2:$L$169,9,FALSE),"")</f>
        <v/>
      </c>
      <c r="AI758" s="18">
        <f>IFERROR(VLOOKUP($H758&amp;"|"&amp;$Q758,Tariff_Master!$A$2:$L$169,10,FALSE),"")</f>
        <v/>
      </c>
      <c r="AJ758" s="21">
        <f>IF($M758="","",ROUNDUP(MAX(0,$M758),0))</f>
        <v/>
      </c>
      <c r="AK758" s="21">
        <f>IF(OR($AJ758="",$AF758=""),"",MAX(0,$AJ758-$AF758))</f>
        <v/>
      </c>
      <c r="AL758" s="22">
        <f>IF(OR($AK758="",$AG758=""),"",MAX(0,$AK758*$AG758))</f>
        <v/>
      </c>
      <c r="AM758" s="22">
        <f>IF($AE758="","",MAX(0,SUM($AE758,$AL758,$V758,$W758)))</f>
        <v/>
      </c>
      <c r="AN758" s="22">
        <f>IF($AM758="","",IF(AND($Q758="COMMITMENT",$R758&gt;=$AH758),$AI758,0))</f>
        <v/>
      </c>
      <c r="AO758" s="23">
        <f>IF($AM758="","",MAX(0,$AM758-$AN758))</f>
        <v/>
      </c>
      <c r="AP758" s="22">
        <f>IF($S758="","",IF(OR($S758="ITEM_PRICE_PLUS_DECLARED_DELIVERY",$S758="DELIVERY_CHARGE_ONLY"),$K758,IF($S758="TOTAL_AMOUNT_INCLUDING_DELIVERY",IF(OR($T758="",$J758=""),"",MAX(0,$T758-$J758-$U758)),IF($S758="ITEM_PRICE_ONLY_DELIVERY_PAID_BY_MERCHANT",0,""))))</f>
        <v/>
      </c>
      <c r="AQ758" s="23">
        <f>IF(OR($AP758="",$AO758=""),"",$AP758-$AO758)</f>
        <v/>
      </c>
      <c r="AR758" s="24">
        <f>IF($S758="EXACT_COLLECTION_AMOUNT","BREAKDOWN_REQUIRED",IF($AQ758="","",IF($AQ758&gt;0,"CREDIT_TO_MERCHANT",IF($AQ758&lt;0,"DEDUCT_FROM_MERCHANT","NO_ADJUSTMENT"))))</f>
        <v/>
      </c>
      <c r="AS758" s="23">
        <f>IF(OR($AQ758="",$AR758="BREAKDOWN_REQUIRED"),"",$AQ758)</f>
        <v/>
      </c>
      <c r="AT758" s="23">
        <f>IF(OR($AR758="",$AR758="BREAKDOWN_REQUIRED"),"",SUM($J758,$AQ758,$Y758)-$X758)</f>
        <v/>
      </c>
      <c r="AU758" s="25">
        <f>IF(AND($A758="",$B758="",$F758="",$H758="",$J758="",$K758="",$M758="",$S758=""),"",IF(OR($H758="",$Q758="",$M758="",$S758=""),"ERROR",IF(OR($J758&lt;0,$K758&lt;0,$M758&lt;0,$T758&lt;0,$U758&lt;0,$V758&lt;0,$W758&lt;0,$X758&lt;0,$Y758&lt;0),"ERROR",IF($AE758="","ERROR",IF(AND(OR($S758="ITEM_PRICE_PLUS_DECLARED_DELIVERY",$S758="TOTAL_AMOUNT_INCLUDING_DELIVERY",$S758="ITEM_PRICE_ONLY_DELIVERY_PAID_BY_MERCHANT"),$J758=""),"ERROR",IF(AND(OR($S758="ITEM_PRICE_PLUS_DECLARED_DELIVERY",$S758="DELIVERY_CHARGE_ONLY"),$K758=""),"ERROR",IF(AND(OR($S758="TOTAL_AMOUNT_INCLUDING_DELIVERY",$S758="EXACT_COLLECTION_AMOUNT"),$T758=""),"ERROR",IF(AND($S758="TOTAL_AMOUNT_INCLUDING_DELIVERY",$T758&lt;SUM($J758,$U758)),"ERROR",IF($S758="EXACT_COLLECTION_AMOUNT","REVIEW","OK")))))))))</f>
        <v/>
      </c>
      <c r="AV758" s="25">
        <f>IF($AU758="","",IF($H758="","Township required",IF($Q758="","Customer tier required",IF($M758="","Weight required",IF($S758="","Amount entry type required",IF(OR($J758&lt;0,$K758&lt;0,$M758&lt;0,$T758&lt;0,$U758&lt;0,$V758&lt;0,$W758&lt;0,$X758&lt;0,$Y758&lt;0),"Negative amounts are not allowed",IF($AE758="","Tariff not found for township and tier",IF(AND(OR($S758="ITEM_PRICE_PLUS_DECLARED_DELIVERY",$S758="TOTAL_AMOUNT_INCLUDING_DELIVERY",$S758="ITEM_PRICE_ONLY_DELIVERY_PAID_BY_MERCHANT"),$J758=""),"Item price required for this amount type",IF(AND(OR($S758="ITEM_PRICE_PLUS_DECLARED_DELIVERY",$S758="DELIVERY_CHARGE_ONLY"),$K758=""),"Declared delivery charge required",IF(AND(OR($S758="TOTAL_AMOUNT_INCLUDING_DELIVERY",$S758="EXACT_COLLECTION_AMOUNT"),$T758=""),"Stated total amount required",IF(AND($S758="TOTAL_AMOUNT_INCLUDING_DELIVERY",$T758&lt;SUM($J758,$U758)),"Stated total is below item price plus additional charge",IF($S758="EXACT_COLLECTION_AMOUNT","Authorized amount breakdown required before settlement","Ready for collection and settlement"))))))))))))</f>
        <v/>
      </c>
      <c r="AW758" s="23">
        <f>IF($AU758="","","PARCEL_FINANCIAL_V2")</f>
        <v/>
      </c>
      <c r="AX758" s="17" t="n"/>
    </row>
    <row r="759">
      <c r="A759" s="8" t="n"/>
      <c r="B759" s="8" t="n"/>
      <c r="C759" s="8" t="n"/>
      <c r="D759" s="8" t="n"/>
      <c r="E759" s="9" t="n"/>
      <c r="F759" s="9" t="n"/>
      <c r="G759" s="8" t="n"/>
      <c r="H759" s="9" t="n"/>
      <c r="I759" s="9" t="n"/>
      <c r="J759" s="10" t="n"/>
      <c r="K759" s="10" t="n"/>
      <c r="L759" s="11">
        <f>IF($S759="","",IF($S759="ITEM_PRICE_PLUS_DECLARED_DELIVERY",IF(OR($J759="",$K759=""),"",SUM($J759,$K759,$U759)),IF($S759="TOTAL_AMOUNT_INCLUDING_DELIVERY",IF($T759="","",$T759),IF($S759="DELIVERY_CHARGE_ONLY",IF($K759="","",SUM($K759,$U759)),IF($S759="EXACT_COLLECTION_AMOUNT",IF($T759="","",$T759),IF($S759="ITEM_PRICE_ONLY_DELIVERY_PAID_BY_MERCHANT",IF($J759="","",SUM($J759,$U759)),""))))))</f>
        <v/>
      </c>
      <c r="M759" s="12" t="n"/>
      <c r="N759" s="13" t="n"/>
      <c r="O759" s="13" t="n"/>
      <c r="P759" s="9" t="n"/>
      <c r="Q759" s="14" t="n"/>
      <c r="R759" s="15" t="n"/>
      <c r="S759" s="14" t="n"/>
      <c r="T759" s="16" t="n"/>
      <c r="U759" s="16" t="n"/>
      <c r="V759" s="16" t="n"/>
      <c r="W759" s="16" t="n"/>
      <c r="X759" s="16" t="n"/>
      <c r="Y759" s="16" t="n"/>
      <c r="Z759" s="14" t="n"/>
      <c r="AA759" s="14" t="n"/>
      <c r="AB759" s="14" t="n"/>
      <c r="AC759" s="17">
        <f>IFERROR(VLOOKUP($H759&amp;"|"&amp;$Q759,Tariff_Master!$A$2:$L$169,3,FALSE),"")</f>
        <v/>
      </c>
      <c r="AD759" s="17">
        <f>IFERROR(VLOOKUP($H759&amp;"|"&amp;$Q759,Tariff_Master!$A$2:$L$169,4,FALSE),"")</f>
        <v/>
      </c>
      <c r="AE759" s="18">
        <f>IFERROR(VLOOKUP($H759&amp;"|"&amp;$Q759,Tariff_Master!$A$2:$L$169,6,FALSE),"")</f>
        <v/>
      </c>
      <c r="AF759" s="19">
        <f>IFERROR(VLOOKUP($H759&amp;"|"&amp;$Q759,Tariff_Master!$A$2:$L$169,7,FALSE),"")</f>
        <v/>
      </c>
      <c r="AG759" s="18">
        <f>IFERROR(VLOOKUP($H759&amp;"|"&amp;$Q759,Tariff_Master!$A$2:$L$169,8,FALSE),"")</f>
        <v/>
      </c>
      <c r="AH759" s="20">
        <f>IFERROR(VLOOKUP($H759&amp;"|"&amp;$Q759,Tariff_Master!$A$2:$L$169,9,FALSE),"")</f>
        <v/>
      </c>
      <c r="AI759" s="18">
        <f>IFERROR(VLOOKUP($H759&amp;"|"&amp;$Q759,Tariff_Master!$A$2:$L$169,10,FALSE),"")</f>
        <v/>
      </c>
      <c r="AJ759" s="21">
        <f>IF($M759="","",ROUNDUP(MAX(0,$M759),0))</f>
        <v/>
      </c>
      <c r="AK759" s="21">
        <f>IF(OR($AJ759="",$AF759=""),"",MAX(0,$AJ759-$AF759))</f>
        <v/>
      </c>
      <c r="AL759" s="22">
        <f>IF(OR($AK759="",$AG759=""),"",MAX(0,$AK759*$AG759))</f>
        <v/>
      </c>
      <c r="AM759" s="22">
        <f>IF($AE759="","",MAX(0,SUM($AE759,$AL759,$V759,$W759)))</f>
        <v/>
      </c>
      <c r="AN759" s="22">
        <f>IF($AM759="","",IF(AND($Q759="COMMITMENT",$R759&gt;=$AH759),$AI759,0))</f>
        <v/>
      </c>
      <c r="AO759" s="23">
        <f>IF($AM759="","",MAX(0,$AM759-$AN759))</f>
        <v/>
      </c>
      <c r="AP759" s="22">
        <f>IF($S759="","",IF(OR($S759="ITEM_PRICE_PLUS_DECLARED_DELIVERY",$S759="DELIVERY_CHARGE_ONLY"),$K759,IF($S759="TOTAL_AMOUNT_INCLUDING_DELIVERY",IF(OR($T759="",$J759=""),"",MAX(0,$T759-$J759-$U759)),IF($S759="ITEM_PRICE_ONLY_DELIVERY_PAID_BY_MERCHANT",0,""))))</f>
        <v/>
      </c>
      <c r="AQ759" s="23">
        <f>IF(OR($AP759="",$AO759=""),"",$AP759-$AO759)</f>
        <v/>
      </c>
      <c r="AR759" s="24">
        <f>IF($S759="EXACT_COLLECTION_AMOUNT","BREAKDOWN_REQUIRED",IF($AQ759="","",IF($AQ759&gt;0,"CREDIT_TO_MERCHANT",IF($AQ759&lt;0,"DEDUCT_FROM_MERCHANT","NO_ADJUSTMENT"))))</f>
        <v/>
      </c>
      <c r="AS759" s="23">
        <f>IF(OR($AQ759="",$AR759="BREAKDOWN_REQUIRED"),"",$AQ759)</f>
        <v/>
      </c>
      <c r="AT759" s="23">
        <f>IF(OR($AR759="",$AR759="BREAKDOWN_REQUIRED"),"",SUM($J759,$AQ759,$Y759)-$X759)</f>
        <v/>
      </c>
      <c r="AU759" s="25">
        <f>IF(AND($A759="",$B759="",$F759="",$H759="",$J759="",$K759="",$M759="",$S759=""),"",IF(OR($H759="",$Q759="",$M759="",$S759=""),"ERROR",IF(OR($J759&lt;0,$K759&lt;0,$M759&lt;0,$T759&lt;0,$U759&lt;0,$V759&lt;0,$W759&lt;0,$X759&lt;0,$Y759&lt;0),"ERROR",IF($AE759="","ERROR",IF(AND(OR($S759="ITEM_PRICE_PLUS_DECLARED_DELIVERY",$S759="TOTAL_AMOUNT_INCLUDING_DELIVERY",$S759="ITEM_PRICE_ONLY_DELIVERY_PAID_BY_MERCHANT"),$J759=""),"ERROR",IF(AND(OR($S759="ITEM_PRICE_PLUS_DECLARED_DELIVERY",$S759="DELIVERY_CHARGE_ONLY"),$K759=""),"ERROR",IF(AND(OR($S759="TOTAL_AMOUNT_INCLUDING_DELIVERY",$S759="EXACT_COLLECTION_AMOUNT"),$T759=""),"ERROR",IF(AND($S759="TOTAL_AMOUNT_INCLUDING_DELIVERY",$T759&lt;SUM($J759,$U759)),"ERROR",IF($S759="EXACT_COLLECTION_AMOUNT","REVIEW","OK")))))))))</f>
        <v/>
      </c>
      <c r="AV759" s="25">
        <f>IF($AU759="","",IF($H759="","Township required",IF($Q759="","Customer tier required",IF($M759="","Weight required",IF($S759="","Amount entry type required",IF(OR($J759&lt;0,$K759&lt;0,$M759&lt;0,$T759&lt;0,$U759&lt;0,$V759&lt;0,$W759&lt;0,$X759&lt;0,$Y759&lt;0),"Negative amounts are not allowed",IF($AE759="","Tariff not found for township and tier",IF(AND(OR($S759="ITEM_PRICE_PLUS_DECLARED_DELIVERY",$S759="TOTAL_AMOUNT_INCLUDING_DELIVERY",$S759="ITEM_PRICE_ONLY_DELIVERY_PAID_BY_MERCHANT"),$J759=""),"Item price required for this amount type",IF(AND(OR($S759="ITEM_PRICE_PLUS_DECLARED_DELIVERY",$S759="DELIVERY_CHARGE_ONLY"),$K759=""),"Declared delivery charge required",IF(AND(OR($S759="TOTAL_AMOUNT_INCLUDING_DELIVERY",$S759="EXACT_COLLECTION_AMOUNT"),$T759=""),"Stated total amount required",IF(AND($S759="TOTAL_AMOUNT_INCLUDING_DELIVERY",$T759&lt;SUM($J759,$U759)),"Stated total is below item price plus additional charge",IF($S759="EXACT_COLLECTION_AMOUNT","Authorized amount breakdown required before settlement","Ready for collection and settlement"))))))))))))</f>
        <v/>
      </c>
      <c r="AW759" s="23">
        <f>IF($AU759="","","PARCEL_FINANCIAL_V2")</f>
        <v/>
      </c>
      <c r="AX759" s="17" t="n"/>
    </row>
    <row r="760">
      <c r="A760" s="8" t="n"/>
      <c r="B760" s="8" t="n"/>
      <c r="C760" s="8" t="n"/>
      <c r="D760" s="8" t="n"/>
      <c r="E760" s="9" t="n"/>
      <c r="F760" s="9" t="n"/>
      <c r="G760" s="8" t="n"/>
      <c r="H760" s="9" t="n"/>
      <c r="I760" s="9" t="n"/>
      <c r="J760" s="10" t="n"/>
      <c r="K760" s="10" t="n"/>
      <c r="L760" s="11">
        <f>IF($S760="","",IF($S760="ITEM_PRICE_PLUS_DECLARED_DELIVERY",IF(OR($J760="",$K760=""),"",SUM($J760,$K760,$U760)),IF($S760="TOTAL_AMOUNT_INCLUDING_DELIVERY",IF($T760="","",$T760),IF($S760="DELIVERY_CHARGE_ONLY",IF($K760="","",SUM($K760,$U760)),IF($S760="EXACT_COLLECTION_AMOUNT",IF($T760="","",$T760),IF($S760="ITEM_PRICE_ONLY_DELIVERY_PAID_BY_MERCHANT",IF($J760="","",SUM($J760,$U760)),""))))))</f>
        <v/>
      </c>
      <c r="M760" s="12" t="n"/>
      <c r="N760" s="13" t="n"/>
      <c r="O760" s="13" t="n"/>
      <c r="P760" s="9" t="n"/>
      <c r="Q760" s="14" t="n"/>
      <c r="R760" s="15" t="n"/>
      <c r="S760" s="14" t="n"/>
      <c r="T760" s="16" t="n"/>
      <c r="U760" s="16" t="n"/>
      <c r="V760" s="16" t="n"/>
      <c r="W760" s="16" t="n"/>
      <c r="X760" s="16" t="n"/>
      <c r="Y760" s="16" t="n"/>
      <c r="Z760" s="14" t="n"/>
      <c r="AA760" s="14" t="n"/>
      <c r="AB760" s="14" t="n"/>
      <c r="AC760" s="17">
        <f>IFERROR(VLOOKUP($H760&amp;"|"&amp;$Q760,Tariff_Master!$A$2:$L$169,3,FALSE),"")</f>
        <v/>
      </c>
      <c r="AD760" s="17">
        <f>IFERROR(VLOOKUP($H760&amp;"|"&amp;$Q760,Tariff_Master!$A$2:$L$169,4,FALSE),"")</f>
        <v/>
      </c>
      <c r="AE760" s="18">
        <f>IFERROR(VLOOKUP($H760&amp;"|"&amp;$Q760,Tariff_Master!$A$2:$L$169,6,FALSE),"")</f>
        <v/>
      </c>
      <c r="AF760" s="19">
        <f>IFERROR(VLOOKUP($H760&amp;"|"&amp;$Q760,Tariff_Master!$A$2:$L$169,7,FALSE),"")</f>
        <v/>
      </c>
      <c r="AG760" s="18">
        <f>IFERROR(VLOOKUP($H760&amp;"|"&amp;$Q760,Tariff_Master!$A$2:$L$169,8,FALSE),"")</f>
        <v/>
      </c>
      <c r="AH760" s="20">
        <f>IFERROR(VLOOKUP($H760&amp;"|"&amp;$Q760,Tariff_Master!$A$2:$L$169,9,FALSE),"")</f>
        <v/>
      </c>
      <c r="AI760" s="18">
        <f>IFERROR(VLOOKUP($H760&amp;"|"&amp;$Q760,Tariff_Master!$A$2:$L$169,10,FALSE),"")</f>
        <v/>
      </c>
      <c r="AJ760" s="21">
        <f>IF($M760="","",ROUNDUP(MAX(0,$M760),0))</f>
        <v/>
      </c>
      <c r="AK760" s="21">
        <f>IF(OR($AJ760="",$AF760=""),"",MAX(0,$AJ760-$AF760))</f>
        <v/>
      </c>
      <c r="AL760" s="22">
        <f>IF(OR($AK760="",$AG760=""),"",MAX(0,$AK760*$AG760))</f>
        <v/>
      </c>
      <c r="AM760" s="22">
        <f>IF($AE760="","",MAX(0,SUM($AE760,$AL760,$V760,$W760)))</f>
        <v/>
      </c>
      <c r="AN760" s="22">
        <f>IF($AM760="","",IF(AND($Q760="COMMITMENT",$R760&gt;=$AH760),$AI760,0))</f>
        <v/>
      </c>
      <c r="AO760" s="23">
        <f>IF($AM760="","",MAX(0,$AM760-$AN760))</f>
        <v/>
      </c>
      <c r="AP760" s="22">
        <f>IF($S760="","",IF(OR($S760="ITEM_PRICE_PLUS_DECLARED_DELIVERY",$S760="DELIVERY_CHARGE_ONLY"),$K760,IF($S760="TOTAL_AMOUNT_INCLUDING_DELIVERY",IF(OR($T760="",$J760=""),"",MAX(0,$T760-$J760-$U760)),IF($S760="ITEM_PRICE_ONLY_DELIVERY_PAID_BY_MERCHANT",0,""))))</f>
        <v/>
      </c>
      <c r="AQ760" s="23">
        <f>IF(OR($AP760="",$AO760=""),"",$AP760-$AO760)</f>
        <v/>
      </c>
      <c r="AR760" s="24">
        <f>IF($S760="EXACT_COLLECTION_AMOUNT","BREAKDOWN_REQUIRED",IF($AQ760="","",IF($AQ760&gt;0,"CREDIT_TO_MERCHANT",IF($AQ760&lt;0,"DEDUCT_FROM_MERCHANT","NO_ADJUSTMENT"))))</f>
        <v/>
      </c>
      <c r="AS760" s="23">
        <f>IF(OR($AQ760="",$AR760="BREAKDOWN_REQUIRED"),"",$AQ760)</f>
        <v/>
      </c>
      <c r="AT760" s="23">
        <f>IF(OR($AR760="",$AR760="BREAKDOWN_REQUIRED"),"",SUM($J760,$AQ760,$Y760)-$X760)</f>
        <v/>
      </c>
      <c r="AU760" s="25">
        <f>IF(AND($A760="",$B760="",$F760="",$H760="",$J760="",$K760="",$M760="",$S760=""),"",IF(OR($H760="",$Q760="",$M760="",$S760=""),"ERROR",IF(OR($J760&lt;0,$K760&lt;0,$M760&lt;0,$T760&lt;0,$U760&lt;0,$V760&lt;0,$W760&lt;0,$X760&lt;0,$Y760&lt;0),"ERROR",IF($AE760="","ERROR",IF(AND(OR($S760="ITEM_PRICE_PLUS_DECLARED_DELIVERY",$S760="TOTAL_AMOUNT_INCLUDING_DELIVERY",$S760="ITEM_PRICE_ONLY_DELIVERY_PAID_BY_MERCHANT"),$J760=""),"ERROR",IF(AND(OR($S760="ITEM_PRICE_PLUS_DECLARED_DELIVERY",$S760="DELIVERY_CHARGE_ONLY"),$K760=""),"ERROR",IF(AND(OR($S760="TOTAL_AMOUNT_INCLUDING_DELIVERY",$S760="EXACT_COLLECTION_AMOUNT"),$T760=""),"ERROR",IF(AND($S760="TOTAL_AMOUNT_INCLUDING_DELIVERY",$T760&lt;SUM($J760,$U760)),"ERROR",IF($S760="EXACT_COLLECTION_AMOUNT","REVIEW","OK")))))))))</f>
        <v/>
      </c>
      <c r="AV760" s="25">
        <f>IF($AU760="","",IF($H760="","Township required",IF($Q760="","Customer tier required",IF($M760="","Weight required",IF($S760="","Amount entry type required",IF(OR($J760&lt;0,$K760&lt;0,$M760&lt;0,$T760&lt;0,$U760&lt;0,$V760&lt;0,$W760&lt;0,$X760&lt;0,$Y760&lt;0),"Negative amounts are not allowed",IF($AE760="","Tariff not found for township and tier",IF(AND(OR($S760="ITEM_PRICE_PLUS_DECLARED_DELIVERY",$S760="TOTAL_AMOUNT_INCLUDING_DELIVERY",$S760="ITEM_PRICE_ONLY_DELIVERY_PAID_BY_MERCHANT"),$J760=""),"Item price required for this amount type",IF(AND(OR($S760="ITEM_PRICE_PLUS_DECLARED_DELIVERY",$S760="DELIVERY_CHARGE_ONLY"),$K760=""),"Declared delivery charge required",IF(AND(OR($S760="TOTAL_AMOUNT_INCLUDING_DELIVERY",$S760="EXACT_COLLECTION_AMOUNT"),$T760=""),"Stated total amount required",IF(AND($S760="TOTAL_AMOUNT_INCLUDING_DELIVERY",$T760&lt;SUM($J760,$U760)),"Stated total is below item price plus additional charge",IF($S760="EXACT_COLLECTION_AMOUNT","Authorized amount breakdown required before settlement","Ready for collection and settlement"))))))))))))</f>
        <v/>
      </c>
      <c r="AW760" s="23">
        <f>IF($AU760="","","PARCEL_FINANCIAL_V2")</f>
        <v/>
      </c>
      <c r="AX760" s="17" t="n"/>
    </row>
    <row r="761">
      <c r="A761" s="8" t="n"/>
      <c r="B761" s="8" t="n"/>
      <c r="C761" s="8" t="n"/>
      <c r="D761" s="8" t="n"/>
      <c r="E761" s="9" t="n"/>
      <c r="F761" s="9" t="n"/>
      <c r="G761" s="8" t="n"/>
      <c r="H761" s="9" t="n"/>
      <c r="I761" s="9" t="n"/>
      <c r="J761" s="10" t="n"/>
      <c r="K761" s="10" t="n"/>
      <c r="L761" s="11">
        <f>IF($S761="","",IF($S761="ITEM_PRICE_PLUS_DECLARED_DELIVERY",IF(OR($J761="",$K761=""),"",SUM($J761,$K761,$U761)),IF($S761="TOTAL_AMOUNT_INCLUDING_DELIVERY",IF($T761="","",$T761),IF($S761="DELIVERY_CHARGE_ONLY",IF($K761="","",SUM($K761,$U761)),IF($S761="EXACT_COLLECTION_AMOUNT",IF($T761="","",$T761),IF($S761="ITEM_PRICE_ONLY_DELIVERY_PAID_BY_MERCHANT",IF($J761="","",SUM($J761,$U761)),""))))))</f>
        <v/>
      </c>
      <c r="M761" s="12" t="n"/>
      <c r="N761" s="13" t="n"/>
      <c r="O761" s="13" t="n"/>
      <c r="P761" s="9" t="n"/>
      <c r="Q761" s="14" t="n"/>
      <c r="R761" s="15" t="n"/>
      <c r="S761" s="14" t="n"/>
      <c r="T761" s="16" t="n"/>
      <c r="U761" s="16" t="n"/>
      <c r="V761" s="16" t="n"/>
      <c r="W761" s="16" t="n"/>
      <c r="X761" s="16" t="n"/>
      <c r="Y761" s="16" t="n"/>
      <c r="Z761" s="14" t="n"/>
      <c r="AA761" s="14" t="n"/>
      <c r="AB761" s="14" t="n"/>
      <c r="AC761" s="17">
        <f>IFERROR(VLOOKUP($H761&amp;"|"&amp;$Q761,Tariff_Master!$A$2:$L$169,3,FALSE),"")</f>
        <v/>
      </c>
      <c r="AD761" s="17">
        <f>IFERROR(VLOOKUP($H761&amp;"|"&amp;$Q761,Tariff_Master!$A$2:$L$169,4,FALSE),"")</f>
        <v/>
      </c>
      <c r="AE761" s="18">
        <f>IFERROR(VLOOKUP($H761&amp;"|"&amp;$Q761,Tariff_Master!$A$2:$L$169,6,FALSE),"")</f>
        <v/>
      </c>
      <c r="AF761" s="19">
        <f>IFERROR(VLOOKUP($H761&amp;"|"&amp;$Q761,Tariff_Master!$A$2:$L$169,7,FALSE),"")</f>
        <v/>
      </c>
      <c r="AG761" s="18">
        <f>IFERROR(VLOOKUP($H761&amp;"|"&amp;$Q761,Tariff_Master!$A$2:$L$169,8,FALSE),"")</f>
        <v/>
      </c>
      <c r="AH761" s="20">
        <f>IFERROR(VLOOKUP($H761&amp;"|"&amp;$Q761,Tariff_Master!$A$2:$L$169,9,FALSE),"")</f>
        <v/>
      </c>
      <c r="AI761" s="18">
        <f>IFERROR(VLOOKUP($H761&amp;"|"&amp;$Q761,Tariff_Master!$A$2:$L$169,10,FALSE),"")</f>
        <v/>
      </c>
      <c r="AJ761" s="21">
        <f>IF($M761="","",ROUNDUP(MAX(0,$M761),0))</f>
        <v/>
      </c>
      <c r="AK761" s="21">
        <f>IF(OR($AJ761="",$AF761=""),"",MAX(0,$AJ761-$AF761))</f>
        <v/>
      </c>
      <c r="AL761" s="22">
        <f>IF(OR($AK761="",$AG761=""),"",MAX(0,$AK761*$AG761))</f>
        <v/>
      </c>
      <c r="AM761" s="22">
        <f>IF($AE761="","",MAX(0,SUM($AE761,$AL761,$V761,$W761)))</f>
        <v/>
      </c>
      <c r="AN761" s="22">
        <f>IF($AM761="","",IF(AND($Q761="COMMITMENT",$R761&gt;=$AH761),$AI761,0))</f>
        <v/>
      </c>
      <c r="AO761" s="23">
        <f>IF($AM761="","",MAX(0,$AM761-$AN761))</f>
        <v/>
      </c>
      <c r="AP761" s="22">
        <f>IF($S761="","",IF(OR($S761="ITEM_PRICE_PLUS_DECLARED_DELIVERY",$S761="DELIVERY_CHARGE_ONLY"),$K761,IF($S761="TOTAL_AMOUNT_INCLUDING_DELIVERY",IF(OR($T761="",$J761=""),"",MAX(0,$T761-$J761-$U761)),IF($S761="ITEM_PRICE_ONLY_DELIVERY_PAID_BY_MERCHANT",0,""))))</f>
        <v/>
      </c>
      <c r="AQ761" s="23">
        <f>IF(OR($AP761="",$AO761=""),"",$AP761-$AO761)</f>
        <v/>
      </c>
      <c r="AR761" s="24">
        <f>IF($S761="EXACT_COLLECTION_AMOUNT","BREAKDOWN_REQUIRED",IF($AQ761="","",IF($AQ761&gt;0,"CREDIT_TO_MERCHANT",IF($AQ761&lt;0,"DEDUCT_FROM_MERCHANT","NO_ADJUSTMENT"))))</f>
        <v/>
      </c>
      <c r="AS761" s="23">
        <f>IF(OR($AQ761="",$AR761="BREAKDOWN_REQUIRED"),"",$AQ761)</f>
        <v/>
      </c>
      <c r="AT761" s="23">
        <f>IF(OR($AR761="",$AR761="BREAKDOWN_REQUIRED"),"",SUM($J761,$AQ761,$Y761)-$X761)</f>
        <v/>
      </c>
      <c r="AU761" s="25">
        <f>IF(AND($A761="",$B761="",$F761="",$H761="",$J761="",$K761="",$M761="",$S761=""),"",IF(OR($H761="",$Q761="",$M761="",$S761=""),"ERROR",IF(OR($J761&lt;0,$K761&lt;0,$M761&lt;0,$T761&lt;0,$U761&lt;0,$V761&lt;0,$W761&lt;0,$X761&lt;0,$Y761&lt;0),"ERROR",IF($AE761="","ERROR",IF(AND(OR($S761="ITEM_PRICE_PLUS_DECLARED_DELIVERY",$S761="TOTAL_AMOUNT_INCLUDING_DELIVERY",$S761="ITEM_PRICE_ONLY_DELIVERY_PAID_BY_MERCHANT"),$J761=""),"ERROR",IF(AND(OR($S761="ITEM_PRICE_PLUS_DECLARED_DELIVERY",$S761="DELIVERY_CHARGE_ONLY"),$K761=""),"ERROR",IF(AND(OR($S761="TOTAL_AMOUNT_INCLUDING_DELIVERY",$S761="EXACT_COLLECTION_AMOUNT"),$T761=""),"ERROR",IF(AND($S761="TOTAL_AMOUNT_INCLUDING_DELIVERY",$T761&lt;SUM($J761,$U761)),"ERROR",IF($S761="EXACT_COLLECTION_AMOUNT","REVIEW","OK")))))))))</f>
        <v/>
      </c>
      <c r="AV761" s="25">
        <f>IF($AU761="","",IF($H761="","Township required",IF($Q761="","Customer tier required",IF($M761="","Weight required",IF($S761="","Amount entry type required",IF(OR($J761&lt;0,$K761&lt;0,$M761&lt;0,$T761&lt;0,$U761&lt;0,$V761&lt;0,$W761&lt;0,$X761&lt;0,$Y761&lt;0),"Negative amounts are not allowed",IF($AE761="","Tariff not found for township and tier",IF(AND(OR($S761="ITEM_PRICE_PLUS_DECLARED_DELIVERY",$S761="TOTAL_AMOUNT_INCLUDING_DELIVERY",$S761="ITEM_PRICE_ONLY_DELIVERY_PAID_BY_MERCHANT"),$J761=""),"Item price required for this amount type",IF(AND(OR($S761="ITEM_PRICE_PLUS_DECLARED_DELIVERY",$S761="DELIVERY_CHARGE_ONLY"),$K761=""),"Declared delivery charge required",IF(AND(OR($S761="TOTAL_AMOUNT_INCLUDING_DELIVERY",$S761="EXACT_COLLECTION_AMOUNT"),$T761=""),"Stated total amount required",IF(AND($S761="TOTAL_AMOUNT_INCLUDING_DELIVERY",$T761&lt;SUM($J761,$U761)),"Stated total is below item price plus additional charge",IF($S761="EXACT_COLLECTION_AMOUNT","Authorized amount breakdown required before settlement","Ready for collection and settlement"))))))))))))</f>
        <v/>
      </c>
      <c r="AW761" s="23">
        <f>IF($AU761="","","PARCEL_FINANCIAL_V2")</f>
        <v/>
      </c>
      <c r="AX761" s="17" t="n"/>
    </row>
    <row r="762">
      <c r="A762" s="8" t="n"/>
      <c r="B762" s="8" t="n"/>
      <c r="C762" s="8" t="n"/>
      <c r="D762" s="8" t="n"/>
      <c r="E762" s="9" t="n"/>
      <c r="F762" s="9" t="n"/>
      <c r="G762" s="8" t="n"/>
      <c r="H762" s="9" t="n"/>
      <c r="I762" s="9" t="n"/>
      <c r="J762" s="10" t="n"/>
      <c r="K762" s="10" t="n"/>
      <c r="L762" s="11">
        <f>IF($S762="","",IF($S762="ITEM_PRICE_PLUS_DECLARED_DELIVERY",IF(OR($J762="",$K762=""),"",SUM($J762,$K762,$U762)),IF($S762="TOTAL_AMOUNT_INCLUDING_DELIVERY",IF($T762="","",$T762),IF($S762="DELIVERY_CHARGE_ONLY",IF($K762="","",SUM($K762,$U762)),IF($S762="EXACT_COLLECTION_AMOUNT",IF($T762="","",$T762),IF($S762="ITEM_PRICE_ONLY_DELIVERY_PAID_BY_MERCHANT",IF($J762="","",SUM($J762,$U762)),""))))))</f>
        <v/>
      </c>
      <c r="M762" s="12" t="n"/>
      <c r="N762" s="13" t="n"/>
      <c r="O762" s="13" t="n"/>
      <c r="P762" s="9" t="n"/>
      <c r="Q762" s="14" t="n"/>
      <c r="R762" s="15" t="n"/>
      <c r="S762" s="14" t="n"/>
      <c r="T762" s="16" t="n"/>
      <c r="U762" s="16" t="n"/>
      <c r="V762" s="16" t="n"/>
      <c r="W762" s="16" t="n"/>
      <c r="X762" s="16" t="n"/>
      <c r="Y762" s="16" t="n"/>
      <c r="Z762" s="14" t="n"/>
      <c r="AA762" s="14" t="n"/>
      <c r="AB762" s="14" t="n"/>
      <c r="AC762" s="17">
        <f>IFERROR(VLOOKUP($H762&amp;"|"&amp;$Q762,Tariff_Master!$A$2:$L$169,3,FALSE),"")</f>
        <v/>
      </c>
      <c r="AD762" s="17">
        <f>IFERROR(VLOOKUP($H762&amp;"|"&amp;$Q762,Tariff_Master!$A$2:$L$169,4,FALSE),"")</f>
        <v/>
      </c>
      <c r="AE762" s="18">
        <f>IFERROR(VLOOKUP($H762&amp;"|"&amp;$Q762,Tariff_Master!$A$2:$L$169,6,FALSE),"")</f>
        <v/>
      </c>
      <c r="AF762" s="19">
        <f>IFERROR(VLOOKUP($H762&amp;"|"&amp;$Q762,Tariff_Master!$A$2:$L$169,7,FALSE),"")</f>
        <v/>
      </c>
      <c r="AG762" s="18">
        <f>IFERROR(VLOOKUP($H762&amp;"|"&amp;$Q762,Tariff_Master!$A$2:$L$169,8,FALSE),"")</f>
        <v/>
      </c>
      <c r="AH762" s="20">
        <f>IFERROR(VLOOKUP($H762&amp;"|"&amp;$Q762,Tariff_Master!$A$2:$L$169,9,FALSE),"")</f>
        <v/>
      </c>
      <c r="AI762" s="18">
        <f>IFERROR(VLOOKUP($H762&amp;"|"&amp;$Q762,Tariff_Master!$A$2:$L$169,10,FALSE),"")</f>
        <v/>
      </c>
      <c r="AJ762" s="21">
        <f>IF($M762="","",ROUNDUP(MAX(0,$M762),0))</f>
        <v/>
      </c>
      <c r="AK762" s="21">
        <f>IF(OR($AJ762="",$AF762=""),"",MAX(0,$AJ762-$AF762))</f>
        <v/>
      </c>
      <c r="AL762" s="22">
        <f>IF(OR($AK762="",$AG762=""),"",MAX(0,$AK762*$AG762))</f>
        <v/>
      </c>
      <c r="AM762" s="22">
        <f>IF($AE762="","",MAX(0,SUM($AE762,$AL762,$V762,$W762)))</f>
        <v/>
      </c>
      <c r="AN762" s="22">
        <f>IF($AM762="","",IF(AND($Q762="COMMITMENT",$R762&gt;=$AH762),$AI762,0))</f>
        <v/>
      </c>
      <c r="AO762" s="23">
        <f>IF($AM762="","",MAX(0,$AM762-$AN762))</f>
        <v/>
      </c>
      <c r="AP762" s="22">
        <f>IF($S762="","",IF(OR($S762="ITEM_PRICE_PLUS_DECLARED_DELIVERY",$S762="DELIVERY_CHARGE_ONLY"),$K762,IF($S762="TOTAL_AMOUNT_INCLUDING_DELIVERY",IF(OR($T762="",$J762=""),"",MAX(0,$T762-$J762-$U762)),IF($S762="ITEM_PRICE_ONLY_DELIVERY_PAID_BY_MERCHANT",0,""))))</f>
        <v/>
      </c>
      <c r="AQ762" s="23">
        <f>IF(OR($AP762="",$AO762=""),"",$AP762-$AO762)</f>
        <v/>
      </c>
      <c r="AR762" s="24">
        <f>IF($S762="EXACT_COLLECTION_AMOUNT","BREAKDOWN_REQUIRED",IF($AQ762="","",IF($AQ762&gt;0,"CREDIT_TO_MERCHANT",IF($AQ762&lt;0,"DEDUCT_FROM_MERCHANT","NO_ADJUSTMENT"))))</f>
        <v/>
      </c>
      <c r="AS762" s="23">
        <f>IF(OR($AQ762="",$AR762="BREAKDOWN_REQUIRED"),"",$AQ762)</f>
        <v/>
      </c>
      <c r="AT762" s="23">
        <f>IF(OR($AR762="",$AR762="BREAKDOWN_REQUIRED"),"",SUM($J762,$AQ762,$Y762)-$X762)</f>
        <v/>
      </c>
      <c r="AU762" s="25">
        <f>IF(AND($A762="",$B762="",$F762="",$H762="",$J762="",$K762="",$M762="",$S762=""),"",IF(OR($H762="",$Q762="",$M762="",$S762=""),"ERROR",IF(OR($J762&lt;0,$K762&lt;0,$M762&lt;0,$T762&lt;0,$U762&lt;0,$V762&lt;0,$W762&lt;0,$X762&lt;0,$Y762&lt;0),"ERROR",IF($AE762="","ERROR",IF(AND(OR($S762="ITEM_PRICE_PLUS_DECLARED_DELIVERY",$S762="TOTAL_AMOUNT_INCLUDING_DELIVERY",$S762="ITEM_PRICE_ONLY_DELIVERY_PAID_BY_MERCHANT"),$J762=""),"ERROR",IF(AND(OR($S762="ITEM_PRICE_PLUS_DECLARED_DELIVERY",$S762="DELIVERY_CHARGE_ONLY"),$K762=""),"ERROR",IF(AND(OR($S762="TOTAL_AMOUNT_INCLUDING_DELIVERY",$S762="EXACT_COLLECTION_AMOUNT"),$T762=""),"ERROR",IF(AND($S762="TOTAL_AMOUNT_INCLUDING_DELIVERY",$T762&lt;SUM($J762,$U762)),"ERROR",IF($S762="EXACT_COLLECTION_AMOUNT","REVIEW","OK")))))))))</f>
        <v/>
      </c>
      <c r="AV762" s="25">
        <f>IF($AU762="","",IF($H762="","Township required",IF($Q762="","Customer tier required",IF($M762="","Weight required",IF($S762="","Amount entry type required",IF(OR($J762&lt;0,$K762&lt;0,$M762&lt;0,$T762&lt;0,$U762&lt;0,$V762&lt;0,$W762&lt;0,$X762&lt;0,$Y762&lt;0),"Negative amounts are not allowed",IF($AE762="","Tariff not found for township and tier",IF(AND(OR($S762="ITEM_PRICE_PLUS_DECLARED_DELIVERY",$S762="TOTAL_AMOUNT_INCLUDING_DELIVERY",$S762="ITEM_PRICE_ONLY_DELIVERY_PAID_BY_MERCHANT"),$J762=""),"Item price required for this amount type",IF(AND(OR($S762="ITEM_PRICE_PLUS_DECLARED_DELIVERY",$S762="DELIVERY_CHARGE_ONLY"),$K762=""),"Declared delivery charge required",IF(AND(OR($S762="TOTAL_AMOUNT_INCLUDING_DELIVERY",$S762="EXACT_COLLECTION_AMOUNT"),$T762=""),"Stated total amount required",IF(AND($S762="TOTAL_AMOUNT_INCLUDING_DELIVERY",$T762&lt;SUM($J762,$U762)),"Stated total is below item price plus additional charge",IF($S762="EXACT_COLLECTION_AMOUNT","Authorized amount breakdown required before settlement","Ready for collection and settlement"))))))))))))</f>
        <v/>
      </c>
      <c r="AW762" s="23">
        <f>IF($AU762="","","PARCEL_FINANCIAL_V2")</f>
        <v/>
      </c>
      <c r="AX762" s="17" t="n"/>
    </row>
    <row r="763">
      <c r="A763" s="8" t="n"/>
      <c r="B763" s="8" t="n"/>
      <c r="C763" s="8" t="n"/>
      <c r="D763" s="8" t="n"/>
      <c r="E763" s="9" t="n"/>
      <c r="F763" s="9" t="n"/>
      <c r="G763" s="8" t="n"/>
      <c r="H763" s="9" t="n"/>
      <c r="I763" s="9" t="n"/>
      <c r="J763" s="10" t="n"/>
      <c r="K763" s="10" t="n"/>
      <c r="L763" s="11">
        <f>IF($S763="","",IF($S763="ITEM_PRICE_PLUS_DECLARED_DELIVERY",IF(OR($J763="",$K763=""),"",SUM($J763,$K763,$U763)),IF($S763="TOTAL_AMOUNT_INCLUDING_DELIVERY",IF($T763="","",$T763),IF($S763="DELIVERY_CHARGE_ONLY",IF($K763="","",SUM($K763,$U763)),IF($S763="EXACT_COLLECTION_AMOUNT",IF($T763="","",$T763),IF($S763="ITEM_PRICE_ONLY_DELIVERY_PAID_BY_MERCHANT",IF($J763="","",SUM($J763,$U763)),""))))))</f>
        <v/>
      </c>
      <c r="M763" s="12" t="n"/>
      <c r="N763" s="13" t="n"/>
      <c r="O763" s="13" t="n"/>
      <c r="P763" s="9" t="n"/>
      <c r="Q763" s="14" t="n"/>
      <c r="R763" s="15" t="n"/>
      <c r="S763" s="14" t="n"/>
      <c r="T763" s="16" t="n"/>
      <c r="U763" s="16" t="n"/>
      <c r="V763" s="16" t="n"/>
      <c r="W763" s="16" t="n"/>
      <c r="X763" s="16" t="n"/>
      <c r="Y763" s="16" t="n"/>
      <c r="Z763" s="14" t="n"/>
      <c r="AA763" s="14" t="n"/>
      <c r="AB763" s="14" t="n"/>
      <c r="AC763" s="17">
        <f>IFERROR(VLOOKUP($H763&amp;"|"&amp;$Q763,Tariff_Master!$A$2:$L$169,3,FALSE),"")</f>
        <v/>
      </c>
      <c r="AD763" s="17">
        <f>IFERROR(VLOOKUP($H763&amp;"|"&amp;$Q763,Tariff_Master!$A$2:$L$169,4,FALSE),"")</f>
        <v/>
      </c>
      <c r="AE763" s="18">
        <f>IFERROR(VLOOKUP($H763&amp;"|"&amp;$Q763,Tariff_Master!$A$2:$L$169,6,FALSE),"")</f>
        <v/>
      </c>
      <c r="AF763" s="19">
        <f>IFERROR(VLOOKUP($H763&amp;"|"&amp;$Q763,Tariff_Master!$A$2:$L$169,7,FALSE),"")</f>
        <v/>
      </c>
      <c r="AG763" s="18">
        <f>IFERROR(VLOOKUP($H763&amp;"|"&amp;$Q763,Tariff_Master!$A$2:$L$169,8,FALSE),"")</f>
        <v/>
      </c>
      <c r="AH763" s="20">
        <f>IFERROR(VLOOKUP($H763&amp;"|"&amp;$Q763,Tariff_Master!$A$2:$L$169,9,FALSE),"")</f>
        <v/>
      </c>
      <c r="AI763" s="18">
        <f>IFERROR(VLOOKUP($H763&amp;"|"&amp;$Q763,Tariff_Master!$A$2:$L$169,10,FALSE),"")</f>
        <v/>
      </c>
      <c r="AJ763" s="21">
        <f>IF($M763="","",ROUNDUP(MAX(0,$M763),0))</f>
        <v/>
      </c>
      <c r="AK763" s="21">
        <f>IF(OR($AJ763="",$AF763=""),"",MAX(0,$AJ763-$AF763))</f>
        <v/>
      </c>
      <c r="AL763" s="22">
        <f>IF(OR($AK763="",$AG763=""),"",MAX(0,$AK763*$AG763))</f>
        <v/>
      </c>
      <c r="AM763" s="22">
        <f>IF($AE763="","",MAX(0,SUM($AE763,$AL763,$V763,$W763)))</f>
        <v/>
      </c>
      <c r="AN763" s="22">
        <f>IF($AM763="","",IF(AND($Q763="COMMITMENT",$R763&gt;=$AH763),$AI763,0))</f>
        <v/>
      </c>
      <c r="AO763" s="23">
        <f>IF($AM763="","",MAX(0,$AM763-$AN763))</f>
        <v/>
      </c>
      <c r="AP763" s="22">
        <f>IF($S763="","",IF(OR($S763="ITEM_PRICE_PLUS_DECLARED_DELIVERY",$S763="DELIVERY_CHARGE_ONLY"),$K763,IF($S763="TOTAL_AMOUNT_INCLUDING_DELIVERY",IF(OR($T763="",$J763=""),"",MAX(0,$T763-$J763-$U763)),IF($S763="ITEM_PRICE_ONLY_DELIVERY_PAID_BY_MERCHANT",0,""))))</f>
        <v/>
      </c>
      <c r="AQ763" s="23">
        <f>IF(OR($AP763="",$AO763=""),"",$AP763-$AO763)</f>
        <v/>
      </c>
      <c r="AR763" s="24">
        <f>IF($S763="EXACT_COLLECTION_AMOUNT","BREAKDOWN_REQUIRED",IF($AQ763="","",IF($AQ763&gt;0,"CREDIT_TO_MERCHANT",IF($AQ763&lt;0,"DEDUCT_FROM_MERCHANT","NO_ADJUSTMENT"))))</f>
        <v/>
      </c>
      <c r="AS763" s="23">
        <f>IF(OR($AQ763="",$AR763="BREAKDOWN_REQUIRED"),"",$AQ763)</f>
        <v/>
      </c>
      <c r="AT763" s="23">
        <f>IF(OR($AR763="",$AR763="BREAKDOWN_REQUIRED"),"",SUM($J763,$AQ763,$Y763)-$X763)</f>
        <v/>
      </c>
      <c r="AU763" s="25">
        <f>IF(AND($A763="",$B763="",$F763="",$H763="",$J763="",$K763="",$M763="",$S763=""),"",IF(OR($H763="",$Q763="",$M763="",$S763=""),"ERROR",IF(OR($J763&lt;0,$K763&lt;0,$M763&lt;0,$T763&lt;0,$U763&lt;0,$V763&lt;0,$W763&lt;0,$X763&lt;0,$Y763&lt;0),"ERROR",IF($AE763="","ERROR",IF(AND(OR($S763="ITEM_PRICE_PLUS_DECLARED_DELIVERY",$S763="TOTAL_AMOUNT_INCLUDING_DELIVERY",$S763="ITEM_PRICE_ONLY_DELIVERY_PAID_BY_MERCHANT"),$J763=""),"ERROR",IF(AND(OR($S763="ITEM_PRICE_PLUS_DECLARED_DELIVERY",$S763="DELIVERY_CHARGE_ONLY"),$K763=""),"ERROR",IF(AND(OR($S763="TOTAL_AMOUNT_INCLUDING_DELIVERY",$S763="EXACT_COLLECTION_AMOUNT"),$T763=""),"ERROR",IF(AND($S763="TOTAL_AMOUNT_INCLUDING_DELIVERY",$T763&lt;SUM($J763,$U763)),"ERROR",IF($S763="EXACT_COLLECTION_AMOUNT","REVIEW","OK")))))))))</f>
        <v/>
      </c>
      <c r="AV763" s="25">
        <f>IF($AU763="","",IF($H763="","Township required",IF($Q763="","Customer tier required",IF($M763="","Weight required",IF($S763="","Amount entry type required",IF(OR($J763&lt;0,$K763&lt;0,$M763&lt;0,$T763&lt;0,$U763&lt;0,$V763&lt;0,$W763&lt;0,$X763&lt;0,$Y763&lt;0),"Negative amounts are not allowed",IF($AE763="","Tariff not found for township and tier",IF(AND(OR($S763="ITEM_PRICE_PLUS_DECLARED_DELIVERY",$S763="TOTAL_AMOUNT_INCLUDING_DELIVERY",$S763="ITEM_PRICE_ONLY_DELIVERY_PAID_BY_MERCHANT"),$J763=""),"Item price required for this amount type",IF(AND(OR($S763="ITEM_PRICE_PLUS_DECLARED_DELIVERY",$S763="DELIVERY_CHARGE_ONLY"),$K763=""),"Declared delivery charge required",IF(AND(OR($S763="TOTAL_AMOUNT_INCLUDING_DELIVERY",$S763="EXACT_COLLECTION_AMOUNT"),$T763=""),"Stated total amount required",IF(AND($S763="TOTAL_AMOUNT_INCLUDING_DELIVERY",$T763&lt;SUM($J763,$U763)),"Stated total is below item price plus additional charge",IF($S763="EXACT_COLLECTION_AMOUNT","Authorized amount breakdown required before settlement","Ready for collection and settlement"))))))))))))</f>
        <v/>
      </c>
      <c r="AW763" s="23">
        <f>IF($AU763="","","PARCEL_FINANCIAL_V2")</f>
        <v/>
      </c>
      <c r="AX763" s="17" t="n"/>
    </row>
    <row r="764">
      <c r="A764" s="8" t="n"/>
      <c r="B764" s="8" t="n"/>
      <c r="C764" s="8" t="n"/>
      <c r="D764" s="8" t="n"/>
      <c r="E764" s="9" t="n"/>
      <c r="F764" s="9" t="n"/>
      <c r="G764" s="8" t="n"/>
      <c r="H764" s="9" t="n"/>
      <c r="I764" s="9" t="n"/>
      <c r="J764" s="10" t="n"/>
      <c r="K764" s="10" t="n"/>
      <c r="L764" s="11">
        <f>IF($S764="","",IF($S764="ITEM_PRICE_PLUS_DECLARED_DELIVERY",IF(OR($J764="",$K764=""),"",SUM($J764,$K764,$U764)),IF($S764="TOTAL_AMOUNT_INCLUDING_DELIVERY",IF($T764="","",$T764),IF($S764="DELIVERY_CHARGE_ONLY",IF($K764="","",SUM($K764,$U764)),IF($S764="EXACT_COLLECTION_AMOUNT",IF($T764="","",$T764),IF($S764="ITEM_PRICE_ONLY_DELIVERY_PAID_BY_MERCHANT",IF($J764="","",SUM($J764,$U764)),""))))))</f>
        <v/>
      </c>
      <c r="M764" s="12" t="n"/>
      <c r="N764" s="13" t="n"/>
      <c r="O764" s="13" t="n"/>
      <c r="P764" s="9" t="n"/>
      <c r="Q764" s="14" t="n"/>
      <c r="R764" s="15" t="n"/>
      <c r="S764" s="14" t="n"/>
      <c r="T764" s="16" t="n"/>
      <c r="U764" s="16" t="n"/>
      <c r="V764" s="16" t="n"/>
      <c r="W764" s="16" t="n"/>
      <c r="X764" s="16" t="n"/>
      <c r="Y764" s="16" t="n"/>
      <c r="Z764" s="14" t="n"/>
      <c r="AA764" s="14" t="n"/>
      <c r="AB764" s="14" t="n"/>
      <c r="AC764" s="17">
        <f>IFERROR(VLOOKUP($H764&amp;"|"&amp;$Q764,Tariff_Master!$A$2:$L$169,3,FALSE),"")</f>
        <v/>
      </c>
      <c r="AD764" s="17">
        <f>IFERROR(VLOOKUP($H764&amp;"|"&amp;$Q764,Tariff_Master!$A$2:$L$169,4,FALSE),"")</f>
        <v/>
      </c>
      <c r="AE764" s="18">
        <f>IFERROR(VLOOKUP($H764&amp;"|"&amp;$Q764,Tariff_Master!$A$2:$L$169,6,FALSE),"")</f>
        <v/>
      </c>
      <c r="AF764" s="19">
        <f>IFERROR(VLOOKUP($H764&amp;"|"&amp;$Q764,Tariff_Master!$A$2:$L$169,7,FALSE),"")</f>
        <v/>
      </c>
      <c r="AG764" s="18">
        <f>IFERROR(VLOOKUP($H764&amp;"|"&amp;$Q764,Tariff_Master!$A$2:$L$169,8,FALSE),"")</f>
        <v/>
      </c>
      <c r="AH764" s="20">
        <f>IFERROR(VLOOKUP($H764&amp;"|"&amp;$Q764,Tariff_Master!$A$2:$L$169,9,FALSE),"")</f>
        <v/>
      </c>
      <c r="AI764" s="18">
        <f>IFERROR(VLOOKUP($H764&amp;"|"&amp;$Q764,Tariff_Master!$A$2:$L$169,10,FALSE),"")</f>
        <v/>
      </c>
      <c r="AJ764" s="21">
        <f>IF($M764="","",ROUNDUP(MAX(0,$M764),0))</f>
        <v/>
      </c>
      <c r="AK764" s="21">
        <f>IF(OR($AJ764="",$AF764=""),"",MAX(0,$AJ764-$AF764))</f>
        <v/>
      </c>
      <c r="AL764" s="22">
        <f>IF(OR($AK764="",$AG764=""),"",MAX(0,$AK764*$AG764))</f>
        <v/>
      </c>
      <c r="AM764" s="22">
        <f>IF($AE764="","",MAX(0,SUM($AE764,$AL764,$V764,$W764)))</f>
        <v/>
      </c>
      <c r="AN764" s="22">
        <f>IF($AM764="","",IF(AND($Q764="COMMITMENT",$R764&gt;=$AH764),$AI764,0))</f>
        <v/>
      </c>
      <c r="AO764" s="23">
        <f>IF($AM764="","",MAX(0,$AM764-$AN764))</f>
        <v/>
      </c>
      <c r="AP764" s="22">
        <f>IF($S764="","",IF(OR($S764="ITEM_PRICE_PLUS_DECLARED_DELIVERY",$S764="DELIVERY_CHARGE_ONLY"),$K764,IF($S764="TOTAL_AMOUNT_INCLUDING_DELIVERY",IF(OR($T764="",$J764=""),"",MAX(0,$T764-$J764-$U764)),IF($S764="ITEM_PRICE_ONLY_DELIVERY_PAID_BY_MERCHANT",0,""))))</f>
        <v/>
      </c>
      <c r="AQ764" s="23">
        <f>IF(OR($AP764="",$AO764=""),"",$AP764-$AO764)</f>
        <v/>
      </c>
      <c r="AR764" s="24">
        <f>IF($S764="EXACT_COLLECTION_AMOUNT","BREAKDOWN_REQUIRED",IF($AQ764="","",IF($AQ764&gt;0,"CREDIT_TO_MERCHANT",IF($AQ764&lt;0,"DEDUCT_FROM_MERCHANT","NO_ADJUSTMENT"))))</f>
        <v/>
      </c>
      <c r="AS764" s="23">
        <f>IF(OR($AQ764="",$AR764="BREAKDOWN_REQUIRED"),"",$AQ764)</f>
        <v/>
      </c>
      <c r="AT764" s="23">
        <f>IF(OR($AR764="",$AR764="BREAKDOWN_REQUIRED"),"",SUM($J764,$AQ764,$Y764)-$X764)</f>
        <v/>
      </c>
      <c r="AU764" s="25">
        <f>IF(AND($A764="",$B764="",$F764="",$H764="",$J764="",$K764="",$M764="",$S764=""),"",IF(OR($H764="",$Q764="",$M764="",$S764=""),"ERROR",IF(OR($J764&lt;0,$K764&lt;0,$M764&lt;0,$T764&lt;0,$U764&lt;0,$V764&lt;0,$W764&lt;0,$X764&lt;0,$Y764&lt;0),"ERROR",IF($AE764="","ERROR",IF(AND(OR($S764="ITEM_PRICE_PLUS_DECLARED_DELIVERY",$S764="TOTAL_AMOUNT_INCLUDING_DELIVERY",$S764="ITEM_PRICE_ONLY_DELIVERY_PAID_BY_MERCHANT"),$J764=""),"ERROR",IF(AND(OR($S764="ITEM_PRICE_PLUS_DECLARED_DELIVERY",$S764="DELIVERY_CHARGE_ONLY"),$K764=""),"ERROR",IF(AND(OR($S764="TOTAL_AMOUNT_INCLUDING_DELIVERY",$S764="EXACT_COLLECTION_AMOUNT"),$T764=""),"ERROR",IF(AND($S764="TOTAL_AMOUNT_INCLUDING_DELIVERY",$T764&lt;SUM($J764,$U764)),"ERROR",IF($S764="EXACT_COLLECTION_AMOUNT","REVIEW","OK")))))))))</f>
        <v/>
      </c>
      <c r="AV764" s="25">
        <f>IF($AU764="","",IF($H764="","Township required",IF($Q764="","Customer tier required",IF($M764="","Weight required",IF($S764="","Amount entry type required",IF(OR($J764&lt;0,$K764&lt;0,$M764&lt;0,$T764&lt;0,$U764&lt;0,$V764&lt;0,$W764&lt;0,$X764&lt;0,$Y764&lt;0),"Negative amounts are not allowed",IF($AE764="","Tariff not found for township and tier",IF(AND(OR($S764="ITEM_PRICE_PLUS_DECLARED_DELIVERY",$S764="TOTAL_AMOUNT_INCLUDING_DELIVERY",$S764="ITEM_PRICE_ONLY_DELIVERY_PAID_BY_MERCHANT"),$J764=""),"Item price required for this amount type",IF(AND(OR($S764="ITEM_PRICE_PLUS_DECLARED_DELIVERY",$S764="DELIVERY_CHARGE_ONLY"),$K764=""),"Declared delivery charge required",IF(AND(OR($S764="TOTAL_AMOUNT_INCLUDING_DELIVERY",$S764="EXACT_COLLECTION_AMOUNT"),$T764=""),"Stated total amount required",IF(AND($S764="TOTAL_AMOUNT_INCLUDING_DELIVERY",$T764&lt;SUM($J764,$U764)),"Stated total is below item price plus additional charge",IF($S764="EXACT_COLLECTION_AMOUNT","Authorized amount breakdown required before settlement","Ready for collection and settlement"))))))))))))</f>
        <v/>
      </c>
      <c r="AW764" s="23">
        <f>IF($AU764="","","PARCEL_FINANCIAL_V2")</f>
        <v/>
      </c>
      <c r="AX764" s="17" t="n"/>
    </row>
    <row r="765">
      <c r="A765" s="8" t="n"/>
      <c r="B765" s="8" t="n"/>
      <c r="C765" s="8" t="n"/>
      <c r="D765" s="8" t="n"/>
      <c r="E765" s="9" t="n"/>
      <c r="F765" s="9" t="n"/>
      <c r="G765" s="8" t="n"/>
      <c r="H765" s="9" t="n"/>
      <c r="I765" s="9" t="n"/>
      <c r="J765" s="10" t="n"/>
      <c r="K765" s="10" t="n"/>
      <c r="L765" s="11">
        <f>IF($S765="","",IF($S765="ITEM_PRICE_PLUS_DECLARED_DELIVERY",IF(OR($J765="",$K765=""),"",SUM($J765,$K765,$U765)),IF($S765="TOTAL_AMOUNT_INCLUDING_DELIVERY",IF($T765="","",$T765),IF($S765="DELIVERY_CHARGE_ONLY",IF($K765="","",SUM($K765,$U765)),IF($S765="EXACT_COLLECTION_AMOUNT",IF($T765="","",$T765),IF($S765="ITEM_PRICE_ONLY_DELIVERY_PAID_BY_MERCHANT",IF($J765="","",SUM($J765,$U765)),""))))))</f>
        <v/>
      </c>
      <c r="M765" s="12" t="n"/>
      <c r="N765" s="13" t="n"/>
      <c r="O765" s="13" t="n"/>
      <c r="P765" s="9" t="n"/>
      <c r="Q765" s="14" t="n"/>
      <c r="R765" s="15" t="n"/>
      <c r="S765" s="14" t="n"/>
      <c r="T765" s="16" t="n"/>
      <c r="U765" s="16" t="n"/>
      <c r="V765" s="16" t="n"/>
      <c r="W765" s="16" t="n"/>
      <c r="X765" s="16" t="n"/>
      <c r="Y765" s="16" t="n"/>
      <c r="Z765" s="14" t="n"/>
      <c r="AA765" s="14" t="n"/>
      <c r="AB765" s="14" t="n"/>
      <c r="AC765" s="17">
        <f>IFERROR(VLOOKUP($H765&amp;"|"&amp;$Q765,Tariff_Master!$A$2:$L$169,3,FALSE),"")</f>
        <v/>
      </c>
      <c r="AD765" s="17">
        <f>IFERROR(VLOOKUP($H765&amp;"|"&amp;$Q765,Tariff_Master!$A$2:$L$169,4,FALSE),"")</f>
        <v/>
      </c>
      <c r="AE765" s="18">
        <f>IFERROR(VLOOKUP($H765&amp;"|"&amp;$Q765,Tariff_Master!$A$2:$L$169,6,FALSE),"")</f>
        <v/>
      </c>
      <c r="AF765" s="19">
        <f>IFERROR(VLOOKUP($H765&amp;"|"&amp;$Q765,Tariff_Master!$A$2:$L$169,7,FALSE),"")</f>
        <v/>
      </c>
      <c r="AG765" s="18">
        <f>IFERROR(VLOOKUP($H765&amp;"|"&amp;$Q765,Tariff_Master!$A$2:$L$169,8,FALSE),"")</f>
        <v/>
      </c>
      <c r="AH765" s="20">
        <f>IFERROR(VLOOKUP($H765&amp;"|"&amp;$Q765,Tariff_Master!$A$2:$L$169,9,FALSE),"")</f>
        <v/>
      </c>
      <c r="AI765" s="18">
        <f>IFERROR(VLOOKUP($H765&amp;"|"&amp;$Q765,Tariff_Master!$A$2:$L$169,10,FALSE),"")</f>
        <v/>
      </c>
      <c r="AJ765" s="21">
        <f>IF($M765="","",ROUNDUP(MAX(0,$M765),0))</f>
        <v/>
      </c>
      <c r="AK765" s="21">
        <f>IF(OR($AJ765="",$AF765=""),"",MAX(0,$AJ765-$AF765))</f>
        <v/>
      </c>
      <c r="AL765" s="22">
        <f>IF(OR($AK765="",$AG765=""),"",MAX(0,$AK765*$AG765))</f>
        <v/>
      </c>
      <c r="AM765" s="22">
        <f>IF($AE765="","",MAX(0,SUM($AE765,$AL765,$V765,$W765)))</f>
        <v/>
      </c>
      <c r="AN765" s="22">
        <f>IF($AM765="","",IF(AND($Q765="COMMITMENT",$R765&gt;=$AH765),$AI765,0))</f>
        <v/>
      </c>
      <c r="AO765" s="23">
        <f>IF($AM765="","",MAX(0,$AM765-$AN765))</f>
        <v/>
      </c>
      <c r="AP765" s="22">
        <f>IF($S765="","",IF(OR($S765="ITEM_PRICE_PLUS_DECLARED_DELIVERY",$S765="DELIVERY_CHARGE_ONLY"),$K765,IF($S765="TOTAL_AMOUNT_INCLUDING_DELIVERY",IF(OR($T765="",$J765=""),"",MAX(0,$T765-$J765-$U765)),IF($S765="ITEM_PRICE_ONLY_DELIVERY_PAID_BY_MERCHANT",0,""))))</f>
        <v/>
      </c>
      <c r="AQ765" s="23">
        <f>IF(OR($AP765="",$AO765=""),"",$AP765-$AO765)</f>
        <v/>
      </c>
      <c r="AR765" s="24">
        <f>IF($S765="EXACT_COLLECTION_AMOUNT","BREAKDOWN_REQUIRED",IF($AQ765="","",IF($AQ765&gt;0,"CREDIT_TO_MERCHANT",IF($AQ765&lt;0,"DEDUCT_FROM_MERCHANT","NO_ADJUSTMENT"))))</f>
        <v/>
      </c>
      <c r="AS765" s="23">
        <f>IF(OR($AQ765="",$AR765="BREAKDOWN_REQUIRED"),"",$AQ765)</f>
        <v/>
      </c>
      <c r="AT765" s="23">
        <f>IF(OR($AR765="",$AR765="BREAKDOWN_REQUIRED"),"",SUM($J765,$AQ765,$Y765)-$X765)</f>
        <v/>
      </c>
      <c r="AU765" s="25">
        <f>IF(AND($A765="",$B765="",$F765="",$H765="",$J765="",$K765="",$M765="",$S765=""),"",IF(OR($H765="",$Q765="",$M765="",$S765=""),"ERROR",IF(OR($J765&lt;0,$K765&lt;0,$M765&lt;0,$T765&lt;0,$U765&lt;0,$V765&lt;0,$W765&lt;0,$X765&lt;0,$Y765&lt;0),"ERROR",IF($AE765="","ERROR",IF(AND(OR($S765="ITEM_PRICE_PLUS_DECLARED_DELIVERY",$S765="TOTAL_AMOUNT_INCLUDING_DELIVERY",$S765="ITEM_PRICE_ONLY_DELIVERY_PAID_BY_MERCHANT"),$J765=""),"ERROR",IF(AND(OR($S765="ITEM_PRICE_PLUS_DECLARED_DELIVERY",$S765="DELIVERY_CHARGE_ONLY"),$K765=""),"ERROR",IF(AND(OR($S765="TOTAL_AMOUNT_INCLUDING_DELIVERY",$S765="EXACT_COLLECTION_AMOUNT"),$T765=""),"ERROR",IF(AND($S765="TOTAL_AMOUNT_INCLUDING_DELIVERY",$T765&lt;SUM($J765,$U765)),"ERROR",IF($S765="EXACT_COLLECTION_AMOUNT","REVIEW","OK")))))))))</f>
        <v/>
      </c>
      <c r="AV765" s="25">
        <f>IF($AU765="","",IF($H765="","Township required",IF($Q765="","Customer tier required",IF($M765="","Weight required",IF($S765="","Amount entry type required",IF(OR($J765&lt;0,$K765&lt;0,$M765&lt;0,$T765&lt;0,$U765&lt;0,$V765&lt;0,$W765&lt;0,$X765&lt;0,$Y765&lt;0),"Negative amounts are not allowed",IF($AE765="","Tariff not found for township and tier",IF(AND(OR($S765="ITEM_PRICE_PLUS_DECLARED_DELIVERY",$S765="TOTAL_AMOUNT_INCLUDING_DELIVERY",$S765="ITEM_PRICE_ONLY_DELIVERY_PAID_BY_MERCHANT"),$J765=""),"Item price required for this amount type",IF(AND(OR($S765="ITEM_PRICE_PLUS_DECLARED_DELIVERY",$S765="DELIVERY_CHARGE_ONLY"),$K765=""),"Declared delivery charge required",IF(AND(OR($S765="TOTAL_AMOUNT_INCLUDING_DELIVERY",$S765="EXACT_COLLECTION_AMOUNT"),$T765=""),"Stated total amount required",IF(AND($S765="TOTAL_AMOUNT_INCLUDING_DELIVERY",$T765&lt;SUM($J765,$U765)),"Stated total is below item price plus additional charge",IF($S765="EXACT_COLLECTION_AMOUNT","Authorized amount breakdown required before settlement","Ready for collection and settlement"))))))))))))</f>
        <v/>
      </c>
      <c r="AW765" s="23">
        <f>IF($AU765="","","PARCEL_FINANCIAL_V2")</f>
        <v/>
      </c>
      <c r="AX765" s="17" t="n"/>
    </row>
    <row r="766">
      <c r="A766" s="8" t="n"/>
      <c r="B766" s="8" t="n"/>
      <c r="C766" s="8" t="n"/>
      <c r="D766" s="8" t="n"/>
      <c r="E766" s="9" t="n"/>
      <c r="F766" s="9" t="n"/>
      <c r="G766" s="8" t="n"/>
      <c r="H766" s="9" t="n"/>
      <c r="I766" s="9" t="n"/>
      <c r="J766" s="10" t="n"/>
      <c r="K766" s="10" t="n"/>
      <c r="L766" s="11">
        <f>IF($S766="","",IF($S766="ITEM_PRICE_PLUS_DECLARED_DELIVERY",IF(OR($J766="",$K766=""),"",SUM($J766,$K766,$U766)),IF($S766="TOTAL_AMOUNT_INCLUDING_DELIVERY",IF($T766="","",$T766),IF($S766="DELIVERY_CHARGE_ONLY",IF($K766="","",SUM($K766,$U766)),IF($S766="EXACT_COLLECTION_AMOUNT",IF($T766="","",$T766),IF($S766="ITEM_PRICE_ONLY_DELIVERY_PAID_BY_MERCHANT",IF($J766="","",SUM($J766,$U766)),""))))))</f>
        <v/>
      </c>
      <c r="M766" s="12" t="n"/>
      <c r="N766" s="13" t="n"/>
      <c r="O766" s="13" t="n"/>
      <c r="P766" s="9" t="n"/>
      <c r="Q766" s="14" t="n"/>
      <c r="R766" s="15" t="n"/>
      <c r="S766" s="14" t="n"/>
      <c r="T766" s="16" t="n"/>
      <c r="U766" s="16" t="n"/>
      <c r="V766" s="16" t="n"/>
      <c r="W766" s="16" t="n"/>
      <c r="X766" s="16" t="n"/>
      <c r="Y766" s="16" t="n"/>
      <c r="Z766" s="14" t="n"/>
      <c r="AA766" s="14" t="n"/>
      <c r="AB766" s="14" t="n"/>
      <c r="AC766" s="17">
        <f>IFERROR(VLOOKUP($H766&amp;"|"&amp;$Q766,Tariff_Master!$A$2:$L$169,3,FALSE),"")</f>
        <v/>
      </c>
      <c r="AD766" s="17">
        <f>IFERROR(VLOOKUP($H766&amp;"|"&amp;$Q766,Tariff_Master!$A$2:$L$169,4,FALSE),"")</f>
        <v/>
      </c>
      <c r="AE766" s="18">
        <f>IFERROR(VLOOKUP($H766&amp;"|"&amp;$Q766,Tariff_Master!$A$2:$L$169,6,FALSE),"")</f>
        <v/>
      </c>
      <c r="AF766" s="19">
        <f>IFERROR(VLOOKUP($H766&amp;"|"&amp;$Q766,Tariff_Master!$A$2:$L$169,7,FALSE),"")</f>
        <v/>
      </c>
      <c r="AG766" s="18">
        <f>IFERROR(VLOOKUP($H766&amp;"|"&amp;$Q766,Tariff_Master!$A$2:$L$169,8,FALSE),"")</f>
        <v/>
      </c>
      <c r="AH766" s="20">
        <f>IFERROR(VLOOKUP($H766&amp;"|"&amp;$Q766,Tariff_Master!$A$2:$L$169,9,FALSE),"")</f>
        <v/>
      </c>
      <c r="AI766" s="18">
        <f>IFERROR(VLOOKUP($H766&amp;"|"&amp;$Q766,Tariff_Master!$A$2:$L$169,10,FALSE),"")</f>
        <v/>
      </c>
      <c r="AJ766" s="21">
        <f>IF($M766="","",ROUNDUP(MAX(0,$M766),0))</f>
        <v/>
      </c>
      <c r="AK766" s="21">
        <f>IF(OR($AJ766="",$AF766=""),"",MAX(0,$AJ766-$AF766))</f>
        <v/>
      </c>
      <c r="AL766" s="22">
        <f>IF(OR($AK766="",$AG766=""),"",MAX(0,$AK766*$AG766))</f>
        <v/>
      </c>
      <c r="AM766" s="22">
        <f>IF($AE766="","",MAX(0,SUM($AE766,$AL766,$V766,$W766)))</f>
        <v/>
      </c>
      <c r="AN766" s="22">
        <f>IF($AM766="","",IF(AND($Q766="COMMITMENT",$R766&gt;=$AH766),$AI766,0))</f>
        <v/>
      </c>
      <c r="AO766" s="23">
        <f>IF($AM766="","",MAX(0,$AM766-$AN766))</f>
        <v/>
      </c>
      <c r="AP766" s="22">
        <f>IF($S766="","",IF(OR($S766="ITEM_PRICE_PLUS_DECLARED_DELIVERY",$S766="DELIVERY_CHARGE_ONLY"),$K766,IF($S766="TOTAL_AMOUNT_INCLUDING_DELIVERY",IF(OR($T766="",$J766=""),"",MAX(0,$T766-$J766-$U766)),IF($S766="ITEM_PRICE_ONLY_DELIVERY_PAID_BY_MERCHANT",0,""))))</f>
        <v/>
      </c>
      <c r="AQ766" s="23">
        <f>IF(OR($AP766="",$AO766=""),"",$AP766-$AO766)</f>
        <v/>
      </c>
      <c r="AR766" s="24">
        <f>IF($S766="EXACT_COLLECTION_AMOUNT","BREAKDOWN_REQUIRED",IF($AQ766="","",IF($AQ766&gt;0,"CREDIT_TO_MERCHANT",IF($AQ766&lt;0,"DEDUCT_FROM_MERCHANT","NO_ADJUSTMENT"))))</f>
        <v/>
      </c>
      <c r="AS766" s="23">
        <f>IF(OR($AQ766="",$AR766="BREAKDOWN_REQUIRED"),"",$AQ766)</f>
        <v/>
      </c>
      <c r="AT766" s="23">
        <f>IF(OR($AR766="",$AR766="BREAKDOWN_REQUIRED"),"",SUM($J766,$AQ766,$Y766)-$X766)</f>
        <v/>
      </c>
      <c r="AU766" s="25">
        <f>IF(AND($A766="",$B766="",$F766="",$H766="",$J766="",$K766="",$M766="",$S766=""),"",IF(OR($H766="",$Q766="",$M766="",$S766=""),"ERROR",IF(OR($J766&lt;0,$K766&lt;0,$M766&lt;0,$T766&lt;0,$U766&lt;0,$V766&lt;0,$W766&lt;0,$X766&lt;0,$Y766&lt;0),"ERROR",IF($AE766="","ERROR",IF(AND(OR($S766="ITEM_PRICE_PLUS_DECLARED_DELIVERY",$S766="TOTAL_AMOUNT_INCLUDING_DELIVERY",$S766="ITEM_PRICE_ONLY_DELIVERY_PAID_BY_MERCHANT"),$J766=""),"ERROR",IF(AND(OR($S766="ITEM_PRICE_PLUS_DECLARED_DELIVERY",$S766="DELIVERY_CHARGE_ONLY"),$K766=""),"ERROR",IF(AND(OR($S766="TOTAL_AMOUNT_INCLUDING_DELIVERY",$S766="EXACT_COLLECTION_AMOUNT"),$T766=""),"ERROR",IF(AND($S766="TOTAL_AMOUNT_INCLUDING_DELIVERY",$T766&lt;SUM($J766,$U766)),"ERROR",IF($S766="EXACT_COLLECTION_AMOUNT","REVIEW","OK")))))))))</f>
        <v/>
      </c>
      <c r="AV766" s="25">
        <f>IF($AU766="","",IF($H766="","Township required",IF($Q766="","Customer tier required",IF($M766="","Weight required",IF($S766="","Amount entry type required",IF(OR($J766&lt;0,$K766&lt;0,$M766&lt;0,$T766&lt;0,$U766&lt;0,$V766&lt;0,$W766&lt;0,$X766&lt;0,$Y766&lt;0),"Negative amounts are not allowed",IF($AE766="","Tariff not found for township and tier",IF(AND(OR($S766="ITEM_PRICE_PLUS_DECLARED_DELIVERY",$S766="TOTAL_AMOUNT_INCLUDING_DELIVERY",$S766="ITEM_PRICE_ONLY_DELIVERY_PAID_BY_MERCHANT"),$J766=""),"Item price required for this amount type",IF(AND(OR($S766="ITEM_PRICE_PLUS_DECLARED_DELIVERY",$S766="DELIVERY_CHARGE_ONLY"),$K766=""),"Declared delivery charge required",IF(AND(OR($S766="TOTAL_AMOUNT_INCLUDING_DELIVERY",$S766="EXACT_COLLECTION_AMOUNT"),$T766=""),"Stated total amount required",IF(AND($S766="TOTAL_AMOUNT_INCLUDING_DELIVERY",$T766&lt;SUM($J766,$U766)),"Stated total is below item price plus additional charge",IF($S766="EXACT_COLLECTION_AMOUNT","Authorized amount breakdown required before settlement","Ready for collection and settlement"))))))))))))</f>
        <v/>
      </c>
      <c r="AW766" s="23">
        <f>IF($AU766="","","PARCEL_FINANCIAL_V2")</f>
        <v/>
      </c>
      <c r="AX766" s="17" t="n"/>
    </row>
    <row r="767">
      <c r="A767" s="8" t="n"/>
      <c r="B767" s="8" t="n"/>
      <c r="C767" s="8" t="n"/>
      <c r="D767" s="8" t="n"/>
      <c r="E767" s="9" t="n"/>
      <c r="F767" s="9" t="n"/>
      <c r="G767" s="8" t="n"/>
      <c r="H767" s="9" t="n"/>
      <c r="I767" s="9" t="n"/>
      <c r="J767" s="10" t="n"/>
      <c r="K767" s="10" t="n"/>
      <c r="L767" s="11">
        <f>IF($S767="","",IF($S767="ITEM_PRICE_PLUS_DECLARED_DELIVERY",IF(OR($J767="",$K767=""),"",SUM($J767,$K767,$U767)),IF($S767="TOTAL_AMOUNT_INCLUDING_DELIVERY",IF($T767="","",$T767),IF($S767="DELIVERY_CHARGE_ONLY",IF($K767="","",SUM($K767,$U767)),IF($S767="EXACT_COLLECTION_AMOUNT",IF($T767="","",$T767),IF($S767="ITEM_PRICE_ONLY_DELIVERY_PAID_BY_MERCHANT",IF($J767="","",SUM($J767,$U767)),""))))))</f>
        <v/>
      </c>
      <c r="M767" s="12" t="n"/>
      <c r="N767" s="13" t="n"/>
      <c r="O767" s="13" t="n"/>
      <c r="P767" s="9" t="n"/>
      <c r="Q767" s="14" t="n"/>
      <c r="R767" s="15" t="n"/>
      <c r="S767" s="14" t="n"/>
      <c r="T767" s="16" t="n"/>
      <c r="U767" s="16" t="n"/>
      <c r="V767" s="16" t="n"/>
      <c r="W767" s="16" t="n"/>
      <c r="X767" s="16" t="n"/>
      <c r="Y767" s="16" t="n"/>
      <c r="Z767" s="14" t="n"/>
      <c r="AA767" s="14" t="n"/>
      <c r="AB767" s="14" t="n"/>
      <c r="AC767" s="17">
        <f>IFERROR(VLOOKUP($H767&amp;"|"&amp;$Q767,Tariff_Master!$A$2:$L$169,3,FALSE),"")</f>
        <v/>
      </c>
      <c r="AD767" s="17">
        <f>IFERROR(VLOOKUP($H767&amp;"|"&amp;$Q767,Tariff_Master!$A$2:$L$169,4,FALSE),"")</f>
        <v/>
      </c>
      <c r="AE767" s="18">
        <f>IFERROR(VLOOKUP($H767&amp;"|"&amp;$Q767,Tariff_Master!$A$2:$L$169,6,FALSE),"")</f>
        <v/>
      </c>
      <c r="AF767" s="19">
        <f>IFERROR(VLOOKUP($H767&amp;"|"&amp;$Q767,Tariff_Master!$A$2:$L$169,7,FALSE),"")</f>
        <v/>
      </c>
      <c r="AG767" s="18">
        <f>IFERROR(VLOOKUP($H767&amp;"|"&amp;$Q767,Tariff_Master!$A$2:$L$169,8,FALSE),"")</f>
        <v/>
      </c>
      <c r="AH767" s="20">
        <f>IFERROR(VLOOKUP($H767&amp;"|"&amp;$Q767,Tariff_Master!$A$2:$L$169,9,FALSE),"")</f>
        <v/>
      </c>
      <c r="AI767" s="18">
        <f>IFERROR(VLOOKUP($H767&amp;"|"&amp;$Q767,Tariff_Master!$A$2:$L$169,10,FALSE),"")</f>
        <v/>
      </c>
      <c r="AJ767" s="21">
        <f>IF($M767="","",ROUNDUP(MAX(0,$M767),0))</f>
        <v/>
      </c>
      <c r="AK767" s="21">
        <f>IF(OR($AJ767="",$AF767=""),"",MAX(0,$AJ767-$AF767))</f>
        <v/>
      </c>
      <c r="AL767" s="22">
        <f>IF(OR($AK767="",$AG767=""),"",MAX(0,$AK767*$AG767))</f>
        <v/>
      </c>
      <c r="AM767" s="22">
        <f>IF($AE767="","",MAX(0,SUM($AE767,$AL767,$V767,$W767)))</f>
        <v/>
      </c>
      <c r="AN767" s="22">
        <f>IF($AM767="","",IF(AND($Q767="COMMITMENT",$R767&gt;=$AH767),$AI767,0))</f>
        <v/>
      </c>
      <c r="AO767" s="23">
        <f>IF($AM767="","",MAX(0,$AM767-$AN767))</f>
        <v/>
      </c>
      <c r="AP767" s="22">
        <f>IF($S767="","",IF(OR($S767="ITEM_PRICE_PLUS_DECLARED_DELIVERY",$S767="DELIVERY_CHARGE_ONLY"),$K767,IF($S767="TOTAL_AMOUNT_INCLUDING_DELIVERY",IF(OR($T767="",$J767=""),"",MAX(0,$T767-$J767-$U767)),IF($S767="ITEM_PRICE_ONLY_DELIVERY_PAID_BY_MERCHANT",0,""))))</f>
        <v/>
      </c>
      <c r="AQ767" s="23">
        <f>IF(OR($AP767="",$AO767=""),"",$AP767-$AO767)</f>
        <v/>
      </c>
      <c r="AR767" s="24">
        <f>IF($S767="EXACT_COLLECTION_AMOUNT","BREAKDOWN_REQUIRED",IF($AQ767="","",IF($AQ767&gt;0,"CREDIT_TO_MERCHANT",IF($AQ767&lt;0,"DEDUCT_FROM_MERCHANT","NO_ADJUSTMENT"))))</f>
        <v/>
      </c>
      <c r="AS767" s="23">
        <f>IF(OR($AQ767="",$AR767="BREAKDOWN_REQUIRED"),"",$AQ767)</f>
        <v/>
      </c>
      <c r="AT767" s="23">
        <f>IF(OR($AR767="",$AR767="BREAKDOWN_REQUIRED"),"",SUM($J767,$AQ767,$Y767)-$X767)</f>
        <v/>
      </c>
      <c r="AU767" s="25">
        <f>IF(AND($A767="",$B767="",$F767="",$H767="",$J767="",$K767="",$M767="",$S767=""),"",IF(OR($H767="",$Q767="",$M767="",$S767=""),"ERROR",IF(OR($J767&lt;0,$K767&lt;0,$M767&lt;0,$T767&lt;0,$U767&lt;0,$V767&lt;0,$W767&lt;0,$X767&lt;0,$Y767&lt;0),"ERROR",IF($AE767="","ERROR",IF(AND(OR($S767="ITEM_PRICE_PLUS_DECLARED_DELIVERY",$S767="TOTAL_AMOUNT_INCLUDING_DELIVERY",$S767="ITEM_PRICE_ONLY_DELIVERY_PAID_BY_MERCHANT"),$J767=""),"ERROR",IF(AND(OR($S767="ITEM_PRICE_PLUS_DECLARED_DELIVERY",$S767="DELIVERY_CHARGE_ONLY"),$K767=""),"ERROR",IF(AND(OR($S767="TOTAL_AMOUNT_INCLUDING_DELIVERY",$S767="EXACT_COLLECTION_AMOUNT"),$T767=""),"ERROR",IF(AND($S767="TOTAL_AMOUNT_INCLUDING_DELIVERY",$T767&lt;SUM($J767,$U767)),"ERROR",IF($S767="EXACT_COLLECTION_AMOUNT","REVIEW","OK")))))))))</f>
        <v/>
      </c>
      <c r="AV767" s="25">
        <f>IF($AU767="","",IF($H767="","Township required",IF($Q767="","Customer tier required",IF($M767="","Weight required",IF($S767="","Amount entry type required",IF(OR($J767&lt;0,$K767&lt;0,$M767&lt;0,$T767&lt;0,$U767&lt;0,$V767&lt;0,$W767&lt;0,$X767&lt;0,$Y767&lt;0),"Negative amounts are not allowed",IF($AE767="","Tariff not found for township and tier",IF(AND(OR($S767="ITEM_PRICE_PLUS_DECLARED_DELIVERY",$S767="TOTAL_AMOUNT_INCLUDING_DELIVERY",$S767="ITEM_PRICE_ONLY_DELIVERY_PAID_BY_MERCHANT"),$J767=""),"Item price required for this amount type",IF(AND(OR($S767="ITEM_PRICE_PLUS_DECLARED_DELIVERY",$S767="DELIVERY_CHARGE_ONLY"),$K767=""),"Declared delivery charge required",IF(AND(OR($S767="TOTAL_AMOUNT_INCLUDING_DELIVERY",$S767="EXACT_COLLECTION_AMOUNT"),$T767=""),"Stated total amount required",IF(AND($S767="TOTAL_AMOUNT_INCLUDING_DELIVERY",$T767&lt;SUM($J767,$U767)),"Stated total is below item price plus additional charge",IF($S767="EXACT_COLLECTION_AMOUNT","Authorized amount breakdown required before settlement","Ready for collection and settlement"))))))))))))</f>
        <v/>
      </c>
      <c r="AW767" s="23">
        <f>IF($AU767="","","PARCEL_FINANCIAL_V2")</f>
        <v/>
      </c>
      <c r="AX767" s="17" t="n"/>
    </row>
    <row r="768">
      <c r="A768" s="8" t="n"/>
      <c r="B768" s="8" t="n"/>
      <c r="C768" s="8" t="n"/>
      <c r="D768" s="8" t="n"/>
      <c r="E768" s="9" t="n"/>
      <c r="F768" s="9" t="n"/>
      <c r="G768" s="8" t="n"/>
      <c r="H768" s="9" t="n"/>
      <c r="I768" s="9" t="n"/>
      <c r="J768" s="10" t="n"/>
      <c r="K768" s="10" t="n"/>
      <c r="L768" s="11">
        <f>IF($S768="","",IF($S768="ITEM_PRICE_PLUS_DECLARED_DELIVERY",IF(OR($J768="",$K768=""),"",SUM($J768,$K768,$U768)),IF($S768="TOTAL_AMOUNT_INCLUDING_DELIVERY",IF($T768="","",$T768),IF($S768="DELIVERY_CHARGE_ONLY",IF($K768="","",SUM($K768,$U768)),IF($S768="EXACT_COLLECTION_AMOUNT",IF($T768="","",$T768),IF($S768="ITEM_PRICE_ONLY_DELIVERY_PAID_BY_MERCHANT",IF($J768="","",SUM($J768,$U768)),""))))))</f>
        <v/>
      </c>
      <c r="M768" s="12" t="n"/>
      <c r="N768" s="13" t="n"/>
      <c r="O768" s="13" t="n"/>
      <c r="P768" s="9" t="n"/>
      <c r="Q768" s="14" t="n"/>
      <c r="R768" s="15" t="n"/>
      <c r="S768" s="14" t="n"/>
      <c r="T768" s="16" t="n"/>
      <c r="U768" s="16" t="n"/>
      <c r="V768" s="16" t="n"/>
      <c r="W768" s="16" t="n"/>
      <c r="X768" s="16" t="n"/>
      <c r="Y768" s="16" t="n"/>
      <c r="Z768" s="14" t="n"/>
      <c r="AA768" s="14" t="n"/>
      <c r="AB768" s="14" t="n"/>
      <c r="AC768" s="17">
        <f>IFERROR(VLOOKUP($H768&amp;"|"&amp;$Q768,Tariff_Master!$A$2:$L$169,3,FALSE),"")</f>
        <v/>
      </c>
      <c r="AD768" s="17">
        <f>IFERROR(VLOOKUP($H768&amp;"|"&amp;$Q768,Tariff_Master!$A$2:$L$169,4,FALSE),"")</f>
        <v/>
      </c>
      <c r="AE768" s="18">
        <f>IFERROR(VLOOKUP($H768&amp;"|"&amp;$Q768,Tariff_Master!$A$2:$L$169,6,FALSE),"")</f>
        <v/>
      </c>
      <c r="AF768" s="19">
        <f>IFERROR(VLOOKUP($H768&amp;"|"&amp;$Q768,Tariff_Master!$A$2:$L$169,7,FALSE),"")</f>
        <v/>
      </c>
      <c r="AG768" s="18">
        <f>IFERROR(VLOOKUP($H768&amp;"|"&amp;$Q768,Tariff_Master!$A$2:$L$169,8,FALSE),"")</f>
        <v/>
      </c>
      <c r="AH768" s="20">
        <f>IFERROR(VLOOKUP($H768&amp;"|"&amp;$Q768,Tariff_Master!$A$2:$L$169,9,FALSE),"")</f>
        <v/>
      </c>
      <c r="AI768" s="18">
        <f>IFERROR(VLOOKUP($H768&amp;"|"&amp;$Q768,Tariff_Master!$A$2:$L$169,10,FALSE),"")</f>
        <v/>
      </c>
      <c r="AJ768" s="21">
        <f>IF($M768="","",ROUNDUP(MAX(0,$M768),0))</f>
        <v/>
      </c>
      <c r="AK768" s="21">
        <f>IF(OR($AJ768="",$AF768=""),"",MAX(0,$AJ768-$AF768))</f>
        <v/>
      </c>
      <c r="AL768" s="22">
        <f>IF(OR($AK768="",$AG768=""),"",MAX(0,$AK768*$AG768))</f>
        <v/>
      </c>
      <c r="AM768" s="22">
        <f>IF($AE768="","",MAX(0,SUM($AE768,$AL768,$V768,$W768)))</f>
        <v/>
      </c>
      <c r="AN768" s="22">
        <f>IF($AM768="","",IF(AND($Q768="COMMITMENT",$R768&gt;=$AH768),$AI768,0))</f>
        <v/>
      </c>
      <c r="AO768" s="23">
        <f>IF($AM768="","",MAX(0,$AM768-$AN768))</f>
        <v/>
      </c>
      <c r="AP768" s="22">
        <f>IF($S768="","",IF(OR($S768="ITEM_PRICE_PLUS_DECLARED_DELIVERY",$S768="DELIVERY_CHARGE_ONLY"),$K768,IF($S768="TOTAL_AMOUNT_INCLUDING_DELIVERY",IF(OR($T768="",$J768=""),"",MAX(0,$T768-$J768-$U768)),IF($S768="ITEM_PRICE_ONLY_DELIVERY_PAID_BY_MERCHANT",0,""))))</f>
        <v/>
      </c>
      <c r="AQ768" s="23">
        <f>IF(OR($AP768="",$AO768=""),"",$AP768-$AO768)</f>
        <v/>
      </c>
      <c r="AR768" s="24">
        <f>IF($S768="EXACT_COLLECTION_AMOUNT","BREAKDOWN_REQUIRED",IF($AQ768="","",IF($AQ768&gt;0,"CREDIT_TO_MERCHANT",IF($AQ768&lt;0,"DEDUCT_FROM_MERCHANT","NO_ADJUSTMENT"))))</f>
        <v/>
      </c>
      <c r="AS768" s="23">
        <f>IF(OR($AQ768="",$AR768="BREAKDOWN_REQUIRED"),"",$AQ768)</f>
        <v/>
      </c>
      <c r="AT768" s="23">
        <f>IF(OR($AR768="",$AR768="BREAKDOWN_REQUIRED"),"",SUM($J768,$AQ768,$Y768)-$X768)</f>
        <v/>
      </c>
      <c r="AU768" s="25">
        <f>IF(AND($A768="",$B768="",$F768="",$H768="",$J768="",$K768="",$M768="",$S768=""),"",IF(OR($H768="",$Q768="",$M768="",$S768=""),"ERROR",IF(OR($J768&lt;0,$K768&lt;0,$M768&lt;0,$T768&lt;0,$U768&lt;0,$V768&lt;0,$W768&lt;0,$X768&lt;0,$Y768&lt;0),"ERROR",IF($AE768="","ERROR",IF(AND(OR($S768="ITEM_PRICE_PLUS_DECLARED_DELIVERY",$S768="TOTAL_AMOUNT_INCLUDING_DELIVERY",$S768="ITEM_PRICE_ONLY_DELIVERY_PAID_BY_MERCHANT"),$J768=""),"ERROR",IF(AND(OR($S768="ITEM_PRICE_PLUS_DECLARED_DELIVERY",$S768="DELIVERY_CHARGE_ONLY"),$K768=""),"ERROR",IF(AND(OR($S768="TOTAL_AMOUNT_INCLUDING_DELIVERY",$S768="EXACT_COLLECTION_AMOUNT"),$T768=""),"ERROR",IF(AND($S768="TOTAL_AMOUNT_INCLUDING_DELIVERY",$T768&lt;SUM($J768,$U768)),"ERROR",IF($S768="EXACT_COLLECTION_AMOUNT","REVIEW","OK")))))))))</f>
        <v/>
      </c>
      <c r="AV768" s="25">
        <f>IF($AU768="","",IF($H768="","Township required",IF($Q768="","Customer tier required",IF($M768="","Weight required",IF($S768="","Amount entry type required",IF(OR($J768&lt;0,$K768&lt;0,$M768&lt;0,$T768&lt;0,$U768&lt;0,$V768&lt;0,$W768&lt;0,$X768&lt;0,$Y768&lt;0),"Negative amounts are not allowed",IF($AE768="","Tariff not found for township and tier",IF(AND(OR($S768="ITEM_PRICE_PLUS_DECLARED_DELIVERY",$S768="TOTAL_AMOUNT_INCLUDING_DELIVERY",$S768="ITEM_PRICE_ONLY_DELIVERY_PAID_BY_MERCHANT"),$J768=""),"Item price required for this amount type",IF(AND(OR($S768="ITEM_PRICE_PLUS_DECLARED_DELIVERY",$S768="DELIVERY_CHARGE_ONLY"),$K768=""),"Declared delivery charge required",IF(AND(OR($S768="TOTAL_AMOUNT_INCLUDING_DELIVERY",$S768="EXACT_COLLECTION_AMOUNT"),$T768=""),"Stated total amount required",IF(AND($S768="TOTAL_AMOUNT_INCLUDING_DELIVERY",$T768&lt;SUM($J768,$U768)),"Stated total is below item price plus additional charge",IF($S768="EXACT_COLLECTION_AMOUNT","Authorized amount breakdown required before settlement","Ready for collection and settlement"))))))))))))</f>
        <v/>
      </c>
      <c r="AW768" s="23">
        <f>IF($AU768="","","PARCEL_FINANCIAL_V2")</f>
        <v/>
      </c>
      <c r="AX768" s="17" t="n"/>
    </row>
    <row r="769">
      <c r="A769" s="8" t="n"/>
      <c r="B769" s="8" t="n"/>
      <c r="C769" s="8" t="n"/>
      <c r="D769" s="8" t="n"/>
      <c r="E769" s="9" t="n"/>
      <c r="F769" s="9" t="n"/>
      <c r="G769" s="8" t="n"/>
      <c r="H769" s="9" t="n"/>
      <c r="I769" s="9" t="n"/>
      <c r="J769" s="10" t="n"/>
      <c r="K769" s="10" t="n"/>
      <c r="L769" s="11">
        <f>IF($S769="","",IF($S769="ITEM_PRICE_PLUS_DECLARED_DELIVERY",IF(OR($J769="",$K769=""),"",SUM($J769,$K769,$U769)),IF($S769="TOTAL_AMOUNT_INCLUDING_DELIVERY",IF($T769="","",$T769),IF($S769="DELIVERY_CHARGE_ONLY",IF($K769="","",SUM($K769,$U769)),IF($S769="EXACT_COLLECTION_AMOUNT",IF($T769="","",$T769),IF($S769="ITEM_PRICE_ONLY_DELIVERY_PAID_BY_MERCHANT",IF($J769="","",SUM($J769,$U769)),""))))))</f>
        <v/>
      </c>
      <c r="M769" s="12" t="n"/>
      <c r="N769" s="13" t="n"/>
      <c r="O769" s="13" t="n"/>
      <c r="P769" s="9" t="n"/>
      <c r="Q769" s="14" t="n"/>
      <c r="R769" s="15" t="n"/>
      <c r="S769" s="14" t="n"/>
      <c r="T769" s="16" t="n"/>
      <c r="U769" s="16" t="n"/>
      <c r="V769" s="16" t="n"/>
      <c r="W769" s="16" t="n"/>
      <c r="X769" s="16" t="n"/>
      <c r="Y769" s="16" t="n"/>
      <c r="Z769" s="14" t="n"/>
      <c r="AA769" s="14" t="n"/>
      <c r="AB769" s="14" t="n"/>
      <c r="AC769" s="17">
        <f>IFERROR(VLOOKUP($H769&amp;"|"&amp;$Q769,Tariff_Master!$A$2:$L$169,3,FALSE),"")</f>
        <v/>
      </c>
      <c r="AD769" s="17">
        <f>IFERROR(VLOOKUP($H769&amp;"|"&amp;$Q769,Tariff_Master!$A$2:$L$169,4,FALSE),"")</f>
        <v/>
      </c>
      <c r="AE769" s="18">
        <f>IFERROR(VLOOKUP($H769&amp;"|"&amp;$Q769,Tariff_Master!$A$2:$L$169,6,FALSE),"")</f>
        <v/>
      </c>
      <c r="AF769" s="19">
        <f>IFERROR(VLOOKUP($H769&amp;"|"&amp;$Q769,Tariff_Master!$A$2:$L$169,7,FALSE),"")</f>
        <v/>
      </c>
      <c r="AG769" s="18">
        <f>IFERROR(VLOOKUP($H769&amp;"|"&amp;$Q769,Tariff_Master!$A$2:$L$169,8,FALSE),"")</f>
        <v/>
      </c>
      <c r="AH769" s="20">
        <f>IFERROR(VLOOKUP($H769&amp;"|"&amp;$Q769,Tariff_Master!$A$2:$L$169,9,FALSE),"")</f>
        <v/>
      </c>
      <c r="AI769" s="18">
        <f>IFERROR(VLOOKUP($H769&amp;"|"&amp;$Q769,Tariff_Master!$A$2:$L$169,10,FALSE),"")</f>
        <v/>
      </c>
      <c r="AJ769" s="21">
        <f>IF($M769="","",ROUNDUP(MAX(0,$M769),0))</f>
        <v/>
      </c>
      <c r="AK769" s="21">
        <f>IF(OR($AJ769="",$AF769=""),"",MAX(0,$AJ769-$AF769))</f>
        <v/>
      </c>
      <c r="AL769" s="22">
        <f>IF(OR($AK769="",$AG769=""),"",MAX(0,$AK769*$AG769))</f>
        <v/>
      </c>
      <c r="AM769" s="22">
        <f>IF($AE769="","",MAX(0,SUM($AE769,$AL769,$V769,$W769)))</f>
        <v/>
      </c>
      <c r="AN769" s="22">
        <f>IF($AM769="","",IF(AND($Q769="COMMITMENT",$R769&gt;=$AH769),$AI769,0))</f>
        <v/>
      </c>
      <c r="AO769" s="23">
        <f>IF($AM769="","",MAX(0,$AM769-$AN769))</f>
        <v/>
      </c>
      <c r="AP769" s="22">
        <f>IF($S769="","",IF(OR($S769="ITEM_PRICE_PLUS_DECLARED_DELIVERY",$S769="DELIVERY_CHARGE_ONLY"),$K769,IF($S769="TOTAL_AMOUNT_INCLUDING_DELIVERY",IF(OR($T769="",$J769=""),"",MAX(0,$T769-$J769-$U769)),IF($S769="ITEM_PRICE_ONLY_DELIVERY_PAID_BY_MERCHANT",0,""))))</f>
        <v/>
      </c>
      <c r="AQ769" s="23">
        <f>IF(OR($AP769="",$AO769=""),"",$AP769-$AO769)</f>
        <v/>
      </c>
      <c r="AR769" s="24">
        <f>IF($S769="EXACT_COLLECTION_AMOUNT","BREAKDOWN_REQUIRED",IF($AQ769="","",IF($AQ769&gt;0,"CREDIT_TO_MERCHANT",IF($AQ769&lt;0,"DEDUCT_FROM_MERCHANT","NO_ADJUSTMENT"))))</f>
        <v/>
      </c>
      <c r="AS769" s="23">
        <f>IF(OR($AQ769="",$AR769="BREAKDOWN_REQUIRED"),"",$AQ769)</f>
        <v/>
      </c>
      <c r="AT769" s="23">
        <f>IF(OR($AR769="",$AR769="BREAKDOWN_REQUIRED"),"",SUM($J769,$AQ769,$Y769)-$X769)</f>
        <v/>
      </c>
      <c r="AU769" s="25">
        <f>IF(AND($A769="",$B769="",$F769="",$H769="",$J769="",$K769="",$M769="",$S769=""),"",IF(OR($H769="",$Q769="",$M769="",$S769=""),"ERROR",IF(OR($J769&lt;0,$K769&lt;0,$M769&lt;0,$T769&lt;0,$U769&lt;0,$V769&lt;0,$W769&lt;0,$X769&lt;0,$Y769&lt;0),"ERROR",IF($AE769="","ERROR",IF(AND(OR($S769="ITEM_PRICE_PLUS_DECLARED_DELIVERY",$S769="TOTAL_AMOUNT_INCLUDING_DELIVERY",$S769="ITEM_PRICE_ONLY_DELIVERY_PAID_BY_MERCHANT"),$J769=""),"ERROR",IF(AND(OR($S769="ITEM_PRICE_PLUS_DECLARED_DELIVERY",$S769="DELIVERY_CHARGE_ONLY"),$K769=""),"ERROR",IF(AND(OR($S769="TOTAL_AMOUNT_INCLUDING_DELIVERY",$S769="EXACT_COLLECTION_AMOUNT"),$T769=""),"ERROR",IF(AND($S769="TOTAL_AMOUNT_INCLUDING_DELIVERY",$T769&lt;SUM($J769,$U769)),"ERROR",IF($S769="EXACT_COLLECTION_AMOUNT","REVIEW","OK")))))))))</f>
        <v/>
      </c>
      <c r="AV769" s="25">
        <f>IF($AU769="","",IF($H769="","Township required",IF($Q769="","Customer tier required",IF($M769="","Weight required",IF($S769="","Amount entry type required",IF(OR($J769&lt;0,$K769&lt;0,$M769&lt;0,$T769&lt;0,$U769&lt;0,$V769&lt;0,$W769&lt;0,$X769&lt;0,$Y769&lt;0),"Negative amounts are not allowed",IF($AE769="","Tariff not found for township and tier",IF(AND(OR($S769="ITEM_PRICE_PLUS_DECLARED_DELIVERY",$S769="TOTAL_AMOUNT_INCLUDING_DELIVERY",$S769="ITEM_PRICE_ONLY_DELIVERY_PAID_BY_MERCHANT"),$J769=""),"Item price required for this amount type",IF(AND(OR($S769="ITEM_PRICE_PLUS_DECLARED_DELIVERY",$S769="DELIVERY_CHARGE_ONLY"),$K769=""),"Declared delivery charge required",IF(AND(OR($S769="TOTAL_AMOUNT_INCLUDING_DELIVERY",$S769="EXACT_COLLECTION_AMOUNT"),$T769=""),"Stated total amount required",IF(AND($S769="TOTAL_AMOUNT_INCLUDING_DELIVERY",$T769&lt;SUM($J769,$U769)),"Stated total is below item price plus additional charge",IF($S769="EXACT_COLLECTION_AMOUNT","Authorized amount breakdown required before settlement","Ready for collection and settlement"))))))))))))</f>
        <v/>
      </c>
      <c r="AW769" s="23">
        <f>IF($AU769="","","PARCEL_FINANCIAL_V2")</f>
        <v/>
      </c>
      <c r="AX769" s="17" t="n"/>
    </row>
    <row r="770">
      <c r="A770" s="8" t="n"/>
      <c r="B770" s="8" t="n"/>
      <c r="C770" s="8" t="n"/>
      <c r="D770" s="8" t="n"/>
      <c r="E770" s="9" t="n"/>
      <c r="F770" s="9" t="n"/>
      <c r="G770" s="8" t="n"/>
      <c r="H770" s="9" t="n"/>
      <c r="I770" s="9" t="n"/>
      <c r="J770" s="10" t="n"/>
      <c r="K770" s="10" t="n"/>
      <c r="L770" s="11">
        <f>IF($S770="","",IF($S770="ITEM_PRICE_PLUS_DECLARED_DELIVERY",IF(OR($J770="",$K770=""),"",SUM($J770,$K770,$U770)),IF($S770="TOTAL_AMOUNT_INCLUDING_DELIVERY",IF($T770="","",$T770),IF($S770="DELIVERY_CHARGE_ONLY",IF($K770="","",SUM($K770,$U770)),IF($S770="EXACT_COLLECTION_AMOUNT",IF($T770="","",$T770),IF($S770="ITEM_PRICE_ONLY_DELIVERY_PAID_BY_MERCHANT",IF($J770="","",SUM($J770,$U770)),""))))))</f>
        <v/>
      </c>
      <c r="M770" s="12" t="n"/>
      <c r="N770" s="13" t="n"/>
      <c r="O770" s="13" t="n"/>
      <c r="P770" s="9" t="n"/>
      <c r="Q770" s="14" t="n"/>
      <c r="R770" s="15" t="n"/>
      <c r="S770" s="14" t="n"/>
      <c r="T770" s="16" t="n"/>
      <c r="U770" s="16" t="n"/>
      <c r="V770" s="16" t="n"/>
      <c r="W770" s="16" t="n"/>
      <c r="X770" s="16" t="n"/>
      <c r="Y770" s="16" t="n"/>
      <c r="Z770" s="14" t="n"/>
      <c r="AA770" s="14" t="n"/>
      <c r="AB770" s="14" t="n"/>
      <c r="AC770" s="17">
        <f>IFERROR(VLOOKUP($H770&amp;"|"&amp;$Q770,Tariff_Master!$A$2:$L$169,3,FALSE),"")</f>
        <v/>
      </c>
      <c r="AD770" s="17">
        <f>IFERROR(VLOOKUP($H770&amp;"|"&amp;$Q770,Tariff_Master!$A$2:$L$169,4,FALSE),"")</f>
        <v/>
      </c>
      <c r="AE770" s="18">
        <f>IFERROR(VLOOKUP($H770&amp;"|"&amp;$Q770,Tariff_Master!$A$2:$L$169,6,FALSE),"")</f>
        <v/>
      </c>
      <c r="AF770" s="19">
        <f>IFERROR(VLOOKUP($H770&amp;"|"&amp;$Q770,Tariff_Master!$A$2:$L$169,7,FALSE),"")</f>
        <v/>
      </c>
      <c r="AG770" s="18">
        <f>IFERROR(VLOOKUP($H770&amp;"|"&amp;$Q770,Tariff_Master!$A$2:$L$169,8,FALSE),"")</f>
        <v/>
      </c>
      <c r="AH770" s="20">
        <f>IFERROR(VLOOKUP($H770&amp;"|"&amp;$Q770,Tariff_Master!$A$2:$L$169,9,FALSE),"")</f>
        <v/>
      </c>
      <c r="AI770" s="18">
        <f>IFERROR(VLOOKUP($H770&amp;"|"&amp;$Q770,Tariff_Master!$A$2:$L$169,10,FALSE),"")</f>
        <v/>
      </c>
      <c r="AJ770" s="21">
        <f>IF($M770="","",ROUNDUP(MAX(0,$M770),0))</f>
        <v/>
      </c>
      <c r="AK770" s="21">
        <f>IF(OR($AJ770="",$AF770=""),"",MAX(0,$AJ770-$AF770))</f>
        <v/>
      </c>
      <c r="AL770" s="22">
        <f>IF(OR($AK770="",$AG770=""),"",MAX(0,$AK770*$AG770))</f>
        <v/>
      </c>
      <c r="AM770" s="22">
        <f>IF($AE770="","",MAX(0,SUM($AE770,$AL770,$V770,$W770)))</f>
        <v/>
      </c>
      <c r="AN770" s="22">
        <f>IF($AM770="","",IF(AND($Q770="COMMITMENT",$R770&gt;=$AH770),$AI770,0))</f>
        <v/>
      </c>
      <c r="AO770" s="23">
        <f>IF($AM770="","",MAX(0,$AM770-$AN770))</f>
        <v/>
      </c>
      <c r="AP770" s="22">
        <f>IF($S770="","",IF(OR($S770="ITEM_PRICE_PLUS_DECLARED_DELIVERY",$S770="DELIVERY_CHARGE_ONLY"),$K770,IF($S770="TOTAL_AMOUNT_INCLUDING_DELIVERY",IF(OR($T770="",$J770=""),"",MAX(0,$T770-$J770-$U770)),IF($S770="ITEM_PRICE_ONLY_DELIVERY_PAID_BY_MERCHANT",0,""))))</f>
        <v/>
      </c>
      <c r="AQ770" s="23">
        <f>IF(OR($AP770="",$AO770=""),"",$AP770-$AO770)</f>
        <v/>
      </c>
      <c r="AR770" s="24">
        <f>IF($S770="EXACT_COLLECTION_AMOUNT","BREAKDOWN_REQUIRED",IF($AQ770="","",IF($AQ770&gt;0,"CREDIT_TO_MERCHANT",IF($AQ770&lt;0,"DEDUCT_FROM_MERCHANT","NO_ADJUSTMENT"))))</f>
        <v/>
      </c>
      <c r="AS770" s="23">
        <f>IF(OR($AQ770="",$AR770="BREAKDOWN_REQUIRED"),"",$AQ770)</f>
        <v/>
      </c>
      <c r="AT770" s="23">
        <f>IF(OR($AR770="",$AR770="BREAKDOWN_REQUIRED"),"",SUM($J770,$AQ770,$Y770)-$X770)</f>
        <v/>
      </c>
      <c r="AU770" s="25">
        <f>IF(AND($A770="",$B770="",$F770="",$H770="",$J770="",$K770="",$M770="",$S770=""),"",IF(OR($H770="",$Q770="",$M770="",$S770=""),"ERROR",IF(OR($J770&lt;0,$K770&lt;0,$M770&lt;0,$T770&lt;0,$U770&lt;0,$V770&lt;0,$W770&lt;0,$X770&lt;0,$Y770&lt;0),"ERROR",IF($AE770="","ERROR",IF(AND(OR($S770="ITEM_PRICE_PLUS_DECLARED_DELIVERY",$S770="TOTAL_AMOUNT_INCLUDING_DELIVERY",$S770="ITEM_PRICE_ONLY_DELIVERY_PAID_BY_MERCHANT"),$J770=""),"ERROR",IF(AND(OR($S770="ITEM_PRICE_PLUS_DECLARED_DELIVERY",$S770="DELIVERY_CHARGE_ONLY"),$K770=""),"ERROR",IF(AND(OR($S770="TOTAL_AMOUNT_INCLUDING_DELIVERY",$S770="EXACT_COLLECTION_AMOUNT"),$T770=""),"ERROR",IF(AND($S770="TOTAL_AMOUNT_INCLUDING_DELIVERY",$T770&lt;SUM($J770,$U770)),"ERROR",IF($S770="EXACT_COLLECTION_AMOUNT","REVIEW","OK")))))))))</f>
        <v/>
      </c>
      <c r="AV770" s="25">
        <f>IF($AU770="","",IF($H770="","Township required",IF($Q770="","Customer tier required",IF($M770="","Weight required",IF($S770="","Amount entry type required",IF(OR($J770&lt;0,$K770&lt;0,$M770&lt;0,$T770&lt;0,$U770&lt;0,$V770&lt;0,$W770&lt;0,$X770&lt;0,$Y770&lt;0),"Negative amounts are not allowed",IF($AE770="","Tariff not found for township and tier",IF(AND(OR($S770="ITEM_PRICE_PLUS_DECLARED_DELIVERY",$S770="TOTAL_AMOUNT_INCLUDING_DELIVERY",$S770="ITEM_PRICE_ONLY_DELIVERY_PAID_BY_MERCHANT"),$J770=""),"Item price required for this amount type",IF(AND(OR($S770="ITEM_PRICE_PLUS_DECLARED_DELIVERY",$S770="DELIVERY_CHARGE_ONLY"),$K770=""),"Declared delivery charge required",IF(AND(OR($S770="TOTAL_AMOUNT_INCLUDING_DELIVERY",$S770="EXACT_COLLECTION_AMOUNT"),$T770=""),"Stated total amount required",IF(AND($S770="TOTAL_AMOUNT_INCLUDING_DELIVERY",$T770&lt;SUM($J770,$U770)),"Stated total is below item price plus additional charge",IF($S770="EXACT_COLLECTION_AMOUNT","Authorized amount breakdown required before settlement","Ready for collection and settlement"))))))))))))</f>
        <v/>
      </c>
      <c r="AW770" s="23">
        <f>IF($AU770="","","PARCEL_FINANCIAL_V2")</f>
        <v/>
      </c>
      <c r="AX770" s="17" t="n"/>
    </row>
    <row r="771">
      <c r="A771" s="8" t="n"/>
      <c r="B771" s="8" t="n"/>
      <c r="C771" s="8" t="n"/>
      <c r="D771" s="8" t="n"/>
      <c r="E771" s="9" t="n"/>
      <c r="F771" s="9" t="n"/>
      <c r="G771" s="8" t="n"/>
      <c r="H771" s="9" t="n"/>
      <c r="I771" s="9" t="n"/>
      <c r="J771" s="10" t="n"/>
      <c r="K771" s="10" t="n"/>
      <c r="L771" s="11">
        <f>IF($S771="","",IF($S771="ITEM_PRICE_PLUS_DECLARED_DELIVERY",IF(OR($J771="",$K771=""),"",SUM($J771,$K771,$U771)),IF($S771="TOTAL_AMOUNT_INCLUDING_DELIVERY",IF($T771="","",$T771),IF($S771="DELIVERY_CHARGE_ONLY",IF($K771="","",SUM($K771,$U771)),IF($S771="EXACT_COLLECTION_AMOUNT",IF($T771="","",$T771),IF($S771="ITEM_PRICE_ONLY_DELIVERY_PAID_BY_MERCHANT",IF($J771="","",SUM($J771,$U771)),""))))))</f>
        <v/>
      </c>
      <c r="M771" s="12" t="n"/>
      <c r="N771" s="13" t="n"/>
      <c r="O771" s="13" t="n"/>
      <c r="P771" s="9" t="n"/>
      <c r="Q771" s="14" t="n"/>
      <c r="R771" s="15" t="n"/>
      <c r="S771" s="14" t="n"/>
      <c r="T771" s="16" t="n"/>
      <c r="U771" s="16" t="n"/>
      <c r="V771" s="16" t="n"/>
      <c r="W771" s="16" t="n"/>
      <c r="X771" s="16" t="n"/>
      <c r="Y771" s="16" t="n"/>
      <c r="Z771" s="14" t="n"/>
      <c r="AA771" s="14" t="n"/>
      <c r="AB771" s="14" t="n"/>
      <c r="AC771" s="17">
        <f>IFERROR(VLOOKUP($H771&amp;"|"&amp;$Q771,Tariff_Master!$A$2:$L$169,3,FALSE),"")</f>
        <v/>
      </c>
      <c r="AD771" s="17">
        <f>IFERROR(VLOOKUP($H771&amp;"|"&amp;$Q771,Tariff_Master!$A$2:$L$169,4,FALSE),"")</f>
        <v/>
      </c>
      <c r="AE771" s="18">
        <f>IFERROR(VLOOKUP($H771&amp;"|"&amp;$Q771,Tariff_Master!$A$2:$L$169,6,FALSE),"")</f>
        <v/>
      </c>
      <c r="AF771" s="19">
        <f>IFERROR(VLOOKUP($H771&amp;"|"&amp;$Q771,Tariff_Master!$A$2:$L$169,7,FALSE),"")</f>
        <v/>
      </c>
      <c r="AG771" s="18">
        <f>IFERROR(VLOOKUP($H771&amp;"|"&amp;$Q771,Tariff_Master!$A$2:$L$169,8,FALSE),"")</f>
        <v/>
      </c>
      <c r="AH771" s="20">
        <f>IFERROR(VLOOKUP($H771&amp;"|"&amp;$Q771,Tariff_Master!$A$2:$L$169,9,FALSE),"")</f>
        <v/>
      </c>
      <c r="AI771" s="18">
        <f>IFERROR(VLOOKUP($H771&amp;"|"&amp;$Q771,Tariff_Master!$A$2:$L$169,10,FALSE),"")</f>
        <v/>
      </c>
      <c r="AJ771" s="21">
        <f>IF($M771="","",ROUNDUP(MAX(0,$M771),0))</f>
        <v/>
      </c>
      <c r="AK771" s="21">
        <f>IF(OR($AJ771="",$AF771=""),"",MAX(0,$AJ771-$AF771))</f>
        <v/>
      </c>
      <c r="AL771" s="22">
        <f>IF(OR($AK771="",$AG771=""),"",MAX(0,$AK771*$AG771))</f>
        <v/>
      </c>
      <c r="AM771" s="22">
        <f>IF($AE771="","",MAX(0,SUM($AE771,$AL771,$V771,$W771)))</f>
        <v/>
      </c>
      <c r="AN771" s="22">
        <f>IF($AM771="","",IF(AND($Q771="COMMITMENT",$R771&gt;=$AH771),$AI771,0))</f>
        <v/>
      </c>
      <c r="AO771" s="23">
        <f>IF($AM771="","",MAX(0,$AM771-$AN771))</f>
        <v/>
      </c>
      <c r="AP771" s="22">
        <f>IF($S771="","",IF(OR($S771="ITEM_PRICE_PLUS_DECLARED_DELIVERY",$S771="DELIVERY_CHARGE_ONLY"),$K771,IF($S771="TOTAL_AMOUNT_INCLUDING_DELIVERY",IF(OR($T771="",$J771=""),"",MAX(0,$T771-$J771-$U771)),IF($S771="ITEM_PRICE_ONLY_DELIVERY_PAID_BY_MERCHANT",0,""))))</f>
        <v/>
      </c>
      <c r="AQ771" s="23">
        <f>IF(OR($AP771="",$AO771=""),"",$AP771-$AO771)</f>
        <v/>
      </c>
      <c r="AR771" s="24">
        <f>IF($S771="EXACT_COLLECTION_AMOUNT","BREAKDOWN_REQUIRED",IF($AQ771="","",IF($AQ771&gt;0,"CREDIT_TO_MERCHANT",IF($AQ771&lt;0,"DEDUCT_FROM_MERCHANT","NO_ADJUSTMENT"))))</f>
        <v/>
      </c>
      <c r="AS771" s="23">
        <f>IF(OR($AQ771="",$AR771="BREAKDOWN_REQUIRED"),"",$AQ771)</f>
        <v/>
      </c>
      <c r="AT771" s="23">
        <f>IF(OR($AR771="",$AR771="BREAKDOWN_REQUIRED"),"",SUM($J771,$AQ771,$Y771)-$X771)</f>
        <v/>
      </c>
      <c r="AU771" s="25">
        <f>IF(AND($A771="",$B771="",$F771="",$H771="",$J771="",$K771="",$M771="",$S771=""),"",IF(OR($H771="",$Q771="",$M771="",$S771=""),"ERROR",IF(OR($J771&lt;0,$K771&lt;0,$M771&lt;0,$T771&lt;0,$U771&lt;0,$V771&lt;0,$W771&lt;0,$X771&lt;0,$Y771&lt;0),"ERROR",IF($AE771="","ERROR",IF(AND(OR($S771="ITEM_PRICE_PLUS_DECLARED_DELIVERY",$S771="TOTAL_AMOUNT_INCLUDING_DELIVERY",$S771="ITEM_PRICE_ONLY_DELIVERY_PAID_BY_MERCHANT"),$J771=""),"ERROR",IF(AND(OR($S771="ITEM_PRICE_PLUS_DECLARED_DELIVERY",$S771="DELIVERY_CHARGE_ONLY"),$K771=""),"ERROR",IF(AND(OR($S771="TOTAL_AMOUNT_INCLUDING_DELIVERY",$S771="EXACT_COLLECTION_AMOUNT"),$T771=""),"ERROR",IF(AND($S771="TOTAL_AMOUNT_INCLUDING_DELIVERY",$T771&lt;SUM($J771,$U771)),"ERROR",IF($S771="EXACT_COLLECTION_AMOUNT","REVIEW","OK")))))))))</f>
        <v/>
      </c>
      <c r="AV771" s="25">
        <f>IF($AU771="","",IF($H771="","Township required",IF($Q771="","Customer tier required",IF($M771="","Weight required",IF($S771="","Amount entry type required",IF(OR($J771&lt;0,$K771&lt;0,$M771&lt;0,$T771&lt;0,$U771&lt;0,$V771&lt;0,$W771&lt;0,$X771&lt;0,$Y771&lt;0),"Negative amounts are not allowed",IF($AE771="","Tariff not found for township and tier",IF(AND(OR($S771="ITEM_PRICE_PLUS_DECLARED_DELIVERY",$S771="TOTAL_AMOUNT_INCLUDING_DELIVERY",$S771="ITEM_PRICE_ONLY_DELIVERY_PAID_BY_MERCHANT"),$J771=""),"Item price required for this amount type",IF(AND(OR($S771="ITEM_PRICE_PLUS_DECLARED_DELIVERY",$S771="DELIVERY_CHARGE_ONLY"),$K771=""),"Declared delivery charge required",IF(AND(OR($S771="TOTAL_AMOUNT_INCLUDING_DELIVERY",$S771="EXACT_COLLECTION_AMOUNT"),$T771=""),"Stated total amount required",IF(AND($S771="TOTAL_AMOUNT_INCLUDING_DELIVERY",$T771&lt;SUM($J771,$U771)),"Stated total is below item price plus additional charge",IF($S771="EXACT_COLLECTION_AMOUNT","Authorized amount breakdown required before settlement","Ready for collection and settlement"))))))))))))</f>
        <v/>
      </c>
      <c r="AW771" s="23">
        <f>IF($AU771="","","PARCEL_FINANCIAL_V2")</f>
        <v/>
      </c>
      <c r="AX771" s="17" t="n"/>
    </row>
    <row r="772">
      <c r="A772" s="8" t="n"/>
      <c r="B772" s="8" t="n"/>
      <c r="C772" s="8" t="n"/>
      <c r="D772" s="8" t="n"/>
      <c r="E772" s="9" t="n"/>
      <c r="F772" s="9" t="n"/>
      <c r="G772" s="8" t="n"/>
      <c r="H772" s="9" t="n"/>
      <c r="I772" s="9" t="n"/>
      <c r="J772" s="10" t="n"/>
      <c r="K772" s="10" t="n"/>
      <c r="L772" s="11">
        <f>IF($S772="","",IF($S772="ITEM_PRICE_PLUS_DECLARED_DELIVERY",IF(OR($J772="",$K772=""),"",SUM($J772,$K772,$U772)),IF($S772="TOTAL_AMOUNT_INCLUDING_DELIVERY",IF($T772="","",$T772),IF($S772="DELIVERY_CHARGE_ONLY",IF($K772="","",SUM($K772,$U772)),IF($S772="EXACT_COLLECTION_AMOUNT",IF($T772="","",$T772),IF($S772="ITEM_PRICE_ONLY_DELIVERY_PAID_BY_MERCHANT",IF($J772="","",SUM($J772,$U772)),""))))))</f>
        <v/>
      </c>
      <c r="M772" s="12" t="n"/>
      <c r="N772" s="13" t="n"/>
      <c r="O772" s="13" t="n"/>
      <c r="P772" s="9" t="n"/>
      <c r="Q772" s="14" t="n"/>
      <c r="R772" s="15" t="n"/>
      <c r="S772" s="14" t="n"/>
      <c r="T772" s="16" t="n"/>
      <c r="U772" s="16" t="n"/>
      <c r="V772" s="16" t="n"/>
      <c r="W772" s="16" t="n"/>
      <c r="X772" s="16" t="n"/>
      <c r="Y772" s="16" t="n"/>
      <c r="Z772" s="14" t="n"/>
      <c r="AA772" s="14" t="n"/>
      <c r="AB772" s="14" t="n"/>
      <c r="AC772" s="17">
        <f>IFERROR(VLOOKUP($H772&amp;"|"&amp;$Q772,Tariff_Master!$A$2:$L$169,3,FALSE),"")</f>
        <v/>
      </c>
      <c r="AD772" s="17">
        <f>IFERROR(VLOOKUP($H772&amp;"|"&amp;$Q772,Tariff_Master!$A$2:$L$169,4,FALSE),"")</f>
        <v/>
      </c>
      <c r="AE772" s="18">
        <f>IFERROR(VLOOKUP($H772&amp;"|"&amp;$Q772,Tariff_Master!$A$2:$L$169,6,FALSE),"")</f>
        <v/>
      </c>
      <c r="AF772" s="19">
        <f>IFERROR(VLOOKUP($H772&amp;"|"&amp;$Q772,Tariff_Master!$A$2:$L$169,7,FALSE),"")</f>
        <v/>
      </c>
      <c r="AG772" s="18">
        <f>IFERROR(VLOOKUP($H772&amp;"|"&amp;$Q772,Tariff_Master!$A$2:$L$169,8,FALSE),"")</f>
        <v/>
      </c>
      <c r="AH772" s="20">
        <f>IFERROR(VLOOKUP($H772&amp;"|"&amp;$Q772,Tariff_Master!$A$2:$L$169,9,FALSE),"")</f>
        <v/>
      </c>
      <c r="AI772" s="18">
        <f>IFERROR(VLOOKUP($H772&amp;"|"&amp;$Q772,Tariff_Master!$A$2:$L$169,10,FALSE),"")</f>
        <v/>
      </c>
      <c r="AJ772" s="21">
        <f>IF($M772="","",ROUNDUP(MAX(0,$M772),0))</f>
        <v/>
      </c>
      <c r="AK772" s="21">
        <f>IF(OR($AJ772="",$AF772=""),"",MAX(0,$AJ772-$AF772))</f>
        <v/>
      </c>
      <c r="AL772" s="22">
        <f>IF(OR($AK772="",$AG772=""),"",MAX(0,$AK772*$AG772))</f>
        <v/>
      </c>
      <c r="AM772" s="22">
        <f>IF($AE772="","",MAX(0,SUM($AE772,$AL772,$V772,$W772)))</f>
        <v/>
      </c>
      <c r="AN772" s="22">
        <f>IF($AM772="","",IF(AND($Q772="COMMITMENT",$R772&gt;=$AH772),$AI772,0))</f>
        <v/>
      </c>
      <c r="AO772" s="23">
        <f>IF($AM772="","",MAX(0,$AM772-$AN772))</f>
        <v/>
      </c>
      <c r="AP772" s="22">
        <f>IF($S772="","",IF(OR($S772="ITEM_PRICE_PLUS_DECLARED_DELIVERY",$S772="DELIVERY_CHARGE_ONLY"),$K772,IF($S772="TOTAL_AMOUNT_INCLUDING_DELIVERY",IF(OR($T772="",$J772=""),"",MAX(0,$T772-$J772-$U772)),IF($S772="ITEM_PRICE_ONLY_DELIVERY_PAID_BY_MERCHANT",0,""))))</f>
        <v/>
      </c>
      <c r="AQ772" s="23">
        <f>IF(OR($AP772="",$AO772=""),"",$AP772-$AO772)</f>
        <v/>
      </c>
      <c r="AR772" s="24">
        <f>IF($S772="EXACT_COLLECTION_AMOUNT","BREAKDOWN_REQUIRED",IF($AQ772="","",IF($AQ772&gt;0,"CREDIT_TO_MERCHANT",IF($AQ772&lt;0,"DEDUCT_FROM_MERCHANT","NO_ADJUSTMENT"))))</f>
        <v/>
      </c>
      <c r="AS772" s="23">
        <f>IF(OR($AQ772="",$AR772="BREAKDOWN_REQUIRED"),"",$AQ772)</f>
        <v/>
      </c>
      <c r="AT772" s="23">
        <f>IF(OR($AR772="",$AR772="BREAKDOWN_REQUIRED"),"",SUM($J772,$AQ772,$Y772)-$X772)</f>
        <v/>
      </c>
      <c r="AU772" s="25">
        <f>IF(AND($A772="",$B772="",$F772="",$H772="",$J772="",$K772="",$M772="",$S772=""),"",IF(OR($H772="",$Q772="",$M772="",$S772=""),"ERROR",IF(OR($J772&lt;0,$K772&lt;0,$M772&lt;0,$T772&lt;0,$U772&lt;0,$V772&lt;0,$W772&lt;0,$X772&lt;0,$Y772&lt;0),"ERROR",IF($AE772="","ERROR",IF(AND(OR($S772="ITEM_PRICE_PLUS_DECLARED_DELIVERY",$S772="TOTAL_AMOUNT_INCLUDING_DELIVERY",$S772="ITEM_PRICE_ONLY_DELIVERY_PAID_BY_MERCHANT"),$J772=""),"ERROR",IF(AND(OR($S772="ITEM_PRICE_PLUS_DECLARED_DELIVERY",$S772="DELIVERY_CHARGE_ONLY"),$K772=""),"ERROR",IF(AND(OR($S772="TOTAL_AMOUNT_INCLUDING_DELIVERY",$S772="EXACT_COLLECTION_AMOUNT"),$T772=""),"ERROR",IF(AND($S772="TOTAL_AMOUNT_INCLUDING_DELIVERY",$T772&lt;SUM($J772,$U772)),"ERROR",IF($S772="EXACT_COLLECTION_AMOUNT","REVIEW","OK")))))))))</f>
        <v/>
      </c>
      <c r="AV772" s="25">
        <f>IF($AU772="","",IF($H772="","Township required",IF($Q772="","Customer tier required",IF($M772="","Weight required",IF($S772="","Amount entry type required",IF(OR($J772&lt;0,$K772&lt;0,$M772&lt;0,$T772&lt;0,$U772&lt;0,$V772&lt;0,$W772&lt;0,$X772&lt;0,$Y772&lt;0),"Negative amounts are not allowed",IF($AE772="","Tariff not found for township and tier",IF(AND(OR($S772="ITEM_PRICE_PLUS_DECLARED_DELIVERY",$S772="TOTAL_AMOUNT_INCLUDING_DELIVERY",$S772="ITEM_PRICE_ONLY_DELIVERY_PAID_BY_MERCHANT"),$J772=""),"Item price required for this amount type",IF(AND(OR($S772="ITEM_PRICE_PLUS_DECLARED_DELIVERY",$S772="DELIVERY_CHARGE_ONLY"),$K772=""),"Declared delivery charge required",IF(AND(OR($S772="TOTAL_AMOUNT_INCLUDING_DELIVERY",$S772="EXACT_COLLECTION_AMOUNT"),$T772=""),"Stated total amount required",IF(AND($S772="TOTAL_AMOUNT_INCLUDING_DELIVERY",$T772&lt;SUM($J772,$U772)),"Stated total is below item price plus additional charge",IF($S772="EXACT_COLLECTION_AMOUNT","Authorized amount breakdown required before settlement","Ready for collection and settlement"))))))))))))</f>
        <v/>
      </c>
      <c r="AW772" s="23">
        <f>IF($AU772="","","PARCEL_FINANCIAL_V2")</f>
        <v/>
      </c>
      <c r="AX772" s="17" t="n"/>
    </row>
    <row r="773">
      <c r="A773" s="8" t="n"/>
      <c r="B773" s="8" t="n"/>
      <c r="C773" s="8" t="n"/>
      <c r="D773" s="8" t="n"/>
      <c r="E773" s="9" t="n"/>
      <c r="F773" s="9" t="n"/>
      <c r="G773" s="8" t="n"/>
      <c r="H773" s="9" t="n"/>
      <c r="I773" s="9" t="n"/>
      <c r="J773" s="10" t="n"/>
      <c r="K773" s="10" t="n"/>
      <c r="L773" s="11">
        <f>IF($S773="","",IF($S773="ITEM_PRICE_PLUS_DECLARED_DELIVERY",IF(OR($J773="",$K773=""),"",SUM($J773,$K773,$U773)),IF($S773="TOTAL_AMOUNT_INCLUDING_DELIVERY",IF($T773="","",$T773),IF($S773="DELIVERY_CHARGE_ONLY",IF($K773="","",SUM($K773,$U773)),IF($S773="EXACT_COLLECTION_AMOUNT",IF($T773="","",$T773),IF($S773="ITEM_PRICE_ONLY_DELIVERY_PAID_BY_MERCHANT",IF($J773="","",SUM($J773,$U773)),""))))))</f>
        <v/>
      </c>
      <c r="M773" s="12" t="n"/>
      <c r="N773" s="13" t="n"/>
      <c r="O773" s="13" t="n"/>
      <c r="P773" s="9" t="n"/>
      <c r="Q773" s="14" t="n"/>
      <c r="R773" s="15" t="n"/>
      <c r="S773" s="14" t="n"/>
      <c r="T773" s="16" t="n"/>
      <c r="U773" s="16" t="n"/>
      <c r="V773" s="16" t="n"/>
      <c r="W773" s="16" t="n"/>
      <c r="X773" s="16" t="n"/>
      <c r="Y773" s="16" t="n"/>
      <c r="Z773" s="14" t="n"/>
      <c r="AA773" s="14" t="n"/>
      <c r="AB773" s="14" t="n"/>
      <c r="AC773" s="17">
        <f>IFERROR(VLOOKUP($H773&amp;"|"&amp;$Q773,Tariff_Master!$A$2:$L$169,3,FALSE),"")</f>
        <v/>
      </c>
      <c r="AD773" s="17">
        <f>IFERROR(VLOOKUP($H773&amp;"|"&amp;$Q773,Tariff_Master!$A$2:$L$169,4,FALSE),"")</f>
        <v/>
      </c>
      <c r="AE773" s="18">
        <f>IFERROR(VLOOKUP($H773&amp;"|"&amp;$Q773,Tariff_Master!$A$2:$L$169,6,FALSE),"")</f>
        <v/>
      </c>
      <c r="AF773" s="19">
        <f>IFERROR(VLOOKUP($H773&amp;"|"&amp;$Q773,Tariff_Master!$A$2:$L$169,7,FALSE),"")</f>
        <v/>
      </c>
      <c r="AG773" s="18">
        <f>IFERROR(VLOOKUP($H773&amp;"|"&amp;$Q773,Tariff_Master!$A$2:$L$169,8,FALSE),"")</f>
        <v/>
      </c>
      <c r="AH773" s="20">
        <f>IFERROR(VLOOKUP($H773&amp;"|"&amp;$Q773,Tariff_Master!$A$2:$L$169,9,FALSE),"")</f>
        <v/>
      </c>
      <c r="AI773" s="18">
        <f>IFERROR(VLOOKUP($H773&amp;"|"&amp;$Q773,Tariff_Master!$A$2:$L$169,10,FALSE),"")</f>
        <v/>
      </c>
      <c r="AJ773" s="21">
        <f>IF($M773="","",ROUNDUP(MAX(0,$M773),0))</f>
        <v/>
      </c>
      <c r="AK773" s="21">
        <f>IF(OR($AJ773="",$AF773=""),"",MAX(0,$AJ773-$AF773))</f>
        <v/>
      </c>
      <c r="AL773" s="22">
        <f>IF(OR($AK773="",$AG773=""),"",MAX(0,$AK773*$AG773))</f>
        <v/>
      </c>
      <c r="AM773" s="22">
        <f>IF($AE773="","",MAX(0,SUM($AE773,$AL773,$V773,$W773)))</f>
        <v/>
      </c>
      <c r="AN773" s="22">
        <f>IF($AM773="","",IF(AND($Q773="COMMITMENT",$R773&gt;=$AH773),$AI773,0))</f>
        <v/>
      </c>
      <c r="AO773" s="23">
        <f>IF($AM773="","",MAX(0,$AM773-$AN773))</f>
        <v/>
      </c>
      <c r="AP773" s="22">
        <f>IF($S773="","",IF(OR($S773="ITEM_PRICE_PLUS_DECLARED_DELIVERY",$S773="DELIVERY_CHARGE_ONLY"),$K773,IF($S773="TOTAL_AMOUNT_INCLUDING_DELIVERY",IF(OR($T773="",$J773=""),"",MAX(0,$T773-$J773-$U773)),IF($S773="ITEM_PRICE_ONLY_DELIVERY_PAID_BY_MERCHANT",0,""))))</f>
        <v/>
      </c>
      <c r="AQ773" s="23">
        <f>IF(OR($AP773="",$AO773=""),"",$AP773-$AO773)</f>
        <v/>
      </c>
      <c r="AR773" s="24">
        <f>IF($S773="EXACT_COLLECTION_AMOUNT","BREAKDOWN_REQUIRED",IF($AQ773="","",IF($AQ773&gt;0,"CREDIT_TO_MERCHANT",IF($AQ773&lt;0,"DEDUCT_FROM_MERCHANT","NO_ADJUSTMENT"))))</f>
        <v/>
      </c>
      <c r="AS773" s="23">
        <f>IF(OR($AQ773="",$AR773="BREAKDOWN_REQUIRED"),"",$AQ773)</f>
        <v/>
      </c>
      <c r="AT773" s="23">
        <f>IF(OR($AR773="",$AR773="BREAKDOWN_REQUIRED"),"",SUM($J773,$AQ773,$Y773)-$X773)</f>
        <v/>
      </c>
      <c r="AU773" s="25">
        <f>IF(AND($A773="",$B773="",$F773="",$H773="",$J773="",$K773="",$M773="",$S773=""),"",IF(OR($H773="",$Q773="",$M773="",$S773=""),"ERROR",IF(OR($J773&lt;0,$K773&lt;0,$M773&lt;0,$T773&lt;0,$U773&lt;0,$V773&lt;0,$W773&lt;0,$X773&lt;0,$Y773&lt;0),"ERROR",IF($AE773="","ERROR",IF(AND(OR($S773="ITEM_PRICE_PLUS_DECLARED_DELIVERY",$S773="TOTAL_AMOUNT_INCLUDING_DELIVERY",$S773="ITEM_PRICE_ONLY_DELIVERY_PAID_BY_MERCHANT"),$J773=""),"ERROR",IF(AND(OR($S773="ITEM_PRICE_PLUS_DECLARED_DELIVERY",$S773="DELIVERY_CHARGE_ONLY"),$K773=""),"ERROR",IF(AND(OR($S773="TOTAL_AMOUNT_INCLUDING_DELIVERY",$S773="EXACT_COLLECTION_AMOUNT"),$T773=""),"ERROR",IF(AND($S773="TOTAL_AMOUNT_INCLUDING_DELIVERY",$T773&lt;SUM($J773,$U773)),"ERROR",IF($S773="EXACT_COLLECTION_AMOUNT","REVIEW","OK")))))))))</f>
        <v/>
      </c>
      <c r="AV773" s="25">
        <f>IF($AU773="","",IF($H773="","Township required",IF($Q773="","Customer tier required",IF($M773="","Weight required",IF($S773="","Amount entry type required",IF(OR($J773&lt;0,$K773&lt;0,$M773&lt;0,$T773&lt;0,$U773&lt;0,$V773&lt;0,$W773&lt;0,$X773&lt;0,$Y773&lt;0),"Negative amounts are not allowed",IF($AE773="","Tariff not found for township and tier",IF(AND(OR($S773="ITEM_PRICE_PLUS_DECLARED_DELIVERY",$S773="TOTAL_AMOUNT_INCLUDING_DELIVERY",$S773="ITEM_PRICE_ONLY_DELIVERY_PAID_BY_MERCHANT"),$J773=""),"Item price required for this amount type",IF(AND(OR($S773="ITEM_PRICE_PLUS_DECLARED_DELIVERY",$S773="DELIVERY_CHARGE_ONLY"),$K773=""),"Declared delivery charge required",IF(AND(OR($S773="TOTAL_AMOUNT_INCLUDING_DELIVERY",$S773="EXACT_COLLECTION_AMOUNT"),$T773=""),"Stated total amount required",IF(AND($S773="TOTAL_AMOUNT_INCLUDING_DELIVERY",$T773&lt;SUM($J773,$U773)),"Stated total is below item price plus additional charge",IF($S773="EXACT_COLLECTION_AMOUNT","Authorized amount breakdown required before settlement","Ready for collection and settlement"))))))))))))</f>
        <v/>
      </c>
      <c r="AW773" s="23">
        <f>IF($AU773="","","PARCEL_FINANCIAL_V2")</f>
        <v/>
      </c>
      <c r="AX773" s="17" t="n"/>
    </row>
    <row r="774">
      <c r="A774" s="8" t="n"/>
      <c r="B774" s="8" t="n"/>
      <c r="C774" s="8" t="n"/>
      <c r="D774" s="8" t="n"/>
      <c r="E774" s="9" t="n"/>
      <c r="F774" s="9" t="n"/>
      <c r="G774" s="8" t="n"/>
      <c r="H774" s="9" t="n"/>
      <c r="I774" s="9" t="n"/>
      <c r="J774" s="10" t="n"/>
      <c r="K774" s="10" t="n"/>
      <c r="L774" s="11">
        <f>IF($S774="","",IF($S774="ITEM_PRICE_PLUS_DECLARED_DELIVERY",IF(OR($J774="",$K774=""),"",SUM($J774,$K774,$U774)),IF($S774="TOTAL_AMOUNT_INCLUDING_DELIVERY",IF($T774="","",$T774),IF($S774="DELIVERY_CHARGE_ONLY",IF($K774="","",SUM($K774,$U774)),IF($S774="EXACT_COLLECTION_AMOUNT",IF($T774="","",$T774),IF($S774="ITEM_PRICE_ONLY_DELIVERY_PAID_BY_MERCHANT",IF($J774="","",SUM($J774,$U774)),""))))))</f>
        <v/>
      </c>
      <c r="M774" s="12" t="n"/>
      <c r="N774" s="13" t="n"/>
      <c r="O774" s="13" t="n"/>
      <c r="P774" s="9" t="n"/>
      <c r="Q774" s="14" t="n"/>
      <c r="R774" s="15" t="n"/>
      <c r="S774" s="14" t="n"/>
      <c r="T774" s="16" t="n"/>
      <c r="U774" s="16" t="n"/>
      <c r="V774" s="16" t="n"/>
      <c r="W774" s="16" t="n"/>
      <c r="X774" s="16" t="n"/>
      <c r="Y774" s="16" t="n"/>
      <c r="Z774" s="14" t="n"/>
      <c r="AA774" s="14" t="n"/>
      <c r="AB774" s="14" t="n"/>
      <c r="AC774" s="17">
        <f>IFERROR(VLOOKUP($H774&amp;"|"&amp;$Q774,Tariff_Master!$A$2:$L$169,3,FALSE),"")</f>
        <v/>
      </c>
      <c r="AD774" s="17">
        <f>IFERROR(VLOOKUP($H774&amp;"|"&amp;$Q774,Tariff_Master!$A$2:$L$169,4,FALSE),"")</f>
        <v/>
      </c>
      <c r="AE774" s="18">
        <f>IFERROR(VLOOKUP($H774&amp;"|"&amp;$Q774,Tariff_Master!$A$2:$L$169,6,FALSE),"")</f>
        <v/>
      </c>
      <c r="AF774" s="19">
        <f>IFERROR(VLOOKUP($H774&amp;"|"&amp;$Q774,Tariff_Master!$A$2:$L$169,7,FALSE),"")</f>
        <v/>
      </c>
      <c r="AG774" s="18">
        <f>IFERROR(VLOOKUP($H774&amp;"|"&amp;$Q774,Tariff_Master!$A$2:$L$169,8,FALSE),"")</f>
        <v/>
      </c>
      <c r="AH774" s="20">
        <f>IFERROR(VLOOKUP($H774&amp;"|"&amp;$Q774,Tariff_Master!$A$2:$L$169,9,FALSE),"")</f>
        <v/>
      </c>
      <c r="AI774" s="18">
        <f>IFERROR(VLOOKUP($H774&amp;"|"&amp;$Q774,Tariff_Master!$A$2:$L$169,10,FALSE),"")</f>
        <v/>
      </c>
      <c r="AJ774" s="21">
        <f>IF($M774="","",ROUNDUP(MAX(0,$M774),0))</f>
        <v/>
      </c>
      <c r="AK774" s="21">
        <f>IF(OR($AJ774="",$AF774=""),"",MAX(0,$AJ774-$AF774))</f>
        <v/>
      </c>
      <c r="AL774" s="22">
        <f>IF(OR($AK774="",$AG774=""),"",MAX(0,$AK774*$AG774))</f>
        <v/>
      </c>
      <c r="AM774" s="22">
        <f>IF($AE774="","",MAX(0,SUM($AE774,$AL774,$V774,$W774)))</f>
        <v/>
      </c>
      <c r="AN774" s="22">
        <f>IF($AM774="","",IF(AND($Q774="COMMITMENT",$R774&gt;=$AH774),$AI774,0))</f>
        <v/>
      </c>
      <c r="AO774" s="23">
        <f>IF($AM774="","",MAX(0,$AM774-$AN774))</f>
        <v/>
      </c>
      <c r="AP774" s="22">
        <f>IF($S774="","",IF(OR($S774="ITEM_PRICE_PLUS_DECLARED_DELIVERY",$S774="DELIVERY_CHARGE_ONLY"),$K774,IF($S774="TOTAL_AMOUNT_INCLUDING_DELIVERY",IF(OR($T774="",$J774=""),"",MAX(0,$T774-$J774-$U774)),IF($S774="ITEM_PRICE_ONLY_DELIVERY_PAID_BY_MERCHANT",0,""))))</f>
        <v/>
      </c>
      <c r="AQ774" s="23">
        <f>IF(OR($AP774="",$AO774=""),"",$AP774-$AO774)</f>
        <v/>
      </c>
      <c r="AR774" s="24">
        <f>IF($S774="EXACT_COLLECTION_AMOUNT","BREAKDOWN_REQUIRED",IF($AQ774="","",IF($AQ774&gt;0,"CREDIT_TO_MERCHANT",IF($AQ774&lt;0,"DEDUCT_FROM_MERCHANT","NO_ADJUSTMENT"))))</f>
        <v/>
      </c>
      <c r="AS774" s="23">
        <f>IF(OR($AQ774="",$AR774="BREAKDOWN_REQUIRED"),"",$AQ774)</f>
        <v/>
      </c>
      <c r="AT774" s="23">
        <f>IF(OR($AR774="",$AR774="BREAKDOWN_REQUIRED"),"",SUM($J774,$AQ774,$Y774)-$X774)</f>
        <v/>
      </c>
      <c r="AU774" s="25">
        <f>IF(AND($A774="",$B774="",$F774="",$H774="",$J774="",$K774="",$M774="",$S774=""),"",IF(OR($H774="",$Q774="",$M774="",$S774=""),"ERROR",IF(OR($J774&lt;0,$K774&lt;0,$M774&lt;0,$T774&lt;0,$U774&lt;0,$V774&lt;0,$W774&lt;0,$X774&lt;0,$Y774&lt;0),"ERROR",IF($AE774="","ERROR",IF(AND(OR($S774="ITEM_PRICE_PLUS_DECLARED_DELIVERY",$S774="TOTAL_AMOUNT_INCLUDING_DELIVERY",$S774="ITEM_PRICE_ONLY_DELIVERY_PAID_BY_MERCHANT"),$J774=""),"ERROR",IF(AND(OR($S774="ITEM_PRICE_PLUS_DECLARED_DELIVERY",$S774="DELIVERY_CHARGE_ONLY"),$K774=""),"ERROR",IF(AND(OR($S774="TOTAL_AMOUNT_INCLUDING_DELIVERY",$S774="EXACT_COLLECTION_AMOUNT"),$T774=""),"ERROR",IF(AND($S774="TOTAL_AMOUNT_INCLUDING_DELIVERY",$T774&lt;SUM($J774,$U774)),"ERROR",IF($S774="EXACT_COLLECTION_AMOUNT","REVIEW","OK")))))))))</f>
        <v/>
      </c>
      <c r="AV774" s="25">
        <f>IF($AU774="","",IF($H774="","Township required",IF($Q774="","Customer tier required",IF($M774="","Weight required",IF($S774="","Amount entry type required",IF(OR($J774&lt;0,$K774&lt;0,$M774&lt;0,$T774&lt;0,$U774&lt;0,$V774&lt;0,$W774&lt;0,$X774&lt;0,$Y774&lt;0),"Negative amounts are not allowed",IF($AE774="","Tariff not found for township and tier",IF(AND(OR($S774="ITEM_PRICE_PLUS_DECLARED_DELIVERY",$S774="TOTAL_AMOUNT_INCLUDING_DELIVERY",$S774="ITEM_PRICE_ONLY_DELIVERY_PAID_BY_MERCHANT"),$J774=""),"Item price required for this amount type",IF(AND(OR($S774="ITEM_PRICE_PLUS_DECLARED_DELIVERY",$S774="DELIVERY_CHARGE_ONLY"),$K774=""),"Declared delivery charge required",IF(AND(OR($S774="TOTAL_AMOUNT_INCLUDING_DELIVERY",$S774="EXACT_COLLECTION_AMOUNT"),$T774=""),"Stated total amount required",IF(AND($S774="TOTAL_AMOUNT_INCLUDING_DELIVERY",$T774&lt;SUM($J774,$U774)),"Stated total is below item price plus additional charge",IF($S774="EXACT_COLLECTION_AMOUNT","Authorized amount breakdown required before settlement","Ready for collection and settlement"))))))))))))</f>
        <v/>
      </c>
      <c r="AW774" s="23">
        <f>IF($AU774="","","PARCEL_FINANCIAL_V2")</f>
        <v/>
      </c>
      <c r="AX774" s="17" t="n"/>
    </row>
    <row r="775">
      <c r="A775" s="8" t="n"/>
      <c r="B775" s="8" t="n"/>
      <c r="C775" s="8" t="n"/>
      <c r="D775" s="8" t="n"/>
      <c r="E775" s="9" t="n"/>
      <c r="F775" s="9" t="n"/>
      <c r="G775" s="8" t="n"/>
      <c r="H775" s="9" t="n"/>
      <c r="I775" s="9" t="n"/>
      <c r="J775" s="10" t="n"/>
      <c r="K775" s="10" t="n"/>
      <c r="L775" s="11">
        <f>IF($S775="","",IF($S775="ITEM_PRICE_PLUS_DECLARED_DELIVERY",IF(OR($J775="",$K775=""),"",SUM($J775,$K775,$U775)),IF($S775="TOTAL_AMOUNT_INCLUDING_DELIVERY",IF($T775="","",$T775),IF($S775="DELIVERY_CHARGE_ONLY",IF($K775="","",SUM($K775,$U775)),IF($S775="EXACT_COLLECTION_AMOUNT",IF($T775="","",$T775),IF($S775="ITEM_PRICE_ONLY_DELIVERY_PAID_BY_MERCHANT",IF($J775="","",SUM($J775,$U775)),""))))))</f>
        <v/>
      </c>
      <c r="M775" s="12" t="n"/>
      <c r="N775" s="13" t="n"/>
      <c r="O775" s="13" t="n"/>
      <c r="P775" s="9" t="n"/>
      <c r="Q775" s="14" t="n"/>
      <c r="R775" s="15" t="n"/>
      <c r="S775" s="14" t="n"/>
      <c r="T775" s="16" t="n"/>
      <c r="U775" s="16" t="n"/>
      <c r="V775" s="16" t="n"/>
      <c r="W775" s="16" t="n"/>
      <c r="X775" s="16" t="n"/>
      <c r="Y775" s="16" t="n"/>
      <c r="Z775" s="14" t="n"/>
      <c r="AA775" s="14" t="n"/>
      <c r="AB775" s="14" t="n"/>
      <c r="AC775" s="17">
        <f>IFERROR(VLOOKUP($H775&amp;"|"&amp;$Q775,Tariff_Master!$A$2:$L$169,3,FALSE),"")</f>
        <v/>
      </c>
      <c r="AD775" s="17">
        <f>IFERROR(VLOOKUP($H775&amp;"|"&amp;$Q775,Tariff_Master!$A$2:$L$169,4,FALSE),"")</f>
        <v/>
      </c>
      <c r="AE775" s="18">
        <f>IFERROR(VLOOKUP($H775&amp;"|"&amp;$Q775,Tariff_Master!$A$2:$L$169,6,FALSE),"")</f>
        <v/>
      </c>
      <c r="AF775" s="19">
        <f>IFERROR(VLOOKUP($H775&amp;"|"&amp;$Q775,Tariff_Master!$A$2:$L$169,7,FALSE),"")</f>
        <v/>
      </c>
      <c r="AG775" s="18">
        <f>IFERROR(VLOOKUP($H775&amp;"|"&amp;$Q775,Tariff_Master!$A$2:$L$169,8,FALSE),"")</f>
        <v/>
      </c>
      <c r="AH775" s="20">
        <f>IFERROR(VLOOKUP($H775&amp;"|"&amp;$Q775,Tariff_Master!$A$2:$L$169,9,FALSE),"")</f>
        <v/>
      </c>
      <c r="AI775" s="18">
        <f>IFERROR(VLOOKUP($H775&amp;"|"&amp;$Q775,Tariff_Master!$A$2:$L$169,10,FALSE),"")</f>
        <v/>
      </c>
      <c r="AJ775" s="21">
        <f>IF($M775="","",ROUNDUP(MAX(0,$M775),0))</f>
        <v/>
      </c>
      <c r="AK775" s="21">
        <f>IF(OR($AJ775="",$AF775=""),"",MAX(0,$AJ775-$AF775))</f>
        <v/>
      </c>
      <c r="AL775" s="22">
        <f>IF(OR($AK775="",$AG775=""),"",MAX(0,$AK775*$AG775))</f>
        <v/>
      </c>
      <c r="AM775" s="22">
        <f>IF($AE775="","",MAX(0,SUM($AE775,$AL775,$V775,$W775)))</f>
        <v/>
      </c>
      <c r="AN775" s="22">
        <f>IF($AM775="","",IF(AND($Q775="COMMITMENT",$R775&gt;=$AH775),$AI775,0))</f>
        <v/>
      </c>
      <c r="AO775" s="23">
        <f>IF($AM775="","",MAX(0,$AM775-$AN775))</f>
        <v/>
      </c>
      <c r="AP775" s="22">
        <f>IF($S775="","",IF(OR($S775="ITEM_PRICE_PLUS_DECLARED_DELIVERY",$S775="DELIVERY_CHARGE_ONLY"),$K775,IF($S775="TOTAL_AMOUNT_INCLUDING_DELIVERY",IF(OR($T775="",$J775=""),"",MAX(0,$T775-$J775-$U775)),IF($S775="ITEM_PRICE_ONLY_DELIVERY_PAID_BY_MERCHANT",0,""))))</f>
        <v/>
      </c>
      <c r="AQ775" s="23">
        <f>IF(OR($AP775="",$AO775=""),"",$AP775-$AO775)</f>
        <v/>
      </c>
      <c r="AR775" s="24">
        <f>IF($S775="EXACT_COLLECTION_AMOUNT","BREAKDOWN_REQUIRED",IF($AQ775="","",IF($AQ775&gt;0,"CREDIT_TO_MERCHANT",IF($AQ775&lt;0,"DEDUCT_FROM_MERCHANT","NO_ADJUSTMENT"))))</f>
        <v/>
      </c>
      <c r="AS775" s="23">
        <f>IF(OR($AQ775="",$AR775="BREAKDOWN_REQUIRED"),"",$AQ775)</f>
        <v/>
      </c>
      <c r="AT775" s="23">
        <f>IF(OR($AR775="",$AR775="BREAKDOWN_REQUIRED"),"",SUM($J775,$AQ775,$Y775)-$X775)</f>
        <v/>
      </c>
      <c r="AU775" s="25">
        <f>IF(AND($A775="",$B775="",$F775="",$H775="",$J775="",$K775="",$M775="",$S775=""),"",IF(OR($H775="",$Q775="",$M775="",$S775=""),"ERROR",IF(OR($J775&lt;0,$K775&lt;0,$M775&lt;0,$T775&lt;0,$U775&lt;0,$V775&lt;0,$W775&lt;0,$X775&lt;0,$Y775&lt;0),"ERROR",IF($AE775="","ERROR",IF(AND(OR($S775="ITEM_PRICE_PLUS_DECLARED_DELIVERY",$S775="TOTAL_AMOUNT_INCLUDING_DELIVERY",$S775="ITEM_PRICE_ONLY_DELIVERY_PAID_BY_MERCHANT"),$J775=""),"ERROR",IF(AND(OR($S775="ITEM_PRICE_PLUS_DECLARED_DELIVERY",$S775="DELIVERY_CHARGE_ONLY"),$K775=""),"ERROR",IF(AND(OR($S775="TOTAL_AMOUNT_INCLUDING_DELIVERY",$S775="EXACT_COLLECTION_AMOUNT"),$T775=""),"ERROR",IF(AND($S775="TOTAL_AMOUNT_INCLUDING_DELIVERY",$T775&lt;SUM($J775,$U775)),"ERROR",IF($S775="EXACT_COLLECTION_AMOUNT","REVIEW","OK")))))))))</f>
        <v/>
      </c>
      <c r="AV775" s="25">
        <f>IF($AU775="","",IF($H775="","Township required",IF($Q775="","Customer tier required",IF($M775="","Weight required",IF($S775="","Amount entry type required",IF(OR($J775&lt;0,$K775&lt;0,$M775&lt;0,$T775&lt;0,$U775&lt;0,$V775&lt;0,$W775&lt;0,$X775&lt;0,$Y775&lt;0),"Negative amounts are not allowed",IF($AE775="","Tariff not found for township and tier",IF(AND(OR($S775="ITEM_PRICE_PLUS_DECLARED_DELIVERY",$S775="TOTAL_AMOUNT_INCLUDING_DELIVERY",$S775="ITEM_PRICE_ONLY_DELIVERY_PAID_BY_MERCHANT"),$J775=""),"Item price required for this amount type",IF(AND(OR($S775="ITEM_PRICE_PLUS_DECLARED_DELIVERY",$S775="DELIVERY_CHARGE_ONLY"),$K775=""),"Declared delivery charge required",IF(AND(OR($S775="TOTAL_AMOUNT_INCLUDING_DELIVERY",$S775="EXACT_COLLECTION_AMOUNT"),$T775=""),"Stated total amount required",IF(AND($S775="TOTAL_AMOUNT_INCLUDING_DELIVERY",$T775&lt;SUM($J775,$U775)),"Stated total is below item price plus additional charge",IF($S775="EXACT_COLLECTION_AMOUNT","Authorized amount breakdown required before settlement","Ready for collection and settlement"))))))))))))</f>
        <v/>
      </c>
      <c r="AW775" s="23">
        <f>IF($AU775="","","PARCEL_FINANCIAL_V2")</f>
        <v/>
      </c>
      <c r="AX775" s="17" t="n"/>
    </row>
    <row r="776">
      <c r="A776" s="8" t="n"/>
      <c r="B776" s="8" t="n"/>
      <c r="C776" s="8" t="n"/>
      <c r="D776" s="8" t="n"/>
      <c r="E776" s="9" t="n"/>
      <c r="F776" s="9" t="n"/>
      <c r="G776" s="8" t="n"/>
      <c r="H776" s="9" t="n"/>
      <c r="I776" s="9" t="n"/>
      <c r="J776" s="10" t="n"/>
      <c r="K776" s="10" t="n"/>
      <c r="L776" s="11">
        <f>IF($S776="","",IF($S776="ITEM_PRICE_PLUS_DECLARED_DELIVERY",IF(OR($J776="",$K776=""),"",SUM($J776,$K776,$U776)),IF($S776="TOTAL_AMOUNT_INCLUDING_DELIVERY",IF($T776="","",$T776),IF($S776="DELIVERY_CHARGE_ONLY",IF($K776="","",SUM($K776,$U776)),IF($S776="EXACT_COLLECTION_AMOUNT",IF($T776="","",$T776),IF($S776="ITEM_PRICE_ONLY_DELIVERY_PAID_BY_MERCHANT",IF($J776="","",SUM($J776,$U776)),""))))))</f>
        <v/>
      </c>
      <c r="M776" s="12" t="n"/>
      <c r="N776" s="13" t="n"/>
      <c r="O776" s="13" t="n"/>
      <c r="P776" s="9" t="n"/>
      <c r="Q776" s="14" t="n"/>
      <c r="R776" s="15" t="n"/>
      <c r="S776" s="14" t="n"/>
      <c r="T776" s="16" t="n"/>
      <c r="U776" s="16" t="n"/>
      <c r="V776" s="16" t="n"/>
      <c r="W776" s="16" t="n"/>
      <c r="X776" s="16" t="n"/>
      <c r="Y776" s="16" t="n"/>
      <c r="Z776" s="14" t="n"/>
      <c r="AA776" s="14" t="n"/>
      <c r="AB776" s="14" t="n"/>
      <c r="AC776" s="17">
        <f>IFERROR(VLOOKUP($H776&amp;"|"&amp;$Q776,Tariff_Master!$A$2:$L$169,3,FALSE),"")</f>
        <v/>
      </c>
      <c r="AD776" s="17">
        <f>IFERROR(VLOOKUP($H776&amp;"|"&amp;$Q776,Tariff_Master!$A$2:$L$169,4,FALSE),"")</f>
        <v/>
      </c>
      <c r="AE776" s="18">
        <f>IFERROR(VLOOKUP($H776&amp;"|"&amp;$Q776,Tariff_Master!$A$2:$L$169,6,FALSE),"")</f>
        <v/>
      </c>
      <c r="AF776" s="19">
        <f>IFERROR(VLOOKUP($H776&amp;"|"&amp;$Q776,Tariff_Master!$A$2:$L$169,7,FALSE),"")</f>
        <v/>
      </c>
      <c r="AG776" s="18">
        <f>IFERROR(VLOOKUP($H776&amp;"|"&amp;$Q776,Tariff_Master!$A$2:$L$169,8,FALSE),"")</f>
        <v/>
      </c>
      <c r="AH776" s="20">
        <f>IFERROR(VLOOKUP($H776&amp;"|"&amp;$Q776,Tariff_Master!$A$2:$L$169,9,FALSE),"")</f>
        <v/>
      </c>
      <c r="AI776" s="18">
        <f>IFERROR(VLOOKUP($H776&amp;"|"&amp;$Q776,Tariff_Master!$A$2:$L$169,10,FALSE),"")</f>
        <v/>
      </c>
      <c r="AJ776" s="21">
        <f>IF($M776="","",ROUNDUP(MAX(0,$M776),0))</f>
        <v/>
      </c>
      <c r="AK776" s="21">
        <f>IF(OR($AJ776="",$AF776=""),"",MAX(0,$AJ776-$AF776))</f>
        <v/>
      </c>
      <c r="AL776" s="22">
        <f>IF(OR($AK776="",$AG776=""),"",MAX(0,$AK776*$AG776))</f>
        <v/>
      </c>
      <c r="AM776" s="22">
        <f>IF($AE776="","",MAX(0,SUM($AE776,$AL776,$V776,$W776)))</f>
        <v/>
      </c>
      <c r="AN776" s="22">
        <f>IF($AM776="","",IF(AND($Q776="COMMITMENT",$R776&gt;=$AH776),$AI776,0))</f>
        <v/>
      </c>
      <c r="AO776" s="23">
        <f>IF($AM776="","",MAX(0,$AM776-$AN776))</f>
        <v/>
      </c>
      <c r="AP776" s="22">
        <f>IF($S776="","",IF(OR($S776="ITEM_PRICE_PLUS_DECLARED_DELIVERY",$S776="DELIVERY_CHARGE_ONLY"),$K776,IF($S776="TOTAL_AMOUNT_INCLUDING_DELIVERY",IF(OR($T776="",$J776=""),"",MAX(0,$T776-$J776-$U776)),IF($S776="ITEM_PRICE_ONLY_DELIVERY_PAID_BY_MERCHANT",0,""))))</f>
        <v/>
      </c>
      <c r="AQ776" s="23">
        <f>IF(OR($AP776="",$AO776=""),"",$AP776-$AO776)</f>
        <v/>
      </c>
      <c r="AR776" s="24">
        <f>IF($S776="EXACT_COLLECTION_AMOUNT","BREAKDOWN_REQUIRED",IF($AQ776="","",IF($AQ776&gt;0,"CREDIT_TO_MERCHANT",IF($AQ776&lt;0,"DEDUCT_FROM_MERCHANT","NO_ADJUSTMENT"))))</f>
        <v/>
      </c>
      <c r="AS776" s="23">
        <f>IF(OR($AQ776="",$AR776="BREAKDOWN_REQUIRED"),"",$AQ776)</f>
        <v/>
      </c>
      <c r="AT776" s="23">
        <f>IF(OR($AR776="",$AR776="BREAKDOWN_REQUIRED"),"",SUM($J776,$AQ776,$Y776)-$X776)</f>
        <v/>
      </c>
      <c r="AU776" s="25">
        <f>IF(AND($A776="",$B776="",$F776="",$H776="",$J776="",$K776="",$M776="",$S776=""),"",IF(OR($H776="",$Q776="",$M776="",$S776=""),"ERROR",IF(OR($J776&lt;0,$K776&lt;0,$M776&lt;0,$T776&lt;0,$U776&lt;0,$V776&lt;0,$W776&lt;0,$X776&lt;0,$Y776&lt;0),"ERROR",IF($AE776="","ERROR",IF(AND(OR($S776="ITEM_PRICE_PLUS_DECLARED_DELIVERY",$S776="TOTAL_AMOUNT_INCLUDING_DELIVERY",$S776="ITEM_PRICE_ONLY_DELIVERY_PAID_BY_MERCHANT"),$J776=""),"ERROR",IF(AND(OR($S776="ITEM_PRICE_PLUS_DECLARED_DELIVERY",$S776="DELIVERY_CHARGE_ONLY"),$K776=""),"ERROR",IF(AND(OR($S776="TOTAL_AMOUNT_INCLUDING_DELIVERY",$S776="EXACT_COLLECTION_AMOUNT"),$T776=""),"ERROR",IF(AND($S776="TOTAL_AMOUNT_INCLUDING_DELIVERY",$T776&lt;SUM($J776,$U776)),"ERROR",IF($S776="EXACT_COLLECTION_AMOUNT","REVIEW","OK")))))))))</f>
        <v/>
      </c>
      <c r="AV776" s="25">
        <f>IF($AU776="","",IF($H776="","Township required",IF($Q776="","Customer tier required",IF($M776="","Weight required",IF($S776="","Amount entry type required",IF(OR($J776&lt;0,$K776&lt;0,$M776&lt;0,$T776&lt;0,$U776&lt;0,$V776&lt;0,$W776&lt;0,$X776&lt;0,$Y776&lt;0),"Negative amounts are not allowed",IF($AE776="","Tariff not found for township and tier",IF(AND(OR($S776="ITEM_PRICE_PLUS_DECLARED_DELIVERY",$S776="TOTAL_AMOUNT_INCLUDING_DELIVERY",$S776="ITEM_PRICE_ONLY_DELIVERY_PAID_BY_MERCHANT"),$J776=""),"Item price required for this amount type",IF(AND(OR($S776="ITEM_PRICE_PLUS_DECLARED_DELIVERY",$S776="DELIVERY_CHARGE_ONLY"),$K776=""),"Declared delivery charge required",IF(AND(OR($S776="TOTAL_AMOUNT_INCLUDING_DELIVERY",$S776="EXACT_COLLECTION_AMOUNT"),$T776=""),"Stated total amount required",IF(AND($S776="TOTAL_AMOUNT_INCLUDING_DELIVERY",$T776&lt;SUM($J776,$U776)),"Stated total is below item price plus additional charge",IF($S776="EXACT_COLLECTION_AMOUNT","Authorized amount breakdown required before settlement","Ready for collection and settlement"))))))))))))</f>
        <v/>
      </c>
      <c r="AW776" s="23">
        <f>IF($AU776="","","PARCEL_FINANCIAL_V2")</f>
        <v/>
      </c>
      <c r="AX776" s="17" t="n"/>
    </row>
    <row r="777">
      <c r="A777" s="8" t="n"/>
      <c r="B777" s="8" t="n"/>
      <c r="C777" s="8" t="n"/>
      <c r="D777" s="8" t="n"/>
      <c r="E777" s="9" t="n"/>
      <c r="F777" s="9" t="n"/>
      <c r="G777" s="8" t="n"/>
      <c r="H777" s="9" t="n"/>
      <c r="I777" s="9" t="n"/>
      <c r="J777" s="10" t="n"/>
      <c r="K777" s="10" t="n"/>
      <c r="L777" s="11">
        <f>IF($S777="","",IF($S777="ITEM_PRICE_PLUS_DECLARED_DELIVERY",IF(OR($J777="",$K777=""),"",SUM($J777,$K777,$U777)),IF($S777="TOTAL_AMOUNT_INCLUDING_DELIVERY",IF($T777="","",$T777),IF($S777="DELIVERY_CHARGE_ONLY",IF($K777="","",SUM($K777,$U777)),IF($S777="EXACT_COLLECTION_AMOUNT",IF($T777="","",$T777),IF($S777="ITEM_PRICE_ONLY_DELIVERY_PAID_BY_MERCHANT",IF($J777="","",SUM($J777,$U777)),""))))))</f>
        <v/>
      </c>
      <c r="M777" s="12" t="n"/>
      <c r="N777" s="13" t="n"/>
      <c r="O777" s="13" t="n"/>
      <c r="P777" s="9" t="n"/>
      <c r="Q777" s="14" t="n"/>
      <c r="R777" s="15" t="n"/>
      <c r="S777" s="14" t="n"/>
      <c r="T777" s="16" t="n"/>
      <c r="U777" s="16" t="n"/>
      <c r="V777" s="16" t="n"/>
      <c r="W777" s="16" t="n"/>
      <c r="X777" s="16" t="n"/>
      <c r="Y777" s="16" t="n"/>
      <c r="Z777" s="14" t="n"/>
      <c r="AA777" s="14" t="n"/>
      <c r="AB777" s="14" t="n"/>
      <c r="AC777" s="17">
        <f>IFERROR(VLOOKUP($H777&amp;"|"&amp;$Q777,Tariff_Master!$A$2:$L$169,3,FALSE),"")</f>
        <v/>
      </c>
      <c r="AD777" s="17">
        <f>IFERROR(VLOOKUP($H777&amp;"|"&amp;$Q777,Tariff_Master!$A$2:$L$169,4,FALSE),"")</f>
        <v/>
      </c>
      <c r="AE777" s="18">
        <f>IFERROR(VLOOKUP($H777&amp;"|"&amp;$Q777,Tariff_Master!$A$2:$L$169,6,FALSE),"")</f>
        <v/>
      </c>
      <c r="AF777" s="19">
        <f>IFERROR(VLOOKUP($H777&amp;"|"&amp;$Q777,Tariff_Master!$A$2:$L$169,7,FALSE),"")</f>
        <v/>
      </c>
      <c r="AG777" s="18">
        <f>IFERROR(VLOOKUP($H777&amp;"|"&amp;$Q777,Tariff_Master!$A$2:$L$169,8,FALSE),"")</f>
        <v/>
      </c>
      <c r="AH777" s="20">
        <f>IFERROR(VLOOKUP($H777&amp;"|"&amp;$Q777,Tariff_Master!$A$2:$L$169,9,FALSE),"")</f>
        <v/>
      </c>
      <c r="AI777" s="18">
        <f>IFERROR(VLOOKUP($H777&amp;"|"&amp;$Q777,Tariff_Master!$A$2:$L$169,10,FALSE),"")</f>
        <v/>
      </c>
      <c r="AJ777" s="21">
        <f>IF($M777="","",ROUNDUP(MAX(0,$M777),0))</f>
        <v/>
      </c>
      <c r="AK777" s="21">
        <f>IF(OR($AJ777="",$AF777=""),"",MAX(0,$AJ777-$AF777))</f>
        <v/>
      </c>
      <c r="AL777" s="22">
        <f>IF(OR($AK777="",$AG777=""),"",MAX(0,$AK777*$AG777))</f>
        <v/>
      </c>
      <c r="AM777" s="22">
        <f>IF($AE777="","",MAX(0,SUM($AE777,$AL777,$V777,$W777)))</f>
        <v/>
      </c>
      <c r="AN777" s="22">
        <f>IF($AM777="","",IF(AND($Q777="COMMITMENT",$R777&gt;=$AH777),$AI777,0))</f>
        <v/>
      </c>
      <c r="AO777" s="23">
        <f>IF($AM777="","",MAX(0,$AM777-$AN777))</f>
        <v/>
      </c>
      <c r="AP777" s="22">
        <f>IF($S777="","",IF(OR($S777="ITEM_PRICE_PLUS_DECLARED_DELIVERY",$S777="DELIVERY_CHARGE_ONLY"),$K777,IF($S777="TOTAL_AMOUNT_INCLUDING_DELIVERY",IF(OR($T777="",$J777=""),"",MAX(0,$T777-$J777-$U777)),IF($S777="ITEM_PRICE_ONLY_DELIVERY_PAID_BY_MERCHANT",0,""))))</f>
        <v/>
      </c>
      <c r="AQ777" s="23">
        <f>IF(OR($AP777="",$AO777=""),"",$AP777-$AO777)</f>
        <v/>
      </c>
      <c r="AR777" s="24">
        <f>IF($S777="EXACT_COLLECTION_AMOUNT","BREAKDOWN_REQUIRED",IF($AQ777="","",IF($AQ777&gt;0,"CREDIT_TO_MERCHANT",IF($AQ777&lt;0,"DEDUCT_FROM_MERCHANT","NO_ADJUSTMENT"))))</f>
        <v/>
      </c>
      <c r="AS777" s="23">
        <f>IF(OR($AQ777="",$AR777="BREAKDOWN_REQUIRED"),"",$AQ777)</f>
        <v/>
      </c>
      <c r="AT777" s="23">
        <f>IF(OR($AR777="",$AR777="BREAKDOWN_REQUIRED"),"",SUM($J777,$AQ777,$Y777)-$X777)</f>
        <v/>
      </c>
      <c r="AU777" s="25">
        <f>IF(AND($A777="",$B777="",$F777="",$H777="",$J777="",$K777="",$M777="",$S777=""),"",IF(OR($H777="",$Q777="",$M777="",$S777=""),"ERROR",IF(OR($J777&lt;0,$K777&lt;0,$M777&lt;0,$T777&lt;0,$U777&lt;0,$V777&lt;0,$W777&lt;0,$X777&lt;0,$Y777&lt;0),"ERROR",IF($AE777="","ERROR",IF(AND(OR($S777="ITEM_PRICE_PLUS_DECLARED_DELIVERY",$S777="TOTAL_AMOUNT_INCLUDING_DELIVERY",$S777="ITEM_PRICE_ONLY_DELIVERY_PAID_BY_MERCHANT"),$J777=""),"ERROR",IF(AND(OR($S777="ITEM_PRICE_PLUS_DECLARED_DELIVERY",$S777="DELIVERY_CHARGE_ONLY"),$K777=""),"ERROR",IF(AND(OR($S777="TOTAL_AMOUNT_INCLUDING_DELIVERY",$S777="EXACT_COLLECTION_AMOUNT"),$T777=""),"ERROR",IF(AND($S777="TOTAL_AMOUNT_INCLUDING_DELIVERY",$T777&lt;SUM($J777,$U777)),"ERROR",IF($S777="EXACT_COLLECTION_AMOUNT","REVIEW","OK")))))))))</f>
        <v/>
      </c>
      <c r="AV777" s="25">
        <f>IF($AU777="","",IF($H777="","Township required",IF($Q777="","Customer tier required",IF($M777="","Weight required",IF($S777="","Amount entry type required",IF(OR($J777&lt;0,$K777&lt;0,$M777&lt;0,$T777&lt;0,$U777&lt;0,$V777&lt;0,$W777&lt;0,$X777&lt;0,$Y777&lt;0),"Negative amounts are not allowed",IF($AE777="","Tariff not found for township and tier",IF(AND(OR($S777="ITEM_PRICE_PLUS_DECLARED_DELIVERY",$S777="TOTAL_AMOUNT_INCLUDING_DELIVERY",$S777="ITEM_PRICE_ONLY_DELIVERY_PAID_BY_MERCHANT"),$J777=""),"Item price required for this amount type",IF(AND(OR($S777="ITEM_PRICE_PLUS_DECLARED_DELIVERY",$S777="DELIVERY_CHARGE_ONLY"),$K777=""),"Declared delivery charge required",IF(AND(OR($S777="TOTAL_AMOUNT_INCLUDING_DELIVERY",$S777="EXACT_COLLECTION_AMOUNT"),$T777=""),"Stated total amount required",IF(AND($S777="TOTAL_AMOUNT_INCLUDING_DELIVERY",$T777&lt;SUM($J777,$U777)),"Stated total is below item price plus additional charge",IF($S777="EXACT_COLLECTION_AMOUNT","Authorized amount breakdown required before settlement","Ready for collection and settlement"))))))))))))</f>
        <v/>
      </c>
      <c r="AW777" s="23">
        <f>IF($AU777="","","PARCEL_FINANCIAL_V2")</f>
        <v/>
      </c>
      <c r="AX777" s="17" t="n"/>
    </row>
    <row r="778">
      <c r="A778" s="8" t="n"/>
      <c r="B778" s="8" t="n"/>
      <c r="C778" s="8" t="n"/>
      <c r="D778" s="8" t="n"/>
      <c r="E778" s="9" t="n"/>
      <c r="F778" s="9" t="n"/>
      <c r="G778" s="8" t="n"/>
      <c r="H778" s="9" t="n"/>
      <c r="I778" s="9" t="n"/>
      <c r="J778" s="10" t="n"/>
      <c r="K778" s="10" t="n"/>
      <c r="L778" s="11">
        <f>IF($S778="","",IF($S778="ITEM_PRICE_PLUS_DECLARED_DELIVERY",IF(OR($J778="",$K778=""),"",SUM($J778,$K778,$U778)),IF($S778="TOTAL_AMOUNT_INCLUDING_DELIVERY",IF($T778="","",$T778),IF($S778="DELIVERY_CHARGE_ONLY",IF($K778="","",SUM($K778,$U778)),IF($S778="EXACT_COLLECTION_AMOUNT",IF($T778="","",$T778),IF($S778="ITEM_PRICE_ONLY_DELIVERY_PAID_BY_MERCHANT",IF($J778="","",SUM($J778,$U778)),""))))))</f>
        <v/>
      </c>
      <c r="M778" s="12" t="n"/>
      <c r="N778" s="13" t="n"/>
      <c r="O778" s="13" t="n"/>
      <c r="P778" s="9" t="n"/>
      <c r="Q778" s="14" t="n"/>
      <c r="R778" s="15" t="n"/>
      <c r="S778" s="14" t="n"/>
      <c r="T778" s="16" t="n"/>
      <c r="U778" s="16" t="n"/>
      <c r="V778" s="16" t="n"/>
      <c r="W778" s="16" t="n"/>
      <c r="X778" s="16" t="n"/>
      <c r="Y778" s="16" t="n"/>
      <c r="Z778" s="14" t="n"/>
      <c r="AA778" s="14" t="n"/>
      <c r="AB778" s="14" t="n"/>
      <c r="AC778" s="17">
        <f>IFERROR(VLOOKUP($H778&amp;"|"&amp;$Q778,Tariff_Master!$A$2:$L$169,3,FALSE),"")</f>
        <v/>
      </c>
      <c r="AD778" s="17">
        <f>IFERROR(VLOOKUP($H778&amp;"|"&amp;$Q778,Tariff_Master!$A$2:$L$169,4,FALSE),"")</f>
        <v/>
      </c>
      <c r="AE778" s="18">
        <f>IFERROR(VLOOKUP($H778&amp;"|"&amp;$Q778,Tariff_Master!$A$2:$L$169,6,FALSE),"")</f>
        <v/>
      </c>
      <c r="AF778" s="19">
        <f>IFERROR(VLOOKUP($H778&amp;"|"&amp;$Q778,Tariff_Master!$A$2:$L$169,7,FALSE),"")</f>
        <v/>
      </c>
      <c r="AG778" s="18">
        <f>IFERROR(VLOOKUP($H778&amp;"|"&amp;$Q778,Tariff_Master!$A$2:$L$169,8,FALSE),"")</f>
        <v/>
      </c>
      <c r="AH778" s="20">
        <f>IFERROR(VLOOKUP($H778&amp;"|"&amp;$Q778,Tariff_Master!$A$2:$L$169,9,FALSE),"")</f>
        <v/>
      </c>
      <c r="AI778" s="18">
        <f>IFERROR(VLOOKUP($H778&amp;"|"&amp;$Q778,Tariff_Master!$A$2:$L$169,10,FALSE),"")</f>
        <v/>
      </c>
      <c r="AJ778" s="21">
        <f>IF($M778="","",ROUNDUP(MAX(0,$M778),0))</f>
        <v/>
      </c>
      <c r="AK778" s="21">
        <f>IF(OR($AJ778="",$AF778=""),"",MAX(0,$AJ778-$AF778))</f>
        <v/>
      </c>
      <c r="AL778" s="22">
        <f>IF(OR($AK778="",$AG778=""),"",MAX(0,$AK778*$AG778))</f>
        <v/>
      </c>
      <c r="AM778" s="22">
        <f>IF($AE778="","",MAX(0,SUM($AE778,$AL778,$V778,$W778)))</f>
        <v/>
      </c>
      <c r="AN778" s="22">
        <f>IF($AM778="","",IF(AND($Q778="COMMITMENT",$R778&gt;=$AH778),$AI778,0))</f>
        <v/>
      </c>
      <c r="AO778" s="23">
        <f>IF($AM778="","",MAX(0,$AM778-$AN778))</f>
        <v/>
      </c>
      <c r="AP778" s="22">
        <f>IF($S778="","",IF(OR($S778="ITEM_PRICE_PLUS_DECLARED_DELIVERY",$S778="DELIVERY_CHARGE_ONLY"),$K778,IF($S778="TOTAL_AMOUNT_INCLUDING_DELIVERY",IF(OR($T778="",$J778=""),"",MAX(0,$T778-$J778-$U778)),IF($S778="ITEM_PRICE_ONLY_DELIVERY_PAID_BY_MERCHANT",0,""))))</f>
        <v/>
      </c>
      <c r="AQ778" s="23">
        <f>IF(OR($AP778="",$AO778=""),"",$AP778-$AO778)</f>
        <v/>
      </c>
      <c r="AR778" s="24">
        <f>IF($S778="EXACT_COLLECTION_AMOUNT","BREAKDOWN_REQUIRED",IF($AQ778="","",IF($AQ778&gt;0,"CREDIT_TO_MERCHANT",IF($AQ778&lt;0,"DEDUCT_FROM_MERCHANT","NO_ADJUSTMENT"))))</f>
        <v/>
      </c>
      <c r="AS778" s="23">
        <f>IF(OR($AQ778="",$AR778="BREAKDOWN_REQUIRED"),"",$AQ778)</f>
        <v/>
      </c>
      <c r="AT778" s="23">
        <f>IF(OR($AR778="",$AR778="BREAKDOWN_REQUIRED"),"",SUM($J778,$AQ778,$Y778)-$X778)</f>
        <v/>
      </c>
      <c r="AU778" s="25">
        <f>IF(AND($A778="",$B778="",$F778="",$H778="",$J778="",$K778="",$M778="",$S778=""),"",IF(OR($H778="",$Q778="",$M778="",$S778=""),"ERROR",IF(OR($J778&lt;0,$K778&lt;0,$M778&lt;0,$T778&lt;0,$U778&lt;0,$V778&lt;0,$W778&lt;0,$X778&lt;0,$Y778&lt;0),"ERROR",IF($AE778="","ERROR",IF(AND(OR($S778="ITEM_PRICE_PLUS_DECLARED_DELIVERY",$S778="TOTAL_AMOUNT_INCLUDING_DELIVERY",$S778="ITEM_PRICE_ONLY_DELIVERY_PAID_BY_MERCHANT"),$J778=""),"ERROR",IF(AND(OR($S778="ITEM_PRICE_PLUS_DECLARED_DELIVERY",$S778="DELIVERY_CHARGE_ONLY"),$K778=""),"ERROR",IF(AND(OR($S778="TOTAL_AMOUNT_INCLUDING_DELIVERY",$S778="EXACT_COLLECTION_AMOUNT"),$T778=""),"ERROR",IF(AND($S778="TOTAL_AMOUNT_INCLUDING_DELIVERY",$T778&lt;SUM($J778,$U778)),"ERROR",IF($S778="EXACT_COLLECTION_AMOUNT","REVIEW","OK")))))))))</f>
        <v/>
      </c>
      <c r="AV778" s="25">
        <f>IF($AU778="","",IF($H778="","Township required",IF($Q778="","Customer tier required",IF($M778="","Weight required",IF($S778="","Amount entry type required",IF(OR($J778&lt;0,$K778&lt;0,$M778&lt;0,$T778&lt;0,$U778&lt;0,$V778&lt;0,$W778&lt;0,$X778&lt;0,$Y778&lt;0),"Negative amounts are not allowed",IF($AE778="","Tariff not found for township and tier",IF(AND(OR($S778="ITEM_PRICE_PLUS_DECLARED_DELIVERY",$S778="TOTAL_AMOUNT_INCLUDING_DELIVERY",$S778="ITEM_PRICE_ONLY_DELIVERY_PAID_BY_MERCHANT"),$J778=""),"Item price required for this amount type",IF(AND(OR($S778="ITEM_PRICE_PLUS_DECLARED_DELIVERY",$S778="DELIVERY_CHARGE_ONLY"),$K778=""),"Declared delivery charge required",IF(AND(OR($S778="TOTAL_AMOUNT_INCLUDING_DELIVERY",$S778="EXACT_COLLECTION_AMOUNT"),$T778=""),"Stated total amount required",IF(AND($S778="TOTAL_AMOUNT_INCLUDING_DELIVERY",$T778&lt;SUM($J778,$U778)),"Stated total is below item price plus additional charge",IF($S778="EXACT_COLLECTION_AMOUNT","Authorized amount breakdown required before settlement","Ready for collection and settlement"))))))))))))</f>
        <v/>
      </c>
      <c r="AW778" s="23">
        <f>IF($AU778="","","PARCEL_FINANCIAL_V2")</f>
        <v/>
      </c>
      <c r="AX778" s="17" t="n"/>
    </row>
    <row r="779">
      <c r="A779" s="8" t="n"/>
      <c r="B779" s="8" t="n"/>
      <c r="C779" s="8" t="n"/>
      <c r="D779" s="8" t="n"/>
      <c r="E779" s="9" t="n"/>
      <c r="F779" s="9" t="n"/>
      <c r="G779" s="8" t="n"/>
      <c r="H779" s="9" t="n"/>
      <c r="I779" s="9" t="n"/>
      <c r="J779" s="10" t="n"/>
      <c r="K779" s="10" t="n"/>
      <c r="L779" s="11">
        <f>IF($S779="","",IF($S779="ITEM_PRICE_PLUS_DECLARED_DELIVERY",IF(OR($J779="",$K779=""),"",SUM($J779,$K779,$U779)),IF($S779="TOTAL_AMOUNT_INCLUDING_DELIVERY",IF($T779="","",$T779),IF($S779="DELIVERY_CHARGE_ONLY",IF($K779="","",SUM($K779,$U779)),IF($S779="EXACT_COLLECTION_AMOUNT",IF($T779="","",$T779),IF($S779="ITEM_PRICE_ONLY_DELIVERY_PAID_BY_MERCHANT",IF($J779="","",SUM($J779,$U779)),""))))))</f>
        <v/>
      </c>
      <c r="M779" s="12" t="n"/>
      <c r="N779" s="13" t="n"/>
      <c r="O779" s="13" t="n"/>
      <c r="P779" s="9" t="n"/>
      <c r="Q779" s="14" t="n"/>
      <c r="R779" s="15" t="n"/>
      <c r="S779" s="14" t="n"/>
      <c r="T779" s="16" t="n"/>
      <c r="U779" s="16" t="n"/>
      <c r="V779" s="16" t="n"/>
      <c r="W779" s="16" t="n"/>
      <c r="X779" s="16" t="n"/>
      <c r="Y779" s="16" t="n"/>
      <c r="Z779" s="14" t="n"/>
      <c r="AA779" s="14" t="n"/>
      <c r="AB779" s="14" t="n"/>
      <c r="AC779" s="17">
        <f>IFERROR(VLOOKUP($H779&amp;"|"&amp;$Q779,Tariff_Master!$A$2:$L$169,3,FALSE),"")</f>
        <v/>
      </c>
      <c r="AD779" s="17">
        <f>IFERROR(VLOOKUP($H779&amp;"|"&amp;$Q779,Tariff_Master!$A$2:$L$169,4,FALSE),"")</f>
        <v/>
      </c>
      <c r="AE779" s="18">
        <f>IFERROR(VLOOKUP($H779&amp;"|"&amp;$Q779,Tariff_Master!$A$2:$L$169,6,FALSE),"")</f>
        <v/>
      </c>
      <c r="AF779" s="19">
        <f>IFERROR(VLOOKUP($H779&amp;"|"&amp;$Q779,Tariff_Master!$A$2:$L$169,7,FALSE),"")</f>
        <v/>
      </c>
      <c r="AG779" s="18">
        <f>IFERROR(VLOOKUP($H779&amp;"|"&amp;$Q779,Tariff_Master!$A$2:$L$169,8,FALSE),"")</f>
        <v/>
      </c>
      <c r="AH779" s="20">
        <f>IFERROR(VLOOKUP($H779&amp;"|"&amp;$Q779,Tariff_Master!$A$2:$L$169,9,FALSE),"")</f>
        <v/>
      </c>
      <c r="AI779" s="18">
        <f>IFERROR(VLOOKUP($H779&amp;"|"&amp;$Q779,Tariff_Master!$A$2:$L$169,10,FALSE),"")</f>
        <v/>
      </c>
      <c r="AJ779" s="21">
        <f>IF($M779="","",ROUNDUP(MAX(0,$M779),0))</f>
        <v/>
      </c>
      <c r="AK779" s="21">
        <f>IF(OR($AJ779="",$AF779=""),"",MAX(0,$AJ779-$AF779))</f>
        <v/>
      </c>
      <c r="AL779" s="22">
        <f>IF(OR($AK779="",$AG779=""),"",MAX(0,$AK779*$AG779))</f>
        <v/>
      </c>
      <c r="AM779" s="22">
        <f>IF($AE779="","",MAX(0,SUM($AE779,$AL779,$V779,$W779)))</f>
        <v/>
      </c>
      <c r="AN779" s="22">
        <f>IF($AM779="","",IF(AND($Q779="COMMITMENT",$R779&gt;=$AH779),$AI779,0))</f>
        <v/>
      </c>
      <c r="AO779" s="23">
        <f>IF($AM779="","",MAX(0,$AM779-$AN779))</f>
        <v/>
      </c>
      <c r="AP779" s="22">
        <f>IF($S779="","",IF(OR($S779="ITEM_PRICE_PLUS_DECLARED_DELIVERY",$S779="DELIVERY_CHARGE_ONLY"),$K779,IF($S779="TOTAL_AMOUNT_INCLUDING_DELIVERY",IF(OR($T779="",$J779=""),"",MAX(0,$T779-$J779-$U779)),IF($S779="ITEM_PRICE_ONLY_DELIVERY_PAID_BY_MERCHANT",0,""))))</f>
        <v/>
      </c>
      <c r="AQ779" s="23">
        <f>IF(OR($AP779="",$AO779=""),"",$AP779-$AO779)</f>
        <v/>
      </c>
      <c r="AR779" s="24">
        <f>IF($S779="EXACT_COLLECTION_AMOUNT","BREAKDOWN_REQUIRED",IF($AQ779="","",IF($AQ779&gt;0,"CREDIT_TO_MERCHANT",IF($AQ779&lt;0,"DEDUCT_FROM_MERCHANT","NO_ADJUSTMENT"))))</f>
        <v/>
      </c>
      <c r="AS779" s="23">
        <f>IF(OR($AQ779="",$AR779="BREAKDOWN_REQUIRED"),"",$AQ779)</f>
        <v/>
      </c>
      <c r="AT779" s="23">
        <f>IF(OR($AR779="",$AR779="BREAKDOWN_REQUIRED"),"",SUM($J779,$AQ779,$Y779)-$X779)</f>
        <v/>
      </c>
      <c r="AU779" s="25">
        <f>IF(AND($A779="",$B779="",$F779="",$H779="",$J779="",$K779="",$M779="",$S779=""),"",IF(OR($H779="",$Q779="",$M779="",$S779=""),"ERROR",IF(OR($J779&lt;0,$K779&lt;0,$M779&lt;0,$T779&lt;0,$U779&lt;0,$V779&lt;0,$W779&lt;0,$X779&lt;0,$Y779&lt;0),"ERROR",IF($AE779="","ERROR",IF(AND(OR($S779="ITEM_PRICE_PLUS_DECLARED_DELIVERY",$S779="TOTAL_AMOUNT_INCLUDING_DELIVERY",$S779="ITEM_PRICE_ONLY_DELIVERY_PAID_BY_MERCHANT"),$J779=""),"ERROR",IF(AND(OR($S779="ITEM_PRICE_PLUS_DECLARED_DELIVERY",$S779="DELIVERY_CHARGE_ONLY"),$K779=""),"ERROR",IF(AND(OR($S779="TOTAL_AMOUNT_INCLUDING_DELIVERY",$S779="EXACT_COLLECTION_AMOUNT"),$T779=""),"ERROR",IF(AND($S779="TOTAL_AMOUNT_INCLUDING_DELIVERY",$T779&lt;SUM($J779,$U779)),"ERROR",IF($S779="EXACT_COLLECTION_AMOUNT","REVIEW","OK")))))))))</f>
        <v/>
      </c>
      <c r="AV779" s="25">
        <f>IF($AU779="","",IF($H779="","Township required",IF($Q779="","Customer tier required",IF($M779="","Weight required",IF($S779="","Amount entry type required",IF(OR($J779&lt;0,$K779&lt;0,$M779&lt;0,$T779&lt;0,$U779&lt;0,$V779&lt;0,$W779&lt;0,$X779&lt;0,$Y779&lt;0),"Negative amounts are not allowed",IF($AE779="","Tariff not found for township and tier",IF(AND(OR($S779="ITEM_PRICE_PLUS_DECLARED_DELIVERY",$S779="TOTAL_AMOUNT_INCLUDING_DELIVERY",$S779="ITEM_PRICE_ONLY_DELIVERY_PAID_BY_MERCHANT"),$J779=""),"Item price required for this amount type",IF(AND(OR($S779="ITEM_PRICE_PLUS_DECLARED_DELIVERY",$S779="DELIVERY_CHARGE_ONLY"),$K779=""),"Declared delivery charge required",IF(AND(OR($S779="TOTAL_AMOUNT_INCLUDING_DELIVERY",$S779="EXACT_COLLECTION_AMOUNT"),$T779=""),"Stated total amount required",IF(AND($S779="TOTAL_AMOUNT_INCLUDING_DELIVERY",$T779&lt;SUM($J779,$U779)),"Stated total is below item price plus additional charge",IF($S779="EXACT_COLLECTION_AMOUNT","Authorized amount breakdown required before settlement","Ready for collection and settlement"))))))))))))</f>
        <v/>
      </c>
      <c r="AW779" s="23">
        <f>IF($AU779="","","PARCEL_FINANCIAL_V2")</f>
        <v/>
      </c>
      <c r="AX779" s="17" t="n"/>
    </row>
    <row r="780">
      <c r="A780" s="8" t="n"/>
      <c r="B780" s="8" t="n"/>
      <c r="C780" s="8" t="n"/>
      <c r="D780" s="8" t="n"/>
      <c r="E780" s="9" t="n"/>
      <c r="F780" s="9" t="n"/>
      <c r="G780" s="8" t="n"/>
      <c r="H780" s="9" t="n"/>
      <c r="I780" s="9" t="n"/>
      <c r="J780" s="10" t="n"/>
      <c r="K780" s="10" t="n"/>
      <c r="L780" s="11">
        <f>IF($S780="","",IF($S780="ITEM_PRICE_PLUS_DECLARED_DELIVERY",IF(OR($J780="",$K780=""),"",SUM($J780,$K780,$U780)),IF($S780="TOTAL_AMOUNT_INCLUDING_DELIVERY",IF($T780="","",$T780),IF($S780="DELIVERY_CHARGE_ONLY",IF($K780="","",SUM($K780,$U780)),IF($S780="EXACT_COLLECTION_AMOUNT",IF($T780="","",$T780),IF($S780="ITEM_PRICE_ONLY_DELIVERY_PAID_BY_MERCHANT",IF($J780="","",SUM($J780,$U780)),""))))))</f>
        <v/>
      </c>
      <c r="M780" s="12" t="n"/>
      <c r="N780" s="13" t="n"/>
      <c r="O780" s="13" t="n"/>
      <c r="P780" s="9" t="n"/>
      <c r="Q780" s="14" t="n"/>
      <c r="R780" s="15" t="n"/>
      <c r="S780" s="14" t="n"/>
      <c r="T780" s="16" t="n"/>
      <c r="U780" s="16" t="n"/>
      <c r="V780" s="16" t="n"/>
      <c r="W780" s="16" t="n"/>
      <c r="X780" s="16" t="n"/>
      <c r="Y780" s="16" t="n"/>
      <c r="Z780" s="14" t="n"/>
      <c r="AA780" s="14" t="n"/>
      <c r="AB780" s="14" t="n"/>
      <c r="AC780" s="17">
        <f>IFERROR(VLOOKUP($H780&amp;"|"&amp;$Q780,Tariff_Master!$A$2:$L$169,3,FALSE),"")</f>
        <v/>
      </c>
      <c r="AD780" s="17">
        <f>IFERROR(VLOOKUP($H780&amp;"|"&amp;$Q780,Tariff_Master!$A$2:$L$169,4,FALSE),"")</f>
        <v/>
      </c>
      <c r="AE780" s="18">
        <f>IFERROR(VLOOKUP($H780&amp;"|"&amp;$Q780,Tariff_Master!$A$2:$L$169,6,FALSE),"")</f>
        <v/>
      </c>
      <c r="AF780" s="19">
        <f>IFERROR(VLOOKUP($H780&amp;"|"&amp;$Q780,Tariff_Master!$A$2:$L$169,7,FALSE),"")</f>
        <v/>
      </c>
      <c r="AG780" s="18">
        <f>IFERROR(VLOOKUP($H780&amp;"|"&amp;$Q780,Tariff_Master!$A$2:$L$169,8,FALSE),"")</f>
        <v/>
      </c>
      <c r="AH780" s="20">
        <f>IFERROR(VLOOKUP($H780&amp;"|"&amp;$Q780,Tariff_Master!$A$2:$L$169,9,FALSE),"")</f>
        <v/>
      </c>
      <c r="AI780" s="18">
        <f>IFERROR(VLOOKUP($H780&amp;"|"&amp;$Q780,Tariff_Master!$A$2:$L$169,10,FALSE),"")</f>
        <v/>
      </c>
      <c r="AJ780" s="21">
        <f>IF($M780="","",ROUNDUP(MAX(0,$M780),0))</f>
        <v/>
      </c>
      <c r="AK780" s="21">
        <f>IF(OR($AJ780="",$AF780=""),"",MAX(0,$AJ780-$AF780))</f>
        <v/>
      </c>
      <c r="AL780" s="22">
        <f>IF(OR($AK780="",$AG780=""),"",MAX(0,$AK780*$AG780))</f>
        <v/>
      </c>
      <c r="AM780" s="22">
        <f>IF($AE780="","",MAX(0,SUM($AE780,$AL780,$V780,$W780)))</f>
        <v/>
      </c>
      <c r="AN780" s="22">
        <f>IF($AM780="","",IF(AND($Q780="COMMITMENT",$R780&gt;=$AH780),$AI780,0))</f>
        <v/>
      </c>
      <c r="AO780" s="23">
        <f>IF($AM780="","",MAX(0,$AM780-$AN780))</f>
        <v/>
      </c>
      <c r="AP780" s="22">
        <f>IF($S780="","",IF(OR($S780="ITEM_PRICE_PLUS_DECLARED_DELIVERY",$S780="DELIVERY_CHARGE_ONLY"),$K780,IF($S780="TOTAL_AMOUNT_INCLUDING_DELIVERY",IF(OR($T780="",$J780=""),"",MAX(0,$T780-$J780-$U780)),IF($S780="ITEM_PRICE_ONLY_DELIVERY_PAID_BY_MERCHANT",0,""))))</f>
        <v/>
      </c>
      <c r="AQ780" s="23">
        <f>IF(OR($AP780="",$AO780=""),"",$AP780-$AO780)</f>
        <v/>
      </c>
      <c r="AR780" s="24">
        <f>IF($S780="EXACT_COLLECTION_AMOUNT","BREAKDOWN_REQUIRED",IF($AQ780="","",IF($AQ780&gt;0,"CREDIT_TO_MERCHANT",IF($AQ780&lt;0,"DEDUCT_FROM_MERCHANT","NO_ADJUSTMENT"))))</f>
        <v/>
      </c>
      <c r="AS780" s="23">
        <f>IF(OR($AQ780="",$AR780="BREAKDOWN_REQUIRED"),"",$AQ780)</f>
        <v/>
      </c>
      <c r="AT780" s="23">
        <f>IF(OR($AR780="",$AR780="BREAKDOWN_REQUIRED"),"",SUM($J780,$AQ780,$Y780)-$X780)</f>
        <v/>
      </c>
      <c r="AU780" s="25">
        <f>IF(AND($A780="",$B780="",$F780="",$H780="",$J780="",$K780="",$M780="",$S780=""),"",IF(OR($H780="",$Q780="",$M780="",$S780=""),"ERROR",IF(OR($J780&lt;0,$K780&lt;0,$M780&lt;0,$T780&lt;0,$U780&lt;0,$V780&lt;0,$W780&lt;0,$X780&lt;0,$Y780&lt;0),"ERROR",IF($AE780="","ERROR",IF(AND(OR($S780="ITEM_PRICE_PLUS_DECLARED_DELIVERY",$S780="TOTAL_AMOUNT_INCLUDING_DELIVERY",$S780="ITEM_PRICE_ONLY_DELIVERY_PAID_BY_MERCHANT"),$J780=""),"ERROR",IF(AND(OR($S780="ITEM_PRICE_PLUS_DECLARED_DELIVERY",$S780="DELIVERY_CHARGE_ONLY"),$K780=""),"ERROR",IF(AND(OR($S780="TOTAL_AMOUNT_INCLUDING_DELIVERY",$S780="EXACT_COLLECTION_AMOUNT"),$T780=""),"ERROR",IF(AND($S780="TOTAL_AMOUNT_INCLUDING_DELIVERY",$T780&lt;SUM($J780,$U780)),"ERROR",IF($S780="EXACT_COLLECTION_AMOUNT","REVIEW","OK")))))))))</f>
        <v/>
      </c>
      <c r="AV780" s="25">
        <f>IF($AU780="","",IF($H780="","Township required",IF($Q780="","Customer tier required",IF($M780="","Weight required",IF($S780="","Amount entry type required",IF(OR($J780&lt;0,$K780&lt;0,$M780&lt;0,$T780&lt;0,$U780&lt;0,$V780&lt;0,$W780&lt;0,$X780&lt;0,$Y780&lt;0),"Negative amounts are not allowed",IF($AE780="","Tariff not found for township and tier",IF(AND(OR($S780="ITEM_PRICE_PLUS_DECLARED_DELIVERY",$S780="TOTAL_AMOUNT_INCLUDING_DELIVERY",$S780="ITEM_PRICE_ONLY_DELIVERY_PAID_BY_MERCHANT"),$J780=""),"Item price required for this amount type",IF(AND(OR($S780="ITEM_PRICE_PLUS_DECLARED_DELIVERY",$S780="DELIVERY_CHARGE_ONLY"),$K780=""),"Declared delivery charge required",IF(AND(OR($S780="TOTAL_AMOUNT_INCLUDING_DELIVERY",$S780="EXACT_COLLECTION_AMOUNT"),$T780=""),"Stated total amount required",IF(AND($S780="TOTAL_AMOUNT_INCLUDING_DELIVERY",$T780&lt;SUM($J780,$U780)),"Stated total is below item price plus additional charge",IF($S780="EXACT_COLLECTION_AMOUNT","Authorized amount breakdown required before settlement","Ready for collection and settlement"))))))))))))</f>
        <v/>
      </c>
      <c r="AW780" s="23">
        <f>IF($AU780="","","PARCEL_FINANCIAL_V2")</f>
        <v/>
      </c>
      <c r="AX780" s="17" t="n"/>
    </row>
    <row r="781">
      <c r="A781" s="8" t="n"/>
      <c r="B781" s="8" t="n"/>
      <c r="C781" s="8" t="n"/>
      <c r="D781" s="8" t="n"/>
      <c r="E781" s="9" t="n"/>
      <c r="F781" s="9" t="n"/>
      <c r="G781" s="8" t="n"/>
      <c r="H781" s="9" t="n"/>
      <c r="I781" s="9" t="n"/>
      <c r="J781" s="10" t="n"/>
      <c r="K781" s="10" t="n"/>
      <c r="L781" s="11">
        <f>IF($S781="","",IF($S781="ITEM_PRICE_PLUS_DECLARED_DELIVERY",IF(OR($J781="",$K781=""),"",SUM($J781,$K781,$U781)),IF($S781="TOTAL_AMOUNT_INCLUDING_DELIVERY",IF($T781="","",$T781),IF($S781="DELIVERY_CHARGE_ONLY",IF($K781="","",SUM($K781,$U781)),IF($S781="EXACT_COLLECTION_AMOUNT",IF($T781="","",$T781),IF($S781="ITEM_PRICE_ONLY_DELIVERY_PAID_BY_MERCHANT",IF($J781="","",SUM($J781,$U781)),""))))))</f>
        <v/>
      </c>
      <c r="M781" s="12" t="n"/>
      <c r="N781" s="13" t="n"/>
      <c r="O781" s="13" t="n"/>
      <c r="P781" s="9" t="n"/>
      <c r="Q781" s="14" t="n"/>
      <c r="R781" s="15" t="n"/>
      <c r="S781" s="14" t="n"/>
      <c r="T781" s="16" t="n"/>
      <c r="U781" s="16" t="n"/>
      <c r="V781" s="16" t="n"/>
      <c r="W781" s="16" t="n"/>
      <c r="X781" s="16" t="n"/>
      <c r="Y781" s="16" t="n"/>
      <c r="Z781" s="14" t="n"/>
      <c r="AA781" s="14" t="n"/>
      <c r="AB781" s="14" t="n"/>
      <c r="AC781" s="17">
        <f>IFERROR(VLOOKUP($H781&amp;"|"&amp;$Q781,Tariff_Master!$A$2:$L$169,3,FALSE),"")</f>
        <v/>
      </c>
      <c r="AD781" s="17">
        <f>IFERROR(VLOOKUP($H781&amp;"|"&amp;$Q781,Tariff_Master!$A$2:$L$169,4,FALSE),"")</f>
        <v/>
      </c>
      <c r="AE781" s="18">
        <f>IFERROR(VLOOKUP($H781&amp;"|"&amp;$Q781,Tariff_Master!$A$2:$L$169,6,FALSE),"")</f>
        <v/>
      </c>
      <c r="AF781" s="19">
        <f>IFERROR(VLOOKUP($H781&amp;"|"&amp;$Q781,Tariff_Master!$A$2:$L$169,7,FALSE),"")</f>
        <v/>
      </c>
      <c r="AG781" s="18">
        <f>IFERROR(VLOOKUP($H781&amp;"|"&amp;$Q781,Tariff_Master!$A$2:$L$169,8,FALSE),"")</f>
        <v/>
      </c>
      <c r="AH781" s="20">
        <f>IFERROR(VLOOKUP($H781&amp;"|"&amp;$Q781,Tariff_Master!$A$2:$L$169,9,FALSE),"")</f>
        <v/>
      </c>
      <c r="AI781" s="18">
        <f>IFERROR(VLOOKUP($H781&amp;"|"&amp;$Q781,Tariff_Master!$A$2:$L$169,10,FALSE),"")</f>
        <v/>
      </c>
      <c r="AJ781" s="21">
        <f>IF($M781="","",ROUNDUP(MAX(0,$M781),0))</f>
        <v/>
      </c>
      <c r="AK781" s="21">
        <f>IF(OR($AJ781="",$AF781=""),"",MAX(0,$AJ781-$AF781))</f>
        <v/>
      </c>
      <c r="AL781" s="22">
        <f>IF(OR($AK781="",$AG781=""),"",MAX(0,$AK781*$AG781))</f>
        <v/>
      </c>
      <c r="AM781" s="22">
        <f>IF($AE781="","",MAX(0,SUM($AE781,$AL781,$V781,$W781)))</f>
        <v/>
      </c>
      <c r="AN781" s="22">
        <f>IF($AM781="","",IF(AND($Q781="COMMITMENT",$R781&gt;=$AH781),$AI781,0))</f>
        <v/>
      </c>
      <c r="AO781" s="23">
        <f>IF($AM781="","",MAX(0,$AM781-$AN781))</f>
        <v/>
      </c>
      <c r="AP781" s="22">
        <f>IF($S781="","",IF(OR($S781="ITEM_PRICE_PLUS_DECLARED_DELIVERY",$S781="DELIVERY_CHARGE_ONLY"),$K781,IF($S781="TOTAL_AMOUNT_INCLUDING_DELIVERY",IF(OR($T781="",$J781=""),"",MAX(0,$T781-$J781-$U781)),IF($S781="ITEM_PRICE_ONLY_DELIVERY_PAID_BY_MERCHANT",0,""))))</f>
        <v/>
      </c>
      <c r="AQ781" s="23">
        <f>IF(OR($AP781="",$AO781=""),"",$AP781-$AO781)</f>
        <v/>
      </c>
      <c r="AR781" s="24">
        <f>IF($S781="EXACT_COLLECTION_AMOUNT","BREAKDOWN_REQUIRED",IF($AQ781="","",IF($AQ781&gt;0,"CREDIT_TO_MERCHANT",IF($AQ781&lt;0,"DEDUCT_FROM_MERCHANT","NO_ADJUSTMENT"))))</f>
        <v/>
      </c>
      <c r="AS781" s="23">
        <f>IF(OR($AQ781="",$AR781="BREAKDOWN_REQUIRED"),"",$AQ781)</f>
        <v/>
      </c>
      <c r="AT781" s="23">
        <f>IF(OR($AR781="",$AR781="BREAKDOWN_REQUIRED"),"",SUM($J781,$AQ781,$Y781)-$X781)</f>
        <v/>
      </c>
      <c r="AU781" s="25">
        <f>IF(AND($A781="",$B781="",$F781="",$H781="",$J781="",$K781="",$M781="",$S781=""),"",IF(OR($H781="",$Q781="",$M781="",$S781=""),"ERROR",IF(OR($J781&lt;0,$K781&lt;0,$M781&lt;0,$T781&lt;0,$U781&lt;0,$V781&lt;0,$W781&lt;0,$X781&lt;0,$Y781&lt;0),"ERROR",IF($AE781="","ERROR",IF(AND(OR($S781="ITEM_PRICE_PLUS_DECLARED_DELIVERY",$S781="TOTAL_AMOUNT_INCLUDING_DELIVERY",$S781="ITEM_PRICE_ONLY_DELIVERY_PAID_BY_MERCHANT"),$J781=""),"ERROR",IF(AND(OR($S781="ITEM_PRICE_PLUS_DECLARED_DELIVERY",$S781="DELIVERY_CHARGE_ONLY"),$K781=""),"ERROR",IF(AND(OR($S781="TOTAL_AMOUNT_INCLUDING_DELIVERY",$S781="EXACT_COLLECTION_AMOUNT"),$T781=""),"ERROR",IF(AND($S781="TOTAL_AMOUNT_INCLUDING_DELIVERY",$T781&lt;SUM($J781,$U781)),"ERROR",IF($S781="EXACT_COLLECTION_AMOUNT","REVIEW","OK")))))))))</f>
        <v/>
      </c>
      <c r="AV781" s="25">
        <f>IF($AU781="","",IF($H781="","Township required",IF($Q781="","Customer tier required",IF($M781="","Weight required",IF($S781="","Amount entry type required",IF(OR($J781&lt;0,$K781&lt;0,$M781&lt;0,$T781&lt;0,$U781&lt;0,$V781&lt;0,$W781&lt;0,$X781&lt;0,$Y781&lt;0),"Negative amounts are not allowed",IF($AE781="","Tariff not found for township and tier",IF(AND(OR($S781="ITEM_PRICE_PLUS_DECLARED_DELIVERY",$S781="TOTAL_AMOUNT_INCLUDING_DELIVERY",$S781="ITEM_PRICE_ONLY_DELIVERY_PAID_BY_MERCHANT"),$J781=""),"Item price required for this amount type",IF(AND(OR($S781="ITEM_PRICE_PLUS_DECLARED_DELIVERY",$S781="DELIVERY_CHARGE_ONLY"),$K781=""),"Declared delivery charge required",IF(AND(OR($S781="TOTAL_AMOUNT_INCLUDING_DELIVERY",$S781="EXACT_COLLECTION_AMOUNT"),$T781=""),"Stated total amount required",IF(AND($S781="TOTAL_AMOUNT_INCLUDING_DELIVERY",$T781&lt;SUM($J781,$U781)),"Stated total is below item price plus additional charge",IF($S781="EXACT_COLLECTION_AMOUNT","Authorized amount breakdown required before settlement","Ready for collection and settlement"))))))))))))</f>
        <v/>
      </c>
      <c r="AW781" s="23">
        <f>IF($AU781="","","PARCEL_FINANCIAL_V2")</f>
        <v/>
      </c>
      <c r="AX781" s="17" t="n"/>
    </row>
    <row r="782">
      <c r="A782" s="8" t="n"/>
      <c r="B782" s="8" t="n"/>
      <c r="C782" s="8" t="n"/>
      <c r="D782" s="8" t="n"/>
      <c r="E782" s="9" t="n"/>
      <c r="F782" s="9" t="n"/>
      <c r="G782" s="8" t="n"/>
      <c r="H782" s="9" t="n"/>
      <c r="I782" s="9" t="n"/>
      <c r="J782" s="10" t="n"/>
      <c r="K782" s="10" t="n"/>
      <c r="L782" s="11">
        <f>IF($S782="","",IF($S782="ITEM_PRICE_PLUS_DECLARED_DELIVERY",IF(OR($J782="",$K782=""),"",SUM($J782,$K782,$U782)),IF($S782="TOTAL_AMOUNT_INCLUDING_DELIVERY",IF($T782="","",$T782),IF($S782="DELIVERY_CHARGE_ONLY",IF($K782="","",SUM($K782,$U782)),IF($S782="EXACT_COLLECTION_AMOUNT",IF($T782="","",$T782),IF($S782="ITEM_PRICE_ONLY_DELIVERY_PAID_BY_MERCHANT",IF($J782="","",SUM($J782,$U782)),""))))))</f>
        <v/>
      </c>
      <c r="M782" s="12" t="n"/>
      <c r="N782" s="13" t="n"/>
      <c r="O782" s="13" t="n"/>
      <c r="P782" s="9" t="n"/>
      <c r="Q782" s="14" t="n"/>
      <c r="R782" s="15" t="n"/>
      <c r="S782" s="14" t="n"/>
      <c r="T782" s="16" t="n"/>
      <c r="U782" s="16" t="n"/>
      <c r="V782" s="16" t="n"/>
      <c r="W782" s="16" t="n"/>
      <c r="X782" s="16" t="n"/>
      <c r="Y782" s="16" t="n"/>
      <c r="Z782" s="14" t="n"/>
      <c r="AA782" s="14" t="n"/>
      <c r="AB782" s="14" t="n"/>
      <c r="AC782" s="17">
        <f>IFERROR(VLOOKUP($H782&amp;"|"&amp;$Q782,Tariff_Master!$A$2:$L$169,3,FALSE),"")</f>
        <v/>
      </c>
      <c r="AD782" s="17">
        <f>IFERROR(VLOOKUP($H782&amp;"|"&amp;$Q782,Tariff_Master!$A$2:$L$169,4,FALSE),"")</f>
        <v/>
      </c>
      <c r="AE782" s="18">
        <f>IFERROR(VLOOKUP($H782&amp;"|"&amp;$Q782,Tariff_Master!$A$2:$L$169,6,FALSE),"")</f>
        <v/>
      </c>
      <c r="AF782" s="19">
        <f>IFERROR(VLOOKUP($H782&amp;"|"&amp;$Q782,Tariff_Master!$A$2:$L$169,7,FALSE),"")</f>
        <v/>
      </c>
      <c r="AG782" s="18">
        <f>IFERROR(VLOOKUP($H782&amp;"|"&amp;$Q782,Tariff_Master!$A$2:$L$169,8,FALSE),"")</f>
        <v/>
      </c>
      <c r="AH782" s="20">
        <f>IFERROR(VLOOKUP($H782&amp;"|"&amp;$Q782,Tariff_Master!$A$2:$L$169,9,FALSE),"")</f>
        <v/>
      </c>
      <c r="AI782" s="18">
        <f>IFERROR(VLOOKUP($H782&amp;"|"&amp;$Q782,Tariff_Master!$A$2:$L$169,10,FALSE),"")</f>
        <v/>
      </c>
      <c r="AJ782" s="21">
        <f>IF($M782="","",ROUNDUP(MAX(0,$M782),0))</f>
        <v/>
      </c>
      <c r="AK782" s="21">
        <f>IF(OR($AJ782="",$AF782=""),"",MAX(0,$AJ782-$AF782))</f>
        <v/>
      </c>
      <c r="AL782" s="22">
        <f>IF(OR($AK782="",$AG782=""),"",MAX(0,$AK782*$AG782))</f>
        <v/>
      </c>
      <c r="AM782" s="22">
        <f>IF($AE782="","",MAX(0,SUM($AE782,$AL782,$V782,$W782)))</f>
        <v/>
      </c>
      <c r="AN782" s="22">
        <f>IF($AM782="","",IF(AND($Q782="COMMITMENT",$R782&gt;=$AH782),$AI782,0))</f>
        <v/>
      </c>
      <c r="AO782" s="23">
        <f>IF($AM782="","",MAX(0,$AM782-$AN782))</f>
        <v/>
      </c>
      <c r="AP782" s="22">
        <f>IF($S782="","",IF(OR($S782="ITEM_PRICE_PLUS_DECLARED_DELIVERY",$S782="DELIVERY_CHARGE_ONLY"),$K782,IF($S782="TOTAL_AMOUNT_INCLUDING_DELIVERY",IF(OR($T782="",$J782=""),"",MAX(0,$T782-$J782-$U782)),IF($S782="ITEM_PRICE_ONLY_DELIVERY_PAID_BY_MERCHANT",0,""))))</f>
        <v/>
      </c>
      <c r="AQ782" s="23">
        <f>IF(OR($AP782="",$AO782=""),"",$AP782-$AO782)</f>
        <v/>
      </c>
      <c r="AR782" s="24">
        <f>IF($S782="EXACT_COLLECTION_AMOUNT","BREAKDOWN_REQUIRED",IF($AQ782="","",IF($AQ782&gt;0,"CREDIT_TO_MERCHANT",IF($AQ782&lt;0,"DEDUCT_FROM_MERCHANT","NO_ADJUSTMENT"))))</f>
        <v/>
      </c>
      <c r="AS782" s="23">
        <f>IF(OR($AQ782="",$AR782="BREAKDOWN_REQUIRED"),"",$AQ782)</f>
        <v/>
      </c>
      <c r="AT782" s="23">
        <f>IF(OR($AR782="",$AR782="BREAKDOWN_REQUIRED"),"",SUM($J782,$AQ782,$Y782)-$X782)</f>
        <v/>
      </c>
      <c r="AU782" s="25">
        <f>IF(AND($A782="",$B782="",$F782="",$H782="",$J782="",$K782="",$M782="",$S782=""),"",IF(OR($H782="",$Q782="",$M782="",$S782=""),"ERROR",IF(OR($J782&lt;0,$K782&lt;0,$M782&lt;0,$T782&lt;0,$U782&lt;0,$V782&lt;0,$W782&lt;0,$X782&lt;0,$Y782&lt;0),"ERROR",IF($AE782="","ERROR",IF(AND(OR($S782="ITEM_PRICE_PLUS_DECLARED_DELIVERY",$S782="TOTAL_AMOUNT_INCLUDING_DELIVERY",$S782="ITEM_PRICE_ONLY_DELIVERY_PAID_BY_MERCHANT"),$J782=""),"ERROR",IF(AND(OR($S782="ITEM_PRICE_PLUS_DECLARED_DELIVERY",$S782="DELIVERY_CHARGE_ONLY"),$K782=""),"ERROR",IF(AND(OR($S782="TOTAL_AMOUNT_INCLUDING_DELIVERY",$S782="EXACT_COLLECTION_AMOUNT"),$T782=""),"ERROR",IF(AND($S782="TOTAL_AMOUNT_INCLUDING_DELIVERY",$T782&lt;SUM($J782,$U782)),"ERROR",IF($S782="EXACT_COLLECTION_AMOUNT","REVIEW","OK")))))))))</f>
        <v/>
      </c>
      <c r="AV782" s="25">
        <f>IF($AU782="","",IF($H782="","Township required",IF($Q782="","Customer tier required",IF($M782="","Weight required",IF($S782="","Amount entry type required",IF(OR($J782&lt;0,$K782&lt;0,$M782&lt;0,$T782&lt;0,$U782&lt;0,$V782&lt;0,$W782&lt;0,$X782&lt;0,$Y782&lt;0),"Negative amounts are not allowed",IF($AE782="","Tariff not found for township and tier",IF(AND(OR($S782="ITEM_PRICE_PLUS_DECLARED_DELIVERY",$S782="TOTAL_AMOUNT_INCLUDING_DELIVERY",$S782="ITEM_PRICE_ONLY_DELIVERY_PAID_BY_MERCHANT"),$J782=""),"Item price required for this amount type",IF(AND(OR($S782="ITEM_PRICE_PLUS_DECLARED_DELIVERY",$S782="DELIVERY_CHARGE_ONLY"),$K782=""),"Declared delivery charge required",IF(AND(OR($S782="TOTAL_AMOUNT_INCLUDING_DELIVERY",$S782="EXACT_COLLECTION_AMOUNT"),$T782=""),"Stated total amount required",IF(AND($S782="TOTAL_AMOUNT_INCLUDING_DELIVERY",$T782&lt;SUM($J782,$U782)),"Stated total is below item price plus additional charge",IF($S782="EXACT_COLLECTION_AMOUNT","Authorized amount breakdown required before settlement","Ready for collection and settlement"))))))))))))</f>
        <v/>
      </c>
      <c r="AW782" s="23">
        <f>IF($AU782="","","PARCEL_FINANCIAL_V2")</f>
        <v/>
      </c>
      <c r="AX782" s="17" t="n"/>
    </row>
    <row r="783">
      <c r="A783" s="8" t="n"/>
      <c r="B783" s="8" t="n"/>
      <c r="C783" s="8" t="n"/>
      <c r="D783" s="8" t="n"/>
      <c r="E783" s="9" t="n"/>
      <c r="F783" s="9" t="n"/>
      <c r="G783" s="8" t="n"/>
      <c r="H783" s="9" t="n"/>
      <c r="I783" s="9" t="n"/>
      <c r="J783" s="10" t="n"/>
      <c r="K783" s="10" t="n"/>
      <c r="L783" s="11">
        <f>IF($S783="","",IF($S783="ITEM_PRICE_PLUS_DECLARED_DELIVERY",IF(OR($J783="",$K783=""),"",SUM($J783,$K783,$U783)),IF($S783="TOTAL_AMOUNT_INCLUDING_DELIVERY",IF($T783="","",$T783),IF($S783="DELIVERY_CHARGE_ONLY",IF($K783="","",SUM($K783,$U783)),IF($S783="EXACT_COLLECTION_AMOUNT",IF($T783="","",$T783),IF($S783="ITEM_PRICE_ONLY_DELIVERY_PAID_BY_MERCHANT",IF($J783="","",SUM($J783,$U783)),""))))))</f>
        <v/>
      </c>
      <c r="M783" s="12" t="n"/>
      <c r="N783" s="13" t="n"/>
      <c r="O783" s="13" t="n"/>
      <c r="P783" s="9" t="n"/>
      <c r="Q783" s="14" t="n"/>
      <c r="R783" s="15" t="n"/>
      <c r="S783" s="14" t="n"/>
      <c r="T783" s="16" t="n"/>
      <c r="U783" s="16" t="n"/>
      <c r="V783" s="16" t="n"/>
      <c r="W783" s="16" t="n"/>
      <c r="X783" s="16" t="n"/>
      <c r="Y783" s="16" t="n"/>
      <c r="Z783" s="14" t="n"/>
      <c r="AA783" s="14" t="n"/>
      <c r="AB783" s="14" t="n"/>
      <c r="AC783" s="17">
        <f>IFERROR(VLOOKUP($H783&amp;"|"&amp;$Q783,Tariff_Master!$A$2:$L$169,3,FALSE),"")</f>
        <v/>
      </c>
      <c r="AD783" s="17">
        <f>IFERROR(VLOOKUP($H783&amp;"|"&amp;$Q783,Tariff_Master!$A$2:$L$169,4,FALSE),"")</f>
        <v/>
      </c>
      <c r="AE783" s="18">
        <f>IFERROR(VLOOKUP($H783&amp;"|"&amp;$Q783,Tariff_Master!$A$2:$L$169,6,FALSE),"")</f>
        <v/>
      </c>
      <c r="AF783" s="19">
        <f>IFERROR(VLOOKUP($H783&amp;"|"&amp;$Q783,Tariff_Master!$A$2:$L$169,7,FALSE),"")</f>
        <v/>
      </c>
      <c r="AG783" s="18">
        <f>IFERROR(VLOOKUP($H783&amp;"|"&amp;$Q783,Tariff_Master!$A$2:$L$169,8,FALSE),"")</f>
        <v/>
      </c>
      <c r="AH783" s="20">
        <f>IFERROR(VLOOKUP($H783&amp;"|"&amp;$Q783,Tariff_Master!$A$2:$L$169,9,FALSE),"")</f>
        <v/>
      </c>
      <c r="AI783" s="18">
        <f>IFERROR(VLOOKUP($H783&amp;"|"&amp;$Q783,Tariff_Master!$A$2:$L$169,10,FALSE),"")</f>
        <v/>
      </c>
      <c r="AJ783" s="21">
        <f>IF($M783="","",ROUNDUP(MAX(0,$M783),0))</f>
        <v/>
      </c>
      <c r="AK783" s="21">
        <f>IF(OR($AJ783="",$AF783=""),"",MAX(0,$AJ783-$AF783))</f>
        <v/>
      </c>
      <c r="AL783" s="22">
        <f>IF(OR($AK783="",$AG783=""),"",MAX(0,$AK783*$AG783))</f>
        <v/>
      </c>
      <c r="AM783" s="22">
        <f>IF($AE783="","",MAX(0,SUM($AE783,$AL783,$V783,$W783)))</f>
        <v/>
      </c>
      <c r="AN783" s="22">
        <f>IF($AM783="","",IF(AND($Q783="COMMITMENT",$R783&gt;=$AH783),$AI783,0))</f>
        <v/>
      </c>
      <c r="AO783" s="23">
        <f>IF($AM783="","",MAX(0,$AM783-$AN783))</f>
        <v/>
      </c>
      <c r="AP783" s="22">
        <f>IF($S783="","",IF(OR($S783="ITEM_PRICE_PLUS_DECLARED_DELIVERY",$S783="DELIVERY_CHARGE_ONLY"),$K783,IF($S783="TOTAL_AMOUNT_INCLUDING_DELIVERY",IF(OR($T783="",$J783=""),"",MAX(0,$T783-$J783-$U783)),IF($S783="ITEM_PRICE_ONLY_DELIVERY_PAID_BY_MERCHANT",0,""))))</f>
        <v/>
      </c>
      <c r="AQ783" s="23">
        <f>IF(OR($AP783="",$AO783=""),"",$AP783-$AO783)</f>
        <v/>
      </c>
      <c r="AR783" s="24">
        <f>IF($S783="EXACT_COLLECTION_AMOUNT","BREAKDOWN_REQUIRED",IF($AQ783="","",IF($AQ783&gt;0,"CREDIT_TO_MERCHANT",IF($AQ783&lt;0,"DEDUCT_FROM_MERCHANT","NO_ADJUSTMENT"))))</f>
        <v/>
      </c>
      <c r="AS783" s="23">
        <f>IF(OR($AQ783="",$AR783="BREAKDOWN_REQUIRED"),"",$AQ783)</f>
        <v/>
      </c>
      <c r="AT783" s="23">
        <f>IF(OR($AR783="",$AR783="BREAKDOWN_REQUIRED"),"",SUM($J783,$AQ783,$Y783)-$X783)</f>
        <v/>
      </c>
      <c r="AU783" s="25">
        <f>IF(AND($A783="",$B783="",$F783="",$H783="",$J783="",$K783="",$M783="",$S783=""),"",IF(OR($H783="",$Q783="",$M783="",$S783=""),"ERROR",IF(OR($J783&lt;0,$K783&lt;0,$M783&lt;0,$T783&lt;0,$U783&lt;0,$V783&lt;0,$W783&lt;0,$X783&lt;0,$Y783&lt;0),"ERROR",IF($AE783="","ERROR",IF(AND(OR($S783="ITEM_PRICE_PLUS_DECLARED_DELIVERY",$S783="TOTAL_AMOUNT_INCLUDING_DELIVERY",$S783="ITEM_PRICE_ONLY_DELIVERY_PAID_BY_MERCHANT"),$J783=""),"ERROR",IF(AND(OR($S783="ITEM_PRICE_PLUS_DECLARED_DELIVERY",$S783="DELIVERY_CHARGE_ONLY"),$K783=""),"ERROR",IF(AND(OR($S783="TOTAL_AMOUNT_INCLUDING_DELIVERY",$S783="EXACT_COLLECTION_AMOUNT"),$T783=""),"ERROR",IF(AND($S783="TOTAL_AMOUNT_INCLUDING_DELIVERY",$T783&lt;SUM($J783,$U783)),"ERROR",IF($S783="EXACT_COLLECTION_AMOUNT","REVIEW","OK")))))))))</f>
        <v/>
      </c>
      <c r="AV783" s="25">
        <f>IF($AU783="","",IF($H783="","Township required",IF($Q783="","Customer tier required",IF($M783="","Weight required",IF($S783="","Amount entry type required",IF(OR($J783&lt;0,$K783&lt;0,$M783&lt;0,$T783&lt;0,$U783&lt;0,$V783&lt;0,$W783&lt;0,$X783&lt;0,$Y783&lt;0),"Negative amounts are not allowed",IF($AE783="","Tariff not found for township and tier",IF(AND(OR($S783="ITEM_PRICE_PLUS_DECLARED_DELIVERY",$S783="TOTAL_AMOUNT_INCLUDING_DELIVERY",$S783="ITEM_PRICE_ONLY_DELIVERY_PAID_BY_MERCHANT"),$J783=""),"Item price required for this amount type",IF(AND(OR($S783="ITEM_PRICE_PLUS_DECLARED_DELIVERY",$S783="DELIVERY_CHARGE_ONLY"),$K783=""),"Declared delivery charge required",IF(AND(OR($S783="TOTAL_AMOUNT_INCLUDING_DELIVERY",$S783="EXACT_COLLECTION_AMOUNT"),$T783=""),"Stated total amount required",IF(AND($S783="TOTAL_AMOUNT_INCLUDING_DELIVERY",$T783&lt;SUM($J783,$U783)),"Stated total is below item price plus additional charge",IF($S783="EXACT_COLLECTION_AMOUNT","Authorized amount breakdown required before settlement","Ready for collection and settlement"))))))))))))</f>
        <v/>
      </c>
      <c r="AW783" s="23">
        <f>IF($AU783="","","PARCEL_FINANCIAL_V2")</f>
        <v/>
      </c>
      <c r="AX783" s="17" t="n"/>
    </row>
    <row r="784">
      <c r="A784" s="8" t="n"/>
      <c r="B784" s="8" t="n"/>
      <c r="C784" s="8" t="n"/>
      <c r="D784" s="8" t="n"/>
      <c r="E784" s="9" t="n"/>
      <c r="F784" s="9" t="n"/>
      <c r="G784" s="8" t="n"/>
      <c r="H784" s="9" t="n"/>
      <c r="I784" s="9" t="n"/>
      <c r="J784" s="10" t="n"/>
      <c r="K784" s="10" t="n"/>
      <c r="L784" s="11">
        <f>IF($S784="","",IF($S784="ITEM_PRICE_PLUS_DECLARED_DELIVERY",IF(OR($J784="",$K784=""),"",SUM($J784,$K784,$U784)),IF($S784="TOTAL_AMOUNT_INCLUDING_DELIVERY",IF($T784="","",$T784),IF($S784="DELIVERY_CHARGE_ONLY",IF($K784="","",SUM($K784,$U784)),IF($S784="EXACT_COLLECTION_AMOUNT",IF($T784="","",$T784),IF($S784="ITEM_PRICE_ONLY_DELIVERY_PAID_BY_MERCHANT",IF($J784="","",SUM($J784,$U784)),""))))))</f>
        <v/>
      </c>
      <c r="M784" s="12" t="n"/>
      <c r="N784" s="13" t="n"/>
      <c r="O784" s="13" t="n"/>
      <c r="P784" s="9" t="n"/>
      <c r="Q784" s="14" t="n"/>
      <c r="R784" s="15" t="n"/>
      <c r="S784" s="14" t="n"/>
      <c r="T784" s="16" t="n"/>
      <c r="U784" s="16" t="n"/>
      <c r="V784" s="16" t="n"/>
      <c r="W784" s="16" t="n"/>
      <c r="X784" s="16" t="n"/>
      <c r="Y784" s="16" t="n"/>
      <c r="Z784" s="14" t="n"/>
      <c r="AA784" s="14" t="n"/>
      <c r="AB784" s="14" t="n"/>
      <c r="AC784" s="17">
        <f>IFERROR(VLOOKUP($H784&amp;"|"&amp;$Q784,Tariff_Master!$A$2:$L$169,3,FALSE),"")</f>
        <v/>
      </c>
      <c r="AD784" s="17">
        <f>IFERROR(VLOOKUP($H784&amp;"|"&amp;$Q784,Tariff_Master!$A$2:$L$169,4,FALSE),"")</f>
        <v/>
      </c>
      <c r="AE784" s="18">
        <f>IFERROR(VLOOKUP($H784&amp;"|"&amp;$Q784,Tariff_Master!$A$2:$L$169,6,FALSE),"")</f>
        <v/>
      </c>
      <c r="AF784" s="19">
        <f>IFERROR(VLOOKUP($H784&amp;"|"&amp;$Q784,Tariff_Master!$A$2:$L$169,7,FALSE),"")</f>
        <v/>
      </c>
      <c r="AG784" s="18">
        <f>IFERROR(VLOOKUP($H784&amp;"|"&amp;$Q784,Tariff_Master!$A$2:$L$169,8,FALSE),"")</f>
        <v/>
      </c>
      <c r="AH784" s="20">
        <f>IFERROR(VLOOKUP($H784&amp;"|"&amp;$Q784,Tariff_Master!$A$2:$L$169,9,FALSE),"")</f>
        <v/>
      </c>
      <c r="AI784" s="18">
        <f>IFERROR(VLOOKUP($H784&amp;"|"&amp;$Q784,Tariff_Master!$A$2:$L$169,10,FALSE),"")</f>
        <v/>
      </c>
      <c r="AJ784" s="21">
        <f>IF($M784="","",ROUNDUP(MAX(0,$M784),0))</f>
        <v/>
      </c>
      <c r="AK784" s="21">
        <f>IF(OR($AJ784="",$AF784=""),"",MAX(0,$AJ784-$AF784))</f>
        <v/>
      </c>
      <c r="AL784" s="22">
        <f>IF(OR($AK784="",$AG784=""),"",MAX(0,$AK784*$AG784))</f>
        <v/>
      </c>
      <c r="AM784" s="22">
        <f>IF($AE784="","",MAX(0,SUM($AE784,$AL784,$V784,$W784)))</f>
        <v/>
      </c>
      <c r="AN784" s="22">
        <f>IF($AM784="","",IF(AND($Q784="COMMITMENT",$R784&gt;=$AH784),$AI784,0))</f>
        <v/>
      </c>
      <c r="AO784" s="23">
        <f>IF($AM784="","",MAX(0,$AM784-$AN784))</f>
        <v/>
      </c>
      <c r="AP784" s="22">
        <f>IF($S784="","",IF(OR($S784="ITEM_PRICE_PLUS_DECLARED_DELIVERY",$S784="DELIVERY_CHARGE_ONLY"),$K784,IF($S784="TOTAL_AMOUNT_INCLUDING_DELIVERY",IF(OR($T784="",$J784=""),"",MAX(0,$T784-$J784-$U784)),IF($S784="ITEM_PRICE_ONLY_DELIVERY_PAID_BY_MERCHANT",0,""))))</f>
        <v/>
      </c>
      <c r="AQ784" s="23">
        <f>IF(OR($AP784="",$AO784=""),"",$AP784-$AO784)</f>
        <v/>
      </c>
      <c r="AR784" s="24">
        <f>IF($S784="EXACT_COLLECTION_AMOUNT","BREAKDOWN_REQUIRED",IF($AQ784="","",IF($AQ784&gt;0,"CREDIT_TO_MERCHANT",IF($AQ784&lt;0,"DEDUCT_FROM_MERCHANT","NO_ADJUSTMENT"))))</f>
        <v/>
      </c>
      <c r="AS784" s="23">
        <f>IF(OR($AQ784="",$AR784="BREAKDOWN_REQUIRED"),"",$AQ784)</f>
        <v/>
      </c>
      <c r="AT784" s="23">
        <f>IF(OR($AR784="",$AR784="BREAKDOWN_REQUIRED"),"",SUM($J784,$AQ784,$Y784)-$X784)</f>
        <v/>
      </c>
      <c r="AU784" s="25">
        <f>IF(AND($A784="",$B784="",$F784="",$H784="",$J784="",$K784="",$M784="",$S784=""),"",IF(OR($H784="",$Q784="",$M784="",$S784=""),"ERROR",IF(OR($J784&lt;0,$K784&lt;0,$M784&lt;0,$T784&lt;0,$U784&lt;0,$V784&lt;0,$W784&lt;0,$X784&lt;0,$Y784&lt;0),"ERROR",IF($AE784="","ERROR",IF(AND(OR($S784="ITEM_PRICE_PLUS_DECLARED_DELIVERY",$S784="TOTAL_AMOUNT_INCLUDING_DELIVERY",$S784="ITEM_PRICE_ONLY_DELIVERY_PAID_BY_MERCHANT"),$J784=""),"ERROR",IF(AND(OR($S784="ITEM_PRICE_PLUS_DECLARED_DELIVERY",$S784="DELIVERY_CHARGE_ONLY"),$K784=""),"ERROR",IF(AND(OR($S784="TOTAL_AMOUNT_INCLUDING_DELIVERY",$S784="EXACT_COLLECTION_AMOUNT"),$T784=""),"ERROR",IF(AND($S784="TOTAL_AMOUNT_INCLUDING_DELIVERY",$T784&lt;SUM($J784,$U784)),"ERROR",IF($S784="EXACT_COLLECTION_AMOUNT","REVIEW","OK")))))))))</f>
        <v/>
      </c>
      <c r="AV784" s="25">
        <f>IF($AU784="","",IF($H784="","Township required",IF($Q784="","Customer tier required",IF($M784="","Weight required",IF($S784="","Amount entry type required",IF(OR($J784&lt;0,$K784&lt;0,$M784&lt;0,$T784&lt;0,$U784&lt;0,$V784&lt;0,$W784&lt;0,$X784&lt;0,$Y784&lt;0),"Negative amounts are not allowed",IF($AE784="","Tariff not found for township and tier",IF(AND(OR($S784="ITEM_PRICE_PLUS_DECLARED_DELIVERY",$S784="TOTAL_AMOUNT_INCLUDING_DELIVERY",$S784="ITEM_PRICE_ONLY_DELIVERY_PAID_BY_MERCHANT"),$J784=""),"Item price required for this amount type",IF(AND(OR($S784="ITEM_PRICE_PLUS_DECLARED_DELIVERY",$S784="DELIVERY_CHARGE_ONLY"),$K784=""),"Declared delivery charge required",IF(AND(OR($S784="TOTAL_AMOUNT_INCLUDING_DELIVERY",$S784="EXACT_COLLECTION_AMOUNT"),$T784=""),"Stated total amount required",IF(AND($S784="TOTAL_AMOUNT_INCLUDING_DELIVERY",$T784&lt;SUM($J784,$U784)),"Stated total is below item price plus additional charge",IF($S784="EXACT_COLLECTION_AMOUNT","Authorized amount breakdown required before settlement","Ready for collection and settlement"))))))))))))</f>
        <v/>
      </c>
      <c r="AW784" s="23">
        <f>IF($AU784="","","PARCEL_FINANCIAL_V2")</f>
        <v/>
      </c>
      <c r="AX784" s="17" t="n"/>
    </row>
    <row r="785">
      <c r="A785" s="8" t="n"/>
      <c r="B785" s="8" t="n"/>
      <c r="C785" s="8" t="n"/>
      <c r="D785" s="8" t="n"/>
      <c r="E785" s="9" t="n"/>
      <c r="F785" s="9" t="n"/>
      <c r="G785" s="8" t="n"/>
      <c r="H785" s="9" t="n"/>
      <c r="I785" s="9" t="n"/>
      <c r="J785" s="10" t="n"/>
      <c r="K785" s="10" t="n"/>
      <c r="L785" s="11">
        <f>IF($S785="","",IF($S785="ITEM_PRICE_PLUS_DECLARED_DELIVERY",IF(OR($J785="",$K785=""),"",SUM($J785,$K785,$U785)),IF($S785="TOTAL_AMOUNT_INCLUDING_DELIVERY",IF($T785="","",$T785),IF($S785="DELIVERY_CHARGE_ONLY",IF($K785="","",SUM($K785,$U785)),IF($S785="EXACT_COLLECTION_AMOUNT",IF($T785="","",$T785),IF($S785="ITEM_PRICE_ONLY_DELIVERY_PAID_BY_MERCHANT",IF($J785="","",SUM($J785,$U785)),""))))))</f>
        <v/>
      </c>
      <c r="M785" s="12" t="n"/>
      <c r="N785" s="13" t="n"/>
      <c r="O785" s="13" t="n"/>
      <c r="P785" s="9" t="n"/>
      <c r="Q785" s="14" t="n"/>
      <c r="R785" s="15" t="n"/>
      <c r="S785" s="14" t="n"/>
      <c r="T785" s="16" t="n"/>
      <c r="U785" s="16" t="n"/>
      <c r="V785" s="16" t="n"/>
      <c r="W785" s="16" t="n"/>
      <c r="X785" s="16" t="n"/>
      <c r="Y785" s="16" t="n"/>
      <c r="Z785" s="14" t="n"/>
      <c r="AA785" s="14" t="n"/>
      <c r="AB785" s="14" t="n"/>
      <c r="AC785" s="17">
        <f>IFERROR(VLOOKUP($H785&amp;"|"&amp;$Q785,Tariff_Master!$A$2:$L$169,3,FALSE),"")</f>
        <v/>
      </c>
      <c r="AD785" s="17">
        <f>IFERROR(VLOOKUP($H785&amp;"|"&amp;$Q785,Tariff_Master!$A$2:$L$169,4,FALSE),"")</f>
        <v/>
      </c>
      <c r="AE785" s="18">
        <f>IFERROR(VLOOKUP($H785&amp;"|"&amp;$Q785,Tariff_Master!$A$2:$L$169,6,FALSE),"")</f>
        <v/>
      </c>
      <c r="AF785" s="19">
        <f>IFERROR(VLOOKUP($H785&amp;"|"&amp;$Q785,Tariff_Master!$A$2:$L$169,7,FALSE),"")</f>
        <v/>
      </c>
      <c r="AG785" s="18">
        <f>IFERROR(VLOOKUP($H785&amp;"|"&amp;$Q785,Tariff_Master!$A$2:$L$169,8,FALSE),"")</f>
        <v/>
      </c>
      <c r="AH785" s="20">
        <f>IFERROR(VLOOKUP($H785&amp;"|"&amp;$Q785,Tariff_Master!$A$2:$L$169,9,FALSE),"")</f>
        <v/>
      </c>
      <c r="AI785" s="18">
        <f>IFERROR(VLOOKUP($H785&amp;"|"&amp;$Q785,Tariff_Master!$A$2:$L$169,10,FALSE),"")</f>
        <v/>
      </c>
      <c r="AJ785" s="21">
        <f>IF($M785="","",ROUNDUP(MAX(0,$M785),0))</f>
        <v/>
      </c>
      <c r="AK785" s="21">
        <f>IF(OR($AJ785="",$AF785=""),"",MAX(0,$AJ785-$AF785))</f>
        <v/>
      </c>
      <c r="AL785" s="22">
        <f>IF(OR($AK785="",$AG785=""),"",MAX(0,$AK785*$AG785))</f>
        <v/>
      </c>
      <c r="AM785" s="22">
        <f>IF($AE785="","",MAX(0,SUM($AE785,$AL785,$V785,$W785)))</f>
        <v/>
      </c>
      <c r="AN785" s="22">
        <f>IF($AM785="","",IF(AND($Q785="COMMITMENT",$R785&gt;=$AH785),$AI785,0))</f>
        <v/>
      </c>
      <c r="AO785" s="23">
        <f>IF($AM785="","",MAX(0,$AM785-$AN785))</f>
        <v/>
      </c>
      <c r="AP785" s="22">
        <f>IF($S785="","",IF(OR($S785="ITEM_PRICE_PLUS_DECLARED_DELIVERY",$S785="DELIVERY_CHARGE_ONLY"),$K785,IF($S785="TOTAL_AMOUNT_INCLUDING_DELIVERY",IF(OR($T785="",$J785=""),"",MAX(0,$T785-$J785-$U785)),IF($S785="ITEM_PRICE_ONLY_DELIVERY_PAID_BY_MERCHANT",0,""))))</f>
        <v/>
      </c>
      <c r="AQ785" s="23">
        <f>IF(OR($AP785="",$AO785=""),"",$AP785-$AO785)</f>
        <v/>
      </c>
      <c r="AR785" s="24">
        <f>IF($S785="EXACT_COLLECTION_AMOUNT","BREAKDOWN_REQUIRED",IF($AQ785="","",IF($AQ785&gt;0,"CREDIT_TO_MERCHANT",IF($AQ785&lt;0,"DEDUCT_FROM_MERCHANT","NO_ADJUSTMENT"))))</f>
        <v/>
      </c>
      <c r="AS785" s="23">
        <f>IF(OR($AQ785="",$AR785="BREAKDOWN_REQUIRED"),"",$AQ785)</f>
        <v/>
      </c>
      <c r="AT785" s="23">
        <f>IF(OR($AR785="",$AR785="BREAKDOWN_REQUIRED"),"",SUM($J785,$AQ785,$Y785)-$X785)</f>
        <v/>
      </c>
      <c r="AU785" s="25">
        <f>IF(AND($A785="",$B785="",$F785="",$H785="",$J785="",$K785="",$M785="",$S785=""),"",IF(OR($H785="",$Q785="",$M785="",$S785=""),"ERROR",IF(OR($J785&lt;0,$K785&lt;0,$M785&lt;0,$T785&lt;0,$U785&lt;0,$V785&lt;0,$W785&lt;0,$X785&lt;0,$Y785&lt;0),"ERROR",IF($AE785="","ERROR",IF(AND(OR($S785="ITEM_PRICE_PLUS_DECLARED_DELIVERY",$S785="TOTAL_AMOUNT_INCLUDING_DELIVERY",$S785="ITEM_PRICE_ONLY_DELIVERY_PAID_BY_MERCHANT"),$J785=""),"ERROR",IF(AND(OR($S785="ITEM_PRICE_PLUS_DECLARED_DELIVERY",$S785="DELIVERY_CHARGE_ONLY"),$K785=""),"ERROR",IF(AND(OR($S785="TOTAL_AMOUNT_INCLUDING_DELIVERY",$S785="EXACT_COLLECTION_AMOUNT"),$T785=""),"ERROR",IF(AND($S785="TOTAL_AMOUNT_INCLUDING_DELIVERY",$T785&lt;SUM($J785,$U785)),"ERROR",IF($S785="EXACT_COLLECTION_AMOUNT","REVIEW","OK")))))))))</f>
        <v/>
      </c>
      <c r="AV785" s="25">
        <f>IF($AU785="","",IF($H785="","Township required",IF($Q785="","Customer tier required",IF($M785="","Weight required",IF($S785="","Amount entry type required",IF(OR($J785&lt;0,$K785&lt;0,$M785&lt;0,$T785&lt;0,$U785&lt;0,$V785&lt;0,$W785&lt;0,$X785&lt;0,$Y785&lt;0),"Negative amounts are not allowed",IF($AE785="","Tariff not found for township and tier",IF(AND(OR($S785="ITEM_PRICE_PLUS_DECLARED_DELIVERY",$S785="TOTAL_AMOUNT_INCLUDING_DELIVERY",$S785="ITEM_PRICE_ONLY_DELIVERY_PAID_BY_MERCHANT"),$J785=""),"Item price required for this amount type",IF(AND(OR($S785="ITEM_PRICE_PLUS_DECLARED_DELIVERY",$S785="DELIVERY_CHARGE_ONLY"),$K785=""),"Declared delivery charge required",IF(AND(OR($S785="TOTAL_AMOUNT_INCLUDING_DELIVERY",$S785="EXACT_COLLECTION_AMOUNT"),$T785=""),"Stated total amount required",IF(AND($S785="TOTAL_AMOUNT_INCLUDING_DELIVERY",$T785&lt;SUM($J785,$U785)),"Stated total is below item price plus additional charge",IF($S785="EXACT_COLLECTION_AMOUNT","Authorized amount breakdown required before settlement","Ready for collection and settlement"))))))))))))</f>
        <v/>
      </c>
      <c r="AW785" s="23">
        <f>IF($AU785="","","PARCEL_FINANCIAL_V2")</f>
        <v/>
      </c>
      <c r="AX785" s="17" t="n"/>
    </row>
    <row r="786">
      <c r="A786" s="8" t="n"/>
      <c r="B786" s="8" t="n"/>
      <c r="C786" s="8" t="n"/>
      <c r="D786" s="8" t="n"/>
      <c r="E786" s="9" t="n"/>
      <c r="F786" s="9" t="n"/>
      <c r="G786" s="8" t="n"/>
      <c r="H786" s="9" t="n"/>
      <c r="I786" s="9" t="n"/>
      <c r="J786" s="10" t="n"/>
      <c r="K786" s="10" t="n"/>
      <c r="L786" s="11">
        <f>IF($S786="","",IF($S786="ITEM_PRICE_PLUS_DECLARED_DELIVERY",IF(OR($J786="",$K786=""),"",SUM($J786,$K786,$U786)),IF($S786="TOTAL_AMOUNT_INCLUDING_DELIVERY",IF($T786="","",$T786),IF($S786="DELIVERY_CHARGE_ONLY",IF($K786="","",SUM($K786,$U786)),IF($S786="EXACT_COLLECTION_AMOUNT",IF($T786="","",$T786),IF($S786="ITEM_PRICE_ONLY_DELIVERY_PAID_BY_MERCHANT",IF($J786="","",SUM($J786,$U786)),""))))))</f>
        <v/>
      </c>
      <c r="M786" s="12" t="n"/>
      <c r="N786" s="13" t="n"/>
      <c r="O786" s="13" t="n"/>
      <c r="P786" s="9" t="n"/>
      <c r="Q786" s="14" t="n"/>
      <c r="R786" s="15" t="n"/>
      <c r="S786" s="14" t="n"/>
      <c r="T786" s="16" t="n"/>
      <c r="U786" s="16" t="n"/>
      <c r="V786" s="16" t="n"/>
      <c r="W786" s="16" t="n"/>
      <c r="X786" s="16" t="n"/>
      <c r="Y786" s="16" t="n"/>
      <c r="Z786" s="14" t="n"/>
      <c r="AA786" s="14" t="n"/>
      <c r="AB786" s="14" t="n"/>
      <c r="AC786" s="17">
        <f>IFERROR(VLOOKUP($H786&amp;"|"&amp;$Q786,Tariff_Master!$A$2:$L$169,3,FALSE),"")</f>
        <v/>
      </c>
      <c r="AD786" s="17">
        <f>IFERROR(VLOOKUP($H786&amp;"|"&amp;$Q786,Tariff_Master!$A$2:$L$169,4,FALSE),"")</f>
        <v/>
      </c>
      <c r="AE786" s="18">
        <f>IFERROR(VLOOKUP($H786&amp;"|"&amp;$Q786,Tariff_Master!$A$2:$L$169,6,FALSE),"")</f>
        <v/>
      </c>
      <c r="AF786" s="19">
        <f>IFERROR(VLOOKUP($H786&amp;"|"&amp;$Q786,Tariff_Master!$A$2:$L$169,7,FALSE),"")</f>
        <v/>
      </c>
      <c r="AG786" s="18">
        <f>IFERROR(VLOOKUP($H786&amp;"|"&amp;$Q786,Tariff_Master!$A$2:$L$169,8,FALSE),"")</f>
        <v/>
      </c>
      <c r="AH786" s="20">
        <f>IFERROR(VLOOKUP($H786&amp;"|"&amp;$Q786,Tariff_Master!$A$2:$L$169,9,FALSE),"")</f>
        <v/>
      </c>
      <c r="AI786" s="18">
        <f>IFERROR(VLOOKUP($H786&amp;"|"&amp;$Q786,Tariff_Master!$A$2:$L$169,10,FALSE),"")</f>
        <v/>
      </c>
      <c r="AJ786" s="21">
        <f>IF($M786="","",ROUNDUP(MAX(0,$M786),0))</f>
        <v/>
      </c>
      <c r="AK786" s="21">
        <f>IF(OR($AJ786="",$AF786=""),"",MAX(0,$AJ786-$AF786))</f>
        <v/>
      </c>
      <c r="AL786" s="22">
        <f>IF(OR($AK786="",$AG786=""),"",MAX(0,$AK786*$AG786))</f>
        <v/>
      </c>
      <c r="AM786" s="22">
        <f>IF($AE786="","",MAX(0,SUM($AE786,$AL786,$V786,$W786)))</f>
        <v/>
      </c>
      <c r="AN786" s="22">
        <f>IF($AM786="","",IF(AND($Q786="COMMITMENT",$R786&gt;=$AH786),$AI786,0))</f>
        <v/>
      </c>
      <c r="AO786" s="23">
        <f>IF($AM786="","",MAX(0,$AM786-$AN786))</f>
        <v/>
      </c>
      <c r="AP786" s="22">
        <f>IF($S786="","",IF(OR($S786="ITEM_PRICE_PLUS_DECLARED_DELIVERY",$S786="DELIVERY_CHARGE_ONLY"),$K786,IF($S786="TOTAL_AMOUNT_INCLUDING_DELIVERY",IF(OR($T786="",$J786=""),"",MAX(0,$T786-$J786-$U786)),IF($S786="ITEM_PRICE_ONLY_DELIVERY_PAID_BY_MERCHANT",0,""))))</f>
        <v/>
      </c>
      <c r="AQ786" s="23">
        <f>IF(OR($AP786="",$AO786=""),"",$AP786-$AO786)</f>
        <v/>
      </c>
      <c r="AR786" s="24">
        <f>IF($S786="EXACT_COLLECTION_AMOUNT","BREAKDOWN_REQUIRED",IF($AQ786="","",IF($AQ786&gt;0,"CREDIT_TO_MERCHANT",IF($AQ786&lt;0,"DEDUCT_FROM_MERCHANT","NO_ADJUSTMENT"))))</f>
        <v/>
      </c>
      <c r="AS786" s="23">
        <f>IF(OR($AQ786="",$AR786="BREAKDOWN_REQUIRED"),"",$AQ786)</f>
        <v/>
      </c>
      <c r="AT786" s="23">
        <f>IF(OR($AR786="",$AR786="BREAKDOWN_REQUIRED"),"",SUM($J786,$AQ786,$Y786)-$X786)</f>
        <v/>
      </c>
      <c r="AU786" s="25">
        <f>IF(AND($A786="",$B786="",$F786="",$H786="",$J786="",$K786="",$M786="",$S786=""),"",IF(OR($H786="",$Q786="",$M786="",$S786=""),"ERROR",IF(OR($J786&lt;0,$K786&lt;0,$M786&lt;0,$T786&lt;0,$U786&lt;0,$V786&lt;0,$W786&lt;0,$X786&lt;0,$Y786&lt;0),"ERROR",IF($AE786="","ERROR",IF(AND(OR($S786="ITEM_PRICE_PLUS_DECLARED_DELIVERY",$S786="TOTAL_AMOUNT_INCLUDING_DELIVERY",$S786="ITEM_PRICE_ONLY_DELIVERY_PAID_BY_MERCHANT"),$J786=""),"ERROR",IF(AND(OR($S786="ITEM_PRICE_PLUS_DECLARED_DELIVERY",$S786="DELIVERY_CHARGE_ONLY"),$K786=""),"ERROR",IF(AND(OR($S786="TOTAL_AMOUNT_INCLUDING_DELIVERY",$S786="EXACT_COLLECTION_AMOUNT"),$T786=""),"ERROR",IF(AND($S786="TOTAL_AMOUNT_INCLUDING_DELIVERY",$T786&lt;SUM($J786,$U786)),"ERROR",IF($S786="EXACT_COLLECTION_AMOUNT","REVIEW","OK")))))))))</f>
        <v/>
      </c>
      <c r="AV786" s="25">
        <f>IF($AU786="","",IF($H786="","Township required",IF($Q786="","Customer tier required",IF($M786="","Weight required",IF($S786="","Amount entry type required",IF(OR($J786&lt;0,$K786&lt;0,$M786&lt;0,$T786&lt;0,$U786&lt;0,$V786&lt;0,$W786&lt;0,$X786&lt;0,$Y786&lt;0),"Negative amounts are not allowed",IF($AE786="","Tariff not found for township and tier",IF(AND(OR($S786="ITEM_PRICE_PLUS_DECLARED_DELIVERY",$S786="TOTAL_AMOUNT_INCLUDING_DELIVERY",$S786="ITEM_PRICE_ONLY_DELIVERY_PAID_BY_MERCHANT"),$J786=""),"Item price required for this amount type",IF(AND(OR($S786="ITEM_PRICE_PLUS_DECLARED_DELIVERY",$S786="DELIVERY_CHARGE_ONLY"),$K786=""),"Declared delivery charge required",IF(AND(OR($S786="TOTAL_AMOUNT_INCLUDING_DELIVERY",$S786="EXACT_COLLECTION_AMOUNT"),$T786=""),"Stated total amount required",IF(AND($S786="TOTAL_AMOUNT_INCLUDING_DELIVERY",$T786&lt;SUM($J786,$U786)),"Stated total is below item price plus additional charge",IF($S786="EXACT_COLLECTION_AMOUNT","Authorized amount breakdown required before settlement","Ready for collection and settlement"))))))))))))</f>
        <v/>
      </c>
      <c r="AW786" s="23">
        <f>IF($AU786="","","PARCEL_FINANCIAL_V2")</f>
        <v/>
      </c>
      <c r="AX786" s="17" t="n"/>
    </row>
    <row r="787">
      <c r="A787" s="8" t="n"/>
      <c r="B787" s="8" t="n"/>
      <c r="C787" s="8" t="n"/>
      <c r="D787" s="8" t="n"/>
      <c r="E787" s="9" t="n"/>
      <c r="F787" s="9" t="n"/>
      <c r="G787" s="8" t="n"/>
      <c r="H787" s="9" t="n"/>
      <c r="I787" s="9" t="n"/>
      <c r="J787" s="10" t="n"/>
      <c r="K787" s="10" t="n"/>
      <c r="L787" s="11">
        <f>IF($S787="","",IF($S787="ITEM_PRICE_PLUS_DECLARED_DELIVERY",IF(OR($J787="",$K787=""),"",SUM($J787,$K787,$U787)),IF($S787="TOTAL_AMOUNT_INCLUDING_DELIVERY",IF($T787="","",$T787),IF($S787="DELIVERY_CHARGE_ONLY",IF($K787="","",SUM($K787,$U787)),IF($S787="EXACT_COLLECTION_AMOUNT",IF($T787="","",$T787),IF($S787="ITEM_PRICE_ONLY_DELIVERY_PAID_BY_MERCHANT",IF($J787="","",SUM($J787,$U787)),""))))))</f>
        <v/>
      </c>
      <c r="M787" s="12" t="n"/>
      <c r="N787" s="13" t="n"/>
      <c r="O787" s="13" t="n"/>
      <c r="P787" s="9" t="n"/>
      <c r="Q787" s="14" t="n"/>
      <c r="R787" s="15" t="n"/>
      <c r="S787" s="14" t="n"/>
      <c r="T787" s="16" t="n"/>
      <c r="U787" s="16" t="n"/>
      <c r="V787" s="16" t="n"/>
      <c r="W787" s="16" t="n"/>
      <c r="X787" s="16" t="n"/>
      <c r="Y787" s="16" t="n"/>
      <c r="Z787" s="14" t="n"/>
      <c r="AA787" s="14" t="n"/>
      <c r="AB787" s="14" t="n"/>
      <c r="AC787" s="17">
        <f>IFERROR(VLOOKUP($H787&amp;"|"&amp;$Q787,Tariff_Master!$A$2:$L$169,3,FALSE),"")</f>
        <v/>
      </c>
      <c r="AD787" s="17">
        <f>IFERROR(VLOOKUP($H787&amp;"|"&amp;$Q787,Tariff_Master!$A$2:$L$169,4,FALSE),"")</f>
        <v/>
      </c>
      <c r="AE787" s="18">
        <f>IFERROR(VLOOKUP($H787&amp;"|"&amp;$Q787,Tariff_Master!$A$2:$L$169,6,FALSE),"")</f>
        <v/>
      </c>
      <c r="AF787" s="19">
        <f>IFERROR(VLOOKUP($H787&amp;"|"&amp;$Q787,Tariff_Master!$A$2:$L$169,7,FALSE),"")</f>
        <v/>
      </c>
      <c r="AG787" s="18">
        <f>IFERROR(VLOOKUP($H787&amp;"|"&amp;$Q787,Tariff_Master!$A$2:$L$169,8,FALSE),"")</f>
        <v/>
      </c>
      <c r="AH787" s="20">
        <f>IFERROR(VLOOKUP($H787&amp;"|"&amp;$Q787,Tariff_Master!$A$2:$L$169,9,FALSE),"")</f>
        <v/>
      </c>
      <c r="AI787" s="18">
        <f>IFERROR(VLOOKUP($H787&amp;"|"&amp;$Q787,Tariff_Master!$A$2:$L$169,10,FALSE),"")</f>
        <v/>
      </c>
      <c r="AJ787" s="21">
        <f>IF($M787="","",ROUNDUP(MAX(0,$M787),0))</f>
        <v/>
      </c>
      <c r="AK787" s="21">
        <f>IF(OR($AJ787="",$AF787=""),"",MAX(0,$AJ787-$AF787))</f>
        <v/>
      </c>
      <c r="AL787" s="22">
        <f>IF(OR($AK787="",$AG787=""),"",MAX(0,$AK787*$AG787))</f>
        <v/>
      </c>
      <c r="AM787" s="22">
        <f>IF($AE787="","",MAX(0,SUM($AE787,$AL787,$V787,$W787)))</f>
        <v/>
      </c>
      <c r="AN787" s="22">
        <f>IF($AM787="","",IF(AND($Q787="COMMITMENT",$R787&gt;=$AH787),$AI787,0))</f>
        <v/>
      </c>
      <c r="AO787" s="23">
        <f>IF($AM787="","",MAX(0,$AM787-$AN787))</f>
        <v/>
      </c>
      <c r="AP787" s="22">
        <f>IF($S787="","",IF(OR($S787="ITEM_PRICE_PLUS_DECLARED_DELIVERY",$S787="DELIVERY_CHARGE_ONLY"),$K787,IF($S787="TOTAL_AMOUNT_INCLUDING_DELIVERY",IF(OR($T787="",$J787=""),"",MAX(0,$T787-$J787-$U787)),IF($S787="ITEM_PRICE_ONLY_DELIVERY_PAID_BY_MERCHANT",0,""))))</f>
        <v/>
      </c>
      <c r="AQ787" s="23">
        <f>IF(OR($AP787="",$AO787=""),"",$AP787-$AO787)</f>
        <v/>
      </c>
      <c r="AR787" s="24">
        <f>IF($S787="EXACT_COLLECTION_AMOUNT","BREAKDOWN_REQUIRED",IF($AQ787="","",IF($AQ787&gt;0,"CREDIT_TO_MERCHANT",IF($AQ787&lt;0,"DEDUCT_FROM_MERCHANT","NO_ADJUSTMENT"))))</f>
        <v/>
      </c>
      <c r="AS787" s="23">
        <f>IF(OR($AQ787="",$AR787="BREAKDOWN_REQUIRED"),"",$AQ787)</f>
        <v/>
      </c>
      <c r="AT787" s="23">
        <f>IF(OR($AR787="",$AR787="BREAKDOWN_REQUIRED"),"",SUM($J787,$AQ787,$Y787)-$X787)</f>
        <v/>
      </c>
      <c r="AU787" s="25">
        <f>IF(AND($A787="",$B787="",$F787="",$H787="",$J787="",$K787="",$M787="",$S787=""),"",IF(OR($H787="",$Q787="",$M787="",$S787=""),"ERROR",IF(OR($J787&lt;0,$K787&lt;0,$M787&lt;0,$T787&lt;0,$U787&lt;0,$V787&lt;0,$W787&lt;0,$X787&lt;0,$Y787&lt;0),"ERROR",IF($AE787="","ERROR",IF(AND(OR($S787="ITEM_PRICE_PLUS_DECLARED_DELIVERY",$S787="TOTAL_AMOUNT_INCLUDING_DELIVERY",$S787="ITEM_PRICE_ONLY_DELIVERY_PAID_BY_MERCHANT"),$J787=""),"ERROR",IF(AND(OR($S787="ITEM_PRICE_PLUS_DECLARED_DELIVERY",$S787="DELIVERY_CHARGE_ONLY"),$K787=""),"ERROR",IF(AND(OR($S787="TOTAL_AMOUNT_INCLUDING_DELIVERY",$S787="EXACT_COLLECTION_AMOUNT"),$T787=""),"ERROR",IF(AND($S787="TOTAL_AMOUNT_INCLUDING_DELIVERY",$T787&lt;SUM($J787,$U787)),"ERROR",IF($S787="EXACT_COLLECTION_AMOUNT","REVIEW","OK")))))))))</f>
        <v/>
      </c>
      <c r="AV787" s="25">
        <f>IF($AU787="","",IF($H787="","Township required",IF($Q787="","Customer tier required",IF($M787="","Weight required",IF($S787="","Amount entry type required",IF(OR($J787&lt;0,$K787&lt;0,$M787&lt;0,$T787&lt;0,$U787&lt;0,$V787&lt;0,$W787&lt;0,$X787&lt;0,$Y787&lt;0),"Negative amounts are not allowed",IF($AE787="","Tariff not found for township and tier",IF(AND(OR($S787="ITEM_PRICE_PLUS_DECLARED_DELIVERY",$S787="TOTAL_AMOUNT_INCLUDING_DELIVERY",$S787="ITEM_PRICE_ONLY_DELIVERY_PAID_BY_MERCHANT"),$J787=""),"Item price required for this amount type",IF(AND(OR($S787="ITEM_PRICE_PLUS_DECLARED_DELIVERY",$S787="DELIVERY_CHARGE_ONLY"),$K787=""),"Declared delivery charge required",IF(AND(OR($S787="TOTAL_AMOUNT_INCLUDING_DELIVERY",$S787="EXACT_COLLECTION_AMOUNT"),$T787=""),"Stated total amount required",IF(AND($S787="TOTAL_AMOUNT_INCLUDING_DELIVERY",$T787&lt;SUM($J787,$U787)),"Stated total is below item price plus additional charge",IF($S787="EXACT_COLLECTION_AMOUNT","Authorized amount breakdown required before settlement","Ready for collection and settlement"))))))))))))</f>
        <v/>
      </c>
      <c r="AW787" s="23">
        <f>IF($AU787="","","PARCEL_FINANCIAL_V2")</f>
        <v/>
      </c>
      <c r="AX787" s="17" t="n"/>
    </row>
    <row r="788">
      <c r="A788" s="8" t="n"/>
      <c r="B788" s="8" t="n"/>
      <c r="C788" s="8" t="n"/>
      <c r="D788" s="8" t="n"/>
      <c r="E788" s="9" t="n"/>
      <c r="F788" s="9" t="n"/>
      <c r="G788" s="8" t="n"/>
      <c r="H788" s="9" t="n"/>
      <c r="I788" s="9" t="n"/>
      <c r="J788" s="10" t="n"/>
      <c r="K788" s="10" t="n"/>
      <c r="L788" s="11">
        <f>IF($S788="","",IF($S788="ITEM_PRICE_PLUS_DECLARED_DELIVERY",IF(OR($J788="",$K788=""),"",SUM($J788,$K788,$U788)),IF($S788="TOTAL_AMOUNT_INCLUDING_DELIVERY",IF($T788="","",$T788),IF($S788="DELIVERY_CHARGE_ONLY",IF($K788="","",SUM($K788,$U788)),IF($S788="EXACT_COLLECTION_AMOUNT",IF($T788="","",$T788),IF($S788="ITEM_PRICE_ONLY_DELIVERY_PAID_BY_MERCHANT",IF($J788="","",SUM($J788,$U788)),""))))))</f>
        <v/>
      </c>
      <c r="M788" s="12" t="n"/>
      <c r="N788" s="13" t="n"/>
      <c r="O788" s="13" t="n"/>
      <c r="P788" s="9" t="n"/>
      <c r="Q788" s="14" t="n"/>
      <c r="R788" s="15" t="n"/>
      <c r="S788" s="14" t="n"/>
      <c r="T788" s="16" t="n"/>
      <c r="U788" s="16" t="n"/>
      <c r="V788" s="16" t="n"/>
      <c r="W788" s="16" t="n"/>
      <c r="X788" s="16" t="n"/>
      <c r="Y788" s="16" t="n"/>
      <c r="Z788" s="14" t="n"/>
      <c r="AA788" s="14" t="n"/>
      <c r="AB788" s="14" t="n"/>
      <c r="AC788" s="17">
        <f>IFERROR(VLOOKUP($H788&amp;"|"&amp;$Q788,Tariff_Master!$A$2:$L$169,3,FALSE),"")</f>
        <v/>
      </c>
      <c r="AD788" s="17">
        <f>IFERROR(VLOOKUP($H788&amp;"|"&amp;$Q788,Tariff_Master!$A$2:$L$169,4,FALSE),"")</f>
        <v/>
      </c>
      <c r="AE788" s="18">
        <f>IFERROR(VLOOKUP($H788&amp;"|"&amp;$Q788,Tariff_Master!$A$2:$L$169,6,FALSE),"")</f>
        <v/>
      </c>
      <c r="AF788" s="19">
        <f>IFERROR(VLOOKUP($H788&amp;"|"&amp;$Q788,Tariff_Master!$A$2:$L$169,7,FALSE),"")</f>
        <v/>
      </c>
      <c r="AG788" s="18">
        <f>IFERROR(VLOOKUP($H788&amp;"|"&amp;$Q788,Tariff_Master!$A$2:$L$169,8,FALSE),"")</f>
        <v/>
      </c>
      <c r="AH788" s="20">
        <f>IFERROR(VLOOKUP($H788&amp;"|"&amp;$Q788,Tariff_Master!$A$2:$L$169,9,FALSE),"")</f>
        <v/>
      </c>
      <c r="AI788" s="18">
        <f>IFERROR(VLOOKUP($H788&amp;"|"&amp;$Q788,Tariff_Master!$A$2:$L$169,10,FALSE),"")</f>
        <v/>
      </c>
      <c r="AJ788" s="21">
        <f>IF($M788="","",ROUNDUP(MAX(0,$M788),0))</f>
        <v/>
      </c>
      <c r="AK788" s="21">
        <f>IF(OR($AJ788="",$AF788=""),"",MAX(0,$AJ788-$AF788))</f>
        <v/>
      </c>
      <c r="AL788" s="22">
        <f>IF(OR($AK788="",$AG788=""),"",MAX(0,$AK788*$AG788))</f>
        <v/>
      </c>
      <c r="AM788" s="22">
        <f>IF($AE788="","",MAX(0,SUM($AE788,$AL788,$V788,$W788)))</f>
        <v/>
      </c>
      <c r="AN788" s="22">
        <f>IF($AM788="","",IF(AND($Q788="COMMITMENT",$R788&gt;=$AH788),$AI788,0))</f>
        <v/>
      </c>
      <c r="AO788" s="23">
        <f>IF($AM788="","",MAX(0,$AM788-$AN788))</f>
        <v/>
      </c>
      <c r="AP788" s="22">
        <f>IF($S788="","",IF(OR($S788="ITEM_PRICE_PLUS_DECLARED_DELIVERY",$S788="DELIVERY_CHARGE_ONLY"),$K788,IF($S788="TOTAL_AMOUNT_INCLUDING_DELIVERY",IF(OR($T788="",$J788=""),"",MAX(0,$T788-$J788-$U788)),IF($S788="ITEM_PRICE_ONLY_DELIVERY_PAID_BY_MERCHANT",0,""))))</f>
        <v/>
      </c>
      <c r="AQ788" s="23">
        <f>IF(OR($AP788="",$AO788=""),"",$AP788-$AO788)</f>
        <v/>
      </c>
      <c r="AR788" s="24">
        <f>IF($S788="EXACT_COLLECTION_AMOUNT","BREAKDOWN_REQUIRED",IF($AQ788="","",IF($AQ788&gt;0,"CREDIT_TO_MERCHANT",IF($AQ788&lt;0,"DEDUCT_FROM_MERCHANT","NO_ADJUSTMENT"))))</f>
        <v/>
      </c>
      <c r="AS788" s="23">
        <f>IF(OR($AQ788="",$AR788="BREAKDOWN_REQUIRED"),"",$AQ788)</f>
        <v/>
      </c>
      <c r="AT788" s="23">
        <f>IF(OR($AR788="",$AR788="BREAKDOWN_REQUIRED"),"",SUM($J788,$AQ788,$Y788)-$X788)</f>
        <v/>
      </c>
      <c r="AU788" s="25">
        <f>IF(AND($A788="",$B788="",$F788="",$H788="",$J788="",$K788="",$M788="",$S788=""),"",IF(OR($H788="",$Q788="",$M788="",$S788=""),"ERROR",IF(OR($J788&lt;0,$K788&lt;0,$M788&lt;0,$T788&lt;0,$U788&lt;0,$V788&lt;0,$W788&lt;0,$X788&lt;0,$Y788&lt;0),"ERROR",IF($AE788="","ERROR",IF(AND(OR($S788="ITEM_PRICE_PLUS_DECLARED_DELIVERY",$S788="TOTAL_AMOUNT_INCLUDING_DELIVERY",$S788="ITEM_PRICE_ONLY_DELIVERY_PAID_BY_MERCHANT"),$J788=""),"ERROR",IF(AND(OR($S788="ITEM_PRICE_PLUS_DECLARED_DELIVERY",$S788="DELIVERY_CHARGE_ONLY"),$K788=""),"ERROR",IF(AND(OR($S788="TOTAL_AMOUNT_INCLUDING_DELIVERY",$S788="EXACT_COLLECTION_AMOUNT"),$T788=""),"ERROR",IF(AND($S788="TOTAL_AMOUNT_INCLUDING_DELIVERY",$T788&lt;SUM($J788,$U788)),"ERROR",IF($S788="EXACT_COLLECTION_AMOUNT","REVIEW","OK")))))))))</f>
        <v/>
      </c>
      <c r="AV788" s="25">
        <f>IF($AU788="","",IF($H788="","Township required",IF($Q788="","Customer tier required",IF($M788="","Weight required",IF($S788="","Amount entry type required",IF(OR($J788&lt;0,$K788&lt;0,$M788&lt;0,$T788&lt;0,$U788&lt;0,$V788&lt;0,$W788&lt;0,$X788&lt;0,$Y788&lt;0),"Negative amounts are not allowed",IF($AE788="","Tariff not found for township and tier",IF(AND(OR($S788="ITEM_PRICE_PLUS_DECLARED_DELIVERY",$S788="TOTAL_AMOUNT_INCLUDING_DELIVERY",$S788="ITEM_PRICE_ONLY_DELIVERY_PAID_BY_MERCHANT"),$J788=""),"Item price required for this amount type",IF(AND(OR($S788="ITEM_PRICE_PLUS_DECLARED_DELIVERY",$S788="DELIVERY_CHARGE_ONLY"),$K788=""),"Declared delivery charge required",IF(AND(OR($S788="TOTAL_AMOUNT_INCLUDING_DELIVERY",$S788="EXACT_COLLECTION_AMOUNT"),$T788=""),"Stated total amount required",IF(AND($S788="TOTAL_AMOUNT_INCLUDING_DELIVERY",$T788&lt;SUM($J788,$U788)),"Stated total is below item price plus additional charge",IF($S788="EXACT_COLLECTION_AMOUNT","Authorized amount breakdown required before settlement","Ready for collection and settlement"))))))))))))</f>
        <v/>
      </c>
      <c r="AW788" s="23">
        <f>IF($AU788="","","PARCEL_FINANCIAL_V2")</f>
        <v/>
      </c>
      <c r="AX788" s="17" t="n"/>
    </row>
    <row r="789">
      <c r="A789" s="8" t="n"/>
      <c r="B789" s="8" t="n"/>
      <c r="C789" s="8" t="n"/>
      <c r="D789" s="8" t="n"/>
      <c r="E789" s="9" t="n"/>
      <c r="F789" s="9" t="n"/>
      <c r="G789" s="8" t="n"/>
      <c r="H789" s="9" t="n"/>
      <c r="I789" s="9" t="n"/>
      <c r="J789" s="10" t="n"/>
      <c r="K789" s="10" t="n"/>
      <c r="L789" s="11">
        <f>IF($S789="","",IF($S789="ITEM_PRICE_PLUS_DECLARED_DELIVERY",IF(OR($J789="",$K789=""),"",SUM($J789,$K789,$U789)),IF($S789="TOTAL_AMOUNT_INCLUDING_DELIVERY",IF($T789="","",$T789),IF($S789="DELIVERY_CHARGE_ONLY",IF($K789="","",SUM($K789,$U789)),IF($S789="EXACT_COLLECTION_AMOUNT",IF($T789="","",$T789),IF($S789="ITEM_PRICE_ONLY_DELIVERY_PAID_BY_MERCHANT",IF($J789="","",SUM($J789,$U789)),""))))))</f>
        <v/>
      </c>
      <c r="M789" s="12" t="n"/>
      <c r="N789" s="13" t="n"/>
      <c r="O789" s="13" t="n"/>
      <c r="P789" s="9" t="n"/>
      <c r="Q789" s="14" t="n"/>
      <c r="R789" s="15" t="n"/>
      <c r="S789" s="14" t="n"/>
      <c r="T789" s="16" t="n"/>
      <c r="U789" s="16" t="n"/>
      <c r="V789" s="16" t="n"/>
      <c r="W789" s="16" t="n"/>
      <c r="X789" s="16" t="n"/>
      <c r="Y789" s="16" t="n"/>
      <c r="Z789" s="14" t="n"/>
      <c r="AA789" s="14" t="n"/>
      <c r="AB789" s="14" t="n"/>
      <c r="AC789" s="17">
        <f>IFERROR(VLOOKUP($H789&amp;"|"&amp;$Q789,Tariff_Master!$A$2:$L$169,3,FALSE),"")</f>
        <v/>
      </c>
      <c r="AD789" s="17">
        <f>IFERROR(VLOOKUP($H789&amp;"|"&amp;$Q789,Tariff_Master!$A$2:$L$169,4,FALSE),"")</f>
        <v/>
      </c>
      <c r="AE789" s="18">
        <f>IFERROR(VLOOKUP($H789&amp;"|"&amp;$Q789,Tariff_Master!$A$2:$L$169,6,FALSE),"")</f>
        <v/>
      </c>
      <c r="AF789" s="19">
        <f>IFERROR(VLOOKUP($H789&amp;"|"&amp;$Q789,Tariff_Master!$A$2:$L$169,7,FALSE),"")</f>
        <v/>
      </c>
      <c r="AG789" s="18">
        <f>IFERROR(VLOOKUP($H789&amp;"|"&amp;$Q789,Tariff_Master!$A$2:$L$169,8,FALSE),"")</f>
        <v/>
      </c>
      <c r="AH789" s="20">
        <f>IFERROR(VLOOKUP($H789&amp;"|"&amp;$Q789,Tariff_Master!$A$2:$L$169,9,FALSE),"")</f>
        <v/>
      </c>
      <c r="AI789" s="18">
        <f>IFERROR(VLOOKUP($H789&amp;"|"&amp;$Q789,Tariff_Master!$A$2:$L$169,10,FALSE),"")</f>
        <v/>
      </c>
      <c r="AJ789" s="21">
        <f>IF($M789="","",ROUNDUP(MAX(0,$M789),0))</f>
        <v/>
      </c>
      <c r="AK789" s="21">
        <f>IF(OR($AJ789="",$AF789=""),"",MAX(0,$AJ789-$AF789))</f>
        <v/>
      </c>
      <c r="AL789" s="22">
        <f>IF(OR($AK789="",$AG789=""),"",MAX(0,$AK789*$AG789))</f>
        <v/>
      </c>
      <c r="AM789" s="22">
        <f>IF($AE789="","",MAX(0,SUM($AE789,$AL789,$V789,$W789)))</f>
        <v/>
      </c>
      <c r="AN789" s="22">
        <f>IF($AM789="","",IF(AND($Q789="COMMITMENT",$R789&gt;=$AH789),$AI789,0))</f>
        <v/>
      </c>
      <c r="AO789" s="23">
        <f>IF($AM789="","",MAX(0,$AM789-$AN789))</f>
        <v/>
      </c>
      <c r="AP789" s="22">
        <f>IF($S789="","",IF(OR($S789="ITEM_PRICE_PLUS_DECLARED_DELIVERY",$S789="DELIVERY_CHARGE_ONLY"),$K789,IF($S789="TOTAL_AMOUNT_INCLUDING_DELIVERY",IF(OR($T789="",$J789=""),"",MAX(0,$T789-$J789-$U789)),IF($S789="ITEM_PRICE_ONLY_DELIVERY_PAID_BY_MERCHANT",0,""))))</f>
        <v/>
      </c>
      <c r="AQ789" s="23">
        <f>IF(OR($AP789="",$AO789=""),"",$AP789-$AO789)</f>
        <v/>
      </c>
      <c r="AR789" s="24">
        <f>IF($S789="EXACT_COLLECTION_AMOUNT","BREAKDOWN_REQUIRED",IF($AQ789="","",IF($AQ789&gt;0,"CREDIT_TO_MERCHANT",IF($AQ789&lt;0,"DEDUCT_FROM_MERCHANT","NO_ADJUSTMENT"))))</f>
        <v/>
      </c>
      <c r="AS789" s="23">
        <f>IF(OR($AQ789="",$AR789="BREAKDOWN_REQUIRED"),"",$AQ789)</f>
        <v/>
      </c>
      <c r="AT789" s="23">
        <f>IF(OR($AR789="",$AR789="BREAKDOWN_REQUIRED"),"",SUM($J789,$AQ789,$Y789)-$X789)</f>
        <v/>
      </c>
      <c r="AU789" s="25">
        <f>IF(AND($A789="",$B789="",$F789="",$H789="",$J789="",$K789="",$M789="",$S789=""),"",IF(OR($H789="",$Q789="",$M789="",$S789=""),"ERROR",IF(OR($J789&lt;0,$K789&lt;0,$M789&lt;0,$T789&lt;0,$U789&lt;0,$V789&lt;0,$W789&lt;0,$X789&lt;0,$Y789&lt;0),"ERROR",IF($AE789="","ERROR",IF(AND(OR($S789="ITEM_PRICE_PLUS_DECLARED_DELIVERY",$S789="TOTAL_AMOUNT_INCLUDING_DELIVERY",$S789="ITEM_PRICE_ONLY_DELIVERY_PAID_BY_MERCHANT"),$J789=""),"ERROR",IF(AND(OR($S789="ITEM_PRICE_PLUS_DECLARED_DELIVERY",$S789="DELIVERY_CHARGE_ONLY"),$K789=""),"ERROR",IF(AND(OR($S789="TOTAL_AMOUNT_INCLUDING_DELIVERY",$S789="EXACT_COLLECTION_AMOUNT"),$T789=""),"ERROR",IF(AND($S789="TOTAL_AMOUNT_INCLUDING_DELIVERY",$T789&lt;SUM($J789,$U789)),"ERROR",IF($S789="EXACT_COLLECTION_AMOUNT","REVIEW","OK")))))))))</f>
        <v/>
      </c>
      <c r="AV789" s="25">
        <f>IF($AU789="","",IF($H789="","Township required",IF($Q789="","Customer tier required",IF($M789="","Weight required",IF($S789="","Amount entry type required",IF(OR($J789&lt;0,$K789&lt;0,$M789&lt;0,$T789&lt;0,$U789&lt;0,$V789&lt;0,$W789&lt;0,$X789&lt;0,$Y789&lt;0),"Negative amounts are not allowed",IF($AE789="","Tariff not found for township and tier",IF(AND(OR($S789="ITEM_PRICE_PLUS_DECLARED_DELIVERY",$S789="TOTAL_AMOUNT_INCLUDING_DELIVERY",$S789="ITEM_PRICE_ONLY_DELIVERY_PAID_BY_MERCHANT"),$J789=""),"Item price required for this amount type",IF(AND(OR($S789="ITEM_PRICE_PLUS_DECLARED_DELIVERY",$S789="DELIVERY_CHARGE_ONLY"),$K789=""),"Declared delivery charge required",IF(AND(OR($S789="TOTAL_AMOUNT_INCLUDING_DELIVERY",$S789="EXACT_COLLECTION_AMOUNT"),$T789=""),"Stated total amount required",IF(AND($S789="TOTAL_AMOUNT_INCLUDING_DELIVERY",$T789&lt;SUM($J789,$U789)),"Stated total is below item price plus additional charge",IF($S789="EXACT_COLLECTION_AMOUNT","Authorized amount breakdown required before settlement","Ready for collection and settlement"))))))))))))</f>
        <v/>
      </c>
      <c r="AW789" s="23">
        <f>IF($AU789="","","PARCEL_FINANCIAL_V2")</f>
        <v/>
      </c>
      <c r="AX789" s="17" t="n"/>
    </row>
    <row r="790">
      <c r="A790" s="8" t="n"/>
      <c r="B790" s="8" t="n"/>
      <c r="C790" s="8" t="n"/>
      <c r="D790" s="8" t="n"/>
      <c r="E790" s="9" t="n"/>
      <c r="F790" s="9" t="n"/>
      <c r="G790" s="8" t="n"/>
      <c r="H790" s="9" t="n"/>
      <c r="I790" s="9" t="n"/>
      <c r="J790" s="10" t="n"/>
      <c r="K790" s="10" t="n"/>
      <c r="L790" s="11">
        <f>IF($S790="","",IF($S790="ITEM_PRICE_PLUS_DECLARED_DELIVERY",IF(OR($J790="",$K790=""),"",SUM($J790,$K790,$U790)),IF($S790="TOTAL_AMOUNT_INCLUDING_DELIVERY",IF($T790="","",$T790),IF($S790="DELIVERY_CHARGE_ONLY",IF($K790="","",SUM($K790,$U790)),IF($S790="EXACT_COLLECTION_AMOUNT",IF($T790="","",$T790),IF($S790="ITEM_PRICE_ONLY_DELIVERY_PAID_BY_MERCHANT",IF($J790="","",SUM($J790,$U790)),""))))))</f>
        <v/>
      </c>
      <c r="M790" s="12" t="n"/>
      <c r="N790" s="13" t="n"/>
      <c r="O790" s="13" t="n"/>
      <c r="P790" s="9" t="n"/>
      <c r="Q790" s="14" t="n"/>
      <c r="R790" s="15" t="n"/>
      <c r="S790" s="14" t="n"/>
      <c r="T790" s="16" t="n"/>
      <c r="U790" s="16" t="n"/>
      <c r="V790" s="16" t="n"/>
      <c r="W790" s="16" t="n"/>
      <c r="X790" s="16" t="n"/>
      <c r="Y790" s="16" t="n"/>
      <c r="Z790" s="14" t="n"/>
      <c r="AA790" s="14" t="n"/>
      <c r="AB790" s="14" t="n"/>
      <c r="AC790" s="17">
        <f>IFERROR(VLOOKUP($H790&amp;"|"&amp;$Q790,Tariff_Master!$A$2:$L$169,3,FALSE),"")</f>
        <v/>
      </c>
      <c r="AD790" s="17">
        <f>IFERROR(VLOOKUP($H790&amp;"|"&amp;$Q790,Tariff_Master!$A$2:$L$169,4,FALSE),"")</f>
        <v/>
      </c>
      <c r="AE790" s="18">
        <f>IFERROR(VLOOKUP($H790&amp;"|"&amp;$Q790,Tariff_Master!$A$2:$L$169,6,FALSE),"")</f>
        <v/>
      </c>
      <c r="AF790" s="19">
        <f>IFERROR(VLOOKUP($H790&amp;"|"&amp;$Q790,Tariff_Master!$A$2:$L$169,7,FALSE),"")</f>
        <v/>
      </c>
      <c r="AG790" s="18">
        <f>IFERROR(VLOOKUP($H790&amp;"|"&amp;$Q790,Tariff_Master!$A$2:$L$169,8,FALSE),"")</f>
        <v/>
      </c>
      <c r="AH790" s="20">
        <f>IFERROR(VLOOKUP($H790&amp;"|"&amp;$Q790,Tariff_Master!$A$2:$L$169,9,FALSE),"")</f>
        <v/>
      </c>
      <c r="AI790" s="18">
        <f>IFERROR(VLOOKUP($H790&amp;"|"&amp;$Q790,Tariff_Master!$A$2:$L$169,10,FALSE),"")</f>
        <v/>
      </c>
      <c r="AJ790" s="21">
        <f>IF($M790="","",ROUNDUP(MAX(0,$M790),0))</f>
        <v/>
      </c>
      <c r="AK790" s="21">
        <f>IF(OR($AJ790="",$AF790=""),"",MAX(0,$AJ790-$AF790))</f>
        <v/>
      </c>
      <c r="AL790" s="22">
        <f>IF(OR($AK790="",$AG790=""),"",MAX(0,$AK790*$AG790))</f>
        <v/>
      </c>
      <c r="AM790" s="22">
        <f>IF($AE790="","",MAX(0,SUM($AE790,$AL790,$V790,$W790)))</f>
        <v/>
      </c>
      <c r="AN790" s="22">
        <f>IF($AM790="","",IF(AND($Q790="COMMITMENT",$R790&gt;=$AH790),$AI790,0))</f>
        <v/>
      </c>
      <c r="AO790" s="23">
        <f>IF($AM790="","",MAX(0,$AM790-$AN790))</f>
        <v/>
      </c>
      <c r="AP790" s="22">
        <f>IF($S790="","",IF(OR($S790="ITEM_PRICE_PLUS_DECLARED_DELIVERY",$S790="DELIVERY_CHARGE_ONLY"),$K790,IF($S790="TOTAL_AMOUNT_INCLUDING_DELIVERY",IF(OR($T790="",$J790=""),"",MAX(0,$T790-$J790-$U790)),IF($S790="ITEM_PRICE_ONLY_DELIVERY_PAID_BY_MERCHANT",0,""))))</f>
        <v/>
      </c>
      <c r="AQ790" s="23">
        <f>IF(OR($AP790="",$AO790=""),"",$AP790-$AO790)</f>
        <v/>
      </c>
      <c r="AR790" s="24">
        <f>IF($S790="EXACT_COLLECTION_AMOUNT","BREAKDOWN_REQUIRED",IF($AQ790="","",IF($AQ790&gt;0,"CREDIT_TO_MERCHANT",IF($AQ790&lt;0,"DEDUCT_FROM_MERCHANT","NO_ADJUSTMENT"))))</f>
        <v/>
      </c>
      <c r="AS790" s="23">
        <f>IF(OR($AQ790="",$AR790="BREAKDOWN_REQUIRED"),"",$AQ790)</f>
        <v/>
      </c>
      <c r="AT790" s="23">
        <f>IF(OR($AR790="",$AR790="BREAKDOWN_REQUIRED"),"",SUM($J790,$AQ790,$Y790)-$X790)</f>
        <v/>
      </c>
      <c r="AU790" s="25">
        <f>IF(AND($A790="",$B790="",$F790="",$H790="",$J790="",$K790="",$M790="",$S790=""),"",IF(OR($H790="",$Q790="",$M790="",$S790=""),"ERROR",IF(OR($J790&lt;0,$K790&lt;0,$M790&lt;0,$T790&lt;0,$U790&lt;0,$V790&lt;0,$W790&lt;0,$X790&lt;0,$Y790&lt;0),"ERROR",IF($AE790="","ERROR",IF(AND(OR($S790="ITEM_PRICE_PLUS_DECLARED_DELIVERY",$S790="TOTAL_AMOUNT_INCLUDING_DELIVERY",$S790="ITEM_PRICE_ONLY_DELIVERY_PAID_BY_MERCHANT"),$J790=""),"ERROR",IF(AND(OR($S790="ITEM_PRICE_PLUS_DECLARED_DELIVERY",$S790="DELIVERY_CHARGE_ONLY"),$K790=""),"ERROR",IF(AND(OR($S790="TOTAL_AMOUNT_INCLUDING_DELIVERY",$S790="EXACT_COLLECTION_AMOUNT"),$T790=""),"ERROR",IF(AND($S790="TOTAL_AMOUNT_INCLUDING_DELIVERY",$T790&lt;SUM($J790,$U790)),"ERROR",IF($S790="EXACT_COLLECTION_AMOUNT","REVIEW","OK")))))))))</f>
        <v/>
      </c>
      <c r="AV790" s="25">
        <f>IF($AU790="","",IF($H790="","Township required",IF($Q790="","Customer tier required",IF($M790="","Weight required",IF($S790="","Amount entry type required",IF(OR($J790&lt;0,$K790&lt;0,$M790&lt;0,$T790&lt;0,$U790&lt;0,$V790&lt;0,$W790&lt;0,$X790&lt;0,$Y790&lt;0),"Negative amounts are not allowed",IF($AE790="","Tariff not found for township and tier",IF(AND(OR($S790="ITEM_PRICE_PLUS_DECLARED_DELIVERY",$S790="TOTAL_AMOUNT_INCLUDING_DELIVERY",$S790="ITEM_PRICE_ONLY_DELIVERY_PAID_BY_MERCHANT"),$J790=""),"Item price required for this amount type",IF(AND(OR($S790="ITEM_PRICE_PLUS_DECLARED_DELIVERY",$S790="DELIVERY_CHARGE_ONLY"),$K790=""),"Declared delivery charge required",IF(AND(OR($S790="TOTAL_AMOUNT_INCLUDING_DELIVERY",$S790="EXACT_COLLECTION_AMOUNT"),$T790=""),"Stated total amount required",IF(AND($S790="TOTAL_AMOUNT_INCLUDING_DELIVERY",$T790&lt;SUM($J790,$U790)),"Stated total is below item price plus additional charge",IF($S790="EXACT_COLLECTION_AMOUNT","Authorized amount breakdown required before settlement","Ready for collection and settlement"))))))))))))</f>
        <v/>
      </c>
      <c r="AW790" s="23">
        <f>IF($AU790="","","PARCEL_FINANCIAL_V2")</f>
        <v/>
      </c>
      <c r="AX790" s="17" t="n"/>
    </row>
    <row r="791">
      <c r="A791" s="8" t="n"/>
      <c r="B791" s="8" t="n"/>
      <c r="C791" s="8" t="n"/>
      <c r="D791" s="8" t="n"/>
      <c r="E791" s="9" t="n"/>
      <c r="F791" s="9" t="n"/>
      <c r="G791" s="8" t="n"/>
      <c r="H791" s="9" t="n"/>
      <c r="I791" s="9" t="n"/>
      <c r="J791" s="10" t="n"/>
      <c r="K791" s="10" t="n"/>
      <c r="L791" s="11">
        <f>IF($S791="","",IF($S791="ITEM_PRICE_PLUS_DECLARED_DELIVERY",IF(OR($J791="",$K791=""),"",SUM($J791,$K791,$U791)),IF($S791="TOTAL_AMOUNT_INCLUDING_DELIVERY",IF($T791="","",$T791),IF($S791="DELIVERY_CHARGE_ONLY",IF($K791="","",SUM($K791,$U791)),IF($S791="EXACT_COLLECTION_AMOUNT",IF($T791="","",$T791),IF($S791="ITEM_PRICE_ONLY_DELIVERY_PAID_BY_MERCHANT",IF($J791="","",SUM($J791,$U791)),""))))))</f>
        <v/>
      </c>
      <c r="M791" s="12" t="n"/>
      <c r="N791" s="13" t="n"/>
      <c r="O791" s="13" t="n"/>
      <c r="P791" s="9" t="n"/>
      <c r="Q791" s="14" t="n"/>
      <c r="R791" s="15" t="n"/>
      <c r="S791" s="14" t="n"/>
      <c r="T791" s="16" t="n"/>
      <c r="U791" s="16" t="n"/>
      <c r="V791" s="16" t="n"/>
      <c r="W791" s="16" t="n"/>
      <c r="X791" s="16" t="n"/>
      <c r="Y791" s="16" t="n"/>
      <c r="Z791" s="14" t="n"/>
      <c r="AA791" s="14" t="n"/>
      <c r="AB791" s="14" t="n"/>
      <c r="AC791" s="17">
        <f>IFERROR(VLOOKUP($H791&amp;"|"&amp;$Q791,Tariff_Master!$A$2:$L$169,3,FALSE),"")</f>
        <v/>
      </c>
      <c r="AD791" s="17">
        <f>IFERROR(VLOOKUP($H791&amp;"|"&amp;$Q791,Tariff_Master!$A$2:$L$169,4,FALSE),"")</f>
        <v/>
      </c>
      <c r="AE791" s="18">
        <f>IFERROR(VLOOKUP($H791&amp;"|"&amp;$Q791,Tariff_Master!$A$2:$L$169,6,FALSE),"")</f>
        <v/>
      </c>
      <c r="AF791" s="19">
        <f>IFERROR(VLOOKUP($H791&amp;"|"&amp;$Q791,Tariff_Master!$A$2:$L$169,7,FALSE),"")</f>
        <v/>
      </c>
      <c r="AG791" s="18">
        <f>IFERROR(VLOOKUP($H791&amp;"|"&amp;$Q791,Tariff_Master!$A$2:$L$169,8,FALSE),"")</f>
        <v/>
      </c>
      <c r="AH791" s="20">
        <f>IFERROR(VLOOKUP($H791&amp;"|"&amp;$Q791,Tariff_Master!$A$2:$L$169,9,FALSE),"")</f>
        <v/>
      </c>
      <c r="AI791" s="18">
        <f>IFERROR(VLOOKUP($H791&amp;"|"&amp;$Q791,Tariff_Master!$A$2:$L$169,10,FALSE),"")</f>
        <v/>
      </c>
      <c r="AJ791" s="21">
        <f>IF($M791="","",ROUNDUP(MAX(0,$M791),0))</f>
        <v/>
      </c>
      <c r="AK791" s="21">
        <f>IF(OR($AJ791="",$AF791=""),"",MAX(0,$AJ791-$AF791))</f>
        <v/>
      </c>
      <c r="AL791" s="22">
        <f>IF(OR($AK791="",$AG791=""),"",MAX(0,$AK791*$AG791))</f>
        <v/>
      </c>
      <c r="AM791" s="22">
        <f>IF($AE791="","",MAX(0,SUM($AE791,$AL791,$V791,$W791)))</f>
        <v/>
      </c>
      <c r="AN791" s="22">
        <f>IF($AM791="","",IF(AND($Q791="COMMITMENT",$R791&gt;=$AH791),$AI791,0))</f>
        <v/>
      </c>
      <c r="AO791" s="23">
        <f>IF($AM791="","",MAX(0,$AM791-$AN791))</f>
        <v/>
      </c>
      <c r="AP791" s="22">
        <f>IF($S791="","",IF(OR($S791="ITEM_PRICE_PLUS_DECLARED_DELIVERY",$S791="DELIVERY_CHARGE_ONLY"),$K791,IF($S791="TOTAL_AMOUNT_INCLUDING_DELIVERY",IF(OR($T791="",$J791=""),"",MAX(0,$T791-$J791-$U791)),IF($S791="ITEM_PRICE_ONLY_DELIVERY_PAID_BY_MERCHANT",0,""))))</f>
        <v/>
      </c>
      <c r="AQ791" s="23">
        <f>IF(OR($AP791="",$AO791=""),"",$AP791-$AO791)</f>
        <v/>
      </c>
      <c r="AR791" s="24">
        <f>IF($S791="EXACT_COLLECTION_AMOUNT","BREAKDOWN_REQUIRED",IF($AQ791="","",IF($AQ791&gt;0,"CREDIT_TO_MERCHANT",IF($AQ791&lt;0,"DEDUCT_FROM_MERCHANT","NO_ADJUSTMENT"))))</f>
        <v/>
      </c>
      <c r="AS791" s="23">
        <f>IF(OR($AQ791="",$AR791="BREAKDOWN_REQUIRED"),"",$AQ791)</f>
        <v/>
      </c>
      <c r="AT791" s="23">
        <f>IF(OR($AR791="",$AR791="BREAKDOWN_REQUIRED"),"",SUM($J791,$AQ791,$Y791)-$X791)</f>
        <v/>
      </c>
      <c r="AU791" s="25">
        <f>IF(AND($A791="",$B791="",$F791="",$H791="",$J791="",$K791="",$M791="",$S791=""),"",IF(OR($H791="",$Q791="",$M791="",$S791=""),"ERROR",IF(OR($J791&lt;0,$K791&lt;0,$M791&lt;0,$T791&lt;0,$U791&lt;0,$V791&lt;0,$W791&lt;0,$X791&lt;0,$Y791&lt;0),"ERROR",IF($AE791="","ERROR",IF(AND(OR($S791="ITEM_PRICE_PLUS_DECLARED_DELIVERY",$S791="TOTAL_AMOUNT_INCLUDING_DELIVERY",$S791="ITEM_PRICE_ONLY_DELIVERY_PAID_BY_MERCHANT"),$J791=""),"ERROR",IF(AND(OR($S791="ITEM_PRICE_PLUS_DECLARED_DELIVERY",$S791="DELIVERY_CHARGE_ONLY"),$K791=""),"ERROR",IF(AND(OR($S791="TOTAL_AMOUNT_INCLUDING_DELIVERY",$S791="EXACT_COLLECTION_AMOUNT"),$T791=""),"ERROR",IF(AND($S791="TOTAL_AMOUNT_INCLUDING_DELIVERY",$T791&lt;SUM($J791,$U791)),"ERROR",IF($S791="EXACT_COLLECTION_AMOUNT","REVIEW","OK")))))))))</f>
        <v/>
      </c>
      <c r="AV791" s="25">
        <f>IF($AU791="","",IF($H791="","Township required",IF($Q791="","Customer tier required",IF($M791="","Weight required",IF($S791="","Amount entry type required",IF(OR($J791&lt;0,$K791&lt;0,$M791&lt;0,$T791&lt;0,$U791&lt;0,$V791&lt;0,$W791&lt;0,$X791&lt;0,$Y791&lt;0),"Negative amounts are not allowed",IF($AE791="","Tariff not found for township and tier",IF(AND(OR($S791="ITEM_PRICE_PLUS_DECLARED_DELIVERY",$S791="TOTAL_AMOUNT_INCLUDING_DELIVERY",$S791="ITEM_PRICE_ONLY_DELIVERY_PAID_BY_MERCHANT"),$J791=""),"Item price required for this amount type",IF(AND(OR($S791="ITEM_PRICE_PLUS_DECLARED_DELIVERY",$S791="DELIVERY_CHARGE_ONLY"),$K791=""),"Declared delivery charge required",IF(AND(OR($S791="TOTAL_AMOUNT_INCLUDING_DELIVERY",$S791="EXACT_COLLECTION_AMOUNT"),$T791=""),"Stated total amount required",IF(AND($S791="TOTAL_AMOUNT_INCLUDING_DELIVERY",$T791&lt;SUM($J791,$U791)),"Stated total is below item price plus additional charge",IF($S791="EXACT_COLLECTION_AMOUNT","Authorized amount breakdown required before settlement","Ready for collection and settlement"))))))))))))</f>
        <v/>
      </c>
      <c r="AW791" s="23">
        <f>IF($AU791="","","PARCEL_FINANCIAL_V2")</f>
        <v/>
      </c>
      <c r="AX791" s="17" t="n"/>
    </row>
    <row r="792">
      <c r="A792" s="8" t="n"/>
      <c r="B792" s="8" t="n"/>
      <c r="C792" s="8" t="n"/>
      <c r="D792" s="8" t="n"/>
      <c r="E792" s="9" t="n"/>
      <c r="F792" s="9" t="n"/>
      <c r="G792" s="8" t="n"/>
      <c r="H792" s="9" t="n"/>
      <c r="I792" s="9" t="n"/>
      <c r="J792" s="10" t="n"/>
      <c r="K792" s="10" t="n"/>
      <c r="L792" s="11">
        <f>IF($S792="","",IF($S792="ITEM_PRICE_PLUS_DECLARED_DELIVERY",IF(OR($J792="",$K792=""),"",SUM($J792,$K792,$U792)),IF($S792="TOTAL_AMOUNT_INCLUDING_DELIVERY",IF($T792="","",$T792),IF($S792="DELIVERY_CHARGE_ONLY",IF($K792="","",SUM($K792,$U792)),IF($S792="EXACT_COLLECTION_AMOUNT",IF($T792="","",$T792),IF($S792="ITEM_PRICE_ONLY_DELIVERY_PAID_BY_MERCHANT",IF($J792="","",SUM($J792,$U792)),""))))))</f>
        <v/>
      </c>
      <c r="M792" s="12" t="n"/>
      <c r="N792" s="13" t="n"/>
      <c r="O792" s="13" t="n"/>
      <c r="P792" s="9" t="n"/>
      <c r="Q792" s="14" t="n"/>
      <c r="R792" s="15" t="n"/>
      <c r="S792" s="14" t="n"/>
      <c r="T792" s="16" t="n"/>
      <c r="U792" s="16" t="n"/>
      <c r="V792" s="16" t="n"/>
      <c r="W792" s="16" t="n"/>
      <c r="X792" s="16" t="n"/>
      <c r="Y792" s="16" t="n"/>
      <c r="Z792" s="14" t="n"/>
      <c r="AA792" s="14" t="n"/>
      <c r="AB792" s="14" t="n"/>
      <c r="AC792" s="17">
        <f>IFERROR(VLOOKUP($H792&amp;"|"&amp;$Q792,Tariff_Master!$A$2:$L$169,3,FALSE),"")</f>
        <v/>
      </c>
      <c r="AD792" s="17">
        <f>IFERROR(VLOOKUP($H792&amp;"|"&amp;$Q792,Tariff_Master!$A$2:$L$169,4,FALSE),"")</f>
        <v/>
      </c>
      <c r="AE792" s="18">
        <f>IFERROR(VLOOKUP($H792&amp;"|"&amp;$Q792,Tariff_Master!$A$2:$L$169,6,FALSE),"")</f>
        <v/>
      </c>
      <c r="AF792" s="19">
        <f>IFERROR(VLOOKUP($H792&amp;"|"&amp;$Q792,Tariff_Master!$A$2:$L$169,7,FALSE),"")</f>
        <v/>
      </c>
      <c r="AG792" s="18">
        <f>IFERROR(VLOOKUP($H792&amp;"|"&amp;$Q792,Tariff_Master!$A$2:$L$169,8,FALSE),"")</f>
        <v/>
      </c>
      <c r="AH792" s="20">
        <f>IFERROR(VLOOKUP($H792&amp;"|"&amp;$Q792,Tariff_Master!$A$2:$L$169,9,FALSE),"")</f>
        <v/>
      </c>
      <c r="AI792" s="18">
        <f>IFERROR(VLOOKUP($H792&amp;"|"&amp;$Q792,Tariff_Master!$A$2:$L$169,10,FALSE),"")</f>
        <v/>
      </c>
      <c r="AJ792" s="21">
        <f>IF($M792="","",ROUNDUP(MAX(0,$M792),0))</f>
        <v/>
      </c>
      <c r="AK792" s="21">
        <f>IF(OR($AJ792="",$AF792=""),"",MAX(0,$AJ792-$AF792))</f>
        <v/>
      </c>
      <c r="AL792" s="22">
        <f>IF(OR($AK792="",$AG792=""),"",MAX(0,$AK792*$AG792))</f>
        <v/>
      </c>
      <c r="AM792" s="22">
        <f>IF($AE792="","",MAX(0,SUM($AE792,$AL792,$V792,$W792)))</f>
        <v/>
      </c>
      <c r="AN792" s="22">
        <f>IF($AM792="","",IF(AND($Q792="COMMITMENT",$R792&gt;=$AH792),$AI792,0))</f>
        <v/>
      </c>
      <c r="AO792" s="23">
        <f>IF($AM792="","",MAX(0,$AM792-$AN792))</f>
        <v/>
      </c>
      <c r="AP792" s="22">
        <f>IF($S792="","",IF(OR($S792="ITEM_PRICE_PLUS_DECLARED_DELIVERY",$S792="DELIVERY_CHARGE_ONLY"),$K792,IF($S792="TOTAL_AMOUNT_INCLUDING_DELIVERY",IF(OR($T792="",$J792=""),"",MAX(0,$T792-$J792-$U792)),IF($S792="ITEM_PRICE_ONLY_DELIVERY_PAID_BY_MERCHANT",0,""))))</f>
        <v/>
      </c>
      <c r="AQ792" s="23">
        <f>IF(OR($AP792="",$AO792=""),"",$AP792-$AO792)</f>
        <v/>
      </c>
      <c r="AR792" s="24">
        <f>IF($S792="EXACT_COLLECTION_AMOUNT","BREAKDOWN_REQUIRED",IF($AQ792="","",IF($AQ792&gt;0,"CREDIT_TO_MERCHANT",IF($AQ792&lt;0,"DEDUCT_FROM_MERCHANT","NO_ADJUSTMENT"))))</f>
        <v/>
      </c>
      <c r="AS792" s="23">
        <f>IF(OR($AQ792="",$AR792="BREAKDOWN_REQUIRED"),"",$AQ792)</f>
        <v/>
      </c>
      <c r="AT792" s="23">
        <f>IF(OR($AR792="",$AR792="BREAKDOWN_REQUIRED"),"",SUM($J792,$AQ792,$Y792)-$X792)</f>
        <v/>
      </c>
      <c r="AU792" s="25">
        <f>IF(AND($A792="",$B792="",$F792="",$H792="",$J792="",$K792="",$M792="",$S792=""),"",IF(OR($H792="",$Q792="",$M792="",$S792=""),"ERROR",IF(OR($J792&lt;0,$K792&lt;0,$M792&lt;0,$T792&lt;0,$U792&lt;0,$V792&lt;0,$W792&lt;0,$X792&lt;0,$Y792&lt;0),"ERROR",IF($AE792="","ERROR",IF(AND(OR($S792="ITEM_PRICE_PLUS_DECLARED_DELIVERY",$S792="TOTAL_AMOUNT_INCLUDING_DELIVERY",$S792="ITEM_PRICE_ONLY_DELIVERY_PAID_BY_MERCHANT"),$J792=""),"ERROR",IF(AND(OR($S792="ITEM_PRICE_PLUS_DECLARED_DELIVERY",$S792="DELIVERY_CHARGE_ONLY"),$K792=""),"ERROR",IF(AND(OR($S792="TOTAL_AMOUNT_INCLUDING_DELIVERY",$S792="EXACT_COLLECTION_AMOUNT"),$T792=""),"ERROR",IF(AND($S792="TOTAL_AMOUNT_INCLUDING_DELIVERY",$T792&lt;SUM($J792,$U792)),"ERROR",IF($S792="EXACT_COLLECTION_AMOUNT","REVIEW","OK")))))))))</f>
        <v/>
      </c>
      <c r="AV792" s="25">
        <f>IF($AU792="","",IF($H792="","Township required",IF($Q792="","Customer tier required",IF($M792="","Weight required",IF($S792="","Amount entry type required",IF(OR($J792&lt;0,$K792&lt;0,$M792&lt;0,$T792&lt;0,$U792&lt;0,$V792&lt;0,$W792&lt;0,$X792&lt;0,$Y792&lt;0),"Negative amounts are not allowed",IF($AE792="","Tariff not found for township and tier",IF(AND(OR($S792="ITEM_PRICE_PLUS_DECLARED_DELIVERY",$S792="TOTAL_AMOUNT_INCLUDING_DELIVERY",$S792="ITEM_PRICE_ONLY_DELIVERY_PAID_BY_MERCHANT"),$J792=""),"Item price required for this amount type",IF(AND(OR($S792="ITEM_PRICE_PLUS_DECLARED_DELIVERY",$S792="DELIVERY_CHARGE_ONLY"),$K792=""),"Declared delivery charge required",IF(AND(OR($S792="TOTAL_AMOUNT_INCLUDING_DELIVERY",$S792="EXACT_COLLECTION_AMOUNT"),$T792=""),"Stated total amount required",IF(AND($S792="TOTAL_AMOUNT_INCLUDING_DELIVERY",$T792&lt;SUM($J792,$U792)),"Stated total is below item price plus additional charge",IF($S792="EXACT_COLLECTION_AMOUNT","Authorized amount breakdown required before settlement","Ready for collection and settlement"))))))))))))</f>
        <v/>
      </c>
      <c r="AW792" s="23">
        <f>IF($AU792="","","PARCEL_FINANCIAL_V2")</f>
        <v/>
      </c>
      <c r="AX792" s="17" t="n"/>
    </row>
    <row r="793">
      <c r="A793" s="8" t="n"/>
      <c r="B793" s="8" t="n"/>
      <c r="C793" s="8" t="n"/>
      <c r="D793" s="8" t="n"/>
      <c r="E793" s="9" t="n"/>
      <c r="F793" s="9" t="n"/>
      <c r="G793" s="8" t="n"/>
      <c r="H793" s="9" t="n"/>
      <c r="I793" s="9" t="n"/>
      <c r="J793" s="10" t="n"/>
      <c r="K793" s="10" t="n"/>
      <c r="L793" s="11">
        <f>IF($S793="","",IF($S793="ITEM_PRICE_PLUS_DECLARED_DELIVERY",IF(OR($J793="",$K793=""),"",SUM($J793,$K793,$U793)),IF($S793="TOTAL_AMOUNT_INCLUDING_DELIVERY",IF($T793="","",$T793),IF($S793="DELIVERY_CHARGE_ONLY",IF($K793="","",SUM($K793,$U793)),IF($S793="EXACT_COLLECTION_AMOUNT",IF($T793="","",$T793),IF($S793="ITEM_PRICE_ONLY_DELIVERY_PAID_BY_MERCHANT",IF($J793="","",SUM($J793,$U793)),""))))))</f>
        <v/>
      </c>
      <c r="M793" s="12" t="n"/>
      <c r="N793" s="13" t="n"/>
      <c r="O793" s="13" t="n"/>
      <c r="P793" s="9" t="n"/>
      <c r="Q793" s="14" t="n"/>
      <c r="R793" s="15" t="n"/>
      <c r="S793" s="14" t="n"/>
      <c r="T793" s="16" t="n"/>
      <c r="U793" s="16" t="n"/>
      <c r="V793" s="16" t="n"/>
      <c r="W793" s="16" t="n"/>
      <c r="X793" s="16" t="n"/>
      <c r="Y793" s="16" t="n"/>
      <c r="Z793" s="14" t="n"/>
      <c r="AA793" s="14" t="n"/>
      <c r="AB793" s="14" t="n"/>
      <c r="AC793" s="17">
        <f>IFERROR(VLOOKUP($H793&amp;"|"&amp;$Q793,Tariff_Master!$A$2:$L$169,3,FALSE),"")</f>
        <v/>
      </c>
      <c r="AD793" s="17">
        <f>IFERROR(VLOOKUP($H793&amp;"|"&amp;$Q793,Tariff_Master!$A$2:$L$169,4,FALSE),"")</f>
        <v/>
      </c>
      <c r="AE793" s="18">
        <f>IFERROR(VLOOKUP($H793&amp;"|"&amp;$Q793,Tariff_Master!$A$2:$L$169,6,FALSE),"")</f>
        <v/>
      </c>
      <c r="AF793" s="19">
        <f>IFERROR(VLOOKUP($H793&amp;"|"&amp;$Q793,Tariff_Master!$A$2:$L$169,7,FALSE),"")</f>
        <v/>
      </c>
      <c r="AG793" s="18">
        <f>IFERROR(VLOOKUP($H793&amp;"|"&amp;$Q793,Tariff_Master!$A$2:$L$169,8,FALSE),"")</f>
        <v/>
      </c>
      <c r="AH793" s="20">
        <f>IFERROR(VLOOKUP($H793&amp;"|"&amp;$Q793,Tariff_Master!$A$2:$L$169,9,FALSE),"")</f>
        <v/>
      </c>
      <c r="AI793" s="18">
        <f>IFERROR(VLOOKUP($H793&amp;"|"&amp;$Q793,Tariff_Master!$A$2:$L$169,10,FALSE),"")</f>
        <v/>
      </c>
      <c r="AJ793" s="21">
        <f>IF($M793="","",ROUNDUP(MAX(0,$M793),0))</f>
        <v/>
      </c>
      <c r="AK793" s="21">
        <f>IF(OR($AJ793="",$AF793=""),"",MAX(0,$AJ793-$AF793))</f>
        <v/>
      </c>
      <c r="AL793" s="22">
        <f>IF(OR($AK793="",$AG793=""),"",MAX(0,$AK793*$AG793))</f>
        <v/>
      </c>
      <c r="AM793" s="22">
        <f>IF($AE793="","",MAX(0,SUM($AE793,$AL793,$V793,$W793)))</f>
        <v/>
      </c>
      <c r="AN793" s="22">
        <f>IF($AM793="","",IF(AND($Q793="COMMITMENT",$R793&gt;=$AH793),$AI793,0))</f>
        <v/>
      </c>
      <c r="AO793" s="23">
        <f>IF($AM793="","",MAX(0,$AM793-$AN793))</f>
        <v/>
      </c>
      <c r="AP793" s="22">
        <f>IF($S793="","",IF(OR($S793="ITEM_PRICE_PLUS_DECLARED_DELIVERY",$S793="DELIVERY_CHARGE_ONLY"),$K793,IF($S793="TOTAL_AMOUNT_INCLUDING_DELIVERY",IF(OR($T793="",$J793=""),"",MAX(0,$T793-$J793-$U793)),IF($S793="ITEM_PRICE_ONLY_DELIVERY_PAID_BY_MERCHANT",0,""))))</f>
        <v/>
      </c>
      <c r="AQ793" s="23">
        <f>IF(OR($AP793="",$AO793=""),"",$AP793-$AO793)</f>
        <v/>
      </c>
      <c r="AR793" s="24">
        <f>IF($S793="EXACT_COLLECTION_AMOUNT","BREAKDOWN_REQUIRED",IF($AQ793="","",IF($AQ793&gt;0,"CREDIT_TO_MERCHANT",IF($AQ793&lt;0,"DEDUCT_FROM_MERCHANT","NO_ADJUSTMENT"))))</f>
        <v/>
      </c>
      <c r="AS793" s="23">
        <f>IF(OR($AQ793="",$AR793="BREAKDOWN_REQUIRED"),"",$AQ793)</f>
        <v/>
      </c>
      <c r="AT793" s="23">
        <f>IF(OR($AR793="",$AR793="BREAKDOWN_REQUIRED"),"",SUM($J793,$AQ793,$Y793)-$X793)</f>
        <v/>
      </c>
      <c r="AU793" s="25">
        <f>IF(AND($A793="",$B793="",$F793="",$H793="",$J793="",$K793="",$M793="",$S793=""),"",IF(OR($H793="",$Q793="",$M793="",$S793=""),"ERROR",IF(OR($J793&lt;0,$K793&lt;0,$M793&lt;0,$T793&lt;0,$U793&lt;0,$V793&lt;0,$W793&lt;0,$X793&lt;0,$Y793&lt;0),"ERROR",IF($AE793="","ERROR",IF(AND(OR($S793="ITEM_PRICE_PLUS_DECLARED_DELIVERY",$S793="TOTAL_AMOUNT_INCLUDING_DELIVERY",$S793="ITEM_PRICE_ONLY_DELIVERY_PAID_BY_MERCHANT"),$J793=""),"ERROR",IF(AND(OR($S793="ITEM_PRICE_PLUS_DECLARED_DELIVERY",$S793="DELIVERY_CHARGE_ONLY"),$K793=""),"ERROR",IF(AND(OR($S793="TOTAL_AMOUNT_INCLUDING_DELIVERY",$S793="EXACT_COLLECTION_AMOUNT"),$T793=""),"ERROR",IF(AND($S793="TOTAL_AMOUNT_INCLUDING_DELIVERY",$T793&lt;SUM($J793,$U793)),"ERROR",IF($S793="EXACT_COLLECTION_AMOUNT","REVIEW","OK")))))))))</f>
        <v/>
      </c>
      <c r="AV793" s="25">
        <f>IF($AU793="","",IF($H793="","Township required",IF($Q793="","Customer tier required",IF($M793="","Weight required",IF($S793="","Amount entry type required",IF(OR($J793&lt;0,$K793&lt;0,$M793&lt;0,$T793&lt;0,$U793&lt;0,$V793&lt;0,$W793&lt;0,$X793&lt;0,$Y793&lt;0),"Negative amounts are not allowed",IF($AE793="","Tariff not found for township and tier",IF(AND(OR($S793="ITEM_PRICE_PLUS_DECLARED_DELIVERY",$S793="TOTAL_AMOUNT_INCLUDING_DELIVERY",$S793="ITEM_PRICE_ONLY_DELIVERY_PAID_BY_MERCHANT"),$J793=""),"Item price required for this amount type",IF(AND(OR($S793="ITEM_PRICE_PLUS_DECLARED_DELIVERY",$S793="DELIVERY_CHARGE_ONLY"),$K793=""),"Declared delivery charge required",IF(AND(OR($S793="TOTAL_AMOUNT_INCLUDING_DELIVERY",$S793="EXACT_COLLECTION_AMOUNT"),$T793=""),"Stated total amount required",IF(AND($S793="TOTAL_AMOUNT_INCLUDING_DELIVERY",$T793&lt;SUM($J793,$U793)),"Stated total is below item price plus additional charge",IF($S793="EXACT_COLLECTION_AMOUNT","Authorized amount breakdown required before settlement","Ready for collection and settlement"))))))))))))</f>
        <v/>
      </c>
      <c r="AW793" s="23">
        <f>IF($AU793="","","PARCEL_FINANCIAL_V2")</f>
        <v/>
      </c>
      <c r="AX793" s="17" t="n"/>
    </row>
    <row r="794">
      <c r="A794" s="8" t="n"/>
      <c r="B794" s="8" t="n"/>
      <c r="C794" s="8" t="n"/>
      <c r="D794" s="8" t="n"/>
      <c r="E794" s="9" t="n"/>
      <c r="F794" s="9" t="n"/>
      <c r="G794" s="8" t="n"/>
      <c r="H794" s="9" t="n"/>
      <c r="I794" s="9" t="n"/>
      <c r="J794" s="10" t="n"/>
      <c r="K794" s="10" t="n"/>
      <c r="L794" s="11">
        <f>IF($S794="","",IF($S794="ITEM_PRICE_PLUS_DECLARED_DELIVERY",IF(OR($J794="",$K794=""),"",SUM($J794,$K794,$U794)),IF($S794="TOTAL_AMOUNT_INCLUDING_DELIVERY",IF($T794="","",$T794),IF($S794="DELIVERY_CHARGE_ONLY",IF($K794="","",SUM($K794,$U794)),IF($S794="EXACT_COLLECTION_AMOUNT",IF($T794="","",$T794),IF($S794="ITEM_PRICE_ONLY_DELIVERY_PAID_BY_MERCHANT",IF($J794="","",SUM($J794,$U794)),""))))))</f>
        <v/>
      </c>
      <c r="M794" s="12" t="n"/>
      <c r="N794" s="13" t="n"/>
      <c r="O794" s="13" t="n"/>
      <c r="P794" s="9" t="n"/>
      <c r="Q794" s="14" t="n"/>
      <c r="R794" s="15" t="n"/>
      <c r="S794" s="14" t="n"/>
      <c r="T794" s="16" t="n"/>
      <c r="U794" s="16" t="n"/>
      <c r="V794" s="16" t="n"/>
      <c r="W794" s="16" t="n"/>
      <c r="X794" s="16" t="n"/>
      <c r="Y794" s="16" t="n"/>
      <c r="Z794" s="14" t="n"/>
      <c r="AA794" s="14" t="n"/>
      <c r="AB794" s="14" t="n"/>
      <c r="AC794" s="17">
        <f>IFERROR(VLOOKUP($H794&amp;"|"&amp;$Q794,Tariff_Master!$A$2:$L$169,3,FALSE),"")</f>
        <v/>
      </c>
      <c r="AD794" s="17">
        <f>IFERROR(VLOOKUP($H794&amp;"|"&amp;$Q794,Tariff_Master!$A$2:$L$169,4,FALSE),"")</f>
        <v/>
      </c>
      <c r="AE794" s="18">
        <f>IFERROR(VLOOKUP($H794&amp;"|"&amp;$Q794,Tariff_Master!$A$2:$L$169,6,FALSE),"")</f>
        <v/>
      </c>
      <c r="AF794" s="19">
        <f>IFERROR(VLOOKUP($H794&amp;"|"&amp;$Q794,Tariff_Master!$A$2:$L$169,7,FALSE),"")</f>
        <v/>
      </c>
      <c r="AG794" s="18">
        <f>IFERROR(VLOOKUP($H794&amp;"|"&amp;$Q794,Tariff_Master!$A$2:$L$169,8,FALSE),"")</f>
        <v/>
      </c>
      <c r="AH794" s="20">
        <f>IFERROR(VLOOKUP($H794&amp;"|"&amp;$Q794,Tariff_Master!$A$2:$L$169,9,FALSE),"")</f>
        <v/>
      </c>
      <c r="AI794" s="18">
        <f>IFERROR(VLOOKUP($H794&amp;"|"&amp;$Q794,Tariff_Master!$A$2:$L$169,10,FALSE),"")</f>
        <v/>
      </c>
      <c r="AJ794" s="21">
        <f>IF($M794="","",ROUNDUP(MAX(0,$M794),0))</f>
        <v/>
      </c>
      <c r="AK794" s="21">
        <f>IF(OR($AJ794="",$AF794=""),"",MAX(0,$AJ794-$AF794))</f>
        <v/>
      </c>
      <c r="AL794" s="22">
        <f>IF(OR($AK794="",$AG794=""),"",MAX(0,$AK794*$AG794))</f>
        <v/>
      </c>
      <c r="AM794" s="22">
        <f>IF($AE794="","",MAX(0,SUM($AE794,$AL794,$V794,$W794)))</f>
        <v/>
      </c>
      <c r="AN794" s="22">
        <f>IF($AM794="","",IF(AND($Q794="COMMITMENT",$R794&gt;=$AH794),$AI794,0))</f>
        <v/>
      </c>
      <c r="AO794" s="23">
        <f>IF($AM794="","",MAX(0,$AM794-$AN794))</f>
        <v/>
      </c>
      <c r="AP794" s="22">
        <f>IF($S794="","",IF(OR($S794="ITEM_PRICE_PLUS_DECLARED_DELIVERY",$S794="DELIVERY_CHARGE_ONLY"),$K794,IF($S794="TOTAL_AMOUNT_INCLUDING_DELIVERY",IF(OR($T794="",$J794=""),"",MAX(0,$T794-$J794-$U794)),IF($S794="ITEM_PRICE_ONLY_DELIVERY_PAID_BY_MERCHANT",0,""))))</f>
        <v/>
      </c>
      <c r="AQ794" s="23">
        <f>IF(OR($AP794="",$AO794=""),"",$AP794-$AO794)</f>
        <v/>
      </c>
      <c r="AR794" s="24">
        <f>IF($S794="EXACT_COLLECTION_AMOUNT","BREAKDOWN_REQUIRED",IF($AQ794="","",IF($AQ794&gt;0,"CREDIT_TO_MERCHANT",IF($AQ794&lt;0,"DEDUCT_FROM_MERCHANT","NO_ADJUSTMENT"))))</f>
        <v/>
      </c>
      <c r="AS794" s="23">
        <f>IF(OR($AQ794="",$AR794="BREAKDOWN_REQUIRED"),"",$AQ794)</f>
        <v/>
      </c>
      <c r="AT794" s="23">
        <f>IF(OR($AR794="",$AR794="BREAKDOWN_REQUIRED"),"",SUM($J794,$AQ794,$Y794)-$X794)</f>
        <v/>
      </c>
      <c r="AU794" s="25">
        <f>IF(AND($A794="",$B794="",$F794="",$H794="",$J794="",$K794="",$M794="",$S794=""),"",IF(OR($H794="",$Q794="",$M794="",$S794=""),"ERROR",IF(OR($J794&lt;0,$K794&lt;0,$M794&lt;0,$T794&lt;0,$U794&lt;0,$V794&lt;0,$W794&lt;0,$X794&lt;0,$Y794&lt;0),"ERROR",IF($AE794="","ERROR",IF(AND(OR($S794="ITEM_PRICE_PLUS_DECLARED_DELIVERY",$S794="TOTAL_AMOUNT_INCLUDING_DELIVERY",$S794="ITEM_PRICE_ONLY_DELIVERY_PAID_BY_MERCHANT"),$J794=""),"ERROR",IF(AND(OR($S794="ITEM_PRICE_PLUS_DECLARED_DELIVERY",$S794="DELIVERY_CHARGE_ONLY"),$K794=""),"ERROR",IF(AND(OR($S794="TOTAL_AMOUNT_INCLUDING_DELIVERY",$S794="EXACT_COLLECTION_AMOUNT"),$T794=""),"ERROR",IF(AND($S794="TOTAL_AMOUNT_INCLUDING_DELIVERY",$T794&lt;SUM($J794,$U794)),"ERROR",IF($S794="EXACT_COLLECTION_AMOUNT","REVIEW","OK")))))))))</f>
        <v/>
      </c>
      <c r="AV794" s="25">
        <f>IF($AU794="","",IF($H794="","Township required",IF($Q794="","Customer tier required",IF($M794="","Weight required",IF($S794="","Amount entry type required",IF(OR($J794&lt;0,$K794&lt;0,$M794&lt;0,$T794&lt;0,$U794&lt;0,$V794&lt;0,$W794&lt;0,$X794&lt;0,$Y794&lt;0),"Negative amounts are not allowed",IF($AE794="","Tariff not found for township and tier",IF(AND(OR($S794="ITEM_PRICE_PLUS_DECLARED_DELIVERY",$S794="TOTAL_AMOUNT_INCLUDING_DELIVERY",$S794="ITEM_PRICE_ONLY_DELIVERY_PAID_BY_MERCHANT"),$J794=""),"Item price required for this amount type",IF(AND(OR($S794="ITEM_PRICE_PLUS_DECLARED_DELIVERY",$S794="DELIVERY_CHARGE_ONLY"),$K794=""),"Declared delivery charge required",IF(AND(OR($S794="TOTAL_AMOUNT_INCLUDING_DELIVERY",$S794="EXACT_COLLECTION_AMOUNT"),$T794=""),"Stated total amount required",IF(AND($S794="TOTAL_AMOUNT_INCLUDING_DELIVERY",$T794&lt;SUM($J794,$U794)),"Stated total is below item price plus additional charge",IF($S794="EXACT_COLLECTION_AMOUNT","Authorized amount breakdown required before settlement","Ready for collection and settlement"))))))))))))</f>
        <v/>
      </c>
      <c r="AW794" s="23">
        <f>IF($AU794="","","PARCEL_FINANCIAL_V2")</f>
        <v/>
      </c>
      <c r="AX794" s="17" t="n"/>
    </row>
    <row r="795">
      <c r="A795" s="8" t="n"/>
      <c r="B795" s="8" t="n"/>
      <c r="C795" s="8" t="n"/>
      <c r="D795" s="8" t="n"/>
      <c r="E795" s="9" t="n"/>
      <c r="F795" s="9" t="n"/>
      <c r="G795" s="8" t="n"/>
      <c r="H795" s="9" t="n"/>
      <c r="I795" s="9" t="n"/>
      <c r="J795" s="10" t="n"/>
      <c r="K795" s="10" t="n"/>
      <c r="L795" s="11">
        <f>IF($S795="","",IF($S795="ITEM_PRICE_PLUS_DECLARED_DELIVERY",IF(OR($J795="",$K795=""),"",SUM($J795,$K795,$U795)),IF($S795="TOTAL_AMOUNT_INCLUDING_DELIVERY",IF($T795="","",$T795),IF($S795="DELIVERY_CHARGE_ONLY",IF($K795="","",SUM($K795,$U795)),IF($S795="EXACT_COLLECTION_AMOUNT",IF($T795="","",$T795),IF($S795="ITEM_PRICE_ONLY_DELIVERY_PAID_BY_MERCHANT",IF($J795="","",SUM($J795,$U795)),""))))))</f>
        <v/>
      </c>
      <c r="M795" s="12" t="n"/>
      <c r="N795" s="13" t="n"/>
      <c r="O795" s="13" t="n"/>
      <c r="P795" s="9" t="n"/>
      <c r="Q795" s="14" t="n"/>
      <c r="R795" s="15" t="n"/>
      <c r="S795" s="14" t="n"/>
      <c r="T795" s="16" t="n"/>
      <c r="U795" s="16" t="n"/>
      <c r="V795" s="16" t="n"/>
      <c r="W795" s="16" t="n"/>
      <c r="X795" s="16" t="n"/>
      <c r="Y795" s="16" t="n"/>
      <c r="Z795" s="14" t="n"/>
      <c r="AA795" s="14" t="n"/>
      <c r="AB795" s="14" t="n"/>
      <c r="AC795" s="17">
        <f>IFERROR(VLOOKUP($H795&amp;"|"&amp;$Q795,Tariff_Master!$A$2:$L$169,3,FALSE),"")</f>
        <v/>
      </c>
      <c r="AD795" s="17">
        <f>IFERROR(VLOOKUP($H795&amp;"|"&amp;$Q795,Tariff_Master!$A$2:$L$169,4,FALSE),"")</f>
        <v/>
      </c>
      <c r="AE795" s="18">
        <f>IFERROR(VLOOKUP($H795&amp;"|"&amp;$Q795,Tariff_Master!$A$2:$L$169,6,FALSE),"")</f>
        <v/>
      </c>
      <c r="AF795" s="19">
        <f>IFERROR(VLOOKUP($H795&amp;"|"&amp;$Q795,Tariff_Master!$A$2:$L$169,7,FALSE),"")</f>
        <v/>
      </c>
      <c r="AG795" s="18">
        <f>IFERROR(VLOOKUP($H795&amp;"|"&amp;$Q795,Tariff_Master!$A$2:$L$169,8,FALSE),"")</f>
        <v/>
      </c>
      <c r="AH795" s="20">
        <f>IFERROR(VLOOKUP($H795&amp;"|"&amp;$Q795,Tariff_Master!$A$2:$L$169,9,FALSE),"")</f>
        <v/>
      </c>
      <c r="AI795" s="18">
        <f>IFERROR(VLOOKUP($H795&amp;"|"&amp;$Q795,Tariff_Master!$A$2:$L$169,10,FALSE),"")</f>
        <v/>
      </c>
      <c r="AJ795" s="21">
        <f>IF($M795="","",ROUNDUP(MAX(0,$M795),0))</f>
        <v/>
      </c>
      <c r="AK795" s="21">
        <f>IF(OR($AJ795="",$AF795=""),"",MAX(0,$AJ795-$AF795))</f>
        <v/>
      </c>
      <c r="AL795" s="22">
        <f>IF(OR($AK795="",$AG795=""),"",MAX(0,$AK795*$AG795))</f>
        <v/>
      </c>
      <c r="AM795" s="22">
        <f>IF($AE795="","",MAX(0,SUM($AE795,$AL795,$V795,$W795)))</f>
        <v/>
      </c>
      <c r="AN795" s="22">
        <f>IF($AM795="","",IF(AND($Q795="COMMITMENT",$R795&gt;=$AH795),$AI795,0))</f>
        <v/>
      </c>
      <c r="AO795" s="23">
        <f>IF($AM795="","",MAX(0,$AM795-$AN795))</f>
        <v/>
      </c>
      <c r="AP795" s="22">
        <f>IF($S795="","",IF(OR($S795="ITEM_PRICE_PLUS_DECLARED_DELIVERY",$S795="DELIVERY_CHARGE_ONLY"),$K795,IF($S795="TOTAL_AMOUNT_INCLUDING_DELIVERY",IF(OR($T795="",$J795=""),"",MAX(0,$T795-$J795-$U795)),IF($S795="ITEM_PRICE_ONLY_DELIVERY_PAID_BY_MERCHANT",0,""))))</f>
        <v/>
      </c>
      <c r="AQ795" s="23">
        <f>IF(OR($AP795="",$AO795=""),"",$AP795-$AO795)</f>
        <v/>
      </c>
      <c r="AR795" s="24">
        <f>IF($S795="EXACT_COLLECTION_AMOUNT","BREAKDOWN_REQUIRED",IF($AQ795="","",IF($AQ795&gt;0,"CREDIT_TO_MERCHANT",IF($AQ795&lt;0,"DEDUCT_FROM_MERCHANT","NO_ADJUSTMENT"))))</f>
        <v/>
      </c>
      <c r="AS795" s="23">
        <f>IF(OR($AQ795="",$AR795="BREAKDOWN_REQUIRED"),"",$AQ795)</f>
        <v/>
      </c>
      <c r="AT795" s="23">
        <f>IF(OR($AR795="",$AR795="BREAKDOWN_REQUIRED"),"",SUM($J795,$AQ795,$Y795)-$X795)</f>
        <v/>
      </c>
      <c r="AU795" s="25">
        <f>IF(AND($A795="",$B795="",$F795="",$H795="",$J795="",$K795="",$M795="",$S795=""),"",IF(OR($H795="",$Q795="",$M795="",$S795=""),"ERROR",IF(OR($J795&lt;0,$K795&lt;0,$M795&lt;0,$T795&lt;0,$U795&lt;0,$V795&lt;0,$W795&lt;0,$X795&lt;0,$Y795&lt;0),"ERROR",IF($AE795="","ERROR",IF(AND(OR($S795="ITEM_PRICE_PLUS_DECLARED_DELIVERY",$S795="TOTAL_AMOUNT_INCLUDING_DELIVERY",$S795="ITEM_PRICE_ONLY_DELIVERY_PAID_BY_MERCHANT"),$J795=""),"ERROR",IF(AND(OR($S795="ITEM_PRICE_PLUS_DECLARED_DELIVERY",$S795="DELIVERY_CHARGE_ONLY"),$K795=""),"ERROR",IF(AND(OR($S795="TOTAL_AMOUNT_INCLUDING_DELIVERY",$S795="EXACT_COLLECTION_AMOUNT"),$T795=""),"ERROR",IF(AND($S795="TOTAL_AMOUNT_INCLUDING_DELIVERY",$T795&lt;SUM($J795,$U795)),"ERROR",IF($S795="EXACT_COLLECTION_AMOUNT","REVIEW","OK")))))))))</f>
        <v/>
      </c>
      <c r="AV795" s="25">
        <f>IF($AU795="","",IF($H795="","Township required",IF($Q795="","Customer tier required",IF($M795="","Weight required",IF($S795="","Amount entry type required",IF(OR($J795&lt;0,$K795&lt;0,$M795&lt;0,$T795&lt;0,$U795&lt;0,$V795&lt;0,$W795&lt;0,$X795&lt;0,$Y795&lt;0),"Negative amounts are not allowed",IF($AE795="","Tariff not found for township and tier",IF(AND(OR($S795="ITEM_PRICE_PLUS_DECLARED_DELIVERY",$S795="TOTAL_AMOUNT_INCLUDING_DELIVERY",$S795="ITEM_PRICE_ONLY_DELIVERY_PAID_BY_MERCHANT"),$J795=""),"Item price required for this amount type",IF(AND(OR($S795="ITEM_PRICE_PLUS_DECLARED_DELIVERY",$S795="DELIVERY_CHARGE_ONLY"),$K795=""),"Declared delivery charge required",IF(AND(OR($S795="TOTAL_AMOUNT_INCLUDING_DELIVERY",$S795="EXACT_COLLECTION_AMOUNT"),$T795=""),"Stated total amount required",IF(AND($S795="TOTAL_AMOUNT_INCLUDING_DELIVERY",$T795&lt;SUM($J795,$U795)),"Stated total is below item price plus additional charge",IF($S795="EXACT_COLLECTION_AMOUNT","Authorized amount breakdown required before settlement","Ready for collection and settlement"))))))))))))</f>
        <v/>
      </c>
      <c r="AW795" s="23">
        <f>IF($AU795="","","PARCEL_FINANCIAL_V2")</f>
        <v/>
      </c>
      <c r="AX795" s="17" t="n"/>
    </row>
    <row r="796">
      <c r="A796" s="8" t="n"/>
      <c r="B796" s="8" t="n"/>
      <c r="C796" s="8" t="n"/>
      <c r="D796" s="8" t="n"/>
      <c r="E796" s="9" t="n"/>
      <c r="F796" s="9" t="n"/>
      <c r="G796" s="8" t="n"/>
      <c r="H796" s="9" t="n"/>
      <c r="I796" s="9" t="n"/>
      <c r="J796" s="10" t="n"/>
      <c r="K796" s="10" t="n"/>
      <c r="L796" s="11">
        <f>IF($S796="","",IF($S796="ITEM_PRICE_PLUS_DECLARED_DELIVERY",IF(OR($J796="",$K796=""),"",SUM($J796,$K796,$U796)),IF($S796="TOTAL_AMOUNT_INCLUDING_DELIVERY",IF($T796="","",$T796),IF($S796="DELIVERY_CHARGE_ONLY",IF($K796="","",SUM($K796,$U796)),IF($S796="EXACT_COLLECTION_AMOUNT",IF($T796="","",$T796),IF($S796="ITEM_PRICE_ONLY_DELIVERY_PAID_BY_MERCHANT",IF($J796="","",SUM($J796,$U796)),""))))))</f>
        <v/>
      </c>
      <c r="M796" s="12" t="n"/>
      <c r="N796" s="13" t="n"/>
      <c r="O796" s="13" t="n"/>
      <c r="P796" s="9" t="n"/>
      <c r="Q796" s="14" t="n"/>
      <c r="R796" s="15" t="n"/>
      <c r="S796" s="14" t="n"/>
      <c r="T796" s="16" t="n"/>
      <c r="U796" s="16" t="n"/>
      <c r="V796" s="16" t="n"/>
      <c r="W796" s="16" t="n"/>
      <c r="X796" s="16" t="n"/>
      <c r="Y796" s="16" t="n"/>
      <c r="Z796" s="14" t="n"/>
      <c r="AA796" s="14" t="n"/>
      <c r="AB796" s="14" t="n"/>
      <c r="AC796" s="17">
        <f>IFERROR(VLOOKUP($H796&amp;"|"&amp;$Q796,Tariff_Master!$A$2:$L$169,3,FALSE),"")</f>
        <v/>
      </c>
      <c r="AD796" s="17">
        <f>IFERROR(VLOOKUP($H796&amp;"|"&amp;$Q796,Tariff_Master!$A$2:$L$169,4,FALSE),"")</f>
        <v/>
      </c>
      <c r="AE796" s="18">
        <f>IFERROR(VLOOKUP($H796&amp;"|"&amp;$Q796,Tariff_Master!$A$2:$L$169,6,FALSE),"")</f>
        <v/>
      </c>
      <c r="AF796" s="19">
        <f>IFERROR(VLOOKUP($H796&amp;"|"&amp;$Q796,Tariff_Master!$A$2:$L$169,7,FALSE),"")</f>
        <v/>
      </c>
      <c r="AG796" s="18">
        <f>IFERROR(VLOOKUP($H796&amp;"|"&amp;$Q796,Tariff_Master!$A$2:$L$169,8,FALSE),"")</f>
        <v/>
      </c>
      <c r="AH796" s="20">
        <f>IFERROR(VLOOKUP($H796&amp;"|"&amp;$Q796,Tariff_Master!$A$2:$L$169,9,FALSE),"")</f>
        <v/>
      </c>
      <c r="AI796" s="18">
        <f>IFERROR(VLOOKUP($H796&amp;"|"&amp;$Q796,Tariff_Master!$A$2:$L$169,10,FALSE),"")</f>
        <v/>
      </c>
      <c r="AJ796" s="21">
        <f>IF($M796="","",ROUNDUP(MAX(0,$M796),0))</f>
        <v/>
      </c>
      <c r="AK796" s="21">
        <f>IF(OR($AJ796="",$AF796=""),"",MAX(0,$AJ796-$AF796))</f>
        <v/>
      </c>
      <c r="AL796" s="22">
        <f>IF(OR($AK796="",$AG796=""),"",MAX(0,$AK796*$AG796))</f>
        <v/>
      </c>
      <c r="AM796" s="22">
        <f>IF($AE796="","",MAX(0,SUM($AE796,$AL796,$V796,$W796)))</f>
        <v/>
      </c>
      <c r="AN796" s="22">
        <f>IF($AM796="","",IF(AND($Q796="COMMITMENT",$R796&gt;=$AH796),$AI796,0))</f>
        <v/>
      </c>
      <c r="AO796" s="23">
        <f>IF($AM796="","",MAX(0,$AM796-$AN796))</f>
        <v/>
      </c>
      <c r="AP796" s="22">
        <f>IF($S796="","",IF(OR($S796="ITEM_PRICE_PLUS_DECLARED_DELIVERY",$S796="DELIVERY_CHARGE_ONLY"),$K796,IF($S796="TOTAL_AMOUNT_INCLUDING_DELIVERY",IF(OR($T796="",$J796=""),"",MAX(0,$T796-$J796-$U796)),IF($S796="ITEM_PRICE_ONLY_DELIVERY_PAID_BY_MERCHANT",0,""))))</f>
        <v/>
      </c>
      <c r="AQ796" s="23">
        <f>IF(OR($AP796="",$AO796=""),"",$AP796-$AO796)</f>
        <v/>
      </c>
      <c r="AR796" s="24">
        <f>IF($S796="EXACT_COLLECTION_AMOUNT","BREAKDOWN_REQUIRED",IF($AQ796="","",IF($AQ796&gt;0,"CREDIT_TO_MERCHANT",IF($AQ796&lt;0,"DEDUCT_FROM_MERCHANT","NO_ADJUSTMENT"))))</f>
        <v/>
      </c>
      <c r="AS796" s="23">
        <f>IF(OR($AQ796="",$AR796="BREAKDOWN_REQUIRED"),"",$AQ796)</f>
        <v/>
      </c>
      <c r="AT796" s="23">
        <f>IF(OR($AR796="",$AR796="BREAKDOWN_REQUIRED"),"",SUM($J796,$AQ796,$Y796)-$X796)</f>
        <v/>
      </c>
      <c r="AU796" s="25">
        <f>IF(AND($A796="",$B796="",$F796="",$H796="",$J796="",$K796="",$M796="",$S796=""),"",IF(OR($H796="",$Q796="",$M796="",$S796=""),"ERROR",IF(OR($J796&lt;0,$K796&lt;0,$M796&lt;0,$T796&lt;0,$U796&lt;0,$V796&lt;0,$W796&lt;0,$X796&lt;0,$Y796&lt;0),"ERROR",IF($AE796="","ERROR",IF(AND(OR($S796="ITEM_PRICE_PLUS_DECLARED_DELIVERY",$S796="TOTAL_AMOUNT_INCLUDING_DELIVERY",$S796="ITEM_PRICE_ONLY_DELIVERY_PAID_BY_MERCHANT"),$J796=""),"ERROR",IF(AND(OR($S796="ITEM_PRICE_PLUS_DECLARED_DELIVERY",$S796="DELIVERY_CHARGE_ONLY"),$K796=""),"ERROR",IF(AND(OR($S796="TOTAL_AMOUNT_INCLUDING_DELIVERY",$S796="EXACT_COLLECTION_AMOUNT"),$T796=""),"ERROR",IF(AND($S796="TOTAL_AMOUNT_INCLUDING_DELIVERY",$T796&lt;SUM($J796,$U796)),"ERROR",IF($S796="EXACT_COLLECTION_AMOUNT","REVIEW","OK")))))))))</f>
        <v/>
      </c>
      <c r="AV796" s="25">
        <f>IF($AU796="","",IF($H796="","Township required",IF($Q796="","Customer tier required",IF($M796="","Weight required",IF($S796="","Amount entry type required",IF(OR($J796&lt;0,$K796&lt;0,$M796&lt;0,$T796&lt;0,$U796&lt;0,$V796&lt;0,$W796&lt;0,$X796&lt;0,$Y796&lt;0),"Negative amounts are not allowed",IF($AE796="","Tariff not found for township and tier",IF(AND(OR($S796="ITEM_PRICE_PLUS_DECLARED_DELIVERY",$S796="TOTAL_AMOUNT_INCLUDING_DELIVERY",$S796="ITEM_PRICE_ONLY_DELIVERY_PAID_BY_MERCHANT"),$J796=""),"Item price required for this amount type",IF(AND(OR($S796="ITEM_PRICE_PLUS_DECLARED_DELIVERY",$S796="DELIVERY_CHARGE_ONLY"),$K796=""),"Declared delivery charge required",IF(AND(OR($S796="TOTAL_AMOUNT_INCLUDING_DELIVERY",$S796="EXACT_COLLECTION_AMOUNT"),$T796=""),"Stated total amount required",IF(AND($S796="TOTAL_AMOUNT_INCLUDING_DELIVERY",$T796&lt;SUM($J796,$U796)),"Stated total is below item price plus additional charge",IF($S796="EXACT_COLLECTION_AMOUNT","Authorized amount breakdown required before settlement","Ready for collection and settlement"))))))))))))</f>
        <v/>
      </c>
      <c r="AW796" s="23">
        <f>IF($AU796="","","PARCEL_FINANCIAL_V2")</f>
        <v/>
      </c>
      <c r="AX796" s="17" t="n"/>
    </row>
    <row r="797">
      <c r="A797" s="8" t="n"/>
      <c r="B797" s="8" t="n"/>
      <c r="C797" s="8" t="n"/>
      <c r="D797" s="8" t="n"/>
      <c r="E797" s="9" t="n"/>
      <c r="F797" s="9" t="n"/>
      <c r="G797" s="8" t="n"/>
      <c r="H797" s="9" t="n"/>
      <c r="I797" s="9" t="n"/>
      <c r="J797" s="10" t="n"/>
      <c r="K797" s="10" t="n"/>
      <c r="L797" s="11">
        <f>IF($S797="","",IF($S797="ITEM_PRICE_PLUS_DECLARED_DELIVERY",IF(OR($J797="",$K797=""),"",SUM($J797,$K797,$U797)),IF($S797="TOTAL_AMOUNT_INCLUDING_DELIVERY",IF($T797="","",$T797),IF($S797="DELIVERY_CHARGE_ONLY",IF($K797="","",SUM($K797,$U797)),IF($S797="EXACT_COLLECTION_AMOUNT",IF($T797="","",$T797),IF($S797="ITEM_PRICE_ONLY_DELIVERY_PAID_BY_MERCHANT",IF($J797="","",SUM($J797,$U797)),""))))))</f>
        <v/>
      </c>
      <c r="M797" s="12" t="n"/>
      <c r="N797" s="13" t="n"/>
      <c r="O797" s="13" t="n"/>
      <c r="P797" s="9" t="n"/>
      <c r="Q797" s="14" t="n"/>
      <c r="R797" s="15" t="n"/>
      <c r="S797" s="14" t="n"/>
      <c r="T797" s="16" t="n"/>
      <c r="U797" s="16" t="n"/>
      <c r="V797" s="16" t="n"/>
      <c r="W797" s="16" t="n"/>
      <c r="X797" s="16" t="n"/>
      <c r="Y797" s="16" t="n"/>
      <c r="Z797" s="14" t="n"/>
      <c r="AA797" s="14" t="n"/>
      <c r="AB797" s="14" t="n"/>
      <c r="AC797" s="17">
        <f>IFERROR(VLOOKUP($H797&amp;"|"&amp;$Q797,Tariff_Master!$A$2:$L$169,3,FALSE),"")</f>
        <v/>
      </c>
      <c r="AD797" s="17">
        <f>IFERROR(VLOOKUP($H797&amp;"|"&amp;$Q797,Tariff_Master!$A$2:$L$169,4,FALSE),"")</f>
        <v/>
      </c>
      <c r="AE797" s="18">
        <f>IFERROR(VLOOKUP($H797&amp;"|"&amp;$Q797,Tariff_Master!$A$2:$L$169,6,FALSE),"")</f>
        <v/>
      </c>
      <c r="AF797" s="19">
        <f>IFERROR(VLOOKUP($H797&amp;"|"&amp;$Q797,Tariff_Master!$A$2:$L$169,7,FALSE),"")</f>
        <v/>
      </c>
      <c r="AG797" s="18">
        <f>IFERROR(VLOOKUP($H797&amp;"|"&amp;$Q797,Tariff_Master!$A$2:$L$169,8,FALSE),"")</f>
        <v/>
      </c>
      <c r="AH797" s="20">
        <f>IFERROR(VLOOKUP($H797&amp;"|"&amp;$Q797,Tariff_Master!$A$2:$L$169,9,FALSE),"")</f>
        <v/>
      </c>
      <c r="AI797" s="18">
        <f>IFERROR(VLOOKUP($H797&amp;"|"&amp;$Q797,Tariff_Master!$A$2:$L$169,10,FALSE),"")</f>
        <v/>
      </c>
      <c r="AJ797" s="21">
        <f>IF($M797="","",ROUNDUP(MAX(0,$M797),0))</f>
        <v/>
      </c>
      <c r="AK797" s="21">
        <f>IF(OR($AJ797="",$AF797=""),"",MAX(0,$AJ797-$AF797))</f>
        <v/>
      </c>
      <c r="AL797" s="22">
        <f>IF(OR($AK797="",$AG797=""),"",MAX(0,$AK797*$AG797))</f>
        <v/>
      </c>
      <c r="AM797" s="22">
        <f>IF($AE797="","",MAX(0,SUM($AE797,$AL797,$V797,$W797)))</f>
        <v/>
      </c>
      <c r="AN797" s="22">
        <f>IF($AM797="","",IF(AND($Q797="COMMITMENT",$R797&gt;=$AH797),$AI797,0))</f>
        <v/>
      </c>
      <c r="AO797" s="23">
        <f>IF($AM797="","",MAX(0,$AM797-$AN797))</f>
        <v/>
      </c>
      <c r="AP797" s="22">
        <f>IF($S797="","",IF(OR($S797="ITEM_PRICE_PLUS_DECLARED_DELIVERY",$S797="DELIVERY_CHARGE_ONLY"),$K797,IF($S797="TOTAL_AMOUNT_INCLUDING_DELIVERY",IF(OR($T797="",$J797=""),"",MAX(0,$T797-$J797-$U797)),IF($S797="ITEM_PRICE_ONLY_DELIVERY_PAID_BY_MERCHANT",0,""))))</f>
        <v/>
      </c>
      <c r="AQ797" s="23">
        <f>IF(OR($AP797="",$AO797=""),"",$AP797-$AO797)</f>
        <v/>
      </c>
      <c r="AR797" s="24">
        <f>IF($S797="EXACT_COLLECTION_AMOUNT","BREAKDOWN_REQUIRED",IF($AQ797="","",IF($AQ797&gt;0,"CREDIT_TO_MERCHANT",IF($AQ797&lt;0,"DEDUCT_FROM_MERCHANT","NO_ADJUSTMENT"))))</f>
        <v/>
      </c>
      <c r="AS797" s="23">
        <f>IF(OR($AQ797="",$AR797="BREAKDOWN_REQUIRED"),"",$AQ797)</f>
        <v/>
      </c>
      <c r="AT797" s="23">
        <f>IF(OR($AR797="",$AR797="BREAKDOWN_REQUIRED"),"",SUM($J797,$AQ797,$Y797)-$X797)</f>
        <v/>
      </c>
      <c r="AU797" s="25">
        <f>IF(AND($A797="",$B797="",$F797="",$H797="",$J797="",$K797="",$M797="",$S797=""),"",IF(OR($H797="",$Q797="",$M797="",$S797=""),"ERROR",IF(OR($J797&lt;0,$K797&lt;0,$M797&lt;0,$T797&lt;0,$U797&lt;0,$V797&lt;0,$W797&lt;0,$X797&lt;0,$Y797&lt;0),"ERROR",IF($AE797="","ERROR",IF(AND(OR($S797="ITEM_PRICE_PLUS_DECLARED_DELIVERY",$S797="TOTAL_AMOUNT_INCLUDING_DELIVERY",$S797="ITEM_PRICE_ONLY_DELIVERY_PAID_BY_MERCHANT"),$J797=""),"ERROR",IF(AND(OR($S797="ITEM_PRICE_PLUS_DECLARED_DELIVERY",$S797="DELIVERY_CHARGE_ONLY"),$K797=""),"ERROR",IF(AND(OR($S797="TOTAL_AMOUNT_INCLUDING_DELIVERY",$S797="EXACT_COLLECTION_AMOUNT"),$T797=""),"ERROR",IF(AND($S797="TOTAL_AMOUNT_INCLUDING_DELIVERY",$T797&lt;SUM($J797,$U797)),"ERROR",IF($S797="EXACT_COLLECTION_AMOUNT","REVIEW","OK")))))))))</f>
        <v/>
      </c>
      <c r="AV797" s="25">
        <f>IF($AU797="","",IF($H797="","Township required",IF($Q797="","Customer tier required",IF($M797="","Weight required",IF($S797="","Amount entry type required",IF(OR($J797&lt;0,$K797&lt;0,$M797&lt;0,$T797&lt;0,$U797&lt;0,$V797&lt;0,$W797&lt;0,$X797&lt;0,$Y797&lt;0),"Negative amounts are not allowed",IF($AE797="","Tariff not found for township and tier",IF(AND(OR($S797="ITEM_PRICE_PLUS_DECLARED_DELIVERY",$S797="TOTAL_AMOUNT_INCLUDING_DELIVERY",$S797="ITEM_PRICE_ONLY_DELIVERY_PAID_BY_MERCHANT"),$J797=""),"Item price required for this amount type",IF(AND(OR($S797="ITEM_PRICE_PLUS_DECLARED_DELIVERY",$S797="DELIVERY_CHARGE_ONLY"),$K797=""),"Declared delivery charge required",IF(AND(OR($S797="TOTAL_AMOUNT_INCLUDING_DELIVERY",$S797="EXACT_COLLECTION_AMOUNT"),$T797=""),"Stated total amount required",IF(AND($S797="TOTAL_AMOUNT_INCLUDING_DELIVERY",$T797&lt;SUM($J797,$U797)),"Stated total is below item price plus additional charge",IF($S797="EXACT_COLLECTION_AMOUNT","Authorized amount breakdown required before settlement","Ready for collection and settlement"))))))))))))</f>
        <v/>
      </c>
      <c r="AW797" s="23">
        <f>IF($AU797="","","PARCEL_FINANCIAL_V2")</f>
        <v/>
      </c>
      <c r="AX797" s="17" t="n"/>
    </row>
    <row r="798">
      <c r="A798" s="8" t="n"/>
      <c r="B798" s="8" t="n"/>
      <c r="C798" s="8" t="n"/>
      <c r="D798" s="8" t="n"/>
      <c r="E798" s="9" t="n"/>
      <c r="F798" s="9" t="n"/>
      <c r="G798" s="8" t="n"/>
      <c r="H798" s="9" t="n"/>
      <c r="I798" s="9" t="n"/>
      <c r="J798" s="10" t="n"/>
      <c r="K798" s="10" t="n"/>
      <c r="L798" s="11">
        <f>IF($S798="","",IF($S798="ITEM_PRICE_PLUS_DECLARED_DELIVERY",IF(OR($J798="",$K798=""),"",SUM($J798,$K798,$U798)),IF($S798="TOTAL_AMOUNT_INCLUDING_DELIVERY",IF($T798="","",$T798),IF($S798="DELIVERY_CHARGE_ONLY",IF($K798="","",SUM($K798,$U798)),IF($S798="EXACT_COLLECTION_AMOUNT",IF($T798="","",$T798),IF($S798="ITEM_PRICE_ONLY_DELIVERY_PAID_BY_MERCHANT",IF($J798="","",SUM($J798,$U798)),""))))))</f>
        <v/>
      </c>
      <c r="M798" s="12" t="n"/>
      <c r="N798" s="13" t="n"/>
      <c r="O798" s="13" t="n"/>
      <c r="P798" s="9" t="n"/>
      <c r="Q798" s="14" t="n"/>
      <c r="R798" s="15" t="n"/>
      <c r="S798" s="14" t="n"/>
      <c r="T798" s="16" t="n"/>
      <c r="U798" s="16" t="n"/>
      <c r="V798" s="16" t="n"/>
      <c r="W798" s="16" t="n"/>
      <c r="X798" s="16" t="n"/>
      <c r="Y798" s="16" t="n"/>
      <c r="Z798" s="14" t="n"/>
      <c r="AA798" s="14" t="n"/>
      <c r="AB798" s="14" t="n"/>
      <c r="AC798" s="17">
        <f>IFERROR(VLOOKUP($H798&amp;"|"&amp;$Q798,Tariff_Master!$A$2:$L$169,3,FALSE),"")</f>
        <v/>
      </c>
      <c r="AD798" s="17">
        <f>IFERROR(VLOOKUP($H798&amp;"|"&amp;$Q798,Tariff_Master!$A$2:$L$169,4,FALSE),"")</f>
        <v/>
      </c>
      <c r="AE798" s="18">
        <f>IFERROR(VLOOKUP($H798&amp;"|"&amp;$Q798,Tariff_Master!$A$2:$L$169,6,FALSE),"")</f>
        <v/>
      </c>
      <c r="AF798" s="19">
        <f>IFERROR(VLOOKUP($H798&amp;"|"&amp;$Q798,Tariff_Master!$A$2:$L$169,7,FALSE),"")</f>
        <v/>
      </c>
      <c r="AG798" s="18">
        <f>IFERROR(VLOOKUP($H798&amp;"|"&amp;$Q798,Tariff_Master!$A$2:$L$169,8,FALSE),"")</f>
        <v/>
      </c>
      <c r="AH798" s="20">
        <f>IFERROR(VLOOKUP($H798&amp;"|"&amp;$Q798,Tariff_Master!$A$2:$L$169,9,FALSE),"")</f>
        <v/>
      </c>
      <c r="AI798" s="18">
        <f>IFERROR(VLOOKUP($H798&amp;"|"&amp;$Q798,Tariff_Master!$A$2:$L$169,10,FALSE),"")</f>
        <v/>
      </c>
      <c r="AJ798" s="21">
        <f>IF($M798="","",ROUNDUP(MAX(0,$M798),0))</f>
        <v/>
      </c>
      <c r="AK798" s="21">
        <f>IF(OR($AJ798="",$AF798=""),"",MAX(0,$AJ798-$AF798))</f>
        <v/>
      </c>
      <c r="AL798" s="22">
        <f>IF(OR($AK798="",$AG798=""),"",MAX(0,$AK798*$AG798))</f>
        <v/>
      </c>
      <c r="AM798" s="22">
        <f>IF($AE798="","",MAX(0,SUM($AE798,$AL798,$V798,$W798)))</f>
        <v/>
      </c>
      <c r="AN798" s="22">
        <f>IF($AM798="","",IF(AND($Q798="COMMITMENT",$R798&gt;=$AH798),$AI798,0))</f>
        <v/>
      </c>
      <c r="AO798" s="23">
        <f>IF($AM798="","",MAX(0,$AM798-$AN798))</f>
        <v/>
      </c>
      <c r="AP798" s="22">
        <f>IF($S798="","",IF(OR($S798="ITEM_PRICE_PLUS_DECLARED_DELIVERY",$S798="DELIVERY_CHARGE_ONLY"),$K798,IF($S798="TOTAL_AMOUNT_INCLUDING_DELIVERY",IF(OR($T798="",$J798=""),"",MAX(0,$T798-$J798-$U798)),IF($S798="ITEM_PRICE_ONLY_DELIVERY_PAID_BY_MERCHANT",0,""))))</f>
        <v/>
      </c>
      <c r="AQ798" s="23">
        <f>IF(OR($AP798="",$AO798=""),"",$AP798-$AO798)</f>
        <v/>
      </c>
      <c r="AR798" s="24">
        <f>IF($S798="EXACT_COLLECTION_AMOUNT","BREAKDOWN_REQUIRED",IF($AQ798="","",IF($AQ798&gt;0,"CREDIT_TO_MERCHANT",IF($AQ798&lt;0,"DEDUCT_FROM_MERCHANT","NO_ADJUSTMENT"))))</f>
        <v/>
      </c>
      <c r="AS798" s="23">
        <f>IF(OR($AQ798="",$AR798="BREAKDOWN_REQUIRED"),"",$AQ798)</f>
        <v/>
      </c>
      <c r="AT798" s="23">
        <f>IF(OR($AR798="",$AR798="BREAKDOWN_REQUIRED"),"",SUM($J798,$AQ798,$Y798)-$X798)</f>
        <v/>
      </c>
      <c r="AU798" s="25">
        <f>IF(AND($A798="",$B798="",$F798="",$H798="",$J798="",$K798="",$M798="",$S798=""),"",IF(OR($H798="",$Q798="",$M798="",$S798=""),"ERROR",IF(OR($J798&lt;0,$K798&lt;0,$M798&lt;0,$T798&lt;0,$U798&lt;0,$V798&lt;0,$W798&lt;0,$X798&lt;0,$Y798&lt;0),"ERROR",IF($AE798="","ERROR",IF(AND(OR($S798="ITEM_PRICE_PLUS_DECLARED_DELIVERY",$S798="TOTAL_AMOUNT_INCLUDING_DELIVERY",$S798="ITEM_PRICE_ONLY_DELIVERY_PAID_BY_MERCHANT"),$J798=""),"ERROR",IF(AND(OR($S798="ITEM_PRICE_PLUS_DECLARED_DELIVERY",$S798="DELIVERY_CHARGE_ONLY"),$K798=""),"ERROR",IF(AND(OR($S798="TOTAL_AMOUNT_INCLUDING_DELIVERY",$S798="EXACT_COLLECTION_AMOUNT"),$T798=""),"ERROR",IF(AND($S798="TOTAL_AMOUNT_INCLUDING_DELIVERY",$T798&lt;SUM($J798,$U798)),"ERROR",IF($S798="EXACT_COLLECTION_AMOUNT","REVIEW","OK")))))))))</f>
        <v/>
      </c>
      <c r="AV798" s="25">
        <f>IF($AU798="","",IF($H798="","Township required",IF($Q798="","Customer tier required",IF($M798="","Weight required",IF($S798="","Amount entry type required",IF(OR($J798&lt;0,$K798&lt;0,$M798&lt;0,$T798&lt;0,$U798&lt;0,$V798&lt;0,$W798&lt;0,$X798&lt;0,$Y798&lt;0),"Negative amounts are not allowed",IF($AE798="","Tariff not found for township and tier",IF(AND(OR($S798="ITEM_PRICE_PLUS_DECLARED_DELIVERY",$S798="TOTAL_AMOUNT_INCLUDING_DELIVERY",$S798="ITEM_PRICE_ONLY_DELIVERY_PAID_BY_MERCHANT"),$J798=""),"Item price required for this amount type",IF(AND(OR($S798="ITEM_PRICE_PLUS_DECLARED_DELIVERY",$S798="DELIVERY_CHARGE_ONLY"),$K798=""),"Declared delivery charge required",IF(AND(OR($S798="TOTAL_AMOUNT_INCLUDING_DELIVERY",$S798="EXACT_COLLECTION_AMOUNT"),$T798=""),"Stated total amount required",IF(AND($S798="TOTAL_AMOUNT_INCLUDING_DELIVERY",$T798&lt;SUM($J798,$U798)),"Stated total is below item price plus additional charge",IF($S798="EXACT_COLLECTION_AMOUNT","Authorized amount breakdown required before settlement","Ready for collection and settlement"))))))))))))</f>
        <v/>
      </c>
      <c r="AW798" s="23">
        <f>IF($AU798="","","PARCEL_FINANCIAL_V2")</f>
        <v/>
      </c>
      <c r="AX798" s="17" t="n"/>
    </row>
    <row r="799">
      <c r="A799" s="8" t="n"/>
      <c r="B799" s="8" t="n"/>
      <c r="C799" s="8" t="n"/>
      <c r="D799" s="8" t="n"/>
      <c r="E799" s="9" t="n"/>
      <c r="F799" s="9" t="n"/>
      <c r="G799" s="8" t="n"/>
      <c r="H799" s="9" t="n"/>
      <c r="I799" s="9" t="n"/>
      <c r="J799" s="10" t="n"/>
      <c r="K799" s="10" t="n"/>
      <c r="L799" s="11">
        <f>IF($S799="","",IF($S799="ITEM_PRICE_PLUS_DECLARED_DELIVERY",IF(OR($J799="",$K799=""),"",SUM($J799,$K799,$U799)),IF($S799="TOTAL_AMOUNT_INCLUDING_DELIVERY",IF($T799="","",$T799),IF($S799="DELIVERY_CHARGE_ONLY",IF($K799="","",SUM($K799,$U799)),IF($S799="EXACT_COLLECTION_AMOUNT",IF($T799="","",$T799),IF($S799="ITEM_PRICE_ONLY_DELIVERY_PAID_BY_MERCHANT",IF($J799="","",SUM($J799,$U799)),""))))))</f>
        <v/>
      </c>
      <c r="M799" s="12" t="n"/>
      <c r="N799" s="13" t="n"/>
      <c r="O799" s="13" t="n"/>
      <c r="P799" s="9" t="n"/>
      <c r="Q799" s="14" t="n"/>
      <c r="R799" s="15" t="n"/>
      <c r="S799" s="14" t="n"/>
      <c r="T799" s="16" t="n"/>
      <c r="U799" s="16" t="n"/>
      <c r="V799" s="16" t="n"/>
      <c r="W799" s="16" t="n"/>
      <c r="X799" s="16" t="n"/>
      <c r="Y799" s="16" t="n"/>
      <c r="Z799" s="14" t="n"/>
      <c r="AA799" s="14" t="n"/>
      <c r="AB799" s="14" t="n"/>
      <c r="AC799" s="17">
        <f>IFERROR(VLOOKUP($H799&amp;"|"&amp;$Q799,Tariff_Master!$A$2:$L$169,3,FALSE),"")</f>
        <v/>
      </c>
      <c r="AD799" s="17">
        <f>IFERROR(VLOOKUP($H799&amp;"|"&amp;$Q799,Tariff_Master!$A$2:$L$169,4,FALSE),"")</f>
        <v/>
      </c>
      <c r="AE799" s="18">
        <f>IFERROR(VLOOKUP($H799&amp;"|"&amp;$Q799,Tariff_Master!$A$2:$L$169,6,FALSE),"")</f>
        <v/>
      </c>
      <c r="AF799" s="19">
        <f>IFERROR(VLOOKUP($H799&amp;"|"&amp;$Q799,Tariff_Master!$A$2:$L$169,7,FALSE),"")</f>
        <v/>
      </c>
      <c r="AG799" s="18">
        <f>IFERROR(VLOOKUP($H799&amp;"|"&amp;$Q799,Tariff_Master!$A$2:$L$169,8,FALSE),"")</f>
        <v/>
      </c>
      <c r="AH799" s="20">
        <f>IFERROR(VLOOKUP($H799&amp;"|"&amp;$Q799,Tariff_Master!$A$2:$L$169,9,FALSE),"")</f>
        <v/>
      </c>
      <c r="AI799" s="18">
        <f>IFERROR(VLOOKUP($H799&amp;"|"&amp;$Q799,Tariff_Master!$A$2:$L$169,10,FALSE),"")</f>
        <v/>
      </c>
      <c r="AJ799" s="21">
        <f>IF($M799="","",ROUNDUP(MAX(0,$M799),0))</f>
        <v/>
      </c>
      <c r="AK799" s="21">
        <f>IF(OR($AJ799="",$AF799=""),"",MAX(0,$AJ799-$AF799))</f>
        <v/>
      </c>
      <c r="AL799" s="22">
        <f>IF(OR($AK799="",$AG799=""),"",MAX(0,$AK799*$AG799))</f>
        <v/>
      </c>
      <c r="AM799" s="22">
        <f>IF($AE799="","",MAX(0,SUM($AE799,$AL799,$V799,$W799)))</f>
        <v/>
      </c>
      <c r="AN799" s="22">
        <f>IF($AM799="","",IF(AND($Q799="COMMITMENT",$R799&gt;=$AH799),$AI799,0))</f>
        <v/>
      </c>
      <c r="AO799" s="23">
        <f>IF($AM799="","",MAX(0,$AM799-$AN799))</f>
        <v/>
      </c>
      <c r="AP799" s="22">
        <f>IF($S799="","",IF(OR($S799="ITEM_PRICE_PLUS_DECLARED_DELIVERY",$S799="DELIVERY_CHARGE_ONLY"),$K799,IF($S799="TOTAL_AMOUNT_INCLUDING_DELIVERY",IF(OR($T799="",$J799=""),"",MAX(0,$T799-$J799-$U799)),IF($S799="ITEM_PRICE_ONLY_DELIVERY_PAID_BY_MERCHANT",0,""))))</f>
        <v/>
      </c>
      <c r="AQ799" s="23">
        <f>IF(OR($AP799="",$AO799=""),"",$AP799-$AO799)</f>
        <v/>
      </c>
      <c r="AR799" s="24">
        <f>IF($S799="EXACT_COLLECTION_AMOUNT","BREAKDOWN_REQUIRED",IF($AQ799="","",IF($AQ799&gt;0,"CREDIT_TO_MERCHANT",IF($AQ799&lt;0,"DEDUCT_FROM_MERCHANT","NO_ADJUSTMENT"))))</f>
        <v/>
      </c>
      <c r="AS799" s="23">
        <f>IF(OR($AQ799="",$AR799="BREAKDOWN_REQUIRED"),"",$AQ799)</f>
        <v/>
      </c>
      <c r="AT799" s="23">
        <f>IF(OR($AR799="",$AR799="BREAKDOWN_REQUIRED"),"",SUM($J799,$AQ799,$Y799)-$X799)</f>
        <v/>
      </c>
      <c r="AU799" s="25">
        <f>IF(AND($A799="",$B799="",$F799="",$H799="",$J799="",$K799="",$M799="",$S799=""),"",IF(OR($H799="",$Q799="",$M799="",$S799=""),"ERROR",IF(OR($J799&lt;0,$K799&lt;0,$M799&lt;0,$T799&lt;0,$U799&lt;0,$V799&lt;0,$W799&lt;0,$X799&lt;0,$Y799&lt;0),"ERROR",IF($AE799="","ERROR",IF(AND(OR($S799="ITEM_PRICE_PLUS_DECLARED_DELIVERY",$S799="TOTAL_AMOUNT_INCLUDING_DELIVERY",$S799="ITEM_PRICE_ONLY_DELIVERY_PAID_BY_MERCHANT"),$J799=""),"ERROR",IF(AND(OR($S799="ITEM_PRICE_PLUS_DECLARED_DELIVERY",$S799="DELIVERY_CHARGE_ONLY"),$K799=""),"ERROR",IF(AND(OR($S799="TOTAL_AMOUNT_INCLUDING_DELIVERY",$S799="EXACT_COLLECTION_AMOUNT"),$T799=""),"ERROR",IF(AND($S799="TOTAL_AMOUNT_INCLUDING_DELIVERY",$T799&lt;SUM($J799,$U799)),"ERROR",IF($S799="EXACT_COLLECTION_AMOUNT","REVIEW","OK")))))))))</f>
        <v/>
      </c>
      <c r="AV799" s="25">
        <f>IF($AU799="","",IF($H799="","Township required",IF($Q799="","Customer tier required",IF($M799="","Weight required",IF($S799="","Amount entry type required",IF(OR($J799&lt;0,$K799&lt;0,$M799&lt;0,$T799&lt;0,$U799&lt;0,$V799&lt;0,$W799&lt;0,$X799&lt;0,$Y799&lt;0),"Negative amounts are not allowed",IF($AE799="","Tariff not found for township and tier",IF(AND(OR($S799="ITEM_PRICE_PLUS_DECLARED_DELIVERY",$S799="TOTAL_AMOUNT_INCLUDING_DELIVERY",$S799="ITEM_PRICE_ONLY_DELIVERY_PAID_BY_MERCHANT"),$J799=""),"Item price required for this amount type",IF(AND(OR($S799="ITEM_PRICE_PLUS_DECLARED_DELIVERY",$S799="DELIVERY_CHARGE_ONLY"),$K799=""),"Declared delivery charge required",IF(AND(OR($S799="TOTAL_AMOUNT_INCLUDING_DELIVERY",$S799="EXACT_COLLECTION_AMOUNT"),$T799=""),"Stated total amount required",IF(AND($S799="TOTAL_AMOUNT_INCLUDING_DELIVERY",$T799&lt;SUM($J799,$U799)),"Stated total is below item price plus additional charge",IF($S799="EXACT_COLLECTION_AMOUNT","Authorized amount breakdown required before settlement","Ready for collection and settlement"))))))))))))</f>
        <v/>
      </c>
      <c r="AW799" s="23">
        <f>IF($AU799="","","PARCEL_FINANCIAL_V2")</f>
        <v/>
      </c>
      <c r="AX799" s="17" t="n"/>
    </row>
    <row r="800">
      <c r="A800" s="8" t="n"/>
      <c r="B800" s="8" t="n"/>
      <c r="C800" s="8" t="n"/>
      <c r="D800" s="8" t="n"/>
      <c r="E800" s="9" t="n"/>
      <c r="F800" s="9" t="n"/>
      <c r="G800" s="8" t="n"/>
      <c r="H800" s="9" t="n"/>
      <c r="I800" s="9" t="n"/>
      <c r="J800" s="10" t="n"/>
      <c r="K800" s="10" t="n"/>
      <c r="L800" s="11">
        <f>IF($S800="","",IF($S800="ITEM_PRICE_PLUS_DECLARED_DELIVERY",IF(OR($J800="",$K800=""),"",SUM($J800,$K800,$U800)),IF($S800="TOTAL_AMOUNT_INCLUDING_DELIVERY",IF($T800="","",$T800),IF($S800="DELIVERY_CHARGE_ONLY",IF($K800="","",SUM($K800,$U800)),IF($S800="EXACT_COLLECTION_AMOUNT",IF($T800="","",$T800),IF($S800="ITEM_PRICE_ONLY_DELIVERY_PAID_BY_MERCHANT",IF($J800="","",SUM($J800,$U800)),""))))))</f>
        <v/>
      </c>
      <c r="M800" s="12" t="n"/>
      <c r="N800" s="13" t="n"/>
      <c r="O800" s="13" t="n"/>
      <c r="P800" s="9" t="n"/>
      <c r="Q800" s="14" t="n"/>
      <c r="R800" s="15" t="n"/>
      <c r="S800" s="14" t="n"/>
      <c r="T800" s="16" t="n"/>
      <c r="U800" s="16" t="n"/>
      <c r="V800" s="16" t="n"/>
      <c r="W800" s="16" t="n"/>
      <c r="X800" s="16" t="n"/>
      <c r="Y800" s="16" t="n"/>
      <c r="Z800" s="14" t="n"/>
      <c r="AA800" s="14" t="n"/>
      <c r="AB800" s="14" t="n"/>
      <c r="AC800" s="17">
        <f>IFERROR(VLOOKUP($H800&amp;"|"&amp;$Q800,Tariff_Master!$A$2:$L$169,3,FALSE),"")</f>
        <v/>
      </c>
      <c r="AD800" s="17">
        <f>IFERROR(VLOOKUP($H800&amp;"|"&amp;$Q800,Tariff_Master!$A$2:$L$169,4,FALSE),"")</f>
        <v/>
      </c>
      <c r="AE800" s="18">
        <f>IFERROR(VLOOKUP($H800&amp;"|"&amp;$Q800,Tariff_Master!$A$2:$L$169,6,FALSE),"")</f>
        <v/>
      </c>
      <c r="AF800" s="19">
        <f>IFERROR(VLOOKUP($H800&amp;"|"&amp;$Q800,Tariff_Master!$A$2:$L$169,7,FALSE),"")</f>
        <v/>
      </c>
      <c r="AG800" s="18">
        <f>IFERROR(VLOOKUP($H800&amp;"|"&amp;$Q800,Tariff_Master!$A$2:$L$169,8,FALSE),"")</f>
        <v/>
      </c>
      <c r="AH800" s="20">
        <f>IFERROR(VLOOKUP($H800&amp;"|"&amp;$Q800,Tariff_Master!$A$2:$L$169,9,FALSE),"")</f>
        <v/>
      </c>
      <c r="AI800" s="18">
        <f>IFERROR(VLOOKUP($H800&amp;"|"&amp;$Q800,Tariff_Master!$A$2:$L$169,10,FALSE),"")</f>
        <v/>
      </c>
      <c r="AJ800" s="21">
        <f>IF($M800="","",ROUNDUP(MAX(0,$M800),0))</f>
        <v/>
      </c>
      <c r="AK800" s="21">
        <f>IF(OR($AJ800="",$AF800=""),"",MAX(0,$AJ800-$AF800))</f>
        <v/>
      </c>
      <c r="AL800" s="22">
        <f>IF(OR($AK800="",$AG800=""),"",MAX(0,$AK800*$AG800))</f>
        <v/>
      </c>
      <c r="AM800" s="22">
        <f>IF($AE800="","",MAX(0,SUM($AE800,$AL800,$V800,$W800)))</f>
        <v/>
      </c>
      <c r="AN800" s="22">
        <f>IF($AM800="","",IF(AND($Q800="COMMITMENT",$R800&gt;=$AH800),$AI800,0))</f>
        <v/>
      </c>
      <c r="AO800" s="23">
        <f>IF($AM800="","",MAX(0,$AM800-$AN800))</f>
        <v/>
      </c>
      <c r="AP800" s="22">
        <f>IF($S800="","",IF(OR($S800="ITEM_PRICE_PLUS_DECLARED_DELIVERY",$S800="DELIVERY_CHARGE_ONLY"),$K800,IF($S800="TOTAL_AMOUNT_INCLUDING_DELIVERY",IF(OR($T800="",$J800=""),"",MAX(0,$T800-$J800-$U800)),IF($S800="ITEM_PRICE_ONLY_DELIVERY_PAID_BY_MERCHANT",0,""))))</f>
        <v/>
      </c>
      <c r="AQ800" s="23">
        <f>IF(OR($AP800="",$AO800=""),"",$AP800-$AO800)</f>
        <v/>
      </c>
      <c r="AR800" s="24">
        <f>IF($S800="EXACT_COLLECTION_AMOUNT","BREAKDOWN_REQUIRED",IF($AQ800="","",IF($AQ800&gt;0,"CREDIT_TO_MERCHANT",IF($AQ800&lt;0,"DEDUCT_FROM_MERCHANT","NO_ADJUSTMENT"))))</f>
        <v/>
      </c>
      <c r="AS800" s="23">
        <f>IF(OR($AQ800="",$AR800="BREAKDOWN_REQUIRED"),"",$AQ800)</f>
        <v/>
      </c>
      <c r="AT800" s="23">
        <f>IF(OR($AR800="",$AR800="BREAKDOWN_REQUIRED"),"",SUM($J800,$AQ800,$Y800)-$X800)</f>
        <v/>
      </c>
      <c r="AU800" s="25">
        <f>IF(AND($A800="",$B800="",$F800="",$H800="",$J800="",$K800="",$M800="",$S800=""),"",IF(OR($H800="",$Q800="",$M800="",$S800=""),"ERROR",IF(OR($J800&lt;0,$K800&lt;0,$M800&lt;0,$T800&lt;0,$U800&lt;0,$V800&lt;0,$W800&lt;0,$X800&lt;0,$Y800&lt;0),"ERROR",IF($AE800="","ERROR",IF(AND(OR($S800="ITEM_PRICE_PLUS_DECLARED_DELIVERY",$S800="TOTAL_AMOUNT_INCLUDING_DELIVERY",$S800="ITEM_PRICE_ONLY_DELIVERY_PAID_BY_MERCHANT"),$J800=""),"ERROR",IF(AND(OR($S800="ITEM_PRICE_PLUS_DECLARED_DELIVERY",$S800="DELIVERY_CHARGE_ONLY"),$K800=""),"ERROR",IF(AND(OR($S800="TOTAL_AMOUNT_INCLUDING_DELIVERY",$S800="EXACT_COLLECTION_AMOUNT"),$T800=""),"ERROR",IF(AND($S800="TOTAL_AMOUNT_INCLUDING_DELIVERY",$T800&lt;SUM($J800,$U800)),"ERROR",IF($S800="EXACT_COLLECTION_AMOUNT","REVIEW","OK")))))))))</f>
        <v/>
      </c>
      <c r="AV800" s="25">
        <f>IF($AU800="","",IF($H800="","Township required",IF($Q800="","Customer tier required",IF($M800="","Weight required",IF($S800="","Amount entry type required",IF(OR($J800&lt;0,$K800&lt;0,$M800&lt;0,$T800&lt;0,$U800&lt;0,$V800&lt;0,$W800&lt;0,$X800&lt;0,$Y800&lt;0),"Negative amounts are not allowed",IF($AE800="","Tariff not found for township and tier",IF(AND(OR($S800="ITEM_PRICE_PLUS_DECLARED_DELIVERY",$S800="TOTAL_AMOUNT_INCLUDING_DELIVERY",$S800="ITEM_PRICE_ONLY_DELIVERY_PAID_BY_MERCHANT"),$J800=""),"Item price required for this amount type",IF(AND(OR($S800="ITEM_PRICE_PLUS_DECLARED_DELIVERY",$S800="DELIVERY_CHARGE_ONLY"),$K800=""),"Declared delivery charge required",IF(AND(OR($S800="TOTAL_AMOUNT_INCLUDING_DELIVERY",$S800="EXACT_COLLECTION_AMOUNT"),$T800=""),"Stated total amount required",IF(AND($S800="TOTAL_AMOUNT_INCLUDING_DELIVERY",$T800&lt;SUM($J800,$U800)),"Stated total is below item price plus additional charge",IF($S800="EXACT_COLLECTION_AMOUNT","Authorized amount breakdown required before settlement","Ready for collection and settlement"))))))))))))</f>
        <v/>
      </c>
      <c r="AW800" s="23">
        <f>IF($AU800="","","PARCEL_FINANCIAL_V2")</f>
        <v/>
      </c>
      <c r="AX800" s="17" t="n"/>
    </row>
    <row r="801">
      <c r="A801" s="8" t="n"/>
      <c r="B801" s="8" t="n"/>
      <c r="C801" s="8" t="n"/>
      <c r="D801" s="8" t="n"/>
      <c r="E801" s="9" t="n"/>
      <c r="F801" s="9" t="n"/>
      <c r="G801" s="8" t="n"/>
      <c r="H801" s="9" t="n"/>
      <c r="I801" s="9" t="n"/>
      <c r="J801" s="10" t="n"/>
      <c r="K801" s="10" t="n"/>
      <c r="L801" s="11">
        <f>IF($S801="","",IF($S801="ITEM_PRICE_PLUS_DECLARED_DELIVERY",IF(OR($J801="",$K801=""),"",SUM($J801,$K801,$U801)),IF($S801="TOTAL_AMOUNT_INCLUDING_DELIVERY",IF($T801="","",$T801),IF($S801="DELIVERY_CHARGE_ONLY",IF($K801="","",SUM($K801,$U801)),IF($S801="EXACT_COLLECTION_AMOUNT",IF($T801="","",$T801),IF($S801="ITEM_PRICE_ONLY_DELIVERY_PAID_BY_MERCHANT",IF($J801="","",SUM($J801,$U801)),""))))))</f>
        <v/>
      </c>
      <c r="M801" s="12" t="n"/>
      <c r="N801" s="13" t="n"/>
      <c r="O801" s="13" t="n"/>
      <c r="P801" s="9" t="n"/>
      <c r="Q801" s="14" t="n"/>
      <c r="R801" s="15" t="n"/>
      <c r="S801" s="14" t="n"/>
      <c r="T801" s="16" t="n"/>
      <c r="U801" s="16" t="n"/>
      <c r="V801" s="16" t="n"/>
      <c r="W801" s="16" t="n"/>
      <c r="X801" s="16" t="n"/>
      <c r="Y801" s="16" t="n"/>
      <c r="Z801" s="14" t="n"/>
      <c r="AA801" s="14" t="n"/>
      <c r="AB801" s="14" t="n"/>
      <c r="AC801" s="17">
        <f>IFERROR(VLOOKUP($H801&amp;"|"&amp;$Q801,Tariff_Master!$A$2:$L$169,3,FALSE),"")</f>
        <v/>
      </c>
      <c r="AD801" s="17">
        <f>IFERROR(VLOOKUP($H801&amp;"|"&amp;$Q801,Tariff_Master!$A$2:$L$169,4,FALSE),"")</f>
        <v/>
      </c>
      <c r="AE801" s="18">
        <f>IFERROR(VLOOKUP($H801&amp;"|"&amp;$Q801,Tariff_Master!$A$2:$L$169,6,FALSE),"")</f>
        <v/>
      </c>
      <c r="AF801" s="19">
        <f>IFERROR(VLOOKUP($H801&amp;"|"&amp;$Q801,Tariff_Master!$A$2:$L$169,7,FALSE),"")</f>
        <v/>
      </c>
      <c r="AG801" s="18">
        <f>IFERROR(VLOOKUP($H801&amp;"|"&amp;$Q801,Tariff_Master!$A$2:$L$169,8,FALSE),"")</f>
        <v/>
      </c>
      <c r="AH801" s="20">
        <f>IFERROR(VLOOKUP($H801&amp;"|"&amp;$Q801,Tariff_Master!$A$2:$L$169,9,FALSE),"")</f>
        <v/>
      </c>
      <c r="AI801" s="18">
        <f>IFERROR(VLOOKUP($H801&amp;"|"&amp;$Q801,Tariff_Master!$A$2:$L$169,10,FALSE),"")</f>
        <v/>
      </c>
      <c r="AJ801" s="21">
        <f>IF($M801="","",ROUNDUP(MAX(0,$M801),0))</f>
        <v/>
      </c>
      <c r="AK801" s="21">
        <f>IF(OR($AJ801="",$AF801=""),"",MAX(0,$AJ801-$AF801))</f>
        <v/>
      </c>
      <c r="AL801" s="22">
        <f>IF(OR($AK801="",$AG801=""),"",MAX(0,$AK801*$AG801))</f>
        <v/>
      </c>
      <c r="AM801" s="22">
        <f>IF($AE801="","",MAX(0,SUM($AE801,$AL801,$V801,$W801)))</f>
        <v/>
      </c>
      <c r="AN801" s="22">
        <f>IF($AM801="","",IF(AND($Q801="COMMITMENT",$R801&gt;=$AH801),$AI801,0))</f>
        <v/>
      </c>
      <c r="AO801" s="23">
        <f>IF($AM801="","",MAX(0,$AM801-$AN801))</f>
        <v/>
      </c>
      <c r="AP801" s="22">
        <f>IF($S801="","",IF(OR($S801="ITEM_PRICE_PLUS_DECLARED_DELIVERY",$S801="DELIVERY_CHARGE_ONLY"),$K801,IF($S801="TOTAL_AMOUNT_INCLUDING_DELIVERY",IF(OR($T801="",$J801=""),"",MAX(0,$T801-$J801-$U801)),IF($S801="ITEM_PRICE_ONLY_DELIVERY_PAID_BY_MERCHANT",0,""))))</f>
        <v/>
      </c>
      <c r="AQ801" s="23">
        <f>IF(OR($AP801="",$AO801=""),"",$AP801-$AO801)</f>
        <v/>
      </c>
      <c r="AR801" s="24">
        <f>IF($S801="EXACT_COLLECTION_AMOUNT","BREAKDOWN_REQUIRED",IF($AQ801="","",IF($AQ801&gt;0,"CREDIT_TO_MERCHANT",IF($AQ801&lt;0,"DEDUCT_FROM_MERCHANT","NO_ADJUSTMENT"))))</f>
        <v/>
      </c>
      <c r="AS801" s="23">
        <f>IF(OR($AQ801="",$AR801="BREAKDOWN_REQUIRED"),"",$AQ801)</f>
        <v/>
      </c>
      <c r="AT801" s="23">
        <f>IF(OR($AR801="",$AR801="BREAKDOWN_REQUIRED"),"",SUM($J801,$AQ801,$Y801)-$X801)</f>
        <v/>
      </c>
      <c r="AU801" s="25">
        <f>IF(AND($A801="",$B801="",$F801="",$H801="",$J801="",$K801="",$M801="",$S801=""),"",IF(OR($H801="",$Q801="",$M801="",$S801=""),"ERROR",IF(OR($J801&lt;0,$K801&lt;0,$M801&lt;0,$T801&lt;0,$U801&lt;0,$V801&lt;0,$W801&lt;0,$X801&lt;0,$Y801&lt;0),"ERROR",IF($AE801="","ERROR",IF(AND(OR($S801="ITEM_PRICE_PLUS_DECLARED_DELIVERY",$S801="TOTAL_AMOUNT_INCLUDING_DELIVERY",$S801="ITEM_PRICE_ONLY_DELIVERY_PAID_BY_MERCHANT"),$J801=""),"ERROR",IF(AND(OR($S801="ITEM_PRICE_PLUS_DECLARED_DELIVERY",$S801="DELIVERY_CHARGE_ONLY"),$K801=""),"ERROR",IF(AND(OR($S801="TOTAL_AMOUNT_INCLUDING_DELIVERY",$S801="EXACT_COLLECTION_AMOUNT"),$T801=""),"ERROR",IF(AND($S801="TOTAL_AMOUNT_INCLUDING_DELIVERY",$T801&lt;SUM($J801,$U801)),"ERROR",IF($S801="EXACT_COLLECTION_AMOUNT","REVIEW","OK")))))))))</f>
        <v/>
      </c>
      <c r="AV801" s="25">
        <f>IF($AU801="","",IF($H801="","Township required",IF($Q801="","Customer tier required",IF($M801="","Weight required",IF($S801="","Amount entry type required",IF(OR($J801&lt;0,$K801&lt;0,$M801&lt;0,$T801&lt;0,$U801&lt;0,$V801&lt;0,$W801&lt;0,$X801&lt;0,$Y801&lt;0),"Negative amounts are not allowed",IF($AE801="","Tariff not found for township and tier",IF(AND(OR($S801="ITEM_PRICE_PLUS_DECLARED_DELIVERY",$S801="TOTAL_AMOUNT_INCLUDING_DELIVERY",$S801="ITEM_PRICE_ONLY_DELIVERY_PAID_BY_MERCHANT"),$J801=""),"Item price required for this amount type",IF(AND(OR($S801="ITEM_PRICE_PLUS_DECLARED_DELIVERY",$S801="DELIVERY_CHARGE_ONLY"),$K801=""),"Declared delivery charge required",IF(AND(OR($S801="TOTAL_AMOUNT_INCLUDING_DELIVERY",$S801="EXACT_COLLECTION_AMOUNT"),$T801=""),"Stated total amount required",IF(AND($S801="TOTAL_AMOUNT_INCLUDING_DELIVERY",$T801&lt;SUM($J801,$U801)),"Stated total is below item price plus additional charge",IF($S801="EXACT_COLLECTION_AMOUNT","Authorized amount breakdown required before settlement","Ready for collection and settlement"))))))))))))</f>
        <v/>
      </c>
      <c r="AW801" s="23">
        <f>IF($AU801="","","PARCEL_FINANCIAL_V2")</f>
        <v/>
      </c>
      <c r="AX801" s="17" t="n"/>
    </row>
    <row r="802">
      <c r="A802" s="8" t="n"/>
      <c r="B802" s="8" t="n"/>
      <c r="C802" s="8" t="n"/>
      <c r="D802" s="8" t="n"/>
      <c r="E802" s="9" t="n"/>
      <c r="F802" s="9" t="n"/>
      <c r="G802" s="8" t="n"/>
      <c r="H802" s="9" t="n"/>
      <c r="I802" s="9" t="n"/>
      <c r="J802" s="10" t="n"/>
      <c r="K802" s="10" t="n"/>
      <c r="L802" s="11">
        <f>IF($S802="","",IF($S802="ITEM_PRICE_PLUS_DECLARED_DELIVERY",IF(OR($J802="",$K802=""),"",SUM($J802,$K802,$U802)),IF($S802="TOTAL_AMOUNT_INCLUDING_DELIVERY",IF($T802="","",$T802),IF($S802="DELIVERY_CHARGE_ONLY",IF($K802="","",SUM($K802,$U802)),IF($S802="EXACT_COLLECTION_AMOUNT",IF($T802="","",$T802),IF($S802="ITEM_PRICE_ONLY_DELIVERY_PAID_BY_MERCHANT",IF($J802="","",SUM($J802,$U802)),""))))))</f>
        <v/>
      </c>
      <c r="M802" s="12" t="n"/>
      <c r="N802" s="13" t="n"/>
      <c r="O802" s="13" t="n"/>
      <c r="P802" s="9" t="n"/>
      <c r="Q802" s="14" t="n"/>
      <c r="R802" s="15" t="n"/>
      <c r="S802" s="14" t="n"/>
      <c r="T802" s="16" t="n"/>
      <c r="U802" s="16" t="n"/>
      <c r="V802" s="16" t="n"/>
      <c r="W802" s="16" t="n"/>
      <c r="X802" s="16" t="n"/>
      <c r="Y802" s="16" t="n"/>
      <c r="Z802" s="14" t="n"/>
      <c r="AA802" s="14" t="n"/>
      <c r="AB802" s="14" t="n"/>
      <c r="AC802" s="17">
        <f>IFERROR(VLOOKUP($H802&amp;"|"&amp;$Q802,Tariff_Master!$A$2:$L$169,3,FALSE),"")</f>
        <v/>
      </c>
      <c r="AD802" s="17">
        <f>IFERROR(VLOOKUP($H802&amp;"|"&amp;$Q802,Tariff_Master!$A$2:$L$169,4,FALSE),"")</f>
        <v/>
      </c>
      <c r="AE802" s="18">
        <f>IFERROR(VLOOKUP($H802&amp;"|"&amp;$Q802,Tariff_Master!$A$2:$L$169,6,FALSE),"")</f>
        <v/>
      </c>
      <c r="AF802" s="19">
        <f>IFERROR(VLOOKUP($H802&amp;"|"&amp;$Q802,Tariff_Master!$A$2:$L$169,7,FALSE),"")</f>
        <v/>
      </c>
      <c r="AG802" s="18">
        <f>IFERROR(VLOOKUP($H802&amp;"|"&amp;$Q802,Tariff_Master!$A$2:$L$169,8,FALSE),"")</f>
        <v/>
      </c>
      <c r="AH802" s="20">
        <f>IFERROR(VLOOKUP($H802&amp;"|"&amp;$Q802,Tariff_Master!$A$2:$L$169,9,FALSE),"")</f>
        <v/>
      </c>
      <c r="AI802" s="18">
        <f>IFERROR(VLOOKUP($H802&amp;"|"&amp;$Q802,Tariff_Master!$A$2:$L$169,10,FALSE),"")</f>
        <v/>
      </c>
      <c r="AJ802" s="21">
        <f>IF($M802="","",ROUNDUP(MAX(0,$M802),0))</f>
        <v/>
      </c>
      <c r="AK802" s="21">
        <f>IF(OR($AJ802="",$AF802=""),"",MAX(0,$AJ802-$AF802))</f>
        <v/>
      </c>
      <c r="AL802" s="22">
        <f>IF(OR($AK802="",$AG802=""),"",MAX(0,$AK802*$AG802))</f>
        <v/>
      </c>
      <c r="AM802" s="22">
        <f>IF($AE802="","",MAX(0,SUM($AE802,$AL802,$V802,$W802)))</f>
        <v/>
      </c>
      <c r="AN802" s="22">
        <f>IF($AM802="","",IF(AND($Q802="COMMITMENT",$R802&gt;=$AH802),$AI802,0))</f>
        <v/>
      </c>
      <c r="AO802" s="23">
        <f>IF($AM802="","",MAX(0,$AM802-$AN802))</f>
        <v/>
      </c>
      <c r="AP802" s="22">
        <f>IF($S802="","",IF(OR($S802="ITEM_PRICE_PLUS_DECLARED_DELIVERY",$S802="DELIVERY_CHARGE_ONLY"),$K802,IF($S802="TOTAL_AMOUNT_INCLUDING_DELIVERY",IF(OR($T802="",$J802=""),"",MAX(0,$T802-$J802-$U802)),IF($S802="ITEM_PRICE_ONLY_DELIVERY_PAID_BY_MERCHANT",0,""))))</f>
        <v/>
      </c>
      <c r="AQ802" s="23">
        <f>IF(OR($AP802="",$AO802=""),"",$AP802-$AO802)</f>
        <v/>
      </c>
      <c r="AR802" s="24">
        <f>IF($S802="EXACT_COLLECTION_AMOUNT","BREAKDOWN_REQUIRED",IF($AQ802="","",IF($AQ802&gt;0,"CREDIT_TO_MERCHANT",IF($AQ802&lt;0,"DEDUCT_FROM_MERCHANT","NO_ADJUSTMENT"))))</f>
        <v/>
      </c>
      <c r="AS802" s="23">
        <f>IF(OR($AQ802="",$AR802="BREAKDOWN_REQUIRED"),"",$AQ802)</f>
        <v/>
      </c>
      <c r="AT802" s="23">
        <f>IF(OR($AR802="",$AR802="BREAKDOWN_REQUIRED"),"",SUM($J802,$AQ802,$Y802)-$X802)</f>
        <v/>
      </c>
      <c r="AU802" s="25">
        <f>IF(AND($A802="",$B802="",$F802="",$H802="",$J802="",$K802="",$M802="",$S802=""),"",IF(OR($H802="",$Q802="",$M802="",$S802=""),"ERROR",IF(OR($J802&lt;0,$K802&lt;0,$M802&lt;0,$T802&lt;0,$U802&lt;0,$V802&lt;0,$W802&lt;0,$X802&lt;0,$Y802&lt;0),"ERROR",IF($AE802="","ERROR",IF(AND(OR($S802="ITEM_PRICE_PLUS_DECLARED_DELIVERY",$S802="TOTAL_AMOUNT_INCLUDING_DELIVERY",$S802="ITEM_PRICE_ONLY_DELIVERY_PAID_BY_MERCHANT"),$J802=""),"ERROR",IF(AND(OR($S802="ITEM_PRICE_PLUS_DECLARED_DELIVERY",$S802="DELIVERY_CHARGE_ONLY"),$K802=""),"ERROR",IF(AND(OR($S802="TOTAL_AMOUNT_INCLUDING_DELIVERY",$S802="EXACT_COLLECTION_AMOUNT"),$T802=""),"ERROR",IF(AND($S802="TOTAL_AMOUNT_INCLUDING_DELIVERY",$T802&lt;SUM($J802,$U802)),"ERROR",IF($S802="EXACT_COLLECTION_AMOUNT","REVIEW","OK")))))))))</f>
        <v/>
      </c>
      <c r="AV802" s="25">
        <f>IF($AU802="","",IF($H802="","Township required",IF($Q802="","Customer tier required",IF($M802="","Weight required",IF($S802="","Amount entry type required",IF(OR($J802&lt;0,$K802&lt;0,$M802&lt;0,$T802&lt;0,$U802&lt;0,$V802&lt;0,$W802&lt;0,$X802&lt;0,$Y802&lt;0),"Negative amounts are not allowed",IF($AE802="","Tariff not found for township and tier",IF(AND(OR($S802="ITEM_PRICE_PLUS_DECLARED_DELIVERY",$S802="TOTAL_AMOUNT_INCLUDING_DELIVERY",$S802="ITEM_PRICE_ONLY_DELIVERY_PAID_BY_MERCHANT"),$J802=""),"Item price required for this amount type",IF(AND(OR($S802="ITEM_PRICE_PLUS_DECLARED_DELIVERY",$S802="DELIVERY_CHARGE_ONLY"),$K802=""),"Declared delivery charge required",IF(AND(OR($S802="TOTAL_AMOUNT_INCLUDING_DELIVERY",$S802="EXACT_COLLECTION_AMOUNT"),$T802=""),"Stated total amount required",IF(AND($S802="TOTAL_AMOUNT_INCLUDING_DELIVERY",$T802&lt;SUM($J802,$U802)),"Stated total is below item price plus additional charge",IF($S802="EXACT_COLLECTION_AMOUNT","Authorized amount breakdown required before settlement","Ready for collection and settlement"))))))))))))</f>
        <v/>
      </c>
      <c r="AW802" s="23">
        <f>IF($AU802="","","PARCEL_FINANCIAL_V2")</f>
        <v/>
      </c>
      <c r="AX802" s="17" t="n"/>
    </row>
    <row r="803">
      <c r="A803" s="8" t="n"/>
      <c r="B803" s="8" t="n"/>
      <c r="C803" s="8" t="n"/>
      <c r="D803" s="8" t="n"/>
      <c r="E803" s="9" t="n"/>
      <c r="F803" s="9" t="n"/>
      <c r="G803" s="8" t="n"/>
      <c r="H803" s="9" t="n"/>
      <c r="I803" s="9" t="n"/>
      <c r="J803" s="10" t="n"/>
      <c r="K803" s="10" t="n"/>
      <c r="L803" s="11">
        <f>IF($S803="","",IF($S803="ITEM_PRICE_PLUS_DECLARED_DELIVERY",IF(OR($J803="",$K803=""),"",SUM($J803,$K803,$U803)),IF($S803="TOTAL_AMOUNT_INCLUDING_DELIVERY",IF($T803="","",$T803),IF($S803="DELIVERY_CHARGE_ONLY",IF($K803="","",SUM($K803,$U803)),IF($S803="EXACT_COLLECTION_AMOUNT",IF($T803="","",$T803),IF($S803="ITEM_PRICE_ONLY_DELIVERY_PAID_BY_MERCHANT",IF($J803="","",SUM($J803,$U803)),""))))))</f>
        <v/>
      </c>
      <c r="M803" s="12" t="n"/>
      <c r="N803" s="13" t="n"/>
      <c r="O803" s="13" t="n"/>
      <c r="P803" s="9" t="n"/>
      <c r="Q803" s="14" t="n"/>
      <c r="R803" s="15" t="n"/>
      <c r="S803" s="14" t="n"/>
      <c r="T803" s="16" t="n"/>
      <c r="U803" s="16" t="n"/>
      <c r="V803" s="16" t="n"/>
      <c r="W803" s="16" t="n"/>
      <c r="X803" s="16" t="n"/>
      <c r="Y803" s="16" t="n"/>
      <c r="Z803" s="14" t="n"/>
      <c r="AA803" s="14" t="n"/>
      <c r="AB803" s="14" t="n"/>
      <c r="AC803" s="17">
        <f>IFERROR(VLOOKUP($H803&amp;"|"&amp;$Q803,Tariff_Master!$A$2:$L$169,3,FALSE),"")</f>
        <v/>
      </c>
      <c r="AD803" s="17">
        <f>IFERROR(VLOOKUP($H803&amp;"|"&amp;$Q803,Tariff_Master!$A$2:$L$169,4,FALSE),"")</f>
        <v/>
      </c>
      <c r="AE803" s="18">
        <f>IFERROR(VLOOKUP($H803&amp;"|"&amp;$Q803,Tariff_Master!$A$2:$L$169,6,FALSE),"")</f>
        <v/>
      </c>
      <c r="AF803" s="19">
        <f>IFERROR(VLOOKUP($H803&amp;"|"&amp;$Q803,Tariff_Master!$A$2:$L$169,7,FALSE),"")</f>
        <v/>
      </c>
      <c r="AG803" s="18">
        <f>IFERROR(VLOOKUP($H803&amp;"|"&amp;$Q803,Tariff_Master!$A$2:$L$169,8,FALSE),"")</f>
        <v/>
      </c>
      <c r="AH803" s="20">
        <f>IFERROR(VLOOKUP($H803&amp;"|"&amp;$Q803,Tariff_Master!$A$2:$L$169,9,FALSE),"")</f>
        <v/>
      </c>
      <c r="AI803" s="18">
        <f>IFERROR(VLOOKUP($H803&amp;"|"&amp;$Q803,Tariff_Master!$A$2:$L$169,10,FALSE),"")</f>
        <v/>
      </c>
      <c r="AJ803" s="21">
        <f>IF($M803="","",ROUNDUP(MAX(0,$M803),0))</f>
        <v/>
      </c>
      <c r="AK803" s="21">
        <f>IF(OR($AJ803="",$AF803=""),"",MAX(0,$AJ803-$AF803))</f>
        <v/>
      </c>
      <c r="AL803" s="22">
        <f>IF(OR($AK803="",$AG803=""),"",MAX(0,$AK803*$AG803))</f>
        <v/>
      </c>
      <c r="AM803" s="22">
        <f>IF($AE803="","",MAX(0,SUM($AE803,$AL803,$V803,$W803)))</f>
        <v/>
      </c>
      <c r="AN803" s="22">
        <f>IF($AM803="","",IF(AND($Q803="COMMITMENT",$R803&gt;=$AH803),$AI803,0))</f>
        <v/>
      </c>
      <c r="AO803" s="23">
        <f>IF($AM803="","",MAX(0,$AM803-$AN803))</f>
        <v/>
      </c>
      <c r="AP803" s="22">
        <f>IF($S803="","",IF(OR($S803="ITEM_PRICE_PLUS_DECLARED_DELIVERY",$S803="DELIVERY_CHARGE_ONLY"),$K803,IF($S803="TOTAL_AMOUNT_INCLUDING_DELIVERY",IF(OR($T803="",$J803=""),"",MAX(0,$T803-$J803-$U803)),IF($S803="ITEM_PRICE_ONLY_DELIVERY_PAID_BY_MERCHANT",0,""))))</f>
        <v/>
      </c>
      <c r="AQ803" s="23">
        <f>IF(OR($AP803="",$AO803=""),"",$AP803-$AO803)</f>
        <v/>
      </c>
      <c r="AR803" s="24">
        <f>IF($S803="EXACT_COLLECTION_AMOUNT","BREAKDOWN_REQUIRED",IF($AQ803="","",IF($AQ803&gt;0,"CREDIT_TO_MERCHANT",IF($AQ803&lt;0,"DEDUCT_FROM_MERCHANT","NO_ADJUSTMENT"))))</f>
        <v/>
      </c>
      <c r="AS803" s="23">
        <f>IF(OR($AQ803="",$AR803="BREAKDOWN_REQUIRED"),"",$AQ803)</f>
        <v/>
      </c>
      <c r="AT803" s="23">
        <f>IF(OR($AR803="",$AR803="BREAKDOWN_REQUIRED"),"",SUM($J803,$AQ803,$Y803)-$X803)</f>
        <v/>
      </c>
      <c r="AU803" s="25">
        <f>IF(AND($A803="",$B803="",$F803="",$H803="",$J803="",$K803="",$M803="",$S803=""),"",IF(OR($H803="",$Q803="",$M803="",$S803=""),"ERROR",IF(OR($J803&lt;0,$K803&lt;0,$M803&lt;0,$T803&lt;0,$U803&lt;0,$V803&lt;0,$W803&lt;0,$X803&lt;0,$Y803&lt;0),"ERROR",IF($AE803="","ERROR",IF(AND(OR($S803="ITEM_PRICE_PLUS_DECLARED_DELIVERY",$S803="TOTAL_AMOUNT_INCLUDING_DELIVERY",$S803="ITEM_PRICE_ONLY_DELIVERY_PAID_BY_MERCHANT"),$J803=""),"ERROR",IF(AND(OR($S803="ITEM_PRICE_PLUS_DECLARED_DELIVERY",$S803="DELIVERY_CHARGE_ONLY"),$K803=""),"ERROR",IF(AND(OR($S803="TOTAL_AMOUNT_INCLUDING_DELIVERY",$S803="EXACT_COLLECTION_AMOUNT"),$T803=""),"ERROR",IF(AND($S803="TOTAL_AMOUNT_INCLUDING_DELIVERY",$T803&lt;SUM($J803,$U803)),"ERROR",IF($S803="EXACT_COLLECTION_AMOUNT","REVIEW","OK")))))))))</f>
        <v/>
      </c>
      <c r="AV803" s="25">
        <f>IF($AU803="","",IF($H803="","Township required",IF($Q803="","Customer tier required",IF($M803="","Weight required",IF($S803="","Amount entry type required",IF(OR($J803&lt;0,$K803&lt;0,$M803&lt;0,$T803&lt;0,$U803&lt;0,$V803&lt;0,$W803&lt;0,$X803&lt;0,$Y803&lt;0),"Negative amounts are not allowed",IF($AE803="","Tariff not found for township and tier",IF(AND(OR($S803="ITEM_PRICE_PLUS_DECLARED_DELIVERY",$S803="TOTAL_AMOUNT_INCLUDING_DELIVERY",$S803="ITEM_PRICE_ONLY_DELIVERY_PAID_BY_MERCHANT"),$J803=""),"Item price required for this amount type",IF(AND(OR($S803="ITEM_PRICE_PLUS_DECLARED_DELIVERY",$S803="DELIVERY_CHARGE_ONLY"),$K803=""),"Declared delivery charge required",IF(AND(OR($S803="TOTAL_AMOUNT_INCLUDING_DELIVERY",$S803="EXACT_COLLECTION_AMOUNT"),$T803=""),"Stated total amount required",IF(AND($S803="TOTAL_AMOUNT_INCLUDING_DELIVERY",$T803&lt;SUM($J803,$U803)),"Stated total is below item price plus additional charge",IF($S803="EXACT_COLLECTION_AMOUNT","Authorized amount breakdown required before settlement","Ready for collection and settlement"))))))))))))</f>
        <v/>
      </c>
      <c r="AW803" s="23">
        <f>IF($AU803="","","PARCEL_FINANCIAL_V2")</f>
        <v/>
      </c>
      <c r="AX803" s="17" t="n"/>
    </row>
    <row r="804">
      <c r="A804" s="8" t="n"/>
      <c r="B804" s="8" t="n"/>
      <c r="C804" s="8" t="n"/>
      <c r="D804" s="8" t="n"/>
      <c r="E804" s="9" t="n"/>
      <c r="F804" s="9" t="n"/>
      <c r="G804" s="8" t="n"/>
      <c r="H804" s="9" t="n"/>
      <c r="I804" s="9" t="n"/>
      <c r="J804" s="10" t="n"/>
      <c r="K804" s="10" t="n"/>
      <c r="L804" s="11">
        <f>IF($S804="","",IF($S804="ITEM_PRICE_PLUS_DECLARED_DELIVERY",IF(OR($J804="",$K804=""),"",SUM($J804,$K804,$U804)),IF($S804="TOTAL_AMOUNT_INCLUDING_DELIVERY",IF($T804="","",$T804),IF($S804="DELIVERY_CHARGE_ONLY",IF($K804="","",SUM($K804,$U804)),IF($S804="EXACT_COLLECTION_AMOUNT",IF($T804="","",$T804),IF($S804="ITEM_PRICE_ONLY_DELIVERY_PAID_BY_MERCHANT",IF($J804="","",SUM($J804,$U804)),""))))))</f>
        <v/>
      </c>
      <c r="M804" s="12" t="n"/>
      <c r="N804" s="13" t="n"/>
      <c r="O804" s="13" t="n"/>
      <c r="P804" s="9" t="n"/>
      <c r="Q804" s="14" t="n"/>
      <c r="R804" s="15" t="n"/>
      <c r="S804" s="14" t="n"/>
      <c r="T804" s="16" t="n"/>
      <c r="U804" s="16" t="n"/>
      <c r="V804" s="16" t="n"/>
      <c r="W804" s="16" t="n"/>
      <c r="X804" s="16" t="n"/>
      <c r="Y804" s="16" t="n"/>
      <c r="Z804" s="14" t="n"/>
      <c r="AA804" s="14" t="n"/>
      <c r="AB804" s="14" t="n"/>
      <c r="AC804" s="17">
        <f>IFERROR(VLOOKUP($H804&amp;"|"&amp;$Q804,Tariff_Master!$A$2:$L$169,3,FALSE),"")</f>
        <v/>
      </c>
      <c r="AD804" s="17">
        <f>IFERROR(VLOOKUP($H804&amp;"|"&amp;$Q804,Tariff_Master!$A$2:$L$169,4,FALSE),"")</f>
        <v/>
      </c>
      <c r="AE804" s="18">
        <f>IFERROR(VLOOKUP($H804&amp;"|"&amp;$Q804,Tariff_Master!$A$2:$L$169,6,FALSE),"")</f>
        <v/>
      </c>
      <c r="AF804" s="19">
        <f>IFERROR(VLOOKUP($H804&amp;"|"&amp;$Q804,Tariff_Master!$A$2:$L$169,7,FALSE),"")</f>
        <v/>
      </c>
      <c r="AG804" s="18">
        <f>IFERROR(VLOOKUP($H804&amp;"|"&amp;$Q804,Tariff_Master!$A$2:$L$169,8,FALSE),"")</f>
        <v/>
      </c>
      <c r="AH804" s="20">
        <f>IFERROR(VLOOKUP($H804&amp;"|"&amp;$Q804,Tariff_Master!$A$2:$L$169,9,FALSE),"")</f>
        <v/>
      </c>
      <c r="AI804" s="18">
        <f>IFERROR(VLOOKUP($H804&amp;"|"&amp;$Q804,Tariff_Master!$A$2:$L$169,10,FALSE),"")</f>
        <v/>
      </c>
      <c r="AJ804" s="21">
        <f>IF($M804="","",ROUNDUP(MAX(0,$M804),0))</f>
        <v/>
      </c>
      <c r="AK804" s="21">
        <f>IF(OR($AJ804="",$AF804=""),"",MAX(0,$AJ804-$AF804))</f>
        <v/>
      </c>
      <c r="AL804" s="22">
        <f>IF(OR($AK804="",$AG804=""),"",MAX(0,$AK804*$AG804))</f>
        <v/>
      </c>
      <c r="AM804" s="22">
        <f>IF($AE804="","",MAX(0,SUM($AE804,$AL804,$V804,$W804)))</f>
        <v/>
      </c>
      <c r="AN804" s="22">
        <f>IF($AM804="","",IF(AND($Q804="COMMITMENT",$R804&gt;=$AH804),$AI804,0))</f>
        <v/>
      </c>
      <c r="AO804" s="23">
        <f>IF($AM804="","",MAX(0,$AM804-$AN804))</f>
        <v/>
      </c>
      <c r="AP804" s="22">
        <f>IF($S804="","",IF(OR($S804="ITEM_PRICE_PLUS_DECLARED_DELIVERY",$S804="DELIVERY_CHARGE_ONLY"),$K804,IF($S804="TOTAL_AMOUNT_INCLUDING_DELIVERY",IF(OR($T804="",$J804=""),"",MAX(0,$T804-$J804-$U804)),IF($S804="ITEM_PRICE_ONLY_DELIVERY_PAID_BY_MERCHANT",0,""))))</f>
        <v/>
      </c>
      <c r="AQ804" s="23">
        <f>IF(OR($AP804="",$AO804=""),"",$AP804-$AO804)</f>
        <v/>
      </c>
      <c r="AR804" s="24">
        <f>IF($S804="EXACT_COLLECTION_AMOUNT","BREAKDOWN_REQUIRED",IF($AQ804="","",IF($AQ804&gt;0,"CREDIT_TO_MERCHANT",IF($AQ804&lt;0,"DEDUCT_FROM_MERCHANT","NO_ADJUSTMENT"))))</f>
        <v/>
      </c>
      <c r="AS804" s="23">
        <f>IF(OR($AQ804="",$AR804="BREAKDOWN_REQUIRED"),"",$AQ804)</f>
        <v/>
      </c>
      <c r="AT804" s="23">
        <f>IF(OR($AR804="",$AR804="BREAKDOWN_REQUIRED"),"",SUM($J804,$AQ804,$Y804)-$X804)</f>
        <v/>
      </c>
      <c r="AU804" s="25">
        <f>IF(AND($A804="",$B804="",$F804="",$H804="",$J804="",$K804="",$M804="",$S804=""),"",IF(OR($H804="",$Q804="",$M804="",$S804=""),"ERROR",IF(OR($J804&lt;0,$K804&lt;0,$M804&lt;0,$T804&lt;0,$U804&lt;0,$V804&lt;0,$W804&lt;0,$X804&lt;0,$Y804&lt;0),"ERROR",IF($AE804="","ERROR",IF(AND(OR($S804="ITEM_PRICE_PLUS_DECLARED_DELIVERY",$S804="TOTAL_AMOUNT_INCLUDING_DELIVERY",$S804="ITEM_PRICE_ONLY_DELIVERY_PAID_BY_MERCHANT"),$J804=""),"ERROR",IF(AND(OR($S804="ITEM_PRICE_PLUS_DECLARED_DELIVERY",$S804="DELIVERY_CHARGE_ONLY"),$K804=""),"ERROR",IF(AND(OR($S804="TOTAL_AMOUNT_INCLUDING_DELIVERY",$S804="EXACT_COLLECTION_AMOUNT"),$T804=""),"ERROR",IF(AND($S804="TOTAL_AMOUNT_INCLUDING_DELIVERY",$T804&lt;SUM($J804,$U804)),"ERROR",IF($S804="EXACT_COLLECTION_AMOUNT","REVIEW","OK")))))))))</f>
        <v/>
      </c>
      <c r="AV804" s="25">
        <f>IF($AU804="","",IF($H804="","Township required",IF($Q804="","Customer tier required",IF($M804="","Weight required",IF($S804="","Amount entry type required",IF(OR($J804&lt;0,$K804&lt;0,$M804&lt;0,$T804&lt;0,$U804&lt;0,$V804&lt;0,$W804&lt;0,$X804&lt;0,$Y804&lt;0),"Negative amounts are not allowed",IF($AE804="","Tariff not found for township and tier",IF(AND(OR($S804="ITEM_PRICE_PLUS_DECLARED_DELIVERY",$S804="TOTAL_AMOUNT_INCLUDING_DELIVERY",$S804="ITEM_PRICE_ONLY_DELIVERY_PAID_BY_MERCHANT"),$J804=""),"Item price required for this amount type",IF(AND(OR($S804="ITEM_PRICE_PLUS_DECLARED_DELIVERY",$S804="DELIVERY_CHARGE_ONLY"),$K804=""),"Declared delivery charge required",IF(AND(OR($S804="TOTAL_AMOUNT_INCLUDING_DELIVERY",$S804="EXACT_COLLECTION_AMOUNT"),$T804=""),"Stated total amount required",IF(AND($S804="TOTAL_AMOUNT_INCLUDING_DELIVERY",$T804&lt;SUM($J804,$U804)),"Stated total is below item price plus additional charge",IF($S804="EXACT_COLLECTION_AMOUNT","Authorized amount breakdown required before settlement","Ready for collection and settlement"))))))))))))</f>
        <v/>
      </c>
      <c r="AW804" s="23">
        <f>IF($AU804="","","PARCEL_FINANCIAL_V2")</f>
        <v/>
      </c>
      <c r="AX804" s="17" t="n"/>
    </row>
    <row r="805">
      <c r="A805" s="8" t="n"/>
      <c r="B805" s="8" t="n"/>
      <c r="C805" s="8" t="n"/>
      <c r="D805" s="8" t="n"/>
      <c r="E805" s="9" t="n"/>
      <c r="F805" s="9" t="n"/>
      <c r="G805" s="8" t="n"/>
      <c r="H805" s="9" t="n"/>
      <c r="I805" s="9" t="n"/>
      <c r="J805" s="10" t="n"/>
      <c r="K805" s="10" t="n"/>
      <c r="L805" s="11">
        <f>IF($S805="","",IF($S805="ITEM_PRICE_PLUS_DECLARED_DELIVERY",IF(OR($J805="",$K805=""),"",SUM($J805,$K805,$U805)),IF($S805="TOTAL_AMOUNT_INCLUDING_DELIVERY",IF($T805="","",$T805),IF($S805="DELIVERY_CHARGE_ONLY",IF($K805="","",SUM($K805,$U805)),IF($S805="EXACT_COLLECTION_AMOUNT",IF($T805="","",$T805),IF($S805="ITEM_PRICE_ONLY_DELIVERY_PAID_BY_MERCHANT",IF($J805="","",SUM($J805,$U805)),""))))))</f>
        <v/>
      </c>
      <c r="M805" s="12" t="n"/>
      <c r="N805" s="13" t="n"/>
      <c r="O805" s="13" t="n"/>
      <c r="P805" s="9" t="n"/>
      <c r="Q805" s="14" t="n"/>
      <c r="R805" s="15" t="n"/>
      <c r="S805" s="14" t="n"/>
      <c r="T805" s="16" t="n"/>
      <c r="U805" s="16" t="n"/>
      <c r="V805" s="16" t="n"/>
      <c r="W805" s="16" t="n"/>
      <c r="X805" s="16" t="n"/>
      <c r="Y805" s="16" t="n"/>
      <c r="Z805" s="14" t="n"/>
      <c r="AA805" s="14" t="n"/>
      <c r="AB805" s="14" t="n"/>
      <c r="AC805" s="17">
        <f>IFERROR(VLOOKUP($H805&amp;"|"&amp;$Q805,Tariff_Master!$A$2:$L$169,3,FALSE),"")</f>
        <v/>
      </c>
      <c r="AD805" s="17">
        <f>IFERROR(VLOOKUP($H805&amp;"|"&amp;$Q805,Tariff_Master!$A$2:$L$169,4,FALSE),"")</f>
        <v/>
      </c>
      <c r="AE805" s="18">
        <f>IFERROR(VLOOKUP($H805&amp;"|"&amp;$Q805,Tariff_Master!$A$2:$L$169,6,FALSE),"")</f>
        <v/>
      </c>
      <c r="AF805" s="19">
        <f>IFERROR(VLOOKUP($H805&amp;"|"&amp;$Q805,Tariff_Master!$A$2:$L$169,7,FALSE),"")</f>
        <v/>
      </c>
      <c r="AG805" s="18">
        <f>IFERROR(VLOOKUP($H805&amp;"|"&amp;$Q805,Tariff_Master!$A$2:$L$169,8,FALSE),"")</f>
        <v/>
      </c>
      <c r="AH805" s="20">
        <f>IFERROR(VLOOKUP($H805&amp;"|"&amp;$Q805,Tariff_Master!$A$2:$L$169,9,FALSE),"")</f>
        <v/>
      </c>
      <c r="AI805" s="18">
        <f>IFERROR(VLOOKUP($H805&amp;"|"&amp;$Q805,Tariff_Master!$A$2:$L$169,10,FALSE),"")</f>
        <v/>
      </c>
      <c r="AJ805" s="21">
        <f>IF($M805="","",ROUNDUP(MAX(0,$M805),0))</f>
        <v/>
      </c>
      <c r="AK805" s="21">
        <f>IF(OR($AJ805="",$AF805=""),"",MAX(0,$AJ805-$AF805))</f>
        <v/>
      </c>
      <c r="AL805" s="22">
        <f>IF(OR($AK805="",$AG805=""),"",MAX(0,$AK805*$AG805))</f>
        <v/>
      </c>
      <c r="AM805" s="22">
        <f>IF($AE805="","",MAX(0,SUM($AE805,$AL805,$V805,$W805)))</f>
        <v/>
      </c>
      <c r="AN805" s="22">
        <f>IF($AM805="","",IF(AND($Q805="COMMITMENT",$R805&gt;=$AH805),$AI805,0))</f>
        <v/>
      </c>
      <c r="AO805" s="23">
        <f>IF($AM805="","",MAX(0,$AM805-$AN805))</f>
        <v/>
      </c>
      <c r="AP805" s="22">
        <f>IF($S805="","",IF(OR($S805="ITEM_PRICE_PLUS_DECLARED_DELIVERY",$S805="DELIVERY_CHARGE_ONLY"),$K805,IF($S805="TOTAL_AMOUNT_INCLUDING_DELIVERY",IF(OR($T805="",$J805=""),"",MAX(0,$T805-$J805-$U805)),IF($S805="ITEM_PRICE_ONLY_DELIVERY_PAID_BY_MERCHANT",0,""))))</f>
        <v/>
      </c>
      <c r="AQ805" s="23">
        <f>IF(OR($AP805="",$AO805=""),"",$AP805-$AO805)</f>
        <v/>
      </c>
      <c r="AR805" s="24">
        <f>IF($S805="EXACT_COLLECTION_AMOUNT","BREAKDOWN_REQUIRED",IF($AQ805="","",IF($AQ805&gt;0,"CREDIT_TO_MERCHANT",IF($AQ805&lt;0,"DEDUCT_FROM_MERCHANT","NO_ADJUSTMENT"))))</f>
        <v/>
      </c>
      <c r="AS805" s="23">
        <f>IF(OR($AQ805="",$AR805="BREAKDOWN_REQUIRED"),"",$AQ805)</f>
        <v/>
      </c>
      <c r="AT805" s="23">
        <f>IF(OR($AR805="",$AR805="BREAKDOWN_REQUIRED"),"",SUM($J805,$AQ805,$Y805)-$X805)</f>
        <v/>
      </c>
      <c r="AU805" s="25">
        <f>IF(AND($A805="",$B805="",$F805="",$H805="",$J805="",$K805="",$M805="",$S805=""),"",IF(OR($H805="",$Q805="",$M805="",$S805=""),"ERROR",IF(OR($J805&lt;0,$K805&lt;0,$M805&lt;0,$T805&lt;0,$U805&lt;0,$V805&lt;0,$W805&lt;0,$X805&lt;0,$Y805&lt;0),"ERROR",IF($AE805="","ERROR",IF(AND(OR($S805="ITEM_PRICE_PLUS_DECLARED_DELIVERY",$S805="TOTAL_AMOUNT_INCLUDING_DELIVERY",$S805="ITEM_PRICE_ONLY_DELIVERY_PAID_BY_MERCHANT"),$J805=""),"ERROR",IF(AND(OR($S805="ITEM_PRICE_PLUS_DECLARED_DELIVERY",$S805="DELIVERY_CHARGE_ONLY"),$K805=""),"ERROR",IF(AND(OR($S805="TOTAL_AMOUNT_INCLUDING_DELIVERY",$S805="EXACT_COLLECTION_AMOUNT"),$T805=""),"ERROR",IF(AND($S805="TOTAL_AMOUNT_INCLUDING_DELIVERY",$T805&lt;SUM($J805,$U805)),"ERROR",IF($S805="EXACT_COLLECTION_AMOUNT","REVIEW","OK")))))))))</f>
        <v/>
      </c>
      <c r="AV805" s="25">
        <f>IF($AU805="","",IF($H805="","Township required",IF($Q805="","Customer tier required",IF($M805="","Weight required",IF($S805="","Amount entry type required",IF(OR($J805&lt;0,$K805&lt;0,$M805&lt;0,$T805&lt;0,$U805&lt;0,$V805&lt;0,$W805&lt;0,$X805&lt;0,$Y805&lt;0),"Negative amounts are not allowed",IF($AE805="","Tariff not found for township and tier",IF(AND(OR($S805="ITEM_PRICE_PLUS_DECLARED_DELIVERY",$S805="TOTAL_AMOUNT_INCLUDING_DELIVERY",$S805="ITEM_PRICE_ONLY_DELIVERY_PAID_BY_MERCHANT"),$J805=""),"Item price required for this amount type",IF(AND(OR($S805="ITEM_PRICE_PLUS_DECLARED_DELIVERY",$S805="DELIVERY_CHARGE_ONLY"),$K805=""),"Declared delivery charge required",IF(AND(OR($S805="TOTAL_AMOUNT_INCLUDING_DELIVERY",$S805="EXACT_COLLECTION_AMOUNT"),$T805=""),"Stated total amount required",IF(AND($S805="TOTAL_AMOUNT_INCLUDING_DELIVERY",$T805&lt;SUM($J805,$U805)),"Stated total is below item price plus additional charge",IF($S805="EXACT_COLLECTION_AMOUNT","Authorized amount breakdown required before settlement","Ready for collection and settlement"))))))))))))</f>
        <v/>
      </c>
      <c r="AW805" s="23">
        <f>IF($AU805="","","PARCEL_FINANCIAL_V2")</f>
        <v/>
      </c>
      <c r="AX805" s="17" t="n"/>
    </row>
    <row r="806">
      <c r="A806" s="8" t="n"/>
      <c r="B806" s="8" t="n"/>
      <c r="C806" s="8" t="n"/>
      <c r="D806" s="8" t="n"/>
      <c r="E806" s="9" t="n"/>
      <c r="F806" s="9" t="n"/>
      <c r="G806" s="8" t="n"/>
      <c r="H806" s="9" t="n"/>
      <c r="I806" s="9" t="n"/>
      <c r="J806" s="10" t="n"/>
      <c r="K806" s="10" t="n"/>
      <c r="L806" s="11">
        <f>IF($S806="","",IF($S806="ITEM_PRICE_PLUS_DECLARED_DELIVERY",IF(OR($J806="",$K806=""),"",SUM($J806,$K806,$U806)),IF($S806="TOTAL_AMOUNT_INCLUDING_DELIVERY",IF($T806="","",$T806),IF($S806="DELIVERY_CHARGE_ONLY",IF($K806="","",SUM($K806,$U806)),IF($S806="EXACT_COLLECTION_AMOUNT",IF($T806="","",$T806),IF($S806="ITEM_PRICE_ONLY_DELIVERY_PAID_BY_MERCHANT",IF($J806="","",SUM($J806,$U806)),""))))))</f>
        <v/>
      </c>
      <c r="M806" s="12" t="n"/>
      <c r="N806" s="13" t="n"/>
      <c r="O806" s="13" t="n"/>
      <c r="P806" s="9" t="n"/>
      <c r="Q806" s="14" t="n"/>
      <c r="R806" s="15" t="n"/>
      <c r="S806" s="14" t="n"/>
      <c r="T806" s="16" t="n"/>
      <c r="U806" s="16" t="n"/>
      <c r="V806" s="16" t="n"/>
      <c r="W806" s="16" t="n"/>
      <c r="X806" s="16" t="n"/>
      <c r="Y806" s="16" t="n"/>
      <c r="Z806" s="14" t="n"/>
      <c r="AA806" s="14" t="n"/>
      <c r="AB806" s="14" t="n"/>
      <c r="AC806" s="17">
        <f>IFERROR(VLOOKUP($H806&amp;"|"&amp;$Q806,Tariff_Master!$A$2:$L$169,3,FALSE),"")</f>
        <v/>
      </c>
      <c r="AD806" s="17">
        <f>IFERROR(VLOOKUP($H806&amp;"|"&amp;$Q806,Tariff_Master!$A$2:$L$169,4,FALSE),"")</f>
        <v/>
      </c>
      <c r="AE806" s="18">
        <f>IFERROR(VLOOKUP($H806&amp;"|"&amp;$Q806,Tariff_Master!$A$2:$L$169,6,FALSE),"")</f>
        <v/>
      </c>
      <c r="AF806" s="19">
        <f>IFERROR(VLOOKUP($H806&amp;"|"&amp;$Q806,Tariff_Master!$A$2:$L$169,7,FALSE),"")</f>
        <v/>
      </c>
      <c r="AG806" s="18">
        <f>IFERROR(VLOOKUP($H806&amp;"|"&amp;$Q806,Tariff_Master!$A$2:$L$169,8,FALSE),"")</f>
        <v/>
      </c>
      <c r="AH806" s="20">
        <f>IFERROR(VLOOKUP($H806&amp;"|"&amp;$Q806,Tariff_Master!$A$2:$L$169,9,FALSE),"")</f>
        <v/>
      </c>
      <c r="AI806" s="18">
        <f>IFERROR(VLOOKUP($H806&amp;"|"&amp;$Q806,Tariff_Master!$A$2:$L$169,10,FALSE),"")</f>
        <v/>
      </c>
      <c r="AJ806" s="21">
        <f>IF($M806="","",ROUNDUP(MAX(0,$M806),0))</f>
        <v/>
      </c>
      <c r="AK806" s="21">
        <f>IF(OR($AJ806="",$AF806=""),"",MAX(0,$AJ806-$AF806))</f>
        <v/>
      </c>
      <c r="AL806" s="22">
        <f>IF(OR($AK806="",$AG806=""),"",MAX(0,$AK806*$AG806))</f>
        <v/>
      </c>
      <c r="AM806" s="22">
        <f>IF($AE806="","",MAX(0,SUM($AE806,$AL806,$V806,$W806)))</f>
        <v/>
      </c>
      <c r="AN806" s="22">
        <f>IF($AM806="","",IF(AND($Q806="COMMITMENT",$R806&gt;=$AH806),$AI806,0))</f>
        <v/>
      </c>
      <c r="AO806" s="23">
        <f>IF($AM806="","",MAX(0,$AM806-$AN806))</f>
        <v/>
      </c>
      <c r="AP806" s="22">
        <f>IF($S806="","",IF(OR($S806="ITEM_PRICE_PLUS_DECLARED_DELIVERY",$S806="DELIVERY_CHARGE_ONLY"),$K806,IF($S806="TOTAL_AMOUNT_INCLUDING_DELIVERY",IF(OR($T806="",$J806=""),"",MAX(0,$T806-$J806-$U806)),IF($S806="ITEM_PRICE_ONLY_DELIVERY_PAID_BY_MERCHANT",0,""))))</f>
        <v/>
      </c>
      <c r="AQ806" s="23">
        <f>IF(OR($AP806="",$AO806=""),"",$AP806-$AO806)</f>
        <v/>
      </c>
      <c r="AR806" s="24">
        <f>IF($S806="EXACT_COLLECTION_AMOUNT","BREAKDOWN_REQUIRED",IF($AQ806="","",IF($AQ806&gt;0,"CREDIT_TO_MERCHANT",IF($AQ806&lt;0,"DEDUCT_FROM_MERCHANT","NO_ADJUSTMENT"))))</f>
        <v/>
      </c>
      <c r="AS806" s="23">
        <f>IF(OR($AQ806="",$AR806="BREAKDOWN_REQUIRED"),"",$AQ806)</f>
        <v/>
      </c>
      <c r="AT806" s="23">
        <f>IF(OR($AR806="",$AR806="BREAKDOWN_REQUIRED"),"",SUM($J806,$AQ806,$Y806)-$X806)</f>
        <v/>
      </c>
      <c r="AU806" s="25">
        <f>IF(AND($A806="",$B806="",$F806="",$H806="",$J806="",$K806="",$M806="",$S806=""),"",IF(OR($H806="",$Q806="",$M806="",$S806=""),"ERROR",IF(OR($J806&lt;0,$K806&lt;0,$M806&lt;0,$T806&lt;0,$U806&lt;0,$V806&lt;0,$W806&lt;0,$X806&lt;0,$Y806&lt;0),"ERROR",IF($AE806="","ERROR",IF(AND(OR($S806="ITEM_PRICE_PLUS_DECLARED_DELIVERY",$S806="TOTAL_AMOUNT_INCLUDING_DELIVERY",$S806="ITEM_PRICE_ONLY_DELIVERY_PAID_BY_MERCHANT"),$J806=""),"ERROR",IF(AND(OR($S806="ITEM_PRICE_PLUS_DECLARED_DELIVERY",$S806="DELIVERY_CHARGE_ONLY"),$K806=""),"ERROR",IF(AND(OR($S806="TOTAL_AMOUNT_INCLUDING_DELIVERY",$S806="EXACT_COLLECTION_AMOUNT"),$T806=""),"ERROR",IF(AND($S806="TOTAL_AMOUNT_INCLUDING_DELIVERY",$T806&lt;SUM($J806,$U806)),"ERROR",IF($S806="EXACT_COLLECTION_AMOUNT","REVIEW","OK")))))))))</f>
        <v/>
      </c>
      <c r="AV806" s="25">
        <f>IF($AU806="","",IF($H806="","Township required",IF($Q806="","Customer tier required",IF($M806="","Weight required",IF($S806="","Amount entry type required",IF(OR($J806&lt;0,$K806&lt;0,$M806&lt;0,$T806&lt;0,$U806&lt;0,$V806&lt;0,$W806&lt;0,$X806&lt;0,$Y806&lt;0),"Negative amounts are not allowed",IF($AE806="","Tariff not found for township and tier",IF(AND(OR($S806="ITEM_PRICE_PLUS_DECLARED_DELIVERY",$S806="TOTAL_AMOUNT_INCLUDING_DELIVERY",$S806="ITEM_PRICE_ONLY_DELIVERY_PAID_BY_MERCHANT"),$J806=""),"Item price required for this amount type",IF(AND(OR($S806="ITEM_PRICE_PLUS_DECLARED_DELIVERY",$S806="DELIVERY_CHARGE_ONLY"),$K806=""),"Declared delivery charge required",IF(AND(OR($S806="TOTAL_AMOUNT_INCLUDING_DELIVERY",$S806="EXACT_COLLECTION_AMOUNT"),$T806=""),"Stated total amount required",IF(AND($S806="TOTAL_AMOUNT_INCLUDING_DELIVERY",$T806&lt;SUM($J806,$U806)),"Stated total is below item price plus additional charge",IF($S806="EXACT_COLLECTION_AMOUNT","Authorized amount breakdown required before settlement","Ready for collection and settlement"))))))))))))</f>
        <v/>
      </c>
      <c r="AW806" s="23">
        <f>IF($AU806="","","PARCEL_FINANCIAL_V2")</f>
        <v/>
      </c>
      <c r="AX806" s="17" t="n"/>
    </row>
    <row r="807">
      <c r="A807" s="8" t="n"/>
      <c r="B807" s="8" t="n"/>
      <c r="C807" s="8" t="n"/>
      <c r="D807" s="8" t="n"/>
      <c r="E807" s="9" t="n"/>
      <c r="F807" s="9" t="n"/>
      <c r="G807" s="8" t="n"/>
      <c r="H807" s="9" t="n"/>
      <c r="I807" s="9" t="n"/>
      <c r="J807" s="10" t="n"/>
      <c r="K807" s="10" t="n"/>
      <c r="L807" s="11">
        <f>IF($S807="","",IF($S807="ITEM_PRICE_PLUS_DECLARED_DELIVERY",IF(OR($J807="",$K807=""),"",SUM($J807,$K807,$U807)),IF($S807="TOTAL_AMOUNT_INCLUDING_DELIVERY",IF($T807="","",$T807),IF($S807="DELIVERY_CHARGE_ONLY",IF($K807="","",SUM($K807,$U807)),IF($S807="EXACT_COLLECTION_AMOUNT",IF($T807="","",$T807),IF($S807="ITEM_PRICE_ONLY_DELIVERY_PAID_BY_MERCHANT",IF($J807="","",SUM($J807,$U807)),""))))))</f>
        <v/>
      </c>
      <c r="M807" s="12" t="n"/>
      <c r="N807" s="13" t="n"/>
      <c r="O807" s="13" t="n"/>
      <c r="P807" s="9" t="n"/>
      <c r="Q807" s="14" t="n"/>
      <c r="R807" s="15" t="n"/>
      <c r="S807" s="14" t="n"/>
      <c r="T807" s="16" t="n"/>
      <c r="U807" s="16" t="n"/>
      <c r="V807" s="16" t="n"/>
      <c r="W807" s="16" t="n"/>
      <c r="X807" s="16" t="n"/>
      <c r="Y807" s="16" t="n"/>
      <c r="Z807" s="14" t="n"/>
      <c r="AA807" s="14" t="n"/>
      <c r="AB807" s="14" t="n"/>
      <c r="AC807" s="17">
        <f>IFERROR(VLOOKUP($H807&amp;"|"&amp;$Q807,Tariff_Master!$A$2:$L$169,3,FALSE),"")</f>
        <v/>
      </c>
      <c r="AD807" s="17">
        <f>IFERROR(VLOOKUP($H807&amp;"|"&amp;$Q807,Tariff_Master!$A$2:$L$169,4,FALSE),"")</f>
        <v/>
      </c>
      <c r="AE807" s="18">
        <f>IFERROR(VLOOKUP($H807&amp;"|"&amp;$Q807,Tariff_Master!$A$2:$L$169,6,FALSE),"")</f>
        <v/>
      </c>
      <c r="AF807" s="19">
        <f>IFERROR(VLOOKUP($H807&amp;"|"&amp;$Q807,Tariff_Master!$A$2:$L$169,7,FALSE),"")</f>
        <v/>
      </c>
      <c r="AG807" s="18">
        <f>IFERROR(VLOOKUP($H807&amp;"|"&amp;$Q807,Tariff_Master!$A$2:$L$169,8,FALSE),"")</f>
        <v/>
      </c>
      <c r="AH807" s="20">
        <f>IFERROR(VLOOKUP($H807&amp;"|"&amp;$Q807,Tariff_Master!$A$2:$L$169,9,FALSE),"")</f>
        <v/>
      </c>
      <c r="AI807" s="18">
        <f>IFERROR(VLOOKUP($H807&amp;"|"&amp;$Q807,Tariff_Master!$A$2:$L$169,10,FALSE),"")</f>
        <v/>
      </c>
      <c r="AJ807" s="21">
        <f>IF($M807="","",ROUNDUP(MAX(0,$M807),0))</f>
        <v/>
      </c>
      <c r="AK807" s="21">
        <f>IF(OR($AJ807="",$AF807=""),"",MAX(0,$AJ807-$AF807))</f>
        <v/>
      </c>
      <c r="AL807" s="22">
        <f>IF(OR($AK807="",$AG807=""),"",MAX(0,$AK807*$AG807))</f>
        <v/>
      </c>
      <c r="AM807" s="22">
        <f>IF($AE807="","",MAX(0,SUM($AE807,$AL807,$V807,$W807)))</f>
        <v/>
      </c>
      <c r="AN807" s="22">
        <f>IF($AM807="","",IF(AND($Q807="COMMITMENT",$R807&gt;=$AH807),$AI807,0))</f>
        <v/>
      </c>
      <c r="AO807" s="23">
        <f>IF($AM807="","",MAX(0,$AM807-$AN807))</f>
        <v/>
      </c>
      <c r="AP807" s="22">
        <f>IF($S807="","",IF(OR($S807="ITEM_PRICE_PLUS_DECLARED_DELIVERY",$S807="DELIVERY_CHARGE_ONLY"),$K807,IF($S807="TOTAL_AMOUNT_INCLUDING_DELIVERY",IF(OR($T807="",$J807=""),"",MAX(0,$T807-$J807-$U807)),IF($S807="ITEM_PRICE_ONLY_DELIVERY_PAID_BY_MERCHANT",0,""))))</f>
        <v/>
      </c>
      <c r="AQ807" s="23">
        <f>IF(OR($AP807="",$AO807=""),"",$AP807-$AO807)</f>
        <v/>
      </c>
      <c r="AR807" s="24">
        <f>IF($S807="EXACT_COLLECTION_AMOUNT","BREAKDOWN_REQUIRED",IF($AQ807="","",IF($AQ807&gt;0,"CREDIT_TO_MERCHANT",IF($AQ807&lt;0,"DEDUCT_FROM_MERCHANT","NO_ADJUSTMENT"))))</f>
        <v/>
      </c>
      <c r="AS807" s="23">
        <f>IF(OR($AQ807="",$AR807="BREAKDOWN_REQUIRED"),"",$AQ807)</f>
        <v/>
      </c>
      <c r="AT807" s="23">
        <f>IF(OR($AR807="",$AR807="BREAKDOWN_REQUIRED"),"",SUM($J807,$AQ807,$Y807)-$X807)</f>
        <v/>
      </c>
      <c r="AU807" s="25">
        <f>IF(AND($A807="",$B807="",$F807="",$H807="",$J807="",$K807="",$M807="",$S807=""),"",IF(OR($H807="",$Q807="",$M807="",$S807=""),"ERROR",IF(OR($J807&lt;0,$K807&lt;0,$M807&lt;0,$T807&lt;0,$U807&lt;0,$V807&lt;0,$W807&lt;0,$X807&lt;0,$Y807&lt;0),"ERROR",IF($AE807="","ERROR",IF(AND(OR($S807="ITEM_PRICE_PLUS_DECLARED_DELIVERY",$S807="TOTAL_AMOUNT_INCLUDING_DELIVERY",$S807="ITEM_PRICE_ONLY_DELIVERY_PAID_BY_MERCHANT"),$J807=""),"ERROR",IF(AND(OR($S807="ITEM_PRICE_PLUS_DECLARED_DELIVERY",$S807="DELIVERY_CHARGE_ONLY"),$K807=""),"ERROR",IF(AND(OR($S807="TOTAL_AMOUNT_INCLUDING_DELIVERY",$S807="EXACT_COLLECTION_AMOUNT"),$T807=""),"ERROR",IF(AND($S807="TOTAL_AMOUNT_INCLUDING_DELIVERY",$T807&lt;SUM($J807,$U807)),"ERROR",IF($S807="EXACT_COLLECTION_AMOUNT","REVIEW","OK")))))))))</f>
        <v/>
      </c>
      <c r="AV807" s="25">
        <f>IF($AU807="","",IF($H807="","Township required",IF($Q807="","Customer tier required",IF($M807="","Weight required",IF($S807="","Amount entry type required",IF(OR($J807&lt;0,$K807&lt;0,$M807&lt;0,$T807&lt;0,$U807&lt;0,$V807&lt;0,$W807&lt;0,$X807&lt;0,$Y807&lt;0),"Negative amounts are not allowed",IF($AE807="","Tariff not found for township and tier",IF(AND(OR($S807="ITEM_PRICE_PLUS_DECLARED_DELIVERY",$S807="TOTAL_AMOUNT_INCLUDING_DELIVERY",$S807="ITEM_PRICE_ONLY_DELIVERY_PAID_BY_MERCHANT"),$J807=""),"Item price required for this amount type",IF(AND(OR($S807="ITEM_PRICE_PLUS_DECLARED_DELIVERY",$S807="DELIVERY_CHARGE_ONLY"),$K807=""),"Declared delivery charge required",IF(AND(OR($S807="TOTAL_AMOUNT_INCLUDING_DELIVERY",$S807="EXACT_COLLECTION_AMOUNT"),$T807=""),"Stated total amount required",IF(AND($S807="TOTAL_AMOUNT_INCLUDING_DELIVERY",$T807&lt;SUM($J807,$U807)),"Stated total is below item price plus additional charge",IF($S807="EXACT_COLLECTION_AMOUNT","Authorized amount breakdown required before settlement","Ready for collection and settlement"))))))))))))</f>
        <v/>
      </c>
      <c r="AW807" s="23">
        <f>IF($AU807="","","PARCEL_FINANCIAL_V2")</f>
        <v/>
      </c>
      <c r="AX807" s="17" t="n"/>
    </row>
    <row r="808">
      <c r="A808" s="8" t="n"/>
      <c r="B808" s="8" t="n"/>
      <c r="C808" s="8" t="n"/>
      <c r="D808" s="8" t="n"/>
      <c r="E808" s="9" t="n"/>
      <c r="F808" s="9" t="n"/>
      <c r="G808" s="8" t="n"/>
      <c r="H808" s="9" t="n"/>
      <c r="I808" s="9" t="n"/>
      <c r="J808" s="10" t="n"/>
      <c r="K808" s="10" t="n"/>
      <c r="L808" s="11">
        <f>IF($S808="","",IF($S808="ITEM_PRICE_PLUS_DECLARED_DELIVERY",IF(OR($J808="",$K808=""),"",SUM($J808,$K808,$U808)),IF($S808="TOTAL_AMOUNT_INCLUDING_DELIVERY",IF($T808="","",$T808),IF($S808="DELIVERY_CHARGE_ONLY",IF($K808="","",SUM($K808,$U808)),IF($S808="EXACT_COLLECTION_AMOUNT",IF($T808="","",$T808),IF($S808="ITEM_PRICE_ONLY_DELIVERY_PAID_BY_MERCHANT",IF($J808="","",SUM($J808,$U808)),""))))))</f>
        <v/>
      </c>
      <c r="M808" s="12" t="n"/>
      <c r="N808" s="13" t="n"/>
      <c r="O808" s="13" t="n"/>
      <c r="P808" s="9" t="n"/>
      <c r="Q808" s="14" t="n"/>
      <c r="R808" s="15" t="n"/>
      <c r="S808" s="14" t="n"/>
      <c r="T808" s="16" t="n"/>
      <c r="U808" s="16" t="n"/>
      <c r="V808" s="16" t="n"/>
      <c r="W808" s="16" t="n"/>
      <c r="X808" s="16" t="n"/>
      <c r="Y808" s="16" t="n"/>
      <c r="Z808" s="14" t="n"/>
      <c r="AA808" s="14" t="n"/>
      <c r="AB808" s="14" t="n"/>
      <c r="AC808" s="17">
        <f>IFERROR(VLOOKUP($H808&amp;"|"&amp;$Q808,Tariff_Master!$A$2:$L$169,3,FALSE),"")</f>
        <v/>
      </c>
      <c r="AD808" s="17">
        <f>IFERROR(VLOOKUP($H808&amp;"|"&amp;$Q808,Tariff_Master!$A$2:$L$169,4,FALSE),"")</f>
        <v/>
      </c>
      <c r="AE808" s="18">
        <f>IFERROR(VLOOKUP($H808&amp;"|"&amp;$Q808,Tariff_Master!$A$2:$L$169,6,FALSE),"")</f>
        <v/>
      </c>
      <c r="AF808" s="19">
        <f>IFERROR(VLOOKUP($H808&amp;"|"&amp;$Q808,Tariff_Master!$A$2:$L$169,7,FALSE),"")</f>
        <v/>
      </c>
      <c r="AG808" s="18">
        <f>IFERROR(VLOOKUP($H808&amp;"|"&amp;$Q808,Tariff_Master!$A$2:$L$169,8,FALSE),"")</f>
        <v/>
      </c>
      <c r="AH808" s="20">
        <f>IFERROR(VLOOKUP($H808&amp;"|"&amp;$Q808,Tariff_Master!$A$2:$L$169,9,FALSE),"")</f>
        <v/>
      </c>
      <c r="AI808" s="18">
        <f>IFERROR(VLOOKUP($H808&amp;"|"&amp;$Q808,Tariff_Master!$A$2:$L$169,10,FALSE),"")</f>
        <v/>
      </c>
      <c r="AJ808" s="21">
        <f>IF($M808="","",ROUNDUP(MAX(0,$M808),0))</f>
        <v/>
      </c>
      <c r="AK808" s="21">
        <f>IF(OR($AJ808="",$AF808=""),"",MAX(0,$AJ808-$AF808))</f>
        <v/>
      </c>
      <c r="AL808" s="22">
        <f>IF(OR($AK808="",$AG808=""),"",MAX(0,$AK808*$AG808))</f>
        <v/>
      </c>
      <c r="AM808" s="22">
        <f>IF($AE808="","",MAX(0,SUM($AE808,$AL808,$V808,$W808)))</f>
        <v/>
      </c>
      <c r="AN808" s="22">
        <f>IF($AM808="","",IF(AND($Q808="COMMITMENT",$R808&gt;=$AH808),$AI808,0))</f>
        <v/>
      </c>
      <c r="AO808" s="23">
        <f>IF($AM808="","",MAX(0,$AM808-$AN808))</f>
        <v/>
      </c>
      <c r="AP808" s="22">
        <f>IF($S808="","",IF(OR($S808="ITEM_PRICE_PLUS_DECLARED_DELIVERY",$S808="DELIVERY_CHARGE_ONLY"),$K808,IF($S808="TOTAL_AMOUNT_INCLUDING_DELIVERY",IF(OR($T808="",$J808=""),"",MAX(0,$T808-$J808-$U808)),IF($S808="ITEM_PRICE_ONLY_DELIVERY_PAID_BY_MERCHANT",0,""))))</f>
        <v/>
      </c>
      <c r="AQ808" s="23">
        <f>IF(OR($AP808="",$AO808=""),"",$AP808-$AO808)</f>
        <v/>
      </c>
      <c r="AR808" s="24">
        <f>IF($S808="EXACT_COLLECTION_AMOUNT","BREAKDOWN_REQUIRED",IF($AQ808="","",IF($AQ808&gt;0,"CREDIT_TO_MERCHANT",IF($AQ808&lt;0,"DEDUCT_FROM_MERCHANT","NO_ADJUSTMENT"))))</f>
        <v/>
      </c>
      <c r="AS808" s="23">
        <f>IF(OR($AQ808="",$AR808="BREAKDOWN_REQUIRED"),"",$AQ808)</f>
        <v/>
      </c>
      <c r="AT808" s="23">
        <f>IF(OR($AR808="",$AR808="BREAKDOWN_REQUIRED"),"",SUM($J808,$AQ808,$Y808)-$X808)</f>
        <v/>
      </c>
      <c r="AU808" s="25">
        <f>IF(AND($A808="",$B808="",$F808="",$H808="",$J808="",$K808="",$M808="",$S808=""),"",IF(OR($H808="",$Q808="",$M808="",$S808=""),"ERROR",IF(OR($J808&lt;0,$K808&lt;0,$M808&lt;0,$T808&lt;0,$U808&lt;0,$V808&lt;0,$W808&lt;0,$X808&lt;0,$Y808&lt;0),"ERROR",IF($AE808="","ERROR",IF(AND(OR($S808="ITEM_PRICE_PLUS_DECLARED_DELIVERY",$S808="TOTAL_AMOUNT_INCLUDING_DELIVERY",$S808="ITEM_PRICE_ONLY_DELIVERY_PAID_BY_MERCHANT"),$J808=""),"ERROR",IF(AND(OR($S808="ITEM_PRICE_PLUS_DECLARED_DELIVERY",$S808="DELIVERY_CHARGE_ONLY"),$K808=""),"ERROR",IF(AND(OR($S808="TOTAL_AMOUNT_INCLUDING_DELIVERY",$S808="EXACT_COLLECTION_AMOUNT"),$T808=""),"ERROR",IF(AND($S808="TOTAL_AMOUNT_INCLUDING_DELIVERY",$T808&lt;SUM($J808,$U808)),"ERROR",IF($S808="EXACT_COLLECTION_AMOUNT","REVIEW","OK")))))))))</f>
        <v/>
      </c>
      <c r="AV808" s="25">
        <f>IF($AU808="","",IF($H808="","Township required",IF($Q808="","Customer tier required",IF($M808="","Weight required",IF($S808="","Amount entry type required",IF(OR($J808&lt;0,$K808&lt;0,$M808&lt;0,$T808&lt;0,$U808&lt;0,$V808&lt;0,$W808&lt;0,$X808&lt;0,$Y808&lt;0),"Negative amounts are not allowed",IF($AE808="","Tariff not found for township and tier",IF(AND(OR($S808="ITEM_PRICE_PLUS_DECLARED_DELIVERY",$S808="TOTAL_AMOUNT_INCLUDING_DELIVERY",$S808="ITEM_PRICE_ONLY_DELIVERY_PAID_BY_MERCHANT"),$J808=""),"Item price required for this amount type",IF(AND(OR($S808="ITEM_PRICE_PLUS_DECLARED_DELIVERY",$S808="DELIVERY_CHARGE_ONLY"),$K808=""),"Declared delivery charge required",IF(AND(OR($S808="TOTAL_AMOUNT_INCLUDING_DELIVERY",$S808="EXACT_COLLECTION_AMOUNT"),$T808=""),"Stated total amount required",IF(AND($S808="TOTAL_AMOUNT_INCLUDING_DELIVERY",$T808&lt;SUM($J808,$U808)),"Stated total is below item price plus additional charge",IF($S808="EXACT_COLLECTION_AMOUNT","Authorized amount breakdown required before settlement","Ready for collection and settlement"))))))))))))</f>
        <v/>
      </c>
      <c r="AW808" s="23">
        <f>IF($AU808="","","PARCEL_FINANCIAL_V2")</f>
        <v/>
      </c>
      <c r="AX808" s="17" t="n"/>
    </row>
    <row r="809">
      <c r="A809" s="8" t="n"/>
      <c r="B809" s="8" t="n"/>
      <c r="C809" s="8" t="n"/>
      <c r="D809" s="8" t="n"/>
      <c r="E809" s="9" t="n"/>
      <c r="F809" s="9" t="n"/>
      <c r="G809" s="8" t="n"/>
      <c r="H809" s="9" t="n"/>
      <c r="I809" s="9" t="n"/>
      <c r="J809" s="10" t="n"/>
      <c r="K809" s="10" t="n"/>
      <c r="L809" s="11">
        <f>IF($S809="","",IF($S809="ITEM_PRICE_PLUS_DECLARED_DELIVERY",IF(OR($J809="",$K809=""),"",SUM($J809,$K809,$U809)),IF($S809="TOTAL_AMOUNT_INCLUDING_DELIVERY",IF($T809="","",$T809),IF($S809="DELIVERY_CHARGE_ONLY",IF($K809="","",SUM($K809,$U809)),IF($S809="EXACT_COLLECTION_AMOUNT",IF($T809="","",$T809),IF($S809="ITEM_PRICE_ONLY_DELIVERY_PAID_BY_MERCHANT",IF($J809="","",SUM($J809,$U809)),""))))))</f>
        <v/>
      </c>
      <c r="M809" s="12" t="n"/>
      <c r="N809" s="13" t="n"/>
      <c r="O809" s="13" t="n"/>
      <c r="P809" s="9" t="n"/>
      <c r="Q809" s="14" t="n"/>
      <c r="R809" s="15" t="n"/>
      <c r="S809" s="14" t="n"/>
      <c r="T809" s="16" t="n"/>
      <c r="U809" s="16" t="n"/>
      <c r="V809" s="16" t="n"/>
      <c r="W809" s="16" t="n"/>
      <c r="X809" s="16" t="n"/>
      <c r="Y809" s="16" t="n"/>
      <c r="Z809" s="14" t="n"/>
      <c r="AA809" s="14" t="n"/>
      <c r="AB809" s="14" t="n"/>
      <c r="AC809" s="17">
        <f>IFERROR(VLOOKUP($H809&amp;"|"&amp;$Q809,Tariff_Master!$A$2:$L$169,3,FALSE),"")</f>
        <v/>
      </c>
      <c r="AD809" s="17">
        <f>IFERROR(VLOOKUP($H809&amp;"|"&amp;$Q809,Tariff_Master!$A$2:$L$169,4,FALSE),"")</f>
        <v/>
      </c>
      <c r="AE809" s="18">
        <f>IFERROR(VLOOKUP($H809&amp;"|"&amp;$Q809,Tariff_Master!$A$2:$L$169,6,FALSE),"")</f>
        <v/>
      </c>
      <c r="AF809" s="19">
        <f>IFERROR(VLOOKUP($H809&amp;"|"&amp;$Q809,Tariff_Master!$A$2:$L$169,7,FALSE),"")</f>
        <v/>
      </c>
      <c r="AG809" s="18">
        <f>IFERROR(VLOOKUP($H809&amp;"|"&amp;$Q809,Tariff_Master!$A$2:$L$169,8,FALSE),"")</f>
        <v/>
      </c>
      <c r="AH809" s="20">
        <f>IFERROR(VLOOKUP($H809&amp;"|"&amp;$Q809,Tariff_Master!$A$2:$L$169,9,FALSE),"")</f>
        <v/>
      </c>
      <c r="AI809" s="18">
        <f>IFERROR(VLOOKUP($H809&amp;"|"&amp;$Q809,Tariff_Master!$A$2:$L$169,10,FALSE),"")</f>
        <v/>
      </c>
      <c r="AJ809" s="21">
        <f>IF($M809="","",ROUNDUP(MAX(0,$M809),0))</f>
        <v/>
      </c>
      <c r="AK809" s="21">
        <f>IF(OR($AJ809="",$AF809=""),"",MAX(0,$AJ809-$AF809))</f>
        <v/>
      </c>
      <c r="AL809" s="22">
        <f>IF(OR($AK809="",$AG809=""),"",MAX(0,$AK809*$AG809))</f>
        <v/>
      </c>
      <c r="AM809" s="22">
        <f>IF($AE809="","",MAX(0,SUM($AE809,$AL809,$V809,$W809)))</f>
        <v/>
      </c>
      <c r="AN809" s="22">
        <f>IF($AM809="","",IF(AND($Q809="COMMITMENT",$R809&gt;=$AH809),$AI809,0))</f>
        <v/>
      </c>
      <c r="AO809" s="23">
        <f>IF($AM809="","",MAX(0,$AM809-$AN809))</f>
        <v/>
      </c>
      <c r="AP809" s="22">
        <f>IF($S809="","",IF(OR($S809="ITEM_PRICE_PLUS_DECLARED_DELIVERY",$S809="DELIVERY_CHARGE_ONLY"),$K809,IF($S809="TOTAL_AMOUNT_INCLUDING_DELIVERY",IF(OR($T809="",$J809=""),"",MAX(0,$T809-$J809-$U809)),IF($S809="ITEM_PRICE_ONLY_DELIVERY_PAID_BY_MERCHANT",0,""))))</f>
        <v/>
      </c>
      <c r="AQ809" s="23">
        <f>IF(OR($AP809="",$AO809=""),"",$AP809-$AO809)</f>
        <v/>
      </c>
      <c r="AR809" s="24">
        <f>IF($S809="EXACT_COLLECTION_AMOUNT","BREAKDOWN_REQUIRED",IF($AQ809="","",IF($AQ809&gt;0,"CREDIT_TO_MERCHANT",IF($AQ809&lt;0,"DEDUCT_FROM_MERCHANT","NO_ADJUSTMENT"))))</f>
        <v/>
      </c>
      <c r="AS809" s="23">
        <f>IF(OR($AQ809="",$AR809="BREAKDOWN_REQUIRED"),"",$AQ809)</f>
        <v/>
      </c>
      <c r="AT809" s="23">
        <f>IF(OR($AR809="",$AR809="BREAKDOWN_REQUIRED"),"",SUM($J809,$AQ809,$Y809)-$X809)</f>
        <v/>
      </c>
      <c r="AU809" s="25">
        <f>IF(AND($A809="",$B809="",$F809="",$H809="",$J809="",$K809="",$M809="",$S809=""),"",IF(OR($H809="",$Q809="",$M809="",$S809=""),"ERROR",IF(OR($J809&lt;0,$K809&lt;0,$M809&lt;0,$T809&lt;0,$U809&lt;0,$V809&lt;0,$W809&lt;0,$X809&lt;0,$Y809&lt;0),"ERROR",IF($AE809="","ERROR",IF(AND(OR($S809="ITEM_PRICE_PLUS_DECLARED_DELIVERY",$S809="TOTAL_AMOUNT_INCLUDING_DELIVERY",$S809="ITEM_PRICE_ONLY_DELIVERY_PAID_BY_MERCHANT"),$J809=""),"ERROR",IF(AND(OR($S809="ITEM_PRICE_PLUS_DECLARED_DELIVERY",$S809="DELIVERY_CHARGE_ONLY"),$K809=""),"ERROR",IF(AND(OR($S809="TOTAL_AMOUNT_INCLUDING_DELIVERY",$S809="EXACT_COLLECTION_AMOUNT"),$T809=""),"ERROR",IF(AND($S809="TOTAL_AMOUNT_INCLUDING_DELIVERY",$T809&lt;SUM($J809,$U809)),"ERROR",IF($S809="EXACT_COLLECTION_AMOUNT","REVIEW","OK")))))))))</f>
        <v/>
      </c>
      <c r="AV809" s="25">
        <f>IF($AU809="","",IF($H809="","Township required",IF($Q809="","Customer tier required",IF($M809="","Weight required",IF($S809="","Amount entry type required",IF(OR($J809&lt;0,$K809&lt;0,$M809&lt;0,$T809&lt;0,$U809&lt;0,$V809&lt;0,$W809&lt;0,$X809&lt;0,$Y809&lt;0),"Negative amounts are not allowed",IF($AE809="","Tariff not found for township and tier",IF(AND(OR($S809="ITEM_PRICE_PLUS_DECLARED_DELIVERY",$S809="TOTAL_AMOUNT_INCLUDING_DELIVERY",$S809="ITEM_PRICE_ONLY_DELIVERY_PAID_BY_MERCHANT"),$J809=""),"Item price required for this amount type",IF(AND(OR($S809="ITEM_PRICE_PLUS_DECLARED_DELIVERY",$S809="DELIVERY_CHARGE_ONLY"),$K809=""),"Declared delivery charge required",IF(AND(OR($S809="TOTAL_AMOUNT_INCLUDING_DELIVERY",$S809="EXACT_COLLECTION_AMOUNT"),$T809=""),"Stated total amount required",IF(AND($S809="TOTAL_AMOUNT_INCLUDING_DELIVERY",$T809&lt;SUM($J809,$U809)),"Stated total is below item price plus additional charge",IF($S809="EXACT_COLLECTION_AMOUNT","Authorized amount breakdown required before settlement","Ready for collection and settlement"))))))))))))</f>
        <v/>
      </c>
      <c r="AW809" s="23">
        <f>IF($AU809="","","PARCEL_FINANCIAL_V2")</f>
        <v/>
      </c>
      <c r="AX809" s="17" t="n"/>
    </row>
    <row r="810">
      <c r="A810" s="8" t="n"/>
      <c r="B810" s="8" t="n"/>
      <c r="C810" s="8" t="n"/>
      <c r="D810" s="8" t="n"/>
      <c r="E810" s="9" t="n"/>
      <c r="F810" s="9" t="n"/>
      <c r="G810" s="8" t="n"/>
      <c r="H810" s="9" t="n"/>
      <c r="I810" s="9" t="n"/>
      <c r="J810" s="10" t="n"/>
      <c r="K810" s="10" t="n"/>
      <c r="L810" s="11">
        <f>IF($S810="","",IF($S810="ITEM_PRICE_PLUS_DECLARED_DELIVERY",IF(OR($J810="",$K810=""),"",SUM($J810,$K810,$U810)),IF($S810="TOTAL_AMOUNT_INCLUDING_DELIVERY",IF($T810="","",$T810),IF($S810="DELIVERY_CHARGE_ONLY",IF($K810="","",SUM($K810,$U810)),IF($S810="EXACT_COLLECTION_AMOUNT",IF($T810="","",$T810),IF($S810="ITEM_PRICE_ONLY_DELIVERY_PAID_BY_MERCHANT",IF($J810="","",SUM($J810,$U810)),""))))))</f>
        <v/>
      </c>
      <c r="M810" s="12" t="n"/>
      <c r="N810" s="13" t="n"/>
      <c r="O810" s="13" t="n"/>
      <c r="P810" s="9" t="n"/>
      <c r="Q810" s="14" t="n"/>
      <c r="R810" s="15" t="n"/>
      <c r="S810" s="14" t="n"/>
      <c r="T810" s="16" t="n"/>
      <c r="U810" s="16" t="n"/>
      <c r="V810" s="16" t="n"/>
      <c r="W810" s="16" t="n"/>
      <c r="X810" s="16" t="n"/>
      <c r="Y810" s="16" t="n"/>
      <c r="Z810" s="14" t="n"/>
      <c r="AA810" s="14" t="n"/>
      <c r="AB810" s="14" t="n"/>
      <c r="AC810" s="17">
        <f>IFERROR(VLOOKUP($H810&amp;"|"&amp;$Q810,Tariff_Master!$A$2:$L$169,3,FALSE),"")</f>
        <v/>
      </c>
      <c r="AD810" s="17">
        <f>IFERROR(VLOOKUP($H810&amp;"|"&amp;$Q810,Tariff_Master!$A$2:$L$169,4,FALSE),"")</f>
        <v/>
      </c>
      <c r="AE810" s="18">
        <f>IFERROR(VLOOKUP($H810&amp;"|"&amp;$Q810,Tariff_Master!$A$2:$L$169,6,FALSE),"")</f>
        <v/>
      </c>
      <c r="AF810" s="19">
        <f>IFERROR(VLOOKUP($H810&amp;"|"&amp;$Q810,Tariff_Master!$A$2:$L$169,7,FALSE),"")</f>
        <v/>
      </c>
      <c r="AG810" s="18">
        <f>IFERROR(VLOOKUP($H810&amp;"|"&amp;$Q810,Tariff_Master!$A$2:$L$169,8,FALSE),"")</f>
        <v/>
      </c>
      <c r="AH810" s="20">
        <f>IFERROR(VLOOKUP($H810&amp;"|"&amp;$Q810,Tariff_Master!$A$2:$L$169,9,FALSE),"")</f>
        <v/>
      </c>
      <c r="AI810" s="18">
        <f>IFERROR(VLOOKUP($H810&amp;"|"&amp;$Q810,Tariff_Master!$A$2:$L$169,10,FALSE),"")</f>
        <v/>
      </c>
      <c r="AJ810" s="21">
        <f>IF($M810="","",ROUNDUP(MAX(0,$M810),0))</f>
        <v/>
      </c>
      <c r="AK810" s="21">
        <f>IF(OR($AJ810="",$AF810=""),"",MAX(0,$AJ810-$AF810))</f>
        <v/>
      </c>
      <c r="AL810" s="22">
        <f>IF(OR($AK810="",$AG810=""),"",MAX(0,$AK810*$AG810))</f>
        <v/>
      </c>
      <c r="AM810" s="22">
        <f>IF($AE810="","",MAX(0,SUM($AE810,$AL810,$V810,$W810)))</f>
        <v/>
      </c>
      <c r="AN810" s="22">
        <f>IF($AM810="","",IF(AND($Q810="COMMITMENT",$R810&gt;=$AH810),$AI810,0))</f>
        <v/>
      </c>
      <c r="AO810" s="23">
        <f>IF($AM810="","",MAX(0,$AM810-$AN810))</f>
        <v/>
      </c>
      <c r="AP810" s="22">
        <f>IF($S810="","",IF(OR($S810="ITEM_PRICE_PLUS_DECLARED_DELIVERY",$S810="DELIVERY_CHARGE_ONLY"),$K810,IF($S810="TOTAL_AMOUNT_INCLUDING_DELIVERY",IF(OR($T810="",$J810=""),"",MAX(0,$T810-$J810-$U810)),IF($S810="ITEM_PRICE_ONLY_DELIVERY_PAID_BY_MERCHANT",0,""))))</f>
        <v/>
      </c>
      <c r="AQ810" s="23">
        <f>IF(OR($AP810="",$AO810=""),"",$AP810-$AO810)</f>
        <v/>
      </c>
      <c r="AR810" s="24">
        <f>IF($S810="EXACT_COLLECTION_AMOUNT","BREAKDOWN_REQUIRED",IF($AQ810="","",IF($AQ810&gt;0,"CREDIT_TO_MERCHANT",IF($AQ810&lt;0,"DEDUCT_FROM_MERCHANT","NO_ADJUSTMENT"))))</f>
        <v/>
      </c>
      <c r="AS810" s="23">
        <f>IF(OR($AQ810="",$AR810="BREAKDOWN_REQUIRED"),"",$AQ810)</f>
        <v/>
      </c>
      <c r="AT810" s="23">
        <f>IF(OR($AR810="",$AR810="BREAKDOWN_REQUIRED"),"",SUM($J810,$AQ810,$Y810)-$X810)</f>
        <v/>
      </c>
      <c r="AU810" s="25">
        <f>IF(AND($A810="",$B810="",$F810="",$H810="",$J810="",$K810="",$M810="",$S810=""),"",IF(OR($H810="",$Q810="",$M810="",$S810=""),"ERROR",IF(OR($J810&lt;0,$K810&lt;0,$M810&lt;0,$T810&lt;0,$U810&lt;0,$V810&lt;0,$W810&lt;0,$X810&lt;0,$Y810&lt;0),"ERROR",IF($AE810="","ERROR",IF(AND(OR($S810="ITEM_PRICE_PLUS_DECLARED_DELIVERY",$S810="TOTAL_AMOUNT_INCLUDING_DELIVERY",$S810="ITEM_PRICE_ONLY_DELIVERY_PAID_BY_MERCHANT"),$J810=""),"ERROR",IF(AND(OR($S810="ITEM_PRICE_PLUS_DECLARED_DELIVERY",$S810="DELIVERY_CHARGE_ONLY"),$K810=""),"ERROR",IF(AND(OR($S810="TOTAL_AMOUNT_INCLUDING_DELIVERY",$S810="EXACT_COLLECTION_AMOUNT"),$T810=""),"ERROR",IF(AND($S810="TOTAL_AMOUNT_INCLUDING_DELIVERY",$T810&lt;SUM($J810,$U810)),"ERROR",IF($S810="EXACT_COLLECTION_AMOUNT","REVIEW","OK")))))))))</f>
        <v/>
      </c>
      <c r="AV810" s="25">
        <f>IF($AU810="","",IF($H810="","Township required",IF($Q810="","Customer tier required",IF($M810="","Weight required",IF($S810="","Amount entry type required",IF(OR($J810&lt;0,$K810&lt;0,$M810&lt;0,$T810&lt;0,$U810&lt;0,$V810&lt;0,$W810&lt;0,$X810&lt;0,$Y810&lt;0),"Negative amounts are not allowed",IF($AE810="","Tariff not found for township and tier",IF(AND(OR($S810="ITEM_PRICE_PLUS_DECLARED_DELIVERY",$S810="TOTAL_AMOUNT_INCLUDING_DELIVERY",$S810="ITEM_PRICE_ONLY_DELIVERY_PAID_BY_MERCHANT"),$J810=""),"Item price required for this amount type",IF(AND(OR($S810="ITEM_PRICE_PLUS_DECLARED_DELIVERY",$S810="DELIVERY_CHARGE_ONLY"),$K810=""),"Declared delivery charge required",IF(AND(OR($S810="TOTAL_AMOUNT_INCLUDING_DELIVERY",$S810="EXACT_COLLECTION_AMOUNT"),$T810=""),"Stated total amount required",IF(AND($S810="TOTAL_AMOUNT_INCLUDING_DELIVERY",$T810&lt;SUM($J810,$U810)),"Stated total is below item price plus additional charge",IF($S810="EXACT_COLLECTION_AMOUNT","Authorized amount breakdown required before settlement","Ready for collection and settlement"))))))))))))</f>
        <v/>
      </c>
      <c r="AW810" s="23">
        <f>IF($AU810="","","PARCEL_FINANCIAL_V2")</f>
        <v/>
      </c>
      <c r="AX810" s="17" t="n"/>
    </row>
    <row r="811">
      <c r="A811" s="8" t="n"/>
      <c r="B811" s="8" t="n"/>
      <c r="C811" s="8" t="n"/>
      <c r="D811" s="8" t="n"/>
      <c r="E811" s="9" t="n"/>
      <c r="F811" s="9" t="n"/>
      <c r="G811" s="8" t="n"/>
      <c r="H811" s="9" t="n"/>
      <c r="I811" s="9" t="n"/>
      <c r="J811" s="10" t="n"/>
      <c r="K811" s="10" t="n"/>
      <c r="L811" s="11">
        <f>IF($S811="","",IF($S811="ITEM_PRICE_PLUS_DECLARED_DELIVERY",IF(OR($J811="",$K811=""),"",SUM($J811,$K811,$U811)),IF($S811="TOTAL_AMOUNT_INCLUDING_DELIVERY",IF($T811="","",$T811),IF($S811="DELIVERY_CHARGE_ONLY",IF($K811="","",SUM($K811,$U811)),IF($S811="EXACT_COLLECTION_AMOUNT",IF($T811="","",$T811),IF($S811="ITEM_PRICE_ONLY_DELIVERY_PAID_BY_MERCHANT",IF($J811="","",SUM($J811,$U811)),""))))))</f>
        <v/>
      </c>
      <c r="M811" s="12" t="n"/>
      <c r="N811" s="13" t="n"/>
      <c r="O811" s="13" t="n"/>
      <c r="P811" s="9" t="n"/>
      <c r="Q811" s="14" t="n"/>
      <c r="R811" s="15" t="n"/>
      <c r="S811" s="14" t="n"/>
      <c r="T811" s="16" t="n"/>
      <c r="U811" s="16" t="n"/>
      <c r="V811" s="16" t="n"/>
      <c r="W811" s="16" t="n"/>
      <c r="X811" s="16" t="n"/>
      <c r="Y811" s="16" t="n"/>
      <c r="Z811" s="14" t="n"/>
      <c r="AA811" s="14" t="n"/>
      <c r="AB811" s="14" t="n"/>
      <c r="AC811" s="17">
        <f>IFERROR(VLOOKUP($H811&amp;"|"&amp;$Q811,Tariff_Master!$A$2:$L$169,3,FALSE),"")</f>
        <v/>
      </c>
      <c r="AD811" s="17">
        <f>IFERROR(VLOOKUP($H811&amp;"|"&amp;$Q811,Tariff_Master!$A$2:$L$169,4,FALSE),"")</f>
        <v/>
      </c>
      <c r="AE811" s="18">
        <f>IFERROR(VLOOKUP($H811&amp;"|"&amp;$Q811,Tariff_Master!$A$2:$L$169,6,FALSE),"")</f>
        <v/>
      </c>
      <c r="AF811" s="19">
        <f>IFERROR(VLOOKUP($H811&amp;"|"&amp;$Q811,Tariff_Master!$A$2:$L$169,7,FALSE),"")</f>
        <v/>
      </c>
      <c r="AG811" s="18">
        <f>IFERROR(VLOOKUP($H811&amp;"|"&amp;$Q811,Tariff_Master!$A$2:$L$169,8,FALSE),"")</f>
        <v/>
      </c>
      <c r="AH811" s="20">
        <f>IFERROR(VLOOKUP($H811&amp;"|"&amp;$Q811,Tariff_Master!$A$2:$L$169,9,FALSE),"")</f>
        <v/>
      </c>
      <c r="AI811" s="18">
        <f>IFERROR(VLOOKUP($H811&amp;"|"&amp;$Q811,Tariff_Master!$A$2:$L$169,10,FALSE),"")</f>
        <v/>
      </c>
      <c r="AJ811" s="21">
        <f>IF($M811="","",ROUNDUP(MAX(0,$M811),0))</f>
        <v/>
      </c>
      <c r="AK811" s="21">
        <f>IF(OR($AJ811="",$AF811=""),"",MAX(0,$AJ811-$AF811))</f>
        <v/>
      </c>
      <c r="AL811" s="22">
        <f>IF(OR($AK811="",$AG811=""),"",MAX(0,$AK811*$AG811))</f>
        <v/>
      </c>
      <c r="AM811" s="22">
        <f>IF($AE811="","",MAX(0,SUM($AE811,$AL811,$V811,$W811)))</f>
        <v/>
      </c>
      <c r="AN811" s="22">
        <f>IF($AM811="","",IF(AND($Q811="COMMITMENT",$R811&gt;=$AH811),$AI811,0))</f>
        <v/>
      </c>
      <c r="AO811" s="23">
        <f>IF($AM811="","",MAX(0,$AM811-$AN811))</f>
        <v/>
      </c>
      <c r="AP811" s="22">
        <f>IF($S811="","",IF(OR($S811="ITEM_PRICE_PLUS_DECLARED_DELIVERY",$S811="DELIVERY_CHARGE_ONLY"),$K811,IF($S811="TOTAL_AMOUNT_INCLUDING_DELIVERY",IF(OR($T811="",$J811=""),"",MAX(0,$T811-$J811-$U811)),IF($S811="ITEM_PRICE_ONLY_DELIVERY_PAID_BY_MERCHANT",0,""))))</f>
        <v/>
      </c>
      <c r="AQ811" s="23">
        <f>IF(OR($AP811="",$AO811=""),"",$AP811-$AO811)</f>
        <v/>
      </c>
      <c r="AR811" s="24">
        <f>IF($S811="EXACT_COLLECTION_AMOUNT","BREAKDOWN_REQUIRED",IF($AQ811="","",IF($AQ811&gt;0,"CREDIT_TO_MERCHANT",IF($AQ811&lt;0,"DEDUCT_FROM_MERCHANT","NO_ADJUSTMENT"))))</f>
        <v/>
      </c>
      <c r="AS811" s="23">
        <f>IF(OR($AQ811="",$AR811="BREAKDOWN_REQUIRED"),"",$AQ811)</f>
        <v/>
      </c>
      <c r="AT811" s="23">
        <f>IF(OR($AR811="",$AR811="BREAKDOWN_REQUIRED"),"",SUM($J811,$AQ811,$Y811)-$X811)</f>
        <v/>
      </c>
      <c r="AU811" s="25">
        <f>IF(AND($A811="",$B811="",$F811="",$H811="",$J811="",$K811="",$M811="",$S811=""),"",IF(OR($H811="",$Q811="",$M811="",$S811=""),"ERROR",IF(OR($J811&lt;0,$K811&lt;0,$M811&lt;0,$T811&lt;0,$U811&lt;0,$V811&lt;0,$W811&lt;0,$X811&lt;0,$Y811&lt;0),"ERROR",IF($AE811="","ERROR",IF(AND(OR($S811="ITEM_PRICE_PLUS_DECLARED_DELIVERY",$S811="TOTAL_AMOUNT_INCLUDING_DELIVERY",$S811="ITEM_PRICE_ONLY_DELIVERY_PAID_BY_MERCHANT"),$J811=""),"ERROR",IF(AND(OR($S811="ITEM_PRICE_PLUS_DECLARED_DELIVERY",$S811="DELIVERY_CHARGE_ONLY"),$K811=""),"ERROR",IF(AND(OR($S811="TOTAL_AMOUNT_INCLUDING_DELIVERY",$S811="EXACT_COLLECTION_AMOUNT"),$T811=""),"ERROR",IF(AND($S811="TOTAL_AMOUNT_INCLUDING_DELIVERY",$T811&lt;SUM($J811,$U811)),"ERROR",IF($S811="EXACT_COLLECTION_AMOUNT","REVIEW","OK")))))))))</f>
        <v/>
      </c>
      <c r="AV811" s="25">
        <f>IF($AU811="","",IF($H811="","Township required",IF($Q811="","Customer tier required",IF($M811="","Weight required",IF($S811="","Amount entry type required",IF(OR($J811&lt;0,$K811&lt;0,$M811&lt;0,$T811&lt;0,$U811&lt;0,$V811&lt;0,$W811&lt;0,$X811&lt;0,$Y811&lt;0),"Negative amounts are not allowed",IF($AE811="","Tariff not found for township and tier",IF(AND(OR($S811="ITEM_PRICE_PLUS_DECLARED_DELIVERY",$S811="TOTAL_AMOUNT_INCLUDING_DELIVERY",$S811="ITEM_PRICE_ONLY_DELIVERY_PAID_BY_MERCHANT"),$J811=""),"Item price required for this amount type",IF(AND(OR($S811="ITEM_PRICE_PLUS_DECLARED_DELIVERY",$S811="DELIVERY_CHARGE_ONLY"),$K811=""),"Declared delivery charge required",IF(AND(OR($S811="TOTAL_AMOUNT_INCLUDING_DELIVERY",$S811="EXACT_COLLECTION_AMOUNT"),$T811=""),"Stated total amount required",IF(AND($S811="TOTAL_AMOUNT_INCLUDING_DELIVERY",$T811&lt;SUM($J811,$U811)),"Stated total is below item price plus additional charge",IF($S811="EXACT_COLLECTION_AMOUNT","Authorized amount breakdown required before settlement","Ready for collection and settlement"))))))))))))</f>
        <v/>
      </c>
      <c r="AW811" s="23">
        <f>IF($AU811="","","PARCEL_FINANCIAL_V2")</f>
        <v/>
      </c>
      <c r="AX811" s="17" t="n"/>
    </row>
    <row r="812">
      <c r="A812" s="8" t="n"/>
      <c r="B812" s="8" t="n"/>
      <c r="C812" s="8" t="n"/>
      <c r="D812" s="8" t="n"/>
      <c r="E812" s="9" t="n"/>
      <c r="F812" s="9" t="n"/>
      <c r="G812" s="8" t="n"/>
      <c r="H812" s="9" t="n"/>
      <c r="I812" s="9" t="n"/>
      <c r="J812" s="10" t="n"/>
      <c r="K812" s="10" t="n"/>
      <c r="L812" s="11">
        <f>IF($S812="","",IF($S812="ITEM_PRICE_PLUS_DECLARED_DELIVERY",IF(OR($J812="",$K812=""),"",SUM($J812,$K812,$U812)),IF($S812="TOTAL_AMOUNT_INCLUDING_DELIVERY",IF($T812="","",$T812),IF($S812="DELIVERY_CHARGE_ONLY",IF($K812="","",SUM($K812,$U812)),IF($S812="EXACT_COLLECTION_AMOUNT",IF($T812="","",$T812),IF($S812="ITEM_PRICE_ONLY_DELIVERY_PAID_BY_MERCHANT",IF($J812="","",SUM($J812,$U812)),""))))))</f>
        <v/>
      </c>
      <c r="M812" s="12" t="n"/>
      <c r="N812" s="13" t="n"/>
      <c r="O812" s="13" t="n"/>
      <c r="P812" s="9" t="n"/>
      <c r="Q812" s="14" t="n"/>
      <c r="R812" s="15" t="n"/>
      <c r="S812" s="14" t="n"/>
      <c r="T812" s="16" t="n"/>
      <c r="U812" s="16" t="n"/>
      <c r="V812" s="16" t="n"/>
      <c r="W812" s="16" t="n"/>
      <c r="X812" s="16" t="n"/>
      <c r="Y812" s="16" t="n"/>
      <c r="Z812" s="14" t="n"/>
      <c r="AA812" s="14" t="n"/>
      <c r="AB812" s="14" t="n"/>
      <c r="AC812" s="17">
        <f>IFERROR(VLOOKUP($H812&amp;"|"&amp;$Q812,Tariff_Master!$A$2:$L$169,3,FALSE),"")</f>
        <v/>
      </c>
      <c r="AD812" s="17">
        <f>IFERROR(VLOOKUP($H812&amp;"|"&amp;$Q812,Tariff_Master!$A$2:$L$169,4,FALSE),"")</f>
        <v/>
      </c>
      <c r="AE812" s="18">
        <f>IFERROR(VLOOKUP($H812&amp;"|"&amp;$Q812,Tariff_Master!$A$2:$L$169,6,FALSE),"")</f>
        <v/>
      </c>
      <c r="AF812" s="19">
        <f>IFERROR(VLOOKUP($H812&amp;"|"&amp;$Q812,Tariff_Master!$A$2:$L$169,7,FALSE),"")</f>
        <v/>
      </c>
      <c r="AG812" s="18">
        <f>IFERROR(VLOOKUP($H812&amp;"|"&amp;$Q812,Tariff_Master!$A$2:$L$169,8,FALSE),"")</f>
        <v/>
      </c>
      <c r="AH812" s="20">
        <f>IFERROR(VLOOKUP($H812&amp;"|"&amp;$Q812,Tariff_Master!$A$2:$L$169,9,FALSE),"")</f>
        <v/>
      </c>
      <c r="AI812" s="18">
        <f>IFERROR(VLOOKUP($H812&amp;"|"&amp;$Q812,Tariff_Master!$A$2:$L$169,10,FALSE),"")</f>
        <v/>
      </c>
      <c r="AJ812" s="21">
        <f>IF($M812="","",ROUNDUP(MAX(0,$M812),0))</f>
        <v/>
      </c>
      <c r="AK812" s="21">
        <f>IF(OR($AJ812="",$AF812=""),"",MAX(0,$AJ812-$AF812))</f>
        <v/>
      </c>
      <c r="AL812" s="22">
        <f>IF(OR($AK812="",$AG812=""),"",MAX(0,$AK812*$AG812))</f>
        <v/>
      </c>
      <c r="AM812" s="22">
        <f>IF($AE812="","",MAX(0,SUM($AE812,$AL812,$V812,$W812)))</f>
        <v/>
      </c>
      <c r="AN812" s="22">
        <f>IF($AM812="","",IF(AND($Q812="COMMITMENT",$R812&gt;=$AH812),$AI812,0))</f>
        <v/>
      </c>
      <c r="AO812" s="23">
        <f>IF($AM812="","",MAX(0,$AM812-$AN812))</f>
        <v/>
      </c>
      <c r="AP812" s="22">
        <f>IF($S812="","",IF(OR($S812="ITEM_PRICE_PLUS_DECLARED_DELIVERY",$S812="DELIVERY_CHARGE_ONLY"),$K812,IF($S812="TOTAL_AMOUNT_INCLUDING_DELIVERY",IF(OR($T812="",$J812=""),"",MAX(0,$T812-$J812-$U812)),IF($S812="ITEM_PRICE_ONLY_DELIVERY_PAID_BY_MERCHANT",0,""))))</f>
        <v/>
      </c>
      <c r="AQ812" s="23">
        <f>IF(OR($AP812="",$AO812=""),"",$AP812-$AO812)</f>
        <v/>
      </c>
      <c r="AR812" s="24">
        <f>IF($S812="EXACT_COLLECTION_AMOUNT","BREAKDOWN_REQUIRED",IF($AQ812="","",IF($AQ812&gt;0,"CREDIT_TO_MERCHANT",IF($AQ812&lt;0,"DEDUCT_FROM_MERCHANT","NO_ADJUSTMENT"))))</f>
        <v/>
      </c>
      <c r="AS812" s="23">
        <f>IF(OR($AQ812="",$AR812="BREAKDOWN_REQUIRED"),"",$AQ812)</f>
        <v/>
      </c>
      <c r="AT812" s="23">
        <f>IF(OR($AR812="",$AR812="BREAKDOWN_REQUIRED"),"",SUM($J812,$AQ812,$Y812)-$X812)</f>
        <v/>
      </c>
      <c r="AU812" s="25">
        <f>IF(AND($A812="",$B812="",$F812="",$H812="",$J812="",$K812="",$M812="",$S812=""),"",IF(OR($H812="",$Q812="",$M812="",$S812=""),"ERROR",IF(OR($J812&lt;0,$K812&lt;0,$M812&lt;0,$T812&lt;0,$U812&lt;0,$V812&lt;0,$W812&lt;0,$X812&lt;0,$Y812&lt;0),"ERROR",IF($AE812="","ERROR",IF(AND(OR($S812="ITEM_PRICE_PLUS_DECLARED_DELIVERY",$S812="TOTAL_AMOUNT_INCLUDING_DELIVERY",$S812="ITEM_PRICE_ONLY_DELIVERY_PAID_BY_MERCHANT"),$J812=""),"ERROR",IF(AND(OR($S812="ITEM_PRICE_PLUS_DECLARED_DELIVERY",$S812="DELIVERY_CHARGE_ONLY"),$K812=""),"ERROR",IF(AND(OR($S812="TOTAL_AMOUNT_INCLUDING_DELIVERY",$S812="EXACT_COLLECTION_AMOUNT"),$T812=""),"ERROR",IF(AND($S812="TOTAL_AMOUNT_INCLUDING_DELIVERY",$T812&lt;SUM($J812,$U812)),"ERROR",IF($S812="EXACT_COLLECTION_AMOUNT","REVIEW","OK")))))))))</f>
        <v/>
      </c>
      <c r="AV812" s="25">
        <f>IF($AU812="","",IF($H812="","Township required",IF($Q812="","Customer tier required",IF($M812="","Weight required",IF($S812="","Amount entry type required",IF(OR($J812&lt;0,$K812&lt;0,$M812&lt;0,$T812&lt;0,$U812&lt;0,$V812&lt;0,$W812&lt;0,$X812&lt;0,$Y812&lt;0),"Negative amounts are not allowed",IF($AE812="","Tariff not found for township and tier",IF(AND(OR($S812="ITEM_PRICE_PLUS_DECLARED_DELIVERY",$S812="TOTAL_AMOUNT_INCLUDING_DELIVERY",$S812="ITEM_PRICE_ONLY_DELIVERY_PAID_BY_MERCHANT"),$J812=""),"Item price required for this amount type",IF(AND(OR($S812="ITEM_PRICE_PLUS_DECLARED_DELIVERY",$S812="DELIVERY_CHARGE_ONLY"),$K812=""),"Declared delivery charge required",IF(AND(OR($S812="TOTAL_AMOUNT_INCLUDING_DELIVERY",$S812="EXACT_COLLECTION_AMOUNT"),$T812=""),"Stated total amount required",IF(AND($S812="TOTAL_AMOUNT_INCLUDING_DELIVERY",$T812&lt;SUM($J812,$U812)),"Stated total is below item price plus additional charge",IF($S812="EXACT_COLLECTION_AMOUNT","Authorized amount breakdown required before settlement","Ready for collection and settlement"))))))))))))</f>
        <v/>
      </c>
      <c r="AW812" s="23">
        <f>IF($AU812="","","PARCEL_FINANCIAL_V2")</f>
        <v/>
      </c>
      <c r="AX812" s="17" t="n"/>
    </row>
    <row r="813">
      <c r="A813" s="8" t="n"/>
      <c r="B813" s="8" t="n"/>
      <c r="C813" s="8" t="n"/>
      <c r="D813" s="8" t="n"/>
      <c r="E813" s="9" t="n"/>
      <c r="F813" s="9" t="n"/>
      <c r="G813" s="8" t="n"/>
      <c r="H813" s="9" t="n"/>
      <c r="I813" s="9" t="n"/>
      <c r="J813" s="10" t="n"/>
      <c r="K813" s="10" t="n"/>
      <c r="L813" s="11">
        <f>IF($S813="","",IF($S813="ITEM_PRICE_PLUS_DECLARED_DELIVERY",IF(OR($J813="",$K813=""),"",SUM($J813,$K813,$U813)),IF($S813="TOTAL_AMOUNT_INCLUDING_DELIVERY",IF($T813="","",$T813),IF($S813="DELIVERY_CHARGE_ONLY",IF($K813="","",SUM($K813,$U813)),IF($S813="EXACT_COLLECTION_AMOUNT",IF($T813="","",$T813),IF($S813="ITEM_PRICE_ONLY_DELIVERY_PAID_BY_MERCHANT",IF($J813="","",SUM($J813,$U813)),""))))))</f>
        <v/>
      </c>
      <c r="M813" s="12" t="n"/>
      <c r="N813" s="13" t="n"/>
      <c r="O813" s="13" t="n"/>
      <c r="P813" s="9" t="n"/>
      <c r="Q813" s="14" t="n"/>
      <c r="R813" s="15" t="n"/>
      <c r="S813" s="14" t="n"/>
      <c r="T813" s="16" t="n"/>
      <c r="U813" s="16" t="n"/>
      <c r="V813" s="16" t="n"/>
      <c r="W813" s="16" t="n"/>
      <c r="X813" s="16" t="n"/>
      <c r="Y813" s="16" t="n"/>
      <c r="Z813" s="14" t="n"/>
      <c r="AA813" s="14" t="n"/>
      <c r="AB813" s="14" t="n"/>
      <c r="AC813" s="17">
        <f>IFERROR(VLOOKUP($H813&amp;"|"&amp;$Q813,Tariff_Master!$A$2:$L$169,3,FALSE),"")</f>
        <v/>
      </c>
      <c r="AD813" s="17">
        <f>IFERROR(VLOOKUP($H813&amp;"|"&amp;$Q813,Tariff_Master!$A$2:$L$169,4,FALSE),"")</f>
        <v/>
      </c>
      <c r="AE813" s="18">
        <f>IFERROR(VLOOKUP($H813&amp;"|"&amp;$Q813,Tariff_Master!$A$2:$L$169,6,FALSE),"")</f>
        <v/>
      </c>
      <c r="AF813" s="19">
        <f>IFERROR(VLOOKUP($H813&amp;"|"&amp;$Q813,Tariff_Master!$A$2:$L$169,7,FALSE),"")</f>
        <v/>
      </c>
      <c r="AG813" s="18">
        <f>IFERROR(VLOOKUP($H813&amp;"|"&amp;$Q813,Tariff_Master!$A$2:$L$169,8,FALSE),"")</f>
        <v/>
      </c>
      <c r="AH813" s="20">
        <f>IFERROR(VLOOKUP($H813&amp;"|"&amp;$Q813,Tariff_Master!$A$2:$L$169,9,FALSE),"")</f>
        <v/>
      </c>
      <c r="AI813" s="18">
        <f>IFERROR(VLOOKUP($H813&amp;"|"&amp;$Q813,Tariff_Master!$A$2:$L$169,10,FALSE),"")</f>
        <v/>
      </c>
      <c r="AJ813" s="21">
        <f>IF($M813="","",ROUNDUP(MAX(0,$M813),0))</f>
        <v/>
      </c>
      <c r="AK813" s="21">
        <f>IF(OR($AJ813="",$AF813=""),"",MAX(0,$AJ813-$AF813))</f>
        <v/>
      </c>
      <c r="AL813" s="22">
        <f>IF(OR($AK813="",$AG813=""),"",MAX(0,$AK813*$AG813))</f>
        <v/>
      </c>
      <c r="AM813" s="22">
        <f>IF($AE813="","",MAX(0,SUM($AE813,$AL813,$V813,$W813)))</f>
        <v/>
      </c>
      <c r="AN813" s="22">
        <f>IF($AM813="","",IF(AND($Q813="COMMITMENT",$R813&gt;=$AH813),$AI813,0))</f>
        <v/>
      </c>
      <c r="AO813" s="23">
        <f>IF($AM813="","",MAX(0,$AM813-$AN813))</f>
        <v/>
      </c>
      <c r="AP813" s="22">
        <f>IF($S813="","",IF(OR($S813="ITEM_PRICE_PLUS_DECLARED_DELIVERY",$S813="DELIVERY_CHARGE_ONLY"),$K813,IF($S813="TOTAL_AMOUNT_INCLUDING_DELIVERY",IF(OR($T813="",$J813=""),"",MAX(0,$T813-$J813-$U813)),IF($S813="ITEM_PRICE_ONLY_DELIVERY_PAID_BY_MERCHANT",0,""))))</f>
        <v/>
      </c>
      <c r="AQ813" s="23">
        <f>IF(OR($AP813="",$AO813=""),"",$AP813-$AO813)</f>
        <v/>
      </c>
      <c r="AR813" s="24">
        <f>IF($S813="EXACT_COLLECTION_AMOUNT","BREAKDOWN_REQUIRED",IF($AQ813="","",IF($AQ813&gt;0,"CREDIT_TO_MERCHANT",IF($AQ813&lt;0,"DEDUCT_FROM_MERCHANT","NO_ADJUSTMENT"))))</f>
        <v/>
      </c>
      <c r="AS813" s="23">
        <f>IF(OR($AQ813="",$AR813="BREAKDOWN_REQUIRED"),"",$AQ813)</f>
        <v/>
      </c>
      <c r="AT813" s="23">
        <f>IF(OR($AR813="",$AR813="BREAKDOWN_REQUIRED"),"",SUM($J813,$AQ813,$Y813)-$X813)</f>
        <v/>
      </c>
      <c r="AU813" s="25">
        <f>IF(AND($A813="",$B813="",$F813="",$H813="",$J813="",$K813="",$M813="",$S813=""),"",IF(OR($H813="",$Q813="",$M813="",$S813=""),"ERROR",IF(OR($J813&lt;0,$K813&lt;0,$M813&lt;0,$T813&lt;0,$U813&lt;0,$V813&lt;0,$W813&lt;0,$X813&lt;0,$Y813&lt;0),"ERROR",IF($AE813="","ERROR",IF(AND(OR($S813="ITEM_PRICE_PLUS_DECLARED_DELIVERY",$S813="TOTAL_AMOUNT_INCLUDING_DELIVERY",$S813="ITEM_PRICE_ONLY_DELIVERY_PAID_BY_MERCHANT"),$J813=""),"ERROR",IF(AND(OR($S813="ITEM_PRICE_PLUS_DECLARED_DELIVERY",$S813="DELIVERY_CHARGE_ONLY"),$K813=""),"ERROR",IF(AND(OR($S813="TOTAL_AMOUNT_INCLUDING_DELIVERY",$S813="EXACT_COLLECTION_AMOUNT"),$T813=""),"ERROR",IF(AND($S813="TOTAL_AMOUNT_INCLUDING_DELIVERY",$T813&lt;SUM($J813,$U813)),"ERROR",IF($S813="EXACT_COLLECTION_AMOUNT","REVIEW","OK")))))))))</f>
        <v/>
      </c>
      <c r="AV813" s="25">
        <f>IF($AU813="","",IF($H813="","Township required",IF($Q813="","Customer tier required",IF($M813="","Weight required",IF($S813="","Amount entry type required",IF(OR($J813&lt;0,$K813&lt;0,$M813&lt;0,$T813&lt;0,$U813&lt;0,$V813&lt;0,$W813&lt;0,$X813&lt;0,$Y813&lt;0),"Negative amounts are not allowed",IF($AE813="","Tariff not found for township and tier",IF(AND(OR($S813="ITEM_PRICE_PLUS_DECLARED_DELIVERY",$S813="TOTAL_AMOUNT_INCLUDING_DELIVERY",$S813="ITEM_PRICE_ONLY_DELIVERY_PAID_BY_MERCHANT"),$J813=""),"Item price required for this amount type",IF(AND(OR($S813="ITEM_PRICE_PLUS_DECLARED_DELIVERY",$S813="DELIVERY_CHARGE_ONLY"),$K813=""),"Declared delivery charge required",IF(AND(OR($S813="TOTAL_AMOUNT_INCLUDING_DELIVERY",$S813="EXACT_COLLECTION_AMOUNT"),$T813=""),"Stated total amount required",IF(AND($S813="TOTAL_AMOUNT_INCLUDING_DELIVERY",$T813&lt;SUM($J813,$U813)),"Stated total is below item price plus additional charge",IF($S813="EXACT_COLLECTION_AMOUNT","Authorized amount breakdown required before settlement","Ready for collection and settlement"))))))))))))</f>
        <v/>
      </c>
      <c r="AW813" s="23">
        <f>IF($AU813="","","PARCEL_FINANCIAL_V2")</f>
        <v/>
      </c>
      <c r="AX813" s="17" t="n"/>
    </row>
    <row r="814">
      <c r="A814" s="8" t="n"/>
      <c r="B814" s="8" t="n"/>
      <c r="C814" s="8" t="n"/>
      <c r="D814" s="8" t="n"/>
      <c r="E814" s="9" t="n"/>
      <c r="F814" s="9" t="n"/>
      <c r="G814" s="8" t="n"/>
      <c r="H814" s="9" t="n"/>
      <c r="I814" s="9" t="n"/>
      <c r="J814" s="10" t="n"/>
      <c r="K814" s="10" t="n"/>
      <c r="L814" s="11">
        <f>IF($S814="","",IF($S814="ITEM_PRICE_PLUS_DECLARED_DELIVERY",IF(OR($J814="",$K814=""),"",SUM($J814,$K814,$U814)),IF($S814="TOTAL_AMOUNT_INCLUDING_DELIVERY",IF($T814="","",$T814),IF($S814="DELIVERY_CHARGE_ONLY",IF($K814="","",SUM($K814,$U814)),IF($S814="EXACT_COLLECTION_AMOUNT",IF($T814="","",$T814),IF($S814="ITEM_PRICE_ONLY_DELIVERY_PAID_BY_MERCHANT",IF($J814="","",SUM($J814,$U814)),""))))))</f>
        <v/>
      </c>
      <c r="M814" s="12" t="n"/>
      <c r="N814" s="13" t="n"/>
      <c r="O814" s="13" t="n"/>
      <c r="P814" s="9" t="n"/>
      <c r="Q814" s="14" t="n"/>
      <c r="R814" s="15" t="n"/>
      <c r="S814" s="14" t="n"/>
      <c r="T814" s="16" t="n"/>
      <c r="U814" s="16" t="n"/>
      <c r="V814" s="16" t="n"/>
      <c r="W814" s="16" t="n"/>
      <c r="X814" s="16" t="n"/>
      <c r="Y814" s="16" t="n"/>
      <c r="Z814" s="14" t="n"/>
      <c r="AA814" s="14" t="n"/>
      <c r="AB814" s="14" t="n"/>
      <c r="AC814" s="17">
        <f>IFERROR(VLOOKUP($H814&amp;"|"&amp;$Q814,Tariff_Master!$A$2:$L$169,3,FALSE),"")</f>
        <v/>
      </c>
      <c r="AD814" s="17">
        <f>IFERROR(VLOOKUP($H814&amp;"|"&amp;$Q814,Tariff_Master!$A$2:$L$169,4,FALSE),"")</f>
        <v/>
      </c>
      <c r="AE814" s="18">
        <f>IFERROR(VLOOKUP($H814&amp;"|"&amp;$Q814,Tariff_Master!$A$2:$L$169,6,FALSE),"")</f>
        <v/>
      </c>
      <c r="AF814" s="19">
        <f>IFERROR(VLOOKUP($H814&amp;"|"&amp;$Q814,Tariff_Master!$A$2:$L$169,7,FALSE),"")</f>
        <v/>
      </c>
      <c r="AG814" s="18">
        <f>IFERROR(VLOOKUP($H814&amp;"|"&amp;$Q814,Tariff_Master!$A$2:$L$169,8,FALSE),"")</f>
        <v/>
      </c>
      <c r="AH814" s="20">
        <f>IFERROR(VLOOKUP($H814&amp;"|"&amp;$Q814,Tariff_Master!$A$2:$L$169,9,FALSE),"")</f>
        <v/>
      </c>
      <c r="AI814" s="18">
        <f>IFERROR(VLOOKUP($H814&amp;"|"&amp;$Q814,Tariff_Master!$A$2:$L$169,10,FALSE),"")</f>
        <v/>
      </c>
      <c r="AJ814" s="21">
        <f>IF($M814="","",ROUNDUP(MAX(0,$M814),0))</f>
        <v/>
      </c>
      <c r="AK814" s="21">
        <f>IF(OR($AJ814="",$AF814=""),"",MAX(0,$AJ814-$AF814))</f>
        <v/>
      </c>
      <c r="AL814" s="22">
        <f>IF(OR($AK814="",$AG814=""),"",MAX(0,$AK814*$AG814))</f>
        <v/>
      </c>
      <c r="AM814" s="22">
        <f>IF($AE814="","",MAX(0,SUM($AE814,$AL814,$V814,$W814)))</f>
        <v/>
      </c>
      <c r="AN814" s="22">
        <f>IF($AM814="","",IF(AND($Q814="COMMITMENT",$R814&gt;=$AH814),$AI814,0))</f>
        <v/>
      </c>
      <c r="AO814" s="23">
        <f>IF($AM814="","",MAX(0,$AM814-$AN814))</f>
        <v/>
      </c>
      <c r="AP814" s="22">
        <f>IF($S814="","",IF(OR($S814="ITEM_PRICE_PLUS_DECLARED_DELIVERY",$S814="DELIVERY_CHARGE_ONLY"),$K814,IF($S814="TOTAL_AMOUNT_INCLUDING_DELIVERY",IF(OR($T814="",$J814=""),"",MAX(0,$T814-$J814-$U814)),IF($S814="ITEM_PRICE_ONLY_DELIVERY_PAID_BY_MERCHANT",0,""))))</f>
        <v/>
      </c>
      <c r="AQ814" s="23">
        <f>IF(OR($AP814="",$AO814=""),"",$AP814-$AO814)</f>
        <v/>
      </c>
      <c r="AR814" s="24">
        <f>IF($S814="EXACT_COLLECTION_AMOUNT","BREAKDOWN_REQUIRED",IF($AQ814="","",IF($AQ814&gt;0,"CREDIT_TO_MERCHANT",IF($AQ814&lt;0,"DEDUCT_FROM_MERCHANT","NO_ADJUSTMENT"))))</f>
        <v/>
      </c>
      <c r="AS814" s="23">
        <f>IF(OR($AQ814="",$AR814="BREAKDOWN_REQUIRED"),"",$AQ814)</f>
        <v/>
      </c>
      <c r="AT814" s="23">
        <f>IF(OR($AR814="",$AR814="BREAKDOWN_REQUIRED"),"",SUM($J814,$AQ814,$Y814)-$X814)</f>
        <v/>
      </c>
      <c r="AU814" s="25">
        <f>IF(AND($A814="",$B814="",$F814="",$H814="",$J814="",$K814="",$M814="",$S814=""),"",IF(OR($H814="",$Q814="",$M814="",$S814=""),"ERROR",IF(OR($J814&lt;0,$K814&lt;0,$M814&lt;0,$T814&lt;0,$U814&lt;0,$V814&lt;0,$W814&lt;0,$X814&lt;0,$Y814&lt;0),"ERROR",IF($AE814="","ERROR",IF(AND(OR($S814="ITEM_PRICE_PLUS_DECLARED_DELIVERY",$S814="TOTAL_AMOUNT_INCLUDING_DELIVERY",$S814="ITEM_PRICE_ONLY_DELIVERY_PAID_BY_MERCHANT"),$J814=""),"ERROR",IF(AND(OR($S814="ITEM_PRICE_PLUS_DECLARED_DELIVERY",$S814="DELIVERY_CHARGE_ONLY"),$K814=""),"ERROR",IF(AND(OR($S814="TOTAL_AMOUNT_INCLUDING_DELIVERY",$S814="EXACT_COLLECTION_AMOUNT"),$T814=""),"ERROR",IF(AND($S814="TOTAL_AMOUNT_INCLUDING_DELIVERY",$T814&lt;SUM($J814,$U814)),"ERROR",IF($S814="EXACT_COLLECTION_AMOUNT","REVIEW","OK")))))))))</f>
        <v/>
      </c>
      <c r="AV814" s="25">
        <f>IF($AU814="","",IF($H814="","Township required",IF($Q814="","Customer tier required",IF($M814="","Weight required",IF($S814="","Amount entry type required",IF(OR($J814&lt;0,$K814&lt;0,$M814&lt;0,$T814&lt;0,$U814&lt;0,$V814&lt;0,$W814&lt;0,$X814&lt;0,$Y814&lt;0),"Negative amounts are not allowed",IF($AE814="","Tariff not found for township and tier",IF(AND(OR($S814="ITEM_PRICE_PLUS_DECLARED_DELIVERY",$S814="TOTAL_AMOUNT_INCLUDING_DELIVERY",$S814="ITEM_PRICE_ONLY_DELIVERY_PAID_BY_MERCHANT"),$J814=""),"Item price required for this amount type",IF(AND(OR($S814="ITEM_PRICE_PLUS_DECLARED_DELIVERY",$S814="DELIVERY_CHARGE_ONLY"),$K814=""),"Declared delivery charge required",IF(AND(OR($S814="TOTAL_AMOUNT_INCLUDING_DELIVERY",$S814="EXACT_COLLECTION_AMOUNT"),$T814=""),"Stated total amount required",IF(AND($S814="TOTAL_AMOUNT_INCLUDING_DELIVERY",$T814&lt;SUM($J814,$U814)),"Stated total is below item price plus additional charge",IF($S814="EXACT_COLLECTION_AMOUNT","Authorized amount breakdown required before settlement","Ready for collection and settlement"))))))))))))</f>
        <v/>
      </c>
      <c r="AW814" s="23">
        <f>IF($AU814="","","PARCEL_FINANCIAL_V2")</f>
        <v/>
      </c>
      <c r="AX814" s="17" t="n"/>
    </row>
    <row r="815">
      <c r="A815" s="8" t="n"/>
      <c r="B815" s="8" t="n"/>
      <c r="C815" s="8" t="n"/>
      <c r="D815" s="8" t="n"/>
      <c r="E815" s="9" t="n"/>
      <c r="F815" s="9" t="n"/>
      <c r="G815" s="8" t="n"/>
      <c r="H815" s="9" t="n"/>
      <c r="I815" s="9" t="n"/>
      <c r="J815" s="10" t="n"/>
      <c r="K815" s="10" t="n"/>
      <c r="L815" s="11">
        <f>IF($S815="","",IF($S815="ITEM_PRICE_PLUS_DECLARED_DELIVERY",IF(OR($J815="",$K815=""),"",SUM($J815,$K815,$U815)),IF($S815="TOTAL_AMOUNT_INCLUDING_DELIVERY",IF($T815="","",$T815),IF($S815="DELIVERY_CHARGE_ONLY",IF($K815="","",SUM($K815,$U815)),IF($S815="EXACT_COLLECTION_AMOUNT",IF($T815="","",$T815),IF($S815="ITEM_PRICE_ONLY_DELIVERY_PAID_BY_MERCHANT",IF($J815="","",SUM($J815,$U815)),""))))))</f>
        <v/>
      </c>
      <c r="M815" s="12" t="n"/>
      <c r="N815" s="13" t="n"/>
      <c r="O815" s="13" t="n"/>
      <c r="P815" s="9" t="n"/>
      <c r="Q815" s="14" t="n"/>
      <c r="R815" s="15" t="n"/>
      <c r="S815" s="14" t="n"/>
      <c r="T815" s="16" t="n"/>
      <c r="U815" s="16" t="n"/>
      <c r="V815" s="16" t="n"/>
      <c r="W815" s="16" t="n"/>
      <c r="X815" s="16" t="n"/>
      <c r="Y815" s="16" t="n"/>
      <c r="Z815" s="14" t="n"/>
      <c r="AA815" s="14" t="n"/>
      <c r="AB815" s="14" t="n"/>
      <c r="AC815" s="17">
        <f>IFERROR(VLOOKUP($H815&amp;"|"&amp;$Q815,Tariff_Master!$A$2:$L$169,3,FALSE),"")</f>
        <v/>
      </c>
      <c r="AD815" s="17">
        <f>IFERROR(VLOOKUP($H815&amp;"|"&amp;$Q815,Tariff_Master!$A$2:$L$169,4,FALSE),"")</f>
        <v/>
      </c>
      <c r="AE815" s="18">
        <f>IFERROR(VLOOKUP($H815&amp;"|"&amp;$Q815,Tariff_Master!$A$2:$L$169,6,FALSE),"")</f>
        <v/>
      </c>
      <c r="AF815" s="19">
        <f>IFERROR(VLOOKUP($H815&amp;"|"&amp;$Q815,Tariff_Master!$A$2:$L$169,7,FALSE),"")</f>
        <v/>
      </c>
      <c r="AG815" s="18">
        <f>IFERROR(VLOOKUP($H815&amp;"|"&amp;$Q815,Tariff_Master!$A$2:$L$169,8,FALSE),"")</f>
        <v/>
      </c>
      <c r="AH815" s="20">
        <f>IFERROR(VLOOKUP($H815&amp;"|"&amp;$Q815,Tariff_Master!$A$2:$L$169,9,FALSE),"")</f>
        <v/>
      </c>
      <c r="AI815" s="18">
        <f>IFERROR(VLOOKUP($H815&amp;"|"&amp;$Q815,Tariff_Master!$A$2:$L$169,10,FALSE),"")</f>
        <v/>
      </c>
      <c r="AJ815" s="21">
        <f>IF($M815="","",ROUNDUP(MAX(0,$M815),0))</f>
        <v/>
      </c>
      <c r="AK815" s="21">
        <f>IF(OR($AJ815="",$AF815=""),"",MAX(0,$AJ815-$AF815))</f>
        <v/>
      </c>
      <c r="AL815" s="22">
        <f>IF(OR($AK815="",$AG815=""),"",MAX(0,$AK815*$AG815))</f>
        <v/>
      </c>
      <c r="AM815" s="22">
        <f>IF($AE815="","",MAX(0,SUM($AE815,$AL815,$V815,$W815)))</f>
        <v/>
      </c>
      <c r="AN815" s="22">
        <f>IF($AM815="","",IF(AND($Q815="COMMITMENT",$R815&gt;=$AH815),$AI815,0))</f>
        <v/>
      </c>
      <c r="AO815" s="23">
        <f>IF($AM815="","",MAX(0,$AM815-$AN815))</f>
        <v/>
      </c>
      <c r="AP815" s="22">
        <f>IF($S815="","",IF(OR($S815="ITEM_PRICE_PLUS_DECLARED_DELIVERY",$S815="DELIVERY_CHARGE_ONLY"),$K815,IF($S815="TOTAL_AMOUNT_INCLUDING_DELIVERY",IF(OR($T815="",$J815=""),"",MAX(0,$T815-$J815-$U815)),IF($S815="ITEM_PRICE_ONLY_DELIVERY_PAID_BY_MERCHANT",0,""))))</f>
        <v/>
      </c>
      <c r="AQ815" s="23">
        <f>IF(OR($AP815="",$AO815=""),"",$AP815-$AO815)</f>
        <v/>
      </c>
      <c r="AR815" s="24">
        <f>IF($S815="EXACT_COLLECTION_AMOUNT","BREAKDOWN_REQUIRED",IF($AQ815="","",IF($AQ815&gt;0,"CREDIT_TO_MERCHANT",IF($AQ815&lt;0,"DEDUCT_FROM_MERCHANT","NO_ADJUSTMENT"))))</f>
        <v/>
      </c>
      <c r="AS815" s="23">
        <f>IF(OR($AQ815="",$AR815="BREAKDOWN_REQUIRED"),"",$AQ815)</f>
        <v/>
      </c>
      <c r="AT815" s="23">
        <f>IF(OR($AR815="",$AR815="BREAKDOWN_REQUIRED"),"",SUM($J815,$AQ815,$Y815)-$X815)</f>
        <v/>
      </c>
      <c r="AU815" s="25">
        <f>IF(AND($A815="",$B815="",$F815="",$H815="",$J815="",$K815="",$M815="",$S815=""),"",IF(OR($H815="",$Q815="",$M815="",$S815=""),"ERROR",IF(OR($J815&lt;0,$K815&lt;0,$M815&lt;0,$T815&lt;0,$U815&lt;0,$V815&lt;0,$W815&lt;0,$X815&lt;0,$Y815&lt;0),"ERROR",IF($AE815="","ERROR",IF(AND(OR($S815="ITEM_PRICE_PLUS_DECLARED_DELIVERY",$S815="TOTAL_AMOUNT_INCLUDING_DELIVERY",$S815="ITEM_PRICE_ONLY_DELIVERY_PAID_BY_MERCHANT"),$J815=""),"ERROR",IF(AND(OR($S815="ITEM_PRICE_PLUS_DECLARED_DELIVERY",$S815="DELIVERY_CHARGE_ONLY"),$K815=""),"ERROR",IF(AND(OR($S815="TOTAL_AMOUNT_INCLUDING_DELIVERY",$S815="EXACT_COLLECTION_AMOUNT"),$T815=""),"ERROR",IF(AND($S815="TOTAL_AMOUNT_INCLUDING_DELIVERY",$T815&lt;SUM($J815,$U815)),"ERROR",IF($S815="EXACT_COLLECTION_AMOUNT","REVIEW","OK")))))))))</f>
        <v/>
      </c>
      <c r="AV815" s="25">
        <f>IF($AU815="","",IF($H815="","Township required",IF($Q815="","Customer tier required",IF($M815="","Weight required",IF($S815="","Amount entry type required",IF(OR($J815&lt;0,$K815&lt;0,$M815&lt;0,$T815&lt;0,$U815&lt;0,$V815&lt;0,$W815&lt;0,$X815&lt;0,$Y815&lt;0),"Negative amounts are not allowed",IF($AE815="","Tariff not found for township and tier",IF(AND(OR($S815="ITEM_PRICE_PLUS_DECLARED_DELIVERY",$S815="TOTAL_AMOUNT_INCLUDING_DELIVERY",$S815="ITEM_PRICE_ONLY_DELIVERY_PAID_BY_MERCHANT"),$J815=""),"Item price required for this amount type",IF(AND(OR($S815="ITEM_PRICE_PLUS_DECLARED_DELIVERY",$S815="DELIVERY_CHARGE_ONLY"),$K815=""),"Declared delivery charge required",IF(AND(OR($S815="TOTAL_AMOUNT_INCLUDING_DELIVERY",$S815="EXACT_COLLECTION_AMOUNT"),$T815=""),"Stated total amount required",IF(AND($S815="TOTAL_AMOUNT_INCLUDING_DELIVERY",$T815&lt;SUM($J815,$U815)),"Stated total is below item price plus additional charge",IF($S815="EXACT_COLLECTION_AMOUNT","Authorized amount breakdown required before settlement","Ready for collection and settlement"))))))))))))</f>
        <v/>
      </c>
      <c r="AW815" s="23">
        <f>IF($AU815="","","PARCEL_FINANCIAL_V2")</f>
        <v/>
      </c>
      <c r="AX815" s="17" t="n"/>
    </row>
    <row r="816">
      <c r="A816" s="8" t="n"/>
      <c r="B816" s="8" t="n"/>
      <c r="C816" s="8" t="n"/>
      <c r="D816" s="8" t="n"/>
      <c r="E816" s="9" t="n"/>
      <c r="F816" s="9" t="n"/>
      <c r="G816" s="8" t="n"/>
      <c r="H816" s="9" t="n"/>
      <c r="I816" s="9" t="n"/>
      <c r="J816" s="10" t="n"/>
      <c r="K816" s="10" t="n"/>
      <c r="L816" s="11">
        <f>IF($S816="","",IF($S816="ITEM_PRICE_PLUS_DECLARED_DELIVERY",IF(OR($J816="",$K816=""),"",SUM($J816,$K816,$U816)),IF($S816="TOTAL_AMOUNT_INCLUDING_DELIVERY",IF($T816="","",$T816),IF($S816="DELIVERY_CHARGE_ONLY",IF($K816="","",SUM($K816,$U816)),IF($S816="EXACT_COLLECTION_AMOUNT",IF($T816="","",$T816),IF($S816="ITEM_PRICE_ONLY_DELIVERY_PAID_BY_MERCHANT",IF($J816="","",SUM($J816,$U816)),""))))))</f>
        <v/>
      </c>
      <c r="M816" s="12" t="n"/>
      <c r="N816" s="13" t="n"/>
      <c r="O816" s="13" t="n"/>
      <c r="P816" s="9" t="n"/>
      <c r="Q816" s="14" t="n"/>
      <c r="R816" s="15" t="n"/>
      <c r="S816" s="14" t="n"/>
      <c r="T816" s="16" t="n"/>
      <c r="U816" s="16" t="n"/>
      <c r="V816" s="16" t="n"/>
      <c r="W816" s="16" t="n"/>
      <c r="X816" s="16" t="n"/>
      <c r="Y816" s="16" t="n"/>
      <c r="Z816" s="14" t="n"/>
      <c r="AA816" s="14" t="n"/>
      <c r="AB816" s="14" t="n"/>
      <c r="AC816" s="17">
        <f>IFERROR(VLOOKUP($H816&amp;"|"&amp;$Q816,Tariff_Master!$A$2:$L$169,3,FALSE),"")</f>
        <v/>
      </c>
      <c r="AD816" s="17">
        <f>IFERROR(VLOOKUP($H816&amp;"|"&amp;$Q816,Tariff_Master!$A$2:$L$169,4,FALSE),"")</f>
        <v/>
      </c>
      <c r="AE816" s="18">
        <f>IFERROR(VLOOKUP($H816&amp;"|"&amp;$Q816,Tariff_Master!$A$2:$L$169,6,FALSE),"")</f>
        <v/>
      </c>
      <c r="AF816" s="19">
        <f>IFERROR(VLOOKUP($H816&amp;"|"&amp;$Q816,Tariff_Master!$A$2:$L$169,7,FALSE),"")</f>
        <v/>
      </c>
      <c r="AG816" s="18">
        <f>IFERROR(VLOOKUP($H816&amp;"|"&amp;$Q816,Tariff_Master!$A$2:$L$169,8,FALSE),"")</f>
        <v/>
      </c>
      <c r="AH816" s="20">
        <f>IFERROR(VLOOKUP($H816&amp;"|"&amp;$Q816,Tariff_Master!$A$2:$L$169,9,FALSE),"")</f>
        <v/>
      </c>
      <c r="AI816" s="18">
        <f>IFERROR(VLOOKUP($H816&amp;"|"&amp;$Q816,Tariff_Master!$A$2:$L$169,10,FALSE),"")</f>
        <v/>
      </c>
      <c r="AJ816" s="21">
        <f>IF($M816="","",ROUNDUP(MAX(0,$M816),0))</f>
        <v/>
      </c>
      <c r="AK816" s="21">
        <f>IF(OR($AJ816="",$AF816=""),"",MAX(0,$AJ816-$AF816))</f>
        <v/>
      </c>
      <c r="AL816" s="22">
        <f>IF(OR($AK816="",$AG816=""),"",MAX(0,$AK816*$AG816))</f>
        <v/>
      </c>
      <c r="AM816" s="22">
        <f>IF($AE816="","",MAX(0,SUM($AE816,$AL816,$V816,$W816)))</f>
        <v/>
      </c>
      <c r="AN816" s="22">
        <f>IF($AM816="","",IF(AND($Q816="COMMITMENT",$R816&gt;=$AH816),$AI816,0))</f>
        <v/>
      </c>
      <c r="AO816" s="23">
        <f>IF($AM816="","",MAX(0,$AM816-$AN816))</f>
        <v/>
      </c>
      <c r="AP816" s="22">
        <f>IF($S816="","",IF(OR($S816="ITEM_PRICE_PLUS_DECLARED_DELIVERY",$S816="DELIVERY_CHARGE_ONLY"),$K816,IF($S816="TOTAL_AMOUNT_INCLUDING_DELIVERY",IF(OR($T816="",$J816=""),"",MAX(0,$T816-$J816-$U816)),IF($S816="ITEM_PRICE_ONLY_DELIVERY_PAID_BY_MERCHANT",0,""))))</f>
        <v/>
      </c>
      <c r="AQ816" s="23">
        <f>IF(OR($AP816="",$AO816=""),"",$AP816-$AO816)</f>
        <v/>
      </c>
      <c r="AR816" s="24">
        <f>IF($S816="EXACT_COLLECTION_AMOUNT","BREAKDOWN_REQUIRED",IF($AQ816="","",IF($AQ816&gt;0,"CREDIT_TO_MERCHANT",IF($AQ816&lt;0,"DEDUCT_FROM_MERCHANT","NO_ADJUSTMENT"))))</f>
        <v/>
      </c>
      <c r="AS816" s="23">
        <f>IF(OR($AQ816="",$AR816="BREAKDOWN_REQUIRED"),"",$AQ816)</f>
        <v/>
      </c>
      <c r="AT816" s="23">
        <f>IF(OR($AR816="",$AR816="BREAKDOWN_REQUIRED"),"",SUM($J816,$AQ816,$Y816)-$X816)</f>
        <v/>
      </c>
      <c r="AU816" s="25">
        <f>IF(AND($A816="",$B816="",$F816="",$H816="",$J816="",$K816="",$M816="",$S816=""),"",IF(OR($H816="",$Q816="",$M816="",$S816=""),"ERROR",IF(OR($J816&lt;0,$K816&lt;0,$M816&lt;0,$T816&lt;0,$U816&lt;0,$V816&lt;0,$W816&lt;0,$X816&lt;0,$Y816&lt;0),"ERROR",IF($AE816="","ERROR",IF(AND(OR($S816="ITEM_PRICE_PLUS_DECLARED_DELIVERY",$S816="TOTAL_AMOUNT_INCLUDING_DELIVERY",$S816="ITEM_PRICE_ONLY_DELIVERY_PAID_BY_MERCHANT"),$J816=""),"ERROR",IF(AND(OR($S816="ITEM_PRICE_PLUS_DECLARED_DELIVERY",$S816="DELIVERY_CHARGE_ONLY"),$K816=""),"ERROR",IF(AND(OR($S816="TOTAL_AMOUNT_INCLUDING_DELIVERY",$S816="EXACT_COLLECTION_AMOUNT"),$T816=""),"ERROR",IF(AND($S816="TOTAL_AMOUNT_INCLUDING_DELIVERY",$T816&lt;SUM($J816,$U816)),"ERROR",IF($S816="EXACT_COLLECTION_AMOUNT","REVIEW","OK")))))))))</f>
        <v/>
      </c>
      <c r="AV816" s="25">
        <f>IF($AU816="","",IF($H816="","Township required",IF($Q816="","Customer tier required",IF($M816="","Weight required",IF($S816="","Amount entry type required",IF(OR($J816&lt;0,$K816&lt;0,$M816&lt;0,$T816&lt;0,$U816&lt;0,$V816&lt;0,$W816&lt;0,$X816&lt;0,$Y816&lt;0),"Negative amounts are not allowed",IF($AE816="","Tariff not found for township and tier",IF(AND(OR($S816="ITEM_PRICE_PLUS_DECLARED_DELIVERY",$S816="TOTAL_AMOUNT_INCLUDING_DELIVERY",$S816="ITEM_PRICE_ONLY_DELIVERY_PAID_BY_MERCHANT"),$J816=""),"Item price required for this amount type",IF(AND(OR($S816="ITEM_PRICE_PLUS_DECLARED_DELIVERY",$S816="DELIVERY_CHARGE_ONLY"),$K816=""),"Declared delivery charge required",IF(AND(OR($S816="TOTAL_AMOUNT_INCLUDING_DELIVERY",$S816="EXACT_COLLECTION_AMOUNT"),$T816=""),"Stated total amount required",IF(AND($S816="TOTAL_AMOUNT_INCLUDING_DELIVERY",$T816&lt;SUM($J816,$U816)),"Stated total is below item price plus additional charge",IF($S816="EXACT_COLLECTION_AMOUNT","Authorized amount breakdown required before settlement","Ready for collection and settlement"))))))))))))</f>
        <v/>
      </c>
      <c r="AW816" s="23">
        <f>IF($AU816="","","PARCEL_FINANCIAL_V2")</f>
        <v/>
      </c>
      <c r="AX816" s="17" t="n"/>
    </row>
    <row r="817">
      <c r="A817" s="8" t="n"/>
      <c r="B817" s="8" t="n"/>
      <c r="C817" s="8" t="n"/>
      <c r="D817" s="8" t="n"/>
      <c r="E817" s="9" t="n"/>
      <c r="F817" s="9" t="n"/>
      <c r="G817" s="8" t="n"/>
      <c r="H817" s="9" t="n"/>
      <c r="I817" s="9" t="n"/>
      <c r="J817" s="10" t="n"/>
      <c r="K817" s="10" t="n"/>
      <c r="L817" s="11">
        <f>IF($S817="","",IF($S817="ITEM_PRICE_PLUS_DECLARED_DELIVERY",IF(OR($J817="",$K817=""),"",SUM($J817,$K817,$U817)),IF($S817="TOTAL_AMOUNT_INCLUDING_DELIVERY",IF($T817="","",$T817),IF($S817="DELIVERY_CHARGE_ONLY",IF($K817="","",SUM($K817,$U817)),IF($S817="EXACT_COLLECTION_AMOUNT",IF($T817="","",$T817),IF($S817="ITEM_PRICE_ONLY_DELIVERY_PAID_BY_MERCHANT",IF($J817="","",SUM($J817,$U817)),""))))))</f>
        <v/>
      </c>
      <c r="M817" s="12" t="n"/>
      <c r="N817" s="13" t="n"/>
      <c r="O817" s="13" t="n"/>
      <c r="P817" s="9" t="n"/>
      <c r="Q817" s="14" t="n"/>
      <c r="R817" s="15" t="n"/>
      <c r="S817" s="14" t="n"/>
      <c r="T817" s="16" t="n"/>
      <c r="U817" s="16" t="n"/>
      <c r="V817" s="16" t="n"/>
      <c r="W817" s="16" t="n"/>
      <c r="X817" s="16" t="n"/>
      <c r="Y817" s="16" t="n"/>
      <c r="Z817" s="14" t="n"/>
      <c r="AA817" s="14" t="n"/>
      <c r="AB817" s="14" t="n"/>
      <c r="AC817" s="17">
        <f>IFERROR(VLOOKUP($H817&amp;"|"&amp;$Q817,Tariff_Master!$A$2:$L$169,3,FALSE),"")</f>
        <v/>
      </c>
      <c r="AD817" s="17">
        <f>IFERROR(VLOOKUP($H817&amp;"|"&amp;$Q817,Tariff_Master!$A$2:$L$169,4,FALSE),"")</f>
        <v/>
      </c>
      <c r="AE817" s="18">
        <f>IFERROR(VLOOKUP($H817&amp;"|"&amp;$Q817,Tariff_Master!$A$2:$L$169,6,FALSE),"")</f>
        <v/>
      </c>
      <c r="AF817" s="19">
        <f>IFERROR(VLOOKUP($H817&amp;"|"&amp;$Q817,Tariff_Master!$A$2:$L$169,7,FALSE),"")</f>
        <v/>
      </c>
      <c r="AG817" s="18">
        <f>IFERROR(VLOOKUP($H817&amp;"|"&amp;$Q817,Tariff_Master!$A$2:$L$169,8,FALSE),"")</f>
        <v/>
      </c>
      <c r="AH817" s="20">
        <f>IFERROR(VLOOKUP($H817&amp;"|"&amp;$Q817,Tariff_Master!$A$2:$L$169,9,FALSE),"")</f>
        <v/>
      </c>
      <c r="AI817" s="18">
        <f>IFERROR(VLOOKUP($H817&amp;"|"&amp;$Q817,Tariff_Master!$A$2:$L$169,10,FALSE),"")</f>
        <v/>
      </c>
      <c r="AJ817" s="21">
        <f>IF($M817="","",ROUNDUP(MAX(0,$M817),0))</f>
        <v/>
      </c>
      <c r="AK817" s="21">
        <f>IF(OR($AJ817="",$AF817=""),"",MAX(0,$AJ817-$AF817))</f>
        <v/>
      </c>
      <c r="AL817" s="22">
        <f>IF(OR($AK817="",$AG817=""),"",MAX(0,$AK817*$AG817))</f>
        <v/>
      </c>
      <c r="AM817" s="22">
        <f>IF($AE817="","",MAX(0,SUM($AE817,$AL817,$V817,$W817)))</f>
        <v/>
      </c>
      <c r="AN817" s="22">
        <f>IF($AM817="","",IF(AND($Q817="COMMITMENT",$R817&gt;=$AH817),$AI817,0))</f>
        <v/>
      </c>
      <c r="AO817" s="23">
        <f>IF($AM817="","",MAX(0,$AM817-$AN817))</f>
        <v/>
      </c>
      <c r="AP817" s="22">
        <f>IF($S817="","",IF(OR($S817="ITEM_PRICE_PLUS_DECLARED_DELIVERY",$S817="DELIVERY_CHARGE_ONLY"),$K817,IF($S817="TOTAL_AMOUNT_INCLUDING_DELIVERY",IF(OR($T817="",$J817=""),"",MAX(0,$T817-$J817-$U817)),IF($S817="ITEM_PRICE_ONLY_DELIVERY_PAID_BY_MERCHANT",0,""))))</f>
        <v/>
      </c>
      <c r="AQ817" s="23">
        <f>IF(OR($AP817="",$AO817=""),"",$AP817-$AO817)</f>
        <v/>
      </c>
      <c r="AR817" s="24">
        <f>IF($S817="EXACT_COLLECTION_AMOUNT","BREAKDOWN_REQUIRED",IF($AQ817="","",IF($AQ817&gt;0,"CREDIT_TO_MERCHANT",IF($AQ817&lt;0,"DEDUCT_FROM_MERCHANT","NO_ADJUSTMENT"))))</f>
        <v/>
      </c>
      <c r="AS817" s="23">
        <f>IF(OR($AQ817="",$AR817="BREAKDOWN_REQUIRED"),"",$AQ817)</f>
        <v/>
      </c>
      <c r="AT817" s="23">
        <f>IF(OR($AR817="",$AR817="BREAKDOWN_REQUIRED"),"",SUM($J817,$AQ817,$Y817)-$X817)</f>
        <v/>
      </c>
      <c r="AU817" s="25">
        <f>IF(AND($A817="",$B817="",$F817="",$H817="",$J817="",$K817="",$M817="",$S817=""),"",IF(OR($H817="",$Q817="",$M817="",$S817=""),"ERROR",IF(OR($J817&lt;0,$K817&lt;0,$M817&lt;0,$T817&lt;0,$U817&lt;0,$V817&lt;0,$W817&lt;0,$X817&lt;0,$Y817&lt;0),"ERROR",IF($AE817="","ERROR",IF(AND(OR($S817="ITEM_PRICE_PLUS_DECLARED_DELIVERY",$S817="TOTAL_AMOUNT_INCLUDING_DELIVERY",$S817="ITEM_PRICE_ONLY_DELIVERY_PAID_BY_MERCHANT"),$J817=""),"ERROR",IF(AND(OR($S817="ITEM_PRICE_PLUS_DECLARED_DELIVERY",$S817="DELIVERY_CHARGE_ONLY"),$K817=""),"ERROR",IF(AND(OR($S817="TOTAL_AMOUNT_INCLUDING_DELIVERY",$S817="EXACT_COLLECTION_AMOUNT"),$T817=""),"ERROR",IF(AND($S817="TOTAL_AMOUNT_INCLUDING_DELIVERY",$T817&lt;SUM($J817,$U817)),"ERROR",IF($S817="EXACT_COLLECTION_AMOUNT","REVIEW","OK")))))))))</f>
        <v/>
      </c>
      <c r="AV817" s="25">
        <f>IF($AU817="","",IF($H817="","Township required",IF($Q817="","Customer tier required",IF($M817="","Weight required",IF($S817="","Amount entry type required",IF(OR($J817&lt;0,$K817&lt;0,$M817&lt;0,$T817&lt;0,$U817&lt;0,$V817&lt;0,$W817&lt;0,$X817&lt;0,$Y817&lt;0),"Negative amounts are not allowed",IF($AE817="","Tariff not found for township and tier",IF(AND(OR($S817="ITEM_PRICE_PLUS_DECLARED_DELIVERY",$S817="TOTAL_AMOUNT_INCLUDING_DELIVERY",$S817="ITEM_PRICE_ONLY_DELIVERY_PAID_BY_MERCHANT"),$J817=""),"Item price required for this amount type",IF(AND(OR($S817="ITEM_PRICE_PLUS_DECLARED_DELIVERY",$S817="DELIVERY_CHARGE_ONLY"),$K817=""),"Declared delivery charge required",IF(AND(OR($S817="TOTAL_AMOUNT_INCLUDING_DELIVERY",$S817="EXACT_COLLECTION_AMOUNT"),$T817=""),"Stated total amount required",IF(AND($S817="TOTAL_AMOUNT_INCLUDING_DELIVERY",$T817&lt;SUM($J817,$U817)),"Stated total is below item price plus additional charge",IF($S817="EXACT_COLLECTION_AMOUNT","Authorized amount breakdown required before settlement","Ready for collection and settlement"))))))))))))</f>
        <v/>
      </c>
      <c r="AW817" s="23">
        <f>IF($AU817="","","PARCEL_FINANCIAL_V2")</f>
        <v/>
      </c>
      <c r="AX817" s="17" t="n"/>
    </row>
    <row r="818">
      <c r="A818" s="8" t="n"/>
      <c r="B818" s="8" t="n"/>
      <c r="C818" s="8" t="n"/>
      <c r="D818" s="8" t="n"/>
      <c r="E818" s="9" t="n"/>
      <c r="F818" s="9" t="n"/>
      <c r="G818" s="8" t="n"/>
      <c r="H818" s="9" t="n"/>
      <c r="I818" s="9" t="n"/>
      <c r="J818" s="10" t="n"/>
      <c r="K818" s="10" t="n"/>
      <c r="L818" s="11">
        <f>IF($S818="","",IF($S818="ITEM_PRICE_PLUS_DECLARED_DELIVERY",IF(OR($J818="",$K818=""),"",SUM($J818,$K818,$U818)),IF($S818="TOTAL_AMOUNT_INCLUDING_DELIVERY",IF($T818="","",$T818),IF($S818="DELIVERY_CHARGE_ONLY",IF($K818="","",SUM($K818,$U818)),IF($S818="EXACT_COLLECTION_AMOUNT",IF($T818="","",$T818),IF($S818="ITEM_PRICE_ONLY_DELIVERY_PAID_BY_MERCHANT",IF($J818="","",SUM($J818,$U818)),""))))))</f>
        <v/>
      </c>
      <c r="M818" s="12" t="n"/>
      <c r="N818" s="13" t="n"/>
      <c r="O818" s="13" t="n"/>
      <c r="P818" s="9" t="n"/>
      <c r="Q818" s="14" t="n"/>
      <c r="R818" s="15" t="n"/>
      <c r="S818" s="14" t="n"/>
      <c r="T818" s="16" t="n"/>
      <c r="U818" s="16" t="n"/>
      <c r="V818" s="16" t="n"/>
      <c r="W818" s="16" t="n"/>
      <c r="X818" s="16" t="n"/>
      <c r="Y818" s="16" t="n"/>
      <c r="Z818" s="14" t="n"/>
      <c r="AA818" s="14" t="n"/>
      <c r="AB818" s="14" t="n"/>
      <c r="AC818" s="17">
        <f>IFERROR(VLOOKUP($H818&amp;"|"&amp;$Q818,Tariff_Master!$A$2:$L$169,3,FALSE),"")</f>
        <v/>
      </c>
      <c r="AD818" s="17">
        <f>IFERROR(VLOOKUP($H818&amp;"|"&amp;$Q818,Tariff_Master!$A$2:$L$169,4,FALSE),"")</f>
        <v/>
      </c>
      <c r="AE818" s="18">
        <f>IFERROR(VLOOKUP($H818&amp;"|"&amp;$Q818,Tariff_Master!$A$2:$L$169,6,FALSE),"")</f>
        <v/>
      </c>
      <c r="AF818" s="19">
        <f>IFERROR(VLOOKUP($H818&amp;"|"&amp;$Q818,Tariff_Master!$A$2:$L$169,7,FALSE),"")</f>
        <v/>
      </c>
      <c r="AG818" s="18">
        <f>IFERROR(VLOOKUP($H818&amp;"|"&amp;$Q818,Tariff_Master!$A$2:$L$169,8,FALSE),"")</f>
        <v/>
      </c>
      <c r="AH818" s="20">
        <f>IFERROR(VLOOKUP($H818&amp;"|"&amp;$Q818,Tariff_Master!$A$2:$L$169,9,FALSE),"")</f>
        <v/>
      </c>
      <c r="AI818" s="18">
        <f>IFERROR(VLOOKUP($H818&amp;"|"&amp;$Q818,Tariff_Master!$A$2:$L$169,10,FALSE),"")</f>
        <v/>
      </c>
      <c r="AJ818" s="21">
        <f>IF($M818="","",ROUNDUP(MAX(0,$M818),0))</f>
        <v/>
      </c>
      <c r="AK818" s="21">
        <f>IF(OR($AJ818="",$AF818=""),"",MAX(0,$AJ818-$AF818))</f>
        <v/>
      </c>
      <c r="AL818" s="22">
        <f>IF(OR($AK818="",$AG818=""),"",MAX(0,$AK818*$AG818))</f>
        <v/>
      </c>
      <c r="AM818" s="22">
        <f>IF($AE818="","",MAX(0,SUM($AE818,$AL818,$V818,$W818)))</f>
        <v/>
      </c>
      <c r="AN818" s="22">
        <f>IF($AM818="","",IF(AND($Q818="COMMITMENT",$R818&gt;=$AH818),$AI818,0))</f>
        <v/>
      </c>
      <c r="AO818" s="23">
        <f>IF($AM818="","",MAX(0,$AM818-$AN818))</f>
        <v/>
      </c>
      <c r="AP818" s="22">
        <f>IF($S818="","",IF(OR($S818="ITEM_PRICE_PLUS_DECLARED_DELIVERY",$S818="DELIVERY_CHARGE_ONLY"),$K818,IF($S818="TOTAL_AMOUNT_INCLUDING_DELIVERY",IF(OR($T818="",$J818=""),"",MAX(0,$T818-$J818-$U818)),IF($S818="ITEM_PRICE_ONLY_DELIVERY_PAID_BY_MERCHANT",0,""))))</f>
        <v/>
      </c>
      <c r="AQ818" s="23">
        <f>IF(OR($AP818="",$AO818=""),"",$AP818-$AO818)</f>
        <v/>
      </c>
      <c r="AR818" s="24">
        <f>IF($S818="EXACT_COLLECTION_AMOUNT","BREAKDOWN_REQUIRED",IF($AQ818="","",IF($AQ818&gt;0,"CREDIT_TO_MERCHANT",IF($AQ818&lt;0,"DEDUCT_FROM_MERCHANT","NO_ADJUSTMENT"))))</f>
        <v/>
      </c>
      <c r="AS818" s="23">
        <f>IF(OR($AQ818="",$AR818="BREAKDOWN_REQUIRED"),"",$AQ818)</f>
        <v/>
      </c>
      <c r="AT818" s="23">
        <f>IF(OR($AR818="",$AR818="BREAKDOWN_REQUIRED"),"",SUM($J818,$AQ818,$Y818)-$X818)</f>
        <v/>
      </c>
      <c r="AU818" s="25">
        <f>IF(AND($A818="",$B818="",$F818="",$H818="",$J818="",$K818="",$M818="",$S818=""),"",IF(OR($H818="",$Q818="",$M818="",$S818=""),"ERROR",IF(OR($J818&lt;0,$K818&lt;0,$M818&lt;0,$T818&lt;0,$U818&lt;0,$V818&lt;0,$W818&lt;0,$X818&lt;0,$Y818&lt;0),"ERROR",IF($AE818="","ERROR",IF(AND(OR($S818="ITEM_PRICE_PLUS_DECLARED_DELIVERY",$S818="TOTAL_AMOUNT_INCLUDING_DELIVERY",$S818="ITEM_PRICE_ONLY_DELIVERY_PAID_BY_MERCHANT"),$J818=""),"ERROR",IF(AND(OR($S818="ITEM_PRICE_PLUS_DECLARED_DELIVERY",$S818="DELIVERY_CHARGE_ONLY"),$K818=""),"ERROR",IF(AND(OR($S818="TOTAL_AMOUNT_INCLUDING_DELIVERY",$S818="EXACT_COLLECTION_AMOUNT"),$T818=""),"ERROR",IF(AND($S818="TOTAL_AMOUNT_INCLUDING_DELIVERY",$T818&lt;SUM($J818,$U818)),"ERROR",IF($S818="EXACT_COLLECTION_AMOUNT","REVIEW","OK")))))))))</f>
        <v/>
      </c>
      <c r="AV818" s="25">
        <f>IF($AU818="","",IF($H818="","Township required",IF($Q818="","Customer tier required",IF($M818="","Weight required",IF($S818="","Amount entry type required",IF(OR($J818&lt;0,$K818&lt;0,$M818&lt;0,$T818&lt;0,$U818&lt;0,$V818&lt;0,$W818&lt;0,$X818&lt;0,$Y818&lt;0),"Negative amounts are not allowed",IF($AE818="","Tariff not found for township and tier",IF(AND(OR($S818="ITEM_PRICE_PLUS_DECLARED_DELIVERY",$S818="TOTAL_AMOUNT_INCLUDING_DELIVERY",$S818="ITEM_PRICE_ONLY_DELIVERY_PAID_BY_MERCHANT"),$J818=""),"Item price required for this amount type",IF(AND(OR($S818="ITEM_PRICE_PLUS_DECLARED_DELIVERY",$S818="DELIVERY_CHARGE_ONLY"),$K818=""),"Declared delivery charge required",IF(AND(OR($S818="TOTAL_AMOUNT_INCLUDING_DELIVERY",$S818="EXACT_COLLECTION_AMOUNT"),$T818=""),"Stated total amount required",IF(AND($S818="TOTAL_AMOUNT_INCLUDING_DELIVERY",$T818&lt;SUM($J818,$U818)),"Stated total is below item price plus additional charge",IF($S818="EXACT_COLLECTION_AMOUNT","Authorized amount breakdown required before settlement","Ready for collection and settlement"))))))))))))</f>
        <v/>
      </c>
      <c r="AW818" s="23">
        <f>IF($AU818="","","PARCEL_FINANCIAL_V2")</f>
        <v/>
      </c>
      <c r="AX818" s="17" t="n"/>
    </row>
    <row r="819">
      <c r="A819" s="8" t="n"/>
      <c r="B819" s="8" t="n"/>
      <c r="C819" s="8" t="n"/>
      <c r="D819" s="8" t="n"/>
      <c r="E819" s="9" t="n"/>
      <c r="F819" s="9" t="n"/>
      <c r="G819" s="8" t="n"/>
      <c r="H819" s="9" t="n"/>
      <c r="I819" s="9" t="n"/>
      <c r="J819" s="10" t="n"/>
      <c r="K819" s="10" t="n"/>
      <c r="L819" s="11">
        <f>IF($S819="","",IF($S819="ITEM_PRICE_PLUS_DECLARED_DELIVERY",IF(OR($J819="",$K819=""),"",SUM($J819,$K819,$U819)),IF($S819="TOTAL_AMOUNT_INCLUDING_DELIVERY",IF($T819="","",$T819),IF($S819="DELIVERY_CHARGE_ONLY",IF($K819="","",SUM($K819,$U819)),IF($S819="EXACT_COLLECTION_AMOUNT",IF($T819="","",$T819),IF($S819="ITEM_PRICE_ONLY_DELIVERY_PAID_BY_MERCHANT",IF($J819="","",SUM($J819,$U819)),""))))))</f>
        <v/>
      </c>
      <c r="M819" s="12" t="n"/>
      <c r="N819" s="13" t="n"/>
      <c r="O819" s="13" t="n"/>
      <c r="P819" s="9" t="n"/>
      <c r="Q819" s="14" t="n"/>
      <c r="R819" s="15" t="n"/>
      <c r="S819" s="14" t="n"/>
      <c r="T819" s="16" t="n"/>
      <c r="U819" s="16" t="n"/>
      <c r="V819" s="16" t="n"/>
      <c r="W819" s="16" t="n"/>
      <c r="X819" s="16" t="n"/>
      <c r="Y819" s="16" t="n"/>
      <c r="Z819" s="14" t="n"/>
      <c r="AA819" s="14" t="n"/>
      <c r="AB819" s="14" t="n"/>
      <c r="AC819" s="17">
        <f>IFERROR(VLOOKUP($H819&amp;"|"&amp;$Q819,Tariff_Master!$A$2:$L$169,3,FALSE),"")</f>
        <v/>
      </c>
      <c r="AD819" s="17">
        <f>IFERROR(VLOOKUP($H819&amp;"|"&amp;$Q819,Tariff_Master!$A$2:$L$169,4,FALSE),"")</f>
        <v/>
      </c>
      <c r="AE819" s="18">
        <f>IFERROR(VLOOKUP($H819&amp;"|"&amp;$Q819,Tariff_Master!$A$2:$L$169,6,FALSE),"")</f>
        <v/>
      </c>
      <c r="AF819" s="19">
        <f>IFERROR(VLOOKUP($H819&amp;"|"&amp;$Q819,Tariff_Master!$A$2:$L$169,7,FALSE),"")</f>
        <v/>
      </c>
      <c r="AG819" s="18">
        <f>IFERROR(VLOOKUP($H819&amp;"|"&amp;$Q819,Tariff_Master!$A$2:$L$169,8,FALSE),"")</f>
        <v/>
      </c>
      <c r="AH819" s="20">
        <f>IFERROR(VLOOKUP($H819&amp;"|"&amp;$Q819,Tariff_Master!$A$2:$L$169,9,FALSE),"")</f>
        <v/>
      </c>
      <c r="AI819" s="18">
        <f>IFERROR(VLOOKUP($H819&amp;"|"&amp;$Q819,Tariff_Master!$A$2:$L$169,10,FALSE),"")</f>
        <v/>
      </c>
      <c r="AJ819" s="21">
        <f>IF($M819="","",ROUNDUP(MAX(0,$M819),0))</f>
        <v/>
      </c>
      <c r="AK819" s="21">
        <f>IF(OR($AJ819="",$AF819=""),"",MAX(0,$AJ819-$AF819))</f>
        <v/>
      </c>
      <c r="AL819" s="22">
        <f>IF(OR($AK819="",$AG819=""),"",MAX(0,$AK819*$AG819))</f>
        <v/>
      </c>
      <c r="AM819" s="22">
        <f>IF($AE819="","",MAX(0,SUM($AE819,$AL819,$V819,$W819)))</f>
        <v/>
      </c>
      <c r="AN819" s="22">
        <f>IF($AM819="","",IF(AND($Q819="COMMITMENT",$R819&gt;=$AH819),$AI819,0))</f>
        <v/>
      </c>
      <c r="AO819" s="23">
        <f>IF($AM819="","",MAX(0,$AM819-$AN819))</f>
        <v/>
      </c>
      <c r="AP819" s="22">
        <f>IF($S819="","",IF(OR($S819="ITEM_PRICE_PLUS_DECLARED_DELIVERY",$S819="DELIVERY_CHARGE_ONLY"),$K819,IF($S819="TOTAL_AMOUNT_INCLUDING_DELIVERY",IF(OR($T819="",$J819=""),"",MAX(0,$T819-$J819-$U819)),IF($S819="ITEM_PRICE_ONLY_DELIVERY_PAID_BY_MERCHANT",0,""))))</f>
        <v/>
      </c>
      <c r="AQ819" s="23">
        <f>IF(OR($AP819="",$AO819=""),"",$AP819-$AO819)</f>
        <v/>
      </c>
      <c r="AR819" s="24">
        <f>IF($S819="EXACT_COLLECTION_AMOUNT","BREAKDOWN_REQUIRED",IF($AQ819="","",IF($AQ819&gt;0,"CREDIT_TO_MERCHANT",IF($AQ819&lt;0,"DEDUCT_FROM_MERCHANT","NO_ADJUSTMENT"))))</f>
        <v/>
      </c>
      <c r="AS819" s="23">
        <f>IF(OR($AQ819="",$AR819="BREAKDOWN_REQUIRED"),"",$AQ819)</f>
        <v/>
      </c>
      <c r="AT819" s="23">
        <f>IF(OR($AR819="",$AR819="BREAKDOWN_REQUIRED"),"",SUM($J819,$AQ819,$Y819)-$X819)</f>
        <v/>
      </c>
      <c r="AU819" s="25">
        <f>IF(AND($A819="",$B819="",$F819="",$H819="",$J819="",$K819="",$M819="",$S819=""),"",IF(OR($H819="",$Q819="",$M819="",$S819=""),"ERROR",IF(OR($J819&lt;0,$K819&lt;0,$M819&lt;0,$T819&lt;0,$U819&lt;0,$V819&lt;0,$W819&lt;0,$X819&lt;0,$Y819&lt;0),"ERROR",IF($AE819="","ERROR",IF(AND(OR($S819="ITEM_PRICE_PLUS_DECLARED_DELIVERY",$S819="TOTAL_AMOUNT_INCLUDING_DELIVERY",$S819="ITEM_PRICE_ONLY_DELIVERY_PAID_BY_MERCHANT"),$J819=""),"ERROR",IF(AND(OR($S819="ITEM_PRICE_PLUS_DECLARED_DELIVERY",$S819="DELIVERY_CHARGE_ONLY"),$K819=""),"ERROR",IF(AND(OR($S819="TOTAL_AMOUNT_INCLUDING_DELIVERY",$S819="EXACT_COLLECTION_AMOUNT"),$T819=""),"ERROR",IF(AND($S819="TOTAL_AMOUNT_INCLUDING_DELIVERY",$T819&lt;SUM($J819,$U819)),"ERROR",IF($S819="EXACT_COLLECTION_AMOUNT","REVIEW","OK")))))))))</f>
        <v/>
      </c>
      <c r="AV819" s="25">
        <f>IF($AU819="","",IF($H819="","Township required",IF($Q819="","Customer tier required",IF($M819="","Weight required",IF($S819="","Amount entry type required",IF(OR($J819&lt;0,$K819&lt;0,$M819&lt;0,$T819&lt;0,$U819&lt;0,$V819&lt;0,$W819&lt;0,$X819&lt;0,$Y819&lt;0),"Negative amounts are not allowed",IF($AE819="","Tariff not found for township and tier",IF(AND(OR($S819="ITEM_PRICE_PLUS_DECLARED_DELIVERY",$S819="TOTAL_AMOUNT_INCLUDING_DELIVERY",$S819="ITEM_PRICE_ONLY_DELIVERY_PAID_BY_MERCHANT"),$J819=""),"Item price required for this amount type",IF(AND(OR($S819="ITEM_PRICE_PLUS_DECLARED_DELIVERY",$S819="DELIVERY_CHARGE_ONLY"),$K819=""),"Declared delivery charge required",IF(AND(OR($S819="TOTAL_AMOUNT_INCLUDING_DELIVERY",$S819="EXACT_COLLECTION_AMOUNT"),$T819=""),"Stated total amount required",IF(AND($S819="TOTAL_AMOUNT_INCLUDING_DELIVERY",$T819&lt;SUM($J819,$U819)),"Stated total is below item price plus additional charge",IF($S819="EXACT_COLLECTION_AMOUNT","Authorized amount breakdown required before settlement","Ready for collection and settlement"))))))))))))</f>
        <v/>
      </c>
      <c r="AW819" s="23">
        <f>IF($AU819="","","PARCEL_FINANCIAL_V2")</f>
        <v/>
      </c>
      <c r="AX819" s="17" t="n"/>
    </row>
    <row r="820">
      <c r="A820" s="8" t="n"/>
      <c r="B820" s="8" t="n"/>
      <c r="C820" s="8" t="n"/>
      <c r="D820" s="8" t="n"/>
      <c r="E820" s="9" t="n"/>
      <c r="F820" s="9" t="n"/>
      <c r="G820" s="8" t="n"/>
      <c r="H820" s="9" t="n"/>
      <c r="I820" s="9" t="n"/>
      <c r="J820" s="10" t="n"/>
      <c r="K820" s="10" t="n"/>
      <c r="L820" s="11">
        <f>IF($S820="","",IF($S820="ITEM_PRICE_PLUS_DECLARED_DELIVERY",IF(OR($J820="",$K820=""),"",SUM($J820,$K820,$U820)),IF($S820="TOTAL_AMOUNT_INCLUDING_DELIVERY",IF($T820="","",$T820),IF($S820="DELIVERY_CHARGE_ONLY",IF($K820="","",SUM($K820,$U820)),IF($S820="EXACT_COLLECTION_AMOUNT",IF($T820="","",$T820),IF($S820="ITEM_PRICE_ONLY_DELIVERY_PAID_BY_MERCHANT",IF($J820="","",SUM($J820,$U820)),""))))))</f>
        <v/>
      </c>
      <c r="M820" s="12" t="n"/>
      <c r="N820" s="13" t="n"/>
      <c r="O820" s="13" t="n"/>
      <c r="P820" s="9" t="n"/>
      <c r="Q820" s="14" t="n"/>
      <c r="R820" s="15" t="n"/>
      <c r="S820" s="14" t="n"/>
      <c r="T820" s="16" t="n"/>
      <c r="U820" s="16" t="n"/>
      <c r="V820" s="16" t="n"/>
      <c r="W820" s="16" t="n"/>
      <c r="X820" s="16" t="n"/>
      <c r="Y820" s="16" t="n"/>
      <c r="Z820" s="14" t="n"/>
      <c r="AA820" s="14" t="n"/>
      <c r="AB820" s="14" t="n"/>
      <c r="AC820" s="17">
        <f>IFERROR(VLOOKUP($H820&amp;"|"&amp;$Q820,Tariff_Master!$A$2:$L$169,3,FALSE),"")</f>
        <v/>
      </c>
      <c r="AD820" s="17">
        <f>IFERROR(VLOOKUP($H820&amp;"|"&amp;$Q820,Tariff_Master!$A$2:$L$169,4,FALSE),"")</f>
        <v/>
      </c>
      <c r="AE820" s="18">
        <f>IFERROR(VLOOKUP($H820&amp;"|"&amp;$Q820,Tariff_Master!$A$2:$L$169,6,FALSE),"")</f>
        <v/>
      </c>
      <c r="AF820" s="19">
        <f>IFERROR(VLOOKUP($H820&amp;"|"&amp;$Q820,Tariff_Master!$A$2:$L$169,7,FALSE),"")</f>
        <v/>
      </c>
      <c r="AG820" s="18">
        <f>IFERROR(VLOOKUP($H820&amp;"|"&amp;$Q820,Tariff_Master!$A$2:$L$169,8,FALSE),"")</f>
        <v/>
      </c>
      <c r="AH820" s="20">
        <f>IFERROR(VLOOKUP($H820&amp;"|"&amp;$Q820,Tariff_Master!$A$2:$L$169,9,FALSE),"")</f>
        <v/>
      </c>
      <c r="AI820" s="18">
        <f>IFERROR(VLOOKUP($H820&amp;"|"&amp;$Q820,Tariff_Master!$A$2:$L$169,10,FALSE),"")</f>
        <v/>
      </c>
      <c r="AJ820" s="21">
        <f>IF($M820="","",ROUNDUP(MAX(0,$M820),0))</f>
        <v/>
      </c>
      <c r="AK820" s="21">
        <f>IF(OR($AJ820="",$AF820=""),"",MAX(0,$AJ820-$AF820))</f>
        <v/>
      </c>
      <c r="AL820" s="22">
        <f>IF(OR($AK820="",$AG820=""),"",MAX(0,$AK820*$AG820))</f>
        <v/>
      </c>
      <c r="AM820" s="22">
        <f>IF($AE820="","",MAX(0,SUM($AE820,$AL820,$V820,$W820)))</f>
        <v/>
      </c>
      <c r="AN820" s="22">
        <f>IF($AM820="","",IF(AND($Q820="COMMITMENT",$R820&gt;=$AH820),$AI820,0))</f>
        <v/>
      </c>
      <c r="AO820" s="23">
        <f>IF($AM820="","",MAX(0,$AM820-$AN820))</f>
        <v/>
      </c>
      <c r="AP820" s="22">
        <f>IF($S820="","",IF(OR($S820="ITEM_PRICE_PLUS_DECLARED_DELIVERY",$S820="DELIVERY_CHARGE_ONLY"),$K820,IF($S820="TOTAL_AMOUNT_INCLUDING_DELIVERY",IF(OR($T820="",$J820=""),"",MAX(0,$T820-$J820-$U820)),IF($S820="ITEM_PRICE_ONLY_DELIVERY_PAID_BY_MERCHANT",0,""))))</f>
        <v/>
      </c>
      <c r="AQ820" s="23">
        <f>IF(OR($AP820="",$AO820=""),"",$AP820-$AO820)</f>
        <v/>
      </c>
      <c r="AR820" s="24">
        <f>IF($S820="EXACT_COLLECTION_AMOUNT","BREAKDOWN_REQUIRED",IF($AQ820="","",IF($AQ820&gt;0,"CREDIT_TO_MERCHANT",IF($AQ820&lt;0,"DEDUCT_FROM_MERCHANT","NO_ADJUSTMENT"))))</f>
        <v/>
      </c>
      <c r="AS820" s="23">
        <f>IF(OR($AQ820="",$AR820="BREAKDOWN_REQUIRED"),"",$AQ820)</f>
        <v/>
      </c>
      <c r="AT820" s="23">
        <f>IF(OR($AR820="",$AR820="BREAKDOWN_REQUIRED"),"",SUM($J820,$AQ820,$Y820)-$X820)</f>
        <v/>
      </c>
      <c r="AU820" s="25">
        <f>IF(AND($A820="",$B820="",$F820="",$H820="",$J820="",$K820="",$M820="",$S820=""),"",IF(OR($H820="",$Q820="",$M820="",$S820=""),"ERROR",IF(OR($J820&lt;0,$K820&lt;0,$M820&lt;0,$T820&lt;0,$U820&lt;0,$V820&lt;0,$W820&lt;0,$X820&lt;0,$Y820&lt;0),"ERROR",IF($AE820="","ERROR",IF(AND(OR($S820="ITEM_PRICE_PLUS_DECLARED_DELIVERY",$S820="TOTAL_AMOUNT_INCLUDING_DELIVERY",$S820="ITEM_PRICE_ONLY_DELIVERY_PAID_BY_MERCHANT"),$J820=""),"ERROR",IF(AND(OR($S820="ITEM_PRICE_PLUS_DECLARED_DELIVERY",$S820="DELIVERY_CHARGE_ONLY"),$K820=""),"ERROR",IF(AND(OR($S820="TOTAL_AMOUNT_INCLUDING_DELIVERY",$S820="EXACT_COLLECTION_AMOUNT"),$T820=""),"ERROR",IF(AND($S820="TOTAL_AMOUNT_INCLUDING_DELIVERY",$T820&lt;SUM($J820,$U820)),"ERROR",IF($S820="EXACT_COLLECTION_AMOUNT","REVIEW","OK")))))))))</f>
        <v/>
      </c>
      <c r="AV820" s="25">
        <f>IF($AU820="","",IF($H820="","Township required",IF($Q820="","Customer tier required",IF($M820="","Weight required",IF($S820="","Amount entry type required",IF(OR($J820&lt;0,$K820&lt;0,$M820&lt;0,$T820&lt;0,$U820&lt;0,$V820&lt;0,$W820&lt;0,$X820&lt;0,$Y820&lt;0),"Negative amounts are not allowed",IF($AE820="","Tariff not found for township and tier",IF(AND(OR($S820="ITEM_PRICE_PLUS_DECLARED_DELIVERY",$S820="TOTAL_AMOUNT_INCLUDING_DELIVERY",$S820="ITEM_PRICE_ONLY_DELIVERY_PAID_BY_MERCHANT"),$J820=""),"Item price required for this amount type",IF(AND(OR($S820="ITEM_PRICE_PLUS_DECLARED_DELIVERY",$S820="DELIVERY_CHARGE_ONLY"),$K820=""),"Declared delivery charge required",IF(AND(OR($S820="TOTAL_AMOUNT_INCLUDING_DELIVERY",$S820="EXACT_COLLECTION_AMOUNT"),$T820=""),"Stated total amount required",IF(AND($S820="TOTAL_AMOUNT_INCLUDING_DELIVERY",$T820&lt;SUM($J820,$U820)),"Stated total is below item price plus additional charge",IF($S820="EXACT_COLLECTION_AMOUNT","Authorized amount breakdown required before settlement","Ready for collection and settlement"))))))))))))</f>
        <v/>
      </c>
      <c r="AW820" s="23">
        <f>IF($AU820="","","PARCEL_FINANCIAL_V2")</f>
        <v/>
      </c>
      <c r="AX820" s="17" t="n"/>
    </row>
    <row r="821">
      <c r="A821" s="8" t="n"/>
      <c r="B821" s="8" t="n"/>
      <c r="C821" s="8" t="n"/>
      <c r="D821" s="8" t="n"/>
      <c r="E821" s="9" t="n"/>
      <c r="F821" s="9" t="n"/>
      <c r="G821" s="8" t="n"/>
      <c r="H821" s="9" t="n"/>
      <c r="I821" s="9" t="n"/>
      <c r="J821" s="10" t="n"/>
      <c r="K821" s="10" t="n"/>
      <c r="L821" s="11">
        <f>IF($S821="","",IF($S821="ITEM_PRICE_PLUS_DECLARED_DELIVERY",IF(OR($J821="",$K821=""),"",SUM($J821,$K821,$U821)),IF($S821="TOTAL_AMOUNT_INCLUDING_DELIVERY",IF($T821="","",$T821),IF($S821="DELIVERY_CHARGE_ONLY",IF($K821="","",SUM($K821,$U821)),IF($S821="EXACT_COLLECTION_AMOUNT",IF($T821="","",$T821),IF($S821="ITEM_PRICE_ONLY_DELIVERY_PAID_BY_MERCHANT",IF($J821="","",SUM($J821,$U821)),""))))))</f>
        <v/>
      </c>
      <c r="M821" s="12" t="n"/>
      <c r="N821" s="13" t="n"/>
      <c r="O821" s="13" t="n"/>
      <c r="P821" s="9" t="n"/>
      <c r="Q821" s="14" t="n"/>
      <c r="R821" s="15" t="n"/>
      <c r="S821" s="14" t="n"/>
      <c r="T821" s="16" t="n"/>
      <c r="U821" s="16" t="n"/>
      <c r="V821" s="16" t="n"/>
      <c r="W821" s="16" t="n"/>
      <c r="X821" s="16" t="n"/>
      <c r="Y821" s="16" t="n"/>
      <c r="Z821" s="14" t="n"/>
      <c r="AA821" s="14" t="n"/>
      <c r="AB821" s="14" t="n"/>
      <c r="AC821" s="17">
        <f>IFERROR(VLOOKUP($H821&amp;"|"&amp;$Q821,Tariff_Master!$A$2:$L$169,3,FALSE),"")</f>
        <v/>
      </c>
      <c r="AD821" s="17">
        <f>IFERROR(VLOOKUP($H821&amp;"|"&amp;$Q821,Tariff_Master!$A$2:$L$169,4,FALSE),"")</f>
        <v/>
      </c>
      <c r="AE821" s="18">
        <f>IFERROR(VLOOKUP($H821&amp;"|"&amp;$Q821,Tariff_Master!$A$2:$L$169,6,FALSE),"")</f>
        <v/>
      </c>
      <c r="AF821" s="19">
        <f>IFERROR(VLOOKUP($H821&amp;"|"&amp;$Q821,Tariff_Master!$A$2:$L$169,7,FALSE),"")</f>
        <v/>
      </c>
      <c r="AG821" s="18">
        <f>IFERROR(VLOOKUP($H821&amp;"|"&amp;$Q821,Tariff_Master!$A$2:$L$169,8,FALSE),"")</f>
        <v/>
      </c>
      <c r="AH821" s="20">
        <f>IFERROR(VLOOKUP($H821&amp;"|"&amp;$Q821,Tariff_Master!$A$2:$L$169,9,FALSE),"")</f>
        <v/>
      </c>
      <c r="AI821" s="18">
        <f>IFERROR(VLOOKUP($H821&amp;"|"&amp;$Q821,Tariff_Master!$A$2:$L$169,10,FALSE),"")</f>
        <v/>
      </c>
      <c r="AJ821" s="21">
        <f>IF($M821="","",ROUNDUP(MAX(0,$M821),0))</f>
        <v/>
      </c>
      <c r="AK821" s="21">
        <f>IF(OR($AJ821="",$AF821=""),"",MAX(0,$AJ821-$AF821))</f>
        <v/>
      </c>
      <c r="AL821" s="22">
        <f>IF(OR($AK821="",$AG821=""),"",MAX(0,$AK821*$AG821))</f>
        <v/>
      </c>
      <c r="AM821" s="22">
        <f>IF($AE821="","",MAX(0,SUM($AE821,$AL821,$V821,$W821)))</f>
        <v/>
      </c>
      <c r="AN821" s="22">
        <f>IF($AM821="","",IF(AND($Q821="COMMITMENT",$R821&gt;=$AH821),$AI821,0))</f>
        <v/>
      </c>
      <c r="AO821" s="23">
        <f>IF($AM821="","",MAX(0,$AM821-$AN821))</f>
        <v/>
      </c>
      <c r="AP821" s="22">
        <f>IF($S821="","",IF(OR($S821="ITEM_PRICE_PLUS_DECLARED_DELIVERY",$S821="DELIVERY_CHARGE_ONLY"),$K821,IF($S821="TOTAL_AMOUNT_INCLUDING_DELIVERY",IF(OR($T821="",$J821=""),"",MAX(0,$T821-$J821-$U821)),IF($S821="ITEM_PRICE_ONLY_DELIVERY_PAID_BY_MERCHANT",0,""))))</f>
        <v/>
      </c>
      <c r="AQ821" s="23">
        <f>IF(OR($AP821="",$AO821=""),"",$AP821-$AO821)</f>
        <v/>
      </c>
      <c r="AR821" s="24">
        <f>IF($S821="EXACT_COLLECTION_AMOUNT","BREAKDOWN_REQUIRED",IF($AQ821="","",IF($AQ821&gt;0,"CREDIT_TO_MERCHANT",IF($AQ821&lt;0,"DEDUCT_FROM_MERCHANT","NO_ADJUSTMENT"))))</f>
        <v/>
      </c>
      <c r="AS821" s="23">
        <f>IF(OR($AQ821="",$AR821="BREAKDOWN_REQUIRED"),"",$AQ821)</f>
        <v/>
      </c>
      <c r="AT821" s="23">
        <f>IF(OR($AR821="",$AR821="BREAKDOWN_REQUIRED"),"",SUM($J821,$AQ821,$Y821)-$X821)</f>
        <v/>
      </c>
      <c r="AU821" s="25">
        <f>IF(AND($A821="",$B821="",$F821="",$H821="",$J821="",$K821="",$M821="",$S821=""),"",IF(OR($H821="",$Q821="",$M821="",$S821=""),"ERROR",IF(OR($J821&lt;0,$K821&lt;0,$M821&lt;0,$T821&lt;0,$U821&lt;0,$V821&lt;0,$W821&lt;0,$X821&lt;0,$Y821&lt;0),"ERROR",IF($AE821="","ERROR",IF(AND(OR($S821="ITEM_PRICE_PLUS_DECLARED_DELIVERY",$S821="TOTAL_AMOUNT_INCLUDING_DELIVERY",$S821="ITEM_PRICE_ONLY_DELIVERY_PAID_BY_MERCHANT"),$J821=""),"ERROR",IF(AND(OR($S821="ITEM_PRICE_PLUS_DECLARED_DELIVERY",$S821="DELIVERY_CHARGE_ONLY"),$K821=""),"ERROR",IF(AND(OR($S821="TOTAL_AMOUNT_INCLUDING_DELIVERY",$S821="EXACT_COLLECTION_AMOUNT"),$T821=""),"ERROR",IF(AND($S821="TOTAL_AMOUNT_INCLUDING_DELIVERY",$T821&lt;SUM($J821,$U821)),"ERROR",IF($S821="EXACT_COLLECTION_AMOUNT","REVIEW","OK")))))))))</f>
        <v/>
      </c>
      <c r="AV821" s="25">
        <f>IF($AU821="","",IF($H821="","Township required",IF($Q821="","Customer tier required",IF($M821="","Weight required",IF($S821="","Amount entry type required",IF(OR($J821&lt;0,$K821&lt;0,$M821&lt;0,$T821&lt;0,$U821&lt;0,$V821&lt;0,$W821&lt;0,$X821&lt;0,$Y821&lt;0),"Negative amounts are not allowed",IF($AE821="","Tariff not found for township and tier",IF(AND(OR($S821="ITEM_PRICE_PLUS_DECLARED_DELIVERY",$S821="TOTAL_AMOUNT_INCLUDING_DELIVERY",$S821="ITEM_PRICE_ONLY_DELIVERY_PAID_BY_MERCHANT"),$J821=""),"Item price required for this amount type",IF(AND(OR($S821="ITEM_PRICE_PLUS_DECLARED_DELIVERY",$S821="DELIVERY_CHARGE_ONLY"),$K821=""),"Declared delivery charge required",IF(AND(OR($S821="TOTAL_AMOUNT_INCLUDING_DELIVERY",$S821="EXACT_COLLECTION_AMOUNT"),$T821=""),"Stated total amount required",IF(AND($S821="TOTAL_AMOUNT_INCLUDING_DELIVERY",$T821&lt;SUM($J821,$U821)),"Stated total is below item price plus additional charge",IF($S821="EXACT_COLLECTION_AMOUNT","Authorized amount breakdown required before settlement","Ready for collection and settlement"))))))))))))</f>
        <v/>
      </c>
      <c r="AW821" s="23">
        <f>IF($AU821="","","PARCEL_FINANCIAL_V2")</f>
        <v/>
      </c>
      <c r="AX821" s="17" t="n"/>
    </row>
    <row r="822">
      <c r="A822" s="8" t="n"/>
      <c r="B822" s="8" t="n"/>
      <c r="C822" s="8" t="n"/>
      <c r="D822" s="8" t="n"/>
      <c r="E822" s="9" t="n"/>
      <c r="F822" s="9" t="n"/>
      <c r="G822" s="8" t="n"/>
      <c r="H822" s="9" t="n"/>
      <c r="I822" s="9" t="n"/>
      <c r="J822" s="10" t="n"/>
      <c r="K822" s="10" t="n"/>
      <c r="L822" s="11">
        <f>IF($S822="","",IF($S822="ITEM_PRICE_PLUS_DECLARED_DELIVERY",IF(OR($J822="",$K822=""),"",SUM($J822,$K822,$U822)),IF($S822="TOTAL_AMOUNT_INCLUDING_DELIVERY",IF($T822="","",$T822),IF($S822="DELIVERY_CHARGE_ONLY",IF($K822="","",SUM($K822,$U822)),IF($S822="EXACT_COLLECTION_AMOUNT",IF($T822="","",$T822),IF($S822="ITEM_PRICE_ONLY_DELIVERY_PAID_BY_MERCHANT",IF($J822="","",SUM($J822,$U822)),""))))))</f>
        <v/>
      </c>
      <c r="M822" s="12" t="n"/>
      <c r="N822" s="13" t="n"/>
      <c r="O822" s="13" t="n"/>
      <c r="P822" s="9" t="n"/>
      <c r="Q822" s="14" t="n"/>
      <c r="R822" s="15" t="n"/>
      <c r="S822" s="14" t="n"/>
      <c r="T822" s="16" t="n"/>
      <c r="U822" s="16" t="n"/>
      <c r="V822" s="16" t="n"/>
      <c r="W822" s="16" t="n"/>
      <c r="X822" s="16" t="n"/>
      <c r="Y822" s="16" t="n"/>
      <c r="Z822" s="14" t="n"/>
      <c r="AA822" s="14" t="n"/>
      <c r="AB822" s="14" t="n"/>
      <c r="AC822" s="17">
        <f>IFERROR(VLOOKUP($H822&amp;"|"&amp;$Q822,Tariff_Master!$A$2:$L$169,3,FALSE),"")</f>
        <v/>
      </c>
      <c r="AD822" s="17">
        <f>IFERROR(VLOOKUP($H822&amp;"|"&amp;$Q822,Tariff_Master!$A$2:$L$169,4,FALSE),"")</f>
        <v/>
      </c>
      <c r="AE822" s="18">
        <f>IFERROR(VLOOKUP($H822&amp;"|"&amp;$Q822,Tariff_Master!$A$2:$L$169,6,FALSE),"")</f>
        <v/>
      </c>
      <c r="AF822" s="19">
        <f>IFERROR(VLOOKUP($H822&amp;"|"&amp;$Q822,Tariff_Master!$A$2:$L$169,7,FALSE),"")</f>
        <v/>
      </c>
      <c r="AG822" s="18">
        <f>IFERROR(VLOOKUP($H822&amp;"|"&amp;$Q822,Tariff_Master!$A$2:$L$169,8,FALSE),"")</f>
        <v/>
      </c>
      <c r="AH822" s="20">
        <f>IFERROR(VLOOKUP($H822&amp;"|"&amp;$Q822,Tariff_Master!$A$2:$L$169,9,FALSE),"")</f>
        <v/>
      </c>
      <c r="AI822" s="18">
        <f>IFERROR(VLOOKUP($H822&amp;"|"&amp;$Q822,Tariff_Master!$A$2:$L$169,10,FALSE),"")</f>
        <v/>
      </c>
      <c r="AJ822" s="21">
        <f>IF($M822="","",ROUNDUP(MAX(0,$M822),0))</f>
        <v/>
      </c>
      <c r="AK822" s="21">
        <f>IF(OR($AJ822="",$AF822=""),"",MAX(0,$AJ822-$AF822))</f>
        <v/>
      </c>
      <c r="AL822" s="22">
        <f>IF(OR($AK822="",$AG822=""),"",MAX(0,$AK822*$AG822))</f>
        <v/>
      </c>
      <c r="AM822" s="22">
        <f>IF($AE822="","",MAX(0,SUM($AE822,$AL822,$V822,$W822)))</f>
        <v/>
      </c>
      <c r="AN822" s="22">
        <f>IF($AM822="","",IF(AND($Q822="COMMITMENT",$R822&gt;=$AH822),$AI822,0))</f>
        <v/>
      </c>
      <c r="AO822" s="23">
        <f>IF($AM822="","",MAX(0,$AM822-$AN822))</f>
        <v/>
      </c>
      <c r="AP822" s="22">
        <f>IF($S822="","",IF(OR($S822="ITEM_PRICE_PLUS_DECLARED_DELIVERY",$S822="DELIVERY_CHARGE_ONLY"),$K822,IF($S822="TOTAL_AMOUNT_INCLUDING_DELIVERY",IF(OR($T822="",$J822=""),"",MAX(0,$T822-$J822-$U822)),IF($S822="ITEM_PRICE_ONLY_DELIVERY_PAID_BY_MERCHANT",0,""))))</f>
        <v/>
      </c>
      <c r="AQ822" s="23">
        <f>IF(OR($AP822="",$AO822=""),"",$AP822-$AO822)</f>
        <v/>
      </c>
      <c r="AR822" s="24">
        <f>IF($S822="EXACT_COLLECTION_AMOUNT","BREAKDOWN_REQUIRED",IF($AQ822="","",IF($AQ822&gt;0,"CREDIT_TO_MERCHANT",IF($AQ822&lt;0,"DEDUCT_FROM_MERCHANT","NO_ADJUSTMENT"))))</f>
        <v/>
      </c>
      <c r="AS822" s="23">
        <f>IF(OR($AQ822="",$AR822="BREAKDOWN_REQUIRED"),"",$AQ822)</f>
        <v/>
      </c>
      <c r="AT822" s="23">
        <f>IF(OR($AR822="",$AR822="BREAKDOWN_REQUIRED"),"",SUM($J822,$AQ822,$Y822)-$X822)</f>
        <v/>
      </c>
      <c r="AU822" s="25">
        <f>IF(AND($A822="",$B822="",$F822="",$H822="",$J822="",$K822="",$M822="",$S822=""),"",IF(OR($H822="",$Q822="",$M822="",$S822=""),"ERROR",IF(OR($J822&lt;0,$K822&lt;0,$M822&lt;0,$T822&lt;0,$U822&lt;0,$V822&lt;0,$W822&lt;0,$X822&lt;0,$Y822&lt;0),"ERROR",IF($AE822="","ERROR",IF(AND(OR($S822="ITEM_PRICE_PLUS_DECLARED_DELIVERY",$S822="TOTAL_AMOUNT_INCLUDING_DELIVERY",$S822="ITEM_PRICE_ONLY_DELIVERY_PAID_BY_MERCHANT"),$J822=""),"ERROR",IF(AND(OR($S822="ITEM_PRICE_PLUS_DECLARED_DELIVERY",$S822="DELIVERY_CHARGE_ONLY"),$K822=""),"ERROR",IF(AND(OR($S822="TOTAL_AMOUNT_INCLUDING_DELIVERY",$S822="EXACT_COLLECTION_AMOUNT"),$T822=""),"ERROR",IF(AND($S822="TOTAL_AMOUNT_INCLUDING_DELIVERY",$T822&lt;SUM($J822,$U822)),"ERROR",IF($S822="EXACT_COLLECTION_AMOUNT","REVIEW","OK")))))))))</f>
        <v/>
      </c>
      <c r="AV822" s="25">
        <f>IF($AU822="","",IF($H822="","Township required",IF($Q822="","Customer tier required",IF($M822="","Weight required",IF($S822="","Amount entry type required",IF(OR($J822&lt;0,$K822&lt;0,$M822&lt;0,$T822&lt;0,$U822&lt;0,$V822&lt;0,$W822&lt;0,$X822&lt;0,$Y822&lt;0),"Negative amounts are not allowed",IF($AE822="","Tariff not found for township and tier",IF(AND(OR($S822="ITEM_PRICE_PLUS_DECLARED_DELIVERY",$S822="TOTAL_AMOUNT_INCLUDING_DELIVERY",$S822="ITEM_PRICE_ONLY_DELIVERY_PAID_BY_MERCHANT"),$J822=""),"Item price required for this amount type",IF(AND(OR($S822="ITEM_PRICE_PLUS_DECLARED_DELIVERY",$S822="DELIVERY_CHARGE_ONLY"),$K822=""),"Declared delivery charge required",IF(AND(OR($S822="TOTAL_AMOUNT_INCLUDING_DELIVERY",$S822="EXACT_COLLECTION_AMOUNT"),$T822=""),"Stated total amount required",IF(AND($S822="TOTAL_AMOUNT_INCLUDING_DELIVERY",$T822&lt;SUM($J822,$U822)),"Stated total is below item price plus additional charge",IF($S822="EXACT_COLLECTION_AMOUNT","Authorized amount breakdown required before settlement","Ready for collection and settlement"))))))))))))</f>
        <v/>
      </c>
      <c r="AW822" s="23">
        <f>IF($AU822="","","PARCEL_FINANCIAL_V2")</f>
        <v/>
      </c>
      <c r="AX822" s="17" t="n"/>
    </row>
    <row r="823">
      <c r="A823" s="8" t="n"/>
      <c r="B823" s="8" t="n"/>
      <c r="C823" s="8" t="n"/>
      <c r="D823" s="8" t="n"/>
      <c r="E823" s="9" t="n"/>
      <c r="F823" s="9" t="n"/>
      <c r="G823" s="8" t="n"/>
      <c r="H823" s="9" t="n"/>
      <c r="I823" s="9" t="n"/>
      <c r="J823" s="10" t="n"/>
      <c r="K823" s="10" t="n"/>
      <c r="L823" s="11">
        <f>IF($S823="","",IF($S823="ITEM_PRICE_PLUS_DECLARED_DELIVERY",IF(OR($J823="",$K823=""),"",SUM($J823,$K823,$U823)),IF($S823="TOTAL_AMOUNT_INCLUDING_DELIVERY",IF($T823="","",$T823),IF($S823="DELIVERY_CHARGE_ONLY",IF($K823="","",SUM($K823,$U823)),IF($S823="EXACT_COLLECTION_AMOUNT",IF($T823="","",$T823),IF($S823="ITEM_PRICE_ONLY_DELIVERY_PAID_BY_MERCHANT",IF($J823="","",SUM($J823,$U823)),""))))))</f>
        <v/>
      </c>
      <c r="M823" s="12" t="n"/>
      <c r="N823" s="13" t="n"/>
      <c r="O823" s="13" t="n"/>
      <c r="P823" s="9" t="n"/>
      <c r="Q823" s="14" t="n"/>
      <c r="R823" s="15" t="n"/>
      <c r="S823" s="14" t="n"/>
      <c r="T823" s="16" t="n"/>
      <c r="U823" s="16" t="n"/>
      <c r="V823" s="16" t="n"/>
      <c r="W823" s="16" t="n"/>
      <c r="X823" s="16" t="n"/>
      <c r="Y823" s="16" t="n"/>
      <c r="Z823" s="14" t="n"/>
      <c r="AA823" s="14" t="n"/>
      <c r="AB823" s="14" t="n"/>
      <c r="AC823" s="17">
        <f>IFERROR(VLOOKUP($H823&amp;"|"&amp;$Q823,Tariff_Master!$A$2:$L$169,3,FALSE),"")</f>
        <v/>
      </c>
      <c r="AD823" s="17">
        <f>IFERROR(VLOOKUP($H823&amp;"|"&amp;$Q823,Tariff_Master!$A$2:$L$169,4,FALSE),"")</f>
        <v/>
      </c>
      <c r="AE823" s="18">
        <f>IFERROR(VLOOKUP($H823&amp;"|"&amp;$Q823,Tariff_Master!$A$2:$L$169,6,FALSE),"")</f>
        <v/>
      </c>
      <c r="AF823" s="19">
        <f>IFERROR(VLOOKUP($H823&amp;"|"&amp;$Q823,Tariff_Master!$A$2:$L$169,7,FALSE),"")</f>
        <v/>
      </c>
      <c r="AG823" s="18">
        <f>IFERROR(VLOOKUP($H823&amp;"|"&amp;$Q823,Tariff_Master!$A$2:$L$169,8,FALSE),"")</f>
        <v/>
      </c>
      <c r="AH823" s="20">
        <f>IFERROR(VLOOKUP($H823&amp;"|"&amp;$Q823,Tariff_Master!$A$2:$L$169,9,FALSE),"")</f>
        <v/>
      </c>
      <c r="AI823" s="18">
        <f>IFERROR(VLOOKUP($H823&amp;"|"&amp;$Q823,Tariff_Master!$A$2:$L$169,10,FALSE),"")</f>
        <v/>
      </c>
      <c r="AJ823" s="21">
        <f>IF($M823="","",ROUNDUP(MAX(0,$M823),0))</f>
        <v/>
      </c>
      <c r="AK823" s="21">
        <f>IF(OR($AJ823="",$AF823=""),"",MAX(0,$AJ823-$AF823))</f>
        <v/>
      </c>
      <c r="AL823" s="22">
        <f>IF(OR($AK823="",$AG823=""),"",MAX(0,$AK823*$AG823))</f>
        <v/>
      </c>
      <c r="AM823" s="22">
        <f>IF($AE823="","",MAX(0,SUM($AE823,$AL823,$V823,$W823)))</f>
        <v/>
      </c>
      <c r="AN823" s="22">
        <f>IF($AM823="","",IF(AND($Q823="COMMITMENT",$R823&gt;=$AH823),$AI823,0))</f>
        <v/>
      </c>
      <c r="AO823" s="23">
        <f>IF($AM823="","",MAX(0,$AM823-$AN823))</f>
        <v/>
      </c>
      <c r="AP823" s="22">
        <f>IF($S823="","",IF(OR($S823="ITEM_PRICE_PLUS_DECLARED_DELIVERY",$S823="DELIVERY_CHARGE_ONLY"),$K823,IF($S823="TOTAL_AMOUNT_INCLUDING_DELIVERY",IF(OR($T823="",$J823=""),"",MAX(0,$T823-$J823-$U823)),IF($S823="ITEM_PRICE_ONLY_DELIVERY_PAID_BY_MERCHANT",0,""))))</f>
        <v/>
      </c>
      <c r="AQ823" s="23">
        <f>IF(OR($AP823="",$AO823=""),"",$AP823-$AO823)</f>
        <v/>
      </c>
      <c r="AR823" s="24">
        <f>IF($S823="EXACT_COLLECTION_AMOUNT","BREAKDOWN_REQUIRED",IF($AQ823="","",IF($AQ823&gt;0,"CREDIT_TO_MERCHANT",IF($AQ823&lt;0,"DEDUCT_FROM_MERCHANT","NO_ADJUSTMENT"))))</f>
        <v/>
      </c>
      <c r="AS823" s="23">
        <f>IF(OR($AQ823="",$AR823="BREAKDOWN_REQUIRED"),"",$AQ823)</f>
        <v/>
      </c>
      <c r="AT823" s="23">
        <f>IF(OR($AR823="",$AR823="BREAKDOWN_REQUIRED"),"",SUM($J823,$AQ823,$Y823)-$X823)</f>
        <v/>
      </c>
      <c r="AU823" s="25">
        <f>IF(AND($A823="",$B823="",$F823="",$H823="",$J823="",$K823="",$M823="",$S823=""),"",IF(OR($H823="",$Q823="",$M823="",$S823=""),"ERROR",IF(OR($J823&lt;0,$K823&lt;0,$M823&lt;0,$T823&lt;0,$U823&lt;0,$V823&lt;0,$W823&lt;0,$X823&lt;0,$Y823&lt;0),"ERROR",IF($AE823="","ERROR",IF(AND(OR($S823="ITEM_PRICE_PLUS_DECLARED_DELIVERY",$S823="TOTAL_AMOUNT_INCLUDING_DELIVERY",$S823="ITEM_PRICE_ONLY_DELIVERY_PAID_BY_MERCHANT"),$J823=""),"ERROR",IF(AND(OR($S823="ITEM_PRICE_PLUS_DECLARED_DELIVERY",$S823="DELIVERY_CHARGE_ONLY"),$K823=""),"ERROR",IF(AND(OR($S823="TOTAL_AMOUNT_INCLUDING_DELIVERY",$S823="EXACT_COLLECTION_AMOUNT"),$T823=""),"ERROR",IF(AND($S823="TOTAL_AMOUNT_INCLUDING_DELIVERY",$T823&lt;SUM($J823,$U823)),"ERROR",IF($S823="EXACT_COLLECTION_AMOUNT","REVIEW","OK")))))))))</f>
        <v/>
      </c>
      <c r="AV823" s="25">
        <f>IF($AU823="","",IF($H823="","Township required",IF($Q823="","Customer tier required",IF($M823="","Weight required",IF($S823="","Amount entry type required",IF(OR($J823&lt;0,$K823&lt;0,$M823&lt;0,$T823&lt;0,$U823&lt;0,$V823&lt;0,$W823&lt;0,$X823&lt;0,$Y823&lt;0),"Negative amounts are not allowed",IF($AE823="","Tariff not found for township and tier",IF(AND(OR($S823="ITEM_PRICE_PLUS_DECLARED_DELIVERY",$S823="TOTAL_AMOUNT_INCLUDING_DELIVERY",$S823="ITEM_PRICE_ONLY_DELIVERY_PAID_BY_MERCHANT"),$J823=""),"Item price required for this amount type",IF(AND(OR($S823="ITEM_PRICE_PLUS_DECLARED_DELIVERY",$S823="DELIVERY_CHARGE_ONLY"),$K823=""),"Declared delivery charge required",IF(AND(OR($S823="TOTAL_AMOUNT_INCLUDING_DELIVERY",$S823="EXACT_COLLECTION_AMOUNT"),$T823=""),"Stated total amount required",IF(AND($S823="TOTAL_AMOUNT_INCLUDING_DELIVERY",$T823&lt;SUM($J823,$U823)),"Stated total is below item price plus additional charge",IF($S823="EXACT_COLLECTION_AMOUNT","Authorized amount breakdown required before settlement","Ready for collection and settlement"))))))))))))</f>
        <v/>
      </c>
      <c r="AW823" s="23">
        <f>IF($AU823="","","PARCEL_FINANCIAL_V2")</f>
        <v/>
      </c>
      <c r="AX823" s="17" t="n"/>
    </row>
    <row r="824">
      <c r="A824" s="8" t="n"/>
      <c r="B824" s="8" t="n"/>
      <c r="C824" s="8" t="n"/>
      <c r="D824" s="8" t="n"/>
      <c r="E824" s="9" t="n"/>
      <c r="F824" s="9" t="n"/>
      <c r="G824" s="8" t="n"/>
      <c r="H824" s="9" t="n"/>
      <c r="I824" s="9" t="n"/>
      <c r="J824" s="10" t="n"/>
      <c r="K824" s="10" t="n"/>
      <c r="L824" s="11">
        <f>IF($S824="","",IF($S824="ITEM_PRICE_PLUS_DECLARED_DELIVERY",IF(OR($J824="",$K824=""),"",SUM($J824,$K824,$U824)),IF($S824="TOTAL_AMOUNT_INCLUDING_DELIVERY",IF($T824="","",$T824),IF($S824="DELIVERY_CHARGE_ONLY",IF($K824="","",SUM($K824,$U824)),IF($S824="EXACT_COLLECTION_AMOUNT",IF($T824="","",$T824),IF($S824="ITEM_PRICE_ONLY_DELIVERY_PAID_BY_MERCHANT",IF($J824="","",SUM($J824,$U824)),""))))))</f>
        <v/>
      </c>
      <c r="M824" s="12" t="n"/>
      <c r="N824" s="13" t="n"/>
      <c r="O824" s="13" t="n"/>
      <c r="P824" s="9" t="n"/>
      <c r="Q824" s="14" t="n"/>
      <c r="R824" s="15" t="n"/>
      <c r="S824" s="14" t="n"/>
      <c r="T824" s="16" t="n"/>
      <c r="U824" s="16" t="n"/>
      <c r="V824" s="16" t="n"/>
      <c r="W824" s="16" t="n"/>
      <c r="X824" s="16" t="n"/>
      <c r="Y824" s="16" t="n"/>
      <c r="Z824" s="14" t="n"/>
      <c r="AA824" s="14" t="n"/>
      <c r="AB824" s="14" t="n"/>
      <c r="AC824" s="17">
        <f>IFERROR(VLOOKUP($H824&amp;"|"&amp;$Q824,Tariff_Master!$A$2:$L$169,3,FALSE),"")</f>
        <v/>
      </c>
      <c r="AD824" s="17">
        <f>IFERROR(VLOOKUP($H824&amp;"|"&amp;$Q824,Tariff_Master!$A$2:$L$169,4,FALSE),"")</f>
        <v/>
      </c>
      <c r="AE824" s="18">
        <f>IFERROR(VLOOKUP($H824&amp;"|"&amp;$Q824,Tariff_Master!$A$2:$L$169,6,FALSE),"")</f>
        <v/>
      </c>
      <c r="AF824" s="19">
        <f>IFERROR(VLOOKUP($H824&amp;"|"&amp;$Q824,Tariff_Master!$A$2:$L$169,7,FALSE),"")</f>
        <v/>
      </c>
      <c r="AG824" s="18">
        <f>IFERROR(VLOOKUP($H824&amp;"|"&amp;$Q824,Tariff_Master!$A$2:$L$169,8,FALSE),"")</f>
        <v/>
      </c>
      <c r="AH824" s="20">
        <f>IFERROR(VLOOKUP($H824&amp;"|"&amp;$Q824,Tariff_Master!$A$2:$L$169,9,FALSE),"")</f>
        <v/>
      </c>
      <c r="AI824" s="18">
        <f>IFERROR(VLOOKUP($H824&amp;"|"&amp;$Q824,Tariff_Master!$A$2:$L$169,10,FALSE),"")</f>
        <v/>
      </c>
      <c r="AJ824" s="21">
        <f>IF($M824="","",ROUNDUP(MAX(0,$M824),0))</f>
        <v/>
      </c>
      <c r="AK824" s="21">
        <f>IF(OR($AJ824="",$AF824=""),"",MAX(0,$AJ824-$AF824))</f>
        <v/>
      </c>
      <c r="AL824" s="22">
        <f>IF(OR($AK824="",$AG824=""),"",MAX(0,$AK824*$AG824))</f>
        <v/>
      </c>
      <c r="AM824" s="22">
        <f>IF($AE824="","",MAX(0,SUM($AE824,$AL824,$V824,$W824)))</f>
        <v/>
      </c>
      <c r="AN824" s="22">
        <f>IF($AM824="","",IF(AND($Q824="COMMITMENT",$R824&gt;=$AH824),$AI824,0))</f>
        <v/>
      </c>
      <c r="AO824" s="23">
        <f>IF($AM824="","",MAX(0,$AM824-$AN824))</f>
        <v/>
      </c>
      <c r="AP824" s="22">
        <f>IF($S824="","",IF(OR($S824="ITEM_PRICE_PLUS_DECLARED_DELIVERY",$S824="DELIVERY_CHARGE_ONLY"),$K824,IF($S824="TOTAL_AMOUNT_INCLUDING_DELIVERY",IF(OR($T824="",$J824=""),"",MAX(0,$T824-$J824-$U824)),IF($S824="ITEM_PRICE_ONLY_DELIVERY_PAID_BY_MERCHANT",0,""))))</f>
        <v/>
      </c>
      <c r="AQ824" s="23">
        <f>IF(OR($AP824="",$AO824=""),"",$AP824-$AO824)</f>
        <v/>
      </c>
      <c r="AR824" s="24">
        <f>IF($S824="EXACT_COLLECTION_AMOUNT","BREAKDOWN_REQUIRED",IF($AQ824="","",IF($AQ824&gt;0,"CREDIT_TO_MERCHANT",IF($AQ824&lt;0,"DEDUCT_FROM_MERCHANT","NO_ADJUSTMENT"))))</f>
        <v/>
      </c>
      <c r="AS824" s="23">
        <f>IF(OR($AQ824="",$AR824="BREAKDOWN_REQUIRED"),"",$AQ824)</f>
        <v/>
      </c>
      <c r="AT824" s="23">
        <f>IF(OR($AR824="",$AR824="BREAKDOWN_REQUIRED"),"",SUM($J824,$AQ824,$Y824)-$X824)</f>
        <v/>
      </c>
      <c r="AU824" s="25">
        <f>IF(AND($A824="",$B824="",$F824="",$H824="",$J824="",$K824="",$M824="",$S824=""),"",IF(OR($H824="",$Q824="",$M824="",$S824=""),"ERROR",IF(OR($J824&lt;0,$K824&lt;0,$M824&lt;0,$T824&lt;0,$U824&lt;0,$V824&lt;0,$W824&lt;0,$X824&lt;0,$Y824&lt;0),"ERROR",IF($AE824="","ERROR",IF(AND(OR($S824="ITEM_PRICE_PLUS_DECLARED_DELIVERY",$S824="TOTAL_AMOUNT_INCLUDING_DELIVERY",$S824="ITEM_PRICE_ONLY_DELIVERY_PAID_BY_MERCHANT"),$J824=""),"ERROR",IF(AND(OR($S824="ITEM_PRICE_PLUS_DECLARED_DELIVERY",$S824="DELIVERY_CHARGE_ONLY"),$K824=""),"ERROR",IF(AND(OR($S824="TOTAL_AMOUNT_INCLUDING_DELIVERY",$S824="EXACT_COLLECTION_AMOUNT"),$T824=""),"ERROR",IF(AND($S824="TOTAL_AMOUNT_INCLUDING_DELIVERY",$T824&lt;SUM($J824,$U824)),"ERROR",IF($S824="EXACT_COLLECTION_AMOUNT","REVIEW","OK")))))))))</f>
        <v/>
      </c>
      <c r="AV824" s="25">
        <f>IF($AU824="","",IF($H824="","Township required",IF($Q824="","Customer tier required",IF($M824="","Weight required",IF($S824="","Amount entry type required",IF(OR($J824&lt;0,$K824&lt;0,$M824&lt;0,$T824&lt;0,$U824&lt;0,$V824&lt;0,$W824&lt;0,$X824&lt;0,$Y824&lt;0),"Negative amounts are not allowed",IF($AE824="","Tariff not found for township and tier",IF(AND(OR($S824="ITEM_PRICE_PLUS_DECLARED_DELIVERY",$S824="TOTAL_AMOUNT_INCLUDING_DELIVERY",$S824="ITEM_PRICE_ONLY_DELIVERY_PAID_BY_MERCHANT"),$J824=""),"Item price required for this amount type",IF(AND(OR($S824="ITEM_PRICE_PLUS_DECLARED_DELIVERY",$S824="DELIVERY_CHARGE_ONLY"),$K824=""),"Declared delivery charge required",IF(AND(OR($S824="TOTAL_AMOUNT_INCLUDING_DELIVERY",$S824="EXACT_COLLECTION_AMOUNT"),$T824=""),"Stated total amount required",IF(AND($S824="TOTAL_AMOUNT_INCLUDING_DELIVERY",$T824&lt;SUM($J824,$U824)),"Stated total is below item price plus additional charge",IF($S824="EXACT_COLLECTION_AMOUNT","Authorized amount breakdown required before settlement","Ready for collection and settlement"))))))))))))</f>
        <v/>
      </c>
      <c r="AW824" s="23">
        <f>IF($AU824="","","PARCEL_FINANCIAL_V2")</f>
        <v/>
      </c>
      <c r="AX824" s="17" t="n"/>
    </row>
    <row r="825">
      <c r="A825" s="8" t="n"/>
      <c r="B825" s="8" t="n"/>
      <c r="C825" s="8" t="n"/>
      <c r="D825" s="8" t="n"/>
      <c r="E825" s="9" t="n"/>
      <c r="F825" s="9" t="n"/>
      <c r="G825" s="8" t="n"/>
      <c r="H825" s="9" t="n"/>
      <c r="I825" s="9" t="n"/>
      <c r="J825" s="10" t="n"/>
      <c r="K825" s="10" t="n"/>
      <c r="L825" s="11">
        <f>IF($S825="","",IF($S825="ITEM_PRICE_PLUS_DECLARED_DELIVERY",IF(OR($J825="",$K825=""),"",SUM($J825,$K825,$U825)),IF($S825="TOTAL_AMOUNT_INCLUDING_DELIVERY",IF($T825="","",$T825),IF($S825="DELIVERY_CHARGE_ONLY",IF($K825="","",SUM($K825,$U825)),IF($S825="EXACT_COLLECTION_AMOUNT",IF($T825="","",$T825),IF($S825="ITEM_PRICE_ONLY_DELIVERY_PAID_BY_MERCHANT",IF($J825="","",SUM($J825,$U825)),""))))))</f>
        <v/>
      </c>
      <c r="M825" s="12" t="n"/>
      <c r="N825" s="13" t="n"/>
      <c r="O825" s="13" t="n"/>
      <c r="P825" s="9" t="n"/>
      <c r="Q825" s="14" t="n"/>
      <c r="R825" s="15" t="n"/>
      <c r="S825" s="14" t="n"/>
      <c r="T825" s="16" t="n"/>
      <c r="U825" s="16" t="n"/>
      <c r="V825" s="16" t="n"/>
      <c r="W825" s="16" t="n"/>
      <c r="X825" s="16" t="n"/>
      <c r="Y825" s="16" t="n"/>
      <c r="Z825" s="14" t="n"/>
      <c r="AA825" s="14" t="n"/>
      <c r="AB825" s="14" t="n"/>
      <c r="AC825" s="17">
        <f>IFERROR(VLOOKUP($H825&amp;"|"&amp;$Q825,Tariff_Master!$A$2:$L$169,3,FALSE),"")</f>
        <v/>
      </c>
      <c r="AD825" s="17">
        <f>IFERROR(VLOOKUP($H825&amp;"|"&amp;$Q825,Tariff_Master!$A$2:$L$169,4,FALSE),"")</f>
        <v/>
      </c>
      <c r="AE825" s="18">
        <f>IFERROR(VLOOKUP($H825&amp;"|"&amp;$Q825,Tariff_Master!$A$2:$L$169,6,FALSE),"")</f>
        <v/>
      </c>
      <c r="AF825" s="19">
        <f>IFERROR(VLOOKUP($H825&amp;"|"&amp;$Q825,Tariff_Master!$A$2:$L$169,7,FALSE),"")</f>
        <v/>
      </c>
      <c r="AG825" s="18">
        <f>IFERROR(VLOOKUP($H825&amp;"|"&amp;$Q825,Tariff_Master!$A$2:$L$169,8,FALSE),"")</f>
        <v/>
      </c>
      <c r="AH825" s="20">
        <f>IFERROR(VLOOKUP($H825&amp;"|"&amp;$Q825,Tariff_Master!$A$2:$L$169,9,FALSE),"")</f>
        <v/>
      </c>
      <c r="AI825" s="18">
        <f>IFERROR(VLOOKUP($H825&amp;"|"&amp;$Q825,Tariff_Master!$A$2:$L$169,10,FALSE),"")</f>
        <v/>
      </c>
      <c r="AJ825" s="21">
        <f>IF($M825="","",ROUNDUP(MAX(0,$M825),0))</f>
        <v/>
      </c>
      <c r="AK825" s="21">
        <f>IF(OR($AJ825="",$AF825=""),"",MAX(0,$AJ825-$AF825))</f>
        <v/>
      </c>
      <c r="AL825" s="22">
        <f>IF(OR($AK825="",$AG825=""),"",MAX(0,$AK825*$AG825))</f>
        <v/>
      </c>
      <c r="AM825" s="22">
        <f>IF($AE825="","",MAX(0,SUM($AE825,$AL825,$V825,$W825)))</f>
        <v/>
      </c>
      <c r="AN825" s="22">
        <f>IF($AM825="","",IF(AND($Q825="COMMITMENT",$R825&gt;=$AH825),$AI825,0))</f>
        <v/>
      </c>
      <c r="AO825" s="23">
        <f>IF($AM825="","",MAX(0,$AM825-$AN825))</f>
        <v/>
      </c>
      <c r="AP825" s="22">
        <f>IF($S825="","",IF(OR($S825="ITEM_PRICE_PLUS_DECLARED_DELIVERY",$S825="DELIVERY_CHARGE_ONLY"),$K825,IF($S825="TOTAL_AMOUNT_INCLUDING_DELIVERY",IF(OR($T825="",$J825=""),"",MAX(0,$T825-$J825-$U825)),IF($S825="ITEM_PRICE_ONLY_DELIVERY_PAID_BY_MERCHANT",0,""))))</f>
        <v/>
      </c>
      <c r="AQ825" s="23">
        <f>IF(OR($AP825="",$AO825=""),"",$AP825-$AO825)</f>
        <v/>
      </c>
      <c r="AR825" s="24">
        <f>IF($S825="EXACT_COLLECTION_AMOUNT","BREAKDOWN_REQUIRED",IF($AQ825="","",IF($AQ825&gt;0,"CREDIT_TO_MERCHANT",IF($AQ825&lt;0,"DEDUCT_FROM_MERCHANT","NO_ADJUSTMENT"))))</f>
        <v/>
      </c>
      <c r="AS825" s="23">
        <f>IF(OR($AQ825="",$AR825="BREAKDOWN_REQUIRED"),"",$AQ825)</f>
        <v/>
      </c>
      <c r="AT825" s="23">
        <f>IF(OR($AR825="",$AR825="BREAKDOWN_REQUIRED"),"",SUM($J825,$AQ825,$Y825)-$X825)</f>
        <v/>
      </c>
      <c r="AU825" s="25">
        <f>IF(AND($A825="",$B825="",$F825="",$H825="",$J825="",$K825="",$M825="",$S825=""),"",IF(OR($H825="",$Q825="",$M825="",$S825=""),"ERROR",IF(OR($J825&lt;0,$K825&lt;0,$M825&lt;0,$T825&lt;0,$U825&lt;0,$V825&lt;0,$W825&lt;0,$X825&lt;0,$Y825&lt;0),"ERROR",IF($AE825="","ERROR",IF(AND(OR($S825="ITEM_PRICE_PLUS_DECLARED_DELIVERY",$S825="TOTAL_AMOUNT_INCLUDING_DELIVERY",$S825="ITEM_PRICE_ONLY_DELIVERY_PAID_BY_MERCHANT"),$J825=""),"ERROR",IF(AND(OR($S825="ITEM_PRICE_PLUS_DECLARED_DELIVERY",$S825="DELIVERY_CHARGE_ONLY"),$K825=""),"ERROR",IF(AND(OR($S825="TOTAL_AMOUNT_INCLUDING_DELIVERY",$S825="EXACT_COLLECTION_AMOUNT"),$T825=""),"ERROR",IF(AND($S825="TOTAL_AMOUNT_INCLUDING_DELIVERY",$T825&lt;SUM($J825,$U825)),"ERROR",IF($S825="EXACT_COLLECTION_AMOUNT","REVIEW","OK")))))))))</f>
        <v/>
      </c>
      <c r="AV825" s="25">
        <f>IF($AU825="","",IF($H825="","Township required",IF($Q825="","Customer tier required",IF($M825="","Weight required",IF($S825="","Amount entry type required",IF(OR($J825&lt;0,$K825&lt;0,$M825&lt;0,$T825&lt;0,$U825&lt;0,$V825&lt;0,$W825&lt;0,$X825&lt;0,$Y825&lt;0),"Negative amounts are not allowed",IF($AE825="","Tariff not found for township and tier",IF(AND(OR($S825="ITEM_PRICE_PLUS_DECLARED_DELIVERY",$S825="TOTAL_AMOUNT_INCLUDING_DELIVERY",$S825="ITEM_PRICE_ONLY_DELIVERY_PAID_BY_MERCHANT"),$J825=""),"Item price required for this amount type",IF(AND(OR($S825="ITEM_PRICE_PLUS_DECLARED_DELIVERY",$S825="DELIVERY_CHARGE_ONLY"),$K825=""),"Declared delivery charge required",IF(AND(OR($S825="TOTAL_AMOUNT_INCLUDING_DELIVERY",$S825="EXACT_COLLECTION_AMOUNT"),$T825=""),"Stated total amount required",IF(AND($S825="TOTAL_AMOUNT_INCLUDING_DELIVERY",$T825&lt;SUM($J825,$U825)),"Stated total is below item price plus additional charge",IF($S825="EXACT_COLLECTION_AMOUNT","Authorized amount breakdown required before settlement","Ready for collection and settlement"))))))))))))</f>
        <v/>
      </c>
      <c r="AW825" s="23">
        <f>IF($AU825="","","PARCEL_FINANCIAL_V2")</f>
        <v/>
      </c>
      <c r="AX825" s="17" t="n"/>
    </row>
    <row r="826">
      <c r="A826" s="8" t="n"/>
      <c r="B826" s="8" t="n"/>
      <c r="C826" s="8" t="n"/>
      <c r="D826" s="8" t="n"/>
      <c r="E826" s="9" t="n"/>
      <c r="F826" s="9" t="n"/>
      <c r="G826" s="8" t="n"/>
      <c r="H826" s="9" t="n"/>
      <c r="I826" s="9" t="n"/>
      <c r="J826" s="10" t="n"/>
      <c r="K826" s="10" t="n"/>
      <c r="L826" s="11">
        <f>IF($S826="","",IF($S826="ITEM_PRICE_PLUS_DECLARED_DELIVERY",IF(OR($J826="",$K826=""),"",SUM($J826,$K826,$U826)),IF($S826="TOTAL_AMOUNT_INCLUDING_DELIVERY",IF($T826="","",$T826),IF($S826="DELIVERY_CHARGE_ONLY",IF($K826="","",SUM($K826,$U826)),IF($S826="EXACT_COLLECTION_AMOUNT",IF($T826="","",$T826),IF($S826="ITEM_PRICE_ONLY_DELIVERY_PAID_BY_MERCHANT",IF($J826="","",SUM($J826,$U826)),""))))))</f>
        <v/>
      </c>
      <c r="M826" s="12" t="n"/>
      <c r="N826" s="13" t="n"/>
      <c r="O826" s="13" t="n"/>
      <c r="P826" s="9" t="n"/>
      <c r="Q826" s="14" t="n"/>
      <c r="R826" s="15" t="n"/>
      <c r="S826" s="14" t="n"/>
      <c r="T826" s="16" t="n"/>
      <c r="U826" s="16" t="n"/>
      <c r="V826" s="16" t="n"/>
      <c r="W826" s="16" t="n"/>
      <c r="X826" s="16" t="n"/>
      <c r="Y826" s="16" t="n"/>
      <c r="Z826" s="14" t="n"/>
      <c r="AA826" s="14" t="n"/>
      <c r="AB826" s="14" t="n"/>
      <c r="AC826" s="17">
        <f>IFERROR(VLOOKUP($H826&amp;"|"&amp;$Q826,Tariff_Master!$A$2:$L$169,3,FALSE),"")</f>
        <v/>
      </c>
      <c r="AD826" s="17">
        <f>IFERROR(VLOOKUP($H826&amp;"|"&amp;$Q826,Tariff_Master!$A$2:$L$169,4,FALSE),"")</f>
        <v/>
      </c>
      <c r="AE826" s="18">
        <f>IFERROR(VLOOKUP($H826&amp;"|"&amp;$Q826,Tariff_Master!$A$2:$L$169,6,FALSE),"")</f>
        <v/>
      </c>
      <c r="AF826" s="19">
        <f>IFERROR(VLOOKUP($H826&amp;"|"&amp;$Q826,Tariff_Master!$A$2:$L$169,7,FALSE),"")</f>
        <v/>
      </c>
      <c r="AG826" s="18">
        <f>IFERROR(VLOOKUP($H826&amp;"|"&amp;$Q826,Tariff_Master!$A$2:$L$169,8,FALSE),"")</f>
        <v/>
      </c>
      <c r="AH826" s="20">
        <f>IFERROR(VLOOKUP($H826&amp;"|"&amp;$Q826,Tariff_Master!$A$2:$L$169,9,FALSE),"")</f>
        <v/>
      </c>
      <c r="AI826" s="18">
        <f>IFERROR(VLOOKUP($H826&amp;"|"&amp;$Q826,Tariff_Master!$A$2:$L$169,10,FALSE),"")</f>
        <v/>
      </c>
      <c r="AJ826" s="21">
        <f>IF($M826="","",ROUNDUP(MAX(0,$M826),0))</f>
        <v/>
      </c>
      <c r="AK826" s="21">
        <f>IF(OR($AJ826="",$AF826=""),"",MAX(0,$AJ826-$AF826))</f>
        <v/>
      </c>
      <c r="AL826" s="22">
        <f>IF(OR($AK826="",$AG826=""),"",MAX(0,$AK826*$AG826))</f>
        <v/>
      </c>
      <c r="AM826" s="22">
        <f>IF($AE826="","",MAX(0,SUM($AE826,$AL826,$V826,$W826)))</f>
        <v/>
      </c>
      <c r="AN826" s="22">
        <f>IF($AM826="","",IF(AND($Q826="COMMITMENT",$R826&gt;=$AH826),$AI826,0))</f>
        <v/>
      </c>
      <c r="AO826" s="23">
        <f>IF($AM826="","",MAX(0,$AM826-$AN826))</f>
        <v/>
      </c>
      <c r="AP826" s="22">
        <f>IF($S826="","",IF(OR($S826="ITEM_PRICE_PLUS_DECLARED_DELIVERY",$S826="DELIVERY_CHARGE_ONLY"),$K826,IF($S826="TOTAL_AMOUNT_INCLUDING_DELIVERY",IF(OR($T826="",$J826=""),"",MAX(0,$T826-$J826-$U826)),IF($S826="ITEM_PRICE_ONLY_DELIVERY_PAID_BY_MERCHANT",0,""))))</f>
        <v/>
      </c>
      <c r="AQ826" s="23">
        <f>IF(OR($AP826="",$AO826=""),"",$AP826-$AO826)</f>
        <v/>
      </c>
      <c r="AR826" s="24">
        <f>IF($S826="EXACT_COLLECTION_AMOUNT","BREAKDOWN_REQUIRED",IF($AQ826="","",IF($AQ826&gt;0,"CREDIT_TO_MERCHANT",IF($AQ826&lt;0,"DEDUCT_FROM_MERCHANT","NO_ADJUSTMENT"))))</f>
        <v/>
      </c>
      <c r="AS826" s="23">
        <f>IF(OR($AQ826="",$AR826="BREAKDOWN_REQUIRED"),"",$AQ826)</f>
        <v/>
      </c>
      <c r="AT826" s="23">
        <f>IF(OR($AR826="",$AR826="BREAKDOWN_REQUIRED"),"",SUM($J826,$AQ826,$Y826)-$X826)</f>
        <v/>
      </c>
      <c r="AU826" s="25">
        <f>IF(AND($A826="",$B826="",$F826="",$H826="",$J826="",$K826="",$M826="",$S826=""),"",IF(OR($H826="",$Q826="",$M826="",$S826=""),"ERROR",IF(OR($J826&lt;0,$K826&lt;0,$M826&lt;0,$T826&lt;0,$U826&lt;0,$V826&lt;0,$W826&lt;0,$X826&lt;0,$Y826&lt;0),"ERROR",IF($AE826="","ERROR",IF(AND(OR($S826="ITEM_PRICE_PLUS_DECLARED_DELIVERY",$S826="TOTAL_AMOUNT_INCLUDING_DELIVERY",$S826="ITEM_PRICE_ONLY_DELIVERY_PAID_BY_MERCHANT"),$J826=""),"ERROR",IF(AND(OR($S826="ITEM_PRICE_PLUS_DECLARED_DELIVERY",$S826="DELIVERY_CHARGE_ONLY"),$K826=""),"ERROR",IF(AND(OR($S826="TOTAL_AMOUNT_INCLUDING_DELIVERY",$S826="EXACT_COLLECTION_AMOUNT"),$T826=""),"ERROR",IF(AND($S826="TOTAL_AMOUNT_INCLUDING_DELIVERY",$T826&lt;SUM($J826,$U826)),"ERROR",IF($S826="EXACT_COLLECTION_AMOUNT","REVIEW","OK")))))))))</f>
        <v/>
      </c>
      <c r="AV826" s="25">
        <f>IF($AU826="","",IF($H826="","Township required",IF($Q826="","Customer tier required",IF($M826="","Weight required",IF($S826="","Amount entry type required",IF(OR($J826&lt;0,$K826&lt;0,$M826&lt;0,$T826&lt;0,$U826&lt;0,$V826&lt;0,$W826&lt;0,$X826&lt;0,$Y826&lt;0),"Negative amounts are not allowed",IF($AE826="","Tariff not found for township and tier",IF(AND(OR($S826="ITEM_PRICE_PLUS_DECLARED_DELIVERY",$S826="TOTAL_AMOUNT_INCLUDING_DELIVERY",$S826="ITEM_PRICE_ONLY_DELIVERY_PAID_BY_MERCHANT"),$J826=""),"Item price required for this amount type",IF(AND(OR($S826="ITEM_PRICE_PLUS_DECLARED_DELIVERY",$S826="DELIVERY_CHARGE_ONLY"),$K826=""),"Declared delivery charge required",IF(AND(OR($S826="TOTAL_AMOUNT_INCLUDING_DELIVERY",$S826="EXACT_COLLECTION_AMOUNT"),$T826=""),"Stated total amount required",IF(AND($S826="TOTAL_AMOUNT_INCLUDING_DELIVERY",$T826&lt;SUM($J826,$U826)),"Stated total is below item price plus additional charge",IF($S826="EXACT_COLLECTION_AMOUNT","Authorized amount breakdown required before settlement","Ready for collection and settlement"))))))))))))</f>
        <v/>
      </c>
      <c r="AW826" s="23">
        <f>IF($AU826="","","PARCEL_FINANCIAL_V2")</f>
        <v/>
      </c>
      <c r="AX826" s="17" t="n"/>
    </row>
    <row r="827">
      <c r="A827" s="8" t="n"/>
      <c r="B827" s="8" t="n"/>
      <c r="C827" s="8" t="n"/>
      <c r="D827" s="8" t="n"/>
      <c r="E827" s="9" t="n"/>
      <c r="F827" s="9" t="n"/>
      <c r="G827" s="8" t="n"/>
      <c r="H827" s="9" t="n"/>
      <c r="I827" s="9" t="n"/>
      <c r="J827" s="10" t="n"/>
      <c r="K827" s="10" t="n"/>
      <c r="L827" s="11">
        <f>IF($S827="","",IF($S827="ITEM_PRICE_PLUS_DECLARED_DELIVERY",IF(OR($J827="",$K827=""),"",SUM($J827,$K827,$U827)),IF($S827="TOTAL_AMOUNT_INCLUDING_DELIVERY",IF($T827="","",$T827),IF($S827="DELIVERY_CHARGE_ONLY",IF($K827="","",SUM($K827,$U827)),IF($S827="EXACT_COLLECTION_AMOUNT",IF($T827="","",$T827),IF($S827="ITEM_PRICE_ONLY_DELIVERY_PAID_BY_MERCHANT",IF($J827="","",SUM($J827,$U827)),""))))))</f>
        <v/>
      </c>
      <c r="M827" s="12" t="n"/>
      <c r="N827" s="13" t="n"/>
      <c r="O827" s="13" t="n"/>
      <c r="P827" s="9" t="n"/>
      <c r="Q827" s="14" t="n"/>
      <c r="R827" s="15" t="n"/>
      <c r="S827" s="14" t="n"/>
      <c r="T827" s="16" t="n"/>
      <c r="U827" s="16" t="n"/>
      <c r="V827" s="16" t="n"/>
      <c r="W827" s="16" t="n"/>
      <c r="X827" s="16" t="n"/>
      <c r="Y827" s="16" t="n"/>
      <c r="Z827" s="14" t="n"/>
      <c r="AA827" s="14" t="n"/>
      <c r="AB827" s="14" t="n"/>
      <c r="AC827" s="17">
        <f>IFERROR(VLOOKUP($H827&amp;"|"&amp;$Q827,Tariff_Master!$A$2:$L$169,3,FALSE),"")</f>
        <v/>
      </c>
      <c r="AD827" s="17">
        <f>IFERROR(VLOOKUP($H827&amp;"|"&amp;$Q827,Tariff_Master!$A$2:$L$169,4,FALSE),"")</f>
        <v/>
      </c>
      <c r="AE827" s="18">
        <f>IFERROR(VLOOKUP($H827&amp;"|"&amp;$Q827,Tariff_Master!$A$2:$L$169,6,FALSE),"")</f>
        <v/>
      </c>
      <c r="AF827" s="19">
        <f>IFERROR(VLOOKUP($H827&amp;"|"&amp;$Q827,Tariff_Master!$A$2:$L$169,7,FALSE),"")</f>
        <v/>
      </c>
      <c r="AG827" s="18">
        <f>IFERROR(VLOOKUP($H827&amp;"|"&amp;$Q827,Tariff_Master!$A$2:$L$169,8,FALSE),"")</f>
        <v/>
      </c>
      <c r="AH827" s="20">
        <f>IFERROR(VLOOKUP($H827&amp;"|"&amp;$Q827,Tariff_Master!$A$2:$L$169,9,FALSE),"")</f>
        <v/>
      </c>
      <c r="AI827" s="18">
        <f>IFERROR(VLOOKUP($H827&amp;"|"&amp;$Q827,Tariff_Master!$A$2:$L$169,10,FALSE),"")</f>
        <v/>
      </c>
      <c r="AJ827" s="21">
        <f>IF($M827="","",ROUNDUP(MAX(0,$M827),0))</f>
        <v/>
      </c>
      <c r="AK827" s="21">
        <f>IF(OR($AJ827="",$AF827=""),"",MAX(0,$AJ827-$AF827))</f>
        <v/>
      </c>
      <c r="AL827" s="22">
        <f>IF(OR($AK827="",$AG827=""),"",MAX(0,$AK827*$AG827))</f>
        <v/>
      </c>
      <c r="AM827" s="22">
        <f>IF($AE827="","",MAX(0,SUM($AE827,$AL827,$V827,$W827)))</f>
        <v/>
      </c>
      <c r="AN827" s="22">
        <f>IF($AM827="","",IF(AND($Q827="COMMITMENT",$R827&gt;=$AH827),$AI827,0))</f>
        <v/>
      </c>
      <c r="AO827" s="23">
        <f>IF($AM827="","",MAX(0,$AM827-$AN827))</f>
        <v/>
      </c>
      <c r="AP827" s="22">
        <f>IF($S827="","",IF(OR($S827="ITEM_PRICE_PLUS_DECLARED_DELIVERY",$S827="DELIVERY_CHARGE_ONLY"),$K827,IF($S827="TOTAL_AMOUNT_INCLUDING_DELIVERY",IF(OR($T827="",$J827=""),"",MAX(0,$T827-$J827-$U827)),IF($S827="ITEM_PRICE_ONLY_DELIVERY_PAID_BY_MERCHANT",0,""))))</f>
        <v/>
      </c>
      <c r="AQ827" s="23">
        <f>IF(OR($AP827="",$AO827=""),"",$AP827-$AO827)</f>
        <v/>
      </c>
      <c r="AR827" s="24">
        <f>IF($S827="EXACT_COLLECTION_AMOUNT","BREAKDOWN_REQUIRED",IF($AQ827="","",IF($AQ827&gt;0,"CREDIT_TO_MERCHANT",IF($AQ827&lt;0,"DEDUCT_FROM_MERCHANT","NO_ADJUSTMENT"))))</f>
        <v/>
      </c>
      <c r="AS827" s="23">
        <f>IF(OR($AQ827="",$AR827="BREAKDOWN_REQUIRED"),"",$AQ827)</f>
        <v/>
      </c>
      <c r="AT827" s="23">
        <f>IF(OR($AR827="",$AR827="BREAKDOWN_REQUIRED"),"",SUM($J827,$AQ827,$Y827)-$X827)</f>
        <v/>
      </c>
      <c r="AU827" s="25">
        <f>IF(AND($A827="",$B827="",$F827="",$H827="",$J827="",$K827="",$M827="",$S827=""),"",IF(OR($H827="",$Q827="",$M827="",$S827=""),"ERROR",IF(OR($J827&lt;0,$K827&lt;0,$M827&lt;0,$T827&lt;0,$U827&lt;0,$V827&lt;0,$W827&lt;0,$X827&lt;0,$Y827&lt;0),"ERROR",IF($AE827="","ERROR",IF(AND(OR($S827="ITEM_PRICE_PLUS_DECLARED_DELIVERY",$S827="TOTAL_AMOUNT_INCLUDING_DELIVERY",$S827="ITEM_PRICE_ONLY_DELIVERY_PAID_BY_MERCHANT"),$J827=""),"ERROR",IF(AND(OR($S827="ITEM_PRICE_PLUS_DECLARED_DELIVERY",$S827="DELIVERY_CHARGE_ONLY"),$K827=""),"ERROR",IF(AND(OR($S827="TOTAL_AMOUNT_INCLUDING_DELIVERY",$S827="EXACT_COLLECTION_AMOUNT"),$T827=""),"ERROR",IF(AND($S827="TOTAL_AMOUNT_INCLUDING_DELIVERY",$T827&lt;SUM($J827,$U827)),"ERROR",IF($S827="EXACT_COLLECTION_AMOUNT","REVIEW","OK")))))))))</f>
        <v/>
      </c>
      <c r="AV827" s="25">
        <f>IF($AU827="","",IF($H827="","Township required",IF($Q827="","Customer tier required",IF($M827="","Weight required",IF($S827="","Amount entry type required",IF(OR($J827&lt;0,$K827&lt;0,$M827&lt;0,$T827&lt;0,$U827&lt;0,$V827&lt;0,$W827&lt;0,$X827&lt;0,$Y827&lt;0),"Negative amounts are not allowed",IF($AE827="","Tariff not found for township and tier",IF(AND(OR($S827="ITEM_PRICE_PLUS_DECLARED_DELIVERY",$S827="TOTAL_AMOUNT_INCLUDING_DELIVERY",$S827="ITEM_PRICE_ONLY_DELIVERY_PAID_BY_MERCHANT"),$J827=""),"Item price required for this amount type",IF(AND(OR($S827="ITEM_PRICE_PLUS_DECLARED_DELIVERY",$S827="DELIVERY_CHARGE_ONLY"),$K827=""),"Declared delivery charge required",IF(AND(OR($S827="TOTAL_AMOUNT_INCLUDING_DELIVERY",$S827="EXACT_COLLECTION_AMOUNT"),$T827=""),"Stated total amount required",IF(AND($S827="TOTAL_AMOUNT_INCLUDING_DELIVERY",$T827&lt;SUM($J827,$U827)),"Stated total is below item price plus additional charge",IF($S827="EXACT_COLLECTION_AMOUNT","Authorized amount breakdown required before settlement","Ready for collection and settlement"))))))))))))</f>
        <v/>
      </c>
      <c r="AW827" s="23">
        <f>IF($AU827="","","PARCEL_FINANCIAL_V2")</f>
        <v/>
      </c>
      <c r="AX827" s="17" t="n"/>
    </row>
    <row r="828">
      <c r="A828" s="8" t="n"/>
      <c r="B828" s="8" t="n"/>
      <c r="C828" s="8" t="n"/>
      <c r="D828" s="8" t="n"/>
      <c r="E828" s="9" t="n"/>
      <c r="F828" s="9" t="n"/>
      <c r="G828" s="8" t="n"/>
      <c r="H828" s="9" t="n"/>
      <c r="I828" s="9" t="n"/>
      <c r="J828" s="10" t="n"/>
      <c r="K828" s="10" t="n"/>
      <c r="L828" s="11">
        <f>IF($S828="","",IF($S828="ITEM_PRICE_PLUS_DECLARED_DELIVERY",IF(OR($J828="",$K828=""),"",SUM($J828,$K828,$U828)),IF($S828="TOTAL_AMOUNT_INCLUDING_DELIVERY",IF($T828="","",$T828),IF($S828="DELIVERY_CHARGE_ONLY",IF($K828="","",SUM($K828,$U828)),IF($S828="EXACT_COLLECTION_AMOUNT",IF($T828="","",$T828),IF($S828="ITEM_PRICE_ONLY_DELIVERY_PAID_BY_MERCHANT",IF($J828="","",SUM($J828,$U828)),""))))))</f>
        <v/>
      </c>
      <c r="M828" s="12" t="n"/>
      <c r="N828" s="13" t="n"/>
      <c r="O828" s="13" t="n"/>
      <c r="P828" s="9" t="n"/>
      <c r="Q828" s="14" t="n"/>
      <c r="R828" s="15" t="n"/>
      <c r="S828" s="14" t="n"/>
      <c r="T828" s="16" t="n"/>
      <c r="U828" s="16" t="n"/>
      <c r="V828" s="16" t="n"/>
      <c r="W828" s="16" t="n"/>
      <c r="X828" s="16" t="n"/>
      <c r="Y828" s="16" t="n"/>
      <c r="Z828" s="14" t="n"/>
      <c r="AA828" s="14" t="n"/>
      <c r="AB828" s="14" t="n"/>
      <c r="AC828" s="17">
        <f>IFERROR(VLOOKUP($H828&amp;"|"&amp;$Q828,Tariff_Master!$A$2:$L$169,3,FALSE),"")</f>
        <v/>
      </c>
      <c r="AD828" s="17">
        <f>IFERROR(VLOOKUP($H828&amp;"|"&amp;$Q828,Tariff_Master!$A$2:$L$169,4,FALSE),"")</f>
        <v/>
      </c>
      <c r="AE828" s="18">
        <f>IFERROR(VLOOKUP($H828&amp;"|"&amp;$Q828,Tariff_Master!$A$2:$L$169,6,FALSE),"")</f>
        <v/>
      </c>
      <c r="AF828" s="19">
        <f>IFERROR(VLOOKUP($H828&amp;"|"&amp;$Q828,Tariff_Master!$A$2:$L$169,7,FALSE),"")</f>
        <v/>
      </c>
      <c r="AG828" s="18">
        <f>IFERROR(VLOOKUP($H828&amp;"|"&amp;$Q828,Tariff_Master!$A$2:$L$169,8,FALSE),"")</f>
        <v/>
      </c>
      <c r="AH828" s="20">
        <f>IFERROR(VLOOKUP($H828&amp;"|"&amp;$Q828,Tariff_Master!$A$2:$L$169,9,FALSE),"")</f>
        <v/>
      </c>
      <c r="AI828" s="18">
        <f>IFERROR(VLOOKUP($H828&amp;"|"&amp;$Q828,Tariff_Master!$A$2:$L$169,10,FALSE),"")</f>
        <v/>
      </c>
      <c r="AJ828" s="21">
        <f>IF($M828="","",ROUNDUP(MAX(0,$M828),0))</f>
        <v/>
      </c>
      <c r="AK828" s="21">
        <f>IF(OR($AJ828="",$AF828=""),"",MAX(0,$AJ828-$AF828))</f>
        <v/>
      </c>
      <c r="AL828" s="22">
        <f>IF(OR($AK828="",$AG828=""),"",MAX(0,$AK828*$AG828))</f>
        <v/>
      </c>
      <c r="AM828" s="22">
        <f>IF($AE828="","",MAX(0,SUM($AE828,$AL828,$V828,$W828)))</f>
        <v/>
      </c>
      <c r="AN828" s="22">
        <f>IF($AM828="","",IF(AND($Q828="COMMITMENT",$R828&gt;=$AH828),$AI828,0))</f>
        <v/>
      </c>
      <c r="AO828" s="23">
        <f>IF($AM828="","",MAX(0,$AM828-$AN828))</f>
        <v/>
      </c>
      <c r="AP828" s="22">
        <f>IF($S828="","",IF(OR($S828="ITEM_PRICE_PLUS_DECLARED_DELIVERY",$S828="DELIVERY_CHARGE_ONLY"),$K828,IF($S828="TOTAL_AMOUNT_INCLUDING_DELIVERY",IF(OR($T828="",$J828=""),"",MAX(0,$T828-$J828-$U828)),IF($S828="ITEM_PRICE_ONLY_DELIVERY_PAID_BY_MERCHANT",0,""))))</f>
        <v/>
      </c>
      <c r="AQ828" s="23">
        <f>IF(OR($AP828="",$AO828=""),"",$AP828-$AO828)</f>
        <v/>
      </c>
      <c r="AR828" s="24">
        <f>IF($S828="EXACT_COLLECTION_AMOUNT","BREAKDOWN_REQUIRED",IF($AQ828="","",IF($AQ828&gt;0,"CREDIT_TO_MERCHANT",IF($AQ828&lt;0,"DEDUCT_FROM_MERCHANT","NO_ADJUSTMENT"))))</f>
        <v/>
      </c>
      <c r="AS828" s="23">
        <f>IF(OR($AQ828="",$AR828="BREAKDOWN_REQUIRED"),"",$AQ828)</f>
        <v/>
      </c>
      <c r="AT828" s="23">
        <f>IF(OR($AR828="",$AR828="BREAKDOWN_REQUIRED"),"",SUM($J828,$AQ828,$Y828)-$X828)</f>
        <v/>
      </c>
      <c r="AU828" s="25">
        <f>IF(AND($A828="",$B828="",$F828="",$H828="",$J828="",$K828="",$M828="",$S828=""),"",IF(OR($H828="",$Q828="",$M828="",$S828=""),"ERROR",IF(OR($J828&lt;0,$K828&lt;0,$M828&lt;0,$T828&lt;0,$U828&lt;0,$V828&lt;0,$W828&lt;0,$X828&lt;0,$Y828&lt;0),"ERROR",IF($AE828="","ERROR",IF(AND(OR($S828="ITEM_PRICE_PLUS_DECLARED_DELIVERY",$S828="TOTAL_AMOUNT_INCLUDING_DELIVERY",$S828="ITEM_PRICE_ONLY_DELIVERY_PAID_BY_MERCHANT"),$J828=""),"ERROR",IF(AND(OR($S828="ITEM_PRICE_PLUS_DECLARED_DELIVERY",$S828="DELIVERY_CHARGE_ONLY"),$K828=""),"ERROR",IF(AND(OR($S828="TOTAL_AMOUNT_INCLUDING_DELIVERY",$S828="EXACT_COLLECTION_AMOUNT"),$T828=""),"ERROR",IF(AND($S828="TOTAL_AMOUNT_INCLUDING_DELIVERY",$T828&lt;SUM($J828,$U828)),"ERROR",IF($S828="EXACT_COLLECTION_AMOUNT","REVIEW","OK")))))))))</f>
        <v/>
      </c>
      <c r="AV828" s="25">
        <f>IF($AU828="","",IF($H828="","Township required",IF($Q828="","Customer tier required",IF($M828="","Weight required",IF($S828="","Amount entry type required",IF(OR($J828&lt;0,$K828&lt;0,$M828&lt;0,$T828&lt;0,$U828&lt;0,$V828&lt;0,$W828&lt;0,$X828&lt;0,$Y828&lt;0),"Negative amounts are not allowed",IF($AE828="","Tariff not found for township and tier",IF(AND(OR($S828="ITEM_PRICE_PLUS_DECLARED_DELIVERY",$S828="TOTAL_AMOUNT_INCLUDING_DELIVERY",$S828="ITEM_PRICE_ONLY_DELIVERY_PAID_BY_MERCHANT"),$J828=""),"Item price required for this amount type",IF(AND(OR($S828="ITEM_PRICE_PLUS_DECLARED_DELIVERY",$S828="DELIVERY_CHARGE_ONLY"),$K828=""),"Declared delivery charge required",IF(AND(OR($S828="TOTAL_AMOUNT_INCLUDING_DELIVERY",$S828="EXACT_COLLECTION_AMOUNT"),$T828=""),"Stated total amount required",IF(AND($S828="TOTAL_AMOUNT_INCLUDING_DELIVERY",$T828&lt;SUM($J828,$U828)),"Stated total is below item price plus additional charge",IF($S828="EXACT_COLLECTION_AMOUNT","Authorized amount breakdown required before settlement","Ready for collection and settlement"))))))))))))</f>
        <v/>
      </c>
      <c r="AW828" s="23">
        <f>IF($AU828="","","PARCEL_FINANCIAL_V2")</f>
        <v/>
      </c>
      <c r="AX828" s="17" t="n"/>
    </row>
    <row r="829">
      <c r="A829" s="8" t="n"/>
      <c r="B829" s="8" t="n"/>
      <c r="C829" s="8" t="n"/>
      <c r="D829" s="8" t="n"/>
      <c r="E829" s="9" t="n"/>
      <c r="F829" s="9" t="n"/>
      <c r="G829" s="8" t="n"/>
      <c r="H829" s="9" t="n"/>
      <c r="I829" s="9" t="n"/>
      <c r="J829" s="10" t="n"/>
      <c r="K829" s="10" t="n"/>
      <c r="L829" s="11">
        <f>IF($S829="","",IF($S829="ITEM_PRICE_PLUS_DECLARED_DELIVERY",IF(OR($J829="",$K829=""),"",SUM($J829,$K829,$U829)),IF($S829="TOTAL_AMOUNT_INCLUDING_DELIVERY",IF($T829="","",$T829),IF($S829="DELIVERY_CHARGE_ONLY",IF($K829="","",SUM($K829,$U829)),IF($S829="EXACT_COLLECTION_AMOUNT",IF($T829="","",$T829),IF($S829="ITEM_PRICE_ONLY_DELIVERY_PAID_BY_MERCHANT",IF($J829="","",SUM($J829,$U829)),""))))))</f>
        <v/>
      </c>
      <c r="M829" s="12" t="n"/>
      <c r="N829" s="13" t="n"/>
      <c r="O829" s="13" t="n"/>
      <c r="P829" s="9" t="n"/>
      <c r="Q829" s="14" t="n"/>
      <c r="R829" s="15" t="n"/>
      <c r="S829" s="14" t="n"/>
      <c r="T829" s="16" t="n"/>
      <c r="U829" s="16" t="n"/>
      <c r="V829" s="16" t="n"/>
      <c r="W829" s="16" t="n"/>
      <c r="X829" s="16" t="n"/>
      <c r="Y829" s="16" t="n"/>
      <c r="Z829" s="14" t="n"/>
      <c r="AA829" s="14" t="n"/>
      <c r="AB829" s="14" t="n"/>
      <c r="AC829" s="17">
        <f>IFERROR(VLOOKUP($H829&amp;"|"&amp;$Q829,Tariff_Master!$A$2:$L$169,3,FALSE),"")</f>
        <v/>
      </c>
      <c r="AD829" s="17">
        <f>IFERROR(VLOOKUP($H829&amp;"|"&amp;$Q829,Tariff_Master!$A$2:$L$169,4,FALSE),"")</f>
        <v/>
      </c>
      <c r="AE829" s="18">
        <f>IFERROR(VLOOKUP($H829&amp;"|"&amp;$Q829,Tariff_Master!$A$2:$L$169,6,FALSE),"")</f>
        <v/>
      </c>
      <c r="AF829" s="19">
        <f>IFERROR(VLOOKUP($H829&amp;"|"&amp;$Q829,Tariff_Master!$A$2:$L$169,7,FALSE),"")</f>
        <v/>
      </c>
      <c r="AG829" s="18">
        <f>IFERROR(VLOOKUP($H829&amp;"|"&amp;$Q829,Tariff_Master!$A$2:$L$169,8,FALSE),"")</f>
        <v/>
      </c>
      <c r="AH829" s="20">
        <f>IFERROR(VLOOKUP($H829&amp;"|"&amp;$Q829,Tariff_Master!$A$2:$L$169,9,FALSE),"")</f>
        <v/>
      </c>
      <c r="AI829" s="18">
        <f>IFERROR(VLOOKUP($H829&amp;"|"&amp;$Q829,Tariff_Master!$A$2:$L$169,10,FALSE),"")</f>
        <v/>
      </c>
      <c r="AJ829" s="21">
        <f>IF($M829="","",ROUNDUP(MAX(0,$M829),0))</f>
        <v/>
      </c>
      <c r="AK829" s="21">
        <f>IF(OR($AJ829="",$AF829=""),"",MAX(0,$AJ829-$AF829))</f>
        <v/>
      </c>
      <c r="AL829" s="22">
        <f>IF(OR($AK829="",$AG829=""),"",MAX(0,$AK829*$AG829))</f>
        <v/>
      </c>
      <c r="AM829" s="22">
        <f>IF($AE829="","",MAX(0,SUM($AE829,$AL829,$V829,$W829)))</f>
        <v/>
      </c>
      <c r="AN829" s="22">
        <f>IF($AM829="","",IF(AND($Q829="COMMITMENT",$R829&gt;=$AH829),$AI829,0))</f>
        <v/>
      </c>
      <c r="AO829" s="23">
        <f>IF($AM829="","",MAX(0,$AM829-$AN829))</f>
        <v/>
      </c>
      <c r="AP829" s="22">
        <f>IF($S829="","",IF(OR($S829="ITEM_PRICE_PLUS_DECLARED_DELIVERY",$S829="DELIVERY_CHARGE_ONLY"),$K829,IF($S829="TOTAL_AMOUNT_INCLUDING_DELIVERY",IF(OR($T829="",$J829=""),"",MAX(0,$T829-$J829-$U829)),IF($S829="ITEM_PRICE_ONLY_DELIVERY_PAID_BY_MERCHANT",0,""))))</f>
        <v/>
      </c>
      <c r="AQ829" s="23">
        <f>IF(OR($AP829="",$AO829=""),"",$AP829-$AO829)</f>
        <v/>
      </c>
      <c r="AR829" s="24">
        <f>IF($S829="EXACT_COLLECTION_AMOUNT","BREAKDOWN_REQUIRED",IF($AQ829="","",IF($AQ829&gt;0,"CREDIT_TO_MERCHANT",IF($AQ829&lt;0,"DEDUCT_FROM_MERCHANT","NO_ADJUSTMENT"))))</f>
        <v/>
      </c>
      <c r="AS829" s="23">
        <f>IF(OR($AQ829="",$AR829="BREAKDOWN_REQUIRED"),"",$AQ829)</f>
        <v/>
      </c>
      <c r="AT829" s="23">
        <f>IF(OR($AR829="",$AR829="BREAKDOWN_REQUIRED"),"",SUM($J829,$AQ829,$Y829)-$X829)</f>
        <v/>
      </c>
      <c r="AU829" s="25">
        <f>IF(AND($A829="",$B829="",$F829="",$H829="",$J829="",$K829="",$M829="",$S829=""),"",IF(OR($H829="",$Q829="",$M829="",$S829=""),"ERROR",IF(OR($J829&lt;0,$K829&lt;0,$M829&lt;0,$T829&lt;0,$U829&lt;0,$V829&lt;0,$W829&lt;0,$X829&lt;0,$Y829&lt;0),"ERROR",IF($AE829="","ERROR",IF(AND(OR($S829="ITEM_PRICE_PLUS_DECLARED_DELIVERY",$S829="TOTAL_AMOUNT_INCLUDING_DELIVERY",$S829="ITEM_PRICE_ONLY_DELIVERY_PAID_BY_MERCHANT"),$J829=""),"ERROR",IF(AND(OR($S829="ITEM_PRICE_PLUS_DECLARED_DELIVERY",$S829="DELIVERY_CHARGE_ONLY"),$K829=""),"ERROR",IF(AND(OR($S829="TOTAL_AMOUNT_INCLUDING_DELIVERY",$S829="EXACT_COLLECTION_AMOUNT"),$T829=""),"ERROR",IF(AND($S829="TOTAL_AMOUNT_INCLUDING_DELIVERY",$T829&lt;SUM($J829,$U829)),"ERROR",IF($S829="EXACT_COLLECTION_AMOUNT","REVIEW","OK")))))))))</f>
        <v/>
      </c>
      <c r="AV829" s="25">
        <f>IF($AU829="","",IF($H829="","Township required",IF($Q829="","Customer tier required",IF($M829="","Weight required",IF($S829="","Amount entry type required",IF(OR($J829&lt;0,$K829&lt;0,$M829&lt;0,$T829&lt;0,$U829&lt;0,$V829&lt;0,$W829&lt;0,$X829&lt;0,$Y829&lt;0),"Negative amounts are not allowed",IF($AE829="","Tariff not found for township and tier",IF(AND(OR($S829="ITEM_PRICE_PLUS_DECLARED_DELIVERY",$S829="TOTAL_AMOUNT_INCLUDING_DELIVERY",$S829="ITEM_PRICE_ONLY_DELIVERY_PAID_BY_MERCHANT"),$J829=""),"Item price required for this amount type",IF(AND(OR($S829="ITEM_PRICE_PLUS_DECLARED_DELIVERY",$S829="DELIVERY_CHARGE_ONLY"),$K829=""),"Declared delivery charge required",IF(AND(OR($S829="TOTAL_AMOUNT_INCLUDING_DELIVERY",$S829="EXACT_COLLECTION_AMOUNT"),$T829=""),"Stated total amount required",IF(AND($S829="TOTAL_AMOUNT_INCLUDING_DELIVERY",$T829&lt;SUM($J829,$U829)),"Stated total is below item price plus additional charge",IF($S829="EXACT_COLLECTION_AMOUNT","Authorized amount breakdown required before settlement","Ready for collection and settlement"))))))))))))</f>
        <v/>
      </c>
      <c r="AW829" s="23">
        <f>IF($AU829="","","PARCEL_FINANCIAL_V2")</f>
        <v/>
      </c>
      <c r="AX829" s="17" t="n"/>
    </row>
    <row r="830">
      <c r="A830" s="8" t="n"/>
      <c r="B830" s="8" t="n"/>
      <c r="C830" s="8" t="n"/>
      <c r="D830" s="8" t="n"/>
      <c r="E830" s="9" t="n"/>
      <c r="F830" s="9" t="n"/>
      <c r="G830" s="8" t="n"/>
      <c r="H830" s="9" t="n"/>
      <c r="I830" s="9" t="n"/>
      <c r="J830" s="10" t="n"/>
      <c r="K830" s="10" t="n"/>
      <c r="L830" s="11">
        <f>IF($S830="","",IF($S830="ITEM_PRICE_PLUS_DECLARED_DELIVERY",IF(OR($J830="",$K830=""),"",SUM($J830,$K830,$U830)),IF($S830="TOTAL_AMOUNT_INCLUDING_DELIVERY",IF($T830="","",$T830),IF($S830="DELIVERY_CHARGE_ONLY",IF($K830="","",SUM($K830,$U830)),IF($S830="EXACT_COLLECTION_AMOUNT",IF($T830="","",$T830),IF($S830="ITEM_PRICE_ONLY_DELIVERY_PAID_BY_MERCHANT",IF($J830="","",SUM($J830,$U830)),""))))))</f>
        <v/>
      </c>
      <c r="M830" s="12" t="n"/>
      <c r="N830" s="13" t="n"/>
      <c r="O830" s="13" t="n"/>
      <c r="P830" s="9" t="n"/>
      <c r="Q830" s="14" t="n"/>
      <c r="R830" s="15" t="n"/>
      <c r="S830" s="14" t="n"/>
      <c r="T830" s="16" t="n"/>
      <c r="U830" s="16" t="n"/>
      <c r="V830" s="16" t="n"/>
      <c r="W830" s="16" t="n"/>
      <c r="X830" s="16" t="n"/>
      <c r="Y830" s="16" t="n"/>
      <c r="Z830" s="14" t="n"/>
      <c r="AA830" s="14" t="n"/>
      <c r="AB830" s="14" t="n"/>
      <c r="AC830" s="17">
        <f>IFERROR(VLOOKUP($H830&amp;"|"&amp;$Q830,Tariff_Master!$A$2:$L$169,3,FALSE),"")</f>
        <v/>
      </c>
      <c r="AD830" s="17">
        <f>IFERROR(VLOOKUP($H830&amp;"|"&amp;$Q830,Tariff_Master!$A$2:$L$169,4,FALSE),"")</f>
        <v/>
      </c>
      <c r="AE830" s="18">
        <f>IFERROR(VLOOKUP($H830&amp;"|"&amp;$Q830,Tariff_Master!$A$2:$L$169,6,FALSE),"")</f>
        <v/>
      </c>
      <c r="AF830" s="19">
        <f>IFERROR(VLOOKUP($H830&amp;"|"&amp;$Q830,Tariff_Master!$A$2:$L$169,7,FALSE),"")</f>
        <v/>
      </c>
      <c r="AG830" s="18">
        <f>IFERROR(VLOOKUP($H830&amp;"|"&amp;$Q830,Tariff_Master!$A$2:$L$169,8,FALSE),"")</f>
        <v/>
      </c>
      <c r="AH830" s="20">
        <f>IFERROR(VLOOKUP($H830&amp;"|"&amp;$Q830,Tariff_Master!$A$2:$L$169,9,FALSE),"")</f>
        <v/>
      </c>
      <c r="AI830" s="18">
        <f>IFERROR(VLOOKUP($H830&amp;"|"&amp;$Q830,Tariff_Master!$A$2:$L$169,10,FALSE),"")</f>
        <v/>
      </c>
      <c r="AJ830" s="21">
        <f>IF($M830="","",ROUNDUP(MAX(0,$M830),0))</f>
        <v/>
      </c>
      <c r="AK830" s="21">
        <f>IF(OR($AJ830="",$AF830=""),"",MAX(0,$AJ830-$AF830))</f>
        <v/>
      </c>
      <c r="AL830" s="22">
        <f>IF(OR($AK830="",$AG830=""),"",MAX(0,$AK830*$AG830))</f>
        <v/>
      </c>
      <c r="AM830" s="22">
        <f>IF($AE830="","",MAX(0,SUM($AE830,$AL830,$V830,$W830)))</f>
        <v/>
      </c>
      <c r="AN830" s="22">
        <f>IF($AM830="","",IF(AND($Q830="COMMITMENT",$R830&gt;=$AH830),$AI830,0))</f>
        <v/>
      </c>
      <c r="AO830" s="23">
        <f>IF($AM830="","",MAX(0,$AM830-$AN830))</f>
        <v/>
      </c>
      <c r="AP830" s="22">
        <f>IF($S830="","",IF(OR($S830="ITEM_PRICE_PLUS_DECLARED_DELIVERY",$S830="DELIVERY_CHARGE_ONLY"),$K830,IF($S830="TOTAL_AMOUNT_INCLUDING_DELIVERY",IF(OR($T830="",$J830=""),"",MAX(0,$T830-$J830-$U830)),IF($S830="ITEM_PRICE_ONLY_DELIVERY_PAID_BY_MERCHANT",0,""))))</f>
        <v/>
      </c>
      <c r="AQ830" s="23">
        <f>IF(OR($AP830="",$AO830=""),"",$AP830-$AO830)</f>
        <v/>
      </c>
      <c r="AR830" s="24">
        <f>IF($S830="EXACT_COLLECTION_AMOUNT","BREAKDOWN_REQUIRED",IF($AQ830="","",IF($AQ830&gt;0,"CREDIT_TO_MERCHANT",IF($AQ830&lt;0,"DEDUCT_FROM_MERCHANT","NO_ADJUSTMENT"))))</f>
        <v/>
      </c>
      <c r="AS830" s="23">
        <f>IF(OR($AQ830="",$AR830="BREAKDOWN_REQUIRED"),"",$AQ830)</f>
        <v/>
      </c>
      <c r="AT830" s="23">
        <f>IF(OR($AR830="",$AR830="BREAKDOWN_REQUIRED"),"",SUM($J830,$AQ830,$Y830)-$X830)</f>
        <v/>
      </c>
      <c r="AU830" s="25">
        <f>IF(AND($A830="",$B830="",$F830="",$H830="",$J830="",$K830="",$M830="",$S830=""),"",IF(OR($H830="",$Q830="",$M830="",$S830=""),"ERROR",IF(OR($J830&lt;0,$K830&lt;0,$M830&lt;0,$T830&lt;0,$U830&lt;0,$V830&lt;0,$W830&lt;0,$X830&lt;0,$Y830&lt;0),"ERROR",IF($AE830="","ERROR",IF(AND(OR($S830="ITEM_PRICE_PLUS_DECLARED_DELIVERY",$S830="TOTAL_AMOUNT_INCLUDING_DELIVERY",$S830="ITEM_PRICE_ONLY_DELIVERY_PAID_BY_MERCHANT"),$J830=""),"ERROR",IF(AND(OR($S830="ITEM_PRICE_PLUS_DECLARED_DELIVERY",$S830="DELIVERY_CHARGE_ONLY"),$K830=""),"ERROR",IF(AND(OR($S830="TOTAL_AMOUNT_INCLUDING_DELIVERY",$S830="EXACT_COLLECTION_AMOUNT"),$T830=""),"ERROR",IF(AND($S830="TOTAL_AMOUNT_INCLUDING_DELIVERY",$T830&lt;SUM($J830,$U830)),"ERROR",IF($S830="EXACT_COLLECTION_AMOUNT","REVIEW","OK")))))))))</f>
        <v/>
      </c>
      <c r="AV830" s="25">
        <f>IF($AU830="","",IF($H830="","Township required",IF($Q830="","Customer tier required",IF($M830="","Weight required",IF($S830="","Amount entry type required",IF(OR($J830&lt;0,$K830&lt;0,$M830&lt;0,$T830&lt;0,$U830&lt;0,$V830&lt;0,$W830&lt;0,$X830&lt;0,$Y830&lt;0),"Negative amounts are not allowed",IF($AE830="","Tariff not found for township and tier",IF(AND(OR($S830="ITEM_PRICE_PLUS_DECLARED_DELIVERY",$S830="TOTAL_AMOUNT_INCLUDING_DELIVERY",$S830="ITEM_PRICE_ONLY_DELIVERY_PAID_BY_MERCHANT"),$J830=""),"Item price required for this amount type",IF(AND(OR($S830="ITEM_PRICE_PLUS_DECLARED_DELIVERY",$S830="DELIVERY_CHARGE_ONLY"),$K830=""),"Declared delivery charge required",IF(AND(OR($S830="TOTAL_AMOUNT_INCLUDING_DELIVERY",$S830="EXACT_COLLECTION_AMOUNT"),$T830=""),"Stated total amount required",IF(AND($S830="TOTAL_AMOUNT_INCLUDING_DELIVERY",$T830&lt;SUM($J830,$U830)),"Stated total is below item price plus additional charge",IF($S830="EXACT_COLLECTION_AMOUNT","Authorized amount breakdown required before settlement","Ready for collection and settlement"))))))))))))</f>
        <v/>
      </c>
      <c r="AW830" s="23">
        <f>IF($AU830="","","PARCEL_FINANCIAL_V2")</f>
        <v/>
      </c>
      <c r="AX830" s="17" t="n"/>
    </row>
    <row r="831">
      <c r="A831" s="8" t="n"/>
      <c r="B831" s="8" t="n"/>
      <c r="C831" s="8" t="n"/>
      <c r="D831" s="8" t="n"/>
      <c r="E831" s="9" t="n"/>
      <c r="F831" s="9" t="n"/>
      <c r="G831" s="8" t="n"/>
      <c r="H831" s="9" t="n"/>
      <c r="I831" s="9" t="n"/>
      <c r="J831" s="10" t="n"/>
      <c r="K831" s="10" t="n"/>
      <c r="L831" s="11">
        <f>IF($S831="","",IF($S831="ITEM_PRICE_PLUS_DECLARED_DELIVERY",IF(OR($J831="",$K831=""),"",SUM($J831,$K831,$U831)),IF($S831="TOTAL_AMOUNT_INCLUDING_DELIVERY",IF($T831="","",$T831),IF($S831="DELIVERY_CHARGE_ONLY",IF($K831="","",SUM($K831,$U831)),IF($S831="EXACT_COLLECTION_AMOUNT",IF($T831="","",$T831),IF($S831="ITEM_PRICE_ONLY_DELIVERY_PAID_BY_MERCHANT",IF($J831="","",SUM($J831,$U831)),""))))))</f>
        <v/>
      </c>
      <c r="M831" s="12" t="n"/>
      <c r="N831" s="13" t="n"/>
      <c r="O831" s="13" t="n"/>
      <c r="P831" s="9" t="n"/>
      <c r="Q831" s="14" t="n"/>
      <c r="R831" s="15" t="n"/>
      <c r="S831" s="14" t="n"/>
      <c r="T831" s="16" t="n"/>
      <c r="U831" s="16" t="n"/>
      <c r="V831" s="16" t="n"/>
      <c r="W831" s="16" t="n"/>
      <c r="X831" s="16" t="n"/>
      <c r="Y831" s="16" t="n"/>
      <c r="Z831" s="14" t="n"/>
      <c r="AA831" s="14" t="n"/>
      <c r="AB831" s="14" t="n"/>
      <c r="AC831" s="17">
        <f>IFERROR(VLOOKUP($H831&amp;"|"&amp;$Q831,Tariff_Master!$A$2:$L$169,3,FALSE),"")</f>
        <v/>
      </c>
      <c r="AD831" s="17">
        <f>IFERROR(VLOOKUP($H831&amp;"|"&amp;$Q831,Tariff_Master!$A$2:$L$169,4,FALSE),"")</f>
        <v/>
      </c>
      <c r="AE831" s="18">
        <f>IFERROR(VLOOKUP($H831&amp;"|"&amp;$Q831,Tariff_Master!$A$2:$L$169,6,FALSE),"")</f>
        <v/>
      </c>
      <c r="AF831" s="19">
        <f>IFERROR(VLOOKUP($H831&amp;"|"&amp;$Q831,Tariff_Master!$A$2:$L$169,7,FALSE),"")</f>
        <v/>
      </c>
      <c r="AG831" s="18">
        <f>IFERROR(VLOOKUP($H831&amp;"|"&amp;$Q831,Tariff_Master!$A$2:$L$169,8,FALSE),"")</f>
        <v/>
      </c>
      <c r="AH831" s="20">
        <f>IFERROR(VLOOKUP($H831&amp;"|"&amp;$Q831,Tariff_Master!$A$2:$L$169,9,FALSE),"")</f>
        <v/>
      </c>
      <c r="AI831" s="18">
        <f>IFERROR(VLOOKUP($H831&amp;"|"&amp;$Q831,Tariff_Master!$A$2:$L$169,10,FALSE),"")</f>
        <v/>
      </c>
      <c r="AJ831" s="21">
        <f>IF($M831="","",ROUNDUP(MAX(0,$M831),0))</f>
        <v/>
      </c>
      <c r="AK831" s="21">
        <f>IF(OR($AJ831="",$AF831=""),"",MAX(0,$AJ831-$AF831))</f>
        <v/>
      </c>
      <c r="AL831" s="22">
        <f>IF(OR($AK831="",$AG831=""),"",MAX(0,$AK831*$AG831))</f>
        <v/>
      </c>
      <c r="AM831" s="22">
        <f>IF($AE831="","",MAX(0,SUM($AE831,$AL831,$V831,$W831)))</f>
        <v/>
      </c>
      <c r="AN831" s="22">
        <f>IF($AM831="","",IF(AND($Q831="COMMITMENT",$R831&gt;=$AH831),$AI831,0))</f>
        <v/>
      </c>
      <c r="AO831" s="23">
        <f>IF($AM831="","",MAX(0,$AM831-$AN831))</f>
        <v/>
      </c>
      <c r="AP831" s="22">
        <f>IF($S831="","",IF(OR($S831="ITEM_PRICE_PLUS_DECLARED_DELIVERY",$S831="DELIVERY_CHARGE_ONLY"),$K831,IF($S831="TOTAL_AMOUNT_INCLUDING_DELIVERY",IF(OR($T831="",$J831=""),"",MAX(0,$T831-$J831-$U831)),IF($S831="ITEM_PRICE_ONLY_DELIVERY_PAID_BY_MERCHANT",0,""))))</f>
        <v/>
      </c>
      <c r="AQ831" s="23">
        <f>IF(OR($AP831="",$AO831=""),"",$AP831-$AO831)</f>
        <v/>
      </c>
      <c r="AR831" s="24">
        <f>IF($S831="EXACT_COLLECTION_AMOUNT","BREAKDOWN_REQUIRED",IF($AQ831="","",IF($AQ831&gt;0,"CREDIT_TO_MERCHANT",IF($AQ831&lt;0,"DEDUCT_FROM_MERCHANT","NO_ADJUSTMENT"))))</f>
        <v/>
      </c>
      <c r="AS831" s="23">
        <f>IF(OR($AQ831="",$AR831="BREAKDOWN_REQUIRED"),"",$AQ831)</f>
        <v/>
      </c>
      <c r="AT831" s="23">
        <f>IF(OR($AR831="",$AR831="BREAKDOWN_REQUIRED"),"",SUM($J831,$AQ831,$Y831)-$X831)</f>
        <v/>
      </c>
      <c r="AU831" s="25">
        <f>IF(AND($A831="",$B831="",$F831="",$H831="",$J831="",$K831="",$M831="",$S831=""),"",IF(OR($H831="",$Q831="",$M831="",$S831=""),"ERROR",IF(OR($J831&lt;0,$K831&lt;0,$M831&lt;0,$T831&lt;0,$U831&lt;0,$V831&lt;0,$W831&lt;0,$X831&lt;0,$Y831&lt;0),"ERROR",IF($AE831="","ERROR",IF(AND(OR($S831="ITEM_PRICE_PLUS_DECLARED_DELIVERY",$S831="TOTAL_AMOUNT_INCLUDING_DELIVERY",$S831="ITEM_PRICE_ONLY_DELIVERY_PAID_BY_MERCHANT"),$J831=""),"ERROR",IF(AND(OR($S831="ITEM_PRICE_PLUS_DECLARED_DELIVERY",$S831="DELIVERY_CHARGE_ONLY"),$K831=""),"ERROR",IF(AND(OR($S831="TOTAL_AMOUNT_INCLUDING_DELIVERY",$S831="EXACT_COLLECTION_AMOUNT"),$T831=""),"ERROR",IF(AND($S831="TOTAL_AMOUNT_INCLUDING_DELIVERY",$T831&lt;SUM($J831,$U831)),"ERROR",IF($S831="EXACT_COLLECTION_AMOUNT","REVIEW","OK")))))))))</f>
        <v/>
      </c>
      <c r="AV831" s="25">
        <f>IF($AU831="","",IF($H831="","Township required",IF($Q831="","Customer tier required",IF($M831="","Weight required",IF($S831="","Amount entry type required",IF(OR($J831&lt;0,$K831&lt;0,$M831&lt;0,$T831&lt;0,$U831&lt;0,$V831&lt;0,$W831&lt;0,$X831&lt;0,$Y831&lt;0),"Negative amounts are not allowed",IF($AE831="","Tariff not found for township and tier",IF(AND(OR($S831="ITEM_PRICE_PLUS_DECLARED_DELIVERY",$S831="TOTAL_AMOUNT_INCLUDING_DELIVERY",$S831="ITEM_PRICE_ONLY_DELIVERY_PAID_BY_MERCHANT"),$J831=""),"Item price required for this amount type",IF(AND(OR($S831="ITEM_PRICE_PLUS_DECLARED_DELIVERY",$S831="DELIVERY_CHARGE_ONLY"),$K831=""),"Declared delivery charge required",IF(AND(OR($S831="TOTAL_AMOUNT_INCLUDING_DELIVERY",$S831="EXACT_COLLECTION_AMOUNT"),$T831=""),"Stated total amount required",IF(AND($S831="TOTAL_AMOUNT_INCLUDING_DELIVERY",$T831&lt;SUM($J831,$U831)),"Stated total is below item price plus additional charge",IF($S831="EXACT_COLLECTION_AMOUNT","Authorized amount breakdown required before settlement","Ready for collection and settlement"))))))))))))</f>
        <v/>
      </c>
      <c r="AW831" s="23">
        <f>IF($AU831="","","PARCEL_FINANCIAL_V2")</f>
        <v/>
      </c>
      <c r="AX831" s="17" t="n"/>
    </row>
    <row r="832">
      <c r="A832" s="8" t="n"/>
      <c r="B832" s="8" t="n"/>
      <c r="C832" s="8" t="n"/>
      <c r="D832" s="8" t="n"/>
      <c r="E832" s="9" t="n"/>
      <c r="F832" s="9" t="n"/>
      <c r="G832" s="8" t="n"/>
      <c r="H832" s="9" t="n"/>
      <c r="I832" s="9" t="n"/>
      <c r="J832" s="10" t="n"/>
      <c r="K832" s="10" t="n"/>
      <c r="L832" s="11">
        <f>IF($S832="","",IF($S832="ITEM_PRICE_PLUS_DECLARED_DELIVERY",IF(OR($J832="",$K832=""),"",SUM($J832,$K832,$U832)),IF($S832="TOTAL_AMOUNT_INCLUDING_DELIVERY",IF($T832="","",$T832),IF($S832="DELIVERY_CHARGE_ONLY",IF($K832="","",SUM($K832,$U832)),IF($S832="EXACT_COLLECTION_AMOUNT",IF($T832="","",$T832),IF($S832="ITEM_PRICE_ONLY_DELIVERY_PAID_BY_MERCHANT",IF($J832="","",SUM($J832,$U832)),""))))))</f>
        <v/>
      </c>
      <c r="M832" s="12" t="n"/>
      <c r="N832" s="13" t="n"/>
      <c r="O832" s="13" t="n"/>
      <c r="P832" s="9" t="n"/>
      <c r="Q832" s="14" t="n"/>
      <c r="R832" s="15" t="n"/>
      <c r="S832" s="14" t="n"/>
      <c r="T832" s="16" t="n"/>
      <c r="U832" s="16" t="n"/>
      <c r="V832" s="16" t="n"/>
      <c r="W832" s="16" t="n"/>
      <c r="X832" s="16" t="n"/>
      <c r="Y832" s="16" t="n"/>
      <c r="Z832" s="14" t="n"/>
      <c r="AA832" s="14" t="n"/>
      <c r="AB832" s="14" t="n"/>
      <c r="AC832" s="17">
        <f>IFERROR(VLOOKUP($H832&amp;"|"&amp;$Q832,Tariff_Master!$A$2:$L$169,3,FALSE),"")</f>
        <v/>
      </c>
      <c r="AD832" s="17">
        <f>IFERROR(VLOOKUP($H832&amp;"|"&amp;$Q832,Tariff_Master!$A$2:$L$169,4,FALSE),"")</f>
        <v/>
      </c>
      <c r="AE832" s="18">
        <f>IFERROR(VLOOKUP($H832&amp;"|"&amp;$Q832,Tariff_Master!$A$2:$L$169,6,FALSE),"")</f>
        <v/>
      </c>
      <c r="AF832" s="19">
        <f>IFERROR(VLOOKUP($H832&amp;"|"&amp;$Q832,Tariff_Master!$A$2:$L$169,7,FALSE),"")</f>
        <v/>
      </c>
      <c r="AG832" s="18">
        <f>IFERROR(VLOOKUP($H832&amp;"|"&amp;$Q832,Tariff_Master!$A$2:$L$169,8,FALSE),"")</f>
        <v/>
      </c>
      <c r="AH832" s="20">
        <f>IFERROR(VLOOKUP($H832&amp;"|"&amp;$Q832,Tariff_Master!$A$2:$L$169,9,FALSE),"")</f>
        <v/>
      </c>
      <c r="AI832" s="18">
        <f>IFERROR(VLOOKUP($H832&amp;"|"&amp;$Q832,Tariff_Master!$A$2:$L$169,10,FALSE),"")</f>
        <v/>
      </c>
      <c r="AJ832" s="21">
        <f>IF($M832="","",ROUNDUP(MAX(0,$M832),0))</f>
        <v/>
      </c>
      <c r="AK832" s="21">
        <f>IF(OR($AJ832="",$AF832=""),"",MAX(0,$AJ832-$AF832))</f>
        <v/>
      </c>
      <c r="AL832" s="22">
        <f>IF(OR($AK832="",$AG832=""),"",MAX(0,$AK832*$AG832))</f>
        <v/>
      </c>
      <c r="AM832" s="22">
        <f>IF($AE832="","",MAX(0,SUM($AE832,$AL832,$V832,$W832)))</f>
        <v/>
      </c>
      <c r="AN832" s="22">
        <f>IF($AM832="","",IF(AND($Q832="COMMITMENT",$R832&gt;=$AH832),$AI832,0))</f>
        <v/>
      </c>
      <c r="AO832" s="23">
        <f>IF($AM832="","",MAX(0,$AM832-$AN832))</f>
        <v/>
      </c>
      <c r="AP832" s="22">
        <f>IF($S832="","",IF(OR($S832="ITEM_PRICE_PLUS_DECLARED_DELIVERY",$S832="DELIVERY_CHARGE_ONLY"),$K832,IF($S832="TOTAL_AMOUNT_INCLUDING_DELIVERY",IF(OR($T832="",$J832=""),"",MAX(0,$T832-$J832-$U832)),IF($S832="ITEM_PRICE_ONLY_DELIVERY_PAID_BY_MERCHANT",0,""))))</f>
        <v/>
      </c>
      <c r="AQ832" s="23">
        <f>IF(OR($AP832="",$AO832=""),"",$AP832-$AO832)</f>
        <v/>
      </c>
      <c r="AR832" s="24">
        <f>IF($S832="EXACT_COLLECTION_AMOUNT","BREAKDOWN_REQUIRED",IF($AQ832="","",IF($AQ832&gt;0,"CREDIT_TO_MERCHANT",IF($AQ832&lt;0,"DEDUCT_FROM_MERCHANT","NO_ADJUSTMENT"))))</f>
        <v/>
      </c>
      <c r="AS832" s="23">
        <f>IF(OR($AQ832="",$AR832="BREAKDOWN_REQUIRED"),"",$AQ832)</f>
        <v/>
      </c>
      <c r="AT832" s="23">
        <f>IF(OR($AR832="",$AR832="BREAKDOWN_REQUIRED"),"",SUM($J832,$AQ832,$Y832)-$X832)</f>
        <v/>
      </c>
      <c r="AU832" s="25">
        <f>IF(AND($A832="",$B832="",$F832="",$H832="",$J832="",$K832="",$M832="",$S832=""),"",IF(OR($H832="",$Q832="",$M832="",$S832=""),"ERROR",IF(OR($J832&lt;0,$K832&lt;0,$M832&lt;0,$T832&lt;0,$U832&lt;0,$V832&lt;0,$W832&lt;0,$X832&lt;0,$Y832&lt;0),"ERROR",IF($AE832="","ERROR",IF(AND(OR($S832="ITEM_PRICE_PLUS_DECLARED_DELIVERY",$S832="TOTAL_AMOUNT_INCLUDING_DELIVERY",$S832="ITEM_PRICE_ONLY_DELIVERY_PAID_BY_MERCHANT"),$J832=""),"ERROR",IF(AND(OR($S832="ITEM_PRICE_PLUS_DECLARED_DELIVERY",$S832="DELIVERY_CHARGE_ONLY"),$K832=""),"ERROR",IF(AND(OR($S832="TOTAL_AMOUNT_INCLUDING_DELIVERY",$S832="EXACT_COLLECTION_AMOUNT"),$T832=""),"ERROR",IF(AND($S832="TOTAL_AMOUNT_INCLUDING_DELIVERY",$T832&lt;SUM($J832,$U832)),"ERROR",IF($S832="EXACT_COLLECTION_AMOUNT","REVIEW","OK")))))))))</f>
        <v/>
      </c>
      <c r="AV832" s="25">
        <f>IF($AU832="","",IF($H832="","Township required",IF($Q832="","Customer tier required",IF($M832="","Weight required",IF($S832="","Amount entry type required",IF(OR($J832&lt;0,$K832&lt;0,$M832&lt;0,$T832&lt;0,$U832&lt;0,$V832&lt;0,$W832&lt;0,$X832&lt;0,$Y832&lt;0),"Negative amounts are not allowed",IF($AE832="","Tariff not found for township and tier",IF(AND(OR($S832="ITEM_PRICE_PLUS_DECLARED_DELIVERY",$S832="TOTAL_AMOUNT_INCLUDING_DELIVERY",$S832="ITEM_PRICE_ONLY_DELIVERY_PAID_BY_MERCHANT"),$J832=""),"Item price required for this amount type",IF(AND(OR($S832="ITEM_PRICE_PLUS_DECLARED_DELIVERY",$S832="DELIVERY_CHARGE_ONLY"),$K832=""),"Declared delivery charge required",IF(AND(OR($S832="TOTAL_AMOUNT_INCLUDING_DELIVERY",$S832="EXACT_COLLECTION_AMOUNT"),$T832=""),"Stated total amount required",IF(AND($S832="TOTAL_AMOUNT_INCLUDING_DELIVERY",$T832&lt;SUM($J832,$U832)),"Stated total is below item price plus additional charge",IF($S832="EXACT_COLLECTION_AMOUNT","Authorized amount breakdown required before settlement","Ready for collection and settlement"))))))))))))</f>
        <v/>
      </c>
      <c r="AW832" s="23">
        <f>IF($AU832="","","PARCEL_FINANCIAL_V2")</f>
        <v/>
      </c>
      <c r="AX832" s="17" t="n"/>
    </row>
    <row r="833">
      <c r="A833" s="8" t="n"/>
      <c r="B833" s="8" t="n"/>
      <c r="C833" s="8" t="n"/>
      <c r="D833" s="8" t="n"/>
      <c r="E833" s="9" t="n"/>
      <c r="F833" s="9" t="n"/>
      <c r="G833" s="8" t="n"/>
      <c r="H833" s="9" t="n"/>
      <c r="I833" s="9" t="n"/>
      <c r="J833" s="10" t="n"/>
      <c r="K833" s="10" t="n"/>
      <c r="L833" s="11">
        <f>IF($S833="","",IF($S833="ITEM_PRICE_PLUS_DECLARED_DELIVERY",IF(OR($J833="",$K833=""),"",SUM($J833,$K833,$U833)),IF($S833="TOTAL_AMOUNT_INCLUDING_DELIVERY",IF($T833="","",$T833),IF($S833="DELIVERY_CHARGE_ONLY",IF($K833="","",SUM($K833,$U833)),IF($S833="EXACT_COLLECTION_AMOUNT",IF($T833="","",$T833),IF($S833="ITEM_PRICE_ONLY_DELIVERY_PAID_BY_MERCHANT",IF($J833="","",SUM($J833,$U833)),""))))))</f>
        <v/>
      </c>
      <c r="M833" s="12" t="n"/>
      <c r="N833" s="13" t="n"/>
      <c r="O833" s="13" t="n"/>
      <c r="P833" s="9" t="n"/>
      <c r="Q833" s="14" t="n"/>
      <c r="R833" s="15" t="n"/>
      <c r="S833" s="14" t="n"/>
      <c r="T833" s="16" t="n"/>
      <c r="U833" s="16" t="n"/>
      <c r="V833" s="16" t="n"/>
      <c r="W833" s="16" t="n"/>
      <c r="X833" s="16" t="n"/>
      <c r="Y833" s="16" t="n"/>
      <c r="Z833" s="14" t="n"/>
      <c r="AA833" s="14" t="n"/>
      <c r="AB833" s="14" t="n"/>
      <c r="AC833" s="17">
        <f>IFERROR(VLOOKUP($H833&amp;"|"&amp;$Q833,Tariff_Master!$A$2:$L$169,3,FALSE),"")</f>
        <v/>
      </c>
      <c r="AD833" s="17">
        <f>IFERROR(VLOOKUP($H833&amp;"|"&amp;$Q833,Tariff_Master!$A$2:$L$169,4,FALSE),"")</f>
        <v/>
      </c>
      <c r="AE833" s="18">
        <f>IFERROR(VLOOKUP($H833&amp;"|"&amp;$Q833,Tariff_Master!$A$2:$L$169,6,FALSE),"")</f>
        <v/>
      </c>
      <c r="AF833" s="19">
        <f>IFERROR(VLOOKUP($H833&amp;"|"&amp;$Q833,Tariff_Master!$A$2:$L$169,7,FALSE),"")</f>
        <v/>
      </c>
      <c r="AG833" s="18">
        <f>IFERROR(VLOOKUP($H833&amp;"|"&amp;$Q833,Tariff_Master!$A$2:$L$169,8,FALSE),"")</f>
        <v/>
      </c>
      <c r="AH833" s="20">
        <f>IFERROR(VLOOKUP($H833&amp;"|"&amp;$Q833,Tariff_Master!$A$2:$L$169,9,FALSE),"")</f>
        <v/>
      </c>
      <c r="AI833" s="18">
        <f>IFERROR(VLOOKUP($H833&amp;"|"&amp;$Q833,Tariff_Master!$A$2:$L$169,10,FALSE),"")</f>
        <v/>
      </c>
      <c r="AJ833" s="21">
        <f>IF($M833="","",ROUNDUP(MAX(0,$M833),0))</f>
        <v/>
      </c>
      <c r="AK833" s="21">
        <f>IF(OR($AJ833="",$AF833=""),"",MAX(0,$AJ833-$AF833))</f>
        <v/>
      </c>
      <c r="AL833" s="22">
        <f>IF(OR($AK833="",$AG833=""),"",MAX(0,$AK833*$AG833))</f>
        <v/>
      </c>
      <c r="AM833" s="22">
        <f>IF($AE833="","",MAX(0,SUM($AE833,$AL833,$V833,$W833)))</f>
        <v/>
      </c>
      <c r="AN833" s="22">
        <f>IF($AM833="","",IF(AND($Q833="COMMITMENT",$R833&gt;=$AH833),$AI833,0))</f>
        <v/>
      </c>
      <c r="AO833" s="23">
        <f>IF($AM833="","",MAX(0,$AM833-$AN833))</f>
        <v/>
      </c>
      <c r="AP833" s="22">
        <f>IF($S833="","",IF(OR($S833="ITEM_PRICE_PLUS_DECLARED_DELIVERY",$S833="DELIVERY_CHARGE_ONLY"),$K833,IF($S833="TOTAL_AMOUNT_INCLUDING_DELIVERY",IF(OR($T833="",$J833=""),"",MAX(0,$T833-$J833-$U833)),IF($S833="ITEM_PRICE_ONLY_DELIVERY_PAID_BY_MERCHANT",0,""))))</f>
        <v/>
      </c>
      <c r="AQ833" s="23">
        <f>IF(OR($AP833="",$AO833=""),"",$AP833-$AO833)</f>
        <v/>
      </c>
      <c r="AR833" s="24">
        <f>IF($S833="EXACT_COLLECTION_AMOUNT","BREAKDOWN_REQUIRED",IF($AQ833="","",IF($AQ833&gt;0,"CREDIT_TO_MERCHANT",IF($AQ833&lt;0,"DEDUCT_FROM_MERCHANT","NO_ADJUSTMENT"))))</f>
        <v/>
      </c>
      <c r="AS833" s="23">
        <f>IF(OR($AQ833="",$AR833="BREAKDOWN_REQUIRED"),"",$AQ833)</f>
        <v/>
      </c>
      <c r="AT833" s="23">
        <f>IF(OR($AR833="",$AR833="BREAKDOWN_REQUIRED"),"",SUM($J833,$AQ833,$Y833)-$X833)</f>
        <v/>
      </c>
      <c r="AU833" s="25">
        <f>IF(AND($A833="",$B833="",$F833="",$H833="",$J833="",$K833="",$M833="",$S833=""),"",IF(OR($H833="",$Q833="",$M833="",$S833=""),"ERROR",IF(OR($J833&lt;0,$K833&lt;0,$M833&lt;0,$T833&lt;0,$U833&lt;0,$V833&lt;0,$W833&lt;0,$X833&lt;0,$Y833&lt;0),"ERROR",IF($AE833="","ERROR",IF(AND(OR($S833="ITEM_PRICE_PLUS_DECLARED_DELIVERY",$S833="TOTAL_AMOUNT_INCLUDING_DELIVERY",$S833="ITEM_PRICE_ONLY_DELIVERY_PAID_BY_MERCHANT"),$J833=""),"ERROR",IF(AND(OR($S833="ITEM_PRICE_PLUS_DECLARED_DELIVERY",$S833="DELIVERY_CHARGE_ONLY"),$K833=""),"ERROR",IF(AND(OR($S833="TOTAL_AMOUNT_INCLUDING_DELIVERY",$S833="EXACT_COLLECTION_AMOUNT"),$T833=""),"ERROR",IF(AND($S833="TOTAL_AMOUNT_INCLUDING_DELIVERY",$T833&lt;SUM($J833,$U833)),"ERROR",IF($S833="EXACT_COLLECTION_AMOUNT","REVIEW","OK")))))))))</f>
        <v/>
      </c>
      <c r="AV833" s="25">
        <f>IF($AU833="","",IF($H833="","Township required",IF($Q833="","Customer tier required",IF($M833="","Weight required",IF($S833="","Amount entry type required",IF(OR($J833&lt;0,$K833&lt;0,$M833&lt;0,$T833&lt;0,$U833&lt;0,$V833&lt;0,$W833&lt;0,$X833&lt;0,$Y833&lt;0),"Negative amounts are not allowed",IF($AE833="","Tariff not found for township and tier",IF(AND(OR($S833="ITEM_PRICE_PLUS_DECLARED_DELIVERY",$S833="TOTAL_AMOUNT_INCLUDING_DELIVERY",$S833="ITEM_PRICE_ONLY_DELIVERY_PAID_BY_MERCHANT"),$J833=""),"Item price required for this amount type",IF(AND(OR($S833="ITEM_PRICE_PLUS_DECLARED_DELIVERY",$S833="DELIVERY_CHARGE_ONLY"),$K833=""),"Declared delivery charge required",IF(AND(OR($S833="TOTAL_AMOUNT_INCLUDING_DELIVERY",$S833="EXACT_COLLECTION_AMOUNT"),$T833=""),"Stated total amount required",IF(AND($S833="TOTAL_AMOUNT_INCLUDING_DELIVERY",$T833&lt;SUM($J833,$U833)),"Stated total is below item price plus additional charge",IF($S833="EXACT_COLLECTION_AMOUNT","Authorized amount breakdown required before settlement","Ready for collection and settlement"))))))))))))</f>
        <v/>
      </c>
      <c r="AW833" s="23">
        <f>IF($AU833="","","PARCEL_FINANCIAL_V2")</f>
        <v/>
      </c>
      <c r="AX833" s="17" t="n"/>
    </row>
    <row r="834">
      <c r="A834" s="8" t="n"/>
      <c r="B834" s="8" t="n"/>
      <c r="C834" s="8" t="n"/>
      <c r="D834" s="8" t="n"/>
      <c r="E834" s="9" t="n"/>
      <c r="F834" s="9" t="n"/>
      <c r="G834" s="8" t="n"/>
      <c r="H834" s="9" t="n"/>
      <c r="I834" s="9" t="n"/>
      <c r="J834" s="10" t="n"/>
      <c r="K834" s="10" t="n"/>
      <c r="L834" s="11">
        <f>IF($S834="","",IF($S834="ITEM_PRICE_PLUS_DECLARED_DELIVERY",IF(OR($J834="",$K834=""),"",SUM($J834,$K834,$U834)),IF($S834="TOTAL_AMOUNT_INCLUDING_DELIVERY",IF($T834="","",$T834),IF($S834="DELIVERY_CHARGE_ONLY",IF($K834="","",SUM($K834,$U834)),IF($S834="EXACT_COLLECTION_AMOUNT",IF($T834="","",$T834),IF($S834="ITEM_PRICE_ONLY_DELIVERY_PAID_BY_MERCHANT",IF($J834="","",SUM($J834,$U834)),""))))))</f>
        <v/>
      </c>
      <c r="M834" s="12" t="n"/>
      <c r="N834" s="13" t="n"/>
      <c r="O834" s="13" t="n"/>
      <c r="P834" s="9" t="n"/>
      <c r="Q834" s="14" t="n"/>
      <c r="R834" s="15" t="n"/>
      <c r="S834" s="14" t="n"/>
      <c r="T834" s="16" t="n"/>
      <c r="U834" s="16" t="n"/>
      <c r="V834" s="16" t="n"/>
      <c r="W834" s="16" t="n"/>
      <c r="X834" s="16" t="n"/>
      <c r="Y834" s="16" t="n"/>
      <c r="Z834" s="14" t="n"/>
      <c r="AA834" s="14" t="n"/>
      <c r="AB834" s="14" t="n"/>
      <c r="AC834" s="17">
        <f>IFERROR(VLOOKUP($H834&amp;"|"&amp;$Q834,Tariff_Master!$A$2:$L$169,3,FALSE),"")</f>
        <v/>
      </c>
      <c r="AD834" s="17">
        <f>IFERROR(VLOOKUP($H834&amp;"|"&amp;$Q834,Tariff_Master!$A$2:$L$169,4,FALSE),"")</f>
        <v/>
      </c>
      <c r="AE834" s="18">
        <f>IFERROR(VLOOKUP($H834&amp;"|"&amp;$Q834,Tariff_Master!$A$2:$L$169,6,FALSE),"")</f>
        <v/>
      </c>
      <c r="AF834" s="19">
        <f>IFERROR(VLOOKUP($H834&amp;"|"&amp;$Q834,Tariff_Master!$A$2:$L$169,7,FALSE),"")</f>
        <v/>
      </c>
      <c r="AG834" s="18">
        <f>IFERROR(VLOOKUP($H834&amp;"|"&amp;$Q834,Tariff_Master!$A$2:$L$169,8,FALSE),"")</f>
        <v/>
      </c>
      <c r="AH834" s="20">
        <f>IFERROR(VLOOKUP($H834&amp;"|"&amp;$Q834,Tariff_Master!$A$2:$L$169,9,FALSE),"")</f>
        <v/>
      </c>
      <c r="AI834" s="18">
        <f>IFERROR(VLOOKUP($H834&amp;"|"&amp;$Q834,Tariff_Master!$A$2:$L$169,10,FALSE),"")</f>
        <v/>
      </c>
      <c r="AJ834" s="21">
        <f>IF($M834="","",ROUNDUP(MAX(0,$M834),0))</f>
        <v/>
      </c>
      <c r="AK834" s="21">
        <f>IF(OR($AJ834="",$AF834=""),"",MAX(0,$AJ834-$AF834))</f>
        <v/>
      </c>
      <c r="AL834" s="22">
        <f>IF(OR($AK834="",$AG834=""),"",MAX(0,$AK834*$AG834))</f>
        <v/>
      </c>
      <c r="AM834" s="22">
        <f>IF($AE834="","",MAX(0,SUM($AE834,$AL834,$V834,$W834)))</f>
        <v/>
      </c>
      <c r="AN834" s="22">
        <f>IF($AM834="","",IF(AND($Q834="COMMITMENT",$R834&gt;=$AH834),$AI834,0))</f>
        <v/>
      </c>
      <c r="AO834" s="23">
        <f>IF($AM834="","",MAX(0,$AM834-$AN834))</f>
        <v/>
      </c>
      <c r="AP834" s="22">
        <f>IF($S834="","",IF(OR($S834="ITEM_PRICE_PLUS_DECLARED_DELIVERY",$S834="DELIVERY_CHARGE_ONLY"),$K834,IF($S834="TOTAL_AMOUNT_INCLUDING_DELIVERY",IF(OR($T834="",$J834=""),"",MAX(0,$T834-$J834-$U834)),IF($S834="ITEM_PRICE_ONLY_DELIVERY_PAID_BY_MERCHANT",0,""))))</f>
        <v/>
      </c>
      <c r="AQ834" s="23">
        <f>IF(OR($AP834="",$AO834=""),"",$AP834-$AO834)</f>
        <v/>
      </c>
      <c r="AR834" s="24">
        <f>IF($S834="EXACT_COLLECTION_AMOUNT","BREAKDOWN_REQUIRED",IF($AQ834="","",IF($AQ834&gt;0,"CREDIT_TO_MERCHANT",IF($AQ834&lt;0,"DEDUCT_FROM_MERCHANT","NO_ADJUSTMENT"))))</f>
        <v/>
      </c>
      <c r="AS834" s="23">
        <f>IF(OR($AQ834="",$AR834="BREAKDOWN_REQUIRED"),"",$AQ834)</f>
        <v/>
      </c>
      <c r="AT834" s="23">
        <f>IF(OR($AR834="",$AR834="BREAKDOWN_REQUIRED"),"",SUM($J834,$AQ834,$Y834)-$X834)</f>
        <v/>
      </c>
      <c r="AU834" s="25">
        <f>IF(AND($A834="",$B834="",$F834="",$H834="",$J834="",$K834="",$M834="",$S834=""),"",IF(OR($H834="",$Q834="",$M834="",$S834=""),"ERROR",IF(OR($J834&lt;0,$K834&lt;0,$M834&lt;0,$T834&lt;0,$U834&lt;0,$V834&lt;0,$W834&lt;0,$X834&lt;0,$Y834&lt;0),"ERROR",IF($AE834="","ERROR",IF(AND(OR($S834="ITEM_PRICE_PLUS_DECLARED_DELIVERY",$S834="TOTAL_AMOUNT_INCLUDING_DELIVERY",$S834="ITEM_PRICE_ONLY_DELIVERY_PAID_BY_MERCHANT"),$J834=""),"ERROR",IF(AND(OR($S834="ITEM_PRICE_PLUS_DECLARED_DELIVERY",$S834="DELIVERY_CHARGE_ONLY"),$K834=""),"ERROR",IF(AND(OR($S834="TOTAL_AMOUNT_INCLUDING_DELIVERY",$S834="EXACT_COLLECTION_AMOUNT"),$T834=""),"ERROR",IF(AND($S834="TOTAL_AMOUNT_INCLUDING_DELIVERY",$T834&lt;SUM($J834,$U834)),"ERROR",IF($S834="EXACT_COLLECTION_AMOUNT","REVIEW","OK")))))))))</f>
        <v/>
      </c>
      <c r="AV834" s="25">
        <f>IF($AU834="","",IF($H834="","Township required",IF($Q834="","Customer tier required",IF($M834="","Weight required",IF($S834="","Amount entry type required",IF(OR($J834&lt;0,$K834&lt;0,$M834&lt;0,$T834&lt;0,$U834&lt;0,$V834&lt;0,$W834&lt;0,$X834&lt;0,$Y834&lt;0),"Negative amounts are not allowed",IF($AE834="","Tariff not found for township and tier",IF(AND(OR($S834="ITEM_PRICE_PLUS_DECLARED_DELIVERY",$S834="TOTAL_AMOUNT_INCLUDING_DELIVERY",$S834="ITEM_PRICE_ONLY_DELIVERY_PAID_BY_MERCHANT"),$J834=""),"Item price required for this amount type",IF(AND(OR($S834="ITEM_PRICE_PLUS_DECLARED_DELIVERY",$S834="DELIVERY_CHARGE_ONLY"),$K834=""),"Declared delivery charge required",IF(AND(OR($S834="TOTAL_AMOUNT_INCLUDING_DELIVERY",$S834="EXACT_COLLECTION_AMOUNT"),$T834=""),"Stated total amount required",IF(AND($S834="TOTAL_AMOUNT_INCLUDING_DELIVERY",$T834&lt;SUM($J834,$U834)),"Stated total is below item price plus additional charge",IF($S834="EXACT_COLLECTION_AMOUNT","Authorized amount breakdown required before settlement","Ready for collection and settlement"))))))))))))</f>
        <v/>
      </c>
      <c r="AW834" s="23">
        <f>IF($AU834="","","PARCEL_FINANCIAL_V2")</f>
        <v/>
      </c>
      <c r="AX834" s="17" t="n"/>
    </row>
    <row r="835">
      <c r="A835" s="8" t="n"/>
      <c r="B835" s="8" t="n"/>
      <c r="C835" s="8" t="n"/>
      <c r="D835" s="8" t="n"/>
      <c r="E835" s="9" t="n"/>
      <c r="F835" s="9" t="n"/>
      <c r="G835" s="8" t="n"/>
      <c r="H835" s="9" t="n"/>
      <c r="I835" s="9" t="n"/>
      <c r="J835" s="10" t="n"/>
      <c r="K835" s="10" t="n"/>
      <c r="L835" s="11">
        <f>IF($S835="","",IF($S835="ITEM_PRICE_PLUS_DECLARED_DELIVERY",IF(OR($J835="",$K835=""),"",SUM($J835,$K835,$U835)),IF($S835="TOTAL_AMOUNT_INCLUDING_DELIVERY",IF($T835="","",$T835),IF($S835="DELIVERY_CHARGE_ONLY",IF($K835="","",SUM($K835,$U835)),IF($S835="EXACT_COLLECTION_AMOUNT",IF($T835="","",$T835),IF($S835="ITEM_PRICE_ONLY_DELIVERY_PAID_BY_MERCHANT",IF($J835="","",SUM($J835,$U835)),""))))))</f>
        <v/>
      </c>
      <c r="M835" s="12" t="n"/>
      <c r="N835" s="13" t="n"/>
      <c r="O835" s="13" t="n"/>
      <c r="P835" s="9" t="n"/>
      <c r="Q835" s="14" t="n"/>
      <c r="R835" s="15" t="n"/>
      <c r="S835" s="14" t="n"/>
      <c r="T835" s="16" t="n"/>
      <c r="U835" s="16" t="n"/>
      <c r="V835" s="16" t="n"/>
      <c r="W835" s="16" t="n"/>
      <c r="X835" s="16" t="n"/>
      <c r="Y835" s="16" t="n"/>
      <c r="Z835" s="14" t="n"/>
      <c r="AA835" s="14" t="n"/>
      <c r="AB835" s="14" t="n"/>
      <c r="AC835" s="17">
        <f>IFERROR(VLOOKUP($H835&amp;"|"&amp;$Q835,Tariff_Master!$A$2:$L$169,3,FALSE),"")</f>
        <v/>
      </c>
      <c r="AD835" s="17">
        <f>IFERROR(VLOOKUP($H835&amp;"|"&amp;$Q835,Tariff_Master!$A$2:$L$169,4,FALSE),"")</f>
        <v/>
      </c>
      <c r="AE835" s="18">
        <f>IFERROR(VLOOKUP($H835&amp;"|"&amp;$Q835,Tariff_Master!$A$2:$L$169,6,FALSE),"")</f>
        <v/>
      </c>
      <c r="AF835" s="19">
        <f>IFERROR(VLOOKUP($H835&amp;"|"&amp;$Q835,Tariff_Master!$A$2:$L$169,7,FALSE),"")</f>
        <v/>
      </c>
      <c r="AG835" s="18">
        <f>IFERROR(VLOOKUP($H835&amp;"|"&amp;$Q835,Tariff_Master!$A$2:$L$169,8,FALSE),"")</f>
        <v/>
      </c>
      <c r="AH835" s="20">
        <f>IFERROR(VLOOKUP($H835&amp;"|"&amp;$Q835,Tariff_Master!$A$2:$L$169,9,FALSE),"")</f>
        <v/>
      </c>
      <c r="AI835" s="18">
        <f>IFERROR(VLOOKUP($H835&amp;"|"&amp;$Q835,Tariff_Master!$A$2:$L$169,10,FALSE),"")</f>
        <v/>
      </c>
      <c r="AJ835" s="21">
        <f>IF($M835="","",ROUNDUP(MAX(0,$M835),0))</f>
        <v/>
      </c>
      <c r="AK835" s="21">
        <f>IF(OR($AJ835="",$AF835=""),"",MAX(0,$AJ835-$AF835))</f>
        <v/>
      </c>
      <c r="AL835" s="22">
        <f>IF(OR($AK835="",$AG835=""),"",MAX(0,$AK835*$AG835))</f>
        <v/>
      </c>
      <c r="AM835" s="22">
        <f>IF($AE835="","",MAX(0,SUM($AE835,$AL835,$V835,$W835)))</f>
        <v/>
      </c>
      <c r="AN835" s="22">
        <f>IF($AM835="","",IF(AND($Q835="COMMITMENT",$R835&gt;=$AH835),$AI835,0))</f>
        <v/>
      </c>
      <c r="AO835" s="23">
        <f>IF($AM835="","",MAX(0,$AM835-$AN835))</f>
        <v/>
      </c>
      <c r="AP835" s="22">
        <f>IF($S835="","",IF(OR($S835="ITEM_PRICE_PLUS_DECLARED_DELIVERY",$S835="DELIVERY_CHARGE_ONLY"),$K835,IF($S835="TOTAL_AMOUNT_INCLUDING_DELIVERY",IF(OR($T835="",$J835=""),"",MAX(0,$T835-$J835-$U835)),IF($S835="ITEM_PRICE_ONLY_DELIVERY_PAID_BY_MERCHANT",0,""))))</f>
        <v/>
      </c>
      <c r="AQ835" s="23">
        <f>IF(OR($AP835="",$AO835=""),"",$AP835-$AO835)</f>
        <v/>
      </c>
      <c r="AR835" s="24">
        <f>IF($S835="EXACT_COLLECTION_AMOUNT","BREAKDOWN_REQUIRED",IF($AQ835="","",IF($AQ835&gt;0,"CREDIT_TO_MERCHANT",IF($AQ835&lt;0,"DEDUCT_FROM_MERCHANT","NO_ADJUSTMENT"))))</f>
        <v/>
      </c>
      <c r="AS835" s="23">
        <f>IF(OR($AQ835="",$AR835="BREAKDOWN_REQUIRED"),"",$AQ835)</f>
        <v/>
      </c>
      <c r="AT835" s="23">
        <f>IF(OR($AR835="",$AR835="BREAKDOWN_REQUIRED"),"",SUM($J835,$AQ835,$Y835)-$X835)</f>
        <v/>
      </c>
      <c r="AU835" s="25">
        <f>IF(AND($A835="",$B835="",$F835="",$H835="",$J835="",$K835="",$M835="",$S835=""),"",IF(OR($H835="",$Q835="",$M835="",$S835=""),"ERROR",IF(OR($J835&lt;0,$K835&lt;0,$M835&lt;0,$T835&lt;0,$U835&lt;0,$V835&lt;0,$W835&lt;0,$X835&lt;0,$Y835&lt;0),"ERROR",IF($AE835="","ERROR",IF(AND(OR($S835="ITEM_PRICE_PLUS_DECLARED_DELIVERY",$S835="TOTAL_AMOUNT_INCLUDING_DELIVERY",$S835="ITEM_PRICE_ONLY_DELIVERY_PAID_BY_MERCHANT"),$J835=""),"ERROR",IF(AND(OR($S835="ITEM_PRICE_PLUS_DECLARED_DELIVERY",$S835="DELIVERY_CHARGE_ONLY"),$K835=""),"ERROR",IF(AND(OR($S835="TOTAL_AMOUNT_INCLUDING_DELIVERY",$S835="EXACT_COLLECTION_AMOUNT"),$T835=""),"ERROR",IF(AND($S835="TOTAL_AMOUNT_INCLUDING_DELIVERY",$T835&lt;SUM($J835,$U835)),"ERROR",IF($S835="EXACT_COLLECTION_AMOUNT","REVIEW","OK")))))))))</f>
        <v/>
      </c>
      <c r="AV835" s="25">
        <f>IF($AU835="","",IF($H835="","Township required",IF($Q835="","Customer tier required",IF($M835="","Weight required",IF($S835="","Amount entry type required",IF(OR($J835&lt;0,$K835&lt;0,$M835&lt;0,$T835&lt;0,$U835&lt;0,$V835&lt;0,$W835&lt;0,$X835&lt;0,$Y835&lt;0),"Negative amounts are not allowed",IF($AE835="","Tariff not found for township and tier",IF(AND(OR($S835="ITEM_PRICE_PLUS_DECLARED_DELIVERY",$S835="TOTAL_AMOUNT_INCLUDING_DELIVERY",$S835="ITEM_PRICE_ONLY_DELIVERY_PAID_BY_MERCHANT"),$J835=""),"Item price required for this amount type",IF(AND(OR($S835="ITEM_PRICE_PLUS_DECLARED_DELIVERY",$S835="DELIVERY_CHARGE_ONLY"),$K835=""),"Declared delivery charge required",IF(AND(OR($S835="TOTAL_AMOUNT_INCLUDING_DELIVERY",$S835="EXACT_COLLECTION_AMOUNT"),$T835=""),"Stated total amount required",IF(AND($S835="TOTAL_AMOUNT_INCLUDING_DELIVERY",$T835&lt;SUM($J835,$U835)),"Stated total is below item price plus additional charge",IF($S835="EXACT_COLLECTION_AMOUNT","Authorized amount breakdown required before settlement","Ready for collection and settlement"))))))))))))</f>
        <v/>
      </c>
      <c r="AW835" s="23">
        <f>IF($AU835="","","PARCEL_FINANCIAL_V2")</f>
        <v/>
      </c>
      <c r="AX835" s="17" t="n"/>
    </row>
    <row r="836">
      <c r="A836" s="8" t="n"/>
      <c r="B836" s="8" t="n"/>
      <c r="C836" s="8" t="n"/>
      <c r="D836" s="8" t="n"/>
      <c r="E836" s="9" t="n"/>
      <c r="F836" s="9" t="n"/>
      <c r="G836" s="8" t="n"/>
      <c r="H836" s="9" t="n"/>
      <c r="I836" s="9" t="n"/>
      <c r="J836" s="10" t="n"/>
      <c r="K836" s="10" t="n"/>
      <c r="L836" s="11">
        <f>IF($S836="","",IF($S836="ITEM_PRICE_PLUS_DECLARED_DELIVERY",IF(OR($J836="",$K836=""),"",SUM($J836,$K836,$U836)),IF($S836="TOTAL_AMOUNT_INCLUDING_DELIVERY",IF($T836="","",$T836),IF($S836="DELIVERY_CHARGE_ONLY",IF($K836="","",SUM($K836,$U836)),IF($S836="EXACT_COLLECTION_AMOUNT",IF($T836="","",$T836),IF($S836="ITEM_PRICE_ONLY_DELIVERY_PAID_BY_MERCHANT",IF($J836="","",SUM($J836,$U836)),""))))))</f>
        <v/>
      </c>
      <c r="M836" s="12" t="n"/>
      <c r="N836" s="13" t="n"/>
      <c r="O836" s="13" t="n"/>
      <c r="P836" s="9" t="n"/>
      <c r="Q836" s="14" t="n"/>
      <c r="R836" s="15" t="n"/>
      <c r="S836" s="14" t="n"/>
      <c r="T836" s="16" t="n"/>
      <c r="U836" s="16" t="n"/>
      <c r="V836" s="16" t="n"/>
      <c r="W836" s="16" t="n"/>
      <c r="X836" s="16" t="n"/>
      <c r="Y836" s="16" t="n"/>
      <c r="Z836" s="14" t="n"/>
      <c r="AA836" s="14" t="n"/>
      <c r="AB836" s="14" t="n"/>
      <c r="AC836" s="17">
        <f>IFERROR(VLOOKUP($H836&amp;"|"&amp;$Q836,Tariff_Master!$A$2:$L$169,3,FALSE),"")</f>
        <v/>
      </c>
      <c r="AD836" s="17">
        <f>IFERROR(VLOOKUP($H836&amp;"|"&amp;$Q836,Tariff_Master!$A$2:$L$169,4,FALSE),"")</f>
        <v/>
      </c>
      <c r="AE836" s="18">
        <f>IFERROR(VLOOKUP($H836&amp;"|"&amp;$Q836,Tariff_Master!$A$2:$L$169,6,FALSE),"")</f>
        <v/>
      </c>
      <c r="AF836" s="19">
        <f>IFERROR(VLOOKUP($H836&amp;"|"&amp;$Q836,Tariff_Master!$A$2:$L$169,7,FALSE),"")</f>
        <v/>
      </c>
      <c r="AG836" s="18">
        <f>IFERROR(VLOOKUP($H836&amp;"|"&amp;$Q836,Tariff_Master!$A$2:$L$169,8,FALSE),"")</f>
        <v/>
      </c>
      <c r="AH836" s="20">
        <f>IFERROR(VLOOKUP($H836&amp;"|"&amp;$Q836,Tariff_Master!$A$2:$L$169,9,FALSE),"")</f>
        <v/>
      </c>
      <c r="AI836" s="18">
        <f>IFERROR(VLOOKUP($H836&amp;"|"&amp;$Q836,Tariff_Master!$A$2:$L$169,10,FALSE),"")</f>
        <v/>
      </c>
      <c r="AJ836" s="21">
        <f>IF($M836="","",ROUNDUP(MAX(0,$M836),0))</f>
        <v/>
      </c>
      <c r="AK836" s="21">
        <f>IF(OR($AJ836="",$AF836=""),"",MAX(0,$AJ836-$AF836))</f>
        <v/>
      </c>
      <c r="AL836" s="22">
        <f>IF(OR($AK836="",$AG836=""),"",MAX(0,$AK836*$AG836))</f>
        <v/>
      </c>
      <c r="AM836" s="22">
        <f>IF($AE836="","",MAX(0,SUM($AE836,$AL836,$V836,$W836)))</f>
        <v/>
      </c>
      <c r="AN836" s="22">
        <f>IF($AM836="","",IF(AND($Q836="COMMITMENT",$R836&gt;=$AH836),$AI836,0))</f>
        <v/>
      </c>
      <c r="AO836" s="23">
        <f>IF($AM836="","",MAX(0,$AM836-$AN836))</f>
        <v/>
      </c>
      <c r="AP836" s="22">
        <f>IF($S836="","",IF(OR($S836="ITEM_PRICE_PLUS_DECLARED_DELIVERY",$S836="DELIVERY_CHARGE_ONLY"),$K836,IF($S836="TOTAL_AMOUNT_INCLUDING_DELIVERY",IF(OR($T836="",$J836=""),"",MAX(0,$T836-$J836-$U836)),IF($S836="ITEM_PRICE_ONLY_DELIVERY_PAID_BY_MERCHANT",0,""))))</f>
        <v/>
      </c>
      <c r="AQ836" s="23">
        <f>IF(OR($AP836="",$AO836=""),"",$AP836-$AO836)</f>
        <v/>
      </c>
      <c r="AR836" s="24">
        <f>IF($S836="EXACT_COLLECTION_AMOUNT","BREAKDOWN_REQUIRED",IF($AQ836="","",IF($AQ836&gt;0,"CREDIT_TO_MERCHANT",IF($AQ836&lt;0,"DEDUCT_FROM_MERCHANT","NO_ADJUSTMENT"))))</f>
        <v/>
      </c>
      <c r="AS836" s="23">
        <f>IF(OR($AQ836="",$AR836="BREAKDOWN_REQUIRED"),"",$AQ836)</f>
        <v/>
      </c>
      <c r="AT836" s="23">
        <f>IF(OR($AR836="",$AR836="BREAKDOWN_REQUIRED"),"",SUM($J836,$AQ836,$Y836)-$X836)</f>
        <v/>
      </c>
      <c r="AU836" s="25">
        <f>IF(AND($A836="",$B836="",$F836="",$H836="",$J836="",$K836="",$M836="",$S836=""),"",IF(OR($H836="",$Q836="",$M836="",$S836=""),"ERROR",IF(OR($J836&lt;0,$K836&lt;0,$M836&lt;0,$T836&lt;0,$U836&lt;0,$V836&lt;0,$W836&lt;0,$X836&lt;0,$Y836&lt;0),"ERROR",IF($AE836="","ERROR",IF(AND(OR($S836="ITEM_PRICE_PLUS_DECLARED_DELIVERY",$S836="TOTAL_AMOUNT_INCLUDING_DELIVERY",$S836="ITEM_PRICE_ONLY_DELIVERY_PAID_BY_MERCHANT"),$J836=""),"ERROR",IF(AND(OR($S836="ITEM_PRICE_PLUS_DECLARED_DELIVERY",$S836="DELIVERY_CHARGE_ONLY"),$K836=""),"ERROR",IF(AND(OR($S836="TOTAL_AMOUNT_INCLUDING_DELIVERY",$S836="EXACT_COLLECTION_AMOUNT"),$T836=""),"ERROR",IF(AND($S836="TOTAL_AMOUNT_INCLUDING_DELIVERY",$T836&lt;SUM($J836,$U836)),"ERROR",IF($S836="EXACT_COLLECTION_AMOUNT","REVIEW","OK")))))))))</f>
        <v/>
      </c>
      <c r="AV836" s="25">
        <f>IF($AU836="","",IF($H836="","Township required",IF($Q836="","Customer tier required",IF($M836="","Weight required",IF($S836="","Amount entry type required",IF(OR($J836&lt;0,$K836&lt;0,$M836&lt;0,$T836&lt;0,$U836&lt;0,$V836&lt;0,$W836&lt;0,$X836&lt;0,$Y836&lt;0),"Negative amounts are not allowed",IF($AE836="","Tariff not found for township and tier",IF(AND(OR($S836="ITEM_PRICE_PLUS_DECLARED_DELIVERY",$S836="TOTAL_AMOUNT_INCLUDING_DELIVERY",$S836="ITEM_PRICE_ONLY_DELIVERY_PAID_BY_MERCHANT"),$J836=""),"Item price required for this amount type",IF(AND(OR($S836="ITEM_PRICE_PLUS_DECLARED_DELIVERY",$S836="DELIVERY_CHARGE_ONLY"),$K836=""),"Declared delivery charge required",IF(AND(OR($S836="TOTAL_AMOUNT_INCLUDING_DELIVERY",$S836="EXACT_COLLECTION_AMOUNT"),$T836=""),"Stated total amount required",IF(AND($S836="TOTAL_AMOUNT_INCLUDING_DELIVERY",$T836&lt;SUM($J836,$U836)),"Stated total is below item price plus additional charge",IF($S836="EXACT_COLLECTION_AMOUNT","Authorized amount breakdown required before settlement","Ready for collection and settlement"))))))))))))</f>
        <v/>
      </c>
      <c r="AW836" s="23">
        <f>IF($AU836="","","PARCEL_FINANCIAL_V2")</f>
        <v/>
      </c>
      <c r="AX836" s="17" t="n"/>
    </row>
    <row r="837">
      <c r="A837" s="8" t="n"/>
      <c r="B837" s="8" t="n"/>
      <c r="C837" s="8" t="n"/>
      <c r="D837" s="8" t="n"/>
      <c r="E837" s="9" t="n"/>
      <c r="F837" s="9" t="n"/>
      <c r="G837" s="8" t="n"/>
      <c r="H837" s="9" t="n"/>
      <c r="I837" s="9" t="n"/>
      <c r="J837" s="10" t="n"/>
      <c r="K837" s="10" t="n"/>
      <c r="L837" s="11">
        <f>IF($S837="","",IF($S837="ITEM_PRICE_PLUS_DECLARED_DELIVERY",IF(OR($J837="",$K837=""),"",SUM($J837,$K837,$U837)),IF($S837="TOTAL_AMOUNT_INCLUDING_DELIVERY",IF($T837="","",$T837),IF($S837="DELIVERY_CHARGE_ONLY",IF($K837="","",SUM($K837,$U837)),IF($S837="EXACT_COLLECTION_AMOUNT",IF($T837="","",$T837),IF($S837="ITEM_PRICE_ONLY_DELIVERY_PAID_BY_MERCHANT",IF($J837="","",SUM($J837,$U837)),""))))))</f>
        <v/>
      </c>
      <c r="M837" s="12" t="n"/>
      <c r="N837" s="13" t="n"/>
      <c r="O837" s="13" t="n"/>
      <c r="P837" s="9" t="n"/>
      <c r="Q837" s="14" t="n"/>
      <c r="R837" s="15" t="n"/>
      <c r="S837" s="14" t="n"/>
      <c r="T837" s="16" t="n"/>
      <c r="U837" s="16" t="n"/>
      <c r="V837" s="16" t="n"/>
      <c r="W837" s="16" t="n"/>
      <c r="X837" s="16" t="n"/>
      <c r="Y837" s="16" t="n"/>
      <c r="Z837" s="14" t="n"/>
      <c r="AA837" s="14" t="n"/>
      <c r="AB837" s="14" t="n"/>
      <c r="AC837" s="17">
        <f>IFERROR(VLOOKUP($H837&amp;"|"&amp;$Q837,Tariff_Master!$A$2:$L$169,3,FALSE),"")</f>
        <v/>
      </c>
      <c r="AD837" s="17">
        <f>IFERROR(VLOOKUP($H837&amp;"|"&amp;$Q837,Tariff_Master!$A$2:$L$169,4,FALSE),"")</f>
        <v/>
      </c>
      <c r="AE837" s="18">
        <f>IFERROR(VLOOKUP($H837&amp;"|"&amp;$Q837,Tariff_Master!$A$2:$L$169,6,FALSE),"")</f>
        <v/>
      </c>
      <c r="AF837" s="19">
        <f>IFERROR(VLOOKUP($H837&amp;"|"&amp;$Q837,Tariff_Master!$A$2:$L$169,7,FALSE),"")</f>
        <v/>
      </c>
      <c r="AG837" s="18">
        <f>IFERROR(VLOOKUP($H837&amp;"|"&amp;$Q837,Tariff_Master!$A$2:$L$169,8,FALSE),"")</f>
        <v/>
      </c>
      <c r="AH837" s="20">
        <f>IFERROR(VLOOKUP($H837&amp;"|"&amp;$Q837,Tariff_Master!$A$2:$L$169,9,FALSE),"")</f>
        <v/>
      </c>
      <c r="AI837" s="18">
        <f>IFERROR(VLOOKUP($H837&amp;"|"&amp;$Q837,Tariff_Master!$A$2:$L$169,10,FALSE),"")</f>
        <v/>
      </c>
      <c r="AJ837" s="21">
        <f>IF($M837="","",ROUNDUP(MAX(0,$M837),0))</f>
        <v/>
      </c>
      <c r="AK837" s="21">
        <f>IF(OR($AJ837="",$AF837=""),"",MAX(0,$AJ837-$AF837))</f>
        <v/>
      </c>
      <c r="AL837" s="22">
        <f>IF(OR($AK837="",$AG837=""),"",MAX(0,$AK837*$AG837))</f>
        <v/>
      </c>
      <c r="AM837" s="22">
        <f>IF($AE837="","",MAX(0,SUM($AE837,$AL837,$V837,$W837)))</f>
        <v/>
      </c>
      <c r="AN837" s="22">
        <f>IF($AM837="","",IF(AND($Q837="COMMITMENT",$R837&gt;=$AH837),$AI837,0))</f>
        <v/>
      </c>
      <c r="AO837" s="23">
        <f>IF($AM837="","",MAX(0,$AM837-$AN837))</f>
        <v/>
      </c>
      <c r="AP837" s="22">
        <f>IF($S837="","",IF(OR($S837="ITEM_PRICE_PLUS_DECLARED_DELIVERY",$S837="DELIVERY_CHARGE_ONLY"),$K837,IF($S837="TOTAL_AMOUNT_INCLUDING_DELIVERY",IF(OR($T837="",$J837=""),"",MAX(0,$T837-$J837-$U837)),IF($S837="ITEM_PRICE_ONLY_DELIVERY_PAID_BY_MERCHANT",0,""))))</f>
        <v/>
      </c>
      <c r="AQ837" s="23">
        <f>IF(OR($AP837="",$AO837=""),"",$AP837-$AO837)</f>
        <v/>
      </c>
      <c r="AR837" s="24">
        <f>IF($S837="EXACT_COLLECTION_AMOUNT","BREAKDOWN_REQUIRED",IF($AQ837="","",IF($AQ837&gt;0,"CREDIT_TO_MERCHANT",IF($AQ837&lt;0,"DEDUCT_FROM_MERCHANT","NO_ADJUSTMENT"))))</f>
        <v/>
      </c>
      <c r="AS837" s="23">
        <f>IF(OR($AQ837="",$AR837="BREAKDOWN_REQUIRED"),"",$AQ837)</f>
        <v/>
      </c>
      <c r="AT837" s="23">
        <f>IF(OR($AR837="",$AR837="BREAKDOWN_REQUIRED"),"",SUM($J837,$AQ837,$Y837)-$X837)</f>
        <v/>
      </c>
      <c r="AU837" s="25">
        <f>IF(AND($A837="",$B837="",$F837="",$H837="",$J837="",$K837="",$M837="",$S837=""),"",IF(OR($H837="",$Q837="",$M837="",$S837=""),"ERROR",IF(OR($J837&lt;0,$K837&lt;0,$M837&lt;0,$T837&lt;0,$U837&lt;0,$V837&lt;0,$W837&lt;0,$X837&lt;0,$Y837&lt;0),"ERROR",IF($AE837="","ERROR",IF(AND(OR($S837="ITEM_PRICE_PLUS_DECLARED_DELIVERY",$S837="TOTAL_AMOUNT_INCLUDING_DELIVERY",$S837="ITEM_PRICE_ONLY_DELIVERY_PAID_BY_MERCHANT"),$J837=""),"ERROR",IF(AND(OR($S837="ITEM_PRICE_PLUS_DECLARED_DELIVERY",$S837="DELIVERY_CHARGE_ONLY"),$K837=""),"ERROR",IF(AND(OR($S837="TOTAL_AMOUNT_INCLUDING_DELIVERY",$S837="EXACT_COLLECTION_AMOUNT"),$T837=""),"ERROR",IF(AND($S837="TOTAL_AMOUNT_INCLUDING_DELIVERY",$T837&lt;SUM($J837,$U837)),"ERROR",IF($S837="EXACT_COLLECTION_AMOUNT","REVIEW","OK")))))))))</f>
        <v/>
      </c>
      <c r="AV837" s="25">
        <f>IF($AU837="","",IF($H837="","Township required",IF($Q837="","Customer tier required",IF($M837="","Weight required",IF($S837="","Amount entry type required",IF(OR($J837&lt;0,$K837&lt;0,$M837&lt;0,$T837&lt;0,$U837&lt;0,$V837&lt;0,$W837&lt;0,$X837&lt;0,$Y837&lt;0),"Negative amounts are not allowed",IF($AE837="","Tariff not found for township and tier",IF(AND(OR($S837="ITEM_PRICE_PLUS_DECLARED_DELIVERY",$S837="TOTAL_AMOUNT_INCLUDING_DELIVERY",$S837="ITEM_PRICE_ONLY_DELIVERY_PAID_BY_MERCHANT"),$J837=""),"Item price required for this amount type",IF(AND(OR($S837="ITEM_PRICE_PLUS_DECLARED_DELIVERY",$S837="DELIVERY_CHARGE_ONLY"),$K837=""),"Declared delivery charge required",IF(AND(OR($S837="TOTAL_AMOUNT_INCLUDING_DELIVERY",$S837="EXACT_COLLECTION_AMOUNT"),$T837=""),"Stated total amount required",IF(AND($S837="TOTAL_AMOUNT_INCLUDING_DELIVERY",$T837&lt;SUM($J837,$U837)),"Stated total is below item price plus additional charge",IF($S837="EXACT_COLLECTION_AMOUNT","Authorized amount breakdown required before settlement","Ready for collection and settlement"))))))))))))</f>
        <v/>
      </c>
      <c r="AW837" s="23">
        <f>IF($AU837="","","PARCEL_FINANCIAL_V2")</f>
        <v/>
      </c>
      <c r="AX837" s="17" t="n"/>
    </row>
    <row r="838">
      <c r="A838" s="8" t="n"/>
      <c r="B838" s="8" t="n"/>
      <c r="C838" s="8" t="n"/>
      <c r="D838" s="8" t="n"/>
      <c r="E838" s="9" t="n"/>
      <c r="F838" s="9" t="n"/>
      <c r="G838" s="8" t="n"/>
      <c r="H838" s="9" t="n"/>
      <c r="I838" s="9" t="n"/>
      <c r="J838" s="10" t="n"/>
      <c r="K838" s="10" t="n"/>
      <c r="L838" s="11">
        <f>IF($S838="","",IF($S838="ITEM_PRICE_PLUS_DECLARED_DELIVERY",IF(OR($J838="",$K838=""),"",SUM($J838,$K838,$U838)),IF($S838="TOTAL_AMOUNT_INCLUDING_DELIVERY",IF($T838="","",$T838),IF($S838="DELIVERY_CHARGE_ONLY",IF($K838="","",SUM($K838,$U838)),IF($S838="EXACT_COLLECTION_AMOUNT",IF($T838="","",$T838),IF($S838="ITEM_PRICE_ONLY_DELIVERY_PAID_BY_MERCHANT",IF($J838="","",SUM($J838,$U838)),""))))))</f>
        <v/>
      </c>
      <c r="M838" s="12" t="n"/>
      <c r="N838" s="13" t="n"/>
      <c r="O838" s="13" t="n"/>
      <c r="P838" s="9" t="n"/>
      <c r="Q838" s="14" t="n"/>
      <c r="R838" s="15" t="n"/>
      <c r="S838" s="14" t="n"/>
      <c r="T838" s="16" t="n"/>
      <c r="U838" s="16" t="n"/>
      <c r="V838" s="16" t="n"/>
      <c r="W838" s="16" t="n"/>
      <c r="X838" s="16" t="n"/>
      <c r="Y838" s="16" t="n"/>
      <c r="Z838" s="14" t="n"/>
      <c r="AA838" s="14" t="n"/>
      <c r="AB838" s="14" t="n"/>
      <c r="AC838" s="17">
        <f>IFERROR(VLOOKUP($H838&amp;"|"&amp;$Q838,Tariff_Master!$A$2:$L$169,3,FALSE),"")</f>
        <v/>
      </c>
      <c r="AD838" s="17">
        <f>IFERROR(VLOOKUP($H838&amp;"|"&amp;$Q838,Tariff_Master!$A$2:$L$169,4,FALSE),"")</f>
        <v/>
      </c>
      <c r="AE838" s="18">
        <f>IFERROR(VLOOKUP($H838&amp;"|"&amp;$Q838,Tariff_Master!$A$2:$L$169,6,FALSE),"")</f>
        <v/>
      </c>
      <c r="AF838" s="19">
        <f>IFERROR(VLOOKUP($H838&amp;"|"&amp;$Q838,Tariff_Master!$A$2:$L$169,7,FALSE),"")</f>
        <v/>
      </c>
      <c r="AG838" s="18">
        <f>IFERROR(VLOOKUP($H838&amp;"|"&amp;$Q838,Tariff_Master!$A$2:$L$169,8,FALSE),"")</f>
        <v/>
      </c>
      <c r="AH838" s="20">
        <f>IFERROR(VLOOKUP($H838&amp;"|"&amp;$Q838,Tariff_Master!$A$2:$L$169,9,FALSE),"")</f>
        <v/>
      </c>
      <c r="AI838" s="18">
        <f>IFERROR(VLOOKUP($H838&amp;"|"&amp;$Q838,Tariff_Master!$A$2:$L$169,10,FALSE),"")</f>
        <v/>
      </c>
      <c r="AJ838" s="21">
        <f>IF($M838="","",ROUNDUP(MAX(0,$M838),0))</f>
        <v/>
      </c>
      <c r="AK838" s="21">
        <f>IF(OR($AJ838="",$AF838=""),"",MAX(0,$AJ838-$AF838))</f>
        <v/>
      </c>
      <c r="AL838" s="22">
        <f>IF(OR($AK838="",$AG838=""),"",MAX(0,$AK838*$AG838))</f>
        <v/>
      </c>
      <c r="AM838" s="22">
        <f>IF($AE838="","",MAX(0,SUM($AE838,$AL838,$V838,$W838)))</f>
        <v/>
      </c>
      <c r="AN838" s="22">
        <f>IF($AM838="","",IF(AND($Q838="COMMITMENT",$R838&gt;=$AH838),$AI838,0))</f>
        <v/>
      </c>
      <c r="AO838" s="23">
        <f>IF($AM838="","",MAX(0,$AM838-$AN838))</f>
        <v/>
      </c>
      <c r="AP838" s="22">
        <f>IF($S838="","",IF(OR($S838="ITEM_PRICE_PLUS_DECLARED_DELIVERY",$S838="DELIVERY_CHARGE_ONLY"),$K838,IF($S838="TOTAL_AMOUNT_INCLUDING_DELIVERY",IF(OR($T838="",$J838=""),"",MAX(0,$T838-$J838-$U838)),IF($S838="ITEM_PRICE_ONLY_DELIVERY_PAID_BY_MERCHANT",0,""))))</f>
        <v/>
      </c>
      <c r="AQ838" s="23">
        <f>IF(OR($AP838="",$AO838=""),"",$AP838-$AO838)</f>
        <v/>
      </c>
      <c r="AR838" s="24">
        <f>IF($S838="EXACT_COLLECTION_AMOUNT","BREAKDOWN_REQUIRED",IF($AQ838="","",IF($AQ838&gt;0,"CREDIT_TO_MERCHANT",IF($AQ838&lt;0,"DEDUCT_FROM_MERCHANT","NO_ADJUSTMENT"))))</f>
        <v/>
      </c>
      <c r="AS838" s="23">
        <f>IF(OR($AQ838="",$AR838="BREAKDOWN_REQUIRED"),"",$AQ838)</f>
        <v/>
      </c>
      <c r="AT838" s="23">
        <f>IF(OR($AR838="",$AR838="BREAKDOWN_REQUIRED"),"",SUM($J838,$AQ838,$Y838)-$X838)</f>
        <v/>
      </c>
      <c r="AU838" s="25">
        <f>IF(AND($A838="",$B838="",$F838="",$H838="",$J838="",$K838="",$M838="",$S838=""),"",IF(OR($H838="",$Q838="",$M838="",$S838=""),"ERROR",IF(OR($J838&lt;0,$K838&lt;0,$M838&lt;0,$T838&lt;0,$U838&lt;0,$V838&lt;0,$W838&lt;0,$X838&lt;0,$Y838&lt;0),"ERROR",IF($AE838="","ERROR",IF(AND(OR($S838="ITEM_PRICE_PLUS_DECLARED_DELIVERY",$S838="TOTAL_AMOUNT_INCLUDING_DELIVERY",$S838="ITEM_PRICE_ONLY_DELIVERY_PAID_BY_MERCHANT"),$J838=""),"ERROR",IF(AND(OR($S838="ITEM_PRICE_PLUS_DECLARED_DELIVERY",$S838="DELIVERY_CHARGE_ONLY"),$K838=""),"ERROR",IF(AND(OR($S838="TOTAL_AMOUNT_INCLUDING_DELIVERY",$S838="EXACT_COLLECTION_AMOUNT"),$T838=""),"ERROR",IF(AND($S838="TOTAL_AMOUNT_INCLUDING_DELIVERY",$T838&lt;SUM($J838,$U838)),"ERROR",IF($S838="EXACT_COLLECTION_AMOUNT","REVIEW","OK")))))))))</f>
        <v/>
      </c>
      <c r="AV838" s="25">
        <f>IF($AU838="","",IF($H838="","Township required",IF($Q838="","Customer tier required",IF($M838="","Weight required",IF($S838="","Amount entry type required",IF(OR($J838&lt;0,$K838&lt;0,$M838&lt;0,$T838&lt;0,$U838&lt;0,$V838&lt;0,$W838&lt;0,$X838&lt;0,$Y838&lt;0),"Negative amounts are not allowed",IF($AE838="","Tariff not found for township and tier",IF(AND(OR($S838="ITEM_PRICE_PLUS_DECLARED_DELIVERY",$S838="TOTAL_AMOUNT_INCLUDING_DELIVERY",$S838="ITEM_PRICE_ONLY_DELIVERY_PAID_BY_MERCHANT"),$J838=""),"Item price required for this amount type",IF(AND(OR($S838="ITEM_PRICE_PLUS_DECLARED_DELIVERY",$S838="DELIVERY_CHARGE_ONLY"),$K838=""),"Declared delivery charge required",IF(AND(OR($S838="TOTAL_AMOUNT_INCLUDING_DELIVERY",$S838="EXACT_COLLECTION_AMOUNT"),$T838=""),"Stated total amount required",IF(AND($S838="TOTAL_AMOUNT_INCLUDING_DELIVERY",$T838&lt;SUM($J838,$U838)),"Stated total is below item price plus additional charge",IF($S838="EXACT_COLLECTION_AMOUNT","Authorized amount breakdown required before settlement","Ready for collection and settlement"))))))))))))</f>
        <v/>
      </c>
      <c r="AW838" s="23">
        <f>IF($AU838="","","PARCEL_FINANCIAL_V2")</f>
        <v/>
      </c>
      <c r="AX838" s="17" t="n"/>
    </row>
    <row r="839">
      <c r="A839" s="8" t="n"/>
      <c r="B839" s="8" t="n"/>
      <c r="C839" s="8" t="n"/>
      <c r="D839" s="8" t="n"/>
      <c r="E839" s="9" t="n"/>
      <c r="F839" s="9" t="n"/>
      <c r="G839" s="8" t="n"/>
      <c r="H839" s="9" t="n"/>
      <c r="I839" s="9" t="n"/>
      <c r="J839" s="10" t="n"/>
      <c r="K839" s="10" t="n"/>
      <c r="L839" s="11">
        <f>IF($S839="","",IF($S839="ITEM_PRICE_PLUS_DECLARED_DELIVERY",IF(OR($J839="",$K839=""),"",SUM($J839,$K839,$U839)),IF($S839="TOTAL_AMOUNT_INCLUDING_DELIVERY",IF($T839="","",$T839),IF($S839="DELIVERY_CHARGE_ONLY",IF($K839="","",SUM($K839,$U839)),IF($S839="EXACT_COLLECTION_AMOUNT",IF($T839="","",$T839),IF($S839="ITEM_PRICE_ONLY_DELIVERY_PAID_BY_MERCHANT",IF($J839="","",SUM($J839,$U839)),""))))))</f>
        <v/>
      </c>
      <c r="M839" s="12" t="n"/>
      <c r="N839" s="13" t="n"/>
      <c r="O839" s="13" t="n"/>
      <c r="P839" s="9" t="n"/>
      <c r="Q839" s="14" t="n"/>
      <c r="R839" s="15" t="n"/>
      <c r="S839" s="14" t="n"/>
      <c r="T839" s="16" t="n"/>
      <c r="U839" s="16" t="n"/>
      <c r="V839" s="16" t="n"/>
      <c r="W839" s="16" t="n"/>
      <c r="X839" s="16" t="n"/>
      <c r="Y839" s="16" t="n"/>
      <c r="Z839" s="14" t="n"/>
      <c r="AA839" s="14" t="n"/>
      <c r="AB839" s="14" t="n"/>
      <c r="AC839" s="17">
        <f>IFERROR(VLOOKUP($H839&amp;"|"&amp;$Q839,Tariff_Master!$A$2:$L$169,3,FALSE),"")</f>
        <v/>
      </c>
      <c r="AD839" s="17">
        <f>IFERROR(VLOOKUP($H839&amp;"|"&amp;$Q839,Tariff_Master!$A$2:$L$169,4,FALSE),"")</f>
        <v/>
      </c>
      <c r="AE839" s="18">
        <f>IFERROR(VLOOKUP($H839&amp;"|"&amp;$Q839,Tariff_Master!$A$2:$L$169,6,FALSE),"")</f>
        <v/>
      </c>
      <c r="AF839" s="19">
        <f>IFERROR(VLOOKUP($H839&amp;"|"&amp;$Q839,Tariff_Master!$A$2:$L$169,7,FALSE),"")</f>
        <v/>
      </c>
      <c r="AG839" s="18">
        <f>IFERROR(VLOOKUP($H839&amp;"|"&amp;$Q839,Tariff_Master!$A$2:$L$169,8,FALSE),"")</f>
        <v/>
      </c>
      <c r="AH839" s="20">
        <f>IFERROR(VLOOKUP($H839&amp;"|"&amp;$Q839,Tariff_Master!$A$2:$L$169,9,FALSE),"")</f>
        <v/>
      </c>
      <c r="AI839" s="18">
        <f>IFERROR(VLOOKUP($H839&amp;"|"&amp;$Q839,Tariff_Master!$A$2:$L$169,10,FALSE),"")</f>
        <v/>
      </c>
      <c r="AJ839" s="21">
        <f>IF($M839="","",ROUNDUP(MAX(0,$M839),0))</f>
        <v/>
      </c>
      <c r="AK839" s="21">
        <f>IF(OR($AJ839="",$AF839=""),"",MAX(0,$AJ839-$AF839))</f>
        <v/>
      </c>
      <c r="AL839" s="22">
        <f>IF(OR($AK839="",$AG839=""),"",MAX(0,$AK839*$AG839))</f>
        <v/>
      </c>
      <c r="AM839" s="22">
        <f>IF($AE839="","",MAX(0,SUM($AE839,$AL839,$V839,$W839)))</f>
        <v/>
      </c>
      <c r="AN839" s="22">
        <f>IF($AM839="","",IF(AND($Q839="COMMITMENT",$R839&gt;=$AH839),$AI839,0))</f>
        <v/>
      </c>
      <c r="AO839" s="23">
        <f>IF($AM839="","",MAX(0,$AM839-$AN839))</f>
        <v/>
      </c>
      <c r="AP839" s="22">
        <f>IF($S839="","",IF(OR($S839="ITEM_PRICE_PLUS_DECLARED_DELIVERY",$S839="DELIVERY_CHARGE_ONLY"),$K839,IF($S839="TOTAL_AMOUNT_INCLUDING_DELIVERY",IF(OR($T839="",$J839=""),"",MAX(0,$T839-$J839-$U839)),IF($S839="ITEM_PRICE_ONLY_DELIVERY_PAID_BY_MERCHANT",0,""))))</f>
        <v/>
      </c>
      <c r="AQ839" s="23">
        <f>IF(OR($AP839="",$AO839=""),"",$AP839-$AO839)</f>
        <v/>
      </c>
      <c r="AR839" s="24">
        <f>IF($S839="EXACT_COLLECTION_AMOUNT","BREAKDOWN_REQUIRED",IF($AQ839="","",IF($AQ839&gt;0,"CREDIT_TO_MERCHANT",IF($AQ839&lt;0,"DEDUCT_FROM_MERCHANT","NO_ADJUSTMENT"))))</f>
        <v/>
      </c>
      <c r="AS839" s="23">
        <f>IF(OR($AQ839="",$AR839="BREAKDOWN_REQUIRED"),"",$AQ839)</f>
        <v/>
      </c>
      <c r="AT839" s="23">
        <f>IF(OR($AR839="",$AR839="BREAKDOWN_REQUIRED"),"",SUM($J839,$AQ839,$Y839)-$X839)</f>
        <v/>
      </c>
      <c r="AU839" s="25">
        <f>IF(AND($A839="",$B839="",$F839="",$H839="",$J839="",$K839="",$M839="",$S839=""),"",IF(OR($H839="",$Q839="",$M839="",$S839=""),"ERROR",IF(OR($J839&lt;0,$K839&lt;0,$M839&lt;0,$T839&lt;0,$U839&lt;0,$V839&lt;0,$W839&lt;0,$X839&lt;0,$Y839&lt;0),"ERROR",IF($AE839="","ERROR",IF(AND(OR($S839="ITEM_PRICE_PLUS_DECLARED_DELIVERY",$S839="TOTAL_AMOUNT_INCLUDING_DELIVERY",$S839="ITEM_PRICE_ONLY_DELIVERY_PAID_BY_MERCHANT"),$J839=""),"ERROR",IF(AND(OR($S839="ITEM_PRICE_PLUS_DECLARED_DELIVERY",$S839="DELIVERY_CHARGE_ONLY"),$K839=""),"ERROR",IF(AND(OR($S839="TOTAL_AMOUNT_INCLUDING_DELIVERY",$S839="EXACT_COLLECTION_AMOUNT"),$T839=""),"ERROR",IF(AND($S839="TOTAL_AMOUNT_INCLUDING_DELIVERY",$T839&lt;SUM($J839,$U839)),"ERROR",IF($S839="EXACT_COLLECTION_AMOUNT","REVIEW","OK")))))))))</f>
        <v/>
      </c>
      <c r="AV839" s="25">
        <f>IF($AU839="","",IF($H839="","Township required",IF($Q839="","Customer tier required",IF($M839="","Weight required",IF($S839="","Amount entry type required",IF(OR($J839&lt;0,$K839&lt;0,$M839&lt;0,$T839&lt;0,$U839&lt;0,$V839&lt;0,$W839&lt;0,$X839&lt;0,$Y839&lt;0),"Negative amounts are not allowed",IF($AE839="","Tariff not found for township and tier",IF(AND(OR($S839="ITEM_PRICE_PLUS_DECLARED_DELIVERY",$S839="TOTAL_AMOUNT_INCLUDING_DELIVERY",$S839="ITEM_PRICE_ONLY_DELIVERY_PAID_BY_MERCHANT"),$J839=""),"Item price required for this amount type",IF(AND(OR($S839="ITEM_PRICE_PLUS_DECLARED_DELIVERY",$S839="DELIVERY_CHARGE_ONLY"),$K839=""),"Declared delivery charge required",IF(AND(OR($S839="TOTAL_AMOUNT_INCLUDING_DELIVERY",$S839="EXACT_COLLECTION_AMOUNT"),$T839=""),"Stated total amount required",IF(AND($S839="TOTAL_AMOUNT_INCLUDING_DELIVERY",$T839&lt;SUM($J839,$U839)),"Stated total is below item price plus additional charge",IF($S839="EXACT_COLLECTION_AMOUNT","Authorized amount breakdown required before settlement","Ready for collection and settlement"))))))))))))</f>
        <v/>
      </c>
      <c r="AW839" s="23">
        <f>IF($AU839="","","PARCEL_FINANCIAL_V2")</f>
        <v/>
      </c>
      <c r="AX839" s="17" t="n"/>
    </row>
    <row r="840">
      <c r="A840" s="8" t="n"/>
      <c r="B840" s="8" t="n"/>
      <c r="C840" s="8" t="n"/>
      <c r="D840" s="8" t="n"/>
      <c r="E840" s="9" t="n"/>
      <c r="F840" s="9" t="n"/>
      <c r="G840" s="8" t="n"/>
      <c r="H840" s="9" t="n"/>
      <c r="I840" s="9" t="n"/>
      <c r="J840" s="10" t="n"/>
      <c r="K840" s="10" t="n"/>
      <c r="L840" s="11">
        <f>IF($S840="","",IF($S840="ITEM_PRICE_PLUS_DECLARED_DELIVERY",IF(OR($J840="",$K840=""),"",SUM($J840,$K840,$U840)),IF($S840="TOTAL_AMOUNT_INCLUDING_DELIVERY",IF($T840="","",$T840),IF($S840="DELIVERY_CHARGE_ONLY",IF($K840="","",SUM($K840,$U840)),IF($S840="EXACT_COLLECTION_AMOUNT",IF($T840="","",$T840),IF($S840="ITEM_PRICE_ONLY_DELIVERY_PAID_BY_MERCHANT",IF($J840="","",SUM($J840,$U840)),""))))))</f>
        <v/>
      </c>
      <c r="M840" s="12" t="n"/>
      <c r="N840" s="13" t="n"/>
      <c r="O840" s="13" t="n"/>
      <c r="P840" s="9" t="n"/>
      <c r="Q840" s="14" t="n"/>
      <c r="R840" s="15" t="n"/>
      <c r="S840" s="14" t="n"/>
      <c r="T840" s="16" t="n"/>
      <c r="U840" s="16" t="n"/>
      <c r="V840" s="16" t="n"/>
      <c r="W840" s="16" t="n"/>
      <c r="X840" s="16" t="n"/>
      <c r="Y840" s="16" t="n"/>
      <c r="Z840" s="14" t="n"/>
      <c r="AA840" s="14" t="n"/>
      <c r="AB840" s="14" t="n"/>
      <c r="AC840" s="17">
        <f>IFERROR(VLOOKUP($H840&amp;"|"&amp;$Q840,Tariff_Master!$A$2:$L$169,3,FALSE),"")</f>
        <v/>
      </c>
      <c r="AD840" s="17">
        <f>IFERROR(VLOOKUP($H840&amp;"|"&amp;$Q840,Tariff_Master!$A$2:$L$169,4,FALSE),"")</f>
        <v/>
      </c>
      <c r="AE840" s="18">
        <f>IFERROR(VLOOKUP($H840&amp;"|"&amp;$Q840,Tariff_Master!$A$2:$L$169,6,FALSE),"")</f>
        <v/>
      </c>
      <c r="AF840" s="19">
        <f>IFERROR(VLOOKUP($H840&amp;"|"&amp;$Q840,Tariff_Master!$A$2:$L$169,7,FALSE),"")</f>
        <v/>
      </c>
      <c r="AG840" s="18">
        <f>IFERROR(VLOOKUP($H840&amp;"|"&amp;$Q840,Tariff_Master!$A$2:$L$169,8,FALSE),"")</f>
        <v/>
      </c>
      <c r="AH840" s="20">
        <f>IFERROR(VLOOKUP($H840&amp;"|"&amp;$Q840,Tariff_Master!$A$2:$L$169,9,FALSE),"")</f>
        <v/>
      </c>
      <c r="AI840" s="18">
        <f>IFERROR(VLOOKUP($H840&amp;"|"&amp;$Q840,Tariff_Master!$A$2:$L$169,10,FALSE),"")</f>
        <v/>
      </c>
      <c r="AJ840" s="21">
        <f>IF($M840="","",ROUNDUP(MAX(0,$M840),0))</f>
        <v/>
      </c>
      <c r="AK840" s="21">
        <f>IF(OR($AJ840="",$AF840=""),"",MAX(0,$AJ840-$AF840))</f>
        <v/>
      </c>
      <c r="AL840" s="22">
        <f>IF(OR($AK840="",$AG840=""),"",MAX(0,$AK840*$AG840))</f>
        <v/>
      </c>
      <c r="AM840" s="22">
        <f>IF($AE840="","",MAX(0,SUM($AE840,$AL840,$V840,$W840)))</f>
        <v/>
      </c>
      <c r="AN840" s="22">
        <f>IF($AM840="","",IF(AND($Q840="COMMITMENT",$R840&gt;=$AH840),$AI840,0))</f>
        <v/>
      </c>
      <c r="AO840" s="23">
        <f>IF($AM840="","",MAX(0,$AM840-$AN840))</f>
        <v/>
      </c>
      <c r="AP840" s="22">
        <f>IF($S840="","",IF(OR($S840="ITEM_PRICE_PLUS_DECLARED_DELIVERY",$S840="DELIVERY_CHARGE_ONLY"),$K840,IF($S840="TOTAL_AMOUNT_INCLUDING_DELIVERY",IF(OR($T840="",$J840=""),"",MAX(0,$T840-$J840-$U840)),IF($S840="ITEM_PRICE_ONLY_DELIVERY_PAID_BY_MERCHANT",0,""))))</f>
        <v/>
      </c>
      <c r="AQ840" s="23">
        <f>IF(OR($AP840="",$AO840=""),"",$AP840-$AO840)</f>
        <v/>
      </c>
      <c r="AR840" s="24">
        <f>IF($S840="EXACT_COLLECTION_AMOUNT","BREAKDOWN_REQUIRED",IF($AQ840="","",IF($AQ840&gt;0,"CREDIT_TO_MERCHANT",IF($AQ840&lt;0,"DEDUCT_FROM_MERCHANT","NO_ADJUSTMENT"))))</f>
        <v/>
      </c>
      <c r="AS840" s="23">
        <f>IF(OR($AQ840="",$AR840="BREAKDOWN_REQUIRED"),"",$AQ840)</f>
        <v/>
      </c>
      <c r="AT840" s="23">
        <f>IF(OR($AR840="",$AR840="BREAKDOWN_REQUIRED"),"",SUM($J840,$AQ840,$Y840)-$X840)</f>
        <v/>
      </c>
      <c r="AU840" s="25">
        <f>IF(AND($A840="",$B840="",$F840="",$H840="",$J840="",$K840="",$M840="",$S840=""),"",IF(OR($H840="",$Q840="",$M840="",$S840=""),"ERROR",IF(OR($J840&lt;0,$K840&lt;0,$M840&lt;0,$T840&lt;0,$U840&lt;0,$V840&lt;0,$W840&lt;0,$X840&lt;0,$Y840&lt;0),"ERROR",IF($AE840="","ERROR",IF(AND(OR($S840="ITEM_PRICE_PLUS_DECLARED_DELIVERY",$S840="TOTAL_AMOUNT_INCLUDING_DELIVERY",$S840="ITEM_PRICE_ONLY_DELIVERY_PAID_BY_MERCHANT"),$J840=""),"ERROR",IF(AND(OR($S840="ITEM_PRICE_PLUS_DECLARED_DELIVERY",$S840="DELIVERY_CHARGE_ONLY"),$K840=""),"ERROR",IF(AND(OR($S840="TOTAL_AMOUNT_INCLUDING_DELIVERY",$S840="EXACT_COLLECTION_AMOUNT"),$T840=""),"ERROR",IF(AND($S840="TOTAL_AMOUNT_INCLUDING_DELIVERY",$T840&lt;SUM($J840,$U840)),"ERROR",IF($S840="EXACT_COLLECTION_AMOUNT","REVIEW","OK")))))))))</f>
        <v/>
      </c>
      <c r="AV840" s="25">
        <f>IF($AU840="","",IF($H840="","Township required",IF($Q840="","Customer tier required",IF($M840="","Weight required",IF($S840="","Amount entry type required",IF(OR($J840&lt;0,$K840&lt;0,$M840&lt;0,$T840&lt;0,$U840&lt;0,$V840&lt;0,$W840&lt;0,$X840&lt;0,$Y840&lt;0),"Negative amounts are not allowed",IF($AE840="","Tariff not found for township and tier",IF(AND(OR($S840="ITEM_PRICE_PLUS_DECLARED_DELIVERY",$S840="TOTAL_AMOUNT_INCLUDING_DELIVERY",$S840="ITEM_PRICE_ONLY_DELIVERY_PAID_BY_MERCHANT"),$J840=""),"Item price required for this amount type",IF(AND(OR($S840="ITEM_PRICE_PLUS_DECLARED_DELIVERY",$S840="DELIVERY_CHARGE_ONLY"),$K840=""),"Declared delivery charge required",IF(AND(OR($S840="TOTAL_AMOUNT_INCLUDING_DELIVERY",$S840="EXACT_COLLECTION_AMOUNT"),$T840=""),"Stated total amount required",IF(AND($S840="TOTAL_AMOUNT_INCLUDING_DELIVERY",$T840&lt;SUM($J840,$U840)),"Stated total is below item price plus additional charge",IF($S840="EXACT_COLLECTION_AMOUNT","Authorized amount breakdown required before settlement","Ready for collection and settlement"))))))))))))</f>
        <v/>
      </c>
      <c r="AW840" s="23">
        <f>IF($AU840="","","PARCEL_FINANCIAL_V2")</f>
        <v/>
      </c>
      <c r="AX840" s="17" t="n"/>
    </row>
    <row r="841">
      <c r="A841" s="8" t="n"/>
      <c r="B841" s="8" t="n"/>
      <c r="C841" s="8" t="n"/>
      <c r="D841" s="8" t="n"/>
      <c r="E841" s="9" t="n"/>
      <c r="F841" s="9" t="n"/>
      <c r="G841" s="8" t="n"/>
      <c r="H841" s="9" t="n"/>
      <c r="I841" s="9" t="n"/>
      <c r="J841" s="10" t="n"/>
      <c r="K841" s="10" t="n"/>
      <c r="L841" s="11">
        <f>IF($S841="","",IF($S841="ITEM_PRICE_PLUS_DECLARED_DELIVERY",IF(OR($J841="",$K841=""),"",SUM($J841,$K841,$U841)),IF($S841="TOTAL_AMOUNT_INCLUDING_DELIVERY",IF($T841="","",$T841),IF($S841="DELIVERY_CHARGE_ONLY",IF($K841="","",SUM($K841,$U841)),IF($S841="EXACT_COLLECTION_AMOUNT",IF($T841="","",$T841),IF($S841="ITEM_PRICE_ONLY_DELIVERY_PAID_BY_MERCHANT",IF($J841="","",SUM($J841,$U841)),""))))))</f>
        <v/>
      </c>
      <c r="M841" s="12" t="n"/>
      <c r="N841" s="13" t="n"/>
      <c r="O841" s="13" t="n"/>
      <c r="P841" s="9" t="n"/>
      <c r="Q841" s="14" t="n"/>
      <c r="R841" s="15" t="n"/>
      <c r="S841" s="14" t="n"/>
      <c r="T841" s="16" t="n"/>
      <c r="U841" s="16" t="n"/>
      <c r="V841" s="16" t="n"/>
      <c r="W841" s="16" t="n"/>
      <c r="X841" s="16" t="n"/>
      <c r="Y841" s="16" t="n"/>
      <c r="Z841" s="14" t="n"/>
      <c r="AA841" s="14" t="n"/>
      <c r="AB841" s="14" t="n"/>
      <c r="AC841" s="17">
        <f>IFERROR(VLOOKUP($H841&amp;"|"&amp;$Q841,Tariff_Master!$A$2:$L$169,3,FALSE),"")</f>
        <v/>
      </c>
      <c r="AD841" s="17">
        <f>IFERROR(VLOOKUP($H841&amp;"|"&amp;$Q841,Tariff_Master!$A$2:$L$169,4,FALSE),"")</f>
        <v/>
      </c>
      <c r="AE841" s="18">
        <f>IFERROR(VLOOKUP($H841&amp;"|"&amp;$Q841,Tariff_Master!$A$2:$L$169,6,FALSE),"")</f>
        <v/>
      </c>
      <c r="AF841" s="19">
        <f>IFERROR(VLOOKUP($H841&amp;"|"&amp;$Q841,Tariff_Master!$A$2:$L$169,7,FALSE),"")</f>
        <v/>
      </c>
      <c r="AG841" s="18">
        <f>IFERROR(VLOOKUP($H841&amp;"|"&amp;$Q841,Tariff_Master!$A$2:$L$169,8,FALSE),"")</f>
        <v/>
      </c>
      <c r="AH841" s="20">
        <f>IFERROR(VLOOKUP($H841&amp;"|"&amp;$Q841,Tariff_Master!$A$2:$L$169,9,FALSE),"")</f>
        <v/>
      </c>
      <c r="AI841" s="18">
        <f>IFERROR(VLOOKUP($H841&amp;"|"&amp;$Q841,Tariff_Master!$A$2:$L$169,10,FALSE),"")</f>
        <v/>
      </c>
      <c r="AJ841" s="21">
        <f>IF($M841="","",ROUNDUP(MAX(0,$M841),0))</f>
        <v/>
      </c>
      <c r="AK841" s="21">
        <f>IF(OR($AJ841="",$AF841=""),"",MAX(0,$AJ841-$AF841))</f>
        <v/>
      </c>
      <c r="AL841" s="22">
        <f>IF(OR($AK841="",$AG841=""),"",MAX(0,$AK841*$AG841))</f>
        <v/>
      </c>
      <c r="AM841" s="22">
        <f>IF($AE841="","",MAX(0,SUM($AE841,$AL841,$V841,$W841)))</f>
        <v/>
      </c>
      <c r="AN841" s="22">
        <f>IF($AM841="","",IF(AND($Q841="COMMITMENT",$R841&gt;=$AH841),$AI841,0))</f>
        <v/>
      </c>
      <c r="AO841" s="23">
        <f>IF($AM841="","",MAX(0,$AM841-$AN841))</f>
        <v/>
      </c>
      <c r="AP841" s="22">
        <f>IF($S841="","",IF(OR($S841="ITEM_PRICE_PLUS_DECLARED_DELIVERY",$S841="DELIVERY_CHARGE_ONLY"),$K841,IF($S841="TOTAL_AMOUNT_INCLUDING_DELIVERY",IF(OR($T841="",$J841=""),"",MAX(0,$T841-$J841-$U841)),IF($S841="ITEM_PRICE_ONLY_DELIVERY_PAID_BY_MERCHANT",0,""))))</f>
        <v/>
      </c>
      <c r="AQ841" s="23">
        <f>IF(OR($AP841="",$AO841=""),"",$AP841-$AO841)</f>
        <v/>
      </c>
      <c r="AR841" s="24">
        <f>IF($S841="EXACT_COLLECTION_AMOUNT","BREAKDOWN_REQUIRED",IF($AQ841="","",IF($AQ841&gt;0,"CREDIT_TO_MERCHANT",IF($AQ841&lt;0,"DEDUCT_FROM_MERCHANT","NO_ADJUSTMENT"))))</f>
        <v/>
      </c>
      <c r="AS841" s="23">
        <f>IF(OR($AQ841="",$AR841="BREAKDOWN_REQUIRED"),"",$AQ841)</f>
        <v/>
      </c>
      <c r="AT841" s="23">
        <f>IF(OR($AR841="",$AR841="BREAKDOWN_REQUIRED"),"",SUM($J841,$AQ841,$Y841)-$X841)</f>
        <v/>
      </c>
      <c r="AU841" s="25">
        <f>IF(AND($A841="",$B841="",$F841="",$H841="",$J841="",$K841="",$M841="",$S841=""),"",IF(OR($H841="",$Q841="",$M841="",$S841=""),"ERROR",IF(OR($J841&lt;0,$K841&lt;0,$M841&lt;0,$T841&lt;0,$U841&lt;0,$V841&lt;0,$W841&lt;0,$X841&lt;0,$Y841&lt;0),"ERROR",IF($AE841="","ERROR",IF(AND(OR($S841="ITEM_PRICE_PLUS_DECLARED_DELIVERY",$S841="TOTAL_AMOUNT_INCLUDING_DELIVERY",$S841="ITEM_PRICE_ONLY_DELIVERY_PAID_BY_MERCHANT"),$J841=""),"ERROR",IF(AND(OR($S841="ITEM_PRICE_PLUS_DECLARED_DELIVERY",$S841="DELIVERY_CHARGE_ONLY"),$K841=""),"ERROR",IF(AND(OR($S841="TOTAL_AMOUNT_INCLUDING_DELIVERY",$S841="EXACT_COLLECTION_AMOUNT"),$T841=""),"ERROR",IF(AND($S841="TOTAL_AMOUNT_INCLUDING_DELIVERY",$T841&lt;SUM($J841,$U841)),"ERROR",IF($S841="EXACT_COLLECTION_AMOUNT","REVIEW","OK")))))))))</f>
        <v/>
      </c>
      <c r="AV841" s="25">
        <f>IF($AU841="","",IF($H841="","Township required",IF($Q841="","Customer tier required",IF($M841="","Weight required",IF($S841="","Amount entry type required",IF(OR($J841&lt;0,$K841&lt;0,$M841&lt;0,$T841&lt;0,$U841&lt;0,$V841&lt;0,$W841&lt;0,$X841&lt;0,$Y841&lt;0),"Negative amounts are not allowed",IF($AE841="","Tariff not found for township and tier",IF(AND(OR($S841="ITEM_PRICE_PLUS_DECLARED_DELIVERY",$S841="TOTAL_AMOUNT_INCLUDING_DELIVERY",$S841="ITEM_PRICE_ONLY_DELIVERY_PAID_BY_MERCHANT"),$J841=""),"Item price required for this amount type",IF(AND(OR($S841="ITEM_PRICE_PLUS_DECLARED_DELIVERY",$S841="DELIVERY_CHARGE_ONLY"),$K841=""),"Declared delivery charge required",IF(AND(OR($S841="TOTAL_AMOUNT_INCLUDING_DELIVERY",$S841="EXACT_COLLECTION_AMOUNT"),$T841=""),"Stated total amount required",IF(AND($S841="TOTAL_AMOUNT_INCLUDING_DELIVERY",$T841&lt;SUM($J841,$U841)),"Stated total is below item price plus additional charge",IF($S841="EXACT_COLLECTION_AMOUNT","Authorized amount breakdown required before settlement","Ready for collection and settlement"))))))))))))</f>
        <v/>
      </c>
      <c r="AW841" s="23">
        <f>IF($AU841="","","PARCEL_FINANCIAL_V2")</f>
        <v/>
      </c>
      <c r="AX841" s="17" t="n"/>
    </row>
    <row r="842">
      <c r="A842" s="8" t="n"/>
      <c r="B842" s="8" t="n"/>
      <c r="C842" s="8" t="n"/>
      <c r="D842" s="8" t="n"/>
      <c r="E842" s="9" t="n"/>
      <c r="F842" s="9" t="n"/>
      <c r="G842" s="8" t="n"/>
      <c r="H842" s="9" t="n"/>
      <c r="I842" s="9" t="n"/>
      <c r="J842" s="10" t="n"/>
      <c r="K842" s="10" t="n"/>
      <c r="L842" s="11">
        <f>IF($S842="","",IF($S842="ITEM_PRICE_PLUS_DECLARED_DELIVERY",IF(OR($J842="",$K842=""),"",SUM($J842,$K842,$U842)),IF($S842="TOTAL_AMOUNT_INCLUDING_DELIVERY",IF($T842="","",$T842),IF($S842="DELIVERY_CHARGE_ONLY",IF($K842="","",SUM($K842,$U842)),IF($S842="EXACT_COLLECTION_AMOUNT",IF($T842="","",$T842),IF($S842="ITEM_PRICE_ONLY_DELIVERY_PAID_BY_MERCHANT",IF($J842="","",SUM($J842,$U842)),""))))))</f>
        <v/>
      </c>
      <c r="M842" s="12" t="n"/>
      <c r="N842" s="13" t="n"/>
      <c r="O842" s="13" t="n"/>
      <c r="P842" s="9" t="n"/>
      <c r="Q842" s="14" t="n"/>
      <c r="R842" s="15" t="n"/>
      <c r="S842" s="14" t="n"/>
      <c r="T842" s="16" t="n"/>
      <c r="U842" s="16" t="n"/>
      <c r="V842" s="16" t="n"/>
      <c r="W842" s="16" t="n"/>
      <c r="X842" s="16" t="n"/>
      <c r="Y842" s="16" t="n"/>
      <c r="Z842" s="14" t="n"/>
      <c r="AA842" s="14" t="n"/>
      <c r="AB842" s="14" t="n"/>
      <c r="AC842" s="17">
        <f>IFERROR(VLOOKUP($H842&amp;"|"&amp;$Q842,Tariff_Master!$A$2:$L$169,3,FALSE),"")</f>
        <v/>
      </c>
      <c r="AD842" s="17">
        <f>IFERROR(VLOOKUP($H842&amp;"|"&amp;$Q842,Tariff_Master!$A$2:$L$169,4,FALSE),"")</f>
        <v/>
      </c>
      <c r="AE842" s="18">
        <f>IFERROR(VLOOKUP($H842&amp;"|"&amp;$Q842,Tariff_Master!$A$2:$L$169,6,FALSE),"")</f>
        <v/>
      </c>
      <c r="AF842" s="19">
        <f>IFERROR(VLOOKUP($H842&amp;"|"&amp;$Q842,Tariff_Master!$A$2:$L$169,7,FALSE),"")</f>
        <v/>
      </c>
      <c r="AG842" s="18">
        <f>IFERROR(VLOOKUP($H842&amp;"|"&amp;$Q842,Tariff_Master!$A$2:$L$169,8,FALSE),"")</f>
        <v/>
      </c>
      <c r="AH842" s="20">
        <f>IFERROR(VLOOKUP($H842&amp;"|"&amp;$Q842,Tariff_Master!$A$2:$L$169,9,FALSE),"")</f>
        <v/>
      </c>
      <c r="AI842" s="18">
        <f>IFERROR(VLOOKUP($H842&amp;"|"&amp;$Q842,Tariff_Master!$A$2:$L$169,10,FALSE),"")</f>
        <v/>
      </c>
      <c r="AJ842" s="21">
        <f>IF($M842="","",ROUNDUP(MAX(0,$M842),0))</f>
        <v/>
      </c>
      <c r="AK842" s="21">
        <f>IF(OR($AJ842="",$AF842=""),"",MAX(0,$AJ842-$AF842))</f>
        <v/>
      </c>
      <c r="AL842" s="22">
        <f>IF(OR($AK842="",$AG842=""),"",MAX(0,$AK842*$AG842))</f>
        <v/>
      </c>
      <c r="AM842" s="22">
        <f>IF($AE842="","",MAX(0,SUM($AE842,$AL842,$V842,$W842)))</f>
        <v/>
      </c>
      <c r="AN842" s="22">
        <f>IF($AM842="","",IF(AND($Q842="COMMITMENT",$R842&gt;=$AH842),$AI842,0))</f>
        <v/>
      </c>
      <c r="AO842" s="23">
        <f>IF($AM842="","",MAX(0,$AM842-$AN842))</f>
        <v/>
      </c>
      <c r="AP842" s="22">
        <f>IF($S842="","",IF(OR($S842="ITEM_PRICE_PLUS_DECLARED_DELIVERY",$S842="DELIVERY_CHARGE_ONLY"),$K842,IF($S842="TOTAL_AMOUNT_INCLUDING_DELIVERY",IF(OR($T842="",$J842=""),"",MAX(0,$T842-$J842-$U842)),IF($S842="ITEM_PRICE_ONLY_DELIVERY_PAID_BY_MERCHANT",0,""))))</f>
        <v/>
      </c>
      <c r="AQ842" s="23">
        <f>IF(OR($AP842="",$AO842=""),"",$AP842-$AO842)</f>
        <v/>
      </c>
      <c r="AR842" s="24">
        <f>IF($S842="EXACT_COLLECTION_AMOUNT","BREAKDOWN_REQUIRED",IF($AQ842="","",IF($AQ842&gt;0,"CREDIT_TO_MERCHANT",IF($AQ842&lt;0,"DEDUCT_FROM_MERCHANT","NO_ADJUSTMENT"))))</f>
        <v/>
      </c>
      <c r="AS842" s="23">
        <f>IF(OR($AQ842="",$AR842="BREAKDOWN_REQUIRED"),"",$AQ842)</f>
        <v/>
      </c>
      <c r="AT842" s="23">
        <f>IF(OR($AR842="",$AR842="BREAKDOWN_REQUIRED"),"",SUM($J842,$AQ842,$Y842)-$X842)</f>
        <v/>
      </c>
      <c r="AU842" s="25">
        <f>IF(AND($A842="",$B842="",$F842="",$H842="",$J842="",$K842="",$M842="",$S842=""),"",IF(OR($H842="",$Q842="",$M842="",$S842=""),"ERROR",IF(OR($J842&lt;0,$K842&lt;0,$M842&lt;0,$T842&lt;0,$U842&lt;0,$V842&lt;0,$W842&lt;0,$X842&lt;0,$Y842&lt;0),"ERROR",IF($AE842="","ERROR",IF(AND(OR($S842="ITEM_PRICE_PLUS_DECLARED_DELIVERY",$S842="TOTAL_AMOUNT_INCLUDING_DELIVERY",$S842="ITEM_PRICE_ONLY_DELIVERY_PAID_BY_MERCHANT"),$J842=""),"ERROR",IF(AND(OR($S842="ITEM_PRICE_PLUS_DECLARED_DELIVERY",$S842="DELIVERY_CHARGE_ONLY"),$K842=""),"ERROR",IF(AND(OR($S842="TOTAL_AMOUNT_INCLUDING_DELIVERY",$S842="EXACT_COLLECTION_AMOUNT"),$T842=""),"ERROR",IF(AND($S842="TOTAL_AMOUNT_INCLUDING_DELIVERY",$T842&lt;SUM($J842,$U842)),"ERROR",IF($S842="EXACT_COLLECTION_AMOUNT","REVIEW","OK")))))))))</f>
        <v/>
      </c>
      <c r="AV842" s="25">
        <f>IF($AU842="","",IF($H842="","Township required",IF($Q842="","Customer tier required",IF($M842="","Weight required",IF($S842="","Amount entry type required",IF(OR($J842&lt;0,$K842&lt;0,$M842&lt;0,$T842&lt;0,$U842&lt;0,$V842&lt;0,$W842&lt;0,$X842&lt;0,$Y842&lt;0),"Negative amounts are not allowed",IF($AE842="","Tariff not found for township and tier",IF(AND(OR($S842="ITEM_PRICE_PLUS_DECLARED_DELIVERY",$S842="TOTAL_AMOUNT_INCLUDING_DELIVERY",$S842="ITEM_PRICE_ONLY_DELIVERY_PAID_BY_MERCHANT"),$J842=""),"Item price required for this amount type",IF(AND(OR($S842="ITEM_PRICE_PLUS_DECLARED_DELIVERY",$S842="DELIVERY_CHARGE_ONLY"),$K842=""),"Declared delivery charge required",IF(AND(OR($S842="TOTAL_AMOUNT_INCLUDING_DELIVERY",$S842="EXACT_COLLECTION_AMOUNT"),$T842=""),"Stated total amount required",IF(AND($S842="TOTAL_AMOUNT_INCLUDING_DELIVERY",$T842&lt;SUM($J842,$U842)),"Stated total is below item price plus additional charge",IF($S842="EXACT_COLLECTION_AMOUNT","Authorized amount breakdown required before settlement","Ready for collection and settlement"))))))))))))</f>
        <v/>
      </c>
      <c r="AW842" s="23">
        <f>IF($AU842="","","PARCEL_FINANCIAL_V2")</f>
        <v/>
      </c>
      <c r="AX842" s="17" t="n"/>
    </row>
    <row r="843">
      <c r="A843" s="8" t="n"/>
      <c r="B843" s="8" t="n"/>
      <c r="C843" s="8" t="n"/>
      <c r="D843" s="8" t="n"/>
      <c r="E843" s="9" t="n"/>
      <c r="F843" s="9" t="n"/>
      <c r="G843" s="8" t="n"/>
      <c r="H843" s="9" t="n"/>
      <c r="I843" s="9" t="n"/>
      <c r="J843" s="10" t="n"/>
      <c r="K843" s="10" t="n"/>
      <c r="L843" s="11">
        <f>IF($S843="","",IF($S843="ITEM_PRICE_PLUS_DECLARED_DELIVERY",IF(OR($J843="",$K843=""),"",SUM($J843,$K843,$U843)),IF($S843="TOTAL_AMOUNT_INCLUDING_DELIVERY",IF($T843="","",$T843),IF($S843="DELIVERY_CHARGE_ONLY",IF($K843="","",SUM($K843,$U843)),IF($S843="EXACT_COLLECTION_AMOUNT",IF($T843="","",$T843),IF($S843="ITEM_PRICE_ONLY_DELIVERY_PAID_BY_MERCHANT",IF($J843="","",SUM($J843,$U843)),""))))))</f>
        <v/>
      </c>
      <c r="M843" s="12" t="n"/>
      <c r="N843" s="13" t="n"/>
      <c r="O843" s="13" t="n"/>
      <c r="P843" s="9" t="n"/>
      <c r="Q843" s="14" t="n"/>
      <c r="R843" s="15" t="n"/>
      <c r="S843" s="14" t="n"/>
      <c r="T843" s="16" t="n"/>
      <c r="U843" s="16" t="n"/>
      <c r="V843" s="16" t="n"/>
      <c r="W843" s="16" t="n"/>
      <c r="X843" s="16" t="n"/>
      <c r="Y843" s="16" t="n"/>
      <c r="Z843" s="14" t="n"/>
      <c r="AA843" s="14" t="n"/>
      <c r="AB843" s="14" t="n"/>
      <c r="AC843" s="17">
        <f>IFERROR(VLOOKUP($H843&amp;"|"&amp;$Q843,Tariff_Master!$A$2:$L$169,3,FALSE),"")</f>
        <v/>
      </c>
      <c r="AD843" s="17">
        <f>IFERROR(VLOOKUP($H843&amp;"|"&amp;$Q843,Tariff_Master!$A$2:$L$169,4,FALSE),"")</f>
        <v/>
      </c>
      <c r="AE843" s="18">
        <f>IFERROR(VLOOKUP($H843&amp;"|"&amp;$Q843,Tariff_Master!$A$2:$L$169,6,FALSE),"")</f>
        <v/>
      </c>
      <c r="AF843" s="19">
        <f>IFERROR(VLOOKUP($H843&amp;"|"&amp;$Q843,Tariff_Master!$A$2:$L$169,7,FALSE),"")</f>
        <v/>
      </c>
      <c r="AG843" s="18">
        <f>IFERROR(VLOOKUP($H843&amp;"|"&amp;$Q843,Tariff_Master!$A$2:$L$169,8,FALSE),"")</f>
        <v/>
      </c>
      <c r="AH843" s="20">
        <f>IFERROR(VLOOKUP($H843&amp;"|"&amp;$Q843,Tariff_Master!$A$2:$L$169,9,FALSE),"")</f>
        <v/>
      </c>
      <c r="AI843" s="18">
        <f>IFERROR(VLOOKUP($H843&amp;"|"&amp;$Q843,Tariff_Master!$A$2:$L$169,10,FALSE),"")</f>
        <v/>
      </c>
      <c r="AJ843" s="21">
        <f>IF($M843="","",ROUNDUP(MAX(0,$M843),0))</f>
        <v/>
      </c>
      <c r="AK843" s="21">
        <f>IF(OR($AJ843="",$AF843=""),"",MAX(0,$AJ843-$AF843))</f>
        <v/>
      </c>
      <c r="AL843" s="22">
        <f>IF(OR($AK843="",$AG843=""),"",MAX(0,$AK843*$AG843))</f>
        <v/>
      </c>
      <c r="AM843" s="22">
        <f>IF($AE843="","",MAX(0,SUM($AE843,$AL843,$V843,$W843)))</f>
        <v/>
      </c>
      <c r="AN843" s="22">
        <f>IF($AM843="","",IF(AND($Q843="COMMITMENT",$R843&gt;=$AH843),$AI843,0))</f>
        <v/>
      </c>
      <c r="AO843" s="23">
        <f>IF($AM843="","",MAX(0,$AM843-$AN843))</f>
        <v/>
      </c>
      <c r="AP843" s="22">
        <f>IF($S843="","",IF(OR($S843="ITEM_PRICE_PLUS_DECLARED_DELIVERY",$S843="DELIVERY_CHARGE_ONLY"),$K843,IF($S843="TOTAL_AMOUNT_INCLUDING_DELIVERY",IF(OR($T843="",$J843=""),"",MAX(0,$T843-$J843-$U843)),IF($S843="ITEM_PRICE_ONLY_DELIVERY_PAID_BY_MERCHANT",0,""))))</f>
        <v/>
      </c>
      <c r="AQ843" s="23">
        <f>IF(OR($AP843="",$AO843=""),"",$AP843-$AO843)</f>
        <v/>
      </c>
      <c r="AR843" s="24">
        <f>IF($S843="EXACT_COLLECTION_AMOUNT","BREAKDOWN_REQUIRED",IF($AQ843="","",IF($AQ843&gt;0,"CREDIT_TO_MERCHANT",IF($AQ843&lt;0,"DEDUCT_FROM_MERCHANT","NO_ADJUSTMENT"))))</f>
        <v/>
      </c>
      <c r="AS843" s="23">
        <f>IF(OR($AQ843="",$AR843="BREAKDOWN_REQUIRED"),"",$AQ843)</f>
        <v/>
      </c>
      <c r="AT843" s="23">
        <f>IF(OR($AR843="",$AR843="BREAKDOWN_REQUIRED"),"",SUM($J843,$AQ843,$Y843)-$X843)</f>
        <v/>
      </c>
      <c r="AU843" s="25">
        <f>IF(AND($A843="",$B843="",$F843="",$H843="",$J843="",$K843="",$M843="",$S843=""),"",IF(OR($H843="",$Q843="",$M843="",$S843=""),"ERROR",IF(OR($J843&lt;0,$K843&lt;0,$M843&lt;0,$T843&lt;0,$U843&lt;0,$V843&lt;0,$W843&lt;0,$X843&lt;0,$Y843&lt;0),"ERROR",IF($AE843="","ERROR",IF(AND(OR($S843="ITEM_PRICE_PLUS_DECLARED_DELIVERY",$S843="TOTAL_AMOUNT_INCLUDING_DELIVERY",$S843="ITEM_PRICE_ONLY_DELIVERY_PAID_BY_MERCHANT"),$J843=""),"ERROR",IF(AND(OR($S843="ITEM_PRICE_PLUS_DECLARED_DELIVERY",$S843="DELIVERY_CHARGE_ONLY"),$K843=""),"ERROR",IF(AND(OR($S843="TOTAL_AMOUNT_INCLUDING_DELIVERY",$S843="EXACT_COLLECTION_AMOUNT"),$T843=""),"ERROR",IF(AND($S843="TOTAL_AMOUNT_INCLUDING_DELIVERY",$T843&lt;SUM($J843,$U843)),"ERROR",IF($S843="EXACT_COLLECTION_AMOUNT","REVIEW","OK")))))))))</f>
        <v/>
      </c>
      <c r="AV843" s="25">
        <f>IF($AU843="","",IF($H843="","Township required",IF($Q843="","Customer tier required",IF($M843="","Weight required",IF($S843="","Amount entry type required",IF(OR($J843&lt;0,$K843&lt;0,$M843&lt;0,$T843&lt;0,$U843&lt;0,$V843&lt;0,$W843&lt;0,$X843&lt;0,$Y843&lt;0),"Negative amounts are not allowed",IF($AE843="","Tariff not found for township and tier",IF(AND(OR($S843="ITEM_PRICE_PLUS_DECLARED_DELIVERY",$S843="TOTAL_AMOUNT_INCLUDING_DELIVERY",$S843="ITEM_PRICE_ONLY_DELIVERY_PAID_BY_MERCHANT"),$J843=""),"Item price required for this amount type",IF(AND(OR($S843="ITEM_PRICE_PLUS_DECLARED_DELIVERY",$S843="DELIVERY_CHARGE_ONLY"),$K843=""),"Declared delivery charge required",IF(AND(OR($S843="TOTAL_AMOUNT_INCLUDING_DELIVERY",$S843="EXACT_COLLECTION_AMOUNT"),$T843=""),"Stated total amount required",IF(AND($S843="TOTAL_AMOUNT_INCLUDING_DELIVERY",$T843&lt;SUM($J843,$U843)),"Stated total is below item price plus additional charge",IF($S843="EXACT_COLLECTION_AMOUNT","Authorized amount breakdown required before settlement","Ready for collection and settlement"))))))))))))</f>
        <v/>
      </c>
      <c r="AW843" s="23">
        <f>IF($AU843="","","PARCEL_FINANCIAL_V2")</f>
        <v/>
      </c>
      <c r="AX843" s="17" t="n"/>
    </row>
    <row r="844">
      <c r="A844" s="8" t="n"/>
      <c r="B844" s="8" t="n"/>
      <c r="C844" s="8" t="n"/>
      <c r="D844" s="8" t="n"/>
      <c r="E844" s="9" t="n"/>
      <c r="F844" s="9" t="n"/>
      <c r="G844" s="8" t="n"/>
      <c r="H844" s="9" t="n"/>
      <c r="I844" s="9" t="n"/>
      <c r="J844" s="10" t="n"/>
      <c r="K844" s="10" t="n"/>
      <c r="L844" s="11">
        <f>IF($S844="","",IF($S844="ITEM_PRICE_PLUS_DECLARED_DELIVERY",IF(OR($J844="",$K844=""),"",SUM($J844,$K844,$U844)),IF($S844="TOTAL_AMOUNT_INCLUDING_DELIVERY",IF($T844="","",$T844),IF($S844="DELIVERY_CHARGE_ONLY",IF($K844="","",SUM($K844,$U844)),IF($S844="EXACT_COLLECTION_AMOUNT",IF($T844="","",$T844),IF($S844="ITEM_PRICE_ONLY_DELIVERY_PAID_BY_MERCHANT",IF($J844="","",SUM($J844,$U844)),""))))))</f>
        <v/>
      </c>
      <c r="M844" s="12" t="n"/>
      <c r="N844" s="13" t="n"/>
      <c r="O844" s="13" t="n"/>
      <c r="P844" s="9" t="n"/>
      <c r="Q844" s="14" t="n"/>
      <c r="R844" s="15" t="n"/>
      <c r="S844" s="14" t="n"/>
      <c r="T844" s="16" t="n"/>
      <c r="U844" s="16" t="n"/>
      <c r="V844" s="16" t="n"/>
      <c r="W844" s="16" t="n"/>
      <c r="X844" s="16" t="n"/>
      <c r="Y844" s="16" t="n"/>
      <c r="Z844" s="14" t="n"/>
      <c r="AA844" s="14" t="n"/>
      <c r="AB844" s="14" t="n"/>
      <c r="AC844" s="17">
        <f>IFERROR(VLOOKUP($H844&amp;"|"&amp;$Q844,Tariff_Master!$A$2:$L$169,3,FALSE),"")</f>
        <v/>
      </c>
      <c r="AD844" s="17">
        <f>IFERROR(VLOOKUP($H844&amp;"|"&amp;$Q844,Tariff_Master!$A$2:$L$169,4,FALSE),"")</f>
        <v/>
      </c>
      <c r="AE844" s="18">
        <f>IFERROR(VLOOKUP($H844&amp;"|"&amp;$Q844,Tariff_Master!$A$2:$L$169,6,FALSE),"")</f>
        <v/>
      </c>
      <c r="AF844" s="19">
        <f>IFERROR(VLOOKUP($H844&amp;"|"&amp;$Q844,Tariff_Master!$A$2:$L$169,7,FALSE),"")</f>
        <v/>
      </c>
      <c r="AG844" s="18">
        <f>IFERROR(VLOOKUP($H844&amp;"|"&amp;$Q844,Tariff_Master!$A$2:$L$169,8,FALSE),"")</f>
        <v/>
      </c>
      <c r="AH844" s="20">
        <f>IFERROR(VLOOKUP($H844&amp;"|"&amp;$Q844,Tariff_Master!$A$2:$L$169,9,FALSE),"")</f>
        <v/>
      </c>
      <c r="AI844" s="18">
        <f>IFERROR(VLOOKUP($H844&amp;"|"&amp;$Q844,Tariff_Master!$A$2:$L$169,10,FALSE),"")</f>
        <v/>
      </c>
      <c r="AJ844" s="21">
        <f>IF($M844="","",ROUNDUP(MAX(0,$M844),0))</f>
        <v/>
      </c>
      <c r="AK844" s="21">
        <f>IF(OR($AJ844="",$AF844=""),"",MAX(0,$AJ844-$AF844))</f>
        <v/>
      </c>
      <c r="AL844" s="22">
        <f>IF(OR($AK844="",$AG844=""),"",MAX(0,$AK844*$AG844))</f>
        <v/>
      </c>
      <c r="AM844" s="22">
        <f>IF($AE844="","",MAX(0,SUM($AE844,$AL844,$V844,$W844)))</f>
        <v/>
      </c>
      <c r="AN844" s="22">
        <f>IF($AM844="","",IF(AND($Q844="COMMITMENT",$R844&gt;=$AH844),$AI844,0))</f>
        <v/>
      </c>
      <c r="AO844" s="23">
        <f>IF($AM844="","",MAX(0,$AM844-$AN844))</f>
        <v/>
      </c>
      <c r="AP844" s="22">
        <f>IF($S844="","",IF(OR($S844="ITEM_PRICE_PLUS_DECLARED_DELIVERY",$S844="DELIVERY_CHARGE_ONLY"),$K844,IF($S844="TOTAL_AMOUNT_INCLUDING_DELIVERY",IF(OR($T844="",$J844=""),"",MAX(0,$T844-$J844-$U844)),IF($S844="ITEM_PRICE_ONLY_DELIVERY_PAID_BY_MERCHANT",0,""))))</f>
        <v/>
      </c>
      <c r="AQ844" s="23">
        <f>IF(OR($AP844="",$AO844=""),"",$AP844-$AO844)</f>
        <v/>
      </c>
      <c r="AR844" s="24">
        <f>IF($S844="EXACT_COLLECTION_AMOUNT","BREAKDOWN_REQUIRED",IF($AQ844="","",IF($AQ844&gt;0,"CREDIT_TO_MERCHANT",IF($AQ844&lt;0,"DEDUCT_FROM_MERCHANT","NO_ADJUSTMENT"))))</f>
        <v/>
      </c>
      <c r="AS844" s="23">
        <f>IF(OR($AQ844="",$AR844="BREAKDOWN_REQUIRED"),"",$AQ844)</f>
        <v/>
      </c>
      <c r="AT844" s="23">
        <f>IF(OR($AR844="",$AR844="BREAKDOWN_REQUIRED"),"",SUM($J844,$AQ844,$Y844)-$X844)</f>
        <v/>
      </c>
      <c r="AU844" s="25">
        <f>IF(AND($A844="",$B844="",$F844="",$H844="",$J844="",$K844="",$M844="",$S844=""),"",IF(OR($H844="",$Q844="",$M844="",$S844=""),"ERROR",IF(OR($J844&lt;0,$K844&lt;0,$M844&lt;0,$T844&lt;0,$U844&lt;0,$V844&lt;0,$W844&lt;0,$X844&lt;0,$Y844&lt;0),"ERROR",IF($AE844="","ERROR",IF(AND(OR($S844="ITEM_PRICE_PLUS_DECLARED_DELIVERY",$S844="TOTAL_AMOUNT_INCLUDING_DELIVERY",$S844="ITEM_PRICE_ONLY_DELIVERY_PAID_BY_MERCHANT"),$J844=""),"ERROR",IF(AND(OR($S844="ITEM_PRICE_PLUS_DECLARED_DELIVERY",$S844="DELIVERY_CHARGE_ONLY"),$K844=""),"ERROR",IF(AND(OR($S844="TOTAL_AMOUNT_INCLUDING_DELIVERY",$S844="EXACT_COLLECTION_AMOUNT"),$T844=""),"ERROR",IF(AND($S844="TOTAL_AMOUNT_INCLUDING_DELIVERY",$T844&lt;SUM($J844,$U844)),"ERROR",IF($S844="EXACT_COLLECTION_AMOUNT","REVIEW","OK")))))))))</f>
        <v/>
      </c>
      <c r="AV844" s="25">
        <f>IF($AU844="","",IF($H844="","Township required",IF($Q844="","Customer tier required",IF($M844="","Weight required",IF($S844="","Amount entry type required",IF(OR($J844&lt;0,$K844&lt;0,$M844&lt;0,$T844&lt;0,$U844&lt;0,$V844&lt;0,$W844&lt;0,$X844&lt;0,$Y844&lt;0),"Negative amounts are not allowed",IF($AE844="","Tariff not found for township and tier",IF(AND(OR($S844="ITEM_PRICE_PLUS_DECLARED_DELIVERY",$S844="TOTAL_AMOUNT_INCLUDING_DELIVERY",$S844="ITEM_PRICE_ONLY_DELIVERY_PAID_BY_MERCHANT"),$J844=""),"Item price required for this amount type",IF(AND(OR($S844="ITEM_PRICE_PLUS_DECLARED_DELIVERY",$S844="DELIVERY_CHARGE_ONLY"),$K844=""),"Declared delivery charge required",IF(AND(OR($S844="TOTAL_AMOUNT_INCLUDING_DELIVERY",$S844="EXACT_COLLECTION_AMOUNT"),$T844=""),"Stated total amount required",IF(AND($S844="TOTAL_AMOUNT_INCLUDING_DELIVERY",$T844&lt;SUM($J844,$U844)),"Stated total is below item price plus additional charge",IF($S844="EXACT_COLLECTION_AMOUNT","Authorized amount breakdown required before settlement","Ready for collection and settlement"))))))))))))</f>
        <v/>
      </c>
      <c r="AW844" s="23">
        <f>IF($AU844="","","PARCEL_FINANCIAL_V2")</f>
        <v/>
      </c>
      <c r="AX844" s="17" t="n"/>
    </row>
    <row r="845">
      <c r="A845" s="8" t="n"/>
      <c r="B845" s="8" t="n"/>
      <c r="C845" s="8" t="n"/>
      <c r="D845" s="8" t="n"/>
      <c r="E845" s="9" t="n"/>
      <c r="F845" s="9" t="n"/>
      <c r="G845" s="8" t="n"/>
      <c r="H845" s="9" t="n"/>
      <c r="I845" s="9" t="n"/>
      <c r="J845" s="10" t="n"/>
      <c r="K845" s="10" t="n"/>
      <c r="L845" s="11">
        <f>IF($S845="","",IF($S845="ITEM_PRICE_PLUS_DECLARED_DELIVERY",IF(OR($J845="",$K845=""),"",SUM($J845,$K845,$U845)),IF($S845="TOTAL_AMOUNT_INCLUDING_DELIVERY",IF($T845="","",$T845),IF($S845="DELIVERY_CHARGE_ONLY",IF($K845="","",SUM($K845,$U845)),IF($S845="EXACT_COLLECTION_AMOUNT",IF($T845="","",$T845),IF($S845="ITEM_PRICE_ONLY_DELIVERY_PAID_BY_MERCHANT",IF($J845="","",SUM($J845,$U845)),""))))))</f>
        <v/>
      </c>
      <c r="M845" s="12" t="n"/>
      <c r="N845" s="13" t="n"/>
      <c r="O845" s="13" t="n"/>
      <c r="P845" s="9" t="n"/>
      <c r="Q845" s="14" t="n"/>
      <c r="R845" s="15" t="n"/>
      <c r="S845" s="14" t="n"/>
      <c r="T845" s="16" t="n"/>
      <c r="U845" s="16" t="n"/>
      <c r="V845" s="16" t="n"/>
      <c r="W845" s="16" t="n"/>
      <c r="X845" s="16" t="n"/>
      <c r="Y845" s="16" t="n"/>
      <c r="Z845" s="14" t="n"/>
      <c r="AA845" s="14" t="n"/>
      <c r="AB845" s="14" t="n"/>
      <c r="AC845" s="17">
        <f>IFERROR(VLOOKUP($H845&amp;"|"&amp;$Q845,Tariff_Master!$A$2:$L$169,3,FALSE),"")</f>
        <v/>
      </c>
      <c r="AD845" s="17">
        <f>IFERROR(VLOOKUP($H845&amp;"|"&amp;$Q845,Tariff_Master!$A$2:$L$169,4,FALSE),"")</f>
        <v/>
      </c>
      <c r="AE845" s="18">
        <f>IFERROR(VLOOKUP($H845&amp;"|"&amp;$Q845,Tariff_Master!$A$2:$L$169,6,FALSE),"")</f>
        <v/>
      </c>
      <c r="AF845" s="19">
        <f>IFERROR(VLOOKUP($H845&amp;"|"&amp;$Q845,Tariff_Master!$A$2:$L$169,7,FALSE),"")</f>
        <v/>
      </c>
      <c r="AG845" s="18">
        <f>IFERROR(VLOOKUP($H845&amp;"|"&amp;$Q845,Tariff_Master!$A$2:$L$169,8,FALSE),"")</f>
        <v/>
      </c>
      <c r="AH845" s="20">
        <f>IFERROR(VLOOKUP($H845&amp;"|"&amp;$Q845,Tariff_Master!$A$2:$L$169,9,FALSE),"")</f>
        <v/>
      </c>
      <c r="AI845" s="18">
        <f>IFERROR(VLOOKUP($H845&amp;"|"&amp;$Q845,Tariff_Master!$A$2:$L$169,10,FALSE),"")</f>
        <v/>
      </c>
      <c r="AJ845" s="21">
        <f>IF($M845="","",ROUNDUP(MAX(0,$M845),0))</f>
        <v/>
      </c>
      <c r="AK845" s="21">
        <f>IF(OR($AJ845="",$AF845=""),"",MAX(0,$AJ845-$AF845))</f>
        <v/>
      </c>
      <c r="AL845" s="22">
        <f>IF(OR($AK845="",$AG845=""),"",MAX(0,$AK845*$AG845))</f>
        <v/>
      </c>
      <c r="AM845" s="22">
        <f>IF($AE845="","",MAX(0,SUM($AE845,$AL845,$V845,$W845)))</f>
        <v/>
      </c>
      <c r="AN845" s="22">
        <f>IF($AM845="","",IF(AND($Q845="COMMITMENT",$R845&gt;=$AH845),$AI845,0))</f>
        <v/>
      </c>
      <c r="AO845" s="23">
        <f>IF($AM845="","",MAX(0,$AM845-$AN845))</f>
        <v/>
      </c>
      <c r="AP845" s="22">
        <f>IF($S845="","",IF(OR($S845="ITEM_PRICE_PLUS_DECLARED_DELIVERY",$S845="DELIVERY_CHARGE_ONLY"),$K845,IF($S845="TOTAL_AMOUNT_INCLUDING_DELIVERY",IF(OR($T845="",$J845=""),"",MAX(0,$T845-$J845-$U845)),IF($S845="ITEM_PRICE_ONLY_DELIVERY_PAID_BY_MERCHANT",0,""))))</f>
        <v/>
      </c>
      <c r="AQ845" s="23">
        <f>IF(OR($AP845="",$AO845=""),"",$AP845-$AO845)</f>
        <v/>
      </c>
      <c r="AR845" s="24">
        <f>IF($S845="EXACT_COLLECTION_AMOUNT","BREAKDOWN_REQUIRED",IF($AQ845="","",IF($AQ845&gt;0,"CREDIT_TO_MERCHANT",IF($AQ845&lt;0,"DEDUCT_FROM_MERCHANT","NO_ADJUSTMENT"))))</f>
        <v/>
      </c>
      <c r="AS845" s="23">
        <f>IF(OR($AQ845="",$AR845="BREAKDOWN_REQUIRED"),"",$AQ845)</f>
        <v/>
      </c>
      <c r="AT845" s="23">
        <f>IF(OR($AR845="",$AR845="BREAKDOWN_REQUIRED"),"",SUM($J845,$AQ845,$Y845)-$X845)</f>
        <v/>
      </c>
      <c r="AU845" s="25">
        <f>IF(AND($A845="",$B845="",$F845="",$H845="",$J845="",$K845="",$M845="",$S845=""),"",IF(OR($H845="",$Q845="",$M845="",$S845=""),"ERROR",IF(OR($J845&lt;0,$K845&lt;0,$M845&lt;0,$T845&lt;0,$U845&lt;0,$V845&lt;0,$W845&lt;0,$X845&lt;0,$Y845&lt;0),"ERROR",IF($AE845="","ERROR",IF(AND(OR($S845="ITEM_PRICE_PLUS_DECLARED_DELIVERY",$S845="TOTAL_AMOUNT_INCLUDING_DELIVERY",$S845="ITEM_PRICE_ONLY_DELIVERY_PAID_BY_MERCHANT"),$J845=""),"ERROR",IF(AND(OR($S845="ITEM_PRICE_PLUS_DECLARED_DELIVERY",$S845="DELIVERY_CHARGE_ONLY"),$K845=""),"ERROR",IF(AND(OR($S845="TOTAL_AMOUNT_INCLUDING_DELIVERY",$S845="EXACT_COLLECTION_AMOUNT"),$T845=""),"ERROR",IF(AND($S845="TOTAL_AMOUNT_INCLUDING_DELIVERY",$T845&lt;SUM($J845,$U845)),"ERROR",IF($S845="EXACT_COLLECTION_AMOUNT","REVIEW","OK")))))))))</f>
        <v/>
      </c>
      <c r="AV845" s="25">
        <f>IF($AU845="","",IF($H845="","Township required",IF($Q845="","Customer tier required",IF($M845="","Weight required",IF($S845="","Amount entry type required",IF(OR($J845&lt;0,$K845&lt;0,$M845&lt;0,$T845&lt;0,$U845&lt;0,$V845&lt;0,$W845&lt;0,$X845&lt;0,$Y845&lt;0),"Negative amounts are not allowed",IF($AE845="","Tariff not found for township and tier",IF(AND(OR($S845="ITEM_PRICE_PLUS_DECLARED_DELIVERY",$S845="TOTAL_AMOUNT_INCLUDING_DELIVERY",$S845="ITEM_PRICE_ONLY_DELIVERY_PAID_BY_MERCHANT"),$J845=""),"Item price required for this amount type",IF(AND(OR($S845="ITEM_PRICE_PLUS_DECLARED_DELIVERY",$S845="DELIVERY_CHARGE_ONLY"),$K845=""),"Declared delivery charge required",IF(AND(OR($S845="TOTAL_AMOUNT_INCLUDING_DELIVERY",$S845="EXACT_COLLECTION_AMOUNT"),$T845=""),"Stated total amount required",IF(AND($S845="TOTAL_AMOUNT_INCLUDING_DELIVERY",$T845&lt;SUM($J845,$U845)),"Stated total is below item price plus additional charge",IF($S845="EXACT_COLLECTION_AMOUNT","Authorized amount breakdown required before settlement","Ready for collection and settlement"))))))))))))</f>
        <v/>
      </c>
      <c r="AW845" s="23">
        <f>IF($AU845="","","PARCEL_FINANCIAL_V2")</f>
        <v/>
      </c>
      <c r="AX845" s="17" t="n"/>
    </row>
    <row r="846">
      <c r="A846" s="8" t="n"/>
      <c r="B846" s="8" t="n"/>
      <c r="C846" s="8" t="n"/>
      <c r="D846" s="8" t="n"/>
      <c r="E846" s="9" t="n"/>
      <c r="F846" s="9" t="n"/>
      <c r="G846" s="8" t="n"/>
      <c r="H846" s="9" t="n"/>
      <c r="I846" s="9" t="n"/>
      <c r="J846" s="10" t="n"/>
      <c r="K846" s="10" t="n"/>
      <c r="L846" s="11">
        <f>IF($S846="","",IF($S846="ITEM_PRICE_PLUS_DECLARED_DELIVERY",IF(OR($J846="",$K846=""),"",SUM($J846,$K846,$U846)),IF($S846="TOTAL_AMOUNT_INCLUDING_DELIVERY",IF($T846="","",$T846),IF($S846="DELIVERY_CHARGE_ONLY",IF($K846="","",SUM($K846,$U846)),IF($S846="EXACT_COLLECTION_AMOUNT",IF($T846="","",$T846),IF($S846="ITEM_PRICE_ONLY_DELIVERY_PAID_BY_MERCHANT",IF($J846="","",SUM($J846,$U846)),""))))))</f>
        <v/>
      </c>
      <c r="M846" s="12" t="n"/>
      <c r="N846" s="13" t="n"/>
      <c r="O846" s="13" t="n"/>
      <c r="P846" s="9" t="n"/>
      <c r="Q846" s="14" t="n"/>
      <c r="R846" s="15" t="n"/>
      <c r="S846" s="14" t="n"/>
      <c r="T846" s="16" t="n"/>
      <c r="U846" s="16" t="n"/>
      <c r="V846" s="16" t="n"/>
      <c r="W846" s="16" t="n"/>
      <c r="X846" s="16" t="n"/>
      <c r="Y846" s="16" t="n"/>
      <c r="Z846" s="14" t="n"/>
      <c r="AA846" s="14" t="n"/>
      <c r="AB846" s="14" t="n"/>
      <c r="AC846" s="17">
        <f>IFERROR(VLOOKUP($H846&amp;"|"&amp;$Q846,Tariff_Master!$A$2:$L$169,3,FALSE),"")</f>
        <v/>
      </c>
      <c r="AD846" s="17">
        <f>IFERROR(VLOOKUP($H846&amp;"|"&amp;$Q846,Tariff_Master!$A$2:$L$169,4,FALSE),"")</f>
        <v/>
      </c>
      <c r="AE846" s="18">
        <f>IFERROR(VLOOKUP($H846&amp;"|"&amp;$Q846,Tariff_Master!$A$2:$L$169,6,FALSE),"")</f>
        <v/>
      </c>
      <c r="AF846" s="19">
        <f>IFERROR(VLOOKUP($H846&amp;"|"&amp;$Q846,Tariff_Master!$A$2:$L$169,7,FALSE),"")</f>
        <v/>
      </c>
      <c r="AG846" s="18">
        <f>IFERROR(VLOOKUP($H846&amp;"|"&amp;$Q846,Tariff_Master!$A$2:$L$169,8,FALSE),"")</f>
        <v/>
      </c>
      <c r="AH846" s="20">
        <f>IFERROR(VLOOKUP($H846&amp;"|"&amp;$Q846,Tariff_Master!$A$2:$L$169,9,FALSE),"")</f>
        <v/>
      </c>
      <c r="AI846" s="18">
        <f>IFERROR(VLOOKUP($H846&amp;"|"&amp;$Q846,Tariff_Master!$A$2:$L$169,10,FALSE),"")</f>
        <v/>
      </c>
      <c r="AJ846" s="21">
        <f>IF($M846="","",ROUNDUP(MAX(0,$M846),0))</f>
        <v/>
      </c>
      <c r="AK846" s="21">
        <f>IF(OR($AJ846="",$AF846=""),"",MAX(0,$AJ846-$AF846))</f>
        <v/>
      </c>
      <c r="AL846" s="22">
        <f>IF(OR($AK846="",$AG846=""),"",MAX(0,$AK846*$AG846))</f>
        <v/>
      </c>
      <c r="AM846" s="22">
        <f>IF($AE846="","",MAX(0,SUM($AE846,$AL846,$V846,$W846)))</f>
        <v/>
      </c>
      <c r="AN846" s="22">
        <f>IF($AM846="","",IF(AND($Q846="COMMITMENT",$R846&gt;=$AH846),$AI846,0))</f>
        <v/>
      </c>
      <c r="AO846" s="23">
        <f>IF($AM846="","",MAX(0,$AM846-$AN846))</f>
        <v/>
      </c>
      <c r="AP846" s="22">
        <f>IF($S846="","",IF(OR($S846="ITEM_PRICE_PLUS_DECLARED_DELIVERY",$S846="DELIVERY_CHARGE_ONLY"),$K846,IF($S846="TOTAL_AMOUNT_INCLUDING_DELIVERY",IF(OR($T846="",$J846=""),"",MAX(0,$T846-$J846-$U846)),IF($S846="ITEM_PRICE_ONLY_DELIVERY_PAID_BY_MERCHANT",0,""))))</f>
        <v/>
      </c>
      <c r="AQ846" s="23">
        <f>IF(OR($AP846="",$AO846=""),"",$AP846-$AO846)</f>
        <v/>
      </c>
      <c r="AR846" s="24">
        <f>IF($S846="EXACT_COLLECTION_AMOUNT","BREAKDOWN_REQUIRED",IF($AQ846="","",IF($AQ846&gt;0,"CREDIT_TO_MERCHANT",IF($AQ846&lt;0,"DEDUCT_FROM_MERCHANT","NO_ADJUSTMENT"))))</f>
        <v/>
      </c>
      <c r="AS846" s="23">
        <f>IF(OR($AQ846="",$AR846="BREAKDOWN_REQUIRED"),"",$AQ846)</f>
        <v/>
      </c>
      <c r="AT846" s="23">
        <f>IF(OR($AR846="",$AR846="BREAKDOWN_REQUIRED"),"",SUM($J846,$AQ846,$Y846)-$X846)</f>
        <v/>
      </c>
      <c r="AU846" s="25">
        <f>IF(AND($A846="",$B846="",$F846="",$H846="",$J846="",$K846="",$M846="",$S846=""),"",IF(OR($H846="",$Q846="",$M846="",$S846=""),"ERROR",IF(OR($J846&lt;0,$K846&lt;0,$M846&lt;0,$T846&lt;0,$U846&lt;0,$V846&lt;0,$W846&lt;0,$X846&lt;0,$Y846&lt;0),"ERROR",IF($AE846="","ERROR",IF(AND(OR($S846="ITEM_PRICE_PLUS_DECLARED_DELIVERY",$S846="TOTAL_AMOUNT_INCLUDING_DELIVERY",$S846="ITEM_PRICE_ONLY_DELIVERY_PAID_BY_MERCHANT"),$J846=""),"ERROR",IF(AND(OR($S846="ITEM_PRICE_PLUS_DECLARED_DELIVERY",$S846="DELIVERY_CHARGE_ONLY"),$K846=""),"ERROR",IF(AND(OR($S846="TOTAL_AMOUNT_INCLUDING_DELIVERY",$S846="EXACT_COLLECTION_AMOUNT"),$T846=""),"ERROR",IF(AND($S846="TOTAL_AMOUNT_INCLUDING_DELIVERY",$T846&lt;SUM($J846,$U846)),"ERROR",IF($S846="EXACT_COLLECTION_AMOUNT","REVIEW","OK")))))))))</f>
        <v/>
      </c>
      <c r="AV846" s="25">
        <f>IF($AU846="","",IF($H846="","Township required",IF($Q846="","Customer tier required",IF($M846="","Weight required",IF($S846="","Amount entry type required",IF(OR($J846&lt;0,$K846&lt;0,$M846&lt;0,$T846&lt;0,$U846&lt;0,$V846&lt;0,$W846&lt;0,$X846&lt;0,$Y846&lt;0),"Negative amounts are not allowed",IF($AE846="","Tariff not found for township and tier",IF(AND(OR($S846="ITEM_PRICE_PLUS_DECLARED_DELIVERY",$S846="TOTAL_AMOUNT_INCLUDING_DELIVERY",$S846="ITEM_PRICE_ONLY_DELIVERY_PAID_BY_MERCHANT"),$J846=""),"Item price required for this amount type",IF(AND(OR($S846="ITEM_PRICE_PLUS_DECLARED_DELIVERY",$S846="DELIVERY_CHARGE_ONLY"),$K846=""),"Declared delivery charge required",IF(AND(OR($S846="TOTAL_AMOUNT_INCLUDING_DELIVERY",$S846="EXACT_COLLECTION_AMOUNT"),$T846=""),"Stated total amount required",IF(AND($S846="TOTAL_AMOUNT_INCLUDING_DELIVERY",$T846&lt;SUM($J846,$U846)),"Stated total is below item price plus additional charge",IF($S846="EXACT_COLLECTION_AMOUNT","Authorized amount breakdown required before settlement","Ready for collection and settlement"))))))))))))</f>
        <v/>
      </c>
      <c r="AW846" s="23">
        <f>IF($AU846="","","PARCEL_FINANCIAL_V2")</f>
        <v/>
      </c>
      <c r="AX846" s="17" t="n"/>
    </row>
    <row r="847">
      <c r="A847" s="8" t="n"/>
      <c r="B847" s="8" t="n"/>
      <c r="C847" s="8" t="n"/>
      <c r="D847" s="8" t="n"/>
      <c r="E847" s="9" t="n"/>
      <c r="F847" s="9" t="n"/>
      <c r="G847" s="8" t="n"/>
      <c r="H847" s="9" t="n"/>
      <c r="I847" s="9" t="n"/>
      <c r="J847" s="10" t="n"/>
      <c r="K847" s="10" t="n"/>
      <c r="L847" s="11">
        <f>IF($S847="","",IF($S847="ITEM_PRICE_PLUS_DECLARED_DELIVERY",IF(OR($J847="",$K847=""),"",SUM($J847,$K847,$U847)),IF($S847="TOTAL_AMOUNT_INCLUDING_DELIVERY",IF($T847="","",$T847),IF($S847="DELIVERY_CHARGE_ONLY",IF($K847="","",SUM($K847,$U847)),IF($S847="EXACT_COLLECTION_AMOUNT",IF($T847="","",$T847),IF($S847="ITEM_PRICE_ONLY_DELIVERY_PAID_BY_MERCHANT",IF($J847="","",SUM($J847,$U847)),""))))))</f>
        <v/>
      </c>
      <c r="M847" s="12" t="n"/>
      <c r="N847" s="13" t="n"/>
      <c r="O847" s="13" t="n"/>
      <c r="P847" s="9" t="n"/>
      <c r="Q847" s="14" t="n"/>
      <c r="R847" s="15" t="n"/>
      <c r="S847" s="14" t="n"/>
      <c r="T847" s="16" t="n"/>
      <c r="U847" s="16" t="n"/>
      <c r="V847" s="16" t="n"/>
      <c r="W847" s="16" t="n"/>
      <c r="X847" s="16" t="n"/>
      <c r="Y847" s="16" t="n"/>
      <c r="Z847" s="14" t="n"/>
      <c r="AA847" s="14" t="n"/>
      <c r="AB847" s="14" t="n"/>
      <c r="AC847" s="17">
        <f>IFERROR(VLOOKUP($H847&amp;"|"&amp;$Q847,Tariff_Master!$A$2:$L$169,3,FALSE),"")</f>
        <v/>
      </c>
      <c r="AD847" s="17">
        <f>IFERROR(VLOOKUP($H847&amp;"|"&amp;$Q847,Tariff_Master!$A$2:$L$169,4,FALSE),"")</f>
        <v/>
      </c>
      <c r="AE847" s="18">
        <f>IFERROR(VLOOKUP($H847&amp;"|"&amp;$Q847,Tariff_Master!$A$2:$L$169,6,FALSE),"")</f>
        <v/>
      </c>
      <c r="AF847" s="19">
        <f>IFERROR(VLOOKUP($H847&amp;"|"&amp;$Q847,Tariff_Master!$A$2:$L$169,7,FALSE),"")</f>
        <v/>
      </c>
      <c r="AG847" s="18">
        <f>IFERROR(VLOOKUP($H847&amp;"|"&amp;$Q847,Tariff_Master!$A$2:$L$169,8,FALSE),"")</f>
        <v/>
      </c>
      <c r="AH847" s="20">
        <f>IFERROR(VLOOKUP($H847&amp;"|"&amp;$Q847,Tariff_Master!$A$2:$L$169,9,FALSE),"")</f>
        <v/>
      </c>
      <c r="AI847" s="18">
        <f>IFERROR(VLOOKUP($H847&amp;"|"&amp;$Q847,Tariff_Master!$A$2:$L$169,10,FALSE),"")</f>
        <v/>
      </c>
      <c r="AJ847" s="21">
        <f>IF($M847="","",ROUNDUP(MAX(0,$M847),0))</f>
        <v/>
      </c>
      <c r="AK847" s="21">
        <f>IF(OR($AJ847="",$AF847=""),"",MAX(0,$AJ847-$AF847))</f>
        <v/>
      </c>
      <c r="AL847" s="22">
        <f>IF(OR($AK847="",$AG847=""),"",MAX(0,$AK847*$AG847))</f>
        <v/>
      </c>
      <c r="AM847" s="22">
        <f>IF($AE847="","",MAX(0,SUM($AE847,$AL847,$V847,$W847)))</f>
        <v/>
      </c>
      <c r="AN847" s="22">
        <f>IF($AM847="","",IF(AND($Q847="COMMITMENT",$R847&gt;=$AH847),$AI847,0))</f>
        <v/>
      </c>
      <c r="AO847" s="23">
        <f>IF($AM847="","",MAX(0,$AM847-$AN847))</f>
        <v/>
      </c>
      <c r="AP847" s="22">
        <f>IF($S847="","",IF(OR($S847="ITEM_PRICE_PLUS_DECLARED_DELIVERY",$S847="DELIVERY_CHARGE_ONLY"),$K847,IF($S847="TOTAL_AMOUNT_INCLUDING_DELIVERY",IF(OR($T847="",$J847=""),"",MAX(0,$T847-$J847-$U847)),IF($S847="ITEM_PRICE_ONLY_DELIVERY_PAID_BY_MERCHANT",0,""))))</f>
        <v/>
      </c>
      <c r="AQ847" s="23">
        <f>IF(OR($AP847="",$AO847=""),"",$AP847-$AO847)</f>
        <v/>
      </c>
      <c r="AR847" s="24">
        <f>IF($S847="EXACT_COLLECTION_AMOUNT","BREAKDOWN_REQUIRED",IF($AQ847="","",IF($AQ847&gt;0,"CREDIT_TO_MERCHANT",IF($AQ847&lt;0,"DEDUCT_FROM_MERCHANT","NO_ADJUSTMENT"))))</f>
        <v/>
      </c>
      <c r="AS847" s="23">
        <f>IF(OR($AQ847="",$AR847="BREAKDOWN_REQUIRED"),"",$AQ847)</f>
        <v/>
      </c>
      <c r="AT847" s="23">
        <f>IF(OR($AR847="",$AR847="BREAKDOWN_REQUIRED"),"",SUM($J847,$AQ847,$Y847)-$X847)</f>
        <v/>
      </c>
      <c r="AU847" s="25">
        <f>IF(AND($A847="",$B847="",$F847="",$H847="",$J847="",$K847="",$M847="",$S847=""),"",IF(OR($H847="",$Q847="",$M847="",$S847=""),"ERROR",IF(OR($J847&lt;0,$K847&lt;0,$M847&lt;0,$T847&lt;0,$U847&lt;0,$V847&lt;0,$W847&lt;0,$X847&lt;0,$Y847&lt;0),"ERROR",IF($AE847="","ERROR",IF(AND(OR($S847="ITEM_PRICE_PLUS_DECLARED_DELIVERY",$S847="TOTAL_AMOUNT_INCLUDING_DELIVERY",$S847="ITEM_PRICE_ONLY_DELIVERY_PAID_BY_MERCHANT"),$J847=""),"ERROR",IF(AND(OR($S847="ITEM_PRICE_PLUS_DECLARED_DELIVERY",$S847="DELIVERY_CHARGE_ONLY"),$K847=""),"ERROR",IF(AND(OR($S847="TOTAL_AMOUNT_INCLUDING_DELIVERY",$S847="EXACT_COLLECTION_AMOUNT"),$T847=""),"ERROR",IF(AND($S847="TOTAL_AMOUNT_INCLUDING_DELIVERY",$T847&lt;SUM($J847,$U847)),"ERROR",IF($S847="EXACT_COLLECTION_AMOUNT","REVIEW","OK")))))))))</f>
        <v/>
      </c>
      <c r="AV847" s="25">
        <f>IF($AU847="","",IF($H847="","Township required",IF($Q847="","Customer tier required",IF($M847="","Weight required",IF($S847="","Amount entry type required",IF(OR($J847&lt;0,$K847&lt;0,$M847&lt;0,$T847&lt;0,$U847&lt;0,$V847&lt;0,$W847&lt;0,$X847&lt;0,$Y847&lt;0),"Negative amounts are not allowed",IF($AE847="","Tariff not found for township and tier",IF(AND(OR($S847="ITEM_PRICE_PLUS_DECLARED_DELIVERY",$S847="TOTAL_AMOUNT_INCLUDING_DELIVERY",$S847="ITEM_PRICE_ONLY_DELIVERY_PAID_BY_MERCHANT"),$J847=""),"Item price required for this amount type",IF(AND(OR($S847="ITEM_PRICE_PLUS_DECLARED_DELIVERY",$S847="DELIVERY_CHARGE_ONLY"),$K847=""),"Declared delivery charge required",IF(AND(OR($S847="TOTAL_AMOUNT_INCLUDING_DELIVERY",$S847="EXACT_COLLECTION_AMOUNT"),$T847=""),"Stated total amount required",IF(AND($S847="TOTAL_AMOUNT_INCLUDING_DELIVERY",$T847&lt;SUM($J847,$U847)),"Stated total is below item price plus additional charge",IF($S847="EXACT_COLLECTION_AMOUNT","Authorized amount breakdown required before settlement","Ready for collection and settlement"))))))))))))</f>
        <v/>
      </c>
      <c r="AW847" s="23">
        <f>IF($AU847="","","PARCEL_FINANCIAL_V2")</f>
        <v/>
      </c>
      <c r="AX847" s="17" t="n"/>
    </row>
    <row r="848">
      <c r="A848" s="8" t="n"/>
      <c r="B848" s="8" t="n"/>
      <c r="C848" s="8" t="n"/>
      <c r="D848" s="8" t="n"/>
      <c r="E848" s="9" t="n"/>
      <c r="F848" s="9" t="n"/>
      <c r="G848" s="8" t="n"/>
      <c r="H848" s="9" t="n"/>
      <c r="I848" s="9" t="n"/>
      <c r="J848" s="10" t="n"/>
      <c r="K848" s="10" t="n"/>
      <c r="L848" s="11">
        <f>IF($S848="","",IF($S848="ITEM_PRICE_PLUS_DECLARED_DELIVERY",IF(OR($J848="",$K848=""),"",SUM($J848,$K848,$U848)),IF($S848="TOTAL_AMOUNT_INCLUDING_DELIVERY",IF($T848="","",$T848),IF($S848="DELIVERY_CHARGE_ONLY",IF($K848="","",SUM($K848,$U848)),IF($S848="EXACT_COLLECTION_AMOUNT",IF($T848="","",$T848),IF($S848="ITEM_PRICE_ONLY_DELIVERY_PAID_BY_MERCHANT",IF($J848="","",SUM($J848,$U848)),""))))))</f>
        <v/>
      </c>
      <c r="M848" s="12" t="n"/>
      <c r="N848" s="13" t="n"/>
      <c r="O848" s="13" t="n"/>
      <c r="P848" s="9" t="n"/>
      <c r="Q848" s="14" t="n"/>
      <c r="R848" s="15" t="n"/>
      <c r="S848" s="14" t="n"/>
      <c r="T848" s="16" t="n"/>
      <c r="U848" s="16" t="n"/>
      <c r="V848" s="16" t="n"/>
      <c r="W848" s="16" t="n"/>
      <c r="X848" s="16" t="n"/>
      <c r="Y848" s="16" t="n"/>
      <c r="Z848" s="14" t="n"/>
      <c r="AA848" s="14" t="n"/>
      <c r="AB848" s="14" t="n"/>
      <c r="AC848" s="17">
        <f>IFERROR(VLOOKUP($H848&amp;"|"&amp;$Q848,Tariff_Master!$A$2:$L$169,3,FALSE),"")</f>
        <v/>
      </c>
      <c r="AD848" s="17">
        <f>IFERROR(VLOOKUP($H848&amp;"|"&amp;$Q848,Tariff_Master!$A$2:$L$169,4,FALSE),"")</f>
        <v/>
      </c>
      <c r="AE848" s="18">
        <f>IFERROR(VLOOKUP($H848&amp;"|"&amp;$Q848,Tariff_Master!$A$2:$L$169,6,FALSE),"")</f>
        <v/>
      </c>
      <c r="AF848" s="19">
        <f>IFERROR(VLOOKUP($H848&amp;"|"&amp;$Q848,Tariff_Master!$A$2:$L$169,7,FALSE),"")</f>
        <v/>
      </c>
      <c r="AG848" s="18">
        <f>IFERROR(VLOOKUP($H848&amp;"|"&amp;$Q848,Tariff_Master!$A$2:$L$169,8,FALSE),"")</f>
        <v/>
      </c>
      <c r="AH848" s="20">
        <f>IFERROR(VLOOKUP($H848&amp;"|"&amp;$Q848,Tariff_Master!$A$2:$L$169,9,FALSE),"")</f>
        <v/>
      </c>
      <c r="AI848" s="18">
        <f>IFERROR(VLOOKUP($H848&amp;"|"&amp;$Q848,Tariff_Master!$A$2:$L$169,10,FALSE),"")</f>
        <v/>
      </c>
      <c r="AJ848" s="21">
        <f>IF($M848="","",ROUNDUP(MAX(0,$M848),0))</f>
        <v/>
      </c>
      <c r="AK848" s="21">
        <f>IF(OR($AJ848="",$AF848=""),"",MAX(0,$AJ848-$AF848))</f>
        <v/>
      </c>
      <c r="AL848" s="22">
        <f>IF(OR($AK848="",$AG848=""),"",MAX(0,$AK848*$AG848))</f>
        <v/>
      </c>
      <c r="AM848" s="22">
        <f>IF($AE848="","",MAX(0,SUM($AE848,$AL848,$V848,$W848)))</f>
        <v/>
      </c>
      <c r="AN848" s="22">
        <f>IF($AM848="","",IF(AND($Q848="COMMITMENT",$R848&gt;=$AH848),$AI848,0))</f>
        <v/>
      </c>
      <c r="AO848" s="23">
        <f>IF($AM848="","",MAX(0,$AM848-$AN848))</f>
        <v/>
      </c>
      <c r="AP848" s="22">
        <f>IF($S848="","",IF(OR($S848="ITEM_PRICE_PLUS_DECLARED_DELIVERY",$S848="DELIVERY_CHARGE_ONLY"),$K848,IF($S848="TOTAL_AMOUNT_INCLUDING_DELIVERY",IF(OR($T848="",$J848=""),"",MAX(0,$T848-$J848-$U848)),IF($S848="ITEM_PRICE_ONLY_DELIVERY_PAID_BY_MERCHANT",0,""))))</f>
        <v/>
      </c>
      <c r="AQ848" s="23">
        <f>IF(OR($AP848="",$AO848=""),"",$AP848-$AO848)</f>
        <v/>
      </c>
      <c r="AR848" s="24">
        <f>IF($S848="EXACT_COLLECTION_AMOUNT","BREAKDOWN_REQUIRED",IF($AQ848="","",IF($AQ848&gt;0,"CREDIT_TO_MERCHANT",IF($AQ848&lt;0,"DEDUCT_FROM_MERCHANT","NO_ADJUSTMENT"))))</f>
        <v/>
      </c>
      <c r="AS848" s="23">
        <f>IF(OR($AQ848="",$AR848="BREAKDOWN_REQUIRED"),"",$AQ848)</f>
        <v/>
      </c>
      <c r="AT848" s="23">
        <f>IF(OR($AR848="",$AR848="BREAKDOWN_REQUIRED"),"",SUM($J848,$AQ848,$Y848)-$X848)</f>
        <v/>
      </c>
      <c r="AU848" s="25">
        <f>IF(AND($A848="",$B848="",$F848="",$H848="",$J848="",$K848="",$M848="",$S848=""),"",IF(OR($H848="",$Q848="",$M848="",$S848=""),"ERROR",IF(OR($J848&lt;0,$K848&lt;0,$M848&lt;0,$T848&lt;0,$U848&lt;0,$V848&lt;0,$W848&lt;0,$X848&lt;0,$Y848&lt;0),"ERROR",IF($AE848="","ERROR",IF(AND(OR($S848="ITEM_PRICE_PLUS_DECLARED_DELIVERY",$S848="TOTAL_AMOUNT_INCLUDING_DELIVERY",$S848="ITEM_PRICE_ONLY_DELIVERY_PAID_BY_MERCHANT"),$J848=""),"ERROR",IF(AND(OR($S848="ITEM_PRICE_PLUS_DECLARED_DELIVERY",$S848="DELIVERY_CHARGE_ONLY"),$K848=""),"ERROR",IF(AND(OR($S848="TOTAL_AMOUNT_INCLUDING_DELIVERY",$S848="EXACT_COLLECTION_AMOUNT"),$T848=""),"ERROR",IF(AND($S848="TOTAL_AMOUNT_INCLUDING_DELIVERY",$T848&lt;SUM($J848,$U848)),"ERROR",IF($S848="EXACT_COLLECTION_AMOUNT","REVIEW","OK")))))))))</f>
        <v/>
      </c>
      <c r="AV848" s="25">
        <f>IF($AU848="","",IF($H848="","Township required",IF($Q848="","Customer tier required",IF($M848="","Weight required",IF($S848="","Amount entry type required",IF(OR($J848&lt;0,$K848&lt;0,$M848&lt;0,$T848&lt;0,$U848&lt;0,$V848&lt;0,$W848&lt;0,$X848&lt;0,$Y848&lt;0),"Negative amounts are not allowed",IF($AE848="","Tariff not found for township and tier",IF(AND(OR($S848="ITEM_PRICE_PLUS_DECLARED_DELIVERY",$S848="TOTAL_AMOUNT_INCLUDING_DELIVERY",$S848="ITEM_PRICE_ONLY_DELIVERY_PAID_BY_MERCHANT"),$J848=""),"Item price required for this amount type",IF(AND(OR($S848="ITEM_PRICE_PLUS_DECLARED_DELIVERY",$S848="DELIVERY_CHARGE_ONLY"),$K848=""),"Declared delivery charge required",IF(AND(OR($S848="TOTAL_AMOUNT_INCLUDING_DELIVERY",$S848="EXACT_COLLECTION_AMOUNT"),$T848=""),"Stated total amount required",IF(AND($S848="TOTAL_AMOUNT_INCLUDING_DELIVERY",$T848&lt;SUM($J848,$U848)),"Stated total is below item price plus additional charge",IF($S848="EXACT_COLLECTION_AMOUNT","Authorized amount breakdown required before settlement","Ready for collection and settlement"))))))))))))</f>
        <v/>
      </c>
      <c r="AW848" s="23">
        <f>IF($AU848="","","PARCEL_FINANCIAL_V2")</f>
        <v/>
      </c>
      <c r="AX848" s="17" t="n"/>
    </row>
    <row r="849">
      <c r="A849" s="8" t="n"/>
      <c r="B849" s="8" t="n"/>
      <c r="C849" s="8" t="n"/>
      <c r="D849" s="8" t="n"/>
      <c r="E849" s="9" t="n"/>
      <c r="F849" s="9" t="n"/>
      <c r="G849" s="8" t="n"/>
      <c r="H849" s="9" t="n"/>
      <c r="I849" s="9" t="n"/>
      <c r="J849" s="10" t="n"/>
      <c r="K849" s="10" t="n"/>
      <c r="L849" s="11">
        <f>IF($S849="","",IF($S849="ITEM_PRICE_PLUS_DECLARED_DELIVERY",IF(OR($J849="",$K849=""),"",SUM($J849,$K849,$U849)),IF($S849="TOTAL_AMOUNT_INCLUDING_DELIVERY",IF($T849="","",$T849),IF($S849="DELIVERY_CHARGE_ONLY",IF($K849="","",SUM($K849,$U849)),IF($S849="EXACT_COLLECTION_AMOUNT",IF($T849="","",$T849),IF($S849="ITEM_PRICE_ONLY_DELIVERY_PAID_BY_MERCHANT",IF($J849="","",SUM($J849,$U849)),""))))))</f>
        <v/>
      </c>
      <c r="M849" s="12" t="n"/>
      <c r="N849" s="13" t="n"/>
      <c r="O849" s="13" t="n"/>
      <c r="P849" s="9" t="n"/>
      <c r="Q849" s="14" t="n"/>
      <c r="R849" s="15" t="n"/>
      <c r="S849" s="14" t="n"/>
      <c r="T849" s="16" t="n"/>
      <c r="U849" s="16" t="n"/>
      <c r="V849" s="16" t="n"/>
      <c r="W849" s="16" t="n"/>
      <c r="X849" s="16" t="n"/>
      <c r="Y849" s="16" t="n"/>
      <c r="Z849" s="14" t="n"/>
      <c r="AA849" s="14" t="n"/>
      <c r="AB849" s="14" t="n"/>
      <c r="AC849" s="17">
        <f>IFERROR(VLOOKUP($H849&amp;"|"&amp;$Q849,Tariff_Master!$A$2:$L$169,3,FALSE),"")</f>
        <v/>
      </c>
      <c r="AD849" s="17">
        <f>IFERROR(VLOOKUP($H849&amp;"|"&amp;$Q849,Tariff_Master!$A$2:$L$169,4,FALSE),"")</f>
        <v/>
      </c>
      <c r="AE849" s="18">
        <f>IFERROR(VLOOKUP($H849&amp;"|"&amp;$Q849,Tariff_Master!$A$2:$L$169,6,FALSE),"")</f>
        <v/>
      </c>
      <c r="AF849" s="19">
        <f>IFERROR(VLOOKUP($H849&amp;"|"&amp;$Q849,Tariff_Master!$A$2:$L$169,7,FALSE),"")</f>
        <v/>
      </c>
      <c r="AG849" s="18">
        <f>IFERROR(VLOOKUP($H849&amp;"|"&amp;$Q849,Tariff_Master!$A$2:$L$169,8,FALSE),"")</f>
        <v/>
      </c>
      <c r="AH849" s="20">
        <f>IFERROR(VLOOKUP($H849&amp;"|"&amp;$Q849,Tariff_Master!$A$2:$L$169,9,FALSE),"")</f>
        <v/>
      </c>
      <c r="AI849" s="18">
        <f>IFERROR(VLOOKUP($H849&amp;"|"&amp;$Q849,Tariff_Master!$A$2:$L$169,10,FALSE),"")</f>
        <v/>
      </c>
      <c r="AJ849" s="21">
        <f>IF($M849="","",ROUNDUP(MAX(0,$M849),0))</f>
        <v/>
      </c>
      <c r="AK849" s="21">
        <f>IF(OR($AJ849="",$AF849=""),"",MAX(0,$AJ849-$AF849))</f>
        <v/>
      </c>
      <c r="AL849" s="22">
        <f>IF(OR($AK849="",$AG849=""),"",MAX(0,$AK849*$AG849))</f>
        <v/>
      </c>
      <c r="AM849" s="22">
        <f>IF($AE849="","",MAX(0,SUM($AE849,$AL849,$V849,$W849)))</f>
        <v/>
      </c>
      <c r="AN849" s="22">
        <f>IF($AM849="","",IF(AND($Q849="COMMITMENT",$R849&gt;=$AH849),$AI849,0))</f>
        <v/>
      </c>
      <c r="AO849" s="23">
        <f>IF($AM849="","",MAX(0,$AM849-$AN849))</f>
        <v/>
      </c>
      <c r="AP849" s="22">
        <f>IF($S849="","",IF(OR($S849="ITEM_PRICE_PLUS_DECLARED_DELIVERY",$S849="DELIVERY_CHARGE_ONLY"),$K849,IF($S849="TOTAL_AMOUNT_INCLUDING_DELIVERY",IF(OR($T849="",$J849=""),"",MAX(0,$T849-$J849-$U849)),IF($S849="ITEM_PRICE_ONLY_DELIVERY_PAID_BY_MERCHANT",0,""))))</f>
        <v/>
      </c>
      <c r="AQ849" s="23">
        <f>IF(OR($AP849="",$AO849=""),"",$AP849-$AO849)</f>
        <v/>
      </c>
      <c r="AR849" s="24">
        <f>IF($S849="EXACT_COLLECTION_AMOUNT","BREAKDOWN_REQUIRED",IF($AQ849="","",IF($AQ849&gt;0,"CREDIT_TO_MERCHANT",IF($AQ849&lt;0,"DEDUCT_FROM_MERCHANT","NO_ADJUSTMENT"))))</f>
        <v/>
      </c>
      <c r="AS849" s="23">
        <f>IF(OR($AQ849="",$AR849="BREAKDOWN_REQUIRED"),"",$AQ849)</f>
        <v/>
      </c>
      <c r="AT849" s="23">
        <f>IF(OR($AR849="",$AR849="BREAKDOWN_REQUIRED"),"",SUM($J849,$AQ849,$Y849)-$X849)</f>
        <v/>
      </c>
      <c r="AU849" s="25">
        <f>IF(AND($A849="",$B849="",$F849="",$H849="",$J849="",$K849="",$M849="",$S849=""),"",IF(OR($H849="",$Q849="",$M849="",$S849=""),"ERROR",IF(OR($J849&lt;0,$K849&lt;0,$M849&lt;0,$T849&lt;0,$U849&lt;0,$V849&lt;0,$W849&lt;0,$X849&lt;0,$Y849&lt;0),"ERROR",IF($AE849="","ERROR",IF(AND(OR($S849="ITEM_PRICE_PLUS_DECLARED_DELIVERY",$S849="TOTAL_AMOUNT_INCLUDING_DELIVERY",$S849="ITEM_PRICE_ONLY_DELIVERY_PAID_BY_MERCHANT"),$J849=""),"ERROR",IF(AND(OR($S849="ITEM_PRICE_PLUS_DECLARED_DELIVERY",$S849="DELIVERY_CHARGE_ONLY"),$K849=""),"ERROR",IF(AND(OR($S849="TOTAL_AMOUNT_INCLUDING_DELIVERY",$S849="EXACT_COLLECTION_AMOUNT"),$T849=""),"ERROR",IF(AND($S849="TOTAL_AMOUNT_INCLUDING_DELIVERY",$T849&lt;SUM($J849,$U849)),"ERROR",IF($S849="EXACT_COLLECTION_AMOUNT","REVIEW","OK")))))))))</f>
        <v/>
      </c>
      <c r="AV849" s="25">
        <f>IF($AU849="","",IF($H849="","Township required",IF($Q849="","Customer tier required",IF($M849="","Weight required",IF($S849="","Amount entry type required",IF(OR($J849&lt;0,$K849&lt;0,$M849&lt;0,$T849&lt;0,$U849&lt;0,$V849&lt;0,$W849&lt;0,$X849&lt;0,$Y849&lt;0),"Negative amounts are not allowed",IF($AE849="","Tariff not found for township and tier",IF(AND(OR($S849="ITEM_PRICE_PLUS_DECLARED_DELIVERY",$S849="TOTAL_AMOUNT_INCLUDING_DELIVERY",$S849="ITEM_PRICE_ONLY_DELIVERY_PAID_BY_MERCHANT"),$J849=""),"Item price required for this amount type",IF(AND(OR($S849="ITEM_PRICE_PLUS_DECLARED_DELIVERY",$S849="DELIVERY_CHARGE_ONLY"),$K849=""),"Declared delivery charge required",IF(AND(OR($S849="TOTAL_AMOUNT_INCLUDING_DELIVERY",$S849="EXACT_COLLECTION_AMOUNT"),$T849=""),"Stated total amount required",IF(AND($S849="TOTAL_AMOUNT_INCLUDING_DELIVERY",$T849&lt;SUM($J849,$U849)),"Stated total is below item price plus additional charge",IF($S849="EXACT_COLLECTION_AMOUNT","Authorized amount breakdown required before settlement","Ready for collection and settlement"))))))))))))</f>
        <v/>
      </c>
      <c r="AW849" s="23">
        <f>IF($AU849="","","PARCEL_FINANCIAL_V2")</f>
        <v/>
      </c>
      <c r="AX849" s="17" t="n"/>
    </row>
    <row r="850">
      <c r="A850" s="8" t="n"/>
      <c r="B850" s="8" t="n"/>
      <c r="C850" s="8" t="n"/>
      <c r="D850" s="8" t="n"/>
      <c r="E850" s="9" t="n"/>
      <c r="F850" s="9" t="n"/>
      <c r="G850" s="8" t="n"/>
      <c r="H850" s="9" t="n"/>
      <c r="I850" s="9" t="n"/>
      <c r="J850" s="10" t="n"/>
      <c r="K850" s="10" t="n"/>
      <c r="L850" s="11">
        <f>IF($S850="","",IF($S850="ITEM_PRICE_PLUS_DECLARED_DELIVERY",IF(OR($J850="",$K850=""),"",SUM($J850,$K850,$U850)),IF($S850="TOTAL_AMOUNT_INCLUDING_DELIVERY",IF($T850="","",$T850),IF($S850="DELIVERY_CHARGE_ONLY",IF($K850="","",SUM($K850,$U850)),IF($S850="EXACT_COLLECTION_AMOUNT",IF($T850="","",$T850),IF($S850="ITEM_PRICE_ONLY_DELIVERY_PAID_BY_MERCHANT",IF($J850="","",SUM($J850,$U850)),""))))))</f>
        <v/>
      </c>
      <c r="M850" s="12" t="n"/>
      <c r="N850" s="13" t="n"/>
      <c r="O850" s="13" t="n"/>
      <c r="P850" s="9" t="n"/>
      <c r="Q850" s="14" t="n"/>
      <c r="R850" s="15" t="n"/>
      <c r="S850" s="14" t="n"/>
      <c r="T850" s="16" t="n"/>
      <c r="U850" s="16" t="n"/>
      <c r="V850" s="16" t="n"/>
      <c r="W850" s="16" t="n"/>
      <c r="X850" s="16" t="n"/>
      <c r="Y850" s="16" t="n"/>
      <c r="Z850" s="14" t="n"/>
      <c r="AA850" s="14" t="n"/>
      <c r="AB850" s="14" t="n"/>
      <c r="AC850" s="17">
        <f>IFERROR(VLOOKUP($H850&amp;"|"&amp;$Q850,Tariff_Master!$A$2:$L$169,3,FALSE),"")</f>
        <v/>
      </c>
      <c r="AD850" s="17">
        <f>IFERROR(VLOOKUP($H850&amp;"|"&amp;$Q850,Tariff_Master!$A$2:$L$169,4,FALSE),"")</f>
        <v/>
      </c>
      <c r="AE850" s="18">
        <f>IFERROR(VLOOKUP($H850&amp;"|"&amp;$Q850,Tariff_Master!$A$2:$L$169,6,FALSE),"")</f>
        <v/>
      </c>
      <c r="AF850" s="19">
        <f>IFERROR(VLOOKUP($H850&amp;"|"&amp;$Q850,Tariff_Master!$A$2:$L$169,7,FALSE),"")</f>
        <v/>
      </c>
      <c r="AG850" s="18">
        <f>IFERROR(VLOOKUP($H850&amp;"|"&amp;$Q850,Tariff_Master!$A$2:$L$169,8,FALSE),"")</f>
        <v/>
      </c>
      <c r="AH850" s="20">
        <f>IFERROR(VLOOKUP($H850&amp;"|"&amp;$Q850,Tariff_Master!$A$2:$L$169,9,FALSE),"")</f>
        <v/>
      </c>
      <c r="AI850" s="18">
        <f>IFERROR(VLOOKUP($H850&amp;"|"&amp;$Q850,Tariff_Master!$A$2:$L$169,10,FALSE),"")</f>
        <v/>
      </c>
      <c r="AJ850" s="21">
        <f>IF($M850="","",ROUNDUP(MAX(0,$M850),0))</f>
        <v/>
      </c>
      <c r="AK850" s="21">
        <f>IF(OR($AJ850="",$AF850=""),"",MAX(0,$AJ850-$AF850))</f>
        <v/>
      </c>
      <c r="AL850" s="22">
        <f>IF(OR($AK850="",$AG850=""),"",MAX(0,$AK850*$AG850))</f>
        <v/>
      </c>
      <c r="AM850" s="22">
        <f>IF($AE850="","",MAX(0,SUM($AE850,$AL850,$V850,$W850)))</f>
        <v/>
      </c>
      <c r="AN850" s="22">
        <f>IF($AM850="","",IF(AND($Q850="COMMITMENT",$R850&gt;=$AH850),$AI850,0))</f>
        <v/>
      </c>
      <c r="AO850" s="23">
        <f>IF($AM850="","",MAX(0,$AM850-$AN850))</f>
        <v/>
      </c>
      <c r="AP850" s="22">
        <f>IF($S850="","",IF(OR($S850="ITEM_PRICE_PLUS_DECLARED_DELIVERY",$S850="DELIVERY_CHARGE_ONLY"),$K850,IF($S850="TOTAL_AMOUNT_INCLUDING_DELIVERY",IF(OR($T850="",$J850=""),"",MAX(0,$T850-$J850-$U850)),IF($S850="ITEM_PRICE_ONLY_DELIVERY_PAID_BY_MERCHANT",0,""))))</f>
        <v/>
      </c>
      <c r="AQ850" s="23">
        <f>IF(OR($AP850="",$AO850=""),"",$AP850-$AO850)</f>
        <v/>
      </c>
      <c r="AR850" s="24">
        <f>IF($S850="EXACT_COLLECTION_AMOUNT","BREAKDOWN_REQUIRED",IF($AQ850="","",IF($AQ850&gt;0,"CREDIT_TO_MERCHANT",IF($AQ850&lt;0,"DEDUCT_FROM_MERCHANT","NO_ADJUSTMENT"))))</f>
        <v/>
      </c>
      <c r="AS850" s="23">
        <f>IF(OR($AQ850="",$AR850="BREAKDOWN_REQUIRED"),"",$AQ850)</f>
        <v/>
      </c>
      <c r="AT850" s="23">
        <f>IF(OR($AR850="",$AR850="BREAKDOWN_REQUIRED"),"",SUM($J850,$AQ850,$Y850)-$X850)</f>
        <v/>
      </c>
      <c r="AU850" s="25">
        <f>IF(AND($A850="",$B850="",$F850="",$H850="",$J850="",$K850="",$M850="",$S850=""),"",IF(OR($H850="",$Q850="",$M850="",$S850=""),"ERROR",IF(OR($J850&lt;0,$K850&lt;0,$M850&lt;0,$T850&lt;0,$U850&lt;0,$V850&lt;0,$W850&lt;0,$X850&lt;0,$Y850&lt;0),"ERROR",IF($AE850="","ERROR",IF(AND(OR($S850="ITEM_PRICE_PLUS_DECLARED_DELIVERY",$S850="TOTAL_AMOUNT_INCLUDING_DELIVERY",$S850="ITEM_PRICE_ONLY_DELIVERY_PAID_BY_MERCHANT"),$J850=""),"ERROR",IF(AND(OR($S850="ITEM_PRICE_PLUS_DECLARED_DELIVERY",$S850="DELIVERY_CHARGE_ONLY"),$K850=""),"ERROR",IF(AND(OR($S850="TOTAL_AMOUNT_INCLUDING_DELIVERY",$S850="EXACT_COLLECTION_AMOUNT"),$T850=""),"ERROR",IF(AND($S850="TOTAL_AMOUNT_INCLUDING_DELIVERY",$T850&lt;SUM($J850,$U850)),"ERROR",IF($S850="EXACT_COLLECTION_AMOUNT","REVIEW","OK")))))))))</f>
        <v/>
      </c>
      <c r="AV850" s="25">
        <f>IF($AU850="","",IF($H850="","Township required",IF($Q850="","Customer tier required",IF($M850="","Weight required",IF($S850="","Amount entry type required",IF(OR($J850&lt;0,$K850&lt;0,$M850&lt;0,$T850&lt;0,$U850&lt;0,$V850&lt;0,$W850&lt;0,$X850&lt;0,$Y850&lt;0),"Negative amounts are not allowed",IF($AE850="","Tariff not found for township and tier",IF(AND(OR($S850="ITEM_PRICE_PLUS_DECLARED_DELIVERY",$S850="TOTAL_AMOUNT_INCLUDING_DELIVERY",$S850="ITEM_PRICE_ONLY_DELIVERY_PAID_BY_MERCHANT"),$J850=""),"Item price required for this amount type",IF(AND(OR($S850="ITEM_PRICE_PLUS_DECLARED_DELIVERY",$S850="DELIVERY_CHARGE_ONLY"),$K850=""),"Declared delivery charge required",IF(AND(OR($S850="TOTAL_AMOUNT_INCLUDING_DELIVERY",$S850="EXACT_COLLECTION_AMOUNT"),$T850=""),"Stated total amount required",IF(AND($S850="TOTAL_AMOUNT_INCLUDING_DELIVERY",$T850&lt;SUM($J850,$U850)),"Stated total is below item price plus additional charge",IF($S850="EXACT_COLLECTION_AMOUNT","Authorized amount breakdown required before settlement","Ready for collection and settlement"))))))))))))</f>
        <v/>
      </c>
      <c r="AW850" s="23">
        <f>IF($AU850="","","PARCEL_FINANCIAL_V2")</f>
        <v/>
      </c>
      <c r="AX850" s="17" t="n"/>
    </row>
    <row r="851">
      <c r="A851" s="8" t="n"/>
      <c r="B851" s="8" t="n"/>
      <c r="C851" s="8" t="n"/>
      <c r="D851" s="8" t="n"/>
      <c r="E851" s="9" t="n"/>
      <c r="F851" s="9" t="n"/>
      <c r="G851" s="8" t="n"/>
      <c r="H851" s="9" t="n"/>
      <c r="I851" s="9" t="n"/>
      <c r="J851" s="10" t="n"/>
      <c r="K851" s="10" t="n"/>
      <c r="L851" s="11">
        <f>IF($S851="","",IF($S851="ITEM_PRICE_PLUS_DECLARED_DELIVERY",IF(OR($J851="",$K851=""),"",SUM($J851,$K851,$U851)),IF($S851="TOTAL_AMOUNT_INCLUDING_DELIVERY",IF($T851="","",$T851),IF($S851="DELIVERY_CHARGE_ONLY",IF($K851="","",SUM($K851,$U851)),IF($S851="EXACT_COLLECTION_AMOUNT",IF($T851="","",$T851),IF($S851="ITEM_PRICE_ONLY_DELIVERY_PAID_BY_MERCHANT",IF($J851="","",SUM($J851,$U851)),""))))))</f>
        <v/>
      </c>
      <c r="M851" s="12" t="n"/>
      <c r="N851" s="13" t="n"/>
      <c r="O851" s="13" t="n"/>
      <c r="P851" s="9" t="n"/>
      <c r="Q851" s="14" t="n"/>
      <c r="R851" s="15" t="n"/>
      <c r="S851" s="14" t="n"/>
      <c r="T851" s="16" t="n"/>
      <c r="U851" s="16" t="n"/>
      <c r="V851" s="16" t="n"/>
      <c r="W851" s="16" t="n"/>
      <c r="X851" s="16" t="n"/>
      <c r="Y851" s="16" t="n"/>
      <c r="Z851" s="14" t="n"/>
      <c r="AA851" s="14" t="n"/>
      <c r="AB851" s="14" t="n"/>
      <c r="AC851" s="17">
        <f>IFERROR(VLOOKUP($H851&amp;"|"&amp;$Q851,Tariff_Master!$A$2:$L$169,3,FALSE),"")</f>
        <v/>
      </c>
      <c r="AD851" s="17">
        <f>IFERROR(VLOOKUP($H851&amp;"|"&amp;$Q851,Tariff_Master!$A$2:$L$169,4,FALSE),"")</f>
        <v/>
      </c>
      <c r="AE851" s="18">
        <f>IFERROR(VLOOKUP($H851&amp;"|"&amp;$Q851,Tariff_Master!$A$2:$L$169,6,FALSE),"")</f>
        <v/>
      </c>
      <c r="AF851" s="19">
        <f>IFERROR(VLOOKUP($H851&amp;"|"&amp;$Q851,Tariff_Master!$A$2:$L$169,7,FALSE),"")</f>
        <v/>
      </c>
      <c r="AG851" s="18">
        <f>IFERROR(VLOOKUP($H851&amp;"|"&amp;$Q851,Tariff_Master!$A$2:$L$169,8,FALSE),"")</f>
        <v/>
      </c>
      <c r="AH851" s="20">
        <f>IFERROR(VLOOKUP($H851&amp;"|"&amp;$Q851,Tariff_Master!$A$2:$L$169,9,FALSE),"")</f>
        <v/>
      </c>
      <c r="AI851" s="18">
        <f>IFERROR(VLOOKUP($H851&amp;"|"&amp;$Q851,Tariff_Master!$A$2:$L$169,10,FALSE),"")</f>
        <v/>
      </c>
      <c r="AJ851" s="21">
        <f>IF($M851="","",ROUNDUP(MAX(0,$M851),0))</f>
        <v/>
      </c>
      <c r="AK851" s="21">
        <f>IF(OR($AJ851="",$AF851=""),"",MAX(0,$AJ851-$AF851))</f>
        <v/>
      </c>
      <c r="AL851" s="22">
        <f>IF(OR($AK851="",$AG851=""),"",MAX(0,$AK851*$AG851))</f>
        <v/>
      </c>
      <c r="AM851" s="22">
        <f>IF($AE851="","",MAX(0,SUM($AE851,$AL851,$V851,$W851)))</f>
        <v/>
      </c>
      <c r="AN851" s="22">
        <f>IF($AM851="","",IF(AND($Q851="COMMITMENT",$R851&gt;=$AH851),$AI851,0))</f>
        <v/>
      </c>
      <c r="AO851" s="23">
        <f>IF($AM851="","",MAX(0,$AM851-$AN851))</f>
        <v/>
      </c>
      <c r="AP851" s="22">
        <f>IF($S851="","",IF(OR($S851="ITEM_PRICE_PLUS_DECLARED_DELIVERY",$S851="DELIVERY_CHARGE_ONLY"),$K851,IF($S851="TOTAL_AMOUNT_INCLUDING_DELIVERY",IF(OR($T851="",$J851=""),"",MAX(0,$T851-$J851-$U851)),IF($S851="ITEM_PRICE_ONLY_DELIVERY_PAID_BY_MERCHANT",0,""))))</f>
        <v/>
      </c>
      <c r="AQ851" s="23">
        <f>IF(OR($AP851="",$AO851=""),"",$AP851-$AO851)</f>
        <v/>
      </c>
      <c r="AR851" s="24">
        <f>IF($S851="EXACT_COLLECTION_AMOUNT","BREAKDOWN_REQUIRED",IF($AQ851="","",IF($AQ851&gt;0,"CREDIT_TO_MERCHANT",IF($AQ851&lt;0,"DEDUCT_FROM_MERCHANT","NO_ADJUSTMENT"))))</f>
        <v/>
      </c>
      <c r="AS851" s="23">
        <f>IF(OR($AQ851="",$AR851="BREAKDOWN_REQUIRED"),"",$AQ851)</f>
        <v/>
      </c>
      <c r="AT851" s="23">
        <f>IF(OR($AR851="",$AR851="BREAKDOWN_REQUIRED"),"",SUM($J851,$AQ851,$Y851)-$X851)</f>
        <v/>
      </c>
      <c r="AU851" s="25">
        <f>IF(AND($A851="",$B851="",$F851="",$H851="",$J851="",$K851="",$M851="",$S851=""),"",IF(OR($H851="",$Q851="",$M851="",$S851=""),"ERROR",IF(OR($J851&lt;0,$K851&lt;0,$M851&lt;0,$T851&lt;0,$U851&lt;0,$V851&lt;0,$W851&lt;0,$X851&lt;0,$Y851&lt;0),"ERROR",IF($AE851="","ERROR",IF(AND(OR($S851="ITEM_PRICE_PLUS_DECLARED_DELIVERY",$S851="TOTAL_AMOUNT_INCLUDING_DELIVERY",$S851="ITEM_PRICE_ONLY_DELIVERY_PAID_BY_MERCHANT"),$J851=""),"ERROR",IF(AND(OR($S851="ITEM_PRICE_PLUS_DECLARED_DELIVERY",$S851="DELIVERY_CHARGE_ONLY"),$K851=""),"ERROR",IF(AND(OR($S851="TOTAL_AMOUNT_INCLUDING_DELIVERY",$S851="EXACT_COLLECTION_AMOUNT"),$T851=""),"ERROR",IF(AND($S851="TOTAL_AMOUNT_INCLUDING_DELIVERY",$T851&lt;SUM($J851,$U851)),"ERROR",IF($S851="EXACT_COLLECTION_AMOUNT","REVIEW","OK")))))))))</f>
        <v/>
      </c>
      <c r="AV851" s="25">
        <f>IF($AU851="","",IF($H851="","Township required",IF($Q851="","Customer tier required",IF($M851="","Weight required",IF($S851="","Amount entry type required",IF(OR($J851&lt;0,$K851&lt;0,$M851&lt;0,$T851&lt;0,$U851&lt;0,$V851&lt;0,$W851&lt;0,$X851&lt;0,$Y851&lt;0),"Negative amounts are not allowed",IF($AE851="","Tariff not found for township and tier",IF(AND(OR($S851="ITEM_PRICE_PLUS_DECLARED_DELIVERY",$S851="TOTAL_AMOUNT_INCLUDING_DELIVERY",$S851="ITEM_PRICE_ONLY_DELIVERY_PAID_BY_MERCHANT"),$J851=""),"Item price required for this amount type",IF(AND(OR($S851="ITEM_PRICE_PLUS_DECLARED_DELIVERY",$S851="DELIVERY_CHARGE_ONLY"),$K851=""),"Declared delivery charge required",IF(AND(OR($S851="TOTAL_AMOUNT_INCLUDING_DELIVERY",$S851="EXACT_COLLECTION_AMOUNT"),$T851=""),"Stated total amount required",IF(AND($S851="TOTAL_AMOUNT_INCLUDING_DELIVERY",$T851&lt;SUM($J851,$U851)),"Stated total is below item price plus additional charge",IF($S851="EXACT_COLLECTION_AMOUNT","Authorized amount breakdown required before settlement","Ready for collection and settlement"))))))))))))</f>
        <v/>
      </c>
      <c r="AW851" s="23">
        <f>IF($AU851="","","PARCEL_FINANCIAL_V2")</f>
        <v/>
      </c>
      <c r="AX851" s="17" t="n"/>
    </row>
    <row r="852">
      <c r="A852" s="8" t="n"/>
      <c r="B852" s="8" t="n"/>
      <c r="C852" s="8" t="n"/>
      <c r="D852" s="8" t="n"/>
      <c r="E852" s="9" t="n"/>
      <c r="F852" s="9" t="n"/>
      <c r="G852" s="8" t="n"/>
      <c r="H852" s="9" t="n"/>
      <c r="I852" s="9" t="n"/>
      <c r="J852" s="10" t="n"/>
      <c r="K852" s="10" t="n"/>
      <c r="L852" s="11">
        <f>IF($S852="","",IF($S852="ITEM_PRICE_PLUS_DECLARED_DELIVERY",IF(OR($J852="",$K852=""),"",SUM($J852,$K852,$U852)),IF($S852="TOTAL_AMOUNT_INCLUDING_DELIVERY",IF($T852="","",$T852),IF($S852="DELIVERY_CHARGE_ONLY",IF($K852="","",SUM($K852,$U852)),IF($S852="EXACT_COLLECTION_AMOUNT",IF($T852="","",$T852),IF($S852="ITEM_PRICE_ONLY_DELIVERY_PAID_BY_MERCHANT",IF($J852="","",SUM($J852,$U852)),""))))))</f>
        <v/>
      </c>
      <c r="M852" s="12" t="n"/>
      <c r="N852" s="13" t="n"/>
      <c r="O852" s="13" t="n"/>
      <c r="P852" s="9" t="n"/>
      <c r="Q852" s="14" t="n"/>
      <c r="R852" s="15" t="n"/>
      <c r="S852" s="14" t="n"/>
      <c r="T852" s="16" t="n"/>
      <c r="U852" s="16" t="n"/>
      <c r="V852" s="16" t="n"/>
      <c r="W852" s="16" t="n"/>
      <c r="X852" s="16" t="n"/>
      <c r="Y852" s="16" t="n"/>
      <c r="Z852" s="14" t="n"/>
      <c r="AA852" s="14" t="n"/>
      <c r="AB852" s="14" t="n"/>
      <c r="AC852" s="17">
        <f>IFERROR(VLOOKUP($H852&amp;"|"&amp;$Q852,Tariff_Master!$A$2:$L$169,3,FALSE),"")</f>
        <v/>
      </c>
      <c r="AD852" s="17">
        <f>IFERROR(VLOOKUP($H852&amp;"|"&amp;$Q852,Tariff_Master!$A$2:$L$169,4,FALSE),"")</f>
        <v/>
      </c>
      <c r="AE852" s="18">
        <f>IFERROR(VLOOKUP($H852&amp;"|"&amp;$Q852,Tariff_Master!$A$2:$L$169,6,FALSE),"")</f>
        <v/>
      </c>
      <c r="AF852" s="19">
        <f>IFERROR(VLOOKUP($H852&amp;"|"&amp;$Q852,Tariff_Master!$A$2:$L$169,7,FALSE),"")</f>
        <v/>
      </c>
      <c r="AG852" s="18">
        <f>IFERROR(VLOOKUP($H852&amp;"|"&amp;$Q852,Tariff_Master!$A$2:$L$169,8,FALSE),"")</f>
        <v/>
      </c>
      <c r="AH852" s="20">
        <f>IFERROR(VLOOKUP($H852&amp;"|"&amp;$Q852,Tariff_Master!$A$2:$L$169,9,FALSE),"")</f>
        <v/>
      </c>
      <c r="AI852" s="18">
        <f>IFERROR(VLOOKUP($H852&amp;"|"&amp;$Q852,Tariff_Master!$A$2:$L$169,10,FALSE),"")</f>
        <v/>
      </c>
      <c r="AJ852" s="21">
        <f>IF($M852="","",ROUNDUP(MAX(0,$M852),0))</f>
        <v/>
      </c>
      <c r="AK852" s="21">
        <f>IF(OR($AJ852="",$AF852=""),"",MAX(0,$AJ852-$AF852))</f>
        <v/>
      </c>
      <c r="AL852" s="22">
        <f>IF(OR($AK852="",$AG852=""),"",MAX(0,$AK852*$AG852))</f>
        <v/>
      </c>
      <c r="AM852" s="22">
        <f>IF($AE852="","",MAX(0,SUM($AE852,$AL852,$V852,$W852)))</f>
        <v/>
      </c>
      <c r="AN852" s="22">
        <f>IF($AM852="","",IF(AND($Q852="COMMITMENT",$R852&gt;=$AH852),$AI852,0))</f>
        <v/>
      </c>
      <c r="AO852" s="23">
        <f>IF($AM852="","",MAX(0,$AM852-$AN852))</f>
        <v/>
      </c>
      <c r="AP852" s="22">
        <f>IF($S852="","",IF(OR($S852="ITEM_PRICE_PLUS_DECLARED_DELIVERY",$S852="DELIVERY_CHARGE_ONLY"),$K852,IF($S852="TOTAL_AMOUNT_INCLUDING_DELIVERY",IF(OR($T852="",$J852=""),"",MAX(0,$T852-$J852-$U852)),IF($S852="ITEM_PRICE_ONLY_DELIVERY_PAID_BY_MERCHANT",0,""))))</f>
        <v/>
      </c>
      <c r="AQ852" s="23">
        <f>IF(OR($AP852="",$AO852=""),"",$AP852-$AO852)</f>
        <v/>
      </c>
      <c r="AR852" s="24">
        <f>IF($S852="EXACT_COLLECTION_AMOUNT","BREAKDOWN_REQUIRED",IF($AQ852="","",IF($AQ852&gt;0,"CREDIT_TO_MERCHANT",IF($AQ852&lt;0,"DEDUCT_FROM_MERCHANT","NO_ADJUSTMENT"))))</f>
        <v/>
      </c>
      <c r="AS852" s="23">
        <f>IF(OR($AQ852="",$AR852="BREAKDOWN_REQUIRED"),"",$AQ852)</f>
        <v/>
      </c>
      <c r="AT852" s="23">
        <f>IF(OR($AR852="",$AR852="BREAKDOWN_REQUIRED"),"",SUM($J852,$AQ852,$Y852)-$X852)</f>
        <v/>
      </c>
      <c r="AU852" s="25">
        <f>IF(AND($A852="",$B852="",$F852="",$H852="",$J852="",$K852="",$M852="",$S852=""),"",IF(OR($H852="",$Q852="",$M852="",$S852=""),"ERROR",IF(OR($J852&lt;0,$K852&lt;0,$M852&lt;0,$T852&lt;0,$U852&lt;0,$V852&lt;0,$W852&lt;0,$X852&lt;0,$Y852&lt;0),"ERROR",IF($AE852="","ERROR",IF(AND(OR($S852="ITEM_PRICE_PLUS_DECLARED_DELIVERY",$S852="TOTAL_AMOUNT_INCLUDING_DELIVERY",$S852="ITEM_PRICE_ONLY_DELIVERY_PAID_BY_MERCHANT"),$J852=""),"ERROR",IF(AND(OR($S852="ITEM_PRICE_PLUS_DECLARED_DELIVERY",$S852="DELIVERY_CHARGE_ONLY"),$K852=""),"ERROR",IF(AND(OR($S852="TOTAL_AMOUNT_INCLUDING_DELIVERY",$S852="EXACT_COLLECTION_AMOUNT"),$T852=""),"ERROR",IF(AND($S852="TOTAL_AMOUNT_INCLUDING_DELIVERY",$T852&lt;SUM($J852,$U852)),"ERROR",IF($S852="EXACT_COLLECTION_AMOUNT","REVIEW","OK")))))))))</f>
        <v/>
      </c>
      <c r="AV852" s="25">
        <f>IF($AU852="","",IF($H852="","Township required",IF($Q852="","Customer tier required",IF($M852="","Weight required",IF($S852="","Amount entry type required",IF(OR($J852&lt;0,$K852&lt;0,$M852&lt;0,$T852&lt;0,$U852&lt;0,$V852&lt;0,$W852&lt;0,$X852&lt;0,$Y852&lt;0),"Negative amounts are not allowed",IF($AE852="","Tariff not found for township and tier",IF(AND(OR($S852="ITEM_PRICE_PLUS_DECLARED_DELIVERY",$S852="TOTAL_AMOUNT_INCLUDING_DELIVERY",$S852="ITEM_PRICE_ONLY_DELIVERY_PAID_BY_MERCHANT"),$J852=""),"Item price required for this amount type",IF(AND(OR($S852="ITEM_PRICE_PLUS_DECLARED_DELIVERY",$S852="DELIVERY_CHARGE_ONLY"),$K852=""),"Declared delivery charge required",IF(AND(OR($S852="TOTAL_AMOUNT_INCLUDING_DELIVERY",$S852="EXACT_COLLECTION_AMOUNT"),$T852=""),"Stated total amount required",IF(AND($S852="TOTAL_AMOUNT_INCLUDING_DELIVERY",$T852&lt;SUM($J852,$U852)),"Stated total is below item price plus additional charge",IF($S852="EXACT_COLLECTION_AMOUNT","Authorized amount breakdown required before settlement","Ready for collection and settlement"))))))))))))</f>
        <v/>
      </c>
      <c r="AW852" s="23">
        <f>IF($AU852="","","PARCEL_FINANCIAL_V2")</f>
        <v/>
      </c>
      <c r="AX852" s="17" t="n"/>
    </row>
    <row r="853">
      <c r="A853" s="8" t="n"/>
      <c r="B853" s="8" t="n"/>
      <c r="C853" s="8" t="n"/>
      <c r="D853" s="8" t="n"/>
      <c r="E853" s="9" t="n"/>
      <c r="F853" s="9" t="n"/>
      <c r="G853" s="8" t="n"/>
      <c r="H853" s="9" t="n"/>
      <c r="I853" s="9" t="n"/>
      <c r="J853" s="10" t="n"/>
      <c r="K853" s="10" t="n"/>
      <c r="L853" s="11">
        <f>IF($S853="","",IF($S853="ITEM_PRICE_PLUS_DECLARED_DELIVERY",IF(OR($J853="",$K853=""),"",SUM($J853,$K853,$U853)),IF($S853="TOTAL_AMOUNT_INCLUDING_DELIVERY",IF($T853="","",$T853),IF($S853="DELIVERY_CHARGE_ONLY",IF($K853="","",SUM($K853,$U853)),IF($S853="EXACT_COLLECTION_AMOUNT",IF($T853="","",$T853),IF($S853="ITEM_PRICE_ONLY_DELIVERY_PAID_BY_MERCHANT",IF($J853="","",SUM($J853,$U853)),""))))))</f>
        <v/>
      </c>
      <c r="M853" s="12" t="n"/>
      <c r="N853" s="13" t="n"/>
      <c r="O853" s="13" t="n"/>
      <c r="P853" s="9" t="n"/>
      <c r="Q853" s="14" t="n"/>
      <c r="R853" s="15" t="n"/>
      <c r="S853" s="14" t="n"/>
      <c r="T853" s="16" t="n"/>
      <c r="U853" s="16" t="n"/>
      <c r="V853" s="16" t="n"/>
      <c r="W853" s="16" t="n"/>
      <c r="X853" s="16" t="n"/>
      <c r="Y853" s="16" t="n"/>
      <c r="Z853" s="14" t="n"/>
      <c r="AA853" s="14" t="n"/>
      <c r="AB853" s="14" t="n"/>
      <c r="AC853" s="17">
        <f>IFERROR(VLOOKUP($H853&amp;"|"&amp;$Q853,Tariff_Master!$A$2:$L$169,3,FALSE),"")</f>
        <v/>
      </c>
      <c r="AD853" s="17">
        <f>IFERROR(VLOOKUP($H853&amp;"|"&amp;$Q853,Tariff_Master!$A$2:$L$169,4,FALSE),"")</f>
        <v/>
      </c>
      <c r="AE853" s="18">
        <f>IFERROR(VLOOKUP($H853&amp;"|"&amp;$Q853,Tariff_Master!$A$2:$L$169,6,FALSE),"")</f>
        <v/>
      </c>
      <c r="AF853" s="19">
        <f>IFERROR(VLOOKUP($H853&amp;"|"&amp;$Q853,Tariff_Master!$A$2:$L$169,7,FALSE),"")</f>
        <v/>
      </c>
      <c r="AG853" s="18">
        <f>IFERROR(VLOOKUP($H853&amp;"|"&amp;$Q853,Tariff_Master!$A$2:$L$169,8,FALSE),"")</f>
        <v/>
      </c>
      <c r="AH853" s="20">
        <f>IFERROR(VLOOKUP($H853&amp;"|"&amp;$Q853,Tariff_Master!$A$2:$L$169,9,FALSE),"")</f>
        <v/>
      </c>
      <c r="AI853" s="18">
        <f>IFERROR(VLOOKUP($H853&amp;"|"&amp;$Q853,Tariff_Master!$A$2:$L$169,10,FALSE),"")</f>
        <v/>
      </c>
      <c r="AJ853" s="21">
        <f>IF($M853="","",ROUNDUP(MAX(0,$M853),0))</f>
        <v/>
      </c>
      <c r="AK853" s="21">
        <f>IF(OR($AJ853="",$AF853=""),"",MAX(0,$AJ853-$AF853))</f>
        <v/>
      </c>
      <c r="AL853" s="22">
        <f>IF(OR($AK853="",$AG853=""),"",MAX(0,$AK853*$AG853))</f>
        <v/>
      </c>
      <c r="AM853" s="22">
        <f>IF($AE853="","",MAX(0,SUM($AE853,$AL853,$V853,$W853)))</f>
        <v/>
      </c>
      <c r="AN853" s="22">
        <f>IF($AM853="","",IF(AND($Q853="COMMITMENT",$R853&gt;=$AH853),$AI853,0))</f>
        <v/>
      </c>
      <c r="AO853" s="23">
        <f>IF($AM853="","",MAX(0,$AM853-$AN853))</f>
        <v/>
      </c>
      <c r="AP853" s="22">
        <f>IF($S853="","",IF(OR($S853="ITEM_PRICE_PLUS_DECLARED_DELIVERY",$S853="DELIVERY_CHARGE_ONLY"),$K853,IF($S853="TOTAL_AMOUNT_INCLUDING_DELIVERY",IF(OR($T853="",$J853=""),"",MAX(0,$T853-$J853-$U853)),IF($S853="ITEM_PRICE_ONLY_DELIVERY_PAID_BY_MERCHANT",0,""))))</f>
        <v/>
      </c>
      <c r="AQ853" s="23">
        <f>IF(OR($AP853="",$AO853=""),"",$AP853-$AO853)</f>
        <v/>
      </c>
      <c r="AR853" s="24">
        <f>IF($S853="EXACT_COLLECTION_AMOUNT","BREAKDOWN_REQUIRED",IF($AQ853="","",IF($AQ853&gt;0,"CREDIT_TO_MERCHANT",IF($AQ853&lt;0,"DEDUCT_FROM_MERCHANT","NO_ADJUSTMENT"))))</f>
        <v/>
      </c>
      <c r="AS853" s="23">
        <f>IF(OR($AQ853="",$AR853="BREAKDOWN_REQUIRED"),"",$AQ853)</f>
        <v/>
      </c>
      <c r="AT853" s="23">
        <f>IF(OR($AR853="",$AR853="BREAKDOWN_REQUIRED"),"",SUM($J853,$AQ853,$Y853)-$X853)</f>
        <v/>
      </c>
      <c r="AU853" s="25">
        <f>IF(AND($A853="",$B853="",$F853="",$H853="",$J853="",$K853="",$M853="",$S853=""),"",IF(OR($H853="",$Q853="",$M853="",$S853=""),"ERROR",IF(OR($J853&lt;0,$K853&lt;0,$M853&lt;0,$T853&lt;0,$U853&lt;0,$V853&lt;0,$W853&lt;0,$X853&lt;0,$Y853&lt;0),"ERROR",IF($AE853="","ERROR",IF(AND(OR($S853="ITEM_PRICE_PLUS_DECLARED_DELIVERY",$S853="TOTAL_AMOUNT_INCLUDING_DELIVERY",$S853="ITEM_PRICE_ONLY_DELIVERY_PAID_BY_MERCHANT"),$J853=""),"ERROR",IF(AND(OR($S853="ITEM_PRICE_PLUS_DECLARED_DELIVERY",$S853="DELIVERY_CHARGE_ONLY"),$K853=""),"ERROR",IF(AND(OR($S853="TOTAL_AMOUNT_INCLUDING_DELIVERY",$S853="EXACT_COLLECTION_AMOUNT"),$T853=""),"ERROR",IF(AND($S853="TOTAL_AMOUNT_INCLUDING_DELIVERY",$T853&lt;SUM($J853,$U853)),"ERROR",IF($S853="EXACT_COLLECTION_AMOUNT","REVIEW","OK")))))))))</f>
        <v/>
      </c>
      <c r="AV853" s="25">
        <f>IF($AU853="","",IF($H853="","Township required",IF($Q853="","Customer tier required",IF($M853="","Weight required",IF($S853="","Amount entry type required",IF(OR($J853&lt;0,$K853&lt;0,$M853&lt;0,$T853&lt;0,$U853&lt;0,$V853&lt;0,$W853&lt;0,$X853&lt;0,$Y853&lt;0),"Negative amounts are not allowed",IF($AE853="","Tariff not found for township and tier",IF(AND(OR($S853="ITEM_PRICE_PLUS_DECLARED_DELIVERY",$S853="TOTAL_AMOUNT_INCLUDING_DELIVERY",$S853="ITEM_PRICE_ONLY_DELIVERY_PAID_BY_MERCHANT"),$J853=""),"Item price required for this amount type",IF(AND(OR($S853="ITEM_PRICE_PLUS_DECLARED_DELIVERY",$S853="DELIVERY_CHARGE_ONLY"),$K853=""),"Declared delivery charge required",IF(AND(OR($S853="TOTAL_AMOUNT_INCLUDING_DELIVERY",$S853="EXACT_COLLECTION_AMOUNT"),$T853=""),"Stated total amount required",IF(AND($S853="TOTAL_AMOUNT_INCLUDING_DELIVERY",$T853&lt;SUM($J853,$U853)),"Stated total is below item price plus additional charge",IF($S853="EXACT_COLLECTION_AMOUNT","Authorized amount breakdown required before settlement","Ready for collection and settlement"))))))))))))</f>
        <v/>
      </c>
      <c r="AW853" s="23">
        <f>IF($AU853="","","PARCEL_FINANCIAL_V2")</f>
        <v/>
      </c>
      <c r="AX853" s="17" t="n"/>
    </row>
    <row r="854">
      <c r="A854" s="8" t="n"/>
      <c r="B854" s="8" t="n"/>
      <c r="C854" s="8" t="n"/>
      <c r="D854" s="8" t="n"/>
      <c r="E854" s="9" t="n"/>
      <c r="F854" s="9" t="n"/>
      <c r="G854" s="8" t="n"/>
      <c r="H854" s="9" t="n"/>
      <c r="I854" s="9" t="n"/>
      <c r="J854" s="10" t="n"/>
      <c r="K854" s="10" t="n"/>
      <c r="L854" s="11">
        <f>IF($S854="","",IF($S854="ITEM_PRICE_PLUS_DECLARED_DELIVERY",IF(OR($J854="",$K854=""),"",SUM($J854,$K854,$U854)),IF($S854="TOTAL_AMOUNT_INCLUDING_DELIVERY",IF($T854="","",$T854),IF($S854="DELIVERY_CHARGE_ONLY",IF($K854="","",SUM($K854,$U854)),IF($S854="EXACT_COLLECTION_AMOUNT",IF($T854="","",$T854),IF($S854="ITEM_PRICE_ONLY_DELIVERY_PAID_BY_MERCHANT",IF($J854="","",SUM($J854,$U854)),""))))))</f>
        <v/>
      </c>
      <c r="M854" s="12" t="n"/>
      <c r="N854" s="13" t="n"/>
      <c r="O854" s="13" t="n"/>
      <c r="P854" s="9" t="n"/>
      <c r="Q854" s="14" t="n"/>
      <c r="R854" s="15" t="n"/>
      <c r="S854" s="14" t="n"/>
      <c r="T854" s="16" t="n"/>
      <c r="U854" s="16" t="n"/>
      <c r="V854" s="16" t="n"/>
      <c r="W854" s="16" t="n"/>
      <c r="X854" s="16" t="n"/>
      <c r="Y854" s="16" t="n"/>
      <c r="Z854" s="14" t="n"/>
      <c r="AA854" s="14" t="n"/>
      <c r="AB854" s="14" t="n"/>
      <c r="AC854" s="17">
        <f>IFERROR(VLOOKUP($H854&amp;"|"&amp;$Q854,Tariff_Master!$A$2:$L$169,3,FALSE),"")</f>
        <v/>
      </c>
      <c r="AD854" s="17">
        <f>IFERROR(VLOOKUP($H854&amp;"|"&amp;$Q854,Tariff_Master!$A$2:$L$169,4,FALSE),"")</f>
        <v/>
      </c>
      <c r="AE854" s="18">
        <f>IFERROR(VLOOKUP($H854&amp;"|"&amp;$Q854,Tariff_Master!$A$2:$L$169,6,FALSE),"")</f>
        <v/>
      </c>
      <c r="AF854" s="19">
        <f>IFERROR(VLOOKUP($H854&amp;"|"&amp;$Q854,Tariff_Master!$A$2:$L$169,7,FALSE),"")</f>
        <v/>
      </c>
      <c r="AG854" s="18">
        <f>IFERROR(VLOOKUP($H854&amp;"|"&amp;$Q854,Tariff_Master!$A$2:$L$169,8,FALSE),"")</f>
        <v/>
      </c>
      <c r="AH854" s="20">
        <f>IFERROR(VLOOKUP($H854&amp;"|"&amp;$Q854,Tariff_Master!$A$2:$L$169,9,FALSE),"")</f>
        <v/>
      </c>
      <c r="AI854" s="18">
        <f>IFERROR(VLOOKUP($H854&amp;"|"&amp;$Q854,Tariff_Master!$A$2:$L$169,10,FALSE),"")</f>
        <v/>
      </c>
      <c r="AJ854" s="21">
        <f>IF($M854="","",ROUNDUP(MAX(0,$M854),0))</f>
        <v/>
      </c>
      <c r="AK854" s="21">
        <f>IF(OR($AJ854="",$AF854=""),"",MAX(0,$AJ854-$AF854))</f>
        <v/>
      </c>
      <c r="AL854" s="22">
        <f>IF(OR($AK854="",$AG854=""),"",MAX(0,$AK854*$AG854))</f>
        <v/>
      </c>
      <c r="AM854" s="22">
        <f>IF($AE854="","",MAX(0,SUM($AE854,$AL854,$V854,$W854)))</f>
        <v/>
      </c>
      <c r="AN854" s="22">
        <f>IF($AM854="","",IF(AND($Q854="COMMITMENT",$R854&gt;=$AH854),$AI854,0))</f>
        <v/>
      </c>
      <c r="AO854" s="23">
        <f>IF($AM854="","",MAX(0,$AM854-$AN854))</f>
        <v/>
      </c>
      <c r="AP854" s="22">
        <f>IF($S854="","",IF(OR($S854="ITEM_PRICE_PLUS_DECLARED_DELIVERY",$S854="DELIVERY_CHARGE_ONLY"),$K854,IF($S854="TOTAL_AMOUNT_INCLUDING_DELIVERY",IF(OR($T854="",$J854=""),"",MAX(0,$T854-$J854-$U854)),IF($S854="ITEM_PRICE_ONLY_DELIVERY_PAID_BY_MERCHANT",0,""))))</f>
        <v/>
      </c>
      <c r="AQ854" s="23">
        <f>IF(OR($AP854="",$AO854=""),"",$AP854-$AO854)</f>
        <v/>
      </c>
      <c r="AR854" s="24">
        <f>IF($S854="EXACT_COLLECTION_AMOUNT","BREAKDOWN_REQUIRED",IF($AQ854="","",IF($AQ854&gt;0,"CREDIT_TO_MERCHANT",IF($AQ854&lt;0,"DEDUCT_FROM_MERCHANT","NO_ADJUSTMENT"))))</f>
        <v/>
      </c>
      <c r="AS854" s="23">
        <f>IF(OR($AQ854="",$AR854="BREAKDOWN_REQUIRED"),"",$AQ854)</f>
        <v/>
      </c>
      <c r="AT854" s="23">
        <f>IF(OR($AR854="",$AR854="BREAKDOWN_REQUIRED"),"",SUM($J854,$AQ854,$Y854)-$X854)</f>
        <v/>
      </c>
      <c r="AU854" s="25">
        <f>IF(AND($A854="",$B854="",$F854="",$H854="",$J854="",$K854="",$M854="",$S854=""),"",IF(OR($H854="",$Q854="",$M854="",$S854=""),"ERROR",IF(OR($J854&lt;0,$K854&lt;0,$M854&lt;0,$T854&lt;0,$U854&lt;0,$V854&lt;0,$W854&lt;0,$X854&lt;0,$Y854&lt;0),"ERROR",IF($AE854="","ERROR",IF(AND(OR($S854="ITEM_PRICE_PLUS_DECLARED_DELIVERY",$S854="TOTAL_AMOUNT_INCLUDING_DELIVERY",$S854="ITEM_PRICE_ONLY_DELIVERY_PAID_BY_MERCHANT"),$J854=""),"ERROR",IF(AND(OR($S854="ITEM_PRICE_PLUS_DECLARED_DELIVERY",$S854="DELIVERY_CHARGE_ONLY"),$K854=""),"ERROR",IF(AND(OR($S854="TOTAL_AMOUNT_INCLUDING_DELIVERY",$S854="EXACT_COLLECTION_AMOUNT"),$T854=""),"ERROR",IF(AND($S854="TOTAL_AMOUNT_INCLUDING_DELIVERY",$T854&lt;SUM($J854,$U854)),"ERROR",IF($S854="EXACT_COLLECTION_AMOUNT","REVIEW","OK")))))))))</f>
        <v/>
      </c>
      <c r="AV854" s="25">
        <f>IF($AU854="","",IF($H854="","Township required",IF($Q854="","Customer tier required",IF($M854="","Weight required",IF($S854="","Amount entry type required",IF(OR($J854&lt;0,$K854&lt;0,$M854&lt;0,$T854&lt;0,$U854&lt;0,$V854&lt;0,$W854&lt;0,$X854&lt;0,$Y854&lt;0),"Negative amounts are not allowed",IF($AE854="","Tariff not found for township and tier",IF(AND(OR($S854="ITEM_PRICE_PLUS_DECLARED_DELIVERY",$S854="TOTAL_AMOUNT_INCLUDING_DELIVERY",$S854="ITEM_PRICE_ONLY_DELIVERY_PAID_BY_MERCHANT"),$J854=""),"Item price required for this amount type",IF(AND(OR($S854="ITEM_PRICE_PLUS_DECLARED_DELIVERY",$S854="DELIVERY_CHARGE_ONLY"),$K854=""),"Declared delivery charge required",IF(AND(OR($S854="TOTAL_AMOUNT_INCLUDING_DELIVERY",$S854="EXACT_COLLECTION_AMOUNT"),$T854=""),"Stated total amount required",IF(AND($S854="TOTAL_AMOUNT_INCLUDING_DELIVERY",$T854&lt;SUM($J854,$U854)),"Stated total is below item price plus additional charge",IF($S854="EXACT_COLLECTION_AMOUNT","Authorized amount breakdown required before settlement","Ready for collection and settlement"))))))))))))</f>
        <v/>
      </c>
      <c r="AW854" s="23">
        <f>IF($AU854="","","PARCEL_FINANCIAL_V2")</f>
        <v/>
      </c>
      <c r="AX854" s="17" t="n"/>
    </row>
    <row r="855">
      <c r="A855" s="8" t="n"/>
      <c r="B855" s="8" t="n"/>
      <c r="C855" s="8" t="n"/>
      <c r="D855" s="8" t="n"/>
      <c r="E855" s="9" t="n"/>
      <c r="F855" s="9" t="n"/>
      <c r="G855" s="8" t="n"/>
      <c r="H855" s="9" t="n"/>
      <c r="I855" s="9" t="n"/>
      <c r="J855" s="10" t="n"/>
      <c r="K855" s="10" t="n"/>
      <c r="L855" s="11">
        <f>IF($S855="","",IF($S855="ITEM_PRICE_PLUS_DECLARED_DELIVERY",IF(OR($J855="",$K855=""),"",SUM($J855,$K855,$U855)),IF($S855="TOTAL_AMOUNT_INCLUDING_DELIVERY",IF($T855="","",$T855),IF($S855="DELIVERY_CHARGE_ONLY",IF($K855="","",SUM($K855,$U855)),IF($S855="EXACT_COLLECTION_AMOUNT",IF($T855="","",$T855),IF($S855="ITEM_PRICE_ONLY_DELIVERY_PAID_BY_MERCHANT",IF($J855="","",SUM($J855,$U855)),""))))))</f>
        <v/>
      </c>
      <c r="M855" s="12" t="n"/>
      <c r="N855" s="13" t="n"/>
      <c r="O855" s="13" t="n"/>
      <c r="P855" s="9" t="n"/>
      <c r="Q855" s="14" t="n"/>
      <c r="R855" s="15" t="n"/>
      <c r="S855" s="14" t="n"/>
      <c r="T855" s="16" t="n"/>
      <c r="U855" s="16" t="n"/>
      <c r="V855" s="16" t="n"/>
      <c r="W855" s="16" t="n"/>
      <c r="X855" s="16" t="n"/>
      <c r="Y855" s="16" t="n"/>
      <c r="Z855" s="14" t="n"/>
      <c r="AA855" s="14" t="n"/>
      <c r="AB855" s="14" t="n"/>
      <c r="AC855" s="17">
        <f>IFERROR(VLOOKUP($H855&amp;"|"&amp;$Q855,Tariff_Master!$A$2:$L$169,3,FALSE),"")</f>
        <v/>
      </c>
      <c r="AD855" s="17">
        <f>IFERROR(VLOOKUP($H855&amp;"|"&amp;$Q855,Tariff_Master!$A$2:$L$169,4,FALSE),"")</f>
        <v/>
      </c>
      <c r="AE855" s="18">
        <f>IFERROR(VLOOKUP($H855&amp;"|"&amp;$Q855,Tariff_Master!$A$2:$L$169,6,FALSE),"")</f>
        <v/>
      </c>
      <c r="AF855" s="19">
        <f>IFERROR(VLOOKUP($H855&amp;"|"&amp;$Q855,Tariff_Master!$A$2:$L$169,7,FALSE),"")</f>
        <v/>
      </c>
      <c r="AG855" s="18">
        <f>IFERROR(VLOOKUP($H855&amp;"|"&amp;$Q855,Tariff_Master!$A$2:$L$169,8,FALSE),"")</f>
        <v/>
      </c>
      <c r="AH855" s="20">
        <f>IFERROR(VLOOKUP($H855&amp;"|"&amp;$Q855,Tariff_Master!$A$2:$L$169,9,FALSE),"")</f>
        <v/>
      </c>
      <c r="AI855" s="18">
        <f>IFERROR(VLOOKUP($H855&amp;"|"&amp;$Q855,Tariff_Master!$A$2:$L$169,10,FALSE),"")</f>
        <v/>
      </c>
      <c r="AJ855" s="21">
        <f>IF($M855="","",ROUNDUP(MAX(0,$M855),0))</f>
        <v/>
      </c>
      <c r="AK855" s="21">
        <f>IF(OR($AJ855="",$AF855=""),"",MAX(0,$AJ855-$AF855))</f>
        <v/>
      </c>
      <c r="AL855" s="22">
        <f>IF(OR($AK855="",$AG855=""),"",MAX(0,$AK855*$AG855))</f>
        <v/>
      </c>
      <c r="AM855" s="22">
        <f>IF($AE855="","",MAX(0,SUM($AE855,$AL855,$V855,$W855)))</f>
        <v/>
      </c>
      <c r="AN855" s="22">
        <f>IF($AM855="","",IF(AND($Q855="COMMITMENT",$R855&gt;=$AH855),$AI855,0))</f>
        <v/>
      </c>
      <c r="AO855" s="23">
        <f>IF($AM855="","",MAX(0,$AM855-$AN855))</f>
        <v/>
      </c>
      <c r="AP855" s="22">
        <f>IF($S855="","",IF(OR($S855="ITEM_PRICE_PLUS_DECLARED_DELIVERY",$S855="DELIVERY_CHARGE_ONLY"),$K855,IF($S855="TOTAL_AMOUNT_INCLUDING_DELIVERY",IF(OR($T855="",$J855=""),"",MAX(0,$T855-$J855-$U855)),IF($S855="ITEM_PRICE_ONLY_DELIVERY_PAID_BY_MERCHANT",0,""))))</f>
        <v/>
      </c>
      <c r="AQ855" s="23">
        <f>IF(OR($AP855="",$AO855=""),"",$AP855-$AO855)</f>
        <v/>
      </c>
      <c r="AR855" s="24">
        <f>IF($S855="EXACT_COLLECTION_AMOUNT","BREAKDOWN_REQUIRED",IF($AQ855="","",IF($AQ855&gt;0,"CREDIT_TO_MERCHANT",IF($AQ855&lt;0,"DEDUCT_FROM_MERCHANT","NO_ADJUSTMENT"))))</f>
        <v/>
      </c>
      <c r="AS855" s="23">
        <f>IF(OR($AQ855="",$AR855="BREAKDOWN_REQUIRED"),"",$AQ855)</f>
        <v/>
      </c>
      <c r="AT855" s="23">
        <f>IF(OR($AR855="",$AR855="BREAKDOWN_REQUIRED"),"",SUM($J855,$AQ855,$Y855)-$X855)</f>
        <v/>
      </c>
      <c r="AU855" s="25">
        <f>IF(AND($A855="",$B855="",$F855="",$H855="",$J855="",$K855="",$M855="",$S855=""),"",IF(OR($H855="",$Q855="",$M855="",$S855=""),"ERROR",IF(OR($J855&lt;0,$K855&lt;0,$M855&lt;0,$T855&lt;0,$U855&lt;0,$V855&lt;0,$W855&lt;0,$X855&lt;0,$Y855&lt;0),"ERROR",IF($AE855="","ERROR",IF(AND(OR($S855="ITEM_PRICE_PLUS_DECLARED_DELIVERY",$S855="TOTAL_AMOUNT_INCLUDING_DELIVERY",$S855="ITEM_PRICE_ONLY_DELIVERY_PAID_BY_MERCHANT"),$J855=""),"ERROR",IF(AND(OR($S855="ITEM_PRICE_PLUS_DECLARED_DELIVERY",$S855="DELIVERY_CHARGE_ONLY"),$K855=""),"ERROR",IF(AND(OR($S855="TOTAL_AMOUNT_INCLUDING_DELIVERY",$S855="EXACT_COLLECTION_AMOUNT"),$T855=""),"ERROR",IF(AND($S855="TOTAL_AMOUNT_INCLUDING_DELIVERY",$T855&lt;SUM($J855,$U855)),"ERROR",IF($S855="EXACT_COLLECTION_AMOUNT","REVIEW","OK")))))))))</f>
        <v/>
      </c>
      <c r="AV855" s="25">
        <f>IF($AU855="","",IF($H855="","Township required",IF($Q855="","Customer tier required",IF($M855="","Weight required",IF($S855="","Amount entry type required",IF(OR($J855&lt;0,$K855&lt;0,$M855&lt;0,$T855&lt;0,$U855&lt;0,$V855&lt;0,$W855&lt;0,$X855&lt;0,$Y855&lt;0),"Negative amounts are not allowed",IF($AE855="","Tariff not found for township and tier",IF(AND(OR($S855="ITEM_PRICE_PLUS_DECLARED_DELIVERY",$S855="TOTAL_AMOUNT_INCLUDING_DELIVERY",$S855="ITEM_PRICE_ONLY_DELIVERY_PAID_BY_MERCHANT"),$J855=""),"Item price required for this amount type",IF(AND(OR($S855="ITEM_PRICE_PLUS_DECLARED_DELIVERY",$S855="DELIVERY_CHARGE_ONLY"),$K855=""),"Declared delivery charge required",IF(AND(OR($S855="TOTAL_AMOUNT_INCLUDING_DELIVERY",$S855="EXACT_COLLECTION_AMOUNT"),$T855=""),"Stated total amount required",IF(AND($S855="TOTAL_AMOUNT_INCLUDING_DELIVERY",$T855&lt;SUM($J855,$U855)),"Stated total is below item price plus additional charge",IF($S855="EXACT_COLLECTION_AMOUNT","Authorized amount breakdown required before settlement","Ready for collection and settlement"))))))))))))</f>
        <v/>
      </c>
      <c r="AW855" s="23">
        <f>IF($AU855="","","PARCEL_FINANCIAL_V2")</f>
        <v/>
      </c>
      <c r="AX855" s="17" t="n"/>
    </row>
    <row r="856">
      <c r="A856" s="8" t="n"/>
      <c r="B856" s="8" t="n"/>
      <c r="C856" s="8" t="n"/>
      <c r="D856" s="8" t="n"/>
      <c r="E856" s="9" t="n"/>
      <c r="F856" s="9" t="n"/>
      <c r="G856" s="8" t="n"/>
      <c r="H856" s="9" t="n"/>
      <c r="I856" s="9" t="n"/>
      <c r="J856" s="10" t="n"/>
      <c r="K856" s="10" t="n"/>
      <c r="L856" s="11">
        <f>IF($S856="","",IF($S856="ITEM_PRICE_PLUS_DECLARED_DELIVERY",IF(OR($J856="",$K856=""),"",SUM($J856,$K856,$U856)),IF($S856="TOTAL_AMOUNT_INCLUDING_DELIVERY",IF($T856="","",$T856),IF($S856="DELIVERY_CHARGE_ONLY",IF($K856="","",SUM($K856,$U856)),IF($S856="EXACT_COLLECTION_AMOUNT",IF($T856="","",$T856),IF($S856="ITEM_PRICE_ONLY_DELIVERY_PAID_BY_MERCHANT",IF($J856="","",SUM($J856,$U856)),""))))))</f>
        <v/>
      </c>
      <c r="M856" s="12" t="n"/>
      <c r="N856" s="13" t="n"/>
      <c r="O856" s="13" t="n"/>
      <c r="P856" s="9" t="n"/>
      <c r="Q856" s="14" t="n"/>
      <c r="R856" s="15" t="n"/>
      <c r="S856" s="14" t="n"/>
      <c r="T856" s="16" t="n"/>
      <c r="U856" s="16" t="n"/>
      <c r="V856" s="16" t="n"/>
      <c r="W856" s="16" t="n"/>
      <c r="X856" s="16" t="n"/>
      <c r="Y856" s="16" t="n"/>
      <c r="Z856" s="14" t="n"/>
      <c r="AA856" s="14" t="n"/>
      <c r="AB856" s="14" t="n"/>
      <c r="AC856" s="17">
        <f>IFERROR(VLOOKUP($H856&amp;"|"&amp;$Q856,Tariff_Master!$A$2:$L$169,3,FALSE),"")</f>
        <v/>
      </c>
      <c r="AD856" s="17">
        <f>IFERROR(VLOOKUP($H856&amp;"|"&amp;$Q856,Tariff_Master!$A$2:$L$169,4,FALSE),"")</f>
        <v/>
      </c>
      <c r="AE856" s="18">
        <f>IFERROR(VLOOKUP($H856&amp;"|"&amp;$Q856,Tariff_Master!$A$2:$L$169,6,FALSE),"")</f>
        <v/>
      </c>
      <c r="AF856" s="19">
        <f>IFERROR(VLOOKUP($H856&amp;"|"&amp;$Q856,Tariff_Master!$A$2:$L$169,7,FALSE),"")</f>
        <v/>
      </c>
      <c r="AG856" s="18">
        <f>IFERROR(VLOOKUP($H856&amp;"|"&amp;$Q856,Tariff_Master!$A$2:$L$169,8,FALSE),"")</f>
        <v/>
      </c>
      <c r="AH856" s="20">
        <f>IFERROR(VLOOKUP($H856&amp;"|"&amp;$Q856,Tariff_Master!$A$2:$L$169,9,FALSE),"")</f>
        <v/>
      </c>
      <c r="AI856" s="18">
        <f>IFERROR(VLOOKUP($H856&amp;"|"&amp;$Q856,Tariff_Master!$A$2:$L$169,10,FALSE),"")</f>
        <v/>
      </c>
      <c r="AJ856" s="21">
        <f>IF($M856="","",ROUNDUP(MAX(0,$M856),0))</f>
        <v/>
      </c>
      <c r="AK856" s="21">
        <f>IF(OR($AJ856="",$AF856=""),"",MAX(0,$AJ856-$AF856))</f>
        <v/>
      </c>
      <c r="AL856" s="22">
        <f>IF(OR($AK856="",$AG856=""),"",MAX(0,$AK856*$AG856))</f>
        <v/>
      </c>
      <c r="AM856" s="22">
        <f>IF($AE856="","",MAX(0,SUM($AE856,$AL856,$V856,$W856)))</f>
        <v/>
      </c>
      <c r="AN856" s="22">
        <f>IF($AM856="","",IF(AND($Q856="COMMITMENT",$R856&gt;=$AH856),$AI856,0))</f>
        <v/>
      </c>
      <c r="AO856" s="23">
        <f>IF($AM856="","",MAX(0,$AM856-$AN856))</f>
        <v/>
      </c>
      <c r="AP856" s="22">
        <f>IF($S856="","",IF(OR($S856="ITEM_PRICE_PLUS_DECLARED_DELIVERY",$S856="DELIVERY_CHARGE_ONLY"),$K856,IF($S856="TOTAL_AMOUNT_INCLUDING_DELIVERY",IF(OR($T856="",$J856=""),"",MAX(0,$T856-$J856-$U856)),IF($S856="ITEM_PRICE_ONLY_DELIVERY_PAID_BY_MERCHANT",0,""))))</f>
        <v/>
      </c>
      <c r="AQ856" s="23">
        <f>IF(OR($AP856="",$AO856=""),"",$AP856-$AO856)</f>
        <v/>
      </c>
      <c r="AR856" s="24">
        <f>IF($S856="EXACT_COLLECTION_AMOUNT","BREAKDOWN_REQUIRED",IF($AQ856="","",IF($AQ856&gt;0,"CREDIT_TO_MERCHANT",IF($AQ856&lt;0,"DEDUCT_FROM_MERCHANT","NO_ADJUSTMENT"))))</f>
        <v/>
      </c>
      <c r="AS856" s="23">
        <f>IF(OR($AQ856="",$AR856="BREAKDOWN_REQUIRED"),"",$AQ856)</f>
        <v/>
      </c>
      <c r="AT856" s="23">
        <f>IF(OR($AR856="",$AR856="BREAKDOWN_REQUIRED"),"",SUM($J856,$AQ856,$Y856)-$X856)</f>
        <v/>
      </c>
      <c r="AU856" s="25">
        <f>IF(AND($A856="",$B856="",$F856="",$H856="",$J856="",$K856="",$M856="",$S856=""),"",IF(OR($H856="",$Q856="",$M856="",$S856=""),"ERROR",IF(OR($J856&lt;0,$K856&lt;0,$M856&lt;0,$T856&lt;0,$U856&lt;0,$V856&lt;0,$W856&lt;0,$X856&lt;0,$Y856&lt;0),"ERROR",IF($AE856="","ERROR",IF(AND(OR($S856="ITEM_PRICE_PLUS_DECLARED_DELIVERY",$S856="TOTAL_AMOUNT_INCLUDING_DELIVERY",$S856="ITEM_PRICE_ONLY_DELIVERY_PAID_BY_MERCHANT"),$J856=""),"ERROR",IF(AND(OR($S856="ITEM_PRICE_PLUS_DECLARED_DELIVERY",$S856="DELIVERY_CHARGE_ONLY"),$K856=""),"ERROR",IF(AND(OR($S856="TOTAL_AMOUNT_INCLUDING_DELIVERY",$S856="EXACT_COLLECTION_AMOUNT"),$T856=""),"ERROR",IF(AND($S856="TOTAL_AMOUNT_INCLUDING_DELIVERY",$T856&lt;SUM($J856,$U856)),"ERROR",IF($S856="EXACT_COLLECTION_AMOUNT","REVIEW","OK")))))))))</f>
        <v/>
      </c>
      <c r="AV856" s="25">
        <f>IF($AU856="","",IF($H856="","Township required",IF($Q856="","Customer tier required",IF($M856="","Weight required",IF($S856="","Amount entry type required",IF(OR($J856&lt;0,$K856&lt;0,$M856&lt;0,$T856&lt;0,$U856&lt;0,$V856&lt;0,$W856&lt;0,$X856&lt;0,$Y856&lt;0),"Negative amounts are not allowed",IF($AE856="","Tariff not found for township and tier",IF(AND(OR($S856="ITEM_PRICE_PLUS_DECLARED_DELIVERY",$S856="TOTAL_AMOUNT_INCLUDING_DELIVERY",$S856="ITEM_PRICE_ONLY_DELIVERY_PAID_BY_MERCHANT"),$J856=""),"Item price required for this amount type",IF(AND(OR($S856="ITEM_PRICE_PLUS_DECLARED_DELIVERY",$S856="DELIVERY_CHARGE_ONLY"),$K856=""),"Declared delivery charge required",IF(AND(OR($S856="TOTAL_AMOUNT_INCLUDING_DELIVERY",$S856="EXACT_COLLECTION_AMOUNT"),$T856=""),"Stated total amount required",IF(AND($S856="TOTAL_AMOUNT_INCLUDING_DELIVERY",$T856&lt;SUM($J856,$U856)),"Stated total is below item price plus additional charge",IF($S856="EXACT_COLLECTION_AMOUNT","Authorized amount breakdown required before settlement","Ready for collection and settlement"))))))))))))</f>
        <v/>
      </c>
      <c r="AW856" s="23">
        <f>IF($AU856="","","PARCEL_FINANCIAL_V2")</f>
        <v/>
      </c>
      <c r="AX856" s="17" t="n"/>
    </row>
    <row r="857">
      <c r="A857" s="8" t="n"/>
      <c r="B857" s="8" t="n"/>
      <c r="C857" s="8" t="n"/>
      <c r="D857" s="8" t="n"/>
      <c r="E857" s="9" t="n"/>
      <c r="F857" s="9" t="n"/>
      <c r="G857" s="8" t="n"/>
      <c r="H857" s="9" t="n"/>
      <c r="I857" s="9" t="n"/>
      <c r="J857" s="10" t="n"/>
      <c r="K857" s="10" t="n"/>
      <c r="L857" s="11">
        <f>IF($S857="","",IF($S857="ITEM_PRICE_PLUS_DECLARED_DELIVERY",IF(OR($J857="",$K857=""),"",SUM($J857,$K857,$U857)),IF($S857="TOTAL_AMOUNT_INCLUDING_DELIVERY",IF($T857="","",$T857),IF($S857="DELIVERY_CHARGE_ONLY",IF($K857="","",SUM($K857,$U857)),IF($S857="EXACT_COLLECTION_AMOUNT",IF($T857="","",$T857),IF($S857="ITEM_PRICE_ONLY_DELIVERY_PAID_BY_MERCHANT",IF($J857="","",SUM($J857,$U857)),""))))))</f>
        <v/>
      </c>
      <c r="M857" s="12" t="n"/>
      <c r="N857" s="13" t="n"/>
      <c r="O857" s="13" t="n"/>
      <c r="P857" s="9" t="n"/>
      <c r="Q857" s="14" t="n"/>
      <c r="R857" s="15" t="n"/>
      <c r="S857" s="14" t="n"/>
      <c r="T857" s="16" t="n"/>
      <c r="U857" s="16" t="n"/>
      <c r="V857" s="16" t="n"/>
      <c r="W857" s="16" t="n"/>
      <c r="X857" s="16" t="n"/>
      <c r="Y857" s="16" t="n"/>
      <c r="Z857" s="14" t="n"/>
      <c r="AA857" s="14" t="n"/>
      <c r="AB857" s="14" t="n"/>
      <c r="AC857" s="17">
        <f>IFERROR(VLOOKUP($H857&amp;"|"&amp;$Q857,Tariff_Master!$A$2:$L$169,3,FALSE),"")</f>
        <v/>
      </c>
      <c r="AD857" s="17">
        <f>IFERROR(VLOOKUP($H857&amp;"|"&amp;$Q857,Tariff_Master!$A$2:$L$169,4,FALSE),"")</f>
        <v/>
      </c>
      <c r="AE857" s="18">
        <f>IFERROR(VLOOKUP($H857&amp;"|"&amp;$Q857,Tariff_Master!$A$2:$L$169,6,FALSE),"")</f>
        <v/>
      </c>
      <c r="AF857" s="19">
        <f>IFERROR(VLOOKUP($H857&amp;"|"&amp;$Q857,Tariff_Master!$A$2:$L$169,7,FALSE),"")</f>
        <v/>
      </c>
      <c r="AG857" s="18">
        <f>IFERROR(VLOOKUP($H857&amp;"|"&amp;$Q857,Tariff_Master!$A$2:$L$169,8,FALSE),"")</f>
        <v/>
      </c>
      <c r="AH857" s="20">
        <f>IFERROR(VLOOKUP($H857&amp;"|"&amp;$Q857,Tariff_Master!$A$2:$L$169,9,FALSE),"")</f>
        <v/>
      </c>
      <c r="AI857" s="18">
        <f>IFERROR(VLOOKUP($H857&amp;"|"&amp;$Q857,Tariff_Master!$A$2:$L$169,10,FALSE),"")</f>
        <v/>
      </c>
      <c r="AJ857" s="21">
        <f>IF($M857="","",ROUNDUP(MAX(0,$M857),0))</f>
        <v/>
      </c>
      <c r="AK857" s="21">
        <f>IF(OR($AJ857="",$AF857=""),"",MAX(0,$AJ857-$AF857))</f>
        <v/>
      </c>
      <c r="AL857" s="22">
        <f>IF(OR($AK857="",$AG857=""),"",MAX(0,$AK857*$AG857))</f>
        <v/>
      </c>
      <c r="AM857" s="22">
        <f>IF($AE857="","",MAX(0,SUM($AE857,$AL857,$V857,$W857)))</f>
        <v/>
      </c>
      <c r="AN857" s="22">
        <f>IF($AM857="","",IF(AND($Q857="COMMITMENT",$R857&gt;=$AH857),$AI857,0))</f>
        <v/>
      </c>
      <c r="AO857" s="23">
        <f>IF($AM857="","",MAX(0,$AM857-$AN857))</f>
        <v/>
      </c>
      <c r="AP857" s="22">
        <f>IF($S857="","",IF(OR($S857="ITEM_PRICE_PLUS_DECLARED_DELIVERY",$S857="DELIVERY_CHARGE_ONLY"),$K857,IF($S857="TOTAL_AMOUNT_INCLUDING_DELIVERY",IF(OR($T857="",$J857=""),"",MAX(0,$T857-$J857-$U857)),IF($S857="ITEM_PRICE_ONLY_DELIVERY_PAID_BY_MERCHANT",0,""))))</f>
        <v/>
      </c>
      <c r="AQ857" s="23">
        <f>IF(OR($AP857="",$AO857=""),"",$AP857-$AO857)</f>
        <v/>
      </c>
      <c r="AR857" s="24">
        <f>IF($S857="EXACT_COLLECTION_AMOUNT","BREAKDOWN_REQUIRED",IF($AQ857="","",IF($AQ857&gt;0,"CREDIT_TO_MERCHANT",IF($AQ857&lt;0,"DEDUCT_FROM_MERCHANT","NO_ADJUSTMENT"))))</f>
        <v/>
      </c>
      <c r="AS857" s="23">
        <f>IF(OR($AQ857="",$AR857="BREAKDOWN_REQUIRED"),"",$AQ857)</f>
        <v/>
      </c>
      <c r="AT857" s="23">
        <f>IF(OR($AR857="",$AR857="BREAKDOWN_REQUIRED"),"",SUM($J857,$AQ857,$Y857)-$X857)</f>
        <v/>
      </c>
      <c r="AU857" s="25">
        <f>IF(AND($A857="",$B857="",$F857="",$H857="",$J857="",$K857="",$M857="",$S857=""),"",IF(OR($H857="",$Q857="",$M857="",$S857=""),"ERROR",IF(OR($J857&lt;0,$K857&lt;0,$M857&lt;0,$T857&lt;0,$U857&lt;0,$V857&lt;0,$W857&lt;0,$X857&lt;0,$Y857&lt;0),"ERROR",IF($AE857="","ERROR",IF(AND(OR($S857="ITEM_PRICE_PLUS_DECLARED_DELIVERY",$S857="TOTAL_AMOUNT_INCLUDING_DELIVERY",$S857="ITEM_PRICE_ONLY_DELIVERY_PAID_BY_MERCHANT"),$J857=""),"ERROR",IF(AND(OR($S857="ITEM_PRICE_PLUS_DECLARED_DELIVERY",$S857="DELIVERY_CHARGE_ONLY"),$K857=""),"ERROR",IF(AND(OR($S857="TOTAL_AMOUNT_INCLUDING_DELIVERY",$S857="EXACT_COLLECTION_AMOUNT"),$T857=""),"ERROR",IF(AND($S857="TOTAL_AMOUNT_INCLUDING_DELIVERY",$T857&lt;SUM($J857,$U857)),"ERROR",IF($S857="EXACT_COLLECTION_AMOUNT","REVIEW","OK")))))))))</f>
        <v/>
      </c>
      <c r="AV857" s="25">
        <f>IF($AU857="","",IF($H857="","Township required",IF($Q857="","Customer tier required",IF($M857="","Weight required",IF($S857="","Amount entry type required",IF(OR($J857&lt;0,$K857&lt;0,$M857&lt;0,$T857&lt;0,$U857&lt;0,$V857&lt;0,$W857&lt;0,$X857&lt;0,$Y857&lt;0),"Negative amounts are not allowed",IF($AE857="","Tariff not found for township and tier",IF(AND(OR($S857="ITEM_PRICE_PLUS_DECLARED_DELIVERY",$S857="TOTAL_AMOUNT_INCLUDING_DELIVERY",$S857="ITEM_PRICE_ONLY_DELIVERY_PAID_BY_MERCHANT"),$J857=""),"Item price required for this amount type",IF(AND(OR($S857="ITEM_PRICE_PLUS_DECLARED_DELIVERY",$S857="DELIVERY_CHARGE_ONLY"),$K857=""),"Declared delivery charge required",IF(AND(OR($S857="TOTAL_AMOUNT_INCLUDING_DELIVERY",$S857="EXACT_COLLECTION_AMOUNT"),$T857=""),"Stated total amount required",IF(AND($S857="TOTAL_AMOUNT_INCLUDING_DELIVERY",$T857&lt;SUM($J857,$U857)),"Stated total is below item price plus additional charge",IF($S857="EXACT_COLLECTION_AMOUNT","Authorized amount breakdown required before settlement","Ready for collection and settlement"))))))))))))</f>
        <v/>
      </c>
      <c r="AW857" s="23">
        <f>IF($AU857="","","PARCEL_FINANCIAL_V2")</f>
        <v/>
      </c>
      <c r="AX857" s="17" t="n"/>
    </row>
    <row r="858">
      <c r="A858" s="8" t="n"/>
      <c r="B858" s="8" t="n"/>
      <c r="C858" s="8" t="n"/>
      <c r="D858" s="8" t="n"/>
      <c r="E858" s="9" t="n"/>
      <c r="F858" s="9" t="n"/>
      <c r="G858" s="8" t="n"/>
      <c r="H858" s="9" t="n"/>
      <c r="I858" s="9" t="n"/>
      <c r="J858" s="10" t="n"/>
      <c r="K858" s="10" t="n"/>
      <c r="L858" s="11">
        <f>IF($S858="","",IF($S858="ITEM_PRICE_PLUS_DECLARED_DELIVERY",IF(OR($J858="",$K858=""),"",SUM($J858,$K858,$U858)),IF($S858="TOTAL_AMOUNT_INCLUDING_DELIVERY",IF($T858="","",$T858),IF($S858="DELIVERY_CHARGE_ONLY",IF($K858="","",SUM($K858,$U858)),IF($S858="EXACT_COLLECTION_AMOUNT",IF($T858="","",$T858),IF($S858="ITEM_PRICE_ONLY_DELIVERY_PAID_BY_MERCHANT",IF($J858="","",SUM($J858,$U858)),""))))))</f>
        <v/>
      </c>
      <c r="M858" s="12" t="n"/>
      <c r="N858" s="13" t="n"/>
      <c r="O858" s="13" t="n"/>
      <c r="P858" s="9" t="n"/>
      <c r="Q858" s="14" t="n"/>
      <c r="R858" s="15" t="n"/>
      <c r="S858" s="14" t="n"/>
      <c r="T858" s="16" t="n"/>
      <c r="U858" s="16" t="n"/>
      <c r="V858" s="16" t="n"/>
      <c r="W858" s="16" t="n"/>
      <c r="X858" s="16" t="n"/>
      <c r="Y858" s="16" t="n"/>
      <c r="Z858" s="14" t="n"/>
      <c r="AA858" s="14" t="n"/>
      <c r="AB858" s="14" t="n"/>
      <c r="AC858" s="17">
        <f>IFERROR(VLOOKUP($H858&amp;"|"&amp;$Q858,Tariff_Master!$A$2:$L$169,3,FALSE),"")</f>
        <v/>
      </c>
      <c r="AD858" s="17">
        <f>IFERROR(VLOOKUP($H858&amp;"|"&amp;$Q858,Tariff_Master!$A$2:$L$169,4,FALSE),"")</f>
        <v/>
      </c>
      <c r="AE858" s="18">
        <f>IFERROR(VLOOKUP($H858&amp;"|"&amp;$Q858,Tariff_Master!$A$2:$L$169,6,FALSE),"")</f>
        <v/>
      </c>
      <c r="AF858" s="19">
        <f>IFERROR(VLOOKUP($H858&amp;"|"&amp;$Q858,Tariff_Master!$A$2:$L$169,7,FALSE),"")</f>
        <v/>
      </c>
      <c r="AG858" s="18">
        <f>IFERROR(VLOOKUP($H858&amp;"|"&amp;$Q858,Tariff_Master!$A$2:$L$169,8,FALSE),"")</f>
        <v/>
      </c>
      <c r="AH858" s="20">
        <f>IFERROR(VLOOKUP($H858&amp;"|"&amp;$Q858,Tariff_Master!$A$2:$L$169,9,FALSE),"")</f>
        <v/>
      </c>
      <c r="AI858" s="18">
        <f>IFERROR(VLOOKUP($H858&amp;"|"&amp;$Q858,Tariff_Master!$A$2:$L$169,10,FALSE),"")</f>
        <v/>
      </c>
      <c r="AJ858" s="21">
        <f>IF($M858="","",ROUNDUP(MAX(0,$M858),0))</f>
        <v/>
      </c>
      <c r="AK858" s="21">
        <f>IF(OR($AJ858="",$AF858=""),"",MAX(0,$AJ858-$AF858))</f>
        <v/>
      </c>
      <c r="AL858" s="22">
        <f>IF(OR($AK858="",$AG858=""),"",MAX(0,$AK858*$AG858))</f>
        <v/>
      </c>
      <c r="AM858" s="22">
        <f>IF($AE858="","",MAX(0,SUM($AE858,$AL858,$V858,$W858)))</f>
        <v/>
      </c>
      <c r="AN858" s="22">
        <f>IF($AM858="","",IF(AND($Q858="COMMITMENT",$R858&gt;=$AH858),$AI858,0))</f>
        <v/>
      </c>
      <c r="AO858" s="23">
        <f>IF($AM858="","",MAX(0,$AM858-$AN858))</f>
        <v/>
      </c>
      <c r="AP858" s="22">
        <f>IF($S858="","",IF(OR($S858="ITEM_PRICE_PLUS_DECLARED_DELIVERY",$S858="DELIVERY_CHARGE_ONLY"),$K858,IF($S858="TOTAL_AMOUNT_INCLUDING_DELIVERY",IF(OR($T858="",$J858=""),"",MAX(0,$T858-$J858-$U858)),IF($S858="ITEM_PRICE_ONLY_DELIVERY_PAID_BY_MERCHANT",0,""))))</f>
        <v/>
      </c>
      <c r="AQ858" s="23">
        <f>IF(OR($AP858="",$AO858=""),"",$AP858-$AO858)</f>
        <v/>
      </c>
      <c r="AR858" s="24">
        <f>IF($S858="EXACT_COLLECTION_AMOUNT","BREAKDOWN_REQUIRED",IF($AQ858="","",IF($AQ858&gt;0,"CREDIT_TO_MERCHANT",IF($AQ858&lt;0,"DEDUCT_FROM_MERCHANT","NO_ADJUSTMENT"))))</f>
        <v/>
      </c>
      <c r="AS858" s="23">
        <f>IF(OR($AQ858="",$AR858="BREAKDOWN_REQUIRED"),"",$AQ858)</f>
        <v/>
      </c>
      <c r="AT858" s="23">
        <f>IF(OR($AR858="",$AR858="BREAKDOWN_REQUIRED"),"",SUM($J858,$AQ858,$Y858)-$X858)</f>
        <v/>
      </c>
      <c r="AU858" s="25">
        <f>IF(AND($A858="",$B858="",$F858="",$H858="",$J858="",$K858="",$M858="",$S858=""),"",IF(OR($H858="",$Q858="",$M858="",$S858=""),"ERROR",IF(OR($J858&lt;0,$K858&lt;0,$M858&lt;0,$T858&lt;0,$U858&lt;0,$V858&lt;0,$W858&lt;0,$X858&lt;0,$Y858&lt;0),"ERROR",IF($AE858="","ERROR",IF(AND(OR($S858="ITEM_PRICE_PLUS_DECLARED_DELIVERY",$S858="TOTAL_AMOUNT_INCLUDING_DELIVERY",$S858="ITEM_PRICE_ONLY_DELIVERY_PAID_BY_MERCHANT"),$J858=""),"ERROR",IF(AND(OR($S858="ITEM_PRICE_PLUS_DECLARED_DELIVERY",$S858="DELIVERY_CHARGE_ONLY"),$K858=""),"ERROR",IF(AND(OR($S858="TOTAL_AMOUNT_INCLUDING_DELIVERY",$S858="EXACT_COLLECTION_AMOUNT"),$T858=""),"ERROR",IF(AND($S858="TOTAL_AMOUNT_INCLUDING_DELIVERY",$T858&lt;SUM($J858,$U858)),"ERROR",IF($S858="EXACT_COLLECTION_AMOUNT","REVIEW","OK")))))))))</f>
        <v/>
      </c>
      <c r="AV858" s="25">
        <f>IF($AU858="","",IF($H858="","Township required",IF($Q858="","Customer tier required",IF($M858="","Weight required",IF($S858="","Amount entry type required",IF(OR($J858&lt;0,$K858&lt;0,$M858&lt;0,$T858&lt;0,$U858&lt;0,$V858&lt;0,$W858&lt;0,$X858&lt;0,$Y858&lt;0),"Negative amounts are not allowed",IF($AE858="","Tariff not found for township and tier",IF(AND(OR($S858="ITEM_PRICE_PLUS_DECLARED_DELIVERY",$S858="TOTAL_AMOUNT_INCLUDING_DELIVERY",$S858="ITEM_PRICE_ONLY_DELIVERY_PAID_BY_MERCHANT"),$J858=""),"Item price required for this amount type",IF(AND(OR($S858="ITEM_PRICE_PLUS_DECLARED_DELIVERY",$S858="DELIVERY_CHARGE_ONLY"),$K858=""),"Declared delivery charge required",IF(AND(OR($S858="TOTAL_AMOUNT_INCLUDING_DELIVERY",$S858="EXACT_COLLECTION_AMOUNT"),$T858=""),"Stated total amount required",IF(AND($S858="TOTAL_AMOUNT_INCLUDING_DELIVERY",$T858&lt;SUM($J858,$U858)),"Stated total is below item price plus additional charge",IF($S858="EXACT_COLLECTION_AMOUNT","Authorized amount breakdown required before settlement","Ready for collection and settlement"))))))))))))</f>
        <v/>
      </c>
      <c r="AW858" s="23">
        <f>IF($AU858="","","PARCEL_FINANCIAL_V2")</f>
        <v/>
      </c>
      <c r="AX858" s="17" t="n"/>
    </row>
    <row r="859">
      <c r="A859" s="8" t="n"/>
      <c r="B859" s="8" t="n"/>
      <c r="C859" s="8" t="n"/>
      <c r="D859" s="8" t="n"/>
      <c r="E859" s="9" t="n"/>
      <c r="F859" s="9" t="n"/>
      <c r="G859" s="8" t="n"/>
      <c r="H859" s="9" t="n"/>
      <c r="I859" s="9" t="n"/>
      <c r="J859" s="10" t="n"/>
      <c r="K859" s="10" t="n"/>
      <c r="L859" s="11">
        <f>IF($S859="","",IF($S859="ITEM_PRICE_PLUS_DECLARED_DELIVERY",IF(OR($J859="",$K859=""),"",SUM($J859,$K859,$U859)),IF($S859="TOTAL_AMOUNT_INCLUDING_DELIVERY",IF($T859="","",$T859),IF($S859="DELIVERY_CHARGE_ONLY",IF($K859="","",SUM($K859,$U859)),IF($S859="EXACT_COLLECTION_AMOUNT",IF($T859="","",$T859),IF($S859="ITEM_PRICE_ONLY_DELIVERY_PAID_BY_MERCHANT",IF($J859="","",SUM($J859,$U859)),""))))))</f>
        <v/>
      </c>
      <c r="M859" s="12" t="n"/>
      <c r="N859" s="13" t="n"/>
      <c r="O859" s="13" t="n"/>
      <c r="P859" s="9" t="n"/>
      <c r="Q859" s="14" t="n"/>
      <c r="R859" s="15" t="n"/>
      <c r="S859" s="14" t="n"/>
      <c r="T859" s="16" t="n"/>
      <c r="U859" s="16" t="n"/>
      <c r="V859" s="16" t="n"/>
      <c r="W859" s="16" t="n"/>
      <c r="X859" s="16" t="n"/>
      <c r="Y859" s="16" t="n"/>
      <c r="Z859" s="14" t="n"/>
      <c r="AA859" s="14" t="n"/>
      <c r="AB859" s="14" t="n"/>
      <c r="AC859" s="17">
        <f>IFERROR(VLOOKUP($H859&amp;"|"&amp;$Q859,Tariff_Master!$A$2:$L$169,3,FALSE),"")</f>
        <v/>
      </c>
      <c r="AD859" s="17">
        <f>IFERROR(VLOOKUP($H859&amp;"|"&amp;$Q859,Tariff_Master!$A$2:$L$169,4,FALSE),"")</f>
        <v/>
      </c>
      <c r="AE859" s="18">
        <f>IFERROR(VLOOKUP($H859&amp;"|"&amp;$Q859,Tariff_Master!$A$2:$L$169,6,FALSE),"")</f>
        <v/>
      </c>
      <c r="AF859" s="19">
        <f>IFERROR(VLOOKUP($H859&amp;"|"&amp;$Q859,Tariff_Master!$A$2:$L$169,7,FALSE),"")</f>
        <v/>
      </c>
      <c r="AG859" s="18">
        <f>IFERROR(VLOOKUP($H859&amp;"|"&amp;$Q859,Tariff_Master!$A$2:$L$169,8,FALSE),"")</f>
        <v/>
      </c>
      <c r="AH859" s="20">
        <f>IFERROR(VLOOKUP($H859&amp;"|"&amp;$Q859,Tariff_Master!$A$2:$L$169,9,FALSE),"")</f>
        <v/>
      </c>
      <c r="AI859" s="18">
        <f>IFERROR(VLOOKUP($H859&amp;"|"&amp;$Q859,Tariff_Master!$A$2:$L$169,10,FALSE),"")</f>
        <v/>
      </c>
      <c r="AJ859" s="21">
        <f>IF($M859="","",ROUNDUP(MAX(0,$M859),0))</f>
        <v/>
      </c>
      <c r="AK859" s="21">
        <f>IF(OR($AJ859="",$AF859=""),"",MAX(0,$AJ859-$AF859))</f>
        <v/>
      </c>
      <c r="AL859" s="22">
        <f>IF(OR($AK859="",$AG859=""),"",MAX(0,$AK859*$AG859))</f>
        <v/>
      </c>
      <c r="AM859" s="22">
        <f>IF($AE859="","",MAX(0,SUM($AE859,$AL859,$V859,$W859)))</f>
        <v/>
      </c>
      <c r="AN859" s="22">
        <f>IF($AM859="","",IF(AND($Q859="COMMITMENT",$R859&gt;=$AH859),$AI859,0))</f>
        <v/>
      </c>
      <c r="AO859" s="23">
        <f>IF($AM859="","",MAX(0,$AM859-$AN859))</f>
        <v/>
      </c>
      <c r="AP859" s="22">
        <f>IF($S859="","",IF(OR($S859="ITEM_PRICE_PLUS_DECLARED_DELIVERY",$S859="DELIVERY_CHARGE_ONLY"),$K859,IF($S859="TOTAL_AMOUNT_INCLUDING_DELIVERY",IF(OR($T859="",$J859=""),"",MAX(0,$T859-$J859-$U859)),IF($S859="ITEM_PRICE_ONLY_DELIVERY_PAID_BY_MERCHANT",0,""))))</f>
        <v/>
      </c>
      <c r="AQ859" s="23">
        <f>IF(OR($AP859="",$AO859=""),"",$AP859-$AO859)</f>
        <v/>
      </c>
      <c r="AR859" s="24">
        <f>IF($S859="EXACT_COLLECTION_AMOUNT","BREAKDOWN_REQUIRED",IF($AQ859="","",IF($AQ859&gt;0,"CREDIT_TO_MERCHANT",IF($AQ859&lt;0,"DEDUCT_FROM_MERCHANT","NO_ADJUSTMENT"))))</f>
        <v/>
      </c>
      <c r="AS859" s="23">
        <f>IF(OR($AQ859="",$AR859="BREAKDOWN_REQUIRED"),"",$AQ859)</f>
        <v/>
      </c>
      <c r="AT859" s="23">
        <f>IF(OR($AR859="",$AR859="BREAKDOWN_REQUIRED"),"",SUM($J859,$AQ859,$Y859)-$X859)</f>
        <v/>
      </c>
      <c r="AU859" s="25">
        <f>IF(AND($A859="",$B859="",$F859="",$H859="",$J859="",$K859="",$M859="",$S859=""),"",IF(OR($H859="",$Q859="",$M859="",$S859=""),"ERROR",IF(OR($J859&lt;0,$K859&lt;0,$M859&lt;0,$T859&lt;0,$U859&lt;0,$V859&lt;0,$W859&lt;0,$X859&lt;0,$Y859&lt;0),"ERROR",IF($AE859="","ERROR",IF(AND(OR($S859="ITEM_PRICE_PLUS_DECLARED_DELIVERY",$S859="TOTAL_AMOUNT_INCLUDING_DELIVERY",$S859="ITEM_PRICE_ONLY_DELIVERY_PAID_BY_MERCHANT"),$J859=""),"ERROR",IF(AND(OR($S859="ITEM_PRICE_PLUS_DECLARED_DELIVERY",$S859="DELIVERY_CHARGE_ONLY"),$K859=""),"ERROR",IF(AND(OR($S859="TOTAL_AMOUNT_INCLUDING_DELIVERY",$S859="EXACT_COLLECTION_AMOUNT"),$T859=""),"ERROR",IF(AND($S859="TOTAL_AMOUNT_INCLUDING_DELIVERY",$T859&lt;SUM($J859,$U859)),"ERROR",IF($S859="EXACT_COLLECTION_AMOUNT","REVIEW","OK")))))))))</f>
        <v/>
      </c>
      <c r="AV859" s="25">
        <f>IF($AU859="","",IF($H859="","Township required",IF($Q859="","Customer tier required",IF($M859="","Weight required",IF($S859="","Amount entry type required",IF(OR($J859&lt;0,$K859&lt;0,$M859&lt;0,$T859&lt;0,$U859&lt;0,$V859&lt;0,$W859&lt;0,$X859&lt;0,$Y859&lt;0),"Negative amounts are not allowed",IF($AE859="","Tariff not found for township and tier",IF(AND(OR($S859="ITEM_PRICE_PLUS_DECLARED_DELIVERY",$S859="TOTAL_AMOUNT_INCLUDING_DELIVERY",$S859="ITEM_PRICE_ONLY_DELIVERY_PAID_BY_MERCHANT"),$J859=""),"Item price required for this amount type",IF(AND(OR($S859="ITEM_PRICE_PLUS_DECLARED_DELIVERY",$S859="DELIVERY_CHARGE_ONLY"),$K859=""),"Declared delivery charge required",IF(AND(OR($S859="TOTAL_AMOUNT_INCLUDING_DELIVERY",$S859="EXACT_COLLECTION_AMOUNT"),$T859=""),"Stated total amount required",IF(AND($S859="TOTAL_AMOUNT_INCLUDING_DELIVERY",$T859&lt;SUM($J859,$U859)),"Stated total is below item price plus additional charge",IF($S859="EXACT_COLLECTION_AMOUNT","Authorized amount breakdown required before settlement","Ready for collection and settlement"))))))))))))</f>
        <v/>
      </c>
      <c r="AW859" s="23">
        <f>IF($AU859="","","PARCEL_FINANCIAL_V2")</f>
        <v/>
      </c>
      <c r="AX859" s="17" t="n"/>
    </row>
    <row r="860">
      <c r="A860" s="8" t="n"/>
      <c r="B860" s="8" t="n"/>
      <c r="C860" s="8" t="n"/>
      <c r="D860" s="8" t="n"/>
      <c r="E860" s="9" t="n"/>
      <c r="F860" s="9" t="n"/>
      <c r="G860" s="8" t="n"/>
      <c r="H860" s="9" t="n"/>
      <c r="I860" s="9" t="n"/>
      <c r="J860" s="10" t="n"/>
      <c r="K860" s="10" t="n"/>
      <c r="L860" s="11">
        <f>IF($S860="","",IF($S860="ITEM_PRICE_PLUS_DECLARED_DELIVERY",IF(OR($J860="",$K860=""),"",SUM($J860,$K860,$U860)),IF($S860="TOTAL_AMOUNT_INCLUDING_DELIVERY",IF($T860="","",$T860),IF($S860="DELIVERY_CHARGE_ONLY",IF($K860="","",SUM($K860,$U860)),IF($S860="EXACT_COLLECTION_AMOUNT",IF($T860="","",$T860),IF($S860="ITEM_PRICE_ONLY_DELIVERY_PAID_BY_MERCHANT",IF($J860="","",SUM($J860,$U860)),""))))))</f>
        <v/>
      </c>
      <c r="M860" s="12" t="n"/>
      <c r="N860" s="13" t="n"/>
      <c r="O860" s="13" t="n"/>
      <c r="P860" s="9" t="n"/>
      <c r="Q860" s="14" t="n"/>
      <c r="R860" s="15" t="n"/>
      <c r="S860" s="14" t="n"/>
      <c r="T860" s="16" t="n"/>
      <c r="U860" s="16" t="n"/>
      <c r="V860" s="16" t="n"/>
      <c r="W860" s="16" t="n"/>
      <c r="X860" s="16" t="n"/>
      <c r="Y860" s="16" t="n"/>
      <c r="Z860" s="14" t="n"/>
      <c r="AA860" s="14" t="n"/>
      <c r="AB860" s="14" t="n"/>
      <c r="AC860" s="17">
        <f>IFERROR(VLOOKUP($H860&amp;"|"&amp;$Q860,Tariff_Master!$A$2:$L$169,3,FALSE),"")</f>
        <v/>
      </c>
      <c r="AD860" s="17">
        <f>IFERROR(VLOOKUP($H860&amp;"|"&amp;$Q860,Tariff_Master!$A$2:$L$169,4,FALSE),"")</f>
        <v/>
      </c>
      <c r="AE860" s="18">
        <f>IFERROR(VLOOKUP($H860&amp;"|"&amp;$Q860,Tariff_Master!$A$2:$L$169,6,FALSE),"")</f>
        <v/>
      </c>
      <c r="AF860" s="19">
        <f>IFERROR(VLOOKUP($H860&amp;"|"&amp;$Q860,Tariff_Master!$A$2:$L$169,7,FALSE),"")</f>
        <v/>
      </c>
      <c r="AG860" s="18">
        <f>IFERROR(VLOOKUP($H860&amp;"|"&amp;$Q860,Tariff_Master!$A$2:$L$169,8,FALSE),"")</f>
        <v/>
      </c>
      <c r="AH860" s="20">
        <f>IFERROR(VLOOKUP($H860&amp;"|"&amp;$Q860,Tariff_Master!$A$2:$L$169,9,FALSE),"")</f>
        <v/>
      </c>
      <c r="AI860" s="18">
        <f>IFERROR(VLOOKUP($H860&amp;"|"&amp;$Q860,Tariff_Master!$A$2:$L$169,10,FALSE),"")</f>
        <v/>
      </c>
      <c r="AJ860" s="21">
        <f>IF($M860="","",ROUNDUP(MAX(0,$M860),0))</f>
        <v/>
      </c>
      <c r="AK860" s="21">
        <f>IF(OR($AJ860="",$AF860=""),"",MAX(0,$AJ860-$AF860))</f>
        <v/>
      </c>
      <c r="AL860" s="22">
        <f>IF(OR($AK860="",$AG860=""),"",MAX(0,$AK860*$AG860))</f>
        <v/>
      </c>
      <c r="AM860" s="22">
        <f>IF($AE860="","",MAX(0,SUM($AE860,$AL860,$V860,$W860)))</f>
        <v/>
      </c>
      <c r="AN860" s="22">
        <f>IF($AM860="","",IF(AND($Q860="COMMITMENT",$R860&gt;=$AH860),$AI860,0))</f>
        <v/>
      </c>
      <c r="AO860" s="23">
        <f>IF($AM860="","",MAX(0,$AM860-$AN860))</f>
        <v/>
      </c>
      <c r="AP860" s="22">
        <f>IF($S860="","",IF(OR($S860="ITEM_PRICE_PLUS_DECLARED_DELIVERY",$S860="DELIVERY_CHARGE_ONLY"),$K860,IF($S860="TOTAL_AMOUNT_INCLUDING_DELIVERY",IF(OR($T860="",$J860=""),"",MAX(0,$T860-$J860-$U860)),IF($S860="ITEM_PRICE_ONLY_DELIVERY_PAID_BY_MERCHANT",0,""))))</f>
        <v/>
      </c>
      <c r="AQ860" s="23">
        <f>IF(OR($AP860="",$AO860=""),"",$AP860-$AO860)</f>
        <v/>
      </c>
      <c r="AR860" s="24">
        <f>IF($S860="EXACT_COLLECTION_AMOUNT","BREAKDOWN_REQUIRED",IF($AQ860="","",IF($AQ860&gt;0,"CREDIT_TO_MERCHANT",IF($AQ860&lt;0,"DEDUCT_FROM_MERCHANT","NO_ADJUSTMENT"))))</f>
        <v/>
      </c>
      <c r="AS860" s="23">
        <f>IF(OR($AQ860="",$AR860="BREAKDOWN_REQUIRED"),"",$AQ860)</f>
        <v/>
      </c>
      <c r="AT860" s="23">
        <f>IF(OR($AR860="",$AR860="BREAKDOWN_REQUIRED"),"",SUM($J860,$AQ860,$Y860)-$X860)</f>
        <v/>
      </c>
      <c r="AU860" s="25">
        <f>IF(AND($A860="",$B860="",$F860="",$H860="",$J860="",$K860="",$M860="",$S860=""),"",IF(OR($H860="",$Q860="",$M860="",$S860=""),"ERROR",IF(OR($J860&lt;0,$K860&lt;0,$M860&lt;0,$T860&lt;0,$U860&lt;0,$V860&lt;0,$W860&lt;0,$X860&lt;0,$Y860&lt;0),"ERROR",IF($AE860="","ERROR",IF(AND(OR($S860="ITEM_PRICE_PLUS_DECLARED_DELIVERY",$S860="TOTAL_AMOUNT_INCLUDING_DELIVERY",$S860="ITEM_PRICE_ONLY_DELIVERY_PAID_BY_MERCHANT"),$J860=""),"ERROR",IF(AND(OR($S860="ITEM_PRICE_PLUS_DECLARED_DELIVERY",$S860="DELIVERY_CHARGE_ONLY"),$K860=""),"ERROR",IF(AND(OR($S860="TOTAL_AMOUNT_INCLUDING_DELIVERY",$S860="EXACT_COLLECTION_AMOUNT"),$T860=""),"ERROR",IF(AND($S860="TOTAL_AMOUNT_INCLUDING_DELIVERY",$T860&lt;SUM($J860,$U860)),"ERROR",IF($S860="EXACT_COLLECTION_AMOUNT","REVIEW","OK")))))))))</f>
        <v/>
      </c>
      <c r="AV860" s="25">
        <f>IF($AU860="","",IF($H860="","Township required",IF($Q860="","Customer tier required",IF($M860="","Weight required",IF($S860="","Amount entry type required",IF(OR($J860&lt;0,$K860&lt;0,$M860&lt;0,$T860&lt;0,$U860&lt;0,$V860&lt;0,$W860&lt;0,$X860&lt;0,$Y860&lt;0),"Negative amounts are not allowed",IF($AE860="","Tariff not found for township and tier",IF(AND(OR($S860="ITEM_PRICE_PLUS_DECLARED_DELIVERY",$S860="TOTAL_AMOUNT_INCLUDING_DELIVERY",$S860="ITEM_PRICE_ONLY_DELIVERY_PAID_BY_MERCHANT"),$J860=""),"Item price required for this amount type",IF(AND(OR($S860="ITEM_PRICE_PLUS_DECLARED_DELIVERY",$S860="DELIVERY_CHARGE_ONLY"),$K860=""),"Declared delivery charge required",IF(AND(OR($S860="TOTAL_AMOUNT_INCLUDING_DELIVERY",$S860="EXACT_COLLECTION_AMOUNT"),$T860=""),"Stated total amount required",IF(AND($S860="TOTAL_AMOUNT_INCLUDING_DELIVERY",$T860&lt;SUM($J860,$U860)),"Stated total is below item price plus additional charge",IF($S860="EXACT_COLLECTION_AMOUNT","Authorized amount breakdown required before settlement","Ready for collection and settlement"))))))))))))</f>
        <v/>
      </c>
      <c r="AW860" s="23">
        <f>IF($AU860="","","PARCEL_FINANCIAL_V2")</f>
        <v/>
      </c>
      <c r="AX860" s="17" t="n"/>
    </row>
    <row r="861">
      <c r="A861" s="8" t="n"/>
      <c r="B861" s="8" t="n"/>
      <c r="C861" s="8" t="n"/>
      <c r="D861" s="8" t="n"/>
      <c r="E861" s="9" t="n"/>
      <c r="F861" s="9" t="n"/>
      <c r="G861" s="8" t="n"/>
      <c r="H861" s="9" t="n"/>
      <c r="I861" s="9" t="n"/>
      <c r="J861" s="10" t="n"/>
      <c r="K861" s="10" t="n"/>
      <c r="L861" s="11">
        <f>IF($S861="","",IF($S861="ITEM_PRICE_PLUS_DECLARED_DELIVERY",IF(OR($J861="",$K861=""),"",SUM($J861,$K861,$U861)),IF($S861="TOTAL_AMOUNT_INCLUDING_DELIVERY",IF($T861="","",$T861),IF($S861="DELIVERY_CHARGE_ONLY",IF($K861="","",SUM($K861,$U861)),IF($S861="EXACT_COLLECTION_AMOUNT",IF($T861="","",$T861),IF($S861="ITEM_PRICE_ONLY_DELIVERY_PAID_BY_MERCHANT",IF($J861="","",SUM($J861,$U861)),""))))))</f>
        <v/>
      </c>
      <c r="M861" s="12" t="n"/>
      <c r="N861" s="13" t="n"/>
      <c r="O861" s="13" t="n"/>
      <c r="P861" s="9" t="n"/>
      <c r="Q861" s="14" t="n"/>
      <c r="R861" s="15" t="n"/>
      <c r="S861" s="14" t="n"/>
      <c r="T861" s="16" t="n"/>
      <c r="U861" s="16" t="n"/>
      <c r="V861" s="16" t="n"/>
      <c r="W861" s="16" t="n"/>
      <c r="X861" s="16" t="n"/>
      <c r="Y861" s="16" t="n"/>
      <c r="Z861" s="14" t="n"/>
      <c r="AA861" s="14" t="n"/>
      <c r="AB861" s="14" t="n"/>
      <c r="AC861" s="17">
        <f>IFERROR(VLOOKUP($H861&amp;"|"&amp;$Q861,Tariff_Master!$A$2:$L$169,3,FALSE),"")</f>
        <v/>
      </c>
      <c r="AD861" s="17">
        <f>IFERROR(VLOOKUP($H861&amp;"|"&amp;$Q861,Tariff_Master!$A$2:$L$169,4,FALSE),"")</f>
        <v/>
      </c>
      <c r="AE861" s="18">
        <f>IFERROR(VLOOKUP($H861&amp;"|"&amp;$Q861,Tariff_Master!$A$2:$L$169,6,FALSE),"")</f>
        <v/>
      </c>
      <c r="AF861" s="19">
        <f>IFERROR(VLOOKUP($H861&amp;"|"&amp;$Q861,Tariff_Master!$A$2:$L$169,7,FALSE),"")</f>
        <v/>
      </c>
      <c r="AG861" s="18">
        <f>IFERROR(VLOOKUP($H861&amp;"|"&amp;$Q861,Tariff_Master!$A$2:$L$169,8,FALSE),"")</f>
        <v/>
      </c>
      <c r="AH861" s="20">
        <f>IFERROR(VLOOKUP($H861&amp;"|"&amp;$Q861,Tariff_Master!$A$2:$L$169,9,FALSE),"")</f>
        <v/>
      </c>
      <c r="AI861" s="18">
        <f>IFERROR(VLOOKUP($H861&amp;"|"&amp;$Q861,Tariff_Master!$A$2:$L$169,10,FALSE),"")</f>
        <v/>
      </c>
      <c r="AJ861" s="21">
        <f>IF($M861="","",ROUNDUP(MAX(0,$M861),0))</f>
        <v/>
      </c>
      <c r="AK861" s="21">
        <f>IF(OR($AJ861="",$AF861=""),"",MAX(0,$AJ861-$AF861))</f>
        <v/>
      </c>
      <c r="AL861" s="22">
        <f>IF(OR($AK861="",$AG861=""),"",MAX(0,$AK861*$AG861))</f>
        <v/>
      </c>
      <c r="AM861" s="22">
        <f>IF($AE861="","",MAX(0,SUM($AE861,$AL861,$V861,$W861)))</f>
        <v/>
      </c>
      <c r="AN861" s="22">
        <f>IF($AM861="","",IF(AND($Q861="COMMITMENT",$R861&gt;=$AH861),$AI861,0))</f>
        <v/>
      </c>
      <c r="AO861" s="23">
        <f>IF($AM861="","",MAX(0,$AM861-$AN861))</f>
        <v/>
      </c>
      <c r="AP861" s="22">
        <f>IF($S861="","",IF(OR($S861="ITEM_PRICE_PLUS_DECLARED_DELIVERY",$S861="DELIVERY_CHARGE_ONLY"),$K861,IF($S861="TOTAL_AMOUNT_INCLUDING_DELIVERY",IF(OR($T861="",$J861=""),"",MAX(0,$T861-$J861-$U861)),IF($S861="ITEM_PRICE_ONLY_DELIVERY_PAID_BY_MERCHANT",0,""))))</f>
        <v/>
      </c>
      <c r="AQ861" s="23">
        <f>IF(OR($AP861="",$AO861=""),"",$AP861-$AO861)</f>
        <v/>
      </c>
      <c r="AR861" s="24">
        <f>IF($S861="EXACT_COLLECTION_AMOUNT","BREAKDOWN_REQUIRED",IF($AQ861="","",IF($AQ861&gt;0,"CREDIT_TO_MERCHANT",IF($AQ861&lt;0,"DEDUCT_FROM_MERCHANT","NO_ADJUSTMENT"))))</f>
        <v/>
      </c>
      <c r="AS861" s="23">
        <f>IF(OR($AQ861="",$AR861="BREAKDOWN_REQUIRED"),"",$AQ861)</f>
        <v/>
      </c>
      <c r="AT861" s="23">
        <f>IF(OR($AR861="",$AR861="BREAKDOWN_REQUIRED"),"",SUM($J861,$AQ861,$Y861)-$X861)</f>
        <v/>
      </c>
      <c r="AU861" s="25">
        <f>IF(AND($A861="",$B861="",$F861="",$H861="",$J861="",$K861="",$M861="",$S861=""),"",IF(OR($H861="",$Q861="",$M861="",$S861=""),"ERROR",IF(OR($J861&lt;0,$K861&lt;0,$M861&lt;0,$T861&lt;0,$U861&lt;0,$V861&lt;0,$W861&lt;0,$X861&lt;0,$Y861&lt;0),"ERROR",IF($AE861="","ERROR",IF(AND(OR($S861="ITEM_PRICE_PLUS_DECLARED_DELIVERY",$S861="TOTAL_AMOUNT_INCLUDING_DELIVERY",$S861="ITEM_PRICE_ONLY_DELIVERY_PAID_BY_MERCHANT"),$J861=""),"ERROR",IF(AND(OR($S861="ITEM_PRICE_PLUS_DECLARED_DELIVERY",$S861="DELIVERY_CHARGE_ONLY"),$K861=""),"ERROR",IF(AND(OR($S861="TOTAL_AMOUNT_INCLUDING_DELIVERY",$S861="EXACT_COLLECTION_AMOUNT"),$T861=""),"ERROR",IF(AND($S861="TOTAL_AMOUNT_INCLUDING_DELIVERY",$T861&lt;SUM($J861,$U861)),"ERROR",IF($S861="EXACT_COLLECTION_AMOUNT","REVIEW","OK")))))))))</f>
        <v/>
      </c>
      <c r="AV861" s="25">
        <f>IF($AU861="","",IF($H861="","Township required",IF($Q861="","Customer tier required",IF($M861="","Weight required",IF($S861="","Amount entry type required",IF(OR($J861&lt;0,$K861&lt;0,$M861&lt;0,$T861&lt;0,$U861&lt;0,$V861&lt;0,$W861&lt;0,$X861&lt;0,$Y861&lt;0),"Negative amounts are not allowed",IF($AE861="","Tariff not found for township and tier",IF(AND(OR($S861="ITEM_PRICE_PLUS_DECLARED_DELIVERY",$S861="TOTAL_AMOUNT_INCLUDING_DELIVERY",$S861="ITEM_PRICE_ONLY_DELIVERY_PAID_BY_MERCHANT"),$J861=""),"Item price required for this amount type",IF(AND(OR($S861="ITEM_PRICE_PLUS_DECLARED_DELIVERY",$S861="DELIVERY_CHARGE_ONLY"),$K861=""),"Declared delivery charge required",IF(AND(OR($S861="TOTAL_AMOUNT_INCLUDING_DELIVERY",$S861="EXACT_COLLECTION_AMOUNT"),$T861=""),"Stated total amount required",IF(AND($S861="TOTAL_AMOUNT_INCLUDING_DELIVERY",$T861&lt;SUM($J861,$U861)),"Stated total is below item price plus additional charge",IF($S861="EXACT_COLLECTION_AMOUNT","Authorized amount breakdown required before settlement","Ready for collection and settlement"))))))))))))</f>
        <v/>
      </c>
      <c r="AW861" s="23">
        <f>IF($AU861="","","PARCEL_FINANCIAL_V2")</f>
        <v/>
      </c>
      <c r="AX861" s="17" t="n"/>
    </row>
    <row r="862">
      <c r="A862" s="8" t="n"/>
      <c r="B862" s="8" t="n"/>
      <c r="C862" s="8" t="n"/>
      <c r="D862" s="8" t="n"/>
      <c r="E862" s="9" t="n"/>
      <c r="F862" s="9" t="n"/>
      <c r="G862" s="8" t="n"/>
      <c r="H862" s="9" t="n"/>
      <c r="I862" s="9" t="n"/>
      <c r="J862" s="10" t="n"/>
      <c r="K862" s="10" t="n"/>
      <c r="L862" s="11">
        <f>IF($S862="","",IF($S862="ITEM_PRICE_PLUS_DECLARED_DELIVERY",IF(OR($J862="",$K862=""),"",SUM($J862,$K862,$U862)),IF($S862="TOTAL_AMOUNT_INCLUDING_DELIVERY",IF($T862="","",$T862),IF($S862="DELIVERY_CHARGE_ONLY",IF($K862="","",SUM($K862,$U862)),IF($S862="EXACT_COLLECTION_AMOUNT",IF($T862="","",$T862),IF($S862="ITEM_PRICE_ONLY_DELIVERY_PAID_BY_MERCHANT",IF($J862="","",SUM($J862,$U862)),""))))))</f>
        <v/>
      </c>
      <c r="M862" s="12" t="n"/>
      <c r="N862" s="13" t="n"/>
      <c r="O862" s="13" t="n"/>
      <c r="P862" s="9" t="n"/>
      <c r="Q862" s="14" t="n"/>
      <c r="R862" s="15" t="n"/>
      <c r="S862" s="14" t="n"/>
      <c r="T862" s="16" t="n"/>
      <c r="U862" s="16" t="n"/>
      <c r="V862" s="16" t="n"/>
      <c r="W862" s="16" t="n"/>
      <c r="X862" s="16" t="n"/>
      <c r="Y862" s="16" t="n"/>
      <c r="Z862" s="14" t="n"/>
      <c r="AA862" s="14" t="n"/>
      <c r="AB862" s="14" t="n"/>
      <c r="AC862" s="17">
        <f>IFERROR(VLOOKUP($H862&amp;"|"&amp;$Q862,Tariff_Master!$A$2:$L$169,3,FALSE),"")</f>
        <v/>
      </c>
      <c r="AD862" s="17">
        <f>IFERROR(VLOOKUP($H862&amp;"|"&amp;$Q862,Tariff_Master!$A$2:$L$169,4,FALSE),"")</f>
        <v/>
      </c>
      <c r="AE862" s="18">
        <f>IFERROR(VLOOKUP($H862&amp;"|"&amp;$Q862,Tariff_Master!$A$2:$L$169,6,FALSE),"")</f>
        <v/>
      </c>
      <c r="AF862" s="19">
        <f>IFERROR(VLOOKUP($H862&amp;"|"&amp;$Q862,Tariff_Master!$A$2:$L$169,7,FALSE),"")</f>
        <v/>
      </c>
      <c r="AG862" s="18">
        <f>IFERROR(VLOOKUP($H862&amp;"|"&amp;$Q862,Tariff_Master!$A$2:$L$169,8,FALSE),"")</f>
        <v/>
      </c>
      <c r="AH862" s="20">
        <f>IFERROR(VLOOKUP($H862&amp;"|"&amp;$Q862,Tariff_Master!$A$2:$L$169,9,FALSE),"")</f>
        <v/>
      </c>
      <c r="AI862" s="18">
        <f>IFERROR(VLOOKUP($H862&amp;"|"&amp;$Q862,Tariff_Master!$A$2:$L$169,10,FALSE),"")</f>
        <v/>
      </c>
      <c r="AJ862" s="21">
        <f>IF($M862="","",ROUNDUP(MAX(0,$M862),0))</f>
        <v/>
      </c>
      <c r="AK862" s="21">
        <f>IF(OR($AJ862="",$AF862=""),"",MAX(0,$AJ862-$AF862))</f>
        <v/>
      </c>
      <c r="AL862" s="22">
        <f>IF(OR($AK862="",$AG862=""),"",MAX(0,$AK862*$AG862))</f>
        <v/>
      </c>
      <c r="AM862" s="22">
        <f>IF($AE862="","",MAX(0,SUM($AE862,$AL862,$V862,$W862)))</f>
        <v/>
      </c>
      <c r="AN862" s="22">
        <f>IF($AM862="","",IF(AND($Q862="COMMITMENT",$R862&gt;=$AH862),$AI862,0))</f>
        <v/>
      </c>
      <c r="AO862" s="23">
        <f>IF($AM862="","",MAX(0,$AM862-$AN862))</f>
        <v/>
      </c>
      <c r="AP862" s="22">
        <f>IF($S862="","",IF(OR($S862="ITEM_PRICE_PLUS_DECLARED_DELIVERY",$S862="DELIVERY_CHARGE_ONLY"),$K862,IF($S862="TOTAL_AMOUNT_INCLUDING_DELIVERY",IF(OR($T862="",$J862=""),"",MAX(0,$T862-$J862-$U862)),IF($S862="ITEM_PRICE_ONLY_DELIVERY_PAID_BY_MERCHANT",0,""))))</f>
        <v/>
      </c>
      <c r="AQ862" s="23">
        <f>IF(OR($AP862="",$AO862=""),"",$AP862-$AO862)</f>
        <v/>
      </c>
      <c r="AR862" s="24">
        <f>IF($S862="EXACT_COLLECTION_AMOUNT","BREAKDOWN_REQUIRED",IF($AQ862="","",IF($AQ862&gt;0,"CREDIT_TO_MERCHANT",IF($AQ862&lt;0,"DEDUCT_FROM_MERCHANT","NO_ADJUSTMENT"))))</f>
        <v/>
      </c>
      <c r="AS862" s="23">
        <f>IF(OR($AQ862="",$AR862="BREAKDOWN_REQUIRED"),"",$AQ862)</f>
        <v/>
      </c>
      <c r="AT862" s="23">
        <f>IF(OR($AR862="",$AR862="BREAKDOWN_REQUIRED"),"",SUM($J862,$AQ862,$Y862)-$X862)</f>
        <v/>
      </c>
      <c r="AU862" s="25">
        <f>IF(AND($A862="",$B862="",$F862="",$H862="",$J862="",$K862="",$M862="",$S862=""),"",IF(OR($H862="",$Q862="",$M862="",$S862=""),"ERROR",IF(OR($J862&lt;0,$K862&lt;0,$M862&lt;0,$T862&lt;0,$U862&lt;0,$V862&lt;0,$W862&lt;0,$X862&lt;0,$Y862&lt;0),"ERROR",IF($AE862="","ERROR",IF(AND(OR($S862="ITEM_PRICE_PLUS_DECLARED_DELIVERY",$S862="TOTAL_AMOUNT_INCLUDING_DELIVERY",$S862="ITEM_PRICE_ONLY_DELIVERY_PAID_BY_MERCHANT"),$J862=""),"ERROR",IF(AND(OR($S862="ITEM_PRICE_PLUS_DECLARED_DELIVERY",$S862="DELIVERY_CHARGE_ONLY"),$K862=""),"ERROR",IF(AND(OR($S862="TOTAL_AMOUNT_INCLUDING_DELIVERY",$S862="EXACT_COLLECTION_AMOUNT"),$T862=""),"ERROR",IF(AND($S862="TOTAL_AMOUNT_INCLUDING_DELIVERY",$T862&lt;SUM($J862,$U862)),"ERROR",IF($S862="EXACT_COLLECTION_AMOUNT","REVIEW","OK")))))))))</f>
        <v/>
      </c>
      <c r="AV862" s="25">
        <f>IF($AU862="","",IF($H862="","Township required",IF($Q862="","Customer tier required",IF($M862="","Weight required",IF($S862="","Amount entry type required",IF(OR($J862&lt;0,$K862&lt;0,$M862&lt;0,$T862&lt;0,$U862&lt;0,$V862&lt;0,$W862&lt;0,$X862&lt;0,$Y862&lt;0),"Negative amounts are not allowed",IF($AE862="","Tariff not found for township and tier",IF(AND(OR($S862="ITEM_PRICE_PLUS_DECLARED_DELIVERY",$S862="TOTAL_AMOUNT_INCLUDING_DELIVERY",$S862="ITEM_PRICE_ONLY_DELIVERY_PAID_BY_MERCHANT"),$J862=""),"Item price required for this amount type",IF(AND(OR($S862="ITEM_PRICE_PLUS_DECLARED_DELIVERY",$S862="DELIVERY_CHARGE_ONLY"),$K862=""),"Declared delivery charge required",IF(AND(OR($S862="TOTAL_AMOUNT_INCLUDING_DELIVERY",$S862="EXACT_COLLECTION_AMOUNT"),$T862=""),"Stated total amount required",IF(AND($S862="TOTAL_AMOUNT_INCLUDING_DELIVERY",$T862&lt;SUM($J862,$U862)),"Stated total is below item price plus additional charge",IF($S862="EXACT_COLLECTION_AMOUNT","Authorized amount breakdown required before settlement","Ready for collection and settlement"))))))))))))</f>
        <v/>
      </c>
      <c r="AW862" s="23">
        <f>IF($AU862="","","PARCEL_FINANCIAL_V2")</f>
        <v/>
      </c>
      <c r="AX862" s="17" t="n"/>
    </row>
    <row r="863">
      <c r="A863" s="8" t="n"/>
      <c r="B863" s="8" t="n"/>
      <c r="C863" s="8" t="n"/>
      <c r="D863" s="8" t="n"/>
      <c r="E863" s="9" t="n"/>
      <c r="F863" s="9" t="n"/>
      <c r="G863" s="8" t="n"/>
      <c r="H863" s="9" t="n"/>
      <c r="I863" s="9" t="n"/>
      <c r="J863" s="10" t="n"/>
      <c r="K863" s="10" t="n"/>
      <c r="L863" s="11">
        <f>IF($S863="","",IF($S863="ITEM_PRICE_PLUS_DECLARED_DELIVERY",IF(OR($J863="",$K863=""),"",SUM($J863,$K863,$U863)),IF($S863="TOTAL_AMOUNT_INCLUDING_DELIVERY",IF($T863="","",$T863),IF($S863="DELIVERY_CHARGE_ONLY",IF($K863="","",SUM($K863,$U863)),IF($S863="EXACT_COLLECTION_AMOUNT",IF($T863="","",$T863),IF($S863="ITEM_PRICE_ONLY_DELIVERY_PAID_BY_MERCHANT",IF($J863="","",SUM($J863,$U863)),""))))))</f>
        <v/>
      </c>
      <c r="M863" s="12" t="n"/>
      <c r="N863" s="13" t="n"/>
      <c r="O863" s="13" t="n"/>
      <c r="P863" s="9" t="n"/>
      <c r="Q863" s="14" t="n"/>
      <c r="R863" s="15" t="n"/>
      <c r="S863" s="14" t="n"/>
      <c r="T863" s="16" t="n"/>
      <c r="U863" s="16" t="n"/>
      <c r="V863" s="16" t="n"/>
      <c r="W863" s="16" t="n"/>
      <c r="X863" s="16" t="n"/>
      <c r="Y863" s="16" t="n"/>
      <c r="Z863" s="14" t="n"/>
      <c r="AA863" s="14" t="n"/>
      <c r="AB863" s="14" t="n"/>
      <c r="AC863" s="17">
        <f>IFERROR(VLOOKUP($H863&amp;"|"&amp;$Q863,Tariff_Master!$A$2:$L$169,3,FALSE),"")</f>
        <v/>
      </c>
      <c r="AD863" s="17">
        <f>IFERROR(VLOOKUP($H863&amp;"|"&amp;$Q863,Tariff_Master!$A$2:$L$169,4,FALSE),"")</f>
        <v/>
      </c>
      <c r="AE863" s="18">
        <f>IFERROR(VLOOKUP($H863&amp;"|"&amp;$Q863,Tariff_Master!$A$2:$L$169,6,FALSE),"")</f>
        <v/>
      </c>
      <c r="AF863" s="19">
        <f>IFERROR(VLOOKUP($H863&amp;"|"&amp;$Q863,Tariff_Master!$A$2:$L$169,7,FALSE),"")</f>
        <v/>
      </c>
      <c r="AG863" s="18">
        <f>IFERROR(VLOOKUP($H863&amp;"|"&amp;$Q863,Tariff_Master!$A$2:$L$169,8,FALSE),"")</f>
        <v/>
      </c>
      <c r="AH863" s="20">
        <f>IFERROR(VLOOKUP($H863&amp;"|"&amp;$Q863,Tariff_Master!$A$2:$L$169,9,FALSE),"")</f>
        <v/>
      </c>
      <c r="AI863" s="18">
        <f>IFERROR(VLOOKUP($H863&amp;"|"&amp;$Q863,Tariff_Master!$A$2:$L$169,10,FALSE),"")</f>
        <v/>
      </c>
      <c r="AJ863" s="21">
        <f>IF($M863="","",ROUNDUP(MAX(0,$M863),0))</f>
        <v/>
      </c>
      <c r="AK863" s="21">
        <f>IF(OR($AJ863="",$AF863=""),"",MAX(0,$AJ863-$AF863))</f>
        <v/>
      </c>
      <c r="AL863" s="22">
        <f>IF(OR($AK863="",$AG863=""),"",MAX(0,$AK863*$AG863))</f>
        <v/>
      </c>
      <c r="AM863" s="22">
        <f>IF($AE863="","",MAX(0,SUM($AE863,$AL863,$V863,$W863)))</f>
        <v/>
      </c>
      <c r="AN863" s="22">
        <f>IF($AM863="","",IF(AND($Q863="COMMITMENT",$R863&gt;=$AH863),$AI863,0))</f>
        <v/>
      </c>
      <c r="AO863" s="23">
        <f>IF($AM863="","",MAX(0,$AM863-$AN863))</f>
        <v/>
      </c>
      <c r="AP863" s="22">
        <f>IF($S863="","",IF(OR($S863="ITEM_PRICE_PLUS_DECLARED_DELIVERY",$S863="DELIVERY_CHARGE_ONLY"),$K863,IF($S863="TOTAL_AMOUNT_INCLUDING_DELIVERY",IF(OR($T863="",$J863=""),"",MAX(0,$T863-$J863-$U863)),IF($S863="ITEM_PRICE_ONLY_DELIVERY_PAID_BY_MERCHANT",0,""))))</f>
        <v/>
      </c>
      <c r="AQ863" s="23">
        <f>IF(OR($AP863="",$AO863=""),"",$AP863-$AO863)</f>
        <v/>
      </c>
      <c r="AR863" s="24">
        <f>IF($S863="EXACT_COLLECTION_AMOUNT","BREAKDOWN_REQUIRED",IF($AQ863="","",IF($AQ863&gt;0,"CREDIT_TO_MERCHANT",IF($AQ863&lt;0,"DEDUCT_FROM_MERCHANT","NO_ADJUSTMENT"))))</f>
        <v/>
      </c>
      <c r="AS863" s="23">
        <f>IF(OR($AQ863="",$AR863="BREAKDOWN_REQUIRED"),"",$AQ863)</f>
        <v/>
      </c>
      <c r="AT863" s="23">
        <f>IF(OR($AR863="",$AR863="BREAKDOWN_REQUIRED"),"",SUM($J863,$AQ863,$Y863)-$X863)</f>
        <v/>
      </c>
      <c r="AU863" s="25">
        <f>IF(AND($A863="",$B863="",$F863="",$H863="",$J863="",$K863="",$M863="",$S863=""),"",IF(OR($H863="",$Q863="",$M863="",$S863=""),"ERROR",IF(OR($J863&lt;0,$K863&lt;0,$M863&lt;0,$T863&lt;0,$U863&lt;0,$V863&lt;0,$W863&lt;0,$X863&lt;0,$Y863&lt;0),"ERROR",IF($AE863="","ERROR",IF(AND(OR($S863="ITEM_PRICE_PLUS_DECLARED_DELIVERY",$S863="TOTAL_AMOUNT_INCLUDING_DELIVERY",$S863="ITEM_PRICE_ONLY_DELIVERY_PAID_BY_MERCHANT"),$J863=""),"ERROR",IF(AND(OR($S863="ITEM_PRICE_PLUS_DECLARED_DELIVERY",$S863="DELIVERY_CHARGE_ONLY"),$K863=""),"ERROR",IF(AND(OR($S863="TOTAL_AMOUNT_INCLUDING_DELIVERY",$S863="EXACT_COLLECTION_AMOUNT"),$T863=""),"ERROR",IF(AND($S863="TOTAL_AMOUNT_INCLUDING_DELIVERY",$T863&lt;SUM($J863,$U863)),"ERROR",IF($S863="EXACT_COLLECTION_AMOUNT","REVIEW","OK")))))))))</f>
        <v/>
      </c>
      <c r="AV863" s="25">
        <f>IF($AU863="","",IF($H863="","Township required",IF($Q863="","Customer tier required",IF($M863="","Weight required",IF($S863="","Amount entry type required",IF(OR($J863&lt;0,$K863&lt;0,$M863&lt;0,$T863&lt;0,$U863&lt;0,$V863&lt;0,$W863&lt;0,$X863&lt;0,$Y863&lt;0),"Negative amounts are not allowed",IF($AE863="","Tariff not found for township and tier",IF(AND(OR($S863="ITEM_PRICE_PLUS_DECLARED_DELIVERY",$S863="TOTAL_AMOUNT_INCLUDING_DELIVERY",$S863="ITEM_PRICE_ONLY_DELIVERY_PAID_BY_MERCHANT"),$J863=""),"Item price required for this amount type",IF(AND(OR($S863="ITEM_PRICE_PLUS_DECLARED_DELIVERY",$S863="DELIVERY_CHARGE_ONLY"),$K863=""),"Declared delivery charge required",IF(AND(OR($S863="TOTAL_AMOUNT_INCLUDING_DELIVERY",$S863="EXACT_COLLECTION_AMOUNT"),$T863=""),"Stated total amount required",IF(AND($S863="TOTAL_AMOUNT_INCLUDING_DELIVERY",$T863&lt;SUM($J863,$U863)),"Stated total is below item price plus additional charge",IF($S863="EXACT_COLLECTION_AMOUNT","Authorized amount breakdown required before settlement","Ready for collection and settlement"))))))))))))</f>
        <v/>
      </c>
      <c r="AW863" s="23">
        <f>IF($AU863="","","PARCEL_FINANCIAL_V2")</f>
        <v/>
      </c>
      <c r="AX863" s="17" t="n"/>
    </row>
    <row r="864">
      <c r="A864" s="8" t="n"/>
      <c r="B864" s="8" t="n"/>
      <c r="C864" s="8" t="n"/>
      <c r="D864" s="8" t="n"/>
      <c r="E864" s="9" t="n"/>
      <c r="F864" s="9" t="n"/>
      <c r="G864" s="8" t="n"/>
      <c r="H864" s="9" t="n"/>
      <c r="I864" s="9" t="n"/>
      <c r="J864" s="10" t="n"/>
      <c r="K864" s="10" t="n"/>
      <c r="L864" s="11">
        <f>IF($S864="","",IF($S864="ITEM_PRICE_PLUS_DECLARED_DELIVERY",IF(OR($J864="",$K864=""),"",SUM($J864,$K864,$U864)),IF($S864="TOTAL_AMOUNT_INCLUDING_DELIVERY",IF($T864="","",$T864),IF($S864="DELIVERY_CHARGE_ONLY",IF($K864="","",SUM($K864,$U864)),IF($S864="EXACT_COLLECTION_AMOUNT",IF($T864="","",$T864),IF($S864="ITEM_PRICE_ONLY_DELIVERY_PAID_BY_MERCHANT",IF($J864="","",SUM($J864,$U864)),""))))))</f>
        <v/>
      </c>
      <c r="M864" s="12" t="n"/>
      <c r="N864" s="13" t="n"/>
      <c r="O864" s="13" t="n"/>
      <c r="P864" s="9" t="n"/>
      <c r="Q864" s="14" t="n"/>
      <c r="R864" s="15" t="n"/>
      <c r="S864" s="14" t="n"/>
      <c r="T864" s="16" t="n"/>
      <c r="U864" s="16" t="n"/>
      <c r="V864" s="16" t="n"/>
      <c r="W864" s="16" t="n"/>
      <c r="X864" s="16" t="n"/>
      <c r="Y864" s="16" t="n"/>
      <c r="Z864" s="14" t="n"/>
      <c r="AA864" s="14" t="n"/>
      <c r="AB864" s="14" t="n"/>
      <c r="AC864" s="17">
        <f>IFERROR(VLOOKUP($H864&amp;"|"&amp;$Q864,Tariff_Master!$A$2:$L$169,3,FALSE),"")</f>
        <v/>
      </c>
      <c r="AD864" s="17">
        <f>IFERROR(VLOOKUP($H864&amp;"|"&amp;$Q864,Tariff_Master!$A$2:$L$169,4,FALSE),"")</f>
        <v/>
      </c>
      <c r="AE864" s="18">
        <f>IFERROR(VLOOKUP($H864&amp;"|"&amp;$Q864,Tariff_Master!$A$2:$L$169,6,FALSE),"")</f>
        <v/>
      </c>
      <c r="AF864" s="19">
        <f>IFERROR(VLOOKUP($H864&amp;"|"&amp;$Q864,Tariff_Master!$A$2:$L$169,7,FALSE),"")</f>
        <v/>
      </c>
      <c r="AG864" s="18">
        <f>IFERROR(VLOOKUP($H864&amp;"|"&amp;$Q864,Tariff_Master!$A$2:$L$169,8,FALSE),"")</f>
        <v/>
      </c>
      <c r="AH864" s="20">
        <f>IFERROR(VLOOKUP($H864&amp;"|"&amp;$Q864,Tariff_Master!$A$2:$L$169,9,FALSE),"")</f>
        <v/>
      </c>
      <c r="AI864" s="18">
        <f>IFERROR(VLOOKUP($H864&amp;"|"&amp;$Q864,Tariff_Master!$A$2:$L$169,10,FALSE),"")</f>
        <v/>
      </c>
      <c r="AJ864" s="21">
        <f>IF($M864="","",ROUNDUP(MAX(0,$M864),0))</f>
        <v/>
      </c>
      <c r="AK864" s="21">
        <f>IF(OR($AJ864="",$AF864=""),"",MAX(0,$AJ864-$AF864))</f>
        <v/>
      </c>
      <c r="AL864" s="22">
        <f>IF(OR($AK864="",$AG864=""),"",MAX(0,$AK864*$AG864))</f>
        <v/>
      </c>
      <c r="AM864" s="22">
        <f>IF($AE864="","",MAX(0,SUM($AE864,$AL864,$V864,$W864)))</f>
        <v/>
      </c>
      <c r="AN864" s="22">
        <f>IF($AM864="","",IF(AND($Q864="COMMITMENT",$R864&gt;=$AH864),$AI864,0))</f>
        <v/>
      </c>
      <c r="AO864" s="23">
        <f>IF($AM864="","",MAX(0,$AM864-$AN864))</f>
        <v/>
      </c>
      <c r="AP864" s="22">
        <f>IF($S864="","",IF(OR($S864="ITEM_PRICE_PLUS_DECLARED_DELIVERY",$S864="DELIVERY_CHARGE_ONLY"),$K864,IF($S864="TOTAL_AMOUNT_INCLUDING_DELIVERY",IF(OR($T864="",$J864=""),"",MAX(0,$T864-$J864-$U864)),IF($S864="ITEM_PRICE_ONLY_DELIVERY_PAID_BY_MERCHANT",0,""))))</f>
        <v/>
      </c>
      <c r="AQ864" s="23">
        <f>IF(OR($AP864="",$AO864=""),"",$AP864-$AO864)</f>
        <v/>
      </c>
      <c r="AR864" s="24">
        <f>IF($S864="EXACT_COLLECTION_AMOUNT","BREAKDOWN_REQUIRED",IF($AQ864="","",IF($AQ864&gt;0,"CREDIT_TO_MERCHANT",IF($AQ864&lt;0,"DEDUCT_FROM_MERCHANT","NO_ADJUSTMENT"))))</f>
        <v/>
      </c>
      <c r="AS864" s="23">
        <f>IF(OR($AQ864="",$AR864="BREAKDOWN_REQUIRED"),"",$AQ864)</f>
        <v/>
      </c>
      <c r="AT864" s="23">
        <f>IF(OR($AR864="",$AR864="BREAKDOWN_REQUIRED"),"",SUM($J864,$AQ864,$Y864)-$X864)</f>
        <v/>
      </c>
      <c r="AU864" s="25">
        <f>IF(AND($A864="",$B864="",$F864="",$H864="",$J864="",$K864="",$M864="",$S864=""),"",IF(OR($H864="",$Q864="",$M864="",$S864=""),"ERROR",IF(OR($J864&lt;0,$K864&lt;0,$M864&lt;0,$T864&lt;0,$U864&lt;0,$V864&lt;0,$W864&lt;0,$X864&lt;0,$Y864&lt;0),"ERROR",IF($AE864="","ERROR",IF(AND(OR($S864="ITEM_PRICE_PLUS_DECLARED_DELIVERY",$S864="TOTAL_AMOUNT_INCLUDING_DELIVERY",$S864="ITEM_PRICE_ONLY_DELIVERY_PAID_BY_MERCHANT"),$J864=""),"ERROR",IF(AND(OR($S864="ITEM_PRICE_PLUS_DECLARED_DELIVERY",$S864="DELIVERY_CHARGE_ONLY"),$K864=""),"ERROR",IF(AND(OR($S864="TOTAL_AMOUNT_INCLUDING_DELIVERY",$S864="EXACT_COLLECTION_AMOUNT"),$T864=""),"ERROR",IF(AND($S864="TOTAL_AMOUNT_INCLUDING_DELIVERY",$T864&lt;SUM($J864,$U864)),"ERROR",IF($S864="EXACT_COLLECTION_AMOUNT","REVIEW","OK")))))))))</f>
        <v/>
      </c>
      <c r="AV864" s="25">
        <f>IF($AU864="","",IF($H864="","Township required",IF($Q864="","Customer tier required",IF($M864="","Weight required",IF($S864="","Amount entry type required",IF(OR($J864&lt;0,$K864&lt;0,$M864&lt;0,$T864&lt;0,$U864&lt;0,$V864&lt;0,$W864&lt;0,$X864&lt;0,$Y864&lt;0),"Negative amounts are not allowed",IF($AE864="","Tariff not found for township and tier",IF(AND(OR($S864="ITEM_PRICE_PLUS_DECLARED_DELIVERY",$S864="TOTAL_AMOUNT_INCLUDING_DELIVERY",$S864="ITEM_PRICE_ONLY_DELIVERY_PAID_BY_MERCHANT"),$J864=""),"Item price required for this amount type",IF(AND(OR($S864="ITEM_PRICE_PLUS_DECLARED_DELIVERY",$S864="DELIVERY_CHARGE_ONLY"),$K864=""),"Declared delivery charge required",IF(AND(OR($S864="TOTAL_AMOUNT_INCLUDING_DELIVERY",$S864="EXACT_COLLECTION_AMOUNT"),$T864=""),"Stated total amount required",IF(AND($S864="TOTAL_AMOUNT_INCLUDING_DELIVERY",$T864&lt;SUM($J864,$U864)),"Stated total is below item price plus additional charge",IF($S864="EXACT_COLLECTION_AMOUNT","Authorized amount breakdown required before settlement","Ready for collection and settlement"))))))))))))</f>
        <v/>
      </c>
      <c r="AW864" s="23">
        <f>IF($AU864="","","PARCEL_FINANCIAL_V2")</f>
        <v/>
      </c>
      <c r="AX864" s="17" t="n"/>
    </row>
    <row r="865">
      <c r="A865" s="8" t="n"/>
      <c r="B865" s="8" t="n"/>
      <c r="C865" s="8" t="n"/>
      <c r="D865" s="8" t="n"/>
      <c r="E865" s="9" t="n"/>
      <c r="F865" s="9" t="n"/>
      <c r="G865" s="8" t="n"/>
      <c r="H865" s="9" t="n"/>
      <c r="I865" s="9" t="n"/>
      <c r="J865" s="10" t="n"/>
      <c r="K865" s="10" t="n"/>
      <c r="L865" s="11">
        <f>IF($S865="","",IF($S865="ITEM_PRICE_PLUS_DECLARED_DELIVERY",IF(OR($J865="",$K865=""),"",SUM($J865,$K865,$U865)),IF($S865="TOTAL_AMOUNT_INCLUDING_DELIVERY",IF($T865="","",$T865),IF($S865="DELIVERY_CHARGE_ONLY",IF($K865="","",SUM($K865,$U865)),IF($S865="EXACT_COLLECTION_AMOUNT",IF($T865="","",$T865),IF($S865="ITEM_PRICE_ONLY_DELIVERY_PAID_BY_MERCHANT",IF($J865="","",SUM($J865,$U865)),""))))))</f>
        <v/>
      </c>
      <c r="M865" s="12" t="n"/>
      <c r="N865" s="13" t="n"/>
      <c r="O865" s="13" t="n"/>
      <c r="P865" s="9" t="n"/>
      <c r="Q865" s="14" t="n"/>
      <c r="R865" s="15" t="n"/>
      <c r="S865" s="14" t="n"/>
      <c r="T865" s="16" t="n"/>
      <c r="U865" s="16" t="n"/>
      <c r="V865" s="16" t="n"/>
      <c r="W865" s="16" t="n"/>
      <c r="X865" s="16" t="n"/>
      <c r="Y865" s="16" t="n"/>
      <c r="Z865" s="14" t="n"/>
      <c r="AA865" s="14" t="n"/>
      <c r="AB865" s="14" t="n"/>
      <c r="AC865" s="17">
        <f>IFERROR(VLOOKUP($H865&amp;"|"&amp;$Q865,Tariff_Master!$A$2:$L$169,3,FALSE),"")</f>
        <v/>
      </c>
      <c r="AD865" s="17">
        <f>IFERROR(VLOOKUP($H865&amp;"|"&amp;$Q865,Tariff_Master!$A$2:$L$169,4,FALSE),"")</f>
        <v/>
      </c>
      <c r="AE865" s="18">
        <f>IFERROR(VLOOKUP($H865&amp;"|"&amp;$Q865,Tariff_Master!$A$2:$L$169,6,FALSE),"")</f>
        <v/>
      </c>
      <c r="AF865" s="19">
        <f>IFERROR(VLOOKUP($H865&amp;"|"&amp;$Q865,Tariff_Master!$A$2:$L$169,7,FALSE),"")</f>
        <v/>
      </c>
      <c r="AG865" s="18">
        <f>IFERROR(VLOOKUP($H865&amp;"|"&amp;$Q865,Tariff_Master!$A$2:$L$169,8,FALSE),"")</f>
        <v/>
      </c>
      <c r="AH865" s="20">
        <f>IFERROR(VLOOKUP($H865&amp;"|"&amp;$Q865,Tariff_Master!$A$2:$L$169,9,FALSE),"")</f>
        <v/>
      </c>
      <c r="AI865" s="18">
        <f>IFERROR(VLOOKUP($H865&amp;"|"&amp;$Q865,Tariff_Master!$A$2:$L$169,10,FALSE),"")</f>
        <v/>
      </c>
      <c r="AJ865" s="21">
        <f>IF($M865="","",ROUNDUP(MAX(0,$M865),0))</f>
        <v/>
      </c>
      <c r="AK865" s="21">
        <f>IF(OR($AJ865="",$AF865=""),"",MAX(0,$AJ865-$AF865))</f>
        <v/>
      </c>
      <c r="AL865" s="22">
        <f>IF(OR($AK865="",$AG865=""),"",MAX(0,$AK865*$AG865))</f>
        <v/>
      </c>
      <c r="AM865" s="22">
        <f>IF($AE865="","",MAX(0,SUM($AE865,$AL865,$V865,$W865)))</f>
        <v/>
      </c>
      <c r="AN865" s="22">
        <f>IF($AM865="","",IF(AND($Q865="COMMITMENT",$R865&gt;=$AH865),$AI865,0))</f>
        <v/>
      </c>
      <c r="AO865" s="23">
        <f>IF($AM865="","",MAX(0,$AM865-$AN865))</f>
        <v/>
      </c>
      <c r="AP865" s="22">
        <f>IF($S865="","",IF(OR($S865="ITEM_PRICE_PLUS_DECLARED_DELIVERY",$S865="DELIVERY_CHARGE_ONLY"),$K865,IF($S865="TOTAL_AMOUNT_INCLUDING_DELIVERY",IF(OR($T865="",$J865=""),"",MAX(0,$T865-$J865-$U865)),IF($S865="ITEM_PRICE_ONLY_DELIVERY_PAID_BY_MERCHANT",0,""))))</f>
        <v/>
      </c>
      <c r="AQ865" s="23">
        <f>IF(OR($AP865="",$AO865=""),"",$AP865-$AO865)</f>
        <v/>
      </c>
      <c r="AR865" s="24">
        <f>IF($S865="EXACT_COLLECTION_AMOUNT","BREAKDOWN_REQUIRED",IF($AQ865="","",IF($AQ865&gt;0,"CREDIT_TO_MERCHANT",IF($AQ865&lt;0,"DEDUCT_FROM_MERCHANT","NO_ADJUSTMENT"))))</f>
        <v/>
      </c>
      <c r="AS865" s="23">
        <f>IF(OR($AQ865="",$AR865="BREAKDOWN_REQUIRED"),"",$AQ865)</f>
        <v/>
      </c>
      <c r="AT865" s="23">
        <f>IF(OR($AR865="",$AR865="BREAKDOWN_REQUIRED"),"",SUM($J865,$AQ865,$Y865)-$X865)</f>
        <v/>
      </c>
      <c r="AU865" s="25">
        <f>IF(AND($A865="",$B865="",$F865="",$H865="",$J865="",$K865="",$M865="",$S865=""),"",IF(OR($H865="",$Q865="",$M865="",$S865=""),"ERROR",IF(OR($J865&lt;0,$K865&lt;0,$M865&lt;0,$T865&lt;0,$U865&lt;0,$V865&lt;0,$W865&lt;0,$X865&lt;0,$Y865&lt;0),"ERROR",IF($AE865="","ERROR",IF(AND(OR($S865="ITEM_PRICE_PLUS_DECLARED_DELIVERY",$S865="TOTAL_AMOUNT_INCLUDING_DELIVERY",$S865="ITEM_PRICE_ONLY_DELIVERY_PAID_BY_MERCHANT"),$J865=""),"ERROR",IF(AND(OR($S865="ITEM_PRICE_PLUS_DECLARED_DELIVERY",$S865="DELIVERY_CHARGE_ONLY"),$K865=""),"ERROR",IF(AND(OR($S865="TOTAL_AMOUNT_INCLUDING_DELIVERY",$S865="EXACT_COLLECTION_AMOUNT"),$T865=""),"ERROR",IF(AND($S865="TOTAL_AMOUNT_INCLUDING_DELIVERY",$T865&lt;SUM($J865,$U865)),"ERROR",IF($S865="EXACT_COLLECTION_AMOUNT","REVIEW","OK")))))))))</f>
        <v/>
      </c>
      <c r="AV865" s="25">
        <f>IF($AU865="","",IF($H865="","Township required",IF($Q865="","Customer tier required",IF($M865="","Weight required",IF($S865="","Amount entry type required",IF(OR($J865&lt;0,$K865&lt;0,$M865&lt;0,$T865&lt;0,$U865&lt;0,$V865&lt;0,$W865&lt;0,$X865&lt;0,$Y865&lt;0),"Negative amounts are not allowed",IF($AE865="","Tariff not found for township and tier",IF(AND(OR($S865="ITEM_PRICE_PLUS_DECLARED_DELIVERY",$S865="TOTAL_AMOUNT_INCLUDING_DELIVERY",$S865="ITEM_PRICE_ONLY_DELIVERY_PAID_BY_MERCHANT"),$J865=""),"Item price required for this amount type",IF(AND(OR($S865="ITEM_PRICE_PLUS_DECLARED_DELIVERY",$S865="DELIVERY_CHARGE_ONLY"),$K865=""),"Declared delivery charge required",IF(AND(OR($S865="TOTAL_AMOUNT_INCLUDING_DELIVERY",$S865="EXACT_COLLECTION_AMOUNT"),$T865=""),"Stated total amount required",IF(AND($S865="TOTAL_AMOUNT_INCLUDING_DELIVERY",$T865&lt;SUM($J865,$U865)),"Stated total is below item price plus additional charge",IF($S865="EXACT_COLLECTION_AMOUNT","Authorized amount breakdown required before settlement","Ready for collection and settlement"))))))))))))</f>
        <v/>
      </c>
      <c r="AW865" s="23">
        <f>IF($AU865="","","PARCEL_FINANCIAL_V2")</f>
        <v/>
      </c>
      <c r="AX865" s="17" t="n"/>
    </row>
    <row r="866">
      <c r="A866" s="8" t="n"/>
      <c r="B866" s="8" t="n"/>
      <c r="C866" s="8" t="n"/>
      <c r="D866" s="8" t="n"/>
      <c r="E866" s="9" t="n"/>
      <c r="F866" s="9" t="n"/>
      <c r="G866" s="8" t="n"/>
      <c r="H866" s="9" t="n"/>
      <c r="I866" s="9" t="n"/>
      <c r="J866" s="10" t="n"/>
      <c r="K866" s="10" t="n"/>
      <c r="L866" s="11">
        <f>IF($S866="","",IF($S866="ITEM_PRICE_PLUS_DECLARED_DELIVERY",IF(OR($J866="",$K866=""),"",SUM($J866,$K866,$U866)),IF($S866="TOTAL_AMOUNT_INCLUDING_DELIVERY",IF($T866="","",$T866),IF($S866="DELIVERY_CHARGE_ONLY",IF($K866="","",SUM($K866,$U866)),IF($S866="EXACT_COLLECTION_AMOUNT",IF($T866="","",$T866),IF($S866="ITEM_PRICE_ONLY_DELIVERY_PAID_BY_MERCHANT",IF($J866="","",SUM($J866,$U866)),""))))))</f>
        <v/>
      </c>
      <c r="M866" s="12" t="n"/>
      <c r="N866" s="13" t="n"/>
      <c r="O866" s="13" t="n"/>
      <c r="P866" s="9" t="n"/>
      <c r="Q866" s="14" t="n"/>
      <c r="R866" s="15" t="n"/>
      <c r="S866" s="14" t="n"/>
      <c r="T866" s="16" t="n"/>
      <c r="U866" s="16" t="n"/>
      <c r="V866" s="16" t="n"/>
      <c r="W866" s="16" t="n"/>
      <c r="X866" s="16" t="n"/>
      <c r="Y866" s="16" t="n"/>
      <c r="Z866" s="14" t="n"/>
      <c r="AA866" s="14" t="n"/>
      <c r="AB866" s="14" t="n"/>
      <c r="AC866" s="17">
        <f>IFERROR(VLOOKUP($H866&amp;"|"&amp;$Q866,Tariff_Master!$A$2:$L$169,3,FALSE),"")</f>
        <v/>
      </c>
      <c r="AD866" s="17">
        <f>IFERROR(VLOOKUP($H866&amp;"|"&amp;$Q866,Tariff_Master!$A$2:$L$169,4,FALSE),"")</f>
        <v/>
      </c>
      <c r="AE866" s="18">
        <f>IFERROR(VLOOKUP($H866&amp;"|"&amp;$Q866,Tariff_Master!$A$2:$L$169,6,FALSE),"")</f>
        <v/>
      </c>
      <c r="AF866" s="19">
        <f>IFERROR(VLOOKUP($H866&amp;"|"&amp;$Q866,Tariff_Master!$A$2:$L$169,7,FALSE),"")</f>
        <v/>
      </c>
      <c r="AG866" s="18">
        <f>IFERROR(VLOOKUP($H866&amp;"|"&amp;$Q866,Tariff_Master!$A$2:$L$169,8,FALSE),"")</f>
        <v/>
      </c>
      <c r="AH866" s="20">
        <f>IFERROR(VLOOKUP($H866&amp;"|"&amp;$Q866,Tariff_Master!$A$2:$L$169,9,FALSE),"")</f>
        <v/>
      </c>
      <c r="AI866" s="18">
        <f>IFERROR(VLOOKUP($H866&amp;"|"&amp;$Q866,Tariff_Master!$A$2:$L$169,10,FALSE),"")</f>
        <v/>
      </c>
      <c r="AJ866" s="21">
        <f>IF($M866="","",ROUNDUP(MAX(0,$M866),0))</f>
        <v/>
      </c>
      <c r="AK866" s="21">
        <f>IF(OR($AJ866="",$AF866=""),"",MAX(0,$AJ866-$AF866))</f>
        <v/>
      </c>
      <c r="AL866" s="22">
        <f>IF(OR($AK866="",$AG866=""),"",MAX(0,$AK866*$AG866))</f>
        <v/>
      </c>
      <c r="AM866" s="22">
        <f>IF($AE866="","",MAX(0,SUM($AE866,$AL866,$V866,$W866)))</f>
        <v/>
      </c>
      <c r="AN866" s="22">
        <f>IF($AM866="","",IF(AND($Q866="COMMITMENT",$R866&gt;=$AH866),$AI866,0))</f>
        <v/>
      </c>
      <c r="AO866" s="23">
        <f>IF($AM866="","",MAX(0,$AM866-$AN866))</f>
        <v/>
      </c>
      <c r="AP866" s="22">
        <f>IF($S866="","",IF(OR($S866="ITEM_PRICE_PLUS_DECLARED_DELIVERY",$S866="DELIVERY_CHARGE_ONLY"),$K866,IF($S866="TOTAL_AMOUNT_INCLUDING_DELIVERY",IF(OR($T866="",$J866=""),"",MAX(0,$T866-$J866-$U866)),IF($S866="ITEM_PRICE_ONLY_DELIVERY_PAID_BY_MERCHANT",0,""))))</f>
        <v/>
      </c>
      <c r="AQ866" s="23">
        <f>IF(OR($AP866="",$AO866=""),"",$AP866-$AO866)</f>
        <v/>
      </c>
      <c r="AR866" s="24">
        <f>IF($S866="EXACT_COLLECTION_AMOUNT","BREAKDOWN_REQUIRED",IF($AQ866="","",IF($AQ866&gt;0,"CREDIT_TO_MERCHANT",IF($AQ866&lt;0,"DEDUCT_FROM_MERCHANT","NO_ADJUSTMENT"))))</f>
        <v/>
      </c>
      <c r="AS866" s="23">
        <f>IF(OR($AQ866="",$AR866="BREAKDOWN_REQUIRED"),"",$AQ866)</f>
        <v/>
      </c>
      <c r="AT866" s="23">
        <f>IF(OR($AR866="",$AR866="BREAKDOWN_REQUIRED"),"",SUM($J866,$AQ866,$Y866)-$X866)</f>
        <v/>
      </c>
      <c r="AU866" s="25">
        <f>IF(AND($A866="",$B866="",$F866="",$H866="",$J866="",$K866="",$M866="",$S866=""),"",IF(OR($H866="",$Q866="",$M866="",$S866=""),"ERROR",IF(OR($J866&lt;0,$K866&lt;0,$M866&lt;0,$T866&lt;0,$U866&lt;0,$V866&lt;0,$W866&lt;0,$X866&lt;0,$Y866&lt;0),"ERROR",IF($AE866="","ERROR",IF(AND(OR($S866="ITEM_PRICE_PLUS_DECLARED_DELIVERY",$S866="TOTAL_AMOUNT_INCLUDING_DELIVERY",$S866="ITEM_PRICE_ONLY_DELIVERY_PAID_BY_MERCHANT"),$J866=""),"ERROR",IF(AND(OR($S866="ITEM_PRICE_PLUS_DECLARED_DELIVERY",$S866="DELIVERY_CHARGE_ONLY"),$K866=""),"ERROR",IF(AND(OR($S866="TOTAL_AMOUNT_INCLUDING_DELIVERY",$S866="EXACT_COLLECTION_AMOUNT"),$T866=""),"ERROR",IF(AND($S866="TOTAL_AMOUNT_INCLUDING_DELIVERY",$T866&lt;SUM($J866,$U866)),"ERROR",IF($S866="EXACT_COLLECTION_AMOUNT","REVIEW","OK")))))))))</f>
        <v/>
      </c>
      <c r="AV866" s="25">
        <f>IF($AU866="","",IF($H866="","Township required",IF($Q866="","Customer tier required",IF($M866="","Weight required",IF($S866="","Amount entry type required",IF(OR($J866&lt;0,$K866&lt;0,$M866&lt;0,$T866&lt;0,$U866&lt;0,$V866&lt;0,$W866&lt;0,$X866&lt;0,$Y866&lt;0),"Negative amounts are not allowed",IF($AE866="","Tariff not found for township and tier",IF(AND(OR($S866="ITEM_PRICE_PLUS_DECLARED_DELIVERY",$S866="TOTAL_AMOUNT_INCLUDING_DELIVERY",$S866="ITEM_PRICE_ONLY_DELIVERY_PAID_BY_MERCHANT"),$J866=""),"Item price required for this amount type",IF(AND(OR($S866="ITEM_PRICE_PLUS_DECLARED_DELIVERY",$S866="DELIVERY_CHARGE_ONLY"),$K866=""),"Declared delivery charge required",IF(AND(OR($S866="TOTAL_AMOUNT_INCLUDING_DELIVERY",$S866="EXACT_COLLECTION_AMOUNT"),$T866=""),"Stated total amount required",IF(AND($S866="TOTAL_AMOUNT_INCLUDING_DELIVERY",$T866&lt;SUM($J866,$U866)),"Stated total is below item price plus additional charge",IF($S866="EXACT_COLLECTION_AMOUNT","Authorized amount breakdown required before settlement","Ready for collection and settlement"))))))))))))</f>
        <v/>
      </c>
      <c r="AW866" s="23">
        <f>IF($AU866="","","PARCEL_FINANCIAL_V2")</f>
        <v/>
      </c>
      <c r="AX866" s="17" t="n"/>
    </row>
    <row r="867">
      <c r="A867" s="8" t="n"/>
      <c r="B867" s="8" t="n"/>
      <c r="C867" s="8" t="n"/>
      <c r="D867" s="8" t="n"/>
      <c r="E867" s="9" t="n"/>
      <c r="F867" s="9" t="n"/>
      <c r="G867" s="8" t="n"/>
      <c r="H867" s="9" t="n"/>
      <c r="I867" s="9" t="n"/>
      <c r="J867" s="10" t="n"/>
      <c r="K867" s="10" t="n"/>
      <c r="L867" s="11">
        <f>IF($S867="","",IF($S867="ITEM_PRICE_PLUS_DECLARED_DELIVERY",IF(OR($J867="",$K867=""),"",SUM($J867,$K867,$U867)),IF($S867="TOTAL_AMOUNT_INCLUDING_DELIVERY",IF($T867="","",$T867),IF($S867="DELIVERY_CHARGE_ONLY",IF($K867="","",SUM($K867,$U867)),IF($S867="EXACT_COLLECTION_AMOUNT",IF($T867="","",$T867),IF($S867="ITEM_PRICE_ONLY_DELIVERY_PAID_BY_MERCHANT",IF($J867="","",SUM($J867,$U867)),""))))))</f>
        <v/>
      </c>
      <c r="M867" s="12" t="n"/>
      <c r="N867" s="13" t="n"/>
      <c r="O867" s="13" t="n"/>
      <c r="P867" s="9" t="n"/>
      <c r="Q867" s="14" t="n"/>
      <c r="R867" s="15" t="n"/>
      <c r="S867" s="14" t="n"/>
      <c r="T867" s="16" t="n"/>
      <c r="U867" s="16" t="n"/>
      <c r="V867" s="16" t="n"/>
      <c r="W867" s="16" t="n"/>
      <c r="X867" s="16" t="n"/>
      <c r="Y867" s="16" t="n"/>
      <c r="Z867" s="14" t="n"/>
      <c r="AA867" s="14" t="n"/>
      <c r="AB867" s="14" t="n"/>
      <c r="AC867" s="17">
        <f>IFERROR(VLOOKUP($H867&amp;"|"&amp;$Q867,Tariff_Master!$A$2:$L$169,3,FALSE),"")</f>
        <v/>
      </c>
      <c r="AD867" s="17">
        <f>IFERROR(VLOOKUP($H867&amp;"|"&amp;$Q867,Tariff_Master!$A$2:$L$169,4,FALSE),"")</f>
        <v/>
      </c>
      <c r="AE867" s="18">
        <f>IFERROR(VLOOKUP($H867&amp;"|"&amp;$Q867,Tariff_Master!$A$2:$L$169,6,FALSE),"")</f>
        <v/>
      </c>
      <c r="AF867" s="19">
        <f>IFERROR(VLOOKUP($H867&amp;"|"&amp;$Q867,Tariff_Master!$A$2:$L$169,7,FALSE),"")</f>
        <v/>
      </c>
      <c r="AG867" s="18">
        <f>IFERROR(VLOOKUP($H867&amp;"|"&amp;$Q867,Tariff_Master!$A$2:$L$169,8,FALSE),"")</f>
        <v/>
      </c>
      <c r="AH867" s="20">
        <f>IFERROR(VLOOKUP($H867&amp;"|"&amp;$Q867,Tariff_Master!$A$2:$L$169,9,FALSE),"")</f>
        <v/>
      </c>
      <c r="AI867" s="18">
        <f>IFERROR(VLOOKUP($H867&amp;"|"&amp;$Q867,Tariff_Master!$A$2:$L$169,10,FALSE),"")</f>
        <v/>
      </c>
      <c r="AJ867" s="21">
        <f>IF($M867="","",ROUNDUP(MAX(0,$M867),0))</f>
        <v/>
      </c>
      <c r="AK867" s="21">
        <f>IF(OR($AJ867="",$AF867=""),"",MAX(0,$AJ867-$AF867))</f>
        <v/>
      </c>
      <c r="AL867" s="22">
        <f>IF(OR($AK867="",$AG867=""),"",MAX(0,$AK867*$AG867))</f>
        <v/>
      </c>
      <c r="AM867" s="22">
        <f>IF($AE867="","",MAX(0,SUM($AE867,$AL867,$V867,$W867)))</f>
        <v/>
      </c>
      <c r="AN867" s="22">
        <f>IF($AM867="","",IF(AND($Q867="COMMITMENT",$R867&gt;=$AH867),$AI867,0))</f>
        <v/>
      </c>
      <c r="AO867" s="23">
        <f>IF($AM867="","",MAX(0,$AM867-$AN867))</f>
        <v/>
      </c>
      <c r="AP867" s="22">
        <f>IF($S867="","",IF(OR($S867="ITEM_PRICE_PLUS_DECLARED_DELIVERY",$S867="DELIVERY_CHARGE_ONLY"),$K867,IF($S867="TOTAL_AMOUNT_INCLUDING_DELIVERY",IF(OR($T867="",$J867=""),"",MAX(0,$T867-$J867-$U867)),IF($S867="ITEM_PRICE_ONLY_DELIVERY_PAID_BY_MERCHANT",0,""))))</f>
        <v/>
      </c>
      <c r="AQ867" s="23">
        <f>IF(OR($AP867="",$AO867=""),"",$AP867-$AO867)</f>
        <v/>
      </c>
      <c r="AR867" s="24">
        <f>IF($S867="EXACT_COLLECTION_AMOUNT","BREAKDOWN_REQUIRED",IF($AQ867="","",IF($AQ867&gt;0,"CREDIT_TO_MERCHANT",IF($AQ867&lt;0,"DEDUCT_FROM_MERCHANT","NO_ADJUSTMENT"))))</f>
        <v/>
      </c>
      <c r="AS867" s="23">
        <f>IF(OR($AQ867="",$AR867="BREAKDOWN_REQUIRED"),"",$AQ867)</f>
        <v/>
      </c>
      <c r="AT867" s="23">
        <f>IF(OR($AR867="",$AR867="BREAKDOWN_REQUIRED"),"",SUM($J867,$AQ867,$Y867)-$X867)</f>
        <v/>
      </c>
      <c r="AU867" s="25">
        <f>IF(AND($A867="",$B867="",$F867="",$H867="",$J867="",$K867="",$M867="",$S867=""),"",IF(OR($H867="",$Q867="",$M867="",$S867=""),"ERROR",IF(OR($J867&lt;0,$K867&lt;0,$M867&lt;0,$T867&lt;0,$U867&lt;0,$V867&lt;0,$W867&lt;0,$X867&lt;0,$Y867&lt;0),"ERROR",IF($AE867="","ERROR",IF(AND(OR($S867="ITEM_PRICE_PLUS_DECLARED_DELIVERY",$S867="TOTAL_AMOUNT_INCLUDING_DELIVERY",$S867="ITEM_PRICE_ONLY_DELIVERY_PAID_BY_MERCHANT"),$J867=""),"ERROR",IF(AND(OR($S867="ITEM_PRICE_PLUS_DECLARED_DELIVERY",$S867="DELIVERY_CHARGE_ONLY"),$K867=""),"ERROR",IF(AND(OR($S867="TOTAL_AMOUNT_INCLUDING_DELIVERY",$S867="EXACT_COLLECTION_AMOUNT"),$T867=""),"ERROR",IF(AND($S867="TOTAL_AMOUNT_INCLUDING_DELIVERY",$T867&lt;SUM($J867,$U867)),"ERROR",IF($S867="EXACT_COLLECTION_AMOUNT","REVIEW","OK")))))))))</f>
        <v/>
      </c>
      <c r="AV867" s="25">
        <f>IF($AU867="","",IF($H867="","Township required",IF($Q867="","Customer tier required",IF($M867="","Weight required",IF($S867="","Amount entry type required",IF(OR($J867&lt;0,$K867&lt;0,$M867&lt;0,$T867&lt;0,$U867&lt;0,$V867&lt;0,$W867&lt;0,$X867&lt;0,$Y867&lt;0),"Negative amounts are not allowed",IF($AE867="","Tariff not found for township and tier",IF(AND(OR($S867="ITEM_PRICE_PLUS_DECLARED_DELIVERY",$S867="TOTAL_AMOUNT_INCLUDING_DELIVERY",$S867="ITEM_PRICE_ONLY_DELIVERY_PAID_BY_MERCHANT"),$J867=""),"Item price required for this amount type",IF(AND(OR($S867="ITEM_PRICE_PLUS_DECLARED_DELIVERY",$S867="DELIVERY_CHARGE_ONLY"),$K867=""),"Declared delivery charge required",IF(AND(OR($S867="TOTAL_AMOUNT_INCLUDING_DELIVERY",$S867="EXACT_COLLECTION_AMOUNT"),$T867=""),"Stated total amount required",IF(AND($S867="TOTAL_AMOUNT_INCLUDING_DELIVERY",$T867&lt;SUM($J867,$U867)),"Stated total is below item price plus additional charge",IF($S867="EXACT_COLLECTION_AMOUNT","Authorized amount breakdown required before settlement","Ready for collection and settlement"))))))))))))</f>
        <v/>
      </c>
      <c r="AW867" s="23">
        <f>IF($AU867="","","PARCEL_FINANCIAL_V2")</f>
        <v/>
      </c>
      <c r="AX867" s="17" t="n"/>
    </row>
    <row r="868">
      <c r="A868" s="8" t="n"/>
      <c r="B868" s="8" t="n"/>
      <c r="C868" s="8" t="n"/>
      <c r="D868" s="8" t="n"/>
      <c r="E868" s="9" t="n"/>
      <c r="F868" s="9" t="n"/>
      <c r="G868" s="8" t="n"/>
      <c r="H868" s="9" t="n"/>
      <c r="I868" s="9" t="n"/>
      <c r="J868" s="10" t="n"/>
      <c r="K868" s="10" t="n"/>
      <c r="L868" s="11">
        <f>IF($S868="","",IF($S868="ITEM_PRICE_PLUS_DECLARED_DELIVERY",IF(OR($J868="",$K868=""),"",SUM($J868,$K868,$U868)),IF($S868="TOTAL_AMOUNT_INCLUDING_DELIVERY",IF($T868="","",$T868),IF($S868="DELIVERY_CHARGE_ONLY",IF($K868="","",SUM($K868,$U868)),IF($S868="EXACT_COLLECTION_AMOUNT",IF($T868="","",$T868),IF($S868="ITEM_PRICE_ONLY_DELIVERY_PAID_BY_MERCHANT",IF($J868="","",SUM($J868,$U868)),""))))))</f>
        <v/>
      </c>
      <c r="M868" s="12" t="n"/>
      <c r="N868" s="13" t="n"/>
      <c r="O868" s="13" t="n"/>
      <c r="P868" s="9" t="n"/>
      <c r="Q868" s="14" t="n"/>
      <c r="R868" s="15" t="n"/>
      <c r="S868" s="14" t="n"/>
      <c r="T868" s="16" t="n"/>
      <c r="U868" s="16" t="n"/>
      <c r="V868" s="16" t="n"/>
      <c r="W868" s="16" t="n"/>
      <c r="X868" s="16" t="n"/>
      <c r="Y868" s="16" t="n"/>
      <c r="Z868" s="14" t="n"/>
      <c r="AA868" s="14" t="n"/>
      <c r="AB868" s="14" t="n"/>
      <c r="AC868" s="17">
        <f>IFERROR(VLOOKUP($H868&amp;"|"&amp;$Q868,Tariff_Master!$A$2:$L$169,3,FALSE),"")</f>
        <v/>
      </c>
      <c r="AD868" s="17">
        <f>IFERROR(VLOOKUP($H868&amp;"|"&amp;$Q868,Tariff_Master!$A$2:$L$169,4,FALSE),"")</f>
        <v/>
      </c>
      <c r="AE868" s="18">
        <f>IFERROR(VLOOKUP($H868&amp;"|"&amp;$Q868,Tariff_Master!$A$2:$L$169,6,FALSE),"")</f>
        <v/>
      </c>
      <c r="AF868" s="19">
        <f>IFERROR(VLOOKUP($H868&amp;"|"&amp;$Q868,Tariff_Master!$A$2:$L$169,7,FALSE),"")</f>
        <v/>
      </c>
      <c r="AG868" s="18">
        <f>IFERROR(VLOOKUP($H868&amp;"|"&amp;$Q868,Tariff_Master!$A$2:$L$169,8,FALSE),"")</f>
        <v/>
      </c>
      <c r="AH868" s="20">
        <f>IFERROR(VLOOKUP($H868&amp;"|"&amp;$Q868,Tariff_Master!$A$2:$L$169,9,FALSE),"")</f>
        <v/>
      </c>
      <c r="AI868" s="18">
        <f>IFERROR(VLOOKUP($H868&amp;"|"&amp;$Q868,Tariff_Master!$A$2:$L$169,10,FALSE),"")</f>
        <v/>
      </c>
      <c r="AJ868" s="21">
        <f>IF($M868="","",ROUNDUP(MAX(0,$M868),0))</f>
        <v/>
      </c>
      <c r="AK868" s="21">
        <f>IF(OR($AJ868="",$AF868=""),"",MAX(0,$AJ868-$AF868))</f>
        <v/>
      </c>
      <c r="AL868" s="22">
        <f>IF(OR($AK868="",$AG868=""),"",MAX(0,$AK868*$AG868))</f>
        <v/>
      </c>
      <c r="AM868" s="22">
        <f>IF($AE868="","",MAX(0,SUM($AE868,$AL868,$V868,$W868)))</f>
        <v/>
      </c>
      <c r="AN868" s="22">
        <f>IF($AM868="","",IF(AND($Q868="COMMITMENT",$R868&gt;=$AH868),$AI868,0))</f>
        <v/>
      </c>
      <c r="AO868" s="23">
        <f>IF($AM868="","",MAX(0,$AM868-$AN868))</f>
        <v/>
      </c>
      <c r="AP868" s="22">
        <f>IF($S868="","",IF(OR($S868="ITEM_PRICE_PLUS_DECLARED_DELIVERY",$S868="DELIVERY_CHARGE_ONLY"),$K868,IF($S868="TOTAL_AMOUNT_INCLUDING_DELIVERY",IF(OR($T868="",$J868=""),"",MAX(0,$T868-$J868-$U868)),IF($S868="ITEM_PRICE_ONLY_DELIVERY_PAID_BY_MERCHANT",0,""))))</f>
        <v/>
      </c>
      <c r="AQ868" s="23">
        <f>IF(OR($AP868="",$AO868=""),"",$AP868-$AO868)</f>
        <v/>
      </c>
      <c r="AR868" s="24">
        <f>IF($S868="EXACT_COLLECTION_AMOUNT","BREAKDOWN_REQUIRED",IF($AQ868="","",IF($AQ868&gt;0,"CREDIT_TO_MERCHANT",IF($AQ868&lt;0,"DEDUCT_FROM_MERCHANT","NO_ADJUSTMENT"))))</f>
        <v/>
      </c>
      <c r="AS868" s="23">
        <f>IF(OR($AQ868="",$AR868="BREAKDOWN_REQUIRED"),"",$AQ868)</f>
        <v/>
      </c>
      <c r="AT868" s="23">
        <f>IF(OR($AR868="",$AR868="BREAKDOWN_REQUIRED"),"",SUM($J868,$AQ868,$Y868)-$X868)</f>
        <v/>
      </c>
      <c r="AU868" s="25">
        <f>IF(AND($A868="",$B868="",$F868="",$H868="",$J868="",$K868="",$M868="",$S868=""),"",IF(OR($H868="",$Q868="",$M868="",$S868=""),"ERROR",IF(OR($J868&lt;0,$K868&lt;0,$M868&lt;0,$T868&lt;0,$U868&lt;0,$V868&lt;0,$W868&lt;0,$X868&lt;0,$Y868&lt;0),"ERROR",IF($AE868="","ERROR",IF(AND(OR($S868="ITEM_PRICE_PLUS_DECLARED_DELIVERY",$S868="TOTAL_AMOUNT_INCLUDING_DELIVERY",$S868="ITEM_PRICE_ONLY_DELIVERY_PAID_BY_MERCHANT"),$J868=""),"ERROR",IF(AND(OR($S868="ITEM_PRICE_PLUS_DECLARED_DELIVERY",$S868="DELIVERY_CHARGE_ONLY"),$K868=""),"ERROR",IF(AND(OR($S868="TOTAL_AMOUNT_INCLUDING_DELIVERY",$S868="EXACT_COLLECTION_AMOUNT"),$T868=""),"ERROR",IF(AND($S868="TOTAL_AMOUNT_INCLUDING_DELIVERY",$T868&lt;SUM($J868,$U868)),"ERROR",IF($S868="EXACT_COLLECTION_AMOUNT","REVIEW","OK")))))))))</f>
        <v/>
      </c>
      <c r="AV868" s="25">
        <f>IF($AU868="","",IF($H868="","Township required",IF($Q868="","Customer tier required",IF($M868="","Weight required",IF($S868="","Amount entry type required",IF(OR($J868&lt;0,$K868&lt;0,$M868&lt;0,$T868&lt;0,$U868&lt;0,$V868&lt;0,$W868&lt;0,$X868&lt;0,$Y868&lt;0),"Negative amounts are not allowed",IF($AE868="","Tariff not found for township and tier",IF(AND(OR($S868="ITEM_PRICE_PLUS_DECLARED_DELIVERY",$S868="TOTAL_AMOUNT_INCLUDING_DELIVERY",$S868="ITEM_PRICE_ONLY_DELIVERY_PAID_BY_MERCHANT"),$J868=""),"Item price required for this amount type",IF(AND(OR($S868="ITEM_PRICE_PLUS_DECLARED_DELIVERY",$S868="DELIVERY_CHARGE_ONLY"),$K868=""),"Declared delivery charge required",IF(AND(OR($S868="TOTAL_AMOUNT_INCLUDING_DELIVERY",$S868="EXACT_COLLECTION_AMOUNT"),$T868=""),"Stated total amount required",IF(AND($S868="TOTAL_AMOUNT_INCLUDING_DELIVERY",$T868&lt;SUM($J868,$U868)),"Stated total is below item price plus additional charge",IF($S868="EXACT_COLLECTION_AMOUNT","Authorized amount breakdown required before settlement","Ready for collection and settlement"))))))))))))</f>
        <v/>
      </c>
      <c r="AW868" s="23">
        <f>IF($AU868="","","PARCEL_FINANCIAL_V2")</f>
        <v/>
      </c>
      <c r="AX868" s="17" t="n"/>
    </row>
    <row r="869">
      <c r="A869" s="8" t="n"/>
      <c r="B869" s="8" t="n"/>
      <c r="C869" s="8" t="n"/>
      <c r="D869" s="8" t="n"/>
      <c r="E869" s="9" t="n"/>
      <c r="F869" s="9" t="n"/>
      <c r="G869" s="8" t="n"/>
      <c r="H869" s="9" t="n"/>
      <c r="I869" s="9" t="n"/>
      <c r="J869" s="10" t="n"/>
      <c r="K869" s="10" t="n"/>
      <c r="L869" s="11">
        <f>IF($S869="","",IF($S869="ITEM_PRICE_PLUS_DECLARED_DELIVERY",IF(OR($J869="",$K869=""),"",SUM($J869,$K869,$U869)),IF($S869="TOTAL_AMOUNT_INCLUDING_DELIVERY",IF($T869="","",$T869),IF($S869="DELIVERY_CHARGE_ONLY",IF($K869="","",SUM($K869,$U869)),IF($S869="EXACT_COLLECTION_AMOUNT",IF($T869="","",$T869),IF($S869="ITEM_PRICE_ONLY_DELIVERY_PAID_BY_MERCHANT",IF($J869="","",SUM($J869,$U869)),""))))))</f>
        <v/>
      </c>
      <c r="M869" s="12" t="n"/>
      <c r="N869" s="13" t="n"/>
      <c r="O869" s="13" t="n"/>
      <c r="P869" s="9" t="n"/>
      <c r="Q869" s="14" t="n"/>
      <c r="R869" s="15" t="n"/>
      <c r="S869" s="14" t="n"/>
      <c r="T869" s="16" t="n"/>
      <c r="U869" s="16" t="n"/>
      <c r="V869" s="16" t="n"/>
      <c r="W869" s="16" t="n"/>
      <c r="X869" s="16" t="n"/>
      <c r="Y869" s="16" t="n"/>
      <c r="Z869" s="14" t="n"/>
      <c r="AA869" s="14" t="n"/>
      <c r="AB869" s="14" t="n"/>
      <c r="AC869" s="17">
        <f>IFERROR(VLOOKUP($H869&amp;"|"&amp;$Q869,Tariff_Master!$A$2:$L$169,3,FALSE),"")</f>
        <v/>
      </c>
      <c r="AD869" s="17">
        <f>IFERROR(VLOOKUP($H869&amp;"|"&amp;$Q869,Tariff_Master!$A$2:$L$169,4,FALSE),"")</f>
        <v/>
      </c>
      <c r="AE869" s="18">
        <f>IFERROR(VLOOKUP($H869&amp;"|"&amp;$Q869,Tariff_Master!$A$2:$L$169,6,FALSE),"")</f>
        <v/>
      </c>
      <c r="AF869" s="19">
        <f>IFERROR(VLOOKUP($H869&amp;"|"&amp;$Q869,Tariff_Master!$A$2:$L$169,7,FALSE),"")</f>
        <v/>
      </c>
      <c r="AG869" s="18">
        <f>IFERROR(VLOOKUP($H869&amp;"|"&amp;$Q869,Tariff_Master!$A$2:$L$169,8,FALSE),"")</f>
        <v/>
      </c>
      <c r="AH869" s="20">
        <f>IFERROR(VLOOKUP($H869&amp;"|"&amp;$Q869,Tariff_Master!$A$2:$L$169,9,FALSE),"")</f>
        <v/>
      </c>
      <c r="AI869" s="18">
        <f>IFERROR(VLOOKUP($H869&amp;"|"&amp;$Q869,Tariff_Master!$A$2:$L$169,10,FALSE),"")</f>
        <v/>
      </c>
      <c r="AJ869" s="21">
        <f>IF($M869="","",ROUNDUP(MAX(0,$M869),0))</f>
        <v/>
      </c>
      <c r="AK869" s="21">
        <f>IF(OR($AJ869="",$AF869=""),"",MAX(0,$AJ869-$AF869))</f>
        <v/>
      </c>
      <c r="AL869" s="22">
        <f>IF(OR($AK869="",$AG869=""),"",MAX(0,$AK869*$AG869))</f>
        <v/>
      </c>
      <c r="AM869" s="22">
        <f>IF($AE869="","",MAX(0,SUM($AE869,$AL869,$V869,$W869)))</f>
        <v/>
      </c>
      <c r="AN869" s="22">
        <f>IF($AM869="","",IF(AND($Q869="COMMITMENT",$R869&gt;=$AH869),$AI869,0))</f>
        <v/>
      </c>
      <c r="AO869" s="23">
        <f>IF($AM869="","",MAX(0,$AM869-$AN869))</f>
        <v/>
      </c>
      <c r="AP869" s="22">
        <f>IF($S869="","",IF(OR($S869="ITEM_PRICE_PLUS_DECLARED_DELIVERY",$S869="DELIVERY_CHARGE_ONLY"),$K869,IF($S869="TOTAL_AMOUNT_INCLUDING_DELIVERY",IF(OR($T869="",$J869=""),"",MAX(0,$T869-$J869-$U869)),IF($S869="ITEM_PRICE_ONLY_DELIVERY_PAID_BY_MERCHANT",0,""))))</f>
        <v/>
      </c>
      <c r="AQ869" s="23">
        <f>IF(OR($AP869="",$AO869=""),"",$AP869-$AO869)</f>
        <v/>
      </c>
      <c r="AR869" s="24">
        <f>IF($S869="EXACT_COLLECTION_AMOUNT","BREAKDOWN_REQUIRED",IF($AQ869="","",IF($AQ869&gt;0,"CREDIT_TO_MERCHANT",IF($AQ869&lt;0,"DEDUCT_FROM_MERCHANT","NO_ADJUSTMENT"))))</f>
        <v/>
      </c>
      <c r="AS869" s="23">
        <f>IF(OR($AQ869="",$AR869="BREAKDOWN_REQUIRED"),"",$AQ869)</f>
        <v/>
      </c>
      <c r="AT869" s="23">
        <f>IF(OR($AR869="",$AR869="BREAKDOWN_REQUIRED"),"",SUM($J869,$AQ869,$Y869)-$X869)</f>
        <v/>
      </c>
      <c r="AU869" s="25">
        <f>IF(AND($A869="",$B869="",$F869="",$H869="",$J869="",$K869="",$M869="",$S869=""),"",IF(OR($H869="",$Q869="",$M869="",$S869=""),"ERROR",IF(OR($J869&lt;0,$K869&lt;0,$M869&lt;0,$T869&lt;0,$U869&lt;0,$V869&lt;0,$W869&lt;0,$X869&lt;0,$Y869&lt;0),"ERROR",IF($AE869="","ERROR",IF(AND(OR($S869="ITEM_PRICE_PLUS_DECLARED_DELIVERY",$S869="TOTAL_AMOUNT_INCLUDING_DELIVERY",$S869="ITEM_PRICE_ONLY_DELIVERY_PAID_BY_MERCHANT"),$J869=""),"ERROR",IF(AND(OR($S869="ITEM_PRICE_PLUS_DECLARED_DELIVERY",$S869="DELIVERY_CHARGE_ONLY"),$K869=""),"ERROR",IF(AND(OR($S869="TOTAL_AMOUNT_INCLUDING_DELIVERY",$S869="EXACT_COLLECTION_AMOUNT"),$T869=""),"ERROR",IF(AND($S869="TOTAL_AMOUNT_INCLUDING_DELIVERY",$T869&lt;SUM($J869,$U869)),"ERROR",IF($S869="EXACT_COLLECTION_AMOUNT","REVIEW","OK")))))))))</f>
        <v/>
      </c>
      <c r="AV869" s="25">
        <f>IF($AU869="","",IF($H869="","Township required",IF($Q869="","Customer tier required",IF($M869="","Weight required",IF($S869="","Amount entry type required",IF(OR($J869&lt;0,$K869&lt;0,$M869&lt;0,$T869&lt;0,$U869&lt;0,$V869&lt;0,$W869&lt;0,$X869&lt;0,$Y869&lt;0),"Negative amounts are not allowed",IF($AE869="","Tariff not found for township and tier",IF(AND(OR($S869="ITEM_PRICE_PLUS_DECLARED_DELIVERY",$S869="TOTAL_AMOUNT_INCLUDING_DELIVERY",$S869="ITEM_PRICE_ONLY_DELIVERY_PAID_BY_MERCHANT"),$J869=""),"Item price required for this amount type",IF(AND(OR($S869="ITEM_PRICE_PLUS_DECLARED_DELIVERY",$S869="DELIVERY_CHARGE_ONLY"),$K869=""),"Declared delivery charge required",IF(AND(OR($S869="TOTAL_AMOUNT_INCLUDING_DELIVERY",$S869="EXACT_COLLECTION_AMOUNT"),$T869=""),"Stated total amount required",IF(AND($S869="TOTAL_AMOUNT_INCLUDING_DELIVERY",$T869&lt;SUM($J869,$U869)),"Stated total is below item price plus additional charge",IF($S869="EXACT_COLLECTION_AMOUNT","Authorized amount breakdown required before settlement","Ready for collection and settlement"))))))))))))</f>
        <v/>
      </c>
      <c r="AW869" s="23">
        <f>IF($AU869="","","PARCEL_FINANCIAL_V2")</f>
        <v/>
      </c>
      <c r="AX869" s="17" t="n"/>
    </row>
    <row r="870">
      <c r="A870" s="8" t="n"/>
      <c r="B870" s="8" t="n"/>
      <c r="C870" s="8" t="n"/>
      <c r="D870" s="8" t="n"/>
      <c r="E870" s="9" t="n"/>
      <c r="F870" s="9" t="n"/>
      <c r="G870" s="8" t="n"/>
      <c r="H870" s="9" t="n"/>
      <c r="I870" s="9" t="n"/>
      <c r="J870" s="10" t="n"/>
      <c r="K870" s="10" t="n"/>
      <c r="L870" s="11">
        <f>IF($S870="","",IF($S870="ITEM_PRICE_PLUS_DECLARED_DELIVERY",IF(OR($J870="",$K870=""),"",SUM($J870,$K870,$U870)),IF($S870="TOTAL_AMOUNT_INCLUDING_DELIVERY",IF($T870="","",$T870),IF($S870="DELIVERY_CHARGE_ONLY",IF($K870="","",SUM($K870,$U870)),IF($S870="EXACT_COLLECTION_AMOUNT",IF($T870="","",$T870),IF($S870="ITEM_PRICE_ONLY_DELIVERY_PAID_BY_MERCHANT",IF($J870="","",SUM($J870,$U870)),""))))))</f>
        <v/>
      </c>
      <c r="M870" s="12" t="n"/>
      <c r="N870" s="13" t="n"/>
      <c r="O870" s="13" t="n"/>
      <c r="P870" s="9" t="n"/>
      <c r="Q870" s="14" t="n"/>
      <c r="R870" s="15" t="n"/>
      <c r="S870" s="14" t="n"/>
      <c r="T870" s="16" t="n"/>
      <c r="U870" s="16" t="n"/>
      <c r="V870" s="16" t="n"/>
      <c r="W870" s="16" t="n"/>
      <c r="X870" s="16" t="n"/>
      <c r="Y870" s="16" t="n"/>
      <c r="Z870" s="14" t="n"/>
      <c r="AA870" s="14" t="n"/>
      <c r="AB870" s="14" t="n"/>
      <c r="AC870" s="17">
        <f>IFERROR(VLOOKUP($H870&amp;"|"&amp;$Q870,Tariff_Master!$A$2:$L$169,3,FALSE),"")</f>
        <v/>
      </c>
      <c r="AD870" s="17">
        <f>IFERROR(VLOOKUP($H870&amp;"|"&amp;$Q870,Tariff_Master!$A$2:$L$169,4,FALSE),"")</f>
        <v/>
      </c>
      <c r="AE870" s="18">
        <f>IFERROR(VLOOKUP($H870&amp;"|"&amp;$Q870,Tariff_Master!$A$2:$L$169,6,FALSE),"")</f>
        <v/>
      </c>
      <c r="AF870" s="19">
        <f>IFERROR(VLOOKUP($H870&amp;"|"&amp;$Q870,Tariff_Master!$A$2:$L$169,7,FALSE),"")</f>
        <v/>
      </c>
      <c r="AG870" s="18">
        <f>IFERROR(VLOOKUP($H870&amp;"|"&amp;$Q870,Tariff_Master!$A$2:$L$169,8,FALSE),"")</f>
        <v/>
      </c>
      <c r="AH870" s="20">
        <f>IFERROR(VLOOKUP($H870&amp;"|"&amp;$Q870,Tariff_Master!$A$2:$L$169,9,FALSE),"")</f>
        <v/>
      </c>
      <c r="AI870" s="18">
        <f>IFERROR(VLOOKUP($H870&amp;"|"&amp;$Q870,Tariff_Master!$A$2:$L$169,10,FALSE),"")</f>
        <v/>
      </c>
      <c r="AJ870" s="21">
        <f>IF($M870="","",ROUNDUP(MAX(0,$M870),0))</f>
        <v/>
      </c>
      <c r="AK870" s="21">
        <f>IF(OR($AJ870="",$AF870=""),"",MAX(0,$AJ870-$AF870))</f>
        <v/>
      </c>
      <c r="AL870" s="22">
        <f>IF(OR($AK870="",$AG870=""),"",MAX(0,$AK870*$AG870))</f>
        <v/>
      </c>
      <c r="AM870" s="22">
        <f>IF($AE870="","",MAX(0,SUM($AE870,$AL870,$V870,$W870)))</f>
        <v/>
      </c>
      <c r="AN870" s="22">
        <f>IF($AM870="","",IF(AND($Q870="COMMITMENT",$R870&gt;=$AH870),$AI870,0))</f>
        <v/>
      </c>
      <c r="AO870" s="23">
        <f>IF($AM870="","",MAX(0,$AM870-$AN870))</f>
        <v/>
      </c>
      <c r="AP870" s="22">
        <f>IF($S870="","",IF(OR($S870="ITEM_PRICE_PLUS_DECLARED_DELIVERY",$S870="DELIVERY_CHARGE_ONLY"),$K870,IF($S870="TOTAL_AMOUNT_INCLUDING_DELIVERY",IF(OR($T870="",$J870=""),"",MAX(0,$T870-$J870-$U870)),IF($S870="ITEM_PRICE_ONLY_DELIVERY_PAID_BY_MERCHANT",0,""))))</f>
        <v/>
      </c>
      <c r="AQ870" s="23">
        <f>IF(OR($AP870="",$AO870=""),"",$AP870-$AO870)</f>
        <v/>
      </c>
      <c r="AR870" s="24">
        <f>IF($S870="EXACT_COLLECTION_AMOUNT","BREAKDOWN_REQUIRED",IF($AQ870="","",IF($AQ870&gt;0,"CREDIT_TO_MERCHANT",IF($AQ870&lt;0,"DEDUCT_FROM_MERCHANT","NO_ADJUSTMENT"))))</f>
        <v/>
      </c>
      <c r="AS870" s="23">
        <f>IF(OR($AQ870="",$AR870="BREAKDOWN_REQUIRED"),"",$AQ870)</f>
        <v/>
      </c>
      <c r="AT870" s="23">
        <f>IF(OR($AR870="",$AR870="BREAKDOWN_REQUIRED"),"",SUM($J870,$AQ870,$Y870)-$X870)</f>
        <v/>
      </c>
      <c r="AU870" s="25">
        <f>IF(AND($A870="",$B870="",$F870="",$H870="",$J870="",$K870="",$M870="",$S870=""),"",IF(OR($H870="",$Q870="",$M870="",$S870=""),"ERROR",IF(OR($J870&lt;0,$K870&lt;0,$M870&lt;0,$T870&lt;0,$U870&lt;0,$V870&lt;0,$W870&lt;0,$X870&lt;0,$Y870&lt;0),"ERROR",IF($AE870="","ERROR",IF(AND(OR($S870="ITEM_PRICE_PLUS_DECLARED_DELIVERY",$S870="TOTAL_AMOUNT_INCLUDING_DELIVERY",$S870="ITEM_PRICE_ONLY_DELIVERY_PAID_BY_MERCHANT"),$J870=""),"ERROR",IF(AND(OR($S870="ITEM_PRICE_PLUS_DECLARED_DELIVERY",$S870="DELIVERY_CHARGE_ONLY"),$K870=""),"ERROR",IF(AND(OR($S870="TOTAL_AMOUNT_INCLUDING_DELIVERY",$S870="EXACT_COLLECTION_AMOUNT"),$T870=""),"ERROR",IF(AND($S870="TOTAL_AMOUNT_INCLUDING_DELIVERY",$T870&lt;SUM($J870,$U870)),"ERROR",IF($S870="EXACT_COLLECTION_AMOUNT","REVIEW","OK")))))))))</f>
        <v/>
      </c>
      <c r="AV870" s="25">
        <f>IF($AU870="","",IF($H870="","Township required",IF($Q870="","Customer tier required",IF($M870="","Weight required",IF($S870="","Amount entry type required",IF(OR($J870&lt;0,$K870&lt;0,$M870&lt;0,$T870&lt;0,$U870&lt;0,$V870&lt;0,$W870&lt;0,$X870&lt;0,$Y870&lt;0),"Negative amounts are not allowed",IF($AE870="","Tariff not found for township and tier",IF(AND(OR($S870="ITEM_PRICE_PLUS_DECLARED_DELIVERY",$S870="TOTAL_AMOUNT_INCLUDING_DELIVERY",$S870="ITEM_PRICE_ONLY_DELIVERY_PAID_BY_MERCHANT"),$J870=""),"Item price required for this amount type",IF(AND(OR($S870="ITEM_PRICE_PLUS_DECLARED_DELIVERY",$S870="DELIVERY_CHARGE_ONLY"),$K870=""),"Declared delivery charge required",IF(AND(OR($S870="TOTAL_AMOUNT_INCLUDING_DELIVERY",$S870="EXACT_COLLECTION_AMOUNT"),$T870=""),"Stated total amount required",IF(AND($S870="TOTAL_AMOUNT_INCLUDING_DELIVERY",$T870&lt;SUM($J870,$U870)),"Stated total is below item price plus additional charge",IF($S870="EXACT_COLLECTION_AMOUNT","Authorized amount breakdown required before settlement","Ready for collection and settlement"))))))))))))</f>
        <v/>
      </c>
      <c r="AW870" s="23">
        <f>IF($AU870="","","PARCEL_FINANCIAL_V2")</f>
        <v/>
      </c>
      <c r="AX870" s="17" t="n"/>
    </row>
    <row r="871">
      <c r="A871" s="8" t="n"/>
      <c r="B871" s="8" t="n"/>
      <c r="C871" s="8" t="n"/>
      <c r="D871" s="8" t="n"/>
      <c r="E871" s="9" t="n"/>
      <c r="F871" s="9" t="n"/>
      <c r="G871" s="8" t="n"/>
      <c r="H871" s="9" t="n"/>
      <c r="I871" s="9" t="n"/>
      <c r="J871" s="10" t="n"/>
      <c r="K871" s="10" t="n"/>
      <c r="L871" s="11">
        <f>IF($S871="","",IF($S871="ITEM_PRICE_PLUS_DECLARED_DELIVERY",IF(OR($J871="",$K871=""),"",SUM($J871,$K871,$U871)),IF($S871="TOTAL_AMOUNT_INCLUDING_DELIVERY",IF($T871="","",$T871),IF($S871="DELIVERY_CHARGE_ONLY",IF($K871="","",SUM($K871,$U871)),IF($S871="EXACT_COLLECTION_AMOUNT",IF($T871="","",$T871),IF($S871="ITEM_PRICE_ONLY_DELIVERY_PAID_BY_MERCHANT",IF($J871="","",SUM($J871,$U871)),""))))))</f>
        <v/>
      </c>
      <c r="M871" s="12" t="n"/>
      <c r="N871" s="13" t="n"/>
      <c r="O871" s="13" t="n"/>
      <c r="P871" s="9" t="n"/>
      <c r="Q871" s="14" t="n"/>
      <c r="R871" s="15" t="n"/>
      <c r="S871" s="14" t="n"/>
      <c r="T871" s="16" t="n"/>
      <c r="U871" s="16" t="n"/>
      <c r="V871" s="16" t="n"/>
      <c r="W871" s="16" t="n"/>
      <c r="X871" s="16" t="n"/>
      <c r="Y871" s="16" t="n"/>
      <c r="Z871" s="14" t="n"/>
      <c r="AA871" s="14" t="n"/>
      <c r="AB871" s="14" t="n"/>
      <c r="AC871" s="17">
        <f>IFERROR(VLOOKUP($H871&amp;"|"&amp;$Q871,Tariff_Master!$A$2:$L$169,3,FALSE),"")</f>
        <v/>
      </c>
      <c r="AD871" s="17">
        <f>IFERROR(VLOOKUP($H871&amp;"|"&amp;$Q871,Tariff_Master!$A$2:$L$169,4,FALSE),"")</f>
        <v/>
      </c>
      <c r="AE871" s="18">
        <f>IFERROR(VLOOKUP($H871&amp;"|"&amp;$Q871,Tariff_Master!$A$2:$L$169,6,FALSE),"")</f>
        <v/>
      </c>
      <c r="AF871" s="19">
        <f>IFERROR(VLOOKUP($H871&amp;"|"&amp;$Q871,Tariff_Master!$A$2:$L$169,7,FALSE),"")</f>
        <v/>
      </c>
      <c r="AG871" s="18">
        <f>IFERROR(VLOOKUP($H871&amp;"|"&amp;$Q871,Tariff_Master!$A$2:$L$169,8,FALSE),"")</f>
        <v/>
      </c>
      <c r="AH871" s="20">
        <f>IFERROR(VLOOKUP($H871&amp;"|"&amp;$Q871,Tariff_Master!$A$2:$L$169,9,FALSE),"")</f>
        <v/>
      </c>
      <c r="AI871" s="18">
        <f>IFERROR(VLOOKUP($H871&amp;"|"&amp;$Q871,Tariff_Master!$A$2:$L$169,10,FALSE),"")</f>
        <v/>
      </c>
      <c r="AJ871" s="21">
        <f>IF($M871="","",ROUNDUP(MAX(0,$M871),0))</f>
        <v/>
      </c>
      <c r="AK871" s="21">
        <f>IF(OR($AJ871="",$AF871=""),"",MAX(0,$AJ871-$AF871))</f>
        <v/>
      </c>
      <c r="AL871" s="22">
        <f>IF(OR($AK871="",$AG871=""),"",MAX(0,$AK871*$AG871))</f>
        <v/>
      </c>
      <c r="AM871" s="22">
        <f>IF($AE871="","",MAX(0,SUM($AE871,$AL871,$V871,$W871)))</f>
        <v/>
      </c>
      <c r="AN871" s="22">
        <f>IF($AM871="","",IF(AND($Q871="COMMITMENT",$R871&gt;=$AH871),$AI871,0))</f>
        <v/>
      </c>
      <c r="AO871" s="23">
        <f>IF($AM871="","",MAX(0,$AM871-$AN871))</f>
        <v/>
      </c>
      <c r="AP871" s="22">
        <f>IF($S871="","",IF(OR($S871="ITEM_PRICE_PLUS_DECLARED_DELIVERY",$S871="DELIVERY_CHARGE_ONLY"),$K871,IF($S871="TOTAL_AMOUNT_INCLUDING_DELIVERY",IF(OR($T871="",$J871=""),"",MAX(0,$T871-$J871-$U871)),IF($S871="ITEM_PRICE_ONLY_DELIVERY_PAID_BY_MERCHANT",0,""))))</f>
        <v/>
      </c>
      <c r="AQ871" s="23">
        <f>IF(OR($AP871="",$AO871=""),"",$AP871-$AO871)</f>
        <v/>
      </c>
      <c r="AR871" s="24">
        <f>IF($S871="EXACT_COLLECTION_AMOUNT","BREAKDOWN_REQUIRED",IF($AQ871="","",IF($AQ871&gt;0,"CREDIT_TO_MERCHANT",IF($AQ871&lt;0,"DEDUCT_FROM_MERCHANT","NO_ADJUSTMENT"))))</f>
        <v/>
      </c>
      <c r="AS871" s="23">
        <f>IF(OR($AQ871="",$AR871="BREAKDOWN_REQUIRED"),"",$AQ871)</f>
        <v/>
      </c>
      <c r="AT871" s="23">
        <f>IF(OR($AR871="",$AR871="BREAKDOWN_REQUIRED"),"",SUM($J871,$AQ871,$Y871)-$X871)</f>
        <v/>
      </c>
      <c r="AU871" s="25">
        <f>IF(AND($A871="",$B871="",$F871="",$H871="",$J871="",$K871="",$M871="",$S871=""),"",IF(OR($H871="",$Q871="",$M871="",$S871=""),"ERROR",IF(OR($J871&lt;0,$K871&lt;0,$M871&lt;0,$T871&lt;0,$U871&lt;0,$V871&lt;0,$W871&lt;0,$X871&lt;0,$Y871&lt;0),"ERROR",IF($AE871="","ERROR",IF(AND(OR($S871="ITEM_PRICE_PLUS_DECLARED_DELIVERY",$S871="TOTAL_AMOUNT_INCLUDING_DELIVERY",$S871="ITEM_PRICE_ONLY_DELIVERY_PAID_BY_MERCHANT"),$J871=""),"ERROR",IF(AND(OR($S871="ITEM_PRICE_PLUS_DECLARED_DELIVERY",$S871="DELIVERY_CHARGE_ONLY"),$K871=""),"ERROR",IF(AND(OR($S871="TOTAL_AMOUNT_INCLUDING_DELIVERY",$S871="EXACT_COLLECTION_AMOUNT"),$T871=""),"ERROR",IF(AND($S871="TOTAL_AMOUNT_INCLUDING_DELIVERY",$T871&lt;SUM($J871,$U871)),"ERROR",IF($S871="EXACT_COLLECTION_AMOUNT","REVIEW","OK")))))))))</f>
        <v/>
      </c>
      <c r="AV871" s="25">
        <f>IF($AU871="","",IF($H871="","Township required",IF($Q871="","Customer tier required",IF($M871="","Weight required",IF($S871="","Amount entry type required",IF(OR($J871&lt;0,$K871&lt;0,$M871&lt;0,$T871&lt;0,$U871&lt;0,$V871&lt;0,$W871&lt;0,$X871&lt;0,$Y871&lt;0),"Negative amounts are not allowed",IF($AE871="","Tariff not found for township and tier",IF(AND(OR($S871="ITEM_PRICE_PLUS_DECLARED_DELIVERY",$S871="TOTAL_AMOUNT_INCLUDING_DELIVERY",$S871="ITEM_PRICE_ONLY_DELIVERY_PAID_BY_MERCHANT"),$J871=""),"Item price required for this amount type",IF(AND(OR($S871="ITEM_PRICE_PLUS_DECLARED_DELIVERY",$S871="DELIVERY_CHARGE_ONLY"),$K871=""),"Declared delivery charge required",IF(AND(OR($S871="TOTAL_AMOUNT_INCLUDING_DELIVERY",$S871="EXACT_COLLECTION_AMOUNT"),$T871=""),"Stated total amount required",IF(AND($S871="TOTAL_AMOUNT_INCLUDING_DELIVERY",$T871&lt;SUM($J871,$U871)),"Stated total is below item price plus additional charge",IF($S871="EXACT_COLLECTION_AMOUNT","Authorized amount breakdown required before settlement","Ready for collection and settlement"))))))))))))</f>
        <v/>
      </c>
      <c r="AW871" s="23">
        <f>IF($AU871="","","PARCEL_FINANCIAL_V2")</f>
        <v/>
      </c>
      <c r="AX871" s="17" t="n"/>
    </row>
    <row r="872">
      <c r="A872" s="8" t="n"/>
      <c r="B872" s="8" t="n"/>
      <c r="C872" s="8" t="n"/>
      <c r="D872" s="8" t="n"/>
      <c r="E872" s="9" t="n"/>
      <c r="F872" s="9" t="n"/>
      <c r="G872" s="8" t="n"/>
      <c r="H872" s="9" t="n"/>
      <c r="I872" s="9" t="n"/>
      <c r="J872" s="10" t="n"/>
      <c r="K872" s="10" t="n"/>
      <c r="L872" s="11">
        <f>IF($S872="","",IF($S872="ITEM_PRICE_PLUS_DECLARED_DELIVERY",IF(OR($J872="",$K872=""),"",SUM($J872,$K872,$U872)),IF($S872="TOTAL_AMOUNT_INCLUDING_DELIVERY",IF($T872="","",$T872),IF($S872="DELIVERY_CHARGE_ONLY",IF($K872="","",SUM($K872,$U872)),IF($S872="EXACT_COLLECTION_AMOUNT",IF($T872="","",$T872),IF($S872="ITEM_PRICE_ONLY_DELIVERY_PAID_BY_MERCHANT",IF($J872="","",SUM($J872,$U872)),""))))))</f>
        <v/>
      </c>
      <c r="M872" s="12" t="n"/>
      <c r="N872" s="13" t="n"/>
      <c r="O872" s="13" t="n"/>
      <c r="P872" s="9" t="n"/>
      <c r="Q872" s="14" t="n"/>
      <c r="R872" s="15" t="n"/>
      <c r="S872" s="14" t="n"/>
      <c r="T872" s="16" t="n"/>
      <c r="U872" s="16" t="n"/>
      <c r="V872" s="16" t="n"/>
      <c r="W872" s="16" t="n"/>
      <c r="X872" s="16" t="n"/>
      <c r="Y872" s="16" t="n"/>
      <c r="Z872" s="14" t="n"/>
      <c r="AA872" s="14" t="n"/>
      <c r="AB872" s="14" t="n"/>
      <c r="AC872" s="17">
        <f>IFERROR(VLOOKUP($H872&amp;"|"&amp;$Q872,Tariff_Master!$A$2:$L$169,3,FALSE),"")</f>
        <v/>
      </c>
      <c r="AD872" s="17">
        <f>IFERROR(VLOOKUP($H872&amp;"|"&amp;$Q872,Tariff_Master!$A$2:$L$169,4,FALSE),"")</f>
        <v/>
      </c>
      <c r="AE872" s="18">
        <f>IFERROR(VLOOKUP($H872&amp;"|"&amp;$Q872,Tariff_Master!$A$2:$L$169,6,FALSE),"")</f>
        <v/>
      </c>
      <c r="AF872" s="19">
        <f>IFERROR(VLOOKUP($H872&amp;"|"&amp;$Q872,Tariff_Master!$A$2:$L$169,7,FALSE),"")</f>
        <v/>
      </c>
      <c r="AG872" s="18">
        <f>IFERROR(VLOOKUP($H872&amp;"|"&amp;$Q872,Tariff_Master!$A$2:$L$169,8,FALSE),"")</f>
        <v/>
      </c>
      <c r="AH872" s="20">
        <f>IFERROR(VLOOKUP($H872&amp;"|"&amp;$Q872,Tariff_Master!$A$2:$L$169,9,FALSE),"")</f>
        <v/>
      </c>
      <c r="AI872" s="18">
        <f>IFERROR(VLOOKUP($H872&amp;"|"&amp;$Q872,Tariff_Master!$A$2:$L$169,10,FALSE),"")</f>
        <v/>
      </c>
      <c r="AJ872" s="21">
        <f>IF($M872="","",ROUNDUP(MAX(0,$M872),0))</f>
        <v/>
      </c>
      <c r="AK872" s="21">
        <f>IF(OR($AJ872="",$AF872=""),"",MAX(0,$AJ872-$AF872))</f>
        <v/>
      </c>
      <c r="AL872" s="22">
        <f>IF(OR($AK872="",$AG872=""),"",MAX(0,$AK872*$AG872))</f>
        <v/>
      </c>
      <c r="AM872" s="22">
        <f>IF($AE872="","",MAX(0,SUM($AE872,$AL872,$V872,$W872)))</f>
        <v/>
      </c>
      <c r="AN872" s="22">
        <f>IF($AM872="","",IF(AND($Q872="COMMITMENT",$R872&gt;=$AH872),$AI872,0))</f>
        <v/>
      </c>
      <c r="AO872" s="23">
        <f>IF($AM872="","",MAX(0,$AM872-$AN872))</f>
        <v/>
      </c>
      <c r="AP872" s="22">
        <f>IF($S872="","",IF(OR($S872="ITEM_PRICE_PLUS_DECLARED_DELIVERY",$S872="DELIVERY_CHARGE_ONLY"),$K872,IF($S872="TOTAL_AMOUNT_INCLUDING_DELIVERY",IF(OR($T872="",$J872=""),"",MAX(0,$T872-$J872-$U872)),IF($S872="ITEM_PRICE_ONLY_DELIVERY_PAID_BY_MERCHANT",0,""))))</f>
        <v/>
      </c>
      <c r="AQ872" s="23">
        <f>IF(OR($AP872="",$AO872=""),"",$AP872-$AO872)</f>
        <v/>
      </c>
      <c r="AR872" s="24">
        <f>IF($S872="EXACT_COLLECTION_AMOUNT","BREAKDOWN_REQUIRED",IF($AQ872="","",IF($AQ872&gt;0,"CREDIT_TO_MERCHANT",IF($AQ872&lt;0,"DEDUCT_FROM_MERCHANT","NO_ADJUSTMENT"))))</f>
        <v/>
      </c>
      <c r="AS872" s="23">
        <f>IF(OR($AQ872="",$AR872="BREAKDOWN_REQUIRED"),"",$AQ872)</f>
        <v/>
      </c>
      <c r="AT872" s="23">
        <f>IF(OR($AR872="",$AR872="BREAKDOWN_REQUIRED"),"",SUM($J872,$AQ872,$Y872)-$X872)</f>
        <v/>
      </c>
      <c r="AU872" s="25">
        <f>IF(AND($A872="",$B872="",$F872="",$H872="",$J872="",$K872="",$M872="",$S872=""),"",IF(OR($H872="",$Q872="",$M872="",$S872=""),"ERROR",IF(OR($J872&lt;0,$K872&lt;0,$M872&lt;0,$T872&lt;0,$U872&lt;0,$V872&lt;0,$W872&lt;0,$X872&lt;0,$Y872&lt;0),"ERROR",IF($AE872="","ERROR",IF(AND(OR($S872="ITEM_PRICE_PLUS_DECLARED_DELIVERY",$S872="TOTAL_AMOUNT_INCLUDING_DELIVERY",$S872="ITEM_PRICE_ONLY_DELIVERY_PAID_BY_MERCHANT"),$J872=""),"ERROR",IF(AND(OR($S872="ITEM_PRICE_PLUS_DECLARED_DELIVERY",$S872="DELIVERY_CHARGE_ONLY"),$K872=""),"ERROR",IF(AND(OR($S872="TOTAL_AMOUNT_INCLUDING_DELIVERY",$S872="EXACT_COLLECTION_AMOUNT"),$T872=""),"ERROR",IF(AND($S872="TOTAL_AMOUNT_INCLUDING_DELIVERY",$T872&lt;SUM($J872,$U872)),"ERROR",IF($S872="EXACT_COLLECTION_AMOUNT","REVIEW","OK")))))))))</f>
        <v/>
      </c>
      <c r="AV872" s="25">
        <f>IF($AU872="","",IF($H872="","Township required",IF($Q872="","Customer tier required",IF($M872="","Weight required",IF($S872="","Amount entry type required",IF(OR($J872&lt;0,$K872&lt;0,$M872&lt;0,$T872&lt;0,$U872&lt;0,$V872&lt;0,$W872&lt;0,$X872&lt;0,$Y872&lt;0),"Negative amounts are not allowed",IF($AE872="","Tariff not found for township and tier",IF(AND(OR($S872="ITEM_PRICE_PLUS_DECLARED_DELIVERY",$S872="TOTAL_AMOUNT_INCLUDING_DELIVERY",$S872="ITEM_PRICE_ONLY_DELIVERY_PAID_BY_MERCHANT"),$J872=""),"Item price required for this amount type",IF(AND(OR($S872="ITEM_PRICE_PLUS_DECLARED_DELIVERY",$S872="DELIVERY_CHARGE_ONLY"),$K872=""),"Declared delivery charge required",IF(AND(OR($S872="TOTAL_AMOUNT_INCLUDING_DELIVERY",$S872="EXACT_COLLECTION_AMOUNT"),$T872=""),"Stated total amount required",IF(AND($S872="TOTAL_AMOUNT_INCLUDING_DELIVERY",$T872&lt;SUM($J872,$U872)),"Stated total is below item price plus additional charge",IF($S872="EXACT_COLLECTION_AMOUNT","Authorized amount breakdown required before settlement","Ready for collection and settlement"))))))))))))</f>
        <v/>
      </c>
      <c r="AW872" s="23">
        <f>IF($AU872="","","PARCEL_FINANCIAL_V2")</f>
        <v/>
      </c>
      <c r="AX872" s="17" t="n"/>
    </row>
    <row r="873">
      <c r="A873" s="8" t="n"/>
      <c r="B873" s="8" t="n"/>
      <c r="C873" s="8" t="n"/>
      <c r="D873" s="8" t="n"/>
      <c r="E873" s="9" t="n"/>
      <c r="F873" s="9" t="n"/>
      <c r="G873" s="8" t="n"/>
      <c r="H873" s="9" t="n"/>
      <c r="I873" s="9" t="n"/>
      <c r="J873" s="10" t="n"/>
      <c r="K873" s="10" t="n"/>
      <c r="L873" s="11">
        <f>IF($S873="","",IF($S873="ITEM_PRICE_PLUS_DECLARED_DELIVERY",IF(OR($J873="",$K873=""),"",SUM($J873,$K873,$U873)),IF($S873="TOTAL_AMOUNT_INCLUDING_DELIVERY",IF($T873="","",$T873),IF($S873="DELIVERY_CHARGE_ONLY",IF($K873="","",SUM($K873,$U873)),IF($S873="EXACT_COLLECTION_AMOUNT",IF($T873="","",$T873),IF($S873="ITEM_PRICE_ONLY_DELIVERY_PAID_BY_MERCHANT",IF($J873="","",SUM($J873,$U873)),""))))))</f>
        <v/>
      </c>
      <c r="M873" s="12" t="n"/>
      <c r="N873" s="13" t="n"/>
      <c r="O873" s="13" t="n"/>
      <c r="P873" s="9" t="n"/>
      <c r="Q873" s="14" t="n"/>
      <c r="R873" s="15" t="n"/>
      <c r="S873" s="14" t="n"/>
      <c r="T873" s="16" t="n"/>
      <c r="U873" s="16" t="n"/>
      <c r="V873" s="16" t="n"/>
      <c r="W873" s="16" t="n"/>
      <c r="X873" s="16" t="n"/>
      <c r="Y873" s="16" t="n"/>
      <c r="Z873" s="14" t="n"/>
      <c r="AA873" s="14" t="n"/>
      <c r="AB873" s="14" t="n"/>
      <c r="AC873" s="17">
        <f>IFERROR(VLOOKUP($H873&amp;"|"&amp;$Q873,Tariff_Master!$A$2:$L$169,3,FALSE),"")</f>
        <v/>
      </c>
      <c r="AD873" s="17">
        <f>IFERROR(VLOOKUP($H873&amp;"|"&amp;$Q873,Tariff_Master!$A$2:$L$169,4,FALSE),"")</f>
        <v/>
      </c>
      <c r="AE873" s="18">
        <f>IFERROR(VLOOKUP($H873&amp;"|"&amp;$Q873,Tariff_Master!$A$2:$L$169,6,FALSE),"")</f>
        <v/>
      </c>
      <c r="AF873" s="19">
        <f>IFERROR(VLOOKUP($H873&amp;"|"&amp;$Q873,Tariff_Master!$A$2:$L$169,7,FALSE),"")</f>
        <v/>
      </c>
      <c r="AG873" s="18">
        <f>IFERROR(VLOOKUP($H873&amp;"|"&amp;$Q873,Tariff_Master!$A$2:$L$169,8,FALSE),"")</f>
        <v/>
      </c>
      <c r="AH873" s="20">
        <f>IFERROR(VLOOKUP($H873&amp;"|"&amp;$Q873,Tariff_Master!$A$2:$L$169,9,FALSE),"")</f>
        <v/>
      </c>
      <c r="AI873" s="18">
        <f>IFERROR(VLOOKUP($H873&amp;"|"&amp;$Q873,Tariff_Master!$A$2:$L$169,10,FALSE),"")</f>
        <v/>
      </c>
      <c r="AJ873" s="21">
        <f>IF($M873="","",ROUNDUP(MAX(0,$M873),0))</f>
        <v/>
      </c>
      <c r="AK873" s="21">
        <f>IF(OR($AJ873="",$AF873=""),"",MAX(0,$AJ873-$AF873))</f>
        <v/>
      </c>
      <c r="AL873" s="22">
        <f>IF(OR($AK873="",$AG873=""),"",MAX(0,$AK873*$AG873))</f>
        <v/>
      </c>
      <c r="AM873" s="22">
        <f>IF($AE873="","",MAX(0,SUM($AE873,$AL873,$V873,$W873)))</f>
        <v/>
      </c>
      <c r="AN873" s="22">
        <f>IF($AM873="","",IF(AND($Q873="COMMITMENT",$R873&gt;=$AH873),$AI873,0))</f>
        <v/>
      </c>
      <c r="AO873" s="23">
        <f>IF($AM873="","",MAX(0,$AM873-$AN873))</f>
        <v/>
      </c>
      <c r="AP873" s="22">
        <f>IF($S873="","",IF(OR($S873="ITEM_PRICE_PLUS_DECLARED_DELIVERY",$S873="DELIVERY_CHARGE_ONLY"),$K873,IF($S873="TOTAL_AMOUNT_INCLUDING_DELIVERY",IF(OR($T873="",$J873=""),"",MAX(0,$T873-$J873-$U873)),IF($S873="ITEM_PRICE_ONLY_DELIVERY_PAID_BY_MERCHANT",0,""))))</f>
        <v/>
      </c>
      <c r="AQ873" s="23">
        <f>IF(OR($AP873="",$AO873=""),"",$AP873-$AO873)</f>
        <v/>
      </c>
      <c r="AR873" s="24">
        <f>IF($S873="EXACT_COLLECTION_AMOUNT","BREAKDOWN_REQUIRED",IF($AQ873="","",IF($AQ873&gt;0,"CREDIT_TO_MERCHANT",IF($AQ873&lt;0,"DEDUCT_FROM_MERCHANT","NO_ADJUSTMENT"))))</f>
        <v/>
      </c>
      <c r="AS873" s="23">
        <f>IF(OR($AQ873="",$AR873="BREAKDOWN_REQUIRED"),"",$AQ873)</f>
        <v/>
      </c>
      <c r="AT873" s="23">
        <f>IF(OR($AR873="",$AR873="BREAKDOWN_REQUIRED"),"",SUM($J873,$AQ873,$Y873)-$X873)</f>
        <v/>
      </c>
      <c r="AU873" s="25">
        <f>IF(AND($A873="",$B873="",$F873="",$H873="",$J873="",$K873="",$M873="",$S873=""),"",IF(OR($H873="",$Q873="",$M873="",$S873=""),"ERROR",IF(OR($J873&lt;0,$K873&lt;0,$M873&lt;0,$T873&lt;0,$U873&lt;0,$V873&lt;0,$W873&lt;0,$X873&lt;0,$Y873&lt;0),"ERROR",IF($AE873="","ERROR",IF(AND(OR($S873="ITEM_PRICE_PLUS_DECLARED_DELIVERY",$S873="TOTAL_AMOUNT_INCLUDING_DELIVERY",$S873="ITEM_PRICE_ONLY_DELIVERY_PAID_BY_MERCHANT"),$J873=""),"ERROR",IF(AND(OR($S873="ITEM_PRICE_PLUS_DECLARED_DELIVERY",$S873="DELIVERY_CHARGE_ONLY"),$K873=""),"ERROR",IF(AND(OR($S873="TOTAL_AMOUNT_INCLUDING_DELIVERY",$S873="EXACT_COLLECTION_AMOUNT"),$T873=""),"ERROR",IF(AND($S873="TOTAL_AMOUNT_INCLUDING_DELIVERY",$T873&lt;SUM($J873,$U873)),"ERROR",IF($S873="EXACT_COLLECTION_AMOUNT","REVIEW","OK")))))))))</f>
        <v/>
      </c>
      <c r="AV873" s="25">
        <f>IF($AU873="","",IF($H873="","Township required",IF($Q873="","Customer tier required",IF($M873="","Weight required",IF($S873="","Amount entry type required",IF(OR($J873&lt;0,$K873&lt;0,$M873&lt;0,$T873&lt;0,$U873&lt;0,$V873&lt;0,$W873&lt;0,$X873&lt;0,$Y873&lt;0),"Negative amounts are not allowed",IF($AE873="","Tariff not found for township and tier",IF(AND(OR($S873="ITEM_PRICE_PLUS_DECLARED_DELIVERY",$S873="TOTAL_AMOUNT_INCLUDING_DELIVERY",$S873="ITEM_PRICE_ONLY_DELIVERY_PAID_BY_MERCHANT"),$J873=""),"Item price required for this amount type",IF(AND(OR($S873="ITEM_PRICE_PLUS_DECLARED_DELIVERY",$S873="DELIVERY_CHARGE_ONLY"),$K873=""),"Declared delivery charge required",IF(AND(OR($S873="TOTAL_AMOUNT_INCLUDING_DELIVERY",$S873="EXACT_COLLECTION_AMOUNT"),$T873=""),"Stated total amount required",IF(AND($S873="TOTAL_AMOUNT_INCLUDING_DELIVERY",$T873&lt;SUM($J873,$U873)),"Stated total is below item price plus additional charge",IF($S873="EXACT_COLLECTION_AMOUNT","Authorized amount breakdown required before settlement","Ready for collection and settlement"))))))))))))</f>
        <v/>
      </c>
      <c r="AW873" s="23">
        <f>IF($AU873="","","PARCEL_FINANCIAL_V2")</f>
        <v/>
      </c>
      <c r="AX873" s="17" t="n"/>
    </row>
    <row r="874">
      <c r="A874" s="8" t="n"/>
      <c r="B874" s="8" t="n"/>
      <c r="C874" s="8" t="n"/>
      <c r="D874" s="8" t="n"/>
      <c r="E874" s="9" t="n"/>
      <c r="F874" s="9" t="n"/>
      <c r="G874" s="8" t="n"/>
      <c r="H874" s="9" t="n"/>
      <c r="I874" s="9" t="n"/>
      <c r="J874" s="10" t="n"/>
      <c r="K874" s="10" t="n"/>
      <c r="L874" s="11">
        <f>IF($S874="","",IF($S874="ITEM_PRICE_PLUS_DECLARED_DELIVERY",IF(OR($J874="",$K874=""),"",SUM($J874,$K874,$U874)),IF($S874="TOTAL_AMOUNT_INCLUDING_DELIVERY",IF($T874="","",$T874),IF($S874="DELIVERY_CHARGE_ONLY",IF($K874="","",SUM($K874,$U874)),IF($S874="EXACT_COLLECTION_AMOUNT",IF($T874="","",$T874),IF($S874="ITEM_PRICE_ONLY_DELIVERY_PAID_BY_MERCHANT",IF($J874="","",SUM($J874,$U874)),""))))))</f>
        <v/>
      </c>
      <c r="M874" s="12" t="n"/>
      <c r="N874" s="13" t="n"/>
      <c r="O874" s="13" t="n"/>
      <c r="P874" s="9" t="n"/>
      <c r="Q874" s="14" t="n"/>
      <c r="R874" s="15" t="n"/>
      <c r="S874" s="14" t="n"/>
      <c r="T874" s="16" t="n"/>
      <c r="U874" s="16" t="n"/>
      <c r="V874" s="16" t="n"/>
      <c r="W874" s="16" t="n"/>
      <c r="X874" s="16" t="n"/>
      <c r="Y874" s="16" t="n"/>
      <c r="Z874" s="14" t="n"/>
      <c r="AA874" s="14" t="n"/>
      <c r="AB874" s="14" t="n"/>
      <c r="AC874" s="17">
        <f>IFERROR(VLOOKUP($H874&amp;"|"&amp;$Q874,Tariff_Master!$A$2:$L$169,3,FALSE),"")</f>
        <v/>
      </c>
      <c r="AD874" s="17">
        <f>IFERROR(VLOOKUP($H874&amp;"|"&amp;$Q874,Tariff_Master!$A$2:$L$169,4,FALSE),"")</f>
        <v/>
      </c>
      <c r="AE874" s="18">
        <f>IFERROR(VLOOKUP($H874&amp;"|"&amp;$Q874,Tariff_Master!$A$2:$L$169,6,FALSE),"")</f>
        <v/>
      </c>
      <c r="AF874" s="19">
        <f>IFERROR(VLOOKUP($H874&amp;"|"&amp;$Q874,Tariff_Master!$A$2:$L$169,7,FALSE),"")</f>
        <v/>
      </c>
      <c r="AG874" s="18">
        <f>IFERROR(VLOOKUP($H874&amp;"|"&amp;$Q874,Tariff_Master!$A$2:$L$169,8,FALSE),"")</f>
        <v/>
      </c>
      <c r="AH874" s="20">
        <f>IFERROR(VLOOKUP($H874&amp;"|"&amp;$Q874,Tariff_Master!$A$2:$L$169,9,FALSE),"")</f>
        <v/>
      </c>
      <c r="AI874" s="18">
        <f>IFERROR(VLOOKUP($H874&amp;"|"&amp;$Q874,Tariff_Master!$A$2:$L$169,10,FALSE),"")</f>
        <v/>
      </c>
      <c r="AJ874" s="21">
        <f>IF($M874="","",ROUNDUP(MAX(0,$M874),0))</f>
        <v/>
      </c>
      <c r="AK874" s="21">
        <f>IF(OR($AJ874="",$AF874=""),"",MAX(0,$AJ874-$AF874))</f>
        <v/>
      </c>
      <c r="AL874" s="22">
        <f>IF(OR($AK874="",$AG874=""),"",MAX(0,$AK874*$AG874))</f>
        <v/>
      </c>
      <c r="AM874" s="22">
        <f>IF($AE874="","",MAX(0,SUM($AE874,$AL874,$V874,$W874)))</f>
        <v/>
      </c>
      <c r="AN874" s="22">
        <f>IF($AM874="","",IF(AND($Q874="COMMITMENT",$R874&gt;=$AH874),$AI874,0))</f>
        <v/>
      </c>
      <c r="AO874" s="23">
        <f>IF($AM874="","",MAX(0,$AM874-$AN874))</f>
        <v/>
      </c>
      <c r="AP874" s="22">
        <f>IF($S874="","",IF(OR($S874="ITEM_PRICE_PLUS_DECLARED_DELIVERY",$S874="DELIVERY_CHARGE_ONLY"),$K874,IF($S874="TOTAL_AMOUNT_INCLUDING_DELIVERY",IF(OR($T874="",$J874=""),"",MAX(0,$T874-$J874-$U874)),IF($S874="ITEM_PRICE_ONLY_DELIVERY_PAID_BY_MERCHANT",0,""))))</f>
        <v/>
      </c>
      <c r="AQ874" s="23">
        <f>IF(OR($AP874="",$AO874=""),"",$AP874-$AO874)</f>
        <v/>
      </c>
      <c r="AR874" s="24">
        <f>IF($S874="EXACT_COLLECTION_AMOUNT","BREAKDOWN_REQUIRED",IF($AQ874="","",IF($AQ874&gt;0,"CREDIT_TO_MERCHANT",IF($AQ874&lt;0,"DEDUCT_FROM_MERCHANT","NO_ADJUSTMENT"))))</f>
        <v/>
      </c>
      <c r="AS874" s="23">
        <f>IF(OR($AQ874="",$AR874="BREAKDOWN_REQUIRED"),"",$AQ874)</f>
        <v/>
      </c>
      <c r="AT874" s="23">
        <f>IF(OR($AR874="",$AR874="BREAKDOWN_REQUIRED"),"",SUM($J874,$AQ874,$Y874)-$X874)</f>
        <v/>
      </c>
      <c r="AU874" s="25">
        <f>IF(AND($A874="",$B874="",$F874="",$H874="",$J874="",$K874="",$M874="",$S874=""),"",IF(OR($H874="",$Q874="",$M874="",$S874=""),"ERROR",IF(OR($J874&lt;0,$K874&lt;0,$M874&lt;0,$T874&lt;0,$U874&lt;0,$V874&lt;0,$W874&lt;0,$X874&lt;0,$Y874&lt;0),"ERROR",IF($AE874="","ERROR",IF(AND(OR($S874="ITEM_PRICE_PLUS_DECLARED_DELIVERY",$S874="TOTAL_AMOUNT_INCLUDING_DELIVERY",$S874="ITEM_PRICE_ONLY_DELIVERY_PAID_BY_MERCHANT"),$J874=""),"ERROR",IF(AND(OR($S874="ITEM_PRICE_PLUS_DECLARED_DELIVERY",$S874="DELIVERY_CHARGE_ONLY"),$K874=""),"ERROR",IF(AND(OR($S874="TOTAL_AMOUNT_INCLUDING_DELIVERY",$S874="EXACT_COLLECTION_AMOUNT"),$T874=""),"ERROR",IF(AND($S874="TOTAL_AMOUNT_INCLUDING_DELIVERY",$T874&lt;SUM($J874,$U874)),"ERROR",IF($S874="EXACT_COLLECTION_AMOUNT","REVIEW","OK")))))))))</f>
        <v/>
      </c>
      <c r="AV874" s="25">
        <f>IF($AU874="","",IF($H874="","Township required",IF($Q874="","Customer tier required",IF($M874="","Weight required",IF($S874="","Amount entry type required",IF(OR($J874&lt;0,$K874&lt;0,$M874&lt;0,$T874&lt;0,$U874&lt;0,$V874&lt;0,$W874&lt;0,$X874&lt;0,$Y874&lt;0),"Negative amounts are not allowed",IF($AE874="","Tariff not found for township and tier",IF(AND(OR($S874="ITEM_PRICE_PLUS_DECLARED_DELIVERY",$S874="TOTAL_AMOUNT_INCLUDING_DELIVERY",$S874="ITEM_PRICE_ONLY_DELIVERY_PAID_BY_MERCHANT"),$J874=""),"Item price required for this amount type",IF(AND(OR($S874="ITEM_PRICE_PLUS_DECLARED_DELIVERY",$S874="DELIVERY_CHARGE_ONLY"),$K874=""),"Declared delivery charge required",IF(AND(OR($S874="TOTAL_AMOUNT_INCLUDING_DELIVERY",$S874="EXACT_COLLECTION_AMOUNT"),$T874=""),"Stated total amount required",IF(AND($S874="TOTAL_AMOUNT_INCLUDING_DELIVERY",$T874&lt;SUM($J874,$U874)),"Stated total is below item price plus additional charge",IF($S874="EXACT_COLLECTION_AMOUNT","Authorized amount breakdown required before settlement","Ready for collection and settlement"))))))))))))</f>
        <v/>
      </c>
      <c r="AW874" s="23">
        <f>IF($AU874="","","PARCEL_FINANCIAL_V2")</f>
        <v/>
      </c>
      <c r="AX874" s="17" t="n"/>
    </row>
    <row r="875">
      <c r="A875" s="8" t="n"/>
      <c r="B875" s="8" t="n"/>
      <c r="C875" s="8" t="n"/>
      <c r="D875" s="8" t="n"/>
      <c r="E875" s="9" t="n"/>
      <c r="F875" s="9" t="n"/>
      <c r="G875" s="8" t="n"/>
      <c r="H875" s="9" t="n"/>
      <c r="I875" s="9" t="n"/>
      <c r="J875" s="10" t="n"/>
      <c r="K875" s="10" t="n"/>
      <c r="L875" s="11">
        <f>IF($S875="","",IF($S875="ITEM_PRICE_PLUS_DECLARED_DELIVERY",IF(OR($J875="",$K875=""),"",SUM($J875,$K875,$U875)),IF($S875="TOTAL_AMOUNT_INCLUDING_DELIVERY",IF($T875="","",$T875),IF($S875="DELIVERY_CHARGE_ONLY",IF($K875="","",SUM($K875,$U875)),IF($S875="EXACT_COLLECTION_AMOUNT",IF($T875="","",$T875),IF($S875="ITEM_PRICE_ONLY_DELIVERY_PAID_BY_MERCHANT",IF($J875="","",SUM($J875,$U875)),""))))))</f>
        <v/>
      </c>
      <c r="M875" s="12" t="n"/>
      <c r="N875" s="13" t="n"/>
      <c r="O875" s="13" t="n"/>
      <c r="P875" s="9" t="n"/>
      <c r="Q875" s="14" t="n"/>
      <c r="R875" s="15" t="n"/>
      <c r="S875" s="14" t="n"/>
      <c r="T875" s="16" t="n"/>
      <c r="U875" s="16" t="n"/>
      <c r="V875" s="16" t="n"/>
      <c r="W875" s="16" t="n"/>
      <c r="X875" s="16" t="n"/>
      <c r="Y875" s="16" t="n"/>
      <c r="Z875" s="14" t="n"/>
      <c r="AA875" s="14" t="n"/>
      <c r="AB875" s="14" t="n"/>
      <c r="AC875" s="17">
        <f>IFERROR(VLOOKUP($H875&amp;"|"&amp;$Q875,Tariff_Master!$A$2:$L$169,3,FALSE),"")</f>
        <v/>
      </c>
      <c r="AD875" s="17">
        <f>IFERROR(VLOOKUP($H875&amp;"|"&amp;$Q875,Tariff_Master!$A$2:$L$169,4,FALSE),"")</f>
        <v/>
      </c>
      <c r="AE875" s="18">
        <f>IFERROR(VLOOKUP($H875&amp;"|"&amp;$Q875,Tariff_Master!$A$2:$L$169,6,FALSE),"")</f>
        <v/>
      </c>
      <c r="AF875" s="19">
        <f>IFERROR(VLOOKUP($H875&amp;"|"&amp;$Q875,Tariff_Master!$A$2:$L$169,7,FALSE),"")</f>
        <v/>
      </c>
      <c r="AG875" s="18">
        <f>IFERROR(VLOOKUP($H875&amp;"|"&amp;$Q875,Tariff_Master!$A$2:$L$169,8,FALSE),"")</f>
        <v/>
      </c>
      <c r="AH875" s="20">
        <f>IFERROR(VLOOKUP($H875&amp;"|"&amp;$Q875,Tariff_Master!$A$2:$L$169,9,FALSE),"")</f>
        <v/>
      </c>
      <c r="AI875" s="18">
        <f>IFERROR(VLOOKUP($H875&amp;"|"&amp;$Q875,Tariff_Master!$A$2:$L$169,10,FALSE),"")</f>
        <v/>
      </c>
      <c r="AJ875" s="21">
        <f>IF($M875="","",ROUNDUP(MAX(0,$M875),0))</f>
        <v/>
      </c>
      <c r="AK875" s="21">
        <f>IF(OR($AJ875="",$AF875=""),"",MAX(0,$AJ875-$AF875))</f>
        <v/>
      </c>
      <c r="AL875" s="22">
        <f>IF(OR($AK875="",$AG875=""),"",MAX(0,$AK875*$AG875))</f>
        <v/>
      </c>
      <c r="AM875" s="22">
        <f>IF($AE875="","",MAX(0,SUM($AE875,$AL875,$V875,$W875)))</f>
        <v/>
      </c>
      <c r="AN875" s="22">
        <f>IF($AM875="","",IF(AND($Q875="COMMITMENT",$R875&gt;=$AH875),$AI875,0))</f>
        <v/>
      </c>
      <c r="AO875" s="23">
        <f>IF($AM875="","",MAX(0,$AM875-$AN875))</f>
        <v/>
      </c>
      <c r="AP875" s="22">
        <f>IF($S875="","",IF(OR($S875="ITEM_PRICE_PLUS_DECLARED_DELIVERY",$S875="DELIVERY_CHARGE_ONLY"),$K875,IF($S875="TOTAL_AMOUNT_INCLUDING_DELIVERY",IF(OR($T875="",$J875=""),"",MAX(0,$T875-$J875-$U875)),IF($S875="ITEM_PRICE_ONLY_DELIVERY_PAID_BY_MERCHANT",0,""))))</f>
        <v/>
      </c>
      <c r="AQ875" s="23">
        <f>IF(OR($AP875="",$AO875=""),"",$AP875-$AO875)</f>
        <v/>
      </c>
      <c r="AR875" s="24">
        <f>IF($S875="EXACT_COLLECTION_AMOUNT","BREAKDOWN_REQUIRED",IF($AQ875="","",IF($AQ875&gt;0,"CREDIT_TO_MERCHANT",IF($AQ875&lt;0,"DEDUCT_FROM_MERCHANT","NO_ADJUSTMENT"))))</f>
        <v/>
      </c>
      <c r="AS875" s="23">
        <f>IF(OR($AQ875="",$AR875="BREAKDOWN_REQUIRED"),"",$AQ875)</f>
        <v/>
      </c>
      <c r="AT875" s="23">
        <f>IF(OR($AR875="",$AR875="BREAKDOWN_REQUIRED"),"",SUM($J875,$AQ875,$Y875)-$X875)</f>
        <v/>
      </c>
      <c r="AU875" s="25">
        <f>IF(AND($A875="",$B875="",$F875="",$H875="",$J875="",$K875="",$M875="",$S875=""),"",IF(OR($H875="",$Q875="",$M875="",$S875=""),"ERROR",IF(OR($J875&lt;0,$K875&lt;0,$M875&lt;0,$T875&lt;0,$U875&lt;0,$V875&lt;0,$W875&lt;0,$X875&lt;0,$Y875&lt;0),"ERROR",IF($AE875="","ERROR",IF(AND(OR($S875="ITEM_PRICE_PLUS_DECLARED_DELIVERY",$S875="TOTAL_AMOUNT_INCLUDING_DELIVERY",$S875="ITEM_PRICE_ONLY_DELIVERY_PAID_BY_MERCHANT"),$J875=""),"ERROR",IF(AND(OR($S875="ITEM_PRICE_PLUS_DECLARED_DELIVERY",$S875="DELIVERY_CHARGE_ONLY"),$K875=""),"ERROR",IF(AND(OR($S875="TOTAL_AMOUNT_INCLUDING_DELIVERY",$S875="EXACT_COLLECTION_AMOUNT"),$T875=""),"ERROR",IF(AND($S875="TOTAL_AMOUNT_INCLUDING_DELIVERY",$T875&lt;SUM($J875,$U875)),"ERROR",IF($S875="EXACT_COLLECTION_AMOUNT","REVIEW","OK")))))))))</f>
        <v/>
      </c>
      <c r="AV875" s="25">
        <f>IF($AU875="","",IF($H875="","Township required",IF($Q875="","Customer tier required",IF($M875="","Weight required",IF($S875="","Amount entry type required",IF(OR($J875&lt;0,$K875&lt;0,$M875&lt;0,$T875&lt;0,$U875&lt;0,$V875&lt;0,$W875&lt;0,$X875&lt;0,$Y875&lt;0),"Negative amounts are not allowed",IF($AE875="","Tariff not found for township and tier",IF(AND(OR($S875="ITEM_PRICE_PLUS_DECLARED_DELIVERY",$S875="TOTAL_AMOUNT_INCLUDING_DELIVERY",$S875="ITEM_PRICE_ONLY_DELIVERY_PAID_BY_MERCHANT"),$J875=""),"Item price required for this amount type",IF(AND(OR($S875="ITEM_PRICE_PLUS_DECLARED_DELIVERY",$S875="DELIVERY_CHARGE_ONLY"),$K875=""),"Declared delivery charge required",IF(AND(OR($S875="TOTAL_AMOUNT_INCLUDING_DELIVERY",$S875="EXACT_COLLECTION_AMOUNT"),$T875=""),"Stated total amount required",IF(AND($S875="TOTAL_AMOUNT_INCLUDING_DELIVERY",$T875&lt;SUM($J875,$U875)),"Stated total is below item price plus additional charge",IF($S875="EXACT_COLLECTION_AMOUNT","Authorized amount breakdown required before settlement","Ready for collection and settlement"))))))))))))</f>
        <v/>
      </c>
      <c r="AW875" s="23">
        <f>IF($AU875="","","PARCEL_FINANCIAL_V2")</f>
        <v/>
      </c>
      <c r="AX875" s="17" t="n"/>
    </row>
    <row r="876">
      <c r="A876" s="8" t="n"/>
      <c r="B876" s="8" t="n"/>
      <c r="C876" s="8" t="n"/>
      <c r="D876" s="8" t="n"/>
      <c r="E876" s="9" t="n"/>
      <c r="F876" s="9" t="n"/>
      <c r="G876" s="8" t="n"/>
      <c r="H876" s="9" t="n"/>
      <c r="I876" s="9" t="n"/>
      <c r="J876" s="10" t="n"/>
      <c r="K876" s="10" t="n"/>
      <c r="L876" s="11">
        <f>IF($S876="","",IF($S876="ITEM_PRICE_PLUS_DECLARED_DELIVERY",IF(OR($J876="",$K876=""),"",SUM($J876,$K876,$U876)),IF($S876="TOTAL_AMOUNT_INCLUDING_DELIVERY",IF($T876="","",$T876),IF($S876="DELIVERY_CHARGE_ONLY",IF($K876="","",SUM($K876,$U876)),IF($S876="EXACT_COLLECTION_AMOUNT",IF($T876="","",$T876),IF($S876="ITEM_PRICE_ONLY_DELIVERY_PAID_BY_MERCHANT",IF($J876="","",SUM($J876,$U876)),""))))))</f>
        <v/>
      </c>
      <c r="M876" s="12" t="n"/>
      <c r="N876" s="13" t="n"/>
      <c r="O876" s="13" t="n"/>
      <c r="P876" s="9" t="n"/>
      <c r="Q876" s="14" t="n"/>
      <c r="R876" s="15" t="n"/>
      <c r="S876" s="14" t="n"/>
      <c r="T876" s="16" t="n"/>
      <c r="U876" s="16" t="n"/>
      <c r="V876" s="16" t="n"/>
      <c r="W876" s="16" t="n"/>
      <c r="X876" s="16" t="n"/>
      <c r="Y876" s="16" t="n"/>
      <c r="Z876" s="14" t="n"/>
      <c r="AA876" s="14" t="n"/>
      <c r="AB876" s="14" t="n"/>
      <c r="AC876" s="17">
        <f>IFERROR(VLOOKUP($H876&amp;"|"&amp;$Q876,Tariff_Master!$A$2:$L$169,3,FALSE),"")</f>
        <v/>
      </c>
      <c r="AD876" s="17">
        <f>IFERROR(VLOOKUP($H876&amp;"|"&amp;$Q876,Tariff_Master!$A$2:$L$169,4,FALSE),"")</f>
        <v/>
      </c>
      <c r="AE876" s="18">
        <f>IFERROR(VLOOKUP($H876&amp;"|"&amp;$Q876,Tariff_Master!$A$2:$L$169,6,FALSE),"")</f>
        <v/>
      </c>
      <c r="AF876" s="19">
        <f>IFERROR(VLOOKUP($H876&amp;"|"&amp;$Q876,Tariff_Master!$A$2:$L$169,7,FALSE),"")</f>
        <v/>
      </c>
      <c r="AG876" s="18">
        <f>IFERROR(VLOOKUP($H876&amp;"|"&amp;$Q876,Tariff_Master!$A$2:$L$169,8,FALSE),"")</f>
        <v/>
      </c>
      <c r="AH876" s="20">
        <f>IFERROR(VLOOKUP($H876&amp;"|"&amp;$Q876,Tariff_Master!$A$2:$L$169,9,FALSE),"")</f>
        <v/>
      </c>
      <c r="AI876" s="18">
        <f>IFERROR(VLOOKUP($H876&amp;"|"&amp;$Q876,Tariff_Master!$A$2:$L$169,10,FALSE),"")</f>
        <v/>
      </c>
      <c r="AJ876" s="21">
        <f>IF($M876="","",ROUNDUP(MAX(0,$M876),0))</f>
        <v/>
      </c>
      <c r="AK876" s="21">
        <f>IF(OR($AJ876="",$AF876=""),"",MAX(0,$AJ876-$AF876))</f>
        <v/>
      </c>
      <c r="AL876" s="22">
        <f>IF(OR($AK876="",$AG876=""),"",MAX(0,$AK876*$AG876))</f>
        <v/>
      </c>
      <c r="AM876" s="22">
        <f>IF($AE876="","",MAX(0,SUM($AE876,$AL876,$V876,$W876)))</f>
        <v/>
      </c>
      <c r="AN876" s="22">
        <f>IF($AM876="","",IF(AND($Q876="COMMITMENT",$R876&gt;=$AH876),$AI876,0))</f>
        <v/>
      </c>
      <c r="AO876" s="23">
        <f>IF($AM876="","",MAX(0,$AM876-$AN876))</f>
        <v/>
      </c>
      <c r="AP876" s="22">
        <f>IF($S876="","",IF(OR($S876="ITEM_PRICE_PLUS_DECLARED_DELIVERY",$S876="DELIVERY_CHARGE_ONLY"),$K876,IF($S876="TOTAL_AMOUNT_INCLUDING_DELIVERY",IF(OR($T876="",$J876=""),"",MAX(0,$T876-$J876-$U876)),IF($S876="ITEM_PRICE_ONLY_DELIVERY_PAID_BY_MERCHANT",0,""))))</f>
        <v/>
      </c>
      <c r="AQ876" s="23">
        <f>IF(OR($AP876="",$AO876=""),"",$AP876-$AO876)</f>
        <v/>
      </c>
      <c r="AR876" s="24">
        <f>IF($S876="EXACT_COLLECTION_AMOUNT","BREAKDOWN_REQUIRED",IF($AQ876="","",IF($AQ876&gt;0,"CREDIT_TO_MERCHANT",IF($AQ876&lt;0,"DEDUCT_FROM_MERCHANT","NO_ADJUSTMENT"))))</f>
        <v/>
      </c>
      <c r="AS876" s="23">
        <f>IF(OR($AQ876="",$AR876="BREAKDOWN_REQUIRED"),"",$AQ876)</f>
        <v/>
      </c>
      <c r="AT876" s="23">
        <f>IF(OR($AR876="",$AR876="BREAKDOWN_REQUIRED"),"",SUM($J876,$AQ876,$Y876)-$X876)</f>
        <v/>
      </c>
      <c r="AU876" s="25">
        <f>IF(AND($A876="",$B876="",$F876="",$H876="",$J876="",$K876="",$M876="",$S876=""),"",IF(OR($H876="",$Q876="",$M876="",$S876=""),"ERROR",IF(OR($J876&lt;0,$K876&lt;0,$M876&lt;0,$T876&lt;0,$U876&lt;0,$V876&lt;0,$W876&lt;0,$X876&lt;0,$Y876&lt;0),"ERROR",IF($AE876="","ERROR",IF(AND(OR($S876="ITEM_PRICE_PLUS_DECLARED_DELIVERY",$S876="TOTAL_AMOUNT_INCLUDING_DELIVERY",$S876="ITEM_PRICE_ONLY_DELIVERY_PAID_BY_MERCHANT"),$J876=""),"ERROR",IF(AND(OR($S876="ITEM_PRICE_PLUS_DECLARED_DELIVERY",$S876="DELIVERY_CHARGE_ONLY"),$K876=""),"ERROR",IF(AND(OR($S876="TOTAL_AMOUNT_INCLUDING_DELIVERY",$S876="EXACT_COLLECTION_AMOUNT"),$T876=""),"ERROR",IF(AND($S876="TOTAL_AMOUNT_INCLUDING_DELIVERY",$T876&lt;SUM($J876,$U876)),"ERROR",IF($S876="EXACT_COLLECTION_AMOUNT","REVIEW","OK")))))))))</f>
        <v/>
      </c>
      <c r="AV876" s="25">
        <f>IF($AU876="","",IF($H876="","Township required",IF($Q876="","Customer tier required",IF($M876="","Weight required",IF($S876="","Amount entry type required",IF(OR($J876&lt;0,$K876&lt;0,$M876&lt;0,$T876&lt;0,$U876&lt;0,$V876&lt;0,$W876&lt;0,$X876&lt;0,$Y876&lt;0),"Negative amounts are not allowed",IF($AE876="","Tariff not found for township and tier",IF(AND(OR($S876="ITEM_PRICE_PLUS_DECLARED_DELIVERY",$S876="TOTAL_AMOUNT_INCLUDING_DELIVERY",$S876="ITEM_PRICE_ONLY_DELIVERY_PAID_BY_MERCHANT"),$J876=""),"Item price required for this amount type",IF(AND(OR($S876="ITEM_PRICE_PLUS_DECLARED_DELIVERY",$S876="DELIVERY_CHARGE_ONLY"),$K876=""),"Declared delivery charge required",IF(AND(OR($S876="TOTAL_AMOUNT_INCLUDING_DELIVERY",$S876="EXACT_COLLECTION_AMOUNT"),$T876=""),"Stated total amount required",IF(AND($S876="TOTAL_AMOUNT_INCLUDING_DELIVERY",$T876&lt;SUM($J876,$U876)),"Stated total is below item price plus additional charge",IF($S876="EXACT_COLLECTION_AMOUNT","Authorized amount breakdown required before settlement","Ready for collection and settlement"))))))))))))</f>
        <v/>
      </c>
      <c r="AW876" s="23">
        <f>IF($AU876="","","PARCEL_FINANCIAL_V2")</f>
        <v/>
      </c>
      <c r="AX876" s="17" t="n"/>
    </row>
    <row r="877">
      <c r="A877" s="8" t="n"/>
      <c r="B877" s="8" t="n"/>
      <c r="C877" s="8" t="n"/>
      <c r="D877" s="8" t="n"/>
      <c r="E877" s="9" t="n"/>
      <c r="F877" s="9" t="n"/>
      <c r="G877" s="8" t="n"/>
      <c r="H877" s="9" t="n"/>
      <c r="I877" s="9" t="n"/>
      <c r="J877" s="10" t="n"/>
      <c r="K877" s="10" t="n"/>
      <c r="L877" s="11">
        <f>IF($S877="","",IF($S877="ITEM_PRICE_PLUS_DECLARED_DELIVERY",IF(OR($J877="",$K877=""),"",SUM($J877,$K877,$U877)),IF($S877="TOTAL_AMOUNT_INCLUDING_DELIVERY",IF($T877="","",$T877),IF($S877="DELIVERY_CHARGE_ONLY",IF($K877="","",SUM($K877,$U877)),IF($S877="EXACT_COLLECTION_AMOUNT",IF($T877="","",$T877),IF($S877="ITEM_PRICE_ONLY_DELIVERY_PAID_BY_MERCHANT",IF($J877="","",SUM($J877,$U877)),""))))))</f>
        <v/>
      </c>
      <c r="M877" s="12" t="n"/>
      <c r="N877" s="13" t="n"/>
      <c r="O877" s="13" t="n"/>
      <c r="P877" s="9" t="n"/>
      <c r="Q877" s="14" t="n"/>
      <c r="R877" s="15" t="n"/>
      <c r="S877" s="14" t="n"/>
      <c r="T877" s="16" t="n"/>
      <c r="U877" s="16" t="n"/>
      <c r="V877" s="16" t="n"/>
      <c r="W877" s="16" t="n"/>
      <c r="X877" s="16" t="n"/>
      <c r="Y877" s="16" t="n"/>
      <c r="Z877" s="14" t="n"/>
      <c r="AA877" s="14" t="n"/>
      <c r="AB877" s="14" t="n"/>
      <c r="AC877" s="17">
        <f>IFERROR(VLOOKUP($H877&amp;"|"&amp;$Q877,Tariff_Master!$A$2:$L$169,3,FALSE),"")</f>
        <v/>
      </c>
      <c r="AD877" s="17">
        <f>IFERROR(VLOOKUP($H877&amp;"|"&amp;$Q877,Tariff_Master!$A$2:$L$169,4,FALSE),"")</f>
        <v/>
      </c>
      <c r="AE877" s="18">
        <f>IFERROR(VLOOKUP($H877&amp;"|"&amp;$Q877,Tariff_Master!$A$2:$L$169,6,FALSE),"")</f>
        <v/>
      </c>
      <c r="AF877" s="19">
        <f>IFERROR(VLOOKUP($H877&amp;"|"&amp;$Q877,Tariff_Master!$A$2:$L$169,7,FALSE),"")</f>
        <v/>
      </c>
      <c r="AG877" s="18">
        <f>IFERROR(VLOOKUP($H877&amp;"|"&amp;$Q877,Tariff_Master!$A$2:$L$169,8,FALSE),"")</f>
        <v/>
      </c>
      <c r="AH877" s="20">
        <f>IFERROR(VLOOKUP($H877&amp;"|"&amp;$Q877,Tariff_Master!$A$2:$L$169,9,FALSE),"")</f>
        <v/>
      </c>
      <c r="AI877" s="18">
        <f>IFERROR(VLOOKUP($H877&amp;"|"&amp;$Q877,Tariff_Master!$A$2:$L$169,10,FALSE),"")</f>
        <v/>
      </c>
      <c r="AJ877" s="21">
        <f>IF($M877="","",ROUNDUP(MAX(0,$M877),0))</f>
        <v/>
      </c>
      <c r="AK877" s="21">
        <f>IF(OR($AJ877="",$AF877=""),"",MAX(0,$AJ877-$AF877))</f>
        <v/>
      </c>
      <c r="AL877" s="22">
        <f>IF(OR($AK877="",$AG877=""),"",MAX(0,$AK877*$AG877))</f>
        <v/>
      </c>
      <c r="AM877" s="22">
        <f>IF($AE877="","",MAX(0,SUM($AE877,$AL877,$V877,$W877)))</f>
        <v/>
      </c>
      <c r="AN877" s="22">
        <f>IF($AM877="","",IF(AND($Q877="COMMITMENT",$R877&gt;=$AH877),$AI877,0))</f>
        <v/>
      </c>
      <c r="AO877" s="23">
        <f>IF($AM877="","",MAX(0,$AM877-$AN877))</f>
        <v/>
      </c>
      <c r="AP877" s="22">
        <f>IF($S877="","",IF(OR($S877="ITEM_PRICE_PLUS_DECLARED_DELIVERY",$S877="DELIVERY_CHARGE_ONLY"),$K877,IF($S877="TOTAL_AMOUNT_INCLUDING_DELIVERY",IF(OR($T877="",$J877=""),"",MAX(0,$T877-$J877-$U877)),IF($S877="ITEM_PRICE_ONLY_DELIVERY_PAID_BY_MERCHANT",0,""))))</f>
        <v/>
      </c>
      <c r="AQ877" s="23">
        <f>IF(OR($AP877="",$AO877=""),"",$AP877-$AO877)</f>
        <v/>
      </c>
      <c r="AR877" s="24">
        <f>IF($S877="EXACT_COLLECTION_AMOUNT","BREAKDOWN_REQUIRED",IF($AQ877="","",IF($AQ877&gt;0,"CREDIT_TO_MERCHANT",IF($AQ877&lt;0,"DEDUCT_FROM_MERCHANT","NO_ADJUSTMENT"))))</f>
        <v/>
      </c>
      <c r="AS877" s="23">
        <f>IF(OR($AQ877="",$AR877="BREAKDOWN_REQUIRED"),"",$AQ877)</f>
        <v/>
      </c>
      <c r="AT877" s="23">
        <f>IF(OR($AR877="",$AR877="BREAKDOWN_REQUIRED"),"",SUM($J877,$AQ877,$Y877)-$X877)</f>
        <v/>
      </c>
      <c r="AU877" s="25">
        <f>IF(AND($A877="",$B877="",$F877="",$H877="",$J877="",$K877="",$M877="",$S877=""),"",IF(OR($H877="",$Q877="",$M877="",$S877=""),"ERROR",IF(OR($J877&lt;0,$K877&lt;0,$M877&lt;0,$T877&lt;0,$U877&lt;0,$V877&lt;0,$W877&lt;0,$X877&lt;0,$Y877&lt;0),"ERROR",IF($AE877="","ERROR",IF(AND(OR($S877="ITEM_PRICE_PLUS_DECLARED_DELIVERY",$S877="TOTAL_AMOUNT_INCLUDING_DELIVERY",$S877="ITEM_PRICE_ONLY_DELIVERY_PAID_BY_MERCHANT"),$J877=""),"ERROR",IF(AND(OR($S877="ITEM_PRICE_PLUS_DECLARED_DELIVERY",$S877="DELIVERY_CHARGE_ONLY"),$K877=""),"ERROR",IF(AND(OR($S877="TOTAL_AMOUNT_INCLUDING_DELIVERY",$S877="EXACT_COLLECTION_AMOUNT"),$T877=""),"ERROR",IF(AND($S877="TOTAL_AMOUNT_INCLUDING_DELIVERY",$T877&lt;SUM($J877,$U877)),"ERROR",IF($S877="EXACT_COLLECTION_AMOUNT","REVIEW","OK")))))))))</f>
        <v/>
      </c>
      <c r="AV877" s="25">
        <f>IF($AU877="","",IF($H877="","Township required",IF($Q877="","Customer tier required",IF($M877="","Weight required",IF($S877="","Amount entry type required",IF(OR($J877&lt;0,$K877&lt;0,$M877&lt;0,$T877&lt;0,$U877&lt;0,$V877&lt;0,$W877&lt;0,$X877&lt;0,$Y877&lt;0),"Negative amounts are not allowed",IF($AE877="","Tariff not found for township and tier",IF(AND(OR($S877="ITEM_PRICE_PLUS_DECLARED_DELIVERY",$S877="TOTAL_AMOUNT_INCLUDING_DELIVERY",$S877="ITEM_PRICE_ONLY_DELIVERY_PAID_BY_MERCHANT"),$J877=""),"Item price required for this amount type",IF(AND(OR($S877="ITEM_PRICE_PLUS_DECLARED_DELIVERY",$S877="DELIVERY_CHARGE_ONLY"),$K877=""),"Declared delivery charge required",IF(AND(OR($S877="TOTAL_AMOUNT_INCLUDING_DELIVERY",$S877="EXACT_COLLECTION_AMOUNT"),$T877=""),"Stated total amount required",IF(AND($S877="TOTAL_AMOUNT_INCLUDING_DELIVERY",$T877&lt;SUM($J877,$U877)),"Stated total is below item price plus additional charge",IF($S877="EXACT_COLLECTION_AMOUNT","Authorized amount breakdown required before settlement","Ready for collection and settlement"))))))))))))</f>
        <v/>
      </c>
      <c r="AW877" s="23">
        <f>IF($AU877="","","PARCEL_FINANCIAL_V2")</f>
        <v/>
      </c>
      <c r="AX877" s="17" t="n"/>
    </row>
    <row r="878">
      <c r="A878" s="8" t="n"/>
      <c r="B878" s="8" t="n"/>
      <c r="C878" s="8" t="n"/>
      <c r="D878" s="8" t="n"/>
      <c r="E878" s="9" t="n"/>
      <c r="F878" s="9" t="n"/>
      <c r="G878" s="8" t="n"/>
      <c r="H878" s="9" t="n"/>
      <c r="I878" s="9" t="n"/>
      <c r="J878" s="10" t="n"/>
      <c r="K878" s="10" t="n"/>
      <c r="L878" s="11">
        <f>IF($S878="","",IF($S878="ITEM_PRICE_PLUS_DECLARED_DELIVERY",IF(OR($J878="",$K878=""),"",SUM($J878,$K878,$U878)),IF($S878="TOTAL_AMOUNT_INCLUDING_DELIVERY",IF($T878="","",$T878),IF($S878="DELIVERY_CHARGE_ONLY",IF($K878="","",SUM($K878,$U878)),IF($S878="EXACT_COLLECTION_AMOUNT",IF($T878="","",$T878),IF($S878="ITEM_PRICE_ONLY_DELIVERY_PAID_BY_MERCHANT",IF($J878="","",SUM($J878,$U878)),""))))))</f>
        <v/>
      </c>
      <c r="M878" s="12" t="n"/>
      <c r="N878" s="13" t="n"/>
      <c r="O878" s="13" t="n"/>
      <c r="P878" s="9" t="n"/>
      <c r="Q878" s="14" t="n"/>
      <c r="R878" s="15" t="n"/>
      <c r="S878" s="14" t="n"/>
      <c r="T878" s="16" t="n"/>
      <c r="U878" s="16" t="n"/>
      <c r="V878" s="16" t="n"/>
      <c r="W878" s="16" t="n"/>
      <c r="X878" s="16" t="n"/>
      <c r="Y878" s="16" t="n"/>
      <c r="Z878" s="14" t="n"/>
      <c r="AA878" s="14" t="n"/>
      <c r="AB878" s="14" t="n"/>
      <c r="AC878" s="17">
        <f>IFERROR(VLOOKUP($H878&amp;"|"&amp;$Q878,Tariff_Master!$A$2:$L$169,3,FALSE),"")</f>
        <v/>
      </c>
      <c r="AD878" s="17">
        <f>IFERROR(VLOOKUP($H878&amp;"|"&amp;$Q878,Tariff_Master!$A$2:$L$169,4,FALSE),"")</f>
        <v/>
      </c>
      <c r="AE878" s="18">
        <f>IFERROR(VLOOKUP($H878&amp;"|"&amp;$Q878,Tariff_Master!$A$2:$L$169,6,FALSE),"")</f>
        <v/>
      </c>
      <c r="AF878" s="19">
        <f>IFERROR(VLOOKUP($H878&amp;"|"&amp;$Q878,Tariff_Master!$A$2:$L$169,7,FALSE),"")</f>
        <v/>
      </c>
      <c r="AG878" s="18">
        <f>IFERROR(VLOOKUP($H878&amp;"|"&amp;$Q878,Tariff_Master!$A$2:$L$169,8,FALSE),"")</f>
        <v/>
      </c>
      <c r="AH878" s="20">
        <f>IFERROR(VLOOKUP($H878&amp;"|"&amp;$Q878,Tariff_Master!$A$2:$L$169,9,FALSE),"")</f>
        <v/>
      </c>
      <c r="AI878" s="18">
        <f>IFERROR(VLOOKUP($H878&amp;"|"&amp;$Q878,Tariff_Master!$A$2:$L$169,10,FALSE),"")</f>
        <v/>
      </c>
      <c r="AJ878" s="21">
        <f>IF($M878="","",ROUNDUP(MAX(0,$M878),0))</f>
        <v/>
      </c>
      <c r="AK878" s="21">
        <f>IF(OR($AJ878="",$AF878=""),"",MAX(0,$AJ878-$AF878))</f>
        <v/>
      </c>
      <c r="AL878" s="22">
        <f>IF(OR($AK878="",$AG878=""),"",MAX(0,$AK878*$AG878))</f>
        <v/>
      </c>
      <c r="AM878" s="22">
        <f>IF($AE878="","",MAX(0,SUM($AE878,$AL878,$V878,$W878)))</f>
        <v/>
      </c>
      <c r="AN878" s="22">
        <f>IF($AM878="","",IF(AND($Q878="COMMITMENT",$R878&gt;=$AH878),$AI878,0))</f>
        <v/>
      </c>
      <c r="AO878" s="23">
        <f>IF($AM878="","",MAX(0,$AM878-$AN878))</f>
        <v/>
      </c>
      <c r="AP878" s="22">
        <f>IF($S878="","",IF(OR($S878="ITEM_PRICE_PLUS_DECLARED_DELIVERY",$S878="DELIVERY_CHARGE_ONLY"),$K878,IF($S878="TOTAL_AMOUNT_INCLUDING_DELIVERY",IF(OR($T878="",$J878=""),"",MAX(0,$T878-$J878-$U878)),IF($S878="ITEM_PRICE_ONLY_DELIVERY_PAID_BY_MERCHANT",0,""))))</f>
        <v/>
      </c>
      <c r="AQ878" s="23">
        <f>IF(OR($AP878="",$AO878=""),"",$AP878-$AO878)</f>
        <v/>
      </c>
      <c r="AR878" s="24">
        <f>IF($S878="EXACT_COLLECTION_AMOUNT","BREAKDOWN_REQUIRED",IF($AQ878="","",IF($AQ878&gt;0,"CREDIT_TO_MERCHANT",IF($AQ878&lt;0,"DEDUCT_FROM_MERCHANT","NO_ADJUSTMENT"))))</f>
        <v/>
      </c>
      <c r="AS878" s="23">
        <f>IF(OR($AQ878="",$AR878="BREAKDOWN_REQUIRED"),"",$AQ878)</f>
        <v/>
      </c>
      <c r="AT878" s="23">
        <f>IF(OR($AR878="",$AR878="BREAKDOWN_REQUIRED"),"",SUM($J878,$AQ878,$Y878)-$X878)</f>
        <v/>
      </c>
      <c r="AU878" s="25">
        <f>IF(AND($A878="",$B878="",$F878="",$H878="",$J878="",$K878="",$M878="",$S878=""),"",IF(OR($H878="",$Q878="",$M878="",$S878=""),"ERROR",IF(OR($J878&lt;0,$K878&lt;0,$M878&lt;0,$T878&lt;0,$U878&lt;0,$V878&lt;0,$W878&lt;0,$X878&lt;0,$Y878&lt;0),"ERROR",IF($AE878="","ERROR",IF(AND(OR($S878="ITEM_PRICE_PLUS_DECLARED_DELIVERY",$S878="TOTAL_AMOUNT_INCLUDING_DELIVERY",$S878="ITEM_PRICE_ONLY_DELIVERY_PAID_BY_MERCHANT"),$J878=""),"ERROR",IF(AND(OR($S878="ITEM_PRICE_PLUS_DECLARED_DELIVERY",$S878="DELIVERY_CHARGE_ONLY"),$K878=""),"ERROR",IF(AND(OR($S878="TOTAL_AMOUNT_INCLUDING_DELIVERY",$S878="EXACT_COLLECTION_AMOUNT"),$T878=""),"ERROR",IF(AND($S878="TOTAL_AMOUNT_INCLUDING_DELIVERY",$T878&lt;SUM($J878,$U878)),"ERROR",IF($S878="EXACT_COLLECTION_AMOUNT","REVIEW","OK")))))))))</f>
        <v/>
      </c>
      <c r="AV878" s="25">
        <f>IF($AU878="","",IF($H878="","Township required",IF($Q878="","Customer tier required",IF($M878="","Weight required",IF($S878="","Amount entry type required",IF(OR($J878&lt;0,$K878&lt;0,$M878&lt;0,$T878&lt;0,$U878&lt;0,$V878&lt;0,$W878&lt;0,$X878&lt;0,$Y878&lt;0),"Negative amounts are not allowed",IF($AE878="","Tariff not found for township and tier",IF(AND(OR($S878="ITEM_PRICE_PLUS_DECLARED_DELIVERY",$S878="TOTAL_AMOUNT_INCLUDING_DELIVERY",$S878="ITEM_PRICE_ONLY_DELIVERY_PAID_BY_MERCHANT"),$J878=""),"Item price required for this amount type",IF(AND(OR($S878="ITEM_PRICE_PLUS_DECLARED_DELIVERY",$S878="DELIVERY_CHARGE_ONLY"),$K878=""),"Declared delivery charge required",IF(AND(OR($S878="TOTAL_AMOUNT_INCLUDING_DELIVERY",$S878="EXACT_COLLECTION_AMOUNT"),$T878=""),"Stated total amount required",IF(AND($S878="TOTAL_AMOUNT_INCLUDING_DELIVERY",$T878&lt;SUM($J878,$U878)),"Stated total is below item price plus additional charge",IF($S878="EXACT_COLLECTION_AMOUNT","Authorized amount breakdown required before settlement","Ready for collection and settlement"))))))))))))</f>
        <v/>
      </c>
      <c r="AW878" s="23">
        <f>IF($AU878="","","PARCEL_FINANCIAL_V2")</f>
        <v/>
      </c>
      <c r="AX878" s="17" t="n"/>
    </row>
    <row r="879">
      <c r="A879" s="8" t="n"/>
      <c r="B879" s="8" t="n"/>
      <c r="C879" s="8" t="n"/>
      <c r="D879" s="8" t="n"/>
      <c r="E879" s="9" t="n"/>
      <c r="F879" s="9" t="n"/>
      <c r="G879" s="8" t="n"/>
      <c r="H879" s="9" t="n"/>
      <c r="I879" s="9" t="n"/>
      <c r="J879" s="10" t="n"/>
      <c r="K879" s="10" t="n"/>
      <c r="L879" s="11">
        <f>IF($S879="","",IF($S879="ITEM_PRICE_PLUS_DECLARED_DELIVERY",IF(OR($J879="",$K879=""),"",SUM($J879,$K879,$U879)),IF($S879="TOTAL_AMOUNT_INCLUDING_DELIVERY",IF($T879="","",$T879),IF($S879="DELIVERY_CHARGE_ONLY",IF($K879="","",SUM($K879,$U879)),IF($S879="EXACT_COLLECTION_AMOUNT",IF($T879="","",$T879),IF($S879="ITEM_PRICE_ONLY_DELIVERY_PAID_BY_MERCHANT",IF($J879="","",SUM($J879,$U879)),""))))))</f>
        <v/>
      </c>
      <c r="M879" s="12" t="n"/>
      <c r="N879" s="13" t="n"/>
      <c r="O879" s="13" t="n"/>
      <c r="P879" s="9" t="n"/>
      <c r="Q879" s="14" t="n"/>
      <c r="R879" s="15" t="n"/>
      <c r="S879" s="14" t="n"/>
      <c r="T879" s="16" t="n"/>
      <c r="U879" s="16" t="n"/>
      <c r="V879" s="16" t="n"/>
      <c r="W879" s="16" t="n"/>
      <c r="X879" s="16" t="n"/>
      <c r="Y879" s="16" t="n"/>
      <c r="Z879" s="14" t="n"/>
      <c r="AA879" s="14" t="n"/>
      <c r="AB879" s="14" t="n"/>
      <c r="AC879" s="17">
        <f>IFERROR(VLOOKUP($H879&amp;"|"&amp;$Q879,Tariff_Master!$A$2:$L$169,3,FALSE),"")</f>
        <v/>
      </c>
      <c r="AD879" s="17">
        <f>IFERROR(VLOOKUP($H879&amp;"|"&amp;$Q879,Tariff_Master!$A$2:$L$169,4,FALSE),"")</f>
        <v/>
      </c>
      <c r="AE879" s="18">
        <f>IFERROR(VLOOKUP($H879&amp;"|"&amp;$Q879,Tariff_Master!$A$2:$L$169,6,FALSE),"")</f>
        <v/>
      </c>
      <c r="AF879" s="19">
        <f>IFERROR(VLOOKUP($H879&amp;"|"&amp;$Q879,Tariff_Master!$A$2:$L$169,7,FALSE),"")</f>
        <v/>
      </c>
      <c r="AG879" s="18">
        <f>IFERROR(VLOOKUP($H879&amp;"|"&amp;$Q879,Tariff_Master!$A$2:$L$169,8,FALSE),"")</f>
        <v/>
      </c>
      <c r="AH879" s="20">
        <f>IFERROR(VLOOKUP($H879&amp;"|"&amp;$Q879,Tariff_Master!$A$2:$L$169,9,FALSE),"")</f>
        <v/>
      </c>
      <c r="AI879" s="18">
        <f>IFERROR(VLOOKUP($H879&amp;"|"&amp;$Q879,Tariff_Master!$A$2:$L$169,10,FALSE),"")</f>
        <v/>
      </c>
      <c r="AJ879" s="21">
        <f>IF($M879="","",ROUNDUP(MAX(0,$M879),0))</f>
        <v/>
      </c>
      <c r="AK879" s="21">
        <f>IF(OR($AJ879="",$AF879=""),"",MAX(0,$AJ879-$AF879))</f>
        <v/>
      </c>
      <c r="AL879" s="22">
        <f>IF(OR($AK879="",$AG879=""),"",MAX(0,$AK879*$AG879))</f>
        <v/>
      </c>
      <c r="AM879" s="22">
        <f>IF($AE879="","",MAX(0,SUM($AE879,$AL879,$V879,$W879)))</f>
        <v/>
      </c>
      <c r="AN879" s="22">
        <f>IF($AM879="","",IF(AND($Q879="COMMITMENT",$R879&gt;=$AH879),$AI879,0))</f>
        <v/>
      </c>
      <c r="AO879" s="23">
        <f>IF($AM879="","",MAX(0,$AM879-$AN879))</f>
        <v/>
      </c>
      <c r="AP879" s="22">
        <f>IF($S879="","",IF(OR($S879="ITEM_PRICE_PLUS_DECLARED_DELIVERY",$S879="DELIVERY_CHARGE_ONLY"),$K879,IF($S879="TOTAL_AMOUNT_INCLUDING_DELIVERY",IF(OR($T879="",$J879=""),"",MAX(0,$T879-$J879-$U879)),IF($S879="ITEM_PRICE_ONLY_DELIVERY_PAID_BY_MERCHANT",0,""))))</f>
        <v/>
      </c>
      <c r="AQ879" s="23">
        <f>IF(OR($AP879="",$AO879=""),"",$AP879-$AO879)</f>
        <v/>
      </c>
      <c r="AR879" s="24">
        <f>IF($S879="EXACT_COLLECTION_AMOUNT","BREAKDOWN_REQUIRED",IF($AQ879="","",IF($AQ879&gt;0,"CREDIT_TO_MERCHANT",IF($AQ879&lt;0,"DEDUCT_FROM_MERCHANT","NO_ADJUSTMENT"))))</f>
        <v/>
      </c>
      <c r="AS879" s="23">
        <f>IF(OR($AQ879="",$AR879="BREAKDOWN_REQUIRED"),"",$AQ879)</f>
        <v/>
      </c>
      <c r="AT879" s="23">
        <f>IF(OR($AR879="",$AR879="BREAKDOWN_REQUIRED"),"",SUM($J879,$AQ879,$Y879)-$X879)</f>
        <v/>
      </c>
      <c r="AU879" s="25">
        <f>IF(AND($A879="",$B879="",$F879="",$H879="",$J879="",$K879="",$M879="",$S879=""),"",IF(OR($H879="",$Q879="",$M879="",$S879=""),"ERROR",IF(OR($J879&lt;0,$K879&lt;0,$M879&lt;0,$T879&lt;0,$U879&lt;0,$V879&lt;0,$W879&lt;0,$X879&lt;0,$Y879&lt;0),"ERROR",IF($AE879="","ERROR",IF(AND(OR($S879="ITEM_PRICE_PLUS_DECLARED_DELIVERY",$S879="TOTAL_AMOUNT_INCLUDING_DELIVERY",$S879="ITEM_PRICE_ONLY_DELIVERY_PAID_BY_MERCHANT"),$J879=""),"ERROR",IF(AND(OR($S879="ITEM_PRICE_PLUS_DECLARED_DELIVERY",$S879="DELIVERY_CHARGE_ONLY"),$K879=""),"ERROR",IF(AND(OR($S879="TOTAL_AMOUNT_INCLUDING_DELIVERY",$S879="EXACT_COLLECTION_AMOUNT"),$T879=""),"ERROR",IF(AND($S879="TOTAL_AMOUNT_INCLUDING_DELIVERY",$T879&lt;SUM($J879,$U879)),"ERROR",IF($S879="EXACT_COLLECTION_AMOUNT","REVIEW","OK")))))))))</f>
        <v/>
      </c>
      <c r="AV879" s="25">
        <f>IF($AU879="","",IF($H879="","Township required",IF($Q879="","Customer tier required",IF($M879="","Weight required",IF($S879="","Amount entry type required",IF(OR($J879&lt;0,$K879&lt;0,$M879&lt;0,$T879&lt;0,$U879&lt;0,$V879&lt;0,$W879&lt;0,$X879&lt;0,$Y879&lt;0),"Negative amounts are not allowed",IF($AE879="","Tariff not found for township and tier",IF(AND(OR($S879="ITEM_PRICE_PLUS_DECLARED_DELIVERY",$S879="TOTAL_AMOUNT_INCLUDING_DELIVERY",$S879="ITEM_PRICE_ONLY_DELIVERY_PAID_BY_MERCHANT"),$J879=""),"Item price required for this amount type",IF(AND(OR($S879="ITEM_PRICE_PLUS_DECLARED_DELIVERY",$S879="DELIVERY_CHARGE_ONLY"),$K879=""),"Declared delivery charge required",IF(AND(OR($S879="TOTAL_AMOUNT_INCLUDING_DELIVERY",$S879="EXACT_COLLECTION_AMOUNT"),$T879=""),"Stated total amount required",IF(AND($S879="TOTAL_AMOUNT_INCLUDING_DELIVERY",$T879&lt;SUM($J879,$U879)),"Stated total is below item price plus additional charge",IF($S879="EXACT_COLLECTION_AMOUNT","Authorized amount breakdown required before settlement","Ready for collection and settlement"))))))))))))</f>
        <v/>
      </c>
      <c r="AW879" s="23">
        <f>IF($AU879="","","PARCEL_FINANCIAL_V2")</f>
        <v/>
      </c>
      <c r="AX879" s="17" t="n"/>
    </row>
    <row r="880">
      <c r="A880" s="8" t="n"/>
      <c r="B880" s="8" t="n"/>
      <c r="C880" s="8" t="n"/>
      <c r="D880" s="8" t="n"/>
      <c r="E880" s="9" t="n"/>
      <c r="F880" s="9" t="n"/>
      <c r="G880" s="8" t="n"/>
      <c r="H880" s="9" t="n"/>
      <c r="I880" s="9" t="n"/>
      <c r="J880" s="10" t="n"/>
      <c r="K880" s="10" t="n"/>
      <c r="L880" s="11">
        <f>IF($S880="","",IF($S880="ITEM_PRICE_PLUS_DECLARED_DELIVERY",IF(OR($J880="",$K880=""),"",SUM($J880,$K880,$U880)),IF($S880="TOTAL_AMOUNT_INCLUDING_DELIVERY",IF($T880="","",$T880),IF($S880="DELIVERY_CHARGE_ONLY",IF($K880="","",SUM($K880,$U880)),IF($S880="EXACT_COLLECTION_AMOUNT",IF($T880="","",$T880),IF($S880="ITEM_PRICE_ONLY_DELIVERY_PAID_BY_MERCHANT",IF($J880="","",SUM($J880,$U880)),""))))))</f>
        <v/>
      </c>
      <c r="M880" s="12" t="n"/>
      <c r="N880" s="13" t="n"/>
      <c r="O880" s="13" t="n"/>
      <c r="P880" s="9" t="n"/>
      <c r="Q880" s="14" t="n"/>
      <c r="R880" s="15" t="n"/>
      <c r="S880" s="14" t="n"/>
      <c r="T880" s="16" t="n"/>
      <c r="U880" s="16" t="n"/>
      <c r="V880" s="16" t="n"/>
      <c r="W880" s="16" t="n"/>
      <c r="X880" s="16" t="n"/>
      <c r="Y880" s="16" t="n"/>
      <c r="Z880" s="14" t="n"/>
      <c r="AA880" s="14" t="n"/>
      <c r="AB880" s="14" t="n"/>
      <c r="AC880" s="17">
        <f>IFERROR(VLOOKUP($H880&amp;"|"&amp;$Q880,Tariff_Master!$A$2:$L$169,3,FALSE),"")</f>
        <v/>
      </c>
      <c r="AD880" s="17">
        <f>IFERROR(VLOOKUP($H880&amp;"|"&amp;$Q880,Tariff_Master!$A$2:$L$169,4,FALSE),"")</f>
        <v/>
      </c>
      <c r="AE880" s="18">
        <f>IFERROR(VLOOKUP($H880&amp;"|"&amp;$Q880,Tariff_Master!$A$2:$L$169,6,FALSE),"")</f>
        <v/>
      </c>
      <c r="AF880" s="19">
        <f>IFERROR(VLOOKUP($H880&amp;"|"&amp;$Q880,Tariff_Master!$A$2:$L$169,7,FALSE),"")</f>
        <v/>
      </c>
      <c r="AG880" s="18">
        <f>IFERROR(VLOOKUP($H880&amp;"|"&amp;$Q880,Tariff_Master!$A$2:$L$169,8,FALSE),"")</f>
        <v/>
      </c>
      <c r="AH880" s="20">
        <f>IFERROR(VLOOKUP($H880&amp;"|"&amp;$Q880,Tariff_Master!$A$2:$L$169,9,FALSE),"")</f>
        <v/>
      </c>
      <c r="AI880" s="18">
        <f>IFERROR(VLOOKUP($H880&amp;"|"&amp;$Q880,Tariff_Master!$A$2:$L$169,10,FALSE),"")</f>
        <v/>
      </c>
      <c r="AJ880" s="21">
        <f>IF($M880="","",ROUNDUP(MAX(0,$M880),0))</f>
        <v/>
      </c>
      <c r="AK880" s="21">
        <f>IF(OR($AJ880="",$AF880=""),"",MAX(0,$AJ880-$AF880))</f>
        <v/>
      </c>
      <c r="AL880" s="22">
        <f>IF(OR($AK880="",$AG880=""),"",MAX(0,$AK880*$AG880))</f>
        <v/>
      </c>
      <c r="AM880" s="22">
        <f>IF($AE880="","",MAX(0,SUM($AE880,$AL880,$V880,$W880)))</f>
        <v/>
      </c>
      <c r="AN880" s="22">
        <f>IF($AM880="","",IF(AND($Q880="COMMITMENT",$R880&gt;=$AH880),$AI880,0))</f>
        <v/>
      </c>
      <c r="AO880" s="23">
        <f>IF($AM880="","",MAX(0,$AM880-$AN880))</f>
        <v/>
      </c>
      <c r="AP880" s="22">
        <f>IF($S880="","",IF(OR($S880="ITEM_PRICE_PLUS_DECLARED_DELIVERY",$S880="DELIVERY_CHARGE_ONLY"),$K880,IF($S880="TOTAL_AMOUNT_INCLUDING_DELIVERY",IF(OR($T880="",$J880=""),"",MAX(0,$T880-$J880-$U880)),IF($S880="ITEM_PRICE_ONLY_DELIVERY_PAID_BY_MERCHANT",0,""))))</f>
        <v/>
      </c>
      <c r="AQ880" s="23">
        <f>IF(OR($AP880="",$AO880=""),"",$AP880-$AO880)</f>
        <v/>
      </c>
      <c r="AR880" s="24">
        <f>IF($S880="EXACT_COLLECTION_AMOUNT","BREAKDOWN_REQUIRED",IF($AQ880="","",IF($AQ880&gt;0,"CREDIT_TO_MERCHANT",IF($AQ880&lt;0,"DEDUCT_FROM_MERCHANT","NO_ADJUSTMENT"))))</f>
        <v/>
      </c>
      <c r="AS880" s="23">
        <f>IF(OR($AQ880="",$AR880="BREAKDOWN_REQUIRED"),"",$AQ880)</f>
        <v/>
      </c>
      <c r="AT880" s="23">
        <f>IF(OR($AR880="",$AR880="BREAKDOWN_REQUIRED"),"",SUM($J880,$AQ880,$Y880)-$X880)</f>
        <v/>
      </c>
      <c r="AU880" s="25">
        <f>IF(AND($A880="",$B880="",$F880="",$H880="",$J880="",$K880="",$M880="",$S880=""),"",IF(OR($H880="",$Q880="",$M880="",$S880=""),"ERROR",IF(OR($J880&lt;0,$K880&lt;0,$M880&lt;0,$T880&lt;0,$U880&lt;0,$V880&lt;0,$W880&lt;0,$X880&lt;0,$Y880&lt;0),"ERROR",IF($AE880="","ERROR",IF(AND(OR($S880="ITEM_PRICE_PLUS_DECLARED_DELIVERY",$S880="TOTAL_AMOUNT_INCLUDING_DELIVERY",$S880="ITEM_PRICE_ONLY_DELIVERY_PAID_BY_MERCHANT"),$J880=""),"ERROR",IF(AND(OR($S880="ITEM_PRICE_PLUS_DECLARED_DELIVERY",$S880="DELIVERY_CHARGE_ONLY"),$K880=""),"ERROR",IF(AND(OR($S880="TOTAL_AMOUNT_INCLUDING_DELIVERY",$S880="EXACT_COLLECTION_AMOUNT"),$T880=""),"ERROR",IF(AND($S880="TOTAL_AMOUNT_INCLUDING_DELIVERY",$T880&lt;SUM($J880,$U880)),"ERROR",IF($S880="EXACT_COLLECTION_AMOUNT","REVIEW","OK")))))))))</f>
        <v/>
      </c>
      <c r="AV880" s="25">
        <f>IF($AU880="","",IF($H880="","Township required",IF($Q880="","Customer tier required",IF($M880="","Weight required",IF($S880="","Amount entry type required",IF(OR($J880&lt;0,$K880&lt;0,$M880&lt;0,$T880&lt;0,$U880&lt;0,$V880&lt;0,$W880&lt;0,$X880&lt;0,$Y880&lt;0),"Negative amounts are not allowed",IF($AE880="","Tariff not found for township and tier",IF(AND(OR($S880="ITEM_PRICE_PLUS_DECLARED_DELIVERY",$S880="TOTAL_AMOUNT_INCLUDING_DELIVERY",$S880="ITEM_PRICE_ONLY_DELIVERY_PAID_BY_MERCHANT"),$J880=""),"Item price required for this amount type",IF(AND(OR($S880="ITEM_PRICE_PLUS_DECLARED_DELIVERY",$S880="DELIVERY_CHARGE_ONLY"),$K880=""),"Declared delivery charge required",IF(AND(OR($S880="TOTAL_AMOUNT_INCLUDING_DELIVERY",$S880="EXACT_COLLECTION_AMOUNT"),$T880=""),"Stated total amount required",IF(AND($S880="TOTAL_AMOUNT_INCLUDING_DELIVERY",$T880&lt;SUM($J880,$U880)),"Stated total is below item price plus additional charge",IF($S880="EXACT_COLLECTION_AMOUNT","Authorized amount breakdown required before settlement","Ready for collection and settlement"))))))))))))</f>
        <v/>
      </c>
      <c r="AW880" s="23">
        <f>IF($AU880="","","PARCEL_FINANCIAL_V2")</f>
        <v/>
      </c>
      <c r="AX880" s="17" t="n"/>
    </row>
    <row r="881">
      <c r="A881" s="8" t="n"/>
      <c r="B881" s="8" t="n"/>
      <c r="C881" s="8" t="n"/>
      <c r="D881" s="8" t="n"/>
      <c r="E881" s="9" t="n"/>
      <c r="F881" s="9" t="n"/>
      <c r="G881" s="8" t="n"/>
      <c r="H881" s="9" t="n"/>
      <c r="I881" s="9" t="n"/>
      <c r="J881" s="10" t="n"/>
      <c r="K881" s="10" t="n"/>
      <c r="L881" s="11">
        <f>IF($S881="","",IF($S881="ITEM_PRICE_PLUS_DECLARED_DELIVERY",IF(OR($J881="",$K881=""),"",SUM($J881,$K881,$U881)),IF($S881="TOTAL_AMOUNT_INCLUDING_DELIVERY",IF($T881="","",$T881),IF($S881="DELIVERY_CHARGE_ONLY",IF($K881="","",SUM($K881,$U881)),IF($S881="EXACT_COLLECTION_AMOUNT",IF($T881="","",$T881),IF($S881="ITEM_PRICE_ONLY_DELIVERY_PAID_BY_MERCHANT",IF($J881="","",SUM($J881,$U881)),""))))))</f>
        <v/>
      </c>
      <c r="M881" s="12" t="n"/>
      <c r="N881" s="13" t="n"/>
      <c r="O881" s="13" t="n"/>
      <c r="P881" s="9" t="n"/>
      <c r="Q881" s="14" t="n"/>
      <c r="R881" s="15" t="n"/>
      <c r="S881" s="14" t="n"/>
      <c r="T881" s="16" t="n"/>
      <c r="U881" s="16" t="n"/>
      <c r="V881" s="16" t="n"/>
      <c r="W881" s="16" t="n"/>
      <c r="X881" s="16" t="n"/>
      <c r="Y881" s="16" t="n"/>
      <c r="Z881" s="14" t="n"/>
      <c r="AA881" s="14" t="n"/>
      <c r="AB881" s="14" t="n"/>
      <c r="AC881" s="17">
        <f>IFERROR(VLOOKUP($H881&amp;"|"&amp;$Q881,Tariff_Master!$A$2:$L$169,3,FALSE),"")</f>
        <v/>
      </c>
      <c r="AD881" s="17">
        <f>IFERROR(VLOOKUP($H881&amp;"|"&amp;$Q881,Tariff_Master!$A$2:$L$169,4,FALSE),"")</f>
        <v/>
      </c>
      <c r="AE881" s="18">
        <f>IFERROR(VLOOKUP($H881&amp;"|"&amp;$Q881,Tariff_Master!$A$2:$L$169,6,FALSE),"")</f>
        <v/>
      </c>
      <c r="AF881" s="19">
        <f>IFERROR(VLOOKUP($H881&amp;"|"&amp;$Q881,Tariff_Master!$A$2:$L$169,7,FALSE),"")</f>
        <v/>
      </c>
      <c r="AG881" s="18">
        <f>IFERROR(VLOOKUP($H881&amp;"|"&amp;$Q881,Tariff_Master!$A$2:$L$169,8,FALSE),"")</f>
        <v/>
      </c>
      <c r="AH881" s="20">
        <f>IFERROR(VLOOKUP($H881&amp;"|"&amp;$Q881,Tariff_Master!$A$2:$L$169,9,FALSE),"")</f>
        <v/>
      </c>
      <c r="AI881" s="18">
        <f>IFERROR(VLOOKUP($H881&amp;"|"&amp;$Q881,Tariff_Master!$A$2:$L$169,10,FALSE),"")</f>
        <v/>
      </c>
      <c r="AJ881" s="21">
        <f>IF($M881="","",ROUNDUP(MAX(0,$M881),0))</f>
        <v/>
      </c>
      <c r="AK881" s="21">
        <f>IF(OR($AJ881="",$AF881=""),"",MAX(0,$AJ881-$AF881))</f>
        <v/>
      </c>
      <c r="AL881" s="22">
        <f>IF(OR($AK881="",$AG881=""),"",MAX(0,$AK881*$AG881))</f>
        <v/>
      </c>
      <c r="AM881" s="22">
        <f>IF($AE881="","",MAX(0,SUM($AE881,$AL881,$V881,$W881)))</f>
        <v/>
      </c>
      <c r="AN881" s="22">
        <f>IF($AM881="","",IF(AND($Q881="COMMITMENT",$R881&gt;=$AH881),$AI881,0))</f>
        <v/>
      </c>
      <c r="AO881" s="23">
        <f>IF($AM881="","",MAX(0,$AM881-$AN881))</f>
        <v/>
      </c>
      <c r="AP881" s="22">
        <f>IF($S881="","",IF(OR($S881="ITEM_PRICE_PLUS_DECLARED_DELIVERY",$S881="DELIVERY_CHARGE_ONLY"),$K881,IF($S881="TOTAL_AMOUNT_INCLUDING_DELIVERY",IF(OR($T881="",$J881=""),"",MAX(0,$T881-$J881-$U881)),IF($S881="ITEM_PRICE_ONLY_DELIVERY_PAID_BY_MERCHANT",0,""))))</f>
        <v/>
      </c>
      <c r="AQ881" s="23">
        <f>IF(OR($AP881="",$AO881=""),"",$AP881-$AO881)</f>
        <v/>
      </c>
      <c r="AR881" s="24">
        <f>IF($S881="EXACT_COLLECTION_AMOUNT","BREAKDOWN_REQUIRED",IF($AQ881="","",IF($AQ881&gt;0,"CREDIT_TO_MERCHANT",IF($AQ881&lt;0,"DEDUCT_FROM_MERCHANT","NO_ADJUSTMENT"))))</f>
        <v/>
      </c>
      <c r="AS881" s="23">
        <f>IF(OR($AQ881="",$AR881="BREAKDOWN_REQUIRED"),"",$AQ881)</f>
        <v/>
      </c>
      <c r="AT881" s="23">
        <f>IF(OR($AR881="",$AR881="BREAKDOWN_REQUIRED"),"",SUM($J881,$AQ881,$Y881)-$X881)</f>
        <v/>
      </c>
      <c r="AU881" s="25">
        <f>IF(AND($A881="",$B881="",$F881="",$H881="",$J881="",$K881="",$M881="",$S881=""),"",IF(OR($H881="",$Q881="",$M881="",$S881=""),"ERROR",IF(OR($J881&lt;0,$K881&lt;0,$M881&lt;0,$T881&lt;0,$U881&lt;0,$V881&lt;0,$W881&lt;0,$X881&lt;0,$Y881&lt;0),"ERROR",IF($AE881="","ERROR",IF(AND(OR($S881="ITEM_PRICE_PLUS_DECLARED_DELIVERY",$S881="TOTAL_AMOUNT_INCLUDING_DELIVERY",$S881="ITEM_PRICE_ONLY_DELIVERY_PAID_BY_MERCHANT"),$J881=""),"ERROR",IF(AND(OR($S881="ITEM_PRICE_PLUS_DECLARED_DELIVERY",$S881="DELIVERY_CHARGE_ONLY"),$K881=""),"ERROR",IF(AND(OR($S881="TOTAL_AMOUNT_INCLUDING_DELIVERY",$S881="EXACT_COLLECTION_AMOUNT"),$T881=""),"ERROR",IF(AND($S881="TOTAL_AMOUNT_INCLUDING_DELIVERY",$T881&lt;SUM($J881,$U881)),"ERROR",IF($S881="EXACT_COLLECTION_AMOUNT","REVIEW","OK")))))))))</f>
        <v/>
      </c>
      <c r="AV881" s="25">
        <f>IF($AU881="","",IF($H881="","Township required",IF($Q881="","Customer tier required",IF($M881="","Weight required",IF($S881="","Amount entry type required",IF(OR($J881&lt;0,$K881&lt;0,$M881&lt;0,$T881&lt;0,$U881&lt;0,$V881&lt;0,$W881&lt;0,$X881&lt;0,$Y881&lt;0),"Negative amounts are not allowed",IF($AE881="","Tariff not found for township and tier",IF(AND(OR($S881="ITEM_PRICE_PLUS_DECLARED_DELIVERY",$S881="TOTAL_AMOUNT_INCLUDING_DELIVERY",$S881="ITEM_PRICE_ONLY_DELIVERY_PAID_BY_MERCHANT"),$J881=""),"Item price required for this amount type",IF(AND(OR($S881="ITEM_PRICE_PLUS_DECLARED_DELIVERY",$S881="DELIVERY_CHARGE_ONLY"),$K881=""),"Declared delivery charge required",IF(AND(OR($S881="TOTAL_AMOUNT_INCLUDING_DELIVERY",$S881="EXACT_COLLECTION_AMOUNT"),$T881=""),"Stated total amount required",IF(AND($S881="TOTAL_AMOUNT_INCLUDING_DELIVERY",$T881&lt;SUM($J881,$U881)),"Stated total is below item price plus additional charge",IF($S881="EXACT_COLLECTION_AMOUNT","Authorized amount breakdown required before settlement","Ready for collection and settlement"))))))))))))</f>
        <v/>
      </c>
      <c r="AW881" s="23">
        <f>IF($AU881="","","PARCEL_FINANCIAL_V2")</f>
        <v/>
      </c>
      <c r="AX881" s="17" t="n"/>
    </row>
    <row r="882">
      <c r="A882" s="8" t="n"/>
      <c r="B882" s="8" t="n"/>
      <c r="C882" s="8" t="n"/>
      <c r="D882" s="8" t="n"/>
      <c r="E882" s="9" t="n"/>
      <c r="F882" s="9" t="n"/>
      <c r="G882" s="8" t="n"/>
      <c r="H882" s="9" t="n"/>
      <c r="I882" s="9" t="n"/>
      <c r="J882" s="10" t="n"/>
      <c r="K882" s="10" t="n"/>
      <c r="L882" s="11">
        <f>IF($S882="","",IF($S882="ITEM_PRICE_PLUS_DECLARED_DELIVERY",IF(OR($J882="",$K882=""),"",SUM($J882,$K882,$U882)),IF($S882="TOTAL_AMOUNT_INCLUDING_DELIVERY",IF($T882="","",$T882),IF($S882="DELIVERY_CHARGE_ONLY",IF($K882="","",SUM($K882,$U882)),IF($S882="EXACT_COLLECTION_AMOUNT",IF($T882="","",$T882),IF($S882="ITEM_PRICE_ONLY_DELIVERY_PAID_BY_MERCHANT",IF($J882="","",SUM($J882,$U882)),""))))))</f>
        <v/>
      </c>
      <c r="M882" s="12" t="n"/>
      <c r="N882" s="13" t="n"/>
      <c r="O882" s="13" t="n"/>
      <c r="P882" s="9" t="n"/>
      <c r="Q882" s="14" t="n"/>
      <c r="R882" s="15" t="n"/>
      <c r="S882" s="14" t="n"/>
      <c r="T882" s="16" t="n"/>
      <c r="U882" s="16" t="n"/>
      <c r="V882" s="16" t="n"/>
      <c r="W882" s="16" t="n"/>
      <c r="X882" s="16" t="n"/>
      <c r="Y882" s="16" t="n"/>
      <c r="Z882" s="14" t="n"/>
      <c r="AA882" s="14" t="n"/>
      <c r="AB882" s="14" t="n"/>
      <c r="AC882" s="17">
        <f>IFERROR(VLOOKUP($H882&amp;"|"&amp;$Q882,Tariff_Master!$A$2:$L$169,3,FALSE),"")</f>
        <v/>
      </c>
      <c r="AD882" s="17">
        <f>IFERROR(VLOOKUP($H882&amp;"|"&amp;$Q882,Tariff_Master!$A$2:$L$169,4,FALSE),"")</f>
        <v/>
      </c>
      <c r="AE882" s="18">
        <f>IFERROR(VLOOKUP($H882&amp;"|"&amp;$Q882,Tariff_Master!$A$2:$L$169,6,FALSE),"")</f>
        <v/>
      </c>
      <c r="AF882" s="19">
        <f>IFERROR(VLOOKUP($H882&amp;"|"&amp;$Q882,Tariff_Master!$A$2:$L$169,7,FALSE),"")</f>
        <v/>
      </c>
      <c r="AG882" s="18">
        <f>IFERROR(VLOOKUP($H882&amp;"|"&amp;$Q882,Tariff_Master!$A$2:$L$169,8,FALSE),"")</f>
        <v/>
      </c>
      <c r="AH882" s="20">
        <f>IFERROR(VLOOKUP($H882&amp;"|"&amp;$Q882,Tariff_Master!$A$2:$L$169,9,FALSE),"")</f>
        <v/>
      </c>
      <c r="AI882" s="18">
        <f>IFERROR(VLOOKUP($H882&amp;"|"&amp;$Q882,Tariff_Master!$A$2:$L$169,10,FALSE),"")</f>
        <v/>
      </c>
      <c r="AJ882" s="21">
        <f>IF($M882="","",ROUNDUP(MAX(0,$M882),0))</f>
        <v/>
      </c>
      <c r="AK882" s="21">
        <f>IF(OR($AJ882="",$AF882=""),"",MAX(0,$AJ882-$AF882))</f>
        <v/>
      </c>
      <c r="AL882" s="22">
        <f>IF(OR($AK882="",$AG882=""),"",MAX(0,$AK882*$AG882))</f>
        <v/>
      </c>
      <c r="AM882" s="22">
        <f>IF($AE882="","",MAX(0,SUM($AE882,$AL882,$V882,$W882)))</f>
        <v/>
      </c>
      <c r="AN882" s="22">
        <f>IF($AM882="","",IF(AND($Q882="COMMITMENT",$R882&gt;=$AH882),$AI882,0))</f>
        <v/>
      </c>
      <c r="AO882" s="23">
        <f>IF($AM882="","",MAX(0,$AM882-$AN882))</f>
        <v/>
      </c>
      <c r="AP882" s="22">
        <f>IF($S882="","",IF(OR($S882="ITEM_PRICE_PLUS_DECLARED_DELIVERY",$S882="DELIVERY_CHARGE_ONLY"),$K882,IF($S882="TOTAL_AMOUNT_INCLUDING_DELIVERY",IF(OR($T882="",$J882=""),"",MAX(0,$T882-$J882-$U882)),IF($S882="ITEM_PRICE_ONLY_DELIVERY_PAID_BY_MERCHANT",0,""))))</f>
        <v/>
      </c>
      <c r="AQ882" s="23">
        <f>IF(OR($AP882="",$AO882=""),"",$AP882-$AO882)</f>
        <v/>
      </c>
      <c r="AR882" s="24">
        <f>IF($S882="EXACT_COLLECTION_AMOUNT","BREAKDOWN_REQUIRED",IF($AQ882="","",IF($AQ882&gt;0,"CREDIT_TO_MERCHANT",IF($AQ882&lt;0,"DEDUCT_FROM_MERCHANT","NO_ADJUSTMENT"))))</f>
        <v/>
      </c>
      <c r="AS882" s="23">
        <f>IF(OR($AQ882="",$AR882="BREAKDOWN_REQUIRED"),"",$AQ882)</f>
        <v/>
      </c>
      <c r="AT882" s="23">
        <f>IF(OR($AR882="",$AR882="BREAKDOWN_REQUIRED"),"",SUM($J882,$AQ882,$Y882)-$X882)</f>
        <v/>
      </c>
      <c r="AU882" s="25">
        <f>IF(AND($A882="",$B882="",$F882="",$H882="",$J882="",$K882="",$M882="",$S882=""),"",IF(OR($H882="",$Q882="",$M882="",$S882=""),"ERROR",IF(OR($J882&lt;0,$K882&lt;0,$M882&lt;0,$T882&lt;0,$U882&lt;0,$V882&lt;0,$W882&lt;0,$X882&lt;0,$Y882&lt;0),"ERROR",IF($AE882="","ERROR",IF(AND(OR($S882="ITEM_PRICE_PLUS_DECLARED_DELIVERY",$S882="TOTAL_AMOUNT_INCLUDING_DELIVERY",$S882="ITEM_PRICE_ONLY_DELIVERY_PAID_BY_MERCHANT"),$J882=""),"ERROR",IF(AND(OR($S882="ITEM_PRICE_PLUS_DECLARED_DELIVERY",$S882="DELIVERY_CHARGE_ONLY"),$K882=""),"ERROR",IF(AND(OR($S882="TOTAL_AMOUNT_INCLUDING_DELIVERY",$S882="EXACT_COLLECTION_AMOUNT"),$T882=""),"ERROR",IF(AND($S882="TOTAL_AMOUNT_INCLUDING_DELIVERY",$T882&lt;SUM($J882,$U882)),"ERROR",IF($S882="EXACT_COLLECTION_AMOUNT","REVIEW","OK")))))))))</f>
        <v/>
      </c>
      <c r="AV882" s="25">
        <f>IF($AU882="","",IF($H882="","Township required",IF($Q882="","Customer tier required",IF($M882="","Weight required",IF($S882="","Amount entry type required",IF(OR($J882&lt;0,$K882&lt;0,$M882&lt;0,$T882&lt;0,$U882&lt;0,$V882&lt;0,$W882&lt;0,$X882&lt;0,$Y882&lt;0),"Negative amounts are not allowed",IF($AE882="","Tariff not found for township and tier",IF(AND(OR($S882="ITEM_PRICE_PLUS_DECLARED_DELIVERY",$S882="TOTAL_AMOUNT_INCLUDING_DELIVERY",$S882="ITEM_PRICE_ONLY_DELIVERY_PAID_BY_MERCHANT"),$J882=""),"Item price required for this amount type",IF(AND(OR($S882="ITEM_PRICE_PLUS_DECLARED_DELIVERY",$S882="DELIVERY_CHARGE_ONLY"),$K882=""),"Declared delivery charge required",IF(AND(OR($S882="TOTAL_AMOUNT_INCLUDING_DELIVERY",$S882="EXACT_COLLECTION_AMOUNT"),$T882=""),"Stated total amount required",IF(AND($S882="TOTAL_AMOUNT_INCLUDING_DELIVERY",$T882&lt;SUM($J882,$U882)),"Stated total is below item price plus additional charge",IF($S882="EXACT_COLLECTION_AMOUNT","Authorized amount breakdown required before settlement","Ready for collection and settlement"))))))))))))</f>
        <v/>
      </c>
      <c r="AW882" s="23">
        <f>IF($AU882="","","PARCEL_FINANCIAL_V2")</f>
        <v/>
      </c>
      <c r="AX882" s="17" t="n"/>
    </row>
    <row r="883">
      <c r="A883" s="8" t="n"/>
      <c r="B883" s="8" t="n"/>
      <c r="C883" s="8" t="n"/>
      <c r="D883" s="8" t="n"/>
      <c r="E883" s="9" t="n"/>
      <c r="F883" s="9" t="n"/>
      <c r="G883" s="8" t="n"/>
      <c r="H883" s="9" t="n"/>
      <c r="I883" s="9" t="n"/>
      <c r="J883" s="10" t="n"/>
      <c r="K883" s="10" t="n"/>
      <c r="L883" s="11">
        <f>IF($S883="","",IF($S883="ITEM_PRICE_PLUS_DECLARED_DELIVERY",IF(OR($J883="",$K883=""),"",SUM($J883,$K883,$U883)),IF($S883="TOTAL_AMOUNT_INCLUDING_DELIVERY",IF($T883="","",$T883),IF($S883="DELIVERY_CHARGE_ONLY",IF($K883="","",SUM($K883,$U883)),IF($S883="EXACT_COLLECTION_AMOUNT",IF($T883="","",$T883),IF($S883="ITEM_PRICE_ONLY_DELIVERY_PAID_BY_MERCHANT",IF($J883="","",SUM($J883,$U883)),""))))))</f>
        <v/>
      </c>
      <c r="M883" s="12" t="n"/>
      <c r="N883" s="13" t="n"/>
      <c r="O883" s="13" t="n"/>
      <c r="P883" s="9" t="n"/>
      <c r="Q883" s="14" t="n"/>
      <c r="R883" s="15" t="n"/>
      <c r="S883" s="14" t="n"/>
      <c r="T883" s="16" t="n"/>
      <c r="U883" s="16" t="n"/>
      <c r="V883" s="16" t="n"/>
      <c r="W883" s="16" t="n"/>
      <c r="X883" s="16" t="n"/>
      <c r="Y883" s="16" t="n"/>
      <c r="Z883" s="14" t="n"/>
      <c r="AA883" s="14" t="n"/>
      <c r="AB883" s="14" t="n"/>
      <c r="AC883" s="17">
        <f>IFERROR(VLOOKUP($H883&amp;"|"&amp;$Q883,Tariff_Master!$A$2:$L$169,3,FALSE),"")</f>
        <v/>
      </c>
      <c r="AD883" s="17">
        <f>IFERROR(VLOOKUP($H883&amp;"|"&amp;$Q883,Tariff_Master!$A$2:$L$169,4,FALSE),"")</f>
        <v/>
      </c>
      <c r="AE883" s="18">
        <f>IFERROR(VLOOKUP($H883&amp;"|"&amp;$Q883,Tariff_Master!$A$2:$L$169,6,FALSE),"")</f>
        <v/>
      </c>
      <c r="AF883" s="19">
        <f>IFERROR(VLOOKUP($H883&amp;"|"&amp;$Q883,Tariff_Master!$A$2:$L$169,7,FALSE),"")</f>
        <v/>
      </c>
      <c r="AG883" s="18">
        <f>IFERROR(VLOOKUP($H883&amp;"|"&amp;$Q883,Tariff_Master!$A$2:$L$169,8,FALSE),"")</f>
        <v/>
      </c>
      <c r="AH883" s="20">
        <f>IFERROR(VLOOKUP($H883&amp;"|"&amp;$Q883,Tariff_Master!$A$2:$L$169,9,FALSE),"")</f>
        <v/>
      </c>
      <c r="AI883" s="18">
        <f>IFERROR(VLOOKUP($H883&amp;"|"&amp;$Q883,Tariff_Master!$A$2:$L$169,10,FALSE),"")</f>
        <v/>
      </c>
      <c r="AJ883" s="21">
        <f>IF($M883="","",ROUNDUP(MAX(0,$M883),0))</f>
        <v/>
      </c>
      <c r="AK883" s="21">
        <f>IF(OR($AJ883="",$AF883=""),"",MAX(0,$AJ883-$AF883))</f>
        <v/>
      </c>
      <c r="AL883" s="22">
        <f>IF(OR($AK883="",$AG883=""),"",MAX(0,$AK883*$AG883))</f>
        <v/>
      </c>
      <c r="AM883" s="22">
        <f>IF($AE883="","",MAX(0,SUM($AE883,$AL883,$V883,$W883)))</f>
        <v/>
      </c>
      <c r="AN883" s="22">
        <f>IF($AM883="","",IF(AND($Q883="COMMITMENT",$R883&gt;=$AH883),$AI883,0))</f>
        <v/>
      </c>
      <c r="AO883" s="23">
        <f>IF($AM883="","",MAX(0,$AM883-$AN883))</f>
        <v/>
      </c>
      <c r="AP883" s="22">
        <f>IF($S883="","",IF(OR($S883="ITEM_PRICE_PLUS_DECLARED_DELIVERY",$S883="DELIVERY_CHARGE_ONLY"),$K883,IF($S883="TOTAL_AMOUNT_INCLUDING_DELIVERY",IF(OR($T883="",$J883=""),"",MAX(0,$T883-$J883-$U883)),IF($S883="ITEM_PRICE_ONLY_DELIVERY_PAID_BY_MERCHANT",0,""))))</f>
        <v/>
      </c>
      <c r="AQ883" s="23">
        <f>IF(OR($AP883="",$AO883=""),"",$AP883-$AO883)</f>
        <v/>
      </c>
      <c r="AR883" s="24">
        <f>IF($S883="EXACT_COLLECTION_AMOUNT","BREAKDOWN_REQUIRED",IF($AQ883="","",IF($AQ883&gt;0,"CREDIT_TO_MERCHANT",IF($AQ883&lt;0,"DEDUCT_FROM_MERCHANT","NO_ADJUSTMENT"))))</f>
        <v/>
      </c>
      <c r="AS883" s="23">
        <f>IF(OR($AQ883="",$AR883="BREAKDOWN_REQUIRED"),"",$AQ883)</f>
        <v/>
      </c>
      <c r="AT883" s="23">
        <f>IF(OR($AR883="",$AR883="BREAKDOWN_REQUIRED"),"",SUM($J883,$AQ883,$Y883)-$X883)</f>
        <v/>
      </c>
      <c r="AU883" s="25">
        <f>IF(AND($A883="",$B883="",$F883="",$H883="",$J883="",$K883="",$M883="",$S883=""),"",IF(OR($H883="",$Q883="",$M883="",$S883=""),"ERROR",IF(OR($J883&lt;0,$K883&lt;0,$M883&lt;0,$T883&lt;0,$U883&lt;0,$V883&lt;0,$W883&lt;0,$X883&lt;0,$Y883&lt;0),"ERROR",IF($AE883="","ERROR",IF(AND(OR($S883="ITEM_PRICE_PLUS_DECLARED_DELIVERY",$S883="TOTAL_AMOUNT_INCLUDING_DELIVERY",$S883="ITEM_PRICE_ONLY_DELIVERY_PAID_BY_MERCHANT"),$J883=""),"ERROR",IF(AND(OR($S883="ITEM_PRICE_PLUS_DECLARED_DELIVERY",$S883="DELIVERY_CHARGE_ONLY"),$K883=""),"ERROR",IF(AND(OR($S883="TOTAL_AMOUNT_INCLUDING_DELIVERY",$S883="EXACT_COLLECTION_AMOUNT"),$T883=""),"ERROR",IF(AND($S883="TOTAL_AMOUNT_INCLUDING_DELIVERY",$T883&lt;SUM($J883,$U883)),"ERROR",IF($S883="EXACT_COLLECTION_AMOUNT","REVIEW","OK")))))))))</f>
        <v/>
      </c>
      <c r="AV883" s="25">
        <f>IF($AU883="","",IF($H883="","Township required",IF($Q883="","Customer tier required",IF($M883="","Weight required",IF($S883="","Amount entry type required",IF(OR($J883&lt;0,$K883&lt;0,$M883&lt;0,$T883&lt;0,$U883&lt;0,$V883&lt;0,$W883&lt;0,$X883&lt;0,$Y883&lt;0),"Negative amounts are not allowed",IF($AE883="","Tariff not found for township and tier",IF(AND(OR($S883="ITEM_PRICE_PLUS_DECLARED_DELIVERY",$S883="TOTAL_AMOUNT_INCLUDING_DELIVERY",$S883="ITEM_PRICE_ONLY_DELIVERY_PAID_BY_MERCHANT"),$J883=""),"Item price required for this amount type",IF(AND(OR($S883="ITEM_PRICE_PLUS_DECLARED_DELIVERY",$S883="DELIVERY_CHARGE_ONLY"),$K883=""),"Declared delivery charge required",IF(AND(OR($S883="TOTAL_AMOUNT_INCLUDING_DELIVERY",$S883="EXACT_COLLECTION_AMOUNT"),$T883=""),"Stated total amount required",IF(AND($S883="TOTAL_AMOUNT_INCLUDING_DELIVERY",$T883&lt;SUM($J883,$U883)),"Stated total is below item price plus additional charge",IF($S883="EXACT_COLLECTION_AMOUNT","Authorized amount breakdown required before settlement","Ready for collection and settlement"))))))))))))</f>
        <v/>
      </c>
      <c r="AW883" s="23">
        <f>IF($AU883="","","PARCEL_FINANCIAL_V2")</f>
        <v/>
      </c>
      <c r="AX883" s="17" t="n"/>
    </row>
    <row r="884">
      <c r="A884" s="8" t="n"/>
      <c r="B884" s="8" t="n"/>
      <c r="C884" s="8" t="n"/>
      <c r="D884" s="8" t="n"/>
      <c r="E884" s="9" t="n"/>
      <c r="F884" s="9" t="n"/>
      <c r="G884" s="8" t="n"/>
      <c r="H884" s="9" t="n"/>
      <c r="I884" s="9" t="n"/>
      <c r="J884" s="10" t="n"/>
      <c r="K884" s="10" t="n"/>
      <c r="L884" s="11">
        <f>IF($S884="","",IF($S884="ITEM_PRICE_PLUS_DECLARED_DELIVERY",IF(OR($J884="",$K884=""),"",SUM($J884,$K884,$U884)),IF($S884="TOTAL_AMOUNT_INCLUDING_DELIVERY",IF($T884="","",$T884),IF($S884="DELIVERY_CHARGE_ONLY",IF($K884="","",SUM($K884,$U884)),IF($S884="EXACT_COLLECTION_AMOUNT",IF($T884="","",$T884),IF($S884="ITEM_PRICE_ONLY_DELIVERY_PAID_BY_MERCHANT",IF($J884="","",SUM($J884,$U884)),""))))))</f>
        <v/>
      </c>
      <c r="M884" s="12" t="n"/>
      <c r="N884" s="13" t="n"/>
      <c r="O884" s="13" t="n"/>
      <c r="P884" s="9" t="n"/>
      <c r="Q884" s="14" t="n"/>
      <c r="R884" s="15" t="n"/>
      <c r="S884" s="14" t="n"/>
      <c r="T884" s="16" t="n"/>
      <c r="U884" s="16" t="n"/>
      <c r="V884" s="16" t="n"/>
      <c r="W884" s="16" t="n"/>
      <c r="X884" s="16" t="n"/>
      <c r="Y884" s="16" t="n"/>
      <c r="Z884" s="14" t="n"/>
      <c r="AA884" s="14" t="n"/>
      <c r="AB884" s="14" t="n"/>
      <c r="AC884" s="17">
        <f>IFERROR(VLOOKUP($H884&amp;"|"&amp;$Q884,Tariff_Master!$A$2:$L$169,3,FALSE),"")</f>
        <v/>
      </c>
      <c r="AD884" s="17">
        <f>IFERROR(VLOOKUP($H884&amp;"|"&amp;$Q884,Tariff_Master!$A$2:$L$169,4,FALSE),"")</f>
        <v/>
      </c>
      <c r="AE884" s="18">
        <f>IFERROR(VLOOKUP($H884&amp;"|"&amp;$Q884,Tariff_Master!$A$2:$L$169,6,FALSE),"")</f>
        <v/>
      </c>
      <c r="AF884" s="19">
        <f>IFERROR(VLOOKUP($H884&amp;"|"&amp;$Q884,Tariff_Master!$A$2:$L$169,7,FALSE),"")</f>
        <v/>
      </c>
      <c r="AG884" s="18">
        <f>IFERROR(VLOOKUP($H884&amp;"|"&amp;$Q884,Tariff_Master!$A$2:$L$169,8,FALSE),"")</f>
        <v/>
      </c>
      <c r="AH884" s="20">
        <f>IFERROR(VLOOKUP($H884&amp;"|"&amp;$Q884,Tariff_Master!$A$2:$L$169,9,FALSE),"")</f>
        <v/>
      </c>
      <c r="AI884" s="18">
        <f>IFERROR(VLOOKUP($H884&amp;"|"&amp;$Q884,Tariff_Master!$A$2:$L$169,10,FALSE),"")</f>
        <v/>
      </c>
      <c r="AJ884" s="21">
        <f>IF($M884="","",ROUNDUP(MAX(0,$M884),0))</f>
        <v/>
      </c>
      <c r="AK884" s="21">
        <f>IF(OR($AJ884="",$AF884=""),"",MAX(0,$AJ884-$AF884))</f>
        <v/>
      </c>
      <c r="AL884" s="22">
        <f>IF(OR($AK884="",$AG884=""),"",MAX(0,$AK884*$AG884))</f>
        <v/>
      </c>
      <c r="AM884" s="22">
        <f>IF($AE884="","",MAX(0,SUM($AE884,$AL884,$V884,$W884)))</f>
        <v/>
      </c>
      <c r="AN884" s="22">
        <f>IF($AM884="","",IF(AND($Q884="COMMITMENT",$R884&gt;=$AH884),$AI884,0))</f>
        <v/>
      </c>
      <c r="AO884" s="23">
        <f>IF($AM884="","",MAX(0,$AM884-$AN884))</f>
        <v/>
      </c>
      <c r="AP884" s="22">
        <f>IF($S884="","",IF(OR($S884="ITEM_PRICE_PLUS_DECLARED_DELIVERY",$S884="DELIVERY_CHARGE_ONLY"),$K884,IF($S884="TOTAL_AMOUNT_INCLUDING_DELIVERY",IF(OR($T884="",$J884=""),"",MAX(0,$T884-$J884-$U884)),IF($S884="ITEM_PRICE_ONLY_DELIVERY_PAID_BY_MERCHANT",0,""))))</f>
        <v/>
      </c>
      <c r="AQ884" s="23">
        <f>IF(OR($AP884="",$AO884=""),"",$AP884-$AO884)</f>
        <v/>
      </c>
      <c r="AR884" s="24">
        <f>IF($S884="EXACT_COLLECTION_AMOUNT","BREAKDOWN_REQUIRED",IF($AQ884="","",IF($AQ884&gt;0,"CREDIT_TO_MERCHANT",IF($AQ884&lt;0,"DEDUCT_FROM_MERCHANT","NO_ADJUSTMENT"))))</f>
        <v/>
      </c>
      <c r="AS884" s="23">
        <f>IF(OR($AQ884="",$AR884="BREAKDOWN_REQUIRED"),"",$AQ884)</f>
        <v/>
      </c>
      <c r="AT884" s="23">
        <f>IF(OR($AR884="",$AR884="BREAKDOWN_REQUIRED"),"",SUM($J884,$AQ884,$Y884)-$X884)</f>
        <v/>
      </c>
      <c r="AU884" s="25">
        <f>IF(AND($A884="",$B884="",$F884="",$H884="",$J884="",$K884="",$M884="",$S884=""),"",IF(OR($H884="",$Q884="",$M884="",$S884=""),"ERROR",IF(OR($J884&lt;0,$K884&lt;0,$M884&lt;0,$T884&lt;0,$U884&lt;0,$V884&lt;0,$W884&lt;0,$X884&lt;0,$Y884&lt;0),"ERROR",IF($AE884="","ERROR",IF(AND(OR($S884="ITEM_PRICE_PLUS_DECLARED_DELIVERY",$S884="TOTAL_AMOUNT_INCLUDING_DELIVERY",$S884="ITEM_PRICE_ONLY_DELIVERY_PAID_BY_MERCHANT"),$J884=""),"ERROR",IF(AND(OR($S884="ITEM_PRICE_PLUS_DECLARED_DELIVERY",$S884="DELIVERY_CHARGE_ONLY"),$K884=""),"ERROR",IF(AND(OR($S884="TOTAL_AMOUNT_INCLUDING_DELIVERY",$S884="EXACT_COLLECTION_AMOUNT"),$T884=""),"ERROR",IF(AND($S884="TOTAL_AMOUNT_INCLUDING_DELIVERY",$T884&lt;SUM($J884,$U884)),"ERROR",IF($S884="EXACT_COLLECTION_AMOUNT","REVIEW","OK")))))))))</f>
        <v/>
      </c>
      <c r="AV884" s="25">
        <f>IF($AU884="","",IF($H884="","Township required",IF($Q884="","Customer tier required",IF($M884="","Weight required",IF($S884="","Amount entry type required",IF(OR($J884&lt;0,$K884&lt;0,$M884&lt;0,$T884&lt;0,$U884&lt;0,$V884&lt;0,$W884&lt;0,$X884&lt;0,$Y884&lt;0),"Negative amounts are not allowed",IF($AE884="","Tariff not found for township and tier",IF(AND(OR($S884="ITEM_PRICE_PLUS_DECLARED_DELIVERY",$S884="TOTAL_AMOUNT_INCLUDING_DELIVERY",$S884="ITEM_PRICE_ONLY_DELIVERY_PAID_BY_MERCHANT"),$J884=""),"Item price required for this amount type",IF(AND(OR($S884="ITEM_PRICE_PLUS_DECLARED_DELIVERY",$S884="DELIVERY_CHARGE_ONLY"),$K884=""),"Declared delivery charge required",IF(AND(OR($S884="TOTAL_AMOUNT_INCLUDING_DELIVERY",$S884="EXACT_COLLECTION_AMOUNT"),$T884=""),"Stated total amount required",IF(AND($S884="TOTAL_AMOUNT_INCLUDING_DELIVERY",$T884&lt;SUM($J884,$U884)),"Stated total is below item price plus additional charge",IF($S884="EXACT_COLLECTION_AMOUNT","Authorized amount breakdown required before settlement","Ready for collection and settlement"))))))))))))</f>
        <v/>
      </c>
      <c r="AW884" s="23">
        <f>IF($AU884="","","PARCEL_FINANCIAL_V2")</f>
        <v/>
      </c>
      <c r="AX884" s="17" t="n"/>
    </row>
    <row r="885">
      <c r="A885" s="8" t="n"/>
      <c r="B885" s="8" t="n"/>
      <c r="C885" s="8" t="n"/>
      <c r="D885" s="8" t="n"/>
      <c r="E885" s="9" t="n"/>
      <c r="F885" s="9" t="n"/>
      <c r="G885" s="8" t="n"/>
      <c r="H885" s="9" t="n"/>
      <c r="I885" s="9" t="n"/>
      <c r="J885" s="10" t="n"/>
      <c r="K885" s="10" t="n"/>
      <c r="L885" s="11">
        <f>IF($S885="","",IF($S885="ITEM_PRICE_PLUS_DECLARED_DELIVERY",IF(OR($J885="",$K885=""),"",SUM($J885,$K885,$U885)),IF($S885="TOTAL_AMOUNT_INCLUDING_DELIVERY",IF($T885="","",$T885),IF($S885="DELIVERY_CHARGE_ONLY",IF($K885="","",SUM($K885,$U885)),IF($S885="EXACT_COLLECTION_AMOUNT",IF($T885="","",$T885),IF($S885="ITEM_PRICE_ONLY_DELIVERY_PAID_BY_MERCHANT",IF($J885="","",SUM($J885,$U885)),""))))))</f>
        <v/>
      </c>
      <c r="M885" s="12" t="n"/>
      <c r="N885" s="13" t="n"/>
      <c r="O885" s="13" t="n"/>
      <c r="P885" s="9" t="n"/>
      <c r="Q885" s="14" t="n"/>
      <c r="R885" s="15" t="n"/>
      <c r="S885" s="14" t="n"/>
      <c r="T885" s="16" t="n"/>
      <c r="U885" s="16" t="n"/>
      <c r="V885" s="16" t="n"/>
      <c r="W885" s="16" t="n"/>
      <c r="X885" s="16" t="n"/>
      <c r="Y885" s="16" t="n"/>
      <c r="Z885" s="14" t="n"/>
      <c r="AA885" s="14" t="n"/>
      <c r="AB885" s="14" t="n"/>
      <c r="AC885" s="17">
        <f>IFERROR(VLOOKUP($H885&amp;"|"&amp;$Q885,Tariff_Master!$A$2:$L$169,3,FALSE),"")</f>
        <v/>
      </c>
      <c r="AD885" s="17">
        <f>IFERROR(VLOOKUP($H885&amp;"|"&amp;$Q885,Tariff_Master!$A$2:$L$169,4,FALSE),"")</f>
        <v/>
      </c>
      <c r="AE885" s="18">
        <f>IFERROR(VLOOKUP($H885&amp;"|"&amp;$Q885,Tariff_Master!$A$2:$L$169,6,FALSE),"")</f>
        <v/>
      </c>
      <c r="AF885" s="19">
        <f>IFERROR(VLOOKUP($H885&amp;"|"&amp;$Q885,Tariff_Master!$A$2:$L$169,7,FALSE),"")</f>
        <v/>
      </c>
      <c r="AG885" s="18">
        <f>IFERROR(VLOOKUP($H885&amp;"|"&amp;$Q885,Tariff_Master!$A$2:$L$169,8,FALSE),"")</f>
        <v/>
      </c>
      <c r="AH885" s="20">
        <f>IFERROR(VLOOKUP($H885&amp;"|"&amp;$Q885,Tariff_Master!$A$2:$L$169,9,FALSE),"")</f>
        <v/>
      </c>
      <c r="AI885" s="18">
        <f>IFERROR(VLOOKUP($H885&amp;"|"&amp;$Q885,Tariff_Master!$A$2:$L$169,10,FALSE),"")</f>
        <v/>
      </c>
      <c r="AJ885" s="21">
        <f>IF($M885="","",ROUNDUP(MAX(0,$M885),0))</f>
        <v/>
      </c>
      <c r="AK885" s="21">
        <f>IF(OR($AJ885="",$AF885=""),"",MAX(0,$AJ885-$AF885))</f>
        <v/>
      </c>
      <c r="AL885" s="22">
        <f>IF(OR($AK885="",$AG885=""),"",MAX(0,$AK885*$AG885))</f>
        <v/>
      </c>
      <c r="AM885" s="22">
        <f>IF($AE885="","",MAX(0,SUM($AE885,$AL885,$V885,$W885)))</f>
        <v/>
      </c>
      <c r="AN885" s="22">
        <f>IF($AM885="","",IF(AND($Q885="COMMITMENT",$R885&gt;=$AH885),$AI885,0))</f>
        <v/>
      </c>
      <c r="AO885" s="23">
        <f>IF($AM885="","",MAX(0,$AM885-$AN885))</f>
        <v/>
      </c>
      <c r="AP885" s="22">
        <f>IF($S885="","",IF(OR($S885="ITEM_PRICE_PLUS_DECLARED_DELIVERY",$S885="DELIVERY_CHARGE_ONLY"),$K885,IF($S885="TOTAL_AMOUNT_INCLUDING_DELIVERY",IF(OR($T885="",$J885=""),"",MAX(0,$T885-$J885-$U885)),IF($S885="ITEM_PRICE_ONLY_DELIVERY_PAID_BY_MERCHANT",0,""))))</f>
        <v/>
      </c>
      <c r="AQ885" s="23">
        <f>IF(OR($AP885="",$AO885=""),"",$AP885-$AO885)</f>
        <v/>
      </c>
      <c r="AR885" s="24">
        <f>IF($S885="EXACT_COLLECTION_AMOUNT","BREAKDOWN_REQUIRED",IF($AQ885="","",IF($AQ885&gt;0,"CREDIT_TO_MERCHANT",IF($AQ885&lt;0,"DEDUCT_FROM_MERCHANT","NO_ADJUSTMENT"))))</f>
        <v/>
      </c>
      <c r="AS885" s="23">
        <f>IF(OR($AQ885="",$AR885="BREAKDOWN_REQUIRED"),"",$AQ885)</f>
        <v/>
      </c>
      <c r="AT885" s="23">
        <f>IF(OR($AR885="",$AR885="BREAKDOWN_REQUIRED"),"",SUM($J885,$AQ885,$Y885)-$X885)</f>
        <v/>
      </c>
      <c r="AU885" s="25">
        <f>IF(AND($A885="",$B885="",$F885="",$H885="",$J885="",$K885="",$M885="",$S885=""),"",IF(OR($H885="",$Q885="",$M885="",$S885=""),"ERROR",IF(OR($J885&lt;0,$K885&lt;0,$M885&lt;0,$T885&lt;0,$U885&lt;0,$V885&lt;0,$W885&lt;0,$X885&lt;0,$Y885&lt;0),"ERROR",IF($AE885="","ERROR",IF(AND(OR($S885="ITEM_PRICE_PLUS_DECLARED_DELIVERY",$S885="TOTAL_AMOUNT_INCLUDING_DELIVERY",$S885="ITEM_PRICE_ONLY_DELIVERY_PAID_BY_MERCHANT"),$J885=""),"ERROR",IF(AND(OR($S885="ITEM_PRICE_PLUS_DECLARED_DELIVERY",$S885="DELIVERY_CHARGE_ONLY"),$K885=""),"ERROR",IF(AND(OR($S885="TOTAL_AMOUNT_INCLUDING_DELIVERY",$S885="EXACT_COLLECTION_AMOUNT"),$T885=""),"ERROR",IF(AND($S885="TOTAL_AMOUNT_INCLUDING_DELIVERY",$T885&lt;SUM($J885,$U885)),"ERROR",IF($S885="EXACT_COLLECTION_AMOUNT","REVIEW","OK")))))))))</f>
        <v/>
      </c>
      <c r="AV885" s="25">
        <f>IF($AU885="","",IF($H885="","Township required",IF($Q885="","Customer tier required",IF($M885="","Weight required",IF($S885="","Amount entry type required",IF(OR($J885&lt;0,$K885&lt;0,$M885&lt;0,$T885&lt;0,$U885&lt;0,$V885&lt;0,$W885&lt;0,$X885&lt;0,$Y885&lt;0),"Negative amounts are not allowed",IF($AE885="","Tariff not found for township and tier",IF(AND(OR($S885="ITEM_PRICE_PLUS_DECLARED_DELIVERY",$S885="TOTAL_AMOUNT_INCLUDING_DELIVERY",$S885="ITEM_PRICE_ONLY_DELIVERY_PAID_BY_MERCHANT"),$J885=""),"Item price required for this amount type",IF(AND(OR($S885="ITEM_PRICE_PLUS_DECLARED_DELIVERY",$S885="DELIVERY_CHARGE_ONLY"),$K885=""),"Declared delivery charge required",IF(AND(OR($S885="TOTAL_AMOUNT_INCLUDING_DELIVERY",$S885="EXACT_COLLECTION_AMOUNT"),$T885=""),"Stated total amount required",IF(AND($S885="TOTAL_AMOUNT_INCLUDING_DELIVERY",$T885&lt;SUM($J885,$U885)),"Stated total is below item price plus additional charge",IF($S885="EXACT_COLLECTION_AMOUNT","Authorized amount breakdown required before settlement","Ready for collection and settlement"))))))))))))</f>
        <v/>
      </c>
      <c r="AW885" s="23">
        <f>IF($AU885="","","PARCEL_FINANCIAL_V2")</f>
        <v/>
      </c>
      <c r="AX885" s="17" t="n"/>
    </row>
    <row r="886">
      <c r="A886" s="8" t="n"/>
      <c r="B886" s="8" t="n"/>
      <c r="C886" s="8" t="n"/>
      <c r="D886" s="8" t="n"/>
      <c r="E886" s="9" t="n"/>
      <c r="F886" s="9" t="n"/>
      <c r="G886" s="8" t="n"/>
      <c r="H886" s="9" t="n"/>
      <c r="I886" s="9" t="n"/>
      <c r="J886" s="10" t="n"/>
      <c r="K886" s="10" t="n"/>
      <c r="L886" s="11">
        <f>IF($S886="","",IF($S886="ITEM_PRICE_PLUS_DECLARED_DELIVERY",IF(OR($J886="",$K886=""),"",SUM($J886,$K886,$U886)),IF($S886="TOTAL_AMOUNT_INCLUDING_DELIVERY",IF($T886="","",$T886),IF($S886="DELIVERY_CHARGE_ONLY",IF($K886="","",SUM($K886,$U886)),IF($S886="EXACT_COLLECTION_AMOUNT",IF($T886="","",$T886),IF($S886="ITEM_PRICE_ONLY_DELIVERY_PAID_BY_MERCHANT",IF($J886="","",SUM($J886,$U886)),""))))))</f>
        <v/>
      </c>
      <c r="M886" s="12" t="n"/>
      <c r="N886" s="13" t="n"/>
      <c r="O886" s="13" t="n"/>
      <c r="P886" s="9" t="n"/>
      <c r="Q886" s="14" t="n"/>
      <c r="R886" s="15" t="n"/>
      <c r="S886" s="14" t="n"/>
      <c r="T886" s="16" t="n"/>
      <c r="U886" s="16" t="n"/>
      <c r="V886" s="16" t="n"/>
      <c r="W886" s="16" t="n"/>
      <c r="X886" s="16" t="n"/>
      <c r="Y886" s="16" t="n"/>
      <c r="Z886" s="14" t="n"/>
      <c r="AA886" s="14" t="n"/>
      <c r="AB886" s="14" t="n"/>
      <c r="AC886" s="17">
        <f>IFERROR(VLOOKUP($H886&amp;"|"&amp;$Q886,Tariff_Master!$A$2:$L$169,3,FALSE),"")</f>
        <v/>
      </c>
      <c r="AD886" s="17">
        <f>IFERROR(VLOOKUP($H886&amp;"|"&amp;$Q886,Tariff_Master!$A$2:$L$169,4,FALSE),"")</f>
        <v/>
      </c>
      <c r="AE886" s="18">
        <f>IFERROR(VLOOKUP($H886&amp;"|"&amp;$Q886,Tariff_Master!$A$2:$L$169,6,FALSE),"")</f>
        <v/>
      </c>
      <c r="AF886" s="19">
        <f>IFERROR(VLOOKUP($H886&amp;"|"&amp;$Q886,Tariff_Master!$A$2:$L$169,7,FALSE),"")</f>
        <v/>
      </c>
      <c r="AG886" s="18">
        <f>IFERROR(VLOOKUP($H886&amp;"|"&amp;$Q886,Tariff_Master!$A$2:$L$169,8,FALSE),"")</f>
        <v/>
      </c>
      <c r="AH886" s="20">
        <f>IFERROR(VLOOKUP($H886&amp;"|"&amp;$Q886,Tariff_Master!$A$2:$L$169,9,FALSE),"")</f>
        <v/>
      </c>
      <c r="AI886" s="18">
        <f>IFERROR(VLOOKUP($H886&amp;"|"&amp;$Q886,Tariff_Master!$A$2:$L$169,10,FALSE),"")</f>
        <v/>
      </c>
      <c r="AJ886" s="21">
        <f>IF($M886="","",ROUNDUP(MAX(0,$M886),0))</f>
        <v/>
      </c>
      <c r="AK886" s="21">
        <f>IF(OR($AJ886="",$AF886=""),"",MAX(0,$AJ886-$AF886))</f>
        <v/>
      </c>
      <c r="AL886" s="22">
        <f>IF(OR($AK886="",$AG886=""),"",MAX(0,$AK886*$AG886))</f>
        <v/>
      </c>
      <c r="AM886" s="22">
        <f>IF($AE886="","",MAX(0,SUM($AE886,$AL886,$V886,$W886)))</f>
        <v/>
      </c>
      <c r="AN886" s="22">
        <f>IF($AM886="","",IF(AND($Q886="COMMITMENT",$R886&gt;=$AH886),$AI886,0))</f>
        <v/>
      </c>
      <c r="AO886" s="23">
        <f>IF($AM886="","",MAX(0,$AM886-$AN886))</f>
        <v/>
      </c>
      <c r="AP886" s="22">
        <f>IF($S886="","",IF(OR($S886="ITEM_PRICE_PLUS_DECLARED_DELIVERY",$S886="DELIVERY_CHARGE_ONLY"),$K886,IF($S886="TOTAL_AMOUNT_INCLUDING_DELIVERY",IF(OR($T886="",$J886=""),"",MAX(0,$T886-$J886-$U886)),IF($S886="ITEM_PRICE_ONLY_DELIVERY_PAID_BY_MERCHANT",0,""))))</f>
        <v/>
      </c>
      <c r="AQ886" s="23">
        <f>IF(OR($AP886="",$AO886=""),"",$AP886-$AO886)</f>
        <v/>
      </c>
      <c r="AR886" s="24">
        <f>IF($S886="EXACT_COLLECTION_AMOUNT","BREAKDOWN_REQUIRED",IF($AQ886="","",IF($AQ886&gt;0,"CREDIT_TO_MERCHANT",IF($AQ886&lt;0,"DEDUCT_FROM_MERCHANT","NO_ADJUSTMENT"))))</f>
        <v/>
      </c>
      <c r="AS886" s="23">
        <f>IF(OR($AQ886="",$AR886="BREAKDOWN_REQUIRED"),"",$AQ886)</f>
        <v/>
      </c>
      <c r="AT886" s="23">
        <f>IF(OR($AR886="",$AR886="BREAKDOWN_REQUIRED"),"",SUM($J886,$AQ886,$Y886)-$X886)</f>
        <v/>
      </c>
      <c r="AU886" s="25">
        <f>IF(AND($A886="",$B886="",$F886="",$H886="",$J886="",$K886="",$M886="",$S886=""),"",IF(OR($H886="",$Q886="",$M886="",$S886=""),"ERROR",IF(OR($J886&lt;0,$K886&lt;0,$M886&lt;0,$T886&lt;0,$U886&lt;0,$V886&lt;0,$W886&lt;0,$X886&lt;0,$Y886&lt;0),"ERROR",IF($AE886="","ERROR",IF(AND(OR($S886="ITEM_PRICE_PLUS_DECLARED_DELIVERY",$S886="TOTAL_AMOUNT_INCLUDING_DELIVERY",$S886="ITEM_PRICE_ONLY_DELIVERY_PAID_BY_MERCHANT"),$J886=""),"ERROR",IF(AND(OR($S886="ITEM_PRICE_PLUS_DECLARED_DELIVERY",$S886="DELIVERY_CHARGE_ONLY"),$K886=""),"ERROR",IF(AND(OR($S886="TOTAL_AMOUNT_INCLUDING_DELIVERY",$S886="EXACT_COLLECTION_AMOUNT"),$T886=""),"ERROR",IF(AND($S886="TOTAL_AMOUNT_INCLUDING_DELIVERY",$T886&lt;SUM($J886,$U886)),"ERROR",IF($S886="EXACT_COLLECTION_AMOUNT","REVIEW","OK")))))))))</f>
        <v/>
      </c>
      <c r="AV886" s="25">
        <f>IF($AU886="","",IF($H886="","Township required",IF($Q886="","Customer tier required",IF($M886="","Weight required",IF($S886="","Amount entry type required",IF(OR($J886&lt;0,$K886&lt;0,$M886&lt;0,$T886&lt;0,$U886&lt;0,$V886&lt;0,$W886&lt;0,$X886&lt;0,$Y886&lt;0),"Negative amounts are not allowed",IF($AE886="","Tariff not found for township and tier",IF(AND(OR($S886="ITEM_PRICE_PLUS_DECLARED_DELIVERY",$S886="TOTAL_AMOUNT_INCLUDING_DELIVERY",$S886="ITEM_PRICE_ONLY_DELIVERY_PAID_BY_MERCHANT"),$J886=""),"Item price required for this amount type",IF(AND(OR($S886="ITEM_PRICE_PLUS_DECLARED_DELIVERY",$S886="DELIVERY_CHARGE_ONLY"),$K886=""),"Declared delivery charge required",IF(AND(OR($S886="TOTAL_AMOUNT_INCLUDING_DELIVERY",$S886="EXACT_COLLECTION_AMOUNT"),$T886=""),"Stated total amount required",IF(AND($S886="TOTAL_AMOUNT_INCLUDING_DELIVERY",$T886&lt;SUM($J886,$U886)),"Stated total is below item price plus additional charge",IF($S886="EXACT_COLLECTION_AMOUNT","Authorized amount breakdown required before settlement","Ready for collection and settlement"))))))))))))</f>
        <v/>
      </c>
      <c r="AW886" s="23">
        <f>IF($AU886="","","PARCEL_FINANCIAL_V2")</f>
        <v/>
      </c>
      <c r="AX886" s="17" t="n"/>
    </row>
    <row r="887">
      <c r="A887" s="8" t="n"/>
      <c r="B887" s="8" t="n"/>
      <c r="C887" s="8" t="n"/>
      <c r="D887" s="8" t="n"/>
      <c r="E887" s="9" t="n"/>
      <c r="F887" s="9" t="n"/>
      <c r="G887" s="8" t="n"/>
      <c r="H887" s="9" t="n"/>
      <c r="I887" s="9" t="n"/>
      <c r="J887" s="10" t="n"/>
      <c r="K887" s="10" t="n"/>
      <c r="L887" s="11">
        <f>IF($S887="","",IF($S887="ITEM_PRICE_PLUS_DECLARED_DELIVERY",IF(OR($J887="",$K887=""),"",SUM($J887,$K887,$U887)),IF($S887="TOTAL_AMOUNT_INCLUDING_DELIVERY",IF($T887="","",$T887),IF($S887="DELIVERY_CHARGE_ONLY",IF($K887="","",SUM($K887,$U887)),IF($S887="EXACT_COLLECTION_AMOUNT",IF($T887="","",$T887),IF($S887="ITEM_PRICE_ONLY_DELIVERY_PAID_BY_MERCHANT",IF($J887="","",SUM($J887,$U887)),""))))))</f>
        <v/>
      </c>
      <c r="M887" s="12" t="n"/>
      <c r="N887" s="13" t="n"/>
      <c r="O887" s="13" t="n"/>
      <c r="P887" s="9" t="n"/>
      <c r="Q887" s="14" t="n"/>
      <c r="R887" s="15" t="n"/>
      <c r="S887" s="14" t="n"/>
      <c r="T887" s="16" t="n"/>
      <c r="U887" s="16" t="n"/>
      <c r="V887" s="16" t="n"/>
      <c r="W887" s="16" t="n"/>
      <c r="X887" s="16" t="n"/>
      <c r="Y887" s="16" t="n"/>
      <c r="Z887" s="14" t="n"/>
      <c r="AA887" s="14" t="n"/>
      <c r="AB887" s="14" t="n"/>
      <c r="AC887" s="17">
        <f>IFERROR(VLOOKUP($H887&amp;"|"&amp;$Q887,Tariff_Master!$A$2:$L$169,3,FALSE),"")</f>
        <v/>
      </c>
      <c r="AD887" s="17">
        <f>IFERROR(VLOOKUP($H887&amp;"|"&amp;$Q887,Tariff_Master!$A$2:$L$169,4,FALSE),"")</f>
        <v/>
      </c>
      <c r="AE887" s="18">
        <f>IFERROR(VLOOKUP($H887&amp;"|"&amp;$Q887,Tariff_Master!$A$2:$L$169,6,FALSE),"")</f>
        <v/>
      </c>
      <c r="AF887" s="19">
        <f>IFERROR(VLOOKUP($H887&amp;"|"&amp;$Q887,Tariff_Master!$A$2:$L$169,7,FALSE),"")</f>
        <v/>
      </c>
      <c r="AG887" s="18">
        <f>IFERROR(VLOOKUP($H887&amp;"|"&amp;$Q887,Tariff_Master!$A$2:$L$169,8,FALSE),"")</f>
        <v/>
      </c>
      <c r="AH887" s="20">
        <f>IFERROR(VLOOKUP($H887&amp;"|"&amp;$Q887,Tariff_Master!$A$2:$L$169,9,FALSE),"")</f>
        <v/>
      </c>
      <c r="AI887" s="18">
        <f>IFERROR(VLOOKUP($H887&amp;"|"&amp;$Q887,Tariff_Master!$A$2:$L$169,10,FALSE),"")</f>
        <v/>
      </c>
      <c r="AJ887" s="21">
        <f>IF($M887="","",ROUNDUP(MAX(0,$M887),0))</f>
        <v/>
      </c>
      <c r="AK887" s="21">
        <f>IF(OR($AJ887="",$AF887=""),"",MAX(0,$AJ887-$AF887))</f>
        <v/>
      </c>
      <c r="AL887" s="22">
        <f>IF(OR($AK887="",$AG887=""),"",MAX(0,$AK887*$AG887))</f>
        <v/>
      </c>
      <c r="AM887" s="22">
        <f>IF($AE887="","",MAX(0,SUM($AE887,$AL887,$V887,$W887)))</f>
        <v/>
      </c>
      <c r="AN887" s="22">
        <f>IF($AM887="","",IF(AND($Q887="COMMITMENT",$R887&gt;=$AH887),$AI887,0))</f>
        <v/>
      </c>
      <c r="AO887" s="23">
        <f>IF($AM887="","",MAX(0,$AM887-$AN887))</f>
        <v/>
      </c>
      <c r="AP887" s="22">
        <f>IF($S887="","",IF(OR($S887="ITEM_PRICE_PLUS_DECLARED_DELIVERY",$S887="DELIVERY_CHARGE_ONLY"),$K887,IF($S887="TOTAL_AMOUNT_INCLUDING_DELIVERY",IF(OR($T887="",$J887=""),"",MAX(0,$T887-$J887-$U887)),IF($S887="ITEM_PRICE_ONLY_DELIVERY_PAID_BY_MERCHANT",0,""))))</f>
        <v/>
      </c>
      <c r="AQ887" s="23">
        <f>IF(OR($AP887="",$AO887=""),"",$AP887-$AO887)</f>
        <v/>
      </c>
      <c r="AR887" s="24">
        <f>IF($S887="EXACT_COLLECTION_AMOUNT","BREAKDOWN_REQUIRED",IF($AQ887="","",IF($AQ887&gt;0,"CREDIT_TO_MERCHANT",IF($AQ887&lt;0,"DEDUCT_FROM_MERCHANT","NO_ADJUSTMENT"))))</f>
        <v/>
      </c>
      <c r="AS887" s="23">
        <f>IF(OR($AQ887="",$AR887="BREAKDOWN_REQUIRED"),"",$AQ887)</f>
        <v/>
      </c>
      <c r="AT887" s="23">
        <f>IF(OR($AR887="",$AR887="BREAKDOWN_REQUIRED"),"",SUM($J887,$AQ887,$Y887)-$X887)</f>
        <v/>
      </c>
      <c r="AU887" s="25">
        <f>IF(AND($A887="",$B887="",$F887="",$H887="",$J887="",$K887="",$M887="",$S887=""),"",IF(OR($H887="",$Q887="",$M887="",$S887=""),"ERROR",IF(OR($J887&lt;0,$K887&lt;0,$M887&lt;0,$T887&lt;0,$U887&lt;0,$V887&lt;0,$W887&lt;0,$X887&lt;0,$Y887&lt;0),"ERROR",IF($AE887="","ERROR",IF(AND(OR($S887="ITEM_PRICE_PLUS_DECLARED_DELIVERY",$S887="TOTAL_AMOUNT_INCLUDING_DELIVERY",$S887="ITEM_PRICE_ONLY_DELIVERY_PAID_BY_MERCHANT"),$J887=""),"ERROR",IF(AND(OR($S887="ITEM_PRICE_PLUS_DECLARED_DELIVERY",$S887="DELIVERY_CHARGE_ONLY"),$K887=""),"ERROR",IF(AND(OR($S887="TOTAL_AMOUNT_INCLUDING_DELIVERY",$S887="EXACT_COLLECTION_AMOUNT"),$T887=""),"ERROR",IF(AND($S887="TOTAL_AMOUNT_INCLUDING_DELIVERY",$T887&lt;SUM($J887,$U887)),"ERROR",IF($S887="EXACT_COLLECTION_AMOUNT","REVIEW","OK")))))))))</f>
        <v/>
      </c>
      <c r="AV887" s="25">
        <f>IF($AU887="","",IF($H887="","Township required",IF($Q887="","Customer tier required",IF($M887="","Weight required",IF($S887="","Amount entry type required",IF(OR($J887&lt;0,$K887&lt;0,$M887&lt;0,$T887&lt;0,$U887&lt;0,$V887&lt;0,$W887&lt;0,$X887&lt;0,$Y887&lt;0),"Negative amounts are not allowed",IF($AE887="","Tariff not found for township and tier",IF(AND(OR($S887="ITEM_PRICE_PLUS_DECLARED_DELIVERY",$S887="TOTAL_AMOUNT_INCLUDING_DELIVERY",$S887="ITEM_PRICE_ONLY_DELIVERY_PAID_BY_MERCHANT"),$J887=""),"Item price required for this amount type",IF(AND(OR($S887="ITEM_PRICE_PLUS_DECLARED_DELIVERY",$S887="DELIVERY_CHARGE_ONLY"),$K887=""),"Declared delivery charge required",IF(AND(OR($S887="TOTAL_AMOUNT_INCLUDING_DELIVERY",$S887="EXACT_COLLECTION_AMOUNT"),$T887=""),"Stated total amount required",IF(AND($S887="TOTAL_AMOUNT_INCLUDING_DELIVERY",$T887&lt;SUM($J887,$U887)),"Stated total is below item price plus additional charge",IF($S887="EXACT_COLLECTION_AMOUNT","Authorized amount breakdown required before settlement","Ready for collection and settlement"))))))))))))</f>
        <v/>
      </c>
      <c r="AW887" s="23">
        <f>IF($AU887="","","PARCEL_FINANCIAL_V2")</f>
        <v/>
      </c>
      <c r="AX887" s="17" t="n"/>
    </row>
    <row r="888">
      <c r="A888" s="8" t="n"/>
      <c r="B888" s="8" t="n"/>
      <c r="C888" s="8" t="n"/>
      <c r="D888" s="8" t="n"/>
      <c r="E888" s="9" t="n"/>
      <c r="F888" s="9" t="n"/>
      <c r="G888" s="8" t="n"/>
      <c r="H888" s="9" t="n"/>
      <c r="I888" s="9" t="n"/>
      <c r="J888" s="10" t="n"/>
      <c r="K888" s="10" t="n"/>
      <c r="L888" s="11">
        <f>IF($S888="","",IF($S888="ITEM_PRICE_PLUS_DECLARED_DELIVERY",IF(OR($J888="",$K888=""),"",SUM($J888,$K888,$U888)),IF($S888="TOTAL_AMOUNT_INCLUDING_DELIVERY",IF($T888="","",$T888),IF($S888="DELIVERY_CHARGE_ONLY",IF($K888="","",SUM($K888,$U888)),IF($S888="EXACT_COLLECTION_AMOUNT",IF($T888="","",$T888),IF($S888="ITEM_PRICE_ONLY_DELIVERY_PAID_BY_MERCHANT",IF($J888="","",SUM($J888,$U888)),""))))))</f>
        <v/>
      </c>
      <c r="M888" s="12" t="n"/>
      <c r="N888" s="13" t="n"/>
      <c r="O888" s="13" t="n"/>
      <c r="P888" s="9" t="n"/>
      <c r="Q888" s="14" t="n"/>
      <c r="R888" s="15" t="n"/>
      <c r="S888" s="14" t="n"/>
      <c r="T888" s="16" t="n"/>
      <c r="U888" s="16" t="n"/>
      <c r="V888" s="16" t="n"/>
      <c r="W888" s="16" t="n"/>
      <c r="X888" s="16" t="n"/>
      <c r="Y888" s="16" t="n"/>
      <c r="Z888" s="14" t="n"/>
      <c r="AA888" s="14" t="n"/>
      <c r="AB888" s="14" t="n"/>
      <c r="AC888" s="17">
        <f>IFERROR(VLOOKUP($H888&amp;"|"&amp;$Q888,Tariff_Master!$A$2:$L$169,3,FALSE),"")</f>
        <v/>
      </c>
      <c r="AD888" s="17">
        <f>IFERROR(VLOOKUP($H888&amp;"|"&amp;$Q888,Tariff_Master!$A$2:$L$169,4,FALSE),"")</f>
        <v/>
      </c>
      <c r="AE888" s="18">
        <f>IFERROR(VLOOKUP($H888&amp;"|"&amp;$Q888,Tariff_Master!$A$2:$L$169,6,FALSE),"")</f>
        <v/>
      </c>
      <c r="AF888" s="19">
        <f>IFERROR(VLOOKUP($H888&amp;"|"&amp;$Q888,Tariff_Master!$A$2:$L$169,7,FALSE),"")</f>
        <v/>
      </c>
      <c r="AG888" s="18">
        <f>IFERROR(VLOOKUP($H888&amp;"|"&amp;$Q888,Tariff_Master!$A$2:$L$169,8,FALSE),"")</f>
        <v/>
      </c>
      <c r="AH888" s="20">
        <f>IFERROR(VLOOKUP($H888&amp;"|"&amp;$Q888,Tariff_Master!$A$2:$L$169,9,FALSE),"")</f>
        <v/>
      </c>
      <c r="AI888" s="18">
        <f>IFERROR(VLOOKUP($H888&amp;"|"&amp;$Q888,Tariff_Master!$A$2:$L$169,10,FALSE),"")</f>
        <v/>
      </c>
      <c r="AJ888" s="21">
        <f>IF($M888="","",ROUNDUP(MAX(0,$M888),0))</f>
        <v/>
      </c>
      <c r="AK888" s="21">
        <f>IF(OR($AJ888="",$AF888=""),"",MAX(0,$AJ888-$AF888))</f>
        <v/>
      </c>
      <c r="AL888" s="22">
        <f>IF(OR($AK888="",$AG888=""),"",MAX(0,$AK888*$AG888))</f>
        <v/>
      </c>
      <c r="AM888" s="22">
        <f>IF($AE888="","",MAX(0,SUM($AE888,$AL888,$V888,$W888)))</f>
        <v/>
      </c>
      <c r="AN888" s="22">
        <f>IF($AM888="","",IF(AND($Q888="COMMITMENT",$R888&gt;=$AH888),$AI888,0))</f>
        <v/>
      </c>
      <c r="AO888" s="23">
        <f>IF($AM888="","",MAX(0,$AM888-$AN888))</f>
        <v/>
      </c>
      <c r="AP888" s="22">
        <f>IF($S888="","",IF(OR($S888="ITEM_PRICE_PLUS_DECLARED_DELIVERY",$S888="DELIVERY_CHARGE_ONLY"),$K888,IF($S888="TOTAL_AMOUNT_INCLUDING_DELIVERY",IF(OR($T888="",$J888=""),"",MAX(0,$T888-$J888-$U888)),IF($S888="ITEM_PRICE_ONLY_DELIVERY_PAID_BY_MERCHANT",0,""))))</f>
        <v/>
      </c>
      <c r="AQ888" s="23">
        <f>IF(OR($AP888="",$AO888=""),"",$AP888-$AO888)</f>
        <v/>
      </c>
      <c r="AR888" s="24">
        <f>IF($S888="EXACT_COLLECTION_AMOUNT","BREAKDOWN_REQUIRED",IF($AQ888="","",IF($AQ888&gt;0,"CREDIT_TO_MERCHANT",IF($AQ888&lt;0,"DEDUCT_FROM_MERCHANT","NO_ADJUSTMENT"))))</f>
        <v/>
      </c>
      <c r="AS888" s="23">
        <f>IF(OR($AQ888="",$AR888="BREAKDOWN_REQUIRED"),"",$AQ888)</f>
        <v/>
      </c>
      <c r="AT888" s="23">
        <f>IF(OR($AR888="",$AR888="BREAKDOWN_REQUIRED"),"",SUM($J888,$AQ888,$Y888)-$X888)</f>
        <v/>
      </c>
      <c r="AU888" s="25">
        <f>IF(AND($A888="",$B888="",$F888="",$H888="",$J888="",$K888="",$M888="",$S888=""),"",IF(OR($H888="",$Q888="",$M888="",$S888=""),"ERROR",IF(OR($J888&lt;0,$K888&lt;0,$M888&lt;0,$T888&lt;0,$U888&lt;0,$V888&lt;0,$W888&lt;0,$X888&lt;0,$Y888&lt;0),"ERROR",IF($AE888="","ERROR",IF(AND(OR($S888="ITEM_PRICE_PLUS_DECLARED_DELIVERY",$S888="TOTAL_AMOUNT_INCLUDING_DELIVERY",$S888="ITEM_PRICE_ONLY_DELIVERY_PAID_BY_MERCHANT"),$J888=""),"ERROR",IF(AND(OR($S888="ITEM_PRICE_PLUS_DECLARED_DELIVERY",$S888="DELIVERY_CHARGE_ONLY"),$K888=""),"ERROR",IF(AND(OR($S888="TOTAL_AMOUNT_INCLUDING_DELIVERY",$S888="EXACT_COLLECTION_AMOUNT"),$T888=""),"ERROR",IF(AND($S888="TOTAL_AMOUNT_INCLUDING_DELIVERY",$T888&lt;SUM($J888,$U888)),"ERROR",IF($S888="EXACT_COLLECTION_AMOUNT","REVIEW","OK")))))))))</f>
        <v/>
      </c>
      <c r="AV888" s="25">
        <f>IF($AU888="","",IF($H888="","Township required",IF($Q888="","Customer tier required",IF($M888="","Weight required",IF($S888="","Amount entry type required",IF(OR($J888&lt;0,$K888&lt;0,$M888&lt;0,$T888&lt;0,$U888&lt;0,$V888&lt;0,$W888&lt;0,$X888&lt;0,$Y888&lt;0),"Negative amounts are not allowed",IF($AE888="","Tariff not found for township and tier",IF(AND(OR($S888="ITEM_PRICE_PLUS_DECLARED_DELIVERY",$S888="TOTAL_AMOUNT_INCLUDING_DELIVERY",$S888="ITEM_PRICE_ONLY_DELIVERY_PAID_BY_MERCHANT"),$J888=""),"Item price required for this amount type",IF(AND(OR($S888="ITEM_PRICE_PLUS_DECLARED_DELIVERY",$S888="DELIVERY_CHARGE_ONLY"),$K888=""),"Declared delivery charge required",IF(AND(OR($S888="TOTAL_AMOUNT_INCLUDING_DELIVERY",$S888="EXACT_COLLECTION_AMOUNT"),$T888=""),"Stated total amount required",IF(AND($S888="TOTAL_AMOUNT_INCLUDING_DELIVERY",$T888&lt;SUM($J888,$U888)),"Stated total is below item price plus additional charge",IF($S888="EXACT_COLLECTION_AMOUNT","Authorized amount breakdown required before settlement","Ready for collection and settlement"))))))))))))</f>
        <v/>
      </c>
      <c r="AW888" s="23">
        <f>IF($AU888="","","PARCEL_FINANCIAL_V2")</f>
        <v/>
      </c>
      <c r="AX888" s="17" t="n"/>
    </row>
    <row r="889">
      <c r="A889" s="8" t="n"/>
      <c r="B889" s="8" t="n"/>
      <c r="C889" s="8" t="n"/>
      <c r="D889" s="8" t="n"/>
      <c r="E889" s="9" t="n"/>
      <c r="F889" s="9" t="n"/>
      <c r="G889" s="8" t="n"/>
      <c r="H889" s="9" t="n"/>
      <c r="I889" s="9" t="n"/>
      <c r="J889" s="10" t="n"/>
      <c r="K889" s="10" t="n"/>
      <c r="L889" s="11">
        <f>IF($S889="","",IF($S889="ITEM_PRICE_PLUS_DECLARED_DELIVERY",IF(OR($J889="",$K889=""),"",SUM($J889,$K889,$U889)),IF($S889="TOTAL_AMOUNT_INCLUDING_DELIVERY",IF($T889="","",$T889),IF($S889="DELIVERY_CHARGE_ONLY",IF($K889="","",SUM($K889,$U889)),IF($S889="EXACT_COLLECTION_AMOUNT",IF($T889="","",$T889),IF($S889="ITEM_PRICE_ONLY_DELIVERY_PAID_BY_MERCHANT",IF($J889="","",SUM($J889,$U889)),""))))))</f>
        <v/>
      </c>
      <c r="M889" s="12" t="n"/>
      <c r="N889" s="13" t="n"/>
      <c r="O889" s="13" t="n"/>
      <c r="P889" s="9" t="n"/>
      <c r="Q889" s="14" t="n"/>
      <c r="R889" s="15" t="n"/>
      <c r="S889" s="14" t="n"/>
      <c r="T889" s="16" t="n"/>
      <c r="U889" s="16" t="n"/>
      <c r="V889" s="16" t="n"/>
      <c r="W889" s="16" t="n"/>
      <c r="X889" s="16" t="n"/>
      <c r="Y889" s="16" t="n"/>
      <c r="Z889" s="14" t="n"/>
      <c r="AA889" s="14" t="n"/>
      <c r="AB889" s="14" t="n"/>
      <c r="AC889" s="17">
        <f>IFERROR(VLOOKUP($H889&amp;"|"&amp;$Q889,Tariff_Master!$A$2:$L$169,3,FALSE),"")</f>
        <v/>
      </c>
      <c r="AD889" s="17">
        <f>IFERROR(VLOOKUP($H889&amp;"|"&amp;$Q889,Tariff_Master!$A$2:$L$169,4,FALSE),"")</f>
        <v/>
      </c>
      <c r="AE889" s="18">
        <f>IFERROR(VLOOKUP($H889&amp;"|"&amp;$Q889,Tariff_Master!$A$2:$L$169,6,FALSE),"")</f>
        <v/>
      </c>
      <c r="AF889" s="19">
        <f>IFERROR(VLOOKUP($H889&amp;"|"&amp;$Q889,Tariff_Master!$A$2:$L$169,7,FALSE),"")</f>
        <v/>
      </c>
      <c r="AG889" s="18">
        <f>IFERROR(VLOOKUP($H889&amp;"|"&amp;$Q889,Tariff_Master!$A$2:$L$169,8,FALSE),"")</f>
        <v/>
      </c>
      <c r="AH889" s="20">
        <f>IFERROR(VLOOKUP($H889&amp;"|"&amp;$Q889,Tariff_Master!$A$2:$L$169,9,FALSE),"")</f>
        <v/>
      </c>
      <c r="AI889" s="18">
        <f>IFERROR(VLOOKUP($H889&amp;"|"&amp;$Q889,Tariff_Master!$A$2:$L$169,10,FALSE),"")</f>
        <v/>
      </c>
      <c r="AJ889" s="21">
        <f>IF($M889="","",ROUNDUP(MAX(0,$M889),0))</f>
        <v/>
      </c>
      <c r="AK889" s="21">
        <f>IF(OR($AJ889="",$AF889=""),"",MAX(0,$AJ889-$AF889))</f>
        <v/>
      </c>
      <c r="AL889" s="22">
        <f>IF(OR($AK889="",$AG889=""),"",MAX(0,$AK889*$AG889))</f>
        <v/>
      </c>
      <c r="AM889" s="22">
        <f>IF($AE889="","",MAX(0,SUM($AE889,$AL889,$V889,$W889)))</f>
        <v/>
      </c>
      <c r="AN889" s="22">
        <f>IF($AM889="","",IF(AND($Q889="COMMITMENT",$R889&gt;=$AH889),$AI889,0))</f>
        <v/>
      </c>
      <c r="AO889" s="23">
        <f>IF($AM889="","",MAX(0,$AM889-$AN889))</f>
        <v/>
      </c>
      <c r="AP889" s="22">
        <f>IF($S889="","",IF(OR($S889="ITEM_PRICE_PLUS_DECLARED_DELIVERY",$S889="DELIVERY_CHARGE_ONLY"),$K889,IF($S889="TOTAL_AMOUNT_INCLUDING_DELIVERY",IF(OR($T889="",$J889=""),"",MAX(0,$T889-$J889-$U889)),IF($S889="ITEM_PRICE_ONLY_DELIVERY_PAID_BY_MERCHANT",0,""))))</f>
        <v/>
      </c>
      <c r="AQ889" s="23">
        <f>IF(OR($AP889="",$AO889=""),"",$AP889-$AO889)</f>
        <v/>
      </c>
      <c r="AR889" s="24">
        <f>IF($S889="EXACT_COLLECTION_AMOUNT","BREAKDOWN_REQUIRED",IF($AQ889="","",IF($AQ889&gt;0,"CREDIT_TO_MERCHANT",IF($AQ889&lt;0,"DEDUCT_FROM_MERCHANT","NO_ADJUSTMENT"))))</f>
        <v/>
      </c>
      <c r="AS889" s="23">
        <f>IF(OR($AQ889="",$AR889="BREAKDOWN_REQUIRED"),"",$AQ889)</f>
        <v/>
      </c>
      <c r="AT889" s="23">
        <f>IF(OR($AR889="",$AR889="BREAKDOWN_REQUIRED"),"",SUM($J889,$AQ889,$Y889)-$X889)</f>
        <v/>
      </c>
      <c r="AU889" s="25">
        <f>IF(AND($A889="",$B889="",$F889="",$H889="",$J889="",$K889="",$M889="",$S889=""),"",IF(OR($H889="",$Q889="",$M889="",$S889=""),"ERROR",IF(OR($J889&lt;0,$K889&lt;0,$M889&lt;0,$T889&lt;0,$U889&lt;0,$V889&lt;0,$W889&lt;0,$X889&lt;0,$Y889&lt;0),"ERROR",IF($AE889="","ERROR",IF(AND(OR($S889="ITEM_PRICE_PLUS_DECLARED_DELIVERY",$S889="TOTAL_AMOUNT_INCLUDING_DELIVERY",$S889="ITEM_PRICE_ONLY_DELIVERY_PAID_BY_MERCHANT"),$J889=""),"ERROR",IF(AND(OR($S889="ITEM_PRICE_PLUS_DECLARED_DELIVERY",$S889="DELIVERY_CHARGE_ONLY"),$K889=""),"ERROR",IF(AND(OR($S889="TOTAL_AMOUNT_INCLUDING_DELIVERY",$S889="EXACT_COLLECTION_AMOUNT"),$T889=""),"ERROR",IF(AND($S889="TOTAL_AMOUNT_INCLUDING_DELIVERY",$T889&lt;SUM($J889,$U889)),"ERROR",IF($S889="EXACT_COLLECTION_AMOUNT","REVIEW","OK")))))))))</f>
        <v/>
      </c>
      <c r="AV889" s="25">
        <f>IF($AU889="","",IF($H889="","Township required",IF($Q889="","Customer tier required",IF($M889="","Weight required",IF($S889="","Amount entry type required",IF(OR($J889&lt;0,$K889&lt;0,$M889&lt;0,$T889&lt;0,$U889&lt;0,$V889&lt;0,$W889&lt;0,$X889&lt;0,$Y889&lt;0),"Negative amounts are not allowed",IF($AE889="","Tariff not found for township and tier",IF(AND(OR($S889="ITEM_PRICE_PLUS_DECLARED_DELIVERY",$S889="TOTAL_AMOUNT_INCLUDING_DELIVERY",$S889="ITEM_PRICE_ONLY_DELIVERY_PAID_BY_MERCHANT"),$J889=""),"Item price required for this amount type",IF(AND(OR($S889="ITEM_PRICE_PLUS_DECLARED_DELIVERY",$S889="DELIVERY_CHARGE_ONLY"),$K889=""),"Declared delivery charge required",IF(AND(OR($S889="TOTAL_AMOUNT_INCLUDING_DELIVERY",$S889="EXACT_COLLECTION_AMOUNT"),$T889=""),"Stated total amount required",IF(AND($S889="TOTAL_AMOUNT_INCLUDING_DELIVERY",$T889&lt;SUM($J889,$U889)),"Stated total is below item price plus additional charge",IF($S889="EXACT_COLLECTION_AMOUNT","Authorized amount breakdown required before settlement","Ready for collection and settlement"))))))))))))</f>
        <v/>
      </c>
      <c r="AW889" s="23">
        <f>IF($AU889="","","PARCEL_FINANCIAL_V2")</f>
        <v/>
      </c>
      <c r="AX889" s="17" t="n"/>
    </row>
    <row r="890">
      <c r="A890" s="8" t="n"/>
      <c r="B890" s="8" t="n"/>
      <c r="C890" s="8" t="n"/>
      <c r="D890" s="8" t="n"/>
      <c r="E890" s="9" t="n"/>
      <c r="F890" s="9" t="n"/>
      <c r="G890" s="8" t="n"/>
      <c r="H890" s="9" t="n"/>
      <c r="I890" s="9" t="n"/>
      <c r="J890" s="10" t="n"/>
      <c r="K890" s="10" t="n"/>
      <c r="L890" s="11">
        <f>IF($S890="","",IF($S890="ITEM_PRICE_PLUS_DECLARED_DELIVERY",IF(OR($J890="",$K890=""),"",SUM($J890,$K890,$U890)),IF($S890="TOTAL_AMOUNT_INCLUDING_DELIVERY",IF($T890="","",$T890),IF($S890="DELIVERY_CHARGE_ONLY",IF($K890="","",SUM($K890,$U890)),IF($S890="EXACT_COLLECTION_AMOUNT",IF($T890="","",$T890),IF($S890="ITEM_PRICE_ONLY_DELIVERY_PAID_BY_MERCHANT",IF($J890="","",SUM($J890,$U890)),""))))))</f>
        <v/>
      </c>
      <c r="M890" s="12" t="n"/>
      <c r="N890" s="13" t="n"/>
      <c r="O890" s="13" t="n"/>
      <c r="P890" s="9" t="n"/>
      <c r="Q890" s="14" t="n"/>
      <c r="R890" s="15" t="n"/>
      <c r="S890" s="14" t="n"/>
      <c r="T890" s="16" t="n"/>
      <c r="U890" s="16" t="n"/>
      <c r="V890" s="16" t="n"/>
      <c r="W890" s="16" t="n"/>
      <c r="X890" s="16" t="n"/>
      <c r="Y890" s="16" t="n"/>
      <c r="Z890" s="14" t="n"/>
      <c r="AA890" s="14" t="n"/>
      <c r="AB890" s="14" t="n"/>
      <c r="AC890" s="17">
        <f>IFERROR(VLOOKUP($H890&amp;"|"&amp;$Q890,Tariff_Master!$A$2:$L$169,3,FALSE),"")</f>
        <v/>
      </c>
      <c r="AD890" s="17">
        <f>IFERROR(VLOOKUP($H890&amp;"|"&amp;$Q890,Tariff_Master!$A$2:$L$169,4,FALSE),"")</f>
        <v/>
      </c>
      <c r="AE890" s="18">
        <f>IFERROR(VLOOKUP($H890&amp;"|"&amp;$Q890,Tariff_Master!$A$2:$L$169,6,FALSE),"")</f>
        <v/>
      </c>
      <c r="AF890" s="19">
        <f>IFERROR(VLOOKUP($H890&amp;"|"&amp;$Q890,Tariff_Master!$A$2:$L$169,7,FALSE),"")</f>
        <v/>
      </c>
      <c r="AG890" s="18">
        <f>IFERROR(VLOOKUP($H890&amp;"|"&amp;$Q890,Tariff_Master!$A$2:$L$169,8,FALSE),"")</f>
        <v/>
      </c>
      <c r="AH890" s="20">
        <f>IFERROR(VLOOKUP($H890&amp;"|"&amp;$Q890,Tariff_Master!$A$2:$L$169,9,FALSE),"")</f>
        <v/>
      </c>
      <c r="AI890" s="18">
        <f>IFERROR(VLOOKUP($H890&amp;"|"&amp;$Q890,Tariff_Master!$A$2:$L$169,10,FALSE),"")</f>
        <v/>
      </c>
      <c r="AJ890" s="21">
        <f>IF($M890="","",ROUNDUP(MAX(0,$M890),0))</f>
        <v/>
      </c>
      <c r="AK890" s="21">
        <f>IF(OR($AJ890="",$AF890=""),"",MAX(0,$AJ890-$AF890))</f>
        <v/>
      </c>
      <c r="AL890" s="22">
        <f>IF(OR($AK890="",$AG890=""),"",MAX(0,$AK890*$AG890))</f>
        <v/>
      </c>
      <c r="AM890" s="22">
        <f>IF($AE890="","",MAX(0,SUM($AE890,$AL890,$V890,$W890)))</f>
        <v/>
      </c>
      <c r="AN890" s="22">
        <f>IF($AM890="","",IF(AND($Q890="COMMITMENT",$R890&gt;=$AH890),$AI890,0))</f>
        <v/>
      </c>
      <c r="AO890" s="23">
        <f>IF($AM890="","",MAX(0,$AM890-$AN890))</f>
        <v/>
      </c>
      <c r="AP890" s="22">
        <f>IF($S890="","",IF(OR($S890="ITEM_PRICE_PLUS_DECLARED_DELIVERY",$S890="DELIVERY_CHARGE_ONLY"),$K890,IF($S890="TOTAL_AMOUNT_INCLUDING_DELIVERY",IF(OR($T890="",$J890=""),"",MAX(0,$T890-$J890-$U890)),IF($S890="ITEM_PRICE_ONLY_DELIVERY_PAID_BY_MERCHANT",0,""))))</f>
        <v/>
      </c>
      <c r="AQ890" s="23">
        <f>IF(OR($AP890="",$AO890=""),"",$AP890-$AO890)</f>
        <v/>
      </c>
      <c r="AR890" s="24">
        <f>IF($S890="EXACT_COLLECTION_AMOUNT","BREAKDOWN_REQUIRED",IF($AQ890="","",IF($AQ890&gt;0,"CREDIT_TO_MERCHANT",IF($AQ890&lt;0,"DEDUCT_FROM_MERCHANT","NO_ADJUSTMENT"))))</f>
        <v/>
      </c>
      <c r="AS890" s="23">
        <f>IF(OR($AQ890="",$AR890="BREAKDOWN_REQUIRED"),"",$AQ890)</f>
        <v/>
      </c>
      <c r="AT890" s="23">
        <f>IF(OR($AR890="",$AR890="BREAKDOWN_REQUIRED"),"",SUM($J890,$AQ890,$Y890)-$X890)</f>
        <v/>
      </c>
      <c r="AU890" s="25">
        <f>IF(AND($A890="",$B890="",$F890="",$H890="",$J890="",$K890="",$M890="",$S890=""),"",IF(OR($H890="",$Q890="",$M890="",$S890=""),"ERROR",IF(OR($J890&lt;0,$K890&lt;0,$M890&lt;0,$T890&lt;0,$U890&lt;0,$V890&lt;0,$W890&lt;0,$X890&lt;0,$Y890&lt;0),"ERROR",IF($AE890="","ERROR",IF(AND(OR($S890="ITEM_PRICE_PLUS_DECLARED_DELIVERY",$S890="TOTAL_AMOUNT_INCLUDING_DELIVERY",$S890="ITEM_PRICE_ONLY_DELIVERY_PAID_BY_MERCHANT"),$J890=""),"ERROR",IF(AND(OR($S890="ITEM_PRICE_PLUS_DECLARED_DELIVERY",$S890="DELIVERY_CHARGE_ONLY"),$K890=""),"ERROR",IF(AND(OR($S890="TOTAL_AMOUNT_INCLUDING_DELIVERY",$S890="EXACT_COLLECTION_AMOUNT"),$T890=""),"ERROR",IF(AND($S890="TOTAL_AMOUNT_INCLUDING_DELIVERY",$T890&lt;SUM($J890,$U890)),"ERROR",IF($S890="EXACT_COLLECTION_AMOUNT","REVIEW","OK")))))))))</f>
        <v/>
      </c>
      <c r="AV890" s="25">
        <f>IF($AU890="","",IF($H890="","Township required",IF($Q890="","Customer tier required",IF($M890="","Weight required",IF($S890="","Amount entry type required",IF(OR($J890&lt;0,$K890&lt;0,$M890&lt;0,$T890&lt;0,$U890&lt;0,$V890&lt;0,$W890&lt;0,$X890&lt;0,$Y890&lt;0),"Negative amounts are not allowed",IF($AE890="","Tariff not found for township and tier",IF(AND(OR($S890="ITEM_PRICE_PLUS_DECLARED_DELIVERY",$S890="TOTAL_AMOUNT_INCLUDING_DELIVERY",$S890="ITEM_PRICE_ONLY_DELIVERY_PAID_BY_MERCHANT"),$J890=""),"Item price required for this amount type",IF(AND(OR($S890="ITEM_PRICE_PLUS_DECLARED_DELIVERY",$S890="DELIVERY_CHARGE_ONLY"),$K890=""),"Declared delivery charge required",IF(AND(OR($S890="TOTAL_AMOUNT_INCLUDING_DELIVERY",$S890="EXACT_COLLECTION_AMOUNT"),$T890=""),"Stated total amount required",IF(AND($S890="TOTAL_AMOUNT_INCLUDING_DELIVERY",$T890&lt;SUM($J890,$U890)),"Stated total is below item price plus additional charge",IF($S890="EXACT_COLLECTION_AMOUNT","Authorized amount breakdown required before settlement","Ready for collection and settlement"))))))))))))</f>
        <v/>
      </c>
      <c r="AW890" s="23">
        <f>IF($AU890="","","PARCEL_FINANCIAL_V2")</f>
        <v/>
      </c>
      <c r="AX890" s="17" t="n"/>
    </row>
    <row r="891">
      <c r="A891" s="8" t="n"/>
      <c r="B891" s="8" t="n"/>
      <c r="C891" s="8" t="n"/>
      <c r="D891" s="8" t="n"/>
      <c r="E891" s="9" t="n"/>
      <c r="F891" s="9" t="n"/>
      <c r="G891" s="8" t="n"/>
      <c r="H891" s="9" t="n"/>
      <c r="I891" s="9" t="n"/>
      <c r="J891" s="10" t="n"/>
      <c r="K891" s="10" t="n"/>
      <c r="L891" s="11">
        <f>IF($S891="","",IF($S891="ITEM_PRICE_PLUS_DECLARED_DELIVERY",IF(OR($J891="",$K891=""),"",SUM($J891,$K891,$U891)),IF($S891="TOTAL_AMOUNT_INCLUDING_DELIVERY",IF($T891="","",$T891),IF($S891="DELIVERY_CHARGE_ONLY",IF($K891="","",SUM($K891,$U891)),IF($S891="EXACT_COLLECTION_AMOUNT",IF($T891="","",$T891),IF($S891="ITEM_PRICE_ONLY_DELIVERY_PAID_BY_MERCHANT",IF($J891="","",SUM($J891,$U891)),""))))))</f>
        <v/>
      </c>
      <c r="M891" s="12" t="n"/>
      <c r="N891" s="13" t="n"/>
      <c r="O891" s="13" t="n"/>
      <c r="P891" s="9" t="n"/>
      <c r="Q891" s="14" t="n"/>
      <c r="R891" s="15" t="n"/>
      <c r="S891" s="14" t="n"/>
      <c r="T891" s="16" t="n"/>
      <c r="U891" s="16" t="n"/>
      <c r="V891" s="16" t="n"/>
      <c r="W891" s="16" t="n"/>
      <c r="X891" s="16" t="n"/>
      <c r="Y891" s="16" t="n"/>
      <c r="Z891" s="14" t="n"/>
      <c r="AA891" s="14" t="n"/>
      <c r="AB891" s="14" t="n"/>
      <c r="AC891" s="17">
        <f>IFERROR(VLOOKUP($H891&amp;"|"&amp;$Q891,Tariff_Master!$A$2:$L$169,3,FALSE),"")</f>
        <v/>
      </c>
      <c r="AD891" s="17">
        <f>IFERROR(VLOOKUP($H891&amp;"|"&amp;$Q891,Tariff_Master!$A$2:$L$169,4,FALSE),"")</f>
        <v/>
      </c>
      <c r="AE891" s="18">
        <f>IFERROR(VLOOKUP($H891&amp;"|"&amp;$Q891,Tariff_Master!$A$2:$L$169,6,FALSE),"")</f>
        <v/>
      </c>
      <c r="AF891" s="19">
        <f>IFERROR(VLOOKUP($H891&amp;"|"&amp;$Q891,Tariff_Master!$A$2:$L$169,7,FALSE),"")</f>
        <v/>
      </c>
      <c r="AG891" s="18">
        <f>IFERROR(VLOOKUP($H891&amp;"|"&amp;$Q891,Tariff_Master!$A$2:$L$169,8,FALSE),"")</f>
        <v/>
      </c>
      <c r="AH891" s="20">
        <f>IFERROR(VLOOKUP($H891&amp;"|"&amp;$Q891,Tariff_Master!$A$2:$L$169,9,FALSE),"")</f>
        <v/>
      </c>
      <c r="AI891" s="18">
        <f>IFERROR(VLOOKUP($H891&amp;"|"&amp;$Q891,Tariff_Master!$A$2:$L$169,10,FALSE),"")</f>
        <v/>
      </c>
      <c r="AJ891" s="21">
        <f>IF($M891="","",ROUNDUP(MAX(0,$M891),0))</f>
        <v/>
      </c>
      <c r="AK891" s="21">
        <f>IF(OR($AJ891="",$AF891=""),"",MAX(0,$AJ891-$AF891))</f>
        <v/>
      </c>
      <c r="AL891" s="22">
        <f>IF(OR($AK891="",$AG891=""),"",MAX(0,$AK891*$AG891))</f>
        <v/>
      </c>
      <c r="AM891" s="22">
        <f>IF($AE891="","",MAX(0,SUM($AE891,$AL891,$V891,$W891)))</f>
        <v/>
      </c>
      <c r="AN891" s="22">
        <f>IF($AM891="","",IF(AND($Q891="COMMITMENT",$R891&gt;=$AH891),$AI891,0))</f>
        <v/>
      </c>
      <c r="AO891" s="23">
        <f>IF($AM891="","",MAX(0,$AM891-$AN891))</f>
        <v/>
      </c>
      <c r="AP891" s="22">
        <f>IF($S891="","",IF(OR($S891="ITEM_PRICE_PLUS_DECLARED_DELIVERY",$S891="DELIVERY_CHARGE_ONLY"),$K891,IF($S891="TOTAL_AMOUNT_INCLUDING_DELIVERY",IF(OR($T891="",$J891=""),"",MAX(0,$T891-$J891-$U891)),IF($S891="ITEM_PRICE_ONLY_DELIVERY_PAID_BY_MERCHANT",0,""))))</f>
        <v/>
      </c>
      <c r="AQ891" s="23">
        <f>IF(OR($AP891="",$AO891=""),"",$AP891-$AO891)</f>
        <v/>
      </c>
      <c r="AR891" s="24">
        <f>IF($S891="EXACT_COLLECTION_AMOUNT","BREAKDOWN_REQUIRED",IF($AQ891="","",IF($AQ891&gt;0,"CREDIT_TO_MERCHANT",IF($AQ891&lt;0,"DEDUCT_FROM_MERCHANT","NO_ADJUSTMENT"))))</f>
        <v/>
      </c>
      <c r="AS891" s="23">
        <f>IF(OR($AQ891="",$AR891="BREAKDOWN_REQUIRED"),"",$AQ891)</f>
        <v/>
      </c>
      <c r="AT891" s="23">
        <f>IF(OR($AR891="",$AR891="BREAKDOWN_REQUIRED"),"",SUM($J891,$AQ891,$Y891)-$X891)</f>
        <v/>
      </c>
      <c r="AU891" s="25">
        <f>IF(AND($A891="",$B891="",$F891="",$H891="",$J891="",$K891="",$M891="",$S891=""),"",IF(OR($H891="",$Q891="",$M891="",$S891=""),"ERROR",IF(OR($J891&lt;0,$K891&lt;0,$M891&lt;0,$T891&lt;0,$U891&lt;0,$V891&lt;0,$W891&lt;0,$X891&lt;0,$Y891&lt;0),"ERROR",IF($AE891="","ERROR",IF(AND(OR($S891="ITEM_PRICE_PLUS_DECLARED_DELIVERY",$S891="TOTAL_AMOUNT_INCLUDING_DELIVERY",$S891="ITEM_PRICE_ONLY_DELIVERY_PAID_BY_MERCHANT"),$J891=""),"ERROR",IF(AND(OR($S891="ITEM_PRICE_PLUS_DECLARED_DELIVERY",$S891="DELIVERY_CHARGE_ONLY"),$K891=""),"ERROR",IF(AND(OR($S891="TOTAL_AMOUNT_INCLUDING_DELIVERY",$S891="EXACT_COLLECTION_AMOUNT"),$T891=""),"ERROR",IF(AND($S891="TOTAL_AMOUNT_INCLUDING_DELIVERY",$T891&lt;SUM($J891,$U891)),"ERROR",IF($S891="EXACT_COLLECTION_AMOUNT","REVIEW","OK")))))))))</f>
        <v/>
      </c>
      <c r="AV891" s="25">
        <f>IF($AU891="","",IF($H891="","Township required",IF($Q891="","Customer tier required",IF($M891="","Weight required",IF($S891="","Amount entry type required",IF(OR($J891&lt;0,$K891&lt;0,$M891&lt;0,$T891&lt;0,$U891&lt;0,$V891&lt;0,$W891&lt;0,$X891&lt;0,$Y891&lt;0),"Negative amounts are not allowed",IF($AE891="","Tariff not found for township and tier",IF(AND(OR($S891="ITEM_PRICE_PLUS_DECLARED_DELIVERY",$S891="TOTAL_AMOUNT_INCLUDING_DELIVERY",$S891="ITEM_PRICE_ONLY_DELIVERY_PAID_BY_MERCHANT"),$J891=""),"Item price required for this amount type",IF(AND(OR($S891="ITEM_PRICE_PLUS_DECLARED_DELIVERY",$S891="DELIVERY_CHARGE_ONLY"),$K891=""),"Declared delivery charge required",IF(AND(OR($S891="TOTAL_AMOUNT_INCLUDING_DELIVERY",$S891="EXACT_COLLECTION_AMOUNT"),$T891=""),"Stated total amount required",IF(AND($S891="TOTAL_AMOUNT_INCLUDING_DELIVERY",$T891&lt;SUM($J891,$U891)),"Stated total is below item price plus additional charge",IF($S891="EXACT_COLLECTION_AMOUNT","Authorized amount breakdown required before settlement","Ready for collection and settlement"))))))))))))</f>
        <v/>
      </c>
      <c r="AW891" s="23">
        <f>IF($AU891="","","PARCEL_FINANCIAL_V2")</f>
        <v/>
      </c>
      <c r="AX891" s="17" t="n"/>
    </row>
    <row r="892">
      <c r="A892" s="8" t="n"/>
      <c r="B892" s="8" t="n"/>
      <c r="C892" s="8" t="n"/>
      <c r="D892" s="8" t="n"/>
      <c r="E892" s="9" t="n"/>
      <c r="F892" s="9" t="n"/>
      <c r="G892" s="8" t="n"/>
      <c r="H892" s="9" t="n"/>
      <c r="I892" s="9" t="n"/>
      <c r="J892" s="10" t="n"/>
      <c r="K892" s="10" t="n"/>
      <c r="L892" s="11">
        <f>IF($S892="","",IF($S892="ITEM_PRICE_PLUS_DECLARED_DELIVERY",IF(OR($J892="",$K892=""),"",SUM($J892,$K892,$U892)),IF($S892="TOTAL_AMOUNT_INCLUDING_DELIVERY",IF($T892="","",$T892),IF($S892="DELIVERY_CHARGE_ONLY",IF($K892="","",SUM($K892,$U892)),IF($S892="EXACT_COLLECTION_AMOUNT",IF($T892="","",$T892),IF($S892="ITEM_PRICE_ONLY_DELIVERY_PAID_BY_MERCHANT",IF($J892="","",SUM($J892,$U892)),""))))))</f>
        <v/>
      </c>
      <c r="M892" s="12" t="n"/>
      <c r="N892" s="13" t="n"/>
      <c r="O892" s="13" t="n"/>
      <c r="P892" s="9" t="n"/>
      <c r="Q892" s="14" t="n"/>
      <c r="R892" s="15" t="n"/>
      <c r="S892" s="14" t="n"/>
      <c r="T892" s="16" t="n"/>
      <c r="U892" s="16" t="n"/>
      <c r="V892" s="16" t="n"/>
      <c r="W892" s="16" t="n"/>
      <c r="X892" s="16" t="n"/>
      <c r="Y892" s="16" t="n"/>
      <c r="Z892" s="14" t="n"/>
      <c r="AA892" s="14" t="n"/>
      <c r="AB892" s="14" t="n"/>
      <c r="AC892" s="17">
        <f>IFERROR(VLOOKUP($H892&amp;"|"&amp;$Q892,Tariff_Master!$A$2:$L$169,3,FALSE),"")</f>
        <v/>
      </c>
      <c r="AD892" s="17">
        <f>IFERROR(VLOOKUP($H892&amp;"|"&amp;$Q892,Tariff_Master!$A$2:$L$169,4,FALSE),"")</f>
        <v/>
      </c>
      <c r="AE892" s="18">
        <f>IFERROR(VLOOKUP($H892&amp;"|"&amp;$Q892,Tariff_Master!$A$2:$L$169,6,FALSE),"")</f>
        <v/>
      </c>
      <c r="AF892" s="19">
        <f>IFERROR(VLOOKUP($H892&amp;"|"&amp;$Q892,Tariff_Master!$A$2:$L$169,7,FALSE),"")</f>
        <v/>
      </c>
      <c r="AG892" s="18">
        <f>IFERROR(VLOOKUP($H892&amp;"|"&amp;$Q892,Tariff_Master!$A$2:$L$169,8,FALSE),"")</f>
        <v/>
      </c>
      <c r="AH892" s="20">
        <f>IFERROR(VLOOKUP($H892&amp;"|"&amp;$Q892,Tariff_Master!$A$2:$L$169,9,FALSE),"")</f>
        <v/>
      </c>
      <c r="AI892" s="18">
        <f>IFERROR(VLOOKUP($H892&amp;"|"&amp;$Q892,Tariff_Master!$A$2:$L$169,10,FALSE),"")</f>
        <v/>
      </c>
      <c r="AJ892" s="21">
        <f>IF($M892="","",ROUNDUP(MAX(0,$M892),0))</f>
        <v/>
      </c>
      <c r="AK892" s="21">
        <f>IF(OR($AJ892="",$AF892=""),"",MAX(0,$AJ892-$AF892))</f>
        <v/>
      </c>
      <c r="AL892" s="22">
        <f>IF(OR($AK892="",$AG892=""),"",MAX(0,$AK892*$AG892))</f>
        <v/>
      </c>
      <c r="AM892" s="22">
        <f>IF($AE892="","",MAX(0,SUM($AE892,$AL892,$V892,$W892)))</f>
        <v/>
      </c>
      <c r="AN892" s="22">
        <f>IF($AM892="","",IF(AND($Q892="COMMITMENT",$R892&gt;=$AH892),$AI892,0))</f>
        <v/>
      </c>
      <c r="AO892" s="23">
        <f>IF($AM892="","",MAX(0,$AM892-$AN892))</f>
        <v/>
      </c>
      <c r="AP892" s="22">
        <f>IF($S892="","",IF(OR($S892="ITEM_PRICE_PLUS_DECLARED_DELIVERY",$S892="DELIVERY_CHARGE_ONLY"),$K892,IF($S892="TOTAL_AMOUNT_INCLUDING_DELIVERY",IF(OR($T892="",$J892=""),"",MAX(0,$T892-$J892-$U892)),IF($S892="ITEM_PRICE_ONLY_DELIVERY_PAID_BY_MERCHANT",0,""))))</f>
        <v/>
      </c>
      <c r="AQ892" s="23">
        <f>IF(OR($AP892="",$AO892=""),"",$AP892-$AO892)</f>
        <v/>
      </c>
      <c r="AR892" s="24">
        <f>IF($S892="EXACT_COLLECTION_AMOUNT","BREAKDOWN_REQUIRED",IF($AQ892="","",IF($AQ892&gt;0,"CREDIT_TO_MERCHANT",IF($AQ892&lt;0,"DEDUCT_FROM_MERCHANT","NO_ADJUSTMENT"))))</f>
        <v/>
      </c>
      <c r="AS892" s="23">
        <f>IF(OR($AQ892="",$AR892="BREAKDOWN_REQUIRED"),"",$AQ892)</f>
        <v/>
      </c>
      <c r="AT892" s="23">
        <f>IF(OR($AR892="",$AR892="BREAKDOWN_REQUIRED"),"",SUM($J892,$AQ892,$Y892)-$X892)</f>
        <v/>
      </c>
      <c r="AU892" s="25">
        <f>IF(AND($A892="",$B892="",$F892="",$H892="",$J892="",$K892="",$M892="",$S892=""),"",IF(OR($H892="",$Q892="",$M892="",$S892=""),"ERROR",IF(OR($J892&lt;0,$K892&lt;0,$M892&lt;0,$T892&lt;0,$U892&lt;0,$V892&lt;0,$W892&lt;0,$X892&lt;0,$Y892&lt;0),"ERROR",IF($AE892="","ERROR",IF(AND(OR($S892="ITEM_PRICE_PLUS_DECLARED_DELIVERY",$S892="TOTAL_AMOUNT_INCLUDING_DELIVERY",$S892="ITEM_PRICE_ONLY_DELIVERY_PAID_BY_MERCHANT"),$J892=""),"ERROR",IF(AND(OR($S892="ITEM_PRICE_PLUS_DECLARED_DELIVERY",$S892="DELIVERY_CHARGE_ONLY"),$K892=""),"ERROR",IF(AND(OR($S892="TOTAL_AMOUNT_INCLUDING_DELIVERY",$S892="EXACT_COLLECTION_AMOUNT"),$T892=""),"ERROR",IF(AND($S892="TOTAL_AMOUNT_INCLUDING_DELIVERY",$T892&lt;SUM($J892,$U892)),"ERROR",IF($S892="EXACT_COLLECTION_AMOUNT","REVIEW","OK")))))))))</f>
        <v/>
      </c>
      <c r="AV892" s="25">
        <f>IF($AU892="","",IF($H892="","Township required",IF($Q892="","Customer tier required",IF($M892="","Weight required",IF($S892="","Amount entry type required",IF(OR($J892&lt;0,$K892&lt;0,$M892&lt;0,$T892&lt;0,$U892&lt;0,$V892&lt;0,$W892&lt;0,$X892&lt;0,$Y892&lt;0),"Negative amounts are not allowed",IF($AE892="","Tariff not found for township and tier",IF(AND(OR($S892="ITEM_PRICE_PLUS_DECLARED_DELIVERY",$S892="TOTAL_AMOUNT_INCLUDING_DELIVERY",$S892="ITEM_PRICE_ONLY_DELIVERY_PAID_BY_MERCHANT"),$J892=""),"Item price required for this amount type",IF(AND(OR($S892="ITEM_PRICE_PLUS_DECLARED_DELIVERY",$S892="DELIVERY_CHARGE_ONLY"),$K892=""),"Declared delivery charge required",IF(AND(OR($S892="TOTAL_AMOUNT_INCLUDING_DELIVERY",$S892="EXACT_COLLECTION_AMOUNT"),$T892=""),"Stated total amount required",IF(AND($S892="TOTAL_AMOUNT_INCLUDING_DELIVERY",$T892&lt;SUM($J892,$U892)),"Stated total is below item price plus additional charge",IF($S892="EXACT_COLLECTION_AMOUNT","Authorized amount breakdown required before settlement","Ready for collection and settlement"))))))))))))</f>
        <v/>
      </c>
      <c r="AW892" s="23">
        <f>IF($AU892="","","PARCEL_FINANCIAL_V2")</f>
        <v/>
      </c>
      <c r="AX892" s="17" t="n"/>
    </row>
    <row r="893">
      <c r="A893" s="8" t="n"/>
      <c r="B893" s="8" t="n"/>
      <c r="C893" s="8" t="n"/>
      <c r="D893" s="8" t="n"/>
      <c r="E893" s="9" t="n"/>
      <c r="F893" s="9" t="n"/>
      <c r="G893" s="8" t="n"/>
      <c r="H893" s="9" t="n"/>
      <c r="I893" s="9" t="n"/>
      <c r="J893" s="10" t="n"/>
      <c r="K893" s="10" t="n"/>
      <c r="L893" s="11">
        <f>IF($S893="","",IF($S893="ITEM_PRICE_PLUS_DECLARED_DELIVERY",IF(OR($J893="",$K893=""),"",SUM($J893,$K893,$U893)),IF($S893="TOTAL_AMOUNT_INCLUDING_DELIVERY",IF($T893="","",$T893),IF($S893="DELIVERY_CHARGE_ONLY",IF($K893="","",SUM($K893,$U893)),IF($S893="EXACT_COLLECTION_AMOUNT",IF($T893="","",$T893),IF($S893="ITEM_PRICE_ONLY_DELIVERY_PAID_BY_MERCHANT",IF($J893="","",SUM($J893,$U893)),""))))))</f>
        <v/>
      </c>
      <c r="M893" s="12" t="n"/>
      <c r="N893" s="13" t="n"/>
      <c r="O893" s="13" t="n"/>
      <c r="P893" s="9" t="n"/>
      <c r="Q893" s="14" t="n"/>
      <c r="R893" s="15" t="n"/>
      <c r="S893" s="14" t="n"/>
      <c r="T893" s="16" t="n"/>
      <c r="U893" s="16" t="n"/>
      <c r="V893" s="16" t="n"/>
      <c r="W893" s="16" t="n"/>
      <c r="X893" s="16" t="n"/>
      <c r="Y893" s="16" t="n"/>
      <c r="Z893" s="14" t="n"/>
      <c r="AA893" s="14" t="n"/>
      <c r="AB893" s="14" t="n"/>
      <c r="AC893" s="17">
        <f>IFERROR(VLOOKUP($H893&amp;"|"&amp;$Q893,Tariff_Master!$A$2:$L$169,3,FALSE),"")</f>
        <v/>
      </c>
      <c r="AD893" s="17">
        <f>IFERROR(VLOOKUP($H893&amp;"|"&amp;$Q893,Tariff_Master!$A$2:$L$169,4,FALSE),"")</f>
        <v/>
      </c>
      <c r="AE893" s="18">
        <f>IFERROR(VLOOKUP($H893&amp;"|"&amp;$Q893,Tariff_Master!$A$2:$L$169,6,FALSE),"")</f>
        <v/>
      </c>
      <c r="AF893" s="19">
        <f>IFERROR(VLOOKUP($H893&amp;"|"&amp;$Q893,Tariff_Master!$A$2:$L$169,7,FALSE),"")</f>
        <v/>
      </c>
      <c r="AG893" s="18">
        <f>IFERROR(VLOOKUP($H893&amp;"|"&amp;$Q893,Tariff_Master!$A$2:$L$169,8,FALSE),"")</f>
        <v/>
      </c>
      <c r="AH893" s="20">
        <f>IFERROR(VLOOKUP($H893&amp;"|"&amp;$Q893,Tariff_Master!$A$2:$L$169,9,FALSE),"")</f>
        <v/>
      </c>
      <c r="AI893" s="18">
        <f>IFERROR(VLOOKUP($H893&amp;"|"&amp;$Q893,Tariff_Master!$A$2:$L$169,10,FALSE),"")</f>
        <v/>
      </c>
      <c r="AJ893" s="21">
        <f>IF($M893="","",ROUNDUP(MAX(0,$M893),0))</f>
        <v/>
      </c>
      <c r="AK893" s="21">
        <f>IF(OR($AJ893="",$AF893=""),"",MAX(0,$AJ893-$AF893))</f>
        <v/>
      </c>
      <c r="AL893" s="22">
        <f>IF(OR($AK893="",$AG893=""),"",MAX(0,$AK893*$AG893))</f>
        <v/>
      </c>
      <c r="AM893" s="22">
        <f>IF($AE893="","",MAX(0,SUM($AE893,$AL893,$V893,$W893)))</f>
        <v/>
      </c>
      <c r="AN893" s="22">
        <f>IF($AM893="","",IF(AND($Q893="COMMITMENT",$R893&gt;=$AH893),$AI893,0))</f>
        <v/>
      </c>
      <c r="AO893" s="23">
        <f>IF($AM893="","",MAX(0,$AM893-$AN893))</f>
        <v/>
      </c>
      <c r="AP893" s="22">
        <f>IF($S893="","",IF(OR($S893="ITEM_PRICE_PLUS_DECLARED_DELIVERY",$S893="DELIVERY_CHARGE_ONLY"),$K893,IF($S893="TOTAL_AMOUNT_INCLUDING_DELIVERY",IF(OR($T893="",$J893=""),"",MAX(0,$T893-$J893-$U893)),IF($S893="ITEM_PRICE_ONLY_DELIVERY_PAID_BY_MERCHANT",0,""))))</f>
        <v/>
      </c>
      <c r="AQ893" s="23">
        <f>IF(OR($AP893="",$AO893=""),"",$AP893-$AO893)</f>
        <v/>
      </c>
      <c r="AR893" s="24">
        <f>IF($S893="EXACT_COLLECTION_AMOUNT","BREAKDOWN_REQUIRED",IF($AQ893="","",IF($AQ893&gt;0,"CREDIT_TO_MERCHANT",IF($AQ893&lt;0,"DEDUCT_FROM_MERCHANT","NO_ADJUSTMENT"))))</f>
        <v/>
      </c>
      <c r="AS893" s="23">
        <f>IF(OR($AQ893="",$AR893="BREAKDOWN_REQUIRED"),"",$AQ893)</f>
        <v/>
      </c>
      <c r="AT893" s="23">
        <f>IF(OR($AR893="",$AR893="BREAKDOWN_REQUIRED"),"",SUM($J893,$AQ893,$Y893)-$X893)</f>
        <v/>
      </c>
      <c r="AU893" s="25">
        <f>IF(AND($A893="",$B893="",$F893="",$H893="",$J893="",$K893="",$M893="",$S893=""),"",IF(OR($H893="",$Q893="",$M893="",$S893=""),"ERROR",IF(OR($J893&lt;0,$K893&lt;0,$M893&lt;0,$T893&lt;0,$U893&lt;0,$V893&lt;0,$W893&lt;0,$X893&lt;0,$Y893&lt;0),"ERROR",IF($AE893="","ERROR",IF(AND(OR($S893="ITEM_PRICE_PLUS_DECLARED_DELIVERY",$S893="TOTAL_AMOUNT_INCLUDING_DELIVERY",$S893="ITEM_PRICE_ONLY_DELIVERY_PAID_BY_MERCHANT"),$J893=""),"ERROR",IF(AND(OR($S893="ITEM_PRICE_PLUS_DECLARED_DELIVERY",$S893="DELIVERY_CHARGE_ONLY"),$K893=""),"ERROR",IF(AND(OR($S893="TOTAL_AMOUNT_INCLUDING_DELIVERY",$S893="EXACT_COLLECTION_AMOUNT"),$T893=""),"ERROR",IF(AND($S893="TOTAL_AMOUNT_INCLUDING_DELIVERY",$T893&lt;SUM($J893,$U893)),"ERROR",IF($S893="EXACT_COLLECTION_AMOUNT","REVIEW","OK")))))))))</f>
        <v/>
      </c>
      <c r="AV893" s="25">
        <f>IF($AU893="","",IF($H893="","Township required",IF($Q893="","Customer tier required",IF($M893="","Weight required",IF($S893="","Amount entry type required",IF(OR($J893&lt;0,$K893&lt;0,$M893&lt;0,$T893&lt;0,$U893&lt;0,$V893&lt;0,$W893&lt;0,$X893&lt;0,$Y893&lt;0),"Negative amounts are not allowed",IF($AE893="","Tariff not found for township and tier",IF(AND(OR($S893="ITEM_PRICE_PLUS_DECLARED_DELIVERY",$S893="TOTAL_AMOUNT_INCLUDING_DELIVERY",$S893="ITEM_PRICE_ONLY_DELIVERY_PAID_BY_MERCHANT"),$J893=""),"Item price required for this amount type",IF(AND(OR($S893="ITEM_PRICE_PLUS_DECLARED_DELIVERY",$S893="DELIVERY_CHARGE_ONLY"),$K893=""),"Declared delivery charge required",IF(AND(OR($S893="TOTAL_AMOUNT_INCLUDING_DELIVERY",$S893="EXACT_COLLECTION_AMOUNT"),$T893=""),"Stated total amount required",IF(AND($S893="TOTAL_AMOUNT_INCLUDING_DELIVERY",$T893&lt;SUM($J893,$U893)),"Stated total is below item price plus additional charge",IF($S893="EXACT_COLLECTION_AMOUNT","Authorized amount breakdown required before settlement","Ready for collection and settlement"))))))))))))</f>
        <v/>
      </c>
      <c r="AW893" s="23">
        <f>IF($AU893="","","PARCEL_FINANCIAL_V2")</f>
        <v/>
      </c>
      <c r="AX893" s="17" t="n"/>
    </row>
    <row r="894">
      <c r="A894" s="8" t="n"/>
      <c r="B894" s="8" t="n"/>
      <c r="C894" s="8" t="n"/>
      <c r="D894" s="8" t="n"/>
      <c r="E894" s="9" t="n"/>
      <c r="F894" s="9" t="n"/>
      <c r="G894" s="8" t="n"/>
      <c r="H894" s="9" t="n"/>
      <c r="I894" s="9" t="n"/>
      <c r="J894" s="10" t="n"/>
      <c r="K894" s="10" t="n"/>
      <c r="L894" s="11">
        <f>IF($S894="","",IF($S894="ITEM_PRICE_PLUS_DECLARED_DELIVERY",IF(OR($J894="",$K894=""),"",SUM($J894,$K894,$U894)),IF($S894="TOTAL_AMOUNT_INCLUDING_DELIVERY",IF($T894="","",$T894),IF($S894="DELIVERY_CHARGE_ONLY",IF($K894="","",SUM($K894,$U894)),IF($S894="EXACT_COLLECTION_AMOUNT",IF($T894="","",$T894),IF($S894="ITEM_PRICE_ONLY_DELIVERY_PAID_BY_MERCHANT",IF($J894="","",SUM($J894,$U894)),""))))))</f>
        <v/>
      </c>
      <c r="M894" s="12" t="n"/>
      <c r="N894" s="13" t="n"/>
      <c r="O894" s="13" t="n"/>
      <c r="P894" s="9" t="n"/>
      <c r="Q894" s="14" t="n"/>
      <c r="R894" s="15" t="n"/>
      <c r="S894" s="14" t="n"/>
      <c r="T894" s="16" t="n"/>
      <c r="U894" s="16" t="n"/>
      <c r="V894" s="16" t="n"/>
      <c r="W894" s="16" t="n"/>
      <c r="X894" s="16" t="n"/>
      <c r="Y894" s="16" t="n"/>
      <c r="Z894" s="14" t="n"/>
      <c r="AA894" s="14" t="n"/>
      <c r="AB894" s="14" t="n"/>
      <c r="AC894" s="17">
        <f>IFERROR(VLOOKUP($H894&amp;"|"&amp;$Q894,Tariff_Master!$A$2:$L$169,3,FALSE),"")</f>
        <v/>
      </c>
      <c r="AD894" s="17">
        <f>IFERROR(VLOOKUP($H894&amp;"|"&amp;$Q894,Tariff_Master!$A$2:$L$169,4,FALSE),"")</f>
        <v/>
      </c>
      <c r="AE894" s="18">
        <f>IFERROR(VLOOKUP($H894&amp;"|"&amp;$Q894,Tariff_Master!$A$2:$L$169,6,FALSE),"")</f>
        <v/>
      </c>
      <c r="AF894" s="19">
        <f>IFERROR(VLOOKUP($H894&amp;"|"&amp;$Q894,Tariff_Master!$A$2:$L$169,7,FALSE),"")</f>
        <v/>
      </c>
      <c r="AG894" s="18">
        <f>IFERROR(VLOOKUP($H894&amp;"|"&amp;$Q894,Tariff_Master!$A$2:$L$169,8,FALSE),"")</f>
        <v/>
      </c>
      <c r="AH894" s="20">
        <f>IFERROR(VLOOKUP($H894&amp;"|"&amp;$Q894,Tariff_Master!$A$2:$L$169,9,FALSE),"")</f>
        <v/>
      </c>
      <c r="AI894" s="18">
        <f>IFERROR(VLOOKUP($H894&amp;"|"&amp;$Q894,Tariff_Master!$A$2:$L$169,10,FALSE),"")</f>
        <v/>
      </c>
      <c r="AJ894" s="21">
        <f>IF($M894="","",ROUNDUP(MAX(0,$M894),0))</f>
        <v/>
      </c>
      <c r="AK894" s="21">
        <f>IF(OR($AJ894="",$AF894=""),"",MAX(0,$AJ894-$AF894))</f>
        <v/>
      </c>
      <c r="AL894" s="22">
        <f>IF(OR($AK894="",$AG894=""),"",MAX(0,$AK894*$AG894))</f>
        <v/>
      </c>
      <c r="AM894" s="22">
        <f>IF($AE894="","",MAX(0,SUM($AE894,$AL894,$V894,$W894)))</f>
        <v/>
      </c>
      <c r="AN894" s="22">
        <f>IF($AM894="","",IF(AND($Q894="COMMITMENT",$R894&gt;=$AH894),$AI894,0))</f>
        <v/>
      </c>
      <c r="AO894" s="23">
        <f>IF($AM894="","",MAX(0,$AM894-$AN894))</f>
        <v/>
      </c>
      <c r="AP894" s="22">
        <f>IF($S894="","",IF(OR($S894="ITEM_PRICE_PLUS_DECLARED_DELIVERY",$S894="DELIVERY_CHARGE_ONLY"),$K894,IF($S894="TOTAL_AMOUNT_INCLUDING_DELIVERY",IF(OR($T894="",$J894=""),"",MAX(0,$T894-$J894-$U894)),IF($S894="ITEM_PRICE_ONLY_DELIVERY_PAID_BY_MERCHANT",0,""))))</f>
        <v/>
      </c>
      <c r="AQ894" s="23">
        <f>IF(OR($AP894="",$AO894=""),"",$AP894-$AO894)</f>
        <v/>
      </c>
      <c r="AR894" s="24">
        <f>IF($S894="EXACT_COLLECTION_AMOUNT","BREAKDOWN_REQUIRED",IF($AQ894="","",IF($AQ894&gt;0,"CREDIT_TO_MERCHANT",IF($AQ894&lt;0,"DEDUCT_FROM_MERCHANT","NO_ADJUSTMENT"))))</f>
        <v/>
      </c>
      <c r="AS894" s="23">
        <f>IF(OR($AQ894="",$AR894="BREAKDOWN_REQUIRED"),"",$AQ894)</f>
        <v/>
      </c>
      <c r="AT894" s="23">
        <f>IF(OR($AR894="",$AR894="BREAKDOWN_REQUIRED"),"",SUM($J894,$AQ894,$Y894)-$X894)</f>
        <v/>
      </c>
      <c r="AU894" s="25">
        <f>IF(AND($A894="",$B894="",$F894="",$H894="",$J894="",$K894="",$M894="",$S894=""),"",IF(OR($H894="",$Q894="",$M894="",$S894=""),"ERROR",IF(OR($J894&lt;0,$K894&lt;0,$M894&lt;0,$T894&lt;0,$U894&lt;0,$V894&lt;0,$W894&lt;0,$X894&lt;0,$Y894&lt;0),"ERROR",IF($AE894="","ERROR",IF(AND(OR($S894="ITEM_PRICE_PLUS_DECLARED_DELIVERY",$S894="TOTAL_AMOUNT_INCLUDING_DELIVERY",$S894="ITEM_PRICE_ONLY_DELIVERY_PAID_BY_MERCHANT"),$J894=""),"ERROR",IF(AND(OR($S894="ITEM_PRICE_PLUS_DECLARED_DELIVERY",$S894="DELIVERY_CHARGE_ONLY"),$K894=""),"ERROR",IF(AND(OR($S894="TOTAL_AMOUNT_INCLUDING_DELIVERY",$S894="EXACT_COLLECTION_AMOUNT"),$T894=""),"ERROR",IF(AND($S894="TOTAL_AMOUNT_INCLUDING_DELIVERY",$T894&lt;SUM($J894,$U894)),"ERROR",IF($S894="EXACT_COLLECTION_AMOUNT","REVIEW","OK")))))))))</f>
        <v/>
      </c>
      <c r="AV894" s="25">
        <f>IF($AU894="","",IF($H894="","Township required",IF($Q894="","Customer tier required",IF($M894="","Weight required",IF($S894="","Amount entry type required",IF(OR($J894&lt;0,$K894&lt;0,$M894&lt;0,$T894&lt;0,$U894&lt;0,$V894&lt;0,$W894&lt;0,$X894&lt;0,$Y894&lt;0),"Negative amounts are not allowed",IF($AE894="","Tariff not found for township and tier",IF(AND(OR($S894="ITEM_PRICE_PLUS_DECLARED_DELIVERY",$S894="TOTAL_AMOUNT_INCLUDING_DELIVERY",$S894="ITEM_PRICE_ONLY_DELIVERY_PAID_BY_MERCHANT"),$J894=""),"Item price required for this amount type",IF(AND(OR($S894="ITEM_PRICE_PLUS_DECLARED_DELIVERY",$S894="DELIVERY_CHARGE_ONLY"),$K894=""),"Declared delivery charge required",IF(AND(OR($S894="TOTAL_AMOUNT_INCLUDING_DELIVERY",$S894="EXACT_COLLECTION_AMOUNT"),$T894=""),"Stated total amount required",IF(AND($S894="TOTAL_AMOUNT_INCLUDING_DELIVERY",$T894&lt;SUM($J894,$U894)),"Stated total is below item price plus additional charge",IF($S894="EXACT_COLLECTION_AMOUNT","Authorized amount breakdown required before settlement","Ready for collection and settlement"))))))))))))</f>
        <v/>
      </c>
      <c r="AW894" s="23">
        <f>IF($AU894="","","PARCEL_FINANCIAL_V2")</f>
        <v/>
      </c>
      <c r="AX894" s="17" t="n"/>
    </row>
    <row r="895">
      <c r="A895" s="8" t="n"/>
      <c r="B895" s="8" t="n"/>
      <c r="C895" s="8" t="n"/>
      <c r="D895" s="8" t="n"/>
      <c r="E895" s="9" t="n"/>
      <c r="F895" s="9" t="n"/>
      <c r="G895" s="8" t="n"/>
      <c r="H895" s="9" t="n"/>
      <c r="I895" s="9" t="n"/>
      <c r="J895" s="10" t="n"/>
      <c r="K895" s="10" t="n"/>
      <c r="L895" s="11">
        <f>IF($S895="","",IF($S895="ITEM_PRICE_PLUS_DECLARED_DELIVERY",IF(OR($J895="",$K895=""),"",SUM($J895,$K895,$U895)),IF($S895="TOTAL_AMOUNT_INCLUDING_DELIVERY",IF($T895="","",$T895),IF($S895="DELIVERY_CHARGE_ONLY",IF($K895="","",SUM($K895,$U895)),IF($S895="EXACT_COLLECTION_AMOUNT",IF($T895="","",$T895),IF($S895="ITEM_PRICE_ONLY_DELIVERY_PAID_BY_MERCHANT",IF($J895="","",SUM($J895,$U895)),""))))))</f>
        <v/>
      </c>
      <c r="M895" s="12" t="n"/>
      <c r="N895" s="13" t="n"/>
      <c r="O895" s="13" t="n"/>
      <c r="P895" s="9" t="n"/>
      <c r="Q895" s="14" t="n"/>
      <c r="R895" s="15" t="n"/>
      <c r="S895" s="14" t="n"/>
      <c r="T895" s="16" t="n"/>
      <c r="U895" s="16" t="n"/>
      <c r="V895" s="16" t="n"/>
      <c r="W895" s="16" t="n"/>
      <c r="X895" s="16" t="n"/>
      <c r="Y895" s="16" t="n"/>
      <c r="Z895" s="14" t="n"/>
      <c r="AA895" s="14" t="n"/>
      <c r="AB895" s="14" t="n"/>
      <c r="AC895" s="17">
        <f>IFERROR(VLOOKUP($H895&amp;"|"&amp;$Q895,Tariff_Master!$A$2:$L$169,3,FALSE),"")</f>
        <v/>
      </c>
      <c r="AD895" s="17">
        <f>IFERROR(VLOOKUP($H895&amp;"|"&amp;$Q895,Tariff_Master!$A$2:$L$169,4,FALSE),"")</f>
        <v/>
      </c>
      <c r="AE895" s="18">
        <f>IFERROR(VLOOKUP($H895&amp;"|"&amp;$Q895,Tariff_Master!$A$2:$L$169,6,FALSE),"")</f>
        <v/>
      </c>
      <c r="AF895" s="19">
        <f>IFERROR(VLOOKUP($H895&amp;"|"&amp;$Q895,Tariff_Master!$A$2:$L$169,7,FALSE),"")</f>
        <v/>
      </c>
      <c r="AG895" s="18">
        <f>IFERROR(VLOOKUP($H895&amp;"|"&amp;$Q895,Tariff_Master!$A$2:$L$169,8,FALSE),"")</f>
        <v/>
      </c>
      <c r="AH895" s="20">
        <f>IFERROR(VLOOKUP($H895&amp;"|"&amp;$Q895,Tariff_Master!$A$2:$L$169,9,FALSE),"")</f>
        <v/>
      </c>
      <c r="AI895" s="18">
        <f>IFERROR(VLOOKUP($H895&amp;"|"&amp;$Q895,Tariff_Master!$A$2:$L$169,10,FALSE),"")</f>
        <v/>
      </c>
      <c r="AJ895" s="21">
        <f>IF($M895="","",ROUNDUP(MAX(0,$M895),0))</f>
        <v/>
      </c>
      <c r="AK895" s="21">
        <f>IF(OR($AJ895="",$AF895=""),"",MAX(0,$AJ895-$AF895))</f>
        <v/>
      </c>
      <c r="AL895" s="22">
        <f>IF(OR($AK895="",$AG895=""),"",MAX(0,$AK895*$AG895))</f>
        <v/>
      </c>
      <c r="AM895" s="22">
        <f>IF($AE895="","",MAX(0,SUM($AE895,$AL895,$V895,$W895)))</f>
        <v/>
      </c>
      <c r="AN895" s="22">
        <f>IF($AM895="","",IF(AND($Q895="COMMITMENT",$R895&gt;=$AH895),$AI895,0))</f>
        <v/>
      </c>
      <c r="AO895" s="23">
        <f>IF($AM895="","",MAX(0,$AM895-$AN895))</f>
        <v/>
      </c>
      <c r="AP895" s="22">
        <f>IF($S895="","",IF(OR($S895="ITEM_PRICE_PLUS_DECLARED_DELIVERY",$S895="DELIVERY_CHARGE_ONLY"),$K895,IF($S895="TOTAL_AMOUNT_INCLUDING_DELIVERY",IF(OR($T895="",$J895=""),"",MAX(0,$T895-$J895-$U895)),IF($S895="ITEM_PRICE_ONLY_DELIVERY_PAID_BY_MERCHANT",0,""))))</f>
        <v/>
      </c>
      <c r="AQ895" s="23">
        <f>IF(OR($AP895="",$AO895=""),"",$AP895-$AO895)</f>
        <v/>
      </c>
      <c r="AR895" s="24">
        <f>IF($S895="EXACT_COLLECTION_AMOUNT","BREAKDOWN_REQUIRED",IF($AQ895="","",IF($AQ895&gt;0,"CREDIT_TO_MERCHANT",IF($AQ895&lt;0,"DEDUCT_FROM_MERCHANT","NO_ADJUSTMENT"))))</f>
        <v/>
      </c>
      <c r="AS895" s="23">
        <f>IF(OR($AQ895="",$AR895="BREAKDOWN_REQUIRED"),"",$AQ895)</f>
        <v/>
      </c>
      <c r="AT895" s="23">
        <f>IF(OR($AR895="",$AR895="BREAKDOWN_REQUIRED"),"",SUM($J895,$AQ895,$Y895)-$X895)</f>
        <v/>
      </c>
      <c r="AU895" s="25">
        <f>IF(AND($A895="",$B895="",$F895="",$H895="",$J895="",$K895="",$M895="",$S895=""),"",IF(OR($H895="",$Q895="",$M895="",$S895=""),"ERROR",IF(OR($J895&lt;0,$K895&lt;0,$M895&lt;0,$T895&lt;0,$U895&lt;0,$V895&lt;0,$W895&lt;0,$X895&lt;0,$Y895&lt;0),"ERROR",IF($AE895="","ERROR",IF(AND(OR($S895="ITEM_PRICE_PLUS_DECLARED_DELIVERY",$S895="TOTAL_AMOUNT_INCLUDING_DELIVERY",$S895="ITEM_PRICE_ONLY_DELIVERY_PAID_BY_MERCHANT"),$J895=""),"ERROR",IF(AND(OR($S895="ITEM_PRICE_PLUS_DECLARED_DELIVERY",$S895="DELIVERY_CHARGE_ONLY"),$K895=""),"ERROR",IF(AND(OR($S895="TOTAL_AMOUNT_INCLUDING_DELIVERY",$S895="EXACT_COLLECTION_AMOUNT"),$T895=""),"ERROR",IF(AND($S895="TOTAL_AMOUNT_INCLUDING_DELIVERY",$T895&lt;SUM($J895,$U895)),"ERROR",IF($S895="EXACT_COLLECTION_AMOUNT","REVIEW","OK")))))))))</f>
        <v/>
      </c>
      <c r="AV895" s="25">
        <f>IF($AU895="","",IF($H895="","Township required",IF($Q895="","Customer tier required",IF($M895="","Weight required",IF($S895="","Amount entry type required",IF(OR($J895&lt;0,$K895&lt;0,$M895&lt;0,$T895&lt;0,$U895&lt;0,$V895&lt;0,$W895&lt;0,$X895&lt;0,$Y895&lt;0),"Negative amounts are not allowed",IF($AE895="","Tariff not found for township and tier",IF(AND(OR($S895="ITEM_PRICE_PLUS_DECLARED_DELIVERY",$S895="TOTAL_AMOUNT_INCLUDING_DELIVERY",$S895="ITEM_PRICE_ONLY_DELIVERY_PAID_BY_MERCHANT"),$J895=""),"Item price required for this amount type",IF(AND(OR($S895="ITEM_PRICE_PLUS_DECLARED_DELIVERY",$S895="DELIVERY_CHARGE_ONLY"),$K895=""),"Declared delivery charge required",IF(AND(OR($S895="TOTAL_AMOUNT_INCLUDING_DELIVERY",$S895="EXACT_COLLECTION_AMOUNT"),$T895=""),"Stated total amount required",IF(AND($S895="TOTAL_AMOUNT_INCLUDING_DELIVERY",$T895&lt;SUM($J895,$U895)),"Stated total is below item price plus additional charge",IF($S895="EXACT_COLLECTION_AMOUNT","Authorized amount breakdown required before settlement","Ready for collection and settlement"))))))))))))</f>
        <v/>
      </c>
      <c r="AW895" s="23">
        <f>IF($AU895="","","PARCEL_FINANCIAL_V2")</f>
        <v/>
      </c>
      <c r="AX895" s="17" t="n"/>
    </row>
    <row r="896">
      <c r="A896" s="8" t="n"/>
      <c r="B896" s="8" t="n"/>
      <c r="C896" s="8" t="n"/>
      <c r="D896" s="8" t="n"/>
      <c r="E896" s="9" t="n"/>
      <c r="F896" s="9" t="n"/>
      <c r="G896" s="8" t="n"/>
      <c r="H896" s="9" t="n"/>
      <c r="I896" s="9" t="n"/>
      <c r="J896" s="10" t="n"/>
      <c r="K896" s="10" t="n"/>
      <c r="L896" s="11">
        <f>IF($S896="","",IF($S896="ITEM_PRICE_PLUS_DECLARED_DELIVERY",IF(OR($J896="",$K896=""),"",SUM($J896,$K896,$U896)),IF($S896="TOTAL_AMOUNT_INCLUDING_DELIVERY",IF($T896="","",$T896),IF($S896="DELIVERY_CHARGE_ONLY",IF($K896="","",SUM($K896,$U896)),IF($S896="EXACT_COLLECTION_AMOUNT",IF($T896="","",$T896),IF($S896="ITEM_PRICE_ONLY_DELIVERY_PAID_BY_MERCHANT",IF($J896="","",SUM($J896,$U896)),""))))))</f>
        <v/>
      </c>
      <c r="M896" s="12" t="n"/>
      <c r="N896" s="13" t="n"/>
      <c r="O896" s="13" t="n"/>
      <c r="P896" s="9" t="n"/>
      <c r="Q896" s="14" t="n"/>
      <c r="R896" s="15" t="n"/>
      <c r="S896" s="14" t="n"/>
      <c r="T896" s="16" t="n"/>
      <c r="U896" s="16" t="n"/>
      <c r="V896" s="16" t="n"/>
      <c r="W896" s="16" t="n"/>
      <c r="X896" s="16" t="n"/>
      <c r="Y896" s="16" t="n"/>
      <c r="Z896" s="14" t="n"/>
      <c r="AA896" s="14" t="n"/>
      <c r="AB896" s="14" t="n"/>
      <c r="AC896" s="17">
        <f>IFERROR(VLOOKUP($H896&amp;"|"&amp;$Q896,Tariff_Master!$A$2:$L$169,3,FALSE),"")</f>
        <v/>
      </c>
      <c r="AD896" s="17">
        <f>IFERROR(VLOOKUP($H896&amp;"|"&amp;$Q896,Tariff_Master!$A$2:$L$169,4,FALSE),"")</f>
        <v/>
      </c>
      <c r="AE896" s="18">
        <f>IFERROR(VLOOKUP($H896&amp;"|"&amp;$Q896,Tariff_Master!$A$2:$L$169,6,FALSE),"")</f>
        <v/>
      </c>
      <c r="AF896" s="19">
        <f>IFERROR(VLOOKUP($H896&amp;"|"&amp;$Q896,Tariff_Master!$A$2:$L$169,7,FALSE),"")</f>
        <v/>
      </c>
      <c r="AG896" s="18">
        <f>IFERROR(VLOOKUP($H896&amp;"|"&amp;$Q896,Tariff_Master!$A$2:$L$169,8,FALSE),"")</f>
        <v/>
      </c>
      <c r="AH896" s="20">
        <f>IFERROR(VLOOKUP($H896&amp;"|"&amp;$Q896,Tariff_Master!$A$2:$L$169,9,FALSE),"")</f>
        <v/>
      </c>
      <c r="AI896" s="18">
        <f>IFERROR(VLOOKUP($H896&amp;"|"&amp;$Q896,Tariff_Master!$A$2:$L$169,10,FALSE),"")</f>
        <v/>
      </c>
      <c r="AJ896" s="21">
        <f>IF($M896="","",ROUNDUP(MAX(0,$M896),0))</f>
        <v/>
      </c>
      <c r="AK896" s="21">
        <f>IF(OR($AJ896="",$AF896=""),"",MAX(0,$AJ896-$AF896))</f>
        <v/>
      </c>
      <c r="AL896" s="22">
        <f>IF(OR($AK896="",$AG896=""),"",MAX(0,$AK896*$AG896))</f>
        <v/>
      </c>
      <c r="AM896" s="22">
        <f>IF($AE896="","",MAX(0,SUM($AE896,$AL896,$V896,$W896)))</f>
        <v/>
      </c>
      <c r="AN896" s="22">
        <f>IF($AM896="","",IF(AND($Q896="COMMITMENT",$R896&gt;=$AH896),$AI896,0))</f>
        <v/>
      </c>
      <c r="AO896" s="23">
        <f>IF($AM896="","",MAX(0,$AM896-$AN896))</f>
        <v/>
      </c>
      <c r="AP896" s="22">
        <f>IF($S896="","",IF(OR($S896="ITEM_PRICE_PLUS_DECLARED_DELIVERY",$S896="DELIVERY_CHARGE_ONLY"),$K896,IF($S896="TOTAL_AMOUNT_INCLUDING_DELIVERY",IF(OR($T896="",$J896=""),"",MAX(0,$T896-$J896-$U896)),IF($S896="ITEM_PRICE_ONLY_DELIVERY_PAID_BY_MERCHANT",0,""))))</f>
        <v/>
      </c>
      <c r="AQ896" s="23">
        <f>IF(OR($AP896="",$AO896=""),"",$AP896-$AO896)</f>
        <v/>
      </c>
      <c r="AR896" s="24">
        <f>IF($S896="EXACT_COLLECTION_AMOUNT","BREAKDOWN_REQUIRED",IF($AQ896="","",IF($AQ896&gt;0,"CREDIT_TO_MERCHANT",IF($AQ896&lt;0,"DEDUCT_FROM_MERCHANT","NO_ADJUSTMENT"))))</f>
        <v/>
      </c>
      <c r="AS896" s="23">
        <f>IF(OR($AQ896="",$AR896="BREAKDOWN_REQUIRED"),"",$AQ896)</f>
        <v/>
      </c>
      <c r="AT896" s="23">
        <f>IF(OR($AR896="",$AR896="BREAKDOWN_REQUIRED"),"",SUM($J896,$AQ896,$Y896)-$X896)</f>
        <v/>
      </c>
      <c r="AU896" s="25">
        <f>IF(AND($A896="",$B896="",$F896="",$H896="",$J896="",$K896="",$M896="",$S896=""),"",IF(OR($H896="",$Q896="",$M896="",$S896=""),"ERROR",IF(OR($J896&lt;0,$K896&lt;0,$M896&lt;0,$T896&lt;0,$U896&lt;0,$V896&lt;0,$W896&lt;0,$X896&lt;0,$Y896&lt;0),"ERROR",IF($AE896="","ERROR",IF(AND(OR($S896="ITEM_PRICE_PLUS_DECLARED_DELIVERY",$S896="TOTAL_AMOUNT_INCLUDING_DELIVERY",$S896="ITEM_PRICE_ONLY_DELIVERY_PAID_BY_MERCHANT"),$J896=""),"ERROR",IF(AND(OR($S896="ITEM_PRICE_PLUS_DECLARED_DELIVERY",$S896="DELIVERY_CHARGE_ONLY"),$K896=""),"ERROR",IF(AND(OR($S896="TOTAL_AMOUNT_INCLUDING_DELIVERY",$S896="EXACT_COLLECTION_AMOUNT"),$T896=""),"ERROR",IF(AND($S896="TOTAL_AMOUNT_INCLUDING_DELIVERY",$T896&lt;SUM($J896,$U896)),"ERROR",IF($S896="EXACT_COLLECTION_AMOUNT","REVIEW","OK")))))))))</f>
        <v/>
      </c>
      <c r="AV896" s="25">
        <f>IF($AU896="","",IF($H896="","Township required",IF($Q896="","Customer tier required",IF($M896="","Weight required",IF($S896="","Amount entry type required",IF(OR($J896&lt;0,$K896&lt;0,$M896&lt;0,$T896&lt;0,$U896&lt;0,$V896&lt;0,$W896&lt;0,$X896&lt;0,$Y896&lt;0),"Negative amounts are not allowed",IF($AE896="","Tariff not found for township and tier",IF(AND(OR($S896="ITEM_PRICE_PLUS_DECLARED_DELIVERY",$S896="TOTAL_AMOUNT_INCLUDING_DELIVERY",$S896="ITEM_PRICE_ONLY_DELIVERY_PAID_BY_MERCHANT"),$J896=""),"Item price required for this amount type",IF(AND(OR($S896="ITEM_PRICE_PLUS_DECLARED_DELIVERY",$S896="DELIVERY_CHARGE_ONLY"),$K896=""),"Declared delivery charge required",IF(AND(OR($S896="TOTAL_AMOUNT_INCLUDING_DELIVERY",$S896="EXACT_COLLECTION_AMOUNT"),$T896=""),"Stated total amount required",IF(AND($S896="TOTAL_AMOUNT_INCLUDING_DELIVERY",$T896&lt;SUM($J896,$U896)),"Stated total is below item price plus additional charge",IF($S896="EXACT_COLLECTION_AMOUNT","Authorized amount breakdown required before settlement","Ready for collection and settlement"))))))))))))</f>
        <v/>
      </c>
      <c r="AW896" s="23">
        <f>IF($AU896="","","PARCEL_FINANCIAL_V2")</f>
        <v/>
      </c>
      <c r="AX896" s="17" t="n"/>
    </row>
    <row r="897">
      <c r="A897" s="8" t="n"/>
      <c r="B897" s="8" t="n"/>
      <c r="C897" s="8" t="n"/>
      <c r="D897" s="8" t="n"/>
      <c r="E897" s="9" t="n"/>
      <c r="F897" s="9" t="n"/>
      <c r="G897" s="8" t="n"/>
      <c r="H897" s="9" t="n"/>
      <c r="I897" s="9" t="n"/>
      <c r="J897" s="10" t="n"/>
      <c r="K897" s="10" t="n"/>
      <c r="L897" s="11">
        <f>IF($S897="","",IF($S897="ITEM_PRICE_PLUS_DECLARED_DELIVERY",IF(OR($J897="",$K897=""),"",SUM($J897,$K897,$U897)),IF($S897="TOTAL_AMOUNT_INCLUDING_DELIVERY",IF($T897="","",$T897),IF($S897="DELIVERY_CHARGE_ONLY",IF($K897="","",SUM($K897,$U897)),IF($S897="EXACT_COLLECTION_AMOUNT",IF($T897="","",$T897),IF($S897="ITEM_PRICE_ONLY_DELIVERY_PAID_BY_MERCHANT",IF($J897="","",SUM($J897,$U897)),""))))))</f>
        <v/>
      </c>
      <c r="M897" s="12" t="n"/>
      <c r="N897" s="13" t="n"/>
      <c r="O897" s="13" t="n"/>
      <c r="P897" s="9" t="n"/>
      <c r="Q897" s="14" t="n"/>
      <c r="R897" s="15" t="n"/>
      <c r="S897" s="14" t="n"/>
      <c r="T897" s="16" t="n"/>
      <c r="U897" s="16" t="n"/>
      <c r="V897" s="16" t="n"/>
      <c r="W897" s="16" t="n"/>
      <c r="X897" s="16" t="n"/>
      <c r="Y897" s="16" t="n"/>
      <c r="Z897" s="14" t="n"/>
      <c r="AA897" s="14" t="n"/>
      <c r="AB897" s="14" t="n"/>
      <c r="AC897" s="17">
        <f>IFERROR(VLOOKUP($H897&amp;"|"&amp;$Q897,Tariff_Master!$A$2:$L$169,3,FALSE),"")</f>
        <v/>
      </c>
      <c r="AD897" s="17">
        <f>IFERROR(VLOOKUP($H897&amp;"|"&amp;$Q897,Tariff_Master!$A$2:$L$169,4,FALSE),"")</f>
        <v/>
      </c>
      <c r="AE897" s="18">
        <f>IFERROR(VLOOKUP($H897&amp;"|"&amp;$Q897,Tariff_Master!$A$2:$L$169,6,FALSE),"")</f>
        <v/>
      </c>
      <c r="AF897" s="19">
        <f>IFERROR(VLOOKUP($H897&amp;"|"&amp;$Q897,Tariff_Master!$A$2:$L$169,7,FALSE),"")</f>
        <v/>
      </c>
      <c r="AG897" s="18">
        <f>IFERROR(VLOOKUP($H897&amp;"|"&amp;$Q897,Tariff_Master!$A$2:$L$169,8,FALSE),"")</f>
        <v/>
      </c>
      <c r="AH897" s="20">
        <f>IFERROR(VLOOKUP($H897&amp;"|"&amp;$Q897,Tariff_Master!$A$2:$L$169,9,FALSE),"")</f>
        <v/>
      </c>
      <c r="AI897" s="18">
        <f>IFERROR(VLOOKUP($H897&amp;"|"&amp;$Q897,Tariff_Master!$A$2:$L$169,10,FALSE),"")</f>
        <v/>
      </c>
      <c r="AJ897" s="21">
        <f>IF($M897="","",ROUNDUP(MAX(0,$M897),0))</f>
        <v/>
      </c>
      <c r="AK897" s="21">
        <f>IF(OR($AJ897="",$AF897=""),"",MAX(0,$AJ897-$AF897))</f>
        <v/>
      </c>
      <c r="AL897" s="22">
        <f>IF(OR($AK897="",$AG897=""),"",MAX(0,$AK897*$AG897))</f>
        <v/>
      </c>
      <c r="AM897" s="22">
        <f>IF($AE897="","",MAX(0,SUM($AE897,$AL897,$V897,$W897)))</f>
        <v/>
      </c>
      <c r="AN897" s="22">
        <f>IF($AM897="","",IF(AND($Q897="COMMITMENT",$R897&gt;=$AH897),$AI897,0))</f>
        <v/>
      </c>
      <c r="AO897" s="23">
        <f>IF($AM897="","",MAX(0,$AM897-$AN897))</f>
        <v/>
      </c>
      <c r="AP897" s="22">
        <f>IF($S897="","",IF(OR($S897="ITEM_PRICE_PLUS_DECLARED_DELIVERY",$S897="DELIVERY_CHARGE_ONLY"),$K897,IF($S897="TOTAL_AMOUNT_INCLUDING_DELIVERY",IF(OR($T897="",$J897=""),"",MAX(0,$T897-$J897-$U897)),IF($S897="ITEM_PRICE_ONLY_DELIVERY_PAID_BY_MERCHANT",0,""))))</f>
        <v/>
      </c>
      <c r="AQ897" s="23">
        <f>IF(OR($AP897="",$AO897=""),"",$AP897-$AO897)</f>
        <v/>
      </c>
      <c r="AR897" s="24">
        <f>IF($S897="EXACT_COLLECTION_AMOUNT","BREAKDOWN_REQUIRED",IF($AQ897="","",IF($AQ897&gt;0,"CREDIT_TO_MERCHANT",IF($AQ897&lt;0,"DEDUCT_FROM_MERCHANT","NO_ADJUSTMENT"))))</f>
        <v/>
      </c>
      <c r="AS897" s="23">
        <f>IF(OR($AQ897="",$AR897="BREAKDOWN_REQUIRED"),"",$AQ897)</f>
        <v/>
      </c>
      <c r="AT897" s="23">
        <f>IF(OR($AR897="",$AR897="BREAKDOWN_REQUIRED"),"",SUM($J897,$AQ897,$Y897)-$X897)</f>
        <v/>
      </c>
      <c r="AU897" s="25">
        <f>IF(AND($A897="",$B897="",$F897="",$H897="",$J897="",$K897="",$M897="",$S897=""),"",IF(OR($H897="",$Q897="",$M897="",$S897=""),"ERROR",IF(OR($J897&lt;0,$K897&lt;0,$M897&lt;0,$T897&lt;0,$U897&lt;0,$V897&lt;0,$W897&lt;0,$X897&lt;0,$Y897&lt;0),"ERROR",IF($AE897="","ERROR",IF(AND(OR($S897="ITEM_PRICE_PLUS_DECLARED_DELIVERY",$S897="TOTAL_AMOUNT_INCLUDING_DELIVERY",$S897="ITEM_PRICE_ONLY_DELIVERY_PAID_BY_MERCHANT"),$J897=""),"ERROR",IF(AND(OR($S897="ITEM_PRICE_PLUS_DECLARED_DELIVERY",$S897="DELIVERY_CHARGE_ONLY"),$K897=""),"ERROR",IF(AND(OR($S897="TOTAL_AMOUNT_INCLUDING_DELIVERY",$S897="EXACT_COLLECTION_AMOUNT"),$T897=""),"ERROR",IF(AND($S897="TOTAL_AMOUNT_INCLUDING_DELIVERY",$T897&lt;SUM($J897,$U897)),"ERROR",IF($S897="EXACT_COLLECTION_AMOUNT","REVIEW","OK")))))))))</f>
        <v/>
      </c>
      <c r="AV897" s="25">
        <f>IF($AU897="","",IF($H897="","Township required",IF($Q897="","Customer tier required",IF($M897="","Weight required",IF($S897="","Amount entry type required",IF(OR($J897&lt;0,$K897&lt;0,$M897&lt;0,$T897&lt;0,$U897&lt;0,$V897&lt;0,$W897&lt;0,$X897&lt;0,$Y897&lt;0),"Negative amounts are not allowed",IF($AE897="","Tariff not found for township and tier",IF(AND(OR($S897="ITEM_PRICE_PLUS_DECLARED_DELIVERY",$S897="TOTAL_AMOUNT_INCLUDING_DELIVERY",$S897="ITEM_PRICE_ONLY_DELIVERY_PAID_BY_MERCHANT"),$J897=""),"Item price required for this amount type",IF(AND(OR($S897="ITEM_PRICE_PLUS_DECLARED_DELIVERY",$S897="DELIVERY_CHARGE_ONLY"),$K897=""),"Declared delivery charge required",IF(AND(OR($S897="TOTAL_AMOUNT_INCLUDING_DELIVERY",$S897="EXACT_COLLECTION_AMOUNT"),$T897=""),"Stated total amount required",IF(AND($S897="TOTAL_AMOUNT_INCLUDING_DELIVERY",$T897&lt;SUM($J897,$U897)),"Stated total is below item price plus additional charge",IF($S897="EXACT_COLLECTION_AMOUNT","Authorized amount breakdown required before settlement","Ready for collection and settlement"))))))))))))</f>
        <v/>
      </c>
      <c r="AW897" s="23">
        <f>IF($AU897="","","PARCEL_FINANCIAL_V2")</f>
        <v/>
      </c>
      <c r="AX897" s="17" t="n"/>
    </row>
    <row r="898">
      <c r="A898" s="8" t="n"/>
      <c r="B898" s="8" t="n"/>
      <c r="C898" s="8" t="n"/>
      <c r="D898" s="8" t="n"/>
      <c r="E898" s="9" t="n"/>
      <c r="F898" s="9" t="n"/>
      <c r="G898" s="8" t="n"/>
      <c r="H898" s="9" t="n"/>
      <c r="I898" s="9" t="n"/>
      <c r="J898" s="10" t="n"/>
      <c r="K898" s="10" t="n"/>
      <c r="L898" s="11">
        <f>IF($S898="","",IF($S898="ITEM_PRICE_PLUS_DECLARED_DELIVERY",IF(OR($J898="",$K898=""),"",SUM($J898,$K898,$U898)),IF($S898="TOTAL_AMOUNT_INCLUDING_DELIVERY",IF($T898="","",$T898),IF($S898="DELIVERY_CHARGE_ONLY",IF($K898="","",SUM($K898,$U898)),IF($S898="EXACT_COLLECTION_AMOUNT",IF($T898="","",$T898),IF($S898="ITEM_PRICE_ONLY_DELIVERY_PAID_BY_MERCHANT",IF($J898="","",SUM($J898,$U898)),""))))))</f>
        <v/>
      </c>
      <c r="M898" s="12" t="n"/>
      <c r="N898" s="13" t="n"/>
      <c r="O898" s="13" t="n"/>
      <c r="P898" s="9" t="n"/>
      <c r="Q898" s="14" t="n"/>
      <c r="R898" s="15" t="n"/>
      <c r="S898" s="14" t="n"/>
      <c r="T898" s="16" t="n"/>
      <c r="U898" s="16" t="n"/>
      <c r="V898" s="16" t="n"/>
      <c r="W898" s="16" t="n"/>
      <c r="X898" s="16" t="n"/>
      <c r="Y898" s="16" t="n"/>
      <c r="Z898" s="14" t="n"/>
      <c r="AA898" s="14" t="n"/>
      <c r="AB898" s="14" t="n"/>
      <c r="AC898" s="17">
        <f>IFERROR(VLOOKUP($H898&amp;"|"&amp;$Q898,Tariff_Master!$A$2:$L$169,3,FALSE),"")</f>
        <v/>
      </c>
      <c r="AD898" s="17">
        <f>IFERROR(VLOOKUP($H898&amp;"|"&amp;$Q898,Tariff_Master!$A$2:$L$169,4,FALSE),"")</f>
        <v/>
      </c>
      <c r="AE898" s="18">
        <f>IFERROR(VLOOKUP($H898&amp;"|"&amp;$Q898,Tariff_Master!$A$2:$L$169,6,FALSE),"")</f>
        <v/>
      </c>
      <c r="AF898" s="19">
        <f>IFERROR(VLOOKUP($H898&amp;"|"&amp;$Q898,Tariff_Master!$A$2:$L$169,7,FALSE),"")</f>
        <v/>
      </c>
      <c r="AG898" s="18">
        <f>IFERROR(VLOOKUP($H898&amp;"|"&amp;$Q898,Tariff_Master!$A$2:$L$169,8,FALSE),"")</f>
        <v/>
      </c>
      <c r="AH898" s="20">
        <f>IFERROR(VLOOKUP($H898&amp;"|"&amp;$Q898,Tariff_Master!$A$2:$L$169,9,FALSE),"")</f>
        <v/>
      </c>
      <c r="AI898" s="18">
        <f>IFERROR(VLOOKUP($H898&amp;"|"&amp;$Q898,Tariff_Master!$A$2:$L$169,10,FALSE),"")</f>
        <v/>
      </c>
      <c r="AJ898" s="21">
        <f>IF($M898="","",ROUNDUP(MAX(0,$M898),0))</f>
        <v/>
      </c>
      <c r="AK898" s="21">
        <f>IF(OR($AJ898="",$AF898=""),"",MAX(0,$AJ898-$AF898))</f>
        <v/>
      </c>
      <c r="AL898" s="22">
        <f>IF(OR($AK898="",$AG898=""),"",MAX(0,$AK898*$AG898))</f>
        <v/>
      </c>
      <c r="AM898" s="22">
        <f>IF($AE898="","",MAX(0,SUM($AE898,$AL898,$V898,$W898)))</f>
        <v/>
      </c>
      <c r="AN898" s="22">
        <f>IF($AM898="","",IF(AND($Q898="COMMITMENT",$R898&gt;=$AH898),$AI898,0))</f>
        <v/>
      </c>
      <c r="AO898" s="23">
        <f>IF($AM898="","",MAX(0,$AM898-$AN898))</f>
        <v/>
      </c>
      <c r="AP898" s="22">
        <f>IF($S898="","",IF(OR($S898="ITEM_PRICE_PLUS_DECLARED_DELIVERY",$S898="DELIVERY_CHARGE_ONLY"),$K898,IF($S898="TOTAL_AMOUNT_INCLUDING_DELIVERY",IF(OR($T898="",$J898=""),"",MAX(0,$T898-$J898-$U898)),IF($S898="ITEM_PRICE_ONLY_DELIVERY_PAID_BY_MERCHANT",0,""))))</f>
        <v/>
      </c>
      <c r="AQ898" s="23">
        <f>IF(OR($AP898="",$AO898=""),"",$AP898-$AO898)</f>
        <v/>
      </c>
      <c r="AR898" s="24">
        <f>IF($S898="EXACT_COLLECTION_AMOUNT","BREAKDOWN_REQUIRED",IF($AQ898="","",IF($AQ898&gt;0,"CREDIT_TO_MERCHANT",IF($AQ898&lt;0,"DEDUCT_FROM_MERCHANT","NO_ADJUSTMENT"))))</f>
        <v/>
      </c>
      <c r="AS898" s="23">
        <f>IF(OR($AQ898="",$AR898="BREAKDOWN_REQUIRED"),"",$AQ898)</f>
        <v/>
      </c>
      <c r="AT898" s="23">
        <f>IF(OR($AR898="",$AR898="BREAKDOWN_REQUIRED"),"",SUM($J898,$AQ898,$Y898)-$X898)</f>
        <v/>
      </c>
      <c r="AU898" s="25">
        <f>IF(AND($A898="",$B898="",$F898="",$H898="",$J898="",$K898="",$M898="",$S898=""),"",IF(OR($H898="",$Q898="",$M898="",$S898=""),"ERROR",IF(OR($J898&lt;0,$K898&lt;0,$M898&lt;0,$T898&lt;0,$U898&lt;0,$V898&lt;0,$W898&lt;0,$X898&lt;0,$Y898&lt;0),"ERROR",IF($AE898="","ERROR",IF(AND(OR($S898="ITEM_PRICE_PLUS_DECLARED_DELIVERY",$S898="TOTAL_AMOUNT_INCLUDING_DELIVERY",$S898="ITEM_PRICE_ONLY_DELIVERY_PAID_BY_MERCHANT"),$J898=""),"ERROR",IF(AND(OR($S898="ITEM_PRICE_PLUS_DECLARED_DELIVERY",$S898="DELIVERY_CHARGE_ONLY"),$K898=""),"ERROR",IF(AND(OR($S898="TOTAL_AMOUNT_INCLUDING_DELIVERY",$S898="EXACT_COLLECTION_AMOUNT"),$T898=""),"ERROR",IF(AND($S898="TOTAL_AMOUNT_INCLUDING_DELIVERY",$T898&lt;SUM($J898,$U898)),"ERROR",IF($S898="EXACT_COLLECTION_AMOUNT","REVIEW","OK")))))))))</f>
        <v/>
      </c>
      <c r="AV898" s="25">
        <f>IF($AU898="","",IF($H898="","Township required",IF($Q898="","Customer tier required",IF($M898="","Weight required",IF($S898="","Amount entry type required",IF(OR($J898&lt;0,$K898&lt;0,$M898&lt;0,$T898&lt;0,$U898&lt;0,$V898&lt;0,$W898&lt;0,$X898&lt;0,$Y898&lt;0),"Negative amounts are not allowed",IF($AE898="","Tariff not found for township and tier",IF(AND(OR($S898="ITEM_PRICE_PLUS_DECLARED_DELIVERY",$S898="TOTAL_AMOUNT_INCLUDING_DELIVERY",$S898="ITEM_PRICE_ONLY_DELIVERY_PAID_BY_MERCHANT"),$J898=""),"Item price required for this amount type",IF(AND(OR($S898="ITEM_PRICE_PLUS_DECLARED_DELIVERY",$S898="DELIVERY_CHARGE_ONLY"),$K898=""),"Declared delivery charge required",IF(AND(OR($S898="TOTAL_AMOUNT_INCLUDING_DELIVERY",$S898="EXACT_COLLECTION_AMOUNT"),$T898=""),"Stated total amount required",IF(AND($S898="TOTAL_AMOUNT_INCLUDING_DELIVERY",$T898&lt;SUM($J898,$U898)),"Stated total is below item price plus additional charge",IF($S898="EXACT_COLLECTION_AMOUNT","Authorized amount breakdown required before settlement","Ready for collection and settlement"))))))))))))</f>
        <v/>
      </c>
      <c r="AW898" s="23">
        <f>IF($AU898="","","PARCEL_FINANCIAL_V2")</f>
        <v/>
      </c>
      <c r="AX898" s="17" t="n"/>
    </row>
    <row r="899">
      <c r="A899" s="8" t="n"/>
      <c r="B899" s="8" t="n"/>
      <c r="C899" s="8" t="n"/>
      <c r="D899" s="8" t="n"/>
      <c r="E899" s="9" t="n"/>
      <c r="F899" s="9" t="n"/>
      <c r="G899" s="8" t="n"/>
      <c r="H899" s="9" t="n"/>
      <c r="I899" s="9" t="n"/>
      <c r="J899" s="10" t="n"/>
      <c r="K899" s="10" t="n"/>
      <c r="L899" s="11">
        <f>IF($S899="","",IF($S899="ITEM_PRICE_PLUS_DECLARED_DELIVERY",IF(OR($J899="",$K899=""),"",SUM($J899,$K899,$U899)),IF($S899="TOTAL_AMOUNT_INCLUDING_DELIVERY",IF($T899="","",$T899),IF($S899="DELIVERY_CHARGE_ONLY",IF($K899="","",SUM($K899,$U899)),IF($S899="EXACT_COLLECTION_AMOUNT",IF($T899="","",$T899),IF($S899="ITEM_PRICE_ONLY_DELIVERY_PAID_BY_MERCHANT",IF($J899="","",SUM($J899,$U899)),""))))))</f>
        <v/>
      </c>
      <c r="M899" s="12" t="n"/>
      <c r="N899" s="13" t="n"/>
      <c r="O899" s="13" t="n"/>
      <c r="P899" s="9" t="n"/>
      <c r="Q899" s="14" t="n"/>
      <c r="R899" s="15" t="n"/>
      <c r="S899" s="14" t="n"/>
      <c r="T899" s="16" t="n"/>
      <c r="U899" s="16" t="n"/>
      <c r="V899" s="16" t="n"/>
      <c r="W899" s="16" t="n"/>
      <c r="X899" s="16" t="n"/>
      <c r="Y899" s="16" t="n"/>
      <c r="Z899" s="14" t="n"/>
      <c r="AA899" s="14" t="n"/>
      <c r="AB899" s="14" t="n"/>
      <c r="AC899" s="17">
        <f>IFERROR(VLOOKUP($H899&amp;"|"&amp;$Q899,Tariff_Master!$A$2:$L$169,3,FALSE),"")</f>
        <v/>
      </c>
      <c r="AD899" s="17">
        <f>IFERROR(VLOOKUP($H899&amp;"|"&amp;$Q899,Tariff_Master!$A$2:$L$169,4,FALSE),"")</f>
        <v/>
      </c>
      <c r="AE899" s="18">
        <f>IFERROR(VLOOKUP($H899&amp;"|"&amp;$Q899,Tariff_Master!$A$2:$L$169,6,FALSE),"")</f>
        <v/>
      </c>
      <c r="AF899" s="19">
        <f>IFERROR(VLOOKUP($H899&amp;"|"&amp;$Q899,Tariff_Master!$A$2:$L$169,7,FALSE),"")</f>
        <v/>
      </c>
      <c r="AG899" s="18">
        <f>IFERROR(VLOOKUP($H899&amp;"|"&amp;$Q899,Tariff_Master!$A$2:$L$169,8,FALSE),"")</f>
        <v/>
      </c>
      <c r="AH899" s="20">
        <f>IFERROR(VLOOKUP($H899&amp;"|"&amp;$Q899,Tariff_Master!$A$2:$L$169,9,FALSE),"")</f>
        <v/>
      </c>
      <c r="AI899" s="18">
        <f>IFERROR(VLOOKUP($H899&amp;"|"&amp;$Q899,Tariff_Master!$A$2:$L$169,10,FALSE),"")</f>
        <v/>
      </c>
      <c r="AJ899" s="21">
        <f>IF($M899="","",ROUNDUP(MAX(0,$M899),0))</f>
        <v/>
      </c>
      <c r="AK899" s="21">
        <f>IF(OR($AJ899="",$AF899=""),"",MAX(0,$AJ899-$AF899))</f>
        <v/>
      </c>
      <c r="AL899" s="22">
        <f>IF(OR($AK899="",$AG899=""),"",MAX(0,$AK899*$AG899))</f>
        <v/>
      </c>
      <c r="AM899" s="22">
        <f>IF($AE899="","",MAX(0,SUM($AE899,$AL899,$V899,$W899)))</f>
        <v/>
      </c>
      <c r="AN899" s="22">
        <f>IF($AM899="","",IF(AND($Q899="COMMITMENT",$R899&gt;=$AH899),$AI899,0))</f>
        <v/>
      </c>
      <c r="AO899" s="23">
        <f>IF($AM899="","",MAX(0,$AM899-$AN899))</f>
        <v/>
      </c>
      <c r="AP899" s="22">
        <f>IF($S899="","",IF(OR($S899="ITEM_PRICE_PLUS_DECLARED_DELIVERY",$S899="DELIVERY_CHARGE_ONLY"),$K899,IF($S899="TOTAL_AMOUNT_INCLUDING_DELIVERY",IF(OR($T899="",$J899=""),"",MAX(0,$T899-$J899-$U899)),IF($S899="ITEM_PRICE_ONLY_DELIVERY_PAID_BY_MERCHANT",0,""))))</f>
        <v/>
      </c>
      <c r="AQ899" s="23">
        <f>IF(OR($AP899="",$AO899=""),"",$AP899-$AO899)</f>
        <v/>
      </c>
      <c r="AR899" s="24">
        <f>IF($S899="EXACT_COLLECTION_AMOUNT","BREAKDOWN_REQUIRED",IF($AQ899="","",IF($AQ899&gt;0,"CREDIT_TO_MERCHANT",IF($AQ899&lt;0,"DEDUCT_FROM_MERCHANT","NO_ADJUSTMENT"))))</f>
        <v/>
      </c>
      <c r="AS899" s="23">
        <f>IF(OR($AQ899="",$AR899="BREAKDOWN_REQUIRED"),"",$AQ899)</f>
        <v/>
      </c>
      <c r="AT899" s="23">
        <f>IF(OR($AR899="",$AR899="BREAKDOWN_REQUIRED"),"",SUM($J899,$AQ899,$Y899)-$X899)</f>
        <v/>
      </c>
      <c r="AU899" s="25">
        <f>IF(AND($A899="",$B899="",$F899="",$H899="",$J899="",$K899="",$M899="",$S899=""),"",IF(OR($H899="",$Q899="",$M899="",$S899=""),"ERROR",IF(OR($J899&lt;0,$K899&lt;0,$M899&lt;0,$T899&lt;0,$U899&lt;0,$V899&lt;0,$W899&lt;0,$X899&lt;0,$Y899&lt;0),"ERROR",IF($AE899="","ERROR",IF(AND(OR($S899="ITEM_PRICE_PLUS_DECLARED_DELIVERY",$S899="TOTAL_AMOUNT_INCLUDING_DELIVERY",$S899="ITEM_PRICE_ONLY_DELIVERY_PAID_BY_MERCHANT"),$J899=""),"ERROR",IF(AND(OR($S899="ITEM_PRICE_PLUS_DECLARED_DELIVERY",$S899="DELIVERY_CHARGE_ONLY"),$K899=""),"ERROR",IF(AND(OR($S899="TOTAL_AMOUNT_INCLUDING_DELIVERY",$S899="EXACT_COLLECTION_AMOUNT"),$T899=""),"ERROR",IF(AND($S899="TOTAL_AMOUNT_INCLUDING_DELIVERY",$T899&lt;SUM($J899,$U899)),"ERROR",IF($S899="EXACT_COLLECTION_AMOUNT","REVIEW","OK")))))))))</f>
        <v/>
      </c>
      <c r="AV899" s="25">
        <f>IF($AU899="","",IF($H899="","Township required",IF($Q899="","Customer tier required",IF($M899="","Weight required",IF($S899="","Amount entry type required",IF(OR($J899&lt;0,$K899&lt;0,$M899&lt;0,$T899&lt;0,$U899&lt;0,$V899&lt;0,$W899&lt;0,$X899&lt;0,$Y899&lt;0),"Negative amounts are not allowed",IF($AE899="","Tariff not found for township and tier",IF(AND(OR($S899="ITEM_PRICE_PLUS_DECLARED_DELIVERY",$S899="TOTAL_AMOUNT_INCLUDING_DELIVERY",$S899="ITEM_PRICE_ONLY_DELIVERY_PAID_BY_MERCHANT"),$J899=""),"Item price required for this amount type",IF(AND(OR($S899="ITEM_PRICE_PLUS_DECLARED_DELIVERY",$S899="DELIVERY_CHARGE_ONLY"),$K899=""),"Declared delivery charge required",IF(AND(OR($S899="TOTAL_AMOUNT_INCLUDING_DELIVERY",$S899="EXACT_COLLECTION_AMOUNT"),$T899=""),"Stated total amount required",IF(AND($S899="TOTAL_AMOUNT_INCLUDING_DELIVERY",$T899&lt;SUM($J899,$U899)),"Stated total is below item price plus additional charge",IF($S899="EXACT_COLLECTION_AMOUNT","Authorized amount breakdown required before settlement","Ready for collection and settlement"))))))))))))</f>
        <v/>
      </c>
      <c r="AW899" s="23">
        <f>IF($AU899="","","PARCEL_FINANCIAL_V2")</f>
        <v/>
      </c>
      <c r="AX899" s="17" t="n"/>
    </row>
    <row r="900">
      <c r="A900" s="8" t="n"/>
      <c r="B900" s="8" t="n"/>
      <c r="C900" s="8" t="n"/>
      <c r="D900" s="8" t="n"/>
      <c r="E900" s="9" t="n"/>
      <c r="F900" s="9" t="n"/>
      <c r="G900" s="8" t="n"/>
      <c r="H900" s="9" t="n"/>
      <c r="I900" s="9" t="n"/>
      <c r="J900" s="10" t="n"/>
      <c r="K900" s="10" t="n"/>
      <c r="L900" s="11">
        <f>IF($S900="","",IF($S900="ITEM_PRICE_PLUS_DECLARED_DELIVERY",IF(OR($J900="",$K900=""),"",SUM($J900,$K900,$U900)),IF($S900="TOTAL_AMOUNT_INCLUDING_DELIVERY",IF($T900="","",$T900),IF($S900="DELIVERY_CHARGE_ONLY",IF($K900="","",SUM($K900,$U900)),IF($S900="EXACT_COLLECTION_AMOUNT",IF($T900="","",$T900),IF($S900="ITEM_PRICE_ONLY_DELIVERY_PAID_BY_MERCHANT",IF($J900="","",SUM($J900,$U900)),""))))))</f>
        <v/>
      </c>
      <c r="M900" s="12" t="n"/>
      <c r="N900" s="13" t="n"/>
      <c r="O900" s="13" t="n"/>
      <c r="P900" s="9" t="n"/>
      <c r="Q900" s="14" t="n"/>
      <c r="R900" s="15" t="n"/>
      <c r="S900" s="14" t="n"/>
      <c r="T900" s="16" t="n"/>
      <c r="U900" s="16" t="n"/>
      <c r="V900" s="16" t="n"/>
      <c r="W900" s="16" t="n"/>
      <c r="X900" s="16" t="n"/>
      <c r="Y900" s="16" t="n"/>
      <c r="Z900" s="14" t="n"/>
      <c r="AA900" s="14" t="n"/>
      <c r="AB900" s="14" t="n"/>
      <c r="AC900" s="17">
        <f>IFERROR(VLOOKUP($H900&amp;"|"&amp;$Q900,Tariff_Master!$A$2:$L$169,3,FALSE),"")</f>
        <v/>
      </c>
      <c r="AD900" s="17">
        <f>IFERROR(VLOOKUP($H900&amp;"|"&amp;$Q900,Tariff_Master!$A$2:$L$169,4,FALSE),"")</f>
        <v/>
      </c>
      <c r="AE900" s="18">
        <f>IFERROR(VLOOKUP($H900&amp;"|"&amp;$Q900,Tariff_Master!$A$2:$L$169,6,FALSE),"")</f>
        <v/>
      </c>
      <c r="AF900" s="19">
        <f>IFERROR(VLOOKUP($H900&amp;"|"&amp;$Q900,Tariff_Master!$A$2:$L$169,7,FALSE),"")</f>
        <v/>
      </c>
      <c r="AG900" s="18">
        <f>IFERROR(VLOOKUP($H900&amp;"|"&amp;$Q900,Tariff_Master!$A$2:$L$169,8,FALSE),"")</f>
        <v/>
      </c>
      <c r="AH900" s="20">
        <f>IFERROR(VLOOKUP($H900&amp;"|"&amp;$Q900,Tariff_Master!$A$2:$L$169,9,FALSE),"")</f>
        <v/>
      </c>
      <c r="AI900" s="18">
        <f>IFERROR(VLOOKUP($H900&amp;"|"&amp;$Q900,Tariff_Master!$A$2:$L$169,10,FALSE),"")</f>
        <v/>
      </c>
      <c r="AJ900" s="21">
        <f>IF($M900="","",ROUNDUP(MAX(0,$M900),0))</f>
        <v/>
      </c>
      <c r="AK900" s="21">
        <f>IF(OR($AJ900="",$AF900=""),"",MAX(0,$AJ900-$AF900))</f>
        <v/>
      </c>
      <c r="AL900" s="22">
        <f>IF(OR($AK900="",$AG900=""),"",MAX(0,$AK900*$AG900))</f>
        <v/>
      </c>
      <c r="AM900" s="22">
        <f>IF($AE900="","",MAX(0,SUM($AE900,$AL900,$V900,$W900)))</f>
        <v/>
      </c>
      <c r="AN900" s="22">
        <f>IF($AM900="","",IF(AND($Q900="COMMITMENT",$R900&gt;=$AH900),$AI900,0))</f>
        <v/>
      </c>
      <c r="AO900" s="23">
        <f>IF($AM900="","",MAX(0,$AM900-$AN900))</f>
        <v/>
      </c>
      <c r="AP900" s="22">
        <f>IF($S900="","",IF(OR($S900="ITEM_PRICE_PLUS_DECLARED_DELIVERY",$S900="DELIVERY_CHARGE_ONLY"),$K900,IF($S900="TOTAL_AMOUNT_INCLUDING_DELIVERY",IF(OR($T900="",$J900=""),"",MAX(0,$T900-$J900-$U900)),IF($S900="ITEM_PRICE_ONLY_DELIVERY_PAID_BY_MERCHANT",0,""))))</f>
        <v/>
      </c>
      <c r="AQ900" s="23">
        <f>IF(OR($AP900="",$AO900=""),"",$AP900-$AO900)</f>
        <v/>
      </c>
      <c r="AR900" s="24">
        <f>IF($S900="EXACT_COLLECTION_AMOUNT","BREAKDOWN_REQUIRED",IF($AQ900="","",IF($AQ900&gt;0,"CREDIT_TO_MERCHANT",IF($AQ900&lt;0,"DEDUCT_FROM_MERCHANT","NO_ADJUSTMENT"))))</f>
        <v/>
      </c>
      <c r="AS900" s="23">
        <f>IF(OR($AQ900="",$AR900="BREAKDOWN_REQUIRED"),"",$AQ900)</f>
        <v/>
      </c>
      <c r="AT900" s="23">
        <f>IF(OR($AR900="",$AR900="BREAKDOWN_REQUIRED"),"",SUM($J900,$AQ900,$Y900)-$X900)</f>
        <v/>
      </c>
      <c r="AU900" s="25">
        <f>IF(AND($A900="",$B900="",$F900="",$H900="",$J900="",$K900="",$M900="",$S900=""),"",IF(OR($H900="",$Q900="",$M900="",$S900=""),"ERROR",IF(OR($J900&lt;0,$K900&lt;0,$M900&lt;0,$T900&lt;0,$U900&lt;0,$V900&lt;0,$W900&lt;0,$X900&lt;0,$Y900&lt;0),"ERROR",IF($AE900="","ERROR",IF(AND(OR($S900="ITEM_PRICE_PLUS_DECLARED_DELIVERY",$S900="TOTAL_AMOUNT_INCLUDING_DELIVERY",$S900="ITEM_PRICE_ONLY_DELIVERY_PAID_BY_MERCHANT"),$J900=""),"ERROR",IF(AND(OR($S900="ITEM_PRICE_PLUS_DECLARED_DELIVERY",$S900="DELIVERY_CHARGE_ONLY"),$K900=""),"ERROR",IF(AND(OR($S900="TOTAL_AMOUNT_INCLUDING_DELIVERY",$S900="EXACT_COLLECTION_AMOUNT"),$T900=""),"ERROR",IF(AND($S900="TOTAL_AMOUNT_INCLUDING_DELIVERY",$T900&lt;SUM($J900,$U900)),"ERROR",IF($S900="EXACT_COLLECTION_AMOUNT","REVIEW","OK")))))))))</f>
        <v/>
      </c>
      <c r="AV900" s="25">
        <f>IF($AU900="","",IF($H900="","Township required",IF($Q900="","Customer tier required",IF($M900="","Weight required",IF($S900="","Amount entry type required",IF(OR($J900&lt;0,$K900&lt;0,$M900&lt;0,$T900&lt;0,$U900&lt;0,$V900&lt;0,$W900&lt;0,$X900&lt;0,$Y900&lt;0),"Negative amounts are not allowed",IF($AE900="","Tariff not found for township and tier",IF(AND(OR($S900="ITEM_PRICE_PLUS_DECLARED_DELIVERY",$S900="TOTAL_AMOUNT_INCLUDING_DELIVERY",$S900="ITEM_PRICE_ONLY_DELIVERY_PAID_BY_MERCHANT"),$J900=""),"Item price required for this amount type",IF(AND(OR($S900="ITEM_PRICE_PLUS_DECLARED_DELIVERY",$S900="DELIVERY_CHARGE_ONLY"),$K900=""),"Declared delivery charge required",IF(AND(OR($S900="TOTAL_AMOUNT_INCLUDING_DELIVERY",$S900="EXACT_COLLECTION_AMOUNT"),$T900=""),"Stated total amount required",IF(AND($S900="TOTAL_AMOUNT_INCLUDING_DELIVERY",$T900&lt;SUM($J900,$U900)),"Stated total is below item price plus additional charge",IF($S900="EXACT_COLLECTION_AMOUNT","Authorized amount breakdown required before settlement","Ready for collection and settlement"))))))))))))</f>
        <v/>
      </c>
      <c r="AW900" s="23">
        <f>IF($AU900="","","PARCEL_FINANCIAL_V2")</f>
        <v/>
      </c>
      <c r="AX900" s="17" t="n"/>
    </row>
    <row r="901">
      <c r="A901" s="8" t="n"/>
      <c r="B901" s="8" t="n"/>
      <c r="C901" s="8" t="n"/>
      <c r="D901" s="8" t="n"/>
      <c r="E901" s="9" t="n"/>
      <c r="F901" s="9" t="n"/>
      <c r="G901" s="8" t="n"/>
      <c r="H901" s="9" t="n"/>
      <c r="I901" s="9" t="n"/>
      <c r="J901" s="10" t="n"/>
      <c r="K901" s="10" t="n"/>
      <c r="L901" s="11">
        <f>IF($S901="","",IF($S901="ITEM_PRICE_PLUS_DECLARED_DELIVERY",IF(OR($J901="",$K901=""),"",SUM($J901,$K901,$U901)),IF($S901="TOTAL_AMOUNT_INCLUDING_DELIVERY",IF($T901="","",$T901),IF($S901="DELIVERY_CHARGE_ONLY",IF($K901="","",SUM($K901,$U901)),IF($S901="EXACT_COLLECTION_AMOUNT",IF($T901="","",$T901),IF($S901="ITEM_PRICE_ONLY_DELIVERY_PAID_BY_MERCHANT",IF($J901="","",SUM($J901,$U901)),""))))))</f>
        <v/>
      </c>
      <c r="M901" s="12" t="n"/>
      <c r="N901" s="13" t="n"/>
      <c r="O901" s="13" t="n"/>
      <c r="P901" s="9" t="n"/>
      <c r="Q901" s="14" t="n"/>
      <c r="R901" s="15" t="n"/>
      <c r="S901" s="14" t="n"/>
      <c r="T901" s="16" t="n"/>
      <c r="U901" s="16" t="n"/>
      <c r="V901" s="16" t="n"/>
      <c r="W901" s="16" t="n"/>
      <c r="X901" s="16" t="n"/>
      <c r="Y901" s="16" t="n"/>
      <c r="Z901" s="14" t="n"/>
      <c r="AA901" s="14" t="n"/>
      <c r="AB901" s="14" t="n"/>
      <c r="AC901" s="17">
        <f>IFERROR(VLOOKUP($H901&amp;"|"&amp;$Q901,Tariff_Master!$A$2:$L$169,3,FALSE),"")</f>
        <v/>
      </c>
      <c r="AD901" s="17">
        <f>IFERROR(VLOOKUP($H901&amp;"|"&amp;$Q901,Tariff_Master!$A$2:$L$169,4,FALSE),"")</f>
        <v/>
      </c>
      <c r="AE901" s="18">
        <f>IFERROR(VLOOKUP($H901&amp;"|"&amp;$Q901,Tariff_Master!$A$2:$L$169,6,FALSE),"")</f>
        <v/>
      </c>
      <c r="AF901" s="19">
        <f>IFERROR(VLOOKUP($H901&amp;"|"&amp;$Q901,Tariff_Master!$A$2:$L$169,7,FALSE),"")</f>
        <v/>
      </c>
      <c r="AG901" s="18">
        <f>IFERROR(VLOOKUP($H901&amp;"|"&amp;$Q901,Tariff_Master!$A$2:$L$169,8,FALSE),"")</f>
        <v/>
      </c>
      <c r="AH901" s="20">
        <f>IFERROR(VLOOKUP($H901&amp;"|"&amp;$Q901,Tariff_Master!$A$2:$L$169,9,FALSE),"")</f>
        <v/>
      </c>
      <c r="AI901" s="18">
        <f>IFERROR(VLOOKUP($H901&amp;"|"&amp;$Q901,Tariff_Master!$A$2:$L$169,10,FALSE),"")</f>
        <v/>
      </c>
      <c r="AJ901" s="21">
        <f>IF($M901="","",ROUNDUP(MAX(0,$M901),0))</f>
        <v/>
      </c>
      <c r="AK901" s="21">
        <f>IF(OR($AJ901="",$AF901=""),"",MAX(0,$AJ901-$AF901))</f>
        <v/>
      </c>
      <c r="AL901" s="22">
        <f>IF(OR($AK901="",$AG901=""),"",MAX(0,$AK901*$AG901))</f>
        <v/>
      </c>
      <c r="AM901" s="22">
        <f>IF($AE901="","",MAX(0,SUM($AE901,$AL901,$V901,$W901)))</f>
        <v/>
      </c>
      <c r="AN901" s="22">
        <f>IF($AM901="","",IF(AND($Q901="COMMITMENT",$R901&gt;=$AH901),$AI901,0))</f>
        <v/>
      </c>
      <c r="AO901" s="23">
        <f>IF($AM901="","",MAX(0,$AM901-$AN901))</f>
        <v/>
      </c>
      <c r="AP901" s="22">
        <f>IF($S901="","",IF(OR($S901="ITEM_PRICE_PLUS_DECLARED_DELIVERY",$S901="DELIVERY_CHARGE_ONLY"),$K901,IF($S901="TOTAL_AMOUNT_INCLUDING_DELIVERY",IF(OR($T901="",$J901=""),"",MAX(0,$T901-$J901-$U901)),IF($S901="ITEM_PRICE_ONLY_DELIVERY_PAID_BY_MERCHANT",0,""))))</f>
        <v/>
      </c>
      <c r="AQ901" s="23">
        <f>IF(OR($AP901="",$AO901=""),"",$AP901-$AO901)</f>
        <v/>
      </c>
      <c r="AR901" s="24">
        <f>IF($S901="EXACT_COLLECTION_AMOUNT","BREAKDOWN_REQUIRED",IF($AQ901="","",IF($AQ901&gt;0,"CREDIT_TO_MERCHANT",IF($AQ901&lt;0,"DEDUCT_FROM_MERCHANT","NO_ADJUSTMENT"))))</f>
        <v/>
      </c>
      <c r="AS901" s="23">
        <f>IF(OR($AQ901="",$AR901="BREAKDOWN_REQUIRED"),"",$AQ901)</f>
        <v/>
      </c>
      <c r="AT901" s="23">
        <f>IF(OR($AR901="",$AR901="BREAKDOWN_REQUIRED"),"",SUM($J901,$AQ901,$Y901)-$X901)</f>
        <v/>
      </c>
      <c r="AU901" s="25">
        <f>IF(AND($A901="",$B901="",$F901="",$H901="",$J901="",$K901="",$M901="",$S901=""),"",IF(OR($H901="",$Q901="",$M901="",$S901=""),"ERROR",IF(OR($J901&lt;0,$K901&lt;0,$M901&lt;0,$T901&lt;0,$U901&lt;0,$V901&lt;0,$W901&lt;0,$X901&lt;0,$Y901&lt;0),"ERROR",IF($AE901="","ERROR",IF(AND(OR($S901="ITEM_PRICE_PLUS_DECLARED_DELIVERY",$S901="TOTAL_AMOUNT_INCLUDING_DELIVERY",$S901="ITEM_PRICE_ONLY_DELIVERY_PAID_BY_MERCHANT"),$J901=""),"ERROR",IF(AND(OR($S901="ITEM_PRICE_PLUS_DECLARED_DELIVERY",$S901="DELIVERY_CHARGE_ONLY"),$K901=""),"ERROR",IF(AND(OR($S901="TOTAL_AMOUNT_INCLUDING_DELIVERY",$S901="EXACT_COLLECTION_AMOUNT"),$T901=""),"ERROR",IF(AND($S901="TOTAL_AMOUNT_INCLUDING_DELIVERY",$T901&lt;SUM($J901,$U901)),"ERROR",IF($S901="EXACT_COLLECTION_AMOUNT","REVIEW","OK")))))))))</f>
        <v/>
      </c>
      <c r="AV901" s="25">
        <f>IF($AU901="","",IF($H901="","Township required",IF($Q901="","Customer tier required",IF($M901="","Weight required",IF($S901="","Amount entry type required",IF(OR($J901&lt;0,$K901&lt;0,$M901&lt;0,$T901&lt;0,$U901&lt;0,$V901&lt;0,$W901&lt;0,$X901&lt;0,$Y901&lt;0),"Negative amounts are not allowed",IF($AE901="","Tariff not found for township and tier",IF(AND(OR($S901="ITEM_PRICE_PLUS_DECLARED_DELIVERY",$S901="TOTAL_AMOUNT_INCLUDING_DELIVERY",$S901="ITEM_PRICE_ONLY_DELIVERY_PAID_BY_MERCHANT"),$J901=""),"Item price required for this amount type",IF(AND(OR($S901="ITEM_PRICE_PLUS_DECLARED_DELIVERY",$S901="DELIVERY_CHARGE_ONLY"),$K901=""),"Declared delivery charge required",IF(AND(OR($S901="TOTAL_AMOUNT_INCLUDING_DELIVERY",$S901="EXACT_COLLECTION_AMOUNT"),$T901=""),"Stated total amount required",IF(AND($S901="TOTAL_AMOUNT_INCLUDING_DELIVERY",$T901&lt;SUM($J901,$U901)),"Stated total is below item price plus additional charge",IF($S901="EXACT_COLLECTION_AMOUNT","Authorized amount breakdown required before settlement","Ready for collection and settlement"))))))))))))</f>
        <v/>
      </c>
      <c r="AW901" s="23">
        <f>IF($AU901="","","PARCEL_FINANCIAL_V2")</f>
        <v/>
      </c>
      <c r="AX901" s="17" t="n"/>
    </row>
    <row r="902">
      <c r="A902" s="8" t="n"/>
      <c r="B902" s="8" t="n"/>
      <c r="C902" s="8" t="n"/>
      <c r="D902" s="8" t="n"/>
      <c r="E902" s="9" t="n"/>
      <c r="F902" s="9" t="n"/>
      <c r="G902" s="8" t="n"/>
      <c r="H902" s="9" t="n"/>
      <c r="I902" s="9" t="n"/>
      <c r="J902" s="10" t="n"/>
      <c r="K902" s="10" t="n"/>
      <c r="L902" s="11">
        <f>IF($S902="","",IF($S902="ITEM_PRICE_PLUS_DECLARED_DELIVERY",IF(OR($J902="",$K902=""),"",SUM($J902,$K902,$U902)),IF($S902="TOTAL_AMOUNT_INCLUDING_DELIVERY",IF($T902="","",$T902),IF($S902="DELIVERY_CHARGE_ONLY",IF($K902="","",SUM($K902,$U902)),IF($S902="EXACT_COLLECTION_AMOUNT",IF($T902="","",$T902),IF($S902="ITEM_PRICE_ONLY_DELIVERY_PAID_BY_MERCHANT",IF($J902="","",SUM($J902,$U902)),""))))))</f>
        <v/>
      </c>
      <c r="M902" s="12" t="n"/>
      <c r="N902" s="13" t="n"/>
      <c r="O902" s="13" t="n"/>
      <c r="P902" s="9" t="n"/>
      <c r="Q902" s="14" t="n"/>
      <c r="R902" s="15" t="n"/>
      <c r="S902" s="14" t="n"/>
      <c r="T902" s="16" t="n"/>
      <c r="U902" s="16" t="n"/>
      <c r="V902" s="16" t="n"/>
      <c r="W902" s="16" t="n"/>
      <c r="X902" s="16" t="n"/>
      <c r="Y902" s="16" t="n"/>
      <c r="Z902" s="14" t="n"/>
      <c r="AA902" s="14" t="n"/>
      <c r="AB902" s="14" t="n"/>
      <c r="AC902" s="17">
        <f>IFERROR(VLOOKUP($H902&amp;"|"&amp;$Q902,Tariff_Master!$A$2:$L$169,3,FALSE),"")</f>
        <v/>
      </c>
      <c r="AD902" s="17">
        <f>IFERROR(VLOOKUP($H902&amp;"|"&amp;$Q902,Tariff_Master!$A$2:$L$169,4,FALSE),"")</f>
        <v/>
      </c>
      <c r="AE902" s="18">
        <f>IFERROR(VLOOKUP($H902&amp;"|"&amp;$Q902,Tariff_Master!$A$2:$L$169,6,FALSE),"")</f>
        <v/>
      </c>
      <c r="AF902" s="19">
        <f>IFERROR(VLOOKUP($H902&amp;"|"&amp;$Q902,Tariff_Master!$A$2:$L$169,7,FALSE),"")</f>
        <v/>
      </c>
      <c r="AG902" s="18">
        <f>IFERROR(VLOOKUP($H902&amp;"|"&amp;$Q902,Tariff_Master!$A$2:$L$169,8,FALSE),"")</f>
        <v/>
      </c>
      <c r="AH902" s="20">
        <f>IFERROR(VLOOKUP($H902&amp;"|"&amp;$Q902,Tariff_Master!$A$2:$L$169,9,FALSE),"")</f>
        <v/>
      </c>
      <c r="AI902" s="18">
        <f>IFERROR(VLOOKUP($H902&amp;"|"&amp;$Q902,Tariff_Master!$A$2:$L$169,10,FALSE),"")</f>
        <v/>
      </c>
      <c r="AJ902" s="21">
        <f>IF($M902="","",ROUNDUP(MAX(0,$M902),0))</f>
        <v/>
      </c>
      <c r="AK902" s="21">
        <f>IF(OR($AJ902="",$AF902=""),"",MAX(0,$AJ902-$AF902))</f>
        <v/>
      </c>
      <c r="AL902" s="22">
        <f>IF(OR($AK902="",$AG902=""),"",MAX(0,$AK902*$AG902))</f>
        <v/>
      </c>
      <c r="AM902" s="22">
        <f>IF($AE902="","",MAX(0,SUM($AE902,$AL902,$V902,$W902)))</f>
        <v/>
      </c>
      <c r="AN902" s="22">
        <f>IF($AM902="","",IF(AND($Q902="COMMITMENT",$R902&gt;=$AH902),$AI902,0))</f>
        <v/>
      </c>
      <c r="AO902" s="23">
        <f>IF($AM902="","",MAX(0,$AM902-$AN902))</f>
        <v/>
      </c>
      <c r="AP902" s="22">
        <f>IF($S902="","",IF(OR($S902="ITEM_PRICE_PLUS_DECLARED_DELIVERY",$S902="DELIVERY_CHARGE_ONLY"),$K902,IF($S902="TOTAL_AMOUNT_INCLUDING_DELIVERY",IF(OR($T902="",$J902=""),"",MAX(0,$T902-$J902-$U902)),IF($S902="ITEM_PRICE_ONLY_DELIVERY_PAID_BY_MERCHANT",0,""))))</f>
        <v/>
      </c>
      <c r="AQ902" s="23">
        <f>IF(OR($AP902="",$AO902=""),"",$AP902-$AO902)</f>
        <v/>
      </c>
      <c r="AR902" s="24">
        <f>IF($S902="EXACT_COLLECTION_AMOUNT","BREAKDOWN_REQUIRED",IF($AQ902="","",IF($AQ902&gt;0,"CREDIT_TO_MERCHANT",IF($AQ902&lt;0,"DEDUCT_FROM_MERCHANT","NO_ADJUSTMENT"))))</f>
        <v/>
      </c>
      <c r="AS902" s="23">
        <f>IF(OR($AQ902="",$AR902="BREAKDOWN_REQUIRED"),"",$AQ902)</f>
        <v/>
      </c>
      <c r="AT902" s="23">
        <f>IF(OR($AR902="",$AR902="BREAKDOWN_REQUIRED"),"",SUM($J902,$AQ902,$Y902)-$X902)</f>
        <v/>
      </c>
      <c r="AU902" s="25">
        <f>IF(AND($A902="",$B902="",$F902="",$H902="",$J902="",$K902="",$M902="",$S902=""),"",IF(OR($H902="",$Q902="",$M902="",$S902=""),"ERROR",IF(OR($J902&lt;0,$K902&lt;0,$M902&lt;0,$T902&lt;0,$U902&lt;0,$V902&lt;0,$W902&lt;0,$X902&lt;0,$Y902&lt;0),"ERROR",IF($AE902="","ERROR",IF(AND(OR($S902="ITEM_PRICE_PLUS_DECLARED_DELIVERY",$S902="TOTAL_AMOUNT_INCLUDING_DELIVERY",$S902="ITEM_PRICE_ONLY_DELIVERY_PAID_BY_MERCHANT"),$J902=""),"ERROR",IF(AND(OR($S902="ITEM_PRICE_PLUS_DECLARED_DELIVERY",$S902="DELIVERY_CHARGE_ONLY"),$K902=""),"ERROR",IF(AND(OR($S902="TOTAL_AMOUNT_INCLUDING_DELIVERY",$S902="EXACT_COLLECTION_AMOUNT"),$T902=""),"ERROR",IF(AND($S902="TOTAL_AMOUNT_INCLUDING_DELIVERY",$T902&lt;SUM($J902,$U902)),"ERROR",IF($S902="EXACT_COLLECTION_AMOUNT","REVIEW","OK")))))))))</f>
        <v/>
      </c>
      <c r="AV902" s="25">
        <f>IF($AU902="","",IF($H902="","Township required",IF($Q902="","Customer tier required",IF($M902="","Weight required",IF($S902="","Amount entry type required",IF(OR($J902&lt;0,$K902&lt;0,$M902&lt;0,$T902&lt;0,$U902&lt;0,$V902&lt;0,$W902&lt;0,$X902&lt;0,$Y902&lt;0),"Negative amounts are not allowed",IF($AE902="","Tariff not found for township and tier",IF(AND(OR($S902="ITEM_PRICE_PLUS_DECLARED_DELIVERY",$S902="TOTAL_AMOUNT_INCLUDING_DELIVERY",$S902="ITEM_PRICE_ONLY_DELIVERY_PAID_BY_MERCHANT"),$J902=""),"Item price required for this amount type",IF(AND(OR($S902="ITEM_PRICE_PLUS_DECLARED_DELIVERY",$S902="DELIVERY_CHARGE_ONLY"),$K902=""),"Declared delivery charge required",IF(AND(OR($S902="TOTAL_AMOUNT_INCLUDING_DELIVERY",$S902="EXACT_COLLECTION_AMOUNT"),$T902=""),"Stated total amount required",IF(AND($S902="TOTAL_AMOUNT_INCLUDING_DELIVERY",$T902&lt;SUM($J902,$U902)),"Stated total is below item price plus additional charge",IF($S902="EXACT_COLLECTION_AMOUNT","Authorized amount breakdown required before settlement","Ready for collection and settlement"))))))))))))</f>
        <v/>
      </c>
      <c r="AW902" s="23">
        <f>IF($AU902="","","PARCEL_FINANCIAL_V2")</f>
        <v/>
      </c>
      <c r="AX902" s="17" t="n"/>
    </row>
    <row r="903">
      <c r="A903" s="8" t="n"/>
      <c r="B903" s="8" t="n"/>
      <c r="C903" s="8" t="n"/>
      <c r="D903" s="8" t="n"/>
      <c r="E903" s="9" t="n"/>
      <c r="F903" s="9" t="n"/>
      <c r="G903" s="8" t="n"/>
      <c r="H903" s="9" t="n"/>
      <c r="I903" s="9" t="n"/>
      <c r="J903" s="10" t="n"/>
      <c r="K903" s="10" t="n"/>
      <c r="L903" s="11">
        <f>IF($S903="","",IF($S903="ITEM_PRICE_PLUS_DECLARED_DELIVERY",IF(OR($J903="",$K903=""),"",SUM($J903,$K903,$U903)),IF($S903="TOTAL_AMOUNT_INCLUDING_DELIVERY",IF($T903="","",$T903),IF($S903="DELIVERY_CHARGE_ONLY",IF($K903="","",SUM($K903,$U903)),IF($S903="EXACT_COLLECTION_AMOUNT",IF($T903="","",$T903),IF($S903="ITEM_PRICE_ONLY_DELIVERY_PAID_BY_MERCHANT",IF($J903="","",SUM($J903,$U903)),""))))))</f>
        <v/>
      </c>
      <c r="M903" s="12" t="n"/>
      <c r="N903" s="13" t="n"/>
      <c r="O903" s="13" t="n"/>
      <c r="P903" s="9" t="n"/>
      <c r="Q903" s="14" t="n"/>
      <c r="R903" s="15" t="n"/>
      <c r="S903" s="14" t="n"/>
      <c r="T903" s="16" t="n"/>
      <c r="U903" s="16" t="n"/>
      <c r="V903" s="16" t="n"/>
      <c r="W903" s="16" t="n"/>
      <c r="X903" s="16" t="n"/>
      <c r="Y903" s="16" t="n"/>
      <c r="Z903" s="14" t="n"/>
      <c r="AA903" s="14" t="n"/>
      <c r="AB903" s="14" t="n"/>
      <c r="AC903" s="17">
        <f>IFERROR(VLOOKUP($H903&amp;"|"&amp;$Q903,Tariff_Master!$A$2:$L$169,3,FALSE),"")</f>
        <v/>
      </c>
      <c r="AD903" s="17">
        <f>IFERROR(VLOOKUP($H903&amp;"|"&amp;$Q903,Tariff_Master!$A$2:$L$169,4,FALSE),"")</f>
        <v/>
      </c>
      <c r="AE903" s="18">
        <f>IFERROR(VLOOKUP($H903&amp;"|"&amp;$Q903,Tariff_Master!$A$2:$L$169,6,FALSE),"")</f>
        <v/>
      </c>
      <c r="AF903" s="19">
        <f>IFERROR(VLOOKUP($H903&amp;"|"&amp;$Q903,Tariff_Master!$A$2:$L$169,7,FALSE),"")</f>
        <v/>
      </c>
      <c r="AG903" s="18">
        <f>IFERROR(VLOOKUP($H903&amp;"|"&amp;$Q903,Tariff_Master!$A$2:$L$169,8,FALSE),"")</f>
        <v/>
      </c>
      <c r="AH903" s="20">
        <f>IFERROR(VLOOKUP($H903&amp;"|"&amp;$Q903,Tariff_Master!$A$2:$L$169,9,FALSE),"")</f>
        <v/>
      </c>
      <c r="AI903" s="18">
        <f>IFERROR(VLOOKUP($H903&amp;"|"&amp;$Q903,Tariff_Master!$A$2:$L$169,10,FALSE),"")</f>
        <v/>
      </c>
      <c r="AJ903" s="21">
        <f>IF($M903="","",ROUNDUP(MAX(0,$M903),0))</f>
        <v/>
      </c>
      <c r="AK903" s="21">
        <f>IF(OR($AJ903="",$AF903=""),"",MAX(0,$AJ903-$AF903))</f>
        <v/>
      </c>
      <c r="AL903" s="22">
        <f>IF(OR($AK903="",$AG903=""),"",MAX(0,$AK903*$AG903))</f>
        <v/>
      </c>
      <c r="AM903" s="22">
        <f>IF($AE903="","",MAX(0,SUM($AE903,$AL903,$V903,$W903)))</f>
        <v/>
      </c>
      <c r="AN903" s="22">
        <f>IF($AM903="","",IF(AND($Q903="COMMITMENT",$R903&gt;=$AH903),$AI903,0))</f>
        <v/>
      </c>
      <c r="AO903" s="23">
        <f>IF($AM903="","",MAX(0,$AM903-$AN903))</f>
        <v/>
      </c>
      <c r="AP903" s="22">
        <f>IF($S903="","",IF(OR($S903="ITEM_PRICE_PLUS_DECLARED_DELIVERY",$S903="DELIVERY_CHARGE_ONLY"),$K903,IF($S903="TOTAL_AMOUNT_INCLUDING_DELIVERY",IF(OR($T903="",$J903=""),"",MAX(0,$T903-$J903-$U903)),IF($S903="ITEM_PRICE_ONLY_DELIVERY_PAID_BY_MERCHANT",0,""))))</f>
        <v/>
      </c>
      <c r="AQ903" s="23">
        <f>IF(OR($AP903="",$AO903=""),"",$AP903-$AO903)</f>
        <v/>
      </c>
      <c r="AR903" s="24">
        <f>IF($S903="EXACT_COLLECTION_AMOUNT","BREAKDOWN_REQUIRED",IF($AQ903="","",IF($AQ903&gt;0,"CREDIT_TO_MERCHANT",IF($AQ903&lt;0,"DEDUCT_FROM_MERCHANT","NO_ADJUSTMENT"))))</f>
        <v/>
      </c>
      <c r="AS903" s="23">
        <f>IF(OR($AQ903="",$AR903="BREAKDOWN_REQUIRED"),"",$AQ903)</f>
        <v/>
      </c>
      <c r="AT903" s="23">
        <f>IF(OR($AR903="",$AR903="BREAKDOWN_REQUIRED"),"",SUM($J903,$AQ903,$Y903)-$X903)</f>
        <v/>
      </c>
      <c r="AU903" s="25">
        <f>IF(AND($A903="",$B903="",$F903="",$H903="",$J903="",$K903="",$M903="",$S903=""),"",IF(OR($H903="",$Q903="",$M903="",$S903=""),"ERROR",IF(OR($J903&lt;0,$K903&lt;0,$M903&lt;0,$T903&lt;0,$U903&lt;0,$V903&lt;0,$W903&lt;0,$X903&lt;0,$Y903&lt;0),"ERROR",IF($AE903="","ERROR",IF(AND(OR($S903="ITEM_PRICE_PLUS_DECLARED_DELIVERY",$S903="TOTAL_AMOUNT_INCLUDING_DELIVERY",$S903="ITEM_PRICE_ONLY_DELIVERY_PAID_BY_MERCHANT"),$J903=""),"ERROR",IF(AND(OR($S903="ITEM_PRICE_PLUS_DECLARED_DELIVERY",$S903="DELIVERY_CHARGE_ONLY"),$K903=""),"ERROR",IF(AND(OR($S903="TOTAL_AMOUNT_INCLUDING_DELIVERY",$S903="EXACT_COLLECTION_AMOUNT"),$T903=""),"ERROR",IF(AND($S903="TOTAL_AMOUNT_INCLUDING_DELIVERY",$T903&lt;SUM($J903,$U903)),"ERROR",IF($S903="EXACT_COLLECTION_AMOUNT","REVIEW","OK")))))))))</f>
        <v/>
      </c>
      <c r="AV903" s="25">
        <f>IF($AU903="","",IF($H903="","Township required",IF($Q903="","Customer tier required",IF($M903="","Weight required",IF($S903="","Amount entry type required",IF(OR($J903&lt;0,$K903&lt;0,$M903&lt;0,$T903&lt;0,$U903&lt;0,$V903&lt;0,$W903&lt;0,$X903&lt;0,$Y903&lt;0),"Negative amounts are not allowed",IF($AE903="","Tariff not found for township and tier",IF(AND(OR($S903="ITEM_PRICE_PLUS_DECLARED_DELIVERY",$S903="TOTAL_AMOUNT_INCLUDING_DELIVERY",$S903="ITEM_PRICE_ONLY_DELIVERY_PAID_BY_MERCHANT"),$J903=""),"Item price required for this amount type",IF(AND(OR($S903="ITEM_PRICE_PLUS_DECLARED_DELIVERY",$S903="DELIVERY_CHARGE_ONLY"),$K903=""),"Declared delivery charge required",IF(AND(OR($S903="TOTAL_AMOUNT_INCLUDING_DELIVERY",$S903="EXACT_COLLECTION_AMOUNT"),$T903=""),"Stated total amount required",IF(AND($S903="TOTAL_AMOUNT_INCLUDING_DELIVERY",$T903&lt;SUM($J903,$U903)),"Stated total is below item price plus additional charge",IF($S903="EXACT_COLLECTION_AMOUNT","Authorized amount breakdown required before settlement","Ready for collection and settlement"))))))))))))</f>
        <v/>
      </c>
      <c r="AW903" s="23">
        <f>IF($AU903="","","PARCEL_FINANCIAL_V2")</f>
        <v/>
      </c>
      <c r="AX903" s="17" t="n"/>
    </row>
    <row r="904">
      <c r="A904" s="8" t="n"/>
      <c r="B904" s="8" t="n"/>
      <c r="C904" s="8" t="n"/>
      <c r="D904" s="8" t="n"/>
      <c r="E904" s="9" t="n"/>
      <c r="F904" s="9" t="n"/>
      <c r="G904" s="8" t="n"/>
      <c r="H904" s="9" t="n"/>
      <c r="I904" s="9" t="n"/>
      <c r="J904" s="10" t="n"/>
      <c r="K904" s="10" t="n"/>
      <c r="L904" s="11">
        <f>IF($S904="","",IF($S904="ITEM_PRICE_PLUS_DECLARED_DELIVERY",IF(OR($J904="",$K904=""),"",SUM($J904,$K904,$U904)),IF($S904="TOTAL_AMOUNT_INCLUDING_DELIVERY",IF($T904="","",$T904),IF($S904="DELIVERY_CHARGE_ONLY",IF($K904="","",SUM($K904,$U904)),IF($S904="EXACT_COLLECTION_AMOUNT",IF($T904="","",$T904),IF($S904="ITEM_PRICE_ONLY_DELIVERY_PAID_BY_MERCHANT",IF($J904="","",SUM($J904,$U904)),""))))))</f>
        <v/>
      </c>
      <c r="M904" s="12" t="n"/>
      <c r="N904" s="13" t="n"/>
      <c r="O904" s="13" t="n"/>
      <c r="P904" s="9" t="n"/>
      <c r="Q904" s="14" t="n"/>
      <c r="R904" s="15" t="n"/>
      <c r="S904" s="14" t="n"/>
      <c r="T904" s="16" t="n"/>
      <c r="U904" s="16" t="n"/>
      <c r="V904" s="16" t="n"/>
      <c r="W904" s="16" t="n"/>
      <c r="X904" s="16" t="n"/>
      <c r="Y904" s="16" t="n"/>
      <c r="Z904" s="14" t="n"/>
      <c r="AA904" s="14" t="n"/>
      <c r="AB904" s="14" t="n"/>
      <c r="AC904" s="17">
        <f>IFERROR(VLOOKUP($H904&amp;"|"&amp;$Q904,Tariff_Master!$A$2:$L$169,3,FALSE),"")</f>
        <v/>
      </c>
      <c r="AD904" s="17">
        <f>IFERROR(VLOOKUP($H904&amp;"|"&amp;$Q904,Tariff_Master!$A$2:$L$169,4,FALSE),"")</f>
        <v/>
      </c>
      <c r="AE904" s="18">
        <f>IFERROR(VLOOKUP($H904&amp;"|"&amp;$Q904,Tariff_Master!$A$2:$L$169,6,FALSE),"")</f>
        <v/>
      </c>
      <c r="AF904" s="19">
        <f>IFERROR(VLOOKUP($H904&amp;"|"&amp;$Q904,Tariff_Master!$A$2:$L$169,7,FALSE),"")</f>
        <v/>
      </c>
      <c r="AG904" s="18">
        <f>IFERROR(VLOOKUP($H904&amp;"|"&amp;$Q904,Tariff_Master!$A$2:$L$169,8,FALSE),"")</f>
        <v/>
      </c>
      <c r="AH904" s="20">
        <f>IFERROR(VLOOKUP($H904&amp;"|"&amp;$Q904,Tariff_Master!$A$2:$L$169,9,FALSE),"")</f>
        <v/>
      </c>
      <c r="AI904" s="18">
        <f>IFERROR(VLOOKUP($H904&amp;"|"&amp;$Q904,Tariff_Master!$A$2:$L$169,10,FALSE),"")</f>
        <v/>
      </c>
      <c r="AJ904" s="21">
        <f>IF($M904="","",ROUNDUP(MAX(0,$M904),0))</f>
        <v/>
      </c>
      <c r="AK904" s="21">
        <f>IF(OR($AJ904="",$AF904=""),"",MAX(0,$AJ904-$AF904))</f>
        <v/>
      </c>
      <c r="AL904" s="22">
        <f>IF(OR($AK904="",$AG904=""),"",MAX(0,$AK904*$AG904))</f>
        <v/>
      </c>
      <c r="AM904" s="22">
        <f>IF($AE904="","",MAX(0,SUM($AE904,$AL904,$V904,$W904)))</f>
        <v/>
      </c>
      <c r="AN904" s="22">
        <f>IF($AM904="","",IF(AND($Q904="COMMITMENT",$R904&gt;=$AH904),$AI904,0))</f>
        <v/>
      </c>
      <c r="AO904" s="23">
        <f>IF($AM904="","",MAX(0,$AM904-$AN904))</f>
        <v/>
      </c>
      <c r="AP904" s="22">
        <f>IF($S904="","",IF(OR($S904="ITEM_PRICE_PLUS_DECLARED_DELIVERY",$S904="DELIVERY_CHARGE_ONLY"),$K904,IF($S904="TOTAL_AMOUNT_INCLUDING_DELIVERY",IF(OR($T904="",$J904=""),"",MAX(0,$T904-$J904-$U904)),IF($S904="ITEM_PRICE_ONLY_DELIVERY_PAID_BY_MERCHANT",0,""))))</f>
        <v/>
      </c>
      <c r="AQ904" s="23">
        <f>IF(OR($AP904="",$AO904=""),"",$AP904-$AO904)</f>
        <v/>
      </c>
      <c r="AR904" s="24">
        <f>IF($S904="EXACT_COLLECTION_AMOUNT","BREAKDOWN_REQUIRED",IF($AQ904="","",IF($AQ904&gt;0,"CREDIT_TO_MERCHANT",IF($AQ904&lt;0,"DEDUCT_FROM_MERCHANT","NO_ADJUSTMENT"))))</f>
        <v/>
      </c>
      <c r="AS904" s="23">
        <f>IF(OR($AQ904="",$AR904="BREAKDOWN_REQUIRED"),"",$AQ904)</f>
        <v/>
      </c>
      <c r="AT904" s="23">
        <f>IF(OR($AR904="",$AR904="BREAKDOWN_REQUIRED"),"",SUM($J904,$AQ904,$Y904)-$X904)</f>
        <v/>
      </c>
      <c r="AU904" s="25">
        <f>IF(AND($A904="",$B904="",$F904="",$H904="",$J904="",$K904="",$M904="",$S904=""),"",IF(OR($H904="",$Q904="",$M904="",$S904=""),"ERROR",IF(OR($J904&lt;0,$K904&lt;0,$M904&lt;0,$T904&lt;0,$U904&lt;0,$V904&lt;0,$W904&lt;0,$X904&lt;0,$Y904&lt;0),"ERROR",IF($AE904="","ERROR",IF(AND(OR($S904="ITEM_PRICE_PLUS_DECLARED_DELIVERY",$S904="TOTAL_AMOUNT_INCLUDING_DELIVERY",$S904="ITEM_PRICE_ONLY_DELIVERY_PAID_BY_MERCHANT"),$J904=""),"ERROR",IF(AND(OR($S904="ITEM_PRICE_PLUS_DECLARED_DELIVERY",$S904="DELIVERY_CHARGE_ONLY"),$K904=""),"ERROR",IF(AND(OR($S904="TOTAL_AMOUNT_INCLUDING_DELIVERY",$S904="EXACT_COLLECTION_AMOUNT"),$T904=""),"ERROR",IF(AND($S904="TOTAL_AMOUNT_INCLUDING_DELIVERY",$T904&lt;SUM($J904,$U904)),"ERROR",IF($S904="EXACT_COLLECTION_AMOUNT","REVIEW","OK")))))))))</f>
        <v/>
      </c>
      <c r="AV904" s="25">
        <f>IF($AU904="","",IF($H904="","Township required",IF($Q904="","Customer tier required",IF($M904="","Weight required",IF($S904="","Amount entry type required",IF(OR($J904&lt;0,$K904&lt;0,$M904&lt;0,$T904&lt;0,$U904&lt;0,$V904&lt;0,$W904&lt;0,$X904&lt;0,$Y904&lt;0),"Negative amounts are not allowed",IF($AE904="","Tariff not found for township and tier",IF(AND(OR($S904="ITEM_PRICE_PLUS_DECLARED_DELIVERY",$S904="TOTAL_AMOUNT_INCLUDING_DELIVERY",$S904="ITEM_PRICE_ONLY_DELIVERY_PAID_BY_MERCHANT"),$J904=""),"Item price required for this amount type",IF(AND(OR($S904="ITEM_PRICE_PLUS_DECLARED_DELIVERY",$S904="DELIVERY_CHARGE_ONLY"),$K904=""),"Declared delivery charge required",IF(AND(OR($S904="TOTAL_AMOUNT_INCLUDING_DELIVERY",$S904="EXACT_COLLECTION_AMOUNT"),$T904=""),"Stated total amount required",IF(AND($S904="TOTAL_AMOUNT_INCLUDING_DELIVERY",$T904&lt;SUM($J904,$U904)),"Stated total is below item price plus additional charge",IF($S904="EXACT_COLLECTION_AMOUNT","Authorized amount breakdown required before settlement","Ready for collection and settlement"))))))))))))</f>
        <v/>
      </c>
      <c r="AW904" s="23">
        <f>IF($AU904="","","PARCEL_FINANCIAL_V2")</f>
        <v/>
      </c>
      <c r="AX904" s="17" t="n"/>
    </row>
    <row r="905">
      <c r="A905" s="8" t="n"/>
      <c r="B905" s="8" t="n"/>
      <c r="C905" s="8" t="n"/>
      <c r="D905" s="8" t="n"/>
      <c r="E905" s="9" t="n"/>
      <c r="F905" s="9" t="n"/>
      <c r="G905" s="8" t="n"/>
      <c r="H905" s="9" t="n"/>
      <c r="I905" s="9" t="n"/>
      <c r="J905" s="10" t="n"/>
      <c r="K905" s="10" t="n"/>
      <c r="L905" s="11">
        <f>IF($S905="","",IF($S905="ITEM_PRICE_PLUS_DECLARED_DELIVERY",IF(OR($J905="",$K905=""),"",SUM($J905,$K905,$U905)),IF($S905="TOTAL_AMOUNT_INCLUDING_DELIVERY",IF($T905="","",$T905),IF($S905="DELIVERY_CHARGE_ONLY",IF($K905="","",SUM($K905,$U905)),IF($S905="EXACT_COLLECTION_AMOUNT",IF($T905="","",$T905),IF($S905="ITEM_PRICE_ONLY_DELIVERY_PAID_BY_MERCHANT",IF($J905="","",SUM($J905,$U905)),""))))))</f>
        <v/>
      </c>
      <c r="M905" s="12" t="n"/>
      <c r="N905" s="13" t="n"/>
      <c r="O905" s="13" t="n"/>
      <c r="P905" s="9" t="n"/>
      <c r="Q905" s="14" t="n"/>
      <c r="R905" s="15" t="n"/>
      <c r="S905" s="14" t="n"/>
      <c r="T905" s="16" t="n"/>
      <c r="U905" s="16" t="n"/>
      <c r="V905" s="16" t="n"/>
      <c r="W905" s="16" t="n"/>
      <c r="X905" s="16" t="n"/>
      <c r="Y905" s="16" t="n"/>
      <c r="Z905" s="14" t="n"/>
      <c r="AA905" s="14" t="n"/>
      <c r="AB905" s="14" t="n"/>
      <c r="AC905" s="17">
        <f>IFERROR(VLOOKUP($H905&amp;"|"&amp;$Q905,Tariff_Master!$A$2:$L$169,3,FALSE),"")</f>
        <v/>
      </c>
      <c r="AD905" s="17">
        <f>IFERROR(VLOOKUP($H905&amp;"|"&amp;$Q905,Tariff_Master!$A$2:$L$169,4,FALSE),"")</f>
        <v/>
      </c>
      <c r="AE905" s="18">
        <f>IFERROR(VLOOKUP($H905&amp;"|"&amp;$Q905,Tariff_Master!$A$2:$L$169,6,FALSE),"")</f>
        <v/>
      </c>
      <c r="AF905" s="19">
        <f>IFERROR(VLOOKUP($H905&amp;"|"&amp;$Q905,Tariff_Master!$A$2:$L$169,7,FALSE),"")</f>
        <v/>
      </c>
      <c r="AG905" s="18">
        <f>IFERROR(VLOOKUP($H905&amp;"|"&amp;$Q905,Tariff_Master!$A$2:$L$169,8,FALSE),"")</f>
        <v/>
      </c>
      <c r="AH905" s="20">
        <f>IFERROR(VLOOKUP($H905&amp;"|"&amp;$Q905,Tariff_Master!$A$2:$L$169,9,FALSE),"")</f>
        <v/>
      </c>
      <c r="AI905" s="18">
        <f>IFERROR(VLOOKUP($H905&amp;"|"&amp;$Q905,Tariff_Master!$A$2:$L$169,10,FALSE),"")</f>
        <v/>
      </c>
      <c r="AJ905" s="21">
        <f>IF($M905="","",ROUNDUP(MAX(0,$M905),0))</f>
        <v/>
      </c>
      <c r="AK905" s="21">
        <f>IF(OR($AJ905="",$AF905=""),"",MAX(0,$AJ905-$AF905))</f>
        <v/>
      </c>
      <c r="AL905" s="22">
        <f>IF(OR($AK905="",$AG905=""),"",MAX(0,$AK905*$AG905))</f>
        <v/>
      </c>
      <c r="AM905" s="22">
        <f>IF($AE905="","",MAX(0,SUM($AE905,$AL905,$V905,$W905)))</f>
        <v/>
      </c>
      <c r="AN905" s="22">
        <f>IF($AM905="","",IF(AND($Q905="COMMITMENT",$R905&gt;=$AH905),$AI905,0))</f>
        <v/>
      </c>
      <c r="AO905" s="23">
        <f>IF($AM905="","",MAX(0,$AM905-$AN905))</f>
        <v/>
      </c>
      <c r="AP905" s="22">
        <f>IF($S905="","",IF(OR($S905="ITEM_PRICE_PLUS_DECLARED_DELIVERY",$S905="DELIVERY_CHARGE_ONLY"),$K905,IF($S905="TOTAL_AMOUNT_INCLUDING_DELIVERY",IF(OR($T905="",$J905=""),"",MAX(0,$T905-$J905-$U905)),IF($S905="ITEM_PRICE_ONLY_DELIVERY_PAID_BY_MERCHANT",0,""))))</f>
        <v/>
      </c>
      <c r="AQ905" s="23">
        <f>IF(OR($AP905="",$AO905=""),"",$AP905-$AO905)</f>
        <v/>
      </c>
      <c r="AR905" s="24">
        <f>IF($S905="EXACT_COLLECTION_AMOUNT","BREAKDOWN_REQUIRED",IF($AQ905="","",IF($AQ905&gt;0,"CREDIT_TO_MERCHANT",IF($AQ905&lt;0,"DEDUCT_FROM_MERCHANT","NO_ADJUSTMENT"))))</f>
        <v/>
      </c>
      <c r="AS905" s="23">
        <f>IF(OR($AQ905="",$AR905="BREAKDOWN_REQUIRED"),"",$AQ905)</f>
        <v/>
      </c>
      <c r="AT905" s="23">
        <f>IF(OR($AR905="",$AR905="BREAKDOWN_REQUIRED"),"",SUM($J905,$AQ905,$Y905)-$X905)</f>
        <v/>
      </c>
      <c r="AU905" s="25">
        <f>IF(AND($A905="",$B905="",$F905="",$H905="",$J905="",$K905="",$M905="",$S905=""),"",IF(OR($H905="",$Q905="",$M905="",$S905=""),"ERROR",IF(OR($J905&lt;0,$K905&lt;0,$M905&lt;0,$T905&lt;0,$U905&lt;0,$V905&lt;0,$W905&lt;0,$X905&lt;0,$Y905&lt;0),"ERROR",IF($AE905="","ERROR",IF(AND(OR($S905="ITEM_PRICE_PLUS_DECLARED_DELIVERY",$S905="TOTAL_AMOUNT_INCLUDING_DELIVERY",$S905="ITEM_PRICE_ONLY_DELIVERY_PAID_BY_MERCHANT"),$J905=""),"ERROR",IF(AND(OR($S905="ITEM_PRICE_PLUS_DECLARED_DELIVERY",$S905="DELIVERY_CHARGE_ONLY"),$K905=""),"ERROR",IF(AND(OR($S905="TOTAL_AMOUNT_INCLUDING_DELIVERY",$S905="EXACT_COLLECTION_AMOUNT"),$T905=""),"ERROR",IF(AND($S905="TOTAL_AMOUNT_INCLUDING_DELIVERY",$T905&lt;SUM($J905,$U905)),"ERROR",IF($S905="EXACT_COLLECTION_AMOUNT","REVIEW","OK")))))))))</f>
        <v/>
      </c>
      <c r="AV905" s="25">
        <f>IF($AU905="","",IF($H905="","Township required",IF($Q905="","Customer tier required",IF($M905="","Weight required",IF($S905="","Amount entry type required",IF(OR($J905&lt;0,$K905&lt;0,$M905&lt;0,$T905&lt;0,$U905&lt;0,$V905&lt;0,$W905&lt;0,$X905&lt;0,$Y905&lt;0),"Negative amounts are not allowed",IF($AE905="","Tariff not found for township and tier",IF(AND(OR($S905="ITEM_PRICE_PLUS_DECLARED_DELIVERY",$S905="TOTAL_AMOUNT_INCLUDING_DELIVERY",$S905="ITEM_PRICE_ONLY_DELIVERY_PAID_BY_MERCHANT"),$J905=""),"Item price required for this amount type",IF(AND(OR($S905="ITEM_PRICE_PLUS_DECLARED_DELIVERY",$S905="DELIVERY_CHARGE_ONLY"),$K905=""),"Declared delivery charge required",IF(AND(OR($S905="TOTAL_AMOUNT_INCLUDING_DELIVERY",$S905="EXACT_COLLECTION_AMOUNT"),$T905=""),"Stated total amount required",IF(AND($S905="TOTAL_AMOUNT_INCLUDING_DELIVERY",$T905&lt;SUM($J905,$U905)),"Stated total is below item price plus additional charge",IF($S905="EXACT_COLLECTION_AMOUNT","Authorized amount breakdown required before settlement","Ready for collection and settlement"))))))))))))</f>
        <v/>
      </c>
      <c r="AW905" s="23">
        <f>IF($AU905="","","PARCEL_FINANCIAL_V2")</f>
        <v/>
      </c>
      <c r="AX905" s="17" t="n"/>
    </row>
    <row r="906">
      <c r="A906" s="8" t="n"/>
      <c r="B906" s="8" t="n"/>
      <c r="C906" s="8" t="n"/>
      <c r="D906" s="8" t="n"/>
      <c r="E906" s="9" t="n"/>
      <c r="F906" s="9" t="n"/>
      <c r="G906" s="8" t="n"/>
      <c r="H906" s="9" t="n"/>
      <c r="I906" s="9" t="n"/>
      <c r="J906" s="10" t="n"/>
      <c r="K906" s="10" t="n"/>
      <c r="L906" s="11">
        <f>IF($S906="","",IF($S906="ITEM_PRICE_PLUS_DECLARED_DELIVERY",IF(OR($J906="",$K906=""),"",SUM($J906,$K906,$U906)),IF($S906="TOTAL_AMOUNT_INCLUDING_DELIVERY",IF($T906="","",$T906),IF($S906="DELIVERY_CHARGE_ONLY",IF($K906="","",SUM($K906,$U906)),IF($S906="EXACT_COLLECTION_AMOUNT",IF($T906="","",$T906),IF($S906="ITEM_PRICE_ONLY_DELIVERY_PAID_BY_MERCHANT",IF($J906="","",SUM($J906,$U906)),""))))))</f>
        <v/>
      </c>
      <c r="M906" s="12" t="n"/>
      <c r="N906" s="13" t="n"/>
      <c r="O906" s="13" t="n"/>
      <c r="P906" s="9" t="n"/>
      <c r="Q906" s="14" t="n"/>
      <c r="R906" s="15" t="n"/>
      <c r="S906" s="14" t="n"/>
      <c r="T906" s="16" t="n"/>
      <c r="U906" s="16" t="n"/>
      <c r="V906" s="16" t="n"/>
      <c r="W906" s="16" t="n"/>
      <c r="X906" s="16" t="n"/>
      <c r="Y906" s="16" t="n"/>
      <c r="Z906" s="14" t="n"/>
      <c r="AA906" s="14" t="n"/>
      <c r="AB906" s="14" t="n"/>
      <c r="AC906" s="17">
        <f>IFERROR(VLOOKUP($H906&amp;"|"&amp;$Q906,Tariff_Master!$A$2:$L$169,3,FALSE),"")</f>
        <v/>
      </c>
      <c r="AD906" s="17">
        <f>IFERROR(VLOOKUP($H906&amp;"|"&amp;$Q906,Tariff_Master!$A$2:$L$169,4,FALSE),"")</f>
        <v/>
      </c>
      <c r="AE906" s="18">
        <f>IFERROR(VLOOKUP($H906&amp;"|"&amp;$Q906,Tariff_Master!$A$2:$L$169,6,FALSE),"")</f>
        <v/>
      </c>
      <c r="AF906" s="19">
        <f>IFERROR(VLOOKUP($H906&amp;"|"&amp;$Q906,Tariff_Master!$A$2:$L$169,7,FALSE),"")</f>
        <v/>
      </c>
      <c r="AG906" s="18">
        <f>IFERROR(VLOOKUP($H906&amp;"|"&amp;$Q906,Tariff_Master!$A$2:$L$169,8,FALSE),"")</f>
        <v/>
      </c>
      <c r="AH906" s="20">
        <f>IFERROR(VLOOKUP($H906&amp;"|"&amp;$Q906,Tariff_Master!$A$2:$L$169,9,FALSE),"")</f>
        <v/>
      </c>
      <c r="AI906" s="18">
        <f>IFERROR(VLOOKUP($H906&amp;"|"&amp;$Q906,Tariff_Master!$A$2:$L$169,10,FALSE),"")</f>
        <v/>
      </c>
      <c r="AJ906" s="21">
        <f>IF($M906="","",ROUNDUP(MAX(0,$M906),0))</f>
        <v/>
      </c>
      <c r="AK906" s="21">
        <f>IF(OR($AJ906="",$AF906=""),"",MAX(0,$AJ906-$AF906))</f>
        <v/>
      </c>
      <c r="AL906" s="22">
        <f>IF(OR($AK906="",$AG906=""),"",MAX(0,$AK906*$AG906))</f>
        <v/>
      </c>
      <c r="AM906" s="22">
        <f>IF($AE906="","",MAX(0,SUM($AE906,$AL906,$V906,$W906)))</f>
        <v/>
      </c>
      <c r="AN906" s="22">
        <f>IF($AM906="","",IF(AND($Q906="COMMITMENT",$R906&gt;=$AH906),$AI906,0))</f>
        <v/>
      </c>
      <c r="AO906" s="23">
        <f>IF($AM906="","",MAX(0,$AM906-$AN906))</f>
        <v/>
      </c>
      <c r="AP906" s="22">
        <f>IF($S906="","",IF(OR($S906="ITEM_PRICE_PLUS_DECLARED_DELIVERY",$S906="DELIVERY_CHARGE_ONLY"),$K906,IF($S906="TOTAL_AMOUNT_INCLUDING_DELIVERY",IF(OR($T906="",$J906=""),"",MAX(0,$T906-$J906-$U906)),IF($S906="ITEM_PRICE_ONLY_DELIVERY_PAID_BY_MERCHANT",0,""))))</f>
        <v/>
      </c>
      <c r="AQ906" s="23">
        <f>IF(OR($AP906="",$AO906=""),"",$AP906-$AO906)</f>
        <v/>
      </c>
      <c r="AR906" s="24">
        <f>IF($S906="EXACT_COLLECTION_AMOUNT","BREAKDOWN_REQUIRED",IF($AQ906="","",IF($AQ906&gt;0,"CREDIT_TO_MERCHANT",IF($AQ906&lt;0,"DEDUCT_FROM_MERCHANT","NO_ADJUSTMENT"))))</f>
        <v/>
      </c>
      <c r="AS906" s="23">
        <f>IF(OR($AQ906="",$AR906="BREAKDOWN_REQUIRED"),"",$AQ906)</f>
        <v/>
      </c>
      <c r="AT906" s="23">
        <f>IF(OR($AR906="",$AR906="BREAKDOWN_REQUIRED"),"",SUM($J906,$AQ906,$Y906)-$X906)</f>
        <v/>
      </c>
      <c r="AU906" s="25">
        <f>IF(AND($A906="",$B906="",$F906="",$H906="",$J906="",$K906="",$M906="",$S906=""),"",IF(OR($H906="",$Q906="",$M906="",$S906=""),"ERROR",IF(OR($J906&lt;0,$K906&lt;0,$M906&lt;0,$T906&lt;0,$U906&lt;0,$V906&lt;0,$W906&lt;0,$X906&lt;0,$Y906&lt;0),"ERROR",IF($AE906="","ERROR",IF(AND(OR($S906="ITEM_PRICE_PLUS_DECLARED_DELIVERY",$S906="TOTAL_AMOUNT_INCLUDING_DELIVERY",$S906="ITEM_PRICE_ONLY_DELIVERY_PAID_BY_MERCHANT"),$J906=""),"ERROR",IF(AND(OR($S906="ITEM_PRICE_PLUS_DECLARED_DELIVERY",$S906="DELIVERY_CHARGE_ONLY"),$K906=""),"ERROR",IF(AND(OR($S906="TOTAL_AMOUNT_INCLUDING_DELIVERY",$S906="EXACT_COLLECTION_AMOUNT"),$T906=""),"ERROR",IF(AND($S906="TOTAL_AMOUNT_INCLUDING_DELIVERY",$T906&lt;SUM($J906,$U906)),"ERROR",IF($S906="EXACT_COLLECTION_AMOUNT","REVIEW","OK")))))))))</f>
        <v/>
      </c>
      <c r="AV906" s="25">
        <f>IF($AU906="","",IF($H906="","Township required",IF($Q906="","Customer tier required",IF($M906="","Weight required",IF($S906="","Amount entry type required",IF(OR($J906&lt;0,$K906&lt;0,$M906&lt;0,$T906&lt;0,$U906&lt;0,$V906&lt;0,$W906&lt;0,$X906&lt;0,$Y906&lt;0),"Negative amounts are not allowed",IF($AE906="","Tariff not found for township and tier",IF(AND(OR($S906="ITEM_PRICE_PLUS_DECLARED_DELIVERY",$S906="TOTAL_AMOUNT_INCLUDING_DELIVERY",$S906="ITEM_PRICE_ONLY_DELIVERY_PAID_BY_MERCHANT"),$J906=""),"Item price required for this amount type",IF(AND(OR($S906="ITEM_PRICE_PLUS_DECLARED_DELIVERY",$S906="DELIVERY_CHARGE_ONLY"),$K906=""),"Declared delivery charge required",IF(AND(OR($S906="TOTAL_AMOUNT_INCLUDING_DELIVERY",$S906="EXACT_COLLECTION_AMOUNT"),$T906=""),"Stated total amount required",IF(AND($S906="TOTAL_AMOUNT_INCLUDING_DELIVERY",$T906&lt;SUM($J906,$U906)),"Stated total is below item price plus additional charge",IF($S906="EXACT_COLLECTION_AMOUNT","Authorized amount breakdown required before settlement","Ready for collection and settlement"))))))))))))</f>
        <v/>
      </c>
      <c r="AW906" s="23">
        <f>IF($AU906="","","PARCEL_FINANCIAL_V2")</f>
        <v/>
      </c>
      <c r="AX906" s="17" t="n"/>
    </row>
    <row r="907">
      <c r="A907" s="8" t="n"/>
      <c r="B907" s="8" t="n"/>
      <c r="C907" s="8" t="n"/>
      <c r="D907" s="8" t="n"/>
      <c r="E907" s="9" t="n"/>
      <c r="F907" s="9" t="n"/>
      <c r="G907" s="8" t="n"/>
      <c r="H907" s="9" t="n"/>
      <c r="I907" s="9" t="n"/>
      <c r="J907" s="10" t="n"/>
      <c r="K907" s="10" t="n"/>
      <c r="L907" s="11">
        <f>IF($S907="","",IF($S907="ITEM_PRICE_PLUS_DECLARED_DELIVERY",IF(OR($J907="",$K907=""),"",SUM($J907,$K907,$U907)),IF($S907="TOTAL_AMOUNT_INCLUDING_DELIVERY",IF($T907="","",$T907),IF($S907="DELIVERY_CHARGE_ONLY",IF($K907="","",SUM($K907,$U907)),IF($S907="EXACT_COLLECTION_AMOUNT",IF($T907="","",$T907),IF($S907="ITEM_PRICE_ONLY_DELIVERY_PAID_BY_MERCHANT",IF($J907="","",SUM($J907,$U907)),""))))))</f>
        <v/>
      </c>
      <c r="M907" s="12" t="n"/>
      <c r="N907" s="13" t="n"/>
      <c r="O907" s="13" t="n"/>
      <c r="P907" s="9" t="n"/>
      <c r="Q907" s="14" t="n"/>
      <c r="R907" s="15" t="n"/>
      <c r="S907" s="14" t="n"/>
      <c r="T907" s="16" t="n"/>
      <c r="U907" s="16" t="n"/>
      <c r="V907" s="16" t="n"/>
      <c r="W907" s="16" t="n"/>
      <c r="X907" s="16" t="n"/>
      <c r="Y907" s="16" t="n"/>
      <c r="Z907" s="14" t="n"/>
      <c r="AA907" s="14" t="n"/>
      <c r="AB907" s="14" t="n"/>
      <c r="AC907" s="17">
        <f>IFERROR(VLOOKUP($H907&amp;"|"&amp;$Q907,Tariff_Master!$A$2:$L$169,3,FALSE),"")</f>
        <v/>
      </c>
      <c r="AD907" s="17">
        <f>IFERROR(VLOOKUP($H907&amp;"|"&amp;$Q907,Tariff_Master!$A$2:$L$169,4,FALSE),"")</f>
        <v/>
      </c>
      <c r="AE907" s="18">
        <f>IFERROR(VLOOKUP($H907&amp;"|"&amp;$Q907,Tariff_Master!$A$2:$L$169,6,FALSE),"")</f>
        <v/>
      </c>
      <c r="AF907" s="19">
        <f>IFERROR(VLOOKUP($H907&amp;"|"&amp;$Q907,Tariff_Master!$A$2:$L$169,7,FALSE),"")</f>
        <v/>
      </c>
      <c r="AG907" s="18">
        <f>IFERROR(VLOOKUP($H907&amp;"|"&amp;$Q907,Tariff_Master!$A$2:$L$169,8,FALSE),"")</f>
        <v/>
      </c>
      <c r="AH907" s="20">
        <f>IFERROR(VLOOKUP($H907&amp;"|"&amp;$Q907,Tariff_Master!$A$2:$L$169,9,FALSE),"")</f>
        <v/>
      </c>
      <c r="AI907" s="18">
        <f>IFERROR(VLOOKUP($H907&amp;"|"&amp;$Q907,Tariff_Master!$A$2:$L$169,10,FALSE),"")</f>
        <v/>
      </c>
      <c r="AJ907" s="21">
        <f>IF($M907="","",ROUNDUP(MAX(0,$M907),0))</f>
        <v/>
      </c>
      <c r="AK907" s="21">
        <f>IF(OR($AJ907="",$AF907=""),"",MAX(0,$AJ907-$AF907))</f>
        <v/>
      </c>
      <c r="AL907" s="22">
        <f>IF(OR($AK907="",$AG907=""),"",MAX(0,$AK907*$AG907))</f>
        <v/>
      </c>
      <c r="AM907" s="22">
        <f>IF($AE907="","",MAX(0,SUM($AE907,$AL907,$V907,$W907)))</f>
        <v/>
      </c>
      <c r="AN907" s="22">
        <f>IF($AM907="","",IF(AND($Q907="COMMITMENT",$R907&gt;=$AH907),$AI907,0))</f>
        <v/>
      </c>
      <c r="AO907" s="23">
        <f>IF($AM907="","",MAX(0,$AM907-$AN907))</f>
        <v/>
      </c>
      <c r="AP907" s="22">
        <f>IF($S907="","",IF(OR($S907="ITEM_PRICE_PLUS_DECLARED_DELIVERY",$S907="DELIVERY_CHARGE_ONLY"),$K907,IF($S907="TOTAL_AMOUNT_INCLUDING_DELIVERY",IF(OR($T907="",$J907=""),"",MAX(0,$T907-$J907-$U907)),IF($S907="ITEM_PRICE_ONLY_DELIVERY_PAID_BY_MERCHANT",0,""))))</f>
        <v/>
      </c>
      <c r="AQ907" s="23">
        <f>IF(OR($AP907="",$AO907=""),"",$AP907-$AO907)</f>
        <v/>
      </c>
      <c r="AR907" s="24">
        <f>IF($S907="EXACT_COLLECTION_AMOUNT","BREAKDOWN_REQUIRED",IF($AQ907="","",IF($AQ907&gt;0,"CREDIT_TO_MERCHANT",IF($AQ907&lt;0,"DEDUCT_FROM_MERCHANT","NO_ADJUSTMENT"))))</f>
        <v/>
      </c>
      <c r="AS907" s="23">
        <f>IF(OR($AQ907="",$AR907="BREAKDOWN_REQUIRED"),"",$AQ907)</f>
        <v/>
      </c>
      <c r="AT907" s="23">
        <f>IF(OR($AR907="",$AR907="BREAKDOWN_REQUIRED"),"",SUM($J907,$AQ907,$Y907)-$X907)</f>
        <v/>
      </c>
      <c r="AU907" s="25">
        <f>IF(AND($A907="",$B907="",$F907="",$H907="",$J907="",$K907="",$M907="",$S907=""),"",IF(OR($H907="",$Q907="",$M907="",$S907=""),"ERROR",IF(OR($J907&lt;0,$K907&lt;0,$M907&lt;0,$T907&lt;0,$U907&lt;0,$V907&lt;0,$W907&lt;0,$X907&lt;0,$Y907&lt;0),"ERROR",IF($AE907="","ERROR",IF(AND(OR($S907="ITEM_PRICE_PLUS_DECLARED_DELIVERY",$S907="TOTAL_AMOUNT_INCLUDING_DELIVERY",$S907="ITEM_PRICE_ONLY_DELIVERY_PAID_BY_MERCHANT"),$J907=""),"ERROR",IF(AND(OR($S907="ITEM_PRICE_PLUS_DECLARED_DELIVERY",$S907="DELIVERY_CHARGE_ONLY"),$K907=""),"ERROR",IF(AND(OR($S907="TOTAL_AMOUNT_INCLUDING_DELIVERY",$S907="EXACT_COLLECTION_AMOUNT"),$T907=""),"ERROR",IF(AND($S907="TOTAL_AMOUNT_INCLUDING_DELIVERY",$T907&lt;SUM($J907,$U907)),"ERROR",IF($S907="EXACT_COLLECTION_AMOUNT","REVIEW","OK")))))))))</f>
        <v/>
      </c>
      <c r="AV907" s="25">
        <f>IF($AU907="","",IF($H907="","Township required",IF($Q907="","Customer tier required",IF($M907="","Weight required",IF($S907="","Amount entry type required",IF(OR($J907&lt;0,$K907&lt;0,$M907&lt;0,$T907&lt;0,$U907&lt;0,$V907&lt;0,$W907&lt;0,$X907&lt;0,$Y907&lt;0),"Negative amounts are not allowed",IF($AE907="","Tariff not found for township and tier",IF(AND(OR($S907="ITEM_PRICE_PLUS_DECLARED_DELIVERY",$S907="TOTAL_AMOUNT_INCLUDING_DELIVERY",$S907="ITEM_PRICE_ONLY_DELIVERY_PAID_BY_MERCHANT"),$J907=""),"Item price required for this amount type",IF(AND(OR($S907="ITEM_PRICE_PLUS_DECLARED_DELIVERY",$S907="DELIVERY_CHARGE_ONLY"),$K907=""),"Declared delivery charge required",IF(AND(OR($S907="TOTAL_AMOUNT_INCLUDING_DELIVERY",$S907="EXACT_COLLECTION_AMOUNT"),$T907=""),"Stated total amount required",IF(AND($S907="TOTAL_AMOUNT_INCLUDING_DELIVERY",$T907&lt;SUM($J907,$U907)),"Stated total is below item price plus additional charge",IF($S907="EXACT_COLLECTION_AMOUNT","Authorized amount breakdown required before settlement","Ready for collection and settlement"))))))))))))</f>
        <v/>
      </c>
      <c r="AW907" s="23">
        <f>IF($AU907="","","PARCEL_FINANCIAL_V2")</f>
        <v/>
      </c>
      <c r="AX907" s="17" t="n"/>
    </row>
    <row r="908">
      <c r="A908" s="8" t="n"/>
      <c r="B908" s="8" t="n"/>
      <c r="C908" s="8" t="n"/>
      <c r="D908" s="8" t="n"/>
      <c r="E908" s="9" t="n"/>
      <c r="F908" s="9" t="n"/>
      <c r="G908" s="8" t="n"/>
      <c r="H908" s="9" t="n"/>
      <c r="I908" s="9" t="n"/>
      <c r="J908" s="10" t="n"/>
      <c r="K908" s="10" t="n"/>
      <c r="L908" s="11">
        <f>IF($S908="","",IF($S908="ITEM_PRICE_PLUS_DECLARED_DELIVERY",IF(OR($J908="",$K908=""),"",SUM($J908,$K908,$U908)),IF($S908="TOTAL_AMOUNT_INCLUDING_DELIVERY",IF($T908="","",$T908),IF($S908="DELIVERY_CHARGE_ONLY",IF($K908="","",SUM($K908,$U908)),IF($S908="EXACT_COLLECTION_AMOUNT",IF($T908="","",$T908),IF($S908="ITEM_PRICE_ONLY_DELIVERY_PAID_BY_MERCHANT",IF($J908="","",SUM($J908,$U908)),""))))))</f>
        <v/>
      </c>
      <c r="M908" s="12" t="n"/>
      <c r="N908" s="13" t="n"/>
      <c r="O908" s="13" t="n"/>
      <c r="P908" s="9" t="n"/>
      <c r="Q908" s="14" t="n"/>
      <c r="R908" s="15" t="n"/>
      <c r="S908" s="14" t="n"/>
      <c r="T908" s="16" t="n"/>
      <c r="U908" s="16" t="n"/>
      <c r="V908" s="16" t="n"/>
      <c r="W908" s="16" t="n"/>
      <c r="X908" s="16" t="n"/>
      <c r="Y908" s="16" t="n"/>
      <c r="Z908" s="14" t="n"/>
      <c r="AA908" s="14" t="n"/>
      <c r="AB908" s="14" t="n"/>
      <c r="AC908" s="17">
        <f>IFERROR(VLOOKUP($H908&amp;"|"&amp;$Q908,Tariff_Master!$A$2:$L$169,3,FALSE),"")</f>
        <v/>
      </c>
      <c r="AD908" s="17">
        <f>IFERROR(VLOOKUP($H908&amp;"|"&amp;$Q908,Tariff_Master!$A$2:$L$169,4,FALSE),"")</f>
        <v/>
      </c>
      <c r="AE908" s="18">
        <f>IFERROR(VLOOKUP($H908&amp;"|"&amp;$Q908,Tariff_Master!$A$2:$L$169,6,FALSE),"")</f>
        <v/>
      </c>
      <c r="AF908" s="19">
        <f>IFERROR(VLOOKUP($H908&amp;"|"&amp;$Q908,Tariff_Master!$A$2:$L$169,7,FALSE),"")</f>
        <v/>
      </c>
      <c r="AG908" s="18">
        <f>IFERROR(VLOOKUP($H908&amp;"|"&amp;$Q908,Tariff_Master!$A$2:$L$169,8,FALSE),"")</f>
        <v/>
      </c>
      <c r="AH908" s="20">
        <f>IFERROR(VLOOKUP($H908&amp;"|"&amp;$Q908,Tariff_Master!$A$2:$L$169,9,FALSE),"")</f>
        <v/>
      </c>
      <c r="AI908" s="18">
        <f>IFERROR(VLOOKUP($H908&amp;"|"&amp;$Q908,Tariff_Master!$A$2:$L$169,10,FALSE),"")</f>
        <v/>
      </c>
      <c r="AJ908" s="21">
        <f>IF($M908="","",ROUNDUP(MAX(0,$M908),0))</f>
        <v/>
      </c>
      <c r="AK908" s="21">
        <f>IF(OR($AJ908="",$AF908=""),"",MAX(0,$AJ908-$AF908))</f>
        <v/>
      </c>
      <c r="AL908" s="22">
        <f>IF(OR($AK908="",$AG908=""),"",MAX(0,$AK908*$AG908))</f>
        <v/>
      </c>
      <c r="AM908" s="22">
        <f>IF($AE908="","",MAX(0,SUM($AE908,$AL908,$V908,$W908)))</f>
        <v/>
      </c>
      <c r="AN908" s="22">
        <f>IF($AM908="","",IF(AND($Q908="COMMITMENT",$R908&gt;=$AH908),$AI908,0))</f>
        <v/>
      </c>
      <c r="AO908" s="23">
        <f>IF($AM908="","",MAX(0,$AM908-$AN908))</f>
        <v/>
      </c>
      <c r="AP908" s="22">
        <f>IF($S908="","",IF(OR($S908="ITEM_PRICE_PLUS_DECLARED_DELIVERY",$S908="DELIVERY_CHARGE_ONLY"),$K908,IF($S908="TOTAL_AMOUNT_INCLUDING_DELIVERY",IF(OR($T908="",$J908=""),"",MAX(0,$T908-$J908-$U908)),IF($S908="ITEM_PRICE_ONLY_DELIVERY_PAID_BY_MERCHANT",0,""))))</f>
        <v/>
      </c>
      <c r="AQ908" s="23">
        <f>IF(OR($AP908="",$AO908=""),"",$AP908-$AO908)</f>
        <v/>
      </c>
      <c r="AR908" s="24">
        <f>IF($S908="EXACT_COLLECTION_AMOUNT","BREAKDOWN_REQUIRED",IF($AQ908="","",IF($AQ908&gt;0,"CREDIT_TO_MERCHANT",IF($AQ908&lt;0,"DEDUCT_FROM_MERCHANT","NO_ADJUSTMENT"))))</f>
        <v/>
      </c>
      <c r="AS908" s="23">
        <f>IF(OR($AQ908="",$AR908="BREAKDOWN_REQUIRED"),"",$AQ908)</f>
        <v/>
      </c>
      <c r="AT908" s="23">
        <f>IF(OR($AR908="",$AR908="BREAKDOWN_REQUIRED"),"",SUM($J908,$AQ908,$Y908)-$X908)</f>
        <v/>
      </c>
      <c r="AU908" s="25">
        <f>IF(AND($A908="",$B908="",$F908="",$H908="",$J908="",$K908="",$M908="",$S908=""),"",IF(OR($H908="",$Q908="",$M908="",$S908=""),"ERROR",IF(OR($J908&lt;0,$K908&lt;0,$M908&lt;0,$T908&lt;0,$U908&lt;0,$V908&lt;0,$W908&lt;0,$X908&lt;0,$Y908&lt;0),"ERROR",IF($AE908="","ERROR",IF(AND(OR($S908="ITEM_PRICE_PLUS_DECLARED_DELIVERY",$S908="TOTAL_AMOUNT_INCLUDING_DELIVERY",$S908="ITEM_PRICE_ONLY_DELIVERY_PAID_BY_MERCHANT"),$J908=""),"ERROR",IF(AND(OR($S908="ITEM_PRICE_PLUS_DECLARED_DELIVERY",$S908="DELIVERY_CHARGE_ONLY"),$K908=""),"ERROR",IF(AND(OR($S908="TOTAL_AMOUNT_INCLUDING_DELIVERY",$S908="EXACT_COLLECTION_AMOUNT"),$T908=""),"ERROR",IF(AND($S908="TOTAL_AMOUNT_INCLUDING_DELIVERY",$T908&lt;SUM($J908,$U908)),"ERROR",IF($S908="EXACT_COLLECTION_AMOUNT","REVIEW","OK")))))))))</f>
        <v/>
      </c>
      <c r="AV908" s="25">
        <f>IF($AU908="","",IF($H908="","Township required",IF($Q908="","Customer tier required",IF($M908="","Weight required",IF($S908="","Amount entry type required",IF(OR($J908&lt;0,$K908&lt;0,$M908&lt;0,$T908&lt;0,$U908&lt;0,$V908&lt;0,$W908&lt;0,$X908&lt;0,$Y908&lt;0),"Negative amounts are not allowed",IF($AE908="","Tariff not found for township and tier",IF(AND(OR($S908="ITEM_PRICE_PLUS_DECLARED_DELIVERY",$S908="TOTAL_AMOUNT_INCLUDING_DELIVERY",$S908="ITEM_PRICE_ONLY_DELIVERY_PAID_BY_MERCHANT"),$J908=""),"Item price required for this amount type",IF(AND(OR($S908="ITEM_PRICE_PLUS_DECLARED_DELIVERY",$S908="DELIVERY_CHARGE_ONLY"),$K908=""),"Declared delivery charge required",IF(AND(OR($S908="TOTAL_AMOUNT_INCLUDING_DELIVERY",$S908="EXACT_COLLECTION_AMOUNT"),$T908=""),"Stated total amount required",IF(AND($S908="TOTAL_AMOUNT_INCLUDING_DELIVERY",$T908&lt;SUM($J908,$U908)),"Stated total is below item price plus additional charge",IF($S908="EXACT_COLLECTION_AMOUNT","Authorized amount breakdown required before settlement","Ready for collection and settlement"))))))))))))</f>
        <v/>
      </c>
      <c r="AW908" s="23">
        <f>IF($AU908="","","PARCEL_FINANCIAL_V2")</f>
        <v/>
      </c>
      <c r="AX908" s="17" t="n"/>
    </row>
    <row r="909">
      <c r="A909" s="8" t="n"/>
      <c r="B909" s="8" t="n"/>
      <c r="C909" s="8" t="n"/>
      <c r="D909" s="8" t="n"/>
      <c r="E909" s="9" t="n"/>
      <c r="F909" s="9" t="n"/>
      <c r="G909" s="8" t="n"/>
      <c r="H909" s="9" t="n"/>
      <c r="I909" s="9" t="n"/>
      <c r="J909" s="10" t="n"/>
      <c r="K909" s="10" t="n"/>
      <c r="L909" s="11">
        <f>IF($S909="","",IF($S909="ITEM_PRICE_PLUS_DECLARED_DELIVERY",IF(OR($J909="",$K909=""),"",SUM($J909,$K909,$U909)),IF($S909="TOTAL_AMOUNT_INCLUDING_DELIVERY",IF($T909="","",$T909),IF($S909="DELIVERY_CHARGE_ONLY",IF($K909="","",SUM($K909,$U909)),IF($S909="EXACT_COLLECTION_AMOUNT",IF($T909="","",$T909),IF($S909="ITEM_PRICE_ONLY_DELIVERY_PAID_BY_MERCHANT",IF($J909="","",SUM($J909,$U909)),""))))))</f>
        <v/>
      </c>
      <c r="M909" s="12" t="n"/>
      <c r="N909" s="13" t="n"/>
      <c r="O909" s="13" t="n"/>
      <c r="P909" s="9" t="n"/>
      <c r="Q909" s="14" t="n"/>
      <c r="R909" s="15" t="n"/>
      <c r="S909" s="14" t="n"/>
      <c r="T909" s="16" t="n"/>
      <c r="U909" s="16" t="n"/>
      <c r="V909" s="16" t="n"/>
      <c r="W909" s="16" t="n"/>
      <c r="X909" s="16" t="n"/>
      <c r="Y909" s="16" t="n"/>
      <c r="Z909" s="14" t="n"/>
      <c r="AA909" s="14" t="n"/>
      <c r="AB909" s="14" t="n"/>
      <c r="AC909" s="17">
        <f>IFERROR(VLOOKUP($H909&amp;"|"&amp;$Q909,Tariff_Master!$A$2:$L$169,3,FALSE),"")</f>
        <v/>
      </c>
      <c r="AD909" s="17">
        <f>IFERROR(VLOOKUP($H909&amp;"|"&amp;$Q909,Tariff_Master!$A$2:$L$169,4,FALSE),"")</f>
        <v/>
      </c>
      <c r="AE909" s="18">
        <f>IFERROR(VLOOKUP($H909&amp;"|"&amp;$Q909,Tariff_Master!$A$2:$L$169,6,FALSE),"")</f>
        <v/>
      </c>
      <c r="AF909" s="19">
        <f>IFERROR(VLOOKUP($H909&amp;"|"&amp;$Q909,Tariff_Master!$A$2:$L$169,7,FALSE),"")</f>
        <v/>
      </c>
      <c r="AG909" s="18">
        <f>IFERROR(VLOOKUP($H909&amp;"|"&amp;$Q909,Tariff_Master!$A$2:$L$169,8,FALSE),"")</f>
        <v/>
      </c>
      <c r="AH909" s="20">
        <f>IFERROR(VLOOKUP($H909&amp;"|"&amp;$Q909,Tariff_Master!$A$2:$L$169,9,FALSE),"")</f>
        <v/>
      </c>
      <c r="AI909" s="18">
        <f>IFERROR(VLOOKUP($H909&amp;"|"&amp;$Q909,Tariff_Master!$A$2:$L$169,10,FALSE),"")</f>
        <v/>
      </c>
      <c r="AJ909" s="21">
        <f>IF($M909="","",ROUNDUP(MAX(0,$M909),0))</f>
        <v/>
      </c>
      <c r="AK909" s="21">
        <f>IF(OR($AJ909="",$AF909=""),"",MAX(0,$AJ909-$AF909))</f>
        <v/>
      </c>
      <c r="AL909" s="22">
        <f>IF(OR($AK909="",$AG909=""),"",MAX(0,$AK909*$AG909))</f>
        <v/>
      </c>
      <c r="AM909" s="22">
        <f>IF($AE909="","",MAX(0,SUM($AE909,$AL909,$V909,$W909)))</f>
        <v/>
      </c>
      <c r="AN909" s="22">
        <f>IF($AM909="","",IF(AND($Q909="COMMITMENT",$R909&gt;=$AH909),$AI909,0))</f>
        <v/>
      </c>
      <c r="AO909" s="23">
        <f>IF($AM909="","",MAX(0,$AM909-$AN909))</f>
        <v/>
      </c>
      <c r="AP909" s="22">
        <f>IF($S909="","",IF(OR($S909="ITEM_PRICE_PLUS_DECLARED_DELIVERY",$S909="DELIVERY_CHARGE_ONLY"),$K909,IF($S909="TOTAL_AMOUNT_INCLUDING_DELIVERY",IF(OR($T909="",$J909=""),"",MAX(0,$T909-$J909-$U909)),IF($S909="ITEM_PRICE_ONLY_DELIVERY_PAID_BY_MERCHANT",0,""))))</f>
        <v/>
      </c>
      <c r="AQ909" s="23">
        <f>IF(OR($AP909="",$AO909=""),"",$AP909-$AO909)</f>
        <v/>
      </c>
      <c r="AR909" s="24">
        <f>IF($S909="EXACT_COLLECTION_AMOUNT","BREAKDOWN_REQUIRED",IF($AQ909="","",IF($AQ909&gt;0,"CREDIT_TO_MERCHANT",IF($AQ909&lt;0,"DEDUCT_FROM_MERCHANT","NO_ADJUSTMENT"))))</f>
        <v/>
      </c>
      <c r="AS909" s="23">
        <f>IF(OR($AQ909="",$AR909="BREAKDOWN_REQUIRED"),"",$AQ909)</f>
        <v/>
      </c>
      <c r="AT909" s="23">
        <f>IF(OR($AR909="",$AR909="BREAKDOWN_REQUIRED"),"",SUM($J909,$AQ909,$Y909)-$X909)</f>
        <v/>
      </c>
      <c r="AU909" s="25">
        <f>IF(AND($A909="",$B909="",$F909="",$H909="",$J909="",$K909="",$M909="",$S909=""),"",IF(OR($H909="",$Q909="",$M909="",$S909=""),"ERROR",IF(OR($J909&lt;0,$K909&lt;0,$M909&lt;0,$T909&lt;0,$U909&lt;0,$V909&lt;0,$W909&lt;0,$X909&lt;0,$Y909&lt;0),"ERROR",IF($AE909="","ERROR",IF(AND(OR($S909="ITEM_PRICE_PLUS_DECLARED_DELIVERY",$S909="TOTAL_AMOUNT_INCLUDING_DELIVERY",$S909="ITEM_PRICE_ONLY_DELIVERY_PAID_BY_MERCHANT"),$J909=""),"ERROR",IF(AND(OR($S909="ITEM_PRICE_PLUS_DECLARED_DELIVERY",$S909="DELIVERY_CHARGE_ONLY"),$K909=""),"ERROR",IF(AND(OR($S909="TOTAL_AMOUNT_INCLUDING_DELIVERY",$S909="EXACT_COLLECTION_AMOUNT"),$T909=""),"ERROR",IF(AND($S909="TOTAL_AMOUNT_INCLUDING_DELIVERY",$T909&lt;SUM($J909,$U909)),"ERROR",IF($S909="EXACT_COLLECTION_AMOUNT","REVIEW","OK")))))))))</f>
        <v/>
      </c>
      <c r="AV909" s="25">
        <f>IF($AU909="","",IF($H909="","Township required",IF($Q909="","Customer tier required",IF($M909="","Weight required",IF($S909="","Amount entry type required",IF(OR($J909&lt;0,$K909&lt;0,$M909&lt;0,$T909&lt;0,$U909&lt;0,$V909&lt;0,$W909&lt;0,$X909&lt;0,$Y909&lt;0),"Negative amounts are not allowed",IF($AE909="","Tariff not found for township and tier",IF(AND(OR($S909="ITEM_PRICE_PLUS_DECLARED_DELIVERY",$S909="TOTAL_AMOUNT_INCLUDING_DELIVERY",$S909="ITEM_PRICE_ONLY_DELIVERY_PAID_BY_MERCHANT"),$J909=""),"Item price required for this amount type",IF(AND(OR($S909="ITEM_PRICE_PLUS_DECLARED_DELIVERY",$S909="DELIVERY_CHARGE_ONLY"),$K909=""),"Declared delivery charge required",IF(AND(OR($S909="TOTAL_AMOUNT_INCLUDING_DELIVERY",$S909="EXACT_COLLECTION_AMOUNT"),$T909=""),"Stated total amount required",IF(AND($S909="TOTAL_AMOUNT_INCLUDING_DELIVERY",$T909&lt;SUM($J909,$U909)),"Stated total is below item price plus additional charge",IF($S909="EXACT_COLLECTION_AMOUNT","Authorized amount breakdown required before settlement","Ready for collection and settlement"))))))))))))</f>
        <v/>
      </c>
      <c r="AW909" s="23">
        <f>IF($AU909="","","PARCEL_FINANCIAL_V2")</f>
        <v/>
      </c>
      <c r="AX909" s="17" t="n"/>
    </row>
    <row r="910">
      <c r="A910" s="8" t="n"/>
      <c r="B910" s="8" t="n"/>
      <c r="C910" s="8" t="n"/>
      <c r="D910" s="8" t="n"/>
      <c r="E910" s="9" t="n"/>
      <c r="F910" s="9" t="n"/>
      <c r="G910" s="8" t="n"/>
      <c r="H910" s="9" t="n"/>
      <c r="I910" s="9" t="n"/>
      <c r="J910" s="10" t="n"/>
      <c r="K910" s="10" t="n"/>
      <c r="L910" s="11">
        <f>IF($S910="","",IF($S910="ITEM_PRICE_PLUS_DECLARED_DELIVERY",IF(OR($J910="",$K910=""),"",SUM($J910,$K910,$U910)),IF($S910="TOTAL_AMOUNT_INCLUDING_DELIVERY",IF($T910="","",$T910),IF($S910="DELIVERY_CHARGE_ONLY",IF($K910="","",SUM($K910,$U910)),IF($S910="EXACT_COLLECTION_AMOUNT",IF($T910="","",$T910),IF($S910="ITEM_PRICE_ONLY_DELIVERY_PAID_BY_MERCHANT",IF($J910="","",SUM($J910,$U910)),""))))))</f>
        <v/>
      </c>
      <c r="M910" s="12" t="n"/>
      <c r="N910" s="13" t="n"/>
      <c r="O910" s="13" t="n"/>
      <c r="P910" s="9" t="n"/>
      <c r="Q910" s="14" t="n"/>
      <c r="R910" s="15" t="n"/>
      <c r="S910" s="14" t="n"/>
      <c r="T910" s="16" t="n"/>
      <c r="U910" s="16" t="n"/>
      <c r="V910" s="16" t="n"/>
      <c r="W910" s="16" t="n"/>
      <c r="X910" s="16" t="n"/>
      <c r="Y910" s="16" t="n"/>
      <c r="Z910" s="14" t="n"/>
      <c r="AA910" s="14" t="n"/>
      <c r="AB910" s="14" t="n"/>
      <c r="AC910" s="17">
        <f>IFERROR(VLOOKUP($H910&amp;"|"&amp;$Q910,Tariff_Master!$A$2:$L$169,3,FALSE),"")</f>
        <v/>
      </c>
      <c r="AD910" s="17">
        <f>IFERROR(VLOOKUP($H910&amp;"|"&amp;$Q910,Tariff_Master!$A$2:$L$169,4,FALSE),"")</f>
        <v/>
      </c>
      <c r="AE910" s="18">
        <f>IFERROR(VLOOKUP($H910&amp;"|"&amp;$Q910,Tariff_Master!$A$2:$L$169,6,FALSE),"")</f>
        <v/>
      </c>
      <c r="AF910" s="19">
        <f>IFERROR(VLOOKUP($H910&amp;"|"&amp;$Q910,Tariff_Master!$A$2:$L$169,7,FALSE),"")</f>
        <v/>
      </c>
      <c r="AG910" s="18">
        <f>IFERROR(VLOOKUP($H910&amp;"|"&amp;$Q910,Tariff_Master!$A$2:$L$169,8,FALSE),"")</f>
        <v/>
      </c>
      <c r="AH910" s="20">
        <f>IFERROR(VLOOKUP($H910&amp;"|"&amp;$Q910,Tariff_Master!$A$2:$L$169,9,FALSE),"")</f>
        <v/>
      </c>
      <c r="AI910" s="18">
        <f>IFERROR(VLOOKUP($H910&amp;"|"&amp;$Q910,Tariff_Master!$A$2:$L$169,10,FALSE),"")</f>
        <v/>
      </c>
      <c r="AJ910" s="21">
        <f>IF($M910="","",ROUNDUP(MAX(0,$M910),0))</f>
        <v/>
      </c>
      <c r="AK910" s="21">
        <f>IF(OR($AJ910="",$AF910=""),"",MAX(0,$AJ910-$AF910))</f>
        <v/>
      </c>
      <c r="AL910" s="22">
        <f>IF(OR($AK910="",$AG910=""),"",MAX(0,$AK910*$AG910))</f>
        <v/>
      </c>
      <c r="AM910" s="22">
        <f>IF($AE910="","",MAX(0,SUM($AE910,$AL910,$V910,$W910)))</f>
        <v/>
      </c>
      <c r="AN910" s="22">
        <f>IF($AM910="","",IF(AND($Q910="COMMITMENT",$R910&gt;=$AH910),$AI910,0))</f>
        <v/>
      </c>
      <c r="AO910" s="23">
        <f>IF($AM910="","",MAX(0,$AM910-$AN910))</f>
        <v/>
      </c>
      <c r="AP910" s="22">
        <f>IF($S910="","",IF(OR($S910="ITEM_PRICE_PLUS_DECLARED_DELIVERY",$S910="DELIVERY_CHARGE_ONLY"),$K910,IF($S910="TOTAL_AMOUNT_INCLUDING_DELIVERY",IF(OR($T910="",$J910=""),"",MAX(0,$T910-$J910-$U910)),IF($S910="ITEM_PRICE_ONLY_DELIVERY_PAID_BY_MERCHANT",0,""))))</f>
        <v/>
      </c>
      <c r="AQ910" s="23">
        <f>IF(OR($AP910="",$AO910=""),"",$AP910-$AO910)</f>
        <v/>
      </c>
      <c r="AR910" s="24">
        <f>IF($S910="EXACT_COLLECTION_AMOUNT","BREAKDOWN_REQUIRED",IF($AQ910="","",IF($AQ910&gt;0,"CREDIT_TO_MERCHANT",IF($AQ910&lt;0,"DEDUCT_FROM_MERCHANT","NO_ADJUSTMENT"))))</f>
        <v/>
      </c>
      <c r="AS910" s="23">
        <f>IF(OR($AQ910="",$AR910="BREAKDOWN_REQUIRED"),"",$AQ910)</f>
        <v/>
      </c>
      <c r="AT910" s="23">
        <f>IF(OR($AR910="",$AR910="BREAKDOWN_REQUIRED"),"",SUM($J910,$AQ910,$Y910)-$X910)</f>
        <v/>
      </c>
      <c r="AU910" s="25">
        <f>IF(AND($A910="",$B910="",$F910="",$H910="",$J910="",$K910="",$M910="",$S910=""),"",IF(OR($H910="",$Q910="",$M910="",$S910=""),"ERROR",IF(OR($J910&lt;0,$K910&lt;0,$M910&lt;0,$T910&lt;0,$U910&lt;0,$V910&lt;0,$W910&lt;0,$X910&lt;0,$Y910&lt;0),"ERROR",IF($AE910="","ERROR",IF(AND(OR($S910="ITEM_PRICE_PLUS_DECLARED_DELIVERY",$S910="TOTAL_AMOUNT_INCLUDING_DELIVERY",$S910="ITEM_PRICE_ONLY_DELIVERY_PAID_BY_MERCHANT"),$J910=""),"ERROR",IF(AND(OR($S910="ITEM_PRICE_PLUS_DECLARED_DELIVERY",$S910="DELIVERY_CHARGE_ONLY"),$K910=""),"ERROR",IF(AND(OR($S910="TOTAL_AMOUNT_INCLUDING_DELIVERY",$S910="EXACT_COLLECTION_AMOUNT"),$T910=""),"ERROR",IF(AND($S910="TOTAL_AMOUNT_INCLUDING_DELIVERY",$T910&lt;SUM($J910,$U910)),"ERROR",IF($S910="EXACT_COLLECTION_AMOUNT","REVIEW","OK")))))))))</f>
        <v/>
      </c>
      <c r="AV910" s="25">
        <f>IF($AU910="","",IF($H910="","Township required",IF($Q910="","Customer tier required",IF($M910="","Weight required",IF($S910="","Amount entry type required",IF(OR($J910&lt;0,$K910&lt;0,$M910&lt;0,$T910&lt;0,$U910&lt;0,$V910&lt;0,$W910&lt;0,$X910&lt;0,$Y910&lt;0),"Negative amounts are not allowed",IF($AE910="","Tariff not found for township and tier",IF(AND(OR($S910="ITEM_PRICE_PLUS_DECLARED_DELIVERY",$S910="TOTAL_AMOUNT_INCLUDING_DELIVERY",$S910="ITEM_PRICE_ONLY_DELIVERY_PAID_BY_MERCHANT"),$J910=""),"Item price required for this amount type",IF(AND(OR($S910="ITEM_PRICE_PLUS_DECLARED_DELIVERY",$S910="DELIVERY_CHARGE_ONLY"),$K910=""),"Declared delivery charge required",IF(AND(OR($S910="TOTAL_AMOUNT_INCLUDING_DELIVERY",$S910="EXACT_COLLECTION_AMOUNT"),$T910=""),"Stated total amount required",IF(AND($S910="TOTAL_AMOUNT_INCLUDING_DELIVERY",$T910&lt;SUM($J910,$U910)),"Stated total is below item price plus additional charge",IF($S910="EXACT_COLLECTION_AMOUNT","Authorized amount breakdown required before settlement","Ready for collection and settlement"))))))))))))</f>
        <v/>
      </c>
      <c r="AW910" s="23">
        <f>IF($AU910="","","PARCEL_FINANCIAL_V2")</f>
        <v/>
      </c>
      <c r="AX910" s="17" t="n"/>
    </row>
    <row r="911">
      <c r="A911" s="8" t="n"/>
      <c r="B911" s="8" t="n"/>
      <c r="C911" s="8" t="n"/>
      <c r="D911" s="8" t="n"/>
      <c r="E911" s="9" t="n"/>
      <c r="F911" s="9" t="n"/>
      <c r="G911" s="8" t="n"/>
      <c r="H911" s="9" t="n"/>
      <c r="I911" s="9" t="n"/>
      <c r="J911" s="10" t="n"/>
      <c r="K911" s="10" t="n"/>
      <c r="L911" s="11">
        <f>IF($S911="","",IF($S911="ITEM_PRICE_PLUS_DECLARED_DELIVERY",IF(OR($J911="",$K911=""),"",SUM($J911,$K911,$U911)),IF($S911="TOTAL_AMOUNT_INCLUDING_DELIVERY",IF($T911="","",$T911),IF($S911="DELIVERY_CHARGE_ONLY",IF($K911="","",SUM($K911,$U911)),IF($S911="EXACT_COLLECTION_AMOUNT",IF($T911="","",$T911),IF($S911="ITEM_PRICE_ONLY_DELIVERY_PAID_BY_MERCHANT",IF($J911="","",SUM($J911,$U911)),""))))))</f>
        <v/>
      </c>
      <c r="M911" s="12" t="n"/>
      <c r="N911" s="13" t="n"/>
      <c r="O911" s="13" t="n"/>
      <c r="P911" s="9" t="n"/>
      <c r="Q911" s="14" t="n"/>
      <c r="R911" s="15" t="n"/>
      <c r="S911" s="14" t="n"/>
      <c r="T911" s="16" t="n"/>
      <c r="U911" s="16" t="n"/>
      <c r="V911" s="16" t="n"/>
      <c r="W911" s="16" t="n"/>
      <c r="X911" s="16" t="n"/>
      <c r="Y911" s="16" t="n"/>
      <c r="Z911" s="14" t="n"/>
      <c r="AA911" s="14" t="n"/>
      <c r="AB911" s="14" t="n"/>
      <c r="AC911" s="17">
        <f>IFERROR(VLOOKUP($H911&amp;"|"&amp;$Q911,Tariff_Master!$A$2:$L$169,3,FALSE),"")</f>
        <v/>
      </c>
      <c r="AD911" s="17">
        <f>IFERROR(VLOOKUP($H911&amp;"|"&amp;$Q911,Tariff_Master!$A$2:$L$169,4,FALSE),"")</f>
        <v/>
      </c>
      <c r="AE911" s="18">
        <f>IFERROR(VLOOKUP($H911&amp;"|"&amp;$Q911,Tariff_Master!$A$2:$L$169,6,FALSE),"")</f>
        <v/>
      </c>
      <c r="AF911" s="19">
        <f>IFERROR(VLOOKUP($H911&amp;"|"&amp;$Q911,Tariff_Master!$A$2:$L$169,7,FALSE),"")</f>
        <v/>
      </c>
      <c r="AG911" s="18">
        <f>IFERROR(VLOOKUP($H911&amp;"|"&amp;$Q911,Tariff_Master!$A$2:$L$169,8,FALSE),"")</f>
        <v/>
      </c>
      <c r="AH911" s="20">
        <f>IFERROR(VLOOKUP($H911&amp;"|"&amp;$Q911,Tariff_Master!$A$2:$L$169,9,FALSE),"")</f>
        <v/>
      </c>
      <c r="AI911" s="18">
        <f>IFERROR(VLOOKUP($H911&amp;"|"&amp;$Q911,Tariff_Master!$A$2:$L$169,10,FALSE),"")</f>
        <v/>
      </c>
      <c r="AJ911" s="21">
        <f>IF($M911="","",ROUNDUP(MAX(0,$M911),0))</f>
        <v/>
      </c>
      <c r="AK911" s="21">
        <f>IF(OR($AJ911="",$AF911=""),"",MAX(0,$AJ911-$AF911))</f>
        <v/>
      </c>
      <c r="AL911" s="22">
        <f>IF(OR($AK911="",$AG911=""),"",MAX(0,$AK911*$AG911))</f>
        <v/>
      </c>
      <c r="AM911" s="22">
        <f>IF($AE911="","",MAX(0,SUM($AE911,$AL911,$V911,$W911)))</f>
        <v/>
      </c>
      <c r="AN911" s="22">
        <f>IF($AM911="","",IF(AND($Q911="COMMITMENT",$R911&gt;=$AH911),$AI911,0))</f>
        <v/>
      </c>
      <c r="AO911" s="23">
        <f>IF($AM911="","",MAX(0,$AM911-$AN911))</f>
        <v/>
      </c>
      <c r="AP911" s="22">
        <f>IF($S911="","",IF(OR($S911="ITEM_PRICE_PLUS_DECLARED_DELIVERY",$S911="DELIVERY_CHARGE_ONLY"),$K911,IF($S911="TOTAL_AMOUNT_INCLUDING_DELIVERY",IF(OR($T911="",$J911=""),"",MAX(0,$T911-$J911-$U911)),IF($S911="ITEM_PRICE_ONLY_DELIVERY_PAID_BY_MERCHANT",0,""))))</f>
        <v/>
      </c>
      <c r="AQ911" s="23">
        <f>IF(OR($AP911="",$AO911=""),"",$AP911-$AO911)</f>
        <v/>
      </c>
      <c r="AR911" s="24">
        <f>IF($S911="EXACT_COLLECTION_AMOUNT","BREAKDOWN_REQUIRED",IF($AQ911="","",IF($AQ911&gt;0,"CREDIT_TO_MERCHANT",IF($AQ911&lt;0,"DEDUCT_FROM_MERCHANT","NO_ADJUSTMENT"))))</f>
        <v/>
      </c>
      <c r="AS911" s="23">
        <f>IF(OR($AQ911="",$AR911="BREAKDOWN_REQUIRED"),"",$AQ911)</f>
        <v/>
      </c>
      <c r="AT911" s="23">
        <f>IF(OR($AR911="",$AR911="BREAKDOWN_REQUIRED"),"",SUM($J911,$AQ911,$Y911)-$X911)</f>
        <v/>
      </c>
      <c r="AU911" s="25">
        <f>IF(AND($A911="",$B911="",$F911="",$H911="",$J911="",$K911="",$M911="",$S911=""),"",IF(OR($H911="",$Q911="",$M911="",$S911=""),"ERROR",IF(OR($J911&lt;0,$K911&lt;0,$M911&lt;0,$T911&lt;0,$U911&lt;0,$V911&lt;0,$W911&lt;0,$X911&lt;0,$Y911&lt;0),"ERROR",IF($AE911="","ERROR",IF(AND(OR($S911="ITEM_PRICE_PLUS_DECLARED_DELIVERY",$S911="TOTAL_AMOUNT_INCLUDING_DELIVERY",$S911="ITEM_PRICE_ONLY_DELIVERY_PAID_BY_MERCHANT"),$J911=""),"ERROR",IF(AND(OR($S911="ITEM_PRICE_PLUS_DECLARED_DELIVERY",$S911="DELIVERY_CHARGE_ONLY"),$K911=""),"ERROR",IF(AND(OR($S911="TOTAL_AMOUNT_INCLUDING_DELIVERY",$S911="EXACT_COLLECTION_AMOUNT"),$T911=""),"ERROR",IF(AND($S911="TOTAL_AMOUNT_INCLUDING_DELIVERY",$T911&lt;SUM($J911,$U911)),"ERROR",IF($S911="EXACT_COLLECTION_AMOUNT","REVIEW","OK")))))))))</f>
        <v/>
      </c>
      <c r="AV911" s="25">
        <f>IF($AU911="","",IF($H911="","Township required",IF($Q911="","Customer tier required",IF($M911="","Weight required",IF($S911="","Amount entry type required",IF(OR($J911&lt;0,$K911&lt;0,$M911&lt;0,$T911&lt;0,$U911&lt;0,$V911&lt;0,$W911&lt;0,$X911&lt;0,$Y911&lt;0),"Negative amounts are not allowed",IF($AE911="","Tariff not found for township and tier",IF(AND(OR($S911="ITEM_PRICE_PLUS_DECLARED_DELIVERY",$S911="TOTAL_AMOUNT_INCLUDING_DELIVERY",$S911="ITEM_PRICE_ONLY_DELIVERY_PAID_BY_MERCHANT"),$J911=""),"Item price required for this amount type",IF(AND(OR($S911="ITEM_PRICE_PLUS_DECLARED_DELIVERY",$S911="DELIVERY_CHARGE_ONLY"),$K911=""),"Declared delivery charge required",IF(AND(OR($S911="TOTAL_AMOUNT_INCLUDING_DELIVERY",$S911="EXACT_COLLECTION_AMOUNT"),$T911=""),"Stated total amount required",IF(AND($S911="TOTAL_AMOUNT_INCLUDING_DELIVERY",$T911&lt;SUM($J911,$U911)),"Stated total is below item price plus additional charge",IF($S911="EXACT_COLLECTION_AMOUNT","Authorized amount breakdown required before settlement","Ready for collection and settlement"))))))))))))</f>
        <v/>
      </c>
      <c r="AW911" s="23">
        <f>IF($AU911="","","PARCEL_FINANCIAL_V2")</f>
        <v/>
      </c>
      <c r="AX911" s="17" t="n"/>
    </row>
    <row r="912">
      <c r="A912" s="8" t="n"/>
      <c r="B912" s="8" t="n"/>
      <c r="C912" s="8" t="n"/>
      <c r="D912" s="8" t="n"/>
      <c r="E912" s="9" t="n"/>
      <c r="F912" s="9" t="n"/>
      <c r="G912" s="8" t="n"/>
      <c r="H912" s="9" t="n"/>
      <c r="I912" s="9" t="n"/>
      <c r="J912" s="10" t="n"/>
      <c r="K912" s="10" t="n"/>
      <c r="L912" s="11">
        <f>IF($S912="","",IF($S912="ITEM_PRICE_PLUS_DECLARED_DELIVERY",IF(OR($J912="",$K912=""),"",SUM($J912,$K912,$U912)),IF($S912="TOTAL_AMOUNT_INCLUDING_DELIVERY",IF($T912="","",$T912),IF($S912="DELIVERY_CHARGE_ONLY",IF($K912="","",SUM($K912,$U912)),IF($S912="EXACT_COLLECTION_AMOUNT",IF($T912="","",$T912),IF($S912="ITEM_PRICE_ONLY_DELIVERY_PAID_BY_MERCHANT",IF($J912="","",SUM($J912,$U912)),""))))))</f>
        <v/>
      </c>
      <c r="M912" s="12" t="n"/>
      <c r="N912" s="13" t="n"/>
      <c r="O912" s="13" t="n"/>
      <c r="P912" s="9" t="n"/>
      <c r="Q912" s="14" t="n"/>
      <c r="R912" s="15" t="n"/>
      <c r="S912" s="14" t="n"/>
      <c r="T912" s="16" t="n"/>
      <c r="U912" s="16" t="n"/>
      <c r="V912" s="16" t="n"/>
      <c r="W912" s="16" t="n"/>
      <c r="X912" s="16" t="n"/>
      <c r="Y912" s="16" t="n"/>
      <c r="Z912" s="14" t="n"/>
      <c r="AA912" s="14" t="n"/>
      <c r="AB912" s="14" t="n"/>
      <c r="AC912" s="17">
        <f>IFERROR(VLOOKUP($H912&amp;"|"&amp;$Q912,Tariff_Master!$A$2:$L$169,3,FALSE),"")</f>
        <v/>
      </c>
      <c r="AD912" s="17">
        <f>IFERROR(VLOOKUP($H912&amp;"|"&amp;$Q912,Tariff_Master!$A$2:$L$169,4,FALSE),"")</f>
        <v/>
      </c>
      <c r="AE912" s="18">
        <f>IFERROR(VLOOKUP($H912&amp;"|"&amp;$Q912,Tariff_Master!$A$2:$L$169,6,FALSE),"")</f>
        <v/>
      </c>
      <c r="AF912" s="19">
        <f>IFERROR(VLOOKUP($H912&amp;"|"&amp;$Q912,Tariff_Master!$A$2:$L$169,7,FALSE),"")</f>
        <v/>
      </c>
      <c r="AG912" s="18">
        <f>IFERROR(VLOOKUP($H912&amp;"|"&amp;$Q912,Tariff_Master!$A$2:$L$169,8,FALSE),"")</f>
        <v/>
      </c>
      <c r="AH912" s="20">
        <f>IFERROR(VLOOKUP($H912&amp;"|"&amp;$Q912,Tariff_Master!$A$2:$L$169,9,FALSE),"")</f>
        <v/>
      </c>
      <c r="AI912" s="18">
        <f>IFERROR(VLOOKUP($H912&amp;"|"&amp;$Q912,Tariff_Master!$A$2:$L$169,10,FALSE),"")</f>
        <v/>
      </c>
      <c r="AJ912" s="21">
        <f>IF($M912="","",ROUNDUP(MAX(0,$M912),0))</f>
        <v/>
      </c>
      <c r="AK912" s="21">
        <f>IF(OR($AJ912="",$AF912=""),"",MAX(0,$AJ912-$AF912))</f>
        <v/>
      </c>
      <c r="AL912" s="22">
        <f>IF(OR($AK912="",$AG912=""),"",MAX(0,$AK912*$AG912))</f>
        <v/>
      </c>
      <c r="AM912" s="22">
        <f>IF($AE912="","",MAX(0,SUM($AE912,$AL912,$V912,$W912)))</f>
        <v/>
      </c>
      <c r="AN912" s="22">
        <f>IF($AM912="","",IF(AND($Q912="COMMITMENT",$R912&gt;=$AH912),$AI912,0))</f>
        <v/>
      </c>
      <c r="AO912" s="23">
        <f>IF($AM912="","",MAX(0,$AM912-$AN912))</f>
        <v/>
      </c>
      <c r="AP912" s="22">
        <f>IF($S912="","",IF(OR($S912="ITEM_PRICE_PLUS_DECLARED_DELIVERY",$S912="DELIVERY_CHARGE_ONLY"),$K912,IF($S912="TOTAL_AMOUNT_INCLUDING_DELIVERY",IF(OR($T912="",$J912=""),"",MAX(0,$T912-$J912-$U912)),IF($S912="ITEM_PRICE_ONLY_DELIVERY_PAID_BY_MERCHANT",0,""))))</f>
        <v/>
      </c>
      <c r="AQ912" s="23">
        <f>IF(OR($AP912="",$AO912=""),"",$AP912-$AO912)</f>
        <v/>
      </c>
      <c r="AR912" s="24">
        <f>IF($S912="EXACT_COLLECTION_AMOUNT","BREAKDOWN_REQUIRED",IF($AQ912="","",IF($AQ912&gt;0,"CREDIT_TO_MERCHANT",IF($AQ912&lt;0,"DEDUCT_FROM_MERCHANT","NO_ADJUSTMENT"))))</f>
        <v/>
      </c>
      <c r="AS912" s="23">
        <f>IF(OR($AQ912="",$AR912="BREAKDOWN_REQUIRED"),"",$AQ912)</f>
        <v/>
      </c>
      <c r="AT912" s="23">
        <f>IF(OR($AR912="",$AR912="BREAKDOWN_REQUIRED"),"",SUM($J912,$AQ912,$Y912)-$X912)</f>
        <v/>
      </c>
      <c r="AU912" s="25">
        <f>IF(AND($A912="",$B912="",$F912="",$H912="",$J912="",$K912="",$M912="",$S912=""),"",IF(OR($H912="",$Q912="",$M912="",$S912=""),"ERROR",IF(OR($J912&lt;0,$K912&lt;0,$M912&lt;0,$T912&lt;0,$U912&lt;0,$V912&lt;0,$W912&lt;0,$X912&lt;0,$Y912&lt;0),"ERROR",IF($AE912="","ERROR",IF(AND(OR($S912="ITEM_PRICE_PLUS_DECLARED_DELIVERY",$S912="TOTAL_AMOUNT_INCLUDING_DELIVERY",$S912="ITEM_PRICE_ONLY_DELIVERY_PAID_BY_MERCHANT"),$J912=""),"ERROR",IF(AND(OR($S912="ITEM_PRICE_PLUS_DECLARED_DELIVERY",$S912="DELIVERY_CHARGE_ONLY"),$K912=""),"ERROR",IF(AND(OR($S912="TOTAL_AMOUNT_INCLUDING_DELIVERY",$S912="EXACT_COLLECTION_AMOUNT"),$T912=""),"ERROR",IF(AND($S912="TOTAL_AMOUNT_INCLUDING_DELIVERY",$T912&lt;SUM($J912,$U912)),"ERROR",IF($S912="EXACT_COLLECTION_AMOUNT","REVIEW","OK")))))))))</f>
        <v/>
      </c>
      <c r="AV912" s="25">
        <f>IF($AU912="","",IF($H912="","Township required",IF($Q912="","Customer tier required",IF($M912="","Weight required",IF($S912="","Amount entry type required",IF(OR($J912&lt;0,$K912&lt;0,$M912&lt;0,$T912&lt;0,$U912&lt;0,$V912&lt;0,$W912&lt;0,$X912&lt;0,$Y912&lt;0),"Negative amounts are not allowed",IF($AE912="","Tariff not found for township and tier",IF(AND(OR($S912="ITEM_PRICE_PLUS_DECLARED_DELIVERY",$S912="TOTAL_AMOUNT_INCLUDING_DELIVERY",$S912="ITEM_PRICE_ONLY_DELIVERY_PAID_BY_MERCHANT"),$J912=""),"Item price required for this amount type",IF(AND(OR($S912="ITEM_PRICE_PLUS_DECLARED_DELIVERY",$S912="DELIVERY_CHARGE_ONLY"),$K912=""),"Declared delivery charge required",IF(AND(OR($S912="TOTAL_AMOUNT_INCLUDING_DELIVERY",$S912="EXACT_COLLECTION_AMOUNT"),$T912=""),"Stated total amount required",IF(AND($S912="TOTAL_AMOUNT_INCLUDING_DELIVERY",$T912&lt;SUM($J912,$U912)),"Stated total is below item price plus additional charge",IF($S912="EXACT_COLLECTION_AMOUNT","Authorized amount breakdown required before settlement","Ready for collection and settlement"))))))))))))</f>
        <v/>
      </c>
      <c r="AW912" s="23">
        <f>IF($AU912="","","PARCEL_FINANCIAL_V2")</f>
        <v/>
      </c>
      <c r="AX912" s="17" t="n"/>
    </row>
    <row r="913">
      <c r="A913" s="8" t="n"/>
      <c r="B913" s="8" t="n"/>
      <c r="C913" s="8" t="n"/>
      <c r="D913" s="8" t="n"/>
      <c r="E913" s="9" t="n"/>
      <c r="F913" s="9" t="n"/>
      <c r="G913" s="8" t="n"/>
      <c r="H913" s="9" t="n"/>
      <c r="I913" s="9" t="n"/>
      <c r="J913" s="10" t="n"/>
      <c r="K913" s="10" t="n"/>
      <c r="L913" s="11">
        <f>IF($S913="","",IF($S913="ITEM_PRICE_PLUS_DECLARED_DELIVERY",IF(OR($J913="",$K913=""),"",SUM($J913,$K913,$U913)),IF($S913="TOTAL_AMOUNT_INCLUDING_DELIVERY",IF($T913="","",$T913),IF($S913="DELIVERY_CHARGE_ONLY",IF($K913="","",SUM($K913,$U913)),IF($S913="EXACT_COLLECTION_AMOUNT",IF($T913="","",$T913),IF($S913="ITEM_PRICE_ONLY_DELIVERY_PAID_BY_MERCHANT",IF($J913="","",SUM($J913,$U913)),""))))))</f>
        <v/>
      </c>
      <c r="M913" s="12" t="n"/>
      <c r="N913" s="13" t="n"/>
      <c r="O913" s="13" t="n"/>
      <c r="P913" s="9" t="n"/>
      <c r="Q913" s="14" t="n"/>
      <c r="R913" s="15" t="n"/>
      <c r="S913" s="14" t="n"/>
      <c r="T913" s="16" t="n"/>
      <c r="U913" s="16" t="n"/>
      <c r="V913" s="16" t="n"/>
      <c r="W913" s="16" t="n"/>
      <c r="X913" s="16" t="n"/>
      <c r="Y913" s="16" t="n"/>
      <c r="Z913" s="14" t="n"/>
      <c r="AA913" s="14" t="n"/>
      <c r="AB913" s="14" t="n"/>
      <c r="AC913" s="17">
        <f>IFERROR(VLOOKUP($H913&amp;"|"&amp;$Q913,Tariff_Master!$A$2:$L$169,3,FALSE),"")</f>
        <v/>
      </c>
      <c r="AD913" s="17">
        <f>IFERROR(VLOOKUP($H913&amp;"|"&amp;$Q913,Tariff_Master!$A$2:$L$169,4,FALSE),"")</f>
        <v/>
      </c>
      <c r="AE913" s="18">
        <f>IFERROR(VLOOKUP($H913&amp;"|"&amp;$Q913,Tariff_Master!$A$2:$L$169,6,FALSE),"")</f>
        <v/>
      </c>
      <c r="AF913" s="19">
        <f>IFERROR(VLOOKUP($H913&amp;"|"&amp;$Q913,Tariff_Master!$A$2:$L$169,7,FALSE),"")</f>
        <v/>
      </c>
      <c r="AG913" s="18">
        <f>IFERROR(VLOOKUP($H913&amp;"|"&amp;$Q913,Tariff_Master!$A$2:$L$169,8,FALSE),"")</f>
        <v/>
      </c>
      <c r="AH913" s="20">
        <f>IFERROR(VLOOKUP($H913&amp;"|"&amp;$Q913,Tariff_Master!$A$2:$L$169,9,FALSE),"")</f>
        <v/>
      </c>
      <c r="AI913" s="18">
        <f>IFERROR(VLOOKUP($H913&amp;"|"&amp;$Q913,Tariff_Master!$A$2:$L$169,10,FALSE),"")</f>
        <v/>
      </c>
      <c r="AJ913" s="21">
        <f>IF($M913="","",ROUNDUP(MAX(0,$M913),0))</f>
        <v/>
      </c>
      <c r="AK913" s="21">
        <f>IF(OR($AJ913="",$AF913=""),"",MAX(0,$AJ913-$AF913))</f>
        <v/>
      </c>
      <c r="AL913" s="22">
        <f>IF(OR($AK913="",$AG913=""),"",MAX(0,$AK913*$AG913))</f>
        <v/>
      </c>
      <c r="AM913" s="22">
        <f>IF($AE913="","",MAX(0,SUM($AE913,$AL913,$V913,$W913)))</f>
        <v/>
      </c>
      <c r="AN913" s="22">
        <f>IF($AM913="","",IF(AND($Q913="COMMITMENT",$R913&gt;=$AH913),$AI913,0))</f>
        <v/>
      </c>
      <c r="AO913" s="23">
        <f>IF($AM913="","",MAX(0,$AM913-$AN913))</f>
        <v/>
      </c>
      <c r="AP913" s="22">
        <f>IF($S913="","",IF(OR($S913="ITEM_PRICE_PLUS_DECLARED_DELIVERY",$S913="DELIVERY_CHARGE_ONLY"),$K913,IF($S913="TOTAL_AMOUNT_INCLUDING_DELIVERY",IF(OR($T913="",$J913=""),"",MAX(0,$T913-$J913-$U913)),IF($S913="ITEM_PRICE_ONLY_DELIVERY_PAID_BY_MERCHANT",0,""))))</f>
        <v/>
      </c>
      <c r="AQ913" s="23">
        <f>IF(OR($AP913="",$AO913=""),"",$AP913-$AO913)</f>
        <v/>
      </c>
      <c r="AR913" s="24">
        <f>IF($S913="EXACT_COLLECTION_AMOUNT","BREAKDOWN_REQUIRED",IF($AQ913="","",IF($AQ913&gt;0,"CREDIT_TO_MERCHANT",IF($AQ913&lt;0,"DEDUCT_FROM_MERCHANT","NO_ADJUSTMENT"))))</f>
        <v/>
      </c>
      <c r="AS913" s="23">
        <f>IF(OR($AQ913="",$AR913="BREAKDOWN_REQUIRED"),"",$AQ913)</f>
        <v/>
      </c>
      <c r="AT913" s="23">
        <f>IF(OR($AR913="",$AR913="BREAKDOWN_REQUIRED"),"",SUM($J913,$AQ913,$Y913)-$X913)</f>
        <v/>
      </c>
      <c r="AU913" s="25">
        <f>IF(AND($A913="",$B913="",$F913="",$H913="",$J913="",$K913="",$M913="",$S913=""),"",IF(OR($H913="",$Q913="",$M913="",$S913=""),"ERROR",IF(OR($J913&lt;0,$K913&lt;0,$M913&lt;0,$T913&lt;0,$U913&lt;0,$V913&lt;0,$W913&lt;0,$X913&lt;0,$Y913&lt;0),"ERROR",IF($AE913="","ERROR",IF(AND(OR($S913="ITEM_PRICE_PLUS_DECLARED_DELIVERY",$S913="TOTAL_AMOUNT_INCLUDING_DELIVERY",$S913="ITEM_PRICE_ONLY_DELIVERY_PAID_BY_MERCHANT"),$J913=""),"ERROR",IF(AND(OR($S913="ITEM_PRICE_PLUS_DECLARED_DELIVERY",$S913="DELIVERY_CHARGE_ONLY"),$K913=""),"ERROR",IF(AND(OR($S913="TOTAL_AMOUNT_INCLUDING_DELIVERY",$S913="EXACT_COLLECTION_AMOUNT"),$T913=""),"ERROR",IF(AND($S913="TOTAL_AMOUNT_INCLUDING_DELIVERY",$T913&lt;SUM($J913,$U913)),"ERROR",IF($S913="EXACT_COLLECTION_AMOUNT","REVIEW","OK")))))))))</f>
        <v/>
      </c>
      <c r="AV913" s="25">
        <f>IF($AU913="","",IF($H913="","Township required",IF($Q913="","Customer tier required",IF($M913="","Weight required",IF($S913="","Amount entry type required",IF(OR($J913&lt;0,$K913&lt;0,$M913&lt;0,$T913&lt;0,$U913&lt;0,$V913&lt;0,$W913&lt;0,$X913&lt;0,$Y913&lt;0),"Negative amounts are not allowed",IF($AE913="","Tariff not found for township and tier",IF(AND(OR($S913="ITEM_PRICE_PLUS_DECLARED_DELIVERY",$S913="TOTAL_AMOUNT_INCLUDING_DELIVERY",$S913="ITEM_PRICE_ONLY_DELIVERY_PAID_BY_MERCHANT"),$J913=""),"Item price required for this amount type",IF(AND(OR($S913="ITEM_PRICE_PLUS_DECLARED_DELIVERY",$S913="DELIVERY_CHARGE_ONLY"),$K913=""),"Declared delivery charge required",IF(AND(OR($S913="TOTAL_AMOUNT_INCLUDING_DELIVERY",$S913="EXACT_COLLECTION_AMOUNT"),$T913=""),"Stated total amount required",IF(AND($S913="TOTAL_AMOUNT_INCLUDING_DELIVERY",$T913&lt;SUM($J913,$U913)),"Stated total is below item price plus additional charge",IF($S913="EXACT_COLLECTION_AMOUNT","Authorized amount breakdown required before settlement","Ready for collection and settlement"))))))))))))</f>
        <v/>
      </c>
      <c r="AW913" s="23">
        <f>IF($AU913="","","PARCEL_FINANCIAL_V2")</f>
        <v/>
      </c>
      <c r="AX913" s="17" t="n"/>
    </row>
    <row r="914">
      <c r="A914" s="8" t="n"/>
      <c r="B914" s="8" t="n"/>
      <c r="C914" s="8" t="n"/>
      <c r="D914" s="8" t="n"/>
      <c r="E914" s="9" t="n"/>
      <c r="F914" s="9" t="n"/>
      <c r="G914" s="8" t="n"/>
      <c r="H914" s="9" t="n"/>
      <c r="I914" s="9" t="n"/>
      <c r="J914" s="10" t="n"/>
      <c r="K914" s="10" t="n"/>
      <c r="L914" s="11">
        <f>IF($S914="","",IF($S914="ITEM_PRICE_PLUS_DECLARED_DELIVERY",IF(OR($J914="",$K914=""),"",SUM($J914,$K914,$U914)),IF($S914="TOTAL_AMOUNT_INCLUDING_DELIVERY",IF($T914="","",$T914),IF($S914="DELIVERY_CHARGE_ONLY",IF($K914="","",SUM($K914,$U914)),IF($S914="EXACT_COLLECTION_AMOUNT",IF($T914="","",$T914),IF($S914="ITEM_PRICE_ONLY_DELIVERY_PAID_BY_MERCHANT",IF($J914="","",SUM($J914,$U914)),""))))))</f>
        <v/>
      </c>
      <c r="M914" s="12" t="n"/>
      <c r="N914" s="13" t="n"/>
      <c r="O914" s="13" t="n"/>
      <c r="P914" s="9" t="n"/>
      <c r="Q914" s="14" t="n"/>
      <c r="R914" s="15" t="n"/>
      <c r="S914" s="14" t="n"/>
      <c r="T914" s="16" t="n"/>
      <c r="U914" s="16" t="n"/>
      <c r="V914" s="16" t="n"/>
      <c r="W914" s="16" t="n"/>
      <c r="X914" s="16" t="n"/>
      <c r="Y914" s="16" t="n"/>
      <c r="Z914" s="14" t="n"/>
      <c r="AA914" s="14" t="n"/>
      <c r="AB914" s="14" t="n"/>
      <c r="AC914" s="17">
        <f>IFERROR(VLOOKUP($H914&amp;"|"&amp;$Q914,Tariff_Master!$A$2:$L$169,3,FALSE),"")</f>
        <v/>
      </c>
      <c r="AD914" s="17">
        <f>IFERROR(VLOOKUP($H914&amp;"|"&amp;$Q914,Tariff_Master!$A$2:$L$169,4,FALSE),"")</f>
        <v/>
      </c>
      <c r="AE914" s="18">
        <f>IFERROR(VLOOKUP($H914&amp;"|"&amp;$Q914,Tariff_Master!$A$2:$L$169,6,FALSE),"")</f>
        <v/>
      </c>
      <c r="AF914" s="19">
        <f>IFERROR(VLOOKUP($H914&amp;"|"&amp;$Q914,Tariff_Master!$A$2:$L$169,7,FALSE),"")</f>
        <v/>
      </c>
      <c r="AG914" s="18">
        <f>IFERROR(VLOOKUP($H914&amp;"|"&amp;$Q914,Tariff_Master!$A$2:$L$169,8,FALSE),"")</f>
        <v/>
      </c>
      <c r="AH914" s="20">
        <f>IFERROR(VLOOKUP($H914&amp;"|"&amp;$Q914,Tariff_Master!$A$2:$L$169,9,FALSE),"")</f>
        <v/>
      </c>
      <c r="AI914" s="18">
        <f>IFERROR(VLOOKUP($H914&amp;"|"&amp;$Q914,Tariff_Master!$A$2:$L$169,10,FALSE),"")</f>
        <v/>
      </c>
      <c r="AJ914" s="21">
        <f>IF($M914="","",ROUNDUP(MAX(0,$M914),0))</f>
        <v/>
      </c>
      <c r="AK914" s="21">
        <f>IF(OR($AJ914="",$AF914=""),"",MAX(0,$AJ914-$AF914))</f>
        <v/>
      </c>
      <c r="AL914" s="22">
        <f>IF(OR($AK914="",$AG914=""),"",MAX(0,$AK914*$AG914))</f>
        <v/>
      </c>
      <c r="AM914" s="22">
        <f>IF($AE914="","",MAX(0,SUM($AE914,$AL914,$V914,$W914)))</f>
        <v/>
      </c>
      <c r="AN914" s="22">
        <f>IF($AM914="","",IF(AND($Q914="COMMITMENT",$R914&gt;=$AH914),$AI914,0))</f>
        <v/>
      </c>
      <c r="AO914" s="23">
        <f>IF($AM914="","",MAX(0,$AM914-$AN914))</f>
        <v/>
      </c>
      <c r="AP914" s="22">
        <f>IF($S914="","",IF(OR($S914="ITEM_PRICE_PLUS_DECLARED_DELIVERY",$S914="DELIVERY_CHARGE_ONLY"),$K914,IF($S914="TOTAL_AMOUNT_INCLUDING_DELIVERY",IF(OR($T914="",$J914=""),"",MAX(0,$T914-$J914-$U914)),IF($S914="ITEM_PRICE_ONLY_DELIVERY_PAID_BY_MERCHANT",0,""))))</f>
        <v/>
      </c>
      <c r="AQ914" s="23">
        <f>IF(OR($AP914="",$AO914=""),"",$AP914-$AO914)</f>
        <v/>
      </c>
      <c r="AR914" s="24">
        <f>IF($S914="EXACT_COLLECTION_AMOUNT","BREAKDOWN_REQUIRED",IF($AQ914="","",IF($AQ914&gt;0,"CREDIT_TO_MERCHANT",IF($AQ914&lt;0,"DEDUCT_FROM_MERCHANT","NO_ADJUSTMENT"))))</f>
        <v/>
      </c>
      <c r="AS914" s="23">
        <f>IF(OR($AQ914="",$AR914="BREAKDOWN_REQUIRED"),"",$AQ914)</f>
        <v/>
      </c>
      <c r="AT914" s="23">
        <f>IF(OR($AR914="",$AR914="BREAKDOWN_REQUIRED"),"",SUM($J914,$AQ914,$Y914)-$X914)</f>
        <v/>
      </c>
      <c r="AU914" s="25">
        <f>IF(AND($A914="",$B914="",$F914="",$H914="",$J914="",$K914="",$M914="",$S914=""),"",IF(OR($H914="",$Q914="",$M914="",$S914=""),"ERROR",IF(OR($J914&lt;0,$K914&lt;0,$M914&lt;0,$T914&lt;0,$U914&lt;0,$V914&lt;0,$W914&lt;0,$X914&lt;0,$Y914&lt;0),"ERROR",IF($AE914="","ERROR",IF(AND(OR($S914="ITEM_PRICE_PLUS_DECLARED_DELIVERY",$S914="TOTAL_AMOUNT_INCLUDING_DELIVERY",$S914="ITEM_PRICE_ONLY_DELIVERY_PAID_BY_MERCHANT"),$J914=""),"ERROR",IF(AND(OR($S914="ITEM_PRICE_PLUS_DECLARED_DELIVERY",$S914="DELIVERY_CHARGE_ONLY"),$K914=""),"ERROR",IF(AND(OR($S914="TOTAL_AMOUNT_INCLUDING_DELIVERY",$S914="EXACT_COLLECTION_AMOUNT"),$T914=""),"ERROR",IF(AND($S914="TOTAL_AMOUNT_INCLUDING_DELIVERY",$T914&lt;SUM($J914,$U914)),"ERROR",IF($S914="EXACT_COLLECTION_AMOUNT","REVIEW","OK")))))))))</f>
        <v/>
      </c>
      <c r="AV914" s="25">
        <f>IF($AU914="","",IF($H914="","Township required",IF($Q914="","Customer tier required",IF($M914="","Weight required",IF($S914="","Amount entry type required",IF(OR($J914&lt;0,$K914&lt;0,$M914&lt;0,$T914&lt;0,$U914&lt;0,$V914&lt;0,$W914&lt;0,$X914&lt;0,$Y914&lt;0),"Negative amounts are not allowed",IF($AE914="","Tariff not found for township and tier",IF(AND(OR($S914="ITEM_PRICE_PLUS_DECLARED_DELIVERY",$S914="TOTAL_AMOUNT_INCLUDING_DELIVERY",$S914="ITEM_PRICE_ONLY_DELIVERY_PAID_BY_MERCHANT"),$J914=""),"Item price required for this amount type",IF(AND(OR($S914="ITEM_PRICE_PLUS_DECLARED_DELIVERY",$S914="DELIVERY_CHARGE_ONLY"),$K914=""),"Declared delivery charge required",IF(AND(OR($S914="TOTAL_AMOUNT_INCLUDING_DELIVERY",$S914="EXACT_COLLECTION_AMOUNT"),$T914=""),"Stated total amount required",IF(AND($S914="TOTAL_AMOUNT_INCLUDING_DELIVERY",$T914&lt;SUM($J914,$U914)),"Stated total is below item price plus additional charge",IF($S914="EXACT_COLLECTION_AMOUNT","Authorized amount breakdown required before settlement","Ready for collection and settlement"))))))))))))</f>
        <v/>
      </c>
      <c r="AW914" s="23">
        <f>IF($AU914="","","PARCEL_FINANCIAL_V2")</f>
        <v/>
      </c>
      <c r="AX914" s="17" t="n"/>
    </row>
    <row r="915">
      <c r="A915" s="8" t="n"/>
      <c r="B915" s="8" t="n"/>
      <c r="C915" s="8" t="n"/>
      <c r="D915" s="8" t="n"/>
      <c r="E915" s="9" t="n"/>
      <c r="F915" s="9" t="n"/>
      <c r="G915" s="8" t="n"/>
      <c r="H915" s="9" t="n"/>
      <c r="I915" s="9" t="n"/>
      <c r="J915" s="10" t="n"/>
      <c r="K915" s="10" t="n"/>
      <c r="L915" s="11">
        <f>IF($S915="","",IF($S915="ITEM_PRICE_PLUS_DECLARED_DELIVERY",IF(OR($J915="",$K915=""),"",SUM($J915,$K915,$U915)),IF($S915="TOTAL_AMOUNT_INCLUDING_DELIVERY",IF($T915="","",$T915),IF($S915="DELIVERY_CHARGE_ONLY",IF($K915="","",SUM($K915,$U915)),IF($S915="EXACT_COLLECTION_AMOUNT",IF($T915="","",$T915),IF($S915="ITEM_PRICE_ONLY_DELIVERY_PAID_BY_MERCHANT",IF($J915="","",SUM($J915,$U915)),""))))))</f>
        <v/>
      </c>
      <c r="M915" s="12" t="n"/>
      <c r="N915" s="13" t="n"/>
      <c r="O915" s="13" t="n"/>
      <c r="P915" s="9" t="n"/>
      <c r="Q915" s="14" t="n"/>
      <c r="R915" s="15" t="n"/>
      <c r="S915" s="14" t="n"/>
      <c r="T915" s="16" t="n"/>
      <c r="U915" s="16" t="n"/>
      <c r="V915" s="16" t="n"/>
      <c r="W915" s="16" t="n"/>
      <c r="X915" s="16" t="n"/>
      <c r="Y915" s="16" t="n"/>
      <c r="Z915" s="14" t="n"/>
      <c r="AA915" s="14" t="n"/>
      <c r="AB915" s="14" t="n"/>
      <c r="AC915" s="17">
        <f>IFERROR(VLOOKUP($H915&amp;"|"&amp;$Q915,Tariff_Master!$A$2:$L$169,3,FALSE),"")</f>
        <v/>
      </c>
      <c r="AD915" s="17">
        <f>IFERROR(VLOOKUP($H915&amp;"|"&amp;$Q915,Tariff_Master!$A$2:$L$169,4,FALSE),"")</f>
        <v/>
      </c>
      <c r="AE915" s="18">
        <f>IFERROR(VLOOKUP($H915&amp;"|"&amp;$Q915,Tariff_Master!$A$2:$L$169,6,FALSE),"")</f>
        <v/>
      </c>
      <c r="AF915" s="19">
        <f>IFERROR(VLOOKUP($H915&amp;"|"&amp;$Q915,Tariff_Master!$A$2:$L$169,7,FALSE),"")</f>
        <v/>
      </c>
      <c r="AG915" s="18">
        <f>IFERROR(VLOOKUP($H915&amp;"|"&amp;$Q915,Tariff_Master!$A$2:$L$169,8,FALSE),"")</f>
        <v/>
      </c>
      <c r="AH915" s="20">
        <f>IFERROR(VLOOKUP($H915&amp;"|"&amp;$Q915,Tariff_Master!$A$2:$L$169,9,FALSE),"")</f>
        <v/>
      </c>
      <c r="AI915" s="18">
        <f>IFERROR(VLOOKUP($H915&amp;"|"&amp;$Q915,Tariff_Master!$A$2:$L$169,10,FALSE),"")</f>
        <v/>
      </c>
      <c r="AJ915" s="21">
        <f>IF($M915="","",ROUNDUP(MAX(0,$M915),0))</f>
        <v/>
      </c>
      <c r="AK915" s="21">
        <f>IF(OR($AJ915="",$AF915=""),"",MAX(0,$AJ915-$AF915))</f>
        <v/>
      </c>
      <c r="AL915" s="22">
        <f>IF(OR($AK915="",$AG915=""),"",MAX(0,$AK915*$AG915))</f>
        <v/>
      </c>
      <c r="AM915" s="22">
        <f>IF($AE915="","",MAX(0,SUM($AE915,$AL915,$V915,$W915)))</f>
        <v/>
      </c>
      <c r="AN915" s="22">
        <f>IF($AM915="","",IF(AND($Q915="COMMITMENT",$R915&gt;=$AH915),$AI915,0))</f>
        <v/>
      </c>
      <c r="AO915" s="23">
        <f>IF($AM915="","",MAX(0,$AM915-$AN915))</f>
        <v/>
      </c>
      <c r="AP915" s="22">
        <f>IF($S915="","",IF(OR($S915="ITEM_PRICE_PLUS_DECLARED_DELIVERY",$S915="DELIVERY_CHARGE_ONLY"),$K915,IF($S915="TOTAL_AMOUNT_INCLUDING_DELIVERY",IF(OR($T915="",$J915=""),"",MAX(0,$T915-$J915-$U915)),IF($S915="ITEM_PRICE_ONLY_DELIVERY_PAID_BY_MERCHANT",0,""))))</f>
        <v/>
      </c>
      <c r="AQ915" s="23">
        <f>IF(OR($AP915="",$AO915=""),"",$AP915-$AO915)</f>
        <v/>
      </c>
      <c r="AR915" s="24">
        <f>IF($S915="EXACT_COLLECTION_AMOUNT","BREAKDOWN_REQUIRED",IF($AQ915="","",IF($AQ915&gt;0,"CREDIT_TO_MERCHANT",IF($AQ915&lt;0,"DEDUCT_FROM_MERCHANT","NO_ADJUSTMENT"))))</f>
        <v/>
      </c>
      <c r="AS915" s="23">
        <f>IF(OR($AQ915="",$AR915="BREAKDOWN_REQUIRED"),"",$AQ915)</f>
        <v/>
      </c>
      <c r="AT915" s="23">
        <f>IF(OR($AR915="",$AR915="BREAKDOWN_REQUIRED"),"",SUM($J915,$AQ915,$Y915)-$X915)</f>
        <v/>
      </c>
      <c r="AU915" s="25">
        <f>IF(AND($A915="",$B915="",$F915="",$H915="",$J915="",$K915="",$M915="",$S915=""),"",IF(OR($H915="",$Q915="",$M915="",$S915=""),"ERROR",IF(OR($J915&lt;0,$K915&lt;0,$M915&lt;0,$T915&lt;0,$U915&lt;0,$V915&lt;0,$W915&lt;0,$X915&lt;0,$Y915&lt;0),"ERROR",IF($AE915="","ERROR",IF(AND(OR($S915="ITEM_PRICE_PLUS_DECLARED_DELIVERY",$S915="TOTAL_AMOUNT_INCLUDING_DELIVERY",$S915="ITEM_PRICE_ONLY_DELIVERY_PAID_BY_MERCHANT"),$J915=""),"ERROR",IF(AND(OR($S915="ITEM_PRICE_PLUS_DECLARED_DELIVERY",$S915="DELIVERY_CHARGE_ONLY"),$K915=""),"ERROR",IF(AND(OR($S915="TOTAL_AMOUNT_INCLUDING_DELIVERY",$S915="EXACT_COLLECTION_AMOUNT"),$T915=""),"ERROR",IF(AND($S915="TOTAL_AMOUNT_INCLUDING_DELIVERY",$T915&lt;SUM($J915,$U915)),"ERROR",IF($S915="EXACT_COLLECTION_AMOUNT","REVIEW","OK")))))))))</f>
        <v/>
      </c>
      <c r="AV915" s="25">
        <f>IF($AU915="","",IF($H915="","Township required",IF($Q915="","Customer tier required",IF($M915="","Weight required",IF($S915="","Amount entry type required",IF(OR($J915&lt;0,$K915&lt;0,$M915&lt;0,$T915&lt;0,$U915&lt;0,$V915&lt;0,$W915&lt;0,$X915&lt;0,$Y915&lt;0),"Negative amounts are not allowed",IF($AE915="","Tariff not found for township and tier",IF(AND(OR($S915="ITEM_PRICE_PLUS_DECLARED_DELIVERY",$S915="TOTAL_AMOUNT_INCLUDING_DELIVERY",$S915="ITEM_PRICE_ONLY_DELIVERY_PAID_BY_MERCHANT"),$J915=""),"Item price required for this amount type",IF(AND(OR($S915="ITEM_PRICE_PLUS_DECLARED_DELIVERY",$S915="DELIVERY_CHARGE_ONLY"),$K915=""),"Declared delivery charge required",IF(AND(OR($S915="TOTAL_AMOUNT_INCLUDING_DELIVERY",$S915="EXACT_COLLECTION_AMOUNT"),$T915=""),"Stated total amount required",IF(AND($S915="TOTAL_AMOUNT_INCLUDING_DELIVERY",$T915&lt;SUM($J915,$U915)),"Stated total is below item price plus additional charge",IF($S915="EXACT_COLLECTION_AMOUNT","Authorized amount breakdown required before settlement","Ready for collection and settlement"))))))))))))</f>
        <v/>
      </c>
      <c r="AW915" s="23">
        <f>IF($AU915="","","PARCEL_FINANCIAL_V2")</f>
        <v/>
      </c>
      <c r="AX915" s="17" t="n"/>
    </row>
    <row r="916">
      <c r="A916" s="8" t="n"/>
      <c r="B916" s="8" t="n"/>
      <c r="C916" s="8" t="n"/>
      <c r="D916" s="8" t="n"/>
      <c r="E916" s="9" t="n"/>
      <c r="F916" s="9" t="n"/>
      <c r="G916" s="8" t="n"/>
      <c r="H916" s="9" t="n"/>
      <c r="I916" s="9" t="n"/>
      <c r="J916" s="10" t="n"/>
      <c r="K916" s="10" t="n"/>
      <c r="L916" s="11">
        <f>IF($S916="","",IF($S916="ITEM_PRICE_PLUS_DECLARED_DELIVERY",IF(OR($J916="",$K916=""),"",SUM($J916,$K916,$U916)),IF($S916="TOTAL_AMOUNT_INCLUDING_DELIVERY",IF($T916="","",$T916),IF($S916="DELIVERY_CHARGE_ONLY",IF($K916="","",SUM($K916,$U916)),IF($S916="EXACT_COLLECTION_AMOUNT",IF($T916="","",$T916),IF($S916="ITEM_PRICE_ONLY_DELIVERY_PAID_BY_MERCHANT",IF($J916="","",SUM($J916,$U916)),""))))))</f>
        <v/>
      </c>
      <c r="M916" s="12" t="n"/>
      <c r="N916" s="13" t="n"/>
      <c r="O916" s="13" t="n"/>
      <c r="P916" s="9" t="n"/>
      <c r="Q916" s="14" t="n"/>
      <c r="R916" s="15" t="n"/>
      <c r="S916" s="14" t="n"/>
      <c r="T916" s="16" t="n"/>
      <c r="U916" s="16" t="n"/>
      <c r="V916" s="16" t="n"/>
      <c r="W916" s="16" t="n"/>
      <c r="X916" s="16" t="n"/>
      <c r="Y916" s="16" t="n"/>
      <c r="Z916" s="14" t="n"/>
      <c r="AA916" s="14" t="n"/>
      <c r="AB916" s="14" t="n"/>
      <c r="AC916" s="17">
        <f>IFERROR(VLOOKUP($H916&amp;"|"&amp;$Q916,Tariff_Master!$A$2:$L$169,3,FALSE),"")</f>
        <v/>
      </c>
      <c r="AD916" s="17">
        <f>IFERROR(VLOOKUP($H916&amp;"|"&amp;$Q916,Tariff_Master!$A$2:$L$169,4,FALSE),"")</f>
        <v/>
      </c>
      <c r="AE916" s="18">
        <f>IFERROR(VLOOKUP($H916&amp;"|"&amp;$Q916,Tariff_Master!$A$2:$L$169,6,FALSE),"")</f>
        <v/>
      </c>
      <c r="AF916" s="19">
        <f>IFERROR(VLOOKUP($H916&amp;"|"&amp;$Q916,Tariff_Master!$A$2:$L$169,7,FALSE),"")</f>
        <v/>
      </c>
      <c r="AG916" s="18">
        <f>IFERROR(VLOOKUP($H916&amp;"|"&amp;$Q916,Tariff_Master!$A$2:$L$169,8,FALSE),"")</f>
        <v/>
      </c>
      <c r="AH916" s="20">
        <f>IFERROR(VLOOKUP($H916&amp;"|"&amp;$Q916,Tariff_Master!$A$2:$L$169,9,FALSE),"")</f>
        <v/>
      </c>
      <c r="AI916" s="18">
        <f>IFERROR(VLOOKUP($H916&amp;"|"&amp;$Q916,Tariff_Master!$A$2:$L$169,10,FALSE),"")</f>
        <v/>
      </c>
      <c r="AJ916" s="21">
        <f>IF($M916="","",ROUNDUP(MAX(0,$M916),0))</f>
        <v/>
      </c>
      <c r="AK916" s="21">
        <f>IF(OR($AJ916="",$AF916=""),"",MAX(0,$AJ916-$AF916))</f>
        <v/>
      </c>
      <c r="AL916" s="22">
        <f>IF(OR($AK916="",$AG916=""),"",MAX(0,$AK916*$AG916))</f>
        <v/>
      </c>
      <c r="AM916" s="22">
        <f>IF($AE916="","",MAX(0,SUM($AE916,$AL916,$V916,$W916)))</f>
        <v/>
      </c>
      <c r="AN916" s="22">
        <f>IF($AM916="","",IF(AND($Q916="COMMITMENT",$R916&gt;=$AH916),$AI916,0))</f>
        <v/>
      </c>
      <c r="AO916" s="23">
        <f>IF($AM916="","",MAX(0,$AM916-$AN916))</f>
        <v/>
      </c>
      <c r="AP916" s="22">
        <f>IF($S916="","",IF(OR($S916="ITEM_PRICE_PLUS_DECLARED_DELIVERY",$S916="DELIVERY_CHARGE_ONLY"),$K916,IF($S916="TOTAL_AMOUNT_INCLUDING_DELIVERY",IF(OR($T916="",$J916=""),"",MAX(0,$T916-$J916-$U916)),IF($S916="ITEM_PRICE_ONLY_DELIVERY_PAID_BY_MERCHANT",0,""))))</f>
        <v/>
      </c>
      <c r="AQ916" s="23">
        <f>IF(OR($AP916="",$AO916=""),"",$AP916-$AO916)</f>
        <v/>
      </c>
      <c r="AR916" s="24">
        <f>IF($S916="EXACT_COLLECTION_AMOUNT","BREAKDOWN_REQUIRED",IF($AQ916="","",IF($AQ916&gt;0,"CREDIT_TO_MERCHANT",IF($AQ916&lt;0,"DEDUCT_FROM_MERCHANT","NO_ADJUSTMENT"))))</f>
        <v/>
      </c>
      <c r="AS916" s="23">
        <f>IF(OR($AQ916="",$AR916="BREAKDOWN_REQUIRED"),"",$AQ916)</f>
        <v/>
      </c>
      <c r="AT916" s="23">
        <f>IF(OR($AR916="",$AR916="BREAKDOWN_REQUIRED"),"",SUM($J916,$AQ916,$Y916)-$X916)</f>
        <v/>
      </c>
      <c r="AU916" s="25">
        <f>IF(AND($A916="",$B916="",$F916="",$H916="",$J916="",$K916="",$M916="",$S916=""),"",IF(OR($H916="",$Q916="",$M916="",$S916=""),"ERROR",IF(OR($J916&lt;0,$K916&lt;0,$M916&lt;0,$T916&lt;0,$U916&lt;0,$V916&lt;0,$W916&lt;0,$X916&lt;0,$Y916&lt;0),"ERROR",IF($AE916="","ERROR",IF(AND(OR($S916="ITEM_PRICE_PLUS_DECLARED_DELIVERY",$S916="TOTAL_AMOUNT_INCLUDING_DELIVERY",$S916="ITEM_PRICE_ONLY_DELIVERY_PAID_BY_MERCHANT"),$J916=""),"ERROR",IF(AND(OR($S916="ITEM_PRICE_PLUS_DECLARED_DELIVERY",$S916="DELIVERY_CHARGE_ONLY"),$K916=""),"ERROR",IF(AND(OR($S916="TOTAL_AMOUNT_INCLUDING_DELIVERY",$S916="EXACT_COLLECTION_AMOUNT"),$T916=""),"ERROR",IF(AND($S916="TOTAL_AMOUNT_INCLUDING_DELIVERY",$T916&lt;SUM($J916,$U916)),"ERROR",IF($S916="EXACT_COLLECTION_AMOUNT","REVIEW","OK")))))))))</f>
        <v/>
      </c>
      <c r="AV916" s="25">
        <f>IF($AU916="","",IF($H916="","Township required",IF($Q916="","Customer tier required",IF($M916="","Weight required",IF($S916="","Amount entry type required",IF(OR($J916&lt;0,$K916&lt;0,$M916&lt;0,$T916&lt;0,$U916&lt;0,$V916&lt;0,$W916&lt;0,$X916&lt;0,$Y916&lt;0),"Negative amounts are not allowed",IF($AE916="","Tariff not found for township and tier",IF(AND(OR($S916="ITEM_PRICE_PLUS_DECLARED_DELIVERY",$S916="TOTAL_AMOUNT_INCLUDING_DELIVERY",$S916="ITEM_PRICE_ONLY_DELIVERY_PAID_BY_MERCHANT"),$J916=""),"Item price required for this amount type",IF(AND(OR($S916="ITEM_PRICE_PLUS_DECLARED_DELIVERY",$S916="DELIVERY_CHARGE_ONLY"),$K916=""),"Declared delivery charge required",IF(AND(OR($S916="TOTAL_AMOUNT_INCLUDING_DELIVERY",$S916="EXACT_COLLECTION_AMOUNT"),$T916=""),"Stated total amount required",IF(AND($S916="TOTAL_AMOUNT_INCLUDING_DELIVERY",$T916&lt;SUM($J916,$U916)),"Stated total is below item price plus additional charge",IF($S916="EXACT_COLLECTION_AMOUNT","Authorized amount breakdown required before settlement","Ready for collection and settlement"))))))))))))</f>
        <v/>
      </c>
      <c r="AW916" s="23">
        <f>IF($AU916="","","PARCEL_FINANCIAL_V2")</f>
        <v/>
      </c>
      <c r="AX916" s="17" t="n"/>
    </row>
    <row r="917">
      <c r="A917" s="8" t="n"/>
      <c r="B917" s="8" t="n"/>
      <c r="C917" s="8" t="n"/>
      <c r="D917" s="8" t="n"/>
      <c r="E917" s="9" t="n"/>
      <c r="F917" s="9" t="n"/>
      <c r="G917" s="8" t="n"/>
      <c r="H917" s="9" t="n"/>
      <c r="I917" s="9" t="n"/>
      <c r="J917" s="10" t="n"/>
      <c r="K917" s="10" t="n"/>
      <c r="L917" s="11">
        <f>IF($S917="","",IF($S917="ITEM_PRICE_PLUS_DECLARED_DELIVERY",IF(OR($J917="",$K917=""),"",SUM($J917,$K917,$U917)),IF($S917="TOTAL_AMOUNT_INCLUDING_DELIVERY",IF($T917="","",$T917),IF($S917="DELIVERY_CHARGE_ONLY",IF($K917="","",SUM($K917,$U917)),IF($S917="EXACT_COLLECTION_AMOUNT",IF($T917="","",$T917),IF($S917="ITEM_PRICE_ONLY_DELIVERY_PAID_BY_MERCHANT",IF($J917="","",SUM($J917,$U917)),""))))))</f>
        <v/>
      </c>
      <c r="M917" s="12" t="n"/>
      <c r="N917" s="13" t="n"/>
      <c r="O917" s="13" t="n"/>
      <c r="P917" s="9" t="n"/>
      <c r="Q917" s="14" t="n"/>
      <c r="R917" s="15" t="n"/>
      <c r="S917" s="14" t="n"/>
      <c r="T917" s="16" t="n"/>
      <c r="U917" s="16" t="n"/>
      <c r="V917" s="16" t="n"/>
      <c r="W917" s="16" t="n"/>
      <c r="X917" s="16" t="n"/>
      <c r="Y917" s="16" t="n"/>
      <c r="Z917" s="14" t="n"/>
      <c r="AA917" s="14" t="n"/>
      <c r="AB917" s="14" t="n"/>
      <c r="AC917" s="17">
        <f>IFERROR(VLOOKUP($H917&amp;"|"&amp;$Q917,Tariff_Master!$A$2:$L$169,3,FALSE),"")</f>
        <v/>
      </c>
      <c r="AD917" s="17">
        <f>IFERROR(VLOOKUP($H917&amp;"|"&amp;$Q917,Tariff_Master!$A$2:$L$169,4,FALSE),"")</f>
        <v/>
      </c>
      <c r="AE917" s="18">
        <f>IFERROR(VLOOKUP($H917&amp;"|"&amp;$Q917,Tariff_Master!$A$2:$L$169,6,FALSE),"")</f>
        <v/>
      </c>
      <c r="AF917" s="19">
        <f>IFERROR(VLOOKUP($H917&amp;"|"&amp;$Q917,Tariff_Master!$A$2:$L$169,7,FALSE),"")</f>
        <v/>
      </c>
      <c r="AG917" s="18">
        <f>IFERROR(VLOOKUP($H917&amp;"|"&amp;$Q917,Tariff_Master!$A$2:$L$169,8,FALSE),"")</f>
        <v/>
      </c>
      <c r="AH917" s="20">
        <f>IFERROR(VLOOKUP($H917&amp;"|"&amp;$Q917,Tariff_Master!$A$2:$L$169,9,FALSE),"")</f>
        <v/>
      </c>
      <c r="AI917" s="18">
        <f>IFERROR(VLOOKUP($H917&amp;"|"&amp;$Q917,Tariff_Master!$A$2:$L$169,10,FALSE),"")</f>
        <v/>
      </c>
      <c r="AJ917" s="21">
        <f>IF($M917="","",ROUNDUP(MAX(0,$M917),0))</f>
        <v/>
      </c>
      <c r="AK917" s="21">
        <f>IF(OR($AJ917="",$AF917=""),"",MAX(0,$AJ917-$AF917))</f>
        <v/>
      </c>
      <c r="AL917" s="22">
        <f>IF(OR($AK917="",$AG917=""),"",MAX(0,$AK917*$AG917))</f>
        <v/>
      </c>
      <c r="AM917" s="22">
        <f>IF($AE917="","",MAX(0,SUM($AE917,$AL917,$V917,$W917)))</f>
        <v/>
      </c>
      <c r="AN917" s="22">
        <f>IF($AM917="","",IF(AND($Q917="COMMITMENT",$R917&gt;=$AH917),$AI917,0))</f>
        <v/>
      </c>
      <c r="AO917" s="23">
        <f>IF($AM917="","",MAX(0,$AM917-$AN917))</f>
        <v/>
      </c>
      <c r="AP917" s="22">
        <f>IF($S917="","",IF(OR($S917="ITEM_PRICE_PLUS_DECLARED_DELIVERY",$S917="DELIVERY_CHARGE_ONLY"),$K917,IF($S917="TOTAL_AMOUNT_INCLUDING_DELIVERY",IF(OR($T917="",$J917=""),"",MAX(0,$T917-$J917-$U917)),IF($S917="ITEM_PRICE_ONLY_DELIVERY_PAID_BY_MERCHANT",0,""))))</f>
        <v/>
      </c>
      <c r="AQ917" s="23">
        <f>IF(OR($AP917="",$AO917=""),"",$AP917-$AO917)</f>
        <v/>
      </c>
      <c r="AR917" s="24">
        <f>IF($S917="EXACT_COLLECTION_AMOUNT","BREAKDOWN_REQUIRED",IF($AQ917="","",IF($AQ917&gt;0,"CREDIT_TO_MERCHANT",IF($AQ917&lt;0,"DEDUCT_FROM_MERCHANT","NO_ADJUSTMENT"))))</f>
        <v/>
      </c>
      <c r="AS917" s="23">
        <f>IF(OR($AQ917="",$AR917="BREAKDOWN_REQUIRED"),"",$AQ917)</f>
        <v/>
      </c>
      <c r="AT917" s="23">
        <f>IF(OR($AR917="",$AR917="BREAKDOWN_REQUIRED"),"",SUM($J917,$AQ917,$Y917)-$X917)</f>
        <v/>
      </c>
      <c r="AU917" s="25">
        <f>IF(AND($A917="",$B917="",$F917="",$H917="",$J917="",$K917="",$M917="",$S917=""),"",IF(OR($H917="",$Q917="",$M917="",$S917=""),"ERROR",IF(OR($J917&lt;0,$K917&lt;0,$M917&lt;0,$T917&lt;0,$U917&lt;0,$V917&lt;0,$W917&lt;0,$X917&lt;0,$Y917&lt;0),"ERROR",IF($AE917="","ERROR",IF(AND(OR($S917="ITEM_PRICE_PLUS_DECLARED_DELIVERY",$S917="TOTAL_AMOUNT_INCLUDING_DELIVERY",$S917="ITEM_PRICE_ONLY_DELIVERY_PAID_BY_MERCHANT"),$J917=""),"ERROR",IF(AND(OR($S917="ITEM_PRICE_PLUS_DECLARED_DELIVERY",$S917="DELIVERY_CHARGE_ONLY"),$K917=""),"ERROR",IF(AND(OR($S917="TOTAL_AMOUNT_INCLUDING_DELIVERY",$S917="EXACT_COLLECTION_AMOUNT"),$T917=""),"ERROR",IF(AND($S917="TOTAL_AMOUNT_INCLUDING_DELIVERY",$T917&lt;SUM($J917,$U917)),"ERROR",IF($S917="EXACT_COLLECTION_AMOUNT","REVIEW","OK")))))))))</f>
        <v/>
      </c>
      <c r="AV917" s="25">
        <f>IF($AU917="","",IF($H917="","Township required",IF($Q917="","Customer tier required",IF($M917="","Weight required",IF($S917="","Amount entry type required",IF(OR($J917&lt;0,$K917&lt;0,$M917&lt;0,$T917&lt;0,$U917&lt;0,$V917&lt;0,$W917&lt;0,$X917&lt;0,$Y917&lt;0),"Negative amounts are not allowed",IF($AE917="","Tariff not found for township and tier",IF(AND(OR($S917="ITEM_PRICE_PLUS_DECLARED_DELIVERY",$S917="TOTAL_AMOUNT_INCLUDING_DELIVERY",$S917="ITEM_PRICE_ONLY_DELIVERY_PAID_BY_MERCHANT"),$J917=""),"Item price required for this amount type",IF(AND(OR($S917="ITEM_PRICE_PLUS_DECLARED_DELIVERY",$S917="DELIVERY_CHARGE_ONLY"),$K917=""),"Declared delivery charge required",IF(AND(OR($S917="TOTAL_AMOUNT_INCLUDING_DELIVERY",$S917="EXACT_COLLECTION_AMOUNT"),$T917=""),"Stated total amount required",IF(AND($S917="TOTAL_AMOUNT_INCLUDING_DELIVERY",$T917&lt;SUM($J917,$U917)),"Stated total is below item price plus additional charge",IF($S917="EXACT_COLLECTION_AMOUNT","Authorized amount breakdown required before settlement","Ready for collection and settlement"))))))))))))</f>
        <v/>
      </c>
      <c r="AW917" s="23">
        <f>IF($AU917="","","PARCEL_FINANCIAL_V2")</f>
        <v/>
      </c>
      <c r="AX917" s="17" t="n"/>
    </row>
    <row r="918">
      <c r="A918" s="8" t="n"/>
      <c r="B918" s="8" t="n"/>
      <c r="C918" s="8" t="n"/>
      <c r="D918" s="8" t="n"/>
      <c r="E918" s="9" t="n"/>
      <c r="F918" s="9" t="n"/>
      <c r="G918" s="8" t="n"/>
      <c r="H918" s="9" t="n"/>
      <c r="I918" s="9" t="n"/>
      <c r="J918" s="10" t="n"/>
      <c r="K918" s="10" t="n"/>
      <c r="L918" s="11">
        <f>IF($S918="","",IF($S918="ITEM_PRICE_PLUS_DECLARED_DELIVERY",IF(OR($J918="",$K918=""),"",SUM($J918,$K918,$U918)),IF($S918="TOTAL_AMOUNT_INCLUDING_DELIVERY",IF($T918="","",$T918),IF($S918="DELIVERY_CHARGE_ONLY",IF($K918="","",SUM($K918,$U918)),IF($S918="EXACT_COLLECTION_AMOUNT",IF($T918="","",$T918),IF($S918="ITEM_PRICE_ONLY_DELIVERY_PAID_BY_MERCHANT",IF($J918="","",SUM($J918,$U918)),""))))))</f>
        <v/>
      </c>
      <c r="M918" s="12" t="n"/>
      <c r="N918" s="13" t="n"/>
      <c r="O918" s="13" t="n"/>
      <c r="P918" s="9" t="n"/>
      <c r="Q918" s="14" t="n"/>
      <c r="R918" s="15" t="n"/>
      <c r="S918" s="14" t="n"/>
      <c r="T918" s="16" t="n"/>
      <c r="U918" s="16" t="n"/>
      <c r="V918" s="16" t="n"/>
      <c r="W918" s="16" t="n"/>
      <c r="X918" s="16" t="n"/>
      <c r="Y918" s="16" t="n"/>
      <c r="Z918" s="14" t="n"/>
      <c r="AA918" s="14" t="n"/>
      <c r="AB918" s="14" t="n"/>
      <c r="AC918" s="17">
        <f>IFERROR(VLOOKUP($H918&amp;"|"&amp;$Q918,Tariff_Master!$A$2:$L$169,3,FALSE),"")</f>
        <v/>
      </c>
      <c r="AD918" s="17">
        <f>IFERROR(VLOOKUP($H918&amp;"|"&amp;$Q918,Tariff_Master!$A$2:$L$169,4,FALSE),"")</f>
        <v/>
      </c>
      <c r="AE918" s="18">
        <f>IFERROR(VLOOKUP($H918&amp;"|"&amp;$Q918,Tariff_Master!$A$2:$L$169,6,FALSE),"")</f>
        <v/>
      </c>
      <c r="AF918" s="19">
        <f>IFERROR(VLOOKUP($H918&amp;"|"&amp;$Q918,Tariff_Master!$A$2:$L$169,7,FALSE),"")</f>
        <v/>
      </c>
      <c r="AG918" s="18">
        <f>IFERROR(VLOOKUP($H918&amp;"|"&amp;$Q918,Tariff_Master!$A$2:$L$169,8,FALSE),"")</f>
        <v/>
      </c>
      <c r="AH918" s="20">
        <f>IFERROR(VLOOKUP($H918&amp;"|"&amp;$Q918,Tariff_Master!$A$2:$L$169,9,FALSE),"")</f>
        <v/>
      </c>
      <c r="AI918" s="18">
        <f>IFERROR(VLOOKUP($H918&amp;"|"&amp;$Q918,Tariff_Master!$A$2:$L$169,10,FALSE),"")</f>
        <v/>
      </c>
      <c r="AJ918" s="21">
        <f>IF($M918="","",ROUNDUP(MAX(0,$M918),0))</f>
        <v/>
      </c>
      <c r="AK918" s="21">
        <f>IF(OR($AJ918="",$AF918=""),"",MAX(0,$AJ918-$AF918))</f>
        <v/>
      </c>
      <c r="AL918" s="22">
        <f>IF(OR($AK918="",$AG918=""),"",MAX(0,$AK918*$AG918))</f>
        <v/>
      </c>
      <c r="AM918" s="22">
        <f>IF($AE918="","",MAX(0,SUM($AE918,$AL918,$V918,$W918)))</f>
        <v/>
      </c>
      <c r="AN918" s="22">
        <f>IF($AM918="","",IF(AND($Q918="COMMITMENT",$R918&gt;=$AH918),$AI918,0))</f>
        <v/>
      </c>
      <c r="AO918" s="23">
        <f>IF($AM918="","",MAX(0,$AM918-$AN918))</f>
        <v/>
      </c>
      <c r="AP918" s="22">
        <f>IF($S918="","",IF(OR($S918="ITEM_PRICE_PLUS_DECLARED_DELIVERY",$S918="DELIVERY_CHARGE_ONLY"),$K918,IF($S918="TOTAL_AMOUNT_INCLUDING_DELIVERY",IF(OR($T918="",$J918=""),"",MAX(0,$T918-$J918-$U918)),IF($S918="ITEM_PRICE_ONLY_DELIVERY_PAID_BY_MERCHANT",0,""))))</f>
        <v/>
      </c>
      <c r="AQ918" s="23">
        <f>IF(OR($AP918="",$AO918=""),"",$AP918-$AO918)</f>
        <v/>
      </c>
      <c r="AR918" s="24">
        <f>IF($S918="EXACT_COLLECTION_AMOUNT","BREAKDOWN_REQUIRED",IF($AQ918="","",IF($AQ918&gt;0,"CREDIT_TO_MERCHANT",IF($AQ918&lt;0,"DEDUCT_FROM_MERCHANT","NO_ADJUSTMENT"))))</f>
        <v/>
      </c>
      <c r="AS918" s="23">
        <f>IF(OR($AQ918="",$AR918="BREAKDOWN_REQUIRED"),"",$AQ918)</f>
        <v/>
      </c>
      <c r="AT918" s="23">
        <f>IF(OR($AR918="",$AR918="BREAKDOWN_REQUIRED"),"",SUM($J918,$AQ918,$Y918)-$X918)</f>
        <v/>
      </c>
      <c r="AU918" s="25">
        <f>IF(AND($A918="",$B918="",$F918="",$H918="",$J918="",$K918="",$M918="",$S918=""),"",IF(OR($H918="",$Q918="",$M918="",$S918=""),"ERROR",IF(OR($J918&lt;0,$K918&lt;0,$M918&lt;0,$T918&lt;0,$U918&lt;0,$V918&lt;0,$W918&lt;0,$X918&lt;0,$Y918&lt;0),"ERROR",IF($AE918="","ERROR",IF(AND(OR($S918="ITEM_PRICE_PLUS_DECLARED_DELIVERY",$S918="TOTAL_AMOUNT_INCLUDING_DELIVERY",$S918="ITEM_PRICE_ONLY_DELIVERY_PAID_BY_MERCHANT"),$J918=""),"ERROR",IF(AND(OR($S918="ITEM_PRICE_PLUS_DECLARED_DELIVERY",$S918="DELIVERY_CHARGE_ONLY"),$K918=""),"ERROR",IF(AND(OR($S918="TOTAL_AMOUNT_INCLUDING_DELIVERY",$S918="EXACT_COLLECTION_AMOUNT"),$T918=""),"ERROR",IF(AND($S918="TOTAL_AMOUNT_INCLUDING_DELIVERY",$T918&lt;SUM($J918,$U918)),"ERROR",IF($S918="EXACT_COLLECTION_AMOUNT","REVIEW","OK")))))))))</f>
        <v/>
      </c>
      <c r="AV918" s="25">
        <f>IF($AU918="","",IF($H918="","Township required",IF($Q918="","Customer tier required",IF($M918="","Weight required",IF($S918="","Amount entry type required",IF(OR($J918&lt;0,$K918&lt;0,$M918&lt;0,$T918&lt;0,$U918&lt;0,$V918&lt;0,$W918&lt;0,$X918&lt;0,$Y918&lt;0),"Negative amounts are not allowed",IF($AE918="","Tariff not found for township and tier",IF(AND(OR($S918="ITEM_PRICE_PLUS_DECLARED_DELIVERY",$S918="TOTAL_AMOUNT_INCLUDING_DELIVERY",$S918="ITEM_PRICE_ONLY_DELIVERY_PAID_BY_MERCHANT"),$J918=""),"Item price required for this amount type",IF(AND(OR($S918="ITEM_PRICE_PLUS_DECLARED_DELIVERY",$S918="DELIVERY_CHARGE_ONLY"),$K918=""),"Declared delivery charge required",IF(AND(OR($S918="TOTAL_AMOUNT_INCLUDING_DELIVERY",$S918="EXACT_COLLECTION_AMOUNT"),$T918=""),"Stated total amount required",IF(AND($S918="TOTAL_AMOUNT_INCLUDING_DELIVERY",$T918&lt;SUM($J918,$U918)),"Stated total is below item price plus additional charge",IF($S918="EXACT_COLLECTION_AMOUNT","Authorized amount breakdown required before settlement","Ready for collection and settlement"))))))))))))</f>
        <v/>
      </c>
      <c r="AW918" s="23">
        <f>IF($AU918="","","PARCEL_FINANCIAL_V2")</f>
        <v/>
      </c>
      <c r="AX918" s="17" t="n"/>
    </row>
    <row r="919">
      <c r="A919" s="8" t="n"/>
      <c r="B919" s="8" t="n"/>
      <c r="C919" s="8" t="n"/>
      <c r="D919" s="8" t="n"/>
      <c r="E919" s="9" t="n"/>
      <c r="F919" s="9" t="n"/>
      <c r="G919" s="8" t="n"/>
      <c r="H919" s="9" t="n"/>
      <c r="I919" s="9" t="n"/>
      <c r="J919" s="10" t="n"/>
      <c r="K919" s="10" t="n"/>
      <c r="L919" s="11">
        <f>IF($S919="","",IF($S919="ITEM_PRICE_PLUS_DECLARED_DELIVERY",IF(OR($J919="",$K919=""),"",SUM($J919,$K919,$U919)),IF($S919="TOTAL_AMOUNT_INCLUDING_DELIVERY",IF($T919="","",$T919),IF($S919="DELIVERY_CHARGE_ONLY",IF($K919="","",SUM($K919,$U919)),IF($S919="EXACT_COLLECTION_AMOUNT",IF($T919="","",$T919),IF($S919="ITEM_PRICE_ONLY_DELIVERY_PAID_BY_MERCHANT",IF($J919="","",SUM($J919,$U919)),""))))))</f>
        <v/>
      </c>
      <c r="M919" s="12" t="n"/>
      <c r="N919" s="13" t="n"/>
      <c r="O919" s="13" t="n"/>
      <c r="P919" s="9" t="n"/>
      <c r="Q919" s="14" t="n"/>
      <c r="R919" s="15" t="n"/>
      <c r="S919" s="14" t="n"/>
      <c r="T919" s="16" t="n"/>
      <c r="U919" s="16" t="n"/>
      <c r="V919" s="16" t="n"/>
      <c r="W919" s="16" t="n"/>
      <c r="X919" s="16" t="n"/>
      <c r="Y919" s="16" t="n"/>
      <c r="Z919" s="14" t="n"/>
      <c r="AA919" s="14" t="n"/>
      <c r="AB919" s="14" t="n"/>
      <c r="AC919" s="17">
        <f>IFERROR(VLOOKUP($H919&amp;"|"&amp;$Q919,Tariff_Master!$A$2:$L$169,3,FALSE),"")</f>
        <v/>
      </c>
      <c r="AD919" s="17">
        <f>IFERROR(VLOOKUP($H919&amp;"|"&amp;$Q919,Tariff_Master!$A$2:$L$169,4,FALSE),"")</f>
        <v/>
      </c>
      <c r="AE919" s="18">
        <f>IFERROR(VLOOKUP($H919&amp;"|"&amp;$Q919,Tariff_Master!$A$2:$L$169,6,FALSE),"")</f>
        <v/>
      </c>
      <c r="AF919" s="19">
        <f>IFERROR(VLOOKUP($H919&amp;"|"&amp;$Q919,Tariff_Master!$A$2:$L$169,7,FALSE),"")</f>
        <v/>
      </c>
      <c r="AG919" s="18">
        <f>IFERROR(VLOOKUP($H919&amp;"|"&amp;$Q919,Tariff_Master!$A$2:$L$169,8,FALSE),"")</f>
        <v/>
      </c>
      <c r="AH919" s="20">
        <f>IFERROR(VLOOKUP($H919&amp;"|"&amp;$Q919,Tariff_Master!$A$2:$L$169,9,FALSE),"")</f>
        <v/>
      </c>
      <c r="AI919" s="18">
        <f>IFERROR(VLOOKUP($H919&amp;"|"&amp;$Q919,Tariff_Master!$A$2:$L$169,10,FALSE),"")</f>
        <v/>
      </c>
      <c r="AJ919" s="21">
        <f>IF($M919="","",ROUNDUP(MAX(0,$M919),0))</f>
        <v/>
      </c>
      <c r="AK919" s="21">
        <f>IF(OR($AJ919="",$AF919=""),"",MAX(0,$AJ919-$AF919))</f>
        <v/>
      </c>
      <c r="AL919" s="22">
        <f>IF(OR($AK919="",$AG919=""),"",MAX(0,$AK919*$AG919))</f>
        <v/>
      </c>
      <c r="AM919" s="22">
        <f>IF($AE919="","",MAX(0,SUM($AE919,$AL919,$V919,$W919)))</f>
        <v/>
      </c>
      <c r="AN919" s="22">
        <f>IF($AM919="","",IF(AND($Q919="COMMITMENT",$R919&gt;=$AH919),$AI919,0))</f>
        <v/>
      </c>
      <c r="AO919" s="23">
        <f>IF($AM919="","",MAX(0,$AM919-$AN919))</f>
        <v/>
      </c>
      <c r="AP919" s="22">
        <f>IF($S919="","",IF(OR($S919="ITEM_PRICE_PLUS_DECLARED_DELIVERY",$S919="DELIVERY_CHARGE_ONLY"),$K919,IF($S919="TOTAL_AMOUNT_INCLUDING_DELIVERY",IF(OR($T919="",$J919=""),"",MAX(0,$T919-$J919-$U919)),IF($S919="ITEM_PRICE_ONLY_DELIVERY_PAID_BY_MERCHANT",0,""))))</f>
        <v/>
      </c>
      <c r="AQ919" s="23">
        <f>IF(OR($AP919="",$AO919=""),"",$AP919-$AO919)</f>
        <v/>
      </c>
      <c r="AR919" s="24">
        <f>IF($S919="EXACT_COLLECTION_AMOUNT","BREAKDOWN_REQUIRED",IF($AQ919="","",IF($AQ919&gt;0,"CREDIT_TO_MERCHANT",IF($AQ919&lt;0,"DEDUCT_FROM_MERCHANT","NO_ADJUSTMENT"))))</f>
        <v/>
      </c>
      <c r="AS919" s="23">
        <f>IF(OR($AQ919="",$AR919="BREAKDOWN_REQUIRED"),"",$AQ919)</f>
        <v/>
      </c>
      <c r="AT919" s="23">
        <f>IF(OR($AR919="",$AR919="BREAKDOWN_REQUIRED"),"",SUM($J919,$AQ919,$Y919)-$X919)</f>
        <v/>
      </c>
      <c r="AU919" s="25">
        <f>IF(AND($A919="",$B919="",$F919="",$H919="",$J919="",$K919="",$M919="",$S919=""),"",IF(OR($H919="",$Q919="",$M919="",$S919=""),"ERROR",IF(OR($J919&lt;0,$K919&lt;0,$M919&lt;0,$T919&lt;0,$U919&lt;0,$V919&lt;0,$W919&lt;0,$X919&lt;0,$Y919&lt;0),"ERROR",IF($AE919="","ERROR",IF(AND(OR($S919="ITEM_PRICE_PLUS_DECLARED_DELIVERY",$S919="TOTAL_AMOUNT_INCLUDING_DELIVERY",$S919="ITEM_PRICE_ONLY_DELIVERY_PAID_BY_MERCHANT"),$J919=""),"ERROR",IF(AND(OR($S919="ITEM_PRICE_PLUS_DECLARED_DELIVERY",$S919="DELIVERY_CHARGE_ONLY"),$K919=""),"ERROR",IF(AND(OR($S919="TOTAL_AMOUNT_INCLUDING_DELIVERY",$S919="EXACT_COLLECTION_AMOUNT"),$T919=""),"ERROR",IF(AND($S919="TOTAL_AMOUNT_INCLUDING_DELIVERY",$T919&lt;SUM($J919,$U919)),"ERROR",IF($S919="EXACT_COLLECTION_AMOUNT","REVIEW","OK")))))))))</f>
        <v/>
      </c>
      <c r="AV919" s="25">
        <f>IF($AU919="","",IF($H919="","Township required",IF($Q919="","Customer tier required",IF($M919="","Weight required",IF($S919="","Amount entry type required",IF(OR($J919&lt;0,$K919&lt;0,$M919&lt;0,$T919&lt;0,$U919&lt;0,$V919&lt;0,$W919&lt;0,$X919&lt;0,$Y919&lt;0),"Negative amounts are not allowed",IF($AE919="","Tariff not found for township and tier",IF(AND(OR($S919="ITEM_PRICE_PLUS_DECLARED_DELIVERY",$S919="TOTAL_AMOUNT_INCLUDING_DELIVERY",$S919="ITEM_PRICE_ONLY_DELIVERY_PAID_BY_MERCHANT"),$J919=""),"Item price required for this amount type",IF(AND(OR($S919="ITEM_PRICE_PLUS_DECLARED_DELIVERY",$S919="DELIVERY_CHARGE_ONLY"),$K919=""),"Declared delivery charge required",IF(AND(OR($S919="TOTAL_AMOUNT_INCLUDING_DELIVERY",$S919="EXACT_COLLECTION_AMOUNT"),$T919=""),"Stated total amount required",IF(AND($S919="TOTAL_AMOUNT_INCLUDING_DELIVERY",$T919&lt;SUM($J919,$U919)),"Stated total is below item price plus additional charge",IF($S919="EXACT_COLLECTION_AMOUNT","Authorized amount breakdown required before settlement","Ready for collection and settlement"))))))))))))</f>
        <v/>
      </c>
      <c r="AW919" s="23">
        <f>IF($AU919="","","PARCEL_FINANCIAL_V2")</f>
        <v/>
      </c>
      <c r="AX919" s="17" t="n"/>
    </row>
    <row r="920">
      <c r="A920" s="8" t="n"/>
      <c r="B920" s="8" t="n"/>
      <c r="C920" s="8" t="n"/>
      <c r="D920" s="8" t="n"/>
      <c r="E920" s="9" t="n"/>
      <c r="F920" s="9" t="n"/>
      <c r="G920" s="8" t="n"/>
      <c r="H920" s="9" t="n"/>
      <c r="I920" s="9" t="n"/>
      <c r="J920" s="10" t="n"/>
      <c r="K920" s="10" t="n"/>
      <c r="L920" s="11">
        <f>IF($S920="","",IF($S920="ITEM_PRICE_PLUS_DECLARED_DELIVERY",IF(OR($J920="",$K920=""),"",SUM($J920,$K920,$U920)),IF($S920="TOTAL_AMOUNT_INCLUDING_DELIVERY",IF($T920="","",$T920),IF($S920="DELIVERY_CHARGE_ONLY",IF($K920="","",SUM($K920,$U920)),IF($S920="EXACT_COLLECTION_AMOUNT",IF($T920="","",$T920),IF($S920="ITEM_PRICE_ONLY_DELIVERY_PAID_BY_MERCHANT",IF($J920="","",SUM($J920,$U920)),""))))))</f>
        <v/>
      </c>
      <c r="M920" s="12" t="n"/>
      <c r="N920" s="13" t="n"/>
      <c r="O920" s="13" t="n"/>
      <c r="P920" s="9" t="n"/>
      <c r="Q920" s="14" t="n"/>
      <c r="R920" s="15" t="n"/>
      <c r="S920" s="14" t="n"/>
      <c r="T920" s="16" t="n"/>
      <c r="U920" s="16" t="n"/>
      <c r="V920" s="16" t="n"/>
      <c r="W920" s="16" t="n"/>
      <c r="X920" s="16" t="n"/>
      <c r="Y920" s="16" t="n"/>
      <c r="Z920" s="14" t="n"/>
      <c r="AA920" s="14" t="n"/>
      <c r="AB920" s="14" t="n"/>
      <c r="AC920" s="17">
        <f>IFERROR(VLOOKUP($H920&amp;"|"&amp;$Q920,Tariff_Master!$A$2:$L$169,3,FALSE),"")</f>
        <v/>
      </c>
      <c r="AD920" s="17">
        <f>IFERROR(VLOOKUP($H920&amp;"|"&amp;$Q920,Tariff_Master!$A$2:$L$169,4,FALSE),"")</f>
        <v/>
      </c>
      <c r="AE920" s="18">
        <f>IFERROR(VLOOKUP($H920&amp;"|"&amp;$Q920,Tariff_Master!$A$2:$L$169,6,FALSE),"")</f>
        <v/>
      </c>
      <c r="AF920" s="19">
        <f>IFERROR(VLOOKUP($H920&amp;"|"&amp;$Q920,Tariff_Master!$A$2:$L$169,7,FALSE),"")</f>
        <v/>
      </c>
      <c r="AG920" s="18">
        <f>IFERROR(VLOOKUP($H920&amp;"|"&amp;$Q920,Tariff_Master!$A$2:$L$169,8,FALSE),"")</f>
        <v/>
      </c>
      <c r="AH920" s="20">
        <f>IFERROR(VLOOKUP($H920&amp;"|"&amp;$Q920,Tariff_Master!$A$2:$L$169,9,FALSE),"")</f>
        <v/>
      </c>
      <c r="AI920" s="18">
        <f>IFERROR(VLOOKUP($H920&amp;"|"&amp;$Q920,Tariff_Master!$A$2:$L$169,10,FALSE),"")</f>
        <v/>
      </c>
      <c r="AJ920" s="21">
        <f>IF($M920="","",ROUNDUP(MAX(0,$M920),0))</f>
        <v/>
      </c>
      <c r="AK920" s="21">
        <f>IF(OR($AJ920="",$AF920=""),"",MAX(0,$AJ920-$AF920))</f>
        <v/>
      </c>
      <c r="AL920" s="22">
        <f>IF(OR($AK920="",$AG920=""),"",MAX(0,$AK920*$AG920))</f>
        <v/>
      </c>
      <c r="AM920" s="22">
        <f>IF($AE920="","",MAX(0,SUM($AE920,$AL920,$V920,$W920)))</f>
        <v/>
      </c>
      <c r="AN920" s="22">
        <f>IF($AM920="","",IF(AND($Q920="COMMITMENT",$R920&gt;=$AH920),$AI920,0))</f>
        <v/>
      </c>
      <c r="AO920" s="23">
        <f>IF($AM920="","",MAX(0,$AM920-$AN920))</f>
        <v/>
      </c>
      <c r="AP920" s="22">
        <f>IF($S920="","",IF(OR($S920="ITEM_PRICE_PLUS_DECLARED_DELIVERY",$S920="DELIVERY_CHARGE_ONLY"),$K920,IF($S920="TOTAL_AMOUNT_INCLUDING_DELIVERY",IF(OR($T920="",$J920=""),"",MAX(0,$T920-$J920-$U920)),IF($S920="ITEM_PRICE_ONLY_DELIVERY_PAID_BY_MERCHANT",0,""))))</f>
        <v/>
      </c>
      <c r="AQ920" s="23">
        <f>IF(OR($AP920="",$AO920=""),"",$AP920-$AO920)</f>
        <v/>
      </c>
      <c r="AR920" s="24">
        <f>IF($S920="EXACT_COLLECTION_AMOUNT","BREAKDOWN_REQUIRED",IF($AQ920="","",IF($AQ920&gt;0,"CREDIT_TO_MERCHANT",IF($AQ920&lt;0,"DEDUCT_FROM_MERCHANT","NO_ADJUSTMENT"))))</f>
        <v/>
      </c>
      <c r="AS920" s="23">
        <f>IF(OR($AQ920="",$AR920="BREAKDOWN_REQUIRED"),"",$AQ920)</f>
        <v/>
      </c>
      <c r="AT920" s="23">
        <f>IF(OR($AR920="",$AR920="BREAKDOWN_REQUIRED"),"",SUM($J920,$AQ920,$Y920)-$X920)</f>
        <v/>
      </c>
      <c r="AU920" s="25">
        <f>IF(AND($A920="",$B920="",$F920="",$H920="",$J920="",$K920="",$M920="",$S920=""),"",IF(OR($H920="",$Q920="",$M920="",$S920=""),"ERROR",IF(OR($J920&lt;0,$K920&lt;0,$M920&lt;0,$T920&lt;0,$U920&lt;0,$V920&lt;0,$W920&lt;0,$X920&lt;0,$Y920&lt;0),"ERROR",IF($AE920="","ERROR",IF(AND(OR($S920="ITEM_PRICE_PLUS_DECLARED_DELIVERY",$S920="TOTAL_AMOUNT_INCLUDING_DELIVERY",$S920="ITEM_PRICE_ONLY_DELIVERY_PAID_BY_MERCHANT"),$J920=""),"ERROR",IF(AND(OR($S920="ITEM_PRICE_PLUS_DECLARED_DELIVERY",$S920="DELIVERY_CHARGE_ONLY"),$K920=""),"ERROR",IF(AND(OR($S920="TOTAL_AMOUNT_INCLUDING_DELIVERY",$S920="EXACT_COLLECTION_AMOUNT"),$T920=""),"ERROR",IF(AND($S920="TOTAL_AMOUNT_INCLUDING_DELIVERY",$T920&lt;SUM($J920,$U920)),"ERROR",IF($S920="EXACT_COLLECTION_AMOUNT","REVIEW","OK")))))))))</f>
        <v/>
      </c>
      <c r="AV920" s="25">
        <f>IF($AU920="","",IF($H920="","Township required",IF($Q920="","Customer tier required",IF($M920="","Weight required",IF($S920="","Amount entry type required",IF(OR($J920&lt;0,$K920&lt;0,$M920&lt;0,$T920&lt;0,$U920&lt;0,$V920&lt;0,$W920&lt;0,$X920&lt;0,$Y920&lt;0),"Negative amounts are not allowed",IF($AE920="","Tariff not found for township and tier",IF(AND(OR($S920="ITEM_PRICE_PLUS_DECLARED_DELIVERY",$S920="TOTAL_AMOUNT_INCLUDING_DELIVERY",$S920="ITEM_PRICE_ONLY_DELIVERY_PAID_BY_MERCHANT"),$J920=""),"Item price required for this amount type",IF(AND(OR($S920="ITEM_PRICE_PLUS_DECLARED_DELIVERY",$S920="DELIVERY_CHARGE_ONLY"),$K920=""),"Declared delivery charge required",IF(AND(OR($S920="TOTAL_AMOUNT_INCLUDING_DELIVERY",$S920="EXACT_COLLECTION_AMOUNT"),$T920=""),"Stated total amount required",IF(AND($S920="TOTAL_AMOUNT_INCLUDING_DELIVERY",$T920&lt;SUM($J920,$U920)),"Stated total is below item price plus additional charge",IF($S920="EXACT_COLLECTION_AMOUNT","Authorized amount breakdown required before settlement","Ready for collection and settlement"))))))))))))</f>
        <v/>
      </c>
      <c r="AW920" s="23">
        <f>IF($AU920="","","PARCEL_FINANCIAL_V2")</f>
        <v/>
      </c>
      <c r="AX920" s="17" t="n"/>
    </row>
    <row r="921">
      <c r="A921" s="8" t="n"/>
      <c r="B921" s="8" t="n"/>
      <c r="C921" s="8" t="n"/>
      <c r="D921" s="8" t="n"/>
      <c r="E921" s="9" t="n"/>
      <c r="F921" s="9" t="n"/>
      <c r="G921" s="8" t="n"/>
      <c r="H921" s="9" t="n"/>
      <c r="I921" s="9" t="n"/>
      <c r="J921" s="10" t="n"/>
      <c r="K921" s="10" t="n"/>
      <c r="L921" s="11">
        <f>IF($S921="","",IF($S921="ITEM_PRICE_PLUS_DECLARED_DELIVERY",IF(OR($J921="",$K921=""),"",SUM($J921,$K921,$U921)),IF($S921="TOTAL_AMOUNT_INCLUDING_DELIVERY",IF($T921="","",$T921),IF($S921="DELIVERY_CHARGE_ONLY",IF($K921="","",SUM($K921,$U921)),IF($S921="EXACT_COLLECTION_AMOUNT",IF($T921="","",$T921),IF($S921="ITEM_PRICE_ONLY_DELIVERY_PAID_BY_MERCHANT",IF($J921="","",SUM($J921,$U921)),""))))))</f>
        <v/>
      </c>
      <c r="M921" s="12" t="n"/>
      <c r="N921" s="13" t="n"/>
      <c r="O921" s="13" t="n"/>
      <c r="P921" s="9" t="n"/>
      <c r="Q921" s="14" t="n"/>
      <c r="R921" s="15" t="n"/>
      <c r="S921" s="14" t="n"/>
      <c r="T921" s="16" t="n"/>
      <c r="U921" s="16" t="n"/>
      <c r="V921" s="16" t="n"/>
      <c r="W921" s="16" t="n"/>
      <c r="X921" s="16" t="n"/>
      <c r="Y921" s="16" t="n"/>
      <c r="Z921" s="14" t="n"/>
      <c r="AA921" s="14" t="n"/>
      <c r="AB921" s="14" t="n"/>
      <c r="AC921" s="17">
        <f>IFERROR(VLOOKUP($H921&amp;"|"&amp;$Q921,Tariff_Master!$A$2:$L$169,3,FALSE),"")</f>
        <v/>
      </c>
      <c r="AD921" s="17">
        <f>IFERROR(VLOOKUP($H921&amp;"|"&amp;$Q921,Tariff_Master!$A$2:$L$169,4,FALSE),"")</f>
        <v/>
      </c>
      <c r="AE921" s="18">
        <f>IFERROR(VLOOKUP($H921&amp;"|"&amp;$Q921,Tariff_Master!$A$2:$L$169,6,FALSE),"")</f>
        <v/>
      </c>
      <c r="AF921" s="19">
        <f>IFERROR(VLOOKUP($H921&amp;"|"&amp;$Q921,Tariff_Master!$A$2:$L$169,7,FALSE),"")</f>
        <v/>
      </c>
      <c r="AG921" s="18">
        <f>IFERROR(VLOOKUP($H921&amp;"|"&amp;$Q921,Tariff_Master!$A$2:$L$169,8,FALSE),"")</f>
        <v/>
      </c>
      <c r="AH921" s="20">
        <f>IFERROR(VLOOKUP($H921&amp;"|"&amp;$Q921,Tariff_Master!$A$2:$L$169,9,FALSE),"")</f>
        <v/>
      </c>
      <c r="AI921" s="18">
        <f>IFERROR(VLOOKUP($H921&amp;"|"&amp;$Q921,Tariff_Master!$A$2:$L$169,10,FALSE),"")</f>
        <v/>
      </c>
      <c r="AJ921" s="21">
        <f>IF($M921="","",ROUNDUP(MAX(0,$M921),0))</f>
        <v/>
      </c>
      <c r="AK921" s="21">
        <f>IF(OR($AJ921="",$AF921=""),"",MAX(0,$AJ921-$AF921))</f>
        <v/>
      </c>
      <c r="AL921" s="22">
        <f>IF(OR($AK921="",$AG921=""),"",MAX(0,$AK921*$AG921))</f>
        <v/>
      </c>
      <c r="AM921" s="22">
        <f>IF($AE921="","",MAX(0,SUM($AE921,$AL921,$V921,$W921)))</f>
        <v/>
      </c>
      <c r="AN921" s="22">
        <f>IF($AM921="","",IF(AND($Q921="COMMITMENT",$R921&gt;=$AH921),$AI921,0))</f>
        <v/>
      </c>
      <c r="AO921" s="23">
        <f>IF($AM921="","",MAX(0,$AM921-$AN921))</f>
        <v/>
      </c>
      <c r="AP921" s="22">
        <f>IF($S921="","",IF(OR($S921="ITEM_PRICE_PLUS_DECLARED_DELIVERY",$S921="DELIVERY_CHARGE_ONLY"),$K921,IF($S921="TOTAL_AMOUNT_INCLUDING_DELIVERY",IF(OR($T921="",$J921=""),"",MAX(0,$T921-$J921-$U921)),IF($S921="ITEM_PRICE_ONLY_DELIVERY_PAID_BY_MERCHANT",0,""))))</f>
        <v/>
      </c>
      <c r="AQ921" s="23">
        <f>IF(OR($AP921="",$AO921=""),"",$AP921-$AO921)</f>
        <v/>
      </c>
      <c r="AR921" s="24">
        <f>IF($S921="EXACT_COLLECTION_AMOUNT","BREAKDOWN_REQUIRED",IF($AQ921="","",IF($AQ921&gt;0,"CREDIT_TO_MERCHANT",IF($AQ921&lt;0,"DEDUCT_FROM_MERCHANT","NO_ADJUSTMENT"))))</f>
        <v/>
      </c>
      <c r="AS921" s="23">
        <f>IF(OR($AQ921="",$AR921="BREAKDOWN_REQUIRED"),"",$AQ921)</f>
        <v/>
      </c>
      <c r="AT921" s="23">
        <f>IF(OR($AR921="",$AR921="BREAKDOWN_REQUIRED"),"",SUM($J921,$AQ921,$Y921)-$X921)</f>
        <v/>
      </c>
      <c r="AU921" s="25">
        <f>IF(AND($A921="",$B921="",$F921="",$H921="",$J921="",$K921="",$M921="",$S921=""),"",IF(OR($H921="",$Q921="",$M921="",$S921=""),"ERROR",IF(OR($J921&lt;0,$K921&lt;0,$M921&lt;0,$T921&lt;0,$U921&lt;0,$V921&lt;0,$W921&lt;0,$X921&lt;0,$Y921&lt;0),"ERROR",IF($AE921="","ERROR",IF(AND(OR($S921="ITEM_PRICE_PLUS_DECLARED_DELIVERY",$S921="TOTAL_AMOUNT_INCLUDING_DELIVERY",$S921="ITEM_PRICE_ONLY_DELIVERY_PAID_BY_MERCHANT"),$J921=""),"ERROR",IF(AND(OR($S921="ITEM_PRICE_PLUS_DECLARED_DELIVERY",$S921="DELIVERY_CHARGE_ONLY"),$K921=""),"ERROR",IF(AND(OR($S921="TOTAL_AMOUNT_INCLUDING_DELIVERY",$S921="EXACT_COLLECTION_AMOUNT"),$T921=""),"ERROR",IF(AND($S921="TOTAL_AMOUNT_INCLUDING_DELIVERY",$T921&lt;SUM($J921,$U921)),"ERROR",IF($S921="EXACT_COLLECTION_AMOUNT","REVIEW","OK")))))))))</f>
        <v/>
      </c>
      <c r="AV921" s="25">
        <f>IF($AU921="","",IF($H921="","Township required",IF($Q921="","Customer tier required",IF($M921="","Weight required",IF($S921="","Amount entry type required",IF(OR($J921&lt;0,$K921&lt;0,$M921&lt;0,$T921&lt;0,$U921&lt;0,$V921&lt;0,$W921&lt;0,$X921&lt;0,$Y921&lt;0),"Negative amounts are not allowed",IF($AE921="","Tariff not found for township and tier",IF(AND(OR($S921="ITEM_PRICE_PLUS_DECLARED_DELIVERY",$S921="TOTAL_AMOUNT_INCLUDING_DELIVERY",$S921="ITEM_PRICE_ONLY_DELIVERY_PAID_BY_MERCHANT"),$J921=""),"Item price required for this amount type",IF(AND(OR($S921="ITEM_PRICE_PLUS_DECLARED_DELIVERY",$S921="DELIVERY_CHARGE_ONLY"),$K921=""),"Declared delivery charge required",IF(AND(OR($S921="TOTAL_AMOUNT_INCLUDING_DELIVERY",$S921="EXACT_COLLECTION_AMOUNT"),$T921=""),"Stated total amount required",IF(AND($S921="TOTAL_AMOUNT_INCLUDING_DELIVERY",$T921&lt;SUM($J921,$U921)),"Stated total is below item price plus additional charge",IF($S921="EXACT_COLLECTION_AMOUNT","Authorized amount breakdown required before settlement","Ready for collection and settlement"))))))))))))</f>
        <v/>
      </c>
      <c r="AW921" s="23">
        <f>IF($AU921="","","PARCEL_FINANCIAL_V2")</f>
        <v/>
      </c>
      <c r="AX921" s="17" t="n"/>
    </row>
    <row r="922">
      <c r="A922" s="8" t="n"/>
      <c r="B922" s="8" t="n"/>
      <c r="C922" s="8" t="n"/>
      <c r="D922" s="8" t="n"/>
      <c r="E922" s="9" t="n"/>
      <c r="F922" s="9" t="n"/>
      <c r="G922" s="8" t="n"/>
      <c r="H922" s="9" t="n"/>
      <c r="I922" s="9" t="n"/>
      <c r="J922" s="10" t="n"/>
      <c r="K922" s="10" t="n"/>
      <c r="L922" s="11">
        <f>IF($S922="","",IF($S922="ITEM_PRICE_PLUS_DECLARED_DELIVERY",IF(OR($J922="",$K922=""),"",SUM($J922,$K922,$U922)),IF($S922="TOTAL_AMOUNT_INCLUDING_DELIVERY",IF($T922="","",$T922),IF($S922="DELIVERY_CHARGE_ONLY",IF($K922="","",SUM($K922,$U922)),IF($S922="EXACT_COLLECTION_AMOUNT",IF($T922="","",$T922),IF($S922="ITEM_PRICE_ONLY_DELIVERY_PAID_BY_MERCHANT",IF($J922="","",SUM($J922,$U922)),""))))))</f>
        <v/>
      </c>
      <c r="M922" s="12" t="n"/>
      <c r="N922" s="13" t="n"/>
      <c r="O922" s="13" t="n"/>
      <c r="P922" s="9" t="n"/>
      <c r="Q922" s="14" t="n"/>
      <c r="R922" s="15" t="n"/>
      <c r="S922" s="14" t="n"/>
      <c r="T922" s="16" t="n"/>
      <c r="U922" s="16" t="n"/>
      <c r="V922" s="16" t="n"/>
      <c r="W922" s="16" t="n"/>
      <c r="X922" s="16" t="n"/>
      <c r="Y922" s="16" t="n"/>
      <c r="Z922" s="14" t="n"/>
      <c r="AA922" s="14" t="n"/>
      <c r="AB922" s="14" t="n"/>
      <c r="AC922" s="17">
        <f>IFERROR(VLOOKUP($H922&amp;"|"&amp;$Q922,Tariff_Master!$A$2:$L$169,3,FALSE),"")</f>
        <v/>
      </c>
      <c r="AD922" s="17">
        <f>IFERROR(VLOOKUP($H922&amp;"|"&amp;$Q922,Tariff_Master!$A$2:$L$169,4,FALSE),"")</f>
        <v/>
      </c>
      <c r="AE922" s="18">
        <f>IFERROR(VLOOKUP($H922&amp;"|"&amp;$Q922,Tariff_Master!$A$2:$L$169,6,FALSE),"")</f>
        <v/>
      </c>
      <c r="AF922" s="19">
        <f>IFERROR(VLOOKUP($H922&amp;"|"&amp;$Q922,Tariff_Master!$A$2:$L$169,7,FALSE),"")</f>
        <v/>
      </c>
      <c r="AG922" s="18">
        <f>IFERROR(VLOOKUP($H922&amp;"|"&amp;$Q922,Tariff_Master!$A$2:$L$169,8,FALSE),"")</f>
        <v/>
      </c>
      <c r="AH922" s="20">
        <f>IFERROR(VLOOKUP($H922&amp;"|"&amp;$Q922,Tariff_Master!$A$2:$L$169,9,FALSE),"")</f>
        <v/>
      </c>
      <c r="AI922" s="18">
        <f>IFERROR(VLOOKUP($H922&amp;"|"&amp;$Q922,Tariff_Master!$A$2:$L$169,10,FALSE),"")</f>
        <v/>
      </c>
      <c r="AJ922" s="21">
        <f>IF($M922="","",ROUNDUP(MAX(0,$M922),0))</f>
        <v/>
      </c>
      <c r="AK922" s="21">
        <f>IF(OR($AJ922="",$AF922=""),"",MAX(0,$AJ922-$AF922))</f>
        <v/>
      </c>
      <c r="AL922" s="22">
        <f>IF(OR($AK922="",$AG922=""),"",MAX(0,$AK922*$AG922))</f>
        <v/>
      </c>
      <c r="AM922" s="22">
        <f>IF($AE922="","",MAX(0,SUM($AE922,$AL922,$V922,$W922)))</f>
        <v/>
      </c>
      <c r="AN922" s="22">
        <f>IF($AM922="","",IF(AND($Q922="COMMITMENT",$R922&gt;=$AH922),$AI922,0))</f>
        <v/>
      </c>
      <c r="AO922" s="23">
        <f>IF($AM922="","",MAX(0,$AM922-$AN922))</f>
        <v/>
      </c>
      <c r="AP922" s="22">
        <f>IF($S922="","",IF(OR($S922="ITEM_PRICE_PLUS_DECLARED_DELIVERY",$S922="DELIVERY_CHARGE_ONLY"),$K922,IF($S922="TOTAL_AMOUNT_INCLUDING_DELIVERY",IF(OR($T922="",$J922=""),"",MAX(0,$T922-$J922-$U922)),IF($S922="ITEM_PRICE_ONLY_DELIVERY_PAID_BY_MERCHANT",0,""))))</f>
        <v/>
      </c>
      <c r="AQ922" s="23">
        <f>IF(OR($AP922="",$AO922=""),"",$AP922-$AO922)</f>
        <v/>
      </c>
      <c r="AR922" s="24">
        <f>IF($S922="EXACT_COLLECTION_AMOUNT","BREAKDOWN_REQUIRED",IF($AQ922="","",IF($AQ922&gt;0,"CREDIT_TO_MERCHANT",IF($AQ922&lt;0,"DEDUCT_FROM_MERCHANT","NO_ADJUSTMENT"))))</f>
        <v/>
      </c>
      <c r="AS922" s="23">
        <f>IF(OR($AQ922="",$AR922="BREAKDOWN_REQUIRED"),"",$AQ922)</f>
        <v/>
      </c>
      <c r="AT922" s="23">
        <f>IF(OR($AR922="",$AR922="BREAKDOWN_REQUIRED"),"",SUM($J922,$AQ922,$Y922)-$X922)</f>
        <v/>
      </c>
      <c r="AU922" s="25">
        <f>IF(AND($A922="",$B922="",$F922="",$H922="",$J922="",$K922="",$M922="",$S922=""),"",IF(OR($H922="",$Q922="",$M922="",$S922=""),"ERROR",IF(OR($J922&lt;0,$K922&lt;0,$M922&lt;0,$T922&lt;0,$U922&lt;0,$V922&lt;0,$W922&lt;0,$X922&lt;0,$Y922&lt;0),"ERROR",IF($AE922="","ERROR",IF(AND(OR($S922="ITEM_PRICE_PLUS_DECLARED_DELIVERY",$S922="TOTAL_AMOUNT_INCLUDING_DELIVERY",$S922="ITEM_PRICE_ONLY_DELIVERY_PAID_BY_MERCHANT"),$J922=""),"ERROR",IF(AND(OR($S922="ITEM_PRICE_PLUS_DECLARED_DELIVERY",$S922="DELIVERY_CHARGE_ONLY"),$K922=""),"ERROR",IF(AND(OR($S922="TOTAL_AMOUNT_INCLUDING_DELIVERY",$S922="EXACT_COLLECTION_AMOUNT"),$T922=""),"ERROR",IF(AND($S922="TOTAL_AMOUNT_INCLUDING_DELIVERY",$T922&lt;SUM($J922,$U922)),"ERROR",IF($S922="EXACT_COLLECTION_AMOUNT","REVIEW","OK")))))))))</f>
        <v/>
      </c>
      <c r="AV922" s="25">
        <f>IF($AU922="","",IF($H922="","Township required",IF($Q922="","Customer tier required",IF($M922="","Weight required",IF($S922="","Amount entry type required",IF(OR($J922&lt;0,$K922&lt;0,$M922&lt;0,$T922&lt;0,$U922&lt;0,$V922&lt;0,$W922&lt;0,$X922&lt;0,$Y922&lt;0),"Negative amounts are not allowed",IF($AE922="","Tariff not found for township and tier",IF(AND(OR($S922="ITEM_PRICE_PLUS_DECLARED_DELIVERY",$S922="TOTAL_AMOUNT_INCLUDING_DELIVERY",$S922="ITEM_PRICE_ONLY_DELIVERY_PAID_BY_MERCHANT"),$J922=""),"Item price required for this amount type",IF(AND(OR($S922="ITEM_PRICE_PLUS_DECLARED_DELIVERY",$S922="DELIVERY_CHARGE_ONLY"),$K922=""),"Declared delivery charge required",IF(AND(OR($S922="TOTAL_AMOUNT_INCLUDING_DELIVERY",$S922="EXACT_COLLECTION_AMOUNT"),$T922=""),"Stated total amount required",IF(AND($S922="TOTAL_AMOUNT_INCLUDING_DELIVERY",$T922&lt;SUM($J922,$U922)),"Stated total is below item price plus additional charge",IF($S922="EXACT_COLLECTION_AMOUNT","Authorized amount breakdown required before settlement","Ready for collection and settlement"))))))))))))</f>
        <v/>
      </c>
      <c r="AW922" s="23">
        <f>IF($AU922="","","PARCEL_FINANCIAL_V2")</f>
        <v/>
      </c>
      <c r="AX922" s="17" t="n"/>
    </row>
    <row r="923">
      <c r="A923" s="8" t="n"/>
      <c r="B923" s="8" t="n"/>
      <c r="C923" s="8" t="n"/>
      <c r="D923" s="8" t="n"/>
      <c r="E923" s="9" t="n"/>
      <c r="F923" s="9" t="n"/>
      <c r="G923" s="8" t="n"/>
      <c r="H923" s="9" t="n"/>
      <c r="I923" s="9" t="n"/>
      <c r="J923" s="10" t="n"/>
      <c r="K923" s="10" t="n"/>
      <c r="L923" s="11">
        <f>IF($S923="","",IF($S923="ITEM_PRICE_PLUS_DECLARED_DELIVERY",IF(OR($J923="",$K923=""),"",SUM($J923,$K923,$U923)),IF($S923="TOTAL_AMOUNT_INCLUDING_DELIVERY",IF($T923="","",$T923),IF($S923="DELIVERY_CHARGE_ONLY",IF($K923="","",SUM($K923,$U923)),IF($S923="EXACT_COLLECTION_AMOUNT",IF($T923="","",$T923),IF($S923="ITEM_PRICE_ONLY_DELIVERY_PAID_BY_MERCHANT",IF($J923="","",SUM($J923,$U923)),""))))))</f>
        <v/>
      </c>
      <c r="M923" s="12" t="n"/>
      <c r="N923" s="13" t="n"/>
      <c r="O923" s="13" t="n"/>
      <c r="P923" s="9" t="n"/>
      <c r="Q923" s="14" t="n"/>
      <c r="R923" s="15" t="n"/>
      <c r="S923" s="14" t="n"/>
      <c r="T923" s="16" t="n"/>
      <c r="U923" s="16" t="n"/>
      <c r="V923" s="16" t="n"/>
      <c r="W923" s="16" t="n"/>
      <c r="X923" s="16" t="n"/>
      <c r="Y923" s="16" t="n"/>
      <c r="Z923" s="14" t="n"/>
      <c r="AA923" s="14" t="n"/>
      <c r="AB923" s="14" t="n"/>
      <c r="AC923" s="17">
        <f>IFERROR(VLOOKUP($H923&amp;"|"&amp;$Q923,Tariff_Master!$A$2:$L$169,3,FALSE),"")</f>
        <v/>
      </c>
      <c r="AD923" s="17">
        <f>IFERROR(VLOOKUP($H923&amp;"|"&amp;$Q923,Tariff_Master!$A$2:$L$169,4,FALSE),"")</f>
        <v/>
      </c>
      <c r="AE923" s="18">
        <f>IFERROR(VLOOKUP($H923&amp;"|"&amp;$Q923,Tariff_Master!$A$2:$L$169,6,FALSE),"")</f>
        <v/>
      </c>
      <c r="AF923" s="19">
        <f>IFERROR(VLOOKUP($H923&amp;"|"&amp;$Q923,Tariff_Master!$A$2:$L$169,7,FALSE),"")</f>
        <v/>
      </c>
      <c r="AG923" s="18">
        <f>IFERROR(VLOOKUP($H923&amp;"|"&amp;$Q923,Tariff_Master!$A$2:$L$169,8,FALSE),"")</f>
        <v/>
      </c>
      <c r="AH923" s="20">
        <f>IFERROR(VLOOKUP($H923&amp;"|"&amp;$Q923,Tariff_Master!$A$2:$L$169,9,FALSE),"")</f>
        <v/>
      </c>
      <c r="AI923" s="18">
        <f>IFERROR(VLOOKUP($H923&amp;"|"&amp;$Q923,Tariff_Master!$A$2:$L$169,10,FALSE),"")</f>
        <v/>
      </c>
      <c r="AJ923" s="21">
        <f>IF($M923="","",ROUNDUP(MAX(0,$M923),0))</f>
        <v/>
      </c>
      <c r="AK923" s="21">
        <f>IF(OR($AJ923="",$AF923=""),"",MAX(0,$AJ923-$AF923))</f>
        <v/>
      </c>
      <c r="AL923" s="22">
        <f>IF(OR($AK923="",$AG923=""),"",MAX(0,$AK923*$AG923))</f>
        <v/>
      </c>
      <c r="AM923" s="22">
        <f>IF($AE923="","",MAX(0,SUM($AE923,$AL923,$V923,$W923)))</f>
        <v/>
      </c>
      <c r="AN923" s="22">
        <f>IF($AM923="","",IF(AND($Q923="COMMITMENT",$R923&gt;=$AH923),$AI923,0))</f>
        <v/>
      </c>
      <c r="AO923" s="23">
        <f>IF($AM923="","",MAX(0,$AM923-$AN923))</f>
        <v/>
      </c>
      <c r="AP923" s="22">
        <f>IF($S923="","",IF(OR($S923="ITEM_PRICE_PLUS_DECLARED_DELIVERY",$S923="DELIVERY_CHARGE_ONLY"),$K923,IF($S923="TOTAL_AMOUNT_INCLUDING_DELIVERY",IF(OR($T923="",$J923=""),"",MAX(0,$T923-$J923-$U923)),IF($S923="ITEM_PRICE_ONLY_DELIVERY_PAID_BY_MERCHANT",0,""))))</f>
        <v/>
      </c>
      <c r="AQ923" s="23">
        <f>IF(OR($AP923="",$AO923=""),"",$AP923-$AO923)</f>
        <v/>
      </c>
      <c r="AR923" s="24">
        <f>IF($S923="EXACT_COLLECTION_AMOUNT","BREAKDOWN_REQUIRED",IF($AQ923="","",IF($AQ923&gt;0,"CREDIT_TO_MERCHANT",IF($AQ923&lt;0,"DEDUCT_FROM_MERCHANT","NO_ADJUSTMENT"))))</f>
        <v/>
      </c>
      <c r="AS923" s="23">
        <f>IF(OR($AQ923="",$AR923="BREAKDOWN_REQUIRED"),"",$AQ923)</f>
        <v/>
      </c>
      <c r="AT923" s="23">
        <f>IF(OR($AR923="",$AR923="BREAKDOWN_REQUIRED"),"",SUM($J923,$AQ923,$Y923)-$X923)</f>
        <v/>
      </c>
      <c r="AU923" s="25">
        <f>IF(AND($A923="",$B923="",$F923="",$H923="",$J923="",$K923="",$M923="",$S923=""),"",IF(OR($H923="",$Q923="",$M923="",$S923=""),"ERROR",IF(OR($J923&lt;0,$K923&lt;0,$M923&lt;0,$T923&lt;0,$U923&lt;0,$V923&lt;0,$W923&lt;0,$X923&lt;0,$Y923&lt;0),"ERROR",IF($AE923="","ERROR",IF(AND(OR($S923="ITEM_PRICE_PLUS_DECLARED_DELIVERY",$S923="TOTAL_AMOUNT_INCLUDING_DELIVERY",$S923="ITEM_PRICE_ONLY_DELIVERY_PAID_BY_MERCHANT"),$J923=""),"ERROR",IF(AND(OR($S923="ITEM_PRICE_PLUS_DECLARED_DELIVERY",$S923="DELIVERY_CHARGE_ONLY"),$K923=""),"ERROR",IF(AND(OR($S923="TOTAL_AMOUNT_INCLUDING_DELIVERY",$S923="EXACT_COLLECTION_AMOUNT"),$T923=""),"ERROR",IF(AND($S923="TOTAL_AMOUNT_INCLUDING_DELIVERY",$T923&lt;SUM($J923,$U923)),"ERROR",IF($S923="EXACT_COLLECTION_AMOUNT","REVIEW","OK")))))))))</f>
        <v/>
      </c>
      <c r="AV923" s="25">
        <f>IF($AU923="","",IF($H923="","Township required",IF($Q923="","Customer tier required",IF($M923="","Weight required",IF($S923="","Amount entry type required",IF(OR($J923&lt;0,$K923&lt;0,$M923&lt;0,$T923&lt;0,$U923&lt;0,$V923&lt;0,$W923&lt;0,$X923&lt;0,$Y923&lt;0),"Negative amounts are not allowed",IF($AE923="","Tariff not found for township and tier",IF(AND(OR($S923="ITEM_PRICE_PLUS_DECLARED_DELIVERY",$S923="TOTAL_AMOUNT_INCLUDING_DELIVERY",$S923="ITEM_PRICE_ONLY_DELIVERY_PAID_BY_MERCHANT"),$J923=""),"Item price required for this amount type",IF(AND(OR($S923="ITEM_PRICE_PLUS_DECLARED_DELIVERY",$S923="DELIVERY_CHARGE_ONLY"),$K923=""),"Declared delivery charge required",IF(AND(OR($S923="TOTAL_AMOUNT_INCLUDING_DELIVERY",$S923="EXACT_COLLECTION_AMOUNT"),$T923=""),"Stated total amount required",IF(AND($S923="TOTAL_AMOUNT_INCLUDING_DELIVERY",$T923&lt;SUM($J923,$U923)),"Stated total is below item price plus additional charge",IF($S923="EXACT_COLLECTION_AMOUNT","Authorized amount breakdown required before settlement","Ready for collection and settlement"))))))))))))</f>
        <v/>
      </c>
      <c r="AW923" s="23">
        <f>IF($AU923="","","PARCEL_FINANCIAL_V2")</f>
        <v/>
      </c>
      <c r="AX923" s="17" t="n"/>
    </row>
    <row r="924">
      <c r="A924" s="8" t="n"/>
      <c r="B924" s="8" t="n"/>
      <c r="C924" s="8" t="n"/>
      <c r="D924" s="8" t="n"/>
      <c r="E924" s="9" t="n"/>
      <c r="F924" s="9" t="n"/>
      <c r="G924" s="8" t="n"/>
      <c r="H924" s="9" t="n"/>
      <c r="I924" s="9" t="n"/>
      <c r="J924" s="10" t="n"/>
      <c r="K924" s="10" t="n"/>
      <c r="L924" s="11">
        <f>IF($S924="","",IF($S924="ITEM_PRICE_PLUS_DECLARED_DELIVERY",IF(OR($J924="",$K924=""),"",SUM($J924,$K924,$U924)),IF($S924="TOTAL_AMOUNT_INCLUDING_DELIVERY",IF($T924="","",$T924),IF($S924="DELIVERY_CHARGE_ONLY",IF($K924="","",SUM($K924,$U924)),IF($S924="EXACT_COLLECTION_AMOUNT",IF($T924="","",$T924),IF($S924="ITEM_PRICE_ONLY_DELIVERY_PAID_BY_MERCHANT",IF($J924="","",SUM($J924,$U924)),""))))))</f>
        <v/>
      </c>
      <c r="M924" s="12" t="n"/>
      <c r="N924" s="13" t="n"/>
      <c r="O924" s="13" t="n"/>
      <c r="P924" s="9" t="n"/>
      <c r="Q924" s="14" t="n"/>
      <c r="R924" s="15" t="n"/>
      <c r="S924" s="14" t="n"/>
      <c r="T924" s="16" t="n"/>
      <c r="U924" s="16" t="n"/>
      <c r="V924" s="16" t="n"/>
      <c r="W924" s="16" t="n"/>
      <c r="X924" s="16" t="n"/>
      <c r="Y924" s="16" t="n"/>
      <c r="Z924" s="14" t="n"/>
      <c r="AA924" s="14" t="n"/>
      <c r="AB924" s="14" t="n"/>
      <c r="AC924" s="17">
        <f>IFERROR(VLOOKUP($H924&amp;"|"&amp;$Q924,Tariff_Master!$A$2:$L$169,3,FALSE),"")</f>
        <v/>
      </c>
      <c r="AD924" s="17">
        <f>IFERROR(VLOOKUP($H924&amp;"|"&amp;$Q924,Tariff_Master!$A$2:$L$169,4,FALSE),"")</f>
        <v/>
      </c>
      <c r="AE924" s="18">
        <f>IFERROR(VLOOKUP($H924&amp;"|"&amp;$Q924,Tariff_Master!$A$2:$L$169,6,FALSE),"")</f>
        <v/>
      </c>
      <c r="AF924" s="19">
        <f>IFERROR(VLOOKUP($H924&amp;"|"&amp;$Q924,Tariff_Master!$A$2:$L$169,7,FALSE),"")</f>
        <v/>
      </c>
      <c r="AG924" s="18">
        <f>IFERROR(VLOOKUP($H924&amp;"|"&amp;$Q924,Tariff_Master!$A$2:$L$169,8,FALSE),"")</f>
        <v/>
      </c>
      <c r="AH924" s="20">
        <f>IFERROR(VLOOKUP($H924&amp;"|"&amp;$Q924,Tariff_Master!$A$2:$L$169,9,FALSE),"")</f>
        <v/>
      </c>
      <c r="AI924" s="18">
        <f>IFERROR(VLOOKUP($H924&amp;"|"&amp;$Q924,Tariff_Master!$A$2:$L$169,10,FALSE),"")</f>
        <v/>
      </c>
      <c r="AJ924" s="21">
        <f>IF($M924="","",ROUNDUP(MAX(0,$M924),0))</f>
        <v/>
      </c>
      <c r="AK924" s="21">
        <f>IF(OR($AJ924="",$AF924=""),"",MAX(0,$AJ924-$AF924))</f>
        <v/>
      </c>
      <c r="AL924" s="22">
        <f>IF(OR($AK924="",$AG924=""),"",MAX(0,$AK924*$AG924))</f>
        <v/>
      </c>
      <c r="AM924" s="22">
        <f>IF($AE924="","",MAX(0,SUM($AE924,$AL924,$V924,$W924)))</f>
        <v/>
      </c>
      <c r="AN924" s="22">
        <f>IF($AM924="","",IF(AND($Q924="COMMITMENT",$R924&gt;=$AH924),$AI924,0))</f>
        <v/>
      </c>
      <c r="AO924" s="23">
        <f>IF($AM924="","",MAX(0,$AM924-$AN924))</f>
        <v/>
      </c>
      <c r="AP924" s="22">
        <f>IF($S924="","",IF(OR($S924="ITEM_PRICE_PLUS_DECLARED_DELIVERY",$S924="DELIVERY_CHARGE_ONLY"),$K924,IF($S924="TOTAL_AMOUNT_INCLUDING_DELIVERY",IF(OR($T924="",$J924=""),"",MAX(0,$T924-$J924-$U924)),IF($S924="ITEM_PRICE_ONLY_DELIVERY_PAID_BY_MERCHANT",0,""))))</f>
        <v/>
      </c>
      <c r="AQ924" s="23">
        <f>IF(OR($AP924="",$AO924=""),"",$AP924-$AO924)</f>
        <v/>
      </c>
      <c r="AR924" s="24">
        <f>IF($S924="EXACT_COLLECTION_AMOUNT","BREAKDOWN_REQUIRED",IF($AQ924="","",IF($AQ924&gt;0,"CREDIT_TO_MERCHANT",IF($AQ924&lt;0,"DEDUCT_FROM_MERCHANT","NO_ADJUSTMENT"))))</f>
        <v/>
      </c>
      <c r="AS924" s="23">
        <f>IF(OR($AQ924="",$AR924="BREAKDOWN_REQUIRED"),"",$AQ924)</f>
        <v/>
      </c>
      <c r="AT924" s="23">
        <f>IF(OR($AR924="",$AR924="BREAKDOWN_REQUIRED"),"",SUM($J924,$AQ924,$Y924)-$X924)</f>
        <v/>
      </c>
      <c r="AU924" s="25">
        <f>IF(AND($A924="",$B924="",$F924="",$H924="",$J924="",$K924="",$M924="",$S924=""),"",IF(OR($H924="",$Q924="",$M924="",$S924=""),"ERROR",IF(OR($J924&lt;0,$K924&lt;0,$M924&lt;0,$T924&lt;0,$U924&lt;0,$V924&lt;0,$W924&lt;0,$X924&lt;0,$Y924&lt;0),"ERROR",IF($AE924="","ERROR",IF(AND(OR($S924="ITEM_PRICE_PLUS_DECLARED_DELIVERY",$S924="TOTAL_AMOUNT_INCLUDING_DELIVERY",$S924="ITEM_PRICE_ONLY_DELIVERY_PAID_BY_MERCHANT"),$J924=""),"ERROR",IF(AND(OR($S924="ITEM_PRICE_PLUS_DECLARED_DELIVERY",$S924="DELIVERY_CHARGE_ONLY"),$K924=""),"ERROR",IF(AND(OR($S924="TOTAL_AMOUNT_INCLUDING_DELIVERY",$S924="EXACT_COLLECTION_AMOUNT"),$T924=""),"ERROR",IF(AND($S924="TOTAL_AMOUNT_INCLUDING_DELIVERY",$T924&lt;SUM($J924,$U924)),"ERROR",IF($S924="EXACT_COLLECTION_AMOUNT","REVIEW","OK")))))))))</f>
        <v/>
      </c>
      <c r="AV924" s="25">
        <f>IF($AU924="","",IF($H924="","Township required",IF($Q924="","Customer tier required",IF($M924="","Weight required",IF($S924="","Amount entry type required",IF(OR($J924&lt;0,$K924&lt;0,$M924&lt;0,$T924&lt;0,$U924&lt;0,$V924&lt;0,$W924&lt;0,$X924&lt;0,$Y924&lt;0),"Negative amounts are not allowed",IF($AE924="","Tariff not found for township and tier",IF(AND(OR($S924="ITEM_PRICE_PLUS_DECLARED_DELIVERY",$S924="TOTAL_AMOUNT_INCLUDING_DELIVERY",$S924="ITEM_PRICE_ONLY_DELIVERY_PAID_BY_MERCHANT"),$J924=""),"Item price required for this amount type",IF(AND(OR($S924="ITEM_PRICE_PLUS_DECLARED_DELIVERY",$S924="DELIVERY_CHARGE_ONLY"),$K924=""),"Declared delivery charge required",IF(AND(OR($S924="TOTAL_AMOUNT_INCLUDING_DELIVERY",$S924="EXACT_COLLECTION_AMOUNT"),$T924=""),"Stated total amount required",IF(AND($S924="TOTAL_AMOUNT_INCLUDING_DELIVERY",$T924&lt;SUM($J924,$U924)),"Stated total is below item price plus additional charge",IF($S924="EXACT_COLLECTION_AMOUNT","Authorized amount breakdown required before settlement","Ready for collection and settlement"))))))))))))</f>
        <v/>
      </c>
      <c r="AW924" s="23">
        <f>IF($AU924="","","PARCEL_FINANCIAL_V2")</f>
        <v/>
      </c>
      <c r="AX924" s="17" t="n"/>
    </row>
    <row r="925">
      <c r="A925" s="8" t="n"/>
      <c r="B925" s="8" t="n"/>
      <c r="C925" s="8" t="n"/>
      <c r="D925" s="8" t="n"/>
      <c r="E925" s="9" t="n"/>
      <c r="F925" s="9" t="n"/>
      <c r="G925" s="8" t="n"/>
      <c r="H925" s="9" t="n"/>
      <c r="I925" s="9" t="n"/>
      <c r="J925" s="10" t="n"/>
      <c r="K925" s="10" t="n"/>
      <c r="L925" s="11">
        <f>IF($S925="","",IF($S925="ITEM_PRICE_PLUS_DECLARED_DELIVERY",IF(OR($J925="",$K925=""),"",SUM($J925,$K925,$U925)),IF($S925="TOTAL_AMOUNT_INCLUDING_DELIVERY",IF($T925="","",$T925),IF($S925="DELIVERY_CHARGE_ONLY",IF($K925="","",SUM($K925,$U925)),IF($S925="EXACT_COLLECTION_AMOUNT",IF($T925="","",$T925),IF($S925="ITEM_PRICE_ONLY_DELIVERY_PAID_BY_MERCHANT",IF($J925="","",SUM($J925,$U925)),""))))))</f>
        <v/>
      </c>
      <c r="M925" s="12" t="n"/>
      <c r="N925" s="13" t="n"/>
      <c r="O925" s="13" t="n"/>
      <c r="P925" s="9" t="n"/>
      <c r="Q925" s="14" t="n"/>
      <c r="R925" s="15" t="n"/>
      <c r="S925" s="14" t="n"/>
      <c r="T925" s="16" t="n"/>
      <c r="U925" s="16" t="n"/>
      <c r="V925" s="16" t="n"/>
      <c r="W925" s="16" t="n"/>
      <c r="X925" s="16" t="n"/>
      <c r="Y925" s="16" t="n"/>
      <c r="Z925" s="14" t="n"/>
      <c r="AA925" s="14" t="n"/>
      <c r="AB925" s="14" t="n"/>
      <c r="AC925" s="17">
        <f>IFERROR(VLOOKUP($H925&amp;"|"&amp;$Q925,Tariff_Master!$A$2:$L$169,3,FALSE),"")</f>
        <v/>
      </c>
      <c r="AD925" s="17">
        <f>IFERROR(VLOOKUP($H925&amp;"|"&amp;$Q925,Tariff_Master!$A$2:$L$169,4,FALSE),"")</f>
        <v/>
      </c>
      <c r="AE925" s="18">
        <f>IFERROR(VLOOKUP($H925&amp;"|"&amp;$Q925,Tariff_Master!$A$2:$L$169,6,FALSE),"")</f>
        <v/>
      </c>
      <c r="AF925" s="19">
        <f>IFERROR(VLOOKUP($H925&amp;"|"&amp;$Q925,Tariff_Master!$A$2:$L$169,7,FALSE),"")</f>
        <v/>
      </c>
      <c r="AG925" s="18">
        <f>IFERROR(VLOOKUP($H925&amp;"|"&amp;$Q925,Tariff_Master!$A$2:$L$169,8,FALSE),"")</f>
        <v/>
      </c>
      <c r="AH925" s="20">
        <f>IFERROR(VLOOKUP($H925&amp;"|"&amp;$Q925,Tariff_Master!$A$2:$L$169,9,FALSE),"")</f>
        <v/>
      </c>
      <c r="AI925" s="18">
        <f>IFERROR(VLOOKUP($H925&amp;"|"&amp;$Q925,Tariff_Master!$A$2:$L$169,10,FALSE),"")</f>
        <v/>
      </c>
      <c r="AJ925" s="21">
        <f>IF($M925="","",ROUNDUP(MAX(0,$M925),0))</f>
        <v/>
      </c>
      <c r="AK925" s="21">
        <f>IF(OR($AJ925="",$AF925=""),"",MAX(0,$AJ925-$AF925))</f>
        <v/>
      </c>
      <c r="AL925" s="22">
        <f>IF(OR($AK925="",$AG925=""),"",MAX(0,$AK925*$AG925))</f>
        <v/>
      </c>
      <c r="AM925" s="22">
        <f>IF($AE925="","",MAX(0,SUM($AE925,$AL925,$V925,$W925)))</f>
        <v/>
      </c>
      <c r="AN925" s="22">
        <f>IF($AM925="","",IF(AND($Q925="COMMITMENT",$R925&gt;=$AH925),$AI925,0))</f>
        <v/>
      </c>
      <c r="AO925" s="23">
        <f>IF($AM925="","",MAX(0,$AM925-$AN925))</f>
        <v/>
      </c>
      <c r="AP925" s="22">
        <f>IF($S925="","",IF(OR($S925="ITEM_PRICE_PLUS_DECLARED_DELIVERY",$S925="DELIVERY_CHARGE_ONLY"),$K925,IF($S925="TOTAL_AMOUNT_INCLUDING_DELIVERY",IF(OR($T925="",$J925=""),"",MAX(0,$T925-$J925-$U925)),IF($S925="ITEM_PRICE_ONLY_DELIVERY_PAID_BY_MERCHANT",0,""))))</f>
        <v/>
      </c>
      <c r="AQ925" s="23">
        <f>IF(OR($AP925="",$AO925=""),"",$AP925-$AO925)</f>
        <v/>
      </c>
      <c r="AR925" s="24">
        <f>IF($S925="EXACT_COLLECTION_AMOUNT","BREAKDOWN_REQUIRED",IF($AQ925="","",IF($AQ925&gt;0,"CREDIT_TO_MERCHANT",IF($AQ925&lt;0,"DEDUCT_FROM_MERCHANT","NO_ADJUSTMENT"))))</f>
        <v/>
      </c>
      <c r="AS925" s="23">
        <f>IF(OR($AQ925="",$AR925="BREAKDOWN_REQUIRED"),"",$AQ925)</f>
        <v/>
      </c>
      <c r="AT925" s="23">
        <f>IF(OR($AR925="",$AR925="BREAKDOWN_REQUIRED"),"",SUM($J925,$AQ925,$Y925)-$X925)</f>
        <v/>
      </c>
      <c r="AU925" s="25">
        <f>IF(AND($A925="",$B925="",$F925="",$H925="",$J925="",$K925="",$M925="",$S925=""),"",IF(OR($H925="",$Q925="",$M925="",$S925=""),"ERROR",IF(OR($J925&lt;0,$K925&lt;0,$M925&lt;0,$T925&lt;0,$U925&lt;0,$V925&lt;0,$W925&lt;0,$X925&lt;0,$Y925&lt;0),"ERROR",IF($AE925="","ERROR",IF(AND(OR($S925="ITEM_PRICE_PLUS_DECLARED_DELIVERY",$S925="TOTAL_AMOUNT_INCLUDING_DELIVERY",$S925="ITEM_PRICE_ONLY_DELIVERY_PAID_BY_MERCHANT"),$J925=""),"ERROR",IF(AND(OR($S925="ITEM_PRICE_PLUS_DECLARED_DELIVERY",$S925="DELIVERY_CHARGE_ONLY"),$K925=""),"ERROR",IF(AND(OR($S925="TOTAL_AMOUNT_INCLUDING_DELIVERY",$S925="EXACT_COLLECTION_AMOUNT"),$T925=""),"ERROR",IF(AND($S925="TOTAL_AMOUNT_INCLUDING_DELIVERY",$T925&lt;SUM($J925,$U925)),"ERROR",IF($S925="EXACT_COLLECTION_AMOUNT","REVIEW","OK")))))))))</f>
        <v/>
      </c>
      <c r="AV925" s="25">
        <f>IF($AU925="","",IF($H925="","Township required",IF($Q925="","Customer tier required",IF($M925="","Weight required",IF($S925="","Amount entry type required",IF(OR($J925&lt;0,$K925&lt;0,$M925&lt;0,$T925&lt;0,$U925&lt;0,$V925&lt;0,$W925&lt;0,$X925&lt;0,$Y925&lt;0),"Negative amounts are not allowed",IF($AE925="","Tariff not found for township and tier",IF(AND(OR($S925="ITEM_PRICE_PLUS_DECLARED_DELIVERY",$S925="TOTAL_AMOUNT_INCLUDING_DELIVERY",$S925="ITEM_PRICE_ONLY_DELIVERY_PAID_BY_MERCHANT"),$J925=""),"Item price required for this amount type",IF(AND(OR($S925="ITEM_PRICE_PLUS_DECLARED_DELIVERY",$S925="DELIVERY_CHARGE_ONLY"),$K925=""),"Declared delivery charge required",IF(AND(OR($S925="TOTAL_AMOUNT_INCLUDING_DELIVERY",$S925="EXACT_COLLECTION_AMOUNT"),$T925=""),"Stated total amount required",IF(AND($S925="TOTAL_AMOUNT_INCLUDING_DELIVERY",$T925&lt;SUM($J925,$U925)),"Stated total is below item price plus additional charge",IF($S925="EXACT_COLLECTION_AMOUNT","Authorized amount breakdown required before settlement","Ready for collection and settlement"))))))))))))</f>
        <v/>
      </c>
      <c r="AW925" s="23">
        <f>IF($AU925="","","PARCEL_FINANCIAL_V2")</f>
        <v/>
      </c>
      <c r="AX925" s="17" t="n"/>
    </row>
    <row r="926">
      <c r="A926" s="8" t="n"/>
      <c r="B926" s="8" t="n"/>
      <c r="C926" s="8" t="n"/>
      <c r="D926" s="8" t="n"/>
      <c r="E926" s="9" t="n"/>
      <c r="F926" s="9" t="n"/>
      <c r="G926" s="8" t="n"/>
      <c r="H926" s="9" t="n"/>
      <c r="I926" s="9" t="n"/>
      <c r="J926" s="10" t="n"/>
      <c r="K926" s="10" t="n"/>
      <c r="L926" s="11">
        <f>IF($S926="","",IF($S926="ITEM_PRICE_PLUS_DECLARED_DELIVERY",IF(OR($J926="",$K926=""),"",SUM($J926,$K926,$U926)),IF($S926="TOTAL_AMOUNT_INCLUDING_DELIVERY",IF($T926="","",$T926),IF($S926="DELIVERY_CHARGE_ONLY",IF($K926="","",SUM($K926,$U926)),IF($S926="EXACT_COLLECTION_AMOUNT",IF($T926="","",$T926),IF($S926="ITEM_PRICE_ONLY_DELIVERY_PAID_BY_MERCHANT",IF($J926="","",SUM($J926,$U926)),""))))))</f>
        <v/>
      </c>
      <c r="M926" s="12" t="n"/>
      <c r="N926" s="13" t="n"/>
      <c r="O926" s="13" t="n"/>
      <c r="P926" s="9" t="n"/>
      <c r="Q926" s="14" t="n"/>
      <c r="R926" s="15" t="n"/>
      <c r="S926" s="14" t="n"/>
      <c r="T926" s="16" t="n"/>
      <c r="U926" s="16" t="n"/>
      <c r="V926" s="16" t="n"/>
      <c r="W926" s="16" t="n"/>
      <c r="X926" s="16" t="n"/>
      <c r="Y926" s="16" t="n"/>
      <c r="Z926" s="14" t="n"/>
      <c r="AA926" s="14" t="n"/>
      <c r="AB926" s="14" t="n"/>
      <c r="AC926" s="17">
        <f>IFERROR(VLOOKUP($H926&amp;"|"&amp;$Q926,Tariff_Master!$A$2:$L$169,3,FALSE),"")</f>
        <v/>
      </c>
      <c r="AD926" s="17">
        <f>IFERROR(VLOOKUP($H926&amp;"|"&amp;$Q926,Tariff_Master!$A$2:$L$169,4,FALSE),"")</f>
        <v/>
      </c>
      <c r="AE926" s="18">
        <f>IFERROR(VLOOKUP($H926&amp;"|"&amp;$Q926,Tariff_Master!$A$2:$L$169,6,FALSE),"")</f>
        <v/>
      </c>
      <c r="AF926" s="19">
        <f>IFERROR(VLOOKUP($H926&amp;"|"&amp;$Q926,Tariff_Master!$A$2:$L$169,7,FALSE),"")</f>
        <v/>
      </c>
      <c r="AG926" s="18">
        <f>IFERROR(VLOOKUP($H926&amp;"|"&amp;$Q926,Tariff_Master!$A$2:$L$169,8,FALSE),"")</f>
        <v/>
      </c>
      <c r="AH926" s="20">
        <f>IFERROR(VLOOKUP($H926&amp;"|"&amp;$Q926,Tariff_Master!$A$2:$L$169,9,FALSE),"")</f>
        <v/>
      </c>
      <c r="AI926" s="18">
        <f>IFERROR(VLOOKUP($H926&amp;"|"&amp;$Q926,Tariff_Master!$A$2:$L$169,10,FALSE),"")</f>
        <v/>
      </c>
      <c r="AJ926" s="21">
        <f>IF($M926="","",ROUNDUP(MAX(0,$M926),0))</f>
        <v/>
      </c>
      <c r="AK926" s="21">
        <f>IF(OR($AJ926="",$AF926=""),"",MAX(0,$AJ926-$AF926))</f>
        <v/>
      </c>
      <c r="AL926" s="22">
        <f>IF(OR($AK926="",$AG926=""),"",MAX(0,$AK926*$AG926))</f>
        <v/>
      </c>
      <c r="AM926" s="22">
        <f>IF($AE926="","",MAX(0,SUM($AE926,$AL926,$V926,$W926)))</f>
        <v/>
      </c>
      <c r="AN926" s="22">
        <f>IF($AM926="","",IF(AND($Q926="COMMITMENT",$R926&gt;=$AH926),$AI926,0))</f>
        <v/>
      </c>
      <c r="AO926" s="23">
        <f>IF($AM926="","",MAX(0,$AM926-$AN926))</f>
        <v/>
      </c>
      <c r="AP926" s="22">
        <f>IF($S926="","",IF(OR($S926="ITEM_PRICE_PLUS_DECLARED_DELIVERY",$S926="DELIVERY_CHARGE_ONLY"),$K926,IF($S926="TOTAL_AMOUNT_INCLUDING_DELIVERY",IF(OR($T926="",$J926=""),"",MAX(0,$T926-$J926-$U926)),IF($S926="ITEM_PRICE_ONLY_DELIVERY_PAID_BY_MERCHANT",0,""))))</f>
        <v/>
      </c>
      <c r="AQ926" s="23">
        <f>IF(OR($AP926="",$AO926=""),"",$AP926-$AO926)</f>
        <v/>
      </c>
      <c r="AR926" s="24">
        <f>IF($S926="EXACT_COLLECTION_AMOUNT","BREAKDOWN_REQUIRED",IF($AQ926="","",IF($AQ926&gt;0,"CREDIT_TO_MERCHANT",IF($AQ926&lt;0,"DEDUCT_FROM_MERCHANT","NO_ADJUSTMENT"))))</f>
        <v/>
      </c>
      <c r="AS926" s="23">
        <f>IF(OR($AQ926="",$AR926="BREAKDOWN_REQUIRED"),"",$AQ926)</f>
        <v/>
      </c>
      <c r="AT926" s="23">
        <f>IF(OR($AR926="",$AR926="BREAKDOWN_REQUIRED"),"",SUM($J926,$AQ926,$Y926)-$X926)</f>
        <v/>
      </c>
      <c r="AU926" s="25">
        <f>IF(AND($A926="",$B926="",$F926="",$H926="",$J926="",$K926="",$M926="",$S926=""),"",IF(OR($H926="",$Q926="",$M926="",$S926=""),"ERROR",IF(OR($J926&lt;0,$K926&lt;0,$M926&lt;0,$T926&lt;0,$U926&lt;0,$V926&lt;0,$W926&lt;0,$X926&lt;0,$Y926&lt;0),"ERROR",IF($AE926="","ERROR",IF(AND(OR($S926="ITEM_PRICE_PLUS_DECLARED_DELIVERY",$S926="TOTAL_AMOUNT_INCLUDING_DELIVERY",$S926="ITEM_PRICE_ONLY_DELIVERY_PAID_BY_MERCHANT"),$J926=""),"ERROR",IF(AND(OR($S926="ITEM_PRICE_PLUS_DECLARED_DELIVERY",$S926="DELIVERY_CHARGE_ONLY"),$K926=""),"ERROR",IF(AND(OR($S926="TOTAL_AMOUNT_INCLUDING_DELIVERY",$S926="EXACT_COLLECTION_AMOUNT"),$T926=""),"ERROR",IF(AND($S926="TOTAL_AMOUNT_INCLUDING_DELIVERY",$T926&lt;SUM($J926,$U926)),"ERROR",IF($S926="EXACT_COLLECTION_AMOUNT","REVIEW","OK")))))))))</f>
        <v/>
      </c>
      <c r="AV926" s="25">
        <f>IF($AU926="","",IF($H926="","Township required",IF($Q926="","Customer tier required",IF($M926="","Weight required",IF($S926="","Amount entry type required",IF(OR($J926&lt;0,$K926&lt;0,$M926&lt;0,$T926&lt;0,$U926&lt;0,$V926&lt;0,$W926&lt;0,$X926&lt;0,$Y926&lt;0),"Negative amounts are not allowed",IF($AE926="","Tariff not found for township and tier",IF(AND(OR($S926="ITEM_PRICE_PLUS_DECLARED_DELIVERY",$S926="TOTAL_AMOUNT_INCLUDING_DELIVERY",$S926="ITEM_PRICE_ONLY_DELIVERY_PAID_BY_MERCHANT"),$J926=""),"Item price required for this amount type",IF(AND(OR($S926="ITEM_PRICE_PLUS_DECLARED_DELIVERY",$S926="DELIVERY_CHARGE_ONLY"),$K926=""),"Declared delivery charge required",IF(AND(OR($S926="TOTAL_AMOUNT_INCLUDING_DELIVERY",$S926="EXACT_COLLECTION_AMOUNT"),$T926=""),"Stated total amount required",IF(AND($S926="TOTAL_AMOUNT_INCLUDING_DELIVERY",$T926&lt;SUM($J926,$U926)),"Stated total is below item price plus additional charge",IF($S926="EXACT_COLLECTION_AMOUNT","Authorized amount breakdown required before settlement","Ready for collection and settlement"))))))))))))</f>
        <v/>
      </c>
      <c r="AW926" s="23">
        <f>IF($AU926="","","PARCEL_FINANCIAL_V2")</f>
        <v/>
      </c>
      <c r="AX926" s="17" t="n"/>
    </row>
    <row r="927">
      <c r="A927" s="8" t="n"/>
      <c r="B927" s="8" t="n"/>
      <c r="C927" s="8" t="n"/>
      <c r="D927" s="8" t="n"/>
      <c r="E927" s="9" t="n"/>
      <c r="F927" s="9" t="n"/>
      <c r="G927" s="8" t="n"/>
      <c r="H927" s="9" t="n"/>
      <c r="I927" s="9" t="n"/>
      <c r="J927" s="10" t="n"/>
      <c r="K927" s="10" t="n"/>
      <c r="L927" s="11">
        <f>IF($S927="","",IF($S927="ITEM_PRICE_PLUS_DECLARED_DELIVERY",IF(OR($J927="",$K927=""),"",SUM($J927,$K927,$U927)),IF($S927="TOTAL_AMOUNT_INCLUDING_DELIVERY",IF($T927="","",$T927),IF($S927="DELIVERY_CHARGE_ONLY",IF($K927="","",SUM($K927,$U927)),IF($S927="EXACT_COLLECTION_AMOUNT",IF($T927="","",$T927),IF($S927="ITEM_PRICE_ONLY_DELIVERY_PAID_BY_MERCHANT",IF($J927="","",SUM($J927,$U927)),""))))))</f>
        <v/>
      </c>
      <c r="M927" s="12" t="n"/>
      <c r="N927" s="13" t="n"/>
      <c r="O927" s="13" t="n"/>
      <c r="P927" s="9" t="n"/>
      <c r="Q927" s="14" t="n"/>
      <c r="R927" s="15" t="n"/>
      <c r="S927" s="14" t="n"/>
      <c r="T927" s="16" t="n"/>
      <c r="U927" s="16" t="n"/>
      <c r="V927" s="16" t="n"/>
      <c r="W927" s="16" t="n"/>
      <c r="X927" s="16" t="n"/>
      <c r="Y927" s="16" t="n"/>
      <c r="Z927" s="14" t="n"/>
      <c r="AA927" s="14" t="n"/>
      <c r="AB927" s="14" t="n"/>
      <c r="AC927" s="17">
        <f>IFERROR(VLOOKUP($H927&amp;"|"&amp;$Q927,Tariff_Master!$A$2:$L$169,3,FALSE),"")</f>
        <v/>
      </c>
      <c r="AD927" s="17">
        <f>IFERROR(VLOOKUP($H927&amp;"|"&amp;$Q927,Tariff_Master!$A$2:$L$169,4,FALSE),"")</f>
        <v/>
      </c>
      <c r="AE927" s="18">
        <f>IFERROR(VLOOKUP($H927&amp;"|"&amp;$Q927,Tariff_Master!$A$2:$L$169,6,FALSE),"")</f>
        <v/>
      </c>
      <c r="AF927" s="19">
        <f>IFERROR(VLOOKUP($H927&amp;"|"&amp;$Q927,Tariff_Master!$A$2:$L$169,7,FALSE),"")</f>
        <v/>
      </c>
      <c r="AG927" s="18">
        <f>IFERROR(VLOOKUP($H927&amp;"|"&amp;$Q927,Tariff_Master!$A$2:$L$169,8,FALSE),"")</f>
        <v/>
      </c>
      <c r="AH927" s="20">
        <f>IFERROR(VLOOKUP($H927&amp;"|"&amp;$Q927,Tariff_Master!$A$2:$L$169,9,FALSE),"")</f>
        <v/>
      </c>
      <c r="AI927" s="18">
        <f>IFERROR(VLOOKUP($H927&amp;"|"&amp;$Q927,Tariff_Master!$A$2:$L$169,10,FALSE),"")</f>
        <v/>
      </c>
      <c r="AJ927" s="21">
        <f>IF($M927="","",ROUNDUP(MAX(0,$M927),0))</f>
        <v/>
      </c>
      <c r="AK927" s="21">
        <f>IF(OR($AJ927="",$AF927=""),"",MAX(0,$AJ927-$AF927))</f>
        <v/>
      </c>
      <c r="AL927" s="22">
        <f>IF(OR($AK927="",$AG927=""),"",MAX(0,$AK927*$AG927))</f>
        <v/>
      </c>
      <c r="AM927" s="22">
        <f>IF($AE927="","",MAX(0,SUM($AE927,$AL927,$V927,$W927)))</f>
        <v/>
      </c>
      <c r="AN927" s="22">
        <f>IF($AM927="","",IF(AND($Q927="COMMITMENT",$R927&gt;=$AH927),$AI927,0))</f>
        <v/>
      </c>
      <c r="AO927" s="23">
        <f>IF($AM927="","",MAX(0,$AM927-$AN927))</f>
        <v/>
      </c>
      <c r="AP927" s="22">
        <f>IF($S927="","",IF(OR($S927="ITEM_PRICE_PLUS_DECLARED_DELIVERY",$S927="DELIVERY_CHARGE_ONLY"),$K927,IF($S927="TOTAL_AMOUNT_INCLUDING_DELIVERY",IF(OR($T927="",$J927=""),"",MAX(0,$T927-$J927-$U927)),IF($S927="ITEM_PRICE_ONLY_DELIVERY_PAID_BY_MERCHANT",0,""))))</f>
        <v/>
      </c>
      <c r="AQ927" s="23">
        <f>IF(OR($AP927="",$AO927=""),"",$AP927-$AO927)</f>
        <v/>
      </c>
      <c r="AR927" s="24">
        <f>IF($S927="EXACT_COLLECTION_AMOUNT","BREAKDOWN_REQUIRED",IF($AQ927="","",IF($AQ927&gt;0,"CREDIT_TO_MERCHANT",IF($AQ927&lt;0,"DEDUCT_FROM_MERCHANT","NO_ADJUSTMENT"))))</f>
        <v/>
      </c>
      <c r="AS927" s="23">
        <f>IF(OR($AQ927="",$AR927="BREAKDOWN_REQUIRED"),"",$AQ927)</f>
        <v/>
      </c>
      <c r="AT927" s="23">
        <f>IF(OR($AR927="",$AR927="BREAKDOWN_REQUIRED"),"",SUM($J927,$AQ927,$Y927)-$X927)</f>
        <v/>
      </c>
      <c r="AU927" s="25">
        <f>IF(AND($A927="",$B927="",$F927="",$H927="",$J927="",$K927="",$M927="",$S927=""),"",IF(OR($H927="",$Q927="",$M927="",$S927=""),"ERROR",IF(OR($J927&lt;0,$K927&lt;0,$M927&lt;0,$T927&lt;0,$U927&lt;0,$V927&lt;0,$W927&lt;0,$X927&lt;0,$Y927&lt;0),"ERROR",IF($AE927="","ERROR",IF(AND(OR($S927="ITEM_PRICE_PLUS_DECLARED_DELIVERY",$S927="TOTAL_AMOUNT_INCLUDING_DELIVERY",$S927="ITEM_PRICE_ONLY_DELIVERY_PAID_BY_MERCHANT"),$J927=""),"ERROR",IF(AND(OR($S927="ITEM_PRICE_PLUS_DECLARED_DELIVERY",$S927="DELIVERY_CHARGE_ONLY"),$K927=""),"ERROR",IF(AND(OR($S927="TOTAL_AMOUNT_INCLUDING_DELIVERY",$S927="EXACT_COLLECTION_AMOUNT"),$T927=""),"ERROR",IF(AND($S927="TOTAL_AMOUNT_INCLUDING_DELIVERY",$T927&lt;SUM($J927,$U927)),"ERROR",IF($S927="EXACT_COLLECTION_AMOUNT","REVIEW","OK")))))))))</f>
        <v/>
      </c>
      <c r="AV927" s="25">
        <f>IF($AU927="","",IF($H927="","Township required",IF($Q927="","Customer tier required",IF($M927="","Weight required",IF($S927="","Amount entry type required",IF(OR($J927&lt;0,$K927&lt;0,$M927&lt;0,$T927&lt;0,$U927&lt;0,$V927&lt;0,$W927&lt;0,$X927&lt;0,$Y927&lt;0),"Negative amounts are not allowed",IF($AE927="","Tariff not found for township and tier",IF(AND(OR($S927="ITEM_PRICE_PLUS_DECLARED_DELIVERY",$S927="TOTAL_AMOUNT_INCLUDING_DELIVERY",$S927="ITEM_PRICE_ONLY_DELIVERY_PAID_BY_MERCHANT"),$J927=""),"Item price required for this amount type",IF(AND(OR($S927="ITEM_PRICE_PLUS_DECLARED_DELIVERY",$S927="DELIVERY_CHARGE_ONLY"),$K927=""),"Declared delivery charge required",IF(AND(OR($S927="TOTAL_AMOUNT_INCLUDING_DELIVERY",$S927="EXACT_COLLECTION_AMOUNT"),$T927=""),"Stated total amount required",IF(AND($S927="TOTAL_AMOUNT_INCLUDING_DELIVERY",$T927&lt;SUM($J927,$U927)),"Stated total is below item price plus additional charge",IF($S927="EXACT_COLLECTION_AMOUNT","Authorized amount breakdown required before settlement","Ready for collection and settlement"))))))))))))</f>
        <v/>
      </c>
      <c r="AW927" s="23">
        <f>IF($AU927="","","PARCEL_FINANCIAL_V2")</f>
        <v/>
      </c>
      <c r="AX927" s="17" t="n"/>
    </row>
    <row r="928">
      <c r="A928" s="8" t="n"/>
      <c r="B928" s="8" t="n"/>
      <c r="C928" s="8" t="n"/>
      <c r="D928" s="8" t="n"/>
      <c r="E928" s="9" t="n"/>
      <c r="F928" s="9" t="n"/>
      <c r="G928" s="8" t="n"/>
      <c r="H928" s="9" t="n"/>
      <c r="I928" s="9" t="n"/>
      <c r="J928" s="10" t="n"/>
      <c r="K928" s="10" t="n"/>
      <c r="L928" s="11">
        <f>IF($S928="","",IF($S928="ITEM_PRICE_PLUS_DECLARED_DELIVERY",IF(OR($J928="",$K928=""),"",SUM($J928,$K928,$U928)),IF($S928="TOTAL_AMOUNT_INCLUDING_DELIVERY",IF($T928="","",$T928),IF($S928="DELIVERY_CHARGE_ONLY",IF($K928="","",SUM($K928,$U928)),IF($S928="EXACT_COLLECTION_AMOUNT",IF($T928="","",$T928),IF($S928="ITEM_PRICE_ONLY_DELIVERY_PAID_BY_MERCHANT",IF($J928="","",SUM($J928,$U928)),""))))))</f>
        <v/>
      </c>
      <c r="M928" s="12" t="n"/>
      <c r="N928" s="13" t="n"/>
      <c r="O928" s="13" t="n"/>
      <c r="P928" s="9" t="n"/>
      <c r="Q928" s="14" t="n"/>
      <c r="R928" s="15" t="n"/>
      <c r="S928" s="14" t="n"/>
      <c r="T928" s="16" t="n"/>
      <c r="U928" s="16" t="n"/>
      <c r="V928" s="16" t="n"/>
      <c r="W928" s="16" t="n"/>
      <c r="X928" s="16" t="n"/>
      <c r="Y928" s="16" t="n"/>
      <c r="Z928" s="14" t="n"/>
      <c r="AA928" s="14" t="n"/>
      <c r="AB928" s="14" t="n"/>
      <c r="AC928" s="17">
        <f>IFERROR(VLOOKUP($H928&amp;"|"&amp;$Q928,Tariff_Master!$A$2:$L$169,3,FALSE),"")</f>
        <v/>
      </c>
      <c r="AD928" s="17">
        <f>IFERROR(VLOOKUP($H928&amp;"|"&amp;$Q928,Tariff_Master!$A$2:$L$169,4,FALSE),"")</f>
        <v/>
      </c>
      <c r="AE928" s="18">
        <f>IFERROR(VLOOKUP($H928&amp;"|"&amp;$Q928,Tariff_Master!$A$2:$L$169,6,FALSE),"")</f>
        <v/>
      </c>
      <c r="AF928" s="19">
        <f>IFERROR(VLOOKUP($H928&amp;"|"&amp;$Q928,Tariff_Master!$A$2:$L$169,7,FALSE),"")</f>
        <v/>
      </c>
      <c r="AG928" s="18">
        <f>IFERROR(VLOOKUP($H928&amp;"|"&amp;$Q928,Tariff_Master!$A$2:$L$169,8,FALSE),"")</f>
        <v/>
      </c>
      <c r="AH928" s="20">
        <f>IFERROR(VLOOKUP($H928&amp;"|"&amp;$Q928,Tariff_Master!$A$2:$L$169,9,FALSE),"")</f>
        <v/>
      </c>
      <c r="AI928" s="18">
        <f>IFERROR(VLOOKUP($H928&amp;"|"&amp;$Q928,Tariff_Master!$A$2:$L$169,10,FALSE),"")</f>
        <v/>
      </c>
      <c r="AJ928" s="21">
        <f>IF($M928="","",ROUNDUP(MAX(0,$M928),0))</f>
        <v/>
      </c>
      <c r="AK928" s="21">
        <f>IF(OR($AJ928="",$AF928=""),"",MAX(0,$AJ928-$AF928))</f>
        <v/>
      </c>
      <c r="AL928" s="22">
        <f>IF(OR($AK928="",$AG928=""),"",MAX(0,$AK928*$AG928))</f>
        <v/>
      </c>
      <c r="AM928" s="22">
        <f>IF($AE928="","",MAX(0,SUM($AE928,$AL928,$V928,$W928)))</f>
        <v/>
      </c>
      <c r="AN928" s="22">
        <f>IF($AM928="","",IF(AND($Q928="COMMITMENT",$R928&gt;=$AH928),$AI928,0))</f>
        <v/>
      </c>
      <c r="AO928" s="23">
        <f>IF($AM928="","",MAX(0,$AM928-$AN928))</f>
        <v/>
      </c>
      <c r="AP928" s="22">
        <f>IF($S928="","",IF(OR($S928="ITEM_PRICE_PLUS_DECLARED_DELIVERY",$S928="DELIVERY_CHARGE_ONLY"),$K928,IF($S928="TOTAL_AMOUNT_INCLUDING_DELIVERY",IF(OR($T928="",$J928=""),"",MAX(0,$T928-$J928-$U928)),IF($S928="ITEM_PRICE_ONLY_DELIVERY_PAID_BY_MERCHANT",0,""))))</f>
        <v/>
      </c>
      <c r="AQ928" s="23">
        <f>IF(OR($AP928="",$AO928=""),"",$AP928-$AO928)</f>
        <v/>
      </c>
      <c r="AR928" s="24">
        <f>IF($S928="EXACT_COLLECTION_AMOUNT","BREAKDOWN_REQUIRED",IF($AQ928="","",IF($AQ928&gt;0,"CREDIT_TO_MERCHANT",IF($AQ928&lt;0,"DEDUCT_FROM_MERCHANT","NO_ADJUSTMENT"))))</f>
        <v/>
      </c>
      <c r="AS928" s="23">
        <f>IF(OR($AQ928="",$AR928="BREAKDOWN_REQUIRED"),"",$AQ928)</f>
        <v/>
      </c>
      <c r="AT928" s="23">
        <f>IF(OR($AR928="",$AR928="BREAKDOWN_REQUIRED"),"",SUM($J928,$AQ928,$Y928)-$X928)</f>
        <v/>
      </c>
      <c r="AU928" s="25">
        <f>IF(AND($A928="",$B928="",$F928="",$H928="",$J928="",$K928="",$M928="",$S928=""),"",IF(OR($H928="",$Q928="",$M928="",$S928=""),"ERROR",IF(OR($J928&lt;0,$K928&lt;0,$M928&lt;0,$T928&lt;0,$U928&lt;0,$V928&lt;0,$W928&lt;0,$X928&lt;0,$Y928&lt;0),"ERROR",IF($AE928="","ERROR",IF(AND(OR($S928="ITEM_PRICE_PLUS_DECLARED_DELIVERY",$S928="TOTAL_AMOUNT_INCLUDING_DELIVERY",$S928="ITEM_PRICE_ONLY_DELIVERY_PAID_BY_MERCHANT"),$J928=""),"ERROR",IF(AND(OR($S928="ITEM_PRICE_PLUS_DECLARED_DELIVERY",$S928="DELIVERY_CHARGE_ONLY"),$K928=""),"ERROR",IF(AND(OR($S928="TOTAL_AMOUNT_INCLUDING_DELIVERY",$S928="EXACT_COLLECTION_AMOUNT"),$T928=""),"ERROR",IF(AND($S928="TOTAL_AMOUNT_INCLUDING_DELIVERY",$T928&lt;SUM($J928,$U928)),"ERROR",IF($S928="EXACT_COLLECTION_AMOUNT","REVIEW","OK")))))))))</f>
        <v/>
      </c>
      <c r="AV928" s="25">
        <f>IF($AU928="","",IF($H928="","Township required",IF($Q928="","Customer tier required",IF($M928="","Weight required",IF($S928="","Amount entry type required",IF(OR($J928&lt;0,$K928&lt;0,$M928&lt;0,$T928&lt;0,$U928&lt;0,$V928&lt;0,$W928&lt;0,$X928&lt;0,$Y928&lt;0),"Negative amounts are not allowed",IF($AE928="","Tariff not found for township and tier",IF(AND(OR($S928="ITEM_PRICE_PLUS_DECLARED_DELIVERY",$S928="TOTAL_AMOUNT_INCLUDING_DELIVERY",$S928="ITEM_PRICE_ONLY_DELIVERY_PAID_BY_MERCHANT"),$J928=""),"Item price required for this amount type",IF(AND(OR($S928="ITEM_PRICE_PLUS_DECLARED_DELIVERY",$S928="DELIVERY_CHARGE_ONLY"),$K928=""),"Declared delivery charge required",IF(AND(OR($S928="TOTAL_AMOUNT_INCLUDING_DELIVERY",$S928="EXACT_COLLECTION_AMOUNT"),$T928=""),"Stated total amount required",IF(AND($S928="TOTAL_AMOUNT_INCLUDING_DELIVERY",$T928&lt;SUM($J928,$U928)),"Stated total is below item price plus additional charge",IF($S928="EXACT_COLLECTION_AMOUNT","Authorized amount breakdown required before settlement","Ready for collection and settlement"))))))))))))</f>
        <v/>
      </c>
      <c r="AW928" s="23">
        <f>IF($AU928="","","PARCEL_FINANCIAL_V2")</f>
        <v/>
      </c>
      <c r="AX928" s="17" t="n"/>
    </row>
    <row r="929">
      <c r="A929" s="8" t="n"/>
      <c r="B929" s="8" t="n"/>
      <c r="C929" s="8" t="n"/>
      <c r="D929" s="8" t="n"/>
      <c r="E929" s="9" t="n"/>
      <c r="F929" s="9" t="n"/>
      <c r="G929" s="8" t="n"/>
      <c r="H929" s="9" t="n"/>
      <c r="I929" s="9" t="n"/>
      <c r="J929" s="10" t="n"/>
      <c r="K929" s="10" t="n"/>
      <c r="L929" s="11">
        <f>IF($S929="","",IF($S929="ITEM_PRICE_PLUS_DECLARED_DELIVERY",IF(OR($J929="",$K929=""),"",SUM($J929,$K929,$U929)),IF($S929="TOTAL_AMOUNT_INCLUDING_DELIVERY",IF($T929="","",$T929),IF($S929="DELIVERY_CHARGE_ONLY",IF($K929="","",SUM($K929,$U929)),IF($S929="EXACT_COLLECTION_AMOUNT",IF($T929="","",$T929),IF($S929="ITEM_PRICE_ONLY_DELIVERY_PAID_BY_MERCHANT",IF($J929="","",SUM($J929,$U929)),""))))))</f>
        <v/>
      </c>
      <c r="M929" s="12" t="n"/>
      <c r="N929" s="13" t="n"/>
      <c r="O929" s="13" t="n"/>
      <c r="P929" s="9" t="n"/>
      <c r="Q929" s="14" t="n"/>
      <c r="R929" s="15" t="n"/>
      <c r="S929" s="14" t="n"/>
      <c r="T929" s="16" t="n"/>
      <c r="U929" s="16" t="n"/>
      <c r="V929" s="16" t="n"/>
      <c r="W929" s="16" t="n"/>
      <c r="X929" s="16" t="n"/>
      <c r="Y929" s="16" t="n"/>
      <c r="Z929" s="14" t="n"/>
      <c r="AA929" s="14" t="n"/>
      <c r="AB929" s="14" t="n"/>
      <c r="AC929" s="17">
        <f>IFERROR(VLOOKUP($H929&amp;"|"&amp;$Q929,Tariff_Master!$A$2:$L$169,3,FALSE),"")</f>
        <v/>
      </c>
      <c r="AD929" s="17">
        <f>IFERROR(VLOOKUP($H929&amp;"|"&amp;$Q929,Tariff_Master!$A$2:$L$169,4,FALSE),"")</f>
        <v/>
      </c>
      <c r="AE929" s="18">
        <f>IFERROR(VLOOKUP($H929&amp;"|"&amp;$Q929,Tariff_Master!$A$2:$L$169,6,FALSE),"")</f>
        <v/>
      </c>
      <c r="AF929" s="19">
        <f>IFERROR(VLOOKUP($H929&amp;"|"&amp;$Q929,Tariff_Master!$A$2:$L$169,7,FALSE),"")</f>
        <v/>
      </c>
      <c r="AG929" s="18">
        <f>IFERROR(VLOOKUP($H929&amp;"|"&amp;$Q929,Tariff_Master!$A$2:$L$169,8,FALSE),"")</f>
        <v/>
      </c>
      <c r="AH929" s="20">
        <f>IFERROR(VLOOKUP($H929&amp;"|"&amp;$Q929,Tariff_Master!$A$2:$L$169,9,FALSE),"")</f>
        <v/>
      </c>
      <c r="AI929" s="18">
        <f>IFERROR(VLOOKUP($H929&amp;"|"&amp;$Q929,Tariff_Master!$A$2:$L$169,10,FALSE),"")</f>
        <v/>
      </c>
      <c r="AJ929" s="21">
        <f>IF($M929="","",ROUNDUP(MAX(0,$M929),0))</f>
        <v/>
      </c>
      <c r="AK929" s="21">
        <f>IF(OR($AJ929="",$AF929=""),"",MAX(0,$AJ929-$AF929))</f>
        <v/>
      </c>
      <c r="AL929" s="22">
        <f>IF(OR($AK929="",$AG929=""),"",MAX(0,$AK929*$AG929))</f>
        <v/>
      </c>
      <c r="AM929" s="22">
        <f>IF($AE929="","",MAX(0,SUM($AE929,$AL929,$V929,$W929)))</f>
        <v/>
      </c>
      <c r="AN929" s="22">
        <f>IF($AM929="","",IF(AND($Q929="COMMITMENT",$R929&gt;=$AH929),$AI929,0))</f>
        <v/>
      </c>
      <c r="AO929" s="23">
        <f>IF($AM929="","",MAX(0,$AM929-$AN929))</f>
        <v/>
      </c>
      <c r="AP929" s="22">
        <f>IF($S929="","",IF(OR($S929="ITEM_PRICE_PLUS_DECLARED_DELIVERY",$S929="DELIVERY_CHARGE_ONLY"),$K929,IF($S929="TOTAL_AMOUNT_INCLUDING_DELIVERY",IF(OR($T929="",$J929=""),"",MAX(0,$T929-$J929-$U929)),IF($S929="ITEM_PRICE_ONLY_DELIVERY_PAID_BY_MERCHANT",0,""))))</f>
        <v/>
      </c>
      <c r="AQ929" s="23">
        <f>IF(OR($AP929="",$AO929=""),"",$AP929-$AO929)</f>
        <v/>
      </c>
      <c r="AR929" s="24">
        <f>IF($S929="EXACT_COLLECTION_AMOUNT","BREAKDOWN_REQUIRED",IF($AQ929="","",IF($AQ929&gt;0,"CREDIT_TO_MERCHANT",IF($AQ929&lt;0,"DEDUCT_FROM_MERCHANT","NO_ADJUSTMENT"))))</f>
        <v/>
      </c>
      <c r="AS929" s="23">
        <f>IF(OR($AQ929="",$AR929="BREAKDOWN_REQUIRED"),"",$AQ929)</f>
        <v/>
      </c>
      <c r="AT929" s="23">
        <f>IF(OR($AR929="",$AR929="BREAKDOWN_REQUIRED"),"",SUM($J929,$AQ929,$Y929)-$X929)</f>
        <v/>
      </c>
      <c r="AU929" s="25">
        <f>IF(AND($A929="",$B929="",$F929="",$H929="",$J929="",$K929="",$M929="",$S929=""),"",IF(OR($H929="",$Q929="",$M929="",$S929=""),"ERROR",IF(OR($J929&lt;0,$K929&lt;0,$M929&lt;0,$T929&lt;0,$U929&lt;0,$V929&lt;0,$W929&lt;0,$X929&lt;0,$Y929&lt;0),"ERROR",IF($AE929="","ERROR",IF(AND(OR($S929="ITEM_PRICE_PLUS_DECLARED_DELIVERY",$S929="TOTAL_AMOUNT_INCLUDING_DELIVERY",$S929="ITEM_PRICE_ONLY_DELIVERY_PAID_BY_MERCHANT"),$J929=""),"ERROR",IF(AND(OR($S929="ITEM_PRICE_PLUS_DECLARED_DELIVERY",$S929="DELIVERY_CHARGE_ONLY"),$K929=""),"ERROR",IF(AND(OR($S929="TOTAL_AMOUNT_INCLUDING_DELIVERY",$S929="EXACT_COLLECTION_AMOUNT"),$T929=""),"ERROR",IF(AND($S929="TOTAL_AMOUNT_INCLUDING_DELIVERY",$T929&lt;SUM($J929,$U929)),"ERROR",IF($S929="EXACT_COLLECTION_AMOUNT","REVIEW","OK")))))))))</f>
        <v/>
      </c>
      <c r="AV929" s="25">
        <f>IF($AU929="","",IF($H929="","Township required",IF($Q929="","Customer tier required",IF($M929="","Weight required",IF($S929="","Amount entry type required",IF(OR($J929&lt;0,$K929&lt;0,$M929&lt;0,$T929&lt;0,$U929&lt;0,$V929&lt;0,$W929&lt;0,$X929&lt;0,$Y929&lt;0),"Negative amounts are not allowed",IF($AE929="","Tariff not found for township and tier",IF(AND(OR($S929="ITEM_PRICE_PLUS_DECLARED_DELIVERY",$S929="TOTAL_AMOUNT_INCLUDING_DELIVERY",$S929="ITEM_PRICE_ONLY_DELIVERY_PAID_BY_MERCHANT"),$J929=""),"Item price required for this amount type",IF(AND(OR($S929="ITEM_PRICE_PLUS_DECLARED_DELIVERY",$S929="DELIVERY_CHARGE_ONLY"),$K929=""),"Declared delivery charge required",IF(AND(OR($S929="TOTAL_AMOUNT_INCLUDING_DELIVERY",$S929="EXACT_COLLECTION_AMOUNT"),$T929=""),"Stated total amount required",IF(AND($S929="TOTAL_AMOUNT_INCLUDING_DELIVERY",$T929&lt;SUM($J929,$U929)),"Stated total is below item price plus additional charge",IF($S929="EXACT_COLLECTION_AMOUNT","Authorized amount breakdown required before settlement","Ready for collection and settlement"))))))))))))</f>
        <v/>
      </c>
      <c r="AW929" s="23">
        <f>IF($AU929="","","PARCEL_FINANCIAL_V2")</f>
        <v/>
      </c>
      <c r="AX929" s="17" t="n"/>
    </row>
    <row r="930">
      <c r="A930" s="8" t="n"/>
      <c r="B930" s="8" t="n"/>
      <c r="C930" s="8" t="n"/>
      <c r="D930" s="8" t="n"/>
      <c r="E930" s="9" t="n"/>
      <c r="F930" s="9" t="n"/>
      <c r="G930" s="8" t="n"/>
      <c r="H930" s="9" t="n"/>
      <c r="I930" s="9" t="n"/>
      <c r="J930" s="10" t="n"/>
      <c r="K930" s="10" t="n"/>
      <c r="L930" s="11">
        <f>IF($S930="","",IF($S930="ITEM_PRICE_PLUS_DECLARED_DELIVERY",IF(OR($J930="",$K930=""),"",SUM($J930,$K930,$U930)),IF($S930="TOTAL_AMOUNT_INCLUDING_DELIVERY",IF($T930="","",$T930),IF($S930="DELIVERY_CHARGE_ONLY",IF($K930="","",SUM($K930,$U930)),IF($S930="EXACT_COLLECTION_AMOUNT",IF($T930="","",$T930),IF($S930="ITEM_PRICE_ONLY_DELIVERY_PAID_BY_MERCHANT",IF($J930="","",SUM($J930,$U930)),""))))))</f>
        <v/>
      </c>
      <c r="M930" s="12" t="n"/>
      <c r="N930" s="13" t="n"/>
      <c r="O930" s="13" t="n"/>
      <c r="P930" s="9" t="n"/>
      <c r="Q930" s="14" t="n"/>
      <c r="R930" s="15" t="n"/>
      <c r="S930" s="14" t="n"/>
      <c r="T930" s="16" t="n"/>
      <c r="U930" s="16" t="n"/>
      <c r="V930" s="16" t="n"/>
      <c r="W930" s="16" t="n"/>
      <c r="X930" s="16" t="n"/>
      <c r="Y930" s="16" t="n"/>
      <c r="Z930" s="14" t="n"/>
      <c r="AA930" s="14" t="n"/>
      <c r="AB930" s="14" t="n"/>
      <c r="AC930" s="17">
        <f>IFERROR(VLOOKUP($H930&amp;"|"&amp;$Q930,Tariff_Master!$A$2:$L$169,3,FALSE),"")</f>
        <v/>
      </c>
      <c r="AD930" s="17">
        <f>IFERROR(VLOOKUP($H930&amp;"|"&amp;$Q930,Tariff_Master!$A$2:$L$169,4,FALSE),"")</f>
        <v/>
      </c>
      <c r="AE930" s="18">
        <f>IFERROR(VLOOKUP($H930&amp;"|"&amp;$Q930,Tariff_Master!$A$2:$L$169,6,FALSE),"")</f>
        <v/>
      </c>
      <c r="AF930" s="19">
        <f>IFERROR(VLOOKUP($H930&amp;"|"&amp;$Q930,Tariff_Master!$A$2:$L$169,7,FALSE),"")</f>
        <v/>
      </c>
      <c r="AG930" s="18">
        <f>IFERROR(VLOOKUP($H930&amp;"|"&amp;$Q930,Tariff_Master!$A$2:$L$169,8,FALSE),"")</f>
        <v/>
      </c>
      <c r="AH930" s="20">
        <f>IFERROR(VLOOKUP($H930&amp;"|"&amp;$Q930,Tariff_Master!$A$2:$L$169,9,FALSE),"")</f>
        <v/>
      </c>
      <c r="AI930" s="18">
        <f>IFERROR(VLOOKUP($H930&amp;"|"&amp;$Q930,Tariff_Master!$A$2:$L$169,10,FALSE),"")</f>
        <v/>
      </c>
      <c r="AJ930" s="21">
        <f>IF($M930="","",ROUNDUP(MAX(0,$M930),0))</f>
        <v/>
      </c>
      <c r="AK930" s="21">
        <f>IF(OR($AJ930="",$AF930=""),"",MAX(0,$AJ930-$AF930))</f>
        <v/>
      </c>
      <c r="AL930" s="22">
        <f>IF(OR($AK930="",$AG930=""),"",MAX(0,$AK930*$AG930))</f>
        <v/>
      </c>
      <c r="AM930" s="22">
        <f>IF($AE930="","",MAX(0,SUM($AE930,$AL930,$V930,$W930)))</f>
        <v/>
      </c>
      <c r="AN930" s="22">
        <f>IF($AM930="","",IF(AND($Q930="COMMITMENT",$R930&gt;=$AH930),$AI930,0))</f>
        <v/>
      </c>
      <c r="AO930" s="23">
        <f>IF($AM930="","",MAX(0,$AM930-$AN930))</f>
        <v/>
      </c>
      <c r="AP930" s="22">
        <f>IF($S930="","",IF(OR($S930="ITEM_PRICE_PLUS_DECLARED_DELIVERY",$S930="DELIVERY_CHARGE_ONLY"),$K930,IF($S930="TOTAL_AMOUNT_INCLUDING_DELIVERY",IF(OR($T930="",$J930=""),"",MAX(0,$T930-$J930-$U930)),IF($S930="ITEM_PRICE_ONLY_DELIVERY_PAID_BY_MERCHANT",0,""))))</f>
        <v/>
      </c>
      <c r="AQ930" s="23">
        <f>IF(OR($AP930="",$AO930=""),"",$AP930-$AO930)</f>
        <v/>
      </c>
      <c r="AR930" s="24">
        <f>IF($S930="EXACT_COLLECTION_AMOUNT","BREAKDOWN_REQUIRED",IF($AQ930="","",IF($AQ930&gt;0,"CREDIT_TO_MERCHANT",IF($AQ930&lt;0,"DEDUCT_FROM_MERCHANT","NO_ADJUSTMENT"))))</f>
        <v/>
      </c>
      <c r="AS930" s="23">
        <f>IF(OR($AQ930="",$AR930="BREAKDOWN_REQUIRED"),"",$AQ930)</f>
        <v/>
      </c>
      <c r="AT930" s="23">
        <f>IF(OR($AR930="",$AR930="BREAKDOWN_REQUIRED"),"",SUM($J930,$AQ930,$Y930)-$X930)</f>
        <v/>
      </c>
      <c r="AU930" s="25">
        <f>IF(AND($A930="",$B930="",$F930="",$H930="",$J930="",$K930="",$M930="",$S930=""),"",IF(OR($H930="",$Q930="",$M930="",$S930=""),"ERROR",IF(OR($J930&lt;0,$K930&lt;0,$M930&lt;0,$T930&lt;0,$U930&lt;0,$V930&lt;0,$W930&lt;0,$X930&lt;0,$Y930&lt;0),"ERROR",IF($AE930="","ERROR",IF(AND(OR($S930="ITEM_PRICE_PLUS_DECLARED_DELIVERY",$S930="TOTAL_AMOUNT_INCLUDING_DELIVERY",$S930="ITEM_PRICE_ONLY_DELIVERY_PAID_BY_MERCHANT"),$J930=""),"ERROR",IF(AND(OR($S930="ITEM_PRICE_PLUS_DECLARED_DELIVERY",$S930="DELIVERY_CHARGE_ONLY"),$K930=""),"ERROR",IF(AND(OR($S930="TOTAL_AMOUNT_INCLUDING_DELIVERY",$S930="EXACT_COLLECTION_AMOUNT"),$T930=""),"ERROR",IF(AND($S930="TOTAL_AMOUNT_INCLUDING_DELIVERY",$T930&lt;SUM($J930,$U930)),"ERROR",IF($S930="EXACT_COLLECTION_AMOUNT","REVIEW","OK")))))))))</f>
        <v/>
      </c>
      <c r="AV930" s="25">
        <f>IF($AU930="","",IF($H930="","Township required",IF($Q930="","Customer tier required",IF($M930="","Weight required",IF($S930="","Amount entry type required",IF(OR($J930&lt;0,$K930&lt;0,$M930&lt;0,$T930&lt;0,$U930&lt;0,$V930&lt;0,$W930&lt;0,$X930&lt;0,$Y930&lt;0),"Negative amounts are not allowed",IF($AE930="","Tariff not found for township and tier",IF(AND(OR($S930="ITEM_PRICE_PLUS_DECLARED_DELIVERY",$S930="TOTAL_AMOUNT_INCLUDING_DELIVERY",$S930="ITEM_PRICE_ONLY_DELIVERY_PAID_BY_MERCHANT"),$J930=""),"Item price required for this amount type",IF(AND(OR($S930="ITEM_PRICE_PLUS_DECLARED_DELIVERY",$S930="DELIVERY_CHARGE_ONLY"),$K930=""),"Declared delivery charge required",IF(AND(OR($S930="TOTAL_AMOUNT_INCLUDING_DELIVERY",$S930="EXACT_COLLECTION_AMOUNT"),$T930=""),"Stated total amount required",IF(AND($S930="TOTAL_AMOUNT_INCLUDING_DELIVERY",$T930&lt;SUM($J930,$U930)),"Stated total is below item price plus additional charge",IF($S930="EXACT_COLLECTION_AMOUNT","Authorized amount breakdown required before settlement","Ready for collection and settlement"))))))))))))</f>
        <v/>
      </c>
      <c r="AW930" s="23">
        <f>IF($AU930="","","PARCEL_FINANCIAL_V2")</f>
        <v/>
      </c>
      <c r="AX930" s="17" t="n"/>
    </row>
    <row r="931">
      <c r="A931" s="8" t="n"/>
      <c r="B931" s="8" t="n"/>
      <c r="C931" s="8" t="n"/>
      <c r="D931" s="8" t="n"/>
      <c r="E931" s="9" t="n"/>
      <c r="F931" s="9" t="n"/>
      <c r="G931" s="8" t="n"/>
      <c r="H931" s="9" t="n"/>
      <c r="I931" s="9" t="n"/>
      <c r="J931" s="10" t="n"/>
      <c r="K931" s="10" t="n"/>
      <c r="L931" s="11">
        <f>IF($S931="","",IF($S931="ITEM_PRICE_PLUS_DECLARED_DELIVERY",IF(OR($J931="",$K931=""),"",SUM($J931,$K931,$U931)),IF($S931="TOTAL_AMOUNT_INCLUDING_DELIVERY",IF($T931="","",$T931),IF($S931="DELIVERY_CHARGE_ONLY",IF($K931="","",SUM($K931,$U931)),IF($S931="EXACT_COLLECTION_AMOUNT",IF($T931="","",$T931),IF($S931="ITEM_PRICE_ONLY_DELIVERY_PAID_BY_MERCHANT",IF($J931="","",SUM($J931,$U931)),""))))))</f>
        <v/>
      </c>
      <c r="M931" s="12" t="n"/>
      <c r="N931" s="13" t="n"/>
      <c r="O931" s="13" t="n"/>
      <c r="P931" s="9" t="n"/>
      <c r="Q931" s="14" t="n"/>
      <c r="R931" s="15" t="n"/>
      <c r="S931" s="14" t="n"/>
      <c r="T931" s="16" t="n"/>
      <c r="U931" s="16" t="n"/>
      <c r="V931" s="16" t="n"/>
      <c r="W931" s="16" t="n"/>
      <c r="X931" s="16" t="n"/>
      <c r="Y931" s="16" t="n"/>
      <c r="Z931" s="14" t="n"/>
      <c r="AA931" s="14" t="n"/>
      <c r="AB931" s="14" t="n"/>
      <c r="AC931" s="17">
        <f>IFERROR(VLOOKUP($H931&amp;"|"&amp;$Q931,Tariff_Master!$A$2:$L$169,3,FALSE),"")</f>
        <v/>
      </c>
      <c r="AD931" s="17">
        <f>IFERROR(VLOOKUP($H931&amp;"|"&amp;$Q931,Tariff_Master!$A$2:$L$169,4,FALSE),"")</f>
        <v/>
      </c>
      <c r="AE931" s="18">
        <f>IFERROR(VLOOKUP($H931&amp;"|"&amp;$Q931,Tariff_Master!$A$2:$L$169,6,FALSE),"")</f>
        <v/>
      </c>
      <c r="AF931" s="19">
        <f>IFERROR(VLOOKUP($H931&amp;"|"&amp;$Q931,Tariff_Master!$A$2:$L$169,7,FALSE),"")</f>
        <v/>
      </c>
      <c r="AG931" s="18">
        <f>IFERROR(VLOOKUP($H931&amp;"|"&amp;$Q931,Tariff_Master!$A$2:$L$169,8,FALSE),"")</f>
        <v/>
      </c>
      <c r="AH931" s="20">
        <f>IFERROR(VLOOKUP($H931&amp;"|"&amp;$Q931,Tariff_Master!$A$2:$L$169,9,FALSE),"")</f>
        <v/>
      </c>
      <c r="AI931" s="18">
        <f>IFERROR(VLOOKUP($H931&amp;"|"&amp;$Q931,Tariff_Master!$A$2:$L$169,10,FALSE),"")</f>
        <v/>
      </c>
      <c r="AJ931" s="21">
        <f>IF($M931="","",ROUNDUP(MAX(0,$M931),0))</f>
        <v/>
      </c>
      <c r="AK931" s="21">
        <f>IF(OR($AJ931="",$AF931=""),"",MAX(0,$AJ931-$AF931))</f>
        <v/>
      </c>
      <c r="AL931" s="22">
        <f>IF(OR($AK931="",$AG931=""),"",MAX(0,$AK931*$AG931))</f>
        <v/>
      </c>
      <c r="AM931" s="22">
        <f>IF($AE931="","",MAX(0,SUM($AE931,$AL931,$V931,$W931)))</f>
        <v/>
      </c>
      <c r="AN931" s="22">
        <f>IF($AM931="","",IF(AND($Q931="COMMITMENT",$R931&gt;=$AH931),$AI931,0))</f>
        <v/>
      </c>
      <c r="AO931" s="23">
        <f>IF($AM931="","",MAX(0,$AM931-$AN931))</f>
        <v/>
      </c>
      <c r="AP931" s="22">
        <f>IF($S931="","",IF(OR($S931="ITEM_PRICE_PLUS_DECLARED_DELIVERY",$S931="DELIVERY_CHARGE_ONLY"),$K931,IF($S931="TOTAL_AMOUNT_INCLUDING_DELIVERY",IF(OR($T931="",$J931=""),"",MAX(0,$T931-$J931-$U931)),IF($S931="ITEM_PRICE_ONLY_DELIVERY_PAID_BY_MERCHANT",0,""))))</f>
        <v/>
      </c>
      <c r="AQ931" s="23">
        <f>IF(OR($AP931="",$AO931=""),"",$AP931-$AO931)</f>
        <v/>
      </c>
      <c r="AR931" s="24">
        <f>IF($S931="EXACT_COLLECTION_AMOUNT","BREAKDOWN_REQUIRED",IF($AQ931="","",IF($AQ931&gt;0,"CREDIT_TO_MERCHANT",IF($AQ931&lt;0,"DEDUCT_FROM_MERCHANT","NO_ADJUSTMENT"))))</f>
        <v/>
      </c>
      <c r="AS931" s="23">
        <f>IF(OR($AQ931="",$AR931="BREAKDOWN_REQUIRED"),"",$AQ931)</f>
        <v/>
      </c>
      <c r="AT931" s="23">
        <f>IF(OR($AR931="",$AR931="BREAKDOWN_REQUIRED"),"",SUM($J931,$AQ931,$Y931)-$X931)</f>
        <v/>
      </c>
      <c r="AU931" s="25">
        <f>IF(AND($A931="",$B931="",$F931="",$H931="",$J931="",$K931="",$M931="",$S931=""),"",IF(OR($H931="",$Q931="",$M931="",$S931=""),"ERROR",IF(OR($J931&lt;0,$K931&lt;0,$M931&lt;0,$T931&lt;0,$U931&lt;0,$V931&lt;0,$W931&lt;0,$X931&lt;0,$Y931&lt;0),"ERROR",IF($AE931="","ERROR",IF(AND(OR($S931="ITEM_PRICE_PLUS_DECLARED_DELIVERY",$S931="TOTAL_AMOUNT_INCLUDING_DELIVERY",$S931="ITEM_PRICE_ONLY_DELIVERY_PAID_BY_MERCHANT"),$J931=""),"ERROR",IF(AND(OR($S931="ITEM_PRICE_PLUS_DECLARED_DELIVERY",$S931="DELIVERY_CHARGE_ONLY"),$K931=""),"ERROR",IF(AND(OR($S931="TOTAL_AMOUNT_INCLUDING_DELIVERY",$S931="EXACT_COLLECTION_AMOUNT"),$T931=""),"ERROR",IF(AND($S931="TOTAL_AMOUNT_INCLUDING_DELIVERY",$T931&lt;SUM($J931,$U931)),"ERROR",IF($S931="EXACT_COLLECTION_AMOUNT","REVIEW","OK")))))))))</f>
        <v/>
      </c>
      <c r="AV931" s="25">
        <f>IF($AU931="","",IF($H931="","Township required",IF($Q931="","Customer tier required",IF($M931="","Weight required",IF($S931="","Amount entry type required",IF(OR($J931&lt;0,$K931&lt;0,$M931&lt;0,$T931&lt;0,$U931&lt;0,$V931&lt;0,$W931&lt;0,$X931&lt;0,$Y931&lt;0),"Negative amounts are not allowed",IF($AE931="","Tariff not found for township and tier",IF(AND(OR($S931="ITEM_PRICE_PLUS_DECLARED_DELIVERY",$S931="TOTAL_AMOUNT_INCLUDING_DELIVERY",$S931="ITEM_PRICE_ONLY_DELIVERY_PAID_BY_MERCHANT"),$J931=""),"Item price required for this amount type",IF(AND(OR($S931="ITEM_PRICE_PLUS_DECLARED_DELIVERY",$S931="DELIVERY_CHARGE_ONLY"),$K931=""),"Declared delivery charge required",IF(AND(OR($S931="TOTAL_AMOUNT_INCLUDING_DELIVERY",$S931="EXACT_COLLECTION_AMOUNT"),$T931=""),"Stated total amount required",IF(AND($S931="TOTAL_AMOUNT_INCLUDING_DELIVERY",$T931&lt;SUM($J931,$U931)),"Stated total is below item price plus additional charge",IF($S931="EXACT_COLLECTION_AMOUNT","Authorized amount breakdown required before settlement","Ready for collection and settlement"))))))))))))</f>
        <v/>
      </c>
      <c r="AW931" s="23">
        <f>IF($AU931="","","PARCEL_FINANCIAL_V2")</f>
        <v/>
      </c>
      <c r="AX931" s="17" t="n"/>
    </row>
    <row r="932">
      <c r="A932" s="8" t="n"/>
      <c r="B932" s="8" t="n"/>
      <c r="C932" s="8" t="n"/>
      <c r="D932" s="8" t="n"/>
      <c r="E932" s="9" t="n"/>
      <c r="F932" s="9" t="n"/>
      <c r="G932" s="8" t="n"/>
      <c r="H932" s="9" t="n"/>
      <c r="I932" s="9" t="n"/>
      <c r="J932" s="10" t="n"/>
      <c r="K932" s="10" t="n"/>
      <c r="L932" s="11">
        <f>IF($S932="","",IF($S932="ITEM_PRICE_PLUS_DECLARED_DELIVERY",IF(OR($J932="",$K932=""),"",SUM($J932,$K932,$U932)),IF($S932="TOTAL_AMOUNT_INCLUDING_DELIVERY",IF($T932="","",$T932),IF($S932="DELIVERY_CHARGE_ONLY",IF($K932="","",SUM($K932,$U932)),IF($S932="EXACT_COLLECTION_AMOUNT",IF($T932="","",$T932),IF($S932="ITEM_PRICE_ONLY_DELIVERY_PAID_BY_MERCHANT",IF($J932="","",SUM($J932,$U932)),""))))))</f>
        <v/>
      </c>
      <c r="M932" s="12" t="n"/>
      <c r="N932" s="13" t="n"/>
      <c r="O932" s="13" t="n"/>
      <c r="P932" s="9" t="n"/>
      <c r="Q932" s="14" t="n"/>
      <c r="R932" s="15" t="n"/>
      <c r="S932" s="14" t="n"/>
      <c r="T932" s="16" t="n"/>
      <c r="U932" s="16" t="n"/>
      <c r="V932" s="16" t="n"/>
      <c r="W932" s="16" t="n"/>
      <c r="X932" s="16" t="n"/>
      <c r="Y932" s="16" t="n"/>
      <c r="Z932" s="14" t="n"/>
      <c r="AA932" s="14" t="n"/>
      <c r="AB932" s="14" t="n"/>
      <c r="AC932" s="17">
        <f>IFERROR(VLOOKUP($H932&amp;"|"&amp;$Q932,Tariff_Master!$A$2:$L$169,3,FALSE),"")</f>
        <v/>
      </c>
      <c r="AD932" s="17">
        <f>IFERROR(VLOOKUP($H932&amp;"|"&amp;$Q932,Tariff_Master!$A$2:$L$169,4,FALSE),"")</f>
        <v/>
      </c>
      <c r="AE932" s="18">
        <f>IFERROR(VLOOKUP($H932&amp;"|"&amp;$Q932,Tariff_Master!$A$2:$L$169,6,FALSE),"")</f>
        <v/>
      </c>
      <c r="AF932" s="19">
        <f>IFERROR(VLOOKUP($H932&amp;"|"&amp;$Q932,Tariff_Master!$A$2:$L$169,7,FALSE),"")</f>
        <v/>
      </c>
      <c r="AG932" s="18">
        <f>IFERROR(VLOOKUP($H932&amp;"|"&amp;$Q932,Tariff_Master!$A$2:$L$169,8,FALSE),"")</f>
        <v/>
      </c>
      <c r="AH932" s="20">
        <f>IFERROR(VLOOKUP($H932&amp;"|"&amp;$Q932,Tariff_Master!$A$2:$L$169,9,FALSE),"")</f>
        <v/>
      </c>
      <c r="AI932" s="18">
        <f>IFERROR(VLOOKUP($H932&amp;"|"&amp;$Q932,Tariff_Master!$A$2:$L$169,10,FALSE),"")</f>
        <v/>
      </c>
      <c r="AJ932" s="21">
        <f>IF($M932="","",ROUNDUP(MAX(0,$M932),0))</f>
        <v/>
      </c>
      <c r="AK932" s="21">
        <f>IF(OR($AJ932="",$AF932=""),"",MAX(0,$AJ932-$AF932))</f>
        <v/>
      </c>
      <c r="AL932" s="22">
        <f>IF(OR($AK932="",$AG932=""),"",MAX(0,$AK932*$AG932))</f>
        <v/>
      </c>
      <c r="AM932" s="22">
        <f>IF($AE932="","",MAX(0,SUM($AE932,$AL932,$V932,$W932)))</f>
        <v/>
      </c>
      <c r="AN932" s="22">
        <f>IF($AM932="","",IF(AND($Q932="COMMITMENT",$R932&gt;=$AH932),$AI932,0))</f>
        <v/>
      </c>
      <c r="AO932" s="23">
        <f>IF($AM932="","",MAX(0,$AM932-$AN932))</f>
        <v/>
      </c>
      <c r="AP932" s="22">
        <f>IF($S932="","",IF(OR($S932="ITEM_PRICE_PLUS_DECLARED_DELIVERY",$S932="DELIVERY_CHARGE_ONLY"),$K932,IF($S932="TOTAL_AMOUNT_INCLUDING_DELIVERY",IF(OR($T932="",$J932=""),"",MAX(0,$T932-$J932-$U932)),IF($S932="ITEM_PRICE_ONLY_DELIVERY_PAID_BY_MERCHANT",0,""))))</f>
        <v/>
      </c>
      <c r="AQ932" s="23">
        <f>IF(OR($AP932="",$AO932=""),"",$AP932-$AO932)</f>
        <v/>
      </c>
      <c r="AR932" s="24">
        <f>IF($S932="EXACT_COLLECTION_AMOUNT","BREAKDOWN_REQUIRED",IF($AQ932="","",IF($AQ932&gt;0,"CREDIT_TO_MERCHANT",IF($AQ932&lt;0,"DEDUCT_FROM_MERCHANT","NO_ADJUSTMENT"))))</f>
        <v/>
      </c>
      <c r="AS932" s="23">
        <f>IF(OR($AQ932="",$AR932="BREAKDOWN_REQUIRED"),"",$AQ932)</f>
        <v/>
      </c>
      <c r="AT932" s="23">
        <f>IF(OR($AR932="",$AR932="BREAKDOWN_REQUIRED"),"",SUM($J932,$AQ932,$Y932)-$X932)</f>
        <v/>
      </c>
      <c r="AU932" s="25">
        <f>IF(AND($A932="",$B932="",$F932="",$H932="",$J932="",$K932="",$M932="",$S932=""),"",IF(OR($H932="",$Q932="",$M932="",$S932=""),"ERROR",IF(OR($J932&lt;0,$K932&lt;0,$M932&lt;0,$T932&lt;0,$U932&lt;0,$V932&lt;0,$W932&lt;0,$X932&lt;0,$Y932&lt;0),"ERROR",IF($AE932="","ERROR",IF(AND(OR($S932="ITEM_PRICE_PLUS_DECLARED_DELIVERY",$S932="TOTAL_AMOUNT_INCLUDING_DELIVERY",$S932="ITEM_PRICE_ONLY_DELIVERY_PAID_BY_MERCHANT"),$J932=""),"ERROR",IF(AND(OR($S932="ITEM_PRICE_PLUS_DECLARED_DELIVERY",$S932="DELIVERY_CHARGE_ONLY"),$K932=""),"ERROR",IF(AND(OR($S932="TOTAL_AMOUNT_INCLUDING_DELIVERY",$S932="EXACT_COLLECTION_AMOUNT"),$T932=""),"ERROR",IF(AND($S932="TOTAL_AMOUNT_INCLUDING_DELIVERY",$T932&lt;SUM($J932,$U932)),"ERROR",IF($S932="EXACT_COLLECTION_AMOUNT","REVIEW","OK")))))))))</f>
        <v/>
      </c>
      <c r="AV932" s="25">
        <f>IF($AU932="","",IF($H932="","Township required",IF($Q932="","Customer tier required",IF($M932="","Weight required",IF($S932="","Amount entry type required",IF(OR($J932&lt;0,$K932&lt;0,$M932&lt;0,$T932&lt;0,$U932&lt;0,$V932&lt;0,$W932&lt;0,$X932&lt;0,$Y932&lt;0),"Negative amounts are not allowed",IF($AE932="","Tariff not found for township and tier",IF(AND(OR($S932="ITEM_PRICE_PLUS_DECLARED_DELIVERY",$S932="TOTAL_AMOUNT_INCLUDING_DELIVERY",$S932="ITEM_PRICE_ONLY_DELIVERY_PAID_BY_MERCHANT"),$J932=""),"Item price required for this amount type",IF(AND(OR($S932="ITEM_PRICE_PLUS_DECLARED_DELIVERY",$S932="DELIVERY_CHARGE_ONLY"),$K932=""),"Declared delivery charge required",IF(AND(OR($S932="TOTAL_AMOUNT_INCLUDING_DELIVERY",$S932="EXACT_COLLECTION_AMOUNT"),$T932=""),"Stated total amount required",IF(AND($S932="TOTAL_AMOUNT_INCLUDING_DELIVERY",$T932&lt;SUM($J932,$U932)),"Stated total is below item price plus additional charge",IF($S932="EXACT_COLLECTION_AMOUNT","Authorized amount breakdown required before settlement","Ready for collection and settlement"))))))))))))</f>
        <v/>
      </c>
      <c r="AW932" s="23">
        <f>IF($AU932="","","PARCEL_FINANCIAL_V2")</f>
        <v/>
      </c>
      <c r="AX932" s="17" t="n"/>
    </row>
    <row r="933">
      <c r="A933" s="8" t="n"/>
      <c r="B933" s="8" t="n"/>
      <c r="C933" s="8" t="n"/>
      <c r="D933" s="8" t="n"/>
      <c r="E933" s="9" t="n"/>
      <c r="F933" s="9" t="n"/>
      <c r="G933" s="8" t="n"/>
      <c r="H933" s="9" t="n"/>
      <c r="I933" s="9" t="n"/>
      <c r="J933" s="10" t="n"/>
      <c r="K933" s="10" t="n"/>
      <c r="L933" s="11">
        <f>IF($S933="","",IF($S933="ITEM_PRICE_PLUS_DECLARED_DELIVERY",IF(OR($J933="",$K933=""),"",SUM($J933,$K933,$U933)),IF($S933="TOTAL_AMOUNT_INCLUDING_DELIVERY",IF($T933="","",$T933),IF($S933="DELIVERY_CHARGE_ONLY",IF($K933="","",SUM($K933,$U933)),IF($S933="EXACT_COLLECTION_AMOUNT",IF($T933="","",$T933),IF($S933="ITEM_PRICE_ONLY_DELIVERY_PAID_BY_MERCHANT",IF($J933="","",SUM($J933,$U933)),""))))))</f>
        <v/>
      </c>
      <c r="M933" s="12" t="n"/>
      <c r="N933" s="13" t="n"/>
      <c r="O933" s="13" t="n"/>
      <c r="P933" s="9" t="n"/>
      <c r="Q933" s="14" t="n"/>
      <c r="R933" s="15" t="n"/>
      <c r="S933" s="14" t="n"/>
      <c r="T933" s="16" t="n"/>
      <c r="U933" s="16" t="n"/>
      <c r="V933" s="16" t="n"/>
      <c r="W933" s="16" t="n"/>
      <c r="X933" s="16" t="n"/>
      <c r="Y933" s="16" t="n"/>
      <c r="Z933" s="14" t="n"/>
      <c r="AA933" s="14" t="n"/>
      <c r="AB933" s="14" t="n"/>
      <c r="AC933" s="17">
        <f>IFERROR(VLOOKUP($H933&amp;"|"&amp;$Q933,Tariff_Master!$A$2:$L$169,3,FALSE),"")</f>
        <v/>
      </c>
      <c r="AD933" s="17">
        <f>IFERROR(VLOOKUP($H933&amp;"|"&amp;$Q933,Tariff_Master!$A$2:$L$169,4,FALSE),"")</f>
        <v/>
      </c>
      <c r="AE933" s="18">
        <f>IFERROR(VLOOKUP($H933&amp;"|"&amp;$Q933,Tariff_Master!$A$2:$L$169,6,FALSE),"")</f>
        <v/>
      </c>
      <c r="AF933" s="19">
        <f>IFERROR(VLOOKUP($H933&amp;"|"&amp;$Q933,Tariff_Master!$A$2:$L$169,7,FALSE),"")</f>
        <v/>
      </c>
      <c r="AG933" s="18">
        <f>IFERROR(VLOOKUP($H933&amp;"|"&amp;$Q933,Tariff_Master!$A$2:$L$169,8,FALSE),"")</f>
        <v/>
      </c>
      <c r="AH933" s="20">
        <f>IFERROR(VLOOKUP($H933&amp;"|"&amp;$Q933,Tariff_Master!$A$2:$L$169,9,FALSE),"")</f>
        <v/>
      </c>
      <c r="AI933" s="18">
        <f>IFERROR(VLOOKUP($H933&amp;"|"&amp;$Q933,Tariff_Master!$A$2:$L$169,10,FALSE),"")</f>
        <v/>
      </c>
      <c r="AJ933" s="21">
        <f>IF($M933="","",ROUNDUP(MAX(0,$M933),0))</f>
        <v/>
      </c>
      <c r="AK933" s="21">
        <f>IF(OR($AJ933="",$AF933=""),"",MAX(0,$AJ933-$AF933))</f>
        <v/>
      </c>
      <c r="AL933" s="22">
        <f>IF(OR($AK933="",$AG933=""),"",MAX(0,$AK933*$AG933))</f>
        <v/>
      </c>
      <c r="AM933" s="22">
        <f>IF($AE933="","",MAX(0,SUM($AE933,$AL933,$V933,$W933)))</f>
        <v/>
      </c>
      <c r="AN933" s="22">
        <f>IF($AM933="","",IF(AND($Q933="COMMITMENT",$R933&gt;=$AH933),$AI933,0))</f>
        <v/>
      </c>
      <c r="AO933" s="23">
        <f>IF($AM933="","",MAX(0,$AM933-$AN933))</f>
        <v/>
      </c>
      <c r="AP933" s="22">
        <f>IF($S933="","",IF(OR($S933="ITEM_PRICE_PLUS_DECLARED_DELIVERY",$S933="DELIVERY_CHARGE_ONLY"),$K933,IF($S933="TOTAL_AMOUNT_INCLUDING_DELIVERY",IF(OR($T933="",$J933=""),"",MAX(0,$T933-$J933-$U933)),IF($S933="ITEM_PRICE_ONLY_DELIVERY_PAID_BY_MERCHANT",0,""))))</f>
        <v/>
      </c>
      <c r="AQ933" s="23">
        <f>IF(OR($AP933="",$AO933=""),"",$AP933-$AO933)</f>
        <v/>
      </c>
      <c r="AR933" s="24">
        <f>IF($S933="EXACT_COLLECTION_AMOUNT","BREAKDOWN_REQUIRED",IF($AQ933="","",IF($AQ933&gt;0,"CREDIT_TO_MERCHANT",IF($AQ933&lt;0,"DEDUCT_FROM_MERCHANT","NO_ADJUSTMENT"))))</f>
        <v/>
      </c>
      <c r="AS933" s="23">
        <f>IF(OR($AQ933="",$AR933="BREAKDOWN_REQUIRED"),"",$AQ933)</f>
        <v/>
      </c>
      <c r="AT933" s="23">
        <f>IF(OR($AR933="",$AR933="BREAKDOWN_REQUIRED"),"",SUM($J933,$AQ933,$Y933)-$X933)</f>
        <v/>
      </c>
      <c r="AU933" s="25">
        <f>IF(AND($A933="",$B933="",$F933="",$H933="",$J933="",$K933="",$M933="",$S933=""),"",IF(OR($H933="",$Q933="",$M933="",$S933=""),"ERROR",IF(OR($J933&lt;0,$K933&lt;0,$M933&lt;0,$T933&lt;0,$U933&lt;0,$V933&lt;0,$W933&lt;0,$X933&lt;0,$Y933&lt;0),"ERROR",IF($AE933="","ERROR",IF(AND(OR($S933="ITEM_PRICE_PLUS_DECLARED_DELIVERY",$S933="TOTAL_AMOUNT_INCLUDING_DELIVERY",$S933="ITEM_PRICE_ONLY_DELIVERY_PAID_BY_MERCHANT"),$J933=""),"ERROR",IF(AND(OR($S933="ITEM_PRICE_PLUS_DECLARED_DELIVERY",$S933="DELIVERY_CHARGE_ONLY"),$K933=""),"ERROR",IF(AND(OR($S933="TOTAL_AMOUNT_INCLUDING_DELIVERY",$S933="EXACT_COLLECTION_AMOUNT"),$T933=""),"ERROR",IF(AND($S933="TOTAL_AMOUNT_INCLUDING_DELIVERY",$T933&lt;SUM($J933,$U933)),"ERROR",IF($S933="EXACT_COLLECTION_AMOUNT","REVIEW","OK")))))))))</f>
        <v/>
      </c>
      <c r="AV933" s="25">
        <f>IF($AU933="","",IF($H933="","Township required",IF($Q933="","Customer tier required",IF($M933="","Weight required",IF($S933="","Amount entry type required",IF(OR($J933&lt;0,$K933&lt;0,$M933&lt;0,$T933&lt;0,$U933&lt;0,$V933&lt;0,$W933&lt;0,$X933&lt;0,$Y933&lt;0),"Negative amounts are not allowed",IF($AE933="","Tariff not found for township and tier",IF(AND(OR($S933="ITEM_PRICE_PLUS_DECLARED_DELIVERY",$S933="TOTAL_AMOUNT_INCLUDING_DELIVERY",$S933="ITEM_PRICE_ONLY_DELIVERY_PAID_BY_MERCHANT"),$J933=""),"Item price required for this amount type",IF(AND(OR($S933="ITEM_PRICE_PLUS_DECLARED_DELIVERY",$S933="DELIVERY_CHARGE_ONLY"),$K933=""),"Declared delivery charge required",IF(AND(OR($S933="TOTAL_AMOUNT_INCLUDING_DELIVERY",$S933="EXACT_COLLECTION_AMOUNT"),$T933=""),"Stated total amount required",IF(AND($S933="TOTAL_AMOUNT_INCLUDING_DELIVERY",$T933&lt;SUM($J933,$U933)),"Stated total is below item price plus additional charge",IF($S933="EXACT_COLLECTION_AMOUNT","Authorized amount breakdown required before settlement","Ready for collection and settlement"))))))))))))</f>
        <v/>
      </c>
      <c r="AW933" s="23">
        <f>IF($AU933="","","PARCEL_FINANCIAL_V2")</f>
        <v/>
      </c>
      <c r="AX933" s="17" t="n"/>
    </row>
    <row r="934">
      <c r="A934" s="8" t="n"/>
      <c r="B934" s="8" t="n"/>
      <c r="C934" s="8" t="n"/>
      <c r="D934" s="8" t="n"/>
      <c r="E934" s="9" t="n"/>
      <c r="F934" s="9" t="n"/>
      <c r="G934" s="8" t="n"/>
      <c r="H934" s="9" t="n"/>
      <c r="I934" s="9" t="n"/>
      <c r="J934" s="10" t="n"/>
      <c r="K934" s="10" t="n"/>
      <c r="L934" s="11">
        <f>IF($S934="","",IF($S934="ITEM_PRICE_PLUS_DECLARED_DELIVERY",IF(OR($J934="",$K934=""),"",SUM($J934,$K934,$U934)),IF($S934="TOTAL_AMOUNT_INCLUDING_DELIVERY",IF($T934="","",$T934),IF($S934="DELIVERY_CHARGE_ONLY",IF($K934="","",SUM($K934,$U934)),IF($S934="EXACT_COLLECTION_AMOUNT",IF($T934="","",$T934),IF($S934="ITEM_PRICE_ONLY_DELIVERY_PAID_BY_MERCHANT",IF($J934="","",SUM($J934,$U934)),""))))))</f>
        <v/>
      </c>
      <c r="M934" s="12" t="n"/>
      <c r="N934" s="13" t="n"/>
      <c r="O934" s="13" t="n"/>
      <c r="P934" s="9" t="n"/>
      <c r="Q934" s="14" t="n"/>
      <c r="R934" s="15" t="n"/>
      <c r="S934" s="14" t="n"/>
      <c r="T934" s="16" t="n"/>
      <c r="U934" s="16" t="n"/>
      <c r="V934" s="16" t="n"/>
      <c r="W934" s="16" t="n"/>
      <c r="X934" s="16" t="n"/>
      <c r="Y934" s="16" t="n"/>
      <c r="Z934" s="14" t="n"/>
      <c r="AA934" s="14" t="n"/>
      <c r="AB934" s="14" t="n"/>
      <c r="AC934" s="17">
        <f>IFERROR(VLOOKUP($H934&amp;"|"&amp;$Q934,Tariff_Master!$A$2:$L$169,3,FALSE),"")</f>
        <v/>
      </c>
      <c r="AD934" s="17">
        <f>IFERROR(VLOOKUP($H934&amp;"|"&amp;$Q934,Tariff_Master!$A$2:$L$169,4,FALSE),"")</f>
        <v/>
      </c>
      <c r="AE934" s="18">
        <f>IFERROR(VLOOKUP($H934&amp;"|"&amp;$Q934,Tariff_Master!$A$2:$L$169,6,FALSE),"")</f>
        <v/>
      </c>
      <c r="AF934" s="19">
        <f>IFERROR(VLOOKUP($H934&amp;"|"&amp;$Q934,Tariff_Master!$A$2:$L$169,7,FALSE),"")</f>
        <v/>
      </c>
      <c r="AG934" s="18">
        <f>IFERROR(VLOOKUP($H934&amp;"|"&amp;$Q934,Tariff_Master!$A$2:$L$169,8,FALSE),"")</f>
        <v/>
      </c>
      <c r="AH934" s="20">
        <f>IFERROR(VLOOKUP($H934&amp;"|"&amp;$Q934,Tariff_Master!$A$2:$L$169,9,FALSE),"")</f>
        <v/>
      </c>
      <c r="AI934" s="18">
        <f>IFERROR(VLOOKUP($H934&amp;"|"&amp;$Q934,Tariff_Master!$A$2:$L$169,10,FALSE),"")</f>
        <v/>
      </c>
      <c r="AJ934" s="21">
        <f>IF($M934="","",ROUNDUP(MAX(0,$M934),0))</f>
        <v/>
      </c>
      <c r="AK934" s="21">
        <f>IF(OR($AJ934="",$AF934=""),"",MAX(0,$AJ934-$AF934))</f>
        <v/>
      </c>
      <c r="AL934" s="22">
        <f>IF(OR($AK934="",$AG934=""),"",MAX(0,$AK934*$AG934))</f>
        <v/>
      </c>
      <c r="AM934" s="22">
        <f>IF($AE934="","",MAX(0,SUM($AE934,$AL934,$V934,$W934)))</f>
        <v/>
      </c>
      <c r="AN934" s="22">
        <f>IF($AM934="","",IF(AND($Q934="COMMITMENT",$R934&gt;=$AH934),$AI934,0))</f>
        <v/>
      </c>
      <c r="AO934" s="23">
        <f>IF($AM934="","",MAX(0,$AM934-$AN934))</f>
        <v/>
      </c>
      <c r="AP934" s="22">
        <f>IF($S934="","",IF(OR($S934="ITEM_PRICE_PLUS_DECLARED_DELIVERY",$S934="DELIVERY_CHARGE_ONLY"),$K934,IF($S934="TOTAL_AMOUNT_INCLUDING_DELIVERY",IF(OR($T934="",$J934=""),"",MAX(0,$T934-$J934-$U934)),IF($S934="ITEM_PRICE_ONLY_DELIVERY_PAID_BY_MERCHANT",0,""))))</f>
        <v/>
      </c>
      <c r="AQ934" s="23">
        <f>IF(OR($AP934="",$AO934=""),"",$AP934-$AO934)</f>
        <v/>
      </c>
      <c r="AR934" s="24">
        <f>IF($S934="EXACT_COLLECTION_AMOUNT","BREAKDOWN_REQUIRED",IF($AQ934="","",IF($AQ934&gt;0,"CREDIT_TO_MERCHANT",IF($AQ934&lt;0,"DEDUCT_FROM_MERCHANT","NO_ADJUSTMENT"))))</f>
        <v/>
      </c>
      <c r="AS934" s="23">
        <f>IF(OR($AQ934="",$AR934="BREAKDOWN_REQUIRED"),"",$AQ934)</f>
        <v/>
      </c>
      <c r="AT934" s="23">
        <f>IF(OR($AR934="",$AR934="BREAKDOWN_REQUIRED"),"",SUM($J934,$AQ934,$Y934)-$X934)</f>
        <v/>
      </c>
      <c r="AU934" s="25">
        <f>IF(AND($A934="",$B934="",$F934="",$H934="",$J934="",$K934="",$M934="",$S934=""),"",IF(OR($H934="",$Q934="",$M934="",$S934=""),"ERROR",IF(OR($J934&lt;0,$K934&lt;0,$M934&lt;0,$T934&lt;0,$U934&lt;0,$V934&lt;0,$W934&lt;0,$X934&lt;0,$Y934&lt;0),"ERROR",IF($AE934="","ERROR",IF(AND(OR($S934="ITEM_PRICE_PLUS_DECLARED_DELIVERY",$S934="TOTAL_AMOUNT_INCLUDING_DELIVERY",$S934="ITEM_PRICE_ONLY_DELIVERY_PAID_BY_MERCHANT"),$J934=""),"ERROR",IF(AND(OR($S934="ITEM_PRICE_PLUS_DECLARED_DELIVERY",$S934="DELIVERY_CHARGE_ONLY"),$K934=""),"ERROR",IF(AND(OR($S934="TOTAL_AMOUNT_INCLUDING_DELIVERY",$S934="EXACT_COLLECTION_AMOUNT"),$T934=""),"ERROR",IF(AND($S934="TOTAL_AMOUNT_INCLUDING_DELIVERY",$T934&lt;SUM($J934,$U934)),"ERROR",IF($S934="EXACT_COLLECTION_AMOUNT","REVIEW","OK")))))))))</f>
        <v/>
      </c>
      <c r="AV934" s="25">
        <f>IF($AU934="","",IF($H934="","Township required",IF($Q934="","Customer tier required",IF($M934="","Weight required",IF($S934="","Amount entry type required",IF(OR($J934&lt;0,$K934&lt;0,$M934&lt;0,$T934&lt;0,$U934&lt;0,$V934&lt;0,$W934&lt;0,$X934&lt;0,$Y934&lt;0),"Negative amounts are not allowed",IF($AE934="","Tariff not found for township and tier",IF(AND(OR($S934="ITEM_PRICE_PLUS_DECLARED_DELIVERY",$S934="TOTAL_AMOUNT_INCLUDING_DELIVERY",$S934="ITEM_PRICE_ONLY_DELIVERY_PAID_BY_MERCHANT"),$J934=""),"Item price required for this amount type",IF(AND(OR($S934="ITEM_PRICE_PLUS_DECLARED_DELIVERY",$S934="DELIVERY_CHARGE_ONLY"),$K934=""),"Declared delivery charge required",IF(AND(OR($S934="TOTAL_AMOUNT_INCLUDING_DELIVERY",$S934="EXACT_COLLECTION_AMOUNT"),$T934=""),"Stated total amount required",IF(AND($S934="TOTAL_AMOUNT_INCLUDING_DELIVERY",$T934&lt;SUM($J934,$U934)),"Stated total is below item price plus additional charge",IF($S934="EXACT_COLLECTION_AMOUNT","Authorized amount breakdown required before settlement","Ready for collection and settlement"))))))))))))</f>
        <v/>
      </c>
      <c r="AW934" s="23">
        <f>IF($AU934="","","PARCEL_FINANCIAL_V2")</f>
        <v/>
      </c>
      <c r="AX934" s="17" t="n"/>
    </row>
    <row r="935">
      <c r="A935" s="8" t="n"/>
      <c r="B935" s="8" t="n"/>
      <c r="C935" s="8" t="n"/>
      <c r="D935" s="8" t="n"/>
      <c r="E935" s="9" t="n"/>
      <c r="F935" s="9" t="n"/>
      <c r="G935" s="8" t="n"/>
      <c r="H935" s="9" t="n"/>
      <c r="I935" s="9" t="n"/>
      <c r="J935" s="10" t="n"/>
      <c r="K935" s="10" t="n"/>
      <c r="L935" s="11">
        <f>IF($S935="","",IF($S935="ITEM_PRICE_PLUS_DECLARED_DELIVERY",IF(OR($J935="",$K935=""),"",SUM($J935,$K935,$U935)),IF($S935="TOTAL_AMOUNT_INCLUDING_DELIVERY",IF($T935="","",$T935),IF($S935="DELIVERY_CHARGE_ONLY",IF($K935="","",SUM($K935,$U935)),IF($S935="EXACT_COLLECTION_AMOUNT",IF($T935="","",$T935),IF($S935="ITEM_PRICE_ONLY_DELIVERY_PAID_BY_MERCHANT",IF($J935="","",SUM($J935,$U935)),""))))))</f>
        <v/>
      </c>
      <c r="M935" s="12" t="n"/>
      <c r="N935" s="13" t="n"/>
      <c r="O935" s="13" t="n"/>
      <c r="P935" s="9" t="n"/>
      <c r="Q935" s="14" t="n"/>
      <c r="R935" s="15" t="n"/>
      <c r="S935" s="14" t="n"/>
      <c r="T935" s="16" t="n"/>
      <c r="U935" s="16" t="n"/>
      <c r="V935" s="16" t="n"/>
      <c r="W935" s="16" t="n"/>
      <c r="X935" s="16" t="n"/>
      <c r="Y935" s="16" t="n"/>
      <c r="Z935" s="14" t="n"/>
      <c r="AA935" s="14" t="n"/>
      <c r="AB935" s="14" t="n"/>
      <c r="AC935" s="17">
        <f>IFERROR(VLOOKUP($H935&amp;"|"&amp;$Q935,Tariff_Master!$A$2:$L$169,3,FALSE),"")</f>
        <v/>
      </c>
      <c r="AD935" s="17">
        <f>IFERROR(VLOOKUP($H935&amp;"|"&amp;$Q935,Tariff_Master!$A$2:$L$169,4,FALSE),"")</f>
        <v/>
      </c>
      <c r="AE935" s="18">
        <f>IFERROR(VLOOKUP($H935&amp;"|"&amp;$Q935,Tariff_Master!$A$2:$L$169,6,FALSE),"")</f>
        <v/>
      </c>
      <c r="AF935" s="19">
        <f>IFERROR(VLOOKUP($H935&amp;"|"&amp;$Q935,Tariff_Master!$A$2:$L$169,7,FALSE),"")</f>
        <v/>
      </c>
      <c r="AG935" s="18">
        <f>IFERROR(VLOOKUP($H935&amp;"|"&amp;$Q935,Tariff_Master!$A$2:$L$169,8,FALSE),"")</f>
        <v/>
      </c>
      <c r="AH935" s="20">
        <f>IFERROR(VLOOKUP($H935&amp;"|"&amp;$Q935,Tariff_Master!$A$2:$L$169,9,FALSE),"")</f>
        <v/>
      </c>
      <c r="AI935" s="18">
        <f>IFERROR(VLOOKUP($H935&amp;"|"&amp;$Q935,Tariff_Master!$A$2:$L$169,10,FALSE),"")</f>
        <v/>
      </c>
      <c r="AJ935" s="21">
        <f>IF($M935="","",ROUNDUP(MAX(0,$M935),0))</f>
        <v/>
      </c>
      <c r="AK935" s="21">
        <f>IF(OR($AJ935="",$AF935=""),"",MAX(0,$AJ935-$AF935))</f>
        <v/>
      </c>
      <c r="AL935" s="22">
        <f>IF(OR($AK935="",$AG935=""),"",MAX(0,$AK935*$AG935))</f>
        <v/>
      </c>
      <c r="AM935" s="22">
        <f>IF($AE935="","",MAX(0,SUM($AE935,$AL935,$V935,$W935)))</f>
        <v/>
      </c>
      <c r="AN935" s="22">
        <f>IF($AM935="","",IF(AND($Q935="COMMITMENT",$R935&gt;=$AH935),$AI935,0))</f>
        <v/>
      </c>
      <c r="AO935" s="23">
        <f>IF($AM935="","",MAX(0,$AM935-$AN935))</f>
        <v/>
      </c>
      <c r="AP935" s="22">
        <f>IF($S935="","",IF(OR($S935="ITEM_PRICE_PLUS_DECLARED_DELIVERY",$S935="DELIVERY_CHARGE_ONLY"),$K935,IF($S935="TOTAL_AMOUNT_INCLUDING_DELIVERY",IF(OR($T935="",$J935=""),"",MAX(0,$T935-$J935-$U935)),IF($S935="ITEM_PRICE_ONLY_DELIVERY_PAID_BY_MERCHANT",0,""))))</f>
        <v/>
      </c>
      <c r="AQ935" s="23">
        <f>IF(OR($AP935="",$AO935=""),"",$AP935-$AO935)</f>
        <v/>
      </c>
      <c r="AR935" s="24">
        <f>IF($S935="EXACT_COLLECTION_AMOUNT","BREAKDOWN_REQUIRED",IF($AQ935="","",IF($AQ935&gt;0,"CREDIT_TO_MERCHANT",IF($AQ935&lt;0,"DEDUCT_FROM_MERCHANT","NO_ADJUSTMENT"))))</f>
        <v/>
      </c>
      <c r="AS935" s="23">
        <f>IF(OR($AQ935="",$AR935="BREAKDOWN_REQUIRED"),"",$AQ935)</f>
        <v/>
      </c>
      <c r="AT935" s="23">
        <f>IF(OR($AR935="",$AR935="BREAKDOWN_REQUIRED"),"",SUM($J935,$AQ935,$Y935)-$X935)</f>
        <v/>
      </c>
      <c r="AU935" s="25">
        <f>IF(AND($A935="",$B935="",$F935="",$H935="",$J935="",$K935="",$M935="",$S935=""),"",IF(OR($H935="",$Q935="",$M935="",$S935=""),"ERROR",IF(OR($J935&lt;0,$K935&lt;0,$M935&lt;0,$T935&lt;0,$U935&lt;0,$V935&lt;0,$W935&lt;0,$X935&lt;0,$Y935&lt;0),"ERROR",IF($AE935="","ERROR",IF(AND(OR($S935="ITEM_PRICE_PLUS_DECLARED_DELIVERY",$S935="TOTAL_AMOUNT_INCLUDING_DELIVERY",$S935="ITEM_PRICE_ONLY_DELIVERY_PAID_BY_MERCHANT"),$J935=""),"ERROR",IF(AND(OR($S935="ITEM_PRICE_PLUS_DECLARED_DELIVERY",$S935="DELIVERY_CHARGE_ONLY"),$K935=""),"ERROR",IF(AND(OR($S935="TOTAL_AMOUNT_INCLUDING_DELIVERY",$S935="EXACT_COLLECTION_AMOUNT"),$T935=""),"ERROR",IF(AND($S935="TOTAL_AMOUNT_INCLUDING_DELIVERY",$T935&lt;SUM($J935,$U935)),"ERROR",IF($S935="EXACT_COLLECTION_AMOUNT","REVIEW","OK")))))))))</f>
        <v/>
      </c>
      <c r="AV935" s="25">
        <f>IF($AU935="","",IF($H935="","Township required",IF($Q935="","Customer tier required",IF($M935="","Weight required",IF($S935="","Amount entry type required",IF(OR($J935&lt;0,$K935&lt;0,$M935&lt;0,$T935&lt;0,$U935&lt;0,$V935&lt;0,$W935&lt;0,$X935&lt;0,$Y935&lt;0),"Negative amounts are not allowed",IF($AE935="","Tariff not found for township and tier",IF(AND(OR($S935="ITEM_PRICE_PLUS_DECLARED_DELIVERY",$S935="TOTAL_AMOUNT_INCLUDING_DELIVERY",$S935="ITEM_PRICE_ONLY_DELIVERY_PAID_BY_MERCHANT"),$J935=""),"Item price required for this amount type",IF(AND(OR($S935="ITEM_PRICE_PLUS_DECLARED_DELIVERY",$S935="DELIVERY_CHARGE_ONLY"),$K935=""),"Declared delivery charge required",IF(AND(OR($S935="TOTAL_AMOUNT_INCLUDING_DELIVERY",$S935="EXACT_COLLECTION_AMOUNT"),$T935=""),"Stated total amount required",IF(AND($S935="TOTAL_AMOUNT_INCLUDING_DELIVERY",$T935&lt;SUM($J935,$U935)),"Stated total is below item price plus additional charge",IF($S935="EXACT_COLLECTION_AMOUNT","Authorized amount breakdown required before settlement","Ready for collection and settlement"))))))))))))</f>
        <v/>
      </c>
      <c r="AW935" s="23">
        <f>IF($AU935="","","PARCEL_FINANCIAL_V2")</f>
        <v/>
      </c>
      <c r="AX935" s="17" t="n"/>
    </row>
    <row r="936">
      <c r="A936" s="8" t="n"/>
      <c r="B936" s="8" t="n"/>
      <c r="C936" s="8" t="n"/>
      <c r="D936" s="8" t="n"/>
      <c r="E936" s="9" t="n"/>
      <c r="F936" s="9" t="n"/>
      <c r="G936" s="8" t="n"/>
      <c r="H936" s="9" t="n"/>
      <c r="I936" s="9" t="n"/>
      <c r="J936" s="10" t="n"/>
      <c r="K936" s="10" t="n"/>
      <c r="L936" s="11">
        <f>IF($S936="","",IF($S936="ITEM_PRICE_PLUS_DECLARED_DELIVERY",IF(OR($J936="",$K936=""),"",SUM($J936,$K936,$U936)),IF($S936="TOTAL_AMOUNT_INCLUDING_DELIVERY",IF($T936="","",$T936),IF($S936="DELIVERY_CHARGE_ONLY",IF($K936="","",SUM($K936,$U936)),IF($S936="EXACT_COLLECTION_AMOUNT",IF($T936="","",$T936),IF($S936="ITEM_PRICE_ONLY_DELIVERY_PAID_BY_MERCHANT",IF($J936="","",SUM($J936,$U936)),""))))))</f>
        <v/>
      </c>
      <c r="M936" s="12" t="n"/>
      <c r="N936" s="13" t="n"/>
      <c r="O936" s="13" t="n"/>
      <c r="P936" s="9" t="n"/>
      <c r="Q936" s="14" t="n"/>
      <c r="R936" s="15" t="n"/>
      <c r="S936" s="14" t="n"/>
      <c r="T936" s="16" t="n"/>
      <c r="U936" s="16" t="n"/>
      <c r="V936" s="16" t="n"/>
      <c r="W936" s="16" t="n"/>
      <c r="X936" s="16" t="n"/>
      <c r="Y936" s="16" t="n"/>
      <c r="Z936" s="14" t="n"/>
      <c r="AA936" s="14" t="n"/>
      <c r="AB936" s="14" t="n"/>
      <c r="AC936" s="17">
        <f>IFERROR(VLOOKUP($H936&amp;"|"&amp;$Q936,Tariff_Master!$A$2:$L$169,3,FALSE),"")</f>
        <v/>
      </c>
      <c r="AD936" s="17">
        <f>IFERROR(VLOOKUP($H936&amp;"|"&amp;$Q936,Tariff_Master!$A$2:$L$169,4,FALSE),"")</f>
        <v/>
      </c>
      <c r="AE936" s="18">
        <f>IFERROR(VLOOKUP($H936&amp;"|"&amp;$Q936,Tariff_Master!$A$2:$L$169,6,FALSE),"")</f>
        <v/>
      </c>
      <c r="AF936" s="19">
        <f>IFERROR(VLOOKUP($H936&amp;"|"&amp;$Q936,Tariff_Master!$A$2:$L$169,7,FALSE),"")</f>
        <v/>
      </c>
      <c r="AG936" s="18">
        <f>IFERROR(VLOOKUP($H936&amp;"|"&amp;$Q936,Tariff_Master!$A$2:$L$169,8,FALSE),"")</f>
        <v/>
      </c>
      <c r="AH936" s="20">
        <f>IFERROR(VLOOKUP($H936&amp;"|"&amp;$Q936,Tariff_Master!$A$2:$L$169,9,FALSE),"")</f>
        <v/>
      </c>
      <c r="AI936" s="18">
        <f>IFERROR(VLOOKUP($H936&amp;"|"&amp;$Q936,Tariff_Master!$A$2:$L$169,10,FALSE),"")</f>
        <v/>
      </c>
      <c r="AJ936" s="21">
        <f>IF($M936="","",ROUNDUP(MAX(0,$M936),0))</f>
        <v/>
      </c>
      <c r="AK936" s="21">
        <f>IF(OR($AJ936="",$AF936=""),"",MAX(0,$AJ936-$AF936))</f>
        <v/>
      </c>
      <c r="AL936" s="22">
        <f>IF(OR($AK936="",$AG936=""),"",MAX(0,$AK936*$AG936))</f>
        <v/>
      </c>
      <c r="AM936" s="22">
        <f>IF($AE936="","",MAX(0,SUM($AE936,$AL936,$V936,$W936)))</f>
        <v/>
      </c>
      <c r="AN936" s="22">
        <f>IF($AM936="","",IF(AND($Q936="COMMITMENT",$R936&gt;=$AH936),$AI936,0))</f>
        <v/>
      </c>
      <c r="AO936" s="23">
        <f>IF($AM936="","",MAX(0,$AM936-$AN936))</f>
        <v/>
      </c>
      <c r="AP936" s="22">
        <f>IF($S936="","",IF(OR($S936="ITEM_PRICE_PLUS_DECLARED_DELIVERY",$S936="DELIVERY_CHARGE_ONLY"),$K936,IF($S936="TOTAL_AMOUNT_INCLUDING_DELIVERY",IF(OR($T936="",$J936=""),"",MAX(0,$T936-$J936-$U936)),IF($S936="ITEM_PRICE_ONLY_DELIVERY_PAID_BY_MERCHANT",0,""))))</f>
        <v/>
      </c>
      <c r="AQ936" s="23">
        <f>IF(OR($AP936="",$AO936=""),"",$AP936-$AO936)</f>
        <v/>
      </c>
      <c r="AR936" s="24">
        <f>IF($S936="EXACT_COLLECTION_AMOUNT","BREAKDOWN_REQUIRED",IF($AQ936="","",IF($AQ936&gt;0,"CREDIT_TO_MERCHANT",IF($AQ936&lt;0,"DEDUCT_FROM_MERCHANT","NO_ADJUSTMENT"))))</f>
        <v/>
      </c>
      <c r="AS936" s="23">
        <f>IF(OR($AQ936="",$AR936="BREAKDOWN_REQUIRED"),"",$AQ936)</f>
        <v/>
      </c>
      <c r="AT936" s="23">
        <f>IF(OR($AR936="",$AR936="BREAKDOWN_REQUIRED"),"",SUM($J936,$AQ936,$Y936)-$X936)</f>
        <v/>
      </c>
      <c r="AU936" s="25">
        <f>IF(AND($A936="",$B936="",$F936="",$H936="",$J936="",$K936="",$M936="",$S936=""),"",IF(OR($H936="",$Q936="",$M936="",$S936=""),"ERROR",IF(OR($J936&lt;0,$K936&lt;0,$M936&lt;0,$T936&lt;0,$U936&lt;0,$V936&lt;0,$W936&lt;0,$X936&lt;0,$Y936&lt;0),"ERROR",IF($AE936="","ERROR",IF(AND(OR($S936="ITEM_PRICE_PLUS_DECLARED_DELIVERY",$S936="TOTAL_AMOUNT_INCLUDING_DELIVERY",$S936="ITEM_PRICE_ONLY_DELIVERY_PAID_BY_MERCHANT"),$J936=""),"ERROR",IF(AND(OR($S936="ITEM_PRICE_PLUS_DECLARED_DELIVERY",$S936="DELIVERY_CHARGE_ONLY"),$K936=""),"ERROR",IF(AND(OR($S936="TOTAL_AMOUNT_INCLUDING_DELIVERY",$S936="EXACT_COLLECTION_AMOUNT"),$T936=""),"ERROR",IF(AND($S936="TOTAL_AMOUNT_INCLUDING_DELIVERY",$T936&lt;SUM($J936,$U936)),"ERROR",IF($S936="EXACT_COLLECTION_AMOUNT","REVIEW","OK")))))))))</f>
        <v/>
      </c>
      <c r="AV936" s="25">
        <f>IF($AU936="","",IF($H936="","Township required",IF($Q936="","Customer tier required",IF($M936="","Weight required",IF($S936="","Amount entry type required",IF(OR($J936&lt;0,$K936&lt;0,$M936&lt;0,$T936&lt;0,$U936&lt;0,$V936&lt;0,$W936&lt;0,$X936&lt;0,$Y936&lt;0),"Negative amounts are not allowed",IF($AE936="","Tariff not found for township and tier",IF(AND(OR($S936="ITEM_PRICE_PLUS_DECLARED_DELIVERY",$S936="TOTAL_AMOUNT_INCLUDING_DELIVERY",$S936="ITEM_PRICE_ONLY_DELIVERY_PAID_BY_MERCHANT"),$J936=""),"Item price required for this amount type",IF(AND(OR($S936="ITEM_PRICE_PLUS_DECLARED_DELIVERY",$S936="DELIVERY_CHARGE_ONLY"),$K936=""),"Declared delivery charge required",IF(AND(OR($S936="TOTAL_AMOUNT_INCLUDING_DELIVERY",$S936="EXACT_COLLECTION_AMOUNT"),$T936=""),"Stated total amount required",IF(AND($S936="TOTAL_AMOUNT_INCLUDING_DELIVERY",$T936&lt;SUM($J936,$U936)),"Stated total is below item price plus additional charge",IF($S936="EXACT_COLLECTION_AMOUNT","Authorized amount breakdown required before settlement","Ready for collection and settlement"))))))))))))</f>
        <v/>
      </c>
      <c r="AW936" s="23">
        <f>IF($AU936="","","PARCEL_FINANCIAL_V2")</f>
        <v/>
      </c>
      <c r="AX936" s="17" t="n"/>
    </row>
    <row r="937">
      <c r="A937" s="8" t="n"/>
      <c r="B937" s="8" t="n"/>
      <c r="C937" s="8" t="n"/>
      <c r="D937" s="8" t="n"/>
      <c r="E937" s="9" t="n"/>
      <c r="F937" s="9" t="n"/>
      <c r="G937" s="8" t="n"/>
      <c r="H937" s="9" t="n"/>
      <c r="I937" s="9" t="n"/>
      <c r="J937" s="10" t="n"/>
      <c r="K937" s="10" t="n"/>
      <c r="L937" s="11">
        <f>IF($S937="","",IF($S937="ITEM_PRICE_PLUS_DECLARED_DELIVERY",IF(OR($J937="",$K937=""),"",SUM($J937,$K937,$U937)),IF($S937="TOTAL_AMOUNT_INCLUDING_DELIVERY",IF($T937="","",$T937),IF($S937="DELIVERY_CHARGE_ONLY",IF($K937="","",SUM($K937,$U937)),IF($S937="EXACT_COLLECTION_AMOUNT",IF($T937="","",$T937),IF($S937="ITEM_PRICE_ONLY_DELIVERY_PAID_BY_MERCHANT",IF($J937="","",SUM($J937,$U937)),""))))))</f>
        <v/>
      </c>
      <c r="M937" s="12" t="n"/>
      <c r="N937" s="13" t="n"/>
      <c r="O937" s="13" t="n"/>
      <c r="P937" s="9" t="n"/>
      <c r="Q937" s="14" t="n"/>
      <c r="R937" s="15" t="n"/>
      <c r="S937" s="14" t="n"/>
      <c r="T937" s="16" t="n"/>
      <c r="U937" s="16" t="n"/>
      <c r="V937" s="16" t="n"/>
      <c r="W937" s="16" t="n"/>
      <c r="X937" s="16" t="n"/>
      <c r="Y937" s="16" t="n"/>
      <c r="Z937" s="14" t="n"/>
      <c r="AA937" s="14" t="n"/>
      <c r="AB937" s="14" t="n"/>
      <c r="AC937" s="17">
        <f>IFERROR(VLOOKUP($H937&amp;"|"&amp;$Q937,Tariff_Master!$A$2:$L$169,3,FALSE),"")</f>
        <v/>
      </c>
      <c r="AD937" s="17">
        <f>IFERROR(VLOOKUP($H937&amp;"|"&amp;$Q937,Tariff_Master!$A$2:$L$169,4,FALSE),"")</f>
        <v/>
      </c>
      <c r="AE937" s="18">
        <f>IFERROR(VLOOKUP($H937&amp;"|"&amp;$Q937,Tariff_Master!$A$2:$L$169,6,FALSE),"")</f>
        <v/>
      </c>
      <c r="AF937" s="19">
        <f>IFERROR(VLOOKUP($H937&amp;"|"&amp;$Q937,Tariff_Master!$A$2:$L$169,7,FALSE),"")</f>
        <v/>
      </c>
      <c r="AG937" s="18">
        <f>IFERROR(VLOOKUP($H937&amp;"|"&amp;$Q937,Tariff_Master!$A$2:$L$169,8,FALSE),"")</f>
        <v/>
      </c>
      <c r="AH937" s="20">
        <f>IFERROR(VLOOKUP($H937&amp;"|"&amp;$Q937,Tariff_Master!$A$2:$L$169,9,FALSE),"")</f>
        <v/>
      </c>
      <c r="AI937" s="18">
        <f>IFERROR(VLOOKUP($H937&amp;"|"&amp;$Q937,Tariff_Master!$A$2:$L$169,10,FALSE),"")</f>
        <v/>
      </c>
      <c r="AJ937" s="21">
        <f>IF($M937="","",ROUNDUP(MAX(0,$M937),0))</f>
        <v/>
      </c>
      <c r="AK937" s="21">
        <f>IF(OR($AJ937="",$AF937=""),"",MAX(0,$AJ937-$AF937))</f>
        <v/>
      </c>
      <c r="AL937" s="22">
        <f>IF(OR($AK937="",$AG937=""),"",MAX(0,$AK937*$AG937))</f>
        <v/>
      </c>
      <c r="AM937" s="22">
        <f>IF($AE937="","",MAX(0,SUM($AE937,$AL937,$V937,$W937)))</f>
        <v/>
      </c>
      <c r="AN937" s="22">
        <f>IF($AM937="","",IF(AND($Q937="COMMITMENT",$R937&gt;=$AH937),$AI937,0))</f>
        <v/>
      </c>
      <c r="AO937" s="23">
        <f>IF($AM937="","",MAX(0,$AM937-$AN937))</f>
        <v/>
      </c>
      <c r="AP937" s="22">
        <f>IF($S937="","",IF(OR($S937="ITEM_PRICE_PLUS_DECLARED_DELIVERY",$S937="DELIVERY_CHARGE_ONLY"),$K937,IF($S937="TOTAL_AMOUNT_INCLUDING_DELIVERY",IF(OR($T937="",$J937=""),"",MAX(0,$T937-$J937-$U937)),IF($S937="ITEM_PRICE_ONLY_DELIVERY_PAID_BY_MERCHANT",0,""))))</f>
        <v/>
      </c>
      <c r="AQ937" s="23">
        <f>IF(OR($AP937="",$AO937=""),"",$AP937-$AO937)</f>
        <v/>
      </c>
      <c r="AR937" s="24">
        <f>IF($S937="EXACT_COLLECTION_AMOUNT","BREAKDOWN_REQUIRED",IF($AQ937="","",IF($AQ937&gt;0,"CREDIT_TO_MERCHANT",IF($AQ937&lt;0,"DEDUCT_FROM_MERCHANT","NO_ADJUSTMENT"))))</f>
        <v/>
      </c>
      <c r="AS937" s="23">
        <f>IF(OR($AQ937="",$AR937="BREAKDOWN_REQUIRED"),"",$AQ937)</f>
        <v/>
      </c>
      <c r="AT937" s="23">
        <f>IF(OR($AR937="",$AR937="BREAKDOWN_REQUIRED"),"",SUM($J937,$AQ937,$Y937)-$X937)</f>
        <v/>
      </c>
      <c r="AU937" s="25">
        <f>IF(AND($A937="",$B937="",$F937="",$H937="",$J937="",$K937="",$M937="",$S937=""),"",IF(OR($H937="",$Q937="",$M937="",$S937=""),"ERROR",IF(OR($J937&lt;0,$K937&lt;0,$M937&lt;0,$T937&lt;0,$U937&lt;0,$V937&lt;0,$W937&lt;0,$X937&lt;0,$Y937&lt;0),"ERROR",IF($AE937="","ERROR",IF(AND(OR($S937="ITEM_PRICE_PLUS_DECLARED_DELIVERY",$S937="TOTAL_AMOUNT_INCLUDING_DELIVERY",$S937="ITEM_PRICE_ONLY_DELIVERY_PAID_BY_MERCHANT"),$J937=""),"ERROR",IF(AND(OR($S937="ITEM_PRICE_PLUS_DECLARED_DELIVERY",$S937="DELIVERY_CHARGE_ONLY"),$K937=""),"ERROR",IF(AND(OR($S937="TOTAL_AMOUNT_INCLUDING_DELIVERY",$S937="EXACT_COLLECTION_AMOUNT"),$T937=""),"ERROR",IF(AND($S937="TOTAL_AMOUNT_INCLUDING_DELIVERY",$T937&lt;SUM($J937,$U937)),"ERROR",IF($S937="EXACT_COLLECTION_AMOUNT","REVIEW","OK")))))))))</f>
        <v/>
      </c>
      <c r="AV937" s="25">
        <f>IF($AU937="","",IF($H937="","Township required",IF($Q937="","Customer tier required",IF($M937="","Weight required",IF($S937="","Amount entry type required",IF(OR($J937&lt;0,$K937&lt;0,$M937&lt;0,$T937&lt;0,$U937&lt;0,$V937&lt;0,$W937&lt;0,$X937&lt;0,$Y937&lt;0),"Negative amounts are not allowed",IF($AE937="","Tariff not found for township and tier",IF(AND(OR($S937="ITEM_PRICE_PLUS_DECLARED_DELIVERY",$S937="TOTAL_AMOUNT_INCLUDING_DELIVERY",$S937="ITEM_PRICE_ONLY_DELIVERY_PAID_BY_MERCHANT"),$J937=""),"Item price required for this amount type",IF(AND(OR($S937="ITEM_PRICE_PLUS_DECLARED_DELIVERY",$S937="DELIVERY_CHARGE_ONLY"),$K937=""),"Declared delivery charge required",IF(AND(OR($S937="TOTAL_AMOUNT_INCLUDING_DELIVERY",$S937="EXACT_COLLECTION_AMOUNT"),$T937=""),"Stated total amount required",IF(AND($S937="TOTAL_AMOUNT_INCLUDING_DELIVERY",$T937&lt;SUM($J937,$U937)),"Stated total is below item price plus additional charge",IF($S937="EXACT_COLLECTION_AMOUNT","Authorized amount breakdown required before settlement","Ready for collection and settlement"))))))))))))</f>
        <v/>
      </c>
      <c r="AW937" s="23">
        <f>IF($AU937="","","PARCEL_FINANCIAL_V2")</f>
        <v/>
      </c>
      <c r="AX937" s="17" t="n"/>
    </row>
    <row r="938">
      <c r="A938" s="8" t="n"/>
      <c r="B938" s="8" t="n"/>
      <c r="C938" s="8" t="n"/>
      <c r="D938" s="8" t="n"/>
      <c r="E938" s="9" t="n"/>
      <c r="F938" s="9" t="n"/>
      <c r="G938" s="8" t="n"/>
      <c r="H938" s="9" t="n"/>
      <c r="I938" s="9" t="n"/>
      <c r="J938" s="10" t="n"/>
      <c r="K938" s="10" t="n"/>
      <c r="L938" s="11">
        <f>IF($S938="","",IF($S938="ITEM_PRICE_PLUS_DECLARED_DELIVERY",IF(OR($J938="",$K938=""),"",SUM($J938,$K938,$U938)),IF($S938="TOTAL_AMOUNT_INCLUDING_DELIVERY",IF($T938="","",$T938),IF($S938="DELIVERY_CHARGE_ONLY",IF($K938="","",SUM($K938,$U938)),IF($S938="EXACT_COLLECTION_AMOUNT",IF($T938="","",$T938),IF($S938="ITEM_PRICE_ONLY_DELIVERY_PAID_BY_MERCHANT",IF($J938="","",SUM($J938,$U938)),""))))))</f>
        <v/>
      </c>
      <c r="M938" s="12" t="n"/>
      <c r="N938" s="13" t="n"/>
      <c r="O938" s="13" t="n"/>
      <c r="P938" s="9" t="n"/>
      <c r="Q938" s="14" t="n"/>
      <c r="R938" s="15" t="n"/>
      <c r="S938" s="14" t="n"/>
      <c r="T938" s="16" t="n"/>
      <c r="U938" s="16" t="n"/>
      <c r="V938" s="16" t="n"/>
      <c r="W938" s="16" t="n"/>
      <c r="X938" s="16" t="n"/>
      <c r="Y938" s="16" t="n"/>
      <c r="Z938" s="14" t="n"/>
      <c r="AA938" s="14" t="n"/>
      <c r="AB938" s="14" t="n"/>
      <c r="AC938" s="17">
        <f>IFERROR(VLOOKUP($H938&amp;"|"&amp;$Q938,Tariff_Master!$A$2:$L$169,3,FALSE),"")</f>
        <v/>
      </c>
      <c r="AD938" s="17">
        <f>IFERROR(VLOOKUP($H938&amp;"|"&amp;$Q938,Tariff_Master!$A$2:$L$169,4,FALSE),"")</f>
        <v/>
      </c>
      <c r="AE938" s="18">
        <f>IFERROR(VLOOKUP($H938&amp;"|"&amp;$Q938,Tariff_Master!$A$2:$L$169,6,FALSE),"")</f>
        <v/>
      </c>
      <c r="AF938" s="19">
        <f>IFERROR(VLOOKUP($H938&amp;"|"&amp;$Q938,Tariff_Master!$A$2:$L$169,7,FALSE),"")</f>
        <v/>
      </c>
      <c r="AG938" s="18">
        <f>IFERROR(VLOOKUP($H938&amp;"|"&amp;$Q938,Tariff_Master!$A$2:$L$169,8,FALSE),"")</f>
        <v/>
      </c>
      <c r="AH938" s="20">
        <f>IFERROR(VLOOKUP($H938&amp;"|"&amp;$Q938,Tariff_Master!$A$2:$L$169,9,FALSE),"")</f>
        <v/>
      </c>
      <c r="AI938" s="18">
        <f>IFERROR(VLOOKUP($H938&amp;"|"&amp;$Q938,Tariff_Master!$A$2:$L$169,10,FALSE),"")</f>
        <v/>
      </c>
      <c r="AJ938" s="21">
        <f>IF($M938="","",ROUNDUP(MAX(0,$M938),0))</f>
        <v/>
      </c>
      <c r="AK938" s="21">
        <f>IF(OR($AJ938="",$AF938=""),"",MAX(0,$AJ938-$AF938))</f>
        <v/>
      </c>
      <c r="AL938" s="22">
        <f>IF(OR($AK938="",$AG938=""),"",MAX(0,$AK938*$AG938))</f>
        <v/>
      </c>
      <c r="AM938" s="22">
        <f>IF($AE938="","",MAX(0,SUM($AE938,$AL938,$V938,$W938)))</f>
        <v/>
      </c>
      <c r="AN938" s="22">
        <f>IF($AM938="","",IF(AND($Q938="COMMITMENT",$R938&gt;=$AH938),$AI938,0))</f>
        <v/>
      </c>
      <c r="AO938" s="23">
        <f>IF($AM938="","",MAX(0,$AM938-$AN938))</f>
        <v/>
      </c>
      <c r="AP938" s="22">
        <f>IF($S938="","",IF(OR($S938="ITEM_PRICE_PLUS_DECLARED_DELIVERY",$S938="DELIVERY_CHARGE_ONLY"),$K938,IF($S938="TOTAL_AMOUNT_INCLUDING_DELIVERY",IF(OR($T938="",$J938=""),"",MAX(0,$T938-$J938-$U938)),IF($S938="ITEM_PRICE_ONLY_DELIVERY_PAID_BY_MERCHANT",0,""))))</f>
        <v/>
      </c>
      <c r="AQ938" s="23">
        <f>IF(OR($AP938="",$AO938=""),"",$AP938-$AO938)</f>
        <v/>
      </c>
      <c r="AR938" s="24">
        <f>IF($S938="EXACT_COLLECTION_AMOUNT","BREAKDOWN_REQUIRED",IF($AQ938="","",IF($AQ938&gt;0,"CREDIT_TO_MERCHANT",IF($AQ938&lt;0,"DEDUCT_FROM_MERCHANT","NO_ADJUSTMENT"))))</f>
        <v/>
      </c>
      <c r="AS938" s="23">
        <f>IF(OR($AQ938="",$AR938="BREAKDOWN_REQUIRED"),"",$AQ938)</f>
        <v/>
      </c>
      <c r="AT938" s="23">
        <f>IF(OR($AR938="",$AR938="BREAKDOWN_REQUIRED"),"",SUM($J938,$AQ938,$Y938)-$X938)</f>
        <v/>
      </c>
      <c r="AU938" s="25">
        <f>IF(AND($A938="",$B938="",$F938="",$H938="",$J938="",$K938="",$M938="",$S938=""),"",IF(OR($H938="",$Q938="",$M938="",$S938=""),"ERROR",IF(OR($J938&lt;0,$K938&lt;0,$M938&lt;0,$T938&lt;0,$U938&lt;0,$V938&lt;0,$W938&lt;0,$X938&lt;0,$Y938&lt;0),"ERROR",IF($AE938="","ERROR",IF(AND(OR($S938="ITEM_PRICE_PLUS_DECLARED_DELIVERY",$S938="TOTAL_AMOUNT_INCLUDING_DELIVERY",$S938="ITEM_PRICE_ONLY_DELIVERY_PAID_BY_MERCHANT"),$J938=""),"ERROR",IF(AND(OR($S938="ITEM_PRICE_PLUS_DECLARED_DELIVERY",$S938="DELIVERY_CHARGE_ONLY"),$K938=""),"ERROR",IF(AND(OR($S938="TOTAL_AMOUNT_INCLUDING_DELIVERY",$S938="EXACT_COLLECTION_AMOUNT"),$T938=""),"ERROR",IF(AND($S938="TOTAL_AMOUNT_INCLUDING_DELIVERY",$T938&lt;SUM($J938,$U938)),"ERROR",IF($S938="EXACT_COLLECTION_AMOUNT","REVIEW","OK")))))))))</f>
        <v/>
      </c>
      <c r="AV938" s="25">
        <f>IF($AU938="","",IF($H938="","Township required",IF($Q938="","Customer tier required",IF($M938="","Weight required",IF($S938="","Amount entry type required",IF(OR($J938&lt;0,$K938&lt;0,$M938&lt;0,$T938&lt;0,$U938&lt;0,$V938&lt;0,$W938&lt;0,$X938&lt;0,$Y938&lt;0),"Negative amounts are not allowed",IF($AE938="","Tariff not found for township and tier",IF(AND(OR($S938="ITEM_PRICE_PLUS_DECLARED_DELIVERY",$S938="TOTAL_AMOUNT_INCLUDING_DELIVERY",$S938="ITEM_PRICE_ONLY_DELIVERY_PAID_BY_MERCHANT"),$J938=""),"Item price required for this amount type",IF(AND(OR($S938="ITEM_PRICE_PLUS_DECLARED_DELIVERY",$S938="DELIVERY_CHARGE_ONLY"),$K938=""),"Declared delivery charge required",IF(AND(OR($S938="TOTAL_AMOUNT_INCLUDING_DELIVERY",$S938="EXACT_COLLECTION_AMOUNT"),$T938=""),"Stated total amount required",IF(AND($S938="TOTAL_AMOUNT_INCLUDING_DELIVERY",$T938&lt;SUM($J938,$U938)),"Stated total is below item price plus additional charge",IF($S938="EXACT_COLLECTION_AMOUNT","Authorized amount breakdown required before settlement","Ready for collection and settlement"))))))))))))</f>
        <v/>
      </c>
      <c r="AW938" s="23">
        <f>IF($AU938="","","PARCEL_FINANCIAL_V2")</f>
        <v/>
      </c>
      <c r="AX938" s="17" t="n"/>
    </row>
    <row r="939">
      <c r="A939" s="8" t="n"/>
      <c r="B939" s="8" t="n"/>
      <c r="C939" s="8" t="n"/>
      <c r="D939" s="8" t="n"/>
      <c r="E939" s="9" t="n"/>
      <c r="F939" s="9" t="n"/>
      <c r="G939" s="8" t="n"/>
      <c r="H939" s="9" t="n"/>
      <c r="I939" s="9" t="n"/>
      <c r="J939" s="10" t="n"/>
      <c r="K939" s="10" t="n"/>
      <c r="L939" s="11">
        <f>IF($S939="","",IF($S939="ITEM_PRICE_PLUS_DECLARED_DELIVERY",IF(OR($J939="",$K939=""),"",SUM($J939,$K939,$U939)),IF($S939="TOTAL_AMOUNT_INCLUDING_DELIVERY",IF($T939="","",$T939),IF($S939="DELIVERY_CHARGE_ONLY",IF($K939="","",SUM($K939,$U939)),IF($S939="EXACT_COLLECTION_AMOUNT",IF($T939="","",$T939),IF($S939="ITEM_PRICE_ONLY_DELIVERY_PAID_BY_MERCHANT",IF($J939="","",SUM($J939,$U939)),""))))))</f>
        <v/>
      </c>
      <c r="M939" s="12" t="n"/>
      <c r="N939" s="13" t="n"/>
      <c r="O939" s="13" t="n"/>
      <c r="P939" s="9" t="n"/>
      <c r="Q939" s="14" t="n"/>
      <c r="R939" s="15" t="n"/>
      <c r="S939" s="14" t="n"/>
      <c r="T939" s="16" t="n"/>
      <c r="U939" s="16" t="n"/>
      <c r="V939" s="16" t="n"/>
      <c r="W939" s="16" t="n"/>
      <c r="X939" s="16" t="n"/>
      <c r="Y939" s="16" t="n"/>
      <c r="Z939" s="14" t="n"/>
      <c r="AA939" s="14" t="n"/>
      <c r="AB939" s="14" t="n"/>
      <c r="AC939" s="17">
        <f>IFERROR(VLOOKUP($H939&amp;"|"&amp;$Q939,Tariff_Master!$A$2:$L$169,3,FALSE),"")</f>
        <v/>
      </c>
      <c r="AD939" s="17">
        <f>IFERROR(VLOOKUP($H939&amp;"|"&amp;$Q939,Tariff_Master!$A$2:$L$169,4,FALSE),"")</f>
        <v/>
      </c>
      <c r="AE939" s="18">
        <f>IFERROR(VLOOKUP($H939&amp;"|"&amp;$Q939,Tariff_Master!$A$2:$L$169,6,FALSE),"")</f>
        <v/>
      </c>
      <c r="AF939" s="19">
        <f>IFERROR(VLOOKUP($H939&amp;"|"&amp;$Q939,Tariff_Master!$A$2:$L$169,7,FALSE),"")</f>
        <v/>
      </c>
      <c r="AG939" s="18">
        <f>IFERROR(VLOOKUP($H939&amp;"|"&amp;$Q939,Tariff_Master!$A$2:$L$169,8,FALSE),"")</f>
        <v/>
      </c>
      <c r="AH939" s="20">
        <f>IFERROR(VLOOKUP($H939&amp;"|"&amp;$Q939,Tariff_Master!$A$2:$L$169,9,FALSE),"")</f>
        <v/>
      </c>
      <c r="AI939" s="18">
        <f>IFERROR(VLOOKUP($H939&amp;"|"&amp;$Q939,Tariff_Master!$A$2:$L$169,10,FALSE),"")</f>
        <v/>
      </c>
      <c r="AJ939" s="21">
        <f>IF($M939="","",ROUNDUP(MAX(0,$M939),0))</f>
        <v/>
      </c>
      <c r="AK939" s="21">
        <f>IF(OR($AJ939="",$AF939=""),"",MAX(0,$AJ939-$AF939))</f>
        <v/>
      </c>
      <c r="AL939" s="22">
        <f>IF(OR($AK939="",$AG939=""),"",MAX(0,$AK939*$AG939))</f>
        <v/>
      </c>
      <c r="AM939" s="22">
        <f>IF($AE939="","",MAX(0,SUM($AE939,$AL939,$V939,$W939)))</f>
        <v/>
      </c>
      <c r="AN939" s="22">
        <f>IF($AM939="","",IF(AND($Q939="COMMITMENT",$R939&gt;=$AH939),$AI939,0))</f>
        <v/>
      </c>
      <c r="AO939" s="23">
        <f>IF($AM939="","",MAX(0,$AM939-$AN939))</f>
        <v/>
      </c>
      <c r="AP939" s="22">
        <f>IF($S939="","",IF(OR($S939="ITEM_PRICE_PLUS_DECLARED_DELIVERY",$S939="DELIVERY_CHARGE_ONLY"),$K939,IF($S939="TOTAL_AMOUNT_INCLUDING_DELIVERY",IF(OR($T939="",$J939=""),"",MAX(0,$T939-$J939-$U939)),IF($S939="ITEM_PRICE_ONLY_DELIVERY_PAID_BY_MERCHANT",0,""))))</f>
        <v/>
      </c>
      <c r="AQ939" s="23">
        <f>IF(OR($AP939="",$AO939=""),"",$AP939-$AO939)</f>
        <v/>
      </c>
      <c r="AR939" s="24">
        <f>IF($S939="EXACT_COLLECTION_AMOUNT","BREAKDOWN_REQUIRED",IF($AQ939="","",IF($AQ939&gt;0,"CREDIT_TO_MERCHANT",IF($AQ939&lt;0,"DEDUCT_FROM_MERCHANT","NO_ADJUSTMENT"))))</f>
        <v/>
      </c>
      <c r="AS939" s="23">
        <f>IF(OR($AQ939="",$AR939="BREAKDOWN_REQUIRED"),"",$AQ939)</f>
        <v/>
      </c>
      <c r="AT939" s="23">
        <f>IF(OR($AR939="",$AR939="BREAKDOWN_REQUIRED"),"",SUM($J939,$AQ939,$Y939)-$X939)</f>
        <v/>
      </c>
      <c r="AU939" s="25">
        <f>IF(AND($A939="",$B939="",$F939="",$H939="",$J939="",$K939="",$M939="",$S939=""),"",IF(OR($H939="",$Q939="",$M939="",$S939=""),"ERROR",IF(OR($J939&lt;0,$K939&lt;0,$M939&lt;0,$T939&lt;0,$U939&lt;0,$V939&lt;0,$W939&lt;0,$X939&lt;0,$Y939&lt;0),"ERROR",IF($AE939="","ERROR",IF(AND(OR($S939="ITEM_PRICE_PLUS_DECLARED_DELIVERY",$S939="TOTAL_AMOUNT_INCLUDING_DELIVERY",$S939="ITEM_PRICE_ONLY_DELIVERY_PAID_BY_MERCHANT"),$J939=""),"ERROR",IF(AND(OR($S939="ITEM_PRICE_PLUS_DECLARED_DELIVERY",$S939="DELIVERY_CHARGE_ONLY"),$K939=""),"ERROR",IF(AND(OR($S939="TOTAL_AMOUNT_INCLUDING_DELIVERY",$S939="EXACT_COLLECTION_AMOUNT"),$T939=""),"ERROR",IF(AND($S939="TOTAL_AMOUNT_INCLUDING_DELIVERY",$T939&lt;SUM($J939,$U939)),"ERROR",IF($S939="EXACT_COLLECTION_AMOUNT","REVIEW","OK")))))))))</f>
        <v/>
      </c>
      <c r="AV939" s="25">
        <f>IF($AU939="","",IF($H939="","Township required",IF($Q939="","Customer tier required",IF($M939="","Weight required",IF($S939="","Amount entry type required",IF(OR($J939&lt;0,$K939&lt;0,$M939&lt;0,$T939&lt;0,$U939&lt;0,$V939&lt;0,$W939&lt;0,$X939&lt;0,$Y939&lt;0),"Negative amounts are not allowed",IF($AE939="","Tariff not found for township and tier",IF(AND(OR($S939="ITEM_PRICE_PLUS_DECLARED_DELIVERY",$S939="TOTAL_AMOUNT_INCLUDING_DELIVERY",$S939="ITEM_PRICE_ONLY_DELIVERY_PAID_BY_MERCHANT"),$J939=""),"Item price required for this amount type",IF(AND(OR($S939="ITEM_PRICE_PLUS_DECLARED_DELIVERY",$S939="DELIVERY_CHARGE_ONLY"),$K939=""),"Declared delivery charge required",IF(AND(OR($S939="TOTAL_AMOUNT_INCLUDING_DELIVERY",$S939="EXACT_COLLECTION_AMOUNT"),$T939=""),"Stated total amount required",IF(AND($S939="TOTAL_AMOUNT_INCLUDING_DELIVERY",$T939&lt;SUM($J939,$U939)),"Stated total is below item price plus additional charge",IF($S939="EXACT_COLLECTION_AMOUNT","Authorized amount breakdown required before settlement","Ready for collection and settlement"))))))))))))</f>
        <v/>
      </c>
      <c r="AW939" s="23">
        <f>IF($AU939="","","PARCEL_FINANCIAL_V2")</f>
        <v/>
      </c>
      <c r="AX939" s="17" t="n"/>
    </row>
    <row r="940">
      <c r="A940" s="8" t="n"/>
      <c r="B940" s="8" t="n"/>
      <c r="C940" s="8" t="n"/>
      <c r="D940" s="8" t="n"/>
      <c r="E940" s="9" t="n"/>
      <c r="F940" s="9" t="n"/>
      <c r="G940" s="8" t="n"/>
      <c r="H940" s="9" t="n"/>
      <c r="I940" s="9" t="n"/>
      <c r="J940" s="10" t="n"/>
      <c r="K940" s="10" t="n"/>
      <c r="L940" s="11">
        <f>IF($S940="","",IF($S940="ITEM_PRICE_PLUS_DECLARED_DELIVERY",IF(OR($J940="",$K940=""),"",SUM($J940,$K940,$U940)),IF($S940="TOTAL_AMOUNT_INCLUDING_DELIVERY",IF($T940="","",$T940),IF($S940="DELIVERY_CHARGE_ONLY",IF($K940="","",SUM($K940,$U940)),IF($S940="EXACT_COLLECTION_AMOUNT",IF($T940="","",$T940),IF($S940="ITEM_PRICE_ONLY_DELIVERY_PAID_BY_MERCHANT",IF($J940="","",SUM($J940,$U940)),""))))))</f>
        <v/>
      </c>
      <c r="M940" s="12" t="n"/>
      <c r="N940" s="13" t="n"/>
      <c r="O940" s="13" t="n"/>
      <c r="P940" s="9" t="n"/>
      <c r="Q940" s="14" t="n"/>
      <c r="R940" s="15" t="n"/>
      <c r="S940" s="14" t="n"/>
      <c r="T940" s="16" t="n"/>
      <c r="U940" s="16" t="n"/>
      <c r="V940" s="16" t="n"/>
      <c r="W940" s="16" t="n"/>
      <c r="X940" s="16" t="n"/>
      <c r="Y940" s="16" t="n"/>
      <c r="Z940" s="14" t="n"/>
      <c r="AA940" s="14" t="n"/>
      <c r="AB940" s="14" t="n"/>
      <c r="AC940" s="17">
        <f>IFERROR(VLOOKUP($H940&amp;"|"&amp;$Q940,Tariff_Master!$A$2:$L$169,3,FALSE),"")</f>
        <v/>
      </c>
      <c r="AD940" s="17">
        <f>IFERROR(VLOOKUP($H940&amp;"|"&amp;$Q940,Tariff_Master!$A$2:$L$169,4,FALSE),"")</f>
        <v/>
      </c>
      <c r="AE940" s="18">
        <f>IFERROR(VLOOKUP($H940&amp;"|"&amp;$Q940,Tariff_Master!$A$2:$L$169,6,FALSE),"")</f>
        <v/>
      </c>
      <c r="AF940" s="19">
        <f>IFERROR(VLOOKUP($H940&amp;"|"&amp;$Q940,Tariff_Master!$A$2:$L$169,7,FALSE),"")</f>
        <v/>
      </c>
      <c r="AG940" s="18">
        <f>IFERROR(VLOOKUP($H940&amp;"|"&amp;$Q940,Tariff_Master!$A$2:$L$169,8,FALSE),"")</f>
        <v/>
      </c>
      <c r="AH940" s="20">
        <f>IFERROR(VLOOKUP($H940&amp;"|"&amp;$Q940,Tariff_Master!$A$2:$L$169,9,FALSE),"")</f>
        <v/>
      </c>
      <c r="AI940" s="18">
        <f>IFERROR(VLOOKUP($H940&amp;"|"&amp;$Q940,Tariff_Master!$A$2:$L$169,10,FALSE),"")</f>
        <v/>
      </c>
      <c r="AJ940" s="21">
        <f>IF($M940="","",ROUNDUP(MAX(0,$M940),0))</f>
        <v/>
      </c>
      <c r="AK940" s="21">
        <f>IF(OR($AJ940="",$AF940=""),"",MAX(0,$AJ940-$AF940))</f>
        <v/>
      </c>
      <c r="AL940" s="22">
        <f>IF(OR($AK940="",$AG940=""),"",MAX(0,$AK940*$AG940))</f>
        <v/>
      </c>
      <c r="AM940" s="22">
        <f>IF($AE940="","",MAX(0,SUM($AE940,$AL940,$V940,$W940)))</f>
        <v/>
      </c>
      <c r="AN940" s="22">
        <f>IF($AM940="","",IF(AND($Q940="COMMITMENT",$R940&gt;=$AH940),$AI940,0))</f>
        <v/>
      </c>
      <c r="AO940" s="23">
        <f>IF($AM940="","",MAX(0,$AM940-$AN940))</f>
        <v/>
      </c>
      <c r="AP940" s="22">
        <f>IF($S940="","",IF(OR($S940="ITEM_PRICE_PLUS_DECLARED_DELIVERY",$S940="DELIVERY_CHARGE_ONLY"),$K940,IF($S940="TOTAL_AMOUNT_INCLUDING_DELIVERY",IF(OR($T940="",$J940=""),"",MAX(0,$T940-$J940-$U940)),IF($S940="ITEM_PRICE_ONLY_DELIVERY_PAID_BY_MERCHANT",0,""))))</f>
        <v/>
      </c>
      <c r="AQ940" s="23">
        <f>IF(OR($AP940="",$AO940=""),"",$AP940-$AO940)</f>
        <v/>
      </c>
      <c r="AR940" s="24">
        <f>IF($S940="EXACT_COLLECTION_AMOUNT","BREAKDOWN_REQUIRED",IF($AQ940="","",IF($AQ940&gt;0,"CREDIT_TO_MERCHANT",IF($AQ940&lt;0,"DEDUCT_FROM_MERCHANT","NO_ADJUSTMENT"))))</f>
        <v/>
      </c>
      <c r="AS940" s="23">
        <f>IF(OR($AQ940="",$AR940="BREAKDOWN_REQUIRED"),"",$AQ940)</f>
        <v/>
      </c>
      <c r="AT940" s="23">
        <f>IF(OR($AR940="",$AR940="BREAKDOWN_REQUIRED"),"",SUM($J940,$AQ940,$Y940)-$X940)</f>
        <v/>
      </c>
      <c r="AU940" s="25">
        <f>IF(AND($A940="",$B940="",$F940="",$H940="",$J940="",$K940="",$M940="",$S940=""),"",IF(OR($H940="",$Q940="",$M940="",$S940=""),"ERROR",IF(OR($J940&lt;0,$K940&lt;0,$M940&lt;0,$T940&lt;0,$U940&lt;0,$V940&lt;0,$W940&lt;0,$X940&lt;0,$Y940&lt;0),"ERROR",IF($AE940="","ERROR",IF(AND(OR($S940="ITEM_PRICE_PLUS_DECLARED_DELIVERY",$S940="TOTAL_AMOUNT_INCLUDING_DELIVERY",$S940="ITEM_PRICE_ONLY_DELIVERY_PAID_BY_MERCHANT"),$J940=""),"ERROR",IF(AND(OR($S940="ITEM_PRICE_PLUS_DECLARED_DELIVERY",$S940="DELIVERY_CHARGE_ONLY"),$K940=""),"ERROR",IF(AND(OR($S940="TOTAL_AMOUNT_INCLUDING_DELIVERY",$S940="EXACT_COLLECTION_AMOUNT"),$T940=""),"ERROR",IF(AND($S940="TOTAL_AMOUNT_INCLUDING_DELIVERY",$T940&lt;SUM($J940,$U940)),"ERROR",IF($S940="EXACT_COLLECTION_AMOUNT","REVIEW","OK")))))))))</f>
        <v/>
      </c>
      <c r="AV940" s="25">
        <f>IF($AU940="","",IF($H940="","Township required",IF($Q940="","Customer tier required",IF($M940="","Weight required",IF($S940="","Amount entry type required",IF(OR($J940&lt;0,$K940&lt;0,$M940&lt;0,$T940&lt;0,$U940&lt;0,$V940&lt;0,$W940&lt;0,$X940&lt;0,$Y940&lt;0),"Negative amounts are not allowed",IF($AE940="","Tariff not found for township and tier",IF(AND(OR($S940="ITEM_PRICE_PLUS_DECLARED_DELIVERY",$S940="TOTAL_AMOUNT_INCLUDING_DELIVERY",$S940="ITEM_PRICE_ONLY_DELIVERY_PAID_BY_MERCHANT"),$J940=""),"Item price required for this amount type",IF(AND(OR($S940="ITEM_PRICE_PLUS_DECLARED_DELIVERY",$S940="DELIVERY_CHARGE_ONLY"),$K940=""),"Declared delivery charge required",IF(AND(OR($S940="TOTAL_AMOUNT_INCLUDING_DELIVERY",$S940="EXACT_COLLECTION_AMOUNT"),$T940=""),"Stated total amount required",IF(AND($S940="TOTAL_AMOUNT_INCLUDING_DELIVERY",$T940&lt;SUM($J940,$U940)),"Stated total is below item price plus additional charge",IF($S940="EXACT_COLLECTION_AMOUNT","Authorized amount breakdown required before settlement","Ready for collection and settlement"))))))))))))</f>
        <v/>
      </c>
      <c r="AW940" s="23">
        <f>IF($AU940="","","PARCEL_FINANCIAL_V2")</f>
        <v/>
      </c>
      <c r="AX940" s="17" t="n"/>
    </row>
    <row r="941">
      <c r="A941" s="8" t="n"/>
      <c r="B941" s="8" t="n"/>
      <c r="C941" s="8" t="n"/>
      <c r="D941" s="8" t="n"/>
      <c r="E941" s="9" t="n"/>
      <c r="F941" s="9" t="n"/>
      <c r="G941" s="8" t="n"/>
      <c r="H941" s="9" t="n"/>
      <c r="I941" s="9" t="n"/>
      <c r="J941" s="10" t="n"/>
      <c r="K941" s="10" t="n"/>
      <c r="L941" s="11">
        <f>IF($S941="","",IF($S941="ITEM_PRICE_PLUS_DECLARED_DELIVERY",IF(OR($J941="",$K941=""),"",SUM($J941,$K941,$U941)),IF($S941="TOTAL_AMOUNT_INCLUDING_DELIVERY",IF($T941="","",$T941),IF($S941="DELIVERY_CHARGE_ONLY",IF($K941="","",SUM($K941,$U941)),IF($S941="EXACT_COLLECTION_AMOUNT",IF($T941="","",$T941),IF($S941="ITEM_PRICE_ONLY_DELIVERY_PAID_BY_MERCHANT",IF($J941="","",SUM($J941,$U941)),""))))))</f>
        <v/>
      </c>
      <c r="M941" s="12" t="n"/>
      <c r="N941" s="13" t="n"/>
      <c r="O941" s="13" t="n"/>
      <c r="P941" s="9" t="n"/>
      <c r="Q941" s="14" t="n"/>
      <c r="R941" s="15" t="n"/>
      <c r="S941" s="14" t="n"/>
      <c r="T941" s="16" t="n"/>
      <c r="U941" s="16" t="n"/>
      <c r="V941" s="16" t="n"/>
      <c r="W941" s="16" t="n"/>
      <c r="X941" s="16" t="n"/>
      <c r="Y941" s="16" t="n"/>
      <c r="Z941" s="14" t="n"/>
      <c r="AA941" s="14" t="n"/>
      <c r="AB941" s="14" t="n"/>
      <c r="AC941" s="17">
        <f>IFERROR(VLOOKUP($H941&amp;"|"&amp;$Q941,Tariff_Master!$A$2:$L$169,3,FALSE),"")</f>
        <v/>
      </c>
      <c r="AD941" s="17">
        <f>IFERROR(VLOOKUP($H941&amp;"|"&amp;$Q941,Tariff_Master!$A$2:$L$169,4,FALSE),"")</f>
        <v/>
      </c>
      <c r="AE941" s="18">
        <f>IFERROR(VLOOKUP($H941&amp;"|"&amp;$Q941,Tariff_Master!$A$2:$L$169,6,FALSE),"")</f>
        <v/>
      </c>
      <c r="AF941" s="19">
        <f>IFERROR(VLOOKUP($H941&amp;"|"&amp;$Q941,Tariff_Master!$A$2:$L$169,7,FALSE),"")</f>
        <v/>
      </c>
      <c r="AG941" s="18">
        <f>IFERROR(VLOOKUP($H941&amp;"|"&amp;$Q941,Tariff_Master!$A$2:$L$169,8,FALSE),"")</f>
        <v/>
      </c>
      <c r="AH941" s="20">
        <f>IFERROR(VLOOKUP($H941&amp;"|"&amp;$Q941,Tariff_Master!$A$2:$L$169,9,FALSE),"")</f>
        <v/>
      </c>
      <c r="AI941" s="18">
        <f>IFERROR(VLOOKUP($H941&amp;"|"&amp;$Q941,Tariff_Master!$A$2:$L$169,10,FALSE),"")</f>
        <v/>
      </c>
      <c r="AJ941" s="21">
        <f>IF($M941="","",ROUNDUP(MAX(0,$M941),0))</f>
        <v/>
      </c>
      <c r="AK941" s="21">
        <f>IF(OR($AJ941="",$AF941=""),"",MAX(0,$AJ941-$AF941))</f>
        <v/>
      </c>
      <c r="AL941" s="22">
        <f>IF(OR($AK941="",$AG941=""),"",MAX(0,$AK941*$AG941))</f>
        <v/>
      </c>
      <c r="AM941" s="22">
        <f>IF($AE941="","",MAX(0,SUM($AE941,$AL941,$V941,$W941)))</f>
        <v/>
      </c>
      <c r="AN941" s="22">
        <f>IF($AM941="","",IF(AND($Q941="COMMITMENT",$R941&gt;=$AH941),$AI941,0))</f>
        <v/>
      </c>
      <c r="AO941" s="23">
        <f>IF($AM941="","",MAX(0,$AM941-$AN941))</f>
        <v/>
      </c>
      <c r="AP941" s="22">
        <f>IF($S941="","",IF(OR($S941="ITEM_PRICE_PLUS_DECLARED_DELIVERY",$S941="DELIVERY_CHARGE_ONLY"),$K941,IF($S941="TOTAL_AMOUNT_INCLUDING_DELIVERY",IF(OR($T941="",$J941=""),"",MAX(0,$T941-$J941-$U941)),IF($S941="ITEM_PRICE_ONLY_DELIVERY_PAID_BY_MERCHANT",0,""))))</f>
        <v/>
      </c>
      <c r="AQ941" s="23">
        <f>IF(OR($AP941="",$AO941=""),"",$AP941-$AO941)</f>
        <v/>
      </c>
      <c r="AR941" s="24">
        <f>IF($S941="EXACT_COLLECTION_AMOUNT","BREAKDOWN_REQUIRED",IF($AQ941="","",IF($AQ941&gt;0,"CREDIT_TO_MERCHANT",IF($AQ941&lt;0,"DEDUCT_FROM_MERCHANT","NO_ADJUSTMENT"))))</f>
        <v/>
      </c>
      <c r="AS941" s="23">
        <f>IF(OR($AQ941="",$AR941="BREAKDOWN_REQUIRED"),"",$AQ941)</f>
        <v/>
      </c>
      <c r="AT941" s="23">
        <f>IF(OR($AR941="",$AR941="BREAKDOWN_REQUIRED"),"",SUM($J941,$AQ941,$Y941)-$X941)</f>
        <v/>
      </c>
      <c r="AU941" s="25">
        <f>IF(AND($A941="",$B941="",$F941="",$H941="",$J941="",$K941="",$M941="",$S941=""),"",IF(OR($H941="",$Q941="",$M941="",$S941=""),"ERROR",IF(OR($J941&lt;0,$K941&lt;0,$M941&lt;0,$T941&lt;0,$U941&lt;0,$V941&lt;0,$W941&lt;0,$X941&lt;0,$Y941&lt;0),"ERROR",IF($AE941="","ERROR",IF(AND(OR($S941="ITEM_PRICE_PLUS_DECLARED_DELIVERY",$S941="TOTAL_AMOUNT_INCLUDING_DELIVERY",$S941="ITEM_PRICE_ONLY_DELIVERY_PAID_BY_MERCHANT"),$J941=""),"ERROR",IF(AND(OR($S941="ITEM_PRICE_PLUS_DECLARED_DELIVERY",$S941="DELIVERY_CHARGE_ONLY"),$K941=""),"ERROR",IF(AND(OR($S941="TOTAL_AMOUNT_INCLUDING_DELIVERY",$S941="EXACT_COLLECTION_AMOUNT"),$T941=""),"ERROR",IF(AND($S941="TOTAL_AMOUNT_INCLUDING_DELIVERY",$T941&lt;SUM($J941,$U941)),"ERROR",IF($S941="EXACT_COLLECTION_AMOUNT","REVIEW","OK")))))))))</f>
        <v/>
      </c>
      <c r="AV941" s="25">
        <f>IF($AU941="","",IF($H941="","Township required",IF($Q941="","Customer tier required",IF($M941="","Weight required",IF($S941="","Amount entry type required",IF(OR($J941&lt;0,$K941&lt;0,$M941&lt;0,$T941&lt;0,$U941&lt;0,$V941&lt;0,$W941&lt;0,$X941&lt;0,$Y941&lt;0),"Negative amounts are not allowed",IF($AE941="","Tariff not found for township and tier",IF(AND(OR($S941="ITEM_PRICE_PLUS_DECLARED_DELIVERY",$S941="TOTAL_AMOUNT_INCLUDING_DELIVERY",$S941="ITEM_PRICE_ONLY_DELIVERY_PAID_BY_MERCHANT"),$J941=""),"Item price required for this amount type",IF(AND(OR($S941="ITEM_PRICE_PLUS_DECLARED_DELIVERY",$S941="DELIVERY_CHARGE_ONLY"),$K941=""),"Declared delivery charge required",IF(AND(OR($S941="TOTAL_AMOUNT_INCLUDING_DELIVERY",$S941="EXACT_COLLECTION_AMOUNT"),$T941=""),"Stated total amount required",IF(AND($S941="TOTAL_AMOUNT_INCLUDING_DELIVERY",$T941&lt;SUM($J941,$U941)),"Stated total is below item price plus additional charge",IF($S941="EXACT_COLLECTION_AMOUNT","Authorized amount breakdown required before settlement","Ready for collection and settlement"))))))))))))</f>
        <v/>
      </c>
      <c r="AW941" s="23">
        <f>IF($AU941="","","PARCEL_FINANCIAL_V2")</f>
        <v/>
      </c>
      <c r="AX941" s="17" t="n"/>
    </row>
    <row r="942">
      <c r="A942" s="8" t="n"/>
      <c r="B942" s="8" t="n"/>
      <c r="C942" s="8" t="n"/>
      <c r="D942" s="8" t="n"/>
      <c r="E942" s="9" t="n"/>
      <c r="F942" s="9" t="n"/>
      <c r="G942" s="8" t="n"/>
      <c r="H942" s="9" t="n"/>
      <c r="I942" s="9" t="n"/>
      <c r="J942" s="10" t="n"/>
      <c r="K942" s="10" t="n"/>
      <c r="L942" s="11">
        <f>IF($S942="","",IF($S942="ITEM_PRICE_PLUS_DECLARED_DELIVERY",IF(OR($J942="",$K942=""),"",SUM($J942,$K942,$U942)),IF($S942="TOTAL_AMOUNT_INCLUDING_DELIVERY",IF($T942="","",$T942),IF($S942="DELIVERY_CHARGE_ONLY",IF($K942="","",SUM($K942,$U942)),IF($S942="EXACT_COLLECTION_AMOUNT",IF($T942="","",$T942),IF($S942="ITEM_PRICE_ONLY_DELIVERY_PAID_BY_MERCHANT",IF($J942="","",SUM($J942,$U942)),""))))))</f>
        <v/>
      </c>
      <c r="M942" s="12" t="n"/>
      <c r="N942" s="13" t="n"/>
      <c r="O942" s="13" t="n"/>
      <c r="P942" s="9" t="n"/>
      <c r="Q942" s="14" t="n"/>
      <c r="R942" s="15" t="n"/>
      <c r="S942" s="14" t="n"/>
      <c r="T942" s="16" t="n"/>
      <c r="U942" s="16" t="n"/>
      <c r="V942" s="16" t="n"/>
      <c r="W942" s="16" t="n"/>
      <c r="X942" s="16" t="n"/>
      <c r="Y942" s="16" t="n"/>
      <c r="Z942" s="14" t="n"/>
      <c r="AA942" s="14" t="n"/>
      <c r="AB942" s="14" t="n"/>
      <c r="AC942" s="17">
        <f>IFERROR(VLOOKUP($H942&amp;"|"&amp;$Q942,Tariff_Master!$A$2:$L$169,3,FALSE),"")</f>
        <v/>
      </c>
      <c r="AD942" s="17">
        <f>IFERROR(VLOOKUP($H942&amp;"|"&amp;$Q942,Tariff_Master!$A$2:$L$169,4,FALSE),"")</f>
        <v/>
      </c>
      <c r="AE942" s="18">
        <f>IFERROR(VLOOKUP($H942&amp;"|"&amp;$Q942,Tariff_Master!$A$2:$L$169,6,FALSE),"")</f>
        <v/>
      </c>
      <c r="AF942" s="19">
        <f>IFERROR(VLOOKUP($H942&amp;"|"&amp;$Q942,Tariff_Master!$A$2:$L$169,7,FALSE),"")</f>
        <v/>
      </c>
      <c r="AG942" s="18">
        <f>IFERROR(VLOOKUP($H942&amp;"|"&amp;$Q942,Tariff_Master!$A$2:$L$169,8,FALSE),"")</f>
        <v/>
      </c>
      <c r="AH942" s="20">
        <f>IFERROR(VLOOKUP($H942&amp;"|"&amp;$Q942,Tariff_Master!$A$2:$L$169,9,FALSE),"")</f>
        <v/>
      </c>
      <c r="AI942" s="18">
        <f>IFERROR(VLOOKUP($H942&amp;"|"&amp;$Q942,Tariff_Master!$A$2:$L$169,10,FALSE),"")</f>
        <v/>
      </c>
      <c r="AJ942" s="21">
        <f>IF($M942="","",ROUNDUP(MAX(0,$M942),0))</f>
        <v/>
      </c>
      <c r="AK942" s="21">
        <f>IF(OR($AJ942="",$AF942=""),"",MAX(0,$AJ942-$AF942))</f>
        <v/>
      </c>
      <c r="AL942" s="22">
        <f>IF(OR($AK942="",$AG942=""),"",MAX(0,$AK942*$AG942))</f>
        <v/>
      </c>
      <c r="AM942" s="22">
        <f>IF($AE942="","",MAX(0,SUM($AE942,$AL942,$V942,$W942)))</f>
        <v/>
      </c>
      <c r="AN942" s="22">
        <f>IF($AM942="","",IF(AND($Q942="COMMITMENT",$R942&gt;=$AH942),$AI942,0))</f>
        <v/>
      </c>
      <c r="AO942" s="23">
        <f>IF($AM942="","",MAX(0,$AM942-$AN942))</f>
        <v/>
      </c>
      <c r="AP942" s="22">
        <f>IF($S942="","",IF(OR($S942="ITEM_PRICE_PLUS_DECLARED_DELIVERY",$S942="DELIVERY_CHARGE_ONLY"),$K942,IF($S942="TOTAL_AMOUNT_INCLUDING_DELIVERY",IF(OR($T942="",$J942=""),"",MAX(0,$T942-$J942-$U942)),IF($S942="ITEM_PRICE_ONLY_DELIVERY_PAID_BY_MERCHANT",0,""))))</f>
        <v/>
      </c>
      <c r="AQ942" s="23">
        <f>IF(OR($AP942="",$AO942=""),"",$AP942-$AO942)</f>
        <v/>
      </c>
      <c r="AR942" s="24">
        <f>IF($S942="EXACT_COLLECTION_AMOUNT","BREAKDOWN_REQUIRED",IF($AQ942="","",IF($AQ942&gt;0,"CREDIT_TO_MERCHANT",IF($AQ942&lt;0,"DEDUCT_FROM_MERCHANT","NO_ADJUSTMENT"))))</f>
        <v/>
      </c>
      <c r="AS942" s="23">
        <f>IF(OR($AQ942="",$AR942="BREAKDOWN_REQUIRED"),"",$AQ942)</f>
        <v/>
      </c>
      <c r="AT942" s="23">
        <f>IF(OR($AR942="",$AR942="BREAKDOWN_REQUIRED"),"",SUM($J942,$AQ942,$Y942)-$X942)</f>
        <v/>
      </c>
      <c r="AU942" s="25">
        <f>IF(AND($A942="",$B942="",$F942="",$H942="",$J942="",$K942="",$M942="",$S942=""),"",IF(OR($H942="",$Q942="",$M942="",$S942=""),"ERROR",IF(OR($J942&lt;0,$K942&lt;0,$M942&lt;0,$T942&lt;0,$U942&lt;0,$V942&lt;0,$W942&lt;0,$X942&lt;0,$Y942&lt;0),"ERROR",IF($AE942="","ERROR",IF(AND(OR($S942="ITEM_PRICE_PLUS_DECLARED_DELIVERY",$S942="TOTAL_AMOUNT_INCLUDING_DELIVERY",$S942="ITEM_PRICE_ONLY_DELIVERY_PAID_BY_MERCHANT"),$J942=""),"ERROR",IF(AND(OR($S942="ITEM_PRICE_PLUS_DECLARED_DELIVERY",$S942="DELIVERY_CHARGE_ONLY"),$K942=""),"ERROR",IF(AND(OR($S942="TOTAL_AMOUNT_INCLUDING_DELIVERY",$S942="EXACT_COLLECTION_AMOUNT"),$T942=""),"ERROR",IF(AND($S942="TOTAL_AMOUNT_INCLUDING_DELIVERY",$T942&lt;SUM($J942,$U942)),"ERROR",IF($S942="EXACT_COLLECTION_AMOUNT","REVIEW","OK")))))))))</f>
        <v/>
      </c>
      <c r="AV942" s="25">
        <f>IF($AU942="","",IF($H942="","Township required",IF($Q942="","Customer tier required",IF($M942="","Weight required",IF($S942="","Amount entry type required",IF(OR($J942&lt;0,$K942&lt;0,$M942&lt;0,$T942&lt;0,$U942&lt;0,$V942&lt;0,$W942&lt;0,$X942&lt;0,$Y942&lt;0),"Negative amounts are not allowed",IF($AE942="","Tariff not found for township and tier",IF(AND(OR($S942="ITEM_PRICE_PLUS_DECLARED_DELIVERY",$S942="TOTAL_AMOUNT_INCLUDING_DELIVERY",$S942="ITEM_PRICE_ONLY_DELIVERY_PAID_BY_MERCHANT"),$J942=""),"Item price required for this amount type",IF(AND(OR($S942="ITEM_PRICE_PLUS_DECLARED_DELIVERY",$S942="DELIVERY_CHARGE_ONLY"),$K942=""),"Declared delivery charge required",IF(AND(OR($S942="TOTAL_AMOUNT_INCLUDING_DELIVERY",$S942="EXACT_COLLECTION_AMOUNT"),$T942=""),"Stated total amount required",IF(AND($S942="TOTAL_AMOUNT_INCLUDING_DELIVERY",$T942&lt;SUM($J942,$U942)),"Stated total is below item price plus additional charge",IF($S942="EXACT_COLLECTION_AMOUNT","Authorized amount breakdown required before settlement","Ready for collection and settlement"))))))))))))</f>
        <v/>
      </c>
      <c r="AW942" s="23">
        <f>IF($AU942="","","PARCEL_FINANCIAL_V2")</f>
        <v/>
      </c>
      <c r="AX942" s="17" t="n"/>
    </row>
    <row r="943">
      <c r="A943" s="8" t="n"/>
      <c r="B943" s="8" t="n"/>
      <c r="C943" s="8" t="n"/>
      <c r="D943" s="8" t="n"/>
      <c r="E943" s="9" t="n"/>
      <c r="F943" s="9" t="n"/>
      <c r="G943" s="8" t="n"/>
      <c r="H943" s="9" t="n"/>
      <c r="I943" s="9" t="n"/>
      <c r="J943" s="10" t="n"/>
      <c r="K943" s="10" t="n"/>
      <c r="L943" s="11">
        <f>IF($S943="","",IF($S943="ITEM_PRICE_PLUS_DECLARED_DELIVERY",IF(OR($J943="",$K943=""),"",SUM($J943,$K943,$U943)),IF($S943="TOTAL_AMOUNT_INCLUDING_DELIVERY",IF($T943="","",$T943),IF($S943="DELIVERY_CHARGE_ONLY",IF($K943="","",SUM($K943,$U943)),IF($S943="EXACT_COLLECTION_AMOUNT",IF($T943="","",$T943),IF($S943="ITEM_PRICE_ONLY_DELIVERY_PAID_BY_MERCHANT",IF($J943="","",SUM($J943,$U943)),""))))))</f>
        <v/>
      </c>
      <c r="M943" s="12" t="n"/>
      <c r="N943" s="13" t="n"/>
      <c r="O943" s="13" t="n"/>
      <c r="P943" s="9" t="n"/>
      <c r="Q943" s="14" t="n"/>
      <c r="R943" s="15" t="n"/>
      <c r="S943" s="14" t="n"/>
      <c r="T943" s="16" t="n"/>
      <c r="U943" s="16" t="n"/>
      <c r="V943" s="16" t="n"/>
      <c r="W943" s="16" t="n"/>
      <c r="X943" s="16" t="n"/>
      <c r="Y943" s="16" t="n"/>
      <c r="Z943" s="14" t="n"/>
      <c r="AA943" s="14" t="n"/>
      <c r="AB943" s="14" t="n"/>
      <c r="AC943" s="17">
        <f>IFERROR(VLOOKUP($H943&amp;"|"&amp;$Q943,Tariff_Master!$A$2:$L$169,3,FALSE),"")</f>
        <v/>
      </c>
      <c r="AD943" s="17">
        <f>IFERROR(VLOOKUP($H943&amp;"|"&amp;$Q943,Tariff_Master!$A$2:$L$169,4,FALSE),"")</f>
        <v/>
      </c>
      <c r="AE943" s="18">
        <f>IFERROR(VLOOKUP($H943&amp;"|"&amp;$Q943,Tariff_Master!$A$2:$L$169,6,FALSE),"")</f>
        <v/>
      </c>
      <c r="AF943" s="19">
        <f>IFERROR(VLOOKUP($H943&amp;"|"&amp;$Q943,Tariff_Master!$A$2:$L$169,7,FALSE),"")</f>
        <v/>
      </c>
      <c r="AG943" s="18">
        <f>IFERROR(VLOOKUP($H943&amp;"|"&amp;$Q943,Tariff_Master!$A$2:$L$169,8,FALSE),"")</f>
        <v/>
      </c>
      <c r="AH943" s="20">
        <f>IFERROR(VLOOKUP($H943&amp;"|"&amp;$Q943,Tariff_Master!$A$2:$L$169,9,FALSE),"")</f>
        <v/>
      </c>
      <c r="AI943" s="18">
        <f>IFERROR(VLOOKUP($H943&amp;"|"&amp;$Q943,Tariff_Master!$A$2:$L$169,10,FALSE),"")</f>
        <v/>
      </c>
      <c r="AJ943" s="21">
        <f>IF($M943="","",ROUNDUP(MAX(0,$M943),0))</f>
        <v/>
      </c>
      <c r="AK943" s="21">
        <f>IF(OR($AJ943="",$AF943=""),"",MAX(0,$AJ943-$AF943))</f>
        <v/>
      </c>
      <c r="AL943" s="22">
        <f>IF(OR($AK943="",$AG943=""),"",MAX(0,$AK943*$AG943))</f>
        <v/>
      </c>
      <c r="AM943" s="22">
        <f>IF($AE943="","",MAX(0,SUM($AE943,$AL943,$V943,$W943)))</f>
        <v/>
      </c>
      <c r="AN943" s="22">
        <f>IF($AM943="","",IF(AND($Q943="COMMITMENT",$R943&gt;=$AH943),$AI943,0))</f>
        <v/>
      </c>
      <c r="AO943" s="23">
        <f>IF($AM943="","",MAX(0,$AM943-$AN943))</f>
        <v/>
      </c>
      <c r="AP943" s="22">
        <f>IF($S943="","",IF(OR($S943="ITEM_PRICE_PLUS_DECLARED_DELIVERY",$S943="DELIVERY_CHARGE_ONLY"),$K943,IF($S943="TOTAL_AMOUNT_INCLUDING_DELIVERY",IF(OR($T943="",$J943=""),"",MAX(0,$T943-$J943-$U943)),IF($S943="ITEM_PRICE_ONLY_DELIVERY_PAID_BY_MERCHANT",0,""))))</f>
        <v/>
      </c>
      <c r="AQ943" s="23">
        <f>IF(OR($AP943="",$AO943=""),"",$AP943-$AO943)</f>
        <v/>
      </c>
      <c r="AR943" s="24">
        <f>IF($S943="EXACT_COLLECTION_AMOUNT","BREAKDOWN_REQUIRED",IF($AQ943="","",IF($AQ943&gt;0,"CREDIT_TO_MERCHANT",IF($AQ943&lt;0,"DEDUCT_FROM_MERCHANT","NO_ADJUSTMENT"))))</f>
        <v/>
      </c>
      <c r="AS943" s="23">
        <f>IF(OR($AQ943="",$AR943="BREAKDOWN_REQUIRED"),"",$AQ943)</f>
        <v/>
      </c>
      <c r="AT943" s="23">
        <f>IF(OR($AR943="",$AR943="BREAKDOWN_REQUIRED"),"",SUM($J943,$AQ943,$Y943)-$X943)</f>
        <v/>
      </c>
      <c r="AU943" s="25">
        <f>IF(AND($A943="",$B943="",$F943="",$H943="",$J943="",$K943="",$M943="",$S943=""),"",IF(OR($H943="",$Q943="",$M943="",$S943=""),"ERROR",IF(OR($J943&lt;0,$K943&lt;0,$M943&lt;0,$T943&lt;0,$U943&lt;0,$V943&lt;0,$W943&lt;0,$X943&lt;0,$Y943&lt;0),"ERROR",IF($AE943="","ERROR",IF(AND(OR($S943="ITEM_PRICE_PLUS_DECLARED_DELIVERY",$S943="TOTAL_AMOUNT_INCLUDING_DELIVERY",$S943="ITEM_PRICE_ONLY_DELIVERY_PAID_BY_MERCHANT"),$J943=""),"ERROR",IF(AND(OR($S943="ITEM_PRICE_PLUS_DECLARED_DELIVERY",$S943="DELIVERY_CHARGE_ONLY"),$K943=""),"ERROR",IF(AND(OR($S943="TOTAL_AMOUNT_INCLUDING_DELIVERY",$S943="EXACT_COLLECTION_AMOUNT"),$T943=""),"ERROR",IF(AND($S943="TOTAL_AMOUNT_INCLUDING_DELIVERY",$T943&lt;SUM($J943,$U943)),"ERROR",IF($S943="EXACT_COLLECTION_AMOUNT","REVIEW","OK")))))))))</f>
        <v/>
      </c>
      <c r="AV943" s="25">
        <f>IF($AU943="","",IF($H943="","Township required",IF($Q943="","Customer tier required",IF($M943="","Weight required",IF($S943="","Amount entry type required",IF(OR($J943&lt;0,$K943&lt;0,$M943&lt;0,$T943&lt;0,$U943&lt;0,$V943&lt;0,$W943&lt;0,$X943&lt;0,$Y943&lt;0),"Negative amounts are not allowed",IF($AE943="","Tariff not found for township and tier",IF(AND(OR($S943="ITEM_PRICE_PLUS_DECLARED_DELIVERY",$S943="TOTAL_AMOUNT_INCLUDING_DELIVERY",$S943="ITEM_PRICE_ONLY_DELIVERY_PAID_BY_MERCHANT"),$J943=""),"Item price required for this amount type",IF(AND(OR($S943="ITEM_PRICE_PLUS_DECLARED_DELIVERY",$S943="DELIVERY_CHARGE_ONLY"),$K943=""),"Declared delivery charge required",IF(AND(OR($S943="TOTAL_AMOUNT_INCLUDING_DELIVERY",$S943="EXACT_COLLECTION_AMOUNT"),$T943=""),"Stated total amount required",IF(AND($S943="TOTAL_AMOUNT_INCLUDING_DELIVERY",$T943&lt;SUM($J943,$U943)),"Stated total is below item price plus additional charge",IF($S943="EXACT_COLLECTION_AMOUNT","Authorized amount breakdown required before settlement","Ready for collection and settlement"))))))))))))</f>
        <v/>
      </c>
      <c r="AW943" s="23">
        <f>IF($AU943="","","PARCEL_FINANCIAL_V2")</f>
        <v/>
      </c>
      <c r="AX943" s="17" t="n"/>
    </row>
    <row r="944">
      <c r="A944" s="8" t="n"/>
      <c r="B944" s="8" t="n"/>
      <c r="C944" s="8" t="n"/>
      <c r="D944" s="8" t="n"/>
      <c r="E944" s="9" t="n"/>
      <c r="F944" s="9" t="n"/>
      <c r="G944" s="8" t="n"/>
      <c r="H944" s="9" t="n"/>
      <c r="I944" s="9" t="n"/>
      <c r="J944" s="10" t="n"/>
      <c r="K944" s="10" t="n"/>
      <c r="L944" s="11">
        <f>IF($S944="","",IF($S944="ITEM_PRICE_PLUS_DECLARED_DELIVERY",IF(OR($J944="",$K944=""),"",SUM($J944,$K944,$U944)),IF($S944="TOTAL_AMOUNT_INCLUDING_DELIVERY",IF($T944="","",$T944),IF($S944="DELIVERY_CHARGE_ONLY",IF($K944="","",SUM($K944,$U944)),IF($S944="EXACT_COLLECTION_AMOUNT",IF($T944="","",$T944),IF($S944="ITEM_PRICE_ONLY_DELIVERY_PAID_BY_MERCHANT",IF($J944="","",SUM($J944,$U944)),""))))))</f>
        <v/>
      </c>
      <c r="M944" s="12" t="n"/>
      <c r="N944" s="13" t="n"/>
      <c r="O944" s="13" t="n"/>
      <c r="P944" s="9" t="n"/>
      <c r="Q944" s="14" t="n"/>
      <c r="R944" s="15" t="n"/>
      <c r="S944" s="14" t="n"/>
      <c r="T944" s="16" t="n"/>
      <c r="U944" s="16" t="n"/>
      <c r="V944" s="16" t="n"/>
      <c r="W944" s="16" t="n"/>
      <c r="X944" s="16" t="n"/>
      <c r="Y944" s="16" t="n"/>
      <c r="Z944" s="14" t="n"/>
      <c r="AA944" s="14" t="n"/>
      <c r="AB944" s="14" t="n"/>
      <c r="AC944" s="17">
        <f>IFERROR(VLOOKUP($H944&amp;"|"&amp;$Q944,Tariff_Master!$A$2:$L$169,3,FALSE),"")</f>
        <v/>
      </c>
      <c r="AD944" s="17">
        <f>IFERROR(VLOOKUP($H944&amp;"|"&amp;$Q944,Tariff_Master!$A$2:$L$169,4,FALSE),"")</f>
        <v/>
      </c>
      <c r="AE944" s="18">
        <f>IFERROR(VLOOKUP($H944&amp;"|"&amp;$Q944,Tariff_Master!$A$2:$L$169,6,FALSE),"")</f>
        <v/>
      </c>
      <c r="AF944" s="19">
        <f>IFERROR(VLOOKUP($H944&amp;"|"&amp;$Q944,Tariff_Master!$A$2:$L$169,7,FALSE),"")</f>
        <v/>
      </c>
      <c r="AG944" s="18">
        <f>IFERROR(VLOOKUP($H944&amp;"|"&amp;$Q944,Tariff_Master!$A$2:$L$169,8,FALSE),"")</f>
        <v/>
      </c>
      <c r="AH944" s="20">
        <f>IFERROR(VLOOKUP($H944&amp;"|"&amp;$Q944,Tariff_Master!$A$2:$L$169,9,FALSE),"")</f>
        <v/>
      </c>
      <c r="AI944" s="18">
        <f>IFERROR(VLOOKUP($H944&amp;"|"&amp;$Q944,Tariff_Master!$A$2:$L$169,10,FALSE),"")</f>
        <v/>
      </c>
      <c r="AJ944" s="21">
        <f>IF($M944="","",ROUNDUP(MAX(0,$M944),0))</f>
        <v/>
      </c>
      <c r="AK944" s="21">
        <f>IF(OR($AJ944="",$AF944=""),"",MAX(0,$AJ944-$AF944))</f>
        <v/>
      </c>
      <c r="AL944" s="22">
        <f>IF(OR($AK944="",$AG944=""),"",MAX(0,$AK944*$AG944))</f>
        <v/>
      </c>
      <c r="AM944" s="22">
        <f>IF($AE944="","",MAX(0,SUM($AE944,$AL944,$V944,$W944)))</f>
        <v/>
      </c>
      <c r="AN944" s="22">
        <f>IF($AM944="","",IF(AND($Q944="COMMITMENT",$R944&gt;=$AH944),$AI944,0))</f>
        <v/>
      </c>
      <c r="AO944" s="23">
        <f>IF($AM944="","",MAX(0,$AM944-$AN944))</f>
        <v/>
      </c>
      <c r="AP944" s="22">
        <f>IF($S944="","",IF(OR($S944="ITEM_PRICE_PLUS_DECLARED_DELIVERY",$S944="DELIVERY_CHARGE_ONLY"),$K944,IF($S944="TOTAL_AMOUNT_INCLUDING_DELIVERY",IF(OR($T944="",$J944=""),"",MAX(0,$T944-$J944-$U944)),IF($S944="ITEM_PRICE_ONLY_DELIVERY_PAID_BY_MERCHANT",0,""))))</f>
        <v/>
      </c>
      <c r="AQ944" s="23">
        <f>IF(OR($AP944="",$AO944=""),"",$AP944-$AO944)</f>
        <v/>
      </c>
      <c r="AR944" s="24">
        <f>IF($S944="EXACT_COLLECTION_AMOUNT","BREAKDOWN_REQUIRED",IF($AQ944="","",IF($AQ944&gt;0,"CREDIT_TO_MERCHANT",IF($AQ944&lt;0,"DEDUCT_FROM_MERCHANT","NO_ADJUSTMENT"))))</f>
        <v/>
      </c>
      <c r="AS944" s="23">
        <f>IF(OR($AQ944="",$AR944="BREAKDOWN_REQUIRED"),"",$AQ944)</f>
        <v/>
      </c>
      <c r="AT944" s="23">
        <f>IF(OR($AR944="",$AR944="BREAKDOWN_REQUIRED"),"",SUM($J944,$AQ944,$Y944)-$X944)</f>
        <v/>
      </c>
      <c r="AU944" s="25">
        <f>IF(AND($A944="",$B944="",$F944="",$H944="",$J944="",$K944="",$M944="",$S944=""),"",IF(OR($H944="",$Q944="",$M944="",$S944=""),"ERROR",IF(OR($J944&lt;0,$K944&lt;0,$M944&lt;0,$T944&lt;0,$U944&lt;0,$V944&lt;0,$W944&lt;0,$X944&lt;0,$Y944&lt;0),"ERROR",IF($AE944="","ERROR",IF(AND(OR($S944="ITEM_PRICE_PLUS_DECLARED_DELIVERY",$S944="TOTAL_AMOUNT_INCLUDING_DELIVERY",$S944="ITEM_PRICE_ONLY_DELIVERY_PAID_BY_MERCHANT"),$J944=""),"ERROR",IF(AND(OR($S944="ITEM_PRICE_PLUS_DECLARED_DELIVERY",$S944="DELIVERY_CHARGE_ONLY"),$K944=""),"ERROR",IF(AND(OR($S944="TOTAL_AMOUNT_INCLUDING_DELIVERY",$S944="EXACT_COLLECTION_AMOUNT"),$T944=""),"ERROR",IF(AND($S944="TOTAL_AMOUNT_INCLUDING_DELIVERY",$T944&lt;SUM($J944,$U944)),"ERROR",IF($S944="EXACT_COLLECTION_AMOUNT","REVIEW","OK")))))))))</f>
        <v/>
      </c>
      <c r="AV944" s="25">
        <f>IF($AU944="","",IF($H944="","Township required",IF($Q944="","Customer tier required",IF($M944="","Weight required",IF($S944="","Amount entry type required",IF(OR($J944&lt;0,$K944&lt;0,$M944&lt;0,$T944&lt;0,$U944&lt;0,$V944&lt;0,$W944&lt;0,$X944&lt;0,$Y944&lt;0),"Negative amounts are not allowed",IF($AE944="","Tariff not found for township and tier",IF(AND(OR($S944="ITEM_PRICE_PLUS_DECLARED_DELIVERY",$S944="TOTAL_AMOUNT_INCLUDING_DELIVERY",$S944="ITEM_PRICE_ONLY_DELIVERY_PAID_BY_MERCHANT"),$J944=""),"Item price required for this amount type",IF(AND(OR($S944="ITEM_PRICE_PLUS_DECLARED_DELIVERY",$S944="DELIVERY_CHARGE_ONLY"),$K944=""),"Declared delivery charge required",IF(AND(OR($S944="TOTAL_AMOUNT_INCLUDING_DELIVERY",$S944="EXACT_COLLECTION_AMOUNT"),$T944=""),"Stated total amount required",IF(AND($S944="TOTAL_AMOUNT_INCLUDING_DELIVERY",$T944&lt;SUM($J944,$U944)),"Stated total is below item price plus additional charge",IF($S944="EXACT_COLLECTION_AMOUNT","Authorized amount breakdown required before settlement","Ready for collection and settlement"))))))))))))</f>
        <v/>
      </c>
      <c r="AW944" s="23">
        <f>IF($AU944="","","PARCEL_FINANCIAL_V2")</f>
        <v/>
      </c>
      <c r="AX944" s="17" t="n"/>
    </row>
    <row r="945">
      <c r="A945" s="8" t="n"/>
      <c r="B945" s="8" t="n"/>
      <c r="C945" s="8" t="n"/>
      <c r="D945" s="8" t="n"/>
      <c r="E945" s="9" t="n"/>
      <c r="F945" s="9" t="n"/>
      <c r="G945" s="8" t="n"/>
      <c r="H945" s="9" t="n"/>
      <c r="I945" s="9" t="n"/>
      <c r="J945" s="10" t="n"/>
      <c r="K945" s="10" t="n"/>
      <c r="L945" s="11">
        <f>IF($S945="","",IF($S945="ITEM_PRICE_PLUS_DECLARED_DELIVERY",IF(OR($J945="",$K945=""),"",SUM($J945,$K945,$U945)),IF($S945="TOTAL_AMOUNT_INCLUDING_DELIVERY",IF($T945="","",$T945),IF($S945="DELIVERY_CHARGE_ONLY",IF($K945="","",SUM($K945,$U945)),IF($S945="EXACT_COLLECTION_AMOUNT",IF($T945="","",$T945),IF($S945="ITEM_PRICE_ONLY_DELIVERY_PAID_BY_MERCHANT",IF($J945="","",SUM($J945,$U945)),""))))))</f>
        <v/>
      </c>
      <c r="M945" s="12" t="n"/>
      <c r="N945" s="13" t="n"/>
      <c r="O945" s="13" t="n"/>
      <c r="P945" s="9" t="n"/>
      <c r="Q945" s="14" t="n"/>
      <c r="R945" s="15" t="n"/>
      <c r="S945" s="14" t="n"/>
      <c r="T945" s="16" t="n"/>
      <c r="U945" s="16" t="n"/>
      <c r="V945" s="16" t="n"/>
      <c r="W945" s="16" t="n"/>
      <c r="X945" s="16" t="n"/>
      <c r="Y945" s="16" t="n"/>
      <c r="Z945" s="14" t="n"/>
      <c r="AA945" s="14" t="n"/>
      <c r="AB945" s="14" t="n"/>
      <c r="AC945" s="17">
        <f>IFERROR(VLOOKUP($H945&amp;"|"&amp;$Q945,Tariff_Master!$A$2:$L$169,3,FALSE),"")</f>
        <v/>
      </c>
      <c r="AD945" s="17">
        <f>IFERROR(VLOOKUP($H945&amp;"|"&amp;$Q945,Tariff_Master!$A$2:$L$169,4,FALSE),"")</f>
        <v/>
      </c>
      <c r="AE945" s="18">
        <f>IFERROR(VLOOKUP($H945&amp;"|"&amp;$Q945,Tariff_Master!$A$2:$L$169,6,FALSE),"")</f>
        <v/>
      </c>
      <c r="AF945" s="19">
        <f>IFERROR(VLOOKUP($H945&amp;"|"&amp;$Q945,Tariff_Master!$A$2:$L$169,7,FALSE),"")</f>
        <v/>
      </c>
      <c r="AG945" s="18">
        <f>IFERROR(VLOOKUP($H945&amp;"|"&amp;$Q945,Tariff_Master!$A$2:$L$169,8,FALSE),"")</f>
        <v/>
      </c>
      <c r="AH945" s="20">
        <f>IFERROR(VLOOKUP($H945&amp;"|"&amp;$Q945,Tariff_Master!$A$2:$L$169,9,FALSE),"")</f>
        <v/>
      </c>
      <c r="AI945" s="18">
        <f>IFERROR(VLOOKUP($H945&amp;"|"&amp;$Q945,Tariff_Master!$A$2:$L$169,10,FALSE),"")</f>
        <v/>
      </c>
      <c r="AJ945" s="21">
        <f>IF($M945="","",ROUNDUP(MAX(0,$M945),0))</f>
        <v/>
      </c>
      <c r="AK945" s="21">
        <f>IF(OR($AJ945="",$AF945=""),"",MAX(0,$AJ945-$AF945))</f>
        <v/>
      </c>
      <c r="AL945" s="22">
        <f>IF(OR($AK945="",$AG945=""),"",MAX(0,$AK945*$AG945))</f>
        <v/>
      </c>
      <c r="AM945" s="22">
        <f>IF($AE945="","",MAX(0,SUM($AE945,$AL945,$V945,$W945)))</f>
        <v/>
      </c>
      <c r="AN945" s="22">
        <f>IF($AM945="","",IF(AND($Q945="COMMITMENT",$R945&gt;=$AH945),$AI945,0))</f>
        <v/>
      </c>
      <c r="AO945" s="23">
        <f>IF($AM945="","",MAX(0,$AM945-$AN945))</f>
        <v/>
      </c>
      <c r="AP945" s="22">
        <f>IF($S945="","",IF(OR($S945="ITEM_PRICE_PLUS_DECLARED_DELIVERY",$S945="DELIVERY_CHARGE_ONLY"),$K945,IF($S945="TOTAL_AMOUNT_INCLUDING_DELIVERY",IF(OR($T945="",$J945=""),"",MAX(0,$T945-$J945-$U945)),IF($S945="ITEM_PRICE_ONLY_DELIVERY_PAID_BY_MERCHANT",0,""))))</f>
        <v/>
      </c>
      <c r="AQ945" s="23">
        <f>IF(OR($AP945="",$AO945=""),"",$AP945-$AO945)</f>
        <v/>
      </c>
      <c r="AR945" s="24">
        <f>IF($S945="EXACT_COLLECTION_AMOUNT","BREAKDOWN_REQUIRED",IF($AQ945="","",IF($AQ945&gt;0,"CREDIT_TO_MERCHANT",IF($AQ945&lt;0,"DEDUCT_FROM_MERCHANT","NO_ADJUSTMENT"))))</f>
        <v/>
      </c>
      <c r="AS945" s="23">
        <f>IF(OR($AQ945="",$AR945="BREAKDOWN_REQUIRED"),"",$AQ945)</f>
        <v/>
      </c>
      <c r="AT945" s="23">
        <f>IF(OR($AR945="",$AR945="BREAKDOWN_REQUIRED"),"",SUM($J945,$AQ945,$Y945)-$X945)</f>
        <v/>
      </c>
      <c r="AU945" s="25">
        <f>IF(AND($A945="",$B945="",$F945="",$H945="",$J945="",$K945="",$M945="",$S945=""),"",IF(OR($H945="",$Q945="",$M945="",$S945=""),"ERROR",IF(OR($J945&lt;0,$K945&lt;0,$M945&lt;0,$T945&lt;0,$U945&lt;0,$V945&lt;0,$W945&lt;0,$X945&lt;0,$Y945&lt;0),"ERROR",IF($AE945="","ERROR",IF(AND(OR($S945="ITEM_PRICE_PLUS_DECLARED_DELIVERY",$S945="TOTAL_AMOUNT_INCLUDING_DELIVERY",$S945="ITEM_PRICE_ONLY_DELIVERY_PAID_BY_MERCHANT"),$J945=""),"ERROR",IF(AND(OR($S945="ITEM_PRICE_PLUS_DECLARED_DELIVERY",$S945="DELIVERY_CHARGE_ONLY"),$K945=""),"ERROR",IF(AND(OR($S945="TOTAL_AMOUNT_INCLUDING_DELIVERY",$S945="EXACT_COLLECTION_AMOUNT"),$T945=""),"ERROR",IF(AND($S945="TOTAL_AMOUNT_INCLUDING_DELIVERY",$T945&lt;SUM($J945,$U945)),"ERROR",IF($S945="EXACT_COLLECTION_AMOUNT","REVIEW","OK")))))))))</f>
        <v/>
      </c>
      <c r="AV945" s="25">
        <f>IF($AU945="","",IF($H945="","Township required",IF($Q945="","Customer tier required",IF($M945="","Weight required",IF($S945="","Amount entry type required",IF(OR($J945&lt;0,$K945&lt;0,$M945&lt;0,$T945&lt;0,$U945&lt;0,$V945&lt;0,$W945&lt;0,$X945&lt;0,$Y945&lt;0),"Negative amounts are not allowed",IF($AE945="","Tariff not found for township and tier",IF(AND(OR($S945="ITEM_PRICE_PLUS_DECLARED_DELIVERY",$S945="TOTAL_AMOUNT_INCLUDING_DELIVERY",$S945="ITEM_PRICE_ONLY_DELIVERY_PAID_BY_MERCHANT"),$J945=""),"Item price required for this amount type",IF(AND(OR($S945="ITEM_PRICE_PLUS_DECLARED_DELIVERY",$S945="DELIVERY_CHARGE_ONLY"),$K945=""),"Declared delivery charge required",IF(AND(OR($S945="TOTAL_AMOUNT_INCLUDING_DELIVERY",$S945="EXACT_COLLECTION_AMOUNT"),$T945=""),"Stated total amount required",IF(AND($S945="TOTAL_AMOUNT_INCLUDING_DELIVERY",$T945&lt;SUM($J945,$U945)),"Stated total is below item price plus additional charge",IF($S945="EXACT_COLLECTION_AMOUNT","Authorized amount breakdown required before settlement","Ready for collection and settlement"))))))))))))</f>
        <v/>
      </c>
      <c r="AW945" s="23">
        <f>IF($AU945="","","PARCEL_FINANCIAL_V2")</f>
        <v/>
      </c>
      <c r="AX945" s="17" t="n"/>
    </row>
    <row r="946">
      <c r="A946" s="8" t="n"/>
      <c r="B946" s="8" t="n"/>
      <c r="C946" s="8" t="n"/>
      <c r="D946" s="8" t="n"/>
      <c r="E946" s="9" t="n"/>
      <c r="F946" s="9" t="n"/>
      <c r="G946" s="8" t="n"/>
      <c r="H946" s="9" t="n"/>
      <c r="I946" s="9" t="n"/>
      <c r="J946" s="10" t="n"/>
      <c r="K946" s="10" t="n"/>
      <c r="L946" s="11">
        <f>IF($S946="","",IF($S946="ITEM_PRICE_PLUS_DECLARED_DELIVERY",IF(OR($J946="",$K946=""),"",SUM($J946,$K946,$U946)),IF($S946="TOTAL_AMOUNT_INCLUDING_DELIVERY",IF($T946="","",$T946),IF($S946="DELIVERY_CHARGE_ONLY",IF($K946="","",SUM($K946,$U946)),IF($S946="EXACT_COLLECTION_AMOUNT",IF($T946="","",$T946),IF($S946="ITEM_PRICE_ONLY_DELIVERY_PAID_BY_MERCHANT",IF($J946="","",SUM($J946,$U946)),""))))))</f>
        <v/>
      </c>
      <c r="M946" s="12" t="n"/>
      <c r="N946" s="13" t="n"/>
      <c r="O946" s="13" t="n"/>
      <c r="P946" s="9" t="n"/>
      <c r="Q946" s="14" t="n"/>
      <c r="R946" s="15" t="n"/>
      <c r="S946" s="14" t="n"/>
      <c r="T946" s="16" t="n"/>
      <c r="U946" s="16" t="n"/>
      <c r="V946" s="16" t="n"/>
      <c r="W946" s="16" t="n"/>
      <c r="X946" s="16" t="n"/>
      <c r="Y946" s="16" t="n"/>
      <c r="Z946" s="14" t="n"/>
      <c r="AA946" s="14" t="n"/>
      <c r="AB946" s="14" t="n"/>
      <c r="AC946" s="17">
        <f>IFERROR(VLOOKUP($H946&amp;"|"&amp;$Q946,Tariff_Master!$A$2:$L$169,3,FALSE),"")</f>
        <v/>
      </c>
      <c r="AD946" s="17">
        <f>IFERROR(VLOOKUP($H946&amp;"|"&amp;$Q946,Tariff_Master!$A$2:$L$169,4,FALSE),"")</f>
        <v/>
      </c>
      <c r="AE946" s="18">
        <f>IFERROR(VLOOKUP($H946&amp;"|"&amp;$Q946,Tariff_Master!$A$2:$L$169,6,FALSE),"")</f>
        <v/>
      </c>
      <c r="AF946" s="19">
        <f>IFERROR(VLOOKUP($H946&amp;"|"&amp;$Q946,Tariff_Master!$A$2:$L$169,7,FALSE),"")</f>
        <v/>
      </c>
      <c r="AG946" s="18">
        <f>IFERROR(VLOOKUP($H946&amp;"|"&amp;$Q946,Tariff_Master!$A$2:$L$169,8,FALSE),"")</f>
        <v/>
      </c>
      <c r="AH946" s="20">
        <f>IFERROR(VLOOKUP($H946&amp;"|"&amp;$Q946,Tariff_Master!$A$2:$L$169,9,FALSE),"")</f>
        <v/>
      </c>
      <c r="AI946" s="18">
        <f>IFERROR(VLOOKUP($H946&amp;"|"&amp;$Q946,Tariff_Master!$A$2:$L$169,10,FALSE),"")</f>
        <v/>
      </c>
      <c r="AJ946" s="21">
        <f>IF($M946="","",ROUNDUP(MAX(0,$M946),0))</f>
        <v/>
      </c>
      <c r="AK946" s="21">
        <f>IF(OR($AJ946="",$AF946=""),"",MAX(0,$AJ946-$AF946))</f>
        <v/>
      </c>
      <c r="AL946" s="22">
        <f>IF(OR($AK946="",$AG946=""),"",MAX(0,$AK946*$AG946))</f>
        <v/>
      </c>
      <c r="AM946" s="22">
        <f>IF($AE946="","",MAX(0,SUM($AE946,$AL946,$V946,$W946)))</f>
        <v/>
      </c>
      <c r="AN946" s="22">
        <f>IF($AM946="","",IF(AND($Q946="COMMITMENT",$R946&gt;=$AH946),$AI946,0))</f>
        <v/>
      </c>
      <c r="AO946" s="23">
        <f>IF($AM946="","",MAX(0,$AM946-$AN946))</f>
        <v/>
      </c>
      <c r="AP946" s="22">
        <f>IF($S946="","",IF(OR($S946="ITEM_PRICE_PLUS_DECLARED_DELIVERY",$S946="DELIVERY_CHARGE_ONLY"),$K946,IF($S946="TOTAL_AMOUNT_INCLUDING_DELIVERY",IF(OR($T946="",$J946=""),"",MAX(0,$T946-$J946-$U946)),IF($S946="ITEM_PRICE_ONLY_DELIVERY_PAID_BY_MERCHANT",0,""))))</f>
        <v/>
      </c>
      <c r="AQ946" s="23">
        <f>IF(OR($AP946="",$AO946=""),"",$AP946-$AO946)</f>
        <v/>
      </c>
      <c r="AR946" s="24">
        <f>IF($S946="EXACT_COLLECTION_AMOUNT","BREAKDOWN_REQUIRED",IF($AQ946="","",IF($AQ946&gt;0,"CREDIT_TO_MERCHANT",IF($AQ946&lt;0,"DEDUCT_FROM_MERCHANT","NO_ADJUSTMENT"))))</f>
        <v/>
      </c>
      <c r="AS946" s="23">
        <f>IF(OR($AQ946="",$AR946="BREAKDOWN_REQUIRED"),"",$AQ946)</f>
        <v/>
      </c>
      <c r="AT946" s="23">
        <f>IF(OR($AR946="",$AR946="BREAKDOWN_REQUIRED"),"",SUM($J946,$AQ946,$Y946)-$X946)</f>
        <v/>
      </c>
      <c r="AU946" s="25">
        <f>IF(AND($A946="",$B946="",$F946="",$H946="",$J946="",$K946="",$M946="",$S946=""),"",IF(OR($H946="",$Q946="",$M946="",$S946=""),"ERROR",IF(OR($J946&lt;0,$K946&lt;0,$M946&lt;0,$T946&lt;0,$U946&lt;0,$V946&lt;0,$W946&lt;0,$X946&lt;0,$Y946&lt;0),"ERROR",IF($AE946="","ERROR",IF(AND(OR($S946="ITEM_PRICE_PLUS_DECLARED_DELIVERY",$S946="TOTAL_AMOUNT_INCLUDING_DELIVERY",$S946="ITEM_PRICE_ONLY_DELIVERY_PAID_BY_MERCHANT"),$J946=""),"ERROR",IF(AND(OR($S946="ITEM_PRICE_PLUS_DECLARED_DELIVERY",$S946="DELIVERY_CHARGE_ONLY"),$K946=""),"ERROR",IF(AND(OR($S946="TOTAL_AMOUNT_INCLUDING_DELIVERY",$S946="EXACT_COLLECTION_AMOUNT"),$T946=""),"ERROR",IF(AND($S946="TOTAL_AMOUNT_INCLUDING_DELIVERY",$T946&lt;SUM($J946,$U946)),"ERROR",IF($S946="EXACT_COLLECTION_AMOUNT","REVIEW","OK")))))))))</f>
        <v/>
      </c>
      <c r="AV946" s="25">
        <f>IF($AU946="","",IF($H946="","Township required",IF($Q946="","Customer tier required",IF($M946="","Weight required",IF($S946="","Amount entry type required",IF(OR($J946&lt;0,$K946&lt;0,$M946&lt;0,$T946&lt;0,$U946&lt;0,$V946&lt;0,$W946&lt;0,$X946&lt;0,$Y946&lt;0),"Negative amounts are not allowed",IF($AE946="","Tariff not found for township and tier",IF(AND(OR($S946="ITEM_PRICE_PLUS_DECLARED_DELIVERY",$S946="TOTAL_AMOUNT_INCLUDING_DELIVERY",$S946="ITEM_PRICE_ONLY_DELIVERY_PAID_BY_MERCHANT"),$J946=""),"Item price required for this amount type",IF(AND(OR($S946="ITEM_PRICE_PLUS_DECLARED_DELIVERY",$S946="DELIVERY_CHARGE_ONLY"),$K946=""),"Declared delivery charge required",IF(AND(OR($S946="TOTAL_AMOUNT_INCLUDING_DELIVERY",$S946="EXACT_COLLECTION_AMOUNT"),$T946=""),"Stated total amount required",IF(AND($S946="TOTAL_AMOUNT_INCLUDING_DELIVERY",$T946&lt;SUM($J946,$U946)),"Stated total is below item price plus additional charge",IF($S946="EXACT_COLLECTION_AMOUNT","Authorized amount breakdown required before settlement","Ready for collection and settlement"))))))))))))</f>
        <v/>
      </c>
      <c r="AW946" s="23">
        <f>IF($AU946="","","PARCEL_FINANCIAL_V2")</f>
        <v/>
      </c>
      <c r="AX946" s="17" t="n"/>
    </row>
    <row r="947">
      <c r="A947" s="8" t="n"/>
      <c r="B947" s="8" t="n"/>
      <c r="C947" s="8" t="n"/>
      <c r="D947" s="8" t="n"/>
      <c r="E947" s="9" t="n"/>
      <c r="F947" s="9" t="n"/>
      <c r="G947" s="8" t="n"/>
      <c r="H947" s="9" t="n"/>
      <c r="I947" s="9" t="n"/>
      <c r="J947" s="10" t="n"/>
      <c r="K947" s="10" t="n"/>
      <c r="L947" s="11">
        <f>IF($S947="","",IF($S947="ITEM_PRICE_PLUS_DECLARED_DELIVERY",IF(OR($J947="",$K947=""),"",SUM($J947,$K947,$U947)),IF($S947="TOTAL_AMOUNT_INCLUDING_DELIVERY",IF($T947="","",$T947),IF($S947="DELIVERY_CHARGE_ONLY",IF($K947="","",SUM($K947,$U947)),IF($S947="EXACT_COLLECTION_AMOUNT",IF($T947="","",$T947),IF($S947="ITEM_PRICE_ONLY_DELIVERY_PAID_BY_MERCHANT",IF($J947="","",SUM($J947,$U947)),""))))))</f>
        <v/>
      </c>
      <c r="M947" s="12" t="n"/>
      <c r="N947" s="13" t="n"/>
      <c r="O947" s="13" t="n"/>
      <c r="P947" s="9" t="n"/>
      <c r="Q947" s="14" t="n"/>
      <c r="R947" s="15" t="n"/>
      <c r="S947" s="14" t="n"/>
      <c r="T947" s="16" t="n"/>
      <c r="U947" s="16" t="n"/>
      <c r="V947" s="16" t="n"/>
      <c r="W947" s="16" t="n"/>
      <c r="X947" s="16" t="n"/>
      <c r="Y947" s="16" t="n"/>
      <c r="Z947" s="14" t="n"/>
      <c r="AA947" s="14" t="n"/>
      <c r="AB947" s="14" t="n"/>
      <c r="AC947" s="17">
        <f>IFERROR(VLOOKUP($H947&amp;"|"&amp;$Q947,Tariff_Master!$A$2:$L$169,3,FALSE),"")</f>
        <v/>
      </c>
      <c r="AD947" s="17">
        <f>IFERROR(VLOOKUP($H947&amp;"|"&amp;$Q947,Tariff_Master!$A$2:$L$169,4,FALSE),"")</f>
        <v/>
      </c>
      <c r="AE947" s="18">
        <f>IFERROR(VLOOKUP($H947&amp;"|"&amp;$Q947,Tariff_Master!$A$2:$L$169,6,FALSE),"")</f>
        <v/>
      </c>
      <c r="AF947" s="19">
        <f>IFERROR(VLOOKUP($H947&amp;"|"&amp;$Q947,Tariff_Master!$A$2:$L$169,7,FALSE),"")</f>
        <v/>
      </c>
      <c r="AG947" s="18">
        <f>IFERROR(VLOOKUP($H947&amp;"|"&amp;$Q947,Tariff_Master!$A$2:$L$169,8,FALSE),"")</f>
        <v/>
      </c>
      <c r="AH947" s="20">
        <f>IFERROR(VLOOKUP($H947&amp;"|"&amp;$Q947,Tariff_Master!$A$2:$L$169,9,FALSE),"")</f>
        <v/>
      </c>
      <c r="AI947" s="18">
        <f>IFERROR(VLOOKUP($H947&amp;"|"&amp;$Q947,Tariff_Master!$A$2:$L$169,10,FALSE),"")</f>
        <v/>
      </c>
      <c r="AJ947" s="21">
        <f>IF($M947="","",ROUNDUP(MAX(0,$M947),0))</f>
        <v/>
      </c>
      <c r="AK947" s="21">
        <f>IF(OR($AJ947="",$AF947=""),"",MAX(0,$AJ947-$AF947))</f>
        <v/>
      </c>
      <c r="AL947" s="22">
        <f>IF(OR($AK947="",$AG947=""),"",MAX(0,$AK947*$AG947))</f>
        <v/>
      </c>
      <c r="AM947" s="22">
        <f>IF($AE947="","",MAX(0,SUM($AE947,$AL947,$V947,$W947)))</f>
        <v/>
      </c>
      <c r="AN947" s="22">
        <f>IF($AM947="","",IF(AND($Q947="COMMITMENT",$R947&gt;=$AH947),$AI947,0))</f>
        <v/>
      </c>
      <c r="AO947" s="23">
        <f>IF($AM947="","",MAX(0,$AM947-$AN947))</f>
        <v/>
      </c>
      <c r="AP947" s="22">
        <f>IF($S947="","",IF(OR($S947="ITEM_PRICE_PLUS_DECLARED_DELIVERY",$S947="DELIVERY_CHARGE_ONLY"),$K947,IF($S947="TOTAL_AMOUNT_INCLUDING_DELIVERY",IF(OR($T947="",$J947=""),"",MAX(0,$T947-$J947-$U947)),IF($S947="ITEM_PRICE_ONLY_DELIVERY_PAID_BY_MERCHANT",0,""))))</f>
        <v/>
      </c>
      <c r="AQ947" s="23">
        <f>IF(OR($AP947="",$AO947=""),"",$AP947-$AO947)</f>
        <v/>
      </c>
      <c r="AR947" s="24">
        <f>IF($S947="EXACT_COLLECTION_AMOUNT","BREAKDOWN_REQUIRED",IF($AQ947="","",IF($AQ947&gt;0,"CREDIT_TO_MERCHANT",IF($AQ947&lt;0,"DEDUCT_FROM_MERCHANT","NO_ADJUSTMENT"))))</f>
        <v/>
      </c>
      <c r="AS947" s="23">
        <f>IF(OR($AQ947="",$AR947="BREAKDOWN_REQUIRED"),"",$AQ947)</f>
        <v/>
      </c>
      <c r="AT947" s="23">
        <f>IF(OR($AR947="",$AR947="BREAKDOWN_REQUIRED"),"",SUM($J947,$AQ947,$Y947)-$X947)</f>
        <v/>
      </c>
      <c r="AU947" s="25">
        <f>IF(AND($A947="",$B947="",$F947="",$H947="",$J947="",$K947="",$M947="",$S947=""),"",IF(OR($H947="",$Q947="",$M947="",$S947=""),"ERROR",IF(OR($J947&lt;0,$K947&lt;0,$M947&lt;0,$T947&lt;0,$U947&lt;0,$V947&lt;0,$W947&lt;0,$X947&lt;0,$Y947&lt;0),"ERROR",IF($AE947="","ERROR",IF(AND(OR($S947="ITEM_PRICE_PLUS_DECLARED_DELIVERY",$S947="TOTAL_AMOUNT_INCLUDING_DELIVERY",$S947="ITEM_PRICE_ONLY_DELIVERY_PAID_BY_MERCHANT"),$J947=""),"ERROR",IF(AND(OR($S947="ITEM_PRICE_PLUS_DECLARED_DELIVERY",$S947="DELIVERY_CHARGE_ONLY"),$K947=""),"ERROR",IF(AND(OR($S947="TOTAL_AMOUNT_INCLUDING_DELIVERY",$S947="EXACT_COLLECTION_AMOUNT"),$T947=""),"ERROR",IF(AND($S947="TOTAL_AMOUNT_INCLUDING_DELIVERY",$T947&lt;SUM($J947,$U947)),"ERROR",IF($S947="EXACT_COLLECTION_AMOUNT","REVIEW","OK")))))))))</f>
        <v/>
      </c>
      <c r="AV947" s="25">
        <f>IF($AU947="","",IF($H947="","Township required",IF($Q947="","Customer tier required",IF($M947="","Weight required",IF($S947="","Amount entry type required",IF(OR($J947&lt;0,$K947&lt;0,$M947&lt;0,$T947&lt;0,$U947&lt;0,$V947&lt;0,$W947&lt;0,$X947&lt;0,$Y947&lt;0),"Negative amounts are not allowed",IF($AE947="","Tariff not found for township and tier",IF(AND(OR($S947="ITEM_PRICE_PLUS_DECLARED_DELIVERY",$S947="TOTAL_AMOUNT_INCLUDING_DELIVERY",$S947="ITEM_PRICE_ONLY_DELIVERY_PAID_BY_MERCHANT"),$J947=""),"Item price required for this amount type",IF(AND(OR($S947="ITEM_PRICE_PLUS_DECLARED_DELIVERY",$S947="DELIVERY_CHARGE_ONLY"),$K947=""),"Declared delivery charge required",IF(AND(OR($S947="TOTAL_AMOUNT_INCLUDING_DELIVERY",$S947="EXACT_COLLECTION_AMOUNT"),$T947=""),"Stated total amount required",IF(AND($S947="TOTAL_AMOUNT_INCLUDING_DELIVERY",$T947&lt;SUM($J947,$U947)),"Stated total is below item price plus additional charge",IF($S947="EXACT_COLLECTION_AMOUNT","Authorized amount breakdown required before settlement","Ready for collection and settlement"))))))))))))</f>
        <v/>
      </c>
      <c r="AW947" s="23">
        <f>IF($AU947="","","PARCEL_FINANCIAL_V2")</f>
        <v/>
      </c>
      <c r="AX947" s="17" t="n"/>
    </row>
    <row r="948">
      <c r="A948" s="8" t="n"/>
      <c r="B948" s="8" t="n"/>
      <c r="C948" s="8" t="n"/>
      <c r="D948" s="8" t="n"/>
      <c r="E948" s="9" t="n"/>
      <c r="F948" s="9" t="n"/>
      <c r="G948" s="8" t="n"/>
      <c r="H948" s="9" t="n"/>
      <c r="I948" s="9" t="n"/>
      <c r="J948" s="10" t="n"/>
      <c r="K948" s="10" t="n"/>
      <c r="L948" s="11">
        <f>IF($S948="","",IF($S948="ITEM_PRICE_PLUS_DECLARED_DELIVERY",IF(OR($J948="",$K948=""),"",SUM($J948,$K948,$U948)),IF($S948="TOTAL_AMOUNT_INCLUDING_DELIVERY",IF($T948="","",$T948),IF($S948="DELIVERY_CHARGE_ONLY",IF($K948="","",SUM($K948,$U948)),IF($S948="EXACT_COLLECTION_AMOUNT",IF($T948="","",$T948),IF($S948="ITEM_PRICE_ONLY_DELIVERY_PAID_BY_MERCHANT",IF($J948="","",SUM($J948,$U948)),""))))))</f>
        <v/>
      </c>
      <c r="M948" s="12" t="n"/>
      <c r="N948" s="13" t="n"/>
      <c r="O948" s="13" t="n"/>
      <c r="P948" s="9" t="n"/>
      <c r="Q948" s="14" t="n"/>
      <c r="R948" s="15" t="n"/>
      <c r="S948" s="14" t="n"/>
      <c r="T948" s="16" t="n"/>
      <c r="U948" s="16" t="n"/>
      <c r="V948" s="16" t="n"/>
      <c r="W948" s="16" t="n"/>
      <c r="X948" s="16" t="n"/>
      <c r="Y948" s="16" t="n"/>
      <c r="Z948" s="14" t="n"/>
      <c r="AA948" s="14" t="n"/>
      <c r="AB948" s="14" t="n"/>
      <c r="AC948" s="17">
        <f>IFERROR(VLOOKUP($H948&amp;"|"&amp;$Q948,Tariff_Master!$A$2:$L$169,3,FALSE),"")</f>
        <v/>
      </c>
      <c r="AD948" s="17">
        <f>IFERROR(VLOOKUP($H948&amp;"|"&amp;$Q948,Tariff_Master!$A$2:$L$169,4,FALSE),"")</f>
        <v/>
      </c>
      <c r="AE948" s="18">
        <f>IFERROR(VLOOKUP($H948&amp;"|"&amp;$Q948,Tariff_Master!$A$2:$L$169,6,FALSE),"")</f>
        <v/>
      </c>
      <c r="AF948" s="19">
        <f>IFERROR(VLOOKUP($H948&amp;"|"&amp;$Q948,Tariff_Master!$A$2:$L$169,7,FALSE),"")</f>
        <v/>
      </c>
      <c r="AG948" s="18">
        <f>IFERROR(VLOOKUP($H948&amp;"|"&amp;$Q948,Tariff_Master!$A$2:$L$169,8,FALSE),"")</f>
        <v/>
      </c>
      <c r="AH948" s="20">
        <f>IFERROR(VLOOKUP($H948&amp;"|"&amp;$Q948,Tariff_Master!$A$2:$L$169,9,FALSE),"")</f>
        <v/>
      </c>
      <c r="AI948" s="18">
        <f>IFERROR(VLOOKUP($H948&amp;"|"&amp;$Q948,Tariff_Master!$A$2:$L$169,10,FALSE),"")</f>
        <v/>
      </c>
      <c r="AJ948" s="21">
        <f>IF($M948="","",ROUNDUP(MAX(0,$M948),0))</f>
        <v/>
      </c>
      <c r="AK948" s="21">
        <f>IF(OR($AJ948="",$AF948=""),"",MAX(0,$AJ948-$AF948))</f>
        <v/>
      </c>
      <c r="AL948" s="22">
        <f>IF(OR($AK948="",$AG948=""),"",MAX(0,$AK948*$AG948))</f>
        <v/>
      </c>
      <c r="AM948" s="22">
        <f>IF($AE948="","",MAX(0,SUM($AE948,$AL948,$V948,$W948)))</f>
        <v/>
      </c>
      <c r="AN948" s="22">
        <f>IF($AM948="","",IF(AND($Q948="COMMITMENT",$R948&gt;=$AH948),$AI948,0))</f>
        <v/>
      </c>
      <c r="AO948" s="23">
        <f>IF($AM948="","",MAX(0,$AM948-$AN948))</f>
        <v/>
      </c>
      <c r="AP948" s="22">
        <f>IF($S948="","",IF(OR($S948="ITEM_PRICE_PLUS_DECLARED_DELIVERY",$S948="DELIVERY_CHARGE_ONLY"),$K948,IF($S948="TOTAL_AMOUNT_INCLUDING_DELIVERY",IF(OR($T948="",$J948=""),"",MAX(0,$T948-$J948-$U948)),IF($S948="ITEM_PRICE_ONLY_DELIVERY_PAID_BY_MERCHANT",0,""))))</f>
        <v/>
      </c>
      <c r="AQ948" s="23">
        <f>IF(OR($AP948="",$AO948=""),"",$AP948-$AO948)</f>
        <v/>
      </c>
      <c r="AR948" s="24">
        <f>IF($S948="EXACT_COLLECTION_AMOUNT","BREAKDOWN_REQUIRED",IF($AQ948="","",IF($AQ948&gt;0,"CREDIT_TO_MERCHANT",IF($AQ948&lt;0,"DEDUCT_FROM_MERCHANT","NO_ADJUSTMENT"))))</f>
        <v/>
      </c>
      <c r="AS948" s="23">
        <f>IF(OR($AQ948="",$AR948="BREAKDOWN_REQUIRED"),"",$AQ948)</f>
        <v/>
      </c>
      <c r="AT948" s="23">
        <f>IF(OR($AR948="",$AR948="BREAKDOWN_REQUIRED"),"",SUM($J948,$AQ948,$Y948)-$X948)</f>
        <v/>
      </c>
      <c r="AU948" s="25">
        <f>IF(AND($A948="",$B948="",$F948="",$H948="",$J948="",$K948="",$M948="",$S948=""),"",IF(OR($H948="",$Q948="",$M948="",$S948=""),"ERROR",IF(OR($J948&lt;0,$K948&lt;0,$M948&lt;0,$T948&lt;0,$U948&lt;0,$V948&lt;0,$W948&lt;0,$X948&lt;0,$Y948&lt;0),"ERROR",IF($AE948="","ERROR",IF(AND(OR($S948="ITEM_PRICE_PLUS_DECLARED_DELIVERY",$S948="TOTAL_AMOUNT_INCLUDING_DELIVERY",$S948="ITEM_PRICE_ONLY_DELIVERY_PAID_BY_MERCHANT"),$J948=""),"ERROR",IF(AND(OR($S948="ITEM_PRICE_PLUS_DECLARED_DELIVERY",$S948="DELIVERY_CHARGE_ONLY"),$K948=""),"ERROR",IF(AND(OR($S948="TOTAL_AMOUNT_INCLUDING_DELIVERY",$S948="EXACT_COLLECTION_AMOUNT"),$T948=""),"ERROR",IF(AND($S948="TOTAL_AMOUNT_INCLUDING_DELIVERY",$T948&lt;SUM($J948,$U948)),"ERROR",IF($S948="EXACT_COLLECTION_AMOUNT","REVIEW","OK")))))))))</f>
        <v/>
      </c>
      <c r="AV948" s="25">
        <f>IF($AU948="","",IF($H948="","Township required",IF($Q948="","Customer tier required",IF($M948="","Weight required",IF($S948="","Amount entry type required",IF(OR($J948&lt;0,$K948&lt;0,$M948&lt;0,$T948&lt;0,$U948&lt;0,$V948&lt;0,$W948&lt;0,$X948&lt;0,$Y948&lt;0),"Negative amounts are not allowed",IF($AE948="","Tariff not found for township and tier",IF(AND(OR($S948="ITEM_PRICE_PLUS_DECLARED_DELIVERY",$S948="TOTAL_AMOUNT_INCLUDING_DELIVERY",$S948="ITEM_PRICE_ONLY_DELIVERY_PAID_BY_MERCHANT"),$J948=""),"Item price required for this amount type",IF(AND(OR($S948="ITEM_PRICE_PLUS_DECLARED_DELIVERY",$S948="DELIVERY_CHARGE_ONLY"),$K948=""),"Declared delivery charge required",IF(AND(OR($S948="TOTAL_AMOUNT_INCLUDING_DELIVERY",$S948="EXACT_COLLECTION_AMOUNT"),$T948=""),"Stated total amount required",IF(AND($S948="TOTAL_AMOUNT_INCLUDING_DELIVERY",$T948&lt;SUM($J948,$U948)),"Stated total is below item price plus additional charge",IF($S948="EXACT_COLLECTION_AMOUNT","Authorized amount breakdown required before settlement","Ready for collection and settlement"))))))))))))</f>
        <v/>
      </c>
      <c r="AW948" s="23">
        <f>IF($AU948="","","PARCEL_FINANCIAL_V2")</f>
        <v/>
      </c>
      <c r="AX948" s="17" t="n"/>
    </row>
    <row r="949">
      <c r="A949" s="8" t="n"/>
      <c r="B949" s="8" t="n"/>
      <c r="C949" s="8" t="n"/>
      <c r="D949" s="8" t="n"/>
      <c r="E949" s="9" t="n"/>
      <c r="F949" s="9" t="n"/>
      <c r="G949" s="8" t="n"/>
      <c r="H949" s="9" t="n"/>
      <c r="I949" s="9" t="n"/>
      <c r="J949" s="10" t="n"/>
      <c r="K949" s="10" t="n"/>
      <c r="L949" s="11">
        <f>IF($S949="","",IF($S949="ITEM_PRICE_PLUS_DECLARED_DELIVERY",IF(OR($J949="",$K949=""),"",SUM($J949,$K949,$U949)),IF($S949="TOTAL_AMOUNT_INCLUDING_DELIVERY",IF($T949="","",$T949),IF($S949="DELIVERY_CHARGE_ONLY",IF($K949="","",SUM($K949,$U949)),IF($S949="EXACT_COLLECTION_AMOUNT",IF($T949="","",$T949),IF($S949="ITEM_PRICE_ONLY_DELIVERY_PAID_BY_MERCHANT",IF($J949="","",SUM($J949,$U949)),""))))))</f>
        <v/>
      </c>
      <c r="M949" s="12" t="n"/>
      <c r="N949" s="13" t="n"/>
      <c r="O949" s="13" t="n"/>
      <c r="P949" s="9" t="n"/>
      <c r="Q949" s="14" t="n"/>
      <c r="R949" s="15" t="n"/>
      <c r="S949" s="14" t="n"/>
      <c r="T949" s="16" t="n"/>
      <c r="U949" s="16" t="n"/>
      <c r="V949" s="16" t="n"/>
      <c r="W949" s="16" t="n"/>
      <c r="X949" s="16" t="n"/>
      <c r="Y949" s="16" t="n"/>
      <c r="Z949" s="14" t="n"/>
      <c r="AA949" s="14" t="n"/>
      <c r="AB949" s="14" t="n"/>
      <c r="AC949" s="17">
        <f>IFERROR(VLOOKUP($H949&amp;"|"&amp;$Q949,Tariff_Master!$A$2:$L$169,3,FALSE),"")</f>
        <v/>
      </c>
      <c r="AD949" s="17">
        <f>IFERROR(VLOOKUP($H949&amp;"|"&amp;$Q949,Tariff_Master!$A$2:$L$169,4,FALSE),"")</f>
        <v/>
      </c>
      <c r="AE949" s="18">
        <f>IFERROR(VLOOKUP($H949&amp;"|"&amp;$Q949,Tariff_Master!$A$2:$L$169,6,FALSE),"")</f>
        <v/>
      </c>
      <c r="AF949" s="19">
        <f>IFERROR(VLOOKUP($H949&amp;"|"&amp;$Q949,Tariff_Master!$A$2:$L$169,7,FALSE),"")</f>
        <v/>
      </c>
      <c r="AG949" s="18">
        <f>IFERROR(VLOOKUP($H949&amp;"|"&amp;$Q949,Tariff_Master!$A$2:$L$169,8,FALSE),"")</f>
        <v/>
      </c>
      <c r="AH949" s="20">
        <f>IFERROR(VLOOKUP($H949&amp;"|"&amp;$Q949,Tariff_Master!$A$2:$L$169,9,FALSE),"")</f>
        <v/>
      </c>
      <c r="AI949" s="18">
        <f>IFERROR(VLOOKUP($H949&amp;"|"&amp;$Q949,Tariff_Master!$A$2:$L$169,10,FALSE),"")</f>
        <v/>
      </c>
      <c r="AJ949" s="21">
        <f>IF($M949="","",ROUNDUP(MAX(0,$M949),0))</f>
        <v/>
      </c>
      <c r="AK949" s="21">
        <f>IF(OR($AJ949="",$AF949=""),"",MAX(0,$AJ949-$AF949))</f>
        <v/>
      </c>
      <c r="AL949" s="22">
        <f>IF(OR($AK949="",$AG949=""),"",MAX(0,$AK949*$AG949))</f>
        <v/>
      </c>
      <c r="AM949" s="22">
        <f>IF($AE949="","",MAX(0,SUM($AE949,$AL949,$V949,$W949)))</f>
        <v/>
      </c>
      <c r="AN949" s="22">
        <f>IF($AM949="","",IF(AND($Q949="COMMITMENT",$R949&gt;=$AH949),$AI949,0))</f>
        <v/>
      </c>
      <c r="AO949" s="23">
        <f>IF($AM949="","",MAX(0,$AM949-$AN949))</f>
        <v/>
      </c>
      <c r="AP949" s="22">
        <f>IF($S949="","",IF(OR($S949="ITEM_PRICE_PLUS_DECLARED_DELIVERY",$S949="DELIVERY_CHARGE_ONLY"),$K949,IF($S949="TOTAL_AMOUNT_INCLUDING_DELIVERY",IF(OR($T949="",$J949=""),"",MAX(0,$T949-$J949-$U949)),IF($S949="ITEM_PRICE_ONLY_DELIVERY_PAID_BY_MERCHANT",0,""))))</f>
        <v/>
      </c>
      <c r="AQ949" s="23">
        <f>IF(OR($AP949="",$AO949=""),"",$AP949-$AO949)</f>
        <v/>
      </c>
      <c r="AR949" s="24">
        <f>IF($S949="EXACT_COLLECTION_AMOUNT","BREAKDOWN_REQUIRED",IF($AQ949="","",IF($AQ949&gt;0,"CREDIT_TO_MERCHANT",IF($AQ949&lt;0,"DEDUCT_FROM_MERCHANT","NO_ADJUSTMENT"))))</f>
        <v/>
      </c>
      <c r="AS949" s="23">
        <f>IF(OR($AQ949="",$AR949="BREAKDOWN_REQUIRED"),"",$AQ949)</f>
        <v/>
      </c>
      <c r="AT949" s="23">
        <f>IF(OR($AR949="",$AR949="BREAKDOWN_REQUIRED"),"",SUM($J949,$AQ949,$Y949)-$X949)</f>
        <v/>
      </c>
      <c r="AU949" s="25">
        <f>IF(AND($A949="",$B949="",$F949="",$H949="",$J949="",$K949="",$M949="",$S949=""),"",IF(OR($H949="",$Q949="",$M949="",$S949=""),"ERROR",IF(OR($J949&lt;0,$K949&lt;0,$M949&lt;0,$T949&lt;0,$U949&lt;0,$V949&lt;0,$W949&lt;0,$X949&lt;0,$Y949&lt;0),"ERROR",IF($AE949="","ERROR",IF(AND(OR($S949="ITEM_PRICE_PLUS_DECLARED_DELIVERY",$S949="TOTAL_AMOUNT_INCLUDING_DELIVERY",$S949="ITEM_PRICE_ONLY_DELIVERY_PAID_BY_MERCHANT"),$J949=""),"ERROR",IF(AND(OR($S949="ITEM_PRICE_PLUS_DECLARED_DELIVERY",$S949="DELIVERY_CHARGE_ONLY"),$K949=""),"ERROR",IF(AND(OR($S949="TOTAL_AMOUNT_INCLUDING_DELIVERY",$S949="EXACT_COLLECTION_AMOUNT"),$T949=""),"ERROR",IF(AND($S949="TOTAL_AMOUNT_INCLUDING_DELIVERY",$T949&lt;SUM($J949,$U949)),"ERROR",IF($S949="EXACT_COLLECTION_AMOUNT","REVIEW","OK")))))))))</f>
        <v/>
      </c>
      <c r="AV949" s="25">
        <f>IF($AU949="","",IF($H949="","Township required",IF($Q949="","Customer tier required",IF($M949="","Weight required",IF($S949="","Amount entry type required",IF(OR($J949&lt;0,$K949&lt;0,$M949&lt;0,$T949&lt;0,$U949&lt;0,$V949&lt;0,$W949&lt;0,$X949&lt;0,$Y949&lt;0),"Negative amounts are not allowed",IF($AE949="","Tariff not found for township and tier",IF(AND(OR($S949="ITEM_PRICE_PLUS_DECLARED_DELIVERY",$S949="TOTAL_AMOUNT_INCLUDING_DELIVERY",$S949="ITEM_PRICE_ONLY_DELIVERY_PAID_BY_MERCHANT"),$J949=""),"Item price required for this amount type",IF(AND(OR($S949="ITEM_PRICE_PLUS_DECLARED_DELIVERY",$S949="DELIVERY_CHARGE_ONLY"),$K949=""),"Declared delivery charge required",IF(AND(OR($S949="TOTAL_AMOUNT_INCLUDING_DELIVERY",$S949="EXACT_COLLECTION_AMOUNT"),$T949=""),"Stated total amount required",IF(AND($S949="TOTAL_AMOUNT_INCLUDING_DELIVERY",$T949&lt;SUM($J949,$U949)),"Stated total is below item price plus additional charge",IF($S949="EXACT_COLLECTION_AMOUNT","Authorized amount breakdown required before settlement","Ready for collection and settlement"))))))))))))</f>
        <v/>
      </c>
      <c r="AW949" s="23">
        <f>IF($AU949="","","PARCEL_FINANCIAL_V2")</f>
        <v/>
      </c>
      <c r="AX949" s="17" t="n"/>
    </row>
    <row r="950">
      <c r="A950" s="8" t="n"/>
      <c r="B950" s="8" t="n"/>
      <c r="C950" s="8" t="n"/>
      <c r="D950" s="8" t="n"/>
      <c r="E950" s="9" t="n"/>
      <c r="F950" s="9" t="n"/>
      <c r="G950" s="8" t="n"/>
      <c r="H950" s="9" t="n"/>
      <c r="I950" s="9" t="n"/>
      <c r="J950" s="10" t="n"/>
      <c r="K950" s="10" t="n"/>
      <c r="L950" s="11">
        <f>IF($S950="","",IF($S950="ITEM_PRICE_PLUS_DECLARED_DELIVERY",IF(OR($J950="",$K950=""),"",SUM($J950,$K950,$U950)),IF($S950="TOTAL_AMOUNT_INCLUDING_DELIVERY",IF($T950="","",$T950),IF($S950="DELIVERY_CHARGE_ONLY",IF($K950="","",SUM($K950,$U950)),IF($S950="EXACT_COLLECTION_AMOUNT",IF($T950="","",$T950),IF($S950="ITEM_PRICE_ONLY_DELIVERY_PAID_BY_MERCHANT",IF($J950="","",SUM($J950,$U950)),""))))))</f>
        <v/>
      </c>
      <c r="M950" s="12" t="n"/>
      <c r="N950" s="13" t="n"/>
      <c r="O950" s="13" t="n"/>
      <c r="P950" s="9" t="n"/>
      <c r="Q950" s="14" t="n"/>
      <c r="R950" s="15" t="n"/>
      <c r="S950" s="14" t="n"/>
      <c r="T950" s="16" t="n"/>
      <c r="U950" s="16" t="n"/>
      <c r="V950" s="16" t="n"/>
      <c r="W950" s="16" t="n"/>
      <c r="X950" s="16" t="n"/>
      <c r="Y950" s="16" t="n"/>
      <c r="Z950" s="14" t="n"/>
      <c r="AA950" s="14" t="n"/>
      <c r="AB950" s="14" t="n"/>
      <c r="AC950" s="17">
        <f>IFERROR(VLOOKUP($H950&amp;"|"&amp;$Q950,Tariff_Master!$A$2:$L$169,3,FALSE),"")</f>
        <v/>
      </c>
      <c r="AD950" s="17">
        <f>IFERROR(VLOOKUP($H950&amp;"|"&amp;$Q950,Tariff_Master!$A$2:$L$169,4,FALSE),"")</f>
        <v/>
      </c>
      <c r="AE950" s="18">
        <f>IFERROR(VLOOKUP($H950&amp;"|"&amp;$Q950,Tariff_Master!$A$2:$L$169,6,FALSE),"")</f>
        <v/>
      </c>
      <c r="AF950" s="19">
        <f>IFERROR(VLOOKUP($H950&amp;"|"&amp;$Q950,Tariff_Master!$A$2:$L$169,7,FALSE),"")</f>
        <v/>
      </c>
      <c r="AG950" s="18">
        <f>IFERROR(VLOOKUP($H950&amp;"|"&amp;$Q950,Tariff_Master!$A$2:$L$169,8,FALSE),"")</f>
        <v/>
      </c>
      <c r="AH950" s="20">
        <f>IFERROR(VLOOKUP($H950&amp;"|"&amp;$Q950,Tariff_Master!$A$2:$L$169,9,FALSE),"")</f>
        <v/>
      </c>
      <c r="AI950" s="18">
        <f>IFERROR(VLOOKUP($H950&amp;"|"&amp;$Q950,Tariff_Master!$A$2:$L$169,10,FALSE),"")</f>
        <v/>
      </c>
      <c r="AJ950" s="21">
        <f>IF($M950="","",ROUNDUP(MAX(0,$M950),0))</f>
        <v/>
      </c>
      <c r="AK950" s="21">
        <f>IF(OR($AJ950="",$AF950=""),"",MAX(0,$AJ950-$AF950))</f>
        <v/>
      </c>
      <c r="AL950" s="22">
        <f>IF(OR($AK950="",$AG950=""),"",MAX(0,$AK950*$AG950))</f>
        <v/>
      </c>
      <c r="AM950" s="22">
        <f>IF($AE950="","",MAX(0,SUM($AE950,$AL950,$V950,$W950)))</f>
        <v/>
      </c>
      <c r="AN950" s="22">
        <f>IF($AM950="","",IF(AND($Q950="COMMITMENT",$R950&gt;=$AH950),$AI950,0))</f>
        <v/>
      </c>
      <c r="AO950" s="23">
        <f>IF($AM950="","",MAX(0,$AM950-$AN950))</f>
        <v/>
      </c>
      <c r="AP950" s="22">
        <f>IF($S950="","",IF(OR($S950="ITEM_PRICE_PLUS_DECLARED_DELIVERY",$S950="DELIVERY_CHARGE_ONLY"),$K950,IF($S950="TOTAL_AMOUNT_INCLUDING_DELIVERY",IF(OR($T950="",$J950=""),"",MAX(0,$T950-$J950-$U950)),IF($S950="ITEM_PRICE_ONLY_DELIVERY_PAID_BY_MERCHANT",0,""))))</f>
        <v/>
      </c>
      <c r="AQ950" s="23">
        <f>IF(OR($AP950="",$AO950=""),"",$AP950-$AO950)</f>
        <v/>
      </c>
      <c r="AR950" s="24">
        <f>IF($S950="EXACT_COLLECTION_AMOUNT","BREAKDOWN_REQUIRED",IF($AQ950="","",IF($AQ950&gt;0,"CREDIT_TO_MERCHANT",IF($AQ950&lt;0,"DEDUCT_FROM_MERCHANT","NO_ADJUSTMENT"))))</f>
        <v/>
      </c>
      <c r="AS950" s="23">
        <f>IF(OR($AQ950="",$AR950="BREAKDOWN_REQUIRED"),"",$AQ950)</f>
        <v/>
      </c>
      <c r="AT950" s="23">
        <f>IF(OR($AR950="",$AR950="BREAKDOWN_REQUIRED"),"",SUM($J950,$AQ950,$Y950)-$X950)</f>
        <v/>
      </c>
      <c r="AU950" s="25">
        <f>IF(AND($A950="",$B950="",$F950="",$H950="",$J950="",$K950="",$M950="",$S950=""),"",IF(OR($H950="",$Q950="",$M950="",$S950=""),"ERROR",IF(OR($J950&lt;0,$K950&lt;0,$M950&lt;0,$T950&lt;0,$U950&lt;0,$V950&lt;0,$W950&lt;0,$X950&lt;0,$Y950&lt;0),"ERROR",IF($AE950="","ERROR",IF(AND(OR($S950="ITEM_PRICE_PLUS_DECLARED_DELIVERY",$S950="TOTAL_AMOUNT_INCLUDING_DELIVERY",$S950="ITEM_PRICE_ONLY_DELIVERY_PAID_BY_MERCHANT"),$J950=""),"ERROR",IF(AND(OR($S950="ITEM_PRICE_PLUS_DECLARED_DELIVERY",$S950="DELIVERY_CHARGE_ONLY"),$K950=""),"ERROR",IF(AND(OR($S950="TOTAL_AMOUNT_INCLUDING_DELIVERY",$S950="EXACT_COLLECTION_AMOUNT"),$T950=""),"ERROR",IF(AND($S950="TOTAL_AMOUNT_INCLUDING_DELIVERY",$T950&lt;SUM($J950,$U950)),"ERROR",IF($S950="EXACT_COLLECTION_AMOUNT","REVIEW","OK")))))))))</f>
        <v/>
      </c>
      <c r="AV950" s="25">
        <f>IF($AU950="","",IF($H950="","Township required",IF($Q950="","Customer tier required",IF($M950="","Weight required",IF($S950="","Amount entry type required",IF(OR($J950&lt;0,$K950&lt;0,$M950&lt;0,$T950&lt;0,$U950&lt;0,$V950&lt;0,$W950&lt;0,$X950&lt;0,$Y950&lt;0),"Negative amounts are not allowed",IF($AE950="","Tariff not found for township and tier",IF(AND(OR($S950="ITEM_PRICE_PLUS_DECLARED_DELIVERY",$S950="TOTAL_AMOUNT_INCLUDING_DELIVERY",$S950="ITEM_PRICE_ONLY_DELIVERY_PAID_BY_MERCHANT"),$J950=""),"Item price required for this amount type",IF(AND(OR($S950="ITEM_PRICE_PLUS_DECLARED_DELIVERY",$S950="DELIVERY_CHARGE_ONLY"),$K950=""),"Declared delivery charge required",IF(AND(OR($S950="TOTAL_AMOUNT_INCLUDING_DELIVERY",$S950="EXACT_COLLECTION_AMOUNT"),$T950=""),"Stated total amount required",IF(AND($S950="TOTAL_AMOUNT_INCLUDING_DELIVERY",$T950&lt;SUM($J950,$U950)),"Stated total is below item price plus additional charge",IF($S950="EXACT_COLLECTION_AMOUNT","Authorized amount breakdown required before settlement","Ready for collection and settlement"))))))))))))</f>
        <v/>
      </c>
      <c r="AW950" s="23">
        <f>IF($AU950="","","PARCEL_FINANCIAL_V2")</f>
        <v/>
      </c>
      <c r="AX950" s="17" t="n"/>
    </row>
    <row r="951">
      <c r="A951" s="8" t="n"/>
      <c r="B951" s="8" t="n"/>
      <c r="C951" s="8" t="n"/>
      <c r="D951" s="8" t="n"/>
      <c r="E951" s="9" t="n"/>
      <c r="F951" s="9" t="n"/>
      <c r="G951" s="8" t="n"/>
      <c r="H951" s="9" t="n"/>
      <c r="I951" s="9" t="n"/>
      <c r="J951" s="10" t="n"/>
      <c r="K951" s="10" t="n"/>
      <c r="L951" s="11">
        <f>IF($S951="","",IF($S951="ITEM_PRICE_PLUS_DECLARED_DELIVERY",IF(OR($J951="",$K951=""),"",SUM($J951,$K951,$U951)),IF($S951="TOTAL_AMOUNT_INCLUDING_DELIVERY",IF($T951="","",$T951),IF($S951="DELIVERY_CHARGE_ONLY",IF($K951="","",SUM($K951,$U951)),IF($S951="EXACT_COLLECTION_AMOUNT",IF($T951="","",$T951),IF($S951="ITEM_PRICE_ONLY_DELIVERY_PAID_BY_MERCHANT",IF($J951="","",SUM($J951,$U951)),""))))))</f>
        <v/>
      </c>
      <c r="M951" s="12" t="n"/>
      <c r="N951" s="13" t="n"/>
      <c r="O951" s="13" t="n"/>
      <c r="P951" s="9" t="n"/>
      <c r="Q951" s="14" t="n"/>
      <c r="R951" s="15" t="n"/>
      <c r="S951" s="14" t="n"/>
      <c r="T951" s="16" t="n"/>
      <c r="U951" s="16" t="n"/>
      <c r="V951" s="16" t="n"/>
      <c r="W951" s="16" t="n"/>
      <c r="X951" s="16" t="n"/>
      <c r="Y951" s="16" t="n"/>
      <c r="Z951" s="14" t="n"/>
      <c r="AA951" s="14" t="n"/>
      <c r="AB951" s="14" t="n"/>
      <c r="AC951" s="17">
        <f>IFERROR(VLOOKUP($H951&amp;"|"&amp;$Q951,Tariff_Master!$A$2:$L$169,3,FALSE),"")</f>
        <v/>
      </c>
      <c r="AD951" s="17">
        <f>IFERROR(VLOOKUP($H951&amp;"|"&amp;$Q951,Tariff_Master!$A$2:$L$169,4,FALSE),"")</f>
        <v/>
      </c>
      <c r="AE951" s="18">
        <f>IFERROR(VLOOKUP($H951&amp;"|"&amp;$Q951,Tariff_Master!$A$2:$L$169,6,FALSE),"")</f>
        <v/>
      </c>
      <c r="AF951" s="19">
        <f>IFERROR(VLOOKUP($H951&amp;"|"&amp;$Q951,Tariff_Master!$A$2:$L$169,7,FALSE),"")</f>
        <v/>
      </c>
      <c r="AG951" s="18">
        <f>IFERROR(VLOOKUP($H951&amp;"|"&amp;$Q951,Tariff_Master!$A$2:$L$169,8,FALSE),"")</f>
        <v/>
      </c>
      <c r="AH951" s="20">
        <f>IFERROR(VLOOKUP($H951&amp;"|"&amp;$Q951,Tariff_Master!$A$2:$L$169,9,FALSE),"")</f>
        <v/>
      </c>
      <c r="AI951" s="18">
        <f>IFERROR(VLOOKUP($H951&amp;"|"&amp;$Q951,Tariff_Master!$A$2:$L$169,10,FALSE),"")</f>
        <v/>
      </c>
      <c r="AJ951" s="21">
        <f>IF($M951="","",ROUNDUP(MAX(0,$M951),0))</f>
        <v/>
      </c>
      <c r="AK951" s="21">
        <f>IF(OR($AJ951="",$AF951=""),"",MAX(0,$AJ951-$AF951))</f>
        <v/>
      </c>
      <c r="AL951" s="22">
        <f>IF(OR($AK951="",$AG951=""),"",MAX(0,$AK951*$AG951))</f>
        <v/>
      </c>
      <c r="AM951" s="22">
        <f>IF($AE951="","",MAX(0,SUM($AE951,$AL951,$V951,$W951)))</f>
        <v/>
      </c>
      <c r="AN951" s="22">
        <f>IF($AM951="","",IF(AND($Q951="COMMITMENT",$R951&gt;=$AH951),$AI951,0))</f>
        <v/>
      </c>
      <c r="AO951" s="23">
        <f>IF($AM951="","",MAX(0,$AM951-$AN951))</f>
        <v/>
      </c>
      <c r="AP951" s="22">
        <f>IF($S951="","",IF(OR($S951="ITEM_PRICE_PLUS_DECLARED_DELIVERY",$S951="DELIVERY_CHARGE_ONLY"),$K951,IF($S951="TOTAL_AMOUNT_INCLUDING_DELIVERY",IF(OR($T951="",$J951=""),"",MAX(0,$T951-$J951-$U951)),IF($S951="ITEM_PRICE_ONLY_DELIVERY_PAID_BY_MERCHANT",0,""))))</f>
        <v/>
      </c>
      <c r="AQ951" s="23">
        <f>IF(OR($AP951="",$AO951=""),"",$AP951-$AO951)</f>
        <v/>
      </c>
      <c r="AR951" s="24">
        <f>IF($S951="EXACT_COLLECTION_AMOUNT","BREAKDOWN_REQUIRED",IF($AQ951="","",IF($AQ951&gt;0,"CREDIT_TO_MERCHANT",IF($AQ951&lt;0,"DEDUCT_FROM_MERCHANT","NO_ADJUSTMENT"))))</f>
        <v/>
      </c>
      <c r="AS951" s="23">
        <f>IF(OR($AQ951="",$AR951="BREAKDOWN_REQUIRED"),"",$AQ951)</f>
        <v/>
      </c>
      <c r="AT951" s="23">
        <f>IF(OR($AR951="",$AR951="BREAKDOWN_REQUIRED"),"",SUM($J951,$AQ951,$Y951)-$X951)</f>
        <v/>
      </c>
      <c r="AU951" s="25">
        <f>IF(AND($A951="",$B951="",$F951="",$H951="",$J951="",$K951="",$M951="",$S951=""),"",IF(OR($H951="",$Q951="",$M951="",$S951=""),"ERROR",IF(OR($J951&lt;0,$K951&lt;0,$M951&lt;0,$T951&lt;0,$U951&lt;0,$V951&lt;0,$W951&lt;0,$X951&lt;0,$Y951&lt;0),"ERROR",IF($AE951="","ERROR",IF(AND(OR($S951="ITEM_PRICE_PLUS_DECLARED_DELIVERY",$S951="TOTAL_AMOUNT_INCLUDING_DELIVERY",$S951="ITEM_PRICE_ONLY_DELIVERY_PAID_BY_MERCHANT"),$J951=""),"ERROR",IF(AND(OR($S951="ITEM_PRICE_PLUS_DECLARED_DELIVERY",$S951="DELIVERY_CHARGE_ONLY"),$K951=""),"ERROR",IF(AND(OR($S951="TOTAL_AMOUNT_INCLUDING_DELIVERY",$S951="EXACT_COLLECTION_AMOUNT"),$T951=""),"ERROR",IF(AND($S951="TOTAL_AMOUNT_INCLUDING_DELIVERY",$T951&lt;SUM($J951,$U951)),"ERROR",IF($S951="EXACT_COLLECTION_AMOUNT","REVIEW","OK")))))))))</f>
        <v/>
      </c>
      <c r="AV951" s="25">
        <f>IF($AU951="","",IF($H951="","Township required",IF($Q951="","Customer tier required",IF($M951="","Weight required",IF($S951="","Amount entry type required",IF(OR($J951&lt;0,$K951&lt;0,$M951&lt;0,$T951&lt;0,$U951&lt;0,$V951&lt;0,$W951&lt;0,$X951&lt;0,$Y951&lt;0),"Negative amounts are not allowed",IF($AE951="","Tariff not found for township and tier",IF(AND(OR($S951="ITEM_PRICE_PLUS_DECLARED_DELIVERY",$S951="TOTAL_AMOUNT_INCLUDING_DELIVERY",$S951="ITEM_PRICE_ONLY_DELIVERY_PAID_BY_MERCHANT"),$J951=""),"Item price required for this amount type",IF(AND(OR($S951="ITEM_PRICE_PLUS_DECLARED_DELIVERY",$S951="DELIVERY_CHARGE_ONLY"),$K951=""),"Declared delivery charge required",IF(AND(OR($S951="TOTAL_AMOUNT_INCLUDING_DELIVERY",$S951="EXACT_COLLECTION_AMOUNT"),$T951=""),"Stated total amount required",IF(AND($S951="TOTAL_AMOUNT_INCLUDING_DELIVERY",$T951&lt;SUM($J951,$U951)),"Stated total is below item price plus additional charge",IF($S951="EXACT_COLLECTION_AMOUNT","Authorized amount breakdown required before settlement","Ready for collection and settlement"))))))))))))</f>
        <v/>
      </c>
      <c r="AW951" s="23">
        <f>IF($AU951="","","PARCEL_FINANCIAL_V2")</f>
        <v/>
      </c>
      <c r="AX951" s="17" t="n"/>
    </row>
    <row r="952">
      <c r="A952" s="8" t="n"/>
      <c r="B952" s="8" t="n"/>
      <c r="C952" s="8" t="n"/>
      <c r="D952" s="8" t="n"/>
      <c r="E952" s="9" t="n"/>
      <c r="F952" s="9" t="n"/>
      <c r="G952" s="8" t="n"/>
      <c r="H952" s="9" t="n"/>
      <c r="I952" s="9" t="n"/>
      <c r="J952" s="10" t="n"/>
      <c r="K952" s="10" t="n"/>
      <c r="L952" s="11">
        <f>IF($S952="","",IF($S952="ITEM_PRICE_PLUS_DECLARED_DELIVERY",IF(OR($J952="",$K952=""),"",SUM($J952,$K952,$U952)),IF($S952="TOTAL_AMOUNT_INCLUDING_DELIVERY",IF($T952="","",$T952),IF($S952="DELIVERY_CHARGE_ONLY",IF($K952="","",SUM($K952,$U952)),IF($S952="EXACT_COLLECTION_AMOUNT",IF($T952="","",$T952),IF($S952="ITEM_PRICE_ONLY_DELIVERY_PAID_BY_MERCHANT",IF($J952="","",SUM($J952,$U952)),""))))))</f>
        <v/>
      </c>
      <c r="M952" s="12" t="n"/>
      <c r="N952" s="13" t="n"/>
      <c r="O952" s="13" t="n"/>
      <c r="P952" s="9" t="n"/>
      <c r="Q952" s="14" t="n"/>
      <c r="R952" s="15" t="n"/>
      <c r="S952" s="14" t="n"/>
      <c r="T952" s="16" t="n"/>
      <c r="U952" s="16" t="n"/>
      <c r="V952" s="16" t="n"/>
      <c r="W952" s="16" t="n"/>
      <c r="X952" s="16" t="n"/>
      <c r="Y952" s="16" t="n"/>
      <c r="Z952" s="14" t="n"/>
      <c r="AA952" s="14" t="n"/>
      <c r="AB952" s="14" t="n"/>
      <c r="AC952" s="17">
        <f>IFERROR(VLOOKUP($H952&amp;"|"&amp;$Q952,Tariff_Master!$A$2:$L$169,3,FALSE),"")</f>
        <v/>
      </c>
      <c r="AD952" s="17">
        <f>IFERROR(VLOOKUP($H952&amp;"|"&amp;$Q952,Tariff_Master!$A$2:$L$169,4,FALSE),"")</f>
        <v/>
      </c>
      <c r="AE952" s="18">
        <f>IFERROR(VLOOKUP($H952&amp;"|"&amp;$Q952,Tariff_Master!$A$2:$L$169,6,FALSE),"")</f>
        <v/>
      </c>
      <c r="AF952" s="19">
        <f>IFERROR(VLOOKUP($H952&amp;"|"&amp;$Q952,Tariff_Master!$A$2:$L$169,7,FALSE),"")</f>
        <v/>
      </c>
      <c r="AG952" s="18">
        <f>IFERROR(VLOOKUP($H952&amp;"|"&amp;$Q952,Tariff_Master!$A$2:$L$169,8,FALSE),"")</f>
        <v/>
      </c>
      <c r="AH952" s="20">
        <f>IFERROR(VLOOKUP($H952&amp;"|"&amp;$Q952,Tariff_Master!$A$2:$L$169,9,FALSE),"")</f>
        <v/>
      </c>
      <c r="AI952" s="18">
        <f>IFERROR(VLOOKUP($H952&amp;"|"&amp;$Q952,Tariff_Master!$A$2:$L$169,10,FALSE),"")</f>
        <v/>
      </c>
      <c r="AJ952" s="21">
        <f>IF($M952="","",ROUNDUP(MAX(0,$M952),0))</f>
        <v/>
      </c>
      <c r="AK952" s="21">
        <f>IF(OR($AJ952="",$AF952=""),"",MAX(0,$AJ952-$AF952))</f>
        <v/>
      </c>
      <c r="AL952" s="22">
        <f>IF(OR($AK952="",$AG952=""),"",MAX(0,$AK952*$AG952))</f>
        <v/>
      </c>
      <c r="AM952" s="22">
        <f>IF($AE952="","",MAX(0,SUM($AE952,$AL952,$V952,$W952)))</f>
        <v/>
      </c>
      <c r="AN952" s="22">
        <f>IF($AM952="","",IF(AND($Q952="COMMITMENT",$R952&gt;=$AH952),$AI952,0))</f>
        <v/>
      </c>
      <c r="AO952" s="23">
        <f>IF($AM952="","",MAX(0,$AM952-$AN952))</f>
        <v/>
      </c>
      <c r="AP952" s="22">
        <f>IF($S952="","",IF(OR($S952="ITEM_PRICE_PLUS_DECLARED_DELIVERY",$S952="DELIVERY_CHARGE_ONLY"),$K952,IF($S952="TOTAL_AMOUNT_INCLUDING_DELIVERY",IF(OR($T952="",$J952=""),"",MAX(0,$T952-$J952-$U952)),IF($S952="ITEM_PRICE_ONLY_DELIVERY_PAID_BY_MERCHANT",0,""))))</f>
        <v/>
      </c>
      <c r="AQ952" s="23">
        <f>IF(OR($AP952="",$AO952=""),"",$AP952-$AO952)</f>
        <v/>
      </c>
      <c r="AR952" s="24">
        <f>IF($S952="EXACT_COLLECTION_AMOUNT","BREAKDOWN_REQUIRED",IF($AQ952="","",IF($AQ952&gt;0,"CREDIT_TO_MERCHANT",IF($AQ952&lt;0,"DEDUCT_FROM_MERCHANT","NO_ADJUSTMENT"))))</f>
        <v/>
      </c>
      <c r="AS952" s="23">
        <f>IF(OR($AQ952="",$AR952="BREAKDOWN_REQUIRED"),"",$AQ952)</f>
        <v/>
      </c>
      <c r="AT952" s="23">
        <f>IF(OR($AR952="",$AR952="BREAKDOWN_REQUIRED"),"",SUM($J952,$AQ952,$Y952)-$X952)</f>
        <v/>
      </c>
      <c r="AU952" s="25">
        <f>IF(AND($A952="",$B952="",$F952="",$H952="",$J952="",$K952="",$M952="",$S952=""),"",IF(OR($H952="",$Q952="",$M952="",$S952=""),"ERROR",IF(OR($J952&lt;0,$K952&lt;0,$M952&lt;0,$T952&lt;0,$U952&lt;0,$V952&lt;0,$W952&lt;0,$X952&lt;0,$Y952&lt;0),"ERROR",IF($AE952="","ERROR",IF(AND(OR($S952="ITEM_PRICE_PLUS_DECLARED_DELIVERY",$S952="TOTAL_AMOUNT_INCLUDING_DELIVERY",$S952="ITEM_PRICE_ONLY_DELIVERY_PAID_BY_MERCHANT"),$J952=""),"ERROR",IF(AND(OR($S952="ITEM_PRICE_PLUS_DECLARED_DELIVERY",$S952="DELIVERY_CHARGE_ONLY"),$K952=""),"ERROR",IF(AND(OR($S952="TOTAL_AMOUNT_INCLUDING_DELIVERY",$S952="EXACT_COLLECTION_AMOUNT"),$T952=""),"ERROR",IF(AND($S952="TOTAL_AMOUNT_INCLUDING_DELIVERY",$T952&lt;SUM($J952,$U952)),"ERROR",IF($S952="EXACT_COLLECTION_AMOUNT","REVIEW","OK")))))))))</f>
        <v/>
      </c>
      <c r="AV952" s="25">
        <f>IF($AU952="","",IF($H952="","Township required",IF($Q952="","Customer tier required",IF($M952="","Weight required",IF($S952="","Amount entry type required",IF(OR($J952&lt;0,$K952&lt;0,$M952&lt;0,$T952&lt;0,$U952&lt;0,$V952&lt;0,$W952&lt;0,$X952&lt;0,$Y952&lt;0),"Negative amounts are not allowed",IF($AE952="","Tariff not found for township and tier",IF(AND(OR($S952="ITEM_PRICE_PLUS_DECLARED_DELIVERY",$S952="TOTAL_AMOUNT_INCLUDING_DELIVERY",$S952="ITEM_PRICE_ONLY_DELIVERY_PAID_BY_MERCHANT"),$J952=""),"Item price required for this amount type",IF(AND(OR($S952="ITEM_PRICE_PLUS_DECLARED_DELIVERY",$S952="DELIVERY_CHARGE_ONLY"),$K952=""),"Declared delivery charge required",IF(AND(OR($S952="TOTAL_AMOUNT_INCLUDING_DELIVERY",$S952="EXACT_COLLECTION_AMOUNT"),$T952=""),"Stated total amount required",IF(AND($S952="TOTAL_AMOUNT_INCLUDING_DELIVERY",$T952&lt;SUM($J952,$U952)),"Stated total is below item price plus additional charge",IF($S952="EXACT_COLLECTION_AMOUNT","Authorized amount breakdown required before settlement","Ready for collection and settlement"))))))))))))</f>
        <v/>
      </c>
      <c r="AW952" s="23">
        <f>IF($AU952="","","PARCEL_FINANCIAL_V2")</f>
        <v/>
      </c>
      <c r="AX952" s="17" t="n"/>
    </row>
    <row r="953">
      <c r="A953" s="8" t="n"/>
      <c r="B953" s="8" t="n"/>
      <c r="C953" s="8" t="n"/>
      <c r="D953" s="8" t="n"/>
      <c r="E953" s="9" t="n"/>
      <c r="F953" s="9" t="n"/>
      <c r="G953" s="8" t="n"/>
      <c r="H953" s="9" t="n"/>
      <c r="I953" s="9" t="n"/>
      <c r="J953" s="10" t="n"/>
      <c r="K953" s="10" t="n"/>
      <c r="L953" s="11">
        <f>IF($S953="","",IF($S953="ITEM_PRICE_PLUS_DECLARED_DELIVERY",IF(OR($J953="",$K953=""),"",SUM($J953,$K953,$U953)),IF($S953="TOTAL_AMOUNT_INCLUDING_DELIVERY",IF($T953="","",$T953),IF($S953="DELIVERY_CHARGE_ONLY",IF($K953="","",SUM($K953,$U953)),IF($S953="EXACT_COLLECTION_AMOUNT",IF($T953="","",$T953),IF($S953="ITEM_PRICE_ONLY_DELIVERY_PAID_BY_MERCHANT",IF($J953="","",SUM($J953,$U953)),""))))))</f>
        <v/>
      </c>
      <c r="M953" s="12" t="n"/>
      <c r="N953" s="13" t="n"/>
      <c r="O953" s="13" t="n"/>
      <c r="P953" s="9" t="n"/>
      <c r="Q953" s="14" t="n"/>
      <c r="R953" s="15" t="n"/>
      <c r="S953" s="14" t="n"/>
      <c r="T953" s="16" t="n"/>
      <c r="U953" s="16" t="n"/>
      <c r="V953" s="16" t="n"/>
      <c r="W953" s="16" t="n"/>
      <c r="X953" s="16" t="n"/>
      <c r="Y953" s="16" t="n"/>
      <c r="Z953" s="14" t="n"/>
      <c r="AA953" s="14" t="n"/>
      <c r="AB953" s="14" t="n"/>
      <c r="AC953" s="17">
        <f>IFERROR(VLOOKUP($H953&amp;"|"&amp;$Q953,Tariff_Master!$A$2:$L$169,3,FALSE),"")</f>
        <v/>
      </c>
      <c r="AD953" s="17">
        <f>IFERROR(VLOOKUP($H953&amp;"|"&amp;$Q953,Tariff_Master!$A$2:$L$169,4,FALSE),"")</f>
        <v/>
      </c>
      <c r="AE953" s="18">
        <f>IFERROR(VLOOKUP($H953&amp;"|"&amp;$Q953,Tariff_Master!$A$2:$L$169,6,FALSE),"")</f>
        <v/>
      </c>
      <c r="AF953" s="19">
        <f>IFERROR(VLOOKUP($H953&amp;"|"&amp;$Q953,Tariff_Master!$A$2:$L$169,7,FALSE),"")</f>
        <v/>
      </c>
      <c r="AG953" s="18">
        <f>IFERROR(VLOOKUP($H953&amp;"|"&amp;$Q953,Tariff_Master!$A$2:$L$169,8,FALSE),"")</f>
        <v/>
      </c>
      <c r="AH953" s="20">
        <f>IFERROR(VLOOKUP($H953&amp;"|"&amp;$Q953,Tariff_Master!$A$2:$L$169,9,FALSE),"")</f>
        <v/>
      </c>
      <c r="AI953" s="18">
        <f>IFERROR(VLOOKUP($H953&amp;"|"&amp;$Q953,Tariff_Master!$A$2:$L$169,10,FALSE),"")</f>
        <v/>
      </c>
      <c r="AJ953" s="21">
        <f>IF($M953="","",ROUNDUP(MAX(0,$M953),0))</f>
        <v/>
      </c>
      <c r="AK953" s="21">
        <f>IF(OR($AJ953="",$AF953=""),"",MAX(0,$AJ953-$AF953))</f>
        <v/>
      </c>
      <c r="AL953" s="22">
        <f>IF(OR($AK953="",$AG953=""),"",MAX(0,$AK953*$AG953))</f>
        <v/>
      </c>
      <c r="AM953" s="22">
        <f>IF($AE953="","",MAX(0,SUM($AE953,$AL953,$V953,$W953)))</f>
        <v/>
      </c>
      <c r="AN953" s="22">
        <f>IF($AM953="","",IF(AND($Q953="COMMITMENT",$R953&gt;=$AH953),$AI953,0))</f>
        <v/>
      </c>
      <c r="AO953" s="23">
        <f>IF($AM953="","",MAX(0,$AM953-$AN953))</f>
        <v/>
      </c>
      <c r="AP953" s="22">
        <f>IF($S953="","",IF(OR($S953="ITEM_PRICE_PLUS_DECLARED_DELIVERY",$S953="DELIVERY_CHARGE_ONLY"),$K953,IF($S953="TOTAL_AMOUNT_INCLUDING_DELIVERY",IF(OR($T953="",$J953=""),"",MAX(0,$T953-$J953-$U953)),IF($S953="ITEM_PRICE_ONLY_DELIVERY_PAID_BY_MERCHANT",0,""))))</f>
        <v/>
      </c>
      <c r="AQ953" s="23">
        <f>IF(OR($AP953="",$AO953=""),"",$AP953-$AO953)</f>
        <v/>
      </c>
      <c r="AR953" s="24">
        <f>IF($S953="EXACT_COLLECTION_AMOUNT","BREAKDOWN_REQUIRED",IF($AQ953="","",IF($AQ953&gt;0,"CREDIT_TO_MERCHANT",IF($AQ953&lt;0,"DEDUCT_FROM_MERCHANT","NO_ADJUSTMENT"))))</f>
        <v/>
      </c>
      <c r="AS953" s="23">
        <f>IF(OR($AQ953="",$AR953="BREAKDOWN_REQUIRED"),"",$AQ953)</f>
        <v/>
      </c>
      <c r="AT953" s="23">
        <f>IF(OR($AR953="",$AR953="BREAKDOWN_REQUIRED"),"",SUM($J953,$AQ953,$Y953)-$X953)</f>
        <v/>
      </c>
      <c r="AU953" s="25">
        <f>IF(AND($A953="",$B953="",$F953="",$H953="",$J953="",$K953="",$M953="",$S953=""),"",IF(OR($H953="",$Q953="",$M953="",$S953=""),"ERROR",IF(OR($J953&lt;0,$K953&lt;0,$M953&lt;0,$T953&lt;0,$U953&lt;0,$V953&lt;0,$W953&lt;0,$X953&lt;0,$Y953&lt;0),"ERROR",IF($AE953="","ERROR",IF(AND(OR($S953="ITEM_PRICE_PLUS_DECLARED_DELIVERY",$S953="TOTAL_AMOUNT_INCLUDING_DELIVERY",$S953="ITEM_PRICE_ONLY_DELIVERY_PAID_BY_MERCHANT"),$J953=""),"ERROR",IF(AND(OR($S953="ITEM_PRICE_PLUS_DECLARED_DELIVERY",$S953="DELIVERY_CHARGE_ONLY"),$K953=""),"ERROR",IF(AND(OR($S953="TOTAL_AMOUNT_INCLUDING_DELIVERY",$S953="EXACT_COLLECTION_AMOUNT"),$T953=""),"ERROR",IF(AND($S953="TOTAL_AMOUNT_INCLUDING_DELIVERY",$T953&lt;SUM($J953,$U953)),"ERROR",IF($S953="EXACT_COLLECTION_AMOUNT","REVIEW","OK")))))))))</f>
        <v/>
      </c>
      <c r="AV953" s="25">
        <f>IF($AU953="","",IF($H953="","Township required",IF($Q953="","Customer tier required",IF($M953="","Weight required",IF($S953="","Amount entry type required",IF(OR($J953&lt;0,$K953&lt;0,$M953&lt;0,$T953&lt;0,$U953&lt;0,$V953&lt;0,$W953&lt;0,$X953&lt;0,$Y953&lt;0),"Negative amounts are not allowed",IF($AE953="","Tariff not found for township and tier",IF(AND(OR($S953="ITEM_PRICE_PLUS_DECLARED_DELIVERY",$S953="TOTAL_AMOUNT_INCLUDING_DELIVERY",$S953="ITEM_PRICE_ONLY_DELIVERY_PAID_BY_MERCHANT"),$J953=""),"Item price required for this amount type",IF(AND(OR($S953="ITEM_PRICE_PLUS_DECLARED_DELIVERY",$S953="DELIVERY_CHARGE_ONLY"),$K953=""),"Declared delivery charge required",IF(AND(OR($S953="TOTAL_AMOUNT_INCLUDING_DELIVERY",$S953="EXACT_COLLECTION_AMOUNT"),$T953=""),"Stated total amount required",IF(AND($S953="TOTAL_AMOUNT_INCLUDING_DELIVERY",$T953&lt;SUM($J953,$U953)),"Stated total is below item price plus additional charge",IF($S953="EXACT_COLLECTION_AMOUNT","Authorized amount breakdown required before settlement","Ready for collection and settlement"))))))))))))</f>
        <v/>
      </c>
      <c r="AW953" s="23">
        <f>IF($AU953="","","PARCEL_FINANCIAL_V2")</f>
        <v/>
      </c>
      <c r="AX953" s="17" t="n"/>
    </row>
    <row r="954">
      <c r="A954" s="8" t="n"/>
      <c r="B954" s="8" t="n"/>
      <c r="C954" s="8" t="n"/>
      <c r="D954" s="8" t="n"/>
      <c r="E954" s="9" t="n"/>
      <c r="F954" s="9" t="n"/>
      <c r="G954" s="8" t="n"/>
      <c r="H954" s="9" t="n"/>
      <c r="I954" s="9" t="n"/>
      <c r="J954" s="10" t="n"/>
      <c r="K954" s="10" t="n"/>
      <c r="L954" s="11">
        <f>IF($S954="","",IF($S954="ITEM_PRICE_PLUS_DECLARED_DELIVERY",IF(OR($J954="",$K954=""),"",SUM($J954,$K954,$U954)),IF($S954="TOTAL_AMOUNT_INCLUDING_DELIVERY",IF($T954="","",$T954),IF($S954="DELIVERY_CHARGE_ONLY",IF($K954="","",SUM($K954,$U954)),IF($S954="EXACT_COLLECTION_AMOUNT",IF($T954="","",$T954),IF($S954="ITEM_PRICE_ONLY_DELIVERY_PAID_BY_MERCHANT",IF($J954="","",SUM($J954,$U954)),""))))))</f>
        <v/>
      </c>
      <c r="M954" s="12" t="n"/>
      <c r="N954" s="13" t="n"/>
      <c r="O954" s="13" t="n"/>
      <c r="P954" s="9" t="n"/>
      <c r="Q954" s="14" t="n"/>
      <c r="R954" s="15" t="n"/>
      <c r="S954" s="14" t="n"/>
      <c r="T954" s="16" t="n"/>
      <c r="U954" s="16" t="n"/>
      <c r="V954" s="16" t="n"/>
      <c r="W954" s="16" t="n"/>
      <c r="X954" s="16" t="n"/>
      <c r="Y954" s="16" t="n"/>
      <c r="Z954" s="14" t="n"/>
      <c r="AA954" s="14" t="n"/>
      <c r="AB954" s="14" t="n"/>
      <c r="AC954" s="17">
        <f>IFERROR(VLOOKUP($H954&amp;"|"&amp;$Q954,Tariff_Master!$A$2:$L$169,3,FALSE),"")</f>
        <v/>
      </c>
      <c r="AD954" s="17">
        <f>IFERROR(VLOOKUP($H954&amp;"|"&amp;$Q954,Tariff_Master!$A$2:$L$169,4,FALSE),"")</f>
        <v/>
      </c>
      <c r="AE954" s="18">
        <f>IFERROR(VLOOKUP($H954&amp;"|"&amp;$Q954,Tariff_Master!$A$2:$L$169,6,FALSE),"")</f>
        <v/>
      </c>
      <c r="AF954" s="19">
        <f>IFERROR(VLOOKUP($H954&amp;"|"&amp;$Q954,Tariff_Master!$A$2:$L$169,7,FALSE),"")</f>
        <v/>
      </c>
      <c r="AG954" s="18">
        <f>IFERROR(VLOOKUP($H954&amp;"|"&amp;$Q954,Tariff_Master!$A$2:$L$169,8,FALSE),"")</f>
        <v/>
      </c>
      <c r="AH954" s="20">
        <f>IFERROR(VLOOKUP($H954&amp;"|"&amp;$Q954,Tariff_Master!$A$2:$L$169,9,FALSE),"")</f>
        <v/>
      </c>
      <c r="AI954" s="18">
        <f>IFERROR(VLOOKUP($H954&amp;"|"&amp;$Q954,Tariff_Master!$A$2:$L$169,10,FALSE),"")</f>
        <v/>
      </c>
      <c r="AJ954" s="21">
        <f>IF($M954="","",ROUNDUP(MAX(0,$M954),0))</f>
        <v/>
      </c>
      <c r="AK954" s="21">
        <f>IF(OR($AJ954="",$AF954=""),"",MAX(0,$AJ954-$AF954))</f>
        <v/>
      </c>
      <c r="AL954" s="22">
        <f>IF(OR($AK954="",$AG954=""),"",MAX(0,$AK954*$AG954))</f>
        <v/>
      </c>
      <c r="AM954" s="22">
        <f>IF($AE954="","",MAX(0,SUM($AE954,$AL954,$V954,$W954)))</f>
        <v/>
      </c>
      <c r="AN954" s="22">
        <f>IF($AM954="","",IF(AND($Q954="COMMITMENT",$R954&gt;=$AH954),$AI954,0))</f>
        <v/>
      </c>
      <c r="AO954" s="23">
        <f>IF($AM954="","",MAX(0,$AM954-$AN954))</f>
        <v/>
      </c>
      <c r="AP954" s="22">
        <f>IF($S954="","",IF(OR($S954="ITEM_PRICE_PLUS_DECLARED_DELIVERY",$S954="DELIVERY_CHARGE_ONLY"),$K954,IF($S954="TOTAL_AMOUNT_INCLUDING_DELIVERY",IF(OR($T954="",$J954=""),"",MAX(0,$T954-$J954-$U954)),IF($S954="ITEM_PRICE_ONLY_DELIVERY_PAID_BY_MERCHANT",0,""))))</f>
        <v/>
      </c>
      <c r="AQ954" s="23">
        <f>IF(OR($AP954="",$AO954=""),"",$AP954-$AO954)</f>
        <v/>
      </c>
      <c r="AR954" s="24">
        <f>IF($S954="EXACT_COLLECTION_AMOUNT","BREAKDOWN_REQUIRED",IF($AQ954="","",IF($AQ954&gt;0,"CREDIT_TO_MERCHANT",IF($AQ954&lt;0,"DEDUCT_FROM_MERCHANT","NO_ADJUSTMENT"))))</f>
        <v/>
      </c>
      <c r="AS954" s="23">
        <f>IF(OR($AQ954="",$AR954="BREAKDOWN_REQUIRED"),"",$AQ954)</f>
        <v/>
      </c>
      <c r="AT954" s="23">
        <f>IF(OR($AR954="",$AR954="BREAKDOWN_REQUIRED"),"",SUM($J954,$AQ954,$Y954)-$X954)</f>
        <v/>
      </c>
      <c r="AU954" s="25">
        <f>IF(AND($A954="",$B954="",$F954="",$H954="",$J954="",$K954="",$M954="",$S954=""),"",IF(OR($H954="",$Q954="",$M954="",$S954=""),"ERROR",IF(OR($J954&lt;0,$K954&lt;0,$M954&lt;0,$T954&lt;0,$U954&lt;0,$V954&lt;0,$W954&lt;0,$X954&lt;0,$Y954&lt;0),"ERROR",IF($AE954="","ERROR",IF(AND(OR($S954="ITEM_PRICE_PLUS_DECLARED_DELIVERY",$S954="TOTAL_AMOUNT_INCLUDING_DELIVERY",$S954="ITEM_PRICE_ONLY_DELIVERY_PAID_BY_MERCHANT"),$J954=""),"ERROR",IF(AND(OR($S954="ITEM_PRICE_PLUS_DECLARED_DELIVERY",$S954="DELIVERY_CHARGE_ONLY"),$K954=""),"ERROR",IF(AND(OR($S954="TOTAL_AMOUNT_INCLUDING_DELIVERY",$S954="EXACT_COLLECTION_AMOUNT"),$T954=""),"ERROR",IF(AND($S954="TOTAL_AMOUNT_INCLUDING_DELIVERY",$T954&lt;SUM($J954,$U954)),"ERROR",IF($S954="EXACT_COLLECTION_AMOUNT","REVIEW","OK")))))))))</f>
        <v/>
      </c>
      <c r="AV954" s="25">
        <f>IF($AU954="","",IF($H954="","Township required",IF($Q954="","Customer tier required",IF($M954="","Weight required",IF($S954="","Amount entry type required",IF(OR($J954&lt;0,$K954&lt;0,$M954&lt;0,$T954&lt;0,$U954&lt;0,$V954&lt;0,$W954&lt;0,$X954&lt;0,$Y954&lt;0),"Negative amounts are not allowed",IF($AE954="","Tariff not found for township and tier",IF(AND(OR($S954="ITEM_PRICE_PLUS_DECLARED_DELIVERY",$S954="TOTAL_AMOUNT_INCLUDING_DELIVERY",$S954="ITEM_PRICE_ONLY_DELIVERY_PAID_BY_MERCHANT"),$J954=""),"Item price required for this amount type",IF(AND(OR($S954="ITEM_PRICE_PLUS_DECLARED_DELIVERY",$S954="DELIVERY_CHARGE_ONLY"),$K954=""),"Declared delivery charge required",IF(AND(OR($S954="TOTAL_AMOUNT_INCLUDING_DELIVERY",$S954="EXACT_COLLECTION_AMOUNT"),$T954=""),"Stated total amount required",IF(AND($S954="TOTAL_AMOUNT_INCLUDING_DELIVERY",$T954&lt;SUM($J954,$U954)),"Stated total is below item price plus additional charge",IF($S954="EXACT_COLLECTION_AMOUNT","Authorized amount breakdown required before settlement","Ready for collection and settlement"))))))))))))</f>
        <v/>
      </c>
      <c r="AW954" s="23">
        <f>IF($AU954="","","PARCEL_FINANCIAL_V2")</f>
        <v/>
      </c>
      <c r="AX954" s="17" t="n"/>
    </row>
    <row r="955">
      <c r="A955" s="8" t="n"/>
      <c r="B955" s="8" t="n"/>
      <c r="C955" s="8" t="n"/>
      <c r="D955" s="8" t="n"/>
      <c r="E955" s="9" t="n"/>
      <c r="F955" s="9" t="n"/>
      <c r="G955" s="8" t="n"/>
      <c r="H955" s="9" t="n"/>
      <c r="I955" s="9" t="n"/>
      <c r="J955" s="10" t="n"/>
      <c r="K955" s="10" t="n"/>
      <c r="L955" s="11">
        <f>IF($S955="","",IF($S955="ITEM_PRICE_PLUS_DECLARED_DELIVERY",IF(OR($J955="",$K955=""),"",SUM($J955,$K955,$U955)),IF($S955="TOTAL_AMOUNT_INCLUDING_DELIVERY",IF($T955="","",$T955),IF($S955="DELIVERY_CHARGE_ONLY",IF($K955="","",SUM($K955,$U955)),IF($S955="EXACT_COLLECTION_AMOUNT",IF($T955="","",$T955),IF($S955="ITEM_PRICE_ONLY_DELIVERY_PAID_BY_MERCHANT",IF($J955="","",SUM($J955,$U955)),""))))))</f>
        <v/>
      </c>
      <c r="M955" s="12" t="n"/>
      <c r="N955" s="13" t="n"/>
      <c r="O955" s="13" t="n"/>
      <c r="P955" s="9" t="n"/>
      <c r="Q955" s="14" t="n"/>
      <c r="R955" s="15" t="n"/>
      <c r="S955" s="14" t="n"/>
      <c r="T955" s="16" t="n"/>
      <c r="U955" s="16" t="n"/>
      <c r="V955" s="16" t="n"/>
      <c r="W955" s="16" t="n"/>
      <c r="X955" s="16" t="n"/>
      <c r="Y955" s="16" t="n"/>
      <c r="Z955" s="14" t="n"/>
      <c r="AA955" s="14" t="n"/>
      <c r="AB955" s="14" t="n"/>
      <c r="AC955" s="17">
        <f>IFERROR(VLOOKUP($H955&amp;"|"&amp;$Q955,Tariff_Master!$A$2:$L$169,3,FALSE),"")</f>
        <v/>
      </c>
      <c r="AD955" s="17">
        <f>IFERROR(VLOOKUP($H955&amp;"|"&amp;$Q955,Tariff_Master!$A$2:$L$169,4,FALSE),"")</f>
        <v/>
      </c>
      <c r="AE955" s="18">
        <f>IFERROR(VLOOKUP($H955&amp;"|"&amp;$Q955,Tariff_Master!$A$2:$L$169,6,FALSE),"")</f>
        <v/>
      </c>
      <c r="AF955" s="19">
        <f>IFERROR(VLOOKUP($H955&amp;"|"&amp;$Q955,Tariff_Master!$A$2:$L$169,7,FALSE),"")</f>
        <v/>
      </c>
      <c r="AG955" s="18">
        <f>IFERROR(VLOOKUP($H955&amp;"|"&amp;$Q955,Tariff_Master!$A$2:$L$169,8,FALSE),"")</f>
        <v/>
      </c>
      <c r="AH955" s="20">
        <f>IFERROR(VLOOKUP($H955&amp;"|"&amp;$Q955,Tariff_Master!$A$2:$L$169,9,FALSE),"")</f>
        <v/>
      </c>
      <c r="AI955" s="18">
        <f>IFERROR(VLOOKUP($H955&amp;"|"&amp;$Q955,Tariff_Master!$A$2:$L$169,10,FALSE),"")</f>
        <v/>
      </c>
      <c r="AJ955" s="21">
        <f>IF($M955="","",ROUNDUP(MAX(0,$M955),0))</f>
        <v/>
      </c>
      <c r="AK955" s="21">
        <f>IF(OR($AJ955="",$AF955=""),"",MAX(0,$AJ955-$AF955))</f>
        <v/>
      </c>
      <c r="AL955" s="22">
        <f>IF(OR($AK955="",$AG955=""),"",MAX(0,$AK955*$AG955))</f>
        <v/>
      </c>
      <c r="AM955" s="22">
        <f>IF($AE955="","",MAX(0,SUM($AE955,$AL955,$V955,$W955)))</f>
        <v/>
      </c>
      <c r="AN955" s="22">
        <f>IF($AM955="","",IF(AND($Q955="COMMITMENT",$R955&gt;=$AH955),$AI955,0))</f>
        <v/>
      </c>
      <c r="AO955" s="23">
        <f>IF($AM955="","",MAX(0,$AM955-$AN955))</f>
        <v/>
      </c>
      <c r="AP955" s="22">
        <f>IF($S955="","",IF(OR($S955="ITEM_PRICE_PLUS_DECLARED_DELIVERY",$S955="DELIVERY_CHARGE_ONLY"),$K955,IF($S955="TOTAL_AMOUNT_INCLUDING_DELIVERY",IF(OR($T955="",$J955=""),"",MAX(0,$T955-$J955-$U955)),IF($S955="ITEM_PRICE_ONLY_DELIVERY_PAID_BY_MERCHANT",0,""))))</f>
        <v/>
      </c>
      <c r="AQ955" s="23">
        <f>IF(OR($AP955="",$AO955=""),"",$AP955-$AO955)</f>
        <v/>
      </c>
      <c r="AR955" s="24">
        <f>IF($S955="EXACT_COLLECTION_AMOUNT","BREAKDOWN_REQUIRED",IF($AQ955="","",IF($AQ955&gt;0,"CREDIT_TO_MERCHANT",IF($AQ955&lt;0,"DEDUCT_FROM_MERCHANT","NO_ADJUSTMENT"))))</f>
        <v/>
      </c>
      <c r="AS955" s="23">
        <f>IF(OR($AQ955="",$AR955="BREAKDOWN_REQUIRED"),"",$AQ955)</f>
        <v/>
      </c>
      <c r="AT955" s="23">
        <f>IF(OR($AR955="",$AR955="BREAKDOWN_REQUIRED"),"",SUM($J955,$AQ955,$Y955)-$X955)</f>
        <v/>
      </c>
      <c r="AU955" s="25">
        <f>IF(AND($A955="",$B955="",$F955="",$H955="",$J955="",$K955="",$M955="",$S955=""),"",IF(OR($H955="",$Q955="",$M955="",$S955=""),"ERROR",IF(OR($J955&lt;0,$K955&lt;0,$M955&lt;0,$T955&lt;0,$U955&lt;0,$V955&lt;0,$W955&lt;0,$X955&lt;0,$Y955&lt;0),"ERROR",IF($AE955="","ERROR",IF(AND(OR($S955="ITEM_PRICE_PLUS_DECLARED_DELIVERY",$S955="TOTAL_AMOUNT_INCLUDING_DELIVERY",$S955="ITEM_PRICE_ONLY_DELIVERY_PAID_BY_MERCHANT"),$J955=""),"ERROR",IF(AND(OR($S955="ITEM_PRICE_PLUS_DECLARED_DELIVERY",$S955="DELIVERY_CHARGE_ONLY"),$K955=""),"ERROR",IF(AND(OR($S955="TOTAL_AMOUNT_INCLUDING_DELIVERY",$S955="EXACT_COLLECTION_AMOUNT"),$T955=""),"ERROR",IF(AND($S955="TOTAL_AMOUNT_INCLUDING_DELIVERY",$T955&lt;SUM($J955,$U955)),"ERROR",IF($S955="EXACT_COLLECTION_AMOUNT","REVIEW","OK")))))))))</f>
        <v/>
      </c>
      <c r="AV955" s="25">
        <f>IF($AU955="","",IF($H955="","Township required",IF($Q955="","Customer tier required",IF($M955="","Weight required",IF($S955="","Amount entry type required",IF(OR($J955&lt;0,$K955&lt;0,$M955&lt;0,$T955&lt;0,$U955&lt;0,$V955&lt;0,$W955&lt;0,$X955&lt;0,$Y955&lt;0),"Negative amounts are not allowed",IF($AE955="","Tariff not found for township and tier",IF(AND(OR($S955="ITEM_PRICE_PLUS_DECLARED_DELIVERY",$S955="TOTAL_AMOUNT_INCLUDING_DELIVERY",$S955="ITEM_PRICE_ONLY_DELIVERY_PAID_BY_MERCHANT"),$J955=""),"Item price required for this amount type",IF(AND(OR($S955="ITEM_PRICE_PLUS_DECLARED_DELIVERY",$S955="DELIVERY_CHARGE_ONLY"),$K955=""),"Declared delivery charge required",IF(AND(OR($S955="TOTAL_AMOUNT_INCLUDING_DELIVERY",$S955="EXACT_COLLECTION_AMOUNT"),$T955=""),"Stated total amount required",IF(AND($S955="TOTAL_AMOUNT_INCLUDING_DELIVERY",$T955&lt;SUM($J955,$U955)),"Stated total is below item price plus additional charge",IF($S955="EXACT_COLLECTION_AMOUNT","Authorized amount breakdown required before settlement","Ready for collection and settlement"))))))))))))</f>
        <v/>
      </c>
      <c r="AW955" s="23">
        <f>IF($AU955="","","PARCEL_FINANCIAL_V2")</f>
        <v/>
      </c>
      <c r="AX955" s="17" t="n"/>
    </row>
    <row r="956">
      <c r="A956" s="8" t="n"/>
      <c r="B956" s="8" t="n"/>
      <c r="C956" s="8" t="n"/>
      <c r="D956" s="8" t="n"/>
      <c r="E956" s="9" t="n"/>
      <c r="F956" s="9" t="n"/>
      <c r="G956" s="8" t="n"/>
      <c r="H956" s="9" t="n"/>
      <c r="I956" s="9" t="n"/>
      <c r="J956" s="10" t="n"/>
      <c r="K956" s="10" t="n"/>
      <c r="L956" s="11">
        <f>IF($S956="","",IF($S956="ITEM_PRICE_PLUS_DECLARED_DELIVERY",IF(OR($J956="",$K956=""),"",SUM($J956,$K956,$U956)),IF($S956="TOTAL_AMOUNT_INCLUDING_DELIVERY",IF($T956="","",$T956),IF($S956="DELIVERY_CHARGE_ONLY",IF($K956="","",SUM($K956,$U956)),IF($S956="EXACT_COLLECTION_AMOUNT",IF($T956="","",$T956),IF($S956="ITEM_PRICE_ONLY_DELIVERY_PAID_BY_MERCHANT",IF($J956="","",SUM($J956,$U956)),""))))))</f>
        <v/>
      </c>
      <c r="M956" s="12" t="n"/>
      <c r="N956" s="13" t="n"/>
      <c r="O956" s="13" t="n"/>
      <c r="P956" s="9" t="n"/>
      <c r="Q956" s="14" t="n"/>
      <c r="R956" s="15" t="n"/>
      <c r="S956" s="14" t="n"/>
      <c r="T956" s="16" t="n"/>
      <c r="U956" s="16" t="n"/>
      <c r="V956" s="16" t="n"/>
      <c r="W956" s="16" t="n"/>
      <c r="X956" s="16" t="n"/>
      <c r="Y956" s="16" t="n"/>
      <c r="Z956" s="14" t="n"/>
      <c r="AA956" s="14" t="n"/>
      <c r="AB956" s="14" t="n"/>
      <c r="AC956" s="17">
        <f>IFERROR(VLOOKUP($H956&amp;"|"&amp;$Q956,Tariff_Master!$A$2:$L$169,3,FALSE),"")</f>
        <v/>
      </c>
      <c r="AD956" s="17">
        <f>IFERROR(VLOOKUP($H956&amp;"|"&amp;$Q956,Tariff_Master!$A$2:$L$169,4,FALSE),"")</f>
        <v/>
      </c>
      <c r="AE956" s="18">
        <f>IFERROR(VLOOKUP($H956&amp;"|"&amp;$Q956,Tariff_Master!$A$2:$L$169,6,FALSE),"")</f>
        <v/>
      </c>
      <c r="AF956" s="19">
        <f>IFERROR(VLOOKUP($H956&amp;"|"&amp;$Q956,Tariff_Master!$A$2:$L$169,7,FALSE),"")</f>
        <v/>
      </c>
      <c r="AG956" s="18">
        <f>IFERROR(VLOOKUP($H956&amp;"|"&amp;$Q956,Tariff_Master!$A$2:$L$169,8,FALSE),"")</f>
        <v/>
      </c>
      <c r="AH956" s="20">
        <f>IFERROR(VLOOKUP($H956&amp;"|"&amp;$Q956,Tariff_Master!$A$2:$L$169,9,FALSE),"")</f>
        <v/>
      </c>
      <c r="AI956" s="18">
        <f>IFERROR(VLOOKUP($H956&amp;"|"&amp;$Q956,Tariff_Master!$A$2:$L$169,10,FALSE),"")</f>
        <v/>
      </c>
      <c r="AJ956" s="21">
        <f>IF($M956="","",ROUNDUP(MAX(0,$M956),0))</f>
        <v/>
      </c>
      <c r="AK956" s="21">
        <f>IF(OR($AJ956="",$AF956=""),"",MAX(0,$AJ956-$AF956))</f>
        <v/>
      </c>
      <c r="AL956" s="22">
        <f>IF(OR($AK956="",$AG956=""),"",MAX(0,$AK956*$AG956))</f>
        <v/>
      </c>
      <c r="AM956" s="22">
        <f>IF($AE956="","",MAX(0,SUM($AE956,$AL956,$V956,$W956)))</f>
        <v/>
      </c>
      <c r="AN956" s="22">
        <f>IF($AM956="","",IF(AND($Q956="COMMITMENT",$R956&gt;=$AH956),$AI956,0))</f>
        <v/>
      </c>
      <c r="AO956" s="23">
        <f>IF($AM956="","",MAX(0,$AM956-$AN956))</f>
        <v/>
      </c>
      <c r="AP956" s="22">
        <f>IF($S956="","",IF(OR($S956="ITEM_PRICE_PLUS_DECLARED_DELIVERY",$S956="DELIVERY_CHARGE_ONLY"),$K956,IF($S956="TOTAL_AMOUNT_INCLUDING_DELIVERY",IF(OR($T956="",$J956=""),"",MAX(0,$T956-$J956-$U956)),IF($S956="ITEM_PRICE_ONLY_DELIVERY_PAID_BY_MERCHANT",0,""))))</f>
        <v/>
      </c>
      <c r="AQ956" s="23">
        <f>IF(OR($AP956="",$AO956=""),"",$AP956-$AO956)</f>
        <v/>
      </c>
      <c r="AR956" s="24">
        <f>IF($S956="EXACT_COLLECTION_AMOUNT","BREAKDOWN_REQUIRED",IF($AQ956="","",IF($AQ956&gt;0,"CREDIT_TO_MERCHANT",IF($AQ956&lt;0,"DEDUCT_FROM_MERCHANT","NO_ADJUSTMENT"))))</f>
        <v/>
      </c>
      <c r="AS956" s="23">
        <f>IF(OR($AQ956="",$AR956="BREAKDOWN_REQUIRED"),"",$AQ956)</f>
        <v/>
      </c>
      <c r="AT956" s="23">
        <f>IF(OR($AR956="",$AR956="BREAKDOWN_REQUIRED"),"",SUM($J956,$AQ956,$Y956)-$X956)</f>
        <v/>
      </c>
      <c r="AU956" s="25">
        <f>IF(AND($A956="",$B956="",$F956="",$H956="",$J956="",$K956="",$M956="",$S956=""),"",IF(OR($H956="",$Q956="",$M956="",$S956=""),"ERROR",IF(OR($J956&lt;0,$K956&lt;0,$M956&lt;0,$T956&lt;0,$U956&lt;0,$V956&lt;0,$W956&lt;0,$X956&lt;0,$Y956&lt;0),"ERROR",IF($AE956="","ERROR",IF(AND(OR($S956="ITEM_PRICE_PLUS_DECLARED_DELIVERY",$S956="TOTAL_AMOUNT_INCLUDING_DELIVERY",$S956="ITEM_PRICE_ONLY_DELIVERY_PAID_BY_MERCHANT"),$J956=""),"ERROR",IF(AND(OR($S956="ITEM_PRICE_PLUS_DECLARED_DELIVERY",$S956="DELIVERY_CHARGE_ONLY"),$K956=""),"ERROR",IF(AND(OR($S956="TOTAL_AMOUNT_INCLUDING_DELIVERY",$S956="EXACT_COLLECTION_AMOUNT"),$T956=""),"ERROR",IF(AND($S956="TOTAL_AMOUNT_INCLUDING_DELIVERY",$T956&lt;SUM($J956,$U956)),"ERROR",IF($S956="EXACT_COLLECTION_AMOUNT","REVIEW","OK")))))))))</f>
        <v/>
      </c>
      <c r="AV956" s="25">
        <f>IF($AU956="","",IF($H956="","Township required",IF($Q956="","Customer tier required",IF($M956="","Weight required",IF($S956="","Amount entry type required",IF(OR($J956&lt;0,$K956&lt;0,$M956&lt;0,$T956&lt;0,$U956&lt;0,$V956&lt;0,$W956&lt;0,$X956&lt;0,$Y956&lt;0),"Negative amounts are not allowed",IF($AE956="","Tariff not found for township and tier",IF(AND(OR($S956="ITEM_PRICE_PLUS_DECLARED_DELIVERY",$S956="TOTAL_AMOUNT_INCLUDING_DELIVERY",$S956="ITEM_PRICE_ONLY_DELIVERY_PAID_BY_MERCHANT"),$J956=""),"Item price required for this amount type",IF(AND(OR($S956="ITEM_PRICE_PLUS_DECLARED_DELIVERY",$S956="DELIVERY_CHARGE_ONLY"),$K956=""),"Declared delivery charge required",IF(AND(OR($S956="TOTAL_AMOUNT_INCLUDING_DELIVERY",$S956="EXACT_COLLECTION_AMOUNT"),$T956=""),"Stated total amount required",IF(AND($S956="TOTAL_AMOUNT_INCLUDING_DELIVERY",$T956&lt;SUM($J956,$U956)),"Stated total is below item price plus additional charge",IF($S956="EXACT_COLLECTION_AMOUNT","Authorized amount breakdown required before settlement","Ready for collection and settlement"))))))))))))</f>
        <v/>
      </c>
      <c r="AW956" s="23">
        <f>IF($AU956="","","PARCEL_FINANCIAL_V2")</f>
        <v/>
      </c>
      <c r="AX956" s="17" t="n"/>
    </row>
    <row r="957">
      <c r="A957" s="8" t="n"/>
      <c r="B957" s="8" t="n"/>
      <c r="C957" s="8" t="n"/>
      <c r="D957" s="8" t="n"/>
      <c r="E957" s="9" t="n"/>
      <c r="F957" s="9" t="n"/>
      <c r="G957" s="8" t="n"/>
      <c r="H957" s="9" t="n"/>
      <c r="I957" s="9" t="n"/>
      <c r="J957" s="10" t="n"/>
      <c r="K957" s="10" t="n"/>
      <c r="L957" s="11">
        <f>IF($S957="","",IF($S957="ITEM_PRICE_PLUS_DECLARED_DELIVERY",IF(OR($J957="",$K957=""),"",SUM($J957,$K957,$U957)),IF($S957="TOTAL_AMOUNT_INCLUDING_DELIVERY",IF($T957="","",$T957),IF($S957="DELIVERY_CHARGE_ONLY",IF($K957="","",SUM($K957,$U957)),IF($S957="EXACT_COLLECTION_AMOUNT",IF($T957="","",$T957),IF($S957="ITEM_PRICE_ONLY_DELIVERY_PAID_BY_MERCHANT",IF($J957="","",SUM($J957,$U957)),""))))))</f>
        <v/>
      </c>
      <c r="M957" s="12" t="n"/>
      <c r="N957" s="13" t="n"/>
      <c r="O957" s="13" t="n"/>
      <c r="P957" s="9" t="n"/>
      <c r="Q957" s="14" t="n"/>
      <c r="R957" s="15" t="n"/>
      <c r="S957" s="14" t="n"/>
      <c r="T957" s="16" t="n"/>
      <c r="U957" s="16" t="n"/>
      <c r="V957" s="16" t="n"/>
      <c r="W957" s="16" t="n"/>
      <c r="X957" s="16" t="n"/>
      <c r="Y957" s="16" t="n"/>
      <c r="Z957" s="14" t="n"/>
      <c r="AA957" s="14" t="n"/>
      <c r="AB957" s="14" t="n"/>
      <c r="AC957" s="17">
        <f>IFERROR(VLOOKUP($H957&amp;"|"&amp;$Q957,Tariff_Master!$A$2:$L$169,3,FALSE),"")</f>
        <v/>
      </c>
      <c r="AD957" s="17">
        <f>IFERROR(VLOOKUP($H957&amp;"|"&amp;$Q957,Tariff_Master!$A$2:$L$169,4,FALSE),"")</f>
        <v/>
      </c>
      <c r="AE957" s="18">
        <f>IFERROR(VLOOKUP($H957&amp;"|"&amp;$Q957,Tariff_Master!$A$2:$L$169,6,FALSE),"")</f>
        <v/>
      </c>
      <c r="AF957" s="19">
        <f>IFERROR(VLOOKUP($H957&amp;"|"&amp;$Q957,Tariff_Master!$A$2:$L$169,7,FALSE),"")</f>
        <v/>
      </c>
      <c r="AG957" s="18">
        <f>IFERROR(VLOOKUP($H957&amp;"|"&amp;$Q957,Tariff_Master!$A$2:$L$169,8,FALSE),"")</f>
        <v/>
      </c>
      <c r="AH957" s="20">
        <f>IFERROR(VLOOKUP($H957&amp;"|"&amp;$Q957,Tariff_Master!$A$2:$L$169,9,FALSE),"")</f>
        <v/>
      </c>
      <c r="AI957" s="18">
        <f>IFERROR(VLOOKUP($H957&amp;"|"&amp;$Q957,Tariff_Master!$A$2:$L$169,10,FALSE),"")</f>
        <v/>
      </c>
      <c r="AJ957" s="21">
        <f>IF($M957="","",ROUNDUP(MAX(0,$M957),0))</f>
        <v/>
      </c>
      <c r="AK957" s="21">
        <f>IF(OR($AJ957="",$AF957=""),"",MAX(0,$AJ957-$AF957))</f>
        <v/>
      </c>
      <c r="AL957" s="22">
        <f>IF(OR($AK957="",$AG957=""),"",MAX(0,$AK957*$AG957))</f>
        <v/>
      </c>
      <c r="AM957" s="22">
        <f>IF($AE957="","",MAX(0,SUM($AE957,$AL957,$V957,$W957)))</f>
        <v/>
      </c>
      <c r="AN957" s="22">
        <f>IF($AM957="","",IF(AND($Q957="COMMITMENT",$R957&gt;=$AH957),$AI957,0))</f>
        <v/>
      </c>
      <c r="AO957" s="23">
        <f>IF($AM957="","",MAX(0,$AM957-$AN957))</f>
        <v/>
      </c>
      <c r="AP957" s="22">
        <f>IF($S957="","",IF(OR($S957="ITEM_PRICE_PLUS_DECLARED_DELIVERY",$S957="DELIVERY_CHARGE_ONLY"),$K957,IF($S957="TOTAL_AMOUNT_INCLUDING_DELIVERY",IF(OR($T957="",$J957=""),"",MAX(0,$T957-$J957-$U957)),IF($S957="ITEM_PRICE_ONLY_DELIVERY_PAID_BY_MERCHANT",0,""))))</f>
        <v/>
      </c>
      <c r="AQ957" s="23">
        <f>IF(OR($AP957="",$AO957=""),"",$AP957-$AO957)</f>
        <v/>
      </c>
      <c r="AR957" s="24">
        <f>IF($S957="EXACT_COLLECTION_AMOUNT","BREAKDOWN_REQUIRED",IF($AQ957="","",IF($AQ957&gt;0,"CREDIT_TO_MERCHANT",IF($AQ957&lt;0,"DEDUCT_FROM_MERCHANT","NO_ADJUSTMENT"))))</f>
        <v/>
      </c>
      <c r="AS957" s="23">
        <f>IF(OR($AQ957="",$AR957="BREAKDOWN_REQUIRED"),"",$AQ957)</f>
        <v/>
      </c>
      <c r="AT957" s="23">
        <f>IF(OR($AR957="",$AR957="BREAKDOWN_REQUIRED"),"",SUM($J957,$AQ957,$Y957)-$X957)</f>
        <v/>
      </c>
      <c r="AU957" s="25">
        <f>IF(AND($A957="",$B957="",$F957="",$H957="",$J957="",$K957="",$M957="",$S957=""),"",IF(OR($H957="",$Q957="",$M957="",$S957=""),"ERROR",IF(OR($J957&lt;0,$K957&lt;0,$M957&lt;0,$T957&lt;0,$U957&lt;0,$V957&lt;0,$W957&lt;0,$X957&lt;0,$Y957&lt;0),"ERROR",IF($AE957="","ERROR",IF(AND(OR($S957="ITEM_PRICE_PLUS_DECLARED_DELIVERY",$S957="TOTAL_AMOUNT_INCLUDING_DELIVERY",$S957="ITEM_PRICE_ONLY_DELIVERY_PAID_BY_MERCHANT"),$J957=""),"ERROR",IF(AND(OR($S957="ITEM_PRICE_PLUS_DECLARED_DELIVERY",$S957="DELIVERY_CHARGE_ONLY"),$K957=""),"ERROR",IF(AND(OR($S957="TOTAL_AMOUNT_INCLUDING_DELIVERY",$S957="EXACT_COLLECTION_AMOUNT"),$T957=""),"ERROR",IF(AND($S957="TOTAL_AMOUNT_INCLUDING_DELIVERY",$T957&lt;SUM($J957,$U957)),"ERROR",IF($S957="EXACT_COLLECTION_AMOUNT","REVIEW","OK")))))))))</f>
        <v/>
      </c>
      <c r="AV957" s="25">
        <f>IF($AU957="","",IF($H957="","Township required",IF($Q957="","Customer tier required",IF($M957="","Weight required",IF($S957="","Amount entry type required",IF(OR($J957&lt;0,$K957&lt;0,$M957&lt;0,$T957&lt;0,$U957&lt;0,$V957&lt;0,$W957&lt;0,$X957&lt;0,$Y957&lt;0),"Negative amounts are not allowed",IF($AE957="","Tariff not found for township and tier",IF(AND(OR($S957="ITEM_PRICE_PLUS_DECLARED_DELIVERY",$S957="TOTAL_AMOUNT_INCLUDING_DELIVERY",$S957="ITEM_PRICE_ONLY_DELIVERY_PAID_BY_MERCHANT"),$J957=""),"Item price required for this amount type",IF(AND(OR($S957="ITEM_PRICE_PLUS_DECLARED_DELIVERY",$S957="DELIVERY_CHARGE_ONLY"),$K957=""),"Declared delivery charge required",IF(AND(OR($S957="TOTAL_AMOUNT_INCLUDING_DELIVERY",$S957="EXACT_COLLECTION_AMOUNT"),$T957=""),"Stated total amount required",IF(AND($S957="TOTAL_AMOUNT_INCLUDING_DELIVERY",$T957&lt;SUM($J957,$U957)),"Stated total is below item price plus additional charge",IF($S957="EXACT_COLLECTION_AMOUNT","Authorized amount breakdown required before settlement","Ready for collection and settlement"))))))))))))</f>
        <v/>
      </c>
      <c r="AW957" s="23">
        <f>IF($AU957="","","PARCEL_FINANCIAL_V2")</f>
        <v/>
      </c>
      <c r="AX957" s="17" t="n"/>
    </row>
    <row r="958">
      <c r="A958" s="8" t="n"/>
      <c r="B958" s="8" t="n"/>
      <c r="C958" s="8" t="n"/>
      <c r="D958" s="8" t="n"/>
      <c r="E958" s="9" t="n"/>
      <c r="F958" s="9" t="n"/>
      <c r="G958" s="8" t="n"/>
      <c r="H958" s="9" t="n"/>
      <c r="I958" s="9" t="n"/>
      <c r="J958" s="10" t="n"/>
      <c r="K958" s="10" t="n"/>
      <c r="L958" s="11">
        <f>IF($S958="","",IF($S958="ITEM_PRICE_PLUS_DECLARED_DELIVERY",IF(OR($J958="",$K958=""),"",SUM($J958,$K958,$U958)),IF($S958="TOTAL_AMOUNT_INCLUDING_DELIVERY",IF($T958="","",$T958),IF($S958="DELIVERY_CHARGE_ONLY",IF($K958="","",SUM($K958,$U958)),IF($S958="EXACT_COLLECTION_AMOUNT",IF($T958="","",$T958),IF($S958="ITEM_PRICE_ONLY_DELIVERY_PAID_BY_MERCHANT",IF($J958="","",SUM($J958,$U958)),""))))))</f>
        <v/>
      </c>
      <c r="M958" s="12" t="n"/>
      <c r="N958" s="13" t="n"/>
      <c r="O958" s="13" t="n"/>
      <c r="P958" s="9" t="n"/>
      <c r="Q958" s="14" t="n"/>
      <c r="R958" s="15" t="n"/>
      <c r="S958" s="14" t="n"/>
      <c r="T958" s="16" t="n"/>
      <c r="U958" s="16" t="n"/>
      <c r="V958" s="16" t="n"/>
      <c r="W958" s="16" t="n"/>
      <c r="X958" s="16" t="n"/>
      <c r="Y958" s="16" t="n"/>
      <c r="Z958" s="14" t="n"/>
      <c r="AA958" s="14" t="n"/>
      <c r="AB958" s="14" t="n"/>
      <c r="AC958" s="17">
        <f>IFERROR(VLOOKUP($H958&amp;"|"&amp;$Q958,Tariff_Master!$A$2:$L$169,3,FALSE),"")</f>
        <v/>
      </c>
      <c r="AD958" s="17">
        <f>IFERROR(VLOOKUP($H958&amp;"|"&amp;$Q958,Tariff_Master!$A$2:$L$169,4,FALSE),"")</f>
        <v/>
      </c>
      <c r="AE958" s="18">
        <f>IFERROR(VLOOKUP($H958&amp;"|"&amp;$Q958,Tariff_Master!$A$2:$L$169,6,FALSE),"")</f>
        <v/>
      </c>
      <c r="AF958" s="19">
        <f>IFERROR(VLOOKUP($H958&amp;"|"&amp;$Q958,Tariff_Master!$A$2:$L$169,7,FALSE),"")</f>
        <v/>
      </c>
      <c r="AG958" s="18">
        <f>IFERROR(VLOOKUP($H958&amp;"|"&amp;$Q958,Tariff_Master!$A$2:$L$169,8,FALSE),"")</f>
        <v/>
      </c>
      <c r="AH958" s="20">
        <f>IFERROR(VLOOKUP($H958&amp;"|"&amp;$Q958,Tariff_Master!$A$2:$L$169,9,FALSE),"")</f>
        <v/>
      </c>
      <c r="AI958" s="18">
        <f>IFERROR(VLOOKUP($H958&amp;"|"&amp;$Q958,Tariff_Master!$A$2:$L$169,10,FALSE),"")</f>
        <v/>
      </c>
      <c r="AJ958" s="21">
        <f>IF($M958="","",ROUNDUP(MAX(0,$M958),0))</f>
        <v/>
      </c>
      <c r="AK958" s="21">
        <f>IF(OR($AJ958="",$AF958=""),"",MAX(0,$AJ958-$AF958))</f>
        <v/>
      </c>
      <c r="AL958" s="22">
        <f>IF(OR($AK958="",$AG958=""),"",MAX(0,$AK958*$AG958))</f>
        <v/>
      </c>
      <c r="AM958" s="22">
        <f>IF($AE958="","",MAX(0,SUM($AE958,$AL958,$V958,$W958)))</f>
        <v/>
      </c>
      <c r="AN958" s="22">
        <f>IF($AM958="","",IF(AND($Q958="COMMITMENT",$R958&gt;=$AH958),$AI958,0))</f>
        <v/>
      </c>
      <c r="AO958" s="23">
        <f>IF($AM958="","",MAX(0,$AM958-$AN958))</f>
        <v/>
      </c>
      <c r="AP958" s="22">
        <f>IF($S958="","",IF(OR($S958="ITEM_PRICE_PLUS_DECLARED_DELIVERY",$S958="DELIVERY_CHARGE_ONLY"),$K958,IF($S958="TOTAL_AMOUNT_INCLUDING_DELIVERY",IF(OR($T958="",$J958=""),"",MAX(0,$T958-$J958-$U958)),IF($S958="ITEM_PRICE_ONLY_DELIVERY_PAID_BY_MERCHANT",0,""))))</f>
        <v/>
      </c>
      <c r="AQ958" s="23">
        <f>IF(OR($AP958="",$AO958=""),"",$AP958-$AO958)</f>
        <v/>
      </c>
      <c r="AR958" s="24">
        <f>IF($S958="EXACT_COLLECTION_AMOUNT","BREAKDOWN_REQUIRED",IF($AQ958="","",IF($AQ958&gt;0,"CREDIT_TO_MERCHANT",IF($AQ958&lt;0,"DEDUCT_FROM_MERCHANT","NO_ADJUSTMENT"))))</f>
        <v/>
      </c>
      <c r="AS958" s="23">
        <f>IF(OR($AQ958="",$AR958="BREAKDOWN_REQUIRED"),"",$AQ958)</f>
        <v/>
      </c>
      <c r="AT958" s="23">
        <f>IF(OR($AR958="",$AR958="BREAKDOWN_REQUIRED"),"",SUM($J958,$AQ958,$Y958)-$X958)</f>
        <v/>
      </c>
      <c r="AU958" s="25">
        <f>IF(AND($A958="",$B958="",$F958="",$H958="",$J958="",$K958="",$M958="",$S958=""),"",IF(OR($H958="",$Q958="",$M958="",$S958=""),"ERROR",IF(OR($J958&lt;0,$K958&lt;0,$M958&lt;0,$T958&lt;0,$U958&lt;0,$V958&lt;0,$W958&lt;0,$X958&lt;0,$Y958&lt;0),"ERROR",IF($AE958="","ERROR",IF(AND(OR($S958="ITEM_PRICE_PLUS_DECLARED_DELIVERY",$S958="TOTAL_AMOUNT_INCLUDING_DELIVERY",$S958="ITEM_PRICE_ONLY_DELIVERY_PAID_BY_MERCHANT"),$J958=""),"ERROR",IF(AND(OR($S958="ITEM_PRICE_PLUS_DECLARED_DELIVERY",$S958="DELIVERY_CHARGE_ONLY"),$K958=""),"ERROR",IF(AND(OR($S958="TOTAL_AMOUNT_INCLUDING_DELIVERY",$S958="EXACT_COLLECTION_AMOUNT"),$T958=""),"ERROR",IF(AND($S958="TOTAL_AMOUNT_INCLUDING_DELIVERY",$T958&lt;SUM($J958,$U958)),"ERROR",IF($S958="EXACT_COLLECTION_AMOUNT","REVIEW","OK")))))))))</f>
        <v/>
      </c>
      <c r="AV958" s="25">
        <f>IF($AU958="","",IF($H958="","Township required",IF($Q958="","Customer tier required",IF($M958="","Weight required",IF($S958="","Amount entry type required",IF(OR($J958&lt;0,$K958&lt;0,$M958&lt;0,$T958&lt;0,$U958&lt;0,$V958&lt;0,$W958&lt;0,$X958&lt;0,$Y958&lt;0),"Negative amounts are not allowed",IF($AE958="","Tariff not found for township and tier",IF(AND(OR($S958="ITEM_PRICE_PLUS_DECLARED_DELIVERY",$S958="TOTAL_AMOUNT_INCLUDING_DELIVERY",$S958="ITEM_PRICE_ONLY_DELIVERY_PAID_BY_MERCHANT"),$J958=""),"Item price required for this amount type",IF(AND(OR($S958="ITEM_PRICE_PLUS_DECLARED_DELIVERY",$S958="DELIVERY_CHARGE_ONLY"),$K958=""),"Declared delivery charge required",IF(AND(OR($S958="TOTAL_AMOUNT_INCLUDING_DELIVERY",$S958="EXACT_COLLECTION_AMOUNT"),$T958=""),"Stated total amount required",IF(AND($S958="TOTAL_AMOUNT_INCLUDING_DELIVERY",$T958&lt;SUM($J958,$U958)),"Stated total is below item price plus additional charge",IF($S958="EXACT_COLLECTION_AMOUNT","Authorized amount breakdown required before settlement","Ready for collection and settlement"))))))))))))</f>
        <v/>
      </c>
      <c r="AW958" s="23">
        <f>IF($AU958="","","PARCEL_FINANCIAL_V2")</f>
        <v/>
      </c>
      <c r="AX958" s="17" t="n"/>
    </row>
    <row r="959">
      <c r="A959" s="8" t="n"/>
      <c r="B959" s="8" t="n"/>
      <c r="C959" s="8" t="n"/>
      <c r="D959" s="8" t="n"/>
      <c r="E959" s="9" t="n"/>
      <c r="F959" s="9" t="n"/>
      <c r="G959" s="8" t="n"/>
      <c r="H959" s="9" t="n"/>
      <c r="I959" s="9" t="n"/>
      <c r="J959" s="10" t="n"/>
      <c r="K959" s="10" t="n"/>
      <c r="L959" s="11">
        <f>IF($S959="","",IF($S959="ITEM_PRICE_PLUS_DECLARED_DELIVERY",IF(OR($J959="",$K959=""),"",SUM($J959,$K959,$U959)),IF($S959="TOTAL_AMOUNT_INCLUDING_DELIVERY",IF($T959="","",$T959),IF($S959="DELIVERY_CHARGE_ONLY",IF($K959="","",SUM($K959,$U959)),IF($S959="EXACT_COLLECTION_AMOUNT",IF($T959="","",$T959),IF($S959="ITEM_PRICE_ONLY_DELIVERY_PAID_BY_MERCHANT",IF($J959="","",SUM($J959,$U959)),""))))))</f>
        <v/>
      </c>
      <c r="M959" s="12" t="n"/>
      <c r="N959" s="13" t="n"/>
      <c r="O959" s="13" t="n"/>
      <c r="P959" s="9" t="n"/>
      <c r="Q959" s="14" t="n"/>
      <c r="R959" s="15" t="n"/>
      <c r="S959" s="14" t="n"/>
      <c r="T959" s="16" t="n"/>
      <c r="U959" s="16" t="n"/>
      <c r="V959" s="16" t="n"/>
      <c r="W959" s="16" t="n"/>
      <c r="X959" s="16" t="n"/>
      <c r="Y959" s="16" t="n"/>
      <c r="Z959" s="14" t="n"/>
      <c r="AA959" s="14" t="n"/>
      <c r="AB959" s="14" t="n"/>
      <c r="AC959" s="17">
        <f>IFERROR(VLOOKUP($H959&amp;"|"&amp;$Q959,Tariff_Master!$A$2:$L$169,3,FALSE),"")</f>
        <v/>
      </c>
      <c r="AD959" s="17">
        <f>IFERROR(VLOOKUP($H959&amp;"|"&amp;$Q959,Tariff_Master!$A$2:$L$169,4,FALSE),"")</f>
        <v/>
      </c>
      <c r="AE959" s="18">
        <f>IFERROR(VLOOKUP($H959&amp;"|"&amp;$Q959,Tariff_Master!$A$2:$L$169,6,FALSE),"")</f>
        <v/>
      </c>
      <c r="AF959" s="19">
        <f>IFERROR(VLOOKUP($H959&amp;"|"&amp;$Q959,Tariff_Master!$A$2:$L$169,7,FALSE),"")</f>
        <v/>
      </c>
      <c r="AG959" s="18">
        <f>IFERROR(VLOOKUP($H959&amp;"|"&amp;$Q959,Tariff_Master!$A$2:$L$169,8,FALSE),"")</f>
        <v/>
      </c>
      <c r="AH959" s="20">
        <f>IFERROR(VLOOKUP($H959&amp;"|"&amp;$Q959,Tariff_Master!$A$2:$L$169,9,FALSE),"")</f>
        <v/>
      </c>
      <c r="AI959" s="18">
        <f>IFERROR(VLOOKUP($H959&amp;"|"&amp;$Q959,Tariff_Master!$A$2:$L$169,10,FALSE),"")</f>
        <v/>
      </c>
      <c r="AJ959" s="21">
        <f>IF($M959="","",ROUNDUP(MAX(0,$M959),0))</f>
        <v/>
      </c>
      <c r="AK959" s="21">
        <f>IF(OR($AJ959="",$AF959=""),"",MAX(0,$AJ959-$AF959))</f>
        <v/>
      </c>
      <c r="AL959" s="22">
        <f>IF(OR($AK959="",$AG959=""),"",MAX(0,$AK959*$AG959))</f>
        <v/>
      </c>
      <c r="AM959" s="22">
        <f>IF($AE959="","",MAX(0,SUM($AE959,$AL959,$V959,$W959)))</f>
        <v/>
      </c>
      <c r="AN959" s="22">
        <f>IF($AM959="","",IF(AND($Q959="COMMITMENT",$R959&gt;=$AH959),$AI959,0))</f>
        <v/>
      </c>
      <c r="AO959" s="23">
        <f>IF($AM959="","",MAX(0,$AM959-$AN959))</f>
        <v/>
      </c>
      <c r="AP959" s="22">
        <f>IF($S959="","",IF(OR($S959="ITEM_PRICE_PLUS_DECLARED_DELIVERY",$S959="DELIVERY_CHARGE_ONLY"),$K959,IF($S959="TOTAL_AMOUNT_INCLUDING_DELIVERY",IF(OR($T959="",$J959=""),"",MAX(0,$T959-$J959-$U959)),IF($S959="ITEM_PRICE_ONLY_DELIVERY_PAID_BY_MERCHANT",0,""))))</f>
        <v/>
      </c>
      <c r="AQ959" s="23">
        <f>IF(OR($AP959="",$AO959=""),"",$AP959-$AO959)</f>
        <v/>
      </c>
      <c r="AR959" s="24">
        <f>IF($S959="EXACT_COLLECTION_AMOUNT","BREAKDOWN_REQUIRED",IF($AQ959="","",IF($AQ959&gt;0,"CREDIT_TO_MERCHANT",IF($AQ959&lt;0,"DEDUCT_FROM_MERCHANT","NO_ADJUSTMENT"))))</f>
        <v/>
      </c>
      <c r="AS959" s="23">
        <f>IF(OR($AQ959="",$AR959="BREAKDOWN_REQUIRED"),"",$AQ959)</f>
        <v/>
      </c>
      <c r="AT959" s="23">
        <f>IF(OR($AR959="",$AR959="BREAKDOWN_REQUIRED"),"",SUM($J959,$AQ959,$Y959)-$X959)</f>
        <v/>
      </c>
      <c r="AU959" s="25">
        <f>IF(AND($A959="",$B959="",$F959="",$H959="",$J959="",$K959="",$M959="",$S959=""),"",IF(OR($H959="",$Q959="",$M959="",$S959=""),"ERROR",IF(OR($J959&lt;0,$K959&lt;0,$M959&lt;0,$T959&lt;0,$U959&lt;0,$V959&lt;0,$W959&lt;0,$X959&lt;0,$Y959&lt;0),"ERROR",IF($AE959="","ERROR",IF(AND(OR($S959="ITEM_PRICE_PLUS_DECLARED_DELIVERY",$S959="TOTAL_AMOUNT_INCLUDING_DELIVERY",$S959="ITEM_PRICE_ONLY_DELIVERY_PAID_BY_MERCHANT"),$J959=""),"ERROR",IF(AND(OR($S959="ITEM_PRICE_PLUS_DECLARED_DELIVERY",$S959="DELIVERY_CHARGE_ONLY"),$K959=""),"ERROR",IF(AND(OR($S959="TOTAL_AMOUNT_INCLUDING_DELIVERY",$S959="EXACT_COLLECTION_AMOUNT"),$T959=""),"ERROR",IF(AND($S959="TOTAL_AMOUNT_INCLUDING_DELIVERY",$T959&lt;SUM($J959,$U959)),"ERROR",IF($S959="EXACT_COLLECTION_AMOUNT","REVIEW","OK")))))))))</f>
        <v/>
      </c>
      <c r="AV959" s="25">
        <f>IF($AU959="","",IF($H959="","Township required",IF($Q959="","Customer tier required",IF($M959="","Weight required",IF($S959="","Amount entry type required",IF(OR($J959&lt;0,$K959&lt;0,$M959&lt;0,$T959&lt;0,$U959&lt;0,$V959&lt;0,$W959&lt;0,$X959&lt;0,$Y959&lt;0),"Negative amounts are not allowed",IF($AE959="","Tariff not found for township and tier",IF(AND(OR($S959="ITEM_PRICE_PLUS_DECLARED_DELIVERY",$S959="TOTAL_AMOUNT_INCLUDING_DELIVERY",$S959="ITEM_PRICE_ONLY_DELIVERY_PAID_BY_MERCHANT"),$J959=""),"Item price required for this amount type",IF(AND(OR($S959="ITEM_PRICE_PLUS_DECLARED_DELIVERY",$S959="DELIVERY_CHARGE_ONLY"),$K959=""),"Declared delivery charge required",IF(AND(OR($S959="TOTAL_AMOUNT_INCLUDING_DELIVERY",$S959="EXACT_COLLECTION_AMOUNT"),$T959=""),"Stated total amount required",IF(AND($S959="TOTAL_AMOUNT_INCLUDING_DELIVERY",$T959&lt;SUM($J959,$U959)),"Stated total is below item price plus additional charge",IF($S959="EXACT_COLLECTION_AMOUNT","Authorized amount breakdown required before settlement","Ready for collection and settlement"))))))))))))</f>
        <v/>
      </c>
      <c r="AW959" s="23">
        <f>IF($AU959="","","PARCEL_FINANCIAL_V2")</f>
        <v/>
      </c>
      <c r="AX959" s="17" t="n"/>
    </row>
    <row r="960">
      <c r="A960" s="8" t="n"/>
      <c r="B960" s="8" t="n"/>
      <c r="C960" s="8" t="n"/>
      <c r="D960" s="8" t="n"/>
      <c r="E960" s="9" t="n"/>
      <c r="F960" s="9" t="n"/>
      <c r="G960" s="8" t="n"/>
      <c r="H960" s="9" t="n"/>
      <c r="I960" s="9" t="n"/>
      <c r="J960" s="10" t="n"/>
      <c r="K960" s="10" t="n"/>
      <c r="L960" s="11">
        <f>IF($S960="","",IF($S960="ITEM_PRICE_PLUS_DECLARED_DELIVERY",IF(OR($J960="",$K960=""),"",SUM($J960,$K960,$U960)),IF($S960="TOTAL_AMOUNT_INCLUDING_DELIVERY",IF($T960="","",$T960),IF($S960="DELIVERY_CHARGE_ONLY",IF($K960="","",SUM($K960,$U960)),IF($S960="EXACT_COLLECTION_AMOUNT",IF($T960="","",$T960),IF($S960="ITEM_PRICE_ONLY_DELIVERY_PAID_BY_MERCHANT",IF($J960="","",SUM($J960,$U960)),""))))))</f>
        <v/>
      </c>
      <c r="M960" s="12" t="n"/>
      <c r="N960" s="13" t="n"/>
      <c r="O960" s="13" t="n"/>
      <c r="P960" s="9" t="n"/>
      <c r="Q960" s="14" t="n"/>
      <c r="R960" s="15" t="n"/>
      <c r="S960" s="14" t="n"/>
      <c r="T960" s="16" t="n"/>
      <c r="U960" s="16" t="n"/>
      <c r="V960" s="16" t="n"/>
      <c r="W960" s="16" t="n"/>
      <c r="X960" s="16" t="n"/>
      <c r="Y960" s="16" t="n"/>
      <c r="Z960" s="14" t="n"/>
      <c r="AA960" s="14" t="n"/>
      <c r="AB960" s="14" t="n"/>
      <c r="AC960" s="17">
        <f>IFERROR(VLOOKUP($H960&amp;"|"&amp;$Q960,Tariff_Master!$A$2:$L$169,3,FALSE),"")</f>
        <v/>
      </c>
      <c r="AD960" s="17">
        <f>IFERROR(VLOOKUP($H960&amp;"|"&amp;$Q960,Tariff_Master!$A$2:$L$169,4,FALSE),"")</f>
        <v/>
      </c>
      <c r="AE960" s="18">
        <f>IFERROR(VLOOKUP($H960&amp;"|"&amp;$Q960,Tariff_Master!$A$2:$L$169,6,FALSE),"")</f>
        <v/>
      </c>
      <c r="AF960" s="19">
        <f>IFERROR(VLOOKUP($H960&amp;"|"&amp;$Q960,Tariff_Master!$A$2:$L$169,7,FALSE),"")</f>
        <v/>
      </c>
      <c r="AG960" s="18">
        <f>IFERROR(VLOOKUP($H960&amp;"|"&amp;$Q960,Tariff_Master!$A$2:$L$169,8,FALSE),"")</f>
        <v/>
      </c>
      <c r="AH960" s="20">
        <f>IFERROR(VLOOKUP($H960&amp;"|"&amp;$Q960,Tariff_Master!$A$2:$L$169,9,FALSE),"")</f>
        <v/>
      </c>
      <c r="AI960" s="18">
        <f>IFERROR(VLOOKUP($H960&amp;"|"&amp;$Q960,Tariff_Master!$A$2:$L$169,10,FALSE),"")</f>
        <v/>
      </c>
      <c r="AJ960" s="21">
        <f>IF($M960="","",ROUNDUP(MAX(0,$M960),0))</f>
        <v/>
      </c>
      <c r="AK960" s="21">
        <f>IF(OR($AJ960="",$AF960=""),"",MAX(0,$AJ960-$AF960))</f>
        <v/>
      </c>
      <c r="AL960" s="22">
        <f>IF(OR($AK960="",$AG960=""),"",MAX(0,$AK960*$AG960))</f>
        <v/>
      </c>
      <c r="AM960" s="22">
        <f>IF($AE960="","",MAX(0,SUM($AE960,$AL960,$V960,$W960)))</f>
        <v/>
      </c>
      <c r="AN960" s="22">
        <f>IF($AM960="","",IF(AND($Q960="COMMITMENT",$R960&gt;=$AH960),$AI960,0))</f>
        <v/>
      </c>
      <c r="AO960" s="23">
        <f>IF($AM960="","",MAX(0,$AM960-$AN960))</f>
        <v/>
      </c>
      <c r="AP960" s="22">
        <f>IF($S960="","",IF(OR($S960="ITEM_PRICE_PLUS_DECLARED_DELIVERY",$S960="DELIVERY_CHARGE_ONLY"),$K960,IF($S960="TOTAL_AMOUNT_INCLUDING_DELIVERY",IF(OR($T960="",$J960=""),"",MAX(0,$T960-$J960-$U960)),IF($S960="ITEM_PRICE_ONLY_DELIVERY_PAID_BY_MERCHANT",0,""))))</f>
        <v/>
      </c>
      <c r="AQ960" s="23">
        <f>IF(OR($AP960="",$AO960=""),"",$AP960-$AO960)</f>
        <v/>
      </c>
      <c r="AR960" s="24">
        <f>IF($S960="EXACT_COLLECTION_AMOUNT","BREAKDOWN_REQUIRED",IF($AQ960="","",IF($AQ960&gt;0,"CREDIT_TO_MERCHANT",IF($AQ960&lt;0,"DEDUCT_FROM_MERCHANT","NO_ADJUSTMENT"))))</f>
        <v/>
      </c>
      <c r="AS960" s="23">
        <f>IF(OR($AQ960="",$AR960="BREAKDOWN_REQUIRED"),"",$AQ960)</f>
        <v/>
      </c>
      <c r="AT960" s="23">
        <f>IF(OR($AR960="",$AR960="BREAKDOWN_REQUIRED"),"",SUM($J960,$AQ960,$Y960)-$X960)</f>
        <v/>
      </c>
      <c r="AU960" s="25">
        <f>IF(AND($A960="",$B960="",$F960="",$H960="",$J960="",$K960="",$M960="",$S960=""),"",IF(OR($H960="",$Q960="",$M960="",$S960=""),"ERROR",IF(OR($J960&lt;0,$K960&lt;0,$M960&lt;0,$T960&lt;0,$U960&lt;0,$V960&lt;0,$W960&lt;0,$X960&lt;0,$Y960&lt;0),"ERROR",IF($AE960="","ERROR",IF(AND(OR($S960="ITEM_PRICE_PLUS_DECLARED_DELIVERY",$S960="TOTAL_AMOUNT_INCLUDING_DELIVERY",$S960="ITEM_PRICE_ONLY_DELIVERY_PAID_BY_MERCHANT"),$J960=""),"ERROR",IF(AND(OR($S960="ITEM_PRICE_PLUS_DECLARED_DELIVERY",$S960="DELIVERY_CHARGE_ONLY"),$K960=""),"ERROR",IF(AND(OR($S960="TOTAL_AMOUNT_INCLUDING_DELIVERY",$S960="EXACT_COLLECTION_AMOUNT"),$T960=""),"ERROR",IF(AND($S960="TOTAL_AMOUNT_INCLUDING_DELIVERY",$T960&lt;SUM($J960,$U960)),"ERROR",IF($S960="EXACT_COLLECTION_AMOUNT","REVIEW","OK")))))))))</f>
        <v/>
      </c>
      <c r="AV960" s="25">
        <f>IF($AU960="","",IF($H960="","Township required",IF($Q960="","Customer tier required",IF($M960="","Weight required",IF($S960="","Amount entry type required",IF(OR($J960&lt;0,$K960&lt;0,$M960&lt;0,$T960&lt;0,$U960&lt;0,$V960&lt;0,$W960&lt;0,$X960&lt;0,$Y960&lt;0),"Negative amounts are not allowed",IF($AE960="","Tariff not found for township and tier",IF(AND(OR($S960="ITEM_PRICE_PLUS_DECLARED_DELIVERY",$S960="TOTAL_AMOUNT_INCLUDING_DELIVERY",$S960="ITEM_PRICE_ONLY_DELIVERY_PAID_BY_MERCHANT"),$J960=""),"Item price required for this amount type",IF(AND(OR($S960="ITEM_PRICE_PLUS_DECLARED_DELIVERY",$S960="DELIVERY_CHARGE_ONLY"),$K960=""),"Declared delivery charge required",IF(AND(OR($S960="TOTAL_AMOUNT_INCLUDING_DELIVERY",$S960="EXACT_COLLECTION_AMOUNT"),$T960=""),"Stated total amount required",IF(AND($S960="TOTAL_AMOUNT_INCLUDING_DELIVERY",$T960&lt;SUM($J960,$U960)),"Stated total is below item price plus additional charge",IF($S960="EXACT_COLLECTION_AMOUNT","Authorized amount breakdown required before settlement","Ready for collection and settlement"))))))))))))</f>
        <v/>
      </c>
      <c r="AW960" s="23">
        <f>IF($AU960="","","PARCEL_FINANCIAL_V2")</f>
        <v/>
      </c>
      <c r="AX960" s="17" t="n"/>
    </row>
    <row r="961">
      <c r="A961" s="8" t="n"/>
      <c r="B961" s="8" t="n"/>
      <c r="C961" s="8" t="n"/>
      <c r="D961" s="8" t="n"/>
      <c r="E961" s="9" t="n"/>
      <c r="F961" s="9" t="n"/>
      <c r="G961" s="8" t="n"/>
      <c r="H961" s="9" t="n"/>
      <c r="I961" s="9" t="n"/>
      <c r="J961" s="10" t="n"/>
      <c r="K961" s="10" t="n"/>
      <c r="L961" s="11">
        <f>IF($S961="","",IF($S961="ITEM_PRICE_PLUS_DECLARED_DELIVERY",IF(OR($J961="",$K961=""),"",SUM($J961,$K961,$U961)),IF($S961="TOTAL_AMOUNT_INCLUDING_DELIVERY",IF($T961="","",$T961),IF($S961="DELIVERY_CHARGE_ONLY",IF($K961="","",SUM($K961,$U961)),IF($S961="EXACT_COLLECTION_AMOUNT",IF($T961="","",$T961),IF($S961="ITEM_PRICE_ONLY_DELIVERY_PAID_BY_MERCHANT",IF($J961="","",SUM($J961,$U961)),""))))))</f>
        <v/>
      </c>
      <c r="M961" s="12" t="n"/>
      <c r="N961" s="13" t="n"/>
      <c r="O961" s="13" t="n"/>
      <c r="P961" s="9" t="n"/>
      <c r="Q961" s="14" t="n"/>
      <c r="R961" s="15" t="n"/>
      <c r="S961" s="14" t="n"/>
      <c r="T961" s="16" t="n"/>
      <c r="U961" s="16" t="n"/>
      <c r="V961" s="16" t="n"/>
      <c r="W961" s="16" t="n"/>
      <c r="X961" s="16" t="n"/>
      <c r="Y961" s="16" t="n"/>
      <c r="Z961" s="14" t="n"/>
      <c r="AA961" s="14" t="n"/>
      <c r="AB961" s="14" t="n"/>
      <c r="AC961" s="17">
        <f>IFERROR(VLOOKUP($H961&amp;"|"&amp;$Q961,Tariff_Master!$A$2:$L$169,3,FALSE),"")</f>
        <v/>
      </c>
      <c r="AD961" s="17">
        <f>IFERROR(VLOOKUP($H961&amp;"|"&amp;$Q961,Tariff_Master!$A$2:$L$169,4,FALSE),"")</f>
        <v/>
      </c>
      <c r="AE961" s="18">
        <f>IFERROR(VLOOKUP($H961&amp;"|"&amp;$Q961,Tariff_Master!$A$2:$L$169,6,FALSE),"")</f>
        <v/>
      </c>
      <c r="AF961" s="19">
        <f>IFERROR(VLOOKUP($H961&amp;"|"&amp;$Q961,Tariff_Master!$A$2:$L$169,7,FALSE),"")</f>
        <v/>
      </c>
      <c r="AG961" s="18">
        <f>IFERROR(VLOOKUP($H961&amp;"|"&amp;$Q961,Tariff_Master!$A$2:$L$169,8,FALSE),"")</f>
        <v/>
      </c>
      <c r="AH961" s="20">
        <f>IFERROR(VLOOKUP($H961&amp;"|"&amp;$Q961,Tariff_Master!$A$2:$L$169,9,FALSE),"")</f>
        <v/>
      </c>
      <c r="AI961" s="18">
        <f>IFERROR(VLOOKUP($H961&amp;"|"&amp;$Q961,Tariff_Master!$A$2:$L$169,10,FALSE),"")</f>
        <v/>
      </c>
      <c r="AJ961" s="21">
        <f>IF($M961="","",ROUNDUP(MAX(0,$M961),0))</f>
        <v/>
      </c>
      <c r="AK961" s="21">
        <f>IF(OR($AJ961="",$AF961=""),"",MAX(0,$AJ961-$AF961))</f>
        <v/>
      </c>
      <c r="AL961" s="22">
        <f>IF(OR($AK961="",$AG961=""),"",MAX(0,$AK961*$AG961))</f>
        <v/>
      </c>
      <c r="AM961" s="22">
        <f>IF($AE961="","",MAX(0,SUM($AE961,$AL961,$V961,$W961)))</f>
        <v/>
      </c>
      <c r="AN961" s="22">
        <f>IF($AM961="","",IF(AND($Q961="COMMITMENT",$R961&gt;=$AH961),$AI961,0))</f>
        <v/>
      </c>
      <c r="AO961" s="23">
        <f>IF($AM961="","",MAX(0,$AM961-$AN961))</f>
        <v/>
      </c>
      <c r="AP961" s="22">
        <f>IF($S961="","",IF(OR($S961="ITEM_PRICE_PLUS_DECLARED_DELIVERY",$S961="DELIVERY_CHARGE_ONLY"),$K961,IF($S961="TOTAL_AMOUNT_INCLUDING_DELIVERY",IF(OR($T961="",$J961=""),"",MAX(0,$T961-$J961-$U961)),IF($S961="ITEM_PRICE_ONLY_DELIVERY_PAID_BY_MERCHANT",0,""))))</f>
        <v/>
      </c>
      <c r="AQ961" s="23">
        <f>IF(OR($AP961="",$AO961=""),"",$AP961-$AO961)</f>
        <v/>
      </c>
      <c r="AR961" s="24">
        <f>IF($S961="EXACT_COLLECTION_AMOUNT","BREAKDOWN_REQUIRED",IF($AQ961="","",IF($AQ961&gt;0,"CREDIT_TO_MERCHANT",IF($AQ961&lt;0,"DEDUCT_FROM_MERCHANT","NO_ADJUSTMENT"))))</f>
        <v/>
      </c>
      <c r="AS961" s="23">
        <f>IF(OR($AQ961="",$AR961="BREAKDOWN_REQUIRED"),"",$AQ961)</f>
        <v/>
      </c>
      <c r="AT961" s="23">
        <f>IF(OR($AR961="",$AR961="BREAKDOWN_REQUIRED"),"",SUM($J961,$AQ961,$Y961)-$X961)</f>
        <v/>
      </c>
      <c r="AU961" s="25">
        <f>IF(AND($A961="",$B961="",$F961="",$H961="",$J961="",$K961="",$M961="",$S961=""),"",IF(OR($H961="",$Q961="",$M961="",$S961=""),"ERROR",IF(OR($J961&lt;0,$K961&lt;0,$M961&lt;0,$T961&lt;0,$U961&lt;0,$V961&lt;0,$W961&lt;0,$X961&lt;0,$Y961&lt;0),"ERROR",IF($AE961="","ERROR",IF(AND(OR($S961="ITEM_PRICE_PLUS_DECLARED_DELIVERY",$S961="TOTAL_AMOUNT_INCLUDING_DELIVERY",$S961="ITEM_PRICE_ONLY_DELIVERY_PAID_BY_MERCHANT"),$J961=""),"ERROR",IF(AND(OR($S961="ITEM_PRICE_PLUS_DECLARED_DELIVERY",$S961="DELIVERY_CHARGE_ONLY"),$K961=""),"ERROR",IF(AND(OR($S961="TOTAL_AMOUNT_INCLUDING_DELIVERY",$S961="EXACT_COLLECTION_AMOUNT"),$T961=""),"ERROR",IF(AND($S961="TOTAL_AMOUNT_INCLUDING_DELIVERY",$T961&lt;SUM($J961,$U961)),"ERROR",IF($S961="EXACT_COLLECTION_AMOUNT","REVIEW","OK")))))))))</f>
        <v/>
      </c>
      <c r="AV961" s="25">
        <f>IF($AU961="","",IF($H961="","Township required",IF($Q961="","Customer tier required",IF($M961="","Weight required",IF($S961="","Amount entry type required",IF(OR($J961&lt;0,$K961&lt;0,$M961&lt;0,$T961&lt;0,$U961&lt;0,$V961&lt;0,$W961&lt;0,$X961&lt;0,$Y961&lt;0),"Negative amounts are not allowed",IF($AE961="","Tariff not found for township and tier",IF(AND(OR($S961="ITEM_PRICE_PLUS_DECLARED_DELIVERY",$S961="TOTAL_AMOUNT_INCLUDING_DELIVERY",$S961="ITEM_PRICE_ONLY_DELIVERY_PAID_BY_MERCHANT"),$J961=""),"Item price required for this amount type",IF(AND(OR($S961="ITEM_PRICE_PLUS_DECLARED_DELIVERY",$S961="DELIVERY_CHARGE_ONLY"),$K961=""),"Declared delivery charge required",IF(AND(OR($S961="TOTAL_AMOUNT_INCLUDING_DELIVERY",$S961="EXACT_COLLECTION_AMOUNT"),$T961=""),"Stated total amount required",IF(AND($S961="TOTAL_AMOUNT_INCLUDING_DELIVERY",$T961&lt;SUM($J961,$U961)),"Stated total is below item price plus additional charge",IF($S961="EXACT_COLLECTION_AMOUNT","Authorized amount breakdown required before settlement","Ready for collection and settlement"))))))))))))</f>
        <v/>
      </c>
      <c r="AW961" s="23">
        <f>IF($AU961="","","PARCEL_FINANCIAL_V2")</f>
        <v/>
      </c>
      <c r="AX961" s="17" t="n"/>
    </row>
    <row r="962">
      <c r="A962" s="8" t="n"/>
      <c r="B962" s="8" t="n"/>
      <c r="C962" s="8" t="n"/>
      <c r="D962" s="8" t="n"/>
      <c r="E962" s="9" t="n"/>
      <c r="F962" s="9" t="n"/>
      <c r="G962" s="8" t="n"/>
      <c r="H962" s="9" t="n"/>
      <c r="I962" s="9" t="n"/>
      <c r="J962" s="10" t="n"/>
      <c r="K962" s="10" t="n"/>
      <c r="L962" s="11">
        <f>IF($S962="","",IF($S962="ITEM_PRICE_PLUS_DECLARED_DELIVERY",IF(OR($J962="",$K962=""),"",SUM($J962,$K962,$U962)),IF($S962="TOTAL_AMOUNT_INCLUDING_DELIVERY",IF($T962="","",$T962),IF($S962="DELIVERY_CHARGE_ONLY",IF($K962="","",SUM($K962,$U962)),IF($S962="EXACT_COLLECTION_AMOUNT",IF($T962="","",$T962),IF($S962="ITEM_PRICE_ONLY_DELIVERY_PAID_BY_MERCHANT",IF($J962="","",SUM($J962,$U962)),""))))))</f>
        <v/>
      </c>
      <c r="M962" s="12" t="n"/>
      <c r="N962" s="13" t="n"/>
      <c r="O962" s="13" t="n"/>
      <c r="P962" s="9" t="n"/>
      <c r="Q962" s="14" t="n"/>
      <c r="R962" s="15" t="n"/>
      <c r="S962" s="14" t="n"/>
      <c r="T962" s="16" t="n"/>
      <c r="U962" s="16" t="n"/>
      <c r="V962" s="16" t="n"/>
      <c r="W962" s="16" t="n"/>
      <c r="X962" s="16" t="n"/>
      <c r="Y962" s="16" t="n"/>
      <c r="Z962" s="14" t="n"/>
      <c r="AA962" s="14" t="n"/>
      <c r="AB962" s="14" t="n"/>
      <c r="AC962" s="17">
        <f>IFERROR(VLOOKUP($H962&amp;"|"&amp;$Q962,Tariff_Master!$A$2:$L$169,3,FALSE),"")</f>
        <v/>
      </c>
      <c r="AD962" s="17">
        <f>IFERROR(VLOOKUP($H962&amp;"|"&amp;$Q962,Tariff_Master!$A$2:$L$169,4,FALSE),"")</f>
        <v/>
      </c>
      <c r="AE962" s="18">
        <f>IFERROR(VLOOKUP($H962&amp;"|"&amp;$Q962,Tariff_Master!$A$2:$L$169,6,FALSE),"")</f>
        <v/>
      </c>
      <c r="AF962" s="19">
        <f>IFERROR(VLOOKUP($H962&amp;"|"&amp;$Q962,Tariff_Master!$A$2:$L$169,7,FALSE),"")</f>
        <v/>
      </c>
      <c r="AG962" s="18">
        <f>IFERROR(VLOOKUP($H962&amp;"|"&amp;$Q962,Tariff_Master!$A$2:$L$169,8,FALSE),"")</f>
        <v/>
      </c>
      <c r="AH962" s="20">
        <f>IFERROR(VLOOKUP($H962&amp;"|"&amp;$Q962,Tariff_Master!$A$2:$L$169,9,FALSE),"")</f>
        <v/>
      </c>
      <c r="AI962" s="18">
        <f>IFERROR(VLOOKUP($H962&amp;"|"&amp;$Q962,Tariff_Master!$A$2:$L$169,10,FALSE),"")</f>
        <v/>
      </c>
      <c r="AJ962" s="21">
        <f>IF($M962="","",ROUNDUP(MAX(0,$M962),0))</f>
        <v/>
      </c>
      <c r="AK962" s="21">
        <f>IF(OR($AJ962="",$AF962=""),"",MAX(0,$AJ962-$AF962))</f>
        <v/>
      </c>
      <c r="AL962" s="22">
        <f>IF(OR($AK962="",$AG962=""),"",MAX(0,$AK962*$AG962))</f>
        <v/>
      </c>
      <c r="AM962" s="22">
        <f>IF($AE962="","",MAX(0,SUM($AE962,$AL962,$V962,$W962)))</f>
        <v/>
      </c>
      <c r="AN962" s="22">
        <f>IF($AM962="","",IF(AND($Q962="COMMITMENT",$R962&gt;=$AH962),$AI962,0))</f>
        <v/>
      </c>
      <c r="AO962" s="23">
        <f>IF($AM962="","",MAX(0,$AM962-$AN962))</f>
        <v/>
      </c>
      <c r="AP962" s="22">
        <f>IF($S962="","",IF(OR($S962="ITEM_PRICE_PLUS_DECLARED_DELIVERY",$S962="DELIVERY_CHARGE_ONLY"),$K962,IF($S962="TOTAL_AMOUNT_INCLUDING_DELIVERY",IF(OR($T962="",$J962=""),"",MAX(0,$T962-$J962-$U962)),IF($S962="ITEM_PRICE_ONLY_DELIVERY_PAID_BY_MERCHANT",0,""))))</f>
        <v/>
      </c>
      <c r="AQ962" s="23">
        <f>IF(OR($AP962="",$AO962=""),"",$AP962-$AO962)</f>
        <v/>
      </c>
      <c r="AR962" s="24">
        <f>IF($S962="EXACT_COLLECTION_AMOUNT","BREAKDOWN_REQUIRED",IF($AQ962="","",IF($AQ962&gt;0,"CREDIT_TO_MERCHANT",IF($AQ962&lt;0,"DEDUCT_FROM_MERCHANT","NO_ADJUSTMENT"))))</f>
        <v/>
      </c>
      <c r="AS962" s="23">
        <f>IF(OR($AQ962="",$AR962="BREAKDOWN_REQUIRED"),"",$AQ962)</f>
        <v/>
      </c>
      <c r="AT962" s="23">
        <f>IF(OR($AR962="",$AR962="BREAKDOWN_REQUIRED"),"",SUM($J962,$AQ962,$Y962)-$X962)</f>
        <v/>
      </c>
      <c r="AU962" s="25">
        <f>IF(AND($A962="",$B962="",$F962="",$H962="",$J962="",$K962="",$M962="",$S962=""),"",IF(OR($H962="",$Q962="",$M962="",$S962=""),"ERROR",IF(OR($J962&lt;0,$K962&lt;0,$M962&lt;0,$T962&lt;0,$U962&lt;0,$V962&lt;0,$W962&lt;0,$X962&lt;0,$Y962&lt;0),"ERROR",IF($AE962="","ERROR",IF(AND(OR($S962="ITEM_PRICE_PLUS_DECLARED_DELIVERY",$S962="TOTAL_AMOUNT_INCLUDING_DELIVERY",$S962="ITEM_PRICE_ONLY_DELIVERY_PAID_BY_MERCHANT"),$J962=""),"ERROR",IF(AND(OR($S962="ITEM_PRICE_PLUS_DECLARED_DELIVERY",$S962="DELIVERY_CHARGE_ONLY"),$K962=""),"ERROR",IF(AND(OR($S962="TOTAL_AMOUNT_INCLUDING_DELIVERY",$S962="EXACT_COLLECTION_AMOUNT"),$T962=""),"ERROR",IF(AND($S962="TOTAL_AMOUNT_INCLUDING_DELIVERY",$T962&lt;SUM($J962,$U962)),"ERROR",IF($S962="EXACT_COLLECTION_AMOUNT","REVIEW","OK")))))))))</f>
        <v/>
      </c>
      <c r="AV962" s="25">
        <f>IF($AU962="","",IF($H962="","Township required",IF($Q962="","Customer tier required",IF($M962="","Weight required",IF($S962="","Amount entry type required",IF(OR($J962&lt;0,$K962&lt;0,$M962&lt;0,$T962&lt;0,$U962&lt;0,$V962&lt;0,$W962&lt;0,$X962&lt;0,$Y962&lt;0),"Negative amounts are not allowed",IF($AE962="","Tariff not found for township and tier",IF(AND(OR($S962="ITEM_PRICE_PLUS_DECLARED_DELIVERY",$S962="TOTAL_AMOUNT_INCLUDING_DELIVERY",$S962="ITEM_PRICE_ONLY_DELIVERY_PAID_BY_MERCHANT"),$J962=""),"Item price required for this amount type",IF(AND(OR($S962="ITEM_PRICE_PLUS_DECLARED_DELIVERY",$S962="DELIVERY_CHARGE_ONLY"),$K962=""),"Declared delivery charge required",IF(AND(OR($S962="TOTAL_AMOUNT_INCLUDING_DELIVERY",$S962="EXACT_COLLECTION_AMOUNT"),$T962=""),"Stated total amount required",IF(AND($S962="TOTAL_AMOUNT_INCLUDING_DELIVERY",$T962&lt;SUM($J962,$U962)),"Stated total is below item price plus additional charge",IF($S962="EXACT_COLLECTION_AMOUNT","Authorized amount breakdown required before settlement","Ready for collection and settlement"))))))))))))</f>
        <v/>
      </c>
      <c r="AW962" s="23">
        <f>IF($AU962="","","PARCEL_FINANCIAL_V2")</f>
        <v/>
      </c>
      <c r="AX962" s="17" t="n"/>
    </row>
    <row r="963">
      <c r="A963" s="8" t="n"/>
      <c r="B963" s="8" t="n"/>
      <c r="C963" s="8" t="n"/>
      <c r="D963" s="8" t="n"/>
      <c r="E963" s="9" t="n"/>
      <c r="F963" s="9" t="n"/>
      <c r="G963" s="8" t="n"/>
      <c r="H963" s="9" t="n"/>
      <c r="I963" s="9" t="n"/>
      <c r="J963" s="10" t="n"/>
      <c r="K963" s="10" t="n"/>
      <c r="L963" s="11">
        <f>IF($S963="","",IF($S963="ITEM_PRICE_PLUS_DECLARED_DELIVERY",IF(OR($J963="",$K963=""),"",SUM($J963,$K963,$U963)),IF($S963="TOTAL_AMOUNT_INCLUDING_DELIVERY",IF($T963="","",$T963),IF($S963="DELIVERY_CHARGE_ONLY",IF($K963="","",SUM($K963,$U963)),IF($S963="EXACT_COLLECTION_AMOUNT",IF($T963="","",$T963),IF($S963="ITEM_PRICE_ONLY_DELIVERY_PAID_BY_MERCHANT",IF($J963="","",SUM($J963,$U963)),""))))))</f>
        <v/>
      </c>
      <c r="M963" s="12" t="n"/>
      <c r="N963" s="13" t="n"/>
      <c r="O963" s="13" t="n"/>
      <c r="P963" s="9" t="n"/>
      <c r="Q963" s="14" t="n"/>
      <c r="R963" s="15" t="n"/>
      <c r="S963" s="14" t="n"/>
      <c r="T963" s="16" t="n"/>
      <c r="U963" s="16" t="n"/>
      <c r="V963" s="16" t="n"/>
      <c r="W963" s="16" t="n"/>
      <c r="X963" s="16" t="n"/>
      <c r="Y963" s="16" t="n"/>
      <c r="Z963" s="14" t="n"/>
      <c r="AA963" s="14" t="n"/>
      <c r="AB963" s="14" t="n"/>
      <c r="AC963" s="17">
        <f>IFERROR(VLOOKUP($H963&amp;"|"&amp;$Q963,Tariff_Master!$A$2:$L$169,3,FALSE),"")</f>
        <v/>
      </c>
      <c r="AD963" s="17">
        <f>IFERROR(VLOOKUP($H963&amp;"|"&amp;$Q963,Tariff_Master!$A$2:$L$169,4,FALSE),"")</f>
        <v/>
      </c>
      <c r="AE963" s="18">
        <f>IFERROR(VLOOKUP($H963&amp;"|"&amp;$Q963,Tariff_Master!$A$2:$L$169,6,FALSE),"")</f>
        <v/>
      </c>
      <c r="AF963" s="19">
        <f>IFERROR(VLOOKUP($H963&amp;"|"&amp;$Q963,Tariff_Master!$A$2:$L$169,7,FALSE),"")</f>
        <v/>
      </c>
      <c r="AG963" s="18">
        <f>IFERROR(VLOOKUP($H963&amp;"|"&amp;$Q963,Tariff_Master!$A$2:$L$169,8,FALSE),"")</f>
        <v/>
      </c>
      <c r="AH963" s="20">
        <f>IFERROR(VLOOKUP($H963&amp;"|"&amp;$Q963,Tariff_Master!$A$2:$L$169,9,FALSE),"")</f>
        <v/>
      </c>
      <c r="AI963" s="18">
        <f>IFERROR(VLOOKUP($H963&amp;"|"&amp;$Q963,Tariff_Master!$A$2:$L$169,10,FALSE),"")</f>
        <v/>
      </c>
      <c r="AJ963" s="21">
        <f>IF($M963="","",ROUNDUP(MAX(0,$M963),0))</f>
        <v/>
      </c>
      <c r="AK963" s="21">
        <f>IF(OR($AJ963="",$AF963=""),"",MAX(0,$AJ963-$AF963))</f>
        <v/>
      </c>
      <c r="AL963" s="22">
        <f>IF(OR($AK963="",$AG963=""),"",MAX(0,$AK963*$AG963))</f>
        <v/>
      </c>
      <c r="AM963" s="22">
        <f>IF($AE963="","",MAX(0,SUM($AE963,$AL963,$V963,$W963)))</f>
        <v/>
      </c>
      <c r="AN963" s="22">
        <f>IF($AM963="","",IF(AND($Q963="COMMITMENT",$R963&gt;=$AH963),$AI963,0))</f>
        <v/>
      </c>
      <c r="AO963" s="23">
        <f>IF($AM963="","",MAX(0,$AM963-$AN963))</f>
        <v/>
      </c>
      <c r="AP963" s="22">
        <f>IF($S963="","",IF(OR($S963="ITEM_PRICE_PLUS_DECLARED_DELIVERY",$S963="DELIVERY_CHARGE_ONLY"),$K963,IF($S963="TOTAL_AMOUNT_INCLUDING_DELIVERY",IF(OR($T963="",$J963=""),"",MAX(0,$T963-$J963-$U963)),IF($S963="ITEM_PRICE_ONLY_DELIVERY_PAID_BY_MERCHANT",0,""))))</f>
        <v/>
      </c>
      <c r="AQ963" s="23">
        <f>IF(OR($AP963="",$AO963=""),"",$AP963-$AO963)</f>
        <v/>
      </c>
      <c r="AR963" s="24">
        <f>IF($S963="EXACT_COLLECTION_AMOUNT","BREAKDOWN_REQUIRED",IF($AQ963="","",IF($AQ963&gt;0,"CREDIT_TO_MERCHANT",IF($AQ963&lt;0,"DEDUCT_FROM_MERCHANT","NO_ADJUSTMENT"))))</f>
        <v/>
      </c>
      <c r="AS963" s="23">
        <f>IF(OR($AQ963="",$AR963="BREAKDOWN_REQUIRED"),"",$AQ963)</f>
        <v/>
      </c>
      <c r="AT963" s="23">
        <f>IF(OR($AR963="",$AR963="BREAKDOWN_REQUIRED"),"",SUM($J963,$AQ963,$Y963)-$X963)</f>
        <v/>
      </c>
      <c r="AU963" s="25">
        <f>IF(AND($A963="",$B963="",$F963="",$H963="",$J963="",$K963="",$M963="",$S963=""),"",IF(OR($H963="",$Q963="",$M963="",$S963=""),"ERROR",IF(OR($J963&lt;0,$K963&lt;0,$M963&lt;0,$T963&lt;0,$U963&lt;0,$V963&lt;0,$W963&lt;0,$X963&lt;0,$Y963&lt;0),"ERROR",IF($AE963="","ERROR",IF(AND(OR($S963="ITEM_PRICE_PLUS_DECLARED_DELIVERY",$S963="TOTAL_AMOUNT_INCLUDING_DELIVERY",$S963="ITEM_PRICE_ONLY_DELIVERY_PAID_BY_MERCHANT"),$J963=""),"ERROR",IF(AND(OR($S963="ITEM_PRICE_PLUS_DECLARED_DELIVERY",$S963="DELIVERY_CHARGE_ONLY"),$K963=""),"ERROR",IF(AND(OR($S963="TOTAL_AMOUNT_INCLUDING_DELIVERY",$S963="EXACT_COLLECTION_AMOUNT"),$T963=""),"ERROR",IF(AND($S963="TOTAL_AMOUNT_INCLUDING_DELIVERY",$T963&lt;SUM($J963,$U963)),"ERROR",IF($S963="EXACT_COLLECTION_AMOUNT","REVIEW","OK")))))))))</f>
        <v/>
      </c>
      <c r="AV963" s="25">
        <f>IF($AU963="","",IF($H963="","Township required",IF($Q963="","Customer tier required",IF($M963="","Weight required",IF($S963="","Amount entry type required",IF(OR($J963&lt;0,$K963&lt;0,$M963&lt;0,$T963&lt;0,$U963&lt;0,$V963&lt;0,$W963&lt;0,$X963&lt;0,$Y963&lt;0),"Negative amounts are not allowed",IF($AE963="","Tariff not found for township and tier",IF(AND(OR($S963="ITEM_PRICE_PLUS_DECLARED_DELIVERY",$S963="TOTAL_AMOUNT_INCLUDING_DELIVERY",$S963="ITEM_PRICE_ONLY_DELIVERY_PAID_BY_MERCHANT"),$J963=""),"Item price required for this amount type",IF(AND(OR($S963="ITEM_PRICE_PLUS_DECLARED_DELIVERY",$S963="DELIVERY_CHARGE_ONLY"),$K963=""),"Declared delivery charge required",IF(AND(OR($S963="TOTAL_AMOUNT_INCLUDING_DELIVERY",$S963="EXACT_COLLECTION_AMOUNT"),$T963=""),"Stated total amount required",IF(AND($S963="TOTAL_AMOUNT_INCLUDING_DELIVERY",$T963&lt;SUM($J963,$U963)),"Stated total is below item price plus additional charge",IF($S963="EXACT_COLLECTION_AMOUNT","Authorized amount breakdown required before settlement","Ready for collection and settlement"))))))))))))</f>
        <v/>
      </c>
      <c r="AW963" s="23">
        <f>IF($AU963="","","PARCEL_FINANCIAL_V2")</f>
        <v/>
      </c>
      <c r="AX963" s="17" t="n"/>
    </row>
    <row r="964">
      <c r="A964" s="8" t="n"/>
      <c r="B964" s="8" t="n"/>
      <c r="C964" s="8" t="n"/>
      <c r="D964" s="8" t="n"/>
      <c r="E964" s="9" t="n"/>
      <c r="F964" s="9" t="n"/>
      <c r="G964" s="8" t="n"/>
      <c r="H964" s="9" t="n"/>
      <c r="I964" s="9" t="n"/>
      <c r="J964" s="10" t="n"/>
      <c r="K964" s="10" t="n"/>
      <c r="L964" s="11">
        <f>IF($S964="","",IF($S964="ITEM_PRICE_PLUS_DECLARED_DELIVERY",IF(OR($J964="",$K964=""),"",SUM($J964,$K964,$U964)),IF($S964="TOTAL_AMOUNT_INCLUDING_DELIVERY",IF($T964="","",$T964),IF($S964="DELIVERY_CHARGE_ONLY",IF($K964="","",SUM($K964,$U964)),IF($S964="EXACT_COLLECTION_AMOUNT",IF($T964="","",$T964),IF($S964="ITEM_PRICE_ONLY_DELIVERY_PAID_BY_MERCHANT",IF($J964="","",SUM($J964,$U964)),""))))))</f>
        <v/>
      </c>
      <c r="M964" s="12" t="n"/>
      <c r="N964" s="13" t="n"/>
      <c r="O964" s="13" t="n"/>
      <c r="P964" s="9" t="n"/>
      <c r="Q964" s="14" t="n"/>
      <c r="R964" s="15" t="n"/>
      <c r="S964" s="14" t="n"/>
      <c r="T964" s="16" t="n"/>
      <c r="U964" s="16" t="n"/>
      <c r="V964" s="16" t="n"/>
      <c r="W964" s="16" t="n"/>
      <c r="X964" s="16" t="n"/>
      <c r="Y964" s="16" t="n"/>
      <c r="Z964" s="14" t="n"/>
      <c r="AA964" s="14" t="n"/>
      <c r="AB964" s="14" t="n"/>
      <c r="AC964" s="17">
        <f>IFERROR(VLOOKUP($H964&amp;"|"&amp;$Q964,Tariff_Master!$A$2:$L$169,3,FALSE),"")</f>
        <v/>
      </c>
      <c r="AD964" s="17">
        <f>IFERROR(VLOOKUP($H964&amp;"|"&amp;$Q964,Tariff_Master!$A$2:$L$169,4,FALSE),"")</f>
        <v/>
      </c>
      <c r="AE964" s="18">
        <f>IFERROR(VLOOKUP($H964&amp;"|"&amp;$Q964,Tariff_Master!$A$2:$L$169,6,FALSE),"")</f>
        <v/>
      </c>
      <c r="AF964" s="19">
        <f>IFERROR(VLOOKUP($H964&amp;"|"&amp;$Q964,Tariff_Master!$A$2:$L$169,7,FALSE),"")</f>
        <v/>
      </c>
      <c r="AG964" s="18">
        <f>IFERROR(VLOOKUP($H964&amp;"|"&amp;$Q964,Tariff_Master!$A$2:$L$169,8,FALSE),"")</f>
        <v/>
      </c>
      <c r="AH964" s="20">
        <f>IFERROR(VLOOKUP($H964&amp;"|"&amp;$Q964,Tariff_Master!$A$2:$L$169,9,FALSE),"")</f>
        <v/>
      </c>
      <c r="AI964" s="18">
        <f>IFERROR(VLOOKUP($H964&amp;"|"&amp;$Q964,Tariff_Master!$A$2:$L$169,10,FALSE),"")</f>
        <v/>
      </c>
      <c r="AJ964" s="21">
        <f>IF($M964="","",ROUNDUP(MAX(0,$M964),0))</f>
        <v/>
      </c>
      <c r="AK964" s="21">
        <f>IF(OR($AJ964="",$AF964=""),"",MAX(0,$AJ964-$AF964))</f>
        <v/>
      </c>
      <c r="AL964" s="22">
        <f>IF(OR($AK964="",$AG964=""),"",MAX(0,$AK964*$AG964))</f>
        <v/>
      </c>
      <c r="AM964" s="22">
        <f>IF($AE964="","",MAX(0,SUM($AE964,$AL964,$V964,$W964)))</f>
        <v/>
      </c>
      <c r="AN964" s="22">
        <f>IF($AM964="","",IF(AND($Q964="COMMITMENT",$R964&gt;=$AH964),$AI964,0))</f>
        <v/>
      </c>
      <c r="AO964" s="23">
        <f>IF($AM964="","",MAX(0,$AM964-$AN964))</f>
        <v/>
      </c>
      <c r="AP964" s="22">
        <f>IF($S964="","",IF(OR($S964="ITEM_PRICE_PLUS_DECLARED_DELIVERY",$S964="DELIVERY_CHARGE_ONLY"),$K964,IF($S964="TOTAL_AMOUNT_INCLUDING_DELIVERY",IF(OR($T964="",$J964=""),"",MAX(0,$T964-$J964-$U964)),IF($S964="ITEM_PRICE_ONLY_DELIVERY_PAID_BY_MERCHANT",0,""))))</f>
        <v/>
      </c>
      <c r="AQ964" s="23">
        <f>IF(OR($AP964="",$AO964=""),"",$AP964-$AO964)</f>
        <v/>
      </c>
      <c r="AR964" s="24">
        <f>IF($S964="EXACT_COLLECTION_AMOUNT","BREAKDOWN_REQUIRED",IF($AQ964="","",IF($AQ964&gt;0,"CREDIT_TO_MERCHANT",IF($AQ964&lt;0,"DEDUCT_FROM_MERCHANT","NO_ADJUSTMENT"))))</f>
        <v/>
      </c>
      <c r="AS964" s="23">
        <f>IF(OR($AQ964="",$AR964="BREAKDOWN_REQUIRED"),"",$AQ964)</f>
        <v/>
      </c>
      <c r="AT964" s="23">
        <f>IF(OR($AR964="",$AR964="BREAKDOWN_REQUIRED"),"",SUM($J964,$AQ964,$Y964)-$X964)</f>
        <v/>
      </c>
      <c r="AU964" s="25">
        <f>IF(AND($A964="",$B964="",$F964="",$H964="",$J964="",$K964="",$M964="",$S964=""),"",IF(OR($H964="",$Q964="",$M964="",$S964=""),"ERROR",IF(OR($J964&lt;0,$K964&lt;0,$M964&lt;0,$T964&lt;0,$U964&lt;0,$V964&lt;0,$W964&lt;0,$X964&lt;0,$Y964&lt;0),"ERROR",IF($AE964="","ERROR",IF(AND(OR($S964="ITEM_PRICE_PLUS_DECLARED_DELIVERY",$S964="TOTAL_AMOUNT_INCLUDING_DELIVERY",$S964="ITEM_PRICE_ONLY_DELIVERY_PAID_BY_MERCHANT"),$J964=""),"ERROR",IF(AND(OR($S964="ITEM_PRICE_PLUS_DECLARED_DELIVERY",$S964="DELIVERY_CHARGE_ONLY"),$K964=""),"ERROR",IF(AND(OR($S964="TOTAL_AMOUNT_INCLUDING_DELIVERY",$S964="EXACT_COLLECTION_AMOUNT"),$T964=""),"ERROR",IF(AND($S964="TOTAL_AMOUNT_INCLUDING_DELIVERY",$T964&lt;SUM($J964,$U964)),"ERROR",IF($S964="EXACT_COLLECTION_AMOUNT","REVIEW","OK")))))))))</f>
        <v/>
      </c>
      <c r="AV964" s="25">
        <f>IF($AU964="","",IF($H964="","Township required",IF($Q964="","Customer tier required",IF($M964="","Weight required",IF($S964="","Amount entry type required",IF(OR($J964&lt;0,$K964&lt;0,$M964&lt;0,$T964&lt;0,$U964&lt;0,$V964&lt;0,$W964&lt;0,$X964&lt;0,$Y964&lt;0),"Negative amounts are not allowed",IF($AE964="","Tariff not found for township and tier",IF(AND(OR($S964="ITEM_PRICE_PLUS_DECLARED_DELIVERY",$S964="TOTAL_AMOUNT_INCLUDING_DELIVERY",$S964="ITEM_PRICE_ONLY_DELIVERY_PAID_BY_MERCHANT"),$J964=""),"Item price required for this amount type",IF(AND(OR($S964="ITEM_PRICE_PLUS_DECLARED_DELIVERY",$S964="DELIVERY_CHARGE_ONLY"),$K964=""),"Declared delivery charge required",IF(AND(OR($S964="TOTAL_AMOUNT_INCLUDING_DELIVERY",$S964="EXACT_COLLECTION_AMOUNT"),$T964=""),"Stated total amount required",IF(AND($S964="TOTAL_AMOUNT_INCLUDING_DELIVERY",$T964&lt;SUM($J964,$U964)),"Stated total is below item price plus additional charge",IF($S964="EXACT_COLLECTION_AMOUNT","Authorized amount breakdown required before settlement","Ready for collection and settlement"))))))))))))</f>
        <v/>
      </c>
      <c r="AW964" s="23">
        <f>IF($AU964="","","PARCEL_FINANCIAL_V2")</f>
        <v/>
      </c>
      <c r="AX964" s="17" t="n"/>
    </row>
    <row r="965">
      <c r="A965" s="8" t="n"/>
      <c r="B965" s="8" t="n"/>
      <c r="C965" s="8" t="n"/>
      <c r="D965" s="8" t="n"/>
      <c r="E965" s="9" t="n"/>
      <c r="F965" s="9" t="n"/>
      <c r="G965" s="8" t="n"/>
      <c r="H965" s="9" t="n"/>
      <c r="I965" s="9" t="n"/>
      <c r="J965" s="10" t="n"/>
      <c r="K965" s="10" t="n"/>
      <c r="L965" s="11">
        <f>IF($S965="","",IF($S965="ITEM_PRICE_PLUS_DECLARED_DELIVERY",IF(OR($J965="",$K965=""),"",SUM($J965,$K965,$U965)),IF($S965="TOTAL_AMOUNT_INCLUDING_DELIVERY",IF($T965="","",$T965),IF($S965="DELIVERY_CHARGE_ONLY",IF($K965="","",SUM($K965,$U965)),IF($S965="EXACT_COLLECTION_AMOUNT",IF($T965="","",$T965),IF($S965="ITEM_PRICE_ONLY_DELIVERY_PAID_BY_MERCHANT",IF($J965="","",SUM($J965,$U965)),""))))))</f>
        <v/>
      </c>
      <c r="M965" s="12" t="n"/>
      <c r="N965" s="13" t="n"/>
      <c r="O965" s="13" t="n"/>
      <c r="P965" s="9" t="n"/>
      <c r="Q965" s="14" t="n"/>
      <c r="R965" s="15" t="n"/>
      <c r="S965" s="14" t="n"/>
      <c r="T965" s="16" t="n"/>
      <c r="U965" s="16" t="n"/>
      <c r="V965" s="16" t="n"/>
      <c r="W965" s="16" t="n"/>
      <c r="X965" s="16" t="n"/>
      <c r="Y965" s="16" t="n"/>
      <c r="Z965" s="14" t="n"/>
      <c r="AA965" s="14" t="n"/>
      <c r="AB965" s="14" t="n"/>
      <c r="AC965" s="17">
        <f>IFERROR(VLOOKUP($H965&amp;"|"&amp;$Q965,Tariff_Master!$A$2:$L$169,3,FALSE),"")</f>
        <v/>
      </c>
      <c r="AD965" s="17">
        <f>IFERROR(VLOOKUP($H965&amp;"|"&amp;$Q965,Tariff_Master!$A$2:$L$169,4,FALSE),"")</f>
        <v/>
      </c>
      <c r="AE965" s="18">
        <f>IFERROR(VLOOKUP($H965&amp;"|"&amp;$Q965,Tariff_Master!$A$2:$L$169,6,FALSE),"")</f>
        <v/>
      </c>
      <c r="AF965" s="19">
        <f>IFERROR(VLOOKUP($H965&amp;"|"&amp;$Q965,Tariff_Master!$A$2:$L$169,7,FALSE),"")</f>
        <v/>
      </c>
      <c r="AG965" s="18">
        <f>IFERROR(VLOOKUP($H965&amp;"|"&amp;$Q965,Tariff_Master!$A$2:$L$169,8,FALSE),"")</f>
        <v/>
      </c>
      <c r="AH965" s="20">
        <f>IFERROR(VLOOKUP($H965&amp;"|"&amp;$Q965,Tariff_Master!$A$2:$L$169,9,FALSE),"")</f>
        <v/>
      </c>
      <c r="AI965" s="18">
        <f>IFERROR(VLOOKUP($H965&amp;"|"&amp;$Q965,Tariff_Master!$A$2:$L$169,10,FALSE),"")</f>
        <v/>
      </c>
      <c r="AJ965" s="21">
        <f>IF($M965="","",ROUNDUP(MAX(0,$M965),0))</f>
        <v/>
      </c>
      <c r="AK965" s="21">
        <f>IF(OR($AJ965="",$AF965=""),"",MAX(0,$AJ965-$AF965))</f>
        <v/>
      </c>
      <c r="AL965" s="22">
        <f>IF(OR($AK965="",$AG965=""),"",MAX(0,$AK965*$AG965))</f>
        <v/>
      </c>
      <c r="AM965" s="22">
        <f>IF($AE965="","",MAX(0,SUM($AE965,$AL965,$V965,$W965)))</f>
        <v/>
      </c>
      <c r="AN965" s="22">
        <f>IF($AM965="","",IF(AND($Q965="COMMITMENT",$R965&gt;=$AH965),$AI965,0))</f>
        <v/>
      </c>
      <c r="AO965" s="23">
        <f>IF($AM965="","",MAX(0,$AM965-$AN965))</f>
        <v/>
      </c>
      <c r="AP965" s="22">
        <f>IF($S965="","",IF(OR($S965="ITEM_PRICE_PLUS_DECLARED_DELIVERY",$S965="DELIVERY_CHARGE_ONLY"),$K965,IF($S965="TOTAL_AMOUNT_INCLUDING_DELIVERY",IF(OR($T965="",$J965=""),"",MAX(0,$T965-$J965-$U965)),IF($S965="ITEM_PRICE_ONLY_DELIVERY_PAID_BY_MERCHANT",0,""))))</f>
        <v/>
      </c>
      <c r="AQ965" s="23">
        <f>IF(OR($AP965="",$AO965=""),"",$AP965-$AO965)</f>
        <v/>
      </c>
      <c r="AR965" s="24">
        <f>IF($S965="EXACT_COLLECTION_AMOUNT","BREAKDOWN_REQUIRED",IF($AQ965="","",IF($AQ965&gt;0,"CREDIT_TO_MERCHANT",IF($AQ965&lt;0,"DEDUCT_FROM_MERCHANT","NO_ADJUSTMENT"))))</f>
        <v/>
      </c>
      <c r="AS965" s="23">
        <f>IF(OR($AQ965="",$AR965="BREAKDOWN_REQUIRED"),"",$AQ965)</f>
        <v/>
      </c>
      <c r="AT965" s="23">
        <f>IF(OR($AR965="",$AR965="BREAKDOWN_REQUIRED"),"",SUM($J965,$AQ965,$Y965)-$X965)</f>
        <v/>
      </c>
      <c r="AU965" s="25">
        <f>IF(AND($A965="",$B965="",$F965="",$H965="",$J965="",$K965="",$M965="",$S965=""),"",IF(OR($H965="",$Q965="",$M965="",$S965=""),"ERROR",IF(OR($J965&lt;0,$K965&lt;0,$M965&lt;0,$T965&lt;0,$U965&lt;0,$V965&lt;0,$W965&lt;0,$X965&lt;0,$Y965&lt;0),"ERROR",IF($AE965="","ERROR",IF(AND(OR($S965="ITEM_PRICE_PLUS_DECLARED_DELIVERY",$S965="TOTAL_AMOUNT_INCLUDING_DELIVERY",$S965="ITEM_PRICE_ONLY_DELIVERY_PAID_BY_MERCHANT"),$J965=""),"ERROR",IF(AND(OR($S965="ITEM_PRICE_PLUS_DECLARED_DELIVERY",$S965="DELIVERY_CHARGE_ONLY"),$K965=""),"ERROR",IF(AND(OR($S965="TOTAL_AMOUNT_INCLUDING_DELIVERY",$S965="EXACT_COLLECTION_AMOUNT"),$T965=""),"ERROR",IF(AND($S965="TOTAL_AMOUNT_INCLUDING_DELIVERY",$T965&lt;SUM($J965,$U965)),"ERROR",IF($S965="EXACT_COLLECTION_AMOUNT","REVIEW","OK")))))))))</f>
        <v/>
      </c>
      <c r="AV965" s="25">
        <f>IF($AU965="","",IF($H965="","Township required",IF($Q965="","Customer tier required",IF($M965="","Weight required",IF($S965="","Amount entry type required",IF(OR($J965&lt;0,$K965&lt;0,$M965&lt;0,$T965&lt;0,$U965&lt;0,$V965&lt;0,$W965&lt;0,$X965&lt;0,$Y965&lt;0),"Negative amounts are not allowed",IF($AE965="","Tariff not found for township and tier",IF(AND(OR($S965="ITEM_PRICE_PLUS_DECLARED_DELIVERY",$S965="TOTAL_AMOUNT_INCLUDING_DELIVERY",$S965="ITEM_PRICE_ONLY_DELIVERY_PAID_BY_MERCHANT"),$J965=""),"Item price required for this amount type",IF(AND(OR($S965="ITEM_PRICE_PLUS_DECLARED_DELIVERY",$S965="DELIVERY_CHARGE_ONLY"),$K965=""),"Declared delivery charge required",IF(AND(OR($S965="TOTAL_AMOUNT_INCLUDING_DELIVERY",$S965="EXACT_COLLECTION_AMOUNT"),$T965=""),"Stated total amount required",IF(AND($S965="TOTAL_AMOUNT_INCLUDING_DELIVERY",$T965&lt;SUM($J965,$U965)),"Stated total is below item price plus additional charge",IF($S965="EXACT_COLLECTION_AMOUNT","Authorized amount breakdown required before settlement","Ready for collection and settlement"))))))))))))</f>
        <v/>
      </c>
      <c r="AW965" s="23">
        <f>IF($AU965="","","PARCEL_FINANCIAL_V2")</f>
        <v/>
      </c>
      <c r="AX965" s="17" t="n"/>
    </row>
    <row r="966">
      <c r="A966" s="8" t="n"/>
      <c r="B966" s="8" t="n"/>
      <c r="C966" s="8" t="n"/>
      <c r="D966" s="8" t="n"/>
      <c r="E966" s="9" t="n"/>
      <c r="F966" s="9" t="n"/>
      <c r="G966" s="8" t="n"/>
      <c r="H966" s="9" t="n"/>
      <c r="I966" s="9" t="n"/>
      <c r="J966" s="10" t="n"/>
      <c r="K966" s="10" t="n"/>
      <c r="L966" s="11">
        <f>IF($S966="","",IF($S966="ITEM_PRICE_PLUS_DECLARED_DELIVERY",IF(OR($J966="",$K966=""),"",SUM($J966,$K966,$U966)),IF($S966="TOTAL_AMOUNT_INCLUDING_DELIVERY",IF($T966="","",$T966),IF($S966="DELIVERY_CHARGE_ONLY",IF($K966="","",SUM($K966,$U966)),IF($S966="EXACT_COLLECTION_AMOUNT",IF($T966="","",$T966),IF($S966="ITEM_PRICE_ONLY_DELIVERY_PAID_BY_MERCHANT",IF($J966="","",SUM($J966,$U966)),""))))))</f>
        <v/>
      </c>
      <c r="M966" s="12" t="n"/>
      <c r="N966" s="13" t="n"/>
      <c r="O966" s="13" t="n"/>
      <c r="P966" s="9" t="n"/>
      <c r="Q966" s="14" t="n"/>
      <c r="R966" s="15" t="n"/>
      <c r="S966" s="14" t="n"/>
      <c r="T966" s="16" t="n"/>
      <c r="U966" s="16" t="n"/>
      <c r="V966" s="16" t="n"/>
      <c r="W966" s="16" t="n"/>
      <c r="X966" s="16" t="n"/>
      <c r="Y966" s="16" t="n"/>
      <c r="Z966" s="14" t="n"/>
      <c r="AA966" s="14" t="n"/>
      <c r="AB966" s="14" t="n"/>
      <c r="AC966" s="17">
        <f>IFERROR(VLOOKUP($H966&amp;"|"&amp;$Q966,Tariff_Master!$A$2:$L$169,3,FALSE),"")</f>
        <v/>
      </c>
      <c r="AD966" s="17">
        <f>IFERROR(VLOOKUP($H966&amp;"|"&amp;$Q966,Tariff_Master!$A$2:$L$169,4,FALSE),"")</f>
        <v/>
      </c>
      <c r="AE966" s="18">
        <f>IFERROR(VLOOKUP($H966&amp;"|"&amp;$Q966,Tariff_Master!$A$2:$L$169,6,FALSE),"")</f>
        <v/>
      </c>
      <c r="AF966" s="19">
        <f>IFERROR(VLOOKUP($H966&amp;"|"&amp;$Q966,Tariff_Master!$A$2:$L$169,7,FALSE),"")</f>
        <v/>
      </c>
      <c r="AG966" s="18">
        <f>IFERROR(VLOOKUP($H966&amp;"|"&amp;$Q966,Tariff_Master!$A$2:$L$169,8,FALSE),"")</f>
        <v/>
      </c>
      <c r="AH966" s="20">
        <f>IFERROR(VLOOKUP($H966&amp;"|"&amp;$Q966,Tariff_Master!$A$2:$L$169,9,FALSE),"")</f>
        <v/>
      </c>
      <c r="AI966" s="18">
        <f>IFERROR(VLOOKUP($H966&amp;"|"&amp;$Q966,Tariff_Master!$A$2:$L$169,10,FALSE),"")</f>
        <v/>
      </c>
      <c r="AJ966" s="21">
        <f>IF($M966="","",ROUNDUP(MAX(0,$M966),0))</f>
        <v/>
      </c>
      <c r="AK966" s="21">
        <f>IF(OR($AJ966="",$AF966=""),"",MAX(0,$AJ966-$AF966))</f>
        <v/>
      </c>
      <c r="AL966" s="22">
        <f>IF(OR($AK966="",$AG966=""),"",MAX(0,$AK966*$AG966))</f>
        <v/>
      </c>
      <c r="AM966" s="22">
        <f>IF($AE966="","",MAX(0,SUM($AE966,$AL966,$V966,$W966)))</f>
        <v/>
      </c>
      <c r="AN966" s="22">
        <f>IF($AM966="","",IF(AND($Q966="COMMITMENT",$R966&gt;=$AH966),$AI966,0))</f>
        <v/>
      </c>
      <c r="AO966" s="23">
        <f>IF($AM966="","",MAX(0,$AM966-$AN966))</f>
        <v/>
      </c>
      <c r="AP966" s="22">
        <f>IF($S966="","",IF(OR($S966="ITEM_PRICE_PLUS_DECLARED_DELIVERY",$S966="DELIVERY_CHARGE_ONLY"),$K966,IF($S966="TOTAL_AMOUNT_INCLUDING_DELIVERY",IF(OR($T966="",$J966=""),"",MAX(0,$T966-$J966-$U966)),IF($S966="ITEM_PRICE_ONLY_DELIVERY_PAID_BY_MERCHANT",0,""))))</f>
        <v/>
      </c>
      <c r="AQ966" s="23">
        <f>IF(OR($AP966="",$AO966=""),"",$AP966-$AO966)</f>
        <v/>
      </c>
      <c r="AR966" s="24">
        <f>IF($S966="EXACT_COLLECTION_AMOUNT","BREAKDOWN_REQUIRED",IF($AQ966="","",IF($AQ966&gt;0,"CREDIT_TO_MERCHANT",IF($AQ966&lt;0,"DEDUCT_FROM_MERCHANT","NO_ADJUSTMENT"))))</f>
        <v/>
      </c>
      <c r="AS966" s="23">
        <f>IF(OR($AQ966="",$AR966="BREAKDOWN_REQUIRED"),"",$AQ966)</f>
        <v/>
      </c>
      <c r="AT966" s="23">
        <f>IF(OR($AR966="",$AR966="BREAKDOWN_REQUIRED"),"",SUM($J966,$AQ966,$Y966)-$X966)</f>
        <v/>
      </c>
      <c r="AU966" s="25">
        <f>IF(AND($A966="",$B966="",$F966="",$H966="",$J966="",$K966="",$M966="",$S966=""),"",IF(OR($H966="",$Q966="",$M966="",$S966=""),"ERROR",IF(OR($J966&lt;0,$K966&lt;0,$M966&lt;0,$T966&lt;0,$U966&lt;0,$V966&lt;0,$W966&lt;0,$X966&lt;0,$Y966&lt;0),"ERROR",IF($AE966="","ERROR",IF(AND(OR($S966="ITEM_PRICE_PLUS_DECLARED_DELIVERY",$S966="TOTAL_AMOUNT_INCLUDING_DELIVERY",$S966="ITEM_PRICE_ONLY_DELIVERY_PAID_BY_MERCHANT"),$J966=""),"ERROR",IF(AND(OR($S966="ITEM_PRICE_PLUS_DECLARED_DELIVERY",$S966="DELIVERY_CHARGE_ONLY"),$K966=""),"ERROR",IF(AND(OR($S966="TOTAL_AMOUNT_INCLUDING_DELIVERY",$S966="EXACT_COLLECTION_AMOUNT"),$T966=""),"ERROR",IF(AND($S966="TOTAL_AMOUNT_INCLUDING_DELIVERY",$T966&lt;SUM($J966,$U966)),"ERROR",IF($S966="EXACT_COLLECTION_AMOUNT","REVIEW","OK")))))))))</f>
        <v/>
      </c>
      <c r="AV966" s="25">
        <f>IF($AU966="","",IF($H966="","Township required",IF($Q966="","Customer tier required",IF($M966="","Weight required",IF($S966="","Amount entry type required",IF(OR($J966&lt;0,$K966&lt;0,$M966&lt;0,$T966&lt;0,$U966&lt;0,$V966&lt;0,$W966&lt;0,$X966&lt;0,$Y966&lt;0),"Negative amounts are not allowed",IF($AE966="","Tariff not found for township and tier",IF(AND(OR($S966="ITEM_PRICE_PLUS_DECLARED_DELIVERY",$S966="TOTAL_AMOUNT_INCLUDING_DELIVERY",$S966="ITEM_PRICE_ONLY_DELIVERY_PAID_BY_MERCHANT"),$J966=""),"Item price required for this amount type",IF(AND(OR($S966="ITEM_PRICE_PLUS_DECLARED_DELIVERY",$S966="DELIVERY_CHARGE_ONLY"),$K966=""),"Declared delivery charge required",IF(AND(OR($S966="TOTAL_AMOUNT_INCLUDING_DELIVERY",$S966="EXACT_COLLECTION_AMOUNT"),$T966=""),"Stated total amount required",IF(AND($S966="TOTAL_AMOUNT_INCLUDING_DELIVERY",$T966&lt;SUM($J966,$U966)),"Stated total is below item price plus additional charge",IF($S966="EXACT_COLLECTION_AMOUNT","Authorized amount breakdown required before settlement","Ready for collection and settlement"))))))))))))</f>
        <v/>
      </c>
      <c r="AW966" s="23">
        <f>IF($AU966="","","PARCEL_FINANCIAL_V2")</f>
        <v/>
      </c>
      <c r="AX966" s="17" t="n"/>
    </row>
    <row r="967">
      <c r="A967" s="8" t="n"/>
      <c r="B967" s="8" t="n"/>
      <c r="C967" s="8" t="n"/>
      <c r="D967" s="8" t="n"/>
      <c r="E967" s="9" t="n"/>
      <c r="F967" s="9" t="n"/>
      <c r="G967" s="8" t="n"/>
      <c r="H967" s="9" t="n"/>
      <c r="I967" s="9" t="n"/>
      <c r="J967" s="10" t="n"/>
      <c r="K967" s="10" t="n"/>
      <c r="L967" s="11">
        <f>IF($S967="","",IF($S967="ITEM_PRICE_PLUS_DECLARED_DELIVERY",IF(OR($J967="",$K967=""),"",SUM($J967,$K967,$U967)),IF($S967="TOTAL_AMOUNT_INCLUDING_DELIVERY",IF($T967="","",$T967),IF($S967="DELIVERY_CHARGE_ONLY",IF($K967="","",SUM($K967,$U967)),IF($S967="EXACT_COLLECTION_AMOUNT",IF($T967="","",$T967),IF($S967="ITEM_PRICE_ONLY_DELIVERY_PAID_BY_MERCHANT",IF($J967="","",SUM($J967,$U967)),""))))))</f>
        <v/>
      </c>
      <c r="M967" s="12" t="n"/>
      <c r="N967" s="13" t="n"/>
      <c r="O967" s="13" t="n"/>
      <c r="P967" s="9" t="n"/>
      <c r="Q967" s="14" t="n"/>
      <c r="R967" s="15" t="n"/>
      <c r="S967" s="14" t="n"/>
      <c r="T967" s="16" t="n"/>
      <c r="U967" s="16" t="n"/>
      <c r="V967" s="16" t="n"/>
      <c r="W967" s="16" t="n"/>
      <c r="X967" s="16" t="n"/>
      <c r="Y967" s="16" t="n"/>
      <c r="Z967" s="14" t="n"/>
      <c r="AA967" s="14" t="n"/>
      <c r="AB967" s="14" t="n"/>
      <c r="AC967" s="17">
        <f>IFERROR(VLOOKUP($H967&amp;"|"&amp;$Q967,Tariff_Master!$A$2:$L$169,3,FALSE),"")</f>
        <v/>
      </c>
      <c r="AD967" s="17">
        <f>IFERROR(VLOOKUP($H967&amp;"|"&amp;$Q967,Tariff_Master!$A$2:$L$169,4,FALSE),"")</f>
        <v/>
      </c>
      <c r="AE967" s="18">
        <f>IFERROR(VLOOKUP($H967&amp;"|"&amp;$Q967,Tariff_Master!$A$2:$L$169,6,FALSE),"")</f>
        <v/>
      </c>
      <c r="AF967" s="19">
        <f>IFERROR(VLOOKUP($H967&amp;"|"&amp;$Q967,Tariff_Master!$A$2:$L$169,7,FALSE),"")</f>
        <v/>
      </c>
      <c r="AG967" s="18">
        <f>IFERROR(VLOOKUP($H967&amp;"|"&amp;$Q967,Tariff_Master!$A$2:$L$169,8,FALSE),"")</f>
        <v/>
      </c>
      <c r="AH967" s="20">
        <f>IFERROR(VLOOKUP($H967&amp;"|"&amp;$Q967,Tariff_Master!$A$2:$L$169,9,FALSE),"")</f>
        <v/>
      </c>
      <c r="AI967" s="18">
        <f>IFERROR(VLOOKUP($H967&amp;"|"&amp;$Q967,Tariff_Master!$A$2:$L$169,10,FALSE),"")</f>
        <v/>
      </c>
      <c r="AJ967" s="21">
        <f>IF($M967="","",ROUNDUP(MAX(0,$M967),0))</f>
        <v/>
      </c>
      <c r="AK967" s="21">
        <f>IF(OR($AJ967="",$AF967=""),"",MAX(0,$AJ967-$AF967))</f>
        <v/>
      </c>
      <c r="AL967" s="22">
        <f>IF(OR($AK967="",$AG967=""),"",MAX(0,$AK967*$AG967))</f>
        <v/>
      </c>
      <c r="AM967" s="22">
        <f>IF($AE967="","",MAX(0,SUM($AE967,$AL967,$V967,$W967)))</f>
        <v/>
      </c>
      <c r="AN967" s="22">
        <f>IF($AM967="","",IF(AND($Q967="COMMITMENT",$R967&gt;=$AH967),$AI967,0))</f>
        <v/>
      </c>
      <c r="AO967" s="23">
        <f>IF($AM967="","",MAX(0,$AM967-$AN967))</f>
        <v/>
      </c>
      <c r="AP967" s="22">
        <f>IF($S967="","",IF(OR($S967="ITEM_PRICE_PLUS_DECLARED_DELIVERY",$S967="DELIVERY_CHARGE_ONLY"),$K967,IF($S967="TOTAL_AMOUNT_INCLUDING_DELIVERY",IF(OR($T967="",$J967=""),"",MAX(0,$T967-$J967-$U967)),IF($S967="ITEM_PRICE_ONLY_DELIVERY_PAID_BY_MERCHANT",0,""))))</f>
        <v/>
      </c>
      <c r="AQ967" s="23">
        <f>IF(OR($AP967="",$AO967=""),"",$AP967-$AO967)</f>
        <v/>
      </c>
      <c r="AR967" s="24">
        <f>IF($S967="EXACT_COLLECTION_AMOUNT","BREAKDOWN_REQUIRED",IF($AQ967="","",IF($AQ967&gt;0,"CREDIT_TO_MERCHANT",IF($AQ967&lt;0,"DEDUCT_FROM_MERCHANT","NO_ADJUSTMENT"))))</f>
        <v/>
      </c>
      <c r="AS967" s="23">
        <f>IF(OR($AQ967="",$AR967="BREAKDOWN_REQUIRED"),"",$AQ967)</f>
        <v/>
      </c>
      <c r="AT967" s="23">
        <f>IF(OR($AR967="",$AR967="BREAKDOWN_REQUIRED"),"",SUM($J967,$AQ967,$Y967)-$X967)</f>
        <v/>
      </c>
      <c r="AU967" s="25">
        <f>IF(AND($A967="",$B967="",$F967="",$H967="",$J967="",$K967="",$M967="",$S967=""),"",IF(OR($H967="",$Q967="",$M967="",$S967=""),"ERROR",IF(OR($J967&lt;0,$K967&lt;0,$M967&lt;0,$T967&lt;0,$U967&lt;0,$V967&lt;0,$W967&lt;0,$X967&lt;0,$Y967&lt;0),"ERROR",IF($AE967="","ERROR",IF(AND(OR($S967="ITEM_PRICE_PLUS_DECLARED_DELIVERY",$S967="TOTAL_AMOUNT_INCLUDING_DELIVERY",$S967="ITEM_PRICE_ONLY_DELIVERY_PAID_BY_MERCHANT"),$J967=""),"ERROR",IF(AND(OR($S967="ITEM_PRICE_PLUS_DECLARED_DELIVERY",$S967="DELIVERY_CHARGE_ONLY"),$K967=""),"ERROR",IF(AND(OR($S967="TOTAL_AMOUNT_INCLUDING_DELIVERY",$S967="EXACT_COLLECTION_AMOUNT"),$T967=""),"ERROR",IF(AND($S967="TOTAL_AMOUNT_INCLUDING_DELIVERY",$T967&lt;SUM($J967,$U967)),"ERROR",IF($S967="EXACT_COLLECTION_AMOUNT","REVIEW","OK")))))))))</f>
        <v/>
      </c>
      <c r="AV967" s="25">
        <f>IF($AU967="","",IF($H967="","Township required",IF($Q967="","Customer tier required",IF($M967="","Weight required",IF($S967="","Amount entry type required",IF(OR($J967&lt;0,$K967&lt;0,$M967&lt;0,$T967&lt;0,$U967&lt;0,$V967&lt;0,$W967&lt;0,$X967&lt;0,$Y967&lt;0),"Negative amounts are not allowed",IF($AE967="","Tariff not found for township and tier",IF(AND(OR($S967="ITEM_PRICE_PLUS_DECLARED_DELIVERY",$S967="TOTAL_AMOUNT_INCLUDING_DELIVERY",$S967="ITEM_PRICE_ONLY_DELIVERY_PAID_BY_MERCHANT"),$J967=""),"Item price required for this amount type",IF(AND(OR($S967="ITEM_PRICE_PLUS_DECLARED_DELIVERY",$S967="DELIVERY_CHARGE_ONLY"),$K967=""),"Declared delivery charge required",IF(AND(OR($S967="TOTAL_AMOUNT_INCLUDING_DELIVERY",$S967="EXACT_COLLECTION_AMOUNT"),$T967=""),"Stated total amount required",IF(AND($S967="TOTAL_AMOUNT_INCLUDING_DELIVERY",$T967&lt;SUM($J967,$U967)),"Stated total is below item price plus additional charge",IF($S967="EXACT_COLLECTION_AMOUNT","Authorized amount breakdown required before settlement","Ready for collection and settlement"))))))))))))</f>
        <v/>
      </c>
      <c r="AW967" s="23">
        <f>IF($AU967="","","PARCEL_FINANCIAL_V2")</f>
        <v/>
      </c>
      <c r="AX967" s="17" t="n"/>
    </row>
    <row r="968">
      <c r="A968" s="8" t="n"/>
      <c r="B968" s="8" t="n"/>
      <c r="C968" s="8" t="n"/>
      <c r="D968" s="8" t="n"/>
      <c r="E968" s="9" t="n"/>
      <c r="F968" s="9" t="n"/>
      <c r="G968" s="8" t="n"/>
      <c r="H968" s="9" t="n"/>
      <c r="I968" s="9" t="n"/>
      <c r="J968" s="10" t="n"/>
      <c r="K968" s="10" t="n"/>
      <c r="L968" s="11">
        <f>IF($S968="","",IF($S968="ITEM_PRICE_PLUS_DECLARED_DELIVERY",IF(OR($J968="",$K968=""),"",SUM($J968,$K968,$U968)),IF($S968="TOTAL_AMOUNT_INCLUDING_DELIVERY",IF($T968="","",$T968),IF($S968="DELIVERY_CHARGE_ONLY",IF($K968="","",SUM($K968,$U968)),IF($S968="EXACT_COLLECTION_AMOUNT",IF($T968="","",$T968),IF($S968="ITEM_PRICE_ONLY_DELIVERY_PAID_BY_MERCHANT",IF($J968="","",SUM($J968,$U968)),""))))))</f>
        <v/>
      </c>
      <c r="M968" s="12" t="n"/>
      <c r="N968" s="13" t="n"/>
      <c r="O968" s="13" t="n"/>
      <c r="P968" s="9" t="n"/>
      <c r="Q968" s="14" t="n"/>
      <c r="R968" s="15" t="n"/>
      <c r="S968" s="14" t="n"/>
      <c r="T968" s="16" t="n"/>
      <c r="U968" s="16" t="n"/>
      <c r="V968" s="16" t="n"/>
      <c r="W968" s="16" t="n"/>
      <c r="X968" s="16" t="n"/>
      <c r="Y968" s="16" t="n"/>
      <c r="Z968" s="14" t="n"/>
      <c r="AA968" s="14" t="n"/>
      <c r="AB968" s="14" t="n"/>
      <c r="AC968" s="17">
        <f>IFERROR(VLOOKUP($H968&amp;"|"&amp;$Q968,Tariff_Master!$A$2:$L$169,3,FALSE),"")</f>
        <v/>
      </c>
      <c r="AD968" s="17">
        <f>IFERROR(VLOOKUP($H968&amp;"|"&amp;$Q968,Tariff_Master!$A$2:$L$169,4,FALSE),"")</f>
        <v/>
      </c>
      <c r="AE968" s="18">
        <f>IFERROR(VLOOKUP($H968&amp;"|"&amp;$Q968,Tariff_Master!$A$2:$L$169,6,FALSE),"")</f>
        <v/>
      </c>
      <c r="AF968" s="19">
        <f>IFERROR(VLOOKUP($H968&amp;"|"&amp;$Q968,Tariff_Master!$A$2:$L$169,7,FALSE),"")</f>
        <v/>
      </c>
      <c r="AG968" s="18">
        <f>IFERROR(VLOOKUP($H968&amp;"|"&amp;$Q968,Tariff_Master!$A$2:$L$169,8,FALSE),"")</f>
        <v/>
      </c>
      <c r="AH968" s="20">
        <f>IFERROR(VLOOKUP($H968&amp;"|"&amp;$Q968,Tariff_Master!$A$2:$L$169,9,FALSE),"")</f>
        <v/>
      </c>
      <c r="AI968" s="18">
        <f>IFERROR(VLOOKUP($H968&amp;"|"&amp;$Q968,Tariff_Master!$A$2:$L$169,10,FALSE),"")</f>
        <v/>
      </c>
      <c r="AJ968" s="21">
        <f>IF($M968="","",ROUNDUP(MAX(0,$M968),0))</f>
        <v/>
      </c>
      <c r="AK968" s="21">
        <f>IF(OR($AJ968="",$AF968=""),"",MAX(0,$AJ968-$AF968))</f>
        <v/>
      </c>
      <c r="AL968" s="22">
        <f>IF(OR($AK968="",$AG968=""),"",MAX(0,$AK968*$AG968))</f>
        <v/>
      </c>
      <c r="AM968" s="22">
        <f>IF($AE968="","",MAX(0,SUM($AE968,$AL968,$V968,$W968)))</f>
        <v/>
      </c>
      <c r="AN968" s="22">
        <f>IF($AM968="","",IF(AND($Q968="COMMITMENT",$R968&gt;=$AH968),$AI968,0))</f>
        <v/>
      </c>
      <c r="AO968" s="23">
        <f>IF($AM968="","",MAX(0,$AM968-$AN968))</f>
        <v/>
      </c>
      <c r="AP968" s="22">
        <f>IF($S968="","",IF(OR($S968="ITEM_PRICE_PLUS_DECLARED_DELIVERY",$S968="DELIVERY_CHARGE_ONLY"),$K968,IF($S968="TOTAL_AMOUNT_INCLUDING_DELIVERY",IF(OR($T968="",$J968=""),"",MAX(0,$T968-$J968-$U968)),IF($S968="ITEM_PRICE_ONLY_DELIVERY_PAID_BY_MERCHANT",0,""))))</f>
        <v/>
      </c>
      <c r="AQ968" s="23">
        <f>IF(OR($AP968="",$AO968=""),"",$AP968-$AO968)</f>
        <v/>
      </c>
      <c r="AR968" s="24">
        <f>IF($S968="EXACT_COLLECTION_AMOUNT","BREAKDOWN_REQUIRED",IF($AQ968="","",IF($AQ968&gt;0,"CREDIT_TO_MERCHANT",IF($AQ968&lt;0,"DEDUCT_FROM_MERCHANT","NO_ADJUSTMENT"))))</f>
        <v/>
      </c>
      <c r="AS968" s="23">
        <f>IF(OR($AQ968="",$AR968="BREAKDOWN_REQUIRED"),"",$AQ968)</f>
        <v/>
      </c>
      <c r="AT968" s="23">
        <f>IF(OR($AR968="",$AR968="BREAKDOWN_REQUIRED"),"",SUM($J968,$AQ968,$Y968)-$X968)</f>
        <v/>
      </c>
      <c r="AU968" s="25">
        <f>IF(AND($A968="",$B968="",$F968="",$H968="",$J968="",$K968="",$M968="",$S968=""),"",IF(OR($H968="",$Q968="",$M968="",$S968=""),"ERROR",IF(OR($J968&lt;0,$K968&lt;0,$M968&lt;0,$T968&lt;0,$U968&lt;0,$V968&lt;0,$W968&lt;0,$X968&lt;0,$Y968&lt;0),"ERROR",IF($AE968="","ERROR",IF(AND(OR($S968="ITEM_PRICE_PLUS_DECLARED_DELIVERY",$S968="TOTAL_AMOUNT_INCLUDING_DELIVERY",$S968="ITEM_PRICE_ONLY_DELIVERY_PAID_BY_MERCHANT"),$J968=""),"ERROR",IF(AND(OR($S968="ITEM_PRICE_PLUS_DECLARED_DELIVERY",$S968="DELIVERY_CHARGE_ONLY"),$K968=""),"ERROR",IF(AND(OR($S968="TOTAL_AMOUNT_INCLUDING_DELIVERY",$S968="EXACT_COLLECTION_AMOUNT"),$T968=""),"ERROR",IF(AND($S968="TOTAL_AMOUNT_INCLUDING_DELIVERY",$T968&lt;SUM($J968,$U968)),"ERROR",IF($S968="EXACT_COLLECTION_AMOUNT","REVIEW","OK")))))))))</f>
        <v/>
      </c>
      <c r="AV968" s="25">
        <f>IF($AU968="","",IF($H968="","Township required",IF($Q968="","Customer tier required",IF($M968="","Weight required",IF($S968="","Amount entry type required",IF(OR($J968&lt;0,$K968&lt;0,$M968&lt;0,$T968&lt;0,$U968&lt;0,$V968&lt;0,$W968&lt;0,$X968&lt;0,$Y968&lt;0),"Negative amounts are not allowed",IF($AE968="","Tariff not found for township and tier",IF(AND(OR($S968="ITEM_PRICE_PLUS_DECLARED_DELIVERY",$S968="TOTAL_AMOUNT_INCLUDING_DELIVERY",$S968="ITEM_PRICE_ONLY_DELIVERY_PAID_BY_MERCHANT"),$J968=""),"Item price required for this amount type",IF(AND(OR($S968="ITEM_PRICE_PLUS_DECLARED_DELIVERY",$S968="DELIVERY_CHARGE_ONLY"),$K968=""),"Declared delivery charge required",IF(AND(OR($S968="TOTAL_AMOUNT_INCLUDING_DELIVERY",$S968="EXACT_COLLECTION_AMOUNT"),$T968=""),"Stated total amount required",IF(AND($S968="TOTAL_AMOUNT_INCLUDING_DELIVERY",$T968&lt;SUM($J968,$U968)),"Stated total is below item price plus additional charge",IF($S968="EXACT_COLLECTION_AMOUNT","Authorized amount breakdown required before settlement","Ready for collection and settlement"))))))))))))</f>
        <v/>
      </c>
      <c r="AW968" s="23">
        <f>IF($AU968="","","PARCEL_FINANCIAL_V2")</f>
        <v/>
      </c>
      <c r="AX968" s="17" t="n"/>
    </row>
    <row r="969">
      <c r="A969" s="8" t="n"/>
      <c r="B969" s="8" t="n"/>
      <c r="C969" s="8" t="n"/>
      <c r="D969" s="8" t="n"/>
      <c r="E969" s="9" t="n"/>
      <c r="F969" s="9" t="n"/>
      <c r="G969" s="8" t="n"/>
      <c r="H969" s="9" t="n"/>
      <c r="I969" s="9" t="n"/>
      <c r="J969" s="10" t="n"/>
      <c r="K969" s="10" t="n"/>
      <c r="L969" s="11">
        <f>IF($S969="","",IF($S969="ITEM_PRICE_PLUS_DECLARED_DELIVERY",IF(OR($J969="",$K969=""),"",SUM($J969,$K969,$U969)),IF($S969="TOTAL_AMOUNT_INCLUDING_DELIVERY",IF($T969="","",$T969),IF($S969="DELIVERY_CHARGE_ONLY",IF($K969="","",SUM($K969,$U969)),IF($S969="EXACT_COLLECTION_AMOUNT",IF($T969="","",$T969),IF($S969="ITEM_PRICE_ONLY_DELIVERY_PAID_BY_MERCHANT",IF($J969="","",SUM($J969,$U969)),""))))))</f>
        <v/>
      </c>
      <c r="M969" s="12" t="n"/>
      <c r="N969" s="13" t="n"/>
      <c r="O969" s="13" t="n"/>
      <c r="P969" s="9" t="n"/>
      <c r="Q969" s="14" t="n"/>
      <c r="R969" s="15" t="n"/>
      <c r="S969" s="14" t="n"/>
      <c r="T969" s="16" t="n"/>
      <c r="U969" s="16" t="n"/>
      <c r="V969" s="16" t="n"/>
      <c r="W969" s="16" t="n"/>
      <c r="X969" s="16" t="n"/>
      <c r="Y969" s="16" t="n"/>
      <c r="Z969" s="14" t="n"/>
      <c r="AA969" s="14" t="n"/>
      <c r="AB969" s="14" t="n"/>
      <c r="AC969" s="17">
        <f>IFERROR(VLOOKUP($H969&amp;"|"&amp;$Q969,Tariff_Master!$A$2:$L$169,3,FALSE),"")</f>
        <v/>
      </c>
      <c r="AD969" s="17">
        <f>IFERROR(VLOOKUP($H969&amp;"|"&amp;$Q969,Tariff_Master!$A$2:$L$169,4,FALSE),"")</f>
        <v/>
      </c>
      <c r="AE969" s="18">
        <f>IFERROR(VLOOKUP($H969&amp;"|"&amp;$Q969,Tariff_Master!$A$2:$L$169,6,FALSE),"")</f>
        <v/>
      </c>
      <c r="AF969" s="19">
        <f>IFERROR(VLOOKUP($H969&amp;"|"&amp;$Q969,Tariff_Master!$A$2:$L$169,7,FALSE),"")</f>
        <v/>
      </c>
      <c r="AG969" s="18">
        <f>IFERROR(VLOOKUP($H969&amp;"|"&amp;$Q969,Tariff_Master!$A$2:$L$169,8,FALSE),"")</f>
        <v/>
      </c>
      <c r="AH969" s="20">
        <f>IFERROR(VLOOKUP($H969&amp;"|"&amp;$Q969,Tariff_Master!$A$2:$L$169,9,FALSE),"")</f>
        <v/>
      </c>
      <c r="AI969" s="18">
        <f>IFERROR(VLOOKUP($H969&amp;"|"&amp;$Q969,Tariff_Master!$A$2:$L$169,10,FALSE),"")</f>
        <v/>
      </c>
      <c r="AJ969" s="21">
        <f>IF($M969="","",ROUNDUP(MAX(0,$M969),0))</f>
        <v/>
      </c>
      <c r="AK969" s="21">
        <f>IF(OR($AJ969="",$AF969=""),"",MAX(0,$AJ969-$AF969))</f>
        <v/>
      </c>
      <c r="AL969" s="22">
        <f>IF(OR($AK969="",$AG969=""),"",MAX(0,$AK969*$AG969))</f>
        <v/>
      </c>
      <c r="AM969" s="22">
        <f>IF($AE969="","",MAX(0,SUM($AE969,$AL969,$V969,$W969)))</f>
        <v/>
      </c>
      <c r="AN969" s="22">
        <f>IF($AM969="","",IF(AND($Q969="COMMITMENT",$R969&gt;=$AH969),$AI969,0))</f>
        <v/>
      </c>
      <c r="AO969" s="23">
        <f>IF($AM969="","",MAX(0,$AM969-$AN969))</f>
        <v/>
      </c>
      <c r="AP969" s="22">
        <f>IF($S969="","",IF(OR($S969="ITEM_PRICE_PLUS_DECLARED_DELIVERY",$S969="DELIVERY_CHARGE_ONLY"),$K969,IF($S969="TOTAL_AMOUNT_INCLUDING_DELIVERY",IF(OR($T969="",$J969=""),"",MAX(0,$T969-$J969-$U969)),IF($S969="ITEM_PRICE_ONLY_DELIVERY_PAID_BY_MERCHANT",0,""))))</f>
        <v/>
      </c>
      <c r="AQ969" s="23">
        <f>IF(OR($AP969="",$AO969=""),"",$AP969-$AO969)</f>
        <v/>
      </c>
      <c r="AR969" s="24">
        <f>IF($S969="EXACT_COLLECTION_AMOUNT","BREAKDOWN_REQUIRED",IF($AQ969="","",IF($AQ969&gt;0,"CREDIT_TO_MERCHANT",IF($AQ969&lt;0,"DEDUCT_FROM_MERCHANT","NO_ADJUSTMENT"))))</f>
        <v/>
      </c>
      <c r="AS969" s="23">
        <f>IF(OR($AQ969="",$AR969="BREAKDOWN_REQUIRED"),"",$AQ969)</f>
        <v/>
      </c>
      <c r="AT969" s="23">
        <f>IF(OR($AR969="",$AR969="BREAKDOWN_REQUIRED"),"",SUM($J969,$AQ969,$Y969)-$X969)</f>
        <v/>
      </c>
      <c r="AU969" s="25">
        <f>IF(AND($A969="",$B969="",$F969="",$H969="",$J969="",$K969="",$M969="",$S969=""),"",IF(OR($H969="",$Q969="",$M969="",$S969=""),"ERROR",IF(OR($J969&lt;0,$K969&lt;0,$M969&lt;0,$T969&lt;0,$U969&lt;0,$V969&lt;0,$W969&lt;0,$X969&lt;0,$Y969&lt;0),"ERROR",IF($AE969="","ERROR",IF(AND(OR($S969="ITEM_PRICE_PLUS_DECLARED_DELIVERY",$S969="TOTAL_AMOUNT_INCLUDING_DELIVERY",$S969="ITEM_PRICE_ONLY_DELIVERY_PAID_BY_MERCHANT"),$J969=""),"ERROR",IF(AND(OR($S969="ITEM_PRICE_PLUS_DECLARED_DELIVERY",$S969="DELIVERY_CHARGE_ONLY"),$K969=""),"ERROR",IF(AND(OR($S969="TOTAL_AMOUNT_INCLUDING_DELIVERY",$S969="EXACT_COLLECTION_AMOUNT"),$T969=""),"ERROR",IF(AND($S969="TOTAL_AMOUNT_INCLUDING_DELIVERY",$T969&lt;SUM($J969,$U969)),"ERROR",IF($S969="EXACT_COLLECTION_AMOUNT","REVIEW","OK")))))))))</f>
        <v/>
      </c>
      <c r="AV969" s="25">
        <f>IF($AU969="","",IF($H969="","Township required",IF($Q969="","Customer tier required",IF($M969="","Weight required",IF($S969="","Amount entry type required",IF(OR($J969&lt;0,$K969&lt;0,$M969&lt;0,$T969&lt;0,$U969&lt;0,$V969&lt;0,$W969&lt;0,$X969&lt;0,$Y969&lt;0),"Negative amounts are not allowed",IF($AE969="","Tariff not found for township and tier",IF(AND(OR($S969="ITEM_PRICE_PLUS_DECLARED_DELIVERY",$S969="TOTAL_AMOUNT_INCLUDING_DELIVERY",$S969="ITEM_PRICE_ONLY_DELIVERY_PAID_BY_MERCHANT"),$J969=""),"Item price required for this amount type",IF(AND(OR($S969="ITEM_PRICE_PLUS_DECLARED_DELIVERY",$S969="DELIVERY_CHARGE_ONLY"),$K969=""),"Declared delivery charge required",IF(AND(OR($S969="TOTAL_AMOUNT_INCLUDING_DELIVERY",$S969="EXACT_COLLECTION_AMOUNT"),$T969=""),"Stated total amount required",IF(AND($S969="TOTAL_AMOUNT_INCLUDING_DELIVERY",$T969&lt;SUM($J969,$U969)),"Stated total is below item price plus additional charge",IF($S969="EXACT_COLLECTION_AMOUNT","Authorized amount breakdown required before settlement","Ready for collection and settlement"))))))))))))</f>
        <v/>
      </c>
      <c r="AW969" s="23">
        <f>IF($AU969="","","PARCEL_FINANCIAL_V2")</f>
        <v/>
      </c>
      <c r="AX969" s="17" t="n"/>
    </row>
    <row r="970">
      <c r="A970" s="8" t="n"/>
      <c r="B970" s="8" t="n"/>
      <c r="C970" s="8" t="n"/>
      <c r="D970" s="8" t="n"/>
      <c r="E970" s="9" t="n"/>
      <c r="F970" s="9" t="n"/>
      <c r="G970" s="8" t="n"/>
      <c r="H970" s="9" t="n"/>
      <c r="I970" s="9" t="n"/>
      <c r="J970" s="10" t="n"/>
      <c r="K970" s="10" t="n"/>
      <c r="L970" s="11">
        <f>IF($S970="","",IF($S970="ITEM_PRICE_PLUS_DECLARED_DELIVERY",IF(OR($J970="",$K970=""),"",SUM($J970,$K970,$U970)),IF($S970="TOTAL_AMOUNT_INCLUDING_DELIVERY",IF($T970="","",$T970),IF($S970="DELIVERY_CHARGE_ONLY",IF($K970="","",SUM($K970,$U970)),IF($S970="EXACT_COLLECTION_AMOUNT",IF($T970="","",$T970),IF($S970="ITEM_PRICE_ONLY_DELIVERY_PAID_BY_MERCHANT",IF($J970="","",SUM($J970,$U970)),""))))))</f>
        <v/>
      </c>
      <c r="M970" s="12" t="n"/>
      <c r="N970" s="13" t="n"/>
      <c r="O970" s="13" t="n"/>
      <c r="P970" s="9" t="n"/>
      <c r="Q970" s="14" t="n"/>
      <c r="R970" s="15" t="n"/>
      <c r="S970" s="14" t="n"/>
      <c r="T970" s="16" t="n"/>
      <c r="U970" s="16" t="n"/>
      <c r="V970" s="16" t="n"/>
      <c r="W970" s="16" t="n"/>
      <c r="X970" s="16" t="n"/>
      <c r="Y970" s="16" t="n"/>
      <c r="Z970" s="14" t="n"/>
      <c r="AA970" s="14" t="n"/>
      <c r="AB970" s="14" t="n"/>
      <c r="AC970" s="17">
        <f>IFERROR(VLOOKUP($H970&amp;"|"&amp;$Q970,Tariff_Master!$A$2:$L$169,3,FALSE),"")</f>
        <v/>
      </c>
      <c r="AD970" s="17">
        <f>IFERROR(VLOOKUP($H970&amp;"|"&amp;$Q970,Tariff_Master!$A$2:$L$169,4,FALSE),"")</f>
        <v/>
      </c>
      <c r="AE970" s="18">
        <f>IFERROR(VLOOKUP($H970&amp;"|"&amp;$Q970,Tariff_Master!$A$2:$L$169,6,FALSE),"")</f>
        <v/>
      </c>
      <c r="AF970" s="19">
        <f>IFERROR(VLOOKUP($H970&amp;"|"&amp;$Q970,Tariff_Master!$A$2:$L$169,7,FALSE),"")</f>
        <v/>
      </c>
      <c r="AG970" s="18">
        <f>IFERROR(VLOOKUP($H970&amp;"|"&amp;$Q970,Tariff_Master!$A$2:$L$169,8,FALSE),"")</f>
        <v/>
      </c>
      <c r="AH970" s="20">
        <f>IFERROR(VLOOKUP($H970&amp;"|"&amp;$Q970,Tariff_Master!$A$2:$L$169,9,FALSE),"")</f>
        <v/>
      </c>
      <c r="AI970" s="18">
        <f>IFERROR(VLOOKUP($H970&amp;"|"&amp;$Q970,Tariff_Master!$A$2:$L$169,10,FALSE),"")</f>
        <v/>
      </c>
      <c r="AJ970" s="21">
        <f>IF($M970="","",ROUNDUP(MAX(0,$M970),0))</f>
        <v/>
      </c>
      <c r="AK970" s="21">
        <f>IF(OR($AJ970="",$AF970=""),"",MAX(0,$AJ970-$AF970))</f>
        <v/>
      </c>
      <c r="AL970" s="22">
        <f>IF(OR($AK970="",$AG970=""),"",MAX(0,$AK970*$AG970))</f>
        <v/>
      </c>
      <c r="AM970" s="22">
        <f>IF($AE970="","",MAX(0,SUM($AE970,$AL970,$V970,$W970)))</f>
        <v/>
      </c>
      <c r="AN970" s="22">
        <f>IF($AM970="","",IF(AND($Q970="COMMITMENT",$R970&gt;=$AH970),$AI970,0))</f>
        <v/>
      </c>
      <c r="AO970" s="23">
        <f>IF($AM970="","",MAX(0,$AM970-$AN970))</f>
        <v/>
      </c>
      <c r="AP970" s="22">
        <f>IF($S970="","",IF(OR($S970="ITEM_PRICE_PLUS_DECLARED_DELIVERY",$S970="DELIVERY_CHARGE_ONLY"),$K970,IF($S970="TOTAL_AMOUNT_INCLUDING_DELIVERY",IF(OR($T970="",$J970=""),"",MAX(0,$T970-$J970-$U970)),IF($S970="ITEM_PRICE_ONLY_DELIVERY_PAID_BY_MERCHANT",0,""))))</f>
        <v/>
      </c>
      <c r="AQ970" s="23">
        <f>IF(OR($AP970="",$AO970=""),"",$AP970-$AO970)</f>
        <v/>
      </c>
      <c r="AR970" s="24">
        <f>IF($S970="EXACT_COLLECTION_AMOUNT","BREAKDOWN_REQUIRED",IF($AQ970="","",IF($AQ970&gt;0,"CREDIT_TO_MERCHANT",IF($AQ970&lt;0,"DEDUCT_FROM_MERCHANT","NO_ADJUSTMENT"))))</f>
        <v/>
      </c>
      <c r="AS970" s="23">
        <f>IF(OR($AQ970="",$AR970="BREAKDOWN_REQUIRED"),"",$AQ970)</f>
        <v/>
      </c>
      <c r="AT970" s="23">
        <f>IF(OR($AR970="",$AR970="BREAKDOWN_REQUIRED"),"",SUM($J970,$AQ970,$Y970)-$X970)</f>
        <v/>
      </c>
      <c r="AU970" s="25">
        <f>IF(AND($A970="",$B970="",$F970="",$H970="",$J970="",$K970="",$M970="",$S970=""),"",IF(OR($H970="",$Q970="",$M970="",$S970=""),"ERROR",IF(OR($J970&lt;0,$K970&lt;0,$M970&lt;0,$T970&lt;0,$U970&lt;0,$V970&lt;0,$W970&lt;0,$X970&lt;0,$Y970&lt;0),"ERROR",IF($AE970="","ERROR",IF(AND(OR($S970="ITEM_PRICE_PLUS_DECLARED_DELIVERY",$S970="TOTAL_AMOUNT_INCLUDING_DELIVERY",$S970="ITEM_PRICE_ONLY_DELIVERY_PAID_BY_MERCHANT"),$J970=""),"ERROR",IF(AND(OR($S970="ITEM_PRICE_PLUS_DECLARED_DELIVERY",$S970="DELIVERY_CHARGE_ONLY"),$K970=""),"ERROR",IF(AND(OR($S970="TOTAL_AMOUNT_INCLUDING_DELIVERY",$S970="EXACT_COLLECTION_AMOUNT"),$T970=""),"ERROR",IF(AND($S970="TOTAL_AMOUNT_INCLUDING_DELIVERY",$T970&lt;SUM($J970,$U970)),"ERROR",IF($S970="EXACT_COLLECTION_AMOUNT","REVIEW","OK")))))))))</f>
        <v/>
      </c>
      <c r="AV970" s="25">
        <f>IF($AU970="","",IF($H970="","Township required",IF($Q970="","Customer tier required",IF($M970="","Weight required",IF($S970="","Amount entry type required",IF(OR($J970&lt;0,$K970&lt;0,$M970&lt;0,$T970&lt;0,$U970&lt;0,$V970&lt;0,$W970&lt;0,$X970&lt;0,$Y970&lt;0),"Negative amounts are not allowed",IF($AE970="","Tariff not found for township and tier",IF(AND(OR($S970="ITEM_PRICE_PLUS_DECLARED_DELIVERY",$S970="TOTAL_AMOUNT_INCLUDING_DELIVERY",$S970="ITEM_PRICE_ONLY_DELIVERY_PAID_BY_MERCHANT"),$J970=""),"Item price required for this amount type",IF(AND(OR($S970="ITEM_PRICE_PLUS_DECLARED_DELIVERY",$S970="DELIVERY_CHARGE_ONLY"),$K970=""),"Declared delivery charge required",IF(AND(OR($S970="TOTAL_AMOUNT_INCLUDING_DELIVERY",$S970="EXACT_COLLECTION_AMOUNT"),$T970=""),"Stated total amount required",IF(AND($S970="TOTAL_AMOUNT_INCLUDING_DELIVERY",$T970&lt;SUM($J970,$U970)),"Stated total is below item price plus additional charge",IF($S970="EXACT_COLLECTION_AMOUNT","Authorized amount breakdown required before settlement","Ready for collection and settlement"))))))))))))</f>
        <v/>
      </c>
      <c r="AW970" s="23">
        <f>IF($AU970="","","PARCEL_FINANCIAL_V2")</f>
        <v/>
      </c>
      <c r="AX970" s="17" t="n"/>
    </row>
    <row r="971">
      <c r="A971" s="8" t="n"/>
      <c r="B971" s="8" t="n"/>
      <c r="C971" s="8" t="n"/>
      <c r="D971" s="8" t="n"/>
      <c r="E971" s="9" t="n"/>
      <c r="F971" s="9" t="n"/>
      <c r="G971" s="8" t="n"/>
      <c r="H971" s="9" t="n"/>
      <c r="I971" s="9" t="n"/>
      <c r="J971" s="10" t="n"/>
      <c r="K971" s="10" t="n"/>
      <c r="L971" s="11">
        <f>IF($S971="","",IF($S971="ITEM_PRICE_PLUS_DECLARED_DELIVERY",IF(OR($J971="",$K971=""),"",SUM($J971,$K971,$U971)),IF($S971="TOTAL_AMOUNT_INCLUDING_DELIVERY",IF($T971="","",$T971),IF($S971="DELIVERY_CHARGE_ONLY",IF($K971="","",SUM($K971,$U971)),IF($S971="EXACT_COLLECTION_AMOUNT",IF($T971="","",$T971),IF($S971="ITEM_PRICE_ONLY_DELIVERY_PAID_BY_MERCHANT",IF($J971="","",SUM($J971,$U971)),""))))))</f>
        <v/>
      </c>
      <c r="M971" s="12" t="n"/>
      <c r="N971" s="13" t="n"/>
      <c r="O971" s="13" t="n"/>
      <c r="P971" s="9" t="n"/>
      <c r="Q971" s="14" t="n"/>
      <c r="R971" s="15" t="n"/>
      <c r="S971" s="14" t="n"/>
      <c r="T971" s="16" t="n"/>
      <c r="U971" s="16" t="n"/>
      <c r="V971" s="16" t="n"/>
      <c r="W971" s="16" t="n"/>
      <c r="X971" s="16" t="n"/>
      <c r="Y971" s="16" t="n"/>
      <c r="Z971" s="14" t="n"/>
      <c r="AA971" s="14" t="n"/>
      <c r="AB971" s="14" t="n"/>
      <c r="AC971" s="17">
        <f>IFERROR(VLOOKUP($H971&amp;"|"&amp;$Q971,Tariff_Master!$A$2:$L$169,3,FALSE),"")</f>
        <v/>
      </c>
      <c r="AD971" s="17">
        <f>IFERROR(VLOOKUP($H971&amp;"|"&amp;$Q971,Tariff_Master!$A$2:$L$169,4,FALSE),"")</f>
        <v/>
      </c>
      <c r="AE971" s="18">
        <f>IFERROR(VLOOKUP($H971&amp;"|"&amp;$Q971,Tariff_Master!$A$2:$L$169,6,FALSE),"")</f>
        <v/>
      </c>
      <c r="AF971" s="19">
        <f>IFERROR(VLOOKUP($H971&amp;"|"&amp;$Q971,Tariff_Master!$A$2:$L$169,7,FALSE),"")</f>
        <v/>
      </c>
      <c r="AG971" s="18">
        <f>IFERROR(VLOOKUP($H971&amp;"|"&amp;$Q971,Tariff_Master!$A$2:$L$169,8,FALSE),"")</f>
        <v/>
      </c>
      <c r="AH971" s="20">
        <f>IFERROR(VLOOKUP($H971&amp;"|"&amp;$Q971,Tariff_Master!$A$2:$L$169,9,FALSE),"")</f>
        <v/>
      </c>
      <c r="AI971" s="18">
        <f>IFERROR(VLOOKUP($H971&amp;"|"&amp;$Q971,Tariff_Master!$A$2:$L$169,10,FALSE),"")</f>
        <v/>
      </c>
      <c r="AJ971" s="21">
        <f>IF($M971="","",ROUNDUP(MAX(0,$M971),0))</f>
        <v/>
      </c>
      <c r="AK971" s="21">
        <f>IF(OR($AJ971="",$AF971=""),"",MAX(0,$AJ971-$AF971))</f>
        <v/>
      </c>
      <c r="AL971" s="22">
        <f>IF(OR($AK971="",$AG971=""),"",MAX(0,$AK971*$AG971))</f>
        <v/>
      </c>
      <c r="AM971" s="22">
        <f>IF($AE971="","",MAX(0,SUM($AE971,$AL971,$V971,$W971)))</f>
        <v/>
      </c>
      <c r="AN971" s="22">
        <f>IF($AM971="","",IF(AND($Q971="COMMITMENT",$R971&gt;=$AH971),$AI971,0))</f>
        <v/>
      </c>
      <c r="AO971" s="23">
        <f>IF($AM971="","",MAX(0,$AM971-$AN971))</f>
        <v/>
      </c>
      <c r="AP971" s="22">
        <f>IF($S971="","",IF(OR($S971="ITEM_PRICE_PLUS_DECLARED_DELIVERY",$S971="DELIVERY_CHARGE_ONLY"),$K971,IF($S971="TOTAL_AMOUNT_INCLUDING_DELIVERY",IF(OR($T971="",$J971=""),"",MAX(0,$T971-$J971-$U971)),IF($S971="ITEM_PRICE_ONLY_DELIVERY_PAID_BY_MERCHANT",0,""))))</f>
        <v/>
      </c>
      <c r="AQ971" s="23">
        <f>IF(OR($AP971="",$AO971=""),"",$AP971-$AO971)</f>
        <v/>
      </c>
      <c r="AR971" s="24">
        <f>IF($S971="EXACT_COLLECTION_AMOUNT","BREAKDOWN_REQUIRED",IF($AQ971="","",IF($AQ971&gt;0,"CREDIT_TO_MERCHANT",IF($AQ971&lt;0,"DEDUCT_FROM_MERCHANT","NO_ADJUSTMENT"))))</f>
        <v/>
      </c>
      <c r="AS971" s="23">
        <f>IF(OR($AQ971="",$AR971="BREAKDOWN_REQUIRED"),"",$AQ971)</f>
        <v/>
      </c>
      <c r="AT971" s="23">
        <f>IF(OR($AR971="",$AR971="BREAKDOWN_REQUIRED"),"",SUM($J971,$AQ971,$Y971)-$X971)</f>
        <v/>
      </c>
      <c r="AU971" s="25">
        <f>IF(AND($A971="",$B971="",$F971="",$H971="",$J971="",$K971="",$M971="",$S971=""),"",IF(OR($H971="",$Q971="",$M971="",$S971=""),"ERROR",IF(OR($J971&lt;0,$K971&lt;0,$M971&lt;0,$T971&lt;0,$U971&lt;0,$V971&lt;0,$W971&lt;0,$X971&lt;0,$Y971&lt;0),"ERROR",IF($AE971="","ERROR",IF(AND(OR($S971="ITEM_PRICE_PLUS_DECLARED_DELIVERY",$S971="TOTAL_AMOUNT_INCLUDING_DELIVERY",$S971="ITEM_PRICE_ONLY_DELIVERY_PAID_BY_MERCHANT"),$J971=""),"ERROR",IF(AND(OR($S971="ITEM_PRICE_PLUS_DECLARED_DELIVERY",$S971="DELIVERY_CHARGE_ONLY"),$K971=""),"ERROR",IF(AND(OR($S971="TOTAL_AMOUNT_INCLUDING_DELIVERY",$S971="EXACT_COLLECTION_AMOUNT"),$T971=""),"ERROR",IF(AND($S971="TOTAL_AMOUNT_INCLUDING_DELIVERY",$T971&lt;SUM($J971,$U971)),"ERROR",IF($S971="EXACT_COLLECTION_AMOUNT","REVIEW","OK")))))))))</f>
        <v/>
      </c>
      <c r="AV971" s="25">
        <f>IF($AU971="","",IF($H971="","Township required",IF($Q971="","Customer tier required",IF($M971="","Weight required",IF($S971="","Amount entry type required",IF(OR($J971&lt;0,$K971&lt;0,$M971&lt;0,$T971&lt;0,$U971&lt;0,$V971&lt;0,$W971&lt;0,$X971&lt;0,$Y971&lt;0),"Negative amounts are not allowed",IF($AE971="","Tariff not found for township and tier",IF(AND(OR($S971="ITEM_PRICE_PLUS_DECLARED_DELIVERY",$S971="TOTAL_AMOUNT_INCLUDING_DELIVERY",$S971="ITEM_PRICE_ONLY_DELIVERY_PAID_BY_MERCHANT"),$J971=""),"Item price required for this amount type",IF(AND(OR($S971="ITEM_PRICE_PLUS_DECLARED_DELIVERY",$S971="DELIVERY_CHARGE_ONLY"),$K971=""),"Declared delivery charge required",IF(AND(OR($S971="TOTAL_AMOUNT_INCLUDING_DELIVERY",$S971="EXACT_COLLECTION_AMOUNT"),$T971=""),"Stated total amount required",IF(AND($S971="TOTAL_AMOUNT_INCLUDING_DELIVERY",$T971&lt;SUM($J971,$U971)),"Stated total is below item price plus additional charge",IF($S971="EXACT_COLLECTION_AMOUNT","Authorized amount breakdown required before settlement","Ready for collection and settlement"))))))))))))</f>
        <v/>
      </c>
      <c r="AW971" s="23">
        <f>IF($AU971="","","PARCEL_FINANCIAL_V2")</f>
        <v/>
      </c>
      <c r="AX971" s="17" t="n"/>
    </row>
    <row r="972">
      <c r="A972" s="8" t="n"/>
      <c r="B972" s="8" t="n"/>
      <c r="C972" s="8" t="n"/>
      <c r="D972" s="8" t="n"/>
      <c r="E972" s="9" t="n"/>
      <c r="F972" s="9" t="n"/>
      <c r="G972" s="8" t="n"/>
      <c r="H972" s="9" t="n"/>
      <c r="I972" s="9" t="n"/>
      <c r="J972" s="10" t="n"/>
      <c r="K972" s="10" t="n"/>
      <c r="L972" s="11">
        <f>IF($S972="","",IF($S972="ITEM_PRICE_PLUS_DECLARED_DELIVERY",IF(OR($J972="",$K972=""),"",SUM($J972,$K972,$U972)),IF($S972="TOTAL_AMOUNT_INCLUDING_DELIVERY",IF($T972="","",$T972),IF($S972="DELIVERY_CHARGE_ONLY",IF($K972="","",SUM($K972,$U972)),IF($S972="EXACT_COLLECTION_AMOUNT",IF($T972="","",$T972),IF($S972="ITEM_PRICE_ONLY_DELIVERY_PAID_BY_MERCHANT",IF($J972="","",SUM($J972,$U972)),""))))))</f>
        <v/>
      </c>
      <c r="M972" s="12" t="n"/>
      <c r="N972" s="13" t="n"/>
      <c r="O972" s="13" t="n"/>
      <c r="P972" s="9" t="n"/>
      <c r="Q972" s="14" t="n"/>
      <c r="R972" s="15" t="n"/>
      <c r="S972" s="14" t="n"/>
      <c r="T972" s="16" t="n"/>
      <c r="U972" s="16" t="n"/>
      <c r="V972" s="16" t="n"/>
      <c r="W972" s="16" t="n"/>
      <c r="X972" s="16" t="n"/>
      <c r="Y972" s="16" t="n"/>
      <c r="Z972" s="14" t="n"/>
      <c r="AA972" s="14" t="n"/>
      <c r="AB972" s="14" t="n"/>
      <c r="AC972" s="17">
        <f>IFERROR(VLOOKUP($H972&amp;"|"&amp;$Q972,Tariff_Master!$A$2:$L$169,3,FALSE),"")</f>
        <v/>
      </c>
      <c r="AD972" s="17">
        <f>IFERROR(VLOOKUP($H972&amp;"|"&amp;$Q972,Tariff_Master!$A$2:$L$169,4,FALSE),"")</f>
        <v/>
      </c>
      <c r="AE972" s="18">
        <f>IFERROR(VLOOKUP($H972&amp;"|"&amp;$Q972,Tariff_Master!$A$2:$L$169,6,FALSE),"")</f>
        <v/>
      </c>
      <c r="AF972" s="19">
        <f>IFERROR(VLOOKUP($H972&amp;"|"&amp;$Q972,Tariff_Master!$A$2:$L$169,7,FALSE),"")</f>
        <v/>
      </c>
      <c r="AG972" s="18">
        <f>IFERROR(VLOOKUP($H972&amp;"|"&amp;$Q972,Tariff_Master!$A$2:$L$169,8,FALSE),"")</f>
        <v/>
      </c>
      <c r="AH972" s="20">
        <f>IFERROR(VLOOKUP($H972&amp;"|"&amp;$Q972,Tariff_Master!$A$2:$L$169,9,FALSE),"")</f>
        <v/>
      </c>
      <c r="AI972" s="18">
        <f>IFERROR(VLOOKUP($H972&amp;"|"&amp;$Q972,Tariff_Master!$A$2:$L$169,10,FALSE),"")</f>
        <v/>
      </c>
      <c r="AJ972" s="21">
        <f>IF($M972="","",ROUNDUP(MAX(0,$M972),0))</f>
        <v/>
      </c>
      <c r="AK972" s="21">
        <f>IF(OR($AJ972="",$AF972=""),"",MAX(0,$AJ972-$AF972))</f>
        <v/>
      </c>
      <c r="AL972" s="22">
        <f>IF(OR($AK972="",$AG972=""),"",MAX(0,$AK972*$AG972))</f>
        <v/>
      </c>
      <c r="AM972" s="22">
        <f>IF($AE972="","",MAX(0,SUM($AE972,$AL972,$V972,$W972)))</f>
        <v/>
      </c>
      <c r="AN972" s="22">
        <f>IF($AM972="","",IF(AND($Q972="COMMITMENT",$R972&gt;=$AH972),$AI972,0))</f>
        <v/>
      </c>
      <c r="AO972" s="23">
        <f>IF($AM972="","",MAX(0,$AM972-$AN972))</f>
        <v/>
      </c>
      <c r="AP972" s="22">
        <f>IF($S972="","",IF(OR($S972="ITEM_PRICE_PLUS_DECLARED_DELIVERY",$S972="DELIVERY_CHARGE_ONLY"),$K972,IF($S972="TOTAL_AMOUNT_INCLUDING_DELIVERY",IF(OR($T972="",$J972=""),"",MAX(0,$T972-$J972-$U972)),IF($S972="ITEM_PRICE_ONLY_DELIVERY_PAID_BY_MERCHANT",0,""))))</f>
        <v/>
      </c>
      <c r="AQ972" s="23">
        <f>IF(OR($AP972="",$AO972=""),"",$AP972-$AO972)</f>
        <v/>
      </c>
      <c r="AR972" s="24">
        <f>IF($S972="EXACT_COLLECTION_AMOUNT","BREAKDOWN_REQUIRED",IF($AQ972="","",IF($AQ972&gt;0,"CREDIT_TO_MERCHANT",IF($AQ972&lt;0,"DEDUCT_FROM_MERCHANT","NO_ADJUSTMENT"))))</f>
        <v/>
      </c>
      <c r="AS972" s="23">
        <f>IF(OR($AQ972="",$AR972="BREAKDOWN_REQUIRED"),"",$AQ972)</f>
        <v/>
      </c>
      <c r="AT972" s="23">
        <f>IF(OR($AR972="",$AR972="BREAKDOWN_REQUIRED"),"",SUM($J972,$AQ972,$Y972)-$X972)</f>
        <v/>
      </c>
      <c r="AU972" s="25">
        <f>IF(AND($A972="",$B972="",$F972="",$H972="",$J972="",$K972="",$M972="",$S972=""),"",IF(OR($H972="",$Q972="",$M972="",$S972=""),"ERROR",IF(OR($J972&lt;0,$K972&lt;0,$M972&lt;0,$T972&lt;0,$U972&lt;0,$V972&lt;0,$W972&lt;0,$X972&lt;0,$Y972&lt;0),"ERROR",IF($AE972="","ERROR",IF(AND(OR($S972="ITEM_PRICE_PLUS_DECLARED_DELIVERY",$S972="TOTAL_AMOUNT_INCLUDING_DELIVERY",$S972="ITEM_PRICE_ONLY_DELIVERY_PAID_BY_MERCHANT"),$J972=""),"ERROR",IF(AND(OR($S972="ITEM_PRICE_PLUS_DECLARED_DELIVERY",$S972="DELIVERY_CHARGE_ONLY"),$K972=""),"ERROR",IF(AND(OR($S972="TOTAL_AMOUNT_INCLUDING_DELIVERY",$S972="EXACT_COLLECTION_AMOUNT"),$T972=""),"ERROR",IF(AND($S972="TOTAL_AMOUNT_INCLUDING_DELIVERY",$T972&lt;SUM($J972,$U972)),"ERROR",IF($S972="EXACT_COLLECTION_AMOUNT","REVIEW","OK")))))))))</f>
        <v/>
      </c>
      <c r="AV972" s="25">
        <f>IF($AU972="","",IF($H972="","Township required",IF($Q972="","Customer tier required",IF($M972="","Weight required",IF($S972="","Amount entry type required",IF(OR($J972&lt;0,$K972&lt;0,$M972&lt;0,$T972&lt;0,$U972&lt;0,$V972&lt;0,$W972&lt;0,$X972&lt;0,$Y972&lt;0),"Negative amounts are not allowed",IF($AE972="","Tariff not found for township and tier",IF(AND(OR($S972="ITEM_PRICE_PLUS_DECLARED_DELIVERY",$S972="TOTAL_AMOUNT_INCLUDING_DELIVERY",$S972="ITEM_PRICE_ONLY_DELIVERY_PAID_BY_MERCHANT"),$J972=""),"Item price required for this amount type",IF(AND(OR($S972="ITEM_PRICE_PLUS_DECLARED_DELIVERY",$S972="DELIVERY_CHARGE_ONLY"),$K972=""),"Declared delivery charge required",IF(AND(OR($S972="TOTAL_AMOUNT_INCLUDING_DELIVERY",$S972="EXACT_COLLECTION_AMOUNT"),$T972=""),"Stated total amount required",IF(AND($S972="TOTAL_AMOUNT_INCLUDING_DELIVERY",$T972&lt;SUM($J972,$U972)),"Stated total is below item price plus additional charge",IF($S972="EXACT_COLLECTION_AMOUNT","Authorized amount breakdown required before settlement","Ready for collection and settlement"))))))))))))</f>
        <v/>
      </c>
      <c r="AW972" s="23">
        <f>IF($AU972="","","PARCEL_FINANCIAL_V2")</f>
        <v/>
      </c>
      <c r="AX972" s="17" t="n"/>
    </row>
    <row r="973">
      <c r="A973" s="8" t="n"/>
      <c r="B973" s="8" t="n"/>
      <c r="C973" s="8" t="n"/>
      <c r="D973" s="8" t="n"/>
      <c r="E973" s="9" t="n"/>
      <c r="F973" s="9" t="n"/>
      <c r="G973" s="8" t="n"/>
      <c r="H973" s="9" t="n"/>
      <c r="I973" s="9" t="n"/>
      <c r="J973" s="10" t="n"/>
      <c r="K973" s="10" t="n"/>
      <c r="L973" s="11">
        <f>IF($S973="","",IF($S973="ITEM_PRICE_PLUS_DECLARED_DELIVERY",IF(OR($J973="",$K973=""),"",SUM($J973,$K973,$U973)),IF($S973="TOTAL_AMOUNT_INCLUDING_DELIVERY",IF($T973="","",$T973),IF($S973="DELIVERY_CHARGE_ONLY",IF($K973="","",SUM($K973,$U973)),IF($S973="EXACT_COLLECTION_AMOUNT",IF($T973="","",$T973),IF($S973="ITEM_PRICE_ONLY_DELIVERY_PAID_BY_MERCHANT",IF($J973="","",SUM($J973,$U973)),""))))))</f>
        <v/>
      </c>
      <c r="M973" s="12" t="n"/>
      <c r="N973" s="13" t="n"/>
      <c r="O973" s="13" t="n"/>
      <c r="P973" s="9" t="n"/>
      <c r="Q973" s="14" t="n"/>
      <c r="R973" s="15" t="n"/>
      <c r="S973" s="14" t="n"/>
      <c r="T973" s="16" t="n"/>
      <c r="U973" s="16" t="n"/>
      <c r="V973" s="16" t="n"/>
      <c r="W973" s="16" t="n"/>
      <c r="X973" s="16" t="n"/>
      <c r="Y973" s="16" t="n"/>
      <c r="Z973" s="14" t="n"/>
      <c r="AA973" s="14" t="n"/>
      <c r="AB973" s="14" t="n"/>
      <c r="AC973" s="17">
        <f>IFERROR(VLOOKUP($H973&amp;"|"&amp;$Q973,Tariff_Master!$A$2:$L$169,3,FALSE),"")</f>
        <v/>
      </c>
      <c r="AD973" s="17">
        <f>IFERROR(VLOOKUP($H973&amp;"|"&amp;$Q973,Tariff_Master!$A$2:$L$169,4,FALSE),"")</f>
        <v/>
      </c>
      <c r="AE973" s="18">
        <f>IFERROR(VLOOKUP($H973&amp;"|"&amp;$Q973,Tariff_Master!$A$2:$L$169,6,FALSE),"")</f>
        <v/>
      </c>
      <c r="AF973" s="19">
        <f>IFERROR(VLOOKUP($H973&amp;"|"&amp;$Q973,Tariff_Master!$A$2:$L$169,7,FALSE),"")</f>
        <v/>
      </c>
      <c r="AG973" s="18">
        <f>IFERROR(VLOOKUP($H973&amp;"|"&amp;$Q973,Tariff_Master!$A$2:$L$169,8,FALSE),"")</f>
        <v/>
      </c>
      <c r="AH973" s="20">
        <f>IFERROR(VLOOKUP($H973&amp;"|"&amp;$Q973,Tariff_Master!$A$2:$L$169,9,FALSE),"")</f>
        <v/>
      </c>
      <c r="AI973" s="18">
        <f>IFERROR(VLOOKUP($H973&amp;"|"&amp;$Q973,Tariff_Master!$A$2:$L$169,10,FALSE),"")</f>
        <v/>
      </c>
      <c r="AJ973" s="21">
        <f>IF($M973="","",ROUNDUP(MAX(0,$M973),0))</f>
        <v/>
      </c>
      <c r="AK973" s="21">
        <f>IF(OR($AJ973="",$AF973=""),"",MAX(0,$AJ973-$AF973))</f>
        <v/>
      </c>
      <c r="AL973" s="22">
        <f>IF(OR($AK973="",$AG973=""),"",MAX(0,$AK973*$AG973))</f>
        <v/>
      </c>
      <c r="AM973" s="22">
        <f>IF($AE973="","",MAX(0,SUM($AE973,$AL973,$V973,$W973)))</f>
        <v/>
      </c>
      <c r="AN973" s="22">
        <f>IF($AM973="","",IF(AND($Q973="COMMITMENT",$R973&gt;=$AH973),$AI973,0))</f>
        <v/>
      </c>
      <c r="AO973" s="23">
        <f>IF($AM973="","",MAX(0,$AM973-$AN973))</f>
        <v/>
      </c>
      <c r="AP973" s="22">
        <f>IF($S973="","",IF(OR($S973="ITEM_PRICE_PLUS_DECLARED_DELIVERY",$S973="DELIVERY_CHARGE_ONLY"),$K973,IF($S973="TOTAL_AMOUNT_INCLUDING_DELIVERY",IF(OR($T973="",$J973=""),"",MAX(0,$T973-$J973-$U973)),IF($S973="ITEM_PRICE_ONLY_DELIVERY_PAID_BY_MERCHANT",0,""))))</f>
        <v/>
      </c>
      <c r="AQ973" s="23">
        <f>IF(OR($AP973="",$AO973=""),"",$AP973-$AO973)</f>
        <v/>
      </c>
      <c r="AR973" s="24">
        <f>IF($S973="EXACT_COLLECTION_AMOUNT","BREAKDOWN_REQUIRED",IF($AQ973="","",IF($AQ973&gt;0,"CREDIT_TO_MERCHANT",IF($AQ973&lt;0,"DEDUCT_FROM_MERCHANT","NO_ADJUSTMENT"))))</f>
        <v/>
      </c>
      <c r="AS973" s="23">
        <f>IF(OR($AQ973="",$AR973="BREAKDOWN_REQUIRED"),"",$AQ973)</f>
        <v/>
      </c>
      <c r="AT973" s="23">
        <f>IF(OR($AR973="",$AR973="BREAKDOWN_REQUIRED"),"",SUM($J973,$AQ973,$Y973)-$X973)</f>
        <v/>
      </c>
      <c r="AU973" s="25">
        <f>IF(AND($A973="",$B973="",$F973="",$H973="",$J973="",$K973="",$M973="",$S973=""),"",IF(OR($H973="",$Q973="",$M973="",$S973=""),"ERROR",IF(OR($J973&lt;0,$K973&lt;0,$M973&lt;0,$T973&lt;0,$U973&lt;0,$V973&lt;0,$W973&lt;0,$X973&lt;0,$Y973&lt;0),"ERROR",IF($AE973="","ERROR",IF(AND(OR($S973="ITEM_PRICE_PLUS_DECLARED_DELIVERY",$S973="TOTAL_AMOUNT_INCLUDING_DELIVERY",$S973="ITEM_PRICE_ONLY_DELIVERY_PAID_BY_MERCHANT"),$J973=""),"ERROR",IF(AND(OR($S973="ITEM_PRICE_PLUS_DECLARED_DELIVERY",$S973="DELIVERY_CHARGE_ONLY"),$K973=""),"ERROR",IF(AND(OR($S973="TOTAL_AMOUNT_INCLUDING_DELIVERY",$S973="EXACT_COLLECTION_AMOUNT"),$T973=""),"ERROR",IF(AND($S973="TOTAL_AMOUNT_INCLUDING_DELIVERY",$T973&lt;SUM($J973,$U973)),"ERROR",IF($S973="EXACT_COLLECTION_AMOUNT","REVIEW","OK")))))))))</f>
        <v/>
      </c>
      <c r="AV973" s="25">
        <f>IF($AU973="","",IF($H973="","Township required",IF($Q973="","Customer tier required",IF($M973="","Weight required",IF($S973="","Amount entry type required",IF(OR($J973&lt;0,$K973&lt;0,$M973&lt;0,$T973&lt;0,$U973&lt;0,$V973&lt;0,$W973&lt;0,$X973&lt;0,$Y973&lt;0),"Negative amounts are not allowed",IF($AE973="","Tariff not found for township and tier",IF(AND(OR($S973="ITEM_PRICE_PLUS_DECLARED_DELIVERY",$S973="TOTAL_AMOUNT_INCLUDING_DELIVERY",$S973="ITEM_PRICE_ONLY_DELIVERY_PAID_BY_MERCHANT"),$J973=""),"Item price required for this amount type",IF(AND(OR($S973="ITEM_PRICE_PLUS_DECLARED_DELIVERY",$S973="DELIVERY_CHARGE_ONLY"),$K973=""),"Declared delivery charge required",IF(AND(OR($S973="TOTAL_AMOUNT_INCLUDING_DELIVERY",$S973="EXACT_COLLECTION_AMOUNT"),$T973=""),"Stated total amount required",IF(AND($S973="TOTAL_AMOUNT_INCLUDING_DELIVERY",$T973&lt;SUM($J973,$U973)),"Stated total is below item price plus additional charge",IF($S973="EXACT_COLLECTION_AMOUNT","Authorized amount breakdown required before settlement","Ready for collection and settlement"))))))))))))</f>
        <v/>
      </c>
      <c r="AW973" s="23">
        <f>IF($AU973="","","PARCEL_FINANCIAL_V2")</f>
        <v/>
      </c>
      <c r="AX973" s="17" t="n"/>
    </row>
    <row r="974">
      <c r="A974" s="8" t="n"/>
      <c r="B974" s="8" t="n"/>
      <c r="C974" s="8" t="n"/>
      <c r="D974" s="8" t="n"/>
      <c r="E974" s="9" t="n"/>
      <c r="F974" s="9" t="n"/>
      <c r="G974" s="8" t="n"/>
      <c r="H974" s="9" t="n"/>
      <c r="I974" s="9" t="n"/>
      <c r="J974" s="10" t="n"/>
      <c r="K974" s="10" t="n"/>
      <c r="L974" s="11">
        <f>IF($S974="","",IF($S974="ITEM_PRICE_PLUS_DECLARED_DELIVERY",IF(OR($J974="",$K974=""),"",SUM($J974,$K974,$U974)),IF($S974="TOTAL_AMOUNT_INCLUDING_DELIVERY",IF($T974="","",$T974),IF($S974="DELIVERY_CHARGE_ONLY",IF($K974="","",SUM($K974,$U974)),IF($S974="EXACT_COLLECTION_AMOUNT",IF($T974="","",$T974),IF($S974="ITEM_PRICE_ONLY_DELIVERY_PAID_BY_MERCHANT",IF($J974="","",SUM($J974,$U974)),""))))))</f>
        <v/>
      </c>
      <c r="M974" s="12" t="n"/>
      <c r="N974" s="13" t="n"/>
      <c r="O974" s="13" t="n"/>
      <c r="P974" s="9" t="n"/>
      <c r="Q974" s="14" t="n"/>
      <c r="R974" s="15" t="n"/>
      <c r="S974" s="14" t="n"/>
      <c r="T974" s="16" t="n"/>
      <c r="U974" s="16" t="n"/>
      <c r="V974" s="16" t="n"/>
      <c r="W974" s="16" t="n"/>
      <c r="X974" s="16" t="n"/>
      <c r="Y974" s="16" t="n"/>
      <c r="Z974" s="14" t="n"/>
      <c r="AA974" s="14" t="n"/>
      <c r="AB974" s="14" t="n"/>
      <c r="AC974" s="17">
        <f>IFERROR(VLOOKUP($H974&amp;"|"&amp;$Q974,Tariff_Master!$A$2:$L$169,3,FALSE),"")</f>
        <v/>
      </c>
      <c r="AD974" s="17">
        <f>IFERROR(VLOOKUP($H974&amp;"|"&amp;$Q974,Tariff_Master!$A$2:$L$169,4,FALSE),"")</f>
        <v/>
      </c>
      <c r="AE974" s="18">
        <f>IFERROR(VLOOKUP($H974&amp;"|"&amp;$Q974,Tariff_Master!$A$2:$L$169,6,FALSE),"")</f>
        <v/>
      </c>
      <c r="AF974" s="19">
        <f>IFERROR(VLOOKUP($H974&amp;"|"&amp;$Q974,Tariff_Master!$A$2:$L$169,7,FALSE),"")</f>
        <v/>
      </c>
      <c r="AG974" s="18">
        <f>IFERROR(VLOOKUP($H974&amp;"|"&amp;$Q974,Tariff_Master!$A$2:$L$169,8,FALSE),"")</f>
        <v/>
      </c>
      <c r="AH974" s="20">
        <f>IFERROR(VLOOKUP($H974&amp;"|"&amp;$Q974,Tariff_Master!$A$2:$L$169,9,FALSE),"")</f>
        <v/>
      </c>
      <c r="AI974" s="18">
        <f>IFERROR(VLOOKUP($H974&amp;"|"&amp;$Q974,Tariff_Master!$A$2:$L$169,10,FALSE),"")</f>
        <v/>
      </c>
      <c r="AJ974" s="21">
        <f>IF($M974="","",ROUNDUP(MAX(0,$M974),0))</f>
        <v/>
      </c>
      <c r="AK974" s="21">
        <f>IF(OR($AJ974="",$AF974=""),"",MAX(0,$AJ974-$AF974))</f>
        <v/>
      </c>
      <c r="AL974" s="22">
        <f>IF(OR($AK974="",$AG974=""),"",MAX(0,$AK974*$AG974))</f>
        <v/>
      </c>
      <c r="AM974" s="22">
        <f>IF($AE974="","",MAX(0,SUM($AE974,$AL974,$V974,$W974)))</f>
        <v/>
      </c>
      <c r="AN974" s="22">
        <f>IF($AM974="","",IF(AND($Q974="COMMITMENT",$R974&gt;=$AH974),$AI974,0))</f>
        <v/>
      </c>
      <c r="AO974" s="23">
        <f>IF($AM974="","",MAX(0,$AM974-$AN974))</f>
        <v/>
      </c>
      <c r="AP974" s="22">
        <f>IF($S974="","",IF(OR($S974="ITEM_PRICE_PLUS_DECLARED_DELIVERY",$S974="DELIVERY_CHARGE_ONLY"),$K974,IF($S974="TOTAL_AMOUNT_INCLUDING_DELIVERY",IF(OR($T974="",$J974=""),"",MAX(0,$T974-$J974-$U974)),IF($S974="ITEM_PRICE_ONLY_DELIVERY_PAID_BY_MERCHANT",0,""))))</f>
        <v/>
      </c>
      <c r="AQ974" s="23">
        <f>IF(OR($AP974="",$AO974=""),"",$AP974-$AO974)</f>
        <v/>
      </c>
      <c r="AR974" s="24">
        <f>IF($S974="EXACT_COLLECTION_AMOUNT","BREAKDOWN_REQUIRED",IF($AQ974="","",IF($AQ974&gt;0,"CREDIT_TO_MERCHANT",IF($AQ974&lt;0,"DEDUCT_FROM_MERCHANT","NO_ADJUSTMENT"))))</f>
        <v/>
      </c>
      <c r="AS974" s="23">
        <f>IF(OR($AQ974="",$AR974="BREAKDOWN_REQUIRED"),"",$AQ974)</f>
        <v/>
      </c>
      <c r="AT974" s="23">
        <f>IF(OR($AR974="",$AR974="BREAKDOWN_REQUIRED"),"",SUM($J974,$AQ974,$Y974)-$X974)</f>
        <v/>
      </c>
      <c r="AU974" s="25">
        <f>IF(AND($A974="",$B974="",$F974="",$H974="",$J974="",$K974="",$M974="",$S974=""),"",IF(OR($H974="",$Q974="",$M974="",$S974=""),"ERROR",IF(OR($J974&lt;0,$K974&lt;0,$M974&lt;0,$T974&lt;0,$U974&lt;0,$V974&lt;0,$W974&lt;0,$X974&lt;0,$Y974&lt;0),"ERROR",IF($AE974="","ERROR",IF(AND(OR($S974="ITEM_PRICE_PLUS_DECLARED_DELIVERY",$S974="TOTAL_AMOUNT_INCLUDING_DELIVERY",$S974="ITEM_PRICE_ONLY_DELIVERY_PAID_BY_MERCHANT"),$J974=""),"ERROR",IF(AND(OR($S974="ITEM_PRICE_PLUS_DECLARED_DELIVERY",$S974="DELIVERY_CHARGE_ONLY"),$K974=""),"ERROR",IF(AND(OR($S974="TOTAL_AMOUNT_INCLUDING_DELIVERY",$S974="EXACT_COLLECTION_AMOUNT"),$T974=""),"ERROR",IF(AND($S974="TOTAL_AMOUNT_INCLUDING_DELIVERY",$T974&lt;SUM($J974,$U974)),"ERROR",IF($S974="EXACT_COLLECTION_AMOUNT","REVIEW","OK")))))))))</f>
        <v/>
      </c>
      <c r="AV974" s="25">
        <f>IF($AU974="","",IF($H974="","Township required",IF($Q974="","Customer tier required",IF($M974="","Weight required",IF($S974="","Amount entry type required",IF(OR($J974&lt;0,$K974&lt;0,$M974&lt;0,$T974&lt;0,$U974&lt;0,$V974&lt;0,$W974&lt;0,$X974&lt;0,$Y974&lt;0),"Negative amounts are not allowed",IF($AE974="","Tariff not found for township and tier",IF(AND(OR($S974="ITEM_PRICE_PLUS_DECLARED_DELIVERY",$S974="TOTAL_AMOUNT_INCLUDING_DELIVERY",$S974="ITEM_PRICE_ONLY_DELIVERY_PAID_BY_MERCHANT"),$J974=""),"Item price required for this amount type",IF(AND(OR($S974="ITEM_PRICE_PLUS_DECLARED_DELIVERY",$S974="DELIVERY_CHARGE_ONLY"),$K974=""),"Declared delivery charge required",IF(AND(OR($S974="TOTAL_AMOUNT_INCLUDING_DELIVERY",$S974="EXACT_COLLECTION_AMOUNT"),$T974=""),"Stated total amount required",IF(AND($S974="TOTAL_AMOUNT_INCLUDING_DELIVERY",$T974&lt;SUM($J974,$U974)),"Stated total is below item price plus additional charge",IF($S974="EXACT_COLLECTION_AMOUNT","Authorized amount breakdown required before settlement","Ready for collection and settlement"))))))))))))</f>
        <v/>
      </c>
      <c r="AW974" s="23">
        <f>IF($AU974="","","PARCEL_FINANCIAL_V2")</f>
        <v/>
      </c>
      <c r="AX974" s="17" t="n"/>
    </row>
    <row r="975">
      <c r="A975" s="8" t="n"/>
      <c r="B975" s="8" t="n"/>
      <c r="C975" s="8" t="n"/>
      <c r="D975" s="8" t="n"/>
      <c r="E975" s="9" t="n"/>
      <c r="F975" s="9" t="n"/>
      <c r="G975" s="8" t="n"/>
      <c r="H975" s="9" t="n"/>
      <c r="I975" s="9" t="n"/>
      <c r="J975" s="10" t="n"/>
      <c r="K975" s="10" t="n"/>
      <c r="L975" s="11">
        <f>IF($S975="","",IF($S975="ITEM_PRICE_PLUS_DECLARED_DELIVERY",IF(OR($J975="",$K975=""),"",SUM($J975,$K975,$U975)),IF($S975="TOTAL_AMOUNT_INCLUDING_DELIVERY",IF($T975="","",$T975),IF($S975="DELIVERY_CHARGE_ONLY",IF($K975="","",SUM($K975,$U975)),IF($S975="EXACT_COLLECTION_AMOUNT",IF($T975="","",$T975),IF($S975="ITEM_PRICE_ONLY_DELIVERY_PAID_BY_MERCHANT",IF($J975="","",SUM($J975,$U975)),""))))))</f>
        <v/>
      </c>
      <c r="M975" s="12" t="n"/>
      <c r="N975" s="13" t="n"/>
      <c r="O975" s="13" t="n"/>
      <c r="P975" s="9" t="n"/>
      <c r="Q975" s="14" t="n"/>
      <c r="R975" s="15" t="n"/>
      <c r="S975" s="14" t="n"/>
      <c r="T975" s="16" t="n"/>
      <c r="U975" s="16" t="n"/>
      <c r="V975" s="16" t="n"/>
      <c r="W975" s="16" t="n"/>
      <c r="X975" s="16" t="n"/>
      <c r="Y975" s="16" t="n"/>
      <c r="Z975" s="14" t="n"/>
      <c r="AA975" s="14" t="n"/>
      <c r="AB975" s="14" t="n"/>
      <c r="AC975" s="17">
        <f>IFERROR(VLOOKUP($H975&amp;"|"&amp;$Q975,Tariff_Master!$A$2:$L$169,3,FALSE),"")</f>
        <v/>
      </c>
      <c r="AD975" s="17">
        <f>IFERROR(VLOOKUP($H975&amp;"|"&amp;$Q975,Tariff_Master!$A$2:$L$169,4,FALSE),"")</f>
        <v/>
      </c>
      <c r="AE975" s="18">
        <f>IFERROR(VLOOKUP($H975&amp;"|"&amp;$Q975,Tariff_Master!$A$2:$L$169,6,FALSE),"")</f>
        <v/>
      </c>
      <c r="AF975" s="19">
        <f>IFERROR(VLOOKUP($H975&amp;"|"&amp;$Q975,Tariff_Master!$A$2:$L$169,7,FALSE),"")</f>
        <v/>
      </c>
      <c r="AG975" s="18">
        <f>IFERROR(VLOOKUP($H975&amp;"|"&amp;$Q975,Tariff_Master!$A$2:$L$169,8,FALSE),"")</f>
        <v/>
      </c>
      <c r="AH975" s="20">
        <f>IFERROR(VLOOKUP($H975&amp;"|"&amp;$Q975,Tariff_Master!$A$2:$L$169,9,FALSE),"")</f>
        <v/>
      </c>
      <c r="AI975" s="18">
        <f>IFERROR(VLOOKUP($H975&amp;"|"&amp;$Q975,Tariff_Master!$A$2:$L$169,10,FALSE),"")</f>
        <v/>
      </c>
      <c r="AJ975" s="21">
        <f>IF($M975="","",ROUNDUP(MAX(0,$M975),0))</f>
        <v/>
      </c>
      <c r="AK975" s="21">
        <f>IF(OR($AJ975="",$AF975=""),"",MAX(0,$AJ975-$AF975))</f>
        <v/>
      </c>
      <c r="AL975" s="22">
        <f>IF(OR($AK975="",$AG975=""),"",MAX(0,$AK975*$AG975))</f>
        <v/>
      </c>
      <c r="AM975" s="22">
        <f>IF($AE975="","",MAX(0,SUM($AE975,$AL975,$V975,$W975)))</f>
        <v/>
      </c>
      <c r="AN975" s="22">
        <f>IF($AM975="","",IF(AND($Q975="COMMITMENT",$R975&gt;=$AH975),$AI975,0))</f>
        <v/>
      </c>
      <c r="AO975" s="23">
        <f>IF($AM975="","",MAX(0,$AM975-$AN975))</f>
        <v/>
      </c>
      <c r="AP975" s="22">
        <f>IF($S975="","",IF(OR($S975="ITEM_PRICE_PLUS_DECLARED_DELIVERY",$S975="DELIVERY_CHARGE_ONLY"),$K975,IF($S975="TOTAL_AMOUNT_INCLUDING_DELIVERY",IF(OR($T975="",$J975=""),"",MAX(0,$T975-$J975-$U975)),IF($S975="ITEM_PRICE_ONLY_DELIVERY_PAID_BY_MERCHANT",0,""))))</f>
        <v/>
      </c>
      <c r="AQ975" s="23">
        <f>IF(OR($AP975="",$AO975=""),"",$AP975-$AO975)</f>
        <v/>
      </c>
      <c r="AR975" s="24">
        <f>IF($S975="EXACT_COLLECTION_AMOUNT","BREAKDOWN_REQUIRED",IF($AQ975="","",IF($AQ975&gt;0,"CREDIT_TO_MERCHANT",IF($AQ975&lt;0,"DEDUCT_FROM_MERCHANT","NO_ADJUSTMENT"))))</f>
        <v/>
      </c>
      <c r="AS975" s="23">
        <f>IF(OR($AQ975="",$AR975="BREAKDOWN_REQUIRED"),"",$AQ975)</f>
        <v/>
      </c>
      <c r="AT975" s="23">
        <f>IF(OR($AR975="",$AR975="BREAKDOWN_REQUIRED"),"",SUM($J975,$AQ975,$Y975)-$X975)</f>
        <v/>
      </c>
      <c r="AU975" s="25">
        <f>IF(AND($A975="",$B975="",$F975="",$H975="",$J975="",$K975="",$M975="",$S975=""),"",IF(OR($H975="",$Q975="",$M975="",$S975=""),"ERROR",IF(OR($J975&lt;0,$K975&lt;0,$M975&lt;0,$T975&lt;0,$U975&lt;0,$V975&lt;0,$W975&lt;0,$X975&lt;0,$Y975&lt;0),"ERROR",IF($AE975="","ERROR",IF(AND(OR($S975="ITEM_PRICE_PLUS_DECLARED_DELIVERY",$S975="TOTAL_AMOUNT_INCLUDING_DELIVERY",$S975="ITEM_PRICE_ONLY_DELIVERY_PAID_BY_MERCHANT"),$J975=""),"ERROR",IF(AND(OR($S975="ITEM_PRICE_PLUS_DECLARED_DELIVERY",$S975="DELIVERY_CHARGE_ONLY"),$K975=""),"ERROR",IF(AND(OR($S975="TOTAL_AMOUNT_INCLUDING_DELIVERY",$S975="EXACT_COLLECTION_AMOUNT"),$T975=""),"ERROR",IF(AND($S975="TOTAL_AMOUNT_INCLUDING_DELIVERY",$T975&lt;SUM($J975,$U975)),"ERROR",IF($S975="EXACT_COLLECTION_AMOUNT","REVIEW","OK")))))))))</f>
        <v/>
      </c>
      <c r="AV975" s="25">
        <f>IF($AU975="","",IF($H975="","Township required",IF($Q975="","Customer tier required",IF($M975="","Weight required",IF($S975="","Amount entry type required",IF(OR($J975&lt;0,$K975&lt;0,$M975&lt;0,$T975&lt;0,$U975&lt;0,$V975&lt;0,$W975&lt;0,$X975&lt;0,$Y975&lt;0),"Negative amounts are not allowed",IF($AE975="","Tariff not found for township and tier",IF(AND(OR($S975="ITEM_PRICE_PLUS_DECLARED_DELIVERY",$S975="TOTAL_AMOUNT_INCLUDING_DELIVERY",$S975="ITEM_PRICE_ONLY_DELIVERY_PAID_BY_MERCHANT"),$J975=""),"Item price required for this amount type",IF(AND(OR($S975="ITEM_PRICE_PLUS_DECLARED_DELIVERY",$S975="DELIVERY_CHARGE_ONLY"),$K975=""),"Declared delivery charge required",IF(AND(OR($S975="TOTAL_AMOUNT_INCLUDING_DELIVERY",$S975="EXACT_COLLECTION_AMOUNT"),$T975=""),"Stated total amount required",IF(AND($S975="TOTAL_AMOUNT_INCLUDING_DELIVERY",$T975&lt;SUM($J975,$U975)),"Stated total is below item price plus additional charge",IF($S975="EXACT_COLLECTION_AMOUNT","Authorized amount breakdown required before settlement","Ready for collection and settlement"))))))))))))</f>
        <v/>
      </c>
      <c r="AW975" s="23">
        <f>IF($AU975="","","PARCEL_FINANCIAL_V2")</f>
        <v/>
      </c>
      <c r="AX975" s="17" t="n"/>
    </row>
    <row r="976">
      <c r="A976" s="8" t="n"/>
      <c r="B976" s="8" t="n"/>
      <c r="C976" s="8" t="n"/>
      <c r="D976" s="8" t="n"/>
      <c r="E976" s="9" t="n"/>
      <c r="F976" s="9" t="n"/>
      <c r="G976" s="8" t="n"/>
      <c r="H976" s="9" t="n"/>
      <c r="I976" s="9" t="n"/>
      <c r="J976" s="10" t="n"/>
      <c r="K976" s="10" t="n"/>
      <c r="L976" s="11">
        <f>IF($S976="","",IF($S976="ITEM_PRICE_PLUS_DECLARED_DELIVERY",IF(OR($J976="",$K976=""),"",SUM($J976,$K976,$U976)),IF($S976="TOTAL_AMOUNT_INCLUDING_DELIVERY",IF($T976="","",$T976),IF($S976="DELIVERY_CHARGE_ONLY",IF($K976="","",SUM($K976,$U976)),IF($S976="EXACT_COLLECTION_AMOUNT",IF($T976="","",$T976),IF($S976="ITEM_PRICE_ONLY_DELIVERY_PAID_BY_MERCHANT",IF($J976="","",SUM($J976,$U976)),""))))))</f>
        <v/>
      </c>
      <c r="M976" s="12" t="n"/>
      <c r="N976" s="13" t="n"/>
      <c r="O976" s="13" t="n"/>
      <c r="P976" s="9" t="n"/>
      <c r="Q976" s="14" t="n"/>
      <c r="R976" s="15" t="n"/>
      <c r="S976" s="14" t="n"/>
      <c r="T976" s="16" t="n"/>
      <c r="U976" s="16" t="n"/>
      <c r="V976" s="16" t="n"/>
      <c r="W976" s="16" t="n"/>
      <c r="X976" s="16" t="n"/>
      <c r="Y976" s="16" t="n"/>
      <c r="Z976" s="14" t="n"/>
      <c r="AA976" s="14" t="n"/>
      <c r="AB976" s="14" t="n"/>
      <c r="AC976" s="17">
        <f>IFERROR(VLOOKUP($H976&amp;"|"&amp;$Q976,Tariff_Master!$A$2:$L$169,3,FALSE),"")</f>
        <v/>
      </c>
      <c r="AD976" s="17">
        <f>IFERROR(VLOOKUP($H976&amp;"|"&amp;$Q976,Tariff_Master!$A$2:$L$169,4,FALSE),"")</f>
        <v/>
      </c>
      <c r="AE976" s="18">
        <f>IFERROR(VLOOKUP($H976&amp;"|"&amp;$Q976,Tariff_Master!$A$2:$L$169,6,FALSE),"")</f>
        <v/>
      </c>
      <c r="AF976" s="19">
        <f>IFERROR(VLOOKUP($H976&amp;"|"&amp;$Q976,Tariff_Master!$A$2:$L$169,7,FALSE),"")</f>
        <v/>
      </c>
      <c r="AG976" s="18">
        <f>IFERROR(VLOOKUP($H976&amp;"|"&amp;$Q976,Tariff_Master!$A$2:$L$169,8,FALSE),"")</f>
        <v/>
      </c>
      <c r="AH976" s="20">
        <f>IFERROR(VLOOKUP($H976&amp;"|"&amp;$Q976,Tariff_Master!$A$2:$L$169,9,FALSE),"")</f>
        <v/>
      </c>
      <c r="AI976" s="18">
        <f>IFERROR(VLOOKUP($H976&amp;"|"&amp;$Q976,Tariff_Master!$A$2:$L$169,10,FALSE),"")</f>
        <v/>
      </c>
      <c r="AJ976" s="21">
        <f>IF($M976="","",ROUNDUP(MAX(0,$M976),0))</f>
        <v/>
      </c>
      <c r="AK976" s="21">
        <f>IF(OR($AJ976="",$AF976=""),"",MAX(0,$AJ976-$AF976))</f>
        <v/>
      </c>
      <c r="AL976" s="22">
        <f>IF(OR($AK976="",$AG976=""),"",MAX(0,$AK976*$AG976))</f>
        <v/>
      </c>
      <c r="AM976" s="22">
        <f>IF($AE976="","",MAX(0,SUM($AE976,$AL976,$V976,$W976)))</f>
        <v/>
      </c>
      <c r="AN976" s="22">
        <f>IF($AM976="","",IF(AND($Q976="COMMITMENT",$R976&gt;=$AH976),$AI976,0))</f>
        <v/>
      </c>
      <c r="AO976" s="23">
        <f>IF($AM976="","",MAX(0,$AM976-$AN976))</f>
        <v/>
      </c>
      <c r="AP976" s="22">
        <f>IF($S976="","",IF(OR($S976="ITEM_PRICE_PLUS_DECLARED_DELIVERY",$S976="DELIVERY_CHARGE_ONLY"),$K976,IF($S976="TOTAL_AMOUNT_INCLUDING_DELIVERY",IF(OR($T976="",$J976=""),"",MAX(0,$T976-$J976-$U976)),IF($S976="ITEM_PRICE_ONLY_DELIVERY_PAID_BY_MERCHANT",0,""))))</f>
        <v/>
      </c>
      <c r="AQ976" s="23">
        <f>IF(OR($AP976="",$AO976=""),"",$AP976-$AO976)</f>
        <v/>
      </c>
      <c r="AR976" s="24">
        <f>IF($S976="EXACT_COLLECTION_AMOUNT","BREAKDOWN_REQUIRED",IF($AQ976="","",IF($AQ976&gt;0,"CREDIT_TO_MERCHANT",IF($AQ976&lt;0,"DEDUCT_FROM_MERCHANT","NO_ADJUSTMENT"))))</f>
        <v/>
      </c>
      <c r="AS976" s="23">
        <f>IF(OR($AQ976="",$AR976="BREAKDOWN_REQUIRED"),"",$AQ976)</f>
        <v/>
      </c>
      <c r="AT976" s="23">
        <f>IF(OR($AR976="",$AR976="BREAKDOWN_REQUIRED"),"",SUM($J976,$AQ976,$Y976)-$X976)</f>
        <v/>
      </c>
      <c r="AU976" s="25">
        <f>IF(AND($A976="",$B976="",$F976="",$H976="",$J976="",$K976="",$M976="",$S976=""),"",IF(OR($H976="",$Q976="",$M976="",$S976=""),"ERROR",IF(OR($J976&lt;0,$K976&lt;0,$M976&lt;0,$T976&lt;0,$U976&lt;0,$V976&lt;0,$W976&lt;0,$X976&lt;0,$Y976&lt;0),"ERROR",IF($AE976="","ERROR",IF(AND(OR($S976="ITEM_PRICE_PLUS_DECLARED_DELIVERY",$S976="TOTAL_AMOUNT_INCLUDING_DELIVERY",$S976="ITEM_PRICE_ONLY_DELIVERY_PAID_BY_MERCHANT"),$J976=""),"ERROR",IF(AND(OR($S976="ITEM_PRICE_PLUS_DECLARED_DELIVERY",$S976="DELIVERY_CHARGE_ONLY"),$K976=""),"ERROR",IF(AND(OR($S976="TOTAL_AMOUNT_INCLUDING_DELIVERY",$S976="EXACT_COLLECTION_AMOUNT"),$T976=""),"ERROR",IF(AND($S976="TOTAL_AMOUNT_INCLUDING_DELIVERY",$T976&lt;SUM($J976,$U976)),"ERROR",IF($S976="EXACT_COLLECTION_AMOUNT","REVIEW","OK")))))))))</f>
        <v/>
      </c>
      <c r="AV976" s="25">
        <f>IF($AU976="","",IF($H976="","Township required",IF($Q976="","Customer tier required",IF($M976="","Weight required",IF($S976="","Amount entry type required",IF(OR($J976&lt;0,$K976&lt;0,$M976&lt;0,$T976&lt;0,$U976&lt;0,$V976&lt;0,$W976&lt;0,$X976&lt;0,$Y976&lt;0),"Negative amounts are not allowed",IF($AE976="","Tariff not found for township and tier",IF(AND(OR($S976="ITEM_PRICE_PLUS_DECLARED_DELIVERY",$S976="TOTAL_AMOUNT_INCLUDING_DELIVERY",$S976="ITEM_PRICE_ONLY_DELIVERY_PAID_BY_MERCHANT"),$J976=""),"Item price required for this amount type",IF(AND(OR($S976="ITEM_PRICE_PLUS_DECLARED_DELIVERY",$S976="DELIVERY_CHARGE_ONLY"),$K976=""),"Declared delivery charge required",IF(AND(OR($S976="TOTAL_AMOUNT_INCLUDING_DELIVERY",$S976="EXACT_COLLECTION_AMOUNT"),$T976=""),"Stated total amount required",IF(AND($S976="TOTAL_AMOUNT_INCLUDING_DELIVERY",$T976&lt;SUM($J976,$U976)),"Stated total is below item price plus additional charge",IF($S976="EXACT_COLLECTION_AMOUNT","Authorized amount breakdown required before settlement","Ready for collection and settlement"))))))))))))</f>
        <v/>
      </c>
      <c r="AW976" s="23">
        <f>IF($AU976="","","PARCEL_FINANCIAL_V2")</f>
        <v/>
      </c>
      <c r="AX976" s="17" t="n"/>
    </row>
    <row r="977">
      <c r="A977" s="8" t="n"/>
      <c r="B977" s="8" t="n"/>
      <c r="C977" s="8" t="n"/>
      <c r="D977" s="8" t="n"/>
      <c r="E977" s="9" t="n"/>
      <c r="F977" s="9" t="n"/>
      <c r="G977" s="8" t="n"/>
      <c r="H977" s="9" t="n"/>
      <c r="I977" s="9" t="n"/>
      <c r="J977" s="10" t="n"/>
      <c r="K977" s="10" t="n"/>
      <c r="L977" s="11">
        <f>IF($S977="","",IF($S977="ITEM_PRICE_PLUS_DECLARED_DELIVERY",IF(OR($J977="",$K977=""),"",SUM($J977,$K977,$U977)),IF($S977="TOTAL_AMOUNT_INCLUDING_DELIVERY",IF($T977="","",$T977),IF($S977="DELIVERY_CHARGE_ONLY",IF($K977="","",SUM($K977,$U977)),IF($S977="EXACT_COLLECTION_AMOUNT",IF($T977="","",$T977),IF($S977="ITEM_PRICE_ONLY_DELIVERY_PAID_BY_MERCHANT",IF($J977="","",SUM($J977,$U977)),""))))))</f>
        <v/>
      </c>
      <c r="M977" s="12" t="n"/>
      <c r="N977" s="13" t="n"/>
      <c r="O977" s="13" t="n"/>
      <c r="P977" s="9" t="n"/>
      <c r="Q977" s="14" t="n"/>
      <c r="R977" s="15" t="n"/>
      <c r="S977" s="14" t="n"/>
      <c r="T977" s="16" t="n"/>
      <c r="U977" s="16" t="n"/>
      <c r="V977" s="16" t="n"/>
      <c r="W977" s="16" t="n"/>
      <c r="X977" s="16" t="n"/>
      <c r="Y977" s="16" t="n"/>
      <c r="Z977" s="14" t="n"/>
      <c r="AA977" s="14" t="n"/>
      <c r="AB977" s="14" t="n"/>
      <c r="AC977" s="17">
        <f>IFERROR(VLOOKUP($H977&amp;"|"&amp;$Q977,Tariff_Master!$A$2:$L$169,3,FALSE),"")</f>
        <v/>
      </c>
      <c r="AD977" s="17">
        <f>IFERROR(VLOOKUP($H977&amp;"|"&amp;$Q977,Tariff_Master!$A$2:$L$169,4,FALSE),"")</f>
        <v/>
      </c>
      <c r="AE977" s="18">
        <f>IFERROR(VLOOKUP($H977&amp;"|"&amp;$Q977,Tariff_Master!$A$2:$L$169,6,FALSE),"")</f>
        <v/>
      </c>
      <c r="AF977" s="19">
        <f>IFERROR(VLOOKUP($H977&amp;"|"&amp;$Q977,Tariff_Master!$A$2:$L$169,7,FALSE),"")</f>
        <v/>
      </c>
      <c r="AG977" s="18">
        <f>IFERROR(VLOOKUP($H977&amp;"|"&amp;$Q977,Tariff_Master!$A$2:$L$169,8,FALSE),"")</f>
        <v/>
      </c>
      <c r="AH977" s="20">
        <f>IFERROR(VLOOKUP($H977&amp;"|"&amp;$Q977,Tariff_Master!$A$2:$L$169,9,FALSE),"")</f>
        <v/>
      </c>
      <c r="AI977" s="18">
        <f>IFERROR(VLOOKUP($H977&amp;"|"&amp;$Q977,Tariff_Master!$A$2:$L$169,10,FALSE),"")</f>
        <v/>
      </c>
      <c r="AJ977" s="21">
        <f>IF($M977="","",ROUNDUP(MAX(0,$M977),0))</f>
        <v/>
      </c>
      <c r="AK977" s="21">
        <f>IF(OR($AJ977="",$AF977=""),"",MAX(0,$AJ977-$AF977))</f>
        <v/>
      </c>
      <c r="AL977" s="22">
        <f>IF(OR($AK977="",$AG977=""),"",MAX(0,$AK977*$AG977))</f>
        <v/>
      </c>
      <c r="AM977" s="22">
        <f>IF($AE977="","",MAX(0,SUM($AE977,$AL977,$V977,$W977)))</f>
        <v/>
      </c>
      <c r="AN977" s="22">
        <f>IF($AM977="","",IF(AND($Q977="COMMITMENT",$R977&gt;=$AH977),$AI977,0))</f>
        <v/>
      </c>
      <c r="AO977" s="23">
        <f>IF($AM977="","",MAX(0,$AM977-$AN977))</f>
        <v/>
      </c>
      <c r="AP977" s="22">
        <f>IF($S977="","",IF(OR($S977="ITEM_PRICE_PLUS_DECLARED_DELIVERY",$S977="DELIVERY_CHARGE_ONLY"),$K977,IF($S977="TOTAL_AMOUNT_INCLUDING_DELIVERY",IF(OR($T977="",$J977=""),"",MAX(0,$T977-$J977-$U977)),IF($S977="ITEM_PRICE_ONLY_DELIVERY_PAID_BY_MERCHANT",0,""))))</f>
        <v/>
      </c>
      <c r="AQ977" s="23">
        <f>IF(OR($AP977="",$AO977=""),"",$AP977-$AO977)</f>
        <v/>
      </c>
      <c r="AR977" s="24">
        <f>IF($S977="EXACT_COLLECTION_AMOUNT","BREAKDOWN_REQUIRED",IF($AQ977="","",IF($AQ977&gt;0,"CREDIT_TO_MERCHANT",IF($AQ977&lt;0,"DEDUCT_FROM_MERCHANT","NO_ADJUSTMENT"))))</f>
        <v/>
      </c>
      <c r="AS977" s="23">
        <f>IF(OR($AQ977="",$AR977="BREAKDOWN_REQUIRED"),"",$AQ977)</f>
        <v/>
      </c>
      <c r="AT977" s="23">
        <f>IF(OR($AR977="",$AR977="BREAKDOWN_REQUIRED"),"",SUM($J977,$AQ977,$Y977)-$X977)</f>
        <v/>
      </c>
      <c r="AU977" s="25">
        <f>IF(AND($A977="",$B977="",$F977="",$H977="",$J977="",$K977="",$M977="",$S977=""),"",IF(OR($H977="",$Q977="",$M977="",$S977=""),"ERROR",IF(OR($J977&lt;0,$K977&lt;0,$M977&lt;0,$T977&lt;0,$U977&lt;0,$V977&lt;0,$W977&lt;0,$X977&lt;0,$Y977&lt;0),"ERROR",IF($AE977="","ERROR",IF(AND(OR($S977="ITEM_PRICE_PLUS_DECLARED_DELIVERY",$S977="TOTAL_AMOUNT_INCLUDING_DELIVERY",$S977="ITEM_PRICE_ONLY_DELIVERY_PAID_BY_MERCHANT"),$J977=""),"ERROR",IF(AND(OR($S977="ITEM_PRICE_PLUS_DECLARED_DELIVERY",$S977="DELIVERY_CHARGE_ONLY"),$K977=""),"ERROR",IF(AND(OR($S977="TOTAL_AMOUNT_INCLUDING_DELIVERY",$S977="EXACT_COLLECTION_AMOUNT"),$T977=""),"ERROR",IF(AND($S977="TOTAL_AMOUNT_INCLUDING_DELIVERY",$T977&lt;SUM($J977,$U977)),"ERROR",IF($S977="EXACT_COLLECTION_AMOUNT","REVIEW","OK")))))))))</f>
        <v/>
      </c>
      <c r="AV977" s="25">
        <f>IF($AU977="","",IF($H977="","Township required",IF($Q977="","Customer tier required",IF($M977="","Weight required",IF($S977="","Amount entry type required",IF(OR($J977&lt;0,$K977&lt;0,$M977&lt;0,$T977&lt;0,$U977&lt;0,$V977&lt;0,$W977&lt;0,$X977&lt;0,$Y977&lt;0),"Negative amounts are not allowed",IF($AE977="","Tariff not found for township and tier",IF(AND(OR($S977="ITEM_PRICE_PLUS_DECLARED_DELIVERY",$S977="TOTAL_AMOUNT_INCLUDING_DELIVERY",$S977="ITEM_PRICE_ONLY_DELIVERY_PAID_BY_MERCHANT"),$J977=""),"Item price required for this amount type",IF(AND(OR($S977="ITEM_PRICE_PLUS_DECLARED_DELIVERY",$S977="DELIVERY_CHARGE_ONLY"),$K977=""),"Declared delivery charge required",IF(AND(OR($S977="TOTAL_AMOUNT_INCLUDING_DELIVERY",$S977="EXACT_COLLECTION_AMOUNT"),$T977=""),"Stated total amount required",IF(AND($S977="TOTAL_AMOUNT_INCLUDING_DELIVERY",$T977&lt;SUM($J977,$U977)),"Stated total is below item price plus additional charge",IF($S977="EXACT_COLLECTION_AMOUNT","Authorized amount breakdown required before settlement","Ready for collection and settlement"))))))))))))</f>
        <v/>
      </c>
      <c r="AW977" s="23">
        <f>IF($AU977="","","PARCEL_FINANCIAL_V2")</f>
        <v/>
      </c>
      <c r="AX977" s="17" t="n"/>
    </row>
    <row r="978">
      <c r="A978" s="8" t="n"/>
      <c r="B978" s="8" t="n"/>
      <c r="C978" s="8" t="n"/>
      <c r="D978" s="8" t="n"/>
      <c r="E978" s="9" t="n"/>
      <c r="F978" s="9" t="n"/>
      <c r="G978" s="8" t="n"/>
      <c r="H978" s="9" t="n"/>
      <c r="I978" s="9" t="n"/>
      <c r="J978" s="10" t="n"/>
      <c r="K978" s="10" t="n"/>
      <c r="L978" s="11">
        <f>IF($S978="","",IF($S978="ITEM_PRICE_PLUS_DECLARED_DELIVERY",IF(OR($J978="",$K978=""),"",SUM($J978,$K978,$U978)),IF($S978="TOTAL_AMOUNT_INCLUDING_DELIVERY",IF($T978="","",$T978),IF($S978="DELIVERY_CHARGE_ONLY",IF($K978="","",SUM($K978,$U978)),IF($S978="EXACT_COLLECTION_AMOUNT",IF($T978="","",$T978),IF($S978="ITEM_PRICE_ONLY_DELIVERY_PAID_BY_MERCHANT",IF($J978="","",SUM($J978,$U978)),""))))))</f>
        <v/>
      </c>
      <c r="M978" s="12" t="n"/>
      <c r="N978" s="13" t="n"/>
      <c r="O978" s="13" t="n"/>
      <c r="P978" s="9" t="n"/>
      <c r="Q978" s="14" t="n"/>
      <c r="R978" s="15" t="n"/>
      <c r="S978" s="14" t="n"/>
      <c r="T978" s="16" t="n"/>
      <c r="U978" s="16" t="n"/>
      <c r="V978" s="16" t="n"/>
      <c r="W978" s="16" t="n"/>
      <c r="X978" s="16" t="n"/>
      <c r="Y978" s="16" t="n"/>
      <c r="Z978" s="14" t="n"/>
      <c r="AA978" s="14" t="n"/>
      <c r="AB978" s="14" t="n"/>
      <c r="AC978" s="17">
        <f>IFERROR(VLOOKUP($H978&amp;"|"&amp;$Q978,Tariff_Master!$A$2:$L$169,3,FALSE),"")</f>
        <v/>
      </c>
      <c r="AD978" s="17">
        <f>IFERROR(VLOOKUP($H978&amp;"|"&amp;$Q978,Tariff_Master!$A$2:$L$169,4,FALSE),"")</f>
        <v/>
      </c>
      <c r="AE978" s="18">
        <f>IFERROR(VLOOKUP($H978&amp;"|"&amp;$Q978,Tariff_Master!$A$2:$L$169,6,FALSE),"")</f>
        <v/>
      </c>
      <c r="AF978" s="19">
        <f>IFERROR(VLOOKUP($H978&amp;"|"&amp;$Q978,Tariff_Master!$A$2:$L$169,7,FALSE),"")</f>
        <v/>
      </c>
      <c r="AG978" s="18">
        <f>IFERROR(VLOOKUP($H978&amp;"|"&amp;$Q978,Tariff_Master!$A$2:$L$169,8,FALSE),"")</f>
        <v/>
      </c>
      <c r="AH978" s="20">
        <f>IFERROR(VLOOKUP($H978&amp;"|"&amp;$Q978,Tariff_Master!$A$2:$L$169,9,FALSE),"")</f>
        <v/>
      </c>
      <c r="AI978" s="18">
        <f>IFERROR(VLOOKUP($H978&amp;"|"&amp;$Q978,Tariff_Master!$A$2:$L$169,10,FALSE),"")</f>
        <v/>
      </c>
      <c r="AJ978" s="21">
        <f>IF($M978="","",ROUNDUP(MAX(0,$M978),0))</f>
        <v/>
      </c>
      <c r="AK978" s="21">
        <f>IF(OR($AJ978="",$AF978=""),"",MAX(0,$AJ978-$AF978))</f>
        <v/>
      </c>
      <c r="AL978" s="22">
        <f>IF(OR($AK978="",$AG978=""),"",MAX(0,$AK978*$AG978))</f>
        <v/>
      </c>
      <c r="AM978" s="22">
        <f>IF($AE978="","",MAX(0,SUM($AE978,$AL978,$V978,$W978)))</f>
        <v/>
      </c>
      <c r="AN978" s="22">
        <f>IF($AM978="","",IF(AND($Q978="COMMITMENT",$R978&gt;=$AH978),$AI978,0))</f>
        <v/>
      </c>
      <c r="AO978" s="23">
        <f>IF($AM978="","",MAX(0,$AM978-$AN978))</f>
        <v/>
      </c>
      <c r="AP978" s="22">
        <f>IF($S978="","",IF(OR($S978="ITEM_PRICE_PLUS_DECLARED_DELIVERY",$S978="DELIVERY_CHARGE_ONLY"),$K978,IF($S978="TOTAL_AMOUNT_INCLUDING_DELIVERY",IF(OR($T978="",$J978=""),"",MAX(0,$T978-$J978-$U978)),IF($S978="ITEM_PRICE_ONLY_DELIVERY_PAID_BY_MERCHANT",0,""))))</f>
        <v/>
      </c>
      <c r="AQ978" s="23">
        <f>IF(OR($AP978="",$AO978=""),"",$AP978-$AO978)</f>
        <v/>
      </c>
      <c r="AR978" s="24">
        <f>IF($S978="EXACT_COLLECTION_AMOUNT","BREAKDOWN_REQUIRED",IF($AQ978="","",IF($AQ978&gt;0,"CREDIT_TO_MERCHANT",IF($AQ978&lt;0,"DEDUCT_FROM_MERCHANT","NO_ADJUSTMENT"))))</f>
        <v/>
      </c>
      <c r="AS978" s="23">
        <f>IF(OR($AQ978="",$AR978="BREAKDOWN_REQUIRED"),"",$AQ978)</f>
        <v/>
      </c>
      <c r="AT978" s="23">
        <f>IF(OR($AR978="",$AR978="BREAKDOWN_REQUIRED"),"",SUM($J978,$AQ978,$Y978)-$X978)</f>
        <v/>
      </c>
      <c r="AU978" s="25">
        <f>IF(AND($A978="",$B978="",$F978="",$H978="",$J978="",$K978="",$M978="",$S978=""),"",IF(OR($H978="",$Q978="",$M978="",$S978=""),"ERROR",IF(OR($J978&lt;0,$K978&lt;0,$M978&lt;0,$T978&lt;0,$U978&lt;0,$V978&lt;0,$W978&lt;0,$X978&lt;0,$Y978&lt;0),"ERROR",IF($AE978="","ERROR",IF(AND(OR($S978="ITEM_PRICE_PLUS_DECLARED_DELIVERY",$S978="TOTAL_AMOUNT_INCLUDING_DELIVERY",$S978="ITEM_PRICE_ONLY_DELIVERY_PAID_BY_MERCHANT"),$J978=""),"ERROR",IF(AND(OR($S978="ITEM_PRICE_PLUS_DECLARED_DELIVERY",$S978="DELIVERY_CHARGE_ONLY"),$K978=""),"ERROR",IF(AND(OR($S978="TOTAL_AMOUNT_INCLUDING_DELIVERY",$S978="EXACT_COLLECTION_AMOUNT"),$T978=""),"ERROR",IF(AND($S978="TOTAL_AMOUNT_INCLUDING_DELIVERY",$T978&lt;SUM($J978,$U978)),"ERROR",IF($S978="EXACT_COLLECTION_AMOUNT","REVIEW","OK")))))))))</f>
        <v/>
      </c>
      <c r="AV978" s="25">
        <f>IF($AU978="","",IF($H978="","Township required",IF($Q978="","Customer tier required",IF($M978="","Weight required",IF($S978="","Amount entry type required",IF(OR($J978&lt;0,$K978&lt;0,$M978&lt;0,$T978&lt;0,$U978&lt;0,$V978&lt;0,$W978&lt;0,$X978&lt;0,$Y978&lt;0),"Negative amounts are not allowed",IF($AE978="","Tariff not found for township and tier",IF(AND(OR($S978="ITEM_PRICE_PLUS_DECLARED_DELIVERY",$S978="TOTAL_AMOUNT_INCLUDING_DELIVERY",$S978="ITEM_PRICE_ONLY_DELIVERY_PAID_BY_MERCHANT"),$J978=""),"Item price required for this amount type",IF(AND(OR($S978="ITEM_PRICE_PLUS_DECLARED_DELIVERY",$S978="DELIVERY_CHARGE_ONLY"),$K978=""),"Declared delivery charge required",IF(AND(OR($S978="TOTAL_AMOUNT_INCLUDING_DELIVERY",$S978="EXACT_COLLECTION_AMOUNT"),$T978=""),"Stated total amount required",IF(AND($S978="TOTAL_AMOUNT_INCLUDING_DELIVERY",$T978&lt;SUM($J978,$U978)),"Stated total is below item price plus additional charge",IF($S978="EXACT_COLLECTION_AMOUNT","Authorized amount breakdown required before settlement","Ready for collection and settlement"))))))))))))</f>
        <v/>
      </c>
      <c r="AW978" s="23">
        <f>IF($AU978="","","PARCEL_FINANCIAL_V2")</f>
        <v/>
      </c>
      <c r="AX978" s="17" t="n"/>
    </row>
    <row r="979">
      <c r="A979" s="8" t="n"/>
      <c r="B979" s="8" t="n"/>
      <c r="C979" s="8" t="n"/>
      <c r="D979" s="8" t="n"/>
      <c r="E979" s="9" t="n"/>
      <c r="F979" s="9" t="n"/>
      <c r="G979" s="8" t="n"/>
      <c r="H979" s="9" t="n"/>
      <c r="I979" s="9" t="n"/>
      <c r="J979" s="10" t="n"/>
      <c r="K979" s="10" t="n"/>
      <c r="L979" s="11">
        <f>IF($S979="","",IF($S979="ITEM_PRICE_PLUS_DECLARED_DELIVERY",IF(OR($J979="",$K979=""),"",SUM($J979,$K979,$U979)),IF($S979="TOTAL_AMOUNT_INCLUDING_DELIVERY",IF($T979="","",$T979),IF($S979="DELIVERY_CHARGE_ONLY",IF($K979="","",SUM($K979,$U979)),IF($S979="EXACT_COLLECTION_AMOUNT",IF($T979="","",$T979),IF($S979="ITEM_PRICE_ONLY_DELIVERY_PAID_BY_MERCHANT",IF($J979="","",SUM($J979,$U979)),""))))))</f>
        <v/>
      </c>
      <c r="M979" s="12" t="n"/>
      <c r="N979" s="13" t="n"/>
      <c r="O979" s="13" t="n"/>
      <c r="P979" s="9" t="n"/>
      <c r="Q979" s="14" t="n"/>
      <c r="R979" s="15" t="n"/>
      <c r="S979" s="14" t="n"/>
      <c r="T979" s="16" t="n"/>
      <c r="U979" s="16" t="n"/>
      <c r="V979" s="16" t="n"/>
      <c r="W979" s="16" t="n"/>
      <c r="X979" s="16" t="n"/>
      <c r="Y979" s="16" t="n"/>
      <c r="Z979" s="14" t="n"/>
      <c r="AA979" s="14" t="n"/>
      <c r="AB979" s="14" t="n"/>
      <c r="AC979" s="17">
        <f>IFERROR(VLOOKUP($H979&amp;"|"&amp;$Q979,Tariff_Master!$A$2:$L$169,3,FALSE),"")</f>
        <v/>
      </c>
      <c r="AD979" s="17">
        <f>IFERROR(VLOOKUP($H979&amp;"|"&amp;$Q979,Tariff_Master!$A$2:$L$169,4,FALSE),"")</f>
        <v/>
      </c>
      <c r="AE979" s="18">
        <f>IFERROR(VLOOKUP($H979&amp;"|"&amp;$Q979,Tariff_Master!$A$2:$L$169,6,FALSE),"")</f>
        <v/>
      </c>
      <c r="AF979" s="19">
        <f>IFERROR(VLOOKUP($H979&amp;"|"&amp;$Q979,Tariff_Master!$A$2:$L$169,7,FALSE),"")</f>
        <v/>
      </c>
      <c r="AG979" s="18">
        <f>IFERROR(VLOOKUP($H979&amp;"|"&amp;$Q979,Tariff_Master!$A$2:$L$169,8,FALSE),"")</f>
        <v/>
      </c>
      <c r="AH979" s="20">
        <f>IFERROR(VLOOKUP($H979&amp;"|"&amp;$Q979,Tariff_Master!$A$2:$L$169,9,FALSE),"")</f>
        <v/>
      </c>
      <c r="AI979" s="18">
        <f>IFERROR(VLOOKUP($H979&amp;"|"&amp;$Q979,Tariff_Master!$A$2:$L$169,10,FALSE),"")</f>
        <v/>
      </c>
      <c r="AJ979" s="21">
        <f>IF($M979="","",ROUNDUP(MAX(0,$M979),0))</f>
        <v/>
      </c>
      <c r="AK979" s="21">
        <f>IF(OR($AJ979="",$AF979=""),"",MAX(0,$AJ979-$AF979))</f>
        <v/>
      </c>
      <c r="AL979" s="22">
        <f>IF(OR($AK979="",$AG979=""),"",MAX(0,$AK979*$AG979))</f>
        <v/>
      </c>
      <c r="AM979" s="22">
        <f>IF($AE979="","",MAX(0,SUM($AE979,$AL979,$V979,$W979)))</f>
        <v/>
      </c>
      <c r="AN979" s="22">
        <f>IF($AM979="","",IF(AND($Q979="COMMITMENT",$R979&gt;=$AH979),$AI979,0))</f>
        <v/>
      </c>
      <c r="AO979" s="23">
        <f>IF($AM979="","",MAX(0,$AM979-$AN979))</f>
        <v/>
      </c>
      <c r="AP979" s="22">
        <f>IF($S979="","",IF(OR($S979="ITEM_PRICE_PLUS_DECLARED_DELIVERY",$S979="DELIVERY_CHARGE_ONLY"),$K979,IF($S979="TOTAL_AMOUNT_INCLUDING_DELIVERY",IF(OR($T979="",$J979=""),"",MAX(0,$T979-$J979-$U979)),IF($S979="ITEM_PRICE_ONLY_DELIVERY_PAID_BY_MERCHANT",0,""))))</f>
        <v/>
      </c>
      <c r="AQ979" s="23">
        <f>IF(OR($AP979="",$AO979=""),"",$AP979-$AO979)</f>
        <v/>
      </c>
      <c r="AR979" s="24">
        <f>IF($S979="EXACT_COLLECTION_AMOUNT","BREAKDOWN_REQUIRED",IF($AQ979="","",IF($AQ979&gt;0,"CREDIT_TO_MERCHANT",IF($AQ979&lt;0,"DEDUCT_FROM_MERCHANT","NO_ADJUSTMENT"))))</f>
        <v/>
      </c>
      <c r="AS979" s="23">
        <f>IF(OR($AQ979="",$AR979="BREAKDOWN_REQUIRED"),"",$AQ979)</f>
        <v/>
      </c>
      <c r="AT979" s="23">
        <f>IF(OR($AR979="",$AR979="BREAKDOWN_REQUIRED"),"",SUM($J979,$AQ979,$Y979)-$X979)</f>
        <v/>
      </c>
      <c r="AU979" s="25">
        <f>IF(AND($A979="",$B979="",$F979="",$H979="",$J979="",$K979="",$M979="",$S979=""),"",IF(OR($H979="",$Q979="",$M979="",$S979=""),"ERROR",IF(OR($J979&lt;0,$K979&lt;0,$M979&lt;0,$T979&lt;0,$U979&lt;0,$V979&lt;0,$W979&lt;0,$X979&lt;0,$Y979&lt;0),"ERROR",IF($AE979="","ERROR",IF(AND(OR($S979="ITEM_PRICE_PLUS_DECLARED_DELIVERY",$S979="TOTAL_AMOUNT_INCLUDING_DELIVERY",$S979="ITEM_PRICE_ONLY_DELIVERY_PAID_BY_MERCHANT"),$J979=""),"ERROR",IF(AND(OR($S979="ITEM_PRICE_PLUS_DECLARED_DELIVERY",$S979="DELIVERY_CHARGE_ONLY"),$K979=""),"ERROR",IF(AND(OR($S979="TOTAL_AMOUNT_INCLUDING_DELIVERY",$S979="EXACT_COLLECTION_AMOUNT"),$T979=""),"ERROR",IF(AND($S979="TOTAL_AMOUNT_INCLUDING_DELIVERY",$T979&lt;SUM($J979,$U979)),"ERROR",IF($S979="EXACT_COLLECTION_AMOUNT","REVIEW","OK")))))))))</f>
        <v/>
      </c>
      <c r="AV979" s="25">
        <f>IF($AU979="","",IF($H979="","Township required",IF($Q979="","Customer tier required",IF($M979="","Weight required",IF($S979="","Amount entry type required",IF(OR($J979&lt;0,$K979&lt;0,$M979&lt;0,$T979&lt;0,$U979&lt;0,$V979&lt;0,$W979&lt;0,$X979&lt;0,$Y979&lt;0),"Negative amounts are not allowed",IF($AE979="","Tariff not found for township and tier",IF(AND(OR($S979="ITEM_PRICE_PLUS_DECLARED_DELIVERY",$S979="TOTAL_AMOUNT_INCLUDING_DELIVERY",$S979="ITEM_PRICE_ONLY_DELIVERY_PAID_BY_MERCHANT"),$J979=""),"Item price required for this amount type",IF(AND(OR($S979="ITEM_PRICE_PLUS_DECLARED_DELIVERY",$S979="DELIVERY_CHARGE_ONLY"),$K979=""),"Declared delivery charge required",IF(AND(OR($S979="TOTAL_AMOUNT_INCLUDING_DELIVERY",$S979="EXACT_COLLECTION_AMOUNT"),$T979=""),"Stated total amount required",IF(AND($S979="TOTAL_AMOUNT_INCLUDING_DELIVERY",$T979&lt;SUM($J979,$U979)),"Stated total is below item price plus additional charge",IF($S979="EXACT_COLLECTION_AMOUNT","Authorized amount breakdown required before settlement","Ready for collection and settlement"))))))))))))</f>
        <v/>
      </c>
      <c r="AW979" s="23">
        <f>IF($AU979="","","PARCEL_FINANCIAL_V2")</f>
        <v/>
      </c>
      <c r="AX979" s="17" t="n"/>
    </row>
    <row r="980">
      <c r="A980" s="8" t="n"/>
      <c r="B980" s="8" t="n"/>
      <c r="C980" s="8" t="n"/>
      <c r="D980" s="8" t="n"/>
      <c r="E980" s="9" t="n"/>
      <c r="F980" s="9" t="n"/>
      <c r="G980" s="8" t="n"/>
      <c r="H980" s="9" t="n"/>
      <c r="I980" s="9" t="n"/>
      <c r="J980" s="10" t="n"/>
      <c r="K980" s="10" t="n"/>
      <c r="L980" s="11">
        <f>IF($S980="","",IF($S980="ITEM_PRICE_PLUS_DECLARED_DELIVERY",IF(OR($J980="",$K980=""),"",SUM($J980,$K980,$U980)),IF($S980="TOTAL_AMOUNT_INCLUDING_DELIVERY",IF($T980="","",$T980),IF($S980="DELIVERY_CHARGE_ONLY",IF($K980="","",SUM($K980,$U980)),IF($S980="EXACT_COLLECTION_AMOUNT",IF($T980="","",$T980),IF($S980="ITEM_PRICE_ONLY_DELIVERY_PAID_BY_MERCHANT",IF($J980="","",SUM($J980,$U980)),""))))))</f>
        <v/>
      </c>
      <c r="M980" s="12" t="n"/>
      <c r="N980" s="13" t="n"/>
      <c r="O980" s="13" t="n"/>
      <c r="P980" s="9" t="n"/>
      <c r="Q980" s="14" t="n"/>
      <c r="R980" s="15" t="n"/>
      <c r="S980" s="14" t="n"/>
      <c r="T980" s="16" t="n"/>
      <c r="U980" s="16" t="n"/>
      <c r="V980" s="16" t="n"/>
      <c r="W980" s="16" t="n"/>
      <c r="X980" s="16" t="n"/>
      <c r="Y980" s="16" t="n"/>
      <c r="Z980" s="14" t="n"/>
      <c r="AA980" s="14" t="n"/>
      <c r="AB980" s="14" t="n"/>
      <c r="AC980" s="17">
        <f>IFERROR(VLOOKUP($H980&amp;"|"&amp;$Q980,Tariff_Master!$A$2:$L$169,3,FALSE),"")</f>
        <v/>
      </c>
      <c r="AD980" s="17">
        <f>IFERROR(VLOOKUP($H980&amp;"|"&amp;$Q980,Tariff_Master!$A$2:$L$169,4,FALSE),"")</f>
        <v/>
      </c>
      <c r="AE980" s="18">
        <f>IFERROR(VLOOKUP($H980&amp;"|"&amp;$Q980,Tariff_Master!$A$2:$L$169,6,FALSE),"")</f>
        <v/>
      </c>
      <c r="AF980" s="19">
        <f>IFERROR(VLOOKUP($H980&amp;"|"&amp;$Q980,Tariff_Master!$A$2:$L$169,7,FALSE),"")</f>
        <v/>
      </c>
      <c r="AG980" s="18">
        <f>IFERROR(VLOOKUP($H980&amp;"|"&amp;$Q980,Tariff_Master!$A$2:$L$169,8,FALSE),"")</f>
        <v/>
      </c>
      <c r="AH980" s="20">
        <f>IFERROR(VLOOKUP($H980&amp;"|"&amp;$Q980,Tariff_Master!$A$2:$L$169,9,FALSE),"")</f>
        <v/>
      </c>
      <c r="AI980" s="18">
        <f>IFERROR(VLOOKUP($H980&amp;"|"&amp;$Q980,Tariff_Master!$A$2:$L$169,10,FALSE),"")</f>
        <v/>
      </c>
      <c r="AJ980" s="21">
        <f>IF($M980="","",ROUNDUP(MAX(0,$M980),0))</f>
        <v/>
      </c>
      <c r="AK980" s="21">
        <f>IF(OR($AJ980="",$AF980=""),"",MAX(0,$AJ980-$AF980))</f>
        <v/>
      </c>
      <c r="AL980" s="22">
        <f>IF(OR($AK980="",$AG980=""),"",MAX(0,$AK980*$AG980))</f>
        <v/>
      </c>
      <c r="AM980" s="22">
        <f>IF($AE980="","",MAX(0,SUM($AE980,$AL980,$V980,$W980)))</f>
        <v/>
      </c>
      <c r="AN980" s="22">
        <f>IF($AM980="","",IF(AND($Q980="COMMITMENT",$R980&gt;=$AH980),$AI980,0))</f>
        <v/>
      </c>
      <c r="AO980" s="23">
        <f>IF($AM980="","",MAX(0,$AM980-$AN980))</f>
        <v/>
      </c>
      <c r="AP980" s="22">
        <f>IF($S980="","",IF(OR($S980="ITEM_PRICE_PLUS_DECLARED_DELIVERY",$S980="DELIVERY_CHARGE_ONLY"),$K980,IF($S980="TOTAL_AMOUNT_INCLUDING_DELIVERY",IF(OR($T980="",$J980=""),"",MAX(0,$T980-$J980-$U980)),IF($S980="ITEM_PRICE_ONLY_DELIVERY_PAID_BY_MERCHANT",0,""))))</f>
        <v/>
      </c>
      <c r="AQ980" s="23">
        <f>IF(OR($AP980="",$AO980=""),"",$AP980-$AO980)</f>
        <v/>
      </c>
      <c r="AR980" s="24">
        <f>IF($S980="EXACT_COLLECTION_AMOUNT","BREAKDOWN_REQUIRED",IF($AQ980="","",IF($AQ980&gt;0,"CREDIT_TO_MERCHANT",IF($AQ980&lt;0,"DEDUCT_FROM_MERCHANT","NO_ADJUSTMENT"))))</f>
        <v/>
      </c>
      <c r="AS980" s="23">
        <f>IF(OR($AQ980="",$AR980="BREAKDOWN_REQUIRED"),"",$AQ980)</f>
        <v/>
      </c>
      <c r="AT980" s="23">
        <f>IF(OR($AR980="",$AR980="BREAKDOWN_REQUIRED"),"",SUM($J980,$AQ980,$Y980)-$X980)</f>
        <v/>
      </c>
      <c r="AU980" s="25">
        <f>IF(AND($A980="",$B980="",$F980="",$H980="",$J980="",$K980="",$M980="",$S980=""),"",IF(OR($H980="",$Q980="",$M980="",$S980=""),"ERROR",IF(OR($J980&lt;0,$K980&lt;0,$M980&lt;0,$T980&lt;0,$U980&lt;0,$V980&lt;0,$W980&lt;0,$X980&lt;0,$Y980&lt;0),"ERROR",IF($AE980="","ERROR",IF(AND(OR($S980="ITEM_PRICE_PLUS_DECLARED_DELIVERY",$S980="TOTAL_AMOUNT_INCLUDING_DELIVERY",$S980="ITEM_PRICE_ONLY_DELIVERY_PAID_BY_MERCHANT"),$J980=""),"ERROR",IF(AND(OR($S980="ITEM_PRICE_PLUS_DECLARED_DELIVERY",$S980="DELIVERY_CHARGE_ONLY"),$K980=""),"ERROR",IF(AND(OR($S980="TOTAL_AMOUNT_INCLUDING_DELIVERY",$S980="EXACT_COLLECTION_AMOUNT"),$T980=""),"ERROR",IF(AND($S980="TOTAL_AMOUNT_INCLUDING_DELIVERY",$T980&lt;SUM($J980,$U980)),"ERROR",IF($S980="EXACT_COLLECTION_AMOUNT","REVIEW","OK")))))))))</f>
        <v/>
      </c>
      <c r="AV980" s="25">
        <f>IF($AU980="","",IF($H980="","Township required",IF($Q980="","Customer tier required",IF($M980="","Weight required",IF($S980="","Amount entry type required",IF(OR($J980&lt;0,$K980&lt;0,$M980&lt;0,$T980&lt;0,$U980&lt;0,$V980&lt;0,$W980&lt;0,$X980&lt;0,$Y980&lt;0),"Negative amounts are not allowed",IF($AE980="","Tariff not found for township and tier",IF(AND(OR($S980="ITEM_PRICE_PLUS_DECLARED_DELIVERY",$S980="TOTAL_AMOUNT_INCLUDING_DELIVERY",$S980="ITEM_PRICE_ONLY_DELIVERY_PAID_BY_MERCHANT"),$J980=""),"Item price required for this amount type",IF(AND(OR($S980="ITEM_PRICE_PLUS_DECLARED_DELIVERY",$S980="DELIVERY_CHARGE_ONLY"),$K980=""),"Declared delivery charge required",IF(AND(OR($S980="TOTAL_AMOUNT_INCLUDING_DELIVERY",$S980="EXACT_COLLECTION_AMOUNT"),$T980=""),"Stated total amount required",IF(AND($S980="TOTAL_AMOUNT_INCLUDING_DELIVERY",$T980&lt;SUM($J980,$U980)),"Stated total is below item price plus additional charge",IF($S980="EXACT_COLLECTION_AMOUNT","Authorized amount breakdown required before settlement","Ready for collection and settlement"))))))))))))</f>
        <v/>
      </c>
      <c r="AW980" s="23">
        <f>IF($AU980="","","PARCEL_FINANCIAL_V2")</f>
        <v/>
      </c>
      <c r="AX980" s="17" t="n"/>
    </row>
    <row r="981">
      <c r="A981" s="8" t="n"/>
      <c r="B981" s="8" t="n"/>
      <c r="C981" s="8" t="n"/>
      <c r="D981" s="8" t="n"/>
      <c r="E981" s="9" t="n"/>
      <c r="F981" s="9" t="n"/>
      <c r="G981" s="8" t="n"/>
      <c r="H981" s="9" t="n"/>
      <c r="I981" s="9" t="n"/>
      <c r="J981" s="10" t="n"/>
      <c r="K981" s="10" t="n"/>
      <c r="L981" s="11">
        <f>IF($S981="","",IF($S981="ITEM_PRICE_PLUS_DECLARED_DELIVERY",IF(OR($J981="",$K981=""),"",SUM($J981,$K981,$U981)),IF($S981="TOTAL_AMOUNT_INCLUDING_DELIVERY",IF($T981="","",$T981),IF($S981="DELIVERY_CHARGE_ONLY",IF($K981="","",SUM($K981,$U981)),IF($S981="EXACT_COLLECTION_AMOUNT",IF($T981="","",$T981),IF($S981="ITEM_PRICE_ONLY_DELIVERY_PAID_BY_MERCHANT",IF($J981="","",SUM($J981,$U981)),""))))))</f>
        <v/>
      </c>
      <c r="M981" s="12" t="n"/>
      <c r="N981" s="13" t="n"/>
      <c r="O981" s="13" t="n"/>
      <c r="P981" s="9" t="n"/>
      <c r="Q981" s="14" t="n"/>
      <c r="R981" s="15" t="n"/>
      <c r="S981" s="14" t="n"/>
      <c r="T981" s="16" t="n"/>
      <c r="U981" s="16" t="n"/>
      <c r="V981" s="16" t="n"/>
      <c r="W981" s="16" t="n"/>
      <c r="X981" s="16" t="n"/>
      <c r="Y981" s="16" t="n"/>
      <c r="Z981" s="14" t="n"/>
      <c r="AA981" s="14" t="n"/>
      <c r="AB981" s="14" t="n"/>
      <c r="AC981" s="17">
        <f>IFERROR(VLOOKUP($H981&amp;"|"&amp;$Q981,Tariff_Master!$A$2:$L$169,3,FALSE),"")</f>
        <v/>
      </c>
      <c r="AD981" s="17">
        <f>IFERROR(VLOOKUP($H981&amp;"|"&amp;$Q981,Tariff_Master!$A$2:$L$169,4,FALSE),"")</f>
        <v/>
      </c>
      <c r="AE981" s="18">
        <f>IFERROR(VLOOKUP($H981&amp;"|"&amp;$Q981,Tariff_Master!$A$2:$L$169,6,FALSE),"")</f>
        <v/>
      </c>
      <c r="AF981" s="19">
        <f>IFERROR(VLOOKUP($H981&amp;"|"&amp;$Q981,Tariff_Master!$A$2:$L$169,7,FALSE),"")</f>
        <v/>
      </c>
      <c r="AG981" s="18">
        <f>IFERROR(VLOOKUP($H981&amp;"|"&amp;$Q981,Tariff_Master!$A$2:$L$169,8,FALSE),"")</f>
        <v/>
      </c>
      <c r="AH981" s="20">
        <f>IFERROR(VLOOKUP($H981&amp;"|"&amp;$Q981,Tariff_Master!$A$2:$L$169,9,FALSE),"")</f>
        <v/>
      </c>
      <c r="AI981" s="18">
        <f>IFERROR(VLOOKUP($H981&amp;"|"&amp;$Q981,Tariff_Master!$A$2:$L$169,10,FALSE),"")</f>
        <v/>
      </c>
      <c r="AJ981" s="21">
        <f>IF($M981="","",ROUNDUP(MAX(0,$M981),0))</f>
        <v/>
      </c>
      <c r="AK981" s="21">
        <f>IF(OR($AJ981="",$AF981=""),"",MAX(0,$AJ981-$AF981))</f>
        <v/>
      </c>
      <c r="AL981" s="22">
        <f>IF(OR($AK981="",$AG981=""),"",MAX(0,$AK981*$AG981))</f>
        <v/>
      </c>
      <c r="AM981" s="22">
        <f>IF($AE981="","",MAX(0,SUM($AE981,$AL981,$V981,$W981)))</f>
        <v/>
      </c>
      <c r="AN981" s="22">
        <f>IF($AM981="","",IF(AND($Q981="COMMITMENT",$R981&gt;=$AH981),$AI981,0))</f>
        <v/>
      </c>
      <c r="AO981" s="23">
        <f>IF($AM981="","",MAX(0,$AM981-$AN981))</f>
        <v/>
      </c>
      <c r="AP981" s="22">
        <f>IF($S981="","",IF(OR($S981="ITEM_PRICE_PLUS_DECLARED_DELIVERY",$S981="DELIVERY_CHARGE_ONLY"),$K981,IF($S981="TOTAL_AMOUNT_INCLUDING_DELIVERY",IF(OR($T981="",$J981=""),"",MAX(0,$T981-$J981-$U981)),IF($S981="ITEM_PRICE_ONLY_DELIVERY_PAID_BY_MERCHANT",0,""))))</f>
        <v/>
      </c>
      <c r="AQ981" s="23">
        <f>IF(OR($AP981="",$AO981=""),"",$AP981-$AO981)</f>
        <v/>
      </c>
      <c r="AR981" s="24">
        <f>IF($S981="EXACT_COLLECTION_AMOUNT","BREAKDOWN_REQUIRED",IF($AQ981="","",IF($AQ981&gt;0,"CREDIT_TO_MERCHANT",IF($AQ981&lt;0,"DEDUCT_FROM_MERCHANT","NO_ADJUSTMENT"))))</f>
        <v/>
      </c>
      <c r="AS981" s="23">
        <f>IF(OR($AQ981="",$AR981="BREAKDOWN_REQUIRED"),"",$AQ981)</f>
        <v/>
      </c>
      <c r="AT981" s="23">
        <f>IF(OR($AR981="",$AR981="BREAKDOWN_REQUIRED"),"",SUM($J981,$AQ981,$Y981)-$X981)</f>
        <v/>
      </c>
      <c r="AU981" s="25">
        <f>IF(AND($A981="",$B981="",$F981="",$H981="",$J981="",$K981="",$M981="",$S981=""),"",IF(OR($H981="",$Q981="",$M981="",$S981=""),"ERROR",IF(OR($J981&lt;0,$K981&lt;0,$M981&lt;0,$T981&lt;0,$U981&lt;0,$V981&lt;0,$W981&lt;0,$X981&lt;0,$Y981&lt;0),"ERROR",IF($AE981="","ERROR",IF(AND(OR($S981="ITEM_PRICE_PLUS_DECLARED_DELIVERY",$S981="TOTAL_AMOUNT_INCLUDING_DELIVERY",$S981="ITEM_PRICE_ONLY_DELIVERY_PAID_BY_MERCHANT"),$J981=""),"ERROR",IF(AND(OR($S981="ITEM_PRICE_PLUS_DECLARED_DELIVERY",$S981="DELIVERY_CHARGE_ONLY"),$K981=""),"ERROR",IF(AND(OR($S981="TOTAL_AMOUNT_INCLUDING_DELIVERY",$S981="EXACT_COLLECTION_AMOUNT"),$T981=""),"ERROR",IF(AND($S981="TOTAL_AMOUNT_INCLUDING_DELIVERY",$T981&lt;SUM($J981,$U981)),"ERROR",IF($S981="EXACT_COLLECTION_AMOUNT","REVIEW","OK")))))))))</f>
        <v/>
      </c>
      <c r="AV981" s="25">
        <f>IF($AU981="","",IF($H981="","Township required",IF($Q981="","Customer tier required",IF($M981="","Weight required",IF($S981="","Amount entry type required",IF(OR($J981&lt;0,$K981&lt;0,$M981&lt;0,$T981&lt;0,$U981&lt;0,$V981&lt;0,$W981&lt;0,$X981&lt;0,$Y981&lt;0),"Negative amounts are not allowed",IF($AE981="","Tariff not found for township and tier",IF(AND(OR($S981="ITEM_PRICE_PLUS_DECLARED_DELIVERY",$S981="TOTAL_AMOUNT_INCLUDING_DELIVERY",$S981="ITEM_PRICE_ONLY_DELIVERY_PAID_BY_MERCHANT"),$J981=""),"Item price required for this amount type",IF(AND(OR($S981="ITEM_PRICE_PLUS_DECLARED_DELIVERY",$S981="DELIVERY_CHARGE_ONLY"),$K981=""),"Declared delivery charge required",IF(AND(OR($S981="TOTAL_AMOUNT_INCLUDING_DELIVERY",$S981="EXACT_COLLECTION_AMOUNT"),$T981=""),"Stated total amount required",IF(AND($S981="TOTAL_AMOUNT_INCLUDING_DELIVERY",$T981&lt;SUM($J981,$U981)),"Stated total is below item price plus additional charge",IF($S981="EXACT_COLLECTION_AMOUNT","Authorized amount breakdown required before settlement","Ready for collection and settlement"))))))))))))</f>
        <v/>
      </c>
      <c r="AW981" s="23">
        <f>IF($AU981="","","PARCEL_FINANCIAL_V2")</f>
        <v/>
      </c>
      <c r="AX981" s="17" t="n"/>
    </row>
    <row r="982">
      <c r="A982" s="8" t="n"/>
      <c r="B982" s="8" t="n"/>
      <c r="C982" s="8" t="n"/>
      <c r="D982" s="8" t="n"/>
      <c r="E982" s="9" t="n"/>
      <c r="F982" s="9" t="n"/>
      <c r="G982" s="8" t="n"/>
      <c r="H982" s="9" t="n"/>
      <c r="I982" s="9" t="n"/>
      <c r="J982" s="10" t="n"/>
      <c r="K982" s="10" t="n"/>
      <c r="L982" s="11">
        <f>IF($S982="","",IF($S982="ITEM_PRICE_PLUS_DECLARED_DELIVERY",IF(OR($J982="",$K982=""),"",SUM($J982,$K982,$U982)),IF($S982="TOTAL_AMOUNT_INCLUDING_DELIVERY",IF($T982="","",$T982),IF($S982="DELIVERY_CHARGE_ONLY",IF($K982="","",SUM($K982,$U982)),IF($S982="EXACT_COLLECTION_AMOUNT",IF($T982="","",$T982),IF($S982="ITEM_PRICE_ONLY_DELIVERY_PAID_BY_MERCHANT",IF($J982="","",SUM($J982,$U982)),""))))))</f>
        <v/>
      </c>
      <c r="M982" s="12" t="n"/>
      <c r="N982" s="13" t="n"/>
      <c r="O982" s="13" t="n"/>
      <c r="P982" s="9" t="n"/>
      <c r="Q982" s="14" t="n"/>
      <c r="R982" s="15" t="n"/>
      <c r="S982" s="14" t="n"/>
      <c r="T982" s="16" t="n"/>
      <c r="U982" s="16" t="n"/>
      <c r="V982" s="16" t="n"/>
      <c r="W982" s="16" t="n"/>
      <c r="X982" s="16" t="n"/>
      <c r="Y982" s="16" t="n"/>
      <c r="Z982" s="14" t="n"/>
      <c r="AA982" s="14" t="n"/>
      <c r="AB982" s="14" t="n"/>
      <c r="AC982" s="17">
        <f>IFERROR(VLOOKUP($H982&amp;"|"&amp;$Q982,Tariff_Master!$A$2:$L$169,3,FALSE),"")</f>
        <v/>
      </c>
      <c r="AD982" s="17">
        <f>IFERROR(VLOOKUP($H982&amp;"|"&amp;$Q982,Tariff_Master!$A$2:$L$169,4,FALSE),"")</f>
        <v/>
      </c>
      <c r="AE982" s="18">
        <f>IFERROR(VLOOKUP($H982&amp;"|"&amp;$Q982,Tariff_Master!$A$2:$L$169,6,FALSE),"")</f>
        <v/>
      </c>
      <c r="AF982" s="19">
        <f>IFERROR(VLOOKUP($H982&amp;"|"&amp;$Q982,Tariff_Master!$A$2:$L$169,7,FALSE),"")</f>
        <v/>
      </c>
      <c r="AG982" s="18">
        <f>IFERROR(VLOOKUP($H982&amp;"|"&amp;$Q982,Tariff_Master!$A$2:$L$169,8,FALSE),"")</f>
        <v/>
      </c>
      <c r="AH982" s="20">
        <f>IFERROR(VLOOKUP($H982&amp;"|"&amp;$Q982,Tariff_Master!$A$2:$L$169,9,FALSE),"")</f>
        <v/>
      </c>
      <c r="AI982" s="18">
        <f>IFERROR(VLOOKUP($H982&amp;"|"&amp;$Q982,Tariff_Master!$A$2:$L$169,10,FALSE),"")</f>
        <v/>
      </c>
      <c r="AJ982" s="21">
        <f>IF($M982="","",ROUNDUP(MAX(0,$M982),0))</f>
        <v/>
      </c>
      <c r="AK982" s="21">
        <f>IF(OR($AJ982="",$AF982=""),"",MAX(0,$AJ982-$AF982))</f>
        <v/>
      </c>
      <c r="AL982" s="22">
        <f>IF(OR($AK982="",$AG982=""),"",MAX(0,$AK982*$AG982))</f>
        <v/>
      </c>
      <c r="AM982" s="22">
        <f>IF($AE982="","",MAX(0,SUM($AE982,$AL982,$V982,$W982)))</f>
        <v/>
      </c>
      <c r="AN982" s="22">
        <f>IF($AM982="","",IF(AND($Q982="COMMITMENT",$R982&gt;=$AH982),$AI982,0))</f>
        <v/>
      </c>
      <c r="AO982" s="23">
        <f>IF($AM982="","",MAX(0,$AM982-$AN982))</f>
        <v/>
      </c>
      <c r="AP982" s="22">
        <f>IF($S982="","",IF(OR($S982="ITEM_PRICE_PLUS_DECLARED_DELIVERY",$S982="DELIVERY_CHARGE_ONLY"),$K982,IF($S982="TOTAL_AMOUNT_INCLUDING_DELIVERY",IF(OR($T982="",$J982=""),"",MAX(0,$T982-$J982-$U982)),IF($S982="ITEM_PRICE_ONLY_DELIVERY_PAID_BY_MERCHANT",0,""))))</f>
        <v/>
      </c>
      <c r="AQ982" s="23">
        <f>IF(OR($AP982="",$AO982=""),"",$AP982-$AO982)</f>
        <v/>
      </c>
      <c r="AR982" s="24">
        <f>IF($S982="EXACT_COLLECTION_AMOUNT","BREAKDOWN_REQUIRED",IF($AQ982="","",IF($AQ982&gt;0,"CREDIT_TO_MERCHANT",IF($AQ982&lt;0,"DEDUCT_FROM_MERCHANT","NO_ADJUSTMENT"))))</f>
        <v/>
      </c>
      <c r="AS982" s="23">
        <f>IF(OR($AQ982="",$AR982="BREAKDOWN_REQUIRED"),"",$AQ982)</f>
        <v/>
      </c>
      <c r="AT982" s="23">
        <f>IF(OR($AR982="",$AR982="BREAKDOWN_REQUIRED"),"",SUM($J982,$AQ982,$Y982)-$X982)</f>
        <v/>
      </c>
      <c r="AU982" s="25">
        <f>IF(AND($A982="",$B982="",$F982="",$H982="",$J982="",$K982="",$M982="",$S982=""),"",IF(OR($H982="",$Q982="",$M982="",$S982=""),"ERROR",IF(OR($J982&lt;0,$K982&lt;0,$M982&lt;0,$T982&lt;0,$U982&lt;0,$V982&lt;0,$W982&lt;0,$X982&lt;0,$Y982&lt;0),"ERROR",IF($AE982="","ERROR",IF(AND(OR($S982="ITEM_PRICE_PLUS_DECLARED_DELIVERY",$S982="TOTAL_AMOUNT_INCLUDING_DELIVERY",$S982="ITEM_PRICE_ONLY_DELIVERY_PAID_BY_MERCHANT"),$J982=""),"ERROR",IF(AND(OR($S982="ITEM_PRICE_PLUS_DECLARED_DELIVERY",$S982="DELIVERY_CHARGE_ONLY"),$K982=""),"ERROR",IF(AND(OR($S982="TOTAL_AMOUNT_INCLUDING_DELIVERY",$S982="EXACT_COLLECTION_AMOUNT"),$T982=""),"ERROR",IF(AND($S982="TOTAL_AMOUNT_INCLUDING_DELIVERY",$T982&lt;SUM($J982,$U982)),"ERROR",IF($S982="EXACT_COLLECTION_AMOUNT","REVIEW","OK")))))))))</f>
        <v/>
      </c>
      <c r="AV982" s="25">
        <f>IF($AU982="","",IF($H982="","Township required",IF($Q982="","Customer tier required",IF($M982="","Weight required",IF($S982="","Amount entry type required",IF(OR($J982&lt;0,$K982&lt;0,$M982&lt;0,$T982&lt;0,$U982&lt;0,$V982&lt;0,$W982&lt;0,$X982&lt;0,$Y982&lt;0),"Negative amounts are not allowed",IF($AE982="","Tariff not found for township and tier",IF(AND(OR($S982="ITEM_PRICE_PLUS_DECLARED_DELIVERY",$S982="TOTAL_AMOUNT_INCLUDING_DELIVERY",$S982="ITEM_PRICE_ONLY_DELIVERY_PAID_BY_MERCHANT"),$J982=""),"Item price required for this amount type",IF(AND(OR($S982="ITEM_PRICE_PLUS_DECLARED_DELIVERY",$S982="DELIVERY_CHARGE_ONLY"),$K982=""),"Declared delivery charge required",IF(AND(OR($S982="TOTAL_AMOUNT_INCLUDING_DELIVERY",$S982="EXACT_COLLECTION_AMOUNT"),$T982=""),"Stated total amount required",IF(AND($S982="TOTAL_AMOUNT_INCLUDING_DELIVERY",$T982&lt;SUM($J982,$U982)),"Stated total is below item price plus additional charge",IF($S982="EXACT_COLLECTION_AMOUNT","Authorized amount breakdown required before settlement","Ready for collection and settlement"))))))))))))</f>
        <v/>
      </c>
      <c r="AW982" s="23">
        <f>IF($AU982="","","PARCEL_FINANCIAL_V2")</f>
        <v/>
      </c>
      <c r="AX982" s="17" t="n"/>
    </row>
    <row r="983">
      <c r="A983" s="8" t="n"/>
      <c r="B983" s="8" t="n"/>
      <c r="C983" s="8" t="n"/>
      <c r="D983" s="8" t="n"/>
      <c r="E983" s="9" t="n"/>
      <c r="F983" s="9" t="n"/>
      <c r="G983" s="8" t="n"/>
      <c r="H983" s="9" t="n"/>
      <c r="I983" s="9" t="n"/>
      <c r="J983" s="10" t="n"/>
      <c r="K983" s="10" t="n"/>
      <c r="L983" s="11">
        <f>IF($S983="","",IF($S983="ITEM_PRICE_PLUS_DECLARED_DELIVERY",IF(OR($J983="",$K983=""),"",SUM($J983,$K983,$U983)),IF($S983="TOTAL_AMOUNT_INCLUDING_DELIVERY",IF($T983="","",$T983),IF($S983="DELIVERY_CHARGE_ONLY",IF($K983="","",SUM($K983,$U983)),IF($S983="EXACT_COLLECTION_AMOUNT",IF($T983="","",$T983),IF($S983="ITEM_PRICE_ONLY_DELIVERY_PAID_BY_MERCHANT",IF($J983="","",SUM($J983,$U983)),""))))))</f>
        <v/>
      </c>
      <c r="M983" s="12" t="n"/>
      <c r="N983" s="13" t="n"/>
      <c r="O983" s="13" t="n"/>
      <c r="P983" s="9" t="n"/>
      <c r="Q983" s="14" t="n"/>
      <c r="R983" s="15" t="n"/>
      <c r="S983" s="14" t="n"/>
      <c r="T983" s="16" t="n"/>
      <c r="U983" s="16" t="n"/>
      <c r="V983" s="16" t="n"/>
      <c r="W983" s="16" t="n"/>
      <c r="X983" s="16" t="n"/>
      <c r="Y983" s="16" t="n"/>
      <c r="Z983" s="14" t="n"/>
      <c r="AA983" s="14" t="n"/>
      <c r="AB983" s="14" t="n"/>
      <c r="AC983" s="17">
        <f>IFERROR(VLOOKUP($H983&amp;"|"&amp;$Q983,Tariff_Master!$A$2:$L$169,3,FALSE),"")</f>
        <v/>
      </c>
      <c r="AD983" s="17">
        <f>IFERROR(VLOOKUP($H983&amp;"|"&amp;$Q983,Tariff_Master!$A$2:$L$169,4,FALSE),"")</f>
        <v/>
      </c>
      <c r="AE983" s="18">
        <f>IFERROR(VLOOKUP($H983&amp;"|"&amp;$Q983,Tariff_Master!$A$2:$L$169,6,FALSE),"")</f>
        <v/>
      </c>
      <c r="AF983" s="19">
        <f>IFERROR(VLOOKUP($H983&amp;"|"&amp;$Q983,Tariff_Master!$A$2:$L$169,7,FALSE),"")</f>
        <v/>
      </c>
      <c r="AG983" s="18">
        <f>IFERROR(VLOOKUP($H983&amp;"|"&amp;$Q983,Tariff_Master!$A$2:$L$169,8,FALSE),"")</f>
        <v/>
      </c>
      <c r="AH983" s="20">
        <f>IFERROR(VLOOKUP($H983&amp;"|"&amp;$Q983,Tariff_Master!$A$2:$L$169,9,FALSE),"")</f>
        <v/>
      </c>
      <c r="AI983" s="18">
        <f>IFERROR(VLOOKUP($H983&amp;"|"&amp;$Q983,Tariff_Master!$A$2:$L$169,10,FALSE),"")</f>
        <v/>
      </c>
      <c r="AJ983" s="21">
        <f>IF($M983="","",ROUNDUP(MAX(0,$M983),0))</f>
        <v/>
      </c>
      <c r="AK983" s="21">
        <f>IF(OR($AJ983="",$AF983=""),"",MAX(0,$AJ983-$AF983))</f>
        <v/>
      </c>
      <c r="AL983" s="22">
        <f>IF(OR($AK983="",$AG983=""),"",MAX(0,$AK983*$AG983))</f>
        <v/>
      </c>
      <c r="AM983" s="22">
        <f>IF($AE983="","",MAX(0,SUM($AE983,$AL983,$V983,$W983)))</f>
        <v/>
      </c>
      <c r="AN983" s="22">
        <f>IF($AM983="","",IF(AND($Q983="COMMITMENT",$R983&gt;=$AH983),$AI983,0))</f>
        <v/>
      </c>
      <c r="AO983" s="23">
        <f>IF($AM983="","",MAX(0,$AM983-$AN983))</f>
        <v/>
      </c>
      <c r="AP983" s="22">
        <f>IF($S983="","",IF(OR($S983="ITEM_PRICE_PLUS_DECLARED_DELIVERY",$S983="DELIVERY_CHARGE_ONLY"),$K983,IF($S983="TOTAL_AMOUNT_INCLUDING_DELIVERY",IF(OR($T983="",$J983=""),"",MAX(0,$T983-$J983-$U983)),IF($S983="ITEM_PRICE_ONLY_DELIVERY_PAID_BY_MERCHANT",0,""))))</f>
        <v/>
      </c>
      <c r="AQ983" s="23">
        <f>IF(OR($AP983="",$AO983=""),"",$AP983-$AO983)</f>
        <v/>
      </c>
      <c r="AR983" s="24">
        <f>IF($S983="EXACT_COLLECTION_AMOUNT","BREAKDOWN_REQUIRED",IF($AQ983="","",IF($AQ983&gt;0,"CREDIT_TO_MERCHANT",IF($AQ983&lt;0,"DEDUCT_FROM_MERCHANT","NO_ADJUSTMENT"))))</f>
        <v/>
      </c>
      <c r="AS983" s="23">
        <f>IF(OR($AQ983="",$AR983="BREAKDOWN_REQUIRED"),"",$AQ983)</f>
        <v/>
      </c>
      <c r="AT983" s="23">
        <f>IF(OR($AR983="",$AR983="BREAKDOWN_REQUIRED"),"",SUM($J983,$AQ983,$Y983)-$X983)</f>
        <v/>
      </c>
      <c r="AU983" s="25">
        <f>IF(AND($A983="",$B983="",$F983="",$H983="",$J983="",$K983="",$M983="",$S983=""),"",IF(OR($H983="",$Q983="",$M983="",$S983=""),"ERROR",IF(OR($J983&lt;0,$K983&lt;0,$M983&lt;0,$T983&lt;0,$U983&lt;0,$V983&lt;0,$W983&lt;0,$X983&lt;0,$Y983&lt;0),"ERROR",IF($AE983="","ERROR",IF(AND(OR($S983="ITEM_PRICE_PLUS_DECLARED_DELIVERY",$S983="TOTAL_AMOUNT_INCLUDING_DELIVERY",$S983="ITEM_PRICE_ONLY_DELIVERY_PAID_BY_MERCHANT"),$J983=""),"ERROR",IF(AND(OR($S983="ITEM_PRICE_PLUS_DECLARED_DELIVERY",$S983="DELIVERY_CHARGE_ONLY"),$K983=""),"ERROR",IF(AND(OR($S983="TOTAL_AMOUNT_INCLUDING_DELIVERY",$S983="EXACT_COLLECTION_AMOUNT"),$T983=""),"ERROR",IF(AND($S983="TOTAL_AMOUNT_INCLUDING_DELIVERY",$T983&lt;SUM($J983,$U983)),"ERROR",IF($S983="EXACT_COLLECTION_AMOUNT","REVIEW","OK")))))))))</f>
        <v/>
      </c>
      <c r="AV983" s="25">
        <f>IF($AU983="","",IF($H983="","Township required",IF($Q983="","Customer tier required",IF($M983="","Weight required",IF($S983="","Amount entry type required",IF(OR($J983&lt;0,$K983&lt;0,$M983&lt;0,$T983&lt;0,$U983&lt;0,$V983&lt;0,$W983&lt;0,$X983&lt;0,$Y983&lt;0),"Negative amounts are not allowed",IF($AE983="","Tariff not found for township and tier",IF(AND(OR($S983="ITEM_PRICE_PLUS_DECLARED_DELIVERY",$S983="TOTAL_AMOUNT_INCLUDING_DELIVERY",$S983="ITEM_PRICE_ONLY_DELIVERY_PAID_BY_MERCHANT"),$J983=""),"Item price required for this amount type",IF(AND(OR($S983="ITEM_PRICE_PLUS_DECLARED_DELIVERY",$S983="DELIVERY_CHARGE_ONLY"),$K983=""),"Declared delivery charge required",IF(AND(OR($S983="TOTAL_AMOUNT_INCLUDING_DELIVERY",$S983="EXACT_COLLECTION_AMOUNT"),$T983=""),"Stated total amount required",IF(AND($S983="TOTAL_AMOUNT_INCLUDING_DELIVERY",$T983&lt;SUM($J983,$U983)),"Stated total is below item price plus additional charge",IF($S983="EXACT_COLLECTION_AMOUNT","Authorized amount breakdown required before settlement","Ready for collection and settlement"))))))))))))</f>
        <v/>
      </c>
      <c r="AW983" s="23">
        <f>IF($AU983="","","PARCEL_FINANCIAL_V2")</f>
        <v/>
      </c>
      <c r="AX983" s="17" t="n"/>
    </row>
    <row r="984">
      <c r="A984" s="8" t="n"/>
      <c r="B984" s="8" t="n"/>
      <c r="C984" s="8" t="n"/>
      <c r="D984" s="8" t="n"/>
      <c r="E984" s="9" t="n"/>
      <c r="F984" s="9" t="n"/>
      <c r="G984" s="8" t="n"/>
      <c r="H984" s="9" t="n"/>
      <c r="I984" s="9" t="n"/>
      <c r="J984" s="10" t="n"/>
      <c r="K984" s="10" t="n"/>
      <c r="L984" s="11">
        <f>IF($S984="","",IF($S984="ITEM_PRICE_PLUS_DECLARED_DELIVERY",IF(OR($J984="",$K984=""),"",SUM($J984,$K984,$U984)),IF($S984="TOTAL_AMOUNT_INCLUDING_DELIVERY",IF($T984="","",$T984),IF($S984="DELIVERY_CHARGE_ONLY",IF($K984="","",SUM($K984,$U984)),IF($S984="EXACT_COLLECTION_AMOUNT",IF($T984="","",$T984),IF($S984="ITEM_PRICE_ONLY_DELIVERY_PAID_BY_MERCHANT",IF($J984="","",SUM($J984,$U984)),""))))))</f>
        <v/>
      </c>
      <c r="M984" s="12" t="n"/>
      <c r="N984" s="13" t="n"/>
      <c r="O984" s="13" t="n"/>
      <c r="P984" s="9" t="n"/>
      <c r="Q984" s="14" t="n"/>
      <c r="R984" s="15" t="n"/>
      <c r="S984" s="14" t="n"/>
      <c r="T984" s="16" t="n"/>
      <c r="U984" s="16" t="n"/>
      <c r="V984" s="16" t="n"/>
      <c r="W984" s="16" t="n"/>
      <c r="X984" s="16" t="n"/>
      <c r="Y984" s="16" t="n"/>
      <c r="Z984" s="14" t="n"/>
      <c r="AA984" s="14" t="n"/>
      <c r="AB984" s="14" t="n"/>
      <c r="AC984" s="17">
        <f>IFERROR(VLOOKUP($H984&amp;"|"&amp;$Q984,Tariff_Master!$A$2:$L$169,3,FALSE),"")</f>
        <v/>
      </c>
      <c r="AD984" s="17">
        <f>IFERROR(VLOOKUP($H984&amp;"|"&amp;$Q984,Tariff_Master!$A$2:$L$169,4,FALSE),"")</f>
        <v/>
      </c>
      <c r="AE984" s="18">
        <f>IFERROR(VLOOKUP($H984&amp;"|"&amp;$Q984,Tariff_Master!$A$2:$L$169,6,FALSE),"")</f>
        <v/>
      </c>
      <c r="AF984" s="19">
        <f>IFERROR(VLOOKUP($H984&amp;"|"&amp;$Q984,Tariff_Master!$A$2:$L$169,7,FALSE),"")</f>
        <v/>
      </c>
      <c r="AG984" s="18">
        <f>IFERROR(VLOOKUP($H984&amp;"|"&amp;$Q984,Tariff_Master!$A$2:$L$169,8,FALSE),"")</f>
        <v/>
      </c>
      <c r="AH984" s="20">
        <f>IFERROR(VLOOKUP($H984&amp;"|"&amp;$Q984,Tariff_Master!$A$2:$L$169,9,FALSE),"")</f>
        <v/>
      </c>
      <c r="AI984" s="18">
        <f>IFERROR(VLOOKUP($H984&amp;"|"&amp;$Q984,Tariff_Master!$A$2:$L$169,10,FALSE),"")</f>
        <v/>
      </c>
      <c r="AJ984" s="21">
        <f>IF($M984="","",ROUNDUP(MAX(0,$M984),0))</f>
        <v/>
      </c>
      <c r="AK984" s="21">
        <f>IF(OR($AJ984="",$AF984=""),"",MAX(0,$AJ984-$AF984))</f>
        <v/>
      </c>
      <c r="AL984" s="22">
        <f>IF(OR($AK984="",$AG984=""),"",MAX(0,$AK984*$AG984))</f>
        <v/>
      </c>
      <c r="AM984" s="22">
        <f>IF($AE984="","",MAX(0,SUM($AE984,$AL984,$V984,$W984)))</f>
        <v/>
      </c>
      <c r="AN984" s="22">
        <f>IF($AM984="","",IF(AND($Q984="COMMITMENT",$R984&gt;=$AH984),$AI984,0))</f>
        <v/>
      </c>
      <c r="AO984" s="23">
        <f>IF($AM984="","",MAX(0,$AM984-$AN984))</f>
        <v/>
      </c>
      <c r="AP984" s="22">
        <f>IF($S984="","",IF(OR($S984="ITEM_PRICE_PLUS_DECLARED_DELIVERY",$S984="DELIVERY_CHARGE_ONLY"),$K984,IF($S984="TOTAL_AMOUNT_INCLUDING_DELIVERY",IF(OR($T984="",$J984=""),"",MAX(0,$T984-$J984-$U984)),IF($S984="ITEM_PRICE_ONLY_DELIVERY_PAID_BY_MERCHANT",0,""))))</f>
        <v/>
      </c>
      <c r="AQ984" s="23">
        <f>IF(OR($AP984="",$AO984=""),"",$AP984-$AO984)</f>
        <v/>
      </c>
      <c r="AR984" s="24">
        <f>IF($S984="EXACT_COLLECTION_AMOUNT","BREAKDOWN_REQUIRED",IF($AQ984="","",IF($AQ984&gt;0,"CREDIT_TO_MERCHANT",IF($AQ984&lt;0,"DEDUCT_FROM_MERCHANT","NO_ADJUSTMENT"))))</f>
        <v/>
      </c>
      <c r="AS984" s="23">
        <f>IF(OR($AQ984="",$AR984="BREAKDOWN_REQUIRED"),"",$AQ984)</f>
        <v/>
      </c>
      <c r="AT984" s="23">
        <f>IF(OR($AR984="",$AR984="BREAKDOWN_REQUIRED"),"",SUM($J984,$AQ984,$Y984)-$X984)</f>
        <v/>
      </c>
      <c r="AU984" s="25">
        <f>IF(AND($A984="",$B984="",$F984="",$H984="",$J984="",$K984="",$M984="",$S984=""),"",IF(OR($H984="",$Q984="",$M984="",$S984=""),"ERROR",IF(OR($J984&lt;0,$K984&lt;0,$M984&lt;0,$T984&lt;0,$U984&lt;0,$V984&lt;0,$W984&lt;0,$X984&lt;0,$Y984&lt;0),"ERROR",IF($AE984="","ERROR",IF(AND(OR($S984="ITEM_PRICE_PLUS_DECLARED_DELIVERY",$S984="TOTAL_AMOUNT_INCLUDING_DELIVERY",$S984="ITEM_PRICE_ONLY_DELIVERY_PAID_BY_MERCHANT"),$J984=""),"ERROR",IF(AND(OR($S984="ITEM_PRICE_PLUS_DECLARED_DELIVERY",$S984="DELIVERY_CHARGE_ONLY"),$K984=""),"ERROR",IF(AND(OR($S984="TOTAL_AMOUNT_INCLUDING_DELIVERY",$S984="EXACT_COLLECTION_AMOUNT"),$T984=""),"ERROR",IF(AND($S984="TOTAL_AMOUNT_INCLUDING_DELIVERY",$T984&lt;SUM($J984,$U984)),"ERROR",IF($S984="EXACT_COLLECTION_AMOUNT","REVIEW","OK")))))))))</f>
        <v/>
      </c>
      <c r="AV984" s="25">
        <f>IF($AU984="","",IF($H984="","Township required",IF($Q984="","Customer tier required",IF($M984="","Weight required",IF($S984="","Amount entry type required",IF(OR($J984&lt;0,$K984&lt;0,$M984&lt;0,$T984&lt;0,$U984&lt;0,$V984&lt;0,$W984&lt;0,$X984&lt;0,$Y984&lt;0),"Negative amounts are not allowed",IF($AE984="","Tariff not found for township and tier",IF(AND(OR($S984="ITEM_PRICE_PLUS_DECLARED_DELIVERY",$S984="TOTAL_AMOUNT_INCLUDING_DELIVERY",$S984="ITEM_PRICE_ONLY_DELIVERY_PAID_BY_MERCHANT"),$J984=""),"Item price required for this amount type",IF(AND(OR($S984="ITEM_PRICE_PLUS_DECLARED_DELIVERY",$S984="DELIVERY_CHARGE_ONLY"),$K984=""),"Declared delivery charge required",IF(AND(OR($S984="TOTAL_AMOUNT_INCLUDING_DELIVERY",$S984="EXACT_COLLECTION_AMOUNT"),$T984=""),"Stated total amount required",IF(AND($S984="TOTAL_AMOUNT_INCLUDING_DELIVERY",$T984&lt;SUM($J984,$U984)),"Stated total is below item price plus additional charge",IF($S984="EXACT_COLLECTION_AMOUNT","Authorized amount breakdown required before settlement","Ready for collection and settlement"))))))))))))</f>
        <v/>
      </c>
      <c r="AW984" s="23">
        <f>IF($AU984="","","PARCEL_FINANCIAL_V2")</f>
        <v/>
      </c>
      <c r="AX984" s="17" t="n"/>
    </row>
    <row r="985">
      <c r="A985" s="8" t="n"/>
      <c r="B985" s="8" t="n"/>
      <c r="C985" s="8" t="n"/>
      <c r="D985" s="8" t="n"/>
      <c r="E985" s="9" t="n"/>
      <c r="F985" s="9" t="n"/>
      <c r="G985" s="8" t="n"/>
      <c r="H985" s="9" t="n"/>
      <c r="I985" s="9" t="n"/>
      <c r="J985" s="10" t="n"/>
      <c r="K985" s="10" t="n"/>
      <c r="L985" s="11">
        <f>IF($S985="","",IF($S985="ITEM_PRICE_PLUS_DECLARED_DELIVERY",IF(OR($J985="",$K985=""),"",SUM($J985,$K985,$U985)),IF($S985="TOTAL_AMOUNT_INCLUDING_DELIVERY",IF($T985="","",$T985),IF($S985="DELIVERY_CHARGE_ONLY",IF($K985="","",SUM($K985,$U985)),IF($S985="EXACT_COLLECTION_AMOUNT",IF($T985="","",$T985),IF($S985="ITEM_PRICE_ONLY_DELIVERY_PAID_BY_MERCHANT",IF($J985="","",SUM($J985,$U985)),""))))))</f>
        <v/>
      </c>
      <c r="M985" s="12" t="n"/>
      <c r="N985" s="13" t="n"/>
      <c r="O985" s="13" t="n"/>
      <c r="P985" s="9" t="n"/>
      <c r="Q985" s="14" t="n"/>
      <c r="R985" s="15" t="n"/>
      <c r="S985" s="14" t="n"/>
      <c r="T985" s="16" t="n"/>
      <c r="U985" s="16" t="n"/>
      <c r="V985" s="16" t="n"/>
      <c r="W985" s="16" t="n"/>
      <c r="X985" s="16" t="n"/>
      <c r="Y985" s="16" t="n"/>
      <c r="Z985" s="14" t="n"/>
      <c r="AA985" s="14" t="n"/>
      <c r="AB985" s="14" t="n"/>
      <c r="AC985" s="17">
        <f>IFERROR(VLOOKUP($H985&amp;"|"&amp;$Q985,Tariff_Master!$A$2:$L$169,3,FALSE),"")</f>
        <v/>
      </c>
      <c r="AD985" s="17">
        <f>IFERROR(VLOOKUP($H985&amp;"|"&amp;$Q985,Tariff_Master!$A$2:$L$169,4,FALSE),"")</f>
        <v/>
      </c>
      <c r="AE985" s="18">
        <f>IFERROR(VLOOKUP($H985&amp;"|"&amp;$Q985,Tariff_Master!$A$2:$L$169,6,FALSE),"")</f>
        <v/>
      </c>
      <c r="AF985" s="19">
        <f>IFERROR(VLOOKUP($H985&amp;"|"&amp;$Q985,Tariff_Master!$A$2:$L$169,7,FALSE),"")</f>
        <v/>
      </c>
      <c r="AG985" s="18">
        <f>IFERROR(VLOOKUP($H985&amp;"|"&amp;$Q985,Tariff_Master!$A$2:$L$169,8,FALSE),"")</f>
        <v/>
      </c>
      <c r="AH985" s="20">
        <f>IFERROR(VLOOKUP($H985&amp;"|"&amp;$Q985,Tariff_Master!$A$2:$L$169,9,FALSE),"")</f>
        <v/>
      </c>
      <c r="AI985" s="18">
        <f>IFERROR(VLOOKUP($H985&amp;"|"&amp;$Q985,Tariff_Master!$A$2:$L$169,10,FALSE),"")</f>
        <v/>
      </c>
      <c r="AJ985" s="21">
        <f>IF($M985="","",ROUNDUP(MAX(0,$M985),0))</f>
        <v/>
      </c>
      <c r="AK985" s="21">
        <f>IF(OR($AJ985="",$AF985=""),"",MAX(0,$AJ985-$AF985))</f>
        <v/>
      </c>
      <c r="AL985" s="22">
        <f>IF(OR($AK985="",$AG985=""),"",MAX(0,$AK985*$AG985))</f>
        <v/>
      </c>
      <c r="AM985" s="22">
        <f>IF($AE985="","",MAX(0,SUM($AE985,$AL985,$V985,$W985)))</f>
        <v/>
      </c>
      <c r="AN985" s="22">
        <f>IF($AM985="","",IF(AND($Q985="COMMITMENT",$R985&gt;=$AH985),$AI985,0))</f>
        <v/>
      </c>
      <c r="AO985" s="23">
        <f>IF($AM985="","",MAX(0,$AM985-$AN985))</f>
        <v/>
      </c>
      <c r="AP985" s="22">
        <f>IF($S985="","",IF(OR($S985="ITEM_PRICE_PLUS_DECLARED_DELIVERY",$S985="DELIVERY_CHARGE_ONLY"),$K985,IF($S985="TOTAL_AMOUNT_INCLUDING_DELIVERY",IF(OR($T985="",$J985=""),"",MAX(0,$T985-$J985-$U985)),IF($S985="ITEM_PRICE_ONLY_DELIVERY_PAID_BY_MERCHANT",0,""))))</f>
        <v/>
      </c>
      <c r="AQ985" s="23">
        <f>IF(OR($AP985="",$AO985=""),"",$AP985-$AO985)</f>
        <v/>
      </c>
      <c r="AR985" s="24">
        <f>IF($S985="EXACT_COLLECTION_AMOUNT","BREAKDOWN_REQUIRED",IF($AQ985="","",IF($AQ985&gt;0,"CREDIT_TO_MERCHANT",IF($AQ985&lt;0,"DEDUCT_FROM_MERCHANT","NO_ADJUSTMENT"))))</f>
        <v/>
      </c>
      <c r="AS985" s="23">
        <f>IF(OR($AQ985="",$AR985="BREAKDOWN_REQUIRED"),"",$AQ985)</f>
        <v/>
      </c>
      <c r="AT985" s="23">
        <f>IF(OR($AR985="",$AR985="BREAKDOWN_REQUIRED"),"",SUM($J985,$AQ985,$Y985)-$X985)</f>
        <v/>
      </c>
      <c r="AU985" s="25">
        <f>IF(AND($A985="",$B985="",$F985="",$H985="",$J985="",$K985="",$M985="",$S985=""),"",IF(OR($H985="",$Q985="",$M985="",$S985=""),"ERROR",IF(OR($J985&lt;0,$K985&lt;0,$M985&lt;0,$T985&lt;0,$U985&lt;0,$V985&lt;0,$W985&lt;0,$X985&lt;0,$Y985&lt;0),"ERROR",IF($AE985="","ERROR",IF(AND(OR($S985="ITEM_PRICE_PLUS_DECLARED_DELIVERY",$S985="TOTAL_AMOUNT_INCLUDING_DELIVERY",$S985="ITEM_PRICE_ONLY_DELIVERY_PAID_BY_MERCHANT"),$J985=""),"ERROR",IF(AND(OR($S985="ITEM_PRICE_PLUS_DECLARED_DELIVERY",$S985="DELIVERY_CHARGE_ONLY"),$K985=""),"ERROR",IF(AND(OR($S985="TOTAL_AMOUNT_INCLUDING_DELIVERY",$S985="EXACT_COLLECTION_AMOUNT"),$T985=""),"ERROR",IF(AND($S985="TOTAL_AMOUNT_INCLUDING_DELIVERY",$T985&lt;SUM($J985,$U985)),"ERROR",IF($S985="EXACT_COLLECTION_AMOUNT","REVIEW","OK")))))))))</f>
        <v/>
      </c>
      <c r="AV985" s="25">
        <f>IF($AU985="","",IF($H985="","Township required",IF($Q985="","Customer tier required",IF($M985="","Weight required",IF($S985="","Amount entry type required",IF(OR($J985&lt;0,$K985&lt;0,$M985&lt;0,$T985&lt;0,$U985&lt;0,$V985&lt;0,$W985&lt;0,$X985&lt;0,$Y985&lt;0),"Negative amounts are not allowed",IF($AE985="","Tariff not found for township and tier",IF(AND(OR($S985="ITEM_PRICE_PLUS_DECLARED_DELIVERY",$S985="TOTAL_AMOUNT_INCLUDING_DELIVERY",$S985="ITEM_PRICE_ONLY_DELIVERY_PAID_BY_MERCHANT"),$J985=""),"Item price required for this amount type",IF(AND(OR($S985="ITEM_PRICE_PLUS_DECLARED_DELIVERY",$S985="DELIVERY_CHARGE_ONLY"),$K985=""),"Declared delivery charge required",IF(AND(OR($S985="TOTAL_AMOUNT_INCLUDING_DELIVERY",$S985="EXACT_COLLECTION_AMOUNT"),$T985=""),"Stated total amount required",IF(AND($S985="TOTAL_AMOUNT_INCLUDING_DELIVERY",$T985&lt;SUM($J985,$U985)),"Stated total is below item price plus additional charge",IF($S985="EXACT_COLLECTION_AMOUNT","Authorized amount breakdown required before settlement","Ready for collection and settlement"))))))))))))</f>
        <v/>
      </c>
      <c r="AW985" s="23">
        <f>IF($AU985="","","PARCEL_FINANCIAL_V2")</f>
        <v/>
      </c>
      <c r="AX985" s="17" t="n"/>
    </row>
    <row r="986">
      <c r="A986" s="8" t="n"/>
      <c r="B986" s="8" t="n"/>
      <c r="C986" s="8" t="n"/>
      <c r="D986" s="8" t="n"/>
      <c r="E986" s="9" t="n"/>
      <c r="F986" s="9" t="n"/>
      <c r="G986" s="8" t="n"/>
      <c r="H986" s="9" t="n"/>
      <c r="I986" s="9" t="n"/>
      <c r="J986" s="10" t="n"/>
      <c r="K986" s="10" t="n"/>
      <c r="L986" s="11">
        <f>IF($S986="","",IF($S986="ITEM_PRICE_PLUS_DECLARED_DELIVERY",IF(OR($J986="",$K986=""),"",SUM($J986,$K986,$U986)),IF($S986="TOTAL_AMOUNT_INCLUDING_DELIVERY",IF($T986="","",$T986),IF($S986="DELIVERY_CHARGE_ONLY",IF($K986="","",SUM($K986,$U986)),IF($S986="EXACT_COLLECTION_AMOUNT",IF($T986="","",$T986),IF($S986="ITEM_PRICE_ONLY_DELIVERY_PAID_BY_MERCHANT",IF($J986="","",SUM($J986,$U986)),""))))))</f>
        <v/>
      </c>
      <c r="M986" s="12" t="n"/>
      <c r="N986" s="13" t="n"/>
      <c r="O986" s="13" t="n"/>
      <c r="P986" s="9" t="n"/>
      <c r="Q986" s="14" t="n"/>
      <c r="R986" s="15" t="n"/>
      <c r="S986" s="14" t="n"/>
      <c r="T986" s="16" t="n"/>
      <c r="U986" s="16" t="n"/>
      <c r="V986" s="16" t="n"/>
      <c r="W986" s="16" t="n"/>
      <c r="X986" s="16" t="n"/>
      <c r="Y986" s="16" t="n"/>
      <c r="Z986" s="14" t="n"/>
      <c r="AA986" s="14" t="n"/>
      <c r="AB986" s="14" t="n"/>
      <c r="AC986" s="17">
        <f>IFERROR(VLOOKUP($H986&amp;"|"&amp;$Q986,Tariff_Master!$A$2:$L$169,3,FALSE),"")</f>
        <v/>
      </c>
      <c r="AD986" s="17">
        <f>IFERROR(VLOOKUP($H986&amp;"|"&amp;$Q986,Tariff_Master!$A$2:$L$169,4,FALSE),"")</f>
        <v/>
      </c>
      <c r="AE986" s="18">
        <f>IFERROR(VLOOKUP($H986&amp;"|"&amp;$Q986,Tariff_Master!$A$2:$L$169,6,FALSE),"")</f>
        <v/>
      </c>
      <c r="AF986" s="19">
        <f>IFERROR(VLOOKUP($H986&amp;"|"&amp;$Q986,Tariff_Master!$A$2:$L$169,7,FALSE),"")</f>
        <v/>
      </c>
      <c r="AG986" s="18">
        <f>IFERROR(VLOOKUP($H986&amp;"|"&amp;$Q986,Tariff_Master!$A$2:$L$169,8,FALSE),"")</f>
        <v/>
      </c>
      <c r="AH986" s="20">
        <f>IFERROR(VLOOKUP($H986&amp;"|"&amp;$Q986,Tariff_Master!$A$2:$L$169,9,FALSE),"")</f>
        <v/>
      </c>
      <c r="AI986" s="18">
        <f>IFERROR(VLOOKUP($H986&amp;"|"&amp;$Q986,Tariff_Master!$A$2:$L$169,10,FALSE),"")</f>
        <v/>
      </c>
      <c r="AJ986" s="21">
        <f>IF($M986="","",ROUNDUP(MAX(0,$M986),0))</f>
        <v/>
      </c>
      <c r="AK986" s="21">
        <f>IF(OR($AJ986="",$AF986=""),"",MAX(0,$AJ986-$AF986))</f>
        <v/>
      </c>
      <c r="AL986" s="22">
        <f>IF(OR($AK986="",$AG986=""),"",MAX(0,$AK986*$AG986))</f>
        <v/>
      </c>
      <c r="AM986" s="22">
        <f>IF($AE986="","",MAX(0,SUM($AE986,$AL986,$V986,$W986)))</f>
        <v/>
      </c>
      <c r="AN986" s="22">
        <f>IF($AM986="","",IF(AND($Q986="COMMITMENT",$R986&gt;=$AH986),$AI986,0))</f>
        <v/>
      </c>
      <c r="AO986" s="23">
        <f>IF($AM986="","",MAX(0,$AM986-$AN986))</f>
        <v/>
      </c>
      <c r="AP986" s="22">
        <f>IF($S986="","",IF(OR($S986="ITEM_PRICE_PLUS_DECLARED_DELIVERY",$S986="DELIVERY_CHARGE_ONLY"),$K986,IF($S986="TOTAL_AMOUNT_INCLUDING_DELIVERY",IF(OR($T986="",$J986=""),"",MAX(0,$T986-$J986-$U986)),IF($S986="ITEM_PRICE_ONLY_DELIVERY_PAID_BY_MERCHANT",0,""))))</f>
        <v/>
      </c>
      <c r="AQ986" s="23">
        <f>IF(OR($AP986="",$AO986=""),"",$AP986-$AO986)</f>
        <v/>
      </c>
      <c r="AR986" s="24">
        <f>IF($S986="EXACT_COLLECTION_AMOUNT","BREAKDOWN_REQUIRED",IF($AQ986="","",IF($AQ986&gt;0,"CREDIT_TO_MERCHANT",IF($AQ986&lt;0,"DEDUCT_FROM_MERCHANT","NO_ADJUSTMENT"))))</f>
        <v/>
      </c>
      <c r="AS986" s="23">
        <f>IF(OR($AQ986="",$AR986="BREAKDOWN_REQUIRED"),"",$AQ986)</f>
        <v/>
      </c>
      <c r="AT986" s="23">
        <f>IF(OR($AR986="",$AR986="BREAKDOWN_REQUIRED"),"",SUM($J986,$AQ986,$Y986)-$X986)</f>
        <v/>
      </c>
      <c r="AU986" s="25">
        <f>IF(AND($A986="",$B986="",$F986="",$H986="",$J986="",$K986="",$M986="",$S986=""),"",IF(OR($H986="",$Q986="",$M986="",$S986=""),"ERROR",IF(OR($J986&lt;0,$K986&lt;0,$M986&lt;0,$T986&lt;0,$U986&lt;0,$V986&lt;0,$W986&lt;0,$X986&lt;0,$Y986&lt;0),"ERROR",IF($AE986="","ERROR",IF(AND(OR($S986="ITEM_PRICE_PLUS_DECLARED_DELIVERY",$S986="TOTAL_AMOUNT_INCLUDING_DELIVERY",$S986="ITEM_PRICE_ONLY_DELIVERY_PAID_BY_MERCHANT"),$J986=""),"ERROR",IF(AND(OR($S986="ITEM_PRICE_PLUS_DECLARED_DELIVERY",$S986="DELIVERY_CHARGE_ONLY"),$K986=""),"ERROR",IF(AND(OR($S986="TOTAL_AMOUNT_INCLUDING_DELIVERY",$S986="EXACT_COLLECTION_AMOUNT"),$T986=""),"ERROR",IF(AND($S986="TOTAL_AMOUNT_INCLUDING_DELIVERY",$T986&lt;SUM($J986,$U986)),"ERROR",IF($S986="EXACT_COLLECTION_AMOUNT","REVIEW","OK")))))))))</f>
        <v/>
      </c>
      <c r="AV986" s="25">
        <f>IF($AU986="","",IF($H986="","Township required",IF($Q986="","Customer tier required",IF($M986="","Weight required",IF($S986="","Amount entry type required",IF(OR($J986&lt;0,$K986&lt;0,$M986&lt;0,$T986&lt;0,$U986&lt;0,$V986&lt;0,$W986&lt;0,$X986&lt;0,$Y986&lt;0),"Negative amounts are not allowed",IF($AE986="","Tariff not found for township and tier",IF(AND(OR($S986="ITEM_PRICE_PLUS_DECLARED_DELIVERY",$S986="TOTAL_AMOUNT_INCLUDING_DELIVERY",$S986="ITEM_PRICE_ONLY_DELIVERY_PAID_BY_MERCHANT"),$J986=""),"Item price required for this amount type",IF(AND(OR($S986="ITEM_PRICE_PLUS_DECLARED_DELIVERY",$S986="DELIVERY_CHARGE_ONLY"),$K986=""),"Declared delivery charge required",IF(AND(OR($S986="TOTAL_AMOUNT_INCLUDING_DELIVERY",$S986="EXACT_COLLECTION_AMOUNT"),$T986=""),"Stated total amount required",IF(AND($S986="TOTAL_AMOUNT_INCLUDING_DELIVERY",$T986&lt;SUM($J986,$U986)),"Stated total is below item price plus additional charge",IF($S986="EXACT_COLLECTION_AMOUNT","Authorized amount breakdown required before settlement","Ready for collection and settlement"))))))))))))</f>
        <v/>
      </c>
      <c r="AW986" s="23">
        <f>IF($AU986="","","PARCEL_FINANCIAL_V2")</f>
        <v/>
      </c>
      <c r="AX986" s="17" t="n"/>
    </row>
    <row r="987">
      <c r="A987" s="8" t="n"/>
      <c r="B987" s="8" t="n"/>
      <c r="C987" s="8" t="n"/>
      <c r="D987" s="8" t="n"/>
      <c r="E987" s="9" t="n"/>
      <c r="F987" s="9" t="n"/>
      <c r="G987" s="8" t="n"/>
      <c r="H987" s="9" t="n"/>
      <c r="I987" s="9" t="n"/>
      <c r="J987" s="10" t="n"/>
      <c r="K987" s="10" t="n"/>
      <c r="L987" s="11">
        <f>IF($S987="","",IF($S987="ITEM_PRICE_PLUS_DECLARED_DELIVERY",IF(OR($J987="",$K987=""),"",SUM($J987,$K987,$U987)),IF($S987="TOTAL_AMOUNT_INCLUDING_DELIVERY",IF($T987="","",$T987),IF($S987="DELIVERY_CHARGE_ONLY",IF($K987="","",SUM($K987,$U987)),IF($S987="EXACT_COLLECTION_AMOUNT",IF($T987="","",$T987),IF($S987="ITEM_PRICE_ONLY_DELIVERY_PAID_BY_MERCHANT",IF($J987="","",SUM($J987,$U987)),""))))))</f>
        <v/>
      </c>
      <c r="M987" s="12" t="n"/>
      <c r="N987" s="13" t="n"/>
      <c r="O987" s="13" t="n"/>
      <c r="P987" s="9" t="n"/>
      <c r="Q987" s="14" t="n"/>
      <c r="R987" s="15" t="n"/>
      <c r="S987" s="14" t="n"/>
      <c r="T987" s="16" t="n"/>
      <c r="U987" s="16" t="n"/>
      <c r="V987" s="16" t="n"/>
      <c r="W987" s="16" t="n"/>
      <c r="X987" s="16" t="n"/>
      <c r="Y987" s="16" t="n"/>
      <c r="Z987" s="14" t="n"/>
      <c r="AA987" s="14" t="n"/>
      <c r="AB987" s="14" t="n"/>
      <c r="AC987" s="17">
        <f>IFERROR(VLOOKUP($H987&amp;"|"&amp;$Q987,Tariff_Master!$A$2:$L$169,3,FALSE),"")</f>
        <v/>
      </c>
      <c r="AD987" s="17">
        <f>IFERROR(VLOOKUP($H987&amp;"|"&amp;$Q987,Tariff_Master!$A$2:$L$169,4,FALSE),"")</f>
        <v/>
      </c>
      <c r="AE987" s="18">
        <f>IFERROR(VLOOKUP($H987&amp;"|"&amp;$Q987,Tariff_Master!$A$2:$L$169,6,FALSE),"")</f>
        <v/>
      </c>
      <c r="AF987" s="19">
        <f>IFERROR(VLOOKUP($H987&amp;"|"&amp;$Q987,Tariff_Master!$A$2:$L$169,7,FALSE),"")</f>
        <v/>
      </c>
      <c r="AG987" s="18">
        <f>IFERROR(VLOOKUP($H987&amp;"|"&amp;$Q987,Tariff_Master!$A$2:$L$169,8,FALSE),"")</f>
        <v/>
      </c>
      <c r="AH987" s="20">
        <f>IFERROR(VLOOKUP($H987&amp;"|"&amp;$Q987,Tariff_Master!$A$2:$L$169,9,FALSE),"")</f>
        <v/>
      </c>
      <c r="AI987" s="18">
        <f>IFERROR(VLOOKUP($H987&amp;"|"&amp;$Q987,Tariff_Master!$A$2:$L$169,10,FALSE),"")</f>
        <v/>
      </c>
      <c r="AJ987" s="21">
        <f>IF($M987="","",ROUNDUP(MAX(0,$M987),0))</f>
        <v/>
      </c>
      <c r="AK987" s="21">
        <f>IF(OR($AJ987="",$AF987=""),"",MAX(0,$AJ987-$AF987))</f>
        <v/>
      </c>
      <c r="AL987" s="22">
        <f>IF(OR($AK987="",$AG987=""),"",MAX(0,$AK987*$AG987))</f>
        <v/>
      </c>
      <c r="AM987" s="22">
        <f>IF($AE987="","",MAX(0,SUM($AE987,$AL987,$V987,$W987)))</f>
        <v/>
      </c>
      <c r="AN987" s="22">
        <f>IF($AM987="","",IF(AND($Q987="COMMITMENT",$R987&gt;=$AH987),$AI987,0))</f>
        <v/>
      </c>
      <c r="AO987" s="23">
        <f>IF($AM987="","",MAX(0,$AM987-$AN987))</f>
        <v/>
      </c>
      <c r="AP987" s="22">
        <f>IF($S987="","",IF(OR($S987="ITEM_PRICE_PLUS_DECLARED_DELIVERY",$S987="DELIVERY_CHARGE_ONLY"),$K987,IF($S987="TOTAL_AMOUNT_INCLUDING_DELIVERY",IF(OR($T987="",$J987=""),"",MAX(0,$T987-$J987-$U987)),IF($S987="ITEM_PRICE_ONLY_DELIVERY_PAID_BY_MERCHANT",0,""))))</f>
        <v/>
      </c>
      <c r="AQ987" s="23">
        <f>IF(OR($AP987="",$AO987=""),"",$AP987-$AO987)</f>
        <v/>
      </c>
      <c r="AR987" s="24">
        <f>IF($S987="EXACT_COLLECTION_AMOUNT","BREAKDOWN_REQUIRED",IF($AQ987="","",IF($AQ987&gt;0,"CREDIT_TO_MERCHANT",IF($AQ987&lt;0,"DEDUCT_FROM_MERCHANT","NO_ADJUSTMENT"))))</f>
        <v/>
      </c>
      <c r="AS987" s="23">
        <f>IF(OR($AQ987="",$AR987="BREAKDOWN_REQUIRED"),"",$AQ987)</f>
        <v/>
      </c>
      <c r="AT987" s="23">
        <f>IF(OR($AR987="",$AR987="BREAKDOWN_REQUIRED"),"",SUM($J987,$AQ987,$Y987)-$X987)</f>
        <v/>
      </c>
      <c r="AU987" s="25">
        <f>IF(AND($A987="",$B987="",$F987="",$H987="",$J987="",$K987="",$M987="",$S987=""),"",IF(OR($H987="",$Q987="",$M987="",$S987=""),"ERROR",IF(OR($J987&lt;0,$K987&lt;0,$M987&lt;0,$T987&lt;0,$U987&lt;0,$V987&lt;0,$W987&lt;0,$X987&lt;0,$Y987&lt;0),"ERROR",IF($AE987="","ERROR",IF(AND(OR($S987="ITEM_PRICE_PLUS_DECLARED_DELIVERY",$S987="TOTAL_AMOUNT_INCLUDING_DELIVERY",$S987="ITEM_PRICE_ONLY_DELIVERY_PAID_BY_MERCHANT"),$J987=""),"ERROR",IF(AND(OR($S987="ITEM_PRICE_PLUS_DECLARED_DELIVERY",$S987="DELIVERY_CHARGE_ONLY"),$K987=""),"ERROR",IF(AND(OR($S987="TOTAL_AMOUNT_INCLUDING_DELIVERY",$S987="EXACT_COLLECTION_AMOUNT"),$T987=""),"ERROR",IF(AND($S987="TOTAL_AMOUNT_INCLUDING_DELIVERY",$T987&lt;SUM($J987,$U987)),"ERROR",IF($S987="EXACT_COLLECTION_AMOUNT","REVIEW","OK")))))))))</f>
        <v/>
      </c>
      <c r="AV987" s="25">
        <f>IF($AU987="","",IF($H987="","Township required",IF($Q987="","Customer tier required",IF($M987="","Weight required",IF($S987="","Amount entry type required",IF(OR($J987&lt;0,$K987&lt;0,$M987&lt;0,$T987&lt;0,$U987&lt;0,$V987&lt;0,$W987&lt;0,$X987&lt;0,$Y987&lt;0),"Negative amounts are not allowed",IF($AE987="","Tariff not found for township and tier",IF(AND(OR($S987="ITEM_PRICE_PLUS_DECLARED_DELIVERY",$S987="TOTAL_AMOUNT_INCLUDING_DELIVERY",$S987="ITEM_PRICE_ONLY_DELIVERY_PAID_BY_MERCHANT"),$J987=""),"Item price required for this amount type",IF(AND(OR($S987="ITEM_PRICE_PLUS_DECLARED_DELIVERY",$S987="DELIVERY_CHARGE_ONLY"),$K987=""),"Declared delivery charge required",IF(AND(OR($S987="TOTAL_AMOUNT_INCLUDING_DELIVERY",$S987="EXACT_COLLECTION_AMOUNT"),$T987=""),"Stated total amount required",IF(AND($S987="TOTAL_AMOUNT_INCLUDING_DELIVERY",$T987&lt;SUM($J987,$U987)),"Stated total is below item price plus additional charge",IF($S987="EXACT_COLLECTION_AMOUNT","Authorized amount breakdown required before settlement","Ready for collection and settlement"))))))))))))</f>
        <v/>
      </c>
      <c r="AW987" s="23">
        <f>IF($AU987="","","PARCEL_FINANCIAL_V2")</f>
        <v/>
      </c>
      <c r="AX987" s="17" t="n"/>
    </row>
    <row r="988">
      <c r="A988" s="8" t="n"/>
      <c r="B988" s="8" t="n"/>
      <c r="C988" s="8" t="n"/>
      <c r="D988" s="8" t="n"/>
      <c r="E988" s="9" t="n"/>
      <c r="F988" s="9" t="n"/>
      <c r="G988" s="8" t="n"/>
      <c r="H988" s="9" t="n"/>
      <c r="I988" s="9" t="n"/>
      <c r="J988" s="10" t="n"/>
      <c r="K988" s="10" t="n"/>
      <c r="L988" s="11">
        <f>IF($S988="","",IF($S988="ITEM_PRICE_PLUS_DECLARED_DELIVERY",IF(OR($J988="",$K988=""),"",SUM($J988,$K988,$U988)),IF($S988="TOTAL_AMOUNT_INCLUDING_DELIVERY",IF($T988="","",$T988),IF($S988="DELIVERY_CHARGE_ONLY",IF($K988="","",SUM($K988,$U988)),IF($S988="EXACT_COLLECTION_AMOUNT",IF($T988="","",$T988),IF($S988="ITEM_PRICE_ONLY_DELIVERY_PAID_BY_MERCHANT",IF($J988="","",SUM($J988,$U988)),""))))))</f>
        <v/>
      </c>
      <c r="M988" s="12" t="n"/>
      <c r="N988" s="13" t="n"/>
      <c r="O988" s="13" t="n"/>
      <c r="P988" s="9" t="n"/>
      <c r="Q988" s="14" t="n"/>
      <c r="R988" s="15" t="n"/>
      <c r="S988" s="14" t="n"/>
      <c r="T988" s="16" t="n"/>
      <c r="U988" s="16" t="n"/>
      <c r="V988" s="16" t="n"/>
      <c r="W988" s="16" t="n"/>
      <c r="X988" s="16" t="n"/>
      <c r="Y988" s="16" t="n"/>
      <c r="Z988" s="14" t="n"/>
      <c r="AA988" s="14" t="n"/>
      <c r="AB988" s="14" t="n"/>
      <c r="AC988" s="17">
        <f>IFERROR(VLOOKUP($H988&amp;"|"&amp;$Q988,Tariff_Master!$A$2:$L$169,3,FALSE),"")</f>
        <v/>
      </c>
      <c r="AD988" s="17">
        <f>IFERROR(VLOOKUP($H988&amp;"|"&amp;$Q988,Tariff_Master!$A$2:$L$169,4,FALSE),"")</f>
        <v/>
      </c>
      <c r="AE988" s="18">
        <f>IFERROR(VLOOKUP($H988&amp;"|"&amp;$Q988,Tariff_Master!$A$2:$L$169,6,FALSE),"")</f>
        <v/>
      </c>
      <c r="AF988" s="19">
        <f>IFERROR(VLOOKUP($H988&amp;"|"&amp;$Q988,Tariff_Master!$A$2:$L$169,7,FALSE),"")</f>
        <v/>
      </c>
      <c r="AG988" s="18">
        <f>IFERROR(VLOOKUP($H988&amp;"|"&amp;$Q988,Tariff_Master!$A$2:$L$169,8,FALSE),"")</f>
        <v/>
      </c>
      <c r="AH988" s="20">
        <f>IFERROR(VLOOKUP($H988&amp;"|"&amp;$Q988,Tariff_Master!$A$2:$L$169,9,FALSE),"")</f>
        <v/>
      </c>
      <c r="AI988" s="18">
        <f>IFERROR(VLOOKUP($H988&amp;"|"&amp;$Q988,Tariff_Master!$A$2:$L$169,10,FALSE),"")</f>
        <v/>
      </c>
      <c r="AJ988" s="21">
        <f>IF($M988="","",ROUNDUP(MAX(0,$M988),0))</f>
        <v/>
      </c>
      <c r="AK988" s="21">
        <f>IF(OR($AJ988="",$AF988=""),"",MAX(0,$AJ988-$AF988))</f>
        <v/>
      </c>
      <c r="AL988" s="22">
        <f>IF(OR($AK988="",$AG988=""),"",MAX(0,$AK988*$AG988))</f>
        <v/>
      </c>
      <c r="AM988" s="22">
        <f>IF($AE988="","",MAX(0,SUM($AE988,$AL988,$V988,$W988)))</f>
        <v/>
      </c>
      <c r="AN988" s="22">
        <f>IF($AM988="","",IF(AND($Q988="COMMITMENT",$R988&gt;=$AH988),$AI988,0))</f>
        <v/>
      </c>
      <c r="AO988" s="23">
        <f>IF($AM988="","",MAX(0,$AM988-$AN988))</f>
        <v/>
      </c>
      <c r="AP988" s="22">
        <f>IF($S988="","",IF(OR($S988="ITEM_PRICE_PLUS_DECLARED_DELIVERY",$S988="DELIVERY_CHARGE_ONLY"),$K988,IF($S988="TOTAL_AMOUNT_INCLUDING_DELIVERY",IF(OR($T988="",$J988=""),"",MAX(0,$T988-$J988-$U988)),IF($S988="ITEM_PRICE_ONLY_DELIVERY_PAID_BY_MERCHANT",0,""))))</f>
        <v/>
      </c>
      <c r="AQ988" s="23">
        <f>IF(OR($AP988="",$AO988=""),"",$AP988-$AO988)</f>
        <v/>
      </c>
      <c r="AR988" s="24">
        <f>IF($S988="EXACT_COLLECTION_AMOUNT","BREAKDOWN_REQUIRED",IF($AQ988="","",IF($AQ988&gt;0,"CREDIT_TO_MERCHANT",IF($AQ988&lt;0,"DEDUCT_FROM_MERCHANT","NO_ADJUSTMENT"))))</f>
        <v/>
      </c>
      <c r="AS988" s="23">
        <f>IF(OR($AQ988="",$AR988="BREAKDOWN_REQUIRED"),"",$AQ988)</f>
        <v/>
      </c>
      <c r="AT988" s="23">
        <f>IF(OR($AR988="",$AR988="BREAKDOWN_REQUIRED"),"",SUM($J988,$AQ988,$Y988)-$X988)</f>
        <v/>
      </c>
      <c r="AU988" s="25">
        <f>IF(AND($A988="",$B988="",$F988="",$H988="",$J988="",$K988="",$M988="",$S988=""),"",IF(OR($H988="",$Q988="",$M988="",$S988=""),"ERROR",IF(OR($J988&lt;0,$K988&lt;0,$M988&lt;0,$T988&lt;0,$U988&lt;0,$V988&lt;0,$W988&lt;0,$X988&lt;0,$Y988&lt;0),"ERROR",IF($AE988="","ERROR",IF(AND(OR($S988="ITEM_PRICE_PLUS_DECLARED_DELIVERY",$S988="TOTAL_AMOUNT_INCLUDING_DELIVERY",$S988="ITEM_PRICE_ONLY_DELIVERY_PAID_BY_MERCHANT"),$J988=""),"ERROR",IF(AND(OR($S988="ITEM_PRICE_PLUS_DECLARED_DELIVERY",$S988="DELIVERY_CHARGE_ONLY"),$K988=""),"ERROR",IF(AND(OR($S988="TOTAL_AMOUNT_INCLUDING_DELIVERY",$S988="EXACT_COLLECTION_AMOUNT"),$T988=""),"ERROR",IF(AND($S988="TOTAL_AMOUNT_INCLUDING_DELIVERY",$T988&lt;SUM($J988,$U988)),"ERROR",IF($S988="EXACT_COLLECTION_AMOUNT","REVIEW","OK")))))))))</f>
        <v/>
      </c>
      <c r="AV988" s="25">
        <f>IF($AU988="","",IF($H988="","Township required",IF($Q988="","Customer tier required",IF($M988="","Weight required",IF($S988="","Amount entry type required",IF(OR($J988&lt;0,$K988&lt;0,$M988&lt;0,$T988&lt;0,$U988&lt;0,$V988&lt;0,$W988&lt;0,$X988&lt;0,$Y988&lt;0),"Negative amounts are not allowed",IF($AE988="","Tariff not found for township and tier",IF(AND(OR($S988="ITEM_PRICE_PLUS_DECLARED_DELIVERY",$S988="TOTAL_AMOUNT_INCLUDING_DELIVERY",$S988="ITEM_PRICE_ONLY_DELIVERY_PAID_BY_MERCHANT"),$J988=""),"Item price required for this amount type",IF(AND(OR($S988="ITEM_PRICE_PLUS_DECLARED_DELIVERY",$S988="DELIVERY_CHARGE_ONLY"),$K988=""),"Declared delivery charge required",IF(AND(OR($S988="TOTAL_AMOUNT_INCLUDING_DELIVERY",$S988="EXACT_COLLECTION_AMOUNT"),$T988=""),"Stated total amount required",IF(AND($S988="TOTAL_AMOUNT_INCLUDING_DELIVERY",$T988&lt;SUM($J988,$U988)),"Stated total is below item price plus additional charge",IF($S988="EXACT_COLLECTION_AMOUNT","Authorized amount breakdown required before settlement","Ready for collection and settlement"))))))))))))</f>
        <v/>
      </c>
      <c r="AW988" s="23">
        <f>IF($AU988="","","PARCEL_FINANCIAL_V2")</f>
        <v/>
      </c>
      <c r="AX988" s="17" t="n"/>
    </row>
    <row r="989">
      <c r="A989" s="8" t="n"/>
      <c r="B989" s="8" t="n"/>
      <c r="C989" s="8" t="n"/>
      <c r="D989" s="8" t="n"/>
      <c r="E989" s="9" t="n"/>
      <c r="F989" s="9" t="n"/>
      <c r="G989" s="8" t="n"/>
      <c r="H989" s="9" t="n"/>
      <c r="I989" s="9" t="n"/>
      <c r="J989" s="10" t="n"/>
      <c r="K989" s="10" t="n"/>
      <c r="L989" s="11">
        <f>IF($S989="","",IF($S989="ITEM_PRICE_PLUS_DECLARED_DELIVERY",IF(OR($J989="",$K989=""),"",SUM($J989,$K989,$U989)),IF($S989="TOTAL_AMOUNT_INCLUDING_DELIVERY",IF($T989="","",$T989),IF($S989="DELIVERY_CHARGE_ONLY",IF($K989="","",SUM($K989,$U989)),IF($S989="EXACT_COLLECTION_AMOUNT",IF($T989="","",$T989),IF($S989="ITEM_PRICE_ONLY_DELIVERY_PAID_BY_MERCHANT",IF($J989="","",SUM($J989,$U989)),""))))))</f>
        <v/>
      </c>
      <c r="M989" s="12" t="n"/>
      <c r="N989" s="13" t="n"/>
      <c r="O989" s="13" t="n"/>
      <c r="P989" s="9" t="n"/>
      <c r="Q989" s="14" t="n"/>
      <c r="R989" s="15" t="n"/>
      <c r="S989" s="14" t="n"/>
      <c r="T989" s="16" t="n"/>
      <c r="U989" s="16" t="n"/>
      <c r="V989" s="16" t="n"/>
      <c r="W989" s="16" t="n"/>
      <c r="X989" s="16" t="n"/>
      <c r="Y989" s="16" t="n"/>
      <c r="Z989" s="14" t="n"/>
      <c r="AA989" s="14" t="n"/>
      <c r="AB989" s="14" t="n"/>
      <c r="AC989" s="17">
        <f>IFERROR(VLOOKUP($H989&amp;"|"&amp;$Q989,Tariff_Master!$A$2:$L$169,3,FALSE),"")</f>
        <v/>
      </c>
      <c r="AD989" s="17">
        <f>IFERROR(VLOOKUP($H989&amp;"|"&amp;$Q989,Tariff_Master!$A$2:$L$169,4,FALSE),"")</f>
        <v/>
      </c>
      <c r="AE989" s="18">
        <f>IFERROR(VLOOKUP($H989&amp;"|"&amp;$Q989,Tariff_Master!$A$2:$L$169,6,FALSE),"")</f>
        <v/>
      </c>
      <c r="AF989" s="19">
        <f>IFERROR(VLOOKUP($H989&amp;"|"&amp;$Q989,Tariff_Master!$A$2:$L$169,7,FALSE),"")</f>
        <v/>
      </c>
      <c r="AG989" s="18">
        <f>IFERROR(VLOOKUP($H989&amp;"|"&amp;$Q989,Tariff_Master!$A$2:$L$169,8,FALSE),"")</f>
        <v/>
      </c>
      <c r="AH989" s="20">
        <f>IFERROR(VLOOKUP($H989&amp;"|"&amp;$Q989,Tariff_Master!$A$2:$L$169,9,FALSE),"")</f>
        <v/>
      </c>
      <c r="AI989" s="18">
        <f>IFERROR(VLOOKUP($H989&amp;"|"&amp;$Q989,Tariff_Master!$A$2:$L$169,10,FALSE),"")</f>
        <v/>
      </c>
      <c r="AJ989" s="21">
        <f>IF($M989="","",ROUNDUP(MAX(0,$M989),0))</f>
        <v/>
      </c>
      <c r="AK989" s="21">
        <f>IF(OR($AJ989="",$AF989=""),"",MAX(0,$AJ989-$AF989))</f>
        <v/>
      </c>
      <c r="AL989" s="22">
        <f>IF(OR($AK989="",$AG989=""),"",MAX(0,$AK989*$AG989))</f>
        <v/>
      </c>
      <c r="AM989" s="22">
        <f>IF($AE989="","",MAX(0,SUM($AE989,$AL989,$V989,$W989)))</f>
        <v/>
      </c>
      <c r="AN989" s="22">
        <f>IF($AM989="","",IF(AND($Q989="COMMITMENT",$R989&gt;=$AH989),$AI989,0))</f>
        <v/>
      </c>
      <c r="AO989" s="23">
        <f>IF($AM989="","",MAX(0,$AM989-$AN989))</f>
        <v/>
      </c>
      <c r="AP989" s="22">
        <f>IF($S989="","",IF(OR($S989="ITEM_PRICE_PLUS_DECLARED_DELIVERY",$S989="DELIVERY_CHARGE_ONLY"),$K989,IF($S989="TOTAL_AMOUNT_INCLUDING_DELIVERY",IF(OR($T989="",$J989=""),"",MAX(0,$T989-$J989-$U989)),IF($S989="ITEM_PRICE_ONLY_DELIVERY_PAID_BY_MERCHANT",0,""))))</f>
        <v/>
      </c>
      <c r="AQ989" s="23">
        <f>IF(OR($AP989="",$AO989=""),"",$AP989-$AO989)</f>
        <v/>
      </c>
      <c r="AR989" s="24">
        <f>IF($S989="EXACT_COLLECTION_AMOUNT","BREAKDOWN_REQUIRED",IF($AQ989="","",IF($AQ989&gt;0,"CREDIT_TO_MERCHANT",IF($AQ989&lt;0,"DEDUCT_FROM_MERCHANT","NO_ADJUSTMENT"))))</f>
        <v/>
      </c>
      <c r="AS989" s="23">
        <f>IF(OR($AQ989="",$AR989="BREAKDOWN_REQUIRED"),"",$AQ989)</f>
        <v/>
      </c>
      <c r="AT989" s="23">
        <f>IF(OR($AR989="",$AR989="BREAKDOWN_REQUIRED"),"",SUM($J989,$AQ989,$Y989)-$X989)</f>
        <v/>
      </c>
      <c r="AU989" s="25">
        <f>IF(AND($A989="",$B989="",$F989="",$H989="",$J989="",$K989="",$M989="",$S989=""),"",IF(OR($H989="",$Q989="",$M989="",$S989=""),"ERROR",IF(OR($J989&lt;0,$K989&lt;0,$M989&lt;0,$T989&lt;0,$U989&lt;0,$V989&lt;0,$W989&lt;0,$X989&lt;0,$Y989&lt;0),"ERROR",IF($AE989="","ERROR",IF(AND(OR($S989="ITEM_PRICE_PLUS_DECLARED_DELIVERY",$S989="TOTAL_AMOUNT_INCLUDING_DELIVERY",$S989="ITEM_PRICE_ONLY_DELIVERY_PAID_BY_MERCHANT"),$J989=""),"ERROR",IF(AND(OR($S989="ITEM_PRICE_PLUS_DECLARED_DELIVERY",$S989="DELIVERY_CHARGE_ONLY"),$K989=""),"ERROR",IF(AND(OR($S989="TOTAL_AMOUNT_INCLUDING_DELIVERY",$S989="EXACT_COLLECTION_AMOUNT"),$T989=""),"ERROR",IF(AND($S989="TOTAL_AMOUNT_INCLUDING_DELIVERY",$T989&lt;SUM($J989,$U989)),"ERROR",IF($S989="EXACT_COLLECTION_AMOUNT","REVIEW","OK")))))))))</f>
        <v/>
      </c>
      <c r="AV989" s="25">
        <f>IF($AU989="","",IF($H989="","Township required",IF($Q989="","Customer tier required",IF($M989="","Weight required",IF($S989="","Amount entry type required",IF(OR($J989&lt;0,$K989&lt;0,$M989&lt;0,$T989&lt;0,$U989&lt;0,$V989&lt;0,$W989&lt;0,$X989&lt;0,$Y989&lt;0),"Negative amounts are not allowed",IF($AE989="","Tariff not found for township and tier",IF(AND(OR($S989="ITEM_PRICE_PLUS_DECLARED_DELIVERY",$S989="TOTAL_AMOUNT_INCLUDING_DELIVERY",$S989="ITEM_PRICE_ONLY_DELIVERY_PAID_BY_MERCHANT"),$J989=""),"Item price required for this amount type",IF(AND(OR($S989="ITEM_PRICE_PLUS_DECLARED_DELIVERY",$S989="DELIVERY_CHARGE_ONLY"),$K989=""),"Declared delivery charge required",IF(AND(OR($S989="TOTAL_AMOUNT_INCLUDING_DELIVERY",$S989="EXACT_COLLECTION_AMOUNT"),$T989=""),"Stated total amount required",IF(AND($S989="TOTAL_AMOUNT_INCLUDING_DELIVERY",$T989&lt;SUM($J989,$U989)),"Stated total is below item price plus additional charge",IF($S989="EXACT_COLLECTION_AMOUNT","Authorized amount breakdown required before settlement","Ready for collection and settlement"))))))))))))</f>
        <v/>
      </c>
      <c r="AW989" s="23">
        <f>IF($AU989="","","PARCEL_FINANCIAL_V2")</f>
        <v/>
      </c>
      <c r="AX989" s="17" t="n"/>
    </row>
    <row r="990">
      <c r="A990" s="8" t="n"/>
      <c r="B990" s="8" t="n"/>
      <c r="C990" s="8" t="n"/>
      <c r="D990" s="8" t="n"/>
      <c r="E990" s="9" t="n"/>
      <c r="F990" s="9" t="n"/>
      <c r="G990" s="8" t="n"/>
      <c r="H990" s="9" t="n"/>
      <c r="I990" s="9" t="n"/>
      <c r="J990" s="10" t="n"/>
      <c r="K990" s="10" t="n"/>
      <c r="L990" s="11">
        <f>IF($S990="","",IF($S990="ITEM_PRICE_PLUS_DECLARED_DELIVERY",IF(OR($J990="",$K990=""),"",SUM($J990,$K990,$U990)),IF($S990="TOTAL_AMOUNT_INCLUDING_DELIVERY",IF($T990="","",$T990),IF($S990="DELIVERY_CHARGE_ONLY",IF($K990="","",SUM($K990,$U990)),IF($S990="EXACT_COLLECTION_AMOUNT",IF($T990="","",$T990),IF($S990="ITEM_PRICE_ONLY_DELIVERY_PAID_BY_MERCHANT",IF($J990="","",SUM($J990,$U990)),""))))))</f>
        <v/>
      </c>
      <c r="M990" s="12" t="n"/>
      <c r="N990" s="13" t="n"/>
      <c r="O990" s="13" t="n"/>
      <c r="P990" s="9" t="n"/>
      <c r="Q990" s="14" t="n"/>
      <c r="R990" s="15" t="n"/>
      <c r="S990" s="14" t="n"/>
      <c r="T990" s="16" t="n"/>
      <c r="U990" s="16" t="n"/>
      <c r="V990" s="16" t="n"/>
      <c r="W990" s="16" t="n"/>
      <c r="X990" s="16" t="n"/>
      <c r="Y990" s="16" t="n"/>
      <c r="Z990" s="14" t="n"/>
      <c r="AA990" s="14" t="n"/>
      <c r="AB990" s="14" t="n"/>
      <c r="AC990" s="17">
        <f>IFERROR(VLOOKUP($H990&amp;"|"&amp;$Q990,Tariff_Master!$A$2:$L$169,3,FALSE),"")</f>
        <v/>
      </c>
      <c r="AD990" s="17">
        <f>IFERROR(VLOOKUP($H990&amp;"|"&amp;$Q990,Tariff_Master!$A$2:$L$169,4,FALSE),"")</f>
        <v/>
      </c>
      <c r="AE990" s="18">
        <f>IFERROR(VLOOKUP($H990&amp;"|"&amp;$Q990,Tariff_Master!$A$2:$L$169,6,FALSE),"")</f>
        <v/>
      </c>
      <c r="AF990" s="19">
        <f>IFERROR(VLOOKUP($H990&amp;"|"&amp;$Q990,Tariff_Master!$A$2:$L$169,7,FALSE),"")</f>
        <v/>
      </c>
      <c r="AG990" s="18">
        <f>IFERROR(VLOOKUP($H990&amp;"|"&amp;$Q990,Tariff_Master!$A$2:$L$169,8,FALSE),"")</f>
        <v/>
      </c>
      <c r="AH990" s="20">
        <f>IFERROR(VLOOKUP($H990&amp;"|"&amp;$Q990,Tariff_Master!$A$2:$L$169,9,FALSE),"")</f>
        <v/>
      </c>
      <c r="AI990" s="18">
        <f>IFERROR(VLOOKUP($H990&amp;"|"&amp;$Q990,Tariff_Master!$A$2:$L$169,10,FALSE),"")</f>
        <v/>
      </c>
      <c r="AJ990" s="21">
        <f>IF($M990="","",ROUNDUP(MAX(0,$M990),0))</f>
        <v/>
      </c>
      <c r="AK990" s="21">
        <f>IF(OR($AJ990="",$AF990=""),"",MAX(0,$AJ990-$AF990))</f>
        <v/>
      </c>
      <c r="AL990" s="22">
        <f>IF(OR($AK990="",$AG990=""),"",MAX(0,$AK990*$AG990))</f>
        <v/>
      </c>
      <c r="AM990" s="22">
        <f>IF($AE990="","",MAX(0,SUM($AE990,$AL990,$V990,$W990)))</f>
        <v/>
      </c>
      <c r="AN990" s="22">
        <f>IF($AM990="","",IF(AND($Q990="COMMITMENT",$R990&gt;=$AH990),$AI990,0))</f>
        <v/>
      </c>
      <c r="AO990" s="23">
        <f>IF($AM990="","",MAX(0,$AM990-$AN990))</f>
        <v/>
      </c>
      <c r="AP990" s="22">
        <f>IF($S990="","",IF(OR($S990="ITEM_PRICE_PLUS_DECLARED_DELIVERY",$S990="DELIVERY_CHARGE_ONLY"),$K990,IF($S990="TOTAL_AMOUNT_INCLUDING_DELIVERY",IF(OR($T990="",$J990=""),"",MAX(0,$T990-$J990-$U990)),IF($S990="ITEM_PRICE_ONLY_DELIVERY_PAID_BY_MERCHANT",0,""))))</f>
        <v/>
      </c>
      <c r="AQ990" s="23">
        <f>IF(OR($AP990="",$AO990=""),"",$AP990-$AO990)</f>
        <v/>
      </c>
      <c r="AR990" s="24">
        <f>IF($S990="EXACT_COLLECTION_AMOUNT","BREAKDOWN_REQUIRED",IF($AQ990="","",IF($AQ990&gt;0,"CREDIT_TO_MERCHANT",IF($AQ990&lt;0,"DEDUCT_FROM_MERCHANT","NO_ADJUSTMENT"))))</f>
        <v/>
      </c>
      <c r="AS990" s="23">
        <f>IF(OR($AQ990="",$AR990="BREAKDOWN_REQUIRED"),"",$AQ990)</f>
        <v/>
      </c>
      <c r="AT990" s="23">
        <f>IF(OR($AR990="",$AR990="BREAKDOWN_REQUIRED"),"",SUM($J990,$AQ990,$Y990)-$X990)</f>
        <v/>
      </c>
      <c r="AU990" s="25">
        <f>IF(AND($A990="",$B990="",$F990="",$H990="",$J990="",$K990="",$M990="",$S990=""),"",IF(OR($H990="",$Q990="",$M990="",$S990=""),"ERROR",IF(OR($J990&lt;0,$K990&lt;0,$M990&lt;0,$T990&lt;0,$U990&lt;0,$V990&lt;0,$W990&lt;0,$X990&lt;0,$Y990&lt;0),"ERROR",IF($AE990="","ERROR",IF(AND(OR($S990="ITEM_PRICE_PLUS_DECLARED_DELIVERY",$S990="TOTAL_AMOUNT_INCLUDING_DELIVERY",$S990="ITEM_PRICE_ONLY_DELIVERY_PAID_BY_MERCHANT"),$J990=""),"ERROR",IF(AND(OR($S990="ITEM_PRICE_PLUS_DECLARED_DELIVERY",$S990="DELIVERY_CHARGE_ONLY"),$K990=""),"ERROR",IF(AND(OR($S990="TOTAL_AMOUNT_INCLUDING_DELIVERY",$S990="EXACT_COLLECTION_AMOUNT"),$T990=""),"ERROR",IF(AND($S990="TOTAL_AMOUNT_INCLUDING_DELIVERY",$T990&lt;SUM($J990,$U990)),"ERROR",IF($S990="EXACT_COLLECTION_AMOUNT","REVIEW","OK")))))))))</f>
        <v/>
      </c>
      <c r="AV990" s="25">
        <f>IF($AU990="","",IF($H990="","Township required",IF($Q990="","Customer tier required",IF($M990="","Weight required",IF($S990="","Amount entry type required",IF(OR($J990&lt;0,$K990&lt;0,$M990&lt;0,$T990&lt;0,$U990&lt;0,$V990&lt;0,$W990&lt;0,$X990&lt;0,$Y990&lt;0),"Negative amounts are not allowed",IF($AE990="","Tariff not found for township and tier",IF(AND(OR($S990="ITEM_PRICE_PLUS_DECLARED_DELIVERY",$S990="TOTAL_AMOUNT_INCLUDING_DELIVERY",$S990="ITEM_PRICE_ONLY_DELIVERY_PAID_BY_MERCHANT"),$J990=""),"Item price required for this amount type",IF(AND(OR($S990="ITEM_PRICE_PLUS_DECLARED_DELIVERY",$S990="DELIVERY_CHARGE_ONLY"),$K990=""),"Declared delivery charge required",IF(AND(OR($S990="TOTAL_AMOUNT_INCLUDING_DELIVERY",$S990="EXACT_COLLECTION_AMOUNT"),$T990=""),"Stated total amount required",IF(AND($S990="TOTAL_AMOUNT_INCLUDING_DELIVERY",$T990&lt;SUM($J990,$U990)),"Stated total is below item price plus additional charge",IF($S990="EXACT_COLLECTION_AMOUNT","Authorized amount breakdown required before settlement","Ready for collection and settlement"))))))))))))</f>
        <v/>
      </c>
      <c r="AW990" s="23">
        <f>IF($AU990="","","PARCEL_FINANCIAL_V2")</f>
        <v/>
      </c>
      <c r="AX990" s="17" t="n"/>
    </row>
    <row r="991">
      <c r="A991" s="8" t="n"/>
      <c r="B991" s="8" t="n"/>
      <c r="C991" s="8" t="n"/>
      <c r="D991" s="8" t="n"/>
      <c r="E991" s="9" t="n"/>
      <c r="F991" s="9" t="n"/>
      <c r="G991" s="8" t="n"/>
      <c r="H991" s="9" t="n"/>
      <c r="I991" s="9" t="n"/>
      <c r="J991" s="10" t="n"/>
      <c r="K991" s="10" t="n"/>
      <c r="L991" s="11">
        <f>IF($S991="","",IF($S991="ITEM_PRICE_PLUS_DECLARED_DELIVERY",IF(OR($J991="",$K991=""),"",SUM($J991,$K991,$U991)),IF($S991="TOTAL_AMOUNT_INCLUDING_DELIVERY",IF($T991="","",$T991),IF($S991="DELIVERY_CHARGE_ONLY",IF($K991="","",SUM($K991,$U991)),IF($S991="EXACT_COLLECTION_AMOUNT",IF($T991="","",$T991),IF($S991="ITEM_PRICE_ONLY_DELIVERY_PAID_BY_MERCHANT",IF($J991="","",SUM($J991,$U991)),""))))))</f>
        <v/>
      </c>
      <c r="M991" s="12" t="n"/>
      <c r="N991" s="13" t="n"/>
      <c r="O991" s="13" t="n"/>
      <c r="P991" s="9" t="n"/>
      <c r="Q991" s="14" t="n"/>
      <c r="R991" s="15" t="n"/>
      <c r="S991" s="14" t="n"/>
      <c r="T991" s="16" t="n"/>
      <c r="U991" s="16" t="n"/>
      <c r="V991" s="16" t="n"/>
      <c r="W991" s="16" t="n"/>
      <c r="X991" s="16" t="n"/>
      <c r="Y991" s="16" t="n"/>
      <c r="Z991" s="14" t="n"/>
      <c r="AA991" s="14" t="n"/>
      <c r="AB991" s="14" t="n"/>
      <c r="AC991" s="17">
        <f>IFERROR(VLOOKUP($H991&amp;"|"&amp;$Q991,Tariff_Master!$A$2:$L$169,3,FALSE),"")</f>
        <v/>
      </c>
      <c r="AD991" s="17">
        <f>IFERROR(VLOOKUP($H991&amp;"|"&amp;$Q991,Tariff_Master!$A$2:$L$169,4,FALSE),"")</f>
        <v/>
      </c>
      <c r="AE991" s="18">
        <f>IFERROR(VLOOKUP($H991&amp;"|"&amp;$Q991,Tariff_Master!$A$2:$L$169,6,FALSE),"")</f>
        <v/>
      </c>
      <c r="AF991" s="19">
        <f>IFERROR(VLOOKUP($H991&amp;"|"&amp;$Q991,Tariff_Master!$A$2:$L$169,7,FALSE),"")</f>
        <v/>
      </c>
      <c r="AG991" s="18">
        <f>IFERROR(VLOOKUP($H991&amp;"|"&amp;$Q991,Tariff_Master!$A$2:$L$169,8,FALSE),"")</f>
        <v/>
      </c>
      <c r="AH991" s="20">
        <f>IFERROR(VLOOKUP($H991&amp;"|"&amp;$Q991,Tariff_Master!$A$2:$L$169,9,FALSE),"")</f>
        <v/>
      </c>
      <c r="AI991" s="18">
        <f>IFERROR(VLOOKUP($H991&amp;"|"&amp;$Q991,Tariff_Master!$A$2:$L$169,10,FALSE),"")</f>
        <v/>
      </c>
      <c r="AJ991" s="21">
        <f>IF($M991="","",ROUNDUP(MAX(0,$M991),0))</f>
        <v/>
      </c>
      <c r="AK991" s="21">
        <f>IF(OR($AJ991="",$AF991=""),"",MAX(0,$AJ991-$AF991))</f>
        <v/>
      </c>
      <c r="AL991" s="22">
        <f>IF(OR($AK991="",$AG991=""),"",MAX(0,$AK991*$AG991))</f>
        <v/>
      </c>
      <c r="AM991" s="22">
        <f>IF($AE991="","",MAX(0,SUM($AE991,$AL991,$V991,$W991)))</f>
        <v/>
      </c>
      <c r="AN991" s="22">
        <f>IF($AM991="","",IF(AND($Q991="COMMITMENT",$R991&gt;=$AH991),$AI991,0))</f>
        <v/>
      </c>
      <c r="AO991" s="23">
        <f>IF($AM991="","",MAX(0,$AM991-$AN991))</f>
        <v/>
      </c>
      <c r="AP991" s="22">
        <f>IF($S991="","",IF(OR($S991="ITEM_PRICE_PLUS_DECLARED_DELIVERY",$S991="DELIVERY_CHARGE_ONLY"),$K991,IF($S991="TOTAL_AMOUNT_INCLUDING_DELIVERY",IF(OR($T991="",$J991=""),"",MAX(0,$T991-$J991-$U991)),IF($S991="ITEM_PRICE_ONLY_DELIVERY_PAID_BY_MERCHANT",0,""))))</f>
        <v/>
      </c>
      <c r="AQ991" s="23">
        <f>IF(OR($AP991="",$AO991=""),"",$AP991-$AO991)</f>
        <v/>
      </c>
      <c r="AR991" s="24">
        <f>IF($S991="EXACT_COLLECTION_AMOUNT","BREAKDOWN_REQUIRED",IF($AQ991="","",IF($AQ991&gt;0,"CREDIT_TO_MERCHANT",IF($AQ991&lt;0,"DEDUCT_FROM_MERCHANT","NO_ADJUSTMENT"))))</f>
        <v/>
      </c>
      <c r="AS991" s="23">
        <f>IF(OR($AQ991="",$AR991="BREAKDOWN_REQUIRED"),"",$AQ991)</f>
        <v/>
      </c>
      <c r="AT991" s="23">
        <f>IF(OR($AR991="",$AR991="BREAKDOWN_REQUIRED"),"",SUM($J991,$AQ991,$Y991)-$X991)</f>
        <v/>
      </c>
      <c r="AU991" s="25">
        <f>IF(AND($A991="",$B991="",$F991="",$H991="",$J991="",$K991="",$M991="",$S991=""),"",IF(OR($H991="",$Q991="",$M991="",$S991=""),"ERROR",IF(OR($J991&lt;0,$K991&lt;0,$M991&lt;0,$T991&lt;0,$U991&lt;0,$V991&lt;0,$W991&lt;0,$X991&lt;0,$Y991&lt;0),"ERROR",IF($AE991="","ERROR",IF(AND(OR($S991="ITEM_PRICE_PLUS_DECLARED_DELIVERY",$S991="TOTAL_AMOUNT_INCLUDING_DELIVERY",$S991="ITEM_PRICE_ONLY_DELIVERY_PAID_BY_MERCHANT"),$J991=""),"ERROR",IF(AND(OR($S991="ITEM_PRICE_PLUS_DECLARED_DELIVERY",$S991="DELIVERY_CHARGE_ONLY"),$K991=""),"ERROR",IF(AND(OR($S991="TOTAL_AMOUNT_INCLUDING_DELIVERY",$S991="EXACT_COLLECTION_AMOUNT"),$T991=""),"ERROR",IF(AND($S991="TOTAL_AMOUNT_INCLUDING_DELIVERY",$T991&lt;SUM($J991,$U991)),"ERROR",IF($S991="EXACT_COLLECTION_AMOUNT","REVIEW","OK")))))))))</f>
        <v/>
      </c>
      <c r="AV991" s="25">
        <f>IF($AU991="","",IF($H991="","Township required",IF($Q991="","Customer tier required",IF($M991="","Weight required",IF($S991="","Amount entry type required",IF(OR($J991&lt;0,$K991&lt;0,$M991&lt;0,$T991&lt;0,$U991&lt;0,$V991&lt;0,$W991&lt;0,$X991&lt;0,$Y991&lt;0),"Negative amounts are not allowed",IF($AE991="","Tariff not found for township and tier",IF(AND(OR($S991="ITEM_PRICE_PLUS_DECLARED_DELIVERY",$S991="TOTAL_AMOUNT_INCLUDING_DELIVERY",$S991="ITEM_PRICE_ONLY_DELIVERY_PAID_BY_MERCHANT"),$J991=""),"Item price required for this amount type",IF(AND(OR($S991="ITEM_PRICE_PLUS_DECLARED_DELIVERY",$S991="DELIVERY_CHARGE_ONLY"),$K991=""),"Declared delivery charge required",IF(AND(OR($S991="TOTAL_AMOUNT_INCLUDING_DELIVERY",$S991="EXACT_COLLECTION_AMOUNT"),$T991=""),"Stated total amount required",IF(AND($S991="TOTAL_AMOUNT_INCLUDING_DELIVERY",$T991&lt;SUM($J991,$U991)),"Stated total is below item price plus additional charge",IF($S991="EXACT_COLLECTION_AMOUNT","Authorized amount breakdown required before settlement","Ready for collection and settlement"))))))))))))</f>
        <v/>
      </c>
      <c r="AW991" s="23">
        <f>IF($AU991="","","PARCEL_FINANCIAL_V2")</f>
        <v/>
      </c>
      <c r="AX991" s="17" t="n"/>
    </row>
    <row r="992">
      <c r="A992" s="8" t="n"/>
      <c r="B992" s="8" t="n"/>
      <c r="C992" s="8" t="n"/>
      <c r="D992" s="8" t="n"/>
      <c r="E992" s="9" t="n"/>
      <c r="F992" s="9" t="n"/>
      <c r="G992" s="8" t="n"/>
      <c r="H992" s="9" t="n"/>
      <c r="I992" s="9" t="n"/>
      <c r="J992" s="10" t="n"/>
      <c r="K992" s="10" t="n"/>
      <c r="L992" s="11">
        <f>IF($S992="","",IF($S992="ITEM_PRICE_PLUS_DECLARED_DELIVERY",IF(OR($J992="",$K992=""),"",SUM($J992,$K992,$U992)),IF($S992="TOTAL_AMOUNT_INCLUDING_DELIVERY",IF($T992="","",$T992),IF($S992="DELIVERY_CHARGE_ONLY",IF($K992="","",SUM($K992,$U992)),IF($S992="EXACT_COLLECTION_AMOUNT",IF($T992="","",$T992),IF($S992="ITEM_PRICE_ONLY_DELIVERY_PAID_BY_MERCHANT",IF($J992="","",SUM($J992,$U992)),""))))))</f>
        <v/>
      </c>
      <c r="M992" s="12" t="n"/>
      <c r="N992" s="13" t="n"/>
      <c r="O992" s="13" t="n"/>
      <c r="P992" s="9" t="n"/>
      <c r="Q992" s="14" t="n"/>
      <c r="R992" s="15" t="n"/>
      <c r="S992" s="14" t="n"/>
      <c r="T992" s="16" t="n"/>
      <c r="U992" s="16" t="n"/>
      <c r="V992" s="16" t="n"/>
      <c r="W992" s="16" t="n"/>
      <c r="X992" s="16" t="n"/>
      <c r="Y992" s="16" t="n"/>
      <c r="Z992" s="14" t="n"/>
      <c r="AA992" s="14" t="n"/>
      <c r="AB992" s="14" t="n"/>
      <c r="AC992" s="17">
        <f>IFERROR(VLOOKUP($H992&amp;"|"&amp;$Q992,Tariff_Master!$A$2:$L$169,3,FALSE),"")</f>
        <v/>
      </c>
      <c r="AD992" s="17">
        <f>IFERROR(VLOOKUP($H992&amp;"|"&amp;$Q992,Tariff_Master!$A$2:$L$169,4,FALSE),"")</f>
        <v/>
      </c>
      <c r="AE992" s="18">
        <f>IFERROR(VLOOKUP($H992&amp;"|"&amp;$Q992,Tariff_Master!$A$2:$L$169,6,FALSE),"")</f>
        <v/>
      </c>
      <c r="AF992" s="19">
        <f>IFERROR(VLOOKUP($H992&amp;"|"&amp;$Q992,Tariff_Master!$A$2:$L$169,7,FALSE),"")</f>
        <v/>
      </c>
      <c r="AG992" s="18">
        <f>IFERROR(VLOOKUP($H992&amp;"|"&amp;$Q992,Tariff_Master!$A$2:$L$169,8,FALSE),"")</f>
        <v/>
      </c>
      <c r="AH992" s="20">
        <f>IFERROR(VLOOKUP($H992&amp;"|"&amp;$Q992,Tariff_Master!$A$2:$L$169,9,FALSE),"")</f>
        <v/>
      </c>
      <c r="AI992" s="18">
        <f>IFERROR(VLOOKUP($H992&amp;"|"&amp;$Q992,Tariff_Master!$A$2:$L$169,10,FALSE),"")</f>
        <v/>
      </c>
      <c r="AJ992" s="21">
        <f>IF($M992="","",ROUNDUP(MAX(0,$M992),0))</f>
        <v/>
      </c>
      <c r="AK992" s="21">
        <f>IF(OR($AJ992="",$AF992=""),"",MAX(0,$AJ992-$AF992))</f>
        <v/>
      </c>
      <c r="AL992" s="22">
        <f>IF(OR($AK992="",$AG992=""),"",MAX(0,$AK992*$AG992))</f>
        <v/>
      </c>
      <c r="AM992" s="22">
        <f>IF($AE992="","",MAX(0,SUM($AE992,$AL992,$V992,$W992)))</f>
        <v/>
      </c>
      <c r="AN992" s="22">
        <f>IF($AM992="","",IF(AND($Q992="COMMITMENT",$R992&gt;=$AH992),$AI992,0))</f>
        <v/>
      </c>
      <c r="AO992" s="23">
        <f>IF($AM992="","",MAX(0,$AM992-$AN992))</f>
        <v/>
      </c>
      <c r="AP992" s="22">
        <f>IF($S992="","",IF(OR($S992="ITEM_PRICE_PLUS_DECLARED_DELIVERY",$S992="DELIVERY_CHARGE_ONLY"),$K992,IF($S992="TOTAL_AMOUNT_INCLUDING_DELIVERY",IF(OR($T992="",$J992=""),"",MAX(0,$T992-$J992-$U992)),IF($S992="ITEM_PRICE_ONLY_DELIVERY_PAID_BY_MERCHANT",0,""))))</f>
        <v/>
      </c>
      <c r="AQ992" s="23">
        <f>IF(OR($AP992="",$AO992=""),"",$AP992-$AO992)</f>
        <v/>
      </c>
      <c r="AR992" s="24">
        <f>IF($S992="EXACT_COLLECTION_AMOUNT","BREAKDOWN_REQUIRED",IF($AQ992="","",IF($AQ992&gt;0,"CREDIT_TO_MERCHANT",IF($AQ992&lt;0,"DEDUCT_FROM_MERCHANT","NO_ADJUSTMENT"))))</f>
        <v/>
      </c>
      <c r="AS992" s="23">
        <f>IF(OR($AQ992="",$AR992="BREAKDOWN_REQUIRED"),"",$AQ992)</f>
        <v/>
      </c>
      <c r="AT992" s="23">
        <f>IF(OR($AR992="",$AR992="BREAKDOWN_REQUIRED"),"",SUM($J992,$AQ992,$Y992)-$X992)</f>
        <v/>
      </c>
      <c r="AU992" s="25">
        <f>IF(AND($A992="",$B992="",$F992="",$H992="",$J992="",$K992="",$M992="",$S992=""),"",IF(OR($H992="",$Q992="",$M992="",$S992=""),"ERROR",IF(OR($J992&lt;0,$K992&lt;0,$M992&lt;0,$T992&lt;0,$U992&lt;0,$V992&lt;0,$W992&lt;0,$X992&lt;0,$Y992&lt;0),"ERROR",IF($AE992="","ERROR",IF(AND(OR($S992="ITEM_PRICE_PLUS_DECLARED_DELIVERY",$S992="TOTAL_AMOUNT_INCLUDING_DELIVERY",$S992="ITEM_PRICE_ONLY_DELIVERY_PAID_BY_MERCHANT"),$J992=""),"ERROR",IF(AND(OR($S992="ITEM_PRICE_PLUS_DECLARED_DELIVERY",$S992="DELIVERY_CHARGE_ONLY"),$K992=""),"ERROR",IF(AND(OR($S992="TOTAL_AMOUNT_INCLUDING_DELIVERY",$S992="EXACT_COLLECTION_AMOUNT"),$T992=""),"ERROR",IF(AND($S992="TOTAL_AMOUNT_INCLUDING_DELIVERY",$T992&lt;SUM($J992,$U992)),"ERROR",IF($S992="EXACT_COLLECTION_AMOUNT","REVIEW","OK")))))))))</f>
        <v/>
      </c>
      <c r="AV992" s="25">
        <f>IF($AU992="","",IF($H992="","Township required",IF($Q992="","Customer tier required",IF($M992="","Weight required",IF($S992="","Amount entry type required",IF(OR($J992&lt;0,$K992&lt;0,$M992&lt;0,$T992&lt;0,$U992&lt;0,$V992&lt;0,$W992&lt;0,$X992&lt;0,$Y992&lt;0),"Negative amounts are not allowed",IF($AE992="","Tariff not found for township and tier",IF(AND(OR($S992="ITEM_PRICE_PLUS_DECLARED_DELIVERY",$S992="TOTAL_AMOUNT_INCLUDING_DELIVERY",$S992="ITEM_PRICE_ONLY_DELIVERY_PAID_BY_MERCHANT"),$J992=""),"Item price required for this amount type",IF(AND(OR($S992="ITEM_PRICE_PLUS_DECLARED_DELIVERY",$S992="DELIVERY_CHARGE_ONLY"),$K992=""),"Declared delivery charge required",IF(AND(OR($S992="TOTAL_AMOUNT_INCLUDING_DELIVERY",$S992="EXACT_COLLECTION_AMOUNT"),$T992=""),"Stated total amount required",IF(AND($S992="TOTAL_AMOUNT_INCLUDING_DELIVERY",$T992&lt;SUM($J992,$U992)),"Stated total is below item price plus additional charge",IF($S992="EXACT_COLLECTION_AMOUNT","Authorized amount breakdown required before settlement","Ready for collection and settlement"))))))))))))</f>
        <v/>
      </c>
      <c r="AW992" s="23">
        <f>IF($AU992="","","PARCEL_FINANCIAL_V2")</f>
        <v/>
      </c>
      <c r="AX992" s="17" t="n"/>
    </row>
    <row r="993">
      <c r="A993" s="8" t="n"/>
      <c r="B993" s="8" t="n"/>
      <c r="C993" s="8" t="n"/>
      <c r="D993" s="8" t="n"/>
      <c r="E993" s="9" t="n"/>
      <c r="F993" s="9" t="n"/>
      <c r="G993" s="8" t="n"/>
      <c r="H993" s="9" t="n"/>
      <c r="I993" s="9" t="n"/>
      <c r="J993" s="10" t="n"/>
      <c r="K993" s="10" t="n"/>
      <c r="L993" s="11">
        <f>IF($S993="","",IF($S993="ITEM_PRICE_PLUS_DECLARED_DELIVERY",IF(OR($J993="",$K993=""),"",SUM($J993,$K993,$U993)),IF($S993="TOTAL_AMOUNT_INCLUDING_DELIVERY",IF($T993="","",$T993),IF($S993="DELIVERY_CHARGE_ONLY",IF($K993="","",SUM($K993,$U993)),IF($S993="EXACT_COLLECTION_AMOUNT",IF($T993="","",$T993),IF($S993="ITEM_PRICE_ONLY_DELIVERY_PAID_BY_MERCHANT",IF($J993="","",SUM($J993,$U993)),""))))))</f>
        <v/>
      </c>
      <c r="M993" s="12" t="n"/>
      <c r="N993" s="13" t="n"/>
      <c r="O993" s="13" t="n"/>
      <c r="P993" s="9" t="n"/>
      <c r="Q993" s="14" t="n"/>
      <c r="R993" s="15" t="n"/>
      <c r="S993" s="14" t="n"/>
      <c r="T993" s="16" t="n"/>
      <c r="U993" s="16" t="n"/>
      <c r="V993" s="16" t="n"/>
      <c r="W993" s="16" t="n"/>
      <c r="X993" s="16" t="n"/>
      <c r="Y993" s="16" t="n"/>
      <c r="Z993" s="14" t="n"/>
      <c r="AA993" s="14" t="n"/>
      <c r="AB993" s="14" t="n"/>
      <c r="AC993" s="17">
        <f>IFERROR(VLOOKUP($H993&amp;"|"&amp;$Q993,Tariff_Master!$A$2:$L$169,3,FALSE),"")</f>
        <v/>
      </c>
      <c r="AD993" s="17">
        <f>IFERROR(VLOOKUP($H993&amp;"|"&amp;$Q993,Tariff_Master!$A$2:$L$169,4,FALSE),"")</f>
        <v/>
      </c>
      <c r="AE993" s="18">
        <f>IFERROR(VLOOKUP($H993&amp;"|"&amp;$Q993,Tariff_Master!$A$2:$L$169,6,FALSE),"")</f>
        <v/>
      </c>
      <c r="AF993" s="19">
        <f>IFERROR(VLOOKUP($H993&amp;"|"&amp;$Q993,Tariff_Master!$A$2:$L$169,7,FALSE),"")</f>
        <v/>
      </c>
      <c r="AG993" s="18">
        <f>IFERROR(VLOOKUP($H993&amp;"|"&amp;$Q993,Tariff_Master!$A$2:$L$169,8,FALSE),"")</f>
        <v/>
      </c>
      <c r="AH993" s="20">
        <f>IFERROR(VLOOKUP($H993&amp;"|"&amp;$Q993,Tariff_Master!$A$2:$L$169,9,FALSE),"")</f>
        <v/>
      </c>
      <c r="AI993" s="18">
        <f>IFERROR(VLOOKUP($H993&amp;"|"&amp;$Q993,Tariff_Master!$A$2:$L$169,10,FALSE),"")</f>
        <v/>
      </c>
      <c r="AJ993" s="21">
        <f>IF($M993="","",ROUNDUP(MAX(0,$M993),0))</f>
        <v/>
      </c>
      <c r="AK993" s="21">
        <f>IF(OR($AJ993="",$AF993=""),"",MAX(0,$AJ993-$AF993))</f>
        <v/>
      </c>
      <c r="AL993" s="22">
        <f>IF(OR($AK993="",$AG993=""),"",MAX(0,$AK993*$AG993))</f>
        <v/>
      </c>
      <c r="AM993" s="22">
        <f>IF($AE993="","",MAX(0,SUM($AE993,$AL993,$V993,$W993)))</f>
        <v/>
      </c>
      <c r="AN993" s="22">
        <f>IF($AM993="","",IF(AND($Q993="COMMITMENT",$R993&gt;=$AH993),$AI993,0))</f>
        <v/>
      </c>
      <c r="AO993" s="23">
        <f>IF($AM993="","",MAX(0,$AM993-$AN993))</f>
        <v/>
      </c>
      <c r="AP993" s="22">
        <f>IF($S993="","",IF(OR($S993="ITEM_PRICE_PLUS_DECLARED_DELIVERY",$S993="DELIVERY_CHARGE_ONLY"),$K993,IF($S993="TOTAL_AMOUNT_INCLUDING_DELIVERY",IF(OR($T993="",$J993=""),"",MAX(0,$T993-$J993-$U993)),IF($S993="ITEM_PRICE_ONLY_DELIVERY_PAID_BY_MERCHANT",0,""))))</f>
        <v/>
      </c>
      <c r="AQ993" s="23">
        <f>IF(OR($AP993="",$AO993=""),"",$AP993-$AO993)</f>
        <v/>
      </c>
      <c r="AR993" s="24">
        <f>IF($S993="EXACT_COLLECTION_AMOUNT","BREAKDOWN_REQUIRED",IF($AQ993="","",IF($AQ993&gt;0,"CREDIT_TO_MERCHANT",IF($AQ993&lt;0,"DEDUCT_FROM_MERCHANT","NO_ADJUSTMENT"))))</f>
        <v/>
      </c>
      <c r="AS993" s="23">
        <f>IF(OR($AQ993="",$AR993="BREAKDOWN_REQUIRED"),"",$AQ993)</f>
        <v/>
      </c>
      <c r="AT993" s="23">
        <f>IF(OR($AR993="",$AR993="BREAKDOWN_REQUIRED"),"",SUM($J993,$AQ993,$Y993)-$X993)</f>
        <v/>
      </c>
      <c r="AU993" s="25">
        <f>IF(AND($A993="",$B993="",$F993="",$H993="",$J993="",$K993="",$M993="",$S993=""),"",IF(OR($H993="",$Q993="",$M993="",$S993=""),"ERROR",IF(OR($J993&lt;0,$K993&lt;0,$M993&lt;0,$T993&lt;0,$U993&lt;0,$V993&lt;0,$W993&lt;0,$X993&lt;0,$Y993&lt;0),"ERROR",IF($AE993="","ERROR",IF(AND(OR($S993="ITEM_PRICE_PLUS_DECLARED_DELIVERY",$S993="TOTAL_AMOUNT_INCLUDING_DELIVERY",$S993="ITEM_PRICE_ONLY_DELIVERY_PAID_BY_MERCHANT"),$J993=""),"ERROR",IF(AND(OR($S993="ITEM_PRICE_PLUS_DECLARED_DELIVERY",$S993="DELIVERY_CHARGE_ONLY"),$K993=""),"ERROR",IF(AND(OR($S993="TOTAL_AMOUNT_INCLUDING_DELIVERY",$S993="EXACT_COLLECTION_AMOUNT"),$T993=""),"ERROR",IF(AND($S993="TOTAL_AMOUNT_INCLUDING_DELIVERY",$T993&lt;SUM($J993,$U993)),"ERROR",IF($S993="EXACT_COLLECTION_AMOUNT","REVIEW","OK")))))))))</f>
        <v/>
      </c>
      <c r="AV993" s="25">
        <f>IF($AU993="","",IF($H993="","Township required",IF($Q993="","Customer tier required",IF($M993="","Weight required",IF($S993="","Amount entry type required",IF(OR($J993&lt;0,$K993&lt;0,$M993&lt;0,$T993&lt;0,$U993&lt;0,$V993&lt;0,$W993&lt;0,$X993&lt;0,$Y993&lt;0),"Negative amounts are not allowed",IF($AE993="","Tariff not found for township and tier",IF(AND(OR($S993="ITEM_PRICE_PLUS_DECLARED_DELIVERY",$S993="TOTAL_AMOUNT_INCLUDING_DELIVERY",$S993="ITEM_PRICE_ONLY_DELIVERY_PAID_BY_MERCHANT"),$J993=""),"Item price required for this amount type",IF(AND(OR($S993="ITEM_PRICE_PLUS_DECLARED_DELIVERY",$S993="DELIVERY_CHARGE_ONLY"),$K993=""),"Declared delivery charge required",IF(AND(OR($S993="TOTAL_AMOUNT_INCLUDING_DELIVERY",$S993="EXACT_COLLECTION_AMOUNT"),$T993=""),"Stated total amount required",IF(AND($S993="TOTAL_AMOUNT_INCLUDING_DELIVERY",$T993&lt;SUM($J993,$U993)),"Stated total is below item price plus additional charge",IF($S993="EXACT_COLLECTION_AMOUNT","Authorized amount breakdown required before settlement","Ready for collection and settlement"))))))))))))</f>
        <v/>
      </c>
      <c r="AW993" s="23">
        <f>IF($AU993="","","PARCEL_FINANCIAL_V2")</f>
        <v/>
      </c>
      <c r="AX993" s="17" t="n"/>
    </row>
    <row r="994">
      <c r="A994" s="8" t="n"/>
      <c r="B994" s="8" t="n"/>
      <c r="C994" s="8" t="n"/>
      <c r="D994" s="8" t="n"/>
      <c r="E994" s="9" t="n"/>
      <c r="F994" s="9" t="n"/>
      <c r="G994" s="8" t="n"/>
      <c r="H994" s="9" t="n"/>
      <c r="I994" s="9" t="n"/>
      <c r="J994" s="10" t="n"/>
      <c r="K994" s="10" t="n"/>
      <c r="L994" s="11">
        <f>IF($S994="","",IF($S994="ITEM_PRICE_PLUS_DECLARED_DELIVERY",IF(OR($J994="",$K994=""),"",SUM($J994,$K994,$U994)),IF($S994="TOTAL_AMOUNT_INCLUDING_DELIVERY",IF($T994="","",$T994),IF($S994="DELIVERY_CHARGE_ONLY",IF($K994="","",SUM($K994,$U994)),IF($S994="EXACT_COLLECTION_AMOUNT",IF($T994="","",$T994),IF($S994="ITEM_PRICE_ONLY_DELIVERY_PAID_BY_MERCHANT",IF($J994="","",SUM($J994,$U994)),""))))))</f>
        <v/>
      </c>
      <c r="M994" s="12" t="n"/>
      <c r="N994" s="13" t="n"/>
      <c r="O994" s="13" t="n"/>
      <c r="P994" s="9" t="n"/>
      <c r="Q994" s="14" t="n"/>
      <c r="R994" s="15" t="n"/>
      <c r="S994" s="14" t="n"/>
      <c r="T994" s="16" t="n"/>
      <c r="U994" s="16" t="n"/>
      <c r="V994" s="16" t="n"/>
      <c r="W994" s="16" t="n"/>
      <c r="X994" s="16" t="n"/>
      <c r="Y994" s="16" t="n"/>
      <c r="Z994" s="14" t="n"/>
      <c r="AA994" s="14" t="n"/>
      <c r="AB994" s="14" t="n"/>
      <c r="AC994" s="17">
        <f>IFERROR(VLOOKUP($H994&amp;"|"&amp;$Q994,Tariff_Master!$A$2:$L$169,3,FALSE),"")</f>
        <v/>
      </c>
      <c r="AD994" s="17">
        <f>IFERROR(VLOOKUP($H994&amp;"|"&amp;$Q994,Tariff_Master!$A$2:$L$169,4,FALSE),"")</f>
        <v/>
      </c>
      <c r="AE994" s="18">
        <f>IFERROR(VLOOKUP($H994&amp;"|"&amp;$Q994,Tariff_Master!$A$2:$L$169,6,FALSE),"")</f>
        <v/>
      </c>
      <c r="AF994" s="19">
        <f>IFERROR(VLOOKUP($H994&amp;"|"&amp;$Q994,Tariff_Master!$A$2:$L$169,7,FALSE),"")</f>
        <v/>
      </c>
      <c r="AG994" s="18">
        <f>IFERROR(VLOOKUP($H994&amp;"|"&amp;$Q994,Tariff_Master!$A$2:$L$169,8,FALSE),"")</f>
        <v/>
      </c>
      <c r="AH994" s="20">
        <f>IFERROR(VLOOKUP($H994&amp;"|"&amp;$Q994,Tariff_Master!$A$2:$L$169,9,FALSE),"")</f>
        <v/>
      </c>
      <c r="AI994" s="18">
        <f>IFERROR(VLOOKUP($H994&amp;"|"&amp;$Q994,Tariff_Master!$A$2:$L$169,10,FALSE),"")</f>
        <v/>
      </c>
      <c r="AJ994" s="21">
        <f>IF($M994="","",ROUNDUP(MAX(0,$M994),0))</f>
        <v/>
      </c>
      <c r="AK994" s="21">
        <f>IF(OR($AJ994="",$AF994=""),"",MAX(0,$AJ994-$AF994))</f>
        <v/>
      </c>
      <c r="AL994" s="22">
        <f>IF(OR($AK994="",$AG994=""),"",MAX(0,$AK994*$AG994))</f>
        <v/>
      </c>
      <c r="AM994" s="22">
        <f>IF($AE994="","",MAX(0,SUM($AE994,$AL994,$V994,$W994)))</f>
        <v/>
      </c>
      <c r="AN994" s="22">
        <f>IF($AM994="","",IF(AND($Q994="COMMITMENT",$R994&gt;=$AH994),$AI994,0))</f>
        <v/>
      </c>
      <c r="AO994" s="23">
        <f>IF($AM994="","",MAX(0,$AM994-$AN994))</f>
        <v/>
      </c>
      <c r="AP994" s="22">
        <f>IF($S994="","",IF(OR($S994="ITEM_PRICE_PLUS_DECLARED_DELIVERY",$S994="DELIVERY_CHARGE_ONLY"),$K994,IF($S994="TOTAL_AMOUNT_INCLUDING_DELIVERY",IF(OR($T994="",$J994=""),"",MAX(0,$T994-$J994-$U994)),IF($S994="ITEM_PRICE_ONLY_DELIVERY_PAID_BY_MERCHANT",0,""))))</f>
        <v/>
      </c>
      <c r="AQ994" s="23">
        <f>IF(OR($AP994="",$AO994=""),"",$AP994-$AO994)</f>
        <v/>
      </c>
      <c r="AR994" s="24">
        <f>IF($S994="EXACT_COLLECTION_AMOUNT","BREAKDOWN_REQUIRED",IF($AQ994="","",IF($AQ994&gt;0,"CREDIT_TO_MERCHANT",IF($AQ994&lt;0,"DEDUCT_FROM_MERCHANT","NO_ADJUSTMENT"))))</f>
        <v/>
      </c>
      <c r="AS994" s="23">
        <f>IF(OR($AQ994="",$AR994="BREAKDOWN_REQUIRED"),"",$AQ994)</f>
        <v/>
      </c>
      <c r="AT994" s="23">
        <f>IF(OR($AR994="",$AR994="BREAKDOWN_REQUIRED"),"",SUM($J994,$AQ994,$Y994)-$X994)</f>
        <v/>
      </c>
      <c r="AU994" s="25">
        <f>IF(AND($A994="",$B994="",$F994="",$H994="",$J994="",$K994="",$M994="",$S994=""),"",IF(OR($H994="",$Q994="",$M994="",$S994=""),"ERROR",IF(OR($J994&lt;0,$K994&lt;0,$M994&lt;0,$T994&lt;0,$U994&lt;0,$V994&lt;0,$W994&lt;0,$X994&lt;0,$Y994&lt;0),"ERROR",IF($AE994="","ERROR",IF(AND(OR($S994="ITEM_PRICE_PLUS_DECLARED_DELIVERY",$S994="TOTAL_AMOUNT_INCLUDING_DELIVERY",$S994="ITEM_PRICE_ONLY_DELIVERY_PAID_BY_MERCHANT"),$J994=""),"ERROR",IF(AND(OR($S994="ITEM_PRICE_PLUS_DECLARED_DELIVERY",$S994="DELIVERY_CHARGE_ONLY"),$K994=""),"ERROR",IF(AND(OR($S994="TOTAL_AMOUNT_INCLUDING_DELIVERY",$S994="EXACT_COLLECTION_AMOUNT"),$T994=""),"ERROR",IF(AND($S994="TOTAL_AMOUNT_INCLUDING_DELIVERY",$T994&lt;SUM($J994,$U994)),"ERROR",IF($S994="EXACT_COLLECTION_AMOUNT","REVIEW","OK")))))))))</f>
        <v/>
      </c>
      <c r="AV994" s="25">
        <f>IF($AU994="","",IF($H994="","Township required",IF($Q994="","Customer tier required",IF($M994="","Weight required",IF($S994="","Amount entry type required",IF(OR($J994&lt;0,$K994&lt;0,$M994&lt;0,$T994&lt;0,$U994&lt;0,$V994&lt;0,$W994&lt;0,$X994&lt;0,$Y994&lt;0),"Negative amounts are not allowed",IF($AE994="","Tariff not found for township and tier",IF(AND(OR($S994="ITEM_PRICE_PLUS_DECLARED_DELIVERY",$S994="TOTAL_AMOUNT_INCLUDING_DELIVERY",$S994="ITEM_PRICE_ONLY_DELIVERY_PAID_BY_MERCHANT"),$J994=""),"Item price required for this amount type",IF(AND(OR($S994="ITEM_PRICE_PLUS_DECLARED_DELIVERY",$S994="DELIVERY_CHARGE_ONLY"),$K994=""),"Declared delivery charge required",IF(AND(OR($S994="TOTAL_AMOUNT_INCLUDING_DELIVERY",$S994="EXACT_COLLECTION_AMOUNT"),$T994=""),"Stated total amount required",IF(AND($S994="TOTAL_AMOUNT_INCLUDING_DELIVERY",$T994&lt;SUM($J994,$U994)),"Stated total is below item price plus additional charge",IF($S994="EXACT_COLLECTION_AMOUNT","Authorized amount breakdown required before settlement","Ready for collection and settlement"))))))))))))</f>
        <v/>
      </c>
      <c r="AW994" s="23">
        <f>IF($AU994="","","PARCEL_FINANCIAL_V2")</f>
        <v/>
      </c>
      <c r="AX994" s="17" t="n"/>
    </row>
    <row r="995">
      <c r="A995" s="8" t="n"/>
      <c r="B995" s="8" t="n"/>
      <c r="C995" s="8" t="n"/>
      <c r="D995" s="8" t="n"/>
      <c r="E995" s="9" t="n"/>
      <c r="F995" s="9" t="n"/>
      <c r="G995" s="8" t="n"/>
      <c r="H995" s="9" t="n"/>
      <c r="I995" s="9" t="n"/>
      <c r="J995" s="10" t="n"/>
      <c r="K995" s="10" t="n"/>
      <c r="L995" s="11">
        <f>IF($S995="","",IF($S995="ITEM_PRICE_PLUS_DECLARED_DELIVERY",IF(OR($J995="",$K995=""),"",SUM($J995,$K995,$U995)),IF($S995="TOTAL_AMOUNT_INCLUDING_DELIVERY",IF($T995="","",$T995),IF($S995="DELIVERY_CHARGE_ONLY",IF($K995="","",SUM($K995,$U995)),IF($S995="EXACT_COLLECTION_AMOUNT",IF($T995="","",$T995),IF($S995="ITEM_PRICE_ONLY_DELIVERY_PAID_BY_MERCHANT",IF($J995="","",SUM($J995,$U995)),""))))))</f>
        <v/>
      </c>
      <c r="M995" s="12" t="n"/>
      <c r="N995" s="13" t="n"/>
      <c r="O995" s="13" t="n"/>
      <c r="P995" s="9" t="n"/>
      <c r="Q995" s="14" t="n"/>
      <c r="R995" s="15" t="n"/>
      <c r="S995" s="14" t="n"/>
      <c r="T995" s="16" t="n"/>
      <c r="U995" s="16" t="n"/>
      <c r="V995" s="16" t="n"/>
      <c r="W995" s="16" t="n"/>
      <c r="X995" s="16" t="n"/>
      <c r="Y995" s="16" t="n"/>
      <c r="Z995" s="14" t="n"/>
      <c r="AA995" s="14" t="n"/>
      <c r="AB995" s="14" t="n"/>
      <c r="AC995" s="17">
        <f>IFERROR(VLOOKUP($H995&amp;"|"&amp;$Q995,Tariff_Master!$A$2:$L$169,3,FALSE),"")</f>
        <v/>
      </c>
      <c r="AD995" s="17">
        <f>IFERROR(VLOOKUP($H995&amp;"|"&amp;$Q995,Tariff_Master!$A$2:$L$169,4,FALSE),"")</f>
        <v/>
      </c>
      <c r="AE995" s="18">
        <f>IFERROR(VLOOKUP($H995&amp;"|"&amp;$Q995,Tariff_Master!$A$2:$L$169,6,FALSE),"")</f>
        <v/>
      </c>
      <c r="AF995" s="19">
        <f>IFERROR(VLOOKUP($H995&amp;"|"&amp;$Q995,Tariff_Master!$A$2:$L$169,7,FALSE),"")</f>
        <v/>
      </c>
      <c r="AG995" s="18">
        <f>IFERROR(VLOOKUP($H995&amp;"|"&amp;$Q995,Tariff_Master!$A$2:$L$169,8,FALSE),"")</f>
        <v/>
      </c>
      <c r="AH995" s="20">
        <f>IFERROR(VLOOKUP($H995&amp;"|"&amp;$Q995,Tariff_Master!$A$2:$L$169,9,FALSE),"")</f>
        <v/>
      </c>
      <c r="AI995" s="18">
        <f>IFERROR(VLOOKUP($H995&amp;"|"&amp;$Q995,Tariff_Master!$A$2:$L$169,10,FALSE),"")</f>
        <v/>
      </c>
      <c r="AJ995" s="21">
        <f>IF($M995="","",ROUNDUP(MAX(0,$M995),0))</f>
        <v/>
      </c>
      <c r="AK995" s="21">
        <f>IF(OR($AJ995="",$AF995=""),"",MAX(0,$AJ995-$AF995))</f>
        <v/>
      </c>
      <c r="AL995" s="22">
        <f>IF(OR($AK995="",$AG995=""),"",MAX(0,$AK995*$AG995))</f>
        <v/>
      </c>
      <c r="AM995" s="22">
        <f>IF($AE995="","",MAX(0,SUM($AE995,$AL995,$V995,$W995)))</f>
        <v/>
      </c>
      <c r="AN995" s="22">
        <f>IF($AM995="","",IF(AND($Q995="COMMITMENT",$R995&gt;=$AH995),$AI995,0))</f>
        <v/>
      </c>
      <c r="AO995" s="23">
        <f>IF($AM995="","",MAX(0,$AM995-$AN995))</f>
        <v/>
      </c>
      <c r="AP995" s="22">
        <f>IF($S995="","",IF(OR($S995="ITEM_PRICE_PLUS_DECLARED_DELIVERY",$S995="DELIVERY_CHARGE_ONLY"),$K995,IF($S995="TOTAL_AMOUNT_INCLUDING_DELIVERY",IF(OR($T995="",$J995=""),"",MAX(0,$T995-$J995-$U995)),IF($S995="ITEM_PRICE_ONLY_DELIVERY_PAID_BY_MERCHANT",0,""))))</f>
        <v/>
      </c>
      <c r="AQ995" s="23">
        <f>IF(OR($AP995="",$AO995=""),"",$AP995-$AO995)</f>
        <v/>
      </c>
      <c r="AR995" s="24">
        <f>IF($S995="EXACT_COLLECTION_AMOUNT","BREAKDOWN_REQUIRED",IF($AQ995="","",IF($AQ995&gt;0,"CREDIT_TO_MERCHANT",IF($AQ995&lt;0,"DEDUCT_FROM_MERCHANT","NO_ADJUSTMENT"))))</f>
        <v/>
      </c>
      <c r="AS995" s="23">
        <f>IF(OR($AQ995="",$AR995="BREAKDOWN_REQUIRED"),"",$AQ995)</f>
        <v/>
      </c>
      <c r="AT995" s="23">
        <f>IF(OR($AR995="",$AR995="BREAKDOWN_REQUIRED"),"",SUM($J995,$AQ995,$Y995)-$X995)</f>
        <v/>
      </c>
      <c r="AU995" s="25">
        <f>IF(AND($A995="",$B995="",$F995="",$H995="",$J995="",$K995="",$M995="",$S995=""),"",IF(OR($H995="",$Q995="",$M995="",$S995=""),"ERROR",IF(OR($J995&lt;0,$K995&lt;0,$M995&lt;0,$T995&lt;0,$U995&lt;0,$V995&lt;0,$W995&lt;0,$X995&lt;0,$Y995&lt;0),"ERROR",IF($AE995="","ERROR",IF(AND(OR($S995="ITEM_PRICE_PLUS_DECLARED_DELIVERY",$S995="TOTAL_AMOUNT_INCLUDING_DELIVERY",$S995="ITEM_PRICE_ONLY_DELIVERY_PAID_BY_MERCHANT"),$J995=""),"ERROR",IF(AND(OR($S995="ITEM_PRICE_PLUS_DECLARED_DELIVERY",$S995="DELIVERY_CHARGE_ONLY"),$K995=""),"ERROR",IF(AND(OR($S995="TOTAL_AMOUNT_INCLUDING_DELIVERY",$S995="EXACT_COLLECTION_AMOUNT"),$T995=""),"ERROR",IF(AND($S995="TOTAL_AMOUNT_INCLUDING_DELIVERY",$T995&lt;SUM($J995,$U995)),"ERROR",IF($S995="EXACT_COLLECTION_AMOUNT","REVIEW","OK")))))))))</f>
        <v/>
      </c>
      <c r="AV995" s="25">
        <f>IF($AU995="","",IF($H995="","Township required",IF($Q995="","Customer tier required",IF($M995="","Weight required",IF($S995="","Amount entry type required",IF(OR($J995&lt;0,$K995&lt;0,$M995&lt;0,$T995&lt;0,$U995&lt;0,$V995&lt;0,$W995&lt;0,$X995&lt;0,$Y995&lt;0),"Negative amounts are not allowed",IF($AE995="","Tariff not found for township and tier",IF(AND(OR($S995="ITEM_PRICE_PLUS_DECLARED_DELIVERY",$S995="TOTAL_AMOUNT_INCLUDING_DELIVERY",$S995="ITEM_PRICE_ONLY_DELIVERY_PAID_BY_MERCHANT"),$J995=""),"Item price required for this amount type",IF(AND(OR($S995="ITEM_PRICE_PLUS_DECLARED_DELIVERY",$S995="DELIVERY_CHARGE_ONLY"),$K995=""),"Declared delivery charge required",IF(AND(OR($S995="TOTAL_AMOUNT_INCLUDING_DELIVERY",$S995="EXACT_COLLECTION_AMOUNT"),$T995=""),"Stated total amount required",IF(AND($S995="TOTAL_AMOUNT_INCLUDING_DELIVERY",$T995&lt;SUM($J995,$U995)),"Stated total is below item price plus additional charge",IF($S995="EXACT_COLLECTION_AMOUNT","Authorized amount breakdown required before settlement","Ready for collection and settlement"))))))))))))</f>
        <v/>
      </c>
      <c r="AW995" s="23">
        <f>IF($AU995="","","PARCEL_FINANCIAL_V2")</f>
        <v/>
      </c>
      <c r="AX995" s="17" t="n"/>
    </row>
    <row r="996">
      <c r="A996" s="8" t="n"/>
      <c r="B996" s="8" t="n"/>
      <c r="C996" s="8" t="n"/>
      <c r="D996" s="8" t="n"/>
      <c r="E996" s="9" t="n"/>
      <c r="F996" s="9" t="n"/>
      <c r="G996" s="8" t="n"/>
      <c r="H996" s="9" t="n"/>
      <c r="I996" s="9" t="n"/>
      <c r="J996" s="10" t="n"/>
      <c r="K996" s="10" t="n"/>
      <c r="L996" s="11">
        <f>IF($S996="","",IF($S996="ITEM_PRICE_PLUS_DECLARED_DELIVERY",IF(OR($J996="",$K996=""),"",SUM($J996,$K996,$U996)),IF($S996="TOTAL_AMOUNT_INCLUDING_DELIVERY",IF($T996="","",$T996),IF($S996="DELIVERY_CHARGE_ONLY",IF($K996="","",SUM($K996,$U996)),IF($S996="EXACT_COLLECTION_AMOUNT",IF($T996="","",$T996),IF($S996="ITEM_PRICE_ONLY_DELIVERY_PAID_BY_MERCHANT",IF($J996="","",SUM($J996,$U996)),""))))))</f>
        <v/>
      </c>
      <c r="M996" s="12" t="n"/>
      <c r="N996" s="13" t="n"/>
      <c r="O996" s="13" t="n"/>
      <c r="P996" s="9" t="n"/>
      <c r="Q996" s="14" t="n"/>
      <c r="R996" s="15" t="n"/>
      <c r="S996" s="14" t="n"/>
      <c r="T996" s="16" t="n"/>
      <c r="U996" s="16" t="n"/>
      <c r="V996" s="16" t="n"/>
      <c r="W996" s="16" t="n"/>
      <c r="X996" s="16" t="n"/>
      <c r="Y996" s="16" t="n"/>
      <c r="Z996" s="14" t="n"/>
      <c r="AA996" s="14" t="n"/>
      <c r="AB996" s="14" t="n"/>
      <c r="AC996" s="17">
        <f>IFERROR(VLOOKUP($H996&amp;"|"&amp;$Q996,Tariff_Master!$A$2:$L$169,3,FALSE),"")</f>
        <v/>
      </c>
      <c r="AD996" s="17">
        <f>IFERROR(VLOOKUP($H996&amp;"|"&amp;$Q996,Tariff_Master!$A$2:$L$169,4,FALSE),"")</f>
        <v/>
      </c>
      <c r="AE996" s="18">
        <f>IFERROR(VLOOKUP($H996&amp;"|"&amp;$Q996,Tariff_Master!$A$2:$L$169,6,FALSE),"")</f>
        <v/>
      </c>
      <c r="AF996" s="19">
        <f>IFERROR(VLOOKUP($H996&amp;"|"&amp;$Q996,Tariff_Master!$A$2:$L$169,7,FALSE),"")</f>
        <v/>
      </c>
      <c r="AG996" s="18">
        <f>IFERROR(VLOOKUP($H996&amp;"|"&amp;$Q996,Tariff_Master!$A$2:$L$169,8,FALSE),"")</f>
        <v/>
      </c>
      <c r="AH996" s="20">
        <f>IFERROR(VLOOKUP($H996&amp;"|"&amp;$Q996,Tariff_Master!$A$2:$L$169,9,FALSE),"")</f>
        <v/>
      </c>
      <c r="AI996" s="18">
        <f>IFERROR(VLOOKUP($H996&amp;"|"&amp;$Q996,Tariff_Master!$A$2:$L$169,10,FALSE),"")</f>
        <v/>
      </c>
      <c r="AJ996" s="21">
        <f>IF($M996="","",ROUNDUP(MAX(0,$M996),0))</f>
        <v/>
      </c>
      <c r="AK996" s="21">
        <f>IF(OR($AJ996="",$AF996=""),"",MAX(0,$AJ996-$AF996))</f>
        <v/>
      </c>
      <c r="AL996" s="22">
        <f>IF(OR($AK996="",$AG996=""),"",MAX(0,$AK996*$AG996))</f>
        <v/>
      </c>
      <c r="AM996" s="22">
        <f>IF($AE996="","",MAX(0,SUM($AE996,$AL996,$V996,$W996)))</f>
        <v/>
      </c>
      <c r="AN996" s="22">
        <f>IF($AM996="","",IF(AND($Q996="COMMITMENT",$R996&gt;=$AH996),$AI996,0))</f>
        <v/>
      </c>
      <c r="AO996" s="23">
        <f>IF($AM996="","",MAX(0,$AM996-$AN996))</f>
        <v/>
      </c>
      <c r="AP996" s="22">
        <f>IF($S996="","",IF(OR($S996="ITEM_PRICE_PLUS_DECLARED_DELIVERY",$S996="DELIVERY_CHARGE_ONLY"),$K996,IF($S996="TOTAL_AMOUNT_INCLUDING_DELIVERY",IF(OR($T996="",$J996=""),"",MAX(0,$T996-$J996-$U996)),IF($S996="ITEM_PRICE_ONLY_DELIVERY_PAID_BY_MERCHANT",0,""))))</f>
        <v/>
      </c>
      <c r="AQ996" s="23">
        <f>IF(OR($AP996="",$AO996=""),"",$AP996-$AO996)</f>
        <v/>
      </c>
      <c r="AR996" s="24">
        <f>IF($S996="EXACT_COLLECTION_AMOUNT","BREAKDOWN_REQUIRED",IF($AQ996="","",IF($AQ996&gt;0,"CREDIT_TO_MERCHANT",IF($AQ996&lt;0,"DEDUCT_FROM_MERCHANT","NO_ADJUSTMENT"))))</f>
        <v/>
      </c>
      <c r="AS996" s="23">
        <f>IF(OR($AQ996="",$AR996="BREAKDOWN_REQUIRED"),"",$AQ996)</f>
        <v/>
      </c>
      <c r="AT996" s="23">
        <f>IF(OR($AR996="",$AR996="BREAKDOWN_REQUIRED"),"",SUM($J996,$AQ996,$Y996)-$X996)</f>
        <v/>
      </c>
      <c r="AU996" s="25">
        <f>IF(AND($A996="",$B996="",$F996="",$H996="",$J996="",$K996="",$M996="",$S996=""),"",IF(OR($H996="",$Q996="",$M996="",$S996=""),"ERROR",IF(OR($J996&lt;0,$K996&lt;0,$M996&lt;0,$T996&lt;0,$U996&lt;0,$V996&lt;0,$W996&lt;0,$X996&lt;0,$Y996&lt;0),"ERROR",IF($AE996="","ERROR",IF(AND(OR($S996="ITEM_PRICE_PLUS_DECLARED_DELIVERY",$S996="TOTAL_AMOUNT_INCLUDING_DELIVERY",$S996="ITEM_PRICE_ONLY_DELIVERY_PAID_BY_MERCHANT"),$J996=""),"ERROR",IF(AND(OR($S996="ITEM_PRICE_PLUS_DECLARED_DELIVERY",$S996="DELIVERY_CHARGE_ONLY"),$K996=""),"ERROR",IF(AND(OR($S996="TOTAL_AMOUNT_INCLUDING_DELIVERY",$S996="EXACT_COLLECTION_AMOUNT"),$T996=""),"ERROR",IF(AND($S996="TOTAL_AMOUNT_INCLUDING_DELIVERY",$T996&lt;SUM($J996,$U996)),"ERROR",IF($S996="EXACT_COLLECTION_AMOUNT","REVIEW","OK")))))))))</f>
        <v/>
      </c>
      <c r="AV996" s="25">
        <f>IF($AU996="","",IF($H996="","Township required",IF($Q996="","Customer tier required",IF($M996="","Weight required",IF($S996="","Amount entry type required",IF(OR($J996&lt;0,$K996&lt;0,$M996&lt;0,$T996&lt;0,$U996&lt;0,$V996&lt;0,$W996&lt;0,$X996&lt;0,$Y996&lt;0),"Negative amounts are not allowed",IF($AE996="","Tariff not found for township and tier",IF(AND(OR($S996="ITEM_PRICE_PLUS_DECLARED_DELIVERY",$S996="TOTAL_AMOUNT_INCLUDING_DELIVERY",$S996="ITEM_PRICE_ONLY_DELIVERY_PAID_BY_MERCHANT"),$J996=""),"Item price required for this amount type",IF(AND(OR($S996="ITEM_PRICE_PLUS_DECLARED_DELIVERY",$S996="DELIVERY_CHARGE_ONLY"),$K996=""),"Declared delivery charge required",IF(AND(OR($S996="TOTAL_AMOUNT_INCLUDING_DELIVERY",$S996="EXACT_COLLECTION_AMOUNT"),$T996=""),"Stated total amount required",IF(AND($S996="TOTAL_AMOUNT_INCLUDING_DELIVERY",$T996&lt;SUM($J996,$U996)),"Stated total is below item price plus additional charge",IF($S996="EXACT_COLLECTION_AMOUNT","Authorized amount breakdown required before settlement","Ready for collection and settlement"))))))))))))</f>
        <v/>
      </c>
      <c r="AW996" s="23">
        <f>IF($AU996="","","PARCEL_FINANCIAL_V2")</f>
        <v/>
      </c>
      <c r="AX996" s="17" t="n"/>
    </row>
    <row r="997">
      <c r="A997" s="8" t="n"/>
      <c r="B997" s="8" t="n"/>
      <c r="C997" s="8" t="n"/>
      <c r="D997" s="8" t="n"/>
      <c r="E997" s="9" t="n"/>
      <c r="F997" s="9" t="n"/>
      <c r="G997" s="8" t="n"/>
      <c r="H997" s="9" t="n"/>
      <c r="I997" s="9" t="n"/>
      <c r="J997" s="10" t="n"/>
      <c r="K997" s="10" t="n"/>
      <c r="L997" s="11">
        <f>IF($S997="","",IF($S997="ITEM_PRICE_PLUS_DECLARED_DELIVERY",IF(OR($J997="",$K997=""),"",SUM($J997,$K997,$U997)),IF($S997="TOTAL_AMOUNT_INCLUDING_DELIVERY",IF($T997="","",$T997),IF($S997="DELIVERY_CHARGE_ONLY",IF($K997="","",SUM($K997,$U997)),IF($S997="EXACT_COLLECTION_AMOUNT",IF($T997="","",$T997),IF($S997="ITEM_PRICE_ONLY_DELIVERY_PAID_BY_MERCHANT",IF($J997="","",SUM($J997,$U997)),""))))))</f>
        <v/>
      </c>
      <c r="M997" s="12" t="n"/>
      <c r="N997" s="13" t="n"/>
      <c r="O997" s="13" t="n"/>
      <c r="P997" s="9" t="n"/>
      <c r="Q997" s="14" t="n"/>
      <c r="R997" s="15" t="n"/>
      <c r="S997" s="14" t="n"/>
      <c r="T997" s="16" t="n"/>
      <c r="U997" s="16" t="n"/>
      <c r="V997" s="16" t="n"/>
      <c r="W997" s="16" t="n"/>
      <c r="X997" s="16" t="n"/>
      <c r="Y997" s="16" t="n"/>
      <c r="Z997" s="14" t="n"/>
      <c r="AA997" s="14" t="n"/>
      <c r="AB997" s="14" t="n"/>
      <c r="AC997" s="17">
        <f>IFERROR(VLOOKUP($H997&amp;"|"&amp;$Q997,Tariff_Master!$A$2:$L$169,3,FALSE),"")</f>
        <v/>
      </c>
      <c r="AD997" s="17">
        <f>IFERROR(VLOOKUP($H997&amp;"|"&amp;$Q997,Tariff_Master!$A$2:$L$169,4,FALSE),"")</f>
        <v/>
      </c>
      <c r="AE997" s="18">
        <f>IFERROR(VLOOKUP($H997&amp;"|"&amp;$Q997,Tariff_Master!$A$2:$L$169,6,FALSE),"")</f>
        <v/>
      </c>
      <c r="AF997" s="19">
        <f>IFERROR(VLOOKUP($H997&amp;"|"&amp;$Q997,Tariff_Master!$A$2:$L$169,7,FALSE),"")</f>
        <v/>
      </c>
      <c r="AG997" s="18">
        <f>IFERROR(VLOOKUP($H997&amp;"|"&amp;$Q997,Tariff_Master!$A$2:$L$169,8,FALSE),"")</f>
        <v/>
      </c>
      <c r="AH997" s="20">
        <f>IFERROR(VLOOKUP($H997&amp;"|"&amp;$Q997,Tariff_Master!$A$2:$L$169,9,FALSE),"")</f>
        <v/>
      </c>
      <c r="AI997" s="18">
        <f>IFERROR(VLOOKUP($H997&amp;"|"&amp;$Q997,Tariff_Master!$A$2:$L$169,10,FALSE),"")</f>
        <v/>
      </c>
      <c r="AJ997" s="21">
        <f>IF($M997="","",ROUNDUP(MAX(0,$M997),0))</f>
        <v/>
      </c>
      <c r="AK997" s="21">
        <f>IF(OR($AJ997="",$AF997=""),"",MAX(0,$AJ997-$AF997))</f>
        <v/>
      </c>
      <c r="AL997" s="22">
        <f>IF(OR($AK997="",$AG997=""),"",MAX(0,$AK997*$AG997))</f>
        <v/>
      </c>
      <c r="AM997" s="22">
        <f>IF($AE997="","",MAX(0,SUM($AE997,$AL997,$V997,$W997)))</f>
        <v/>
      </c>
      <c r="AN997" s="22">
        <f>IF($AM997="","",IF(AND($Q997="COMMITMENT",$R997&gt;=$AH997),$AI997,0))</f>
        <v/>
      </c>
      <c r="AO997" s="23">
        <f>IF($AM997="","",MAX(0,$AM997-$AN997))</f>
        <v/>
      </c>
      <c r="AP997" s="22">
        <f>IF($S997="","",IF(OR($S997="ITEM_PRICE_PLUS_DECLARED_DELIVERY",$S997="DELIVERY_CHARGE_ONLY"),$K997,IF($S997="TOTAL_AMOUNT_INCLUDING_DELIVERY",IF(OR($T997="",$J997=""),"",MAX(0,$T997-$J997-$U997)),IF($S997="ITEM_PRICE_ONLY_DELIVERY_PAID_BY_MERCHANT",0,""))))</f>
        <v/>
      </c>
      <c r="AQ997" s="23">
        <f>IF(OR($AP997="",$AO997=""),"",$AP997-$AO997)</f>
        <v/>
      </c>
      <c r="AR997" s="24">
        <f>IF($S997="EXACT_COLLECTION_AMOUNT","BREAKDOWN_REQUIRED",IF($AQ997="","",IF($AQ997&gt;0,"CREDIT_TO_MERCHANT",IF($AQ997&lt;0,"DEDUCT_FROM_MERCHANT","NO_ADJUSTMENT"))))</f>
        <v/>
      </c>
      <c r="AS997" s="23">
        <f>IF(OR($AQ997="",$AR997="BREAKDOWN_REQUIRED"),"",$AQ997)</f>
        <v/>
      </c>
      <c r="AT997" s="23">
        <f>IF(OR($AR997="",$AR997="BREAKDOWN_REQUIRED"),"",SUM($J997,$AQ997,$Y997)-$X997)</f>
        <v/>
      </c>
      <c r="AU997" s="25">
        <f>IF(AND($A997="",$B997="",$F997="",$H997="",$J997="",$K997="",$M997="",$S997=""),"",IF(OR($H997="",$Q997="",$M997="",$S997=""),"ERROR",IF(OR($J997&lt;0,$K997&lt;0,$M997&lt;0,$T997&lt;0,$U997&lt;0,$V997&lt;0,$W997&lt;0,$X997&lt;0,$Y997&lt;0),"ERROR",IF($AE997="","ERROR",IF(AND(OR($S997="ITEM_PRICE_PLUS_DECLARED_DELIVERY",$S997="TOTAL_AMOUNT_INCLUDING_DELIVERY",$S997="ITEM_PRICE_ONLY_DELIVERY_PAID_BY_MERCHANT"),$J997=""),"ERROR",IF(AND(OR($S997="ITEM_PRICE_PLUS_DECLARED_DELIVERY",$S997="DELIVERY_CHARGE_ONLY"),$K997=""),"ERROR",IF(AND(OR($S997="TOTAL_AMOUNT_INCLUDING_DELIVERY",$S997="EXACT_COLLECTION_AMOUNT"),$T997=""),"ERROR",IF(AND($S997="TOTAL_AMOUNT_INCLUDING_DELIVERY",$T997&lt;SUM($J997,$U997)),"ERROR",IF($S997="EXACT_COLLECTION_AMOUNT","REVIEW","OK")))))))))</f>
        <v/>
      </c>
      <c r="AV997" s="25">
        <f>IF($AU997="","",IF($H997="","Township required",IF($Q997="","Customer tier required",IF($M997="","Weight required",IF($S997="","Amount entry type required",IF(OR($J997&lt;0,$K997&lt;0,$M997&lt;0,$T997&lt;0,$U997&lt;0,$V997&lt;0,$W997&lt;0,$X997&lt;0,$Y997&lt;0),"Negative amounts are not allowed",IF($AE997="","Tariff not found for township and tier",IF(AND(OR($S997="ITEM_PRICE_PLUS_DECLARED_DELIVERY",$S997="TOTAL_AMOUNT_INCLUDING_DELIVERY",$S997="ITEM_PRICE_ONLY_DELIVERY_PAID_BY_MERCHANT"),$J997=""),"Item price required for this amount type",IF(AND(OR($S997="ITEM_PRICE_PLUS_DECLARED_DELIVERY",$S997="DELIVERY_CHARGE_ONLY"),$K997=""),"Declared delivery charge required",IF(AND(OR($S997="TOTAL_AMOUNT_INCLUDING_DELIVERY",$S997="EXACT_COLLECTION_AMOUNT"),$T997=""),"Stated total amount required",IF(AND($S997="TOTAL_AMOUNT_INCLUDING_DELIVERY",$T997&lt;SUM($J997,$U997)),"Stated total is below item price plus additional charge",IF($S997="EXACT_COLLECTION_AMOUNT","Authorized amount breakdown required before settlement","Ready for collection and settlement"))))))))))))</f>
        <v/>
      </c>
      <c r="AW997" s="23">
        <f>IF($AU997="","","PARCEL_FINANCIAL_V2")</f>
        <v/>
      </c>
      <c r="AX997" s="17" t="n"/>
    </row>
    <row r="998">
      <c r="A998" s="8" t="n"/>
      <c r="B998" s="8" t="n"/>
      <c r="C998" s="8" t="n"/>
      <c r="D998" s="8" t="n"/>
      <c r="E998" s="9" t="n"/>
      <c r="F998" s="9" t="n"/>
      <c r="G998" s="8" t="n"/>
      <c r="H998" s="9" t="n"/>
      <c r="I998" s="9" t="n"/>
      <c r="J998" s="10" t="n"/>
      <c r="K998" s="10" t="n"/>
      <c r="L998" s="11">
        <f>IF($S998="","",IF($S998="ITEM_PRICE_PLUS_DECLARED_DELIVERY",IF(OR($J998="",$K998=""),"",SUM($J998,$K998,$U998)),IF($S998="TOTAL_AMOUNT_INCLUDING_DELIVERY",IF($T998="","",$T998),IF($S998="DELIVERY_CHARGE_ONLY",IF($K998="","",SUM($K998,$U998)),IF($S998="EXACT_COLLECTION_AMOUNT",IF($T998="","",$T998),IF($S998="ITEM_PRICE_ONLY_DELIVERY_PAID_BY_MERCHANT",IF($J998="","",SUM($J998,$U998)),""))))))</f>
        <v/>
      </c>
      <c r="M998" s="12" t="n"/>
      <c r="N998" s="13" t="n"/>
      <c r="O998" s="13" t="n"/>
      <c r="P998" s="9" t="n"/>
      <c r="Q998" s="14" t="n"/>
      <c r="R998" s="15" t="n"/>
      <c r="S998" s="14" t="n"/>
      <c r="T998" s="16" t="n"/>
      <c r="U998" s="16" t="n"/>
      <c r="V998" s="16" t="n"/>
      <c r="W998" s="16" t="n"/>
      <c r="X998" s="16" t="n"/>
      <c r="Y998" s="16" t="n"/>
      <c r="Z998" s="14" t="n"/>
      <c r="AA998" s="14" t="n"/>
      <c r="AB998" s="14" t="n"/>
      <c r="AC998" s="17">
        <f>IFERROR(VLOOKUP($H998&amp;"|"&amp;$Q998,Tariff_Master!$A$2:$L$169,3,FALSE),"")</f>
        <v/>
      </c>
      <c r="AD998" s="17">
        <f>IFERROR(VLOOKUP($H998&amp;"|"&amp;$Q998,Tariff_Master!$A$2:$L$169,4,FALSE),"")</f>
        <v/>
      </c>
      <c r="AE998" s="18">
        <f>IFERROR(VLOOKUP($H998&amp;"|"&amp;$Q998,Tariff_Master!$A$2:$L$169,6,FALSE),"")</f>
        <v/>
      </c>
      <c r="AF998" s="19">
        <f>IFERROR(VLOOKUP($H998&amp;"|"&amp;$Q998,Tariff_Master!$A$2:$L$169,7,FALSE),"")</f>
        <v/>
      </c>
      <c r="AG998" s="18">
        <f>IFERROR(VLOOKUP($H998&amp;"|"&amp;$Q998,Tariff_Master!$A$2:$L$169,8,FALSE),"")</f>
        <v/>
      </c>
      <c r="AH998" s="20">
        <f>IFERROR(VLOOKUP($H998&amp;"|"&amp;$Q998,Tariff_Master!$A$2:$L$169,9,FALSE),"")</f>
        <v/>
      </c>
      <c r="AI998" s="18">
        <f>IFERROR(VLOOKUP($H998&amp;"|"&amp;$Q998,Tariff_Master!$A$2:$L$169,10,FALSE),"")</f>
        <v/>
      </c>
      <c r="AJ998" s="21">
        <f>IF($M998="","",ROUNDUP(MAX(0,$M998),0))</f>
        <v/>
      </c>
      <c r="AK998" s="21">
        <f>IF(OR($AJ998="",$AF998=""),"",MAX(0,$AJ998-$AF998))</f>
        <v/>
      </c>
      <c r="AL998" s="22">
        <f>IF(OR($AK998="",$AG998=""),"",MAX(0,$AK998*$AG998))</f>
        <v/>
      </c>
      <c r="AM998" s="22">
        <f>IF($AE998="","",MAX(0,SUM($AE998,$AL998,$V998,$W998)))</f>
        <v/>
      </c>
      <c r="AN998" s="22">
        <f>IF($AM998="","",IF(AND($Q998="COMMITMENT",$R998&gt;=$AH998),$AI998,0))</f>
        <v/>
      </c>
      <c r="AO998" s="23">
        <f>IF($AM998="","",MAX(0,$AM998-$AN998))</f>
        <v/>
      </c>
      <c r="AP998" s="22">
        <f>IF($S998="","",IF(OR($S998="ITEM_PRICE_PLUS_DECLARED_DELIVERY",$S998="DELIVERY_CHARGE_ONLY"),$K998,IF($S998="TOTAL_AMOUNT_INCLUDING_DELIVERY",IF(OR($T998="",$J998=""),"",MAX(0,$T998-$J998-$U998)),IF($S998="ITEM_PRICE_ONLY_DELIVERY_PAID_BY_MERCHANT",0,""))))</f>
        <v/>
      </c>
      <c r="AQ998" s="23">
        <f>IF(OR($AP998="",$AO998=""),"",$AP998-$AO998)</f>
        <v/>
      </c>
      <c r="AR998" s="24">
        <f>IF($S998="EXACT_COLLECTION_AMOUNT","BREAKDOWN_REQUIRED",IF($AQ998="","",IF($AQ998&gt;0,"CREDIT_TO_MERCHANT",IF($AQ998&lt;0,"DEDUCT_FROM_MERCHANT","NO_ADJUSTMENT"))))</f>
        <v/>
      </c>
      <c r="AS998" s="23">
        <f>IF(OR($AQ998="",$AR998="BREAKDOWN_REQUIRED"),"",$AQ998)</f>
        <v/>
      </c>
      <c r="AT998" s="23">
        <f>IF(OR($AR998="",$AR998="BREAKDOWN_REQUIRED"),"",SUM($J998,$AQ998,$Y998)-$X998)</f>
        <v/>
      </c>
      <c r="AU998" s="25">
        <f>IF(AND($A998="",$B998="",$F998="",$H998="",$J998="",$K998="",$M998="",$S998=""),"",IF(OR($H998="",$Q998="",$M998="",$S998=""),"ERROR",IF(OR($J998&lt;0,$K998&lt;0,$M998&lt;0,$T998&lt;0,$U998&lt;0,$V998&lt;0,$W998&lt;0,$X998&lt;0,$Y998&lt;0),"ERROR",IF($AE998="","ERROR",IF(AND(OR($S998="ITEM_PRICE_PLUS_DECLARED_DELIVERY",$S998="TOTAL_AMOUNT_INCLUDING_DELIVERY",$S998="ITEM_PRICE_ONLY_DELIVERY_PAID_BY_MERCHANT"),$J998=""),"ERROR",IF(AND(OR($S998="ITEM_PRICE_PLUS_DECLARED_DELIVERY",$S998="DELIVERY_CHARGE_ONLY"),$K998=""),"ERROR",IF(AND(OR($S998="TOTAL_AMOUNT_INCLUDING_DELIVERY",$S998="EXACT_COLLECTION_AMOUNT"),$T998=""),"ERROR",IF(AND($S998="TOTAL_AMOUNT_INCLUDING_DELIVERY",$T998&lt;SUM($J998,$U998)),"ERROR",IF($S998="EXACT_COLLECTION_AMOUNT","REVIEW","OK")))))))))</f>
        <v/>
      </c>
      <c r="AV998" s="25">
        <f>IF($AU998="","",IF($H998="","Township required",IF($Q998="","Customer tier required",IF($M998="","Weight required",IF($S998="","Amount entry type required",IF(OR($J998&lt;0,$K998&lt;0,$M998&lt;0,$T998&lt;0,$U998&lt;0,$V998&lt;0,$W998&lt;0,$X998&lt;0,$Y998&lt;0),"Negative amounts are not allowed",IF($AE998="","Tariff not found for township and tier",IF(AND(OR($S998="ITEM_PRICE_PLUS_DECLARED_DELIVERY",$S998="TOTAL_AMOUNT_INCLUDING_DELIVERY",$S998="ITEM_PRICE_ONLY_DELIVERY_PAID_BY_MERCHANT"),$J998=""),"Item price required for this amount type",IF(AND(OR($S998="ITEM_PRICE_PLUS_DECLARED_DELIVERY",$S998="DELIVERY_CHARGE_ONLY"),$K998=""),"Declared delivery charge required",IF(AND(OR($S998="TOTAL_AMOUNT_INCLUDING_DELIVERY",$S998="EXACT_COLLECTION_AMOUNT"),$T998=""),"Stated total amount required",IF(AND($S998="TOTAL_AMOUNT_INCLUDING_DELIVERY",$T998&lt;SUM($J998,$U998)),"Stated total is below item price plus additional charge",IF($S998="EXACT_COLLECTION_AMOUNT","Authorized amount breakdown required before settlement","Ready for collection and settlement"))))))))))))</f>
        <v/>
      </c>
      <c r="AW998" s="23">
        <f>IF($AU998="","","PARCEL_FINANCIAL_V2")</f>
        <v/>
      </c>
      <c r="AX998" s="17" t="n"/>
    </row>
    <row r="999">
      <c r="A999" s="8" t="n"/>
      <c r="B999" s="8" t="n"/>
      <c r="C999" s="8" t="n"/>
      <c r="D999" s="8" t="n"/>
      <c r="E999" s="9" t="n"/>
      <c r="F999" s="9" t="n"/>
      <c r="G999" s="8" t="n"/>
      <c r="H999" s="9" t="n"/>
      <c r="I999" s="9" t="n"/>
      <c r="J999" s="10" t="n"/>
      <c r="K999" s="10" t="n"/>
      <c r="L999" s="11">
        <f>IF($S999="","",IF($S999="ITEM_PRICE_PLUS_DECLARED_DELIVERY",IF(OR($J999="",$K999=""),"",SUM($J999,$K999,$U999)),IF($S999="TOTAL_AMOUNT_INCLUDING_DELIVERY",IF($T999="","",$T999),IF($S999="DELIVERY_CHARGE_ONLY",IF($K999="","",SUM($K999,$U999)),IF($S999="EXACT_COLLECTION_AMOUNT",IF($T999="","",$T999),IF($S999="ITEM_PRICE_ONLY_DELIVERY_PAID_BY_MERCHANT",IF($J999="","",SUM($J999,$U999)),""))))))</f>
        <v/>
      </c>
      <c r="M999" s="12" t="n"/>
      <c r="N999" s="13" t="n"/>
      <c r="O999" s="13" t="n"/>
      <c r="P999" s="9" t="n"/>
      <c r="Q999" s="14" t="n"/>
      <c r="R999" s="15" t="n"/>
      <c r="S999" s="14" t="n"/>
      <c r="T999" s="16" t="n"/>
      <c r="U999" s="16" t="n"/>
      <c r="V999" s="16" t="n"/>
      <c r="W999" s="16" t="n"/>
      <c r="X999" s="16" t="n"/>
      <c r="Y999" s="16" t="n"/>
      <c r="Z999" s="14" t="n"/>
      <c r="AA999" s="14" t="n"/>
      <c r="AB999" s="14" t="n"/>
      <c r="AC999" s="17">
        <f>IFERROR(VLOOKUP($H999&amp;"|"&amp;$Q999,Tariff_Master!$A$2:$L$169,3,FALSE),"")</f>
        <v/>
      </c>
      <c r="AD999" s="17">
        <f>IFERROR(VLOOKUP($H999&amp;"|"&amp;$Q999,Tariff_Master!$A$2:$L$169,4,FALSE),"")</f>
        <v/>
      </c>
      <c r="AE999" s="18">
        <f>IFERROR(VLOOKUP($H999&amp;"|"&amp;$Q999,Tariff_Master!$A$2:$L$169,6,FALSE),"")</f>
        <v/>
      </c>
      <c r="AF999" s="19">
        <f>IFERROR(VLOOKUP($H999&amp;"|"&amp;$Q999,Tariff_Master!$A$2:$L$169,7,FALSE),"")</f>
        <v/>
      </c>
      <c r="AG999" s="18">
        <f>IFERROR(VLOOKUP($H999&amp;"|"&amp;$Q999,Tariff_Master!$A$2:$L$169,8,FALSE),"")</f>
        <v/>
      </c>
      <c r="AH999" s="20">
        <f>IFERROR(VLOOKUP($H999&amp;"|"&amp;$Q999,Tariff_Master!$A$2:$L$169,9,FALSE),"")</f>
        <v/>
      </c>
      <c r="AI999" s="18">
        <f>IFERROR(VLOOKUP($H999&amp;"|"&amp;$Q999,Tariff_Master!$A$2:$L$169,10,FALSE),"")</f>
        <v/>
      </c>
      <c r="AJ999" s="21">
        <f>IF($M999="","",ROUNDUP(MAX(0,$M999),0))</f>
        <v/>
      </c>
      <c r="AK999" s="21">
        <f>IF(OR($AJ999="",$AF999=""),"",MAX(0,$AJ999-$AF999))</f>
        <v/>
      </c>
      <c r="AL999" s="22">
        <f>IF(OR($AK999="",$AG999=""),"",MAX(0,$AK999*$AG999))</f>
        <v/>
      </c>
      <c r="AM999" s="22">
        <f>IF($AE999="","",MAX(0,SUM($AE999,$AL999,$V999,$W999)))</f>
        <v/>
      </c>
      <c r="AN999" s="22">
        <f>IF($AM999="","",IF(AND($Q999="COMMITMENT",$R999&gt;=$AH999),$AI999,0))</f>
        <v/>
      </c>
      <c r="AO999" s="23">
        <f>IF($AM999="","",MAX(0,$AM999-$AN999))</f>
        <v/>
      </c>
      <c r="AP999" s="22">
        <f>IF($S999="","",IF(OR($S999="ITEM_PRICE_PLUS_DECLARED_DELIVERY",$S999="DELIVERY_CHARGE_ONLY"),$K999,IF($S999="TOTAL_AMOUNT_INCLUDING_DELIVERY",IF(OR($T999="",$J999=""),"",MAX(0,$T999-$J999-$U999)),IF($S999="ITEM_PRICE_ONLY_DELIVERY_PAID_BY_MERCHANT",0,""))))</f>
        <v/>
      </c>
      <c r="AQ999" s="23">
        <f>IF(OR($AP999="",$AO999=""),"",$AP999-$AO999)</f>
        <v/>
      </c>
      <c r="AR999" s="24">
        <f>IF($S999="EXACT_COLLECTION_AMOUNT","BREAKDOWN_REQUIRED",IF($AQ999="","",IF($AQ999&gt;0,"CREDIT_TO_MERCHANT",IF($AQ999&lt;0,"DEDUCT_FROM_MERCHANT","NO_ADJUSTMENT"))))</f>
        <v/>
      </c>
      <c r="AS999" s="23">
        <f>IF(OR($AQ999="",$AR999="BREAKDOWN_REQUIRED"),"",$AQ999)</f>
        <v/>
      </c>
      <c r="AT999" s="23">
        <f>IF(OR($AR999="",$AR999="BREAKDOWN_REQUIRED"),"",SUM($J999,$AQ999,$Y999)-$X999)</f>
        <v/>
      </c>
      <c r="AU999" s="25">
        <f>IF(AND($A999="",$B999="",$F999="",$H999="",$J999="",$K999="",$M999="",$S999=""),"",IF(OR($H999="",$Q999="",$M999="",$S999=""),"ERROR",IF(OR($J999&lt;0,$K999&lt;0,$M999&lt;0,$T999&lt;0,$U999&lt;0,$V999&lt;0,$W999&lt;0,$X999&lt;0,$Y999&lt;0),"ERROR",IF($AE999="","ERROR",IF(AND(OR($S999="ITEM_PRICE_PLUS_DECLARED_DELIVERY",$S999="TOTAL_AMOUNT_INCLUDING_DELIVERY",$S999="ITEM_PRICE_ONLY_DELIVERY_PAID_BY_MERCHANT"),$J999=""),"ERROR",IF(AND(OR($S999="ITEM_PRICE_PLUS_DECLARED_DELIVERY",$S999="DELIVERY_CHARGE_ONLY"),$K999=""),"ERROR",IF(AND(OR($S999="TOTAL_AMOUNT_INCLUDING_DELIVERY",$S999="EXACT_COLLECTION_AMOUNT"),$T999=""),"ERROR",IF(AND($S999="TOTAL_AMOUNT_INCLUDING_DELIVERY",$T999&lt;SUM($J999,$U999)),"ERROR",IF($S999="EXACT_COLLECTION_AMOUNT","REVIEW","OK")))))))))</f>
        <v/>
      </c>
      <c r="AV999" s="25">
        <f>IF($AU999="","",IF($H999="","Township required",IF($Q999="","Customer tier required",IF($M999="","Weight required",IF($S999="","Amount entry type required",IF(OR($J999&lt;0,$K999&lt;0,$M999&lt;0,$T999&lt;0,$U999&lt;0,$V999&lt;0,$W999&lt;0,$X999&lt;0,$Y999&lt;0),"Negative amounts are not allowed",IF($AE999="","Tariff not found for township and tier",IF(AND(OR($S999="ITEM_PRICE_PLUS_DECLARED_DELIVERY",$S999="TOTAL_AMOUNT_INCLUDING_DELIVERY",$S999="ITEM_PRICE_ONLY_DELIVERY_PAID_BY_MERCHANT"),$J999=""),"Item price required for this amount type",IF(AND(OR($S999="ITEM_PRICE_PLUS_DECLARED_DELIVERY",$S999="DELIVERY_CHARGE_ONLY"),$K999=""),"Declared delivery charge required",IF(AND(OR($S999="TOTAL_AMOUNT_INCLUDING_DELIVERY",$S999="EXACT_COLLECTION_AMOUNT"),$T999=""),"Stated total amount required",IF(AND($S999="TOTAL_AMOUNT_INCLUDING_DELIVERY",$T999&lt;SUM($J999,$U999)),"Stated total is below item price plus additional charge",IF($S999="EXACT_COLLECTION_AMOUNT","Authorized amount breakdown required before settlement","Ready for collection and settlement"))))))))))))</f>
        <v/>
      </c>
      <c r="AW999" s="23">
        <f>IF($AU999="","","PARCEL_FINANCIAL_V2")</f>
        <v/>
      </c>
      <c r="AX999" s="17" t="n"/>
    </row>
    <row r="1000">
      <c r="A1000" s="8" t="n"/>
      <c r="B1000" s="8" t="n"/>
      <c r="C1000" s="8" t="n"/>
      <c r="D1000" s="8" t="n"/>
      <c r="E1000" s="9" t="n"/>
      <c r="F1000" s="9" t="n"/>
      <c r="G1000" s="8" t="n"/>
      <c r="H1000" s="9" t="n"/>
      <c r="I1000" s="9" t="n"/>
      <c r="J1000" s="10" t="n"/>
      <c r="K1000" s="10" t="n"/>
      <c r="L1000" s="11">
        <f>IF($S1000="","",IF($S1000="ITEM_PRICE_PLUS_DECLARED_DELIVERY",IF(OR($J1000="",$K1000=""),"",SUM($J1000,$K1000,$U1000)),IF($S1000="TOTAL_AMOUNT_INCLUDING_DELIVERY",IF($T1000="","",$T1000),IF($S1000="DELIVERY_CHARGE_ONLY",IF($K1000="","",SUM($K1000,$U1000)),IF($S1000="EXACT_COLLECTION_AMOUNT",IF($T1000="","",$T1000),IF($S1000="ITEM_PRICE_ONLY_DELIVERY_PAID_BY_MERCHANT",IF($J1000="","",SUM($J1000,$U1000)),""))))))</f>
        <v/>
      </c>
      <c r="M1000" s="12" t="n"/>
      <c r="N1000" s="13" t="n"/>
      <c r="O1000" s="13" t="n"/>
      <c r="P1000" s="9" t="n"/>
      <c r="Q1000" s="14" t="n"/>
      <c r="R1000" s="15" t="n"/>
      <c r="S1000" s="14" t="n"/>
      <c r="T1000" s="16" t="n"/>
      <c r="U1000" s="16" t="n"/>
      <c r="V1000" s="16" t="n"/>
      <c r="W1000" s="16" t="n"/>
      <c r="X1000" s="16" t="n"/>
      <c r="Y1000" s="16" t="n"/>
      <c r="Z1000" s="14" t="n"/>
      <c r="AA1000" s="14" t="n"/>
      <c r="AB1000" s="14" t="n"/>
      <c r="AC1000" s="17">
        <f>IFERROR(VLOOKUP($H1000&amp;"|"&amp;$Q1000,Tariff_Master!$A$2:$L$169,3,FALSE),"")</f>
        <v/>
      </c>
      <c r="AD1000" s="17">
        <f>IFERROR(VLOOKUP($H1000&amp;"|"&amp;$Q1000,Tariff_Master!$A$2:$L$169,4,FALSE),"")</f>
        <v/>
      </c>
      <c r="AE1000" s="18">
        <f>IFERROR(VLOOKUP($H1000&amp;"|"&amp;$Q1000,Tariff_Master!$A$2:$L$169,6,FALSE),"")</f>
        <v/>
      </c>
      <c r="AF1000" s="19">
        <f>IFERROR(VLOOKUP($H1000&amp;"|"&amp;$Q1000,Tariff_Master!$A$2:$L$169,7,FALSE),"")</f>
        <v/>
      </c>
      <c r="AG1000" s="18">
        <f>IFERROR(VLOOKUP($H1000&amp;"|"&amp;$Q1000,Tariff_Master!$A$2:$L$169,8,FALSE),"")</f>
        <v/>
      </c>
      <c r="AH1000" s="20">
        <f>IFERROR(VLOOKUP($H1000&amp;"|"&amp;$Q1000,Tariff_Master!$A$2:$L$169,9,FALSE),"")</f>
        <v/>
      </c>
      <c r="AI1000" s="18">
        <f>IFERROR(VLOOKUP($H1000&amp;"|"&amp;$Q1000,Tariff_Master!$A$2:$L$169,10,FALSE),"")</f>
        <v/>
      </c>
      <c r="AJ1000" s="21">
        <f>IF($M1000="","",ROUNDUP(MAX(0,$M1000),0))</f>
        <v/>
      </c>
      <c r="AK1000" s="21">
        <f>IF(OR($AJ1000="",$AF1000=""),"",MAX(0,$AJ1000-$AF1000))</f>
        <v/>
      </c>
      <c r="AL1000" s="22">
        <f>IF(OR($AK1000="",$AG1000=""),"",MAX(0,$AK1000*$AG1000))</f>
        <v/>
      </c>
      <c r="AM1000" s="22">
        <f>IF($AE1000="","",MAX(0,SUM($AE1000,$AL1000,$V1000,$W1000)))</f>
        <v/>
      </c>
      <c r="AN1000" s="22">
        <f>IF($AM1000="","",IF(AND($Q1000="COMMITMENT",$R1000&gt;=$AH1000),$AI1000,0))</f>
        <v/>
      </c>
      <c r="AO1000" s="23">
        <f>IF($AM1000="","",MAX(0,$AM1000-$AN1000))</f>
        <v/>
      </c>
      <c r="AP1000" s="22">
        <f>IF($S1000="","",IF(OR($S1000="ITEM_PRICE_PLUS_DECLARED_DELIVERY",$S1000="DELIVERY_CHARGE_ONLY"),$K1000,IF($S1000="TOTAL_AMOUNT_INCLUDING_DELIVERY",IF(OR($T1000="",$J1000=""),"",MAX(0,$T1000-$J1000-$U1000)),IF($S1000="ITEM_PRICE_ONLY_DELIVERY_PAID_BY_MERCHANT",0,""))))</f>
        <v/>
      </c>
      <c r="AQ1000" s="23">
        <f>IF(OR($AP1000="",$AO1000=""),"",$AP1000-$AO1000)</f>
        <v/>
      </c>
      <c r="AR1000" s="24">
        <f>IF($S1000="EXACT_COLLECTION_AMOUNT","BREAKDOWN_REQUIRED",IF($AQ1000="","",IF($AQ1000&gt;0,"CREDIT_TO_MERCHANT",IF($AQ1000&lt;0,"DEDUCT_FROM_MERCHANT","NO_ADJUSTMENT"))))</f>
        <v/>
      </c>
      <c r="AS1000" s="23">
        <f>IF(OR($AQ1000="",$AR1000="BREAKDOWN_REQUIRED"),"",$AQ1000)</f>
        <v/>
      </c>
      <c r="AT1000" s="23">
        <f>IF(OR($AR1000="",$AR1000="BREAKDOWN_REQUIRED"),"",SUM($J1000,$AQ1000,$Y1000)-$X1000)</f>
        <v/>
      </c>
      <c r="AU1000" s="25">
        <f>IF(AND($A1000="",$B1000="",$F1000="",$H1000="",$J1000="",$K1000="",$M1000="",$S1000=""),"",IF(OR($H1000="",$Q1000="",$M1000="",$S1000=""),"ERROR",IF(OR($J1000&lt;0,$K1000&lt;0,$M1000&lt;0,$T1000&lt;0,$U1000&lt;0,$V1000&lt;0,$W1000&lt;0,$X1000&lt;0,$Y1000&lt;0),"ERROR",IF($AE1000="","ERROR",IF(AND(OR($S1000="ITEM_PRICE_PLUS_DECLARED_DELIVERY",$S1000="TOTAL_AMOUNT_INCLUDING_DELIVERY",$S1000="ITEM_PRICE_ONLY_DELIVERY_PAID_BY_MERCHANT"),$J1000=""),"ERROR",IF(AND(OR($S1000="ITEM_PRICE_PLUS_DECLARED_DELIVERY",$S1000="DELIVERY_CHARGE_ONLY"),$K1000=""),"ERROR",IF(AND(OR($S1000="TOTAL_AMOUNT_INCLUDING_DELIVERY",$S1000="EXACT_COLLECTION_AMOUNT"),$T1000=""),"ERROR",IF(AND($S1000="TOTAL_AMOUNT_INCLUDING_DELIVERY",$T1000&lt;SUM($J1000,$U1000)),"ERROR",IF($S1000="EXACT_COLLECTION_AMOUNT","REVIEW","OK")))))))))</f>
        <v/>
      </c>
      <c r="AV1000" s="25">
        <f>IF($AU1000="","",IF($H1000="","Township required",IF($Q1000="","Customer tier required",IF($M1000="","Weight required",IF($S1000="","Amount entry type required",IF(OR($J1000&lt;0,$K1000&lt;0,$M1000&lt;0,$T1000&lt;0,$U1000&lt;0,$V1000&lt;0,$W1000&lt;0,$X1000&lt;0,$Y1000&lt;0),"Negative amounts are not allowed",IF($AE1000="","Tariff not found for township and tier",IF(AND(OR($S1000="ITEM_PRICE_PLUS_DECLARED_DELIVERY",$S1000="TOTAL_AMOUNT_INCLUDING_DELIVERY",$S1000="ITEM_PRICE_ONLY_DELIVERY_PAID_BY_MERCHANT"),$J1000=""),"Item price required for this amount type",IF(AND(OR($S1000="ITEM_PRICE_PLUS_DECLARED_DELIVERY",$S1000="DELIVERY_CHARGE_ONLY"),$K1000=""),"Declared delivery charge required",IF(AND(OR($S1000="TOTAL_AMOUNT_INCLUDING_DELIVERY",$S1000="EXACT_COLLECTION_AMOUNT"),$T1000=""),"Stated total amount required",IF(AND($S1000="TOTAL_AMOUNT_INCLUDING_DELIVERY",$T1000&lt;SUM($J1000,$U1000)),"Stated total is below item price plus additional charge",IF($S1000="EXACT_COLLECTION_AMOUNT","Authorized amount breakdown required before settlement","Ready for collection and settlement"))))))))))))</f>
        <v/>
      </c>
      <c r="AW1000" s="23">
        <f>IF($AU1000="","","PARCEL_FINANCIAL_V2")</f>
        <v/>
      </c>
      <c r="AX1000" s="17" t="n"/>
    </row>
    <row r="1001">
      <c r="A1001" s="8" t="n"/>
      <c r="B1001" s="8" t="n"/>
      <c r="C1001" s="8" t="n"/>
      <c r="D1001" s="8" t="n"/>
      <c r="E1001" s="9" t="n"/>
      <c r="F1001" s="9" t="n"/>
      <c r="G1001" s="8" t="n"/>
      <c r="H1001" s="9" t="n"/>
      <c r="I1001" s="9" t="n"/>
      <c r="J1001" s="10" t="n"/>
      <c r="K1001" s="10" t="n"/>
      <c r="L1001" s="11">
        <f>IF($S1001="","",IF($S1001="ITEM_PRICE_PLUS_DECLARED_DELIVERY",IF(OR($J1001="",$K1001=""),"",SUM($J1001,$K1001,$U1001)),IF($S1001="TOTAL_AMOUNT_INCLUDING_DELIVERY",IF($T1001="","",$T1001),IF($S1001="DELIVERY_CHARGE_ONLY",IF($K1001="","",SUM($K1001,$U1001)),IF($S1001="EXACT_COLLECTION_AMOUNT",IF($T1001="","",$T1001),IF($S1001="ITEM_PRICE_ONLY_DELIVERY_PAID_BY_MERCHANT",IF($J1001="","",SUM($J1001,$U1001)),""))))))</f>
        <v/>
      </c>
      <c r="M1001" s="12" t="n"/>
      <c r="N1001" s="13" t="n"/>
      <c r="O1001" s="13" t="n"/>
      <c r="P1001" s="9" t="n"/>
      <c r="Q1001" s="14" t="n"/>
      <c r="R1001" s="15" t="n"/>
      <c r="S1001" s="14" t="n"/>
      <c r="T1001" s="16" t="n"/>
      <c r="U1001" s="16" t="n"/>
      <c r="V1001" s="16" t="n"/>
      <c r="W1001" s="16" t="n"/>
      <c r="X1001" s="16" t="n"/>
      <c r="Y1001" s="16" t="n"/>
      <c r="Z1001" s="14" t="n"/>
      <c r="AA1001" s="14" t="n"/>
      <c r="AB1001" s="14" t="n"/>
      <c r="AC1001" s="17">
        <f>IFERROR(VLOOKUP($H1001&amp;"|"&amp;$Q1001,Tariff_Master!$A$2:$L$169,3,FALSE),"")</f>
        <v/>
      </c>
      <c r="AD1001" s="17">
        <f>IFERROR(VLOOKUP($H1001&amp;"|"&amp;$Q1001,Tariff_Master!$A$2:$L$169,4,FALSE),"")</f>
        <v/>
      </c>
      <c r="AE1001" s="18">
        <f>IFERROR(VLOOKUP($H1001&amp;"|"&amp;$Q1001,Tariff_Master!$A$2:$L$169,6,FALSE),"")</f>
        <v/>
      </c>
      <c r="AF1001" s="19">
        <f>IFERROR(VLOOKUP($H1001&amp;"|"&amp;$Q1001,Tariff_Master!$A$2:$L$169,7,FALSE),"")</f>
        <v/>
      </c>
      <c r="AG1001" s="18">
        <f>IFERROR(VLOOKUP($H1001&amp;"|"&amp;$Q1001,Tariff_Master!$A$2:$L$169,8,FALSE),"")</f>
        <v/>
      </c>
      <c r="AH1001" s="20">
        <f>IFERROR(VLOOKUP($H1001&amp;"|"&amp;$Q1001,Tariff_Master!$A$2:$L$169,9,FALSE),"")</f>
        <v/>
      </c>
      <c r="AI1001" s="18">
        <f>IFERROR(VLOOKUP($H1001&amp;"|"&amp;$Q1001,Tariff_Master!$A$2:$L$169,10,FALSE),"")</f>
        <v/>
      </c>
      <c r="AJ1001" s="21">
        <f>IF($M1001="","",ROUNDUP(MAX(0,$M1001),0))</f>
        <v/>
      </c>
      <c r="AK1001" s="21">
        <f>IF(OR($AJ1001="",$AF1001=""),"",MAX(0,$AJ1001-$AF1001))</f>
        <v/>
      </c>
      <c r="AL1001" s="22">
        <f>IF(OR($AK1001="",$AG1001=""),"",MAX(0,$AK1001*$AG1001))</f>
        <v/>
      </c>
      <c r="AM1001" s="22">
        <f>IF($AE1001="","",MAX(0,SUM($AE1001,$AL1001,$V1001,$W1001)))</f>
        <v/>
      </c>
      <c r="AN1001" s="22">
        <f>IF($AM1001="","",IF(AND($Q1001="COMMITMENT",$R1001&gt;=$AH1001),$AI1001,0))</f>
        <v/>
      </c>
      <c r="AO1001" s="23">
        <f>IF($AM1001="","",MAX(0,$AM1001-$AN1001))</f>
        <v/>
      </c>
      <c r="AP1001" s="22">
        <f>IF($S1001="","",IF(OR($S1001="ITEM_PRICE_PLUS_DECLARED_DELIVERY",$S1001="DELIVERY_CHARGE_ONLY"),$K1001,IF($S1001="TOTAL_AMOUNT_INCLUDING_DELIVERY",IF(OR($T1001="",$J1001=""),"",MAX(0,$T1001-$J1001-$U1001)),IF($S1001="ITEM_PRICE_ONLY_DELIVERY_PAID_BY_MERCHANT",0,""))))</f>
        <v/>
      </c>
      <c r="AQ1001" s="23">
        <f>IF(OR($AP1001="",$AO1001=""),"",$AP1001-$AO1001)</f>
        <v/>
      </c>
      <c r="AR1001" s="24">
        <f>IF($S1001="EXACT_COLLECTION_AMOUNT","BREAKDOWN_REQUIRED",IF($AQ1001="","",IF($AQ1001&gt;0,"CREDIT_TO_MERCHANT",IF($AQ1001&lt;0,"DEDUCT_FROM_MERCHANT","NO_ADJUSTMENT"))))</f>
        <v/>
      </c>
      <c r="AS1001" s="23">
        <f>IF(OR($AQ1001="",$AR1001="BREAKDOWN_REQUIRED"),"",$AQ1001)</f>
        <v/>
      </c>
      <c r="AT1001" s="23">
        <f>IF(OR($AR1001="",$AR1001="BREAKDOWN_REQUIRED"),"",SUM($J1001,$AQ1001,$Y1001)-$X1001)</f>
        <v/>
      </c>
      <c r="AU1001" s="25">
        <f>IF(AND($A1001="",$B1001="",$F1001="",$H1001="",$J1001="",$K1001="",$M1001="",$S1001=""),"",IF(OR($H1001="",$Q1001="",$M1001="",$S1001=""),"ERROR",IF(OR($J1001&lt;0,$K1001&lt;0,$M1001&lt;0,$T1001&lt;0,$U1001&lt;0,$V1001&lt;0,$W1001&lt;0,$X1001&lt;0,$Y1001&lt;0),"ERROR",IF($AE1001="","ERROR",IF(AND(OR($S1001="ITEM_PRICE_PLUS_DECLARED_DELIVERY",$S1001="TOTAL_AMOUNT_INCLUDING_DELIVERY",$S1001="ITEM_PRICE_ONLY_DELIVERY_PAID_BY_MERCHANT"),$J1001=""),"ERROR",IF(AND(OR($S1001="ITEM_PRICE_PLUS_DECLARED_DELIVERY",$S1001="DELIVERY_CHARGE_ONLY"),$K1001=""),"ERROR",IF(AND(OR($S1001="TOTAL_AMOUNT_INCLUDING_DELIVERY",$S1001="EXACT_COLLECTION_AMOUNT"),$T1001=""),"ERROR",IF(AND($S1001="TOTAL_AMOUNT_INCLUDING_DELIVERY",$T1001&lt;SUM($J1001,$U1001)),"ERROR",IF($S1001="EXACT_COLLECTION_AMOUNT","REVIEW","OK")))))))))</f>
        <v/>
      </c>
      <c r="AV1001" s="25">
        <f>IF($AU1001="","",IF($H1001="","Township required",IF($Q1001="","Customer tier required",IF($M1001="","Weight required",IF($S1001="","Amount entry type required",IF(OR($J1001&lt;0,$K1001&lt;0,$M1001&lt;0,$T1001&lt;0,$U1001&lt;0,$V1001&lt;0,$W1001&lt;0,$X1001&lt;0,$Y1001&lt;0),"Negative amounts are not allowed",IF($AE1001="","Tariff not found for township and tier",IF(AND(OR($S1001="ITEM_PRICE_PLUS_DECLARED_DELIVERY",$S1001="TOTAL_AMOUNT_INCLUDING_DELIVERY",$S1001="ITEM_PRICE_ONLY_DELIVERY_PAID_BY_MERCHANT"),$J1001=""),"Item price required for this amount type",IF(AND(OR($S1001="ITEM_PRICE_PLUS_DECLARED_DELIVERY",$S1001="DELIVERY_CHARGE_ONLY"),$K1001=""),"Declared delivery charge required",IF(AND(OR($S1001="TOTAL_AMOUNT_INCLUDING_DELIVERY",$S1001="EXACT_COLLECTION_AMOUNT"),$T1001=""),"Stated total amount required",IF(AND($S1001="TOTAL_AMOUNT_INCLUDING_DELIVERY",$T1001&lt;SUM($J1001,$U1001)),"Stated total is below item price plus additional charge",IF($S1001="EXACT_COLLECTION_AMOUNT","Authorized amount breakdown required before settlement","Ready for collection and settlement"))))))))))))</f>
        <v/>
      </c>
      <c r="AW1001" s="23">
        <f>IF($AU1001="","","PARCEL_FINANCIAL_V2")</f>
        <v/>
      </c>
      <c r="AX1001" s="17" t="n"/>
    </row>
  </sheetData>
  <autoFilter ref="A1:AX1001"/>
  <conditionalFormatting sqref="AQ2:AQ1001">
    <cfRule type="cellIs" priority="6" operator="greaterThan" dxfId="3">
      <formula>0</formula>
    </cfRule>
    <cfRule type="cellIs" priority="7" operator="lessThan" dxfId="4">
      <formula>0</formula>
    </cfRule>
  </conditionalFormatting>
  <conditionalFormatting sqref="AU2:AU1001">
    <cfRule type="expression" priority="8" dxfId="3">
      <formula>$AU2="OK"</formula>
    </cfRule>
    <cfRule type="expression" priority="9" dxfId="5">
      <formula>$AU2="REVIEW"</formula>
    </cfRule>
    <cfRule type="expression" priority="10" dxfId="4">
      <formula>$AU2="ERROR"</formula>
    </cfRule>
  </conditionalFormatting>
  <dataValidations count="9">
    <dataValidation sqref="H2:H1001" showDropDown="0" showInputMessage="1" showErrorMessage="1" allowBlank="1" errorTitle="Invalid value" error="Please select a value from the approved list." promptTitle="Township" prompt="Select a tariff-master destination." type="list">
      <formula1>=TownshipList</formula1>
    </dataValidation>
    <dataValidation sqref="Q2:Q1001" showDropDown="0" showInputMessage="1" showErrorMessage="1" allowBlank="1" errorTitle="Invalid value" error="Please select a value from the approved list." promptTitle="Customer Tier" prompt="STANDARD, ROYAL, or COMMITMENT." type="list">
      <formula1>=TierList</formula1>
    </dataValidation>
    <dataValidation sqref="S2:S1001" showDropDown="0" showInputMessage="1" showErrorMessage="1" allowBlank="1" errorTitle="Invalid value" error="Please select a value from the approved list." promptTitle="Amount Entry Type" prompt="Select how the amount was written on the parcel." type="list">
      <formula1>=AmountEntryTypeList</formula1>
    </dataValidation>
    <dataValidation sqref="E2:E1001" showDropDown="0" showInputMessage="1" showErrorMessage="1" allowBlank="1" errorTitle="Invalid value" error="Please select a value from the approved list." promptTitle="Status" prompt="Select the parcel status." type="list">
      <formula1>=StatusList</formula1>
    </dataValidation>
    <dataValidation sqref="P2:P1001" showDropDown="0" showInputMessage="1" showErrorMessage="1" allowBlank="1" errorTitle="Invalid value" error="Please select a value from the approved list." promptTitle="Environment" prompt="Select the data environment." type="list">
      <formula1>=EnvironmentList</formula1>
    </dataValidation>
    <dataValidation sqref="J2:K1001" showDropDown="0" showInputMessage="0" showErrorMessage="1" allowBlank="1" errorTitle="Negative value not allowed" error="Enter zero or a positive number." type="decimal" operator="greaterThanOrEqual">
      <formula1>0</formula1>
    </dataValidation>
    <dataValidation sqref="M2:M1001" showDropDown="0" showInputMessage="0" showErrorMessage="1" allowBlank="1" errorTitle="Negative value not allowed" error="Enter zero or a positive number." type="decimal" operator="greaterThanOrEqual">
      <formula1>0</formula1>
    </dataValidation>
    <dataValidation sqref="R2:R1001" showDropDown="0" showInputMessage="0" showErrorMessage="1" allowBlank="1" errorTitle="Negative value not allowed" error="Enter zero or a positive number." type="whole" operator="greaterThanOrEqual">
      <formula1>0</formula1>
    </dataValidation>
    <dataValidation sqref="T2:Y1001" showDropDown="0" showInputMessage="0" showErrorMessage="1" allowBlank="1" errorTitle="Negative value not allowed" error="Enter zero or a positive number." type="decimal" operator="greaterThanOrEqual">
      <formula1>0</formula1>
    </dataValidation>
  </dataValidations>
  <pageMargins left="0.7" right="0.7" top="0.75" bottom="0.75" header="0.3" footer="0.3"/>
  <pageSetup orientation="landscape" fitToHeight="0" fitToWidth="1"/>
  <headerFooter>
    <oddHeader>&amp;C&amp;BParcel Data Entry and Settlement Template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L16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3" customWidth="1" min="4" max="4"/>
    <col width="16" customWidth="1" min="5" max="5"/>
    <col width="16" customWidth="1" min="6" max="6"/>
    <col width="13" customWidth="1" min="7" max="7"/>
    <col width="19" customWidth="1" min="8" max="8"/>
    <col width="22" customWidth="1" min="9" max="9"/>
    <col width="26" customWidth="1" min="10" max="10"/>
    <col width="44" customWidth="1" min="11" max="11"/>
    <col width="12" customWidth="1" min="12" max="12"/>
  </cols>
  <sheetData>
    <row r="1" ht="36" customHeight="1">
      <c r="A1" s="26" t="inlineStr">
        <is>
          <t>tariff_key</t>
        </is>
      </c>
      <c r="B1" s="26" t="inlineStr">
        <is>
          <t>township</t>
        </is>
      </c>
      <c r="C1" s="26" t="inlineStr">
        <is>
          <t>zone</t>
        </is>
      </c>
      <c r="D1" s="26" t="inlineStr">
        <is>
          <t>zone_code</t>
        </is>
      </c>
      <c r="E1" s="26" t="inlineStr">
        <is>
          <t>customer_tier</t>
        </is>
      </c>
      <c r="F1" s="26" t="inlineStr">
        <is>
          <t>base_fee_mmk</t>
        </is>
      </c>
      <c r="G1" s="26" t="inlineStr">
        <is>
          <t>included_kg</t>
        </is>
      </c>
      <c r="H1" s="26" t="inlineStr">
        <is>
          <t>extra_per_kg_mmk</t>
        </is>
      </c>
      <c r="I1" s="26" t="inlineStr">
        <is>
          <t>commitment_min_ways</t>
        </is>
      </c>
      <c r="J1" s="26" t="inlineStr">
        <is>
          <t>commitment_refund_per_way</t>
        </is>
      </c>
      <c r="K1" s="26" t="inlineStr">
        <is>
          <t>note</t>
        </is>
      </c>
      <c r="L1" s="26" t="inlineStr">
        <is>
          <t>status</t>
        </is>
      </c>
    </row>
    <row r="2">
      <c r="A2" s="27" t="inlineStr">
        <is>
          <t>ပန်းဘဲတန်း|STANDARD</t>
        </is>
      </c>
      <c r="B2" s="28" t="inlineStr">
        <is>
          <t>ပန်းဘဲတန်း</t>
        </is>
      </c>
      <c r="C2" s="29" t="inlineStr">
        <is>
          <t>Yangon</t>
        </is>
      </c>
      <c r="D2" s="29" t="inlineStr">
        <is>
          <t>YGN</t>
        </is>
      </c>
      <c r="E2" s="29" t="inlineStr">
        <is>
          <t>STANDARD</t>
        </is>
      </c>
      <c r="F2" s="30" t="n">
        <v>4000</v>
      </c>
      <c r="G2" s="29" t="n">
        <v>3</v>
      </c>
      <c r="H2" s="30" t="n">
        <v>500</v>
      </c>
      <c r="I2" s="29" t="n">
        <v>0</v>
      </c>
      <c r="J2" s="30" t="n">
        <v>0</v>
      </c>
      <c r="K2" s="31" t="inlineStr"/>
      <c r="L2" s="27" t="inlineStr">
        <is>
          <t>active</t>
        </is>
      </c>
    </row>
    <row r="3">
      <c r="A3" s="27" t="inlineStr">
        <is>
          <t>ပန်းဘဲတန်း|ROYAL</t>
        </is>
      </c>
      <c r="B3" s="28" t="inlineStr">
        <is>
          <t>ပန်းဘဲတန်း</t>
        </is>
      </c>
      <c r="C3" s="29" t="inlineStr">
        <is>
          <t>Yangon</t>
        </is>
      </c>
      <c r="D3" s="29" t="inlineStr">
        <is>
          <t>YGN</t>
        </is>
      </c>
      <c r="E3" s="29" t="inlineStr">
        <is>
          <t>ROYAL</t>
        </is>
      </c>
      <c r="F3" s="30" t="n">
        <v>4000</v>
      </c>
      <c r="G3" s="29" t="n">
        <v>5</v>
      </c>
      <c r="H3" s="30" t="n">
        <v>500</v>
      </c>
      <c r="I3" s="29" t="n">
        <v>0</v>
      </c>
      <c r="J3" s="30" t="n">
        <v>0</v>
      </c>
      <c r="K3" s="31" t="inlineStr"/>
      <c r="L3" s="27" t="inlineStr">
        <is>
          <t>active</t>
        </is>
      </c>
    </row>
    <row r="4">
      <c r="A4" s="27" t="inlineStr">
        <is>
          <t>ပန်းဘဲတန်း|COMMITMENT</t>
        </is>
      </c>
      <c r="B4" s="28" t="inlineStr">
        <is>
          <t>ပန်းဘဲတန်း</t>
        </is>
      </c>
      <c r="C4" s="29" t="inlineStr">
        <is>
          <t>Yangon</t>
        </is>
      </c>
      <c r="D4" s="29" t="inlineStr">
        <is>
          <t>YGN</t>
        </is>
      </c>
      <c r="E4" s="29" t="inlineStr">
        <is>
          <t>COMMITMENT</t>
        </is>
      </c>
      <c r="F4" s="30" t="n">
        <v>4000</v>
      </c>
      <c r="G4" s="29" t="n">
        <v>5</v>
      </c>
      <c r="H4" s="30" t="n">
        <v>500</v>
      </c>
      <c r="I4" s="29" t="n">
        <v>1500</v>
      </c>
      <c r="J4" s="30" t="n">
        <v>500</v>
      </c>
      <c r="K4" s="31" t="inlineStr"/>
      <c r="L4" s="27" t="inlineStr">
        <is>
          <t>active</t>
        </is>
      </c>
    </row>
    <row r="5">
      <c r="A5" s="27" t="inlineStr">
        <is>
          <t>ကျောက်တံတား|STANDARD</t>
        </is>
      </c>
      <c r="B5" s="28" t="inlineStr">
        <is>
          <t>ကျောက်တံတား</t>
        </is>
      </c>
      <c r="C5" s="29" t="inlineStr">
        <is>
          <t>Yangon</t>
        </is>
      </c>
      <c r="D5" s="29" t="inlineStr">
        <is>
          <t>YGN</t>
        </is>
      </c>
      <c r="E5" s="29" t="inlineStr">
        <is>
          <t>STANDARD</t>
        </is>
      </c>
      <c r="F5" s="30" t="n">
        <v>4000</v>
      </c>
      <c r="G5" s="29" t="n">
        <v>3</v>
      </c>
      <c r="H5" s="30" t="n">
        <v>500</v>
      </c>
      <c r="I5" s="29" t="n">
        <v>0</v>
      </c>
      <c r="J5" s="30" t="n">
        <v>0</v>
      </c>
      <c r="K5" s="31" t="inlineStr"/>
      <c r="L5" s="27" t="inlineStr">
        <is>
          <t>active</t>
        </is>
      </c>
    </row>
    <row r="6">
      <c r="A6" s="27" t="inlineStr">
        <is>
          <t>ကျောက်တံတား|ROYAL</t>
        </is>
      </c>
      <c r="B6" s="28" t="inlineStr">
        <is>
          <t>ကျောက်တံတား</t>
        </is>
      </c>
      <c r="C6" s="29" t="inlineStr">
        <is>
          <t>Yangon</t>
        </is>
      </c>
      <c r="D6" s="29" t="inlineStr">
        <is>
          <t>YGN</t>
        </is>
      </c>
      <c r="E6" s="29" t="inlineStr">
        <is>
          <t>ROYAL</t>
        </is>
      </c>
      <c r="F6" s="30" t="n">
        <v>4000</v>
      </c>
      <c r="G6" s="29" t="n">
        <v>5</v>
      </c>
      <c r="H6" s="30" t="n">
        <v>500</v>
      </c>
      <c r="I6" s="29" t="n">
        <v>0</v>
      </c>
      <c r="J6" s="30" t="n">
        <v>0</v>
      </c>
      <c r="K6" s="31" t="inlineStr"/>
      <c r="L6" s="27" t="inlineStr">
        <is>
          <t>active</t>
        </is>
      </c>
    </row>
    <row r="7">
      <c r="A7" s="27" t="inlineStr">
        <is>
          <t>ကျောက်တံတား|COMMITMENT</t>
        </is>
      </c>
      <c r="B7" s="28" t="inlineStr">
        <is>
          <t>ကျောက်တံတား</t>
        </is>
      </c>
      <c r="C7" s="29" t="inlineStr">
        <is>
          <t>Yangon</t>
        </is>
      </c>
      <c r="D7" s="29" t="inlineStr">
        <is>
          <t>YGN</t>
        </is>
      </c>
      <c r="E7" s="29" t="inlineStr">
        <is>
          <t>COMMITMENT</t>
        </is>
      </c>
      <c r="F7" s="30" t="n">
        <v>4000</v>
      </c>
      <c r="G7" s="29" t="n">
        <v>5</v>
      </c>
      <c r="H7" s="30" t="n">
        <v>500</v>
      </c>
      <c r="I7" s="29" t="n">
        <v>1500</v>
      </c>
      <c r="J7" s="30" t="n">
        <v>500</v>
      </c>
      <c r="K7" s="31" t="inlineStr"/>
      <c r="L7" s="27" t="inlineStr">
        <is>
          <t>active</t>
        </is>
      </c>
    </row>
    <row r="8">
      <c r="A8" s="27" t="inlineStr">
        <is>
          <t>လမ်းမတော်|STANDARD</t>
        </is>
      </c>
      <c r="B8" s="28" t="inlineStr">
        <is>
          <t>လမ်းမတော်</t>
        </is>
      </c>
      <c r="C8" s="29" t="inlineStr">
        <is>
          <t>Yangon</t>
        </is>
      </c>
      <c r="D8" s="29" t="inlineStr">
        <is>
          <t>YGN</t>
        </is>
      </c>
      <c r="E8" s="29" t="inlineStr">
        <is>
          <t>STANDARD</t>
        </is>
      </c>
      <c r="F8" s="30" t="n">
        <v>4000</v>
      </c>
      <c r="G8" s="29" t="n">
        <v>3</v>
      </c>
      <c r="H8" s="30" t="n">
        <v>500</v>
      </c>
      <c r="I8" s="29" t="n">
        <v>0</v>
      </c>
      <c r="J8" s="30" t="n">
        <v>0</v>
      </c>
      <c r="K8" s="31" t="inlineStr"/>
      <c r="L8" s="27" t="inlineStr">
        <is>
          <t>active</t>
        </is>
      </c>
    </row>
    <row r="9">
      <c r="A9" s="27" t="inlineStr">
        <is>
          <t>လမ်းမတော်|ROYAL</t>
        </is>
      </c>
      <c r="B9" s="28" t="inlineStr">
        <is>
          <t>လမ်းမတော်</t>
        </is>
      </c>
      <c r="C9" s="29" t="inlineStr">
        <is>
          <t>Yangon</t>
        </is>
      </c>
      <c r="D9" s="29" t="inlineStr">
        <is>
          <t>YGN</t>
        </is>
      </c>
      <c r="E9" s="29" t="inlineStr">
        <is>
          <t>ROYAL</t>
        </is>
      </c>
      <c r="F9" s="30" t="n">
        <v>4000</v>
      </c>
      <c r="G9" s="29" t="n">
        <v>5</v>
      </c>
      <c r="H9" s="30" t="n">
        <v>500</v>
      </c>
      <c r="I9" s="29" t="n">
        <v>0</v>
      </c>
      <c r="J9" s="30" t="n">
        <v>0</v>
      </c>
      <c r="K9" s="31" t="inlineStr"/>
      <c r="L9" s="27" t="inlineStr">
        <is>
          <t>active</t>
        </is>
      </c>
    </row>
    <row r="10">
      <c r="A10" s="27" t="inlineStr">
        <is>
          <t>လမ်းမတော်|COMMITMENT</t>
        </is>
      </c>
      <c r="B10" s="28" t="inlineStr">
        <is>
          <t>လမ်းမတော်</t>
        </is>
      </c>
      <c r="C10" s="29" t="inlineStr">
        <is>
          <t>Yangon</t>
        </is>
      </c>
      <c r="D10" s="29" t="inlineStr">
        <is>
          <t>YGN</t>
        </is>
      </c>
      <c r="E10" s="29" t="inlineStr">
        <is>
          <t>COMMITMENT</t>
        </is>
      </c>
      <c r="F10" s="30" t="n">
        <v>4000</v>
      </c>
      <c r="G10" s="29" t="n">
        <v>5</v>
      </c>
      <c r="H10" s="30" t="n">
        <v>500</v>
      </c>
      <c r="I10" s="29" t="n">
        <v>1500</v>
      </c>
      <c r="J10" s="30" t="n">
        <v>500</v>
      </c>
      <c r="K10" s="31" t="inlineStr"/>
      <c r="L10" s="27" t="inlineStr">
        <is>
          <t>active</t>
        </is>
      </c>
    </row>
    <row r="11">
      <c r="A11" s="27" t="inlineStr">
        <is>
          <t>လသာ|STANDARD</t>
        </is>
      </c>
      <c r="B11" s="28" t="inlineStr">
        <is>
          <t>လသာ</t>
        </is>
      </c>
      <c r="C11" s="29" t="inlineStr">
        <is>
          <t>Yangon</t>
        </is>
      </c>
      <c r="D11" s="29" t="inlineStr">
        <is>
          <t>YGN</t>
        </is>
      </c>
      <c r="E11" s="29" t="inlineStr">
        <is>
          <t>STANDARD</t>
        </is>
      </c>
      <c r="F11" s="30" t="n">
        <v>4000</v>
      </c>
      <c r="G11" s="29" t="n">
        <v>3</v>
      </c>
      <c r="H11" s="30" t="n">
        <v>500</v>
      </c>
      <c r="I11" s="29" t="n">
        <v>0</v>
      </c>
      <c r="J11" s="30" t="n">
        <v>0</v>
      </c>
      <c r="K11" s="31" t="inlineStr"/>
      <c r="L11" s="27" t="inlineStr">
        <is>
          <t>active</t>
        </is>
      </c>
    </row>
    <row r="12">
      <c r="A12" s="27" t="inlineStr">
        <is>
          <t>လသာ|ROYAL</t>
        </is>
      </c>
      <c r="B12" s="28" t="inlineStr">
        <is>
          <t>လသာ</t>
        </is>
      </c>
      <c r="C12" s="29" t="inlineStr">
        <is>
          <t>Yangon</t>
        </is>
      </c>
      <c r="D12" s="29" t="inlineStr">
        <is>
          <t>YGN</t>
        </is>
      </c>
      <c r="E12" s="29" t="inlineStr">
        <is>
          <t>ROYAL</t>
        </is>
      </c>
      <c r="F12" s="30" t="n">
        <v>4000</v>
      </c>
      <c r="G12" s="29" t="n">
        <v>5</v>
      </c>
      <c r="H12" s="30" t="n">
        <v>500</v>
      </c>
      <c r="I12" s="29" t="n">
        <v>0</v>
      </c>
      <c r="J12" s="30" t="n">
        <v>0</v>
      </c>
      <c r="K12" s="31" t="inlineStr"/>
      <c r="L12" s="27" t="inlineStr">
        <is>
          <t>active</t>
        </is>
      </c>
    </row>
    <row r="13">
      <c r="A13" s="27" t="inlineStr">
        <is>
          <t>လသာ|COMMITMENT</t>
        </is>
      </c>
      <c r="B13" s="28" t="inlineStr">
        <is>
          <t>လသာ</t>
        </is>
      </c>
      <c r="C13" s="29" t="inlineStr">
        <is>
          <t>Yangon</t>
        </is>
      </c>
      <c r="D13" s="29" t="inlineStr">
        <is>
          <t>YGN</t>
        </is>
      </c>
      <c r="E13" s="29" t="inlineStr">
        <is>
          <t>COMMITMENT</t>
        </is>
      </c>
      <c r="F13" s="30" t="n">
        <v>4000</v>
      </c>
      <c r="G13" s="29" t="n">
        <v>5</v>
      </c>
      <c r="H13" s="30" t="n">
        <v>500</v>
      </c>
      <c r="I13" s="29" t="n">
        <v>1500</v>
      </c>
      <c r="J13" s="30" t="n">
        <v>500</v>
      </c>
      <c r="K13" s="31" t="inlineStr"/>
      <c r="L13" s="27" t="inlineStr">
        <is>
          <t>active</t>
        </is>
      </c>
    </row>
    <row r="14">
      <c r="A14" s="27" t="inlineStr">
        <is>
          <t>ပုဇွန်တောင်|STANDARD</t>
        </is>
      </c>
      <c r="B14" s="28" t="inlineStr">
        <is>
          <t>ပုဇွန်တောင်</t>
        </is>
      </c>
      <c r="C14" s="29" t="inlineStr">
        <is>
          <t>Yangon</t>
        </is>
      </c>
      <c r="D14" s="29" t="inlineStr">
        <is>
          <t>YGN</t>
        </is>
      </c>
      <c r="E14" s="29" t="inlineStr">
        <is>
          <t>STANDARD</t>
        </is>
      </c>
      <c r="F14" s="30" t="n">
        <v>4000</v>
      </c>
      <c r="G14" s="29" t="n">
        <v>3</v>
      </c>
      <c r="H14" s="30" t="n">
        <v>500</v>
      </c>
      <c r="I14" s="29" t="n">
        <v>0</v>
      </c>
      <c r="J14" s="30" t="n">
        <v>0</v>
      </c>
      <c r="K14" s="31" t="inlineStr"/>
      <c r="L14" s="27" t="inlineStr">
        <is>
          <t>active</t>
        </is>
      </c>
    </row>
    <row r="15">
      <c r="A15" s="27" t="inlineStr">
        <is>
          <t>ပုဇွန်တောင်|ROYAL</t>
        </is>
      </c>
      <c r="B15" s="28" t="inlineStr">
        <is>
          <t>ပုဇွန်တောင်</t>
        </is>
      </c>
      <c r="C15" s="29" t="inlineStr">
        <is>
          <t>Yangon</t>
        </is>
      </c>
      <c r="D15" s="29" t="inlineStr">
        <is>
          <t>YGN</t>
        </is>
      </c>
      <c r="E15" s="29" t="inlineStr">
        <is>
          <t>ROYAL</t>
        </is>
      </c>
      <c r="F15" s="30" t="n">
        <v>4000</v>
      </c>
      <c r="G15" s="29" t="n">
        <v>5</v>
      </c>
      <c r="H15" s="30" t="n">
        <v>500</v>
      </c>
      <c r="I15" s="29" t="n">
        <v>0</v>
      </c>
      <c r="J15" s="30" t="n">
        <v>0</v>
      </c>
      <c r="K15" s="31" t="inlineStr"/>
      <c r="L15" s="27" t="inlineStr">
        <is>
          <t>active</t>
        </is>
      </c>
    </row>
    <row r="16">
      <c r="A16" s="27" t="inlineStr">
        <is>
          <t>ပုဇွန်တောင်|COMMITMENT</t>
        </is>
      </c>
      <c r="B16" s="28" t="inlineStr">
        <is>
          <t>ပုဇွန်တောင်</t>
        </is>
      </c>
      <c r="C16" s="29" t="inlineStr">
        <is>
          <t>Yangon</t>
        </is>
      </c>
      <c r="D16" s="29" t="inlineStr">
        <is>
          <t>YGN</t>
        </is>
      </c>
      <c r="E16" s="29" t="inlineStr">
        <is>
          <t>COMMITMENT</t>
        </is>
      </c>
      <c r="F16" s="30" t="n">
        <v>4000</v>
      </c>
      <c r="G16" s="29" t="n">
        <v>5</v>
      </c>
      <c r="H16" s="30" t="n">
        <v>500</v>
      </c>
      <c r="I16" s="29" t="n">
        <v>1500</v>
      </c>
      <c r="J16" s="30" t="n">
        <v>500</v>
      </c>
      <c r="K16" s="31" t="inlineStr"/>
      <c r="L16" s="27" t="inlineStr">
        <is>
          <t>active</t>
        </is>
      </c>
    </row>
    <row r="17">
      <c r="A17" s="27" t="inlineStr">
        <is>
          <t>ဗိုလ်တထောင်|STANDARD</t>
        </is>
      </c>
      <c r="B17" s="28" t="inlineStr">
        <is>
          <t>ဗိုလ်တထောင်</t>
        </is>
      </c>
      <c r="C17" s="29" t="inlineStr">
        <is>
          <t>Yangon</t>
        </is>
      </c>
      <c r="D17" s="29" t="inlineStr">
        <is>
          <t>YGN</t>
        </is>
      </c>
      <c r="E17" s="29" t="inlineStr">
        <is>
          <t>STANDARD</t>
        </is>
      </c>
      <c r="F17" s="30" t="n">
        <v>4000</v>
      </c>
      <c r="G17" s="29" t="n">
        <v>3</v>
      </c>
      <c r="H17" s="30" t="n">
        <v>500</v>
      </c>
      <c r="I17" s="29" t="n">
        <v>0</v>
      </c>
      <c r="J17" s="30" t="n">
        <v>0</v>
      </c>
      <c r="K17" s="31" t="inlineStr"/>
      <c r="L17" s="27" t="inlineStr">
        <is>
          <t>active</t>
        </is>
      </c>
    </row>
    <row r="18">
      <c r="A18" s="27" t="inlineStr">
        <is>
          <t>ဗိုလ်တထောင်|ROYAL</t>
        </is>
      </c>
      <c r="B18" s="28" t="inlineStr">
        <is>
          <t>ဗိုလ်တထောင်</t>
        </is>
      </c>
      <c r="C18" s="29" t="inlineStr">
        <is>
          <t>Yangon</t>
        </is>
      </c>
      <c r="D18" s="29" t="inlineStr">
        <is>
          <t>YGN</t>
        </is>
      </c>
      <c r="E18" s="29" t="inlineStr">
        <is>
          <t>ROYAL</t>
        </is>
      </c>
      <c r="F18" s="30" t="n">
        <v>4000</v>
      </c>
      <c r="G18" s="29" t="n">
        <v>5</v>
      </c>
      <c r="H18" s="30" t="n">
        <v>500</v>
      </c>
      <c r="I18" s="29" t="n">
        <v>0</v>
      </c>
      <c r="J18" s="30" t="n">
        <v>0</v>
      </c>
      <c r="K18" s="31" t="inlineStr"/>
      <c r="L18" s="27" t="inlineStr">
        <is>
          <t>active</t>
        </is>
      </c>
    </row>
    <row r="19">
      <c r="A19" s="27" t="inlineStr">
        <is>
          <t>ဗိုလ်တထောင်|COMMITMENT</t>
        </is>
      </c>
      <c r="B19" s="28" t="inlineStr">
        <is>
          <t>ဗိုလ်တထောင်</t>
        </is>
      </c>
      <c r="C19" s="29" t="inlineStr">
        <is>
          <t>Yangon</t>
        </is>
      </c>
      <c r="D19" s="29" t="inlineStr">
        <is>
          <t>YGN</t>
        </is>
      </c>
      <c r="E19" s="29" t="inlineStr">
        <is>
          <t>COMMITMENT</t>
        </is>
      </c>
      <c r="F19" s="30" t="n">
        <v>4000</v>
      </c>
      <c r="G19" s="29" t="n">
        <v>5</v>
      </c>
      <c r="H19" s="30" t="n">
        <v>500</v>
      </c>
      <c r="I19" s="29" t="n">
        <v>1500</v>
      </c>
      <c r="J19" s="30" t="n">
        <v>500</v>
      </c>
      <c r="K19" s="31" t="inlineStr"/>
      <c r="L19" s="27" t="inlineStr">
        <is>
          <t>active</t>
        </is>
      </c>
    </row>
    <row r="20">
      <c r="A20" s="27" t="inlineStr">
        <is>
          <t>ဒဂုံ|STANDARD</t>
        </is>
      </c>
      <c r="B20" s="28" t="inlineStr">
        <is>
          <t>ဒဂုံ</t>
        </is>
      </c>
      <c r="C20" s="29" t="inlineStr">
        <is>
          <t>Yangon</t>
        </is>
      </c>
      <c r="D20" s="29" t="inlineStr">
        <is>
          <t>YGN</t>
        </is>
      </c>
      <c r="E20" s="29" t="inlineStr">
        <is>
          <t>STANDARD</t>
        </is>
      </c>
      <c r="F20" s="30" t="n">
        <v>4000</v>
      </c>
      <c r="G20" s="29" t="n">
        <v>3</v>
      </c>
      <c r="H20" s="30" t="n">
        <v>500</v>
      </c>
      <c r="I20" s="29" t="n">
        <v>0</v>
      </c>
      <c r="J20" s="30" t="n">
        <v>0</v>
      </c>
      <c r="K20" s="31" t="inlineStr"/>
      <c r="L20" s="27" t="inlineStr">
        <is>
          <t>active</t>
        </is>
      </c>
    </row>
    <row r="21">
      <c r="A21" s="27" t="inlineStr">
        <is>
          <t>ဒဂုံ|ROYAL</t>
        </is>
      </c>
      <c r="B21" s="28" t="inlineStr">
        <is>
          <t>ဒဂုံ</t>
        </is>
      </c>
      <c r="C21" s="29" t="inlineStr">
        <is>
          <t>Yangon</t>
        </is>
      </c>
      <c r="D21" s="29" t="inlineStr">
        <is>
          <t>YGN</t>
        </is>
      </c>
      <c r="E21" s="29" t="inlineStr">
        <is>
          <t>ROYAL</t>
        </is>
      </c>
      <c r="F21" s="30" t="n">
        <v>4000</v>
      </c>
      <c r="G21" s="29" t="n">
        <v>5</v>
      </c>
      <c r="H21" s="30" t="n">
        <v>500</v>
      </c>
      <c r="I21" s="29" t="n">
        <v>0</v>
      </c>
      <c r="J21" s="30" t="n">
        <v>0</v>
      </c>
      <c r="K21" s="31" t="inlineStr"/>
      <c r="L21" s="27" t="inlineStr">
        <is>
          <t>active</t>
        </is>
      </c>
    </row>
    <row r="22">
      <c r="A22" s="27" t="inlineStr">
        <is>
          <t>ဒဂုံ|COMMITMENT</t>
        </is>
      </c>
      <c r="B22" s="28" t="inlineStr">
        <is>
          <t>ဒဂုံ</t>
        </is>
      </c>
      <c r="C22" s="29" t="inlineStr">
        <is>
          <t>Yangon</t>
        </is>
      </c>
      <c r="D22" s="29" t="inlineStr">
        <is>
          <t>YGN</t>
        </is>
      </c>
      <c r="E22" s="29" t="inlineStr">
        <is>
          <t>COMMITMENT</t>
        </is>
      </c>
      <c r="F22" s="30" t="n">
        <v>4000</v>
      </c>
      <c r="G22" s="29" t="n">
        <v>5</v>
      </c>
      <c r="H22" s="30" t="n">
        <v>500</v>
      </c>
      <c r="I22" s="29" t="n">
        <v>1500</v>
      </c>
      <c r="J22" s="30" t="n">
        <v>500</v>
      </c>
      <c r="K22" s="31" t="inlineStr"/>
      <c r="L22" s="27" t="inlineStr">
        <is>
          <t>active</t>
        </is>
      </c>
    </row>
    <row r="23">
      <c r="A23" s="27" t="inlineStr">
        <is>
          <t>အလုံ|STANDARD</t>
        </is>
      </c>
      <c r="B23" s="28" t="inlineStr">
        <is>
          <t>အလုံ</t>
        </is>
      </c>
      <c r="C23" s="29" t="inlineStr">
        <is>
          <t>Yangon</t>
        </is>
      </c>
      <c r="D23" s="29" t="inlineStr">
        <is>
          <t>YGN</t>
        </is>
      </c>
      <c r="E23" s="29" t="inlineStr">
        <is>
          <t>STANDARD</t>
        </is>
      </c>
      <c r="F23" s="30" t="n">
        <v>4000</v>
      </c>
      <c r="G23" s="29" t="n">
        <v>3</v>
      </c>
      <c r="H23" s="30" t="n">
        <v>500</v>
      </c>
      <c r="I23" s="29" t="n">
        <v>0</v>
      </c>
      <c r="J23" s="30" t="n">
        <v>0</v>
      </c>
      <c r="K23" s="31" t="inlineStr"/>
      <c r="L23" s="27" t="inlineStr">
        <is>
          <t>active</t>
        </is>
      </c>
    </row>
    <row r="24">
      <c r="A24" s="27" t="inlineStr">
        <is>
          <t>အလုံ|ROYAL</t>
        </is>
      </c>
      <c r="B24" s="28" t="inlineStr">
        <is>
          <t>အလုံ</t>
        </is>
      </c>
      <c r="C24" s="29" t="inlineStr">
        <is>
          <t>Yangon</t>
        </is>
      </c>
      <c r="D24" s="29" t="inlineStr">
        <is>
          <t>YGN</t>
        </is>
      </c>
      <c r="E24" s="29" t="inlineStr">
        <is>
          <t>ROYAL</t>
        </is>
      </c>
      <c r="F24" s="30" t="n">
        <v>4000</v>
      </c>
      <c r="G24" s="29" t="n">
        <v>5</v>
      </c>
      <c r="H24" s="30" t="n">
        <v>500</v>
      </c>
      <c r="I24" s="29" t="n">
        <v>0</v>
      </c>
      <c r="J24" s="30" t="n">
        <v>0</v>
      </c>
      <c r="K24" s="31" t="inlineStr"/>
      <c r="L24" s="27" t="inlineStr">
        <is>
          <t>active</t>
        </is>
      </c>
    </row>
    <row r="25">
      <c r="A25" s="27" t="inlineStr">
        <is>
          <t>အလုံ|COMMITMENT</t>
        </is>
      </c>
      <c r="B25" s="28" t="inlineStr">
        <is>
          <t>အလုံ</t>
        </is>
      </c>
      <c r="C25" s="29" t="inlineStr">
        <is>
          <t>Yangon</t>
        </is>
      </c>
      <c r="D25" s="29" t="inlineStr">
        <is>
          <t>YGN</t>
        </is>
      </c>
      <c r="E25" s="29" t="inlineStr">
        <is>
          <t>COMMITMENT</t>
        </is>
      </c>
      <c r="F25" s="30" t="n">
        <v>4000</v>
      </c>
      <c r="G25" s="29" t="n">
        <v>5</v>
      </c>
      <c r="H25" s="30" t="n">
        <v>500</v>
      </c>
      <c r="I25" s="29" t="n">
        <v>1500</v>
      </c>
      <c r="J25" s="30" t="n">
        <v>500</v>
      </c>
      <c r="K25" s="31" t="inlineStr"/>
      <c r="L25" s="27" t="inlineStr">
        <is>
          <t>active</t>
        </is>
      </c>
    </row>
    <row r="26">
      <c r="A26" s="27" t="inlineStr">
        <is>
          <t>ကြည့်မြင်တိုင်|STANDARD</t>
        </is>
      </c>
      <c r="B26" s="28" t="inlineStr">
        <is>
          <t>ကြည့်မြင်တိုင်</t>
        </is>
      </c>
      <c r="C26" s="29" t="inlineStr">
        <is>
          <t>Yangon</t>
        </is>
      </c>
      <c r="D26" s="29" t="inlineStr">
        <is>
          <t>YGN</t>
        </is>
      </c>
      <c r="E26" s="29" t="inlineStr">
        <is>
          <t>STANDARD</t>
        </is>
      </c>
      <c r="F26" s="30" t="n">
        <v>4000</v>
      </c>
      <c r="G26" s="29" t="n">
        <v>3</v>
      </c>
      <c r="H26" s="30" t="n">
        <v>500</v>
      </c>
      <c r="I26" s="29" t="n">
        <v>0</v>
      </c>
      <c r="J26" s="30" t="n">
        <v>0</v>
      </c>
      <c r="K26" s="31" t="inlineStr"/>
      <c r="L26" s="27" t="inlineStr">
        <is>
          <t>active</t>
        </is>
      </c>
    </row>
    <row r="27">
      <c r="A27" s="27" t="inlineStr">
        <is>
          <t>ကြည့်မြင်တိုင်|ROYAL</t>
        </is>
      </c>
      <c r="B27" s="28" t="inlineStr">
        <is>
          <t>ကြည့်မြင်တိုင်</t>
        </is>
      </c>
      <c r="C27" s="29" t="inlineStr">
        <is>
          <t>Yangon</t>
        </is>
      </c>
      <c r="D27" s="29" t="inlineStr">
        <is>
          <t>YGN</t>
        </is>
      </c>
      <c r="E27" s="29" t="inlineStr">
        <is>
          <t>ROYAL</t>
        </is>
      </c>
      <c r="F27" s="30" t="n">
        <v>4000</v>
      </c>
      <c r="G27" s="29" t="n">
        <v>5</v>
      </c>
      <c r="H27" s="30" t="n">
        <v>500</v>
      </c>
      <c r="I27" s="29" t="n">
        <v>0</v>
      </c>
      <c r="J27" s="30" t="n">
        <v>0</v>
      </c>
      <c r="K27" s="31" t="inlineStr"/>
      <c r="L27" s="27" t="inlineStr">
        <is>
          <t>active</t>
        </is>
      </c>
    </row>
    <row r="28">
      <c r="A28" s="27" t="inlineStr">
        <is>
          <t>ကြည့်မြင်တိုင်|COMMITMENT</t>
        </is>
      </c>
      <c r="B28" s="28" t="inlineStr">
        <is>
          <t>ကြည့်မြင်တိုင်</t>
        </is>
      </c>
      <c r="C28" s="29" t="inlineStr">
        <is>
          <t>Yangon</t>
        </is>
      </c>
      <c r="D28" s="29" t="inlineStr">
        <is>
          <t>YGN</t>
        </is>
      </c>
      <c r="E28" s="29" t="inlineStr">
        <is>
          <t>COMMITMENT</t>
        </is>
      </c>
      <c r="F28" s="30" t="n">
        <v>4000</v>
      </c>
      <c r="G28" s="29" t="n">
        <v>5</v>
      </c>
      <c r="H28" s="30" t="n">
        <v>500</v>
      </c>
      <c r="I28" s="29" t="n">
        <v>1500</v>
      </c>
      <c r="J28" s="30" t="n">
        <v>500</v>
      </c>
      <c r="K28" s="31" t="inlineStr"/>
      <c r="L28" s="27" t="inlineStr">
        <is>
          <t>active</t>
        </is>
      </c>
    </row>
    <row r="29">
      <c r="A29" s="27" t="inlineStr">
        <is>
          <t>စမ်းချောင်း|STANDARD</t>
        </is>
      </c>
      <c r="B29" s="28" t="inlineStr">
        <is>
          <t>စမ်းချောင်း</t>
        </is>
      </c>
      <c r="C29" s="29" t="inlineStr">
        <is>
          <t>Yangon</t>
        </is>
      </c>
      <c r="D29" s="29" t="inlineStr">
        <is>
          <t>YGN</t>
        </is>
      </c>
      <c r="E29" s="29" t="inlineStr">
        <is>
          <t>STANDARD</t>
        </is>
      </c>
      <c r="F29" s="30" t="n">
        <v>4000</v>
      </c>
      <c r="G29" s="29" t="n">
        <v>3</v>
      </c>
      <c r="H29" s="30" t="n">
        <v>500</v>
      </c>
      <c r="I29" s="29" t="n">
        <v>0</v>
      </c>
      <c r="J29" s="30" t="n">
        <v>0</v>
      </c>
      <c r="K29" s="31" t="inlineStr"/>
      <c r="L29" s="27" t="inlineStr">
        <is>
          <t>active</t>
        </is>
      </c>
    </row>
    <row r="30">
      <c r="A30" s="27" t="inlineStr">
        <is>
          <t>စမ်းချောင်း|ROYAL</t>
        </is>
      </c>
      <c r="B30" s="28" t="inlineStr">
        <is>
          <t>စမ်းချောင်း</t>
        </is>
      </c>
      <c r="C30" s="29" t="inlineStr">
        <is>
          <t>Yangon</t>
        </is>
      </c>
      <c r="D30" s="29" t="inlineStr">
        <is>
          <t>YGN</t>
        </is>
      </c>
      <c r="E30" s="29" t="inlineStr">
        <is>
          <t>ROYAL</t>
        </is>
      </c>
      <c r="F30" s="30" t="n">
        <v>4000</v>
      </c>
      <c r="G30" s="29" t="n">
        <v>5</v>
      </c>
      <c r="H30" s="30" t="n">
        <v>500</v>
      </c>
      <c r="I30" s="29" t="n">
        <v>0</v>
      </c>
      <c r="J30" s="30" t="n">
        <v>0</v>
      </c>
      <c r="K30" s="31" t="inlineStr"/>
      <c r="L30" s="27" t="inlineStr">
        <is>
          <t>active</t>
        </is>
      </c>
    </row>
    <row r="31">
      <c r="A31" s="27" t="inlineStr">
        <is>
          <t>စမ်းချောင်း|COMMITMENT</t>
        </is>
      </c>
      <c r="B31" s="28" t="inlineStr">
        <is>
          <t>စမ်းချောင်း</t>
        </is>
      </c>
      <c r="C31" s="29" t="inlineStr">
        <is>
          <t>Yangon</t>
        </is>
      </c>
      <c r="D31" s="29" t="inlineStr">
        <is>
          <t>YGN</t>
        </is>
      </c>
      <c r="E31" s="29" t="inlineStr">
        <is>
          <t>COMMITMENT</t>
        </is>
      </c>
      <c r="F31" s="30" t="n">
        <v>4000</v>
      </c>
      <c r="G31" s="29" t="n">
        <v>5</v>
      </c>
      <c r="H31" s="30" t="n">
        <v>500</v>
      </c>
      <c r="I31" s="29" t="n">
        <v>1500</v>
      </c>
      <c r="J31" s="30" t="n">
        <v>500</v>
      </c>
      <c r="K31" s="31" t="inlineStr"/>
      <c r="L31" s="27" t="inlineStr">
        <is>
          <t>active</t>
        </is>
      </c>
    </row>
    <row r="32">
      <c r="A32" s="27" t="inlineStr">
        <is>
          <t>မင်္ဂလာတောင်ညွန့်|STANDARD</t>
        </is>
      </c>
      <c r="B32" s="28" t="inlineStr">
        <is>
          <t>မင်္ဂလာတောင်ညွန့်</t>
        </is>
      </c>
      <c r="C32" s="29" t="inlineStr">
        <is>
          <t>Yangon</t>
        </is>
      </c>
      <c r="D32" s="29" t="inlineStr">
        <is>
          <t>YGN</t>
        </is>
      </c>
      <c r="E32" s="29" t="inlineStr">
        <is>
          <t>STANDARD</t>
        </is>
      </c>
      <c r="F32" s="30" t="n">
        <v>4000</v>
      </c>
      <c r="G32" s="29" t="n">
        <v>3</v>
      </c>
      <c r="H32" s="30" t="n">
        <v>500</v>
      </c>
      <c r="I32" s="29" t="n">
        <v>0</v>
      </c>
      <c r="J32" s="30" t="n">
        <v>0</v>
      </c>
      <c r="K32" s="31" t="inlineStr"/>
      <c r="L32" s="27" t="inlineStr">
        <is>
          <t>active</t>
        </is>
      </c>
    </row>
    <row r="33">
      <c r="A33" s="27" t="inlineStr">
        <is>
          <t>မင်္ဂလာတောင်ညွန့်|ROYAL</t>
        </is>
      </c>
      <c r="B33" s="28" t="inlineStr">
        <is>
          <t>မင်္ဂလာတောင်ညွန့်</t>
        </is>
      </c>
      <c r="C33" s="29" t="inlineStr">
        <is>
          <t>Yangon</t>
        </is>
      </c>
      <c r="D33" s="29" t="inlineStr">
        <is>
          <t>YGN</t>
        </is>
      </c>
      <c r="E33" s="29" t="inlineStr">
        <is>
          <t>ROYAL</t>
        </is>
      </c>
      <c r="F33" s="30" t="n">
        <v>4000</v>
      </c>
      <c r="G33" s="29" t="n">
        <v>5</v>
      </c>
      <c r="H33" s="30" t="n">
        <v>500</v>
      </c>
      <c r="I33" s="29" t="n">
        <v>0</v>
      </c>
      <c r="J33" s="30" t="n">
        <v>0</v>
      </c>
      <c r="K33" s="31" t="inlineStr"/>
      <c r="L33" s="27" t="inlineStr">
        <is>
          <t>active</t>
        </is>
      </c>
    </row>
    <row r="34">
      <c r="A34" s="27" t="inlineStr">
        <is>
          <t>မင်္ဂလာတောင်ညွန့်|COMMITMENT</t>
        </is>
      </c>
      <c r="B34" s="28" t="inlineStr">
        <is>
          <t>မင်္ဂလာတောင်ညွန့်</t>
        </is>
      </c>
      <c r="C34" s="29" t="inlineStr">
        <is>
          <t>Yangon</t>
        </is>
      </c>
      <c r="D34" s="29" t="inlineStr">
        <is>
          <t>YGN</t>
        </is>
      </c>
      <c r="E34" s="29" t="inlineStr">
        <is>
          <t>COMMITMENT</t>
        </is>
      </c>
      <c r="F34" s="30" t="n">
        <v>4000</v>
      </c>
      <c r="G34" s="29" t="n">
        <v>5</v>
      </c>
      <c r="H34" s="30" t="n">
        <v>500</v>
      </c>
      <c r="I34" s="29" t="n">
        <v>1500</v>
      </c>
      <c r="J34" s="30" t="n">
        <v>500</v>
      </c>
      <c r="K34" s="31" t="inlineStr"/>
      <c r="L34" s="27" t="inlineStr">
        <is>
          <t>active</t>
        </is>
      </c>
    </row>
    <row r="35">
      <c r="A35" s="27" t="inlineStr">
        <is>
          <t>တာမွေ|STANDARD</t>
        </is>
      </c>
      <c r="B35" s="28" t="inlineStr">
        <is>
          <t>တာမွေ</t>
        </is>
      </c>
      <c r="C35" s="29" t="inlineStr">
        <is>
          <t>Yangon</t>
        </is>
      </c>
      <c r="D35" s="29" t="inlineStr">
        <is>
          <t>YGN</t>
        </is>
      </c>
      <c r="E35" s="29" t="inlineStr">
        <is>
          <t>STANDARD</t>
        </is>
      </c>
      <c r="F35" s="30" t="n">
        <v>4000</v>
      </c>
      <c r="G35" s="29" t="n">
        <v>3</v>
      </c>
      <c r="H35" s="30" t="n">
        <v>500</v>
      </c>
      <c r="I35" s="29" t="n">
        <v>0</v>
      </c>
      <c r="J35" s="30" t="n">
        <v>0</v>
      </c>
      <c r="K35" s="31" t="inlineStr"/>
      <c r="L35" s="27" t="inlineStr">
        <is>
          <t>active</t>
        </is>
      </c>
    </row>
    <row r="36">
      <c r="A36" s="27" t="inlineStr">
        <is>
          <t>တာမွေ|ROYAL</t>
        </is>
      </c>
      <c r="B36" s="28" t="inlineStr">
        <is>
          <t>တာမွေ</t>
        </is>
      </c>
      <c r="C36" s="29" t="inlineStr">
        <is>
          <t>Yangon</t>
        </is>
      </c>
      <c r="D36" s="29" t="inlineStr">
        <is>
          <t>YGN</t>
        </is>
      </c>
      <c r="E36" s="29" t="inlineStr">
        <is>
          <t>ROYAL</t>
        </is>
      </c>
      <c r="F36" s="30" t="n">
        <v>4000</v>
      </c>
      <c r="G36" s="29" t="n">
        <v>5</v>
      </c>
      <c r="H36" s="30" t="n">
        <v>500</v>
      </c>
      <c r="I36" s="29" t="n">
        <v>0</v>
      </c>
      <c r="J36" s="30" t="n">
        <v>0</v>
      </c>
      <c r="K36" s="31" t="inlineStr"/>
      <c r="L36" s="27" t="inlineStr">
        <is>
          <t>active</t>
        </is>
      </c>
    </row>
    <row r="37">
      <c r="A37" s="27" t="inlineStr">
        <is>
          <t>တာမွေ|COMMITMENT</t>
        </is>
      </c>
      <c r="B37" s="28" t="inlineStr">
        <is>
          <t>တာမွေ</t>
        </is>
      </c>
      <c r="C37" s="29" t="inlineStr">
        <is>
          <t>Yangon</t>
        </is>
      </c>
      <c r="D37" s="29" t="inlineStr">
        <is>
          <t>YGN</t>
        </is>
      </c>
      <c r="E37" s="29" t="inlineStr">
        <is>
          <t>COMMITMENT</t>
        </is>
      </c>
      <c r="F37" s="30" t="n">
        <v>4000</v>
      </c>
      <c r="G37" s="29" t="n">
        <v>5</v>
      </c>
      <c r="H37" s="30" t="n">
        <v>500</v>
      </c>
      <c r="I37" s="29" t="n">
        <v>1500</v>
      </c>
      <c r="J37" s="30" t="n">
        <v>500</v>
      </c>
      <c r="K37" s="31" t="inlineStr"/>
      <c r="L37" s="27" t="inlineStr">
        <is>
          <t>active</t>
        </is>
      </c>
    </row>
    <row r="38">
      <c r="A38" s="27" t="inlineStr">
        <is>
          <t>ဗဟန်း|STANDARD</t>
        </is>
      </c>
      <c r="B38" s="28" t="inlineStr">
        <is>
          <t>ဗဟန်း</t>
        </is>
      </c>
      <c r="C38" s="29" t="inlineStr">
        <is>
          <t>Yangon</t>
        </is>
      </c>
      <c r="D38" s="29" t="inlineStr">
        <is>
          <t>YGN</t>
        </is>
      </c>
      <c r="E38" s="29" t="inlineStr">
        <is>
          <t>STANDARD</t>
        </is>
      </c>
      <c r="F38" s="30" t="n">
        <v>4000</v>
      </c>
      <c r="G38" s="29" t="n">
        <v>3</v>
      </c>
      <c r="H38" s="30" t="n">
        <v>500</v>
      </c>
      <c r="I38" s="29" t="n">
        <v>0</v>
      </c>
      <c r="J38" s="30" t="n">
        <v>0</v>
      </c>
      <c r="K38" s="31" t="inlineStr"/>
      <c r="L38" s="27" t="inlineStr">
        <is>
          <t>active</t>
        </is>
      </c>
    </row>
    <row r="39">
      <c r="A39" s="27" t="inlineStr">
        <is>
          <t>ဗဟန်း|ROYAL</t>
        </is>
      </c>
      <c r="B39" s="28" t="inlineStr">
        <is>
          <t>ဗဟန်း</t>
        </is>
      </c>
      <c r="C39" s="29" t="inlineStr">
        <is>
          <t>Yangon</t>
        </is>
      </c>
      <c r="D39" s="29" t="inlineStr">
        <is>
          <t>YGN</t>
        </is>
      </c>
      <c r="E39" s="29" t="inlineStr">
        <is>
          <t>ROYAL</t>
        </is>
      </c>
      <c r="F39" s="30" t="n">
        <v>4000</v>
      </c>
      <c r="G39" s="29" t="n">
        <v>5</v>
      </c>
      <c r="H39" s="30" t="n">
        <v>500</v>
      </c>
      <c r="I39" s="29" t="n">
        <v>0</v>
      </c>
      <c r="J39" s="30" t="n">
        <v>0</v>
      </c>
      <c r="K39" s="31" t="inlineStr"/>
      <c r="L39" s="27" t="inlineStr">
        <is>
          <t>active</t>
        </is>
      </c>
    </row>
    <row r="40">
      <c r="A40" s="27" t="inlineStr">
        <is>
          <t>ဗဟန်း|COMMITMENT</t>
        </is>
      </c>
      <c r="B40" s="28" t="inlineStr">
        <is>
          <t>ဗဟန်း</t>
        </is>
      </c>
      <c r="C40" s="29" t="inlineStr">
        <is>
          <t>Yangon</t>
        </is>
      </c>
      <c r="D40" s="29" t="inlineStr">
        <is>
          <t>YGN</t>
        </is>
      </c>
      <c r="E40" s="29" t="inlineStr">
        <is>
          <t>COMMITMENT</t>
        </is>
      </c>
      <c r="F40" s="30" t="n">
        <v>4000</v>
      </c>
      <c r="G40" s="29" t="n">
        <v>5</v>
      </c>
      <c r="H40" s="30" t="n">
        <v>500</v>
      </c>
      <c r="I40" s="29" t="n">
        <v>1500</v>
      </c>
      <c r="J40" s="30" t="n">
        <v>500</v>
      </c>
      <c r="K40" s="31" t="inlineStr"/>
      <c r="L40" s="27" t="inlineStr">
        <is>
          <t>active</t>
        </is>
      </c>
    </row>
    <row r="41">
      <c r="A41" s="27" t="inlineStr">
        <is>
          <t>တောင်ဥက္ကလာပ|STANDARD</t>
        </is>
      </c>
      <c r="B41" s="28" t="inlineStr">
        <is>
          <t>တောင်ဥက္ကလာပ</t>
        </is>
      </c>
      <c r="C41" s="29" t="inlineStr">
        <is>
          <t>Yangon</t>
        </is>
      </c>
      <c r="D41" s="29" t="inlineStr">
        <is>
          <t>YGN</t>
        </is>
      </c>
      <c r="E41" s="29" t="inlineStr">
        <is>
          <t>STANDARD</t>
        </is>
      </c>
      <c r="F41" s="30" t="n">
        <v>4000</v>
      </c>
      <c r="G41" s="29" t="n">
        <v>3</v>
      </c>
      <c r="H41" s="30" t="n">
        <v>500</v>
      </c>
      <c r="I41" s="29" t="n">
        <v>0</v>
      </c>
      <c r="J41" s="30" t="n">
        <v>0</v>
      </c>
      <c r="K41" s="31" t="inlineStr"/>
      <c r="L41" s="27" t="inlineStr">
        <is>
          <t>active</t>
        </is>
      </c>
    </row>
    <row r="42">
      <c r="A42" s="27" t="inlineStr">
        <is>
          <t>တောင်ဥက္ကလာပ|ROYAL</t>
        </is>
      </c>
      <c r="B42" s="28" t="inlineStr">
        <is>
          <t>တောင်ဥက္ကလာပ</t>
        </is>
      </c>
      <c r="C42" s="29" t="inlineStr">
        <is>
          <t>Yangon</t>
        </is>
      </c>
      <c r="D42" s="29" t="inlineStr">
        <is>
          <t>YGN</t>
        </is>
      </c>
      <c r="E42" s="29" t="inlineStr">
        <is>
          <t>ROYAL</t>
        </is>
      </c>
      <c r="F42" s="30" t="n">
        <v>4000</v>
      </c>
      <c r="G42" s="29" t="n">
        <v>5</v>
      </c>
      <c r="H42" s="30" t="n">
        <v>500</v>
      </c>
      <c r="I42" s="29" t="n">
        <v>0</v>
      </c>
      <c r="J42" s="30" t="n">
        <v>0</v>
      </c>
      <c r="K42" s="31" t="inlineStr"/>
      <c r="L42" s="27" t="inlineStr">
        <is>
          <t>active</t>
        </is>
      </c>
    </row>
    <row r="43">
      <c r="A43" s="27" t="inlineStr">
        <is>
          <t>တောင်ဥက္ကလာပ|COMMITMENT</t>
        </is>
      </c>
      <c r="B43" s="28" t="inlineStr">
        <is>
          <t>တောင်ဥက္ကလာပ</t>
        </is>
      </c>
      <c r="C43" s="29" t="inlineStr">
        <is>
          <t>Yangon</t>
        </is>
      </c>
      <c r="D43" s="29" t="inlineStr">
        <is>
          <t>YGN</t>
        </is>
      </c>
      <c r="E43" s="29" t="inlineStr">
        <is>
          <t>COMMITMENT</t>
        </is>
      </c>
      <c r="F43" s="30" t="n">
        <v>4000</v>
      </c>
      <c r="G43" s="29" t="n">
        <v>5</v>
      </c>
      <c r="H43" s="30" t="n">
        <v>500</v>
      </c>
      <c r="I43" s="29" t="n">
        <v>1500</v>
      </c>
      <c r="J43" s="30" t="n">
        <v>500</v>
      </c>
      <c r="K43" s="31" t="inlineStr"/>
      <c r="L43" s="27" t="inlineStr">
        <is>
          <t>active</t>
        </is>
      </c>
    </row>
    <row r="44">
      <c r="A44" s="27" t="inlineStr">
        <is>
          <t>မြောက်ဒဂုံ|STANDARD</t>
        </is>
      </c>
      <c r="B44" s="28" t="inlineStr">
        <is>
          <t>မြောက်ဒဂုံ</t>
        </is>
      </c>
      <c r="C44" s="29" t="inlineStr">
        <is>
          <t>Yangon</t>
        </is>
      </c>
      <c r="D44" s="29" t="inlineStr">
        <is>
          <t>YGN</t>
        </is>
      </c>
      <c r="E44" s="29" t="inlineStr">
        <is>
          <t>STANDARD</t>
        </is>
      </c>
      <c r="F44" s="30" t="n">
        <v>4000</v>
      </c>
      <c r="G44" s="29" t="n">
        <v>3</v>
      </c>
      <c r="H44" s="30" t="n">
        <v>500</v>
      </c>
      <c r="I44" s="29" t="n">
        <v>0</v>
      </c>
      <c r="J44" s="30" t="n">
        <v>0</v>
      </c>
      <c r="K44" s="31" t="inlineStr"/>
      <c r="L44" s="27" t="inlineStr">
        <is>
          <t>active</t>
        </is>
      </c>
    </row>
    <row r="45">
      <c r="A45" s="27" t="inlineStr">
        <is>
          <t>မြောက်ဒဂုံ|ROYAL</t>
        </is>
      </c>
      <c r="B45" s="28" t="inlineStr">
        <is>
          <t>မြောက်ဒဂုံ</t>
        </is>
      </c>
      <c r="C45" s="29" t="inlineStr">
        <is>
          <t>Yangon</t>
        </is>
      </c>
      <c r="D45" s="29" t="inlineStr">
        <is>
          <t>YGN</t>
        </is>
      </c>
      <c r="E45" s="29" t="inlineStr">
        <is>
          <t>ROYAL</t>
        </is>
      </c>
      <c r="F45" s="30" t="n">
        <v>4000</v>
      </c>
      <c r="G45" s="29" t="n">
        <v>5</v>
      </c>
      <c r="H45" s="30" t="n">
        <v>500</v>
      </c>
      <c r="I45" s="29" t="n">
        <v>0</v>
      </c>
      <c r="J45" s="30" t="n">
        <v>0</v>
      </c>
      <c r="K45" s="31" t="inlineStr"/>
      <c r="L45" s="27" t="inlineStr">
        <is>
          <t>active</t>
        </is>
      </c>
    </row>
    <row r="46">
      <c r="A46" s="27" t="inlineStr">
        <is>
          <t>မြောက်ဒဂုံ|COMMITMENT</t>
        </is>
      </c>
      <c r="B46" s="28" t="inlineStr">
        <is>
          <t>မြောက်ဒဂုံ</t>
        </is>
      </c>
      <c r="C46" s="29" t="inlineStr">
        <is>
          <t>Yangon</t>
        </is>
      </c>
      <c r="D46" s="29" t="inlineStr">
        <is>
          <t>YGN</t>
        </is>
      </c>
      <c r="E46" s="29" t="inlineStr">
        <is>
          <t>COMMITMENT</t>
        </is>
      </c>
      <c r="F46" s="30" t="n">
        <v>4000</v>
      </c>
      <c r="G46" s="29" t="n">
        <v>5</v>
      </c>
      <c r="H46" s="30" t="n">
        <v>500</v>
      </c>
      <c r="I46" s="29" t="n">
        <v>1500</v>
      </c>
      <c r="J46" s="30" t="n">
        <v>500</v>
      </c>
      <c r="K46" s="31" t="inlineStr"/>
      <c r="L46" s="27" t="inlineStr">
        <is>
          <t>active</t>
        </is>
      </c>
    </row>
    <row r="47">
      <c r="A47" s="27" t="inlineStr">
        <is>
          <t>အရှေ့ဒဂုံ|STANDARD</t>
        </is>
      </c>
      <c r="B47" s="28" t="inlineStr">
        <is>
          <t>အရှေ့ဒဂုံ</t>
        </is>
      </c>
      <c r="C47" s="29" t="inlineStr">
        <is>
          <t>Yangon</t>
        </is>
      </c>
      <c r="D47" s="29" t="inlineStr">
        <is>
          <t>YGN</t>
        </is>
      </c>
      <c r="E47" s="29" t="inlineStr">
        <is>
          <t>STANDARD</t>
        </is>
      </c>
      <c r="F47" s="30" t="n">
        <v>4000</v>
      </c>
      <c r="G47" s="29" t="n">
        <v>3</v>
      </c>
      <c r="H47" s="30" t="n">
        <v>500</v>
      </c>
      <c r="I47" s="29" t="n">
        <v>0</v>
      </c>
      <c r="J47" s="30" t="n">
        <v>0</v>
      </c>
      <c r="K47" s="31" t="inlineStr"/>
      <c r="L47" s="27" t="inlineStr">
        <is>
          <t>active</t>
        </is>
      </c>
    </row>
    <row r="48">
      <c r="A48" s="27" t="inlineStr">
        <is>
          <t>အရှေ့ဒဂုံ|ROYAL</t>
        </is>
      </c>
      <c r="B48" s="28" t="inlineStr">
        <is>
          <t>အရှေ့ဒဂုံ</t>
        </is>
      </c>
      <c r="C48" s="29" t="inlineStr">
        <is>
          <t>Yangon</t>
        </is>
      </c>
      <c r="D48" s="29" t="inlineStr">
        <is>
          <t>YGN</t>
        </is>
      </c>
      <c r="E48" s="29" t="inlineStr">
        <is>
          <t>ROYAL</t>
        </is>
      </c>
      <c r="F48" s="30" t="n">
        <v>4000</v>
      </c>
      <c r="G48" s="29" t="n">
        <v>5</v>
      </c>
      <c r="H48" s="30" t="n">
        <v>500</v>
      </c>
      <c r="I48" s="29" t="n">
        <v>0</v>
      </c>
      <c r="J48" s="30" t="n">
        <v>0</v>
      </c>
      <c r="K48" s="31" t="inlineStr"/>
      <c r="L48" s="27" t="inlineStr">
        <is>
          <t>active</t>
        </is>
      </c>
    </row>
    <row r="49">
      <c r="A49" s="27" t="inlineStr">
        <is>
          <t>အရှေ့ဒဂုံ|COMMITMENT</t>
        </is>
      </c>
      <c r="B49" s="28" t="inlineStr">
        <is>
          <t>အရှေ့ဒဂုံ</t>
        </is>
      </c>
      <c r="C49" s="29" t="inlineStr">
        <is>
          <t>Yangon</t>
        </is>
      </c>
      <c r="D49" s="29" t="inlineStr">
        <is>
          <t>YGN</t>
        </is>
      </c>
      <c r="E49" s="29" t="inlineStr">
        <is>
          <t>COMMITMENT</t>
        </is>
      </c>
      <c r="F49" s="30" t="n">
        <v>4000</v>
      </c>
      <c r="G49" s="29" t="n">
        <v>5</v>
      </c>
      <c r="H49" s="30" t="n">
        <v>500</v>
      </c>
      <c r="I49" s="29" t="n">
        <v>1500</v>
      </c>
      <c r="J49" s="30" t="n">
        <v>500</v>
      </c>
      <c r="K49" s="31" t="inlineStr"/>
      <c r="L49" s="27" t="inlineStr">
        <is>
          <t>active</t>
        </is>
      </c>
    </row>
    <row r="50">
      <c r="A50" s="27" t="inlineStr">
        <is>
          <t>ရန်ကင်း|STANDARD</t>
        </is>
      </c>
      <c r="B50" s="28" t="inlineStr">
        <is>
          <t>ရန်ကင်း</t>
        </is>
      </c>
      <c r="C50" s="29" t="inlineStr">
        <is>
          <t>Yangon</t>
        </is>
      </c>
      <c r="D50" s="29" t="inlineStr">
        <is>
          <t>YGN</t>
        </is>
      </c>
      <c r="E50" s="29" t="inlineStr">
        <is>
          <t>STANDARD</t>
        </is>
      </c>
      <c r="F50" s="30" t="n">
        <v>4000</v>
      </c>
      <c r="G50" s="29" t="n">
        <v>3</v>
      </c>
      <c r="H50" s="30" t="n">
        <v>500</v>
      </c>
      <c r="I50" s="29" t="n">
        <v>0</v>
      </c>
      <c r="J50" s="30" t="n">
        <v>0</v>
      </c>
      <c r="K50" s="31" t="inlineStr"/>
      <c r="L50" s="27" t="inlineStr">
        <is>
          <t>active</t>
        </is>
      </c>
    </row>
    <row r="51">
      <c r="A51" s="27" t="inlineStr">
        <is>
          <t>ရန်ကင်း|ROYAL</t>
        </is>
      </c>
      <c r="B51" s="28" t="inlineStr">
        <is>
          <t>ရန်ကင်း</t>
        </is>
      </c>
      <c r="C51" s="29" t="inlineStr">
        <is>
          <t>Yangon</t>
        </is>
      </c>
      <c r="D51" s="29" t="inlineStr">
        <is>
          <t>YGN</t>
        </is>
      </c>
      <c r="E51" s="29" t="inlineStr">
        <is>
          <t>ROYAL</t>
        </is>
      </c>
      <c r="F51" s="30" t="n">
        <v>4000</v>
      </c>
      <c r="G51" s="29" t="n">
        <v>5</v>
      </c>
      <c r="H51" s="30" t="n">
        <v>500</v>
      </c>
      <c r="I51" s="29" t="n">
        <v>0</v>
      </c>
      <c r="J51" s="30" t="n">
        <v>0</v>
      </c>
      <c r="K51" s="31" t="inlineStr"/>
      <c r="L51" s="27" t="inlineStr">
        <is>
          <t>active</t>
        </is>
      </c>
    </row>
    <row r="52">
      <c r="A52" s="27" t="inlineStr">
        <is>
          <t>ရန်ကင်း|COMMITMENT</t>
        </is>
      </c>
      <c r="B52" s="28" t="inlineStr">
        <is>
          <t>ရန်ကင်း</t>
        </is>
      </c>
      <c r="C52" s="29" t="inlineStr">
        <is>
          <t>Yangon</t>
        </is>
      </c>
      <c r="D52" s="29" t="inlineStr">
        <is>
          <t>YGN</t>
        </is>
      </c>
      <c r="E52" s="29" t="inlineStr">
        <is>
          <t>COMMITMENT</t>
        </is>
      </c>
      <c r="F52" s="30" t="n">
        <v>4000</v>
      </c>
      <c r="G52" s="29" t="n">
        <v>5</v>
      </c>
      <c r="H52" s="30" t="n">
        <v>500</v>
      </c>
      <c r="I52" s="29" t="n">
        <v>1500</v>
      </c>
      <c r="J52" s="30" t="n">
        <v>500</v>
      </c>
      <c r="K52" s="31" t="inlineStr"/>
      <c r="L52" s="27" t="inlineStr">
        <is>
          <t>active</t>
        </is>
      </c>
    </row>
    <row r="53">
      <c r="A53" s="27" t="inlineStr">
        <is>
          <t>ကမာရွတ်|STANDARD</t>
        </is>
      </c>
      <c r="B53" s="28" t="inlineStr">
        <is>
          <t>ကမာရွတ်</t>
        </is>
      </c>
      <c r="C53" s="29" t="inlineStr">
        <is>
          <t>Yangon</t>
        </is>
      </c>
      <c r="D53" s="29" t="inlineStr">
        <is>
          <t>YGN</t>
        </is>
      </c>
      <c r="E53" s="29" t="inlineStr">
        <is>
          <t>STANDARD</t>
        </is>
      </c>
      <c r="F53" s="30" t="n">
        <v>4000</v>
      </c>
      <c r="G53" s="29" t="n">
        <v>3</v>
      </c>
      <c r="H53" s="30" t="n">
        <v>500</v>
      </c>
      <c r="I53" s="29" t="n">
        <v>0</v>
      </c>
      <c r="J53" s="30" t="n">
        <v>0</v>
      </c>
      <c r="K53" s="31" t="inlineStr"/>
      <c r="L53" s="27" t="inlineStr">
        <is>
          <t>active</t>
        </is>
      </c>
    </row>
    <row r="54">
      <c r="A54" s="27" t="inlineStr">
        <is>
          <t>ကမာရွတ်|ROYAL</t>
        </is>
      </c>
      <c r="B54" s="28" t="inlineStr">
        <is>
          <t>ကမာရွတ်</t>
        </is>
      </c>
      <c r="C54" s="29" t="inlineStr">
        <is>
          <t>Yangon</t>
        </is>
      </c>
      <c r="D54" s="29" t="inlineStr">
        <is>
          <t>YGN</t>
        </is>
      </c>
      <c r="E54" s="29" t="inlineStr">
        <is>
          <t>ROYAL</t>
        </is>
      </c>
      <c r="F54" s="30" t="n">
        <v>4000</v>
      </c>
      <c r="G54" s="29" t="n">
        <v>5</v>
      </c>
      <c r="H54" s="30" t="n">
        <v>500</v>
      </c>
      <c r="I54" s="29" t="n">
        <v>0</v>
      </c>
      <c r="J54" s="30" t="n">
        <v>0</v>
      </c>
      <c r="K54" s="31" t="inlineStr"/>
      <c r="L54" s="27" t="inlineStr">
        <is>
          <t>active</t>
        </is>
      </c>
    </row>
    <row r="55">
      <c r="A55" s="27" t="inlineStr">
        <is>
          <t>ကမာရွတ်|COMMITMENT</t>
        </is>
      </c>
      <c r="B55" s="28" t="inlineStr">
        <is>
          <t>ကမာရွတ်</t>
        </is>
      </c>
      <c r="C55" s="29" t="inlineStr">
        <is>
          <t>Yangon</t>
        </is>
      </c>
      <c r="D55" s="29" t="inlineStr">
        <is>
          <t>YGN</t>
        </is>
      </c>
      <c r="E55" s="29" t="inlineStr">
        <is>
          <t>COMMITMENT</t>
        </is>
      </c>
      <c r="F55" s="30" t="n">
        <v>4000</v>
      </c>
      <c r="G55" s="29" t="n">
        <v>5</v>
      </c>
      <c r="H55" s="30" t="n">
        <v>500</v>
      </c>
      <c r="I55" s="29" t="n">
        <v>1500</v>
      </c>
      <c r="J55" s="30" t="n">
        <v>500</v>
      </c>
      <c r="K55" s="31" t="inlineStr"/>
      <c r="L55" s="27" t="inlineStr">
        <is>
          <t>active</t>
        </is>
      </c>
    </row>
    <row r="56">
      <c r="A56" s="27" t="inlineStr">
        <is>
          <t>သာကေတ|STANDARD</t>
        </is>
      </c>
      <c r="B56" s="28" t="inlineStr">
        <is>
          <t>သာကေတ</t>
        </is>
      </c>
      <c r="C56" s="29" t="inlineStr">
        <is>
          <t>Yangon</t>
        </is>
      </c>
      <c r="D56" s="29" t="inlineStr">
        <is>
          <t>YGN</t>
        </is>
      </c>
      <c r="E56" s="29" t="inlineStr">
        <is>
          <t>STANDARD</t>
        </is>
      </c>
      <c r="F56" s="30" t="n">
        <v>4000</v>
      </c>
      <c r="G56" s="29" t="n">
        <v>3</v>
      </c>
      <c r="H56" s="30" t="n">
        <v>500</v>
      </c>
      <c r="I56" s="29" t="n">
        <v>0</v>
      </c>
      <c r="J56" s="30" t="n">
        <v>0</v>
      </c>
      <c r="K56" s="31" t="inlineStr"/>
      <c r="L56" s="27" t="inlineStr">
        <is>
          <t>active</t>
        </is>
      </c>
    </row>
    <row r="57">
      <c r="A57" s="27" t="inlineStr">
        <is>
          <t>သာကေတ|ROYAL</t>
        </is>
      </c>
      <c r="B57" s="28" t="inlineStr">
        <is>
          <t>သာကေတ</t>
        </is>
      </c>
      <c r="C57" s="29" t="inlineStr">
        <is>
          <t>Yangon</t>
        </is>
      </c>
      <c r="D57" s="29" t="inlineStr">
        <is>
          <t>YGN</t>
        </is>
      </c>
      <c r="E57" s="29" t="inlineStr">
        <is>
          <t>ROYAL</t>
        </is>
      </c>
      <c r="F57" s="30" t="n">
        <v>4000</v>
      </c>
      <c r="G57" s="29" t="n">
        <v>5</v>
      </c>
      <c r="H57" s="30" t="n">
        <v>500</v>
      </c>
      <c r="I57" s="29" t="n">
        <v>0</v>
      </c>
      <c r="J57" s="30" t="n">
        <v>0</v>
      </c>
      <c r="K57" s="31" t="inlineStr"/>
      <c r="L57" s="27" t="inlineStr">
        <is>
          <t>active</t>
        </is>
      </c>
    </row>
    <row r="58">
      <c r="A58" s="27" t="inlineStr">
        <is>
          <t>သာကေတ|COMMITMENT</t>
        </is>
      </c>
      <c r="B58" s="28" t="inlineStr">
        <is>
          <t>သာကေတ</t>
        </is>
      </c>
      <c r="C58" s="29" t="inlineStr">
        <is>
          <t>Yangon</t>
        </is>
      </c>
      <c r="D58" s="29" t="inlineStr">
        <is>
          <t>YGN</t>
        </is>
      </c>
      <c r="E58" s="29" t="inlineStr">
        <is>
          <t>COMMITMENT</t>
        </is>
      </c>
      <c r="F58" s="30" t="n">
        <v>4000</v>
      </c>
      <c r="G58" s="29" t="n">
        <v>5</v>
      </c>
      <c r="H58" s="30" t="n">
        <v>500</v>
      </c>
      <c r="I58" s="29" t="n">
        <v>1500</v>
      </c>
      <c r="J58" s="30" t="n">
        <v>500</v>
      </c>
      <c r="K58" s="31" t="inlineStr"/>
      <c r="L58" s="27" t="inlineStr">
        <is>
          <t>active</t>
        </is>
      </c>
    </row>
    <row r="59">
      <c r="A59" s="27" t="inlineStr">
        <is>
          <t>သင်္ဃန်းကျွန်း|STANDARD</t>
        </is>
      </c>
      <c r="B59" s="28" t="inlineStr">
        <is>
          <t>သင်္ဃန်းကျွန်း</t>
        </is>
      </c>
      <c r="C59" s="29" t="inlineStr">
        <is>
          <t>Yangon</t>
        </is>
      </c>
      <c r="D59" s="29" t="inlineStr">
        <is>
          <t>YGN</t>
        </is>
      </c>
      <c r="E59" s="29" t="inlineStr">
        <is>
          <t>STANDARD</t>
        </is>
      </c>
      <c r="F59" s="30" t="n">
        <v>4000</v>
      </c>
      <c r="G59" s="29" t="n">
        <v>3</v>
      </c>
      <c r="H59" s="30" t="n">
        <v>500</v>
      </c>
      <c r="I59" s="29" t="n">
        <v>0</v>
      </c>
      <c r="J59" s="30" t="n">
        <v>0</v>
      </c>
      <c r="K59" s="31" t="inlineStr"/>
      <c r="L59" s="27" t="inlineStr">
        <is>
          <t>active</t>
        </is>
      </c>
    </row>
    <row r="60">
      <c r="A60" s="27" t="inlineStr">
        <is>
          <t>သင်္ဃန်းကျွန်း|ROYAL</t>
        </is>
      </c>
      <c r="B60" s="28" t="inlineStr">
        <is>
          <t>သင်္ဃန်းကျွန်း</t>
        </is>
      </c>
      <c r="C60" s="29" t="inlineStr">
        <is>
          <t>Yangon</t>
        </is>
      </c>
      <c r="D60" s="29" t="inlineStr">
        <is>
          <t>YGN</t>
        </is>
      </c>
      <c r="E60" s="29" t="inlineStr">
        <is>
          <t>ROYAL</t>
        </is>
      </c>
      <c r="F60" s="30" t="n">
        <v>4000</v>
      </c>
      <c r="G60" s="29" t="n">
        <v>5</v>
      </c>
      <c r="H60" s="30" t="n">
        <v>500</v>
      </c>
      <c r="I60" s="29" t="n">
        <v>0</v>
      </c>
      <c r="J60" s="30" t="n">
        <v>0</v>
      </c>
      <c r="K60" s="31" t="inlineStr"/>
      <c r="L60" s="27" t="inlineStr">
        <is>
          <t>active</t>
        </is>
      </c>
    </row>
    <row r="61">
      <c r="A61" s="27" t="inlineStr">
        <is>
          <t>သင်္ဃန်းကျွန်း|COMMITMENT</t>
        </is>
      </c>
      <c r="B61" s="28" t="inlineStr">
        <is>
          <t>သင်္ဃန်းကျွန်း</t>
        </is>
      </c>
      <c r="C61" s="29" t="inlineStr">
        <is>
          <t>Yangon</t>
        </is>
      </c>
      <c r="D61" s="29" t="inlineStr">
        <is>
          <t>YGN</t>
        </is>
      </c>
      <c r="E61" s="29" t="inlineStr">
        <is>
          <t>COMMITMENT</t>
        </is>
      </c>
      <c r="F61" s="30" t="n">
        <v>4000</v>
      </c>
      <c r="G61" s="29" t="n">
        <v>5</v>
      </c>
      <c r="H61" s="30" t="n">
        <v>500</v>
      </c>
      <c r="I61" s="29" t="n">
        <v>1500</v>
      </c>
      <c r="J61" s="30" t="n">
        <v>500</v>
      </c>
      <c r="K61" s="31" t="inlineStr"/>
      <c r="L61" s="27" t="inlineStr">
        <is>
          <t>active</t>
        </is>
      </c>
    </row>
    <row r="62">
      <c r="A62" s="27" t="inlineStr">
        <is>
          <t>မရမ်းကုန်း|STANDARD</t>
        </is>
      </c>
      <c r="B62" s="28" t="inlineStr">
        <is>
          <t>မရမ်းကုန်း</t>
        </is>
      </c>
      <c r="C62" s="29" t="inlineStr">
        <is>
          <t>Yangon</t>
        </is>
      </c>
      <c r="D62" s="29" t="inlineStr">
        <is>
          <t>YGN</t>
        </is>
      </c>
      <c r="E62" s="29" t="inlineStr">
        <is>
          <t>STANDARD</t>
        </is>
      </c>
      <c r="F62" s="30" t="n">
        <v>4000</v>
      </c>
      <c r="G62" s="29" t="n">
        <v>3</v>
      </c>
      <c r="H62" s="30" t="n">
        <v>500</v>
      </c>
      <c r="I62" s="29" t="n">
        <v>0</v>
      </c>
      <c r="J62" s="30" t="n">
        <v>0</v>
      </c>
      <c r="K62" s="31" t="inlineStr"/>
      <c r="L62" s="27" t="inlineStr">
        <is>
          <t>active</t>
        </is>
      </c>
    </row>
    <row r="63">
      <c r="A63" s="27" t="inlineStr">
        <is>
          <t>မရမ်းကုန်း|ROYAL</t>
        </is>
      </c>
      <c r="B63" s="28" t="inlineStr">
        <is>
          <t>မရမ်းကုန်း</t>
        </is>
      </c>
      <c r="C63" s="29" t="inlineStr">
        <is>
          <t>Yangon</t>
        </is>
      </c>
      <c r="D63" s="29" t="inlineStr">
        <is>
          <t>YGN</t>
        </is>
      </c>
      <c r="E63" s="29" t="inlineStr">
        <is>
          <t>ROYAL</t>
        </is>
      </c>
      <c r="F63" s="30" t="n">
        <v>4000</v>
      </c>
      <c r="G63" s="29" t="n">
        <v>5</v>
      </c>
      <c r="H63" s="30" t="n">
        <v>500</v>
      </c>
      <c r="I63" s="29" t="n">
        <v>0</v>
      </c>
      <c r="J63" s="30" t="n">
        <v>0</v>
      </c>
      <c r="K63" s="31" t="inlineStr"/>
      <c r="L63" s="27" t="inlineStr">
        <is>
          <t>active</t>
        </is>
      </c>
    </row>
    <row r="64">
      <c r="A64" s="27" t="inlineStr">
        <is>
          <t>မရမ်းကုန်း|COMMITMENT</t>
        </is>
      </c>
      <c r="B64" s="28" t="inlineStr">
        <is>
          <t>မရမ်းကုန်း</t>
        </is>
      </c>
      <c r="C64" s="29" t="inlineStr">
        <is>
          <t>Yangon</t>
        </is>
      </c>
      <c r="D64" s="29" t="inlineStr">
        <is>
          <t>YGN</t>
        </is>
      </c>
      <c r="E64" s="29" t="inlineStr">
        <is>
          <t>COMMITMENT</t>
        </is>
      </c>
      <c r="F64" s="30" t="n">
        <v>4000</v>
      </c>
      <c r="G64" s="29" t="n">
        <v>5</v>
      </c>
      <c r="H64" s="30" t="n">
        <v>500</v>
      </c>
      <c r="I64" s="29" t="n">
        <v>1500</v>
      </c>
      <c r="J64" s="30" t="n">
        <v>500</v>
      </c>
      <c r="K64" s="31" t="inlineStr"/>
      <c r="L64" s="27" t="inlineStr">
        <is>
          <t>active</t>
        </is>
      </c>
    </row>
    <row r="65">
      <c r="A65" s="27" t="inlineStr">
        <is>
          <t>တောင်ဒဂုံ|STANDARD</t>
        </is>
      </c>
      <c r="B65" s="28" t="inlineStr">
        <is>
          <t>တောင်ဒဂုံ</t>
        </is>
      </c>
      <c r="C65" s="29" t="inlineStr">
        <is>
          <t>Yangon</t>
        </is>
      </c>
      <c r="D65" s="29" t="inlineStr">
        <is>
          <t>YGN</t>
        </is>
      </c>
      <c r="E65" s="29" t="inlineStr">
        <is>
          <t>STANDARD</t>
        </is>
      </c>
      <c r="F65" s="30" t="n">
        <v>4000</v>
      </c>
      <c r="G65" s="29" t="n">
        <v>3</v>
      </c>
      <c r="H65" s="30" t="n">
        <v>500</v>
      </c>
      <c r="I65" s="29" t="n">
        <v>0</v>
      </c>
      <c r="J65" s="30" t="n">
        <v>0</v>
      </c>
      <c r="K65" s="31" t="inlineStr"/>
      <c r="L65" s="27" t="inlineStr">
        <is>
          <t>active</t>
        </is>
      </c>
    </row>
    <row r="66">
      <c r="A66" s="27" t="inlineStr">
        <is>
          <t>တောင်ဒဂုံ|ROYAL</t>
        </is>
      </c>
      <c r="B66" s="28" t="inlineStr">
        <is>
          <t>တောင်ဒဂုံ</t>
        </is>
      </c>
      <c r="C66" s="29" t="inlineStr">
        <is>
          <t>Yangon</t>
        </is>
      </c>
      <c r="D66" s="29" t="inlineStr">
        <is>
          <t>YGN</t>
        </is>
      </c>
      <c r="E66" s="29" t="inlineStr">
        <is>
          <t>ROYAL</t>
        </is>
      </c>
      <c r="F66" s="30" t="n">
        <v>4000</v>
      </c>
      <c r="G66" s="29" t="n">
        <v>5</v>
      </c>
      <c r="H66" s="30" t="n">
        <v>500</v>
      </c>
      <c r="I66" s="29" t="n">
        <v>0</v>
      </c>
      <c r="J66" s="30" t="n">
        <v>0</v>
      </c>
      <c r="K66" s="31" t="inlineStr"/>
      <c r="L66" s="27" t="inlineStr">
        <is>
          <t>active</t>
        </is>
      </c>
    </row>
    <row r="67">
      <c r="A67" s="27" t="inlineStr">
        <is>
          <t>တောင်ဒဂုံ|COMMITMENT</t>
        </is>
      </c>
      <c r="B67" s="28" t="inlineStr">
        <is>
          <t>တောင်ဒဂုံ</t>
        </is>
      </c>
      <c r="C67" s="29" t="inlineStr">
        <is>
          <t>Yangon</t>
        </is>
      </c>
      <c r="D67" s="29" t="inlineStr">
        <is>
          <t>YGN</t>
        </is>
      </c>
      <c r="E67" s="29" t="inlineStr">
        <is>
          <t>COMMITMENT</t>
        </is>
      </c>
      <c r="F67" s="30" t="n">
        <v>4000</v>
      </c>
      <c r="G67" s="29" t="n">
        <v>5</v>
      </c>
      <c r="H67" s="30" t="n">
        <v>500</v>
      </c>
      <c r="I67" s="29" t="n">
        <v>1500</v>
      </c>
      <c r="J67" s="30" t="n">
        <v>500</v>
      </c>
      <c r="K67" s="31" t="inlineStr"/>
      <c r="L67" s="27" t="inlineStr">
        <is>
          <t>active</t>
        </is>
      </c>
    </row>
    <row r="68">
      <c r="A68" s="27" t="inlineStr">
        <is>
          <t>ဒဂုံဆိပ်ကမ်း|STANDARD</t>
        </is>
      </c>
      <c r="B68" s="28" t="inlineStr">
        <is>
          <t>ဒဂုံဆိပ်ကမ်း</t>
        </is>
      </c>
      <c r="C68" s="29" t="inlineStr">
        <is>
          <t>Yangon</t>
        </is>
      </c>
      <c r="D68" s="29" t="inlineStr">
        <is>
          <t>YGN</t>
        </is>
      </c>
      <c r="E68" s="29" t="inlineStr">
        <is>
          <t>STANDARD</t>
        </is>
      </c>
      <c r="F68" s="30" t="n">
        <v>4000</v>
      </c>
      <c r="G68" s="29" t="n">
        <v>3</v>
      </c>
      <c r="H68" s="30" t="n">
        <v>500</v>
      </c>
      <c r="I68" s="29" t="n">
        <v>0</v>
      </c>
      <c r="J68" s="30" t="n">
        <v>0</v>
      </c>
      <c r="K68" s="31" t="inlineStr"/>
      <c r="L68" s="27" t="inlineStr">
        <is>
          <t>active</t>
        </is>
      </c>
    </row>
    <row r="69">
      <c r="A69" s="27" t="inlineStr">
        <is>
          <t>ဒဂုံဆိပ်ကမ်း|ROYAL</t>
        </is>
      </c>
      <c r="B69" s="28" t="inlineStr">
        <is>
          <t>ဒဂုံဆိပ်ကမ်း</t>
        </is>
      </c>
      <c r="C69" s="29" t="inlineStr">
        <is>
          <t>Yangon</t>
        </is>
      </c>
      <c r="D69" s="29" t="inlineStr">
        <is>
          <t>YGN</t>
        </is>
      </c>
      <c r="E69" s="29" t="inlineStr">
        <is>
          <t>ROYAL</t>
        </is>
      </c>
      <c r="F69" s="30" t="n">
        <v>4000</v>
      </c>
      <c r="G69" s="29" t="n">
        <v>5</v>
      </c>
      <c r="H69" s="30" t="n">
        <v>500</v>
      </c>
      <c r="I69" s="29" t="n">
        <v>0</v>
      </c>
      <c r="J69" s="30" t="n">
        <v>0</v>
      </c>
      <c r="K69" s="31" t="inlineStr"/>
      <c r="L69" s="27" t="inlineStr">
        <is>
          <t>active</t>
        </is>
      </c>
    </row>
    <row r="70">
      <c r="A70" s="27" t="inlineStr">
        <is>
          <t>ဒဂုံဆိပ်ကမ်း|COMMITMENT</t>
        </is>
      </c>
      <c r="B70" s="28" t="inlineStr">
        <is>
          <t>ဒဂုံဆိပ်ကမ်း</t>
        </is>
      </c>
      <c r="C70" s="29" t="inlineStr">
        <is>
          <t>Yangon</t>
        </is>
      </c>
      <c r="D70" s="29" t="inlineStr">
        <is>
          <t>YGN</t>
        </is>
      </c>
      <c r="E70" s="29" t="inlineStr">
        <is>
          <t>COMMITMENT</t>
        </is>
      </c>
      <c r="F70" s="30" t="n">
        <v>4000</v>
      </c>
      <c r="G70" s="29" t="n">
        <v>5</v>
      </c>
      <c r="H70" s="30" t="n">
        <v>500</v>
      </c>
      <c r="I70" s="29" t="n">
        <v>1500</v>
      </c>
      <c r="J70" s="30" t="n">
        <v>500</v>
      </c>
      <c r="K70" s="31" t="inlineStr"/>
      <c r="L70" s="27" t="inlineStr">
        <is>
          <t>active</t>
        </is>
      </c>
    </row>
    <row r="71">
      <c r="A71" s="27" t="inlineStr">
        <is>
          <t>ဒေါပုံ|STANDARD</t>
        </is>
      </c>
      <c r="B71" s="28" t="inlineStr">
        <is>
          <t>ဒေါပုံ</t>
        </is>
      </c>
      <c r="C71" s="29" t="inlineStr">
        <is>
          <t>Yangon</t>
        </is>
      </c>
      <c r="D71" s="29" t="inlineStr">
        <is>
          <t>YGN</t>
        </is>
      </c>
      <c r="E71" s="29" t="inlineStr">
        <is>
          <t>STANDARD</t>
        </is>
      </c>
      <c r="F71" s="30" t="n">
        <v>4000</v>
      </c>
      <c r="G71" s="29" t="n">
        <v>3</v>
      </c>
      <c r="H71" s="30" t="n">
        <v>500</v>
      </c>
      <c r="I71" s="29" t="n">
        <v>0</v>
      </c>
      <c r="J71" s="30" t="n">
        <v>0</v>
      </c>
      <c r="K71" s="31" t="inlineStr"/>
      <c r="L71" s="27" t="inlineStr">
        <is>
          <t>active</t>
        </is>
      </c>
    </row>
    <row r="72">
      <c r="A72" s="27" t="inlineStr">
        <is>
          <t>ဒေါပုံ|ROYAL</t>
        </is>
      </c>
      <c r="B72" s="28" t="inlineStr">
        <is>
          <t>ဒေါပုံ</t>
        </is>
      </c>
      <c r="C72" s="29" t="inlineStr">
        <is>
          <t>Yangon</t>
        </is>
      </c>
      <c r="D72" s="29" t="inlineStr">
        <is>
          <t>YGN</t>
        </is>
      </c>
      <c r="E72" s="29" t="inlineStr">
        <is>
          <t>ROYAL</t>
        </is>
      </c>
      <c r="F72" s="30" t="n">
        <v>4000</v>
      </c>
      <c r="G72" s="29" t="n">
        <v>5</v>
      </c>
      <c r="H72" s="30" t="n">
        <v>500</v>
      </c>
      <c r="I72" s="29" t="n">
        <v>0</v>
      </c>
      <c r="J72" s="30" t="n">
        <v>0</v>
      </c>
      <c r="K72" s="31" t="inlineStr"/>
      <c r="L72" s="27" t="inlineStr">
        <is>
          <t>active</t>
        </is>
      </c>
    </row>
    <row r="73">
      <c r="A73" s="27" t="inlineStr">
        <is>
          <t>ဒေါပုံ|COMMITMENT</t>
        </is>
      </c>
      <c r="B73" s="28" t="inlineStr">
        <is>
          <t>ဒေါပုံ</t>
        </is>
      </c>
      <c r="C73" s="29" t="inlineStr">
        <is>
          <t>Yangon</t>
        </is>
      </c>
      <c r="D73" s="29" t="inlineStr">
        <is>
          <t>YGN</t>
        </is>
      </c>
      <c r="E73" s="29" t="inlineStr">
        <is>
          <t>COMMITMENT</t>
        </is>
      </c>
      <c r="F73" s="30" t="n">
        <v>4000</v>
      </c>
      <c r="G73" s="29" t="n">
        <v>5</v>
      </c>
      <c r="H73" s="30" t="n">
        <v>500</v>
      </c>
      <c r="I73" s="29" t="n">
        <v>1500</v>
      </c>
      <c r="J73" s="30" t="n">
        <v>500</v>
      </c>
      <c r="K73" s="31" t="inlineStr"/>
      <c r="L73" s="27" t="inlineStr">
        <is>
          <t>active</t>
        </is>
      </c>
    </row>
    <row r="74">
      <c r="A74" s="27" t="inlineStr">
        <is>
          <t>လှိုင်|STANDARD</t>
        </is>
      </c>
      <c r="B74" s="28" t="inlineStr">
        <is>
          <t>လှိုင်</t>
        </is>
      </c>
      <c r="C74" s="29" t="inlineStr">
        <is>
          <t>Yangon</t>
        </is>
      </c>
      <c r="D74" s="29" t="inlineStr">
        <is>
          <t>YGN</t>
        </is>
      </c>
      <c r="E74" s="29" t="inlineStr">
        <is>
          <t>STANDARD</t>
        </is>
      </c>
      <c r="F74" s="30" t="n">
        <v>4000</v>
      </c>
      <c r="G74" s="29" t="n">
        <v>3</v>
      </c>
      <c r="H74" s="30" t="n">
        <v>500</v>
      </c>
      <c r="I74" s="29" t="n">
        <v>0</v>
      </c>
      <c r="J74" s="30" t="n">
        <v>0</v>
      </c>
      <c r="K74" s="31" t="inlineStr"/>
      <c r="L74" s="27" t="inlineStr">
        <is>
          <t>active</t>
        </is>
      </c>
    </row>
    <row r="75">
      <c r="A75" s="27" t="inlineStr">
        <is>
          <t>လှိုင်|ROYAL</t>
        </is>
      </c>
      <c r="B75" s="28" t="inlineStr">
        <is>
          <t>လှိုင်</t>
        </is>
      </c>
      <c r="C75" s="29" t="inlineStr">
        <is>
          <t>Yangon</t>
        </is>
      </c>
      <c r="D75" s="29" t="inlineStr">
        <is>
          <t>YGN</t>
        </is>
      </c>
      <c r="E75" s="29" t="inlineStr">
        <is>
          <t>ROYAL</t>
        </is>
      </c>
      <c r="F75" s="30" t="n">
        <v>4000</v>
      </c>
      <c r="G75" s="29" t="n">
        <v>5</v>
      </c>
      <c r="H75" s="30" t="n">
        <v>500</v>
      </c>
      <c r="I75" s="29" t="n">
        <v>0</v>
      </c>
      <c r="J75" s="30" t="n">
        <v>0</v>
      </c>
      <c r="K75" s="31" t="inlineStr"/>
      <c r="L75" s="27" t="inlineStr">
        <is>
          <t>active</t>
        </is>
      </c>
    </row>
    <row r="76">
      <c r="A76" s="27" t="inlineStr">
        <is>
          <t>လှိုင်|COMMITMENT</t>
        </is>
      </c>
      <c r="B76" s="28" t="inlineStr">
        <is>
          <t>လှိုင်</t>
        </is>
      </c>
      <c r="C76" s="29" t="inlineStr">
        <is>
          <t>Yangon</t>
        </is>
      </c>
      <c r="D76" s="29" t="inlineStr">
        <is>
          <t>YGN</t>
        </is>
      </c>
      <c r="E76" s="29" t="inlineStr">
        <is>
          <t>COMMITMENT</t>
        </is>
      </c>
      <c r="F76" s="30" t="n">
        <v>4000</v>
      </c>
      <c r="G76" s="29" t="n">
        <v>5</v>
      </c>
      <c r="H76" s="30" t="n">
        <v>500</v>
      </c>
      <c r="I76" s="29" t="n">
        <v>1500</v>
      </c>
      <c r="J76" s="30" t="n">
        <v>500</v>
      </c>
      <c r="K76" s="31" t="inlineStr"/>
      <c r="L76" s="27" t="inlineStr">
        <is>
          <t>active</t>
        </is>
      </c>
    </row>
    <row r="77">
      <c r="A77" s="27" t="inlineStr">
        <is>
          <t>အင်းစိန်|STANDARD</t>
        </is>
      </c>
      <c r="B77" s="28" t="inlineStr">
        <is>
          <t>အင်းစိန်</t>
        </is>
      </c>
      <c r="C77" s="29" t="inlineStr">
        <is>
          <t>Yangon</t>
        </is>
      </c>
      <c r="D77" s="29" t="inlineStr">
        <is>
          <t>YGN</t>
        </is>
      </c>
      <c r="E77" s="29" t="inlineStr">
        <is>
          <t>STANDARD</t>
        </is>
      </c>
      <c r="F77" s="30" t="n">
        <v>4000</v>
      </c>
      <c r="G77" s="29" t="n">
        <v>3</v>
      </c>
      <c r="H77" s="30" t="n">
        <v>500</v>
      </c>
      <c r="I77" s="29" t="n">
        <v>0</v>
      </c>
      <c r="J77" s="30" t="n">
        <v>0</v>
      </c>
      <c r="K77" s="31" t="inlineStr"/>
      <c r="L77" s="27" t="inlineStr">
        <is>
          <t>active</t>
        </is>
      </c>
    </row>
    <row r="78">
      <c r="A78" s="27" t="inlineStr">
        <is>
          <t>အင်းစိန်|ROYAL</t>
        </is>
      </c>
      <c r="B78" s="28" t="inlineStr">
        <is>
          <t>အင်းစိန်</t>
        </is>
      </c>
      <c r="C78" s="29" t="inlineStr">
        <is>
          <t>Yangon</t>
        </is>
      </c>
      <c r="D78" s="29" t="inlineStr">
        <is>
          <t>YGN</t>
        </is>
      </c>
      <c r="E78" s="29" t="inlineStr">
        <is>
          <t>ROYAL</t>
        </is>
      </c>
      <c r="F78" s="30" t="n">
        <v>4000</v>
      </c>
      <c r="G78" s="29" t="n">
        <v>5</v>
      </c>
      <c r="H78" s="30" t="n">
        <v>500</v>
      </c>
      <c r="I78" s="29" t="n">
        <v>0</v>
      </c>
      <c r="J78" s="30" t="n">
        <v>0</v>
      </c>
      <c r="K78" s="31" t="inlineStr"/>
      <c r="L78" s="27" t="inlineStr">
        <is>
          <t>active</t>
        </is>
      </c>
    </row>
    <row r="79">
      <c r="A79" s="27" t="inlineStr">
        <is>
          <t>အင်းစိန်|COMMITMENT</t>
        </is>
      </c>
      <c r="B79" s="28" t="inlineStr">
        <is>
          <t>အင်းစိန်</t>
        </is>
      </c>
      <c r="C79" s="29" t="inlineStr">
        <is>
          <t>Yangon</t>
        </is>
      </c>
      <c r="D79" s="29" t="inlineStr">
        <is>
          <t>YGN</t>
        </is>
      </c>
      <c r="E79" s="29" t="inlineStr">
        <is>
          <t>COMMITMENT</t>
        </is>
      </c>
      <c r="F79" s="30" t="n">
        <v>4000</v>
      </c>
      <c r="G79" s="29" t="n">
        <v>5</v>
      </c>
      <c r="H79" s="30" t="n">
        <v>500</v>
      </c>
      <c r="I79" s="29" t="n">
        <v>1500</v>
      </c>
      <c r="J79" s="30" t="n">
        <v>500</v>
      </c>
      <c r="K79" s="31" t="inlineStr"/>
      <c r="L79" s="27" t="inlineStr">
        <is>
          <t>active</t>
        </is>
      </c>
    </row>
    <row r="80">
      <c r="A80" s="27" t="inlineStr">
        <is>
          <t>မြောက်ဥက္ကလာပ|STANDARD</t>
        </is>
      </c>
      <c r="B80" s="28" t="inlineStr">
        <is>
          <t>မြောက်ဥက္ကလာပ</t>
        </is>
      </c>
      <c r="C80" s="29" t="inlineStr">
        <is>
          <t>Yangon</t>
        </is>
      </c>
      <c r="D80" s="29" t="inlineStr">
        <is>
          <t>YGN</t>
        </is>
      </c>
      <c r="E80" s="29" t="inlineStr">
        <is>
          <t>STANDARD</t>
        </is>
      </c>
      <c r="F80" s="30" t="n">
        <v>4500</v>
      </c>
      <c r="G80" s="29" t="n">
        <v>3</v>
      </c>
      <c r="H80" s="30" t="n">
        <v>500</v>
      </c>
      <c r="I80" s="29" t="n">
        <v>0</v>
      </c>
      <c r="J80" s="30" t="n">
        <v>0</v>
      </c>
      <c r="K80" s="31" t="inlineStr">
        <is>
          <t>Extended Yangon</t>
        </is>
      </c>
      <c r="L80" s="27" t="inlineStr">
        <is>
          <t>active</t>
        </is>
      </c>
    </row>
    <row r="81">
      <c r="A81" s="27" t="inlineStr">
        <is>
          <t>မြောက်ဥက္ကလာပ|ROYAL</t>
        </is>
      </c>
      <c r="B81" s="28" t="inlineStr">
        <is>
          <t>မြောက်ဥက္ကလာပ</t>
        </is>
      </c>
      <c r="C81" s="29" t="inlineStr">
        <is>
          <t>Yangon</t>
        </is>
      </c>
      <c r="D81" s="29" t="inlineStr">
        <is>
          <t>YGN</t>
        </is>
      </c>
      <c r="E81" s="29" t="inlineStr">
        <is>
          <t>ROYAL</t>
        </is>
      </c>
      <c r="F81" s="30" t="n">
        <v>4500</v>
      </c>
      <c r="G81" s="29" t="n">
        <v>5</v>
      </c>
      <c r="H81" s="30" t="n">
        <v>500</v>
      </c>
      <c r="I81" s="29" t="n">
        <v>0</v>
      </c>
      <c r="J81" s="30" t="n">
        <v>0</v>
      </c>
      <c r="K81" s="31" t="inlineStr">
        <is>
          <t>Extended Yangon</t>
        </is>
      </c>
      <c r="L81" s="27" t="inlineStr">
        <is>
          <t>active</t>
        </is>
      </c>
    </row>
    <row r="82">
      <c r="A82" s="27" t="inlineStr">
        <is>
          <t>မြောက်ဥက္ကလာပ|COMMITMENT</t>
        </is>
      </c>
      <c r="B82" s="28" t="inlineStr">
        <is>
          <t>မြောက်ဥက္ကလာပ</t>
        </is>
      </c>
      <c r="C82" s="29" t="inlineStr">
        <is>
          <t>Yangon</t>
        </is>
      </c>
      <c r="D82" s="29" t="inlineStr">
        <is>
          <t>YGN</t>
        </is>
      </c>
      <c r="E82" s="29" t="inlineStr">
        <is>
          <t>COMMITMENT</t>
        </is>
      </c>
      <c r="F82" s="30" t="n">
        <v>4500</v>
      </c>
      <c r="G82" s="29" t="n">
        <v>5</v>
      </c>
      <c r="H82" s="30" t="n">
        <v>500</v>
      </c>
      <c r="I82" s="29" t="n">
        <v>1500</v>
      </c>
      <c r="J82" s="30" t="n">
        <v>500</v>
      </c>
      <c r="K82" s="31" t="inlineStr">
        <is>
          <t>Extended Yangon</t>
        </is>
      </c>
      <c r="L82" s="27" t="inlineStr">
        <is>
          <t>active</t>
        </is>
      </c>
    </row>
    <row r="83">
      <c r="A83" s="27" t="inlineStr">
        <is>
          <t>မင်္ဂလာဒုံ|STANDARD</t>
        </is>
      </c>
      <c r="B83" s="28" t="inlineStr">
        <is>
          <t>မင်္ဂလာဒုံ</t>
        </is>
      </c>
      <c r="C83" s="29" t="inlineStr">
        <is>
          <t>Yangon</t>
        </is>
      </c>
      <c r="D83" s="29" t="inlineStr">
        <is>
          <t>YGN</t>
        </is>
      </c>
      <c r="E83" s="29" t="inlineStr">
        <is>
          <t>STANDARD</t>
        </is>
      </c>
      <c r="F83" s="30" t="n">
        <v>4500</v>
      </c>
      <c r="G83" s="29" t="n">
        <v>3</v>
      </c>
      <c r="H83" s="30" t="n">
        <v>500</v>
      </c>
      <c r="I83" s="29" t="n">
        <v>0</v>
      </c>
      <c r="J83" s="30" t="n">
        <v>0</v>
      </c>
      <c r="K83" s="31" t="inlineStr">
        <is>
          <t>Extended Yangon</t>
        </is>
      </c>
      <c r="L83" s="27" t="inlineStr">
        <is>
          <t>active</t>
        </is>
      </c>
    </row>
    <row r="84">
      <c r="A84" s="27" t="inlineStr">
        <is>
          <t>မင်္ဂလာဒုံ|ROYAL</t>
        </is>
      </c>
      <c r="B84" s="28" t="inlineStr">
        <is>
          <t>မင်္ဂလာဒုံ</t>
        </is>
      </c>
      <c r="C84" s="29" t="inlineStr">
        <is>
          <t>Yangon</t>
        </is>
      </c>
      <c r="D84" s="29" t="inlineStr">
        <is>
          <t>YGN</t>
        </is>
      </c>
      <c r="E84" s="29" t="inlineStr">
        <is>
          <t>ROYAL</t>
        </is>
      </c>
      <c r="F84" s="30" t="n">
        <v>4500</v>
      </c>
      <c r="G84" s="29" t="n">
        <v>5</v>
      </c>
      <c r="H84" s="30" t="n">
        <v>500</v>
      </c>
      <c r="I84" s="29" t="n">
        <v>0</v>
      </c>
      <c r="J84" s="30" t="n">
        <v>0</v>
      </c>
      <c r="K84" s="31" t="inlineStr">
        <is>
          <t>Extended Yangon</t>
        </is>
      </c>
      <c r="L84" s="27" t="inlineStr">
        <is>
          <t>active</t>
        </is>
      </c>
    </row>
    <row r="85">
      <c r="A85" s="27" t="inlineStr">
        <is>
          <t>မင်္ဂလာဒုံ|COMMITMENT</t>
        </is>
      </c>
      <c r="B85" s="28" t="inlineStr">
        <is>
          <t>မင်္ဂလာဒုံ</t>
        </is>
      </c>
      <c r="C85" s="29" t="inlineStr">
        <is>
          <t>Yangon</t>
        </is>
      </c>
      <c r="D85" s="29" t="inlineStr">
        <is>
          <t>YGN</t>
        </is>
      </c>
      <c r="E85" s="29" t="inlineStr">
        <is>
          <t>COMMITMENT</t>
        </is>
      </c>
      <c r="F85" s="30" t="n">
        <v>4500</v>
      </c>
      <c r="G85" s="29" t="n">
        <v>5</v>
      </c>
      <c r="H85" s="30" t="n">
        <v>500</v>
      </c>
      <c r="I85" s="29" t="n">
        <v>1500</v>
      </c>
      <c r="J85" s="30" t="n">
        <v>500</v>
      </c>
      <c r="K85" s="31" t="inlineStr">
        <is>
          <t>Extended Yangon</t>
        </is>
      </c>
      <c r="L85" s="27" t="inlineStr">
        <is>
          <t>active</t>
        </is>
      </c>
    </row>
    <row r="86">
      <c r="A86" s="27" t="inlineStr">
        <is>
          <t>ရွှေပြည်သာ|STANDARD</t>
        </is>
      </c>
      <c r="B86" s="28" t="inlineStr">
        <is>
          <t>ရွှေပြည်သာ</t>
        </is>
      </c>
      <c r="C86" s="29" t="inlineStr">
        <is>
          <t>Yangon</t>
        </is>
      </c>
      <c r="D86" s="29" t="inlineStr">
        <is>
          <t>YGN</t>
        </is>
      </c>
      <c r="E86" s="29" t="inlineStr">
        <is>
          <t>STANDARD</t>
        </is>
      </c>
      <c r="F86" s="30" t="n">
        <v>4500</v>
      </c>
      <c r="G86" s="29" t="n">
        <v>3</v>
      </c>
      <c r="H86" s="30" t="n">
        <v>500</v>
      </c>
      <c r="I86" s="29" t="n">
        <v>0</v>
      </c>
      <c r="J86" s="30" t="n">
        <v>0</v>
      </c>
      <c r="K86" s="31" t="inlineStr">
        <is>
          <t>Extended Yangon</t>
        </is>
      </c>
      <c r="L86" s="27" t="inlineStr">
        <is>
          <t>active</t>
        </is>
      </c>
    </row>
    <row r="87">
      <c r="A87" s="27" t="inlineStr">
        <is>
          <t>ရွှေပြည်သာ|ROYAL</t>
        </is>
      </c>
      <c r="B87" s="28" t="inlineStr">
        <is>
          <t>ရွှေပြည်သာ</t>
        </is>
      </c>
      <c r="C87" s="29" t="inlineStr">
        <is>
          <t>Yangon</t>
        </is>
      </c>
      <c r="D87" s="29" t="inlineStr">
        <is>
          <t>YGN</t>
        </is>
      </c>
      <c r="E87" s="29" t="inlineStr">
        <is>
          <t>ROYAL</t>
        </is>
      </c>
      <c r="F87" s="30" t="n">
        <v>4500</v>
      </c>
      <c r="G87" s="29" t="n">
        <v>5</v>
      </c>
      <c r="H87" s="30" t="n">
        <v>500</v>
      </c>
      <c r="I87" s="29" t="n">
        <v>0</v>
      </c>
      <c r="J87" s="30" t="n">
        <v>0</v>
      </c>
      <c r="K87" s="31" t="inlineStr">
        <is>
          <t>Extended Yangon</t>
        </is>
      </c>
      <c r="L87" s="27" t="inlineStr">
        <is>
          <t>active</t>
        </is>
      </c>
    </row>
    <row r="88">
      <c r="A88" s="27" t="inlineStr">
        <is>
          <t>ရွှေပြည်သာ|COMMITMENT</t>
        </is>
      </c>
      <c r="B88" s="28" t="inlineStr">
        <is>
          <t>ရွှေပြည်သာ</t>
        </is>
      </c>
      <c r="C88" s="29" t="inlineStr">
        <is>
          <t>Yangon</t>
        </is>
      </c>
      <c r="D88" s="29" t="inlineStr">
        <is>
          <t>YGN</t>
        </is>
      </c>
      <c r="E88" s="29" t="inlineStr">
        <is>
          <t>COMMITMENT</t>
        </is>
      </c>
      <c r="F88" s="30" t="n">
        <v>4500</v>
      </c>
      <c r="G88" s="29" t="n">
        <v>5</v>
      </c>
      <c r="H88" s="30" t="n">
        <v>500</v>
      </c>
      <c r="I88" s="29" t="n">
        <v>1500</v>
      </c>
      <c r="J88" s="30" t="n">
        <v>500</v>
      </c>
      <c r="K88" s="31" t="inlineStr">
        <is>
          <t>Extended Yangon</t>
        </is>
      </c>
      <c r="L88" s="27" t="inlineStr">
        <is>
          <t>active</t>
        </is>
      </c>
    </row>
    <row r="89">
      <c r="A89" s="27" t="inlineStr">
        <is>
          <t>လှိုင်သာယာ|STANDARD</t>
        </is>
      </c>
      <c r="B89" s="28" t="inlineStr">
        <is>
          <t>လှိုင်သာယာ</t>
        </is>
      </c>
      <c r="C89" s="29" t="inlineStr">
        <is>
          <t>Yangon</t>
        </is>
      </c>
      <c r="D89" s="29" t="inlineStr">
        <is>
          <t>YGN</t>
        </is>
      </c>
      <c r="E89" s="29" t="inlineStr">
        <is>
          <t>STANDARD</t>
        </is>
      </c>
      <c r="F89" s="30" t="n">
        <v>4500</v>
      </c>
      <c r="G89" s="29" t="n">
        <v>3</v>
      </c>
      <c r="H89" s="30" t="n">
        <v>500</v>
      </c>
      <c r="I89" s="29" t="n">
        <v>0</v>
      </c>
      <c r="J89" s="30" t="n">
        <v>0</v>
      </c>
      <c r="K89" s="31" t="inlineStr">
        <is>
          <t>Extended Yangon</t>
        </is>
      </c>
      <c r="L89" s="27" t="inlineStr">
        <is>
          <t>active</t>
        </is>
      </c>
    </row>
    <row r="90">
      <c r="A90" s="27" t="inlineStr">
        <is>
          <t>လှိုင်သာယာ|ROYAL</t>
        </is>
      </c>
      <c r="B90" s="28" t="inlineStr">
        <is>
          <t>လှိုင်သာယာ</t>
        </is>
      </c>
      <c r="C90" s="29" t="inlineStr">
        <is>
          <t>Yangon</t>
        </is>
      </c>
      <c r="D90" s="29" t="inlineStr">
        <is>
          <t>YGN</t>
        </is>
      </c>
      <c r="E90" s="29" t="inlineStr">
        <is>
          <t>ROYAL</t>
        </is>
      </c>
      <c r="F90" s="30" t="n">
        <v>4500</v>
      </c>
      <c r="G90" s="29" t="n">
        <v>5</v>
      </c>
      <c r="H90" s="30" t="n">
        <v>500</v>
      </c>
      <c r="I90" s="29" t="n">
        <v>0</v>
      </c>
      <c r="J90" s="30" t="n">
        <v>0</v>
      </c>
      <c r="K90" s="31" t="inlineStr">
        <is>
          <t>Extended Yangon</t>
        </is>
      </c>
      <c r="L90" s="27" t="inlineStr">
        <is>
          <t>active</t>
        </is>
      </c>
    </row>
    <row r="91">
      <c r="A91" s="27" t="inlineStr">
        <is>
          <t>လှိုင်သာယာ|COMMITMENT</t>
        </is>
      </c>
      <c r="B91" s="28" t="inlineStr">
        <is>
          <t>လှိုင်သာယာ</t>
        </is>
      </c>
      <c r="C91" s="29" t="inlineStr">
        <is>
          <t>Yangon</t>
        </is>
      </c>
      <c r="D91" s="29" t="inlineStr">
        <is>
          <t>YGN</t>
        </is>
      </c>
      <c r="E91" s="29" t="inlineStr">
        <is>
          <t>COMMITMENT</t>
        </is>
      </c>
      <c r="F91" s="30" t="n">
        <v>4500</v>
      </c>
      <c r="G91" s="29" t="n">
        <v>5</v>
      </c>
      <c r="H91" s="30" t="n">
        <v>500</v>
      </c>
      <c r="I91" s="29" t="n">
        <v>1500</v>
      </c>
      <c r="J91" s="30" t="n">
        <v>500</v>
      </c>
      <c r="K91" s="31" t="inlineStr">
        <is>
          <t>Extended Yangon</t>
        </is>
      </c>
      <c r="L91" s="27" t="inlineStr">
        <is>
          <t>active</t>
        </is>
      </c>
    </row>
    <row r="92">
      <c r="A92" s="27" t="inlineStr">
        <is>
          <t>ရွှေပေါက်ကံ|STANDARD</t>
        </is>
      </c>
      <c r="B92" s="28" t="inlineStr">
        <is>
          <t>ရွှေပေါက်ကံ</t>
        </is>
      </c>
      <c r="C92" s="29" t="inlineStr">
        <is>
          <t>Yangon</t>
        </is>
      </c>
      <c r="D92" s="29" t="inlineStr">
        <is>
          <t>YGN</t>
        </is>
      </c>
      <c r="E92" s="29" t="inlineStr">
        <is>
          <t>STANDARD</t>
        </is>
      </c>
      <c r="F92" s="30" t="n">
        <v>4500</v>
      </c>
      <c r="G92" s="29" t="n">
        <v>3</v>
      </c>
      <c r="H92" s="30" t="n">
        <v>500</v>
      </c>
      <c r="I92" s="29" t="n">
        <v>0</v>
      </c>
      <c r="J92" s="30" t="n">
        <v>0</v>
      </c>
      <c r="K92" s="31" t="inlineStr">
        <is>
          <t>Extended Yangon</t>
        </is>
      </c>
      <c r="L92" s="27" t="inlineStr">
        <is>
          <t>active</t>
        </is>
      </c>
    </row>
    <row r="93">
      <c r="A93" s="27" t="inlineStr">
        <is>
          <t>ရွှေပေါက်ကံ|ROYAL</t>
        </is>
      </c>
      <c r="B93" s="28" t="inlineStr">
        <is>
          <t>ရွှေပေါက်ကံ</t>
        </is>
      </c>
      <c r="C93" s="29" t="inlineStr">
        <is>
          <t>Yangon</t>
        </is>
      </c>
      <c r="D93" s="29" t="inlineStr">
        <is>
          <t>YGN</t>
        </is>
      </c>
      <c r="E93" s="29" t="inlineStr">
        <is>
          <t>ROYAL</t>
        </is>
      </c>
      <c r="F93" s="30" t="n">
        <v>4500</v>
      </c>
      <c r="G93" s="29" t="n">
        <v>5</v>
      </c>
      <c r="H93" s="30" t="n">
        <v>500</v>
      </c>
      <c r="I93" s="29" t="n">
        <v>0</v>
      </c>
      <c r="J93" s="30" t="n">
        <v>0</v>
      </c>
      <c r="K93" s="31" t="inlineStr">
        <is>
          <t>Extended Yangon</t>
        </is>
      </c>
      <c r="L93" s="27" t="inlineStr">
        <is>
          <t>active</t>
        </is>
      </c>
    </row>
    <row r="94">
      <c r="A94" s="27" t="inlineStr">
        <is>
          <t>ရွှေပေါက်ကံ|COMMITMENT</t>
        </is>
      </c>
      <c r="B94" s="28" t="inlineStr">
        <is>
          <t>ရွှေပေါက်ကံ</t>
        </is>
      </c>
      <c r="C94" s="29" t="inlineStr">
        <is>
          <t>Yangon</t>
        </is>
      </c>
      <c r="D94" s="29" t="inlineStr">
        <is>
          <t>YGN</t>
        </is>
      </c>
      <c r="E94" s="29" t="inlineStr">
        <is>
          <t>COMMITMENT</t>
        </is>
      </c>
      <c r="F94" s="30" t="n">
        <v>4500</v>
      </c>
      <c r="G94" s="29" t="n">
        <v>5</v>
      </c>
      <c r="H94" s="30" t="n">
        <v>500</v>
      </c>
      <c r="I94" s="29" t="n">
        <v>1500</v>
      </c>
      <c r="J94" s="30" t="n">
        <v>500</v>
      </c>
      <c r="K94" s="31" t="inlineStr">
        <is>
          <t>Extended Yangon</t>
        </is>
      </c>
      <c r="L94" s="27" t="inlineStr">
        <is>
          <t>active</t>
        </is>
      </c>
    </row>
    <row r="95">
      <c r="A95" s="27" t="inlineStr">
        <is>
          <t>အောင်မင်္ဂလာကားဂိတ်|STANDARD</t>
        </is>
      </c>
      <c r="B95" s="28" t="inlineStr">
        <is>
          <t>အောင်မင်္ဂလာကားဂိတ်</t>
        </is>
      </c>
      <c r="C95" s="29" t="inlineStr">
        <is>
          <t>Yangon</t>
        </is>
      </c>
      <c r="D95" s="29" t="inlineStr">
        <is>
          <t>YGN</t>
        </is>
      </c>
      <c r="E95" s="29" t="inlineStr">
        <is>
          <t>STANDARD</t>
        </is>
      </c>
      <c r="F95" s="30" t="n">
        <v>3000</v>
      </c>
      <c r="G95" s="29" t="n">
        <v>3</v>
      </c>
      <c r="H95" s="30" t="n">
        <v>500</v>
      </c>
      <c r="I95" s="29" t="n">
        <v>0</v>
      </c>
      <c r="J95" s="30" t="n">
        <v>0</v>
      </c>
      <c r="K95" s="31" t="inlineStr">
        <is>
          <t>Aung Mingalar highway drop-off</t>
        </is>
      </c>
      <c r="L95" s="27" t="inlineStr">
        <is>
          <t>active</t>
        </is>
      </c>
    </row>
    <row r="96">
      <c r="A96" s="27" t="inlineStr">
        <is>
          <t>အောင်မင်္ဂလာကားဂိတ်|ROYAL</t>
        </is>
      </c>
      <c r="B96" s="28" t="inlineStr">
        <is>
          <t>အောင်မင်္ဂလာကားဂိတ်</t>
        </is>
      </c>
      <c r="C96" s="29" t="inlineStr">
        <is>
          <t>Yangon</t>
        </is>
      </c>
      <c r="D96" s="29" t="inlineStr">
        <is>
          <t>YGN</t>
        </is>
      </c>
      <c r="E96" s="29" t="inlineStr">
        <is>
          <t>ROYAL</t>
        </is>
      </c>
      <c r="F96" s="30" t="n">
        <v>3000</v>
      </c>
      <c r="G96" s="29" t="n">
        <v>5</v>
      </c>
      <c r="H96" s="30" t="n">
        <v>500</v>
      </c>
      <c r="I96" s="29" t="n">
        <v>0</v>
      </c>
      <c r="J96" s="30" t="n">
        <v>0</v>
      </c>
      <c r="K96" s="31" t="inlineStr">
        <is>
          <t>Aung Mingalar highway drop-off</t>
        </is>
      </c>
      <c r="L96" s="27" t="inlineStr">
        <is>
          <t>active</t>
        </is>
      </c>
    </row>
    <row r="97">
      <c r="A97" s="27" t="inlineStr">
        <is>
          <t>အောင်မင်္ဂလာကားဂိတ်|COMMITMENT</t>
        </is>
      </c>
      <c r="B97" s="28" t="inlineStr">
        <is>
          <t>အောင်မင်္ဂလာကားဂိတ်</t>
        </is>
      </c>
      <c r="C97" s="29" t="inlineStr">
        <is>
          <t>Yangon</t>
        </is>
      </c>
      <c r="D97" s="29" t="inlineStr">
        <is>
          <t>YGN</t>
        </is>
      </c>
      <c r="E97" s="29" t="inlineStr">
        <is>
          <t>COMMITMENT</t>
        </is>
      </c>
      <c r="F97" s="30" t="n">
        <v>3000</v>
      </c>
      <c r="G97" s="29" t="n">
        <v>5</v>
      </c>
      <c r="H97" s="30" t="n">
        <v>500</v>
      </c>
      <c r="I97" s="29" t="n">
        <v>1500</v>
      </c>
      <c r="J97" s="30" t="n">
        <v>500</v>
      </c>
      <c r="K97" s="31" t="inlineStr">
        <is>
          <t>Aung Mingalar highway drop-off</t>
        </is>
      </c>
      <c r="L97" s="27" t="inlineStr">
        <is>
          <t>active</t>
        </is>
      </c>
    </row>
    <row r="98">
      <c r="A98" s="27" t="inlineStr">
        <is>
          <t>Aung Mingalar Highway Drop Off|STANDARD</t>
        </is>
      </c>
      <c r="B98" s="28" t="inlineStr">
        <is>
          <t>Aung Mingalar Highway Drop Off</t>
        </is>
      </c>
      <c r="C98" s="29" t="inlineStr">
        <is>
          <t>Yangon</t>
        </is>
      </c>
      <c r="D98" s="29" t="inlineStr">
        <is>
          <t>YGN</t>
        </is>
      </c>
      <c r="E98" s="29" t="inlineStr">
        <is>
          <t>STANDARD</t>
        </is>
      </c>
      <c r="F98" s="30" t="n">
        <v>3000</v>
      </c>
      <c r="G98" s="29" t="n">
        <v>3</v>
      </c>
      <c r="H98" s="30" t="n">
        <v>500</v>
      </c>
      <c r="I98" s="29" t="n">
        <v>0</v>
      </c>
      <c r="J98" s="30" t="n">
        <v>0</v>
      </c>
      <c r="K98" s="31" t="inlineStr">
        <is>
          <t>Aung Mingalar highway drop-off</t>
        </is>
      </c>
      <c r="L98" s="27" t="inlineStr">
        <is>
          <t>active</t>
        </is>
      </c>
    </row>
    <row r="99">
      <c r="A99" s="27" t="inlineStr">
        <is>
          <t>Aung Mingalar Highway Drop Off|ROYAL</t>
        </is>
      </c>
      <c r="B99" s="28" t="inlineStr">
        <is>
          <t>Aung Mingalar Highway Drop Off</t>
        </is>
      </c>
      <c r="C99" s="29" t="inlineStr">
        <is>
          <t>Yangon</t>
        </is>
      </c>
      <c r="D99" s="29" t="inlineStr">
        <is>
          <t>YGN</t>
        </is>
      </c>
      <c r="E99" s="29" t="inlineStr">
        <is>
          <t>ROYAL</t>
        </is>
      </c>
      <c r="F99" s="30" t="n">
        <v>3000</v>
      </c>
      <c r="G99" s="29" t="n">
        <v>5</v>
      </c>
      <c r="H99" s="30" t="n">
        <v>500</v>
      </c>
      <c r="I99" s="29" t="n">
        <v>0</v>
      </c>
      <c r="J99" s="30" t="n">
        <v>0</v>
      </c>
      <c r="K99" s="31" t="inlineStr">
        <is>
          <t>Aung Mingalar highway drop-off</t>
        </is>
      </c>
      <c r="L99" s="27" t="inlineStr">
        <is>
          <t>active</t>
        </is>
      </c>
    </row>
    <row r="100">
      <c r="A100" s="27" t="inlineStr">
        <is>
          <t>Aung Mingalar Highway Drop Off|COMMITMENT</t>
        </is>
      </c>
      <c r="B100" s="28" t="inlineStr">
        <is>
          <t>Aung Mingalar Highway Drop Off</t>
        </is>
      </c>
      <c r="C100" s="29" t="inlineStr">
        <is>
          <t>Yangon</t>
        </is>
      </c>
      <c r="D100" s="29" t="inlineStr">
        <is>
          <t>YGN</t>
        </is>
      </c>
      <c r="E100" s="29" t="inlineStr">
        <is>
          <t>COMMITMENT</t>
        </is>
      </c>
      <c r="F100" s="30" t="n">
        <v>3000</v>
      </c>
      <c r="G100" s="29" t="n">
        <v>5</v>
      </c>
      <c r="H100" s="30" t="n">
        <v>500</v>
      </c>
      <c r="I100" s="29" t="n">
        <v>1500</v>
      </c>
      <c r="J100" s="30" t="n">
        <v>500</v>
      </c>
      <c r="K100" s="31" t="inlineStr">
        <is>
          <t>Aung Mingalar highway drop-off</t>
        </is>
      </c>
      <c r="L100" s="27" t="inlineStr">
        <is>
          <t>active</t>
        </is>
      </c>
    </row>
    <row r="101">
      <c r="A101" s="27" t="inlineStr">
        <is>
          <t>ပရမီ ကားဝင်း (ဗန္ဓုလ)|STANDARD</t>
        </is>
      </c>
      <c r="B101" s="28" t="inlineStr">
        <is>
          <t>ပရမီ ကားဝင်း (ဗန္ဓုလ)</t>
        </is>
      </c>
      <c r="C101" s="29" t="inlineStr">
        <is>
          <t>Yangon</t>
        </is>
      </c>
      <c r="D101" s="29" t="inlineStr">
        <is>
          <t>YGN</t>
        </is>
      </c>
      <c r="E101" s="29" t="inlineStr">
        <is>
          <t>STANDARD</t>
        </is>
      </c>
      <c r="F101" s="30" t="n">
        <v>3000</v>
      </c>
      <c r="G101" s="29" t="n">
        <v>3</v>
      </c>
      <c r="H101" s="30" t="n">
        <v>500</v>
      </c>
      <c r="I101" s="29" t="n">
        <v>0</v>
      </c>
      <c r="J101" s="30" t="n">
        <v>0</v>
      </c>
      <c r="K101" s="31" t="inlineStr">
        <is>
          <t>Highway drop-off</t>
        </is>
      </c>
      <c r="L101" s="27" t="inlineStr">
        <is>
          <t>active</t>
        </is>
      </c>
    </row>
    <row r="102">
      <c r="A102" s="27" t="inlineStr">
        <is>
          <t>ပရမီ ကားဝင်း (ဗန္ဓုလ)|ROYAL</t>
        </is>
      </c>
      <c r="B102" s="28" t="inlineStr">
        <is>
          <t>ပရမီ ကားဝင်း (ဗန္ဓုလ)</t>
        </is>
      </c>
      <c r="C102" s="29" t="inlineStr">
        <is>
          <t>Yangon</t>
        </is>
      </c>
      <c r="D102" s="29" t="inlineStr">
        <is>
          <t>YGN</t>
        </is>
      </c>
      <c r="E102" s="29" t="inlineStr">
        <is>
          <t>ROYAL</t>
        </is>
      </c>
      <c r="F102" s="30" t="n">
        <v>3000</v>
      </c>
      <c r="G102" s="29" t="n">
        <v>5</v>
      </c>
      <c r="H102" s="30" t="n">
        <v>500</v>
      </c>
      <c r="I102" s="29" t="n">
        <v>0</v>
      </c>
      <c r="J102" s="30" t="n">
        <v>0</v>
      </c>
      <c r="K102" s="31" t="inlineStr">
        <is>
          <t>Highway drop-off</t>
        </is>
      </c>
      <c r="L102" s="27" t="inlineStr">
        <is>
          <t>active</t>
        </is>
      </c>
    </row>
    <row r="103">
      <c r="A103" s="27" t="inlineStr">
        <is>
          <t>ပရမီ ကားဝင်း (ဗန္ဓုလ)|COMMITMENT</t>
        </is>
      </c>
      <c r="B103" s="28" t="inlineStr">
        <is>
          <t>ပရမီ ကားဝင်း (ဗန္ဓုလ)</t>
        </is>
      </c>
      <c r="C103" s="29" t="inlineStr">
        <is>
          <t>Yangon</t>
        </is>
      </c>
      <c r="D103" s="29" t="inlineStr">
        <is>
          <t>YGN</t>
        </is>
      </c>
      <c r="E103" s="29" t="inlineStr">
        <is>
          <t>COMMITMENT</t>
        </is>
      </c>
      <c r="F103" s="30" t="n">
        <v>3000</v>
      </c>
      <c r="G103" s="29" t="n">
        <v>5</v>
      </c>
      <c r="H103" s="30" t="n">
        <v>500</v>
      </c>
      <c r="I103" s="29" t="n">
        <v>1500</v>
      </c>
      <c r="J103" s="30" t="n">
        <v>500</v>
      </c>
      <c r="K103" s="31" t="inlineStr">
        <is>
          <t>Highway drop-off</t>
        </is>
      </c>
      <c r="L103" s="27" t="inlineStr">
        <is>
          <t>active</t>
        </is>
      </c>
    </row>
    <row r="104">
      <c r="A104" s="27" t="inlineStr">
        <is>
          <t>အောင်ဆန်းကွင်း|STANDARD</t>
        </is>
      </c>
      <c r="B104" s="28" t="inlineStr">
        <is>
          <t>အောင်ဆန်းကွင်း</t>
        </is>
      </c>
      <c r="C104" s="29" t="inlineStr">
        <is>
          <t>Yangon</t>
        </is>
      </c>
      <c r="D104" s="29" t="inlineStr">
        <is>
          <t>YGN</t>
        </is>
      </c>
      <c r="E104" s="29" t="inlineStr">
        <is>
          <t>STANDARD</t>
        </is>
      </c>
      <c r="F104" s="30" t="n">
        <v>3000</v>
      </c>
      <c r="G104" s="29" t="n">
        <v>3</v>
      </c>
      <c r="H104" s="30" t="n">
        <v>500</v>
      </c>
      <c r="I104" s="29" t="n">
        <v>0</v>
      </c>
      <c r="J104" s="30" t="n">
        <v>0</v>
      </c>
      <c r="K104" s="31" t="inlineStr">
        <is>
          <t>Drop-off</t>
        </is>
      </c>
      <c r="L104" s="27" t="inlineStr">
        <is>
          <t>active</t>
        </is>
      </c>
    </row>
    <row r="105">
      <c r="A105" s="27" t="inlineStr">
        <is>
          <t>အောင်ဆန်းကွင်း|ROYAL</t>
        </is>
      </c>
      <c r="B105" s="28" t="inlineStr">
        <is>
          <t>အောင်ဆန်းကွင်း</t>
        </is>
      </c>
      <c r="C105" s="29" t="inlineStr">
        <is>
          <t>Yangon</t>
        </is>
      </c>
      <c r="D105" s="29" t="inlineStr">
        <is>
          <t>YGN</t>
        </is>
      </c>
      <c r="E105" s="29" t="inlineStr">
        <is>
          <t>ROYAL</t>
        </is>
      </c>
      <c r="F105" s="30" t="n">
        <v>3000</v>
      </c>
      <c r="G105" s="29" t="n">
        <v>5</v>
      </c>
      <c r="H105" s="30" t="n">
        <v>500</v>
      </c>
      <c r="I105" s="29" t="n">
        <v>0</v>
      </c>
      <c r="J105" s="30" t="n">
        <v>0</v>
      </c>
      <c r="K105" s="31" t="inlineStr">
        <is>
          <t>Drop-off</t>
        </is>
      </c>
      <c r="L105" s="27" t="inlineStr">
        <is>
          <t>active</t>
        </is>
      </c>
    </row>
    <row r="106">
      <c r="A106" s="27" t="inlineStr">
        <is>
          <t>အောင်ဆန်းကွင်း|COMMITMENT</t>
        </is>
      </c>
      <c r="B106" s="28" t="inlineStr">
        <is>
          <t>အောင်ဆန်းကွင်း</t>
        </is>
      </c>
      <c r="C106" s="29" t="inlineStr">
        <is>
          <t>Yangon</t>
        </is>
      </c>
      <c r="D106" s="29" t="inlineStr">
        <is>
          <t>YGN</t>
        </is>
      </c>
      <c r="E106" s="29" t="inlineStr">
        <is>
          <t>COMMITMENT</t>
        </is>
      </c>
      <c r="F106" s="30" t="n">
        <v>3000</v>
      </c>
      <c r="G106" s="29" t="n">
        <v>5</v>
      </c>
      <c r="H106" s="30" t="n">
        <v>500</v>
      </c>
      <c r="I106" s="29" t="n">
        <v>1500</v>
      </c>
      <c r="J106" s="30" t="n">
        <v>500</v>
      </c>
      <c r="K106" s="31" t="inlineStr">
        <is>
          <t>Drop-off</t>
        </is>
      </c>
      <c r="L106" s="27" t="inlineStr">
        <is>
          <t>active</t>
        </is>
      </c>
    </row>
    <row r="107">
      <c r="A107" s="27" t="inlineStr">
        <is>
          <t>ဂိတ်ချ|STANDARD</t>
        </is>
      </c>
      <c r="B107" s="28" t="inlineStr">
        <is>
          <t>ဂိတ်ချ</t>
        </is>
      </c>
      <c r="C107" s="29" t="inlineStr">
        <is>
          <t>Yangon</t>
        </is>
      </c>
      <c r="D107" s="29" t="inlineStr">
        <is>
          <t>YGN</t>
        </is>
      </c>
      <c r="E107" s="29" t="inlineStr">
        <is>
          <t>STANDARD</t>
        </is>
      </c>
      <c r="F107" s="30" t="n">
        <v>3000</v>
      </c>
      <c r="G107" s="29" t="n">
        <v>3</v>
      </c>
      <c r="H107" s="30" t="n">
        <v>500</v>
      </c>
      <c r="I107" s="29" t="n">
        <v>0</v>
      </c>
      <c r="J107" s="30" t="n">
        <v>0</v>
      </c>
      <c r="K107" s="31" t="inlineStr">
        <is>
          <t>Drop-off</t>
        </is>
      </c>
      <c r="L107" s="27" t="inlineStr">
        <is>
          <t>active</t>
        </is>
      </c>
    </row>
    <row r="108">
      <c r="A108" s="27" t="inlineStr">
        <is>
          <t>ဂိတ်ချ|ROYAL</t>
        </is>
      </c>
      <c r="B108" s="28" t="inlineStr">
        <is>
          <t>ဂိတ်ချ</t>
        </is>
      </c>
      <c r="C108" s="29" t="inlineStr">
        <is>
          <t>Yangon</t>
        </is>
      </c>
      <c r="D108" s="29" t="inlineStr">
        <is>
          <t>YGN</t>
        </is>
      </c>
      <c r="E108" s="29" t="inlineStr">
        <is>
          <t>ROYAL</t>
        </is>
      </c>
      <c r="F108" s="30" t="n">
        <v>3000</v>
      </c>
      <c r="G108" s="29" t="n">
        <v>5</v>
      </c>
      <c r="H108" s="30" t="n">
        <v>500</v>
      </c>
      <c r="I108" s="29" t="n">
        <v>0</v>
      </c>
      <c r="J108" s="30" t="n">
        <v>0</v>
      </c>
      <c r="K108" s="31" t="inlineStr">
        <is>
          <t>Drop-off</t>
        </is>
      </c>
      <c r="L108" s="27" t="inlineStr">
        <is>
          <t>active</t>
        </is>
      </c>
    </row>
    <row r="109">
      <c r="A109" s="27" t="inlineStr">
        <is>
          <t>ဂိတ်ချ|COMMITMENT</t>
        </is>
      </c>
      <c r="B109" s="28" t="inlineStr">
        <is>
          <t>ဂိတ်ချ</t>
        </is>
      </c>
      <c r="C109" s="29" t="inlineStr">
        <is>
          <t>Yangon</t>
        </is>
      </c>
      <c r="D109" s="29" t="inlineStr">
        <is>
          <t>YGN</t>
        </is>
      </c>
      <c r="E109" s="29" t="inlineStr">
        <is>
          <t>COMMITMENT</t>
        </is>
      </c>
      <c r="F109" s="30" t="n">
        <v>3000</v>
      </c>
      <c r="G109" s="29" t="n">
        <v>5</v>
      </c>
      <c r="H109" s="30" t="n">
        <v>500</v>
      </c>
      <c r="I109" s="29" t="n">
        <v>1500</v>
      </c>
      <c r="J109" s="30" t="n">
        <v>500</v>
      </c>
      <c r="K109" s="31" t="inlineStr">
        <is>
          <t>Drop-off</t>
        </is>
      </c>
      <c r="L109" s="27" t="inlineStr">
        <is>
          <t>active</t>
        </is>
      </c>
    </row>
    <row r="110">
      <c r="A110" s="27" t="inlineStr">
        <is>
          <t>အဝေးပြေး ဂိတ်ချ|STANDARD</t>
        </is>
      </c>
      <c r="B110" s="28" t="inlineStr">
        <is>
          <t>အဝေးပြေး ဂိတ်ချ</t>
        </is>
      </c>
      <c r="C110" s="29" t="inlineStr">
        <is>
          <t>Yangon</t>
        </is>
      </c>
      <c r="D110" s="29" t="inlineStr">
        <is>
          <t>YGN</t>
        </is>
      </c>
      <c r="E110" s="29" t="inlineStr">
        <is>
          <t>STANDARD</t>
        </is>
      </c>
      <c r="F110" s="30" t="n">
        <v>3000</v>
      </c>
      <c r="G110" s="29" t="n">
        <v>3</v>
      </c>
      <c r="H110" s="30" t="n">
        <v>500</v>
      </c>
      <c r="I110" s="29" t="n">
        <v>0</v>
      </c>
      <c r="J110" s="30" t="n">
        <v>0</v>
      </c>
      <c r="K110" s="31" t="inlineStr">
        <is>
          <t>Highway drop-off</t>
        </is>
      </c>
      <c r="L110" s="27" t="inlineStr">
        <is>
          <t>active</t>
        </is>
      </c>
    </row>
    <row r="111">
      <c r="A111" s="27" t="inlineStr">
        <is>
          <t>အဝေးပြေး ဂိတ်ချ|ROYAL</t>
        </is>
      </c>
      <c r="B111" s="28" t="inlineStr">
        <is>
          <t>အဝေးပြေး ဂိတ်ချ</t>
        </is>
      </c>
      <c r="C111" s="29" t="inlineStr">
        <is>
          <t>Yangon</t>
        </is>
      </c>
      <c r="D111" s="29" t="inlineStr">
        <is>
          <t>YGN</t>
        </is>
      </c>
      <c r="E111" s="29" t="inlineStr">
        <is>
          <t>ROYAL</t>
        </is>
      </c>
      <c r="F111" s="30" t="n">
        <v>3000</v>
      </c>
      <c r="G111" s="29" t="n">
        <v>5</v>
      </c>
      <c r="H111" s="30" t="n">
        <v>500</v>
      </c>
      <c r="I111" s="29" t="n">
        <v>0</v>
      </c>
      <c r="J111" s="30" t="n">
        <v>0</v>
      </c>
      <c r="K111" s="31" t="inlineStr">
        <is>
          <t>Highway drop-off</t>
        </is>
      </c>
      <c r="L111" s="27" t="inlineStr">
        <is>
          <t>active</t>
        </is>
      </c>
    </row>
    <row r="112">
      <c r="A112" s="27" t="inlineStr">
        <is>
          <t>အဝေးပြေး ဂိတ်ချ|COMMITMENT</t>
        </is>
      </c>
      <c r="B112" s="28" t="inlineStr">
        <is>
          <t>အဝေးပြေး ဂိတ်ချ</t>
        </is>
      </c>
      <c r="C112" s="29" t="inlineStr">
        <is>
          <t>Yangon</t>
        </is>
      </c>
      <c r="D112" s="29" t="inlineStr">
        <is>
          <t>YGN</t>
        </is>
      </c>
      <c r="E112" s="29" t="inlineStr">
        <is>
          <t>COMMITMENT</t>
        </is>
      </c>
      <c r="F112" s="30" t="n">
        <v>3000</v>
      </c>
      <c r="G112" s="29" t="n">
        <v>5</v>
      </c>
      <c r="H112" s="30" t="n">
        <v>500</v>
      </c>
      <c r="I112" s="29" t="n">
        <v>1500</v>
      </c>
      <c r="J112" s="30" t="n">
        <v>500</v>
      </c>
      <c r="K112" s="31" t="inlineStr">
        <is>
          <t>Highway drop-off</t>
        </is>
      </c>
      <c r="L112" s="27" t="inlineStr">
        <is>
          <t>active</t>
        </is>
      </c>
    </row>
    <row r="113">
      <c r="A113" s="27" t="inlineStr">
        <is>
          <t>ရန်ကုန်စာတိုက်ကြီး|STANDARD</t>
        </is>
      </c>
      <c r="B113" s="28" t="inlineStr">
        <is>
          <t>ရန်ကုန်စာတိုက်ကြီး</t>
        </is>
      </c>
      <c r="C113" s="29" t="inlineStr">
        <is>
          <t>Yangon</t>
        </is>
      </c>
      <c r="D113" s="29" t="inlineStr">
        <is>
          <t>YGN</t>
        </is>
      </c>
      <c r="E113" s="29" t="inlineStr">
        <is>
          <t>STANDARD</t>
        </is>
      </c>
      <c r="F113" s="30" t="n">
        <v>3000</v>
      </c>
      <c r="G113" s="29" t="n">
        <v>3</v>
      </c>
      <c r="H113" s="30" t="n">
        <v>500</v>
      </c>
      <c r="I113" s="29" t="n">
        <v>0</v>
      </c>
      <c r="J113" s="30" t="n">
        <v>0</v>
      </c>
      <c r="K113" s="31" t="inlineStr">
        <is>
          <t>Post office drop-off</t>
        </is>
      </c>
      <c r="L113" s="27" t="inlineStr">
        <is>
          <t>active</t>
        </is>
      </c>
    </row>
    <row r="114">
      <c r="A114" s="27" t="inlineStr">
        <is>
          <t>ရန်ကုန်စာတိုက်ကြီး|ROYAL</t>
        </is>
      </c>
      <c r="B114" s="28" t="inlineStr">
        <is>
          <t>ရန်ကုန်စာတိုက်ကြီး</t>
        </is>
      </c>
      <c r="C114" s="29" t="inlineStr">
        <is>
          <t>Yangon</t>
        </is>
      </c>
      <c r="D114" s="29" t="inlineStr">
        <is>
          <t>YGN</t>
        </is>
      </c>
      <c r="E114" s="29" t="inlineStr">
        <is>
          <t>ROYAL</t>
        </is>
      </c>
      <c r="F114" s="30" t="n">
        <v>3000</v>
      </c>
      <c r="G114" s="29" t="n">
        <v>5</v>
      </c>
      <c r="H114" s="30" t="n">
        <v>500</v>
      </c>
      <c r="I114" s="29" t="n">
        <v>0</v>
      </c>
      <c r="J114" s="30" t="n">
        <v>0</v>
      </c>
      <c r="K114" s="31" t="inlineStr">
        <is>
          <t>Post office drop-off</t>
        </is>
      </c>
      <c r="L114" s="27" t="inlineStr">
        <is>
          <t>active</t>
        </is>
      </c>
    </row>
    <row r="115">
      <c r="A115" s="27" t="inlineStr">
        <is>
          <t>ရန်ကုန်စာတိုက်ကြီး|COMMITMENT</t>
        </is>
      </c>
      <c r="B115" s="28" t="inlineStr">
        <is>
          <t>ရန်ကုန်စာတိုက်ကြီး</t>
        </is>
      </c>
      <c r="C115" s="29" t="inlineStr">
        <is>
          <t>Yangon</t>
        </is>
      </c>
      <c r="D115" s="29" t="inlineStr">
        <is>
          <t>YGN</t>
        </is>
      </c>
      <c r="E115" s="29" t="inlineStr">
        <is>
          <t>COMMITMENT</t>
        </is>
      </c>
      <c r="F115" s="30" t="n">
        <v>3000</v>
      </c>
      <c r="G115" s="29" t="n">
        <v>5</v>
      </c>
      <c r="H115" s="30" t="n">
        <v>500</v>
      </c>
      <c r="I115" s="29" t="n">
        <v>1500</v>
      </c>
      <c r="J115" s="30" t="n">
        <v>500</v>
      </c>
      <c r="K115" s="31" t="inlineStr">
        <is>
          <t>Post office drop-off</t>
        </is>
      </c>
      <c r="L115" s="27" t="inlineStr">
        <is>
          <t>active</t>
        </is>
      </c>
    </row>
    <row r="116">
      <c r="A116" s="27" t="inlineStr">
        <is>
          <t>ဘုရင့်နောင် ကားဝင်း|STANDARD</t>
        </is>
      </c>
      <c r="B116" s="28" t="inlineStr">
        <is>
          <t>ဘုရင့်နောင် ကားဝင်း</t>
        </is>
      </c>
      <c r="C116" s="29" t="inlineStr">
        <is>
          <t>Yangon</t>
        </is>
      </c>
      <c r="D116" s="29" t="inlineStr">
        <is>
          <t>YGN</t>
        </is>
      </c>
      <c r="E116" s="29" t="inlineStr">
        <is>
          <t>STANDARD</t>
        </is>
      </c>
      <c r="F116" s="30" t="n">
        <v>4000</v>
      </c>
      <c r="G116" s="29" t="n">
        <v>3</v>
      </c>
      <c r="H116" s="30" t="n">
        <v>500</v>
      </c>
      <c r="I116" s="29" t="n">
        <v>0</v>
      </c>
      <c r="J116" s="30" t="n">
        <v>0</v>
      </c>
      <c r="K116" s="31" t="inlineStr">
        <is>
          <t>Bus-station drop-off</t>
        </is>
      </c>
      <c r="L116" s="27" t="inlineStr">
        <is>
          <t>active</t>
        </is>
      </c>
    </row>
    <row r="117">
      <c r="A117" s="27" t="inlineStr">
        <is>
          <t>ဘုရင့်နောင် ကားဝင်း|ROYAL</t>
        </is>
      </c>
      <c r="B117" s="28" t="inlineStr">
        <is>
          <t>ဘုရင့်နောင် ကားဝင်း</t>
        </is>
      </c>
      <c r="C117" s="29" t="inlineStr">
        <is>
          <t>Yangon</t>
        </is>
      </c>
      <c r="D117" s="29" t="inlineStr">
        <is>
          <t>YGN</t>
        </is>
      </c>
      <c r="E117" s="29" t="inlineStr">
        <is>
          <t>ROYAL</t>
        </is>
      </c>
      <c r="F117" s="30" t="n">
        <v>4000</v>
      </c>
      <c r="G117" s="29" t="n">
        <v>5</v>
      </c>
      <c r="H117" s="30" t="n">
        <v>500</v>
      </c>
      <c r="I117" s="29" t="n">
        <v>0</v>
      </c>
      <c r="J117" s="30" t="n">
        <v>0</v>
      </c>
      <c r="K117" s="31" t="inlineStr">
        <is>
          <t>Bus-station drop-off</t>
        </is>
      </c>
      <c r="L117" s="27" t="inlineStr">
        <is>
          <t>active</t>
        </is>
      </c>
    </row>
    <row r="118">
      <c r="A118" s="27" t="inlineStr">
        <is>
          <t>ဘုရင့်နောင် ကားဝင်း|COMMITMENT</t>
        </is>
      </c>
      <c r="B118" s="28" t="inlineStr">
        <is>
          <t>ဘုရင့်နောင် ကားဝင်း</t>
        </is>
      </c>
      <c r="C118" s="29" t="inlineStr">
        <is>
          <t>Yangon</t>
        </is>
      </c>
      <c r="D118" s="29" t="inlineStr">
        <is>
          <t>YGN</t>
        </is>
      </c>
      <c r="E118" s="29" t="inlineStr">
        <is>
          <t>COMMITMENT</t>
        </is>
      </c>
      <c r="F118" s="30" t="n">
        <v>4000</v>
      </c>
      <c r="G118" s="29" t="n">
        <v>5</v>
      </c>
      <c r="H118" s="30" t="n">
        <v>500</v>
      </c>
      <c r="I118" s="29" t="n">
        <v>1500</v>
      </c>
      <c r="J118" s="30" t="n">
        <v>500</v>
      </c>
      <c r="K118" s="31" t="inlineStr">
        <is>
          <t>Bus-station drop-off</t>
        </is>
      </c>
      <c r="L118" s="27" t="inlineStr">
        <is>
          <t>active</t>
        </is>
      </c>
    </row>
    <row r="119">
      <c r="A119" s="27" t="inlineStr">
        <is>
          <t>လှိုင်သာယာအဝေးပြေး (ဒဂုံဧရာ)|STANDARD</t>
        </is>
      </c>
      <c r="B119" s="28" t="inlineStr">
        <is>
          <t>လှိုင်သာယာအဝေးပြေး (ဒဂုံဧရာ)</t>
        </is>
      </c>
      <c r="C119" s="29" t="inlineStr">
        <is>
          <t>Yangon</t>
        </is>
      </c>
      <c r="D119" s="29" t="inlineStr">
        <is>
          <t>YGN</t>
        </is>
      </c>
      <c r="E119" s="29" t="inlineStr">
        <is>
          <t>STANDARD</t>
        </is>
      </c>
      <c r="F119" s="30" t="n">
        <v>4000</v>
      </c>
      <c r="G119" s="29" t="n">
        <v>3</v>
      </c>
      <c r="H119" s="30" t="n">
        <v>500</v>
      </c>
      <c r="I119" s="29" t="n">
        <v>0</v>
      </c>
      <c r="J119" s="30" t="n">
        <v>0</v>
      </c>
      <c r="K119" s="31" t="inlineStr">
        <is>
          <t>Dagon Ayar / Dagon Thiri highway drop-off</t>
        </is>
      </c>
      <c r="L119" s="27" t="inlineStr">
        <is>
          <t>active</t>
        </is>
      </c>
    </row>
    <row r="120">
      <c r="A120" s="27" t="inlineStr">
        <is>
          <t>လှိုင်သာယာအဝေးပြေး (ဒဂုံဧရာ)|ROYAL</t>
        </is>
      </c>
      <c r="B120" s="28" t="inlineStr">
        <is>
          <t>လှိုင်သာယာအဝေးပြေး (ဒဂုံဧရာ)</t>
        </is>
      </c>
      <c r="C120" s="29" t="inlineStr">
        <is>
          <t>Yangon</t>
        </is>
      </c>
      <c r="D120" s="29" t="inlineStr">
        <is>
          <t>YGN</t>
        </is>
      </c>
      <c r="E120" s="29" t="inlineStr">
        <is>
          <t>ROYAL</t>
        </is>
      </c>
      <c r="F120" s="30" t="n">
        <v>4000</v>
      </c>
      <c r="G120" s="29" t="n">
        <v>5</v>
      </c>
      <c r="H120" s="30" t="n">
        <v>500</v>
      </c>
      <c r="I120" s="29" t="n">
        <v>0</v>
      </c>
      <c r="J120" s="30" t="n">
        <v>0</v>
      </c>
      <c r="K120" s="31" t="inlineStr">
        <is>
          <t>Dagon Ayar / Dagon Thiri highway drop-off</t>
        </is>
      </c>
      <c r="L120" s="27" t="inlineStr">
        <is>
          <t>active</t>
        </is>
      </c>
    </row>
    <row r="121">
      <c r="A121" s="27" t="inlineStr">
        <is>
          <t>လှိုင်သာယာအဝေးပြေး (ဒဂုံဧရာ)|COMMITMENT</t>
        </is>
      </c>
      <c r="B121" s="28" t="inlineStr">
        <is>
          <t>လှိုင်သာယာအဝေးပြေး (ဒဂုံဧရာ)</t>
        </is>
      </c>
      <c r="C121" s="29" t="inlineStr">
        <is>
          <t>Yangon</t>
        </is>
      </c>
      <c r="D121" s="29" t="inlineStr">
        <is>
          <t>YGN</t>
        </is>
      </c>
      <c r="E121" s="29" t="inlineStr">
        <is>
          <t>COMMITMENT</t>
        </is>
      </c>
      <c r="F121" s="30" t="n">
        <v>4000</v>
      </c>
      <c r="G121" s="29" t="n">
        <v>5</v>
      </c>
      <c r="H121" s="30" t="n">
        <v>500</v>
      </c>
      <c r="I121" s="29" t="n">
        <v>1500</v>
      </c>
      <c r="J121" s="30" t="n">
        <v>500</v>
      </c>
      <c r="K121" s="31" t="inlineStr">
        <is>
          <t>Dagon Ayar / Dagon Thiri highway drop-off</t>
        </is>
      </c>
      <c r="L121" s="27" t="inlineStr">
        <is>
          <t>active</t>
        </is>
      </c>
    </row>
    <row r="122">
      <c r="A122" s="27" t="inlineStr">
        <is>
          <t>Dagon Thiri Highway Drop Off|STANDARD</t>
        </is>
      </c>
      <c r="B122" s="28" t="inlineStr">
        <is>
          <t>Dagon Thiri Highway Drop Off</t>
        </is>
      </c>
      <c r="C122" s="29" t="inlineStr">
        <is>
          <t>Yangon</t>
        </is>
      </c>
      <c r="D122" s="29" t="inlineStr">
        <is>
          <t>YGN</t>
        </is>
      </c>
      <c r="E122" s="29" t="inlineStr">
        <is>
          <t>STANDARD</t>
        </is>
      </c>
      <c r="F122" s="30" t="n">
        <v>4000</v>
      </c>
      <c r="G122" s="29" t="n">
        <v>3</v>
      </c>
      <c r="H122" s="30" t="n">
        <v>500</v>
      </c>
      <c r="I122" s="29" t="n">
        <v>0</v>
      </c>
      <c r="J122" s="30" t="n">
        <v>0</v>
      </c>
      <c r="K122" s="31" t="inlineStr">
        <is>
          <t>Dagon Thiri highway drop-off</t>
        </is>
      </c>
      <c r="L122" s="27" t="inlineStr">
        <is>
          <t>active</t>
        </is>
      </c>
    </row>
    <row r="123">
      <c r="A123" s="27" t="inlineStr">
        <is>
          <t>Dagon Thiri Highway Drop Off|ROYAL</t>
        </is>
      </c>
      <c r="B123" s="28" t="inlineStr">
        <is>
          <t>Dagon Thiri Highway Drop Off</t>
        </is>
      </c>
      <c r="C123" s="29" t="inlineStr">
        <is>
          <t>Yangon</t>
        </is>
      </c>
      <c r="D123" s="29" t="inlineStr">
        <is>
          <t>YGN</t>
        </is>
      </c>
      <c r="E123" s="29" t="inlineStr">
        <is>
          <t>ROYAL</t>
        </is>
      </c>
      <c r="F123" s="30" t="n">
        <v>4000</v>
      </c>
      <c r="G123" s="29" t="n">
        <v>5</v>
      </c>
      <c r="H123" s="30" t="n">
        <v>500</v>
      </c>
      <c r="I123" s="29" t="n">
        <v>0</v>
      </c>
      <c r="J123" s="30" t="n">
        <v>0</v>
      </c>
      <c r="K123" s="31" t="inlineStr">
        <is>
          <t>Dagon Thiri highway drop-off</t>
        </is>
      </c>
      <c r="L123" s="27" t="inlineStr">
        <is>
          <t>active</t>
        </is>
      </c>
    </row>
    <row r="124">
      <c r="A124" s="27" t="inlineStr">
        <is>
          <t>Dagon Thiri Highway Drop Off|COMMITMENT</t>
        </is>
      </c>
      <c r="B124" s="28" t="inlineStr">
        <is>
          <t>Dagon Thiri Highway Drop Off</t>
        </is>
      </c>
      <c r="C124" s="29" t="inlineStr">
        <is>
          <t>Yangon</t>
        </is>
      </c>
      <c r="D124" s="29" t="inlineStr">
        <is>
          <t>YGN</t>
        </is>
      </c>
      <c r="E124" s="29" t="inlineStr">
        <is>
          <t>COMMITMENT</t>
        </is>
      </c>
      <c r="F124" s="30" t="n">
        <v>4000</v>
      </c>
      <c r="G124" s="29" t="n">
        <v>5</v>
      </c>
      <c r="H124" s="30" t="n">
        <v>500</v>
      </c>
      <c r="I124" s="29" t="n">
        <v>1500</v>
      </c>
      <c r="J124" s="30" t="n">
        <v>500</v>
      </c>
      <c r="K124" s="31" t="inlineStr">
        <is>
          <t>Dagon Thiri highway drop-off</t>
        </is>
      </c>
      <c r="L124" s="27" t="inlineStr">
        <is>
          <t>active</t>
        </is>
      </c>
    </row>
    <row r="125">
      <c r="A125" s="27" t="inlineStr">
        <is>
          <t>အောင်မြေသာစံမြို့နယ်|STANDARD</t>
        </is>
      </c>
      <c r="B125" s="28" t="inlineStr">
        <is>
          <t>အောင်မြေသာစံမြို့နယ်</t>
        </is>
      </c>
      <c r="C125" s="29" t="inlineStr">
        <is>
          <t>Mandalay</t>
        </is>
      </c>
      <c r="D125" s="29" t="inlineStr">
        <is>
          <t>MDY</t>
        </is>
      </c>
      <c r="E125" s="29" t="inlineStr">
        <is>
          <t>STANDARD</t>
        </is>
      </c>
      <c r="F125" s="30" t="n">
        <v>6000</v>
      </c>
      <c r="G125" s="29" t="n">
        <v>3</v>
      </c>
      <c r="H125" s="30" t="n">
        <v>500</v>
      </c>
      <c r="I125" s="29" t="n">
        <v>0</v>
      </c>
      <c r="J125" s="30" t="n">
        <v>0</v>
      </c>
      <c r="K125" s="31" t="inlineStr"/>
      <c r="L125" s="27" t="inlineStr">
        <is>
          <t>active</t>
        </is>
      </c>
    </row>
    <row r="126">
      <c r="A126" s="27" t="inlineStr">
        <is>
          <t>အောင်မြေသာစံမြို့နယ်|ROYAL</t>
        </is>
      </c>
      <c r="B126" s="28" t="inlineStr">
        <is>
          <t>အောင်မြေသာစံမြို့နယ်</t>
        </is>
      </c>
      <c r="C126" s="29" t="inlineStr">
        <is>
          <t>Mandalay</t>
        </is>
      </c>
      <c r="D126" s="29" t="inlineStr">
        <is>
          <t>MDY</t>
        </is>
      </c>
      <c r="E126" s="29" t="inlineStr">
        <is>
          <t>ROYAL</t>
        </is>
      </c>
      <c r="F126" s="30" t="n">
        <v>6000</v>
      </c>
      <c r="G126" s="29" t="n">
        <v>5</v>
      </c>
      <c r="H126" s="30" t="n">
        <v>500</v>
      </c>
      <c r="I126" s="29" t="n">
        <v>0</v>
      </c>
      <c r="J126" s="30" t="n">
        <v>0</v>
      </c>
      <c r="K126" s="31" t="inlineStr"/>
      <c r="L126" s="27" t="inlineStr">
        <is>
          <t>active</t>
        </is>
      </c>
    </row>
    <row r="127">
      <c r="A127" s="27" t="inlineStr">
        <is>
          <t>အောင်မြေသာစံမြို့နယ်|COMMITMENT</t>
        </is>
      </c>
      <c r="B127" s="28" t="inlineStr">
        <is>
          <t>အောင်မြေသာစံမြို့နယ်</t>
        </is>
      </c>
      <c r="C127" s="29" t="inlineStr">
        <is>
          <t>Mandalay</t>
        </is>
      </c>
      <c r="D127" s="29" t="inlineStr">
        <is>
          <t>MDY</t>
        </is>
      </c>
      <c r="E127" s="29" t="inlineStr">
        <is>
          <t>COMMITMENT</t>
        </is>
      </c>
      <c r="F127" s="30" t="n">
        <v>6000</v>
      </c>
      <c r="G127" s="29" t="n">
        <v>5</v>
      </c>
      <c r="H127" s="30" t="n">
        <v>500</v>
      </c>
      <c r="I127" s="29" t="n">
        <v>1500</v>
      </c>
      <c r="J127" s="30" t="n">
        <v>500</v>
      </c>
      <c r="K127" s="31" t="inlineStr"/>
      <c r="L127" s="27" t="inlineStr">
        <is>
          <t>active</t>
        </is>
      </c>
    </row>
    <row r="128">
      <c r="A128" s="27" t="inlineStr">
        <is>
          <t>ချမ်းအေးသာစံမြို့နယ်|STANDARD</t>
        </is>
      </c>
      <c r="B128" s="28" t="inlineStr">
        <is>
          <t>ချမ်းအေးသာစံမြို့နယ်</t>
        </is>
      </c>
      <c r="C128" s="29" t="inlineStr">
        <is>
          <t>Mandalay</t>
        </is>
      </c>
      <c r="D128" s="29" t="inlineStr">
        <is>
          <t>MDY</t>
        </is>
      </c>
      <c r="E128" s="29" t="inlineStr">
        <is>
          <t>STANDARD</t>
        </is>
      </c>
      <c r="F128" s="30" t="n">
        <v>6000</v>
      </c>
      <c r="G128" s="29" t="n">
        <v>3</v>
      </c>
      <c r="H128" s="30" t="n">
        <v>500</v>
      </c>
      <c r="I128" s="29" t="n">
        <v>0</v>
      </c>
      <c r="J128" s="30" t="n">
        <v>0</v>
      </c>
      <c r="K128" s="31" t="inlineStr"/>
      <c r="L128" s="27" t="inlineStr">
        <is>
          <t>active</t>
        </is>
      </c>
    </row>
    <row r="129">
      <c r="A129" s="27" t="inlineStr">
        <is>
          <t>ချမ်းအေးသာစံမြို့နယ်|ROYAL</t>
        </is>
      </c>
      <c r="B129" s="28" t="inlineStr">
        <is>
          <t>ချမ်းအေးသာစံမြို့နယ်</t>
        </is>
      </c>
      <c r="C129" s="29" t="inlineStr">
        <is>
          <t>Mandalay</t>
        </is>
      </c>
      <c r="D129" s="29" t="inlineStr">
        <is>
          <t>MDY</t>
        </is>
      </c>
      <c r="E129" s="29" t="inlineStr">
        <is>
          <t>ROYAL</t>
        </is>
      </c>
      <c r="F129" s="30" t="n">
        <v>6000</v>
      </c>
      <c r="G129" s="29" t="n">
        <v>5</v>
      </c>
      <c r="H129" s="30" t="n">
        <v>500</v>
      </c>
      <c r="I129" s="29" t="n">
        <v>0</v>
      </c>
      <c r="J129" s="30" t="n">
        <v>0</v>
      </c>
      <c r="K129" s="31" t="inlineStr"/>
      <c r="L129" s="27" t="inlineStr">
        <is>
          <t>active</t>
        </is>
      </c>
    </row>
    <row r="130">
      <c r="A130" s="27" t="inlineStr">
        <is>
          <t>ချမ်းအေးသာစံမြို့နယ်|COMMITMENT</t>
        </is>
      </c>
      <c r="B130" s="28" t="inlineStr">
        <is>
          <t>ချမ်းအေးသာစံမြို့နယ်</t>
        </is>
      </c>
      <c r="C130" s="29" t="inlineStr">
        <is>
          <t>Mandalay</t>
        </is>
      </c>
      <c r="D130" s="29" t="inlineStr">
        <is>
          <t>MDY</t>
        </is>
      </c>
      <c r="E130" s="29" t="inlineStr">
        <is>
          <t>COMMITMENT</t>
        </is>
      </c>
      <c r="F130" s="30" t="n">
        <v>6000</v>
      </c>
      <c r="G130" s="29" t="n">
        <v>5</v>
      </c>
      <c r="H130" s="30" t="n">
        <v>500</v>
      </c>
      <c r="I130" s="29" t="n">
        <v>1500</v>
      </c>
      <c r="J130" s="30" t="n">
        <v>500</v>
      </c>
      <c r="K130" s="31" t="inlineStr"/>
      <c r="L130" s="27" t="inlineStr">
        <is>
          <t>active</t>
        </is>
      </c>
    </row>
    <row r="131">
      <c r="A131" s="27" t="inlineStr">
        <is>
          <t>မဟာအောင်မြေမြို့နယ်|STANDARD</t>
        </is>
      </c>
      <c r="B131" s="28" t="inlineStr">
        <is>
          <t>မဟာအောင်မြေမြို့နယ်</t>
        </is>
      </c>
      <c r="C131" s="29" t="inlineStr">
        <is>
          <t>Mandalay</t>
        </is>
      </c>
      <c r="D131" s="29" t="inlineStr">
        <is>
          <t>MDY</t>
        </is>
      </c>
      <c r="E131" s="29" t="inlineStr">
        <is>
          <t>STANDARD</t>
        </is>
      </c>
      <c r="F131" s="30" t="n">
        <v>6000</v>
      </c>
      <c r="G131" s="29" t="n">
        <v>3</v>
      </c>
      <c r="H131" s="30" t="n">
        <v>500</v>
      </c>
      <c r="I131" s="29" t="n">
        <v>0</v>
      </c>
      <c r="J131" s="30" t="n">
        <v>0</v>
      </c>
      <c r="K131" s="31" t="inlineStr"/>
      <c r="L131" s="27" t="inlineStr">
        <is>
          <t>active</t>
        </is>
      </c>
    </row>
    <row r="132">
      <c r="A132" s="27" t="inlineStr">
        <is>
          <t>မဟာအောင်မြေမြို့နယ်|ROYAL</t>
        </is>
      </c>
      <c r="B132" s="28" t="inlineStr">
        <is>
          <t>မဟာအောင်မြေမြို့နယ်</t>
        </is>
      </c>
      <c r="C132" s="29" t="inlineStr">
        <is>
          <t>Mandalay</t>
        </is>
      </c>
      <c r="D132" s="29" t="inlineStr">
        <is>
          <t>MDY</t>
        </is>
      </c>
      <c r="E132" s="29" t="inlineStr">
        <is>
          <t>ROYAL</t>
        </is>
      </c>
      <c r="F132" s="30" t="n">
        <v>6000</v>
      </c>
      <c r="G132" s="29" t="n">
        <v>5</v>
      </c>
      <c r="H132" s="30" t="n">
        <v>500</v>
      </c>
      <c r="I132" s="29" t="n">
        <v>0</v>
      </c>
      <c r="J132" s="30" t="n">
        <v>0</v>
      </c>
      <c r="K132" s="31" t="inlineStr"/>
      <c r="L132" s="27" t="inlineStr">
        <is>
          <t>active</t>
        </is>
      </c>
    </row>
    <row r="133">
      <c r="A133" s="27" t="inlineStr">
        <is>
          <t>မဟာအောင်မြေမြို့နယ်|COMMITMENT</t>
        </is>
      </c>
      <c r="B133" s="28" t="inlineStr">
        <is>
          <t>မဟာအောင်မြေမြို့နယ်</t>
        </is>
      </c>
      <c r="C133" s="29" t="inlineStr">
        <is>
          <t>Mandalay</t>
        </is>
      </c>
      <c r="D133" s="29" t="inlineStr">
        <is>
          <t>MDY</t>
        </is>
      </c>
      <c r="E133" s="29" t="inlineStr">
        <is>
          <t>COMMITMENT</t>
        </is>
      </c>
      <c r="F133" s="30" t="n">
        <v>6000</v>
      </c>
      <c r="G133" s="29" t="n">
        <v>5</v>
      </c>
      <c r="H133" s="30" t="n">
        <v>500</v>
      </c>
      <c r="I133" s="29" t="n">
        <v>1500</v>
      </c>
      <c r="J133" s="30" t="n">
        <v>500</v>
      </c>
      <c r="K133" s="31" t="inlineStr"/>
      <c r="L133" s="27" t="inlineStr">
        <is>
          <t>active</t>
        </is>
      </c>
    </row>
    <row r="134">
      <c r="A134" s="27" t="inlineStr">
        <is>
          <t>ချမ်းမြသာစည်မြို့နယ်|STANDARD</t>
        </is>
      </c>
      <c r="B134" s="28" t="inlineStr">
        <is>
          <t>ချမ်းမြသာစည်မြို့နယ်</t>
        </is>
      </c>
      <c r="C134" s="29" t="inlineStr">
        <is>
          <t>Mandalay</t>
        </is>
      </c>
      <c r="D134" s="29" t="inlineStr">
        <is>
          <t>MDY</t>
        </is>
      </c>
      <c r="E134" s="29" t="inlineStr">
        <is>
          <t>STANDARD</t>
        </is>
      </c>
      <c r="F134" s="30" t="n">
        <v>6000</v>
      </c>
      <c r="G134" s="29" t="n">
        <v>3</v>
      </c>
      <c r="H134" s="30" t="n">
        <v>500</v>
      </c>
      <c r="I134" s="29" t="n">
        <v>0</v>
      </c>
      <c r="J134" s="30" t="n">
        <v>0</v>
      </c>
      <c r="K134" s="31" t="inlineStr"/>
      <c r="L134" s="27" t="inlineStr">
        <is>
          <t>active</t>
        </is>
      </c>
    </row>
    <row r="135">
      <c r="A135" s="27" t="inlineStr">
        <is>
          <t>ချမ်းမြသာစည်မြို့နယ်|ROYAL</t>
        </is>
      </c>
      <c r="B135" s="28" t="inlineStr">
        <is>
          <t>ချမ်းမြသာစည်မြို့နယ်</t>
        </is>
      </c>
      <c r="C135" s="29" t="inlineStr">
        <is>
          <t>Mandalay</t>
        </is>
      </c>
      <c r="D135" s="29" t="inlineStr">
        <is>
          <t>MDY</t>
        </is>
      </c>
      <c r="E135" s="29" t="inlineStr">
        <is>
          <t>ROYAL</t>
        </is>
      </c>
      <c r="F135" s="30" t="n">
        <v>6000</v>
      </c>
      <c r="G135" s="29" t="n">
        <v>5</v>
      </c>
      <c r="H135" s="30" t="n">
        <v>500</v>
      </c>
      <c r="I135" s="29" t="n">
        <v>0</v>
      </c>
      <c r="J135" s="30" t="n">
        <v>0</v>
      </c>
      <c r="K135" s="31" t="inlineStr"/>
      <c r="L135" s="27" t="inlineStr">
        <is>
          <t>active</t>
        </is>
      </c>
    </row>
    <row r="136">
      <c r="A136" s="27" t="inlineStr">
        <is>
          <t>ချမ်းမြသာစည်မြို့နယ်|COMMITMENT</t>
        </is>
      </c>
      <c r="B136" s="28" t="inlineStr">
        <is>
          <t>ချမ်းမြသာစည်မြို့နယ်</t>
        </is>
      </c>
      <c r="C136" s="29" t="inlineStr">
        <is>
          <t>Mandalay</t>
        </is>
      </c>
      <c r="D136" s="29" t="inlineStr">
        <is>
          <t>MDY</t>
        </is>
      </c>
      <c r="E136" s="29" t="inlineStr">
        <is>
          <t>COMMITMENT</t>
        </is>
      </c>
      <c r="F136" s="30" t="n">
        <v>6000</v>
      </c>
      <c r="G136" s="29" t="n">
        <v>5</v>
      </c>
      <c r="H136" s="30" t="n">
        <v>500</v>
      </c>
      <c r="I136" s="29" t="n">
        <v>1500</v>
      </c>
      <c r="J136" s="30" t="n">
        <v>500</v>
      </c>
      <c r="K136" s="31" t="inlineStr"/>
      <c r="L136" s="27" t="inlineStr">
        <is>
          <t>active</t>
        </is>
      </c>
    </row>
    <row r="137">
      <c r="A137" s="27" t="inlineStr">
        <is>
          <t>ပြည်ကြီးတံခွန်မြို့နယ်|STANDARD</t>
        </is>
      </c>
      <c r="B137" s="28" t="inlineStr">
        <is>
          <t>ပြည်ကြီးတံခွန်မြို့နယ်</t>
        </is>
      </c>
      <c r="C137" s="29" t="inlineStr">
        <is>
          <t>Mandalay</t>
        </is>
      </c>
      <c r="D137" s="29" t="inlineStr">
        <is>
          <t>MDY</t>
        </is>
      </c>
      <c r="E137" s="29" t="inlineStr">
        <is>
          <t>STANDARD</t>
        </is>
      </c>
      <c r="F137" s="30" t="n">
        <v>6000</v>
      </c>
      <c r="G137" s="29" t="n">
        <v>3</v>
      </c>
      <c r="H137" s="30" t="n">
        <v>500</v>
      </c>
      <c r="I137" s="29" t="n">
        <v>0</v>
      </c>
      <c r="J137" s="30" t="n">
        <v>0</v>
      </c>
      <c r="K137" s="31" t="inlineStr"/>
      <c r="L137" s="27" t="inlineStr">
        <is>
          <t>active</t>
        </is>
      </c>
    </row>
    <row r="138">
      <c r="A138" s="27" t="inlineStr">
        <is>
          <t>ပြည်ကြီးတံခွန်မြို့နယ်|ROYAL</t>
        </is>
      </c>
      <c r="B138" s="28" t="inlineStr">
        <is>
          <t>ပြည်ကြီးတံခွန်မြို့နယ်</t>
        </is>
      </c>
      <c r="C138" s="29" t="inlineStr">
        <is>
          <t>Mandalay</t>
        </is>
      </c>
      <c r="D138" s="29" t="inlineStr">
        <is>
          <t>MDY</t>
        </is>
      </c>
      <c r="E138" s="29" t="inlineStr">
        <is>
          <t>ROYAL</t>
        </is>
      </c>
      <c r="F138" s="30" t="n">
        <v>6000</v>
      </c>
      <c r="G138" s="29" t="n">
        <v>5</v>
      </c>
      <c r="H138" s="30" t="n">
        <v>500</v>
      </c>
      <c r="I138" s="29" t="n">
        <v>0</v>
      </c>
      <c r="J138" s="30" t="n">
        <v>0</v>
      </c>
      <c r="K138" s="31" t="inlineStr"/>
      <c r="L138" s="27" t="inlineStr">
        <is>
          <t>active</t>
        </is>
      </c>
    </row>
    <row r="139">
      <c r="A139" s="27" t="inlineStr">
        <is>
          <t>ပြည်ကြီးတံခွန်မြို့နယ်|COMMITMENT</t>
        </is>
      </c>
      <c r="B139" s="28" t="inlineStr">
        <is>
          <t>ပြည်ကြီးတံခွန်မြို့နယ်</t>
        </is>
      </c>
      <c r="C139" s="29" t="inlineStr">
        <is>
          <t>Mandalay</t>
        </is>
      </c>
      <c r="D139" s="29" t="inlineStr">
        <is>
          <t>MDY</t>
        </is>
      </c>
      <c r="E139" s="29" t="inlineStr">
        <is>
          <t>COMMITMENT</t>
        </is>
      </c>
      <c r="F139" s="30" t="n">
        <v>6000</v>
      </c>
      <c r="G139" s="29" t="n">
        <v>5</v>
      </c>
      <c r="H139" s="30" t="n">
        <v>500</v>
      </c>
      <c r="I139" s="29" t="n">
        <v>1500</v>
      </c>
      <c r="J139" s="30" t="n">
        <v>500</v>
      </c>
      <c r="K139" s="31" t="inlineStr"/>
      <c r="L139" s="27" t="inlineStr">
        <is>
          <t>active</t>
        </is>
      </c>
    </row>
    <row r="140">
      <c r="A140" s="27" t="inlineStr">
        <is>
          <t>အမရပူရမြို့နယ်|STANDARD</t>
        </is>
      </c>
      <c r="B140" s="28" t="inlineStr">
        <is>
          <t>အမရပူရမြို့နယ်</t>
        </is>
      </c>
      <c r="C140" s="29" t="inlineStr">
        <is>
          <t>Mandalay</t>
        </is>
      </c>
      <c r="D140" s="29" t="inlineStr">
        <is>
          <t>MDY</t>
        </is>
      </c>
      <c r="E140" s="29" t="inlineStr">
        <is>
          <t>STANDARD</t>
        </is>
      </c>
      <c r="F140" s="30" t="n">
        <v>6000</v>
      </c>
      <c r="G140" s="29" t="n">
        <v>3</v>
      </c>
      <c r="H140" s="30" t="n">
        <v>500</v>
      </c>
      <c r="I140" s="29" t="n">
        <v>0</v>
      </c>
      <c r="J140" s="30" t="n">
        <v>0</v>
      </c>
      <c r="K140" s="31" t="inlineStr"/>
      <c r="L140" s="27" t="inlineStr">
        <is>
          <t>active</t>
        </is>
      </c>
    </row>
    <row r="141">
      <c r="A141" s="27" t="inlineStr">
        <is>
          <t>အမရပူရမြို့နယ်|ROYAL</t>
        </is>
      </c>
      <c r="B141" s="28" t="inlineStr">
        <is>
          <t>အမရပူရမြို့နယ်</t>
        </is>
      </c>
      <c r="C141" s="29" t="inlineStr">
        <is>
          <t>Mandalay</t>
        </is>
      </c>
      <c r="D141" s="29" t="inlineStr">
        <is>
          <t>MDY</t>
        </is>
      </c>
      <c r="E141" s="29" t="inlineStr">
        <is>
          <t>ROYAL</t>
        </is>
      </c>
      <c r="F141" s="30" t="n">
        <v>6000</v>
      </c>
      <c r="G141" s="29" t="n">
        <v>5</v>
      </c>
      <c r="H141" s="30" t="n">
        <v>500</v>
      </c>
      <c r="I141" s="29" t="n">
        <v>0</v>
      </c>
      <c r="J141" s="30" t="n">
        <v>0</v>
      </c>
      <c r="K141" s="31" t="inlineStr"/>
      <c r="L141" s="27" t="inlineStr">
        <is>
          <t>active</t>
        </is>
      </c>
    </row>
    <row r="142">
      <c r="A142" s="27" t="inlineStr">
        <is>
          <t>အမရပူရမြို့နယ်|COMMITMENT</t>
        </is>
      </c>
      <c r="B142" s="28" t="inlineStr">
        <is>
          <t>အမရပူရမြို့နယ်</t>
        </is>
      </c>
      <c r="C142" s="29" t="inlineStr">
        <is>
          <t>Mandalay</t>
        </is>
      </c>
      <c r="D142" s="29" t="inlineStr">
        <is>
          <t>MDY</t>
        </is>
      </c>
      <c r="E142" s="29" t="inlineStr">
        <is>
          <t>COMMITMENT</t>
        </is>
      </c>
      <c r="F142" s="30" t="n">
        <v>6000</v>
      </c>
      <c r="G142" s="29" t="n">
        <v>5</v>
      </c>
      <c r="H142" s="30" t="n">
        <v>500</v>
      </c>
      <c r="I142" s="29" t="n">
        <v>1500</v>
      </c>
      <c r="J142" s="30" t="n">
        <v>500</v>
      </c>
      <c r="K142" s="31" t="inlineStr"/>
      <c r="L142" s="27" t="inlineStr">
        <is>
          <t>active</t>
        </is>
      </c>
    </row>
    <row r="143">
      <c r="A143" s="27" t="inlineStr">
        <is>
          <t>ပုသိမ်ကြီးမြို့နယ်|STANDARD</t>
        </is>
      </c>
      <c r="B143" s="28" t="inlineStr">
        <is>
          <t>ပုသိမ်ကြီးမြို့နယ်</t>
        </is>
      </c>
      <c r="C143" s="29" t="inlineStr">
        <is>
          <t>Mandalay</t>
        </is>
      </c>
      <c r="D143" s="29" t="inlineStr">
        <is>
          <t>MDY</t>
        </is>
      </c>
      <c r="E143" s="29" t="inlineStr">
        <is>
          <t>STANDARD</t>
        </is>
      </c>
      <c r="F143" s="30" t="n">
        <v>6000</v>
      </c>
      <c r="G143" s="29" t="n">
        <v>3</v>
      </c>
      <c r="H143" s="30" t="n">
        <v>500</v>
      </c>
      <c r="I143" s="29" t="n">
        <v>0</v>
      </c>
      <c r="J143" s="30" t="n">
        <v>0</v>
      </c>
      <c r="K143" s="31" t="inlineStr"/>
      <c r="L143" s="27" t="inlineStr">
        <is>
          <t>active</t>
        </is>
      </c>
    </row>
    <row r="144">
      <c r="A144" s="27" t="inlineStr">
        <is>
          <t>ပုသိမ်ကြီးမြို့နယ်|ROYAL</t>
        </is>
      </c>
      <c r="B144" s="28" t="inlineStr">
        <is>
          <t>ပုသိမ်ကြီးမြို့နယ်</t>
        </is>
      </c>
      <c r="C144" s="29" t="inlineStr">
        <is>
          <t>Mandalay</t>
        </is>
      </c>
      <c r="D144" s="29" t="inlineStr">
        <is>
          <t>MDY</t>
        </is>
      </c>
      <c r="E144" s="29" t="inlineStr">
        <is>
          <t>ROYAL</t>
        </is>
      </c>
      <c r="F144" s="30" t="n">
        <v>6000</v>
      </c>
      <c r="G144" s="29" t="n">
        <v>5</v>
      </c>
      <c r="H144" s="30" t="n">
        <v>500</v>
      </c>
      <c r="I144" s="29" t="n">
        <v>0</v>
      </c>
      <c r="J144" s="30" t="n">
        <v>0</v>
      </c>
      <c r="K144" s="31" t="inlineStr"/>
      <c r="L144" s="27" t="inlineStr">
        <is>
          <t>active</t>
        </is>
      </c>
    </row>
    <row r="145">
      <c r="A145" s="27" t="inlineStr">
        <is>
          <t>ပုသိမ်ကြီးမြို့နယ်|COMMITMENT</t>
        </is>
      </c>
      <c r="B145" s="28" t="inlineStr">
        <is>
          <t>ပုသိမ်ကြီးမြို့နယ်</t>
        </is>
      </c>
      <c r="C145" s="29" t="inlineStr">
        <is>
          <t>Mandalay</t>
        </is>
      </c>
      <c r="D145" s="29" t="inlineStr">
        <is>
          <t>MDY</t>
        </is>
      </c>
      <c r="E145" s="29" t="inlineStr">
        <is>
          <t>COMMITMENT</t>
        </is>
      </c>
      <c r="F145" s="30" t="n">
        <v>6000</v>
      </c>
      <c r="G145" s="29" t="n">
        <v>5</v>
      </c>
      <c r="H145" s="30" t="n">
        <v>500</v>
      </c>
      <c r="I145" s="29" t="n">
        <v>1500</v>
      </c>
      <c r="J145" s="30" t="n">
        <v>500</v>
      </c>
      <c r="K145" s="31" t="inlineStr"/>
      <c r="L145" s="27" t="inlineStr">
        <is>
          <t>active</t>
        </is>
      </c>
    </row>
    <row r="146">
      <c r="A146" s="27" t="inlineStr">
        <is>
          <t>Mandalay|STANDARD</t>
        </is>
      </c>
      <c r="B146" s="28" t="inlineStr">
        <is>
          <t>Mandalay</t>
        </is>
      </c>
      <c r="C146" s="29" t="inlineStr">
        <is>
          <t>Mandalay</t>
        </is>
      </c>
      <c r="D146" s="29" t="inlineStr">
        <is>
          <t>MDY</t>
        </is>
      </c>
      <c r="E146" s="29" t="inlineStr">
        <is>
          <t>STANDARD</t>
        </is>
      </c>
      <c r="F146" s="30" t="n">
        <v>6000</v>
      </c>
      <c r="G146" s="29" t="n">
        <v>3</v>
      </c>
      <c r="H146" s="30" t="n">
        <v>500</v>
      </c>
      <c r="I146" s="29" t="n">
        <v>0</v>
      </c>
      <c r="J146" s="30" t="n">
        <v>0</v>
      </c>
      <c r="K146" s="31" t="inlineStr"/>
      <c r="L146" s="27" t="inlineStr">
        <is>
          <t>active</t>
        </is>
      </c>
    </row>
    <row r="147">
      <c r="A147" s="27" t="inlineStr">
        <is>
          <t>Mandalay|ROYAL</t>
        </is>
      </c>
      <c r="B147" s="28" t="inlineStr">
        <is>
          <t>Mandalay</t>
        </is>
      </c>
      <c r="C147" s="29" t="inlineStr">
        <is>
          <t>Mandalay</t>
        </is>
      </c>
      <c r="D147" s="29" t="inlineStr">
        <is>
          <t>MDY</t>
        </is>
      </c>
      <c r="E147" s="29" t="inlineStr">
        <is>
          <t>ROYAL</t>
        </is>
      </c>
      <c r="F147" s="30" t="n">
        <v>6000</v>
      </c>
      <c r="G147" s="29" t="n">
        <v>5</v>
      </c>
      <c r="H147" s="30" t="n">
        <v>500</v>
      </c>
      <c r="I147" s="29" t="n">
        <v>0</v>
      </c>
      <c r="J147" s="30" t="n">
        <v>0</v>
      </c>
      <c r="K147" s="31" t="inlineStr"/>
      <c r="L147" s="27" t="inlineStr">
        <is>
          <t>active</t>
        </is>
      </c>
    </row>
    <row r="148">
      <c r="A148" s="27" t="inlineStr">
        <is>
          <t>Mandalay|COMMITMENT</t>
        </is>
      </c>
      <c r="B148" s="28" t="inlineStr">
        <is>
          <t>Mandalay</t>
        </is>
      </c>
      <c r="C148" s="29" t="inlineStr">
        <is>
          <t>Mandalay</t>
        </is>
      </c>
      <c r="D148" s="29" t="inlineStr">
        <is>
          <t>MDY</t>
        </is>
      </c>
      <c r="E148" s="29" t="inlineStr">
        <is>
          <t>COMMITMENT</t>
        </is>
      </c>
      <c r="F148" s="30" t="n">
        <v>6000</v>
      </c>
      <c r="G148" s="29" t="n">
        <v>5</v>
      </c>
      <c r="H148" s="30" t="n">
        <v>500</v>
      </c>
      <c r="I148" s="29" t="n">
        <v>1500</v>
      </c>
      <c r="J148" s="30" t="n">
        <v>500</v>
      </c>
      <c r="K148" s="31" t="inlineStr"/>
      <c r="L148" s="27" t="inlineStr">
        <is>
          <t>active</t>
        </is>
      </c>
    </row>
    <row r="149">
      <c r="A149" s="27" t="inlineStr">
        <is>
          <t>ဇမ္ဗူသီရိမြို့နယ်|STANDARD</t>
        </is>
      </c>
      <c r="B149" s="28" t="inlineStr">
        <is>
          <t>ဇမ္ဗူသီရိမြို့နယ်</t>
        </is>
      </c>
      <c r="C149" s="29" t="inlineStr">
        <is>
          <t>Nay Pyi Taw</t>
        </is>
      </c>
      <c r="D149" s="29" t="inlineStr">
        <is>
          <t>NPT</t>
        </is>
      </c>
      <c r="E149" s="29" t="inlineStr">
        <is>
          <t>STANDARD</t>
        </is>
      </c>
      <c r="F149" s="30" t="n">
        <v>6000</v>
      </c>
      <c r="G149" s="29" t="n">
        <v>3</v>
      </c>
      <c r="H149" s="30" t="n">
        <v>500</v>
      </c>
      <c r="I149" s="29" t="n">
        <v>0</v>
      </c>
      <c r="J149" s="30" t="n">
        <v>0</v>
      </c>
      <c r="K149" s="31" t="inlineStr"/>
      <c r="L149" s="27" t="inlineStr">
        <is>
          <t>active</t>
        </is>
      </c>
    </row>
    <row r="150">
      <c r="A150" s="27" t="inlineStr">
        <is>
          <t>ဇမ္ဗူသီရိမြို့နယ်|ROYAL</t>
        </is>
      </c>
      <c r="B150" s="28" t="inlineStr">
        <is>
          <t>ဇမ္ဗူသီရိမြို့နယ်</t>
        </is>
      </c>
      <c r="C150" s="29" t="inlineStr">
        <is>
          <t>Nay Pyi Taw</t>
        </is>
      </c>
      <c r="D150" s="29" t="inlineStr">
        <is>
          <t>NPT</t>
        </is>
      </c>
      <c r="E150" s="29" t="inlineStr">
        <is>
          <t>ROYAL</t>
        </is>
      </c>
      <c r="F150" s="30" t="n">
        <v>6000</v>
      </c>
      <c r="G150" s="29" t="n">
        <v>5</v>
      </c>
      <c r="H150" s="30" t="n">
        <v>500</v>
      </c>
      <c r="I150" s="29" t="n">
        <v>0</v>
      </c>
      <c r="J150" s="30" t="n">
        <v>0</v>
      </c>
      <c r="K150" s="31" t="inlineStr"/>
      <c r="L150" s="27" t="inlineStr">
        <is>
          <t>active</t>
        </is>
      </c>
    </row>
    <row r="151">
      <c r="A151" s="27" t="inlineStr">
        <is>
          <t>ဇမ္ဗူသီရိမြို့နယ်|COMMITMENT</t>
        </is>
      </c>
      <c r="B151" s="28" t="inlineStr">
        <is>
          <t>ဇမ္ဗူသီရိမြို့နယ်</t>
        </is>
      </c>
      <c r="C151" s="29" t="inlineStr">
        <is>
          <t>Nay Pyi Taw</t>
        </is>
      </c>
      <c r="D151" s="29" t="inlineStr">
        <is>
          <t>NPT</t>
        </is>
      </c>
      <c r="E151" s="29" t="inlineStr">
        <is>
          <t>COMMITMENT</t>
        </is>
      </c>
      <c r="F151" s="30" t="n">
        <v>6000</v>
      </c>
      <c r="G151" s="29" t="n">
        <v>5</v>
      </c>
      <c r="H151" s="30" t="n">
        <v>500</v>
      </c>
      <c r="I151" s="29" t="n">
        <v>1500</v>
      </c>
      <c r="J151" s="30" t="n">
        <v>500</v>
      </c>
      <c r="K151" s="31" t="inlineStr"/>
      <c r="L151" s="27" t="inlineStr">
        <is>
          <t>active</t>
        </is>
      </c>
    </row>
    <row r="152">
      <c r="A152" s="27" t="inlineStr">
        <is>
          <t>ဒက္ခိဏသီရိမြို့နယ်|STANDARD</t>
        </is>
      </c>
      <c r="B152" s="28" t="inlineStr">
        <is>
          <t>ဒက္ခိဏသီရိမြို့နယ်</t>
        </is>
      </c>
      <c r="C152" s="29" t="inlineStr">
        <is>
          <t>Nay Pyi Taw</t>
        </is>
      </c>
      <c r="D152" s="29" t="inlineStr">
        <is>
          <t>NPT</t>
        </is>
      </c>
      <c r="E152" s="29" t="inlineStr">
        <is>
          <t>STANDARD</t>
        </is>
      </c>
      <c r="F152" s="30" t="n">
        <v>6000</v>
      </c>
      <c r="G152" s="29" t="n">
        <v>3</v>
      </c>
      <c r="H152" s="30" t="n">
        <v>500</v>
      </c>
      <c r="I152" s="29" t="n">
        <v>0</v>
      </c>
      <c r="J152" s="30" t="n">
        <v>0</v>
      </c>
      <c r="K152" s="31" t="inlineStr"/>
      <c r="L152" s="27" t="inlineStr">
        <is>
          <t>active</t>
        </is>
      </c>
    </row>
    <row r="153">
      <c r="A153" s="27" t="inlineStr">
        <is>
          <t>ဒက္ခိဏသီရိမြို့နယ်|ROYAL</t>
        </is>
      </c>
      <c r="B153" s="28" t="inlineStr">
        <is>
          <t>ဒက္ခိဏသီရိမြို့နယ်</t>
        </is>
      </c>
      <c r="C153" s="29" t="inlineStr">
        <is>
          <t>Nay Pyi Taw</t>
        </is>
      </c>
      <c r="D153" s="29" t="inlineStr">
        <is>
          <t>NPT</t>
        </is>
      </c>
      <c r="E153" s="29" t="inlineStr">
        <is>
          <t>ROYAL</t>
        </is>
      </c>
      <c r="F153" s="30" t="n">
        <v>6000</v>
      </c>
      <c r="G153" s="29" t="n">
        <v>5</v>
      </c>
      <c r="H153" s="30" t="n">
        <v>500</v>
      </c>
      <c r="I153" s="29" t="n">
        <v>0</v>
      </c>
      <c r="J153" s="30" t="n">
        <v>0</v>
      </c>
      <c r="K153" s="31" t="inlineStr"/>
      <c r="L153" s="27" t="inlineStr">
        <is>
          <t>active</t>
        </is>
      </c>
    </row>
    <row r="154">
      <c r="A154" s="27" t="inlineStr">
        <is>
          <t>ဒက္ခိဏသီရိမြို့နယ်|COMMITMENT</t>
        </is>
      </c>
      <c r="B154" s="28" t="inlineStr">
        <is>
          <t>ဒက္ခိဏသီရိမြို့နယ်</t>
        </is>
      </c>
      <c r="C154" s="29" t="inlineStr">
        <is>
          <t>Nay Pyi Taw</t>
        </is>
      </c>
      <c r="D154" s="29" t="inlineStr">
        <is>
          <t>NPT</t>
        </is>
      </c>
      <c r="E154" s="29" t="inlineStr">
        <is>
          <t>COMMITMENT</t>
        </is>
      </c>
      <c r="F154" s="30" t="n">
        <v>6000</v>
      </c>
      <c r="G154" s="29" t="n">
        <v>5</v>
      </c>
      <c r="H154" s="30" t="n">
        <v>500</v>
      </c>
      <c r="I154" s="29" t="n">
        <v>1500</v>
      </c>
      <c r="J154" s="30" t="n">
        <v>500</v>
      </c>
      <c r="K154" s="31" t="inlineStr"/>
      <c r="L154" s="27" t="inlineStr">
        <is>
          <t>active</t>
        </is>
      </c>
    </row>
    <row r="155">
      <c r="A155" s="27" t="inlineStr">
        <is>
          <t>ပုဗ္ဗသီရိမြို့နယ်|STANDARD</t>
        </is>
      </c>
      <c r="B155" s="28" t="inlineStr">
        <is>
          <t>ပုဗ္ဗသီရိမြို့နယ်</t>
        </is>
      </c>
      <c r="C155" s="29" t="inlineStr">
        <is>
          <t>Nay Pyi Taw</t>
        </is>
      </c>
      <c r="D155" s="29" t="inlineStr">
        <is>
          <t>NPT</t>
        </is>
      </c>
      <c r="E155" s="29" t="inlineStr">
        <is>
          <t>STANDARD</t>
        </is>
      </c>
      <c r="F155" s="30" t="n">
        <v>6000</v>
      </c>
      <c r="G155" s="29" t="n">
        <v>3</v>
      </c>
      <c r="H155" s="30" t="n">
        <v>500</v>
      </c>
      <c r="I155" s="29" t="n">
        <v>0</v>
      </c>
      <c r="J155" s="30" t="n">
        <v>0</v>
      </c>
      <c r="K155" s="31" t="inlineStr"/>
      <c r="L155" s="27" t="inlineStr">
        <is>
          <t>active</t>
        </is>
      </c>
    </row>
    <row r="156">
      <c r="A156" s="27" t="inlineStr">
        <is>
          <t>ပုဗ္ဗသီရိမြို့နယ်|ROYAL</t>
        </is>
      </c>
      <c r="B156" s="28" t="inlineStr">
        <is>
          <t>ပုဗ္ဗသီရိမြို့နယ်</t>
        </is>
      </c>
      <c r="C156" s="29" t="inlineStr">
        <is>
          <t>Nay Pyi Taw</t>
        </is>
      </c>
      <c r="D156" s="29" t="inlineStr">
        <is>
          <t>NPT</t>
        </is>
      </c>
      <c r="E156" s="29" t="inlineStr">
        <is>
          <t>ROYAL</t>
        </is>
      </c>
      <c r="F156" s="30" t="n">
        <v>6000</v>
      </c>
      <c r="G156" s="29" t="n">
        <v>5</v>
      </c>
      <c r="H156" s="30" t="n">
        <v>500</v>
      </c>
      <c r="I156" s="29" t="n">
        <v>0</v>
      </c>
      <c r="J156" s="30" t="n">
        <v>0</v>
      </c>
      <c r="K156" s="31" t="inlineStr"/>
      <c r="L156" s="27" t="inlineStr">
        <is>
          <t>active</t>
        </is>
      </c>
    </row>
    <row r="157">
      <c r="A157" s="27" t="inlineStr">
        <is>
          <t>ပုဗ္ဗသီရိမြို့နယ်|COMMITMENT</t>
        </is>
      </c>
      <c r="B157" s="28" t="inlineStr">
        <is>
          <t>ပုဗ္ဗသီရိမြို့နယ်</t>
        </is>
      </c>
      <c r="C157" s="29" t="inlineStr">
        <is>
          <t>Nay Pyi Taw</t>
        </is>
      </c>
      <c r="D157" s="29" t="inlineStr">
        <is>
          <t>NPT</t>
        </is>
      </c>
      <c r="E157" s="29" t="inlineStr">
        <is>
          <t>COMMITMENT</t>
        </is>
      </c>
      <c r="F157" s="30" t="n">
        <v>6000</v>
      </c>
      <c r="G157" s="29" t="n">
        <v>5</v>
      </c>
      <c r="H157" s="30" t="n">
        <v>500</v>
      </c>
      <c r="I157" s="29" t="n">
        <v>1500</v>
      </c>
      <c r="J157" s="30" t="n">
        <v>500</v>
      </c>
      <c r="K157" s="31" t="inlineStr"/>
      <c r="L157" s="27" t="inlineStr">
        <is>
          <t>active</t>
        </is>
      </c>
    </row>
    <row r="158">
      <c r="A158" s="27" t="inlineStr">
        <is>
          <t>ဥတ္တရသီရိမြို့နယ်|STANDARD</t>
        </is>
      </c>
      <c r="B158" s="28" t="inlineStr">
        <is>
          <t>ဥတ္တရသီရိမြို့နယ်</t>
        </is>
      </c>
      <c r="C158" s="29" t="inlineStr">
        <is>
          <t>Nay Pyi Taw</t>
        </is>
      </c>
      <c r="D158" s="29" t="inlineStr">
        <is>
          <t>NPT</t>
        </is>
      </c>
      <c r="E158" s="29" t="inlineStr">
        <is>
          <t>STANDARD</t>
        </is>
      </c>
      <c r="F158" s="30" t="n">
        <v>6000</v>
      </c>
      <c r="G158" s="29" t="n">
        <v>3</v>
      </c>
      <c r="H158" s="30" t="n">
        <v>500</v>
      </c>
      <c r="I158" s="29" t="n">
        <v>0</v>
      </c>
      <c r="J158" s="30" t="n">
        <v>0</v>
      </c>
      <c r="K158" s="31" t="inlineStr"/>
      <c r="L158" s="27" t="inlineStr">
        <is>
          <t>active</t>
        </is>
      </c>
    </row>
    <row r="159">
      <c r="A159" s="27" t="inlineStr">
        <is>
          <t>ဥတ္တရသီရိမြို့နယ်|ROYAL</t>
        </is>
      </c>
      <c r="B159" s="28" t="inlineStr">
        <is>
          <t>ဥတ္တရသီရိမြို့နယ်</t>
        </is>
      </c>
      <c r="C159" s="29" t="inlineStr">
        <is>
          <t>Nay Pyi Taw</t>
        </is>
      </c>
      <c r="D159" s="29" t="inlineStr">
        <is>
          <t>NPT</t>
        </is>
      </c>
      <c r="E159" s="29" t="inlineStr">
        <is>
          <t>ROYAL</t>
        </is>
      </c>
      <c r="F159" s="30" t="n">
        <v>6000</v>
      </c>
      <c r="G159" s="29" t="n">
        <v>5</v>
      </c>
      <c r="H159" s="30" t="n">
        <v>500</v>
      </c>
      <c r="I159" s="29" t="n">
        <v>0</v>
      </c>
      <c r="J159" s="30" t="n">
        <v>0</v>
      </c>
      <c r="K159" s="31" t="inlineStr"/>
      <c r="L159" s="27" t="inlineStr">
        <is>
          <t>active</t>
        </is>
      </c>
    </row>
    <row r="160">
      <c r="A160" s="27" t="inlineStr">
        <is>
          <t>ဥတ္တရသီရိမြို့နယ်|COMMITMENT</t>
        </is>
      </c>
      <c r="B160" s="28" t="inlineStr">
        <is>
          <t>ဥတ္တရသီရိမြို့နယ်</t>
        </is>
      </c>
      <c r="C160" s="29" t="inlineStr">
        <is>
          <t>Nay Pyi Taw</t>
        </is>
      </c>
      <c r="D160" s="29" t="inlineStr">
        <is>
          <t>NPT</t>
        </is>
      </c>
      <c r="E160" s="29" t="inlineStr">
        <is>
          <t>COMMITMENT</t>
        </is>
      </c>
      <c r="F160" s="30" t="n">
        <v>6000</v>
      </c>
      <c r="G160" s="29" t="n">
        <v>5</v>
      </c>
      <c r="H160" s="30" t="n">
        <v>500</v>
      </c>
      <c r="I160" s="29" t="n">
        <v>1500</v>
      </c>
      <c r="J160" s="30" t="n">
        <v>500</v>
      </c>
      <c r="K160" s="31" t="inlineStr"/>
      <c r="L160" s="27" t="inlineStr">
        <is>
          <t>active</t>
        </is>
      </c>
    </row>
    <row r="161">
      <c r="A161" s="27" t="inlineStr">
        <is>
          <t>ဇေယျာသီရိမြို့နယ်|STANDARD</t>
        </is>
      </c>
      <c r="B161" s="28" t="inlineStr">
        <is>
          <t>ဇေယျာသီရိမြို့နယ်</t>
        </is>
      </c>
      <c r="C161" s="29" t="inlineStr">
        <is>
          <t>Nay Pyi Taw</t>
        </is>
      </c>
      <c r="D161" s="29" t="inlineStr">
        <is>
          <t>NPT</t>
        </is>
      </c>
      <c r="E161" s="29" t="inlineStr">
        <is>
          <t>STANDARD</t>
        </is>
      </c>
      <c r="F161" s="30" t="n">
        <v>6000</v>
      </c>
      <c r="G161" s="29" t="n">
        <v>3</v>
      </c>
      <c r="H161" s="30" t="n">
        <v>500</v>
      </c>
      <c r="I161" s="29" t="n">
        <v>0</v>
      </c>
      <c r="J161" s="30" t="n">
        <v>0</v>
      </c>
      <c r="K161" s="31" t="inlineStr"/>
      <c r="L161" s="27" t="inlineStr">
        <is>
          <t>active</t>
        </is>
      </c>
    </row>
    <row r="162">
      <c r="A162" s="27" t="inlineStr">
        <is>
          <t>ဇေယျာသီရိမြို့နယ်|ROYAL</t>
        </is>
      </c>
      <c r="B162" s="28" t="inlineStr">
        <is>
          <t>ဇေယျာသီရိမြို့နယ်</t>
        </is>
      </c>
      <c r="C162" s="29" t="inlineStr">
        <is>
          <t>Nay Pyi Taw</t>
        </is>
      </c>
      <c r="D162" s="29" t="inlineStr">
        <is>
          <t>NPT</t>
        </is>
      </c>
      <c r="E162" s="29" t="inlineStr">
        <is>
          <t>ROYAL</t>
        </is>
      </c>
      <c r="F162" s="30" t="n">
        <v>6000</v>
      </c>
      <c r="G162" s="29" t="n">
        <v>5</v>
      </c>
      <c r="H162" s="30" t="n">
        <v>500</v>
      </c>
      <c r="I162" s="29" t="n">
        <v>0</v>
      </c>
      <c r="J162" s="30" t="n">
        <v>0</v>
      </c>
      <c r="K162" s="31" t="inlineStr"/>
      <c r="L162" s="27" t="inlineStr">
        <is>
          <t>active</t>
        </is>
      </c>
    </row>
    <row r="163">
      <c r="A163" s="27" t="inlineStr">
        <is>
          <t>ဇေယျာသီရိမြို့နယ်|COMMITMENT</t>
        </is>
      </c>
      <c r="B163" s="28" t="inlineStr">
        <is>
          <t>ဇေယျာသီရိမြို့နယ်</t>
        </is>
      </c>
      <c r="C163" s="29" t="inlineStr">
        <is>
          <t>Nay Pyi Taw</t>
        </is>
      </c>
      <c r="D163" s="29" t="inlineStr">
        <is>
          <t>NPT</t>
        </is>
      </c>
      <c r="E163" s="29" t="inlineStr">
        <is>
          <t>COMMITMENT</t>
        </is>
      </c>
      <c r="F163" s="30" t="n">
        <v>6000</v>
      </c>
      <c r="G163" s="29" t="n">
        <v>5</v>
      </c>
      <c r="H163" s="30" t="n">
        <v>500</v>
      </c>
      <c r="I163" s="29" t="n">
        <v>1500</v>
      </c>
      <c r="J163" s="30" t="n">
        <v>500</v>
      </c>
      <c r="K163" s="31" t="inlineStr"/>
      <c r="L163" s="27" t="inlineStr">
        <is>
          <t>active</t>
        </is>
      </c>
    </row>
    <row r="164">
      <c r="A164" s="27" t="inlineStr">
        <is>
          <t>ပျဉ်းမနားမြို့နယ်|STANDARD</t>
        </is>
      </c>
      <c r="B164" s="28" t="inlineStr">
        <is>
          <t>ပျဉ်းမနားမြို့နယ်</t>
        </is>
      </c>
      <c r="C164" s="29" t="inlineStr">
        <is>
          <t>Nay Pyi Taw</t>
        </is>
      </c>
      <c r="D164" s="29" t="inlineStr">
        <is>
          <t>NPT</t>
        </is>
      </c>
      <c r="E164" s="29" t="inlineStr">
        <is>
          <t>STANDARD</t>
        </is>
      </c>
      <c r="F164" s="30" t="n">
        <v>6000</v>
      </c>
      <c r="G164" s="29" t="n">
        <v>3</v>
      </c>
      <c r="H164" s="30" t="n">
        <v>500</v>
      </c>
      <c r="I164" s="29" t="n">
        <v>0</v>
      </c>
      <c r="J164" s="30" t="n">
        <v>0</v>
      </c>
      <c r="K164" s="31" t="inlineStr"/>
      <c r="L164" s="27" t="inlineStr">
        <is>
          <t>active</t>
        </is>
      </c>
    </row>
    <row r="165">
      <c r="A165" s="27" t="inlineStr">
        <is>
          <t>ပျဉ်းမနားမြို့နယ်|ROYAL</t>
        </is>
      </c>
      <c r="B165" s="28" t="inlineStr">
        <is>
          <t>ပျဉ်းမနားမြို့နယ်</t>
        </is>
      </c>
      <c r="C165" s="29" t="inlineStr">
        <is>
          <t>Nay Pyi Taw</t>
        </is>
      </c>
      <c r="D165" s="29" t="inlineStr">
        <is>
          <t>NPT</t>
        </is>
      </c>
      <c r="E165" s="29" t="inlineStr">
        <is>
          <t>ROYAL</t>
        </is>
      </c>
      <c r="F165" s="30" t="n">
        <v>6000</v>
      </c>
      <c r="G165" s="29" t="n">
        <v>5</v>
      </c>
      <c r="H165" s="30" t="n">
        <v>500</v>
      </c>
      <c r="I165" s="29" t="n">
        <v>0</v>
      </c>
      <c r="J165" s="30" t="n">
        <v>0</v>
      </c>
      <c r="K165" s="31" t="inlineStr"/>
      <c r="L165" s="27" t="inlineStr">
        <is>
          <t>active</t>
        </is>
      </c>
    </row>
    <row r="166">
      <c r="A166" s="27" t="inlineStr">
        <is>
          <t>ပျဉ်းမနားမြို့နယ်|COMMITMENT</t>
        </is>
      </c>
      <c r="B166" s="28" t="inlineStr">
        <is>
          <t>ပျဉ်းမနားမြို့နယ်</t>
        </is>
      </c>
      <c r="C166" s="29" t="inlineStr">
        <is>
          <t>Nay Pyi Taw</t>
        </is>
      </c>
      <c r="D166" s="29" t="inlineStr">
        <is>
          <t>NPT</t>
        </is>
      </c>
      <c r="E166" s="29" t="inlineStr">
        <is>
          <t>COMMITMENT</t>
        </is>
      </c>
      <c r="F166" s="30" t="n">
        <v>6000</v>
      </c>
      <c r="G166" s="29" t="n">
        <v>5</v>
      </c>
      <c r="H166" s="30" t="n">
        <v>500</v>
      </c>
      <c r="I166" s="29" t="n">
        <v>1500</v>
      </c>
      <c r="J166" s="30" t="n">
        <v>500</v>
      </c>
      <c r="K166" s="31" t="inlineStr"/>
      <c r="L166" s="27" t="inlineStr">
        <is>
          <t>active</t>
        </is>
      </c>
    </row>
    <row r="167">
      <c r="A167" s="27" t="inlineStr">
        <is>
          <t>Naypyitaw|STANDARD</t>
        </is>
      </c>
      <c r="B167" s="28" t="inlineStr">
        <is>
          <t>Naypyitaw</t>
        </is>
      </c>
      <c r="C167" s="29" t="inlineStr">
        <is>
          <t>Nay Pyi Taw</t>
        </is>
      </c>
      <c r="D167" s="29" t="inlineStr">
        <is>
          <t>NPT</t>
        </is>
      </c>
      <c r="E167" s="29" t="inlineStr">
        <is>
          <t>STANDARD</t>
        </is>
      </c>
      <c r="F167" s="30" t="n">
        <v>6000</v>
      </c>
      <c r="G167" s="29" t="n">
        <v>3</v>
      </c>
      <c r="H167" s="30" t="n">
        <v>500</v>
      </c>
      <c r="I167" s="29" t="n">
        <v>0</v>
      </c>
      <c r="J167" s="30" t="n">
        <v>0</v>
      </c>
      <c r="K167" s="31" t="inlineStr"/>
      <c r="L167" s="27" t="inlineStr">
        <is>
          <t>active</t>
        </is>
      </c>
    </row>
    <row r="168">
      <c r="A168" s="27" t="inlineStr">
        <is>
          <t>Naypyitaw|ROYAL</t>
        </is>
      </c>
      <c r="B168" s="28" t="inlineStr">
        <is>
          <t>Naypyitaw</t>
        </is>
      </c>
      <c r="C168" s="29" t="inlineStr">
        <is>
          <t>Nay Pyi Taw</t>
        </is>
      </c>
      <c r="D168" s="29" t="inlineStr">
        <is>
          <t>NPT</t>
        </is>
      </c>
      <c r="E168" s="29" t="inlineStr">
        <is>
          <t>ROYAL</t>
        </is>
      </c>
      <c r="F168" s="30" t="n">
        <v>6000</v>
      </c>
      <c r="G168" s="29" t="n">
        <v>5</v>
      </c>
      <c r="H168" s="30" t="n">
        <v>500</v>
      </c>
      <c r="I168" s="29" t="n">
        <v>0</v>
      </c>
      <c r="J168" s="30" t="n">
        <v>0</v>
      </c>
      <c r="K168" s="31" t="inlineStr"/>
      <c r="L168" s="27" t="inlineStr">
        <is>
          <t>active</t>
        </is>
      </c>
    </row>
    <row r="169">
      <c r="A169" s="27" t="inlineStr">
        <is>
          <t>Naypyitaw|COMMITMENT</t>
        </is>
      </c>
      <c r="B169" s="28" t="inlineStr">
        <is>
          <t>Naypyitaw</t>
        </is>
      </c>
      <c r="C169" s="29" t="inlineStr">
        <is>
          <t>Nay Pyi Taw</t>
        </is>
      </c>
      <c r="D169" s="29" t="inlineStr">
        <is>
          <t>NPT</t>
        </is>
      </c>
      <c r="E169" s="29" t="inlineStr">
        <is>
          <t>COMMITMENT</t>
        </is>
      </c>
      <c r="F169" s="30" t="n">
        <v>6000</v>
      </c>
      <c r="G169" s="29" t="n">
        <v>5</v>
      </c>
      <c r="H169" s="30" t="n">
        <v>500</v>
      </c>
      <c r="I169" s="29" t="n">
        <v>1500</v>
      </c>
      <c r="J169" s="30" t="n">
        <v>500</v>
      </c>
      <c r="K169" s="31" t="inlineStr"/>
      <c r="L169" s="27" t="inlineStr">
        <is>
          <t>active</t>
        </is>
      </c>
    </row>
  </sheetData>
  <autoFilter ref="A1:L169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58" customWidth="1" min="3" max="3"/>
    <col width="58" customWidth="1" min="4" max="4"/>
  </cols>
  <sheetData>
    <row r="1">
      <c r="A1" s="48" t="inlineStr">
        <is>
          <t>field</t>
        </is>
      </c>
      <c r="B1" s="48" t="inlineStr">
        <is>
          <t>classification</t>
        </is>
      </c>
      <c r="C1" s="48" t="inlineStr">
        <is>
          <t>backend behaviour</t>
        </is>
      </c>
      <c r="D1" s="48" t="inlineStr">
        <is>
          <t>reason</t>
        </is>
      </c>
    </row>
    <row r="2">
      <c r="A2" s="36" t="inlineStr">
        <is>
          <t>item_price</t>
        </is>
      </c>
      <c r="B2" s="49" t="inlineStr">
        <is>
          <t>RAW INPUT</t>
        </is>
      </c>
      <c r="C2" s="36" t="inlineStr">
        <is>
          <t>Accept; validate non-negative.</t>
        </is>
      </c>
      <c r="D2" s="36" t="inlineStr">
        <is>
          <t>Merchant product value.</t>
        </is>
      </c>
    </row>
    <row r="3">
      <c r="A3" s="36" t="inlineStr">
        <is>
          <t>delivery_charges</t>
        </is>
      </c>
      <c r="B3" s="49" t="inlineStr">
        <is>
          <t>RAW INPUT</t>
        </is>
      </c>
      <c r="C3" s="36" t="inlineStr">
        <is>
          <t>Accept as merchant-declared receiver-facing delivery amount.</t>
        </is>
      </c>
      <c r="D3" s="36" t="inlineStr">
        <is>
          <t>Must stay separate from the company tariff.</t>
        </is>
      </c>
    </row>
    <row r="4">
      <c r="A4" s="36" t="inlineStr">
        <is>
          <t>weight_kg</t>
        </is>
      </c>
      <c r="B4" s="49" t="inlineStr">
        <is>
          <t>RAW INPUT</t>
        </is>
      </c>
      <c r="C4" s="36" t="inlineStr">
        <is>
          <t>Accept; calculate chargeable weight with CEILING.</t>
        </is>
      </c>
      <c r="D4" s="36" t="inlineStr">
        <is>
          <t>Tariff calculation input.</t>
        </is>
      </c>
    </row>
    <row r="5">
      <c r="A5" s="36" t="inlineStr">
        <is>
          <t>amount_entry_type</t>
        </is>
      </c>
      <c r="B5" s="49" t="inlineStr">
        <is>
          <t>RAW INPUT</t>
        </is>
      </c>
      <c r="C5" s="36" t="inlineStr">
        <is>
          <t>Accept only the five controlled values.</t>
        </is>
      </c>
      <c r="D5" s="36" t="inlineStr">
        <is>
          <t>Determines receiver collection logic.</t>
        </is>
      </c>
    </row>
    <row r="6">
      <c r="A6" s="36" t="inlineStr">
        <is>
          <t>merchant_stated_total_amount</t>
        </is>
      </c>
      <c r="B6" s="49" t="inlineStr">
        <is>
          <t>RAW INPUT</t>
        </is>
      </c>
      <c r="C6" s="36" t="inlineStr">
        <is>
          <t>Accept only for relevant amount-entry types.</t>
        </is>
      </c>
      <c r="D6" s="36" t="inlineStr">
        <is>
          <t>Merchant-written total or exact collection amount.</t>
        </is>
      </c>
    </row>
    <row r="7">
      <c r="A7" s="36" t="inlineStr">
        <is>
          <t>additional_customer_charge</t>
        </is>
      </c>
      <c r="B7" s="49" t="inlineStr">
        <is>
          <t>RAW INPUT</t>
        </is>
      </c>
      <c r="C7" s="36" t="inlineStr">
        <is>
          <t>Accept; default zero.</t>
        </is>
      </c>
      <c r="D7" s="36" t="inlineStr">
        <is>
          <t>Added to receiver collection but excluded from current merchant settlement rule.</t>
        </is>
      </c>
    </row>
    <row r="8">
      <c r="A8" s="36" t="inlineStr">
        <is>
          <t>cbm_surcharge</t>
        </is>
      </c>
      <c r="B8" s="49" t="inlineStr">
        <is>
          <t>RAW INPUT</t>
        </is>
      </c>
      <c r="C8" s="36" t="inlineStr">
        <is>
          <t>Accept; default zero.</t>
        </is>
      </c>
      <c r="D8" s="36" t="inlineStr">
        <is>
          <t>Company tariff component.</t>
        </is>
      </c>
    </row>
    <row r="9">
      <c r="A9" s="36" t="inlineStr">
        <is>
          <t>other_surcharge</t>
        </is>
      </c>
      <c r="B9" s="49" t="inlineStr">
        <is>
          <t>RAW INPUT</t>
        </is>
      </c>
      <c r="C9" s="36" t="inlineStr">
        <is>
          <t>Accept; default zero.</t>
        </is>
      </c>
      <c r="D9" s="36" t="inlineStr">
        <is>
          <t>Approved company tariff component.</t>
        </is>
      </c>
    </row>
    <row r="10">
      <c r="A10" s="36" t="inlineStr">
        <is>
          <t>merchant_payable_charges</t>
        </is>
      </c>
      <c r="B10" s="49" t="inlineStr">
        <is>
          <t>RAW INPUT</t>
        </is>
      </c>
      <c r="C10" s="36" t="inlineStr">
        <is>
          <t>Accept; default zero.</t>
        </is>
      </c>
      <c r="D10" s="36" t="inlineStr">
        <is>
          <t>Deducted from merchant settlement.</t>
        </is>
      </c>
    </row>
    <row r="11">
      <c r="A11" s="36" t="inlineStr">
        <is>
          <t>other_merchant_credits</t>
        </is>
      </c>
      <c r="B11" s="49" t="inlineStr">
        <is>
          <t>RAW INPUT</t>
        </is>
      </c>
      <c r="C11" s="36" t="inlineStr">
        <is>
          <t>Accept; default zero.</t>
        </is>
      </c>
      <c r="D11" s="36" t="inlineStr">
        <is>
          <t>Credited to merchant settlement.</t>
        </is>
      </c>
    </row>
    <row r="12">
      <c r="A12" s="36" t="inlineStr">
        <is>
          <t>customer_tier</t>
        </is>
      </c>
      <c r="B12" s="50" t="inlineStr">
        <is>
          <t>BACKEND RESOLVED</t>
        </is>
      </c>
      <c r="C12" s="36" t="inlineStr">
        <is>
          <t>Resolve from merchant profile; compare spreadsheet value only as a warning.</t>
        </is>
      </c>
      <c r="D12" s="36" t="inlineStr">
        <is>
          <t>Client tier is not authoritative.</t>
        </is>
      </c>
    </row>
    <row r="13">
      <c r="A13" s="36" t="inlineStr">
        <is>
          <t>monthly_ways</t>
        </is>
      </c>
      <c r="B13" s="50" t="inlineStr">
        <is>
          <t>BACKEND RESOLVED</t>
        </is>
      </c>
      <c r="C13" s="36" t="inlineStr">
        <is>
          <t>Ignore imported value and count qualifying merchant ways in the database.</t>
        </is>
      </c>
      <c r="D13" s="36" t="inlineStr">
        <is>
          <t>Prevents commitment-refund manipulation.</t>
        </is>
      </c>
    </row>
    <row r="14">
      <c r="A14" s="36" t="inlineStr">
        <is>
          <t>entered_by / authorized_by</t>
        </is>
      </c>
      <c r="B14" s="51" t="inlineStr">
        <is>
          <t>SECURITY CONTEXT</t>
        </is>
      </c>
      <c r="C14" s="36" t="inlineStr">
        <is>
          <t>Use authenticated server identity; ignore spreadsheet identity fields.</t>
        </is>
      </c>
      <c r="D14" s="36" t="inlineStr">
        <is>
          <t>Audit/security fields must not be client-controlled.</t>
        </is>
      </c>
    </row>
    <row r="15">
      <c r="A15" s="36" t="inlineStr">
        <is>
          <t>cod_amount</t>
        </is>
      </c>
      <c r="B15" s="52" t="inlineStr">
        <is>
          <t>BACKEND CALCULATED</t>
        </is>
      </c>
      <c r="C15" s="36" t="inlineStr">
        <is>
          <t>Ignore import and overwrite.</t>
        </is>
      </c>
      <c r="D15" s="36" t="inlineStr">
        <is>
          <t>Final receiver collection must be server-calculated.</t>
        </is>
      </c>
    </row>
    <row r="16">
      <c r="A16" s="36" t="inlineStr">
        <is>
          <t>tariff snapshot fields</t>
        </is>
      </c>
      <c r="B16" s="52" t="inlineStr">
        <is>
          <t>BACKEND CALCULATED</t>
        </is>
      </c>
      <c r="C16" s="36" t="inlineStr">
        <is>
          <t>Ignore import and overwrite from the active exact tariff.</t>
        </is>
      </c>
      <c r="D16" s="36" t="inlineStr">
        <is>
          <t>Historical settlement must use stored snapshots.</t>
        </is>
      </c>
    </row>
    <row r="17">
      <c r="A17" s="36" t="inlineStr">
        <is>
          <t>delivery_difference / settlement fields</t>
        </is>
      </c>
      <c r="B17" s="52" t="inlineStr">
        <is>
          <t>BACKEND CALCULATED</t>
        </is>
      </c>
      <c r="C17" s="36" t="inlineStr">
        <is>
          <t>Ignore import and overwrite.</t>
        </is>
      </c>
      <c r="D17" s="36" t="inlineStr">
        <is>
          <t>May be negative; drives merchant credit/debit.</t>
        </is>
      </c>
    </row>
    <row r="18">
      <c r="A18" s="36" t="inlineStr">
        <is>
          <t>validation fields</t>
        </is>
      </c>
      <c r="B18" s="52" t="inlineStr">
        <is>
          <t>BACKEND CALCULATED</t>
        </is>
      </c>
      <c r="C18" s="36" t="inlineStr">
        <is>
          <t>Ignore import and overwrite.</t>
        </is>
      </c>
      <c r="D18" s="36" t="inlineStr">
        <is>
          <t>Settlement gate must be server-controlled.</t>
        </is>
      </c>
    </row>
    <row r="19">
      <c r="A19" s="36" t="inlineStr">
        <is>
          <t>calculation_version / calculated_at</t>
        </is>
      </c>
      <c r="B19" s="52" t="inlineStr">
        <is>
          <t>BACKEND CALCULATED</t>
        </is>
      </c>
      <c r="C19" s="36" t="inlineStr">
        <is>
          <t>Ignore import and overwrite.</t>
        </is>
      </c>
      <c r="D19" s="36" t="inlineStr">
        <is>
          <t>Provides historical rule traceability.</t>
        </is>
      </c>
    </row>
  </sheetData>
  <autoFilter ref="A1:D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365D"/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05" customWidth="1" min="3" max="3"/>
  </cols>
  <sheetData>
    <row r="2" ht="34" customHeight="1">
      <c r="B2" s="32" t="inlineStr">
        <is>
          <t>Parcel Collection and Merchant Settlement — Data Entry Guide</t>
        </is>
      </c>
    </row>
    <row r="4">
      <c r="B4" s="33" t="inlineStr">
        <is>
          <t>Purpose</t>
        </is>
      </c>
      <c r="C4" s="34" t="inlineStr">
        <is>
          <t>Keep the amount written by the merchant separate from the company tariff. The receiver pays the parcel instruction; any difference is settled with the merchant.</t>
        </is>
      </c>
    </row>
    <row r="5">
      <c r="B5" s="35" t="inlineStr">
        <is>
          <t>delivery_charges</t>
        </is>
      </c>
      <c r="C5" s="36" t="inlineStr">
        <is>
          <t>Enter the merchant-declared delivery amount written on the parcel. Example: enter 6,000 even when the company tariff is 4,500.</t>
        </is>
      </c>
    </row>
    <row r="6">
      <c r="B6" s="33" t="inlineStr">
        <is>
          <t>cod_amount</t>
        </is>
      </c>
      <c r="C6" s="34" t="inlineStr">
        <is>
          <t>Do not type over this formula. It is the total amount printed/collected from the receiver based on amount_entry_type.</t>
        </is>
      </c>
    </row>
    <row r="7">
      <c r="B7" s="35" t="inlineStr">
        <is>
          <t>Merchant charged more</t>
        </is>
      </c>
      <c r="C7" s="36" t="inlineStr">
        <is>
          <t>Declared delivery 6,000 − system delivery 4,500 = +1,500. The 1,500 is credited to the merchant at settlement.</t>
        </is>
      </c>
    </row>
    <row r="8">
      <c r="B8" s="33" t="inlineStr">
        <is>
          <t>Merchant charged less</t>
        </is>
      </c>
      <c r="C8" s="34" t="inlineStr">
        <is>
          <t>Declared delivery 3,000 − system delivery 4,500 = −1,500. Collect only 3,000 delivery from the receiver and deduct 1,500 from the merchant settlement.</t>
        </is>
      </c>
    </row>
    <row r="9">
      <c r="B9" s="35" t="inlineStr">
        <is>
          <t>TOTAL_AMOUNT_INCLUDING_DELIVERY</t>
        </is>
      </c>
      <c r="C9" s="36" t="inlineStr">
        <is>
          <t>Enter the one total written on the parcel in merchant_stated_total_amount. The sheet derives the delivery component as total − item price − additional customer charge.</t>
        </is>
      </c>
    </row>
    <row r="10">
      <c r="B10" s="33" t="inlineStr">
        <is>
          <t>EXACT_COLLECTION_AMOUNT</t>
        </is>
      </c>
      <c r="C10" s="34" t="inlineStr">
        <is>
          <t>The receiver total is calculated, but settlement is marked BREAKDOWN_REQUIRED until an authorized item/delivery breakdown is confirmed.</t>
        </is>
      </c>
    </row>
    <row r="11">
      <c r="B11" s="35" t="inlineStr">
        <is>
          <t>Tariff calculation</t>
        </is>
      </c>
      <c r="C11" s="36" t="inlineStr">
        <is>
          <t>Chargeable weight is rounded up to a whole kg. Standard includes 3 kg; Royal and Commitment include 5 kg. Extra weight is 500 MMK/kg.</t>
        </is>
      </c>
    </row>
    <row r="12">
      <c r="B12" s="33" t="inlineStr">
        <is>
          <t>Commitment rule</t>
        </is>
      </c>
      <c r="C12" s="34" t="inlineStr">
        <is>
          <t>A 500 MMK per-way refund applies when the COMMITMENT merchant has at least 1,500 monthly ways.</t>
        </is>
      </c>
    </row>
    <row r="13">
      <c r="B13" s="35" t="inlineStr">
        <is>
          <t>CBM surcharge</t>
        </is>
      </c>
      <c r="C13" s="36" t="inlineStr">
        <is>
          <t>Enter CBM surcharge manually or from a future CBM master. No CBM formula was included in the supplied tariff source.</t>
        </is>
      </c>
    </row>
    <row r="14">
      <c r="B14" s="33" t="inlineStr">
        <is>
          <t>Final checks</t>
        </is>
      </c>
      <c r="C14" s="34" t="inlineStr">
        <is>
          <t>Only finalize rows with validation_status = OK. REVIEW and ERROR rows require correction or authorization.</t>
        </is>
      </c>
    </row>
    <row r="16">
      <c r="B16" s="37" t="inlineStr">
        <is>
          <t>Color key</t>
        </is>
      </c>
    </row>
    <row r="17">
      <c r="B17" s="38" t="inlineStr">
        <is>
          <t>Blue cells/text</t>
        </is>
      </c>
      <c r="C17" s="38" t="inlineStr">
        <is>
          <t>Data-entry inputs</t>
        </is>
      </c>
    </row>
    <row r="18">
      <c r="B18" s="39" t="inlineStr">
        <is>
          <t>Green cells/text</t>
        </is>
      </c>
      <c r="C18" s="39" t="inlineStr">
        <is>
          <t>Tariff-master lookups</t>
        </is>
      </c>
    </row>
    <row r="19">
      <c r="B19" s="40" t="inlineStr">
        <is>
          <t>Purple cells</t>
        </is>
      </c>
      <c r="C19" s="40" t="inlineStr">
        <is>
          <t>Automatic calculations</t>
        </is>
      </c>
    </row>
    <row r="20">
      <c r="B20" s="41" t="inlineStr">
        <is>
          <t>Orange cells</t>
        </is>
      </c>
      <c r="C20" s="41" t="inlineStr">
        <is>
          <t>Validation and review</t>
        </is>
      </c>
    </row>
    <row r="22">
      <c r="B22" s="37" t="inlineStr">
        <is>
          <t>Backend authority</t>
        </is>
      </c>
      <c r="C22" s="36" t="inlineStr">
        <is>
          <t>Spreadsheet formulas are previews only. The backend must ignore imported calculated fields and recalculate COD, tariff snapshots, differences, settlement, validation, version, and timestamp.</t>
        </is>
      </c>
    </row>
    <row r="23">
      <c r="B23" s="37" t="inlineStr">
        <is>
          <t>Monthly ways</t>
        </is>
      </c>
      <c r="C23" s="36" t="inlineStr">
        <is>
          <t>Do not trust the spreadsheet monthly_ways value. The backend counts qualifying merchant ways from database records.</t>
        </is>
      </c>
    </row>
    <row r="24">
      <c r="B24" s="37" t="inlineStr">
        <is>
          <t>Customer tier</t>
        </is>
      </c>
      <c r="C24" s="36" t="inlineStr">
        <is>
          <t>The merchant profile is authoritative. Spreadsheet tier may be compared only for a mismatch warning.</t>
        </is>
      </c>
    </row>
    <row r="25">
      <c r="B25" s="37" t="inlineStr">
        <is>
          <t>Settlement gate</t>
        </is>
      </c>
      <c r="C25" s="36" t="inlineStr">
        <is>
          <t>Settle only DELIVERED parcels with validation_status=OK and settlement_direction not equal to BREAKDOWN_REQUIRED.</t>
        </is>
      </c>
    </row>
    <row r="26">
      <c r="B26" s="37" t="inlineStr">
        <is>
          <t>Historical protection</t>
        </is>
      </c>
      <c r="C26" s="36" t="inlineStr">
        <is>
          <t>After waybill printing, financial recalculation requires authorization. Delivered or settled parcels use adjustment transactions rather than direct edits.</t>
        </is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U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4" customWidth="1" min="3" max="3"/>
    <col width="18" customWidth="1" min="4" max="4"/>
    <col width="15" customWidth="1" min="5" max="5"/>
    <col width="23" customWidth="1" min="6" max="6"/>
    <col width="14" customWidth="1" min="7" max="7"/>
    <col width="17" customWidth="1" min="8" max="8"/>
    <col width="14" customWidth="1" min="9" max="9"/>
    <col width="16" customWidth="1" min="10" max="10"/>
    <col width="16" customWidth="1" min="11" max="11"/>
    <col width="16" customWidth="1" min="12" max="12"/>
    <col width="19" customWidth="1" min="13" max="13"/>
    <col width="20" customWidth="1" min="14" max="14"/>
    <col width="16" customWidth="1" min="15" max="15"/>
    <col width="18" customWidth="1" min="16" max="16"/>
    <col width="25" customWidth="1" min="17" max="17"/>
    <col width="20" customWidth="1" min="18" max="18"/>
    <col width="60" customWidth="1" min="19" max="19"/>
    <col width="18" customWidth="1" min="20" max="20"/>
    <col width="25" customWidth="1" min="21" max="21"/>
  </cols>
  <sheetData>
    <row r="1">
      <c r="A1" s="42" t="inlineStr">
        <is>
          <t>scenario</t>
        </is>
      </c>
      <c r="B1" s="42" t="inlineStr">
        <is>
          <t>amount_entry_type</t>
        </is>
      </c>
      <c r="C1" s="42" t="inlineStr">
        <is>
          <t>item_price</t>
        </is>
      </c>
      <c r="D1" s="42" t="inlineStr">
        <is>
          <t>declared_delivery</t>
        </is>
      </c>
      <c r="E1" s="42" t="inlineStr">
        <is>
          <t>stated_total</t>
        </is>
      </c>
      <c r="F1" s="42" t="inlineStr">
        <is>
          <t>additional_customer_charge</t>
        </is>
      </c>
      <c r="G1" s="42" t="inlineStr">
        <is>
          <t>base_tariff</t>
        </is>
      </c>
      <c r="H1" s="42" t="inlineStr">
        <is>
          <t>actual_weight_kg</t>
        </is>
      </c>
      <c r="I1" s="42" t="inlineStr">
        <is>
          <t>included_kg</t>
        </is>
      </c>
      <c r="J1" s="42" t="inlineStr">
        <is>
          <t>extra_per_kg</t>
        </is>
      </c>
      <c r="K1" s="42" t="inlineStr">
        <is>
          <t>cbm_surcharge</t>
        </is>
      </c>
      <c r="L1" s="42" t="inlineStr">
        <is>
          <t>other_surcharge</t>
        </is>
      </c>
      <c r="M1" s="42" t="inlineStr">
        <is>
          <t>commitment_refund</t>
        </is>
      </c>
      <c r="N1" s="42" t="inlineStr">
        <is>
          <t>net_system_delivery</t>
        </is>
      </c>
      <c r="O1" s="42" t="inlineStr">
        <is>
          <t>total_collect</t>
        </is>
      </c>
      <c r="P1" s="42" t="inlineStr">
        <is>
          <t>delivery_difference</t>
        </is>
      </c>
      <c r="Q1" s="42" t="inlineStr">
        <is>
          <t>settlement_direction</t>
        </is>
      </c>
      <c r="R1" s="42" t="inlineStr">
        <is>
          <t>merchant_settlement</t>
        </is>
      </c>
      <c r="S1" s="42" t="inlineStr">
        <is>
          <t>explanation</t>
        </is>
      </c>
      <c r="T1" s="42" t="inlineStr">
        <is>
          <t>validation_status</t>
        </is>
      </c>
      <c r="U1" s="42" t="inlineStr">
        <is>
          <t>calculation_version</t>
        </is>
      </c>
    </row>
    <row r="2">
      <c r="A2" s="43" t="inlineStr">
        <is>
          <t>Merchant charged more</t>
        </is>
      </c>
      <c r="B2" s="43" t="inlineStr">
        <is>
          <t>ITEM_PRICE_PLUS_DECLARED_DELIVERY</t>
        </is>
      </c>
      <c r="C2" s="44" t="n">
        <v>25000</v>
      </c>
      <c r="D2" s="44" t="n">
        <v>6000</v>
      </c>
      <c r="E2" s="44" t="n"/>
      <c r="F2" s="44" t="n">
        <v>0</v>
      </c>
      <c r="G2" s="44" t="n">
        <v>4500</v>
      </c>
      <c r="H2" s="45" t="n">
        <v>1</v>
      </c>
      <c r="I2" s="45" t="n">
        <v>3</v>
      </c>
      <c r="J2" s="44" t="n">
        <v>500</v>
      </c>
      <c r="K2" s="44" t="n">
        <v>0</v>
      </c>
      <c r="L2" s="44" t="n">
        <v>0</v>
      </c>
      <c r="M2" s="44" t="n">
        <v>0</v>
      </c>
      <c r="N2" s="44" t="n">
        <v>4500</v>
      </c>
      <c r="O2" s="44" t="n">
        <v>31000</v>
      </c>
      <c r="P2" s="44" t="n">
        <v>1500</v>
      </c>
      <c r="Q2" s="46" t="inlineStr">
        <is>
          <t>CREDIT_TO_MERCHANT</t>
        </is>
      </c>
      <c r="R2" s="44" t="n">
        <v>26500</v>
      </c>
      <c r="S2" s="43" t="inlineStr">
        <is>
          <t>Receiver pays declared 6,000; merchant receives the 1,500 excess.</t>
        </is>
      </c>
      <c r="T2" t="inlineStr">
        <is>
          <t>OK</t>
        </is>
      </c>
      <c r="U2" t="inlineStr">
        <is>
          <t>PARCEL_FINANCIAL_V2</t>
        </is>
      </c>
    </row>
    <row r="3">
      <c r="A3" s="43" t="inlineStr">
        <is>
          <t>Merchant charged less</t>
        </is>
      </c>
      <c r="B3" s="43" t="inlineStr">
        <is>
          <t>ITEM_PRICE_PLUS_DECLARED_DELIVERY</t>
        </is>
      </c>
      <c r="C3" s="44" t="n">
        <v>25000</v>
      </c>
      <c r="D3" s="44" t="n">
        <v>3000</v>
      </c>
      <c r="E3" s="44" t="n"/>
      <c r="F3" s="44" t="n">
        <v>0</v>
      </c>
      <c r="G3" s="44" t="n">
        <v>4500</v>
      </c>
      <c r="H3" s="45" t="n">
        <v>1</v>
      </c>
      <c r="I3" s="45" t="n">
        <v>3</v>
      </c>
      <c r="J3" s="44" t="n">
        <v>500</v>
      </c>
      <c r="K3" s="44" t="n">
        <v>0</v>
      </c>
      <c r="L3" s="44" t="n">
        <v>0</v>
      </c>
      <c r="M3" s="44" t="n">
        <v>0</v>
      </c>
      <c r="N3" s="44" t="n">
        <v>4500</v>
      </c>
      <c r="O3" s="44" t="n">
        <v>28000</v>
      </c>
      <c r="P3" s="44" t="n">
        <v>-1500</v>
      </c>
      <c r="Q3" s="46" t="inlineStr">
        <is>
          <t>DEDUCT_FROM_MERCHANT</t>
        </is>
      </c>
      <c r="R3" s="44" t="n">
        <v>23500</v>
      </c>
      <c r="S3" s="43" t="inlineStr">
        <is>
          <t>Receiver pays only 3,000 delivery; 1,500 is deducted from merchant.</t>
        </is>
      </c>
      <c r="T3" t="inlineStr">
        <is>
          <t>OK</t>
        </is>
      </c>
      <c r="U3" t="inlineStr">
        <is>
          <t>PARCEL_FINANCIAL_V2</t>
        </is>
      </c>
    </row>
    <row r="4">
      <c r="A4" s="43" t="inlineStr">
        <is>
          <t>Equal delivery</t>
        </is>
      </c>
      <c r="B4" s="43" t="inlineStr">
        <is>
          <t>ITEM_PRICE_PLUS_DECLARED_DELIVERY</t>
        </is>
      </c>
      <c r="C4" s="44" t="n">
        <v>25000</v>
      </c>
      <c r="D4" s="44" t="n">
        <v>4500</v>
      </c>
      <c r="E4" s="44" t="n"/>
      <c r="F4" s="44" t="n">
        <v>0</v>
      </c>
      <c r="G4" s="44" t="n">
        <v>4500</v>
      </c>
      <c r="H4" s="45" t="n">
        <v>1</v>
      </c>
      <c r="I4" s="45" t="n">
        <v>3</v>
      </c>
      <c r="J4" s="44" t="n">
        <v>500</v>
      </c>
      <c r="K4" s="44" t="n">
        <v>0</v>
      </c>
      <c r="L4" s="44" t="n">
        <v>0</v>
      </c>
      <c r="M4" s="44" t="n">
        <v>0</v>
      </c>
      <c r="N4" s="44" t="n">
        <v>4500</v>
      </c>
      <c r="O4" s="44" t="n">
        <v>29500</v>
      </c>
      <c r="P4" s="44" t="n">
        <v>0</v>
      </c>
      <c r="Q4" s="46" t="inlineStr">
        <is>
          <t>NO_ADJUSTMENT</t>
        </is>
      </c>
      <c r="R4" s="44" t="n">
        <v>25000</v>
      </c>
      <c r="S4" s="43" t="inlineStr">
        <is>
          <t>No delivery settlement adjustment.</t>
        </is>
      </c>
      <c r="T4" t="inlineStr">
        <is>
          <t>OK</t>
        </is>
      </c>
      <c r="U4" t="inlineStr">
        <is>
          <t>PARCEL_FINANCIAL_V2</t>
        </is>
      </c>
    </row>
    <row r="5">
      <c r="A5" s="43" t="inlineStr">
        <is>
          <t>Total includes delivery</t>
        </is>
      </c>
      <c r="B5" s="43" t="inlineStr">
        <is>
          <t>TOTAL_AMOUNT_INCLUDING_DELIVERY</t>
        </is>
      </c>
      <c r="C5" s="44" t="n">
        <v>25000</v>
      </c>
      <c r="D5" s="44" t="n"/>
      <c r="E5" s="44" t="n">
        <v>31000</v>
      </c>
      <c r="F5" s="44" t="n">
        <v>0</v>
      </c>
      <c r="G5" s="44" t="n">
        <v>4500</v>
      </c>
      <c r="H5" s="45" t="n">
        <v>1</v>
      </c>
      <c r="I5" s="45" t="n">
        <v>3</v>
      </c>
      <c r="J5" s="44" t="n">
        <v>500</v>
      </c>
      <c r="K5" s="44" t="n">
        <v>0</v>
      </c>
      <c r="L5" s="44" t="n">
        <v>0</v>
      </c>
      <c r="M5" s="44" t="n">
        <v>0</v>
      </c>
      <c r="N5" s="44" t="n">
        <v>4500</v>
      </c>
      <c r="O5" s="44" t="n">
        <v>31000</v>
      </c>
      <c r="P5" s="44" t="n">
        <v>1500</v>
      </c>
      <c r="Q5" s="46" t="inlineStr">
        <is>
          <t>CREDIT_TO_MERCHANT</t>
        </is>
      </c>
      <c r="R5" s="44" t="n">
        <v>26500</v>
      </c>
      <c r="S5" s="43" t="inlineStr">
        <is>
          <t>Derived declared delivery is 31,000 − 25,000 = 6,000.</t>
        </is>
      </c>
      <c r="T5" t="inlineStr">
        <is>
          <t>OK</t>
        </is>
      </c>
      <c r="U5" t="inlineStr">
        <is>
          <t>PARCEL_FINANCIAL_V2</t>
        </is>
      </c>
    </row>
    <row r="6">
      <c r="A6" s="43" t="inlineStr">
        <is>
          <t>Merchant pays delivery</t>
        </is>
      </c>
      <c r="B6" s="43" t="inlineStr">
        <is>
          <t>ITEM_PRICE_ONLY_DELIVERY_PAID_BY_MERCHANT</t>
        </is>
      </c>
      <c r="C6" s="44" t="n">
        <v>25000</v>
      </c>
      <c r="D6" s="44" t="n">
        <v>0</v>
      </c>
      <c r="E6" s="44" t="n"/>
      <c r="F6" s="44" t="n">
        <v>0</v>
      </c>
      <c r="G6" s="44" t="n">
        <v>4500</v>
      </c>
      <c r="H6" s="45" t="n">
        <v>1</v>
      </c>
      <c r="I6" s="45" t="n">
        <v>3</v>
      </c>
      <c r="J6" s="44" t="n">
        <v>500</v>
      </c>
      <c r="K6" s="44" t="n">
        <v>0</v>
      </c>
      <c r="L6" s="44" t="n">
        <v>0</v>
      </c>
      <c r="M6" s="44" t="n">
        <v>0</v>
      </c>
      <c r="N6" s="44" t="n">
        <v>4500</v>
      </c>
      <c r="O6" s="44" t="n">
        <v>25000</v>
      </c>
      <c r="P6" s="44" t="n">
        <v>-4500</v>
      </c>
      <c r="Q6" s="46" t="inlineStr">
        <is>
          <t>DEDUCT_FROM_MERCHANT</t>
        </is>
      </c>
      <c r="R6" s="44" t="n">
        <v>20500</v>
      </c>
      <c r="S6" s="43" t="inlineStr">
        <is>
          <t>Receiver pays item only; full delivery charge is deducted from merchant.</t>
        </is>
      </c>
      <c r="T6" t="inlineStr">
        <is>
          <t>OK</t>
        </is>
      </c>
      <c r="U6" t="inlineStr">
        <is>
          <t>PARCEL_FINANCIAL_V2</t>
        </is>
      </c>
    </row>
    <row r="7">
      <c r="A7" s="43" t="inlineStr">
        <is>
          <t>Extra weight</t>
        </is>
      </c>
      <c r="B7" s="43" t="inlineStr">
        <is>
          <t>ITEM_PRICE_PLUS_DECLARED_DELIVERY</t>
        </is>
      </c>
      <c r="C7" s="44" t="n">
        <v>25000</v>
      </c>
      <c r="D7" s="44" t="n">
        <v>6000</v>
      </c>
      <c r="E7" s="44" t="n"/>
      <c r="F7" s="44" t="n">
        <v>0</v>
      </c>
      <c r="G7" s="44" t="n">
        <v>4500</v>
      </c>
      <c r="H7" s="45" t="n">
        <v>4.2</v>
      </c>
      <c r="I7" s="45" t="n">
        <v>3</v>
      </c>
      <c r="J7" s="44" t="n">
        <v>500</v>
      </c>
      <c r="K7" s="44" t="n">
        <v>0</v>
      </c>
      <c r="L7" s="44" t="n">
        <v>0</v>
      </c>
      <c r="M7" s="44" t="n">
        <v>0</v>
      </c>
      <c r="N7" s="44" t="n">
        <v>5500</v>
      </c>
      <c r="O7" s="44" t="n">
        <v>31000</v>
      </c>
      <c r="P7" s="44" t="n">
        <v>500</v>
      </c>
      <c r="Q7" s="46" t="inlineStr">
        <is>
          <t>CREDIT_TO_MERCHANT</t>
        </is>
      </c>
      <c r="R7" s="44" t="n">
        <v>25500</v>
      </c>
      <c r="S7" s="43" t="inlineStr">
        <is>
          <t>4.2 kg rounds to 5 kg; 2 extra kg × 500 = 1,000.</t>
        </is>
      </c>
      <c r="T7" t="inlineStr">
        <is>
          <t>OK</t>
        </is>
      </c>
      <c r="U7" t="inlineStr">
        <is>
          <t>PARCEL_FINANCIAL_V2</t>
        </is>
      </c>
    </row>
    <row r="8">
      <c r="A8" t="inlineStr">
        <is>
          <t>Exact collection</t>
        </is>
      </c>
      <c r="B8" t="inlineStr">
        <is>
          <t>EXACT_COLLECTION_AMOUNT</t>
        </is>
      </c>
      <c r="E8" t="n">
        <v>31000</v>
      </c>
      <c r="F8" t="n">
        <v>0</v>
      </c>
      <c r="G8" t="n">
        <v>4500</v>
      </c>
      <c r="H8" t="n">
        <v>1</v>
      </c>
      <c r="I8" t="n">
        <v>3</v>
      </c>
      <c r="J8" t="n">
        <v>500</v>
      </c>
      <c r="K8" t="n">
        <v>0</v>
      </c>
      <c r="L8" t="n">
        <v>0</v>
      </c>
      <c r="M8" t="n">
        <v>0</v>
      </c>
      <c r="N8" t="n">
        <v>4500</v>
      </c>
      <c r="O8" t="n">
        <v>31000</v>
      </c>
      <c r="Q8" t="inlineStr">
        <is>
          <t>BREAKDOWN_REQUIRED</t>
        </is>
      </c>
      <c r="S8" t="inlineStr">
        <is>
          <t>Receiver may pay 31,000, but merchant settlement is blocked until an authorized breakdown is recorded.</t>
        </is>
      </c>
      <c r="T8" t="inlineStr">
        <is>
          <t>REVIEW</t>
        </is>
      </c>
      <c r="U8" t="inlineStr">
        <is>
          <t>PARCEL_FINANCIAL_V2</t>
        </is>
      </c>
    </row>
  </sheetData>
  <autoFilter ref="A1:U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47" t="inlineStr">
        <is>
          <t>Townships</t>
        </is>
      </c>
      <c r="B1" s="47" t="inlineStr">
        <is>
          <t>Customer Tiers</t>
        </is>
      </c>
      <c r="C1" s="47" t="inlineStr">
        <is>
          <t>Amount Entry Types</t>
        </is>
      </c>
      <c r="D1" s="47" t="inlineStr">
        <is>
          <t>Statuses</t>
        </is>
      </c>
      <c r="E1" s="47" t="inlineStr">
        <is>
          <t>Environments</t>
        </is>
      </c>
    </row>
    <row r="2">
      <c r="A2" t="inlineStr">
        <is>
          <t>ပန်းဘဲတန်း</t>
        </is>
      </c>
      <c r="B2" t="inlineStr">
        <is>
          <t>STANDARD</t>
        </is>
      </c>
      <c r="C2" t="inlineStr">
        <is>
          <t>ITEM_PRICE_PLUS_DECLARED_DELIVERY</t>
        </is>
      </c>
      <c r="D2" t="inlineStr">
        <is>
          <t>PENDING</t>
        </is>
      </c>
      <c r="E2" t="inlineStr">
        <is>
          <t>PRODUCTION</t>
        </is>
      </c>
    </row>
    <row r="3">
      <c r="A3" t="inlineStr">
        <is>
          <t>ကျောက်တံတား</t>
        </is>
      </c>
      <c r="B3" t="inlineStr">
        <is>
          <t>ROYAL</t>
        </is>
      </c>
      <c r="C3" t="inlineStr">
        <is>
          <t>TOTAL_AMOUNT_INCLUDING_DELIVERY</t>
        </is>
      </c>
      <c r="D3" t="inlineStr">
        <is>
          <t>DELIVERED</t>
        </is>
      </c>
      <c r="E3" t="inlineStr">
        <is>
          <t>STAGING</t>
        </is>
      </c>
    </row>
    <row r="4">
      <c r="A4" t="inlineStr">
        <is>
          <t>လမ်းမတော်</t>
        </is>
      </c>
      <c r="B4" t="inlineStr">
        <is>
          <t>COMMITMENT</t>
        </is>
      </c>
      <c r="C4" t="inlineStr">
        <is>
          <t>DELIVERY_CHARGE_ONLY</t>
        </is>
      </c>
      <c r="D4" t="inlineStr">
        <is>
          <t>RETURNED</t>
        </is>
      </c>
      <c r="E4" t="inlineStr">
        <is>
          <t>TEST</t>
        </is>
      </c>
    </row>
    <row r="5">
      <c r="A5" t="inlineStr">
        <is>
          <t>လသာ</t>
        </is>
      </c>
      <c r="C5" t="inlineStr">
        <is>
          <t>EXACT_COLLECTION_AMOUNT</t>
        </is>
      </c>
      <c r="D5" t="inlineStr">
        <is>
          <t>CANCELLED</t>
        </is>
      </c>
    </row>
    <row r="6">
      <c r="A6" t="inlineStr">
        <is>
          <t>ပုဇွန်တောင်</t>
        </is>
      </c>
      <c r="C6" t="inlineStr">
        <is>
          <t>ITEM_PRICE_ONLY_DELIVERY_PAID_BY_MERCHANT</t>
        </is>
      </c>
      <c r="D6" t="inlineStr">
        <is>
          <t>FAILED</t>
        </is>
      </c>
    </row>
    <row r="7">
      <c r="A7" t="inlineStr">
        <is>
          <t>ဗိုလ်တထောင်</t>
        </is>
      </c>
    </row>
    <row r="8">
      <c r="A8" t="inlineStr">
        <is>
          <t>ဒဂုံ</t>
        </is>
      </c>
    </row>
    <row r="9">
      <c r="A9" t="inlineStr">
        <is>
          <t>အလုံ</t>
        </is>
      </c>
    </row>
    <row r="10">
      <c r="A10" t="inlineStr">
        <is>
          <t>ကြည့်မြင်တိုင်</t>
        </is>
      </c>
    </row>
    <row r="11">
      <c r="A11" t="inlineStr">
        <is>
          <t>စမ်းချောင်း</t>
        </is>
      </c>
    </row>
    <row r="12">
      <c r="A12" t="inlineStr">
        <is>
          <t>မင်္ဂလာတောင်ညွန့်</t>
        </is>
      </c>
    </row>
    <row r="13">
      <c r="A13" t="inlineStr">
        <is>
          <t>တာမွေ</t>
        </is>
      </c>
    </row>
    <row r="14">
      <c r="A14" t="inlineStr">
        <is>
          <t>ဗဟန်း</t>
        </is>
      </c>
    </row>
    <row r="15">
      <c r="A15" t="inlineStr">
        <is>
          <t>တောင်ဥက္ကလာပ</t>
        </is>
      </c>
    </row>
    <row r="16">
      <c r="A16" t="inlineStr">
        <is>
          <t>မြောက်ဒဂုံ</t>
        </is>
      </c>
    </row>
    <row r="17">
      <c r="A17" t="inlineStr">
        <is>
          <t>အရှေ့ဒဂုံ</t>
        </is>
      </c>
    </row>
    <row r="18">
      <c r="A18" t="inlineStr">
        <is>
          <t>ရန်ကင်း</t>
        </is>
      </c>
    </row>
    <row r="19">
      <c r="A19" t="inlineStr">
        <is>
          <t>ကမာရွတ်</t>
        </is>
      </c>
    </row>
    <row r="20">
      <c r="A20" t="inlineStr">
        <is>
          <t>သာကေတ</t>
        </is>
      </c>
    </row>
    <row r="21">
      <c r="A21" t="inlineStr">
        <is>
          <t>သင်္ဃန်းကျွန်း</t>
        </is>
      </c>
    </row>
    <row r="22">
      <c r="A22" t="inlineStr">
        <is>
          <t>မရမ်းကုန်း</t>
        </is>
      </c>
    </row>
    <row r="23">
      <c r="A23" t="inlineStr">
        <is>
          <t>တောင်ဒဂုံ</t>
        </is>
      </c>
    </row>
    <row r="24">
      <c r="A24" t="inlineStr">
        <is>
          <t>ဒဂုံဆိပ်ကမ်း</t>
        </is>
      </c>
    </row>
    <row r="25">
      <c r="A25" t="inlineStr">
        <is>
          <t>ဒေါပုံ</t>
        </is>
      </c>
    </row>
    <row r="26">
      <c r="A26" t="inlineStr">
        <is>
          <t>လှိုင်</t>
        </is>
      </c>
    </row>
    <row r="27">
      <c r="A27" t="inlineStr">
        <is>
          <t>အင်းစိန်</t>
        </is>
      </c>
    </row>
    <row r="28">
      <c r="A28" t="inlineStr">
        <is>
          <t>မြောက်ဥက္ကလာပ</t>
        </is>
      </c>
    </row>
    <row r="29">
      <c r="A29" t="inlineStr">
        <is>
          <t>မင်္ဂလာဒုံ</t>
        </is>
      </c>
    </row>
    <row r="30">
      <c r="A30" t="inlineStr">
        <is>
          <t>ရွှေပြည်သာ</t>
        </is>
      </c>
    </row>
    <row r="31">
      <c r="A31" t="inlineStr">
        <is>
          <t>လှိုင်သာယာ</t>
        </is>
      </c>
    </row>
    <row r="32">
      <c r="A32" t="inlineStr">
        <is>
          <t>ရွှေပေါက်ကံ</t>
        </is>
      </c>
    </row>
    <row r="33">
      <c r="A33" t="inlineStr">
        <is>
          <t>အောင်မင်္ဂလာကားဂိတ်</t>
        </is>
      </c>
    </row>
    <row r="34">
      <c r="A34" t="inlineStr">
        <is>
          <t>Aung Mingalar Highway Drop Off</t>
        </is>
      </c>
    </row>
    <row r="35">
      <c r="A35" t="inlineStr">
        <is>
          <t>ပရမီ ကားဝင်း (ဗန္ဓုလ)</t>
        </is>
      </c>
    </row>
    <row r="36">
      <c r="A36" t="inlineStr">
        <is>
          <t>အောင်ဆန်းကွင်း</t>
        </is>
      </c>
    </row>
    <row r="37">
      <c r="A37" t="inlineStr">
        <is>
          <t>ဂိတ်ချ</t>
        </is>
      </c>
    </row>
    <row r="38">
      <c r="A38" t="inlineStr">
        <is>
          <t>အဝေးပြေး ဂိတ်ချ</t>
        </is>
      </c>
    </row>
    <row r="39">
      <c r="A39" t="inlineStr">
        <is>
          <t>ရန်ကုန်စာတိုက်ကြီး</t>
        </is>
      </c>
    </row>
    <row r="40">
      <c r="A40" t="inlineStr">
        <is>
          <t>ဘုရင့်နောင် ကားဝင်း</t>
        </is>
      </c>
    </row>
    <row r="41">
      <c r="A41" t="inlineStr">
        <is>
          <t>လှိုင်သာယာအဝေးပြေး (ဒဂုံဧရာ)</t>
        </is>
      </c>
    </row>
    <row r="42">
      <c r="A42" t="inlineStr">
        <is>
          <t>Dagon Thiri Highway Drop Off</t>
        </is>
      </c>
    </row>
    <row r="43">
      <c r="A43" t="inlineStr">
        <is>
          <t>အောင်မြေသာစံမြို့နယ်</t>
        </is>
      </c>
    </row>
    <row r="44">
      <c r="A44" t="inlineStr">
        <is>
          <t>ချမ်းအေးသာစံမြို့နယ်</t>
        </is>
      </c>
    </row>
    <row r="45">
      <c r="A45" t="inlineStr">
        <is>
          <t>မဟာအောင်မြေမြို့နယ်</t>
        </is>
      </c>
    </row>
    <row r="46">
      <c r="A46" t="inlineStr">
        <is>
          <t>ချမ်းမြသာစည်မြို့နယ်</t>
        </is>
      </c>
    </row>
    <row r="47">
      <c r="A47" t="inlineStr">
        <is>
          <t>ပြည်ကြီးတံခွန်မြို့နယ်</t>
        </is>
      </c>
    </row>
    <row r="48">
      <c r="A48" t="inlineStr">
        <is>
          <t>အမရပူရမြို့နယ်</t>
        </is>
      </c>
    </row>
    <row r="49">
      <c r="A49" t="inlineStr">
        <is>
          <t>ပုသိမ်ကြီးမြို့နယ်</t>
        </is>
      </c>
    </row>
    <row r="50">
      <c r="A50" t="inlineStr">
        <is>
          <t>Mandalay</t>
        </is>
      </c>
    </row>
    <row r="51">
      <c r="A51" t="inlineStr">
        <is>
          <t>ဇမ္ဗူသီရိမြို့နယ်</t>
        </is>
      </c>
    </row>
    <row r="52">
      <c r="A52" t="inlineStr">
        <is>
          <t>ဒက္ခိဏသီရိမြို့နယ်</t>
        </is>
      </c>
    </row>
    <row r="53">
      <c r="A53" t="inlineStr">
        <is>
          <t>ပုဗ္ဗသီရိမြို့နယ်</t>
        </is>
      </c>
    </row>
    <row r="54">
      <c r="A54" t="inlineStr">
        <is>
          <t>ဥတ္တရသီရိမြို့နယ်</t>
        </is>
      </c>
    </row>
    <row r="55">
      <c r="A55" t="inlineStr">
        <is>
          <t>ဇေယျာသီရိမြို့နယ်</t>
        </is>
      </c>
    </row>
    <row r="56">
      <c r="A56" t="inlineStr">
        <is>
          <t>ပျဉ်းမနားမြို့နယ်</t>
        </is>
      </c>
    </row>
    <row r="57">
      <c r="A57" t="inlineStr">
        <is>
          <t>Naypyitaw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Parcel Data Entry and Merchant Settlement Template</dc:title>
  <dc:description xmlns:dc="http://purl.org/dc/elements/1.1/">Updated from the user-provided parcel data-entry template and tariff rules.</dc:description>
  <dc:subject xmlns:dc="http://purl.org/dc/elements/1.1/">COD collection, delivery tariff and merchant settlement calculation</dc:subject>
  <dcterms:created xmlns:dcterms="http://purl.org/dc/terms/" xmlns:xsi="http://www.w3.org/2001/XMLSchema-instance" xsi:type="dcterms:W3CDTF">2026-06-07T23:42:21Z</dcterms:created>
  <dcterms:modified xmlns:dcterms="http://purl.org/dc/terms/" xmlns:xsi="http://www.w3.org/2001/XMLSchema-instance" xsi:type="dcterms:W3CDTF">2026-07-30T22:48:06Z</dcterms:modified>
  <cp:lastModifiedBy>kyaw wanna</cp:lastModifiedBy>
</cp:coreProperties>
</file>